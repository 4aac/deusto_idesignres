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IT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88" i="8"/>
  <c r="X87" i="8"/>
  <c r="X86" i="8"/>
  <c r="X84" i="8"/>
  <c r="Y12" i="3"/>
  <c r="X12" i="3"/>
  <c r="X17" i="9"/>
  <c r="X51" i="3" s="1"/>
  <c r="Y49" i="9"/>
  <c r="Y40" i="3"/>
  <c r="X5" i="9"/>
  <c r="Y57" i="10"/>
  <c r="X68" i="10"/>
  <c r="X15" i="10"/>
  <c r="Y32" i="10"/>
  <c r="X54" i="10"/>
  <c r="Y53" i="10"/>
  <c r="X53" i="10"/>
  <c r="Y41" i="10"/>
  <c r="Y70" i="3"/>
  <c r="X28" i="10"/>
  <c r="Y24" i="10"/>
  <c r="X24" i="10"/>
  <c r="Y58" i="11"/>
  <c r="X102" i="11"/>
  <c r="Y67" i="11"/>
  <c r="X48" i="13"/>
  <c r="X101" i="11"/>
  <c r="X25" i="3"/>
  <c r="Y24" i="3"/>
  <c r="X24" i="3"/>
  <c r="Y23" i="3"/>
  <c r="X8" i="11"/>
  <c r="X16" i="3"/>
  <c r="X15" i="3"/>
  <c r="Y14" i="3"/>
  <c r="Y25" i="12"/>
  <c r="Y75" i="12" s="1"/>
  <c r="X35" i="12"/>
  <c r="X54" i="3"/>
  <c r="Y53" i="3"/>
  <c r="X4" i="12"/>
  <c r="X46" i="3"/>
  <c r="Y45" i="3"/>
  <c r="X45" i="3"/>
  <c r="Y39" i="12"/>
  <c r="X83" i="3"/>
  <c r="Y76" i="3"/>
  <c r="Y75" i="3"/>
  <c r="X5" i="13"/>
  <c r="Y23" i="13"/>
  <c r="Y7" i="15"/>
  <c r="X28" i="3"/>
  <c r="Y27" i="3"/>
  <c r="X27" i="3"/>
  <c r="Y15" i="17"/>
  <c r="X88" i="3"/>
  <c r="X14" i="17"/>
  <c r="X31" i="3"/>
  <c r="Y3" i="18"/>
  <c r="Y17" i="18" s="1"/>
  <c r="X10" i="19"/>
  <c r="Y4" i="19"/>
  <c r="Y90" i="3"/>
  <c r="X90" i="3"/>
  <c r="Y85" i="3"/>
  <c r="X85" i="3"/>
  <c r="X84" i="3"/>
  <c r="X76" i="3"/>
  <c r="Y44" i="3"/>
  <c r="X44" i="3"/>
  <c r="Y42" i="3"/>
  <c r="Y31" i="3"/>
  <c r="Y30" i="3"/>
  <c r="Y25" i="3"/>
  <c r="Y10" i="3"/>
  <c r="Y44" i="12" l="1"/>
  <c r="X90" i="8"/>
  <c r="X75" i="3"/>
  <c r="X227" i="3" s="1"/>
  <c r="X29" i="9"/>
  <c r="Y57" i="8"/>
  <c r="Y79" i="8" s="1"/>
  <c r="Y29" i="9"/>
  <c r="X91" i="8"/>
  <c r="Y69" i="11"/>
  <c r="Y91" i="8"/>
  <c r="Y54" i="3"/>
  <c r="Y206" i="3" s="1"/>
  <c r="Y24" i="13"/>
  <c r="Y18" i="11"/>
  <c r="Y122" i="11" s="1"/>
  <c r="X31" i="9"/>
  <c r="X53" i="3"/>
  <c r="Y53" i="9"/>
  <c r="X41" i="12"/>
  <c r="Y15" i="14"/>
  <c r="Y27" i="14" s="1"/>
  <c r="Y44" i="11"/>
  <c r="X28" i="8"/>
  <c r="X26" i="8" s="1"/>
  <c r="X25" i="9"/>
  <c r="X27" i="9"/>
  <c r="Y43" i="9"/>
  <c r="Y41" i="12"/>
  <c r="X55" i="3"/>
  <c r="X19" i="12"/>
  <c r="X69" i="12" s="1"/>
  <c r="Y14" i="17"/>
  <c r="Y55" i="3"/>
  <c r="X3" i="20"/>
  <c r="Y7" i="18"/>
  <c r="Y22" i="18" s="1"/>
  <c r="X240" i="3"/>
  <c r="X98" i="11"/>
  <c r="X43" i="8"/>
  <c r="X88" i="11"/>
  <c r="Y88" i="11"/>
  <c r="Y25" i="9"/>
  <c r="Y31" i="9"/>
  <c r="Y42" i="9"/>
  <c r="Y48" i="1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6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89" i="3" s="1"/>
  <c r="X181" i="3" s="1"/>
  <c r="Y39" i="13"/>
  <c r="Y79" i="11"/>
  <c r="X4" i="9"/>
  <c r="X57" i="8"/>
  <c r="X79" i="8" s="1"/>
  <c r="X7" i="15"/>
  <c r="X22" i="15" s="1"/>
  <c r="X13" i="14"/>
  <c r="X19" i="14" s="1"/>
  <c r="Y15" i="3"/>
  <c r="Y197" i="3" s="1"/>
  <c r="X23" i="3"/>
  <c r="X22" i="3" s="1"/>
  <c r="X14" i="20"/>
  <c r="Y15" i="18"/>
  <c r="Y29" i="13"/>
  <c r="X18" i="11"/>
  <c r="X120" i="11" s="1"/>
  <c r="X237" i="3"/>
  <c r="Y194" i="3"/>
  <c r="Y196" i="3"/>
  <c r="Y65" i="10"/>
  <c r="X46" i="10"/>
  <c r="X36" i="9"/>
  <c r="X47" i="9"/>
  <c r="X10" i="8"/>
  <c r="X21" i="3" s="1"/>
  <c r="X203" i="3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11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20" i="19" s="1"/>
  <c r="Y10" i="19"/>
  <c r="Y11" i="20" s="1"/>
  <c r="X15" i="20"/>
  <c r="Y14" i="20"/>
  <c r="X14" i="3"/>
  <c r="X196" i="3" s="1"/>
  <c r="X206" i="3"/>
  <c r="Y74" i="3"/>
  <c r="Y73" i="3" s="1"/>
  <c r="Y6" i="13"/>
  <c r="Y25" i="13"/>
  <c r="X44" i="13"/>
  <c r="Y45" i="12"/>
  <c r="X31" i="12"/>
  <c r="Y14" i="11"/>
  <c r="Y116" i="11" s="1"/>
  <c r="Y24" i="1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X24" i="13"/>
  <c r="Y35" i="13"/>
  <c r="X89" i="11"/>
  <c r="Y35" i="12"/>
  <c r="Y68" i="11"/>
  <c r="Y73" i="11"/>
  <c r="Y29" i="12"/>
  <c r="X14" i="11"/>
  <c r="X119" i="11" s="1"/>
  <c r="X92" i="11"/>
  <c r="X48" i="11"/>
  <c r="X236" i="3"/>
  <c r="Y47" i="13"/>
  <c r="Y27" i="13"/>
  <c r="Y83" i="3"/>
  <c r="Y235" i="3" s="1"/>
  <c r="Y10" i="13"/>
  <c r="Y37" i="13"/>
  <c r="X228" i="3"/>
  <c r="X55" i="10"/>
  <c r="X81" i="3"/>
  <c r="Y20" i="19"/>
  <c r="Y60" i="3"/>
  <c r="Y24" i="19"/>
  <c r="Y18" i="17"/>
  <c r="Y87" i="3"/>
  <c r="Y239" i="3" s="1"/>
  <c r="Y3" i="17"/>
  <c r="Y23" i="17" s="1"/>
  <c r="Y23" i="15"/>
  <c r="Y21" i="15"/>
  <c r="Y162" i="3"/>
  <c r="X43" i="13"/>
  <c r="X33" i="13"/>
  <c r="X23" i="13"/>
  <c r="X6" i="13"/>
  <c r="X4" i="13"/>
  <c r="X74" i="3"/>
  <c r="X25" i="19"/>
  <c r="X21" i="19"/>
  <c r="X61" i="3"/>
  <c r="X3" i="18"/>
  <c r="X18" i="18" s="1"/>
  <c r="X30" i="3"/>
  <c r="X14" i="18"/>
  <c r="X18" i="20"/>
  <c r="X14" i="14"/>
  <c r="X20" i="14" s="1"/>
  <c r="X4" i="14"/>
  <c r="X43" i="3"/>
  <c r="X198" i="3"/>
  <c r="Y91" i="3"/>
  <c r="Y243" i="3" s="1"/>
  <c r="Y19" i="20"/>
  <c r="Y3" i="20"/>
  <c r="Y23" i="20" s="1"/>
  <c r="Y15" i="20"/>
  <c r="Y28" i="11"/>
  <c r="Y101" i="11"/>
  <c r="X4" i="10"/>
  <c r="X23" i="10"/>
  <c r="X7" i="18"/>
  <c r="X110" i="11"/>
  <c r="X111" i="11"/>
  <c r="Y28" i="3"/>
  <c r="Y84" i="3"/>
  <c r="Y192" i="3"/>
  <c r="Y237" i="3"/>
  <c r="Y242" i="3"/>
  <c r="Y19" i="18"/>
  <c r="X19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15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X82" i="3"/>
  <c r="Y205" i="3"/>
  <c r="Y18" i="20"/>
  <c r="Y14" i="18"/>
  <c r="Y15" i="15"/>
  <c r="X45" i="13"/>
  <c r="X35" i="13"/>
  <c r="X25" i="13"/>
  <c r="Y43" i="12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18" i="18"/>
  <c r="X3" i="15"/>
  <c r="X15" i="15"/>
  <c r="X37" i="13"/>
  <c r="X27" i="13"/>
  <c r="X10" i="13"/>
  <c r="X30" i="12"/>
  <c r="X20" i="12"/>
  <c r="X70" i="12" s="1"/>
  <c r="X5" i="12"/>
  <c r="X19" i="13" s="1"/>
  <c r="X40" i="12"/>
  <c r="X11" i="10"/>
  <c r="X9" i="10" s="1"/>
  <c r="X34" i="10"/>
  <c r="X45" i="10"/>
  <c r="X56" i="10"/>
  <c r="Y28" i="9"/>
  <c r="Y39" i="9"/>
  <c r="Y13" i="9"/>
  <c r="Y50" i="9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X63" i="8" l="1"/>
  <c r="Y198" i="3"/>
  <c r="X235" i="3"/>
  <c r="X41" i="3"/>
  <c r="X193" i="3" s="1"/>
  <c r="X80" i="11"/>
  <c r="X76" i="11"/>
  <c r="X52" i="3"/>
  <c r="X204" i="3" s="1"/>
  <c r="X86" i="3"/>
  <c r="X238" i="3" s="1"/>
  <c r="Y3" i="16"/>
  <c r="Y27" i="16" s="1"/>
  <c r="X100" i="8"/>
  <c r="X111" i="8"/>
  <c r="X41" i="9"/>
  <c r="Y36" i="8"/>
  <c r="X117" i="11"/>
  <c r="X116" i="11"/>
  <c r="X207" i="3"/>
  <c r="Y13" i="3"/>
  <c r="Y225" i="3" s="1"/>
  <c r="X113" i="8"/>
  <c r="X118" i="11"/>
  <c r="X233" i="3"/>
  <c r="X11" i="17"/>
  <c r="X112" i="8"/>
  <c r="X44" i="10"/>
  <c r="X243" i="3"/>
  <c r="X60" i="3"/>
  <c r="X59" i="3" s="1"/>
  <c r="X153" i="3" s="1"/>
  <c r="X3" i="19"/>
  <c r="X29" i="19" s="1"/>
  <c r="X24" i="19"/>
  <c r="Y25" i="19"/>
  <c r="Y3" i="19"/>
  <c r="Y28" i="19" s="1"/>
  <c r="Y21" i="18"/>
  <c r="Y13" i="18"/>
  <c r="Y23" i="18"/>
  <c r="Y57" i="3"/>
  <c r="Y209" i="3" s="1"/>
  <c r="Y10" i="17"/>
  <c r="X3" i="16"/>
  <c r="X28" i="16" s="1"/>
  <c r="Y20" i="16"/>
  <c r="Y13" i="15"/>
  <c r="X23" i="15"/>
  <c r="X21" i="15"/>
  <c r="Y17" i="15"/>
  <c r="Y18" i="15"/>
  <c r="X25" i="14"/>
  <c r="Y25" i="14"/>
  <c r="Y3" i="12"/>
  <c r="Y52" i="12" s="1"/>
  <c r="Y52" i="3"/>
  <c r="Y204" i="3" s="1"/>
  <c r="Y123" i="11"/>
  <c r="Y21" i="14"/>
  <c r="Y80" i="11"/>
  <c r="Y121" i="11"/>
  <c r="X43" i="11"/>
  <c r="Y227" i="3"/>
  <c r="Y96" i="11"/>
  <c r="Y120" i="11"/>
  <c r="X22" i="10"/>
  <c r="X192" i="3"/>
  <c r="X36" i="8"/>
  <c r="X4" i="8"/>
  <c r="X108" i="8" s="1"/>
  <c r="X61" i="8"/>
  <c r="X25" i="8"/>
  <c r="Y207" i="3"/>
  <c r="Y22" i="13"/>
  <c r="X13" i="20"/>
  <c r="X22" i="20"/>
  <c r="X96" i="8"/>
  <c r="X23" i="20"/>
  <c r="X205" i="3"/>
  <c r="X122" i="11"/>
  <c r="Y43" i="11"/>
  <c r="X22" i="17"/>
  <c r="X10" i="20"/>
  <c r="X48" i="9"/>
  <c r="X13" i="11"/>
  <c r="Y20" i="14"/>
  <c r="X21" i="20"/>
  <c r="X224" i="3"/>
  <c r="Y111" i="11"/>
  <c r="Y42" i="13"/>
  <c r="Y12" i="14"/>
  <c r="Y18" i="14" s="1"/>
  <c r="X183" i="3"/>
  <c r="X182" i="3"/>
  <c r="X13" i="3"/>
  <c r="X195" i="3" s="1"/>
  <c r="X37" i="9"/>
  <c r="X3" i="12"/>
  <c r="X49" i="12" s="1"/>
  <c r="Y23" i="10"/>
  <c r="Y22" i="10"/>
  <c r="Y117" i="11"/>
  <c r="X121" i="11"/>
  <c r="Y119" i="11"/>
  <c r="Y118" i="11"/>
  <c r="X53" i="11"/>
  <c r="Y76" i="11"/>
  <c r="X21" i="16"/>
  <c r="X10" i="17"/>
  <c r="X123" i="11"/>
  <c r="Y112" i="11"/>
  <c r="X21" i="14"/>
  <c r="Y13" i="11"/>
  <c r="X25" i="16"/>
  <c r="X57" i="3"/>
  <c r="X56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X70" i="11"/>
  <c r="X100" i="11"/>
  <c r="Y19" i="13"/>
  <c r="X85" i="8"/>
  <c r="X15" i="8"/>
  <c r="X24" i="9" s="1"/>
  <c r="X49" i="10"/>
  <c r="X8" i="10"/>
  <c r="X60" i="10" s="1"/>
  <c r="Y44" i="10"/>
  <c r="Y55" i="10"/>
  <c r="Y33" i="10"/>
  <c r="Y81" i="3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Y240" i="3"/>
  <c r="Y122" i="3"/>
  <c r="Y32" i="12"/>
  <c r="Y22" i="12"/>
  <c r="Y72" i="12" s="1"/>
  <c r="Y42" i="12"/>
  <c r="Y41" i="9"/>
  <c r="Y30" i="9"/>
  <c r="Y52" i="9"/>
  <c r="Y51" i="3"/>
  <c r="X18" i="15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X213" i="3"/>
  <c r="X73" i="3"/>
  <c r="X226" i="3"/>
  <c r="X13" i="18"/>
  <c r="X17" i="18"/>
  <c r="X19" i="18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X74" i="8" s="1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6" i="9"/>
  <c r="Y36" i="13"/>
  <c r="Y26" i="13"/>
  <c r="Y46" i="13"/>
  <c r="Y18" i="13"/>
  <c r="Y3" i="13"/>
  <c r="Y56" i="13" s="1"/>
  <c r="X234" i="3"/>
  <c r="X32" i="12"/>
  <c r="X22" i="12"/>
  <c r="X72" i="12" s="1"/>
  <c r="X42" i="12"/>
  <c r="Y121" i="3"/>
  <c r="X96" i="11"/>
  <c r="X23" i="11"/>
  <c r="Y21" i="16"/>
  <c r="Y11" i="17"/>
  <c r="Y25" i="16"/>
  <c r="Y58" i="3"/>
  <c r="Y21" i="20"/>
  <c r="Y13" i="20"/>
  <c r="Y17" i="20"/>
  <c r="Y22" i="20"/>
  <c r="Y13" i="17"/>
  <c r="Y21" i="17"/>
  <c r="Y17" i="17"/>
  <c r="X33" i="10"/>
  <c r="Y82" i="3"/>
  <c r="Y234" i="3" s="1"/>
  <c r="Y26" i="8"/>
  <c r="X56" i="8"/>
  <c r="X78" i="8" s="1"/>
  <c r="Y110" i="11"/>
  <c r="Y90" i="11"/>
  <c r="X21" i="18"/>
  <c r="X22" i="18"/>
  <c r="Y86" i="3"/>
  <c r="X46" i="9"/>
  <c r="X10" i="9"/>
  <c r="X57" i="9" s="1"/>
  <c r="Y22" i="17"/>
  <c r="X23" i="18"/>
  <c r="X110" i="8" l="1"/>
  <c r="X106" i="8"/>
  <c r="X39" i="3"/>
  <c r="Y56" i="3"/>
  <c r="Y195" i="3"/>
  <c r="Y29" i="16"/>
  <c r="X105" i="8"/>
  <c r="X94" i="8"/>
  <c r="X109" i="8"/>
  <c r="X107" i="8"/>
  <c r="X35" i="9"/>
  <c r="Y23" i="16"/>
  <c r="Y50" i="12"/>
  <c r="Y51" i="12"/>
  <c r="Y47" i="12"/>
  <c r="Y53" i="12"/>
  <c r="Y9" i="17"/>
  <c r="X38" i="10"/>
  <c r="Y28" i="16"/>
  <c r="Y19" i="16"/>
  <c r="Y49" i="12"/>
  <c r="Y54" i="12"/>
  <c r="Y55" i="12"/>
  <c r="Y48" i="12"/>
  <c r="Y29" i="19"/>
  <c r="X95" i="11"/>
  <c r="Y17" i="12"/>
  <c r="Y67" i="12" s="1"/>
  <c r="X27" i="19"/>
  <c r="X51" i="12"/>
  <c r="X19" i="19"/>
  <c r="X23" i="19"/>
  <c r="Y19" i="19"/>
  <c r="X9" i="17"/>
  <c r="X23" i="16"/>
  <c r="X19" i="16"/>
  <c r="X212" i="3"/>
  <c r="X29" i="16"/>
  <c r="X28" i="19"/>
  <c r="X27" i="16"/>
  <c r="Y9" i="20"/>
  <c r="Y24" i="14"/>
  <c r="Y23" i="19"/>
  <c r="Y27" i="19"/>
  <c r="X9" i="20"/>
  <c r="X209" i="3"/>
  <c r="X62" i="10"/>
  <c r="X225" i="3"/>
  <c r="Y95" i="11"/>
  <c r="Y37" i="12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08" i="3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208" i="3"/>
  <c r="X191" i="3"/>
  <c r="X211" i="3"/>
  <c r="X151" i="3"/>
  <c r="X60" i="9"/>
  <c r="X64" i="9"/>
  <c r="X56" i="9"/>
  <c r="X62" i="9"/>
  <c r="X45" i="9"/>
  <c r="X58" i="9"/>
  <c r="X61" i="9"/>
  <c r="X63" i="9"/>
  <c r="X59" i="9"/>
  <c r="X65" i="9"/>
  <c r="X152" i="3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Y153" i="3" l="1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5" i="1"/>
  <c r="B24" i="1"/>
  <c r="B26" i="1"/>
  <c r="S242" i="3" l="1"/>
  <c r="C242" i="3"/>
  <c r="O14" i="18"/>
  <c r="I15" i="18"/>
  <c r="E3" i="18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E18" i="18"/>
  <c r="N3" i="18"/>
  <c r="N17" i="18" s="1"/>
  <c r="U14" i="18"/>
  <c r="E21" i="20"/>
  <c r="P14" i="18"/>
  <c r="J14" i="20"/>
  <c r="O3" i="20"/>
  <c r="O23" i="20" s="1"/>
  <c r="O3" i="18"/>
  <c r="O18" i="18" s="1"/>
  <c r="N3" i="20"/>
  <c r="L20" i="19"/>
  <c r="L10" i="20"/>
  <c r="Q25" i="19"/>
  <c r="Q21" i="19"/>
  <c r="Q14" i="20"/>
  <c r="Q3" i="20"/>
  <c r="Q22" i="20" s="1"/>
  <c r="C19" i="20"/>
  <c r="E14" i="18"/>
  <c r="M14" i="18"/>
  <c r="E19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E13" i="18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E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W23" i="20" l="1"/>
  <c r="I22" i="18"/>
  <c r="U18" i="18"/>
  <c r="M22" i="20"/>
  <c r="J11" i="20"/>
  <c r="R25" i="19"/>
  <c r="N29" i="3"/>
  <c r="F24" i="19"/>
  <c r="F20" i="19"/>
  <c r="N13" i="20"/>
  <c r="I21" i="18"/>
  <c r="F22" i="20"/>
  <c r="U19" i="18"/>
  <c r="M23" i="20"/>
  <c r="R21" i="19"/>
  <c r="P10" i="20"/>
  <c r="W24" i="19"/>
  <c r="G18" i="18"/>
  <c r="H20" i="19"/>
  <c r="K23" i="18"/>
  <c r="H25" i="19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3" i="3" s="1"/>
  <c r="M23" i="18"/>
  <c r="S23" i="18"/>
  <c r="S22" i="18"/>
  <c r="N241" i="3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7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N123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U121" i="3" l="1"/>
  <c r="F182" i="3"/>
  <c r="H23" i="19"/>
  <c r="U122" i="3"/>
  <c r="N19" i="19"/>
  <c r="F183" i="3"/>
  <c r="E27" i="19"/>
  <c r="Q9" i="20"/>
  <c r="E23" i="19"/>
  <c r="N9" i="20"/>
  <c r="Q23" i="19"/>
  <c r="N27" i="19"/>
  <c r="M28" i="19"/>
  <c r="W9" i="20"/>
  <c r="M29" i="19"/>
  <c r="N29" i="19"/>
  <c r="M9" i="20"/>
  <c r="M19" i="19"/>
  <c r="M23" i="19"/>
  <c r="W29" i="19"/>
  <c r="H27" i="19"/>
  <c r="H19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52" i="12" l="1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O14" i="8" l="1"/>
  <c r="O26" i="10" s="1"/>
  <c r="E36" i="8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O79" i="8"/>
  <c r="K79" i="8"/>
  <c r="V77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22" i="1"/>
  <c r="B21" i="1"/>
  <c r="B7" i="1"/>
  <c r="B12" i="1"/>
  <c r="B4" i="1"/>
  <c r="B17" i="1"/>
  <c r="B13" i="1"/>
  <c r="B20" i="1"/>
  <c r="B18" i="1"/>
  <c r="B6" i="1"/>
  <c r="B9" i="1"/>
  <c r="B15" i="1"/>
  <c r="B8" i="1"/>
  <c r="B11" i="1"/>
  <c r="B16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J85" i="4" l="1"/>
  <c r="K87" i="4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W4" i="7"/>
  <c r="T47" i="7"/>
  <c r="X58" i="4"/>
  <c r="X13" i="7"/>
  <c r="T6" i="7"/>
  <c r="T58" i="4"/>
  <c r="U34" i="7"/>
  <c r="U114" i="4"/>
  <c r="T31" i="7"/>
  <c r="Y6" i="7"/>
  <c r="W36" i="7"/>
  <c r="X44" i="7"/>
  <c r="V35" i="7"/>
  <c r="V42" i="7" l="1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/>
  <c r="P150" i="4"/>
  <c r="P8" i="3"/>
  <c r="O180" i="4"/>
  <c r="P208" i="4"/>
  <c r="P206" i="4"/>
  <c r="P102" i="5"/>
  <c r="P209" i="4"/>
  <c r="P96" i="6"/>
  <c r="O179" i="4" l="1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K16" i="4"/>
  <c r="K14" i="4"/>
  <c r="L13" i="4" l="1"/>
  <c r="L150" i="4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 s="1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I204" i="4" l="1"/>
  <c r="I8" i="3"/>
  <c r="G208" i="4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 s="1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L243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184" i="4"/>
  <c r="I265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J20" i="4" s="1"/>
  <c r="P7" i="4"/>
  <c r="H24" i="4"/>
  <c r="L11" i="4"/>
  <c r="I22" i="4"/>
  <c r="H47" i="4"/>
  <c r="L33" i="4"/>
  <c r="J19" i="4" l="1"/>
  <c r="J157" i="4"/>
  <c r="J211" i="4"/>
  <c r="J238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H270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G215" i="4" l="1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143" i="4"/>
  <c r="S224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H226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31" i="4" l="1"/>
  <c r="U226" i="4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 s="1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/>
  <c r="X184" i="4"/>
  <c r="X265" i="4"/>
  <c r="X187" i="4"/>
  <c r="X268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D131" i="5" l="1"/>
  <c r="D77" i="5"/>
  <c r="D132" i="7" s="1"/>
  <c r="D49" i="3"/>
  <c r="D104" i="5"/>
  <c r="C187" i="3"/>
  <c r="C34" i="3"/>
  <c r="C127" i="3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/>
  <c r="X19" i="3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I69" i="7"/>
  <c r="I60" i="7" s="1"/>
  <c r="X241" i="4" l="1"/>
  <c r="X238" i="4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 s="1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/>
  <c r="Y184" i="4"/>
  <c r="Y265" i="4"/>
  <c r="G127" i="6"/>
  <c r="G73" i="6"/>
  <c r="G215" i="7" s="1"/>
  <c r="G100" i="6"/>
  <c r="G34" i="6"/>
  <c r="Y186" i="4"/>
  <c r="Y267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Y268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F70" i="6" l="1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 s="1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 s="1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 s="1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 s="1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 s="1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<sst xmlns="http://schemas.openxmlformats.org/spreadsheetml/2006/main" count="2657" uniqueCount="1169">
  <si>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</si>
  <si>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</si>
  <si>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</si>
  <si>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</si>
  <si>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</si>
  <si>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</si>
  <si>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</si>
  <si>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</si>
  <si>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</si>
  <si>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</si>
  <si>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</si>
  <si>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</si>
  <si>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</si>
  <si>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</si>
  <si>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</si>
  <si>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</si>
  <si>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</si>
  <si>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</si>
  <si>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</si>
  <si>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</si>
  <si>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</si>
  <si>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</si>
  <si>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</si>
  <si>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</si>
  <si>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</si>
  <si>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</si>
  <si>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</si>
  <si>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</si>
  <si>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</si>
  <si>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</si>
  <si>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</si>
  <si>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</si>
  <si>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</si>
  <si>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</si>
  <si>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</si>
  <si>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</si>
  <si>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</si>
  <si>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</si>
  <si>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</si>
  <si>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</si>
  <si>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</si>
  <si>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</si>
  <si>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</si>
  <si>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</si>
  <si>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</si>
  <si>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</si>
  <si>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</si>
  <si>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</si>
  <si>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</si>
  <si>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</si>
  <si>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</si>
  <si>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</si>
  <si>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</si>
  <si>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</si>
  <si>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</si>
  <si>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</si>
  <si>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</si>
  <si>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</si>
  <si>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</si>
  <si>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</si>
  <si>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</si>
  <si>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</si>
  <si>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</si>
  <si>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</si>
  <si>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</si>
  <si>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</si>
  <si>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</si>
  <si>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</si>
  <si>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</si>
  <si>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</si>
  <si>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</si>
  <si>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</si>
  <si>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</si>
  <si>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</si>
  <si>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</si>
  <si>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</si>
  <si>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</si>
  <si>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</si>
  <si>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</si>
  <si>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</si>
  <si>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</si>
  <si>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</si>
  <si>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</si>
  <si>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</si>
  <si>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</si>
  <si>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</si>
  <si>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</si>
  <si>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</si>
  <si>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</si>
  <si>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</si>
  <si>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</si>
  <si>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</si>
  <si>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</si>
  <si>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</si>
  <si>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</si>
  <si>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</si>
  <si>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</si>
  <si>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</si>
  <si>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</si>
  <si>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</si>
  <si>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</si>
  <si>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</si>
  <si>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</si>
  <si>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</si>
  <si>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</si>
  <si>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</si>
  <si>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</si>
  <si>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</si>
  <si>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</si>
  <si>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</si>
  <si>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</si>
  <si>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</si>
  <si>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</si>
  <si>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</si>
  <si>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</si>
  <si>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</si>
  <si>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</si>
  <si>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</si>
  <si>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</si>
  <si>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</si>
  <si>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</si>
  <si>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</si>
  <si>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</si>
  <si>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</si>
  <si>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</si>
  <si>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</si>
  <si>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</si>
  <si>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</si>
  <si>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</si>
  <si>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</si>
  <si>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</si>
  <si>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</si>
  <si>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</si>
  <si>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</si>
  <si>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</si>
  <si>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</si>
  <si>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</si>
  <si>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</si>
  <si>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</si>
  <si>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</si>
  <si>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</si>
  <si>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</si>
  <si>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</si>
  <si>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</si>
  <si>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</si>
  <si>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</si>
  <si>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</si>
  <si>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</si>
  <si>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</si>
  <si>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</si>
  <si>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</si>
  <si>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</si>
  <si>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</si>
  <si>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</si>
  <si>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</si>
  <si>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</si>
  <si>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</si>
  <si>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</si>
  <si>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</si>
  <si>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</si>
  <si>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</si>
  <si>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</si>
  <si>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</si>
  <si>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</si>
  <si>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</si>
  <si>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</si>
  <si>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</si>
  <si>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</si>
  <si>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</si>
  <si>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</si>
  <si>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</si>
  <si>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</si>
  <si>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</si>
  <si>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</si>
  <si>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</si>
  <si>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</si>
  <si>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</si>
  <si>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</si>
  <si>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</si>
  <si>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</si>
  <si>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</si>
  <si>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</si>
  <si>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</si>
  <si>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</si>
  <si>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</si>
  <si>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</si>
  <si>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</si>
  <si>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IT</t>
  </si>
  <si>
    <t>Italy</t>
  </si>
  <si>
    <t>Aviation - IT - Italy</t>
  </si>
  <si>
    <t>Activity.Mpkm.IT.Tr.Avia.Passenger</t>
  </si>
  <si>
    <t>Activity.Mpkm.IT.Tr.Avia.Passenger.Domestic</t>
  </si>
  <si>
    <t>Activity.Mpkm.IT.Tr.Avia.Passenger.IntraEEAwCHUK</t>
  </si>
  <si>
    <t>Activity.Mpkm.IT.Tr.Avia.Passenger.ExtraEEAwCHUK</t>
  </si>
  <si>
    <t>Activity.Mtkm.IT.Tr.Avia.Freight</t>
  </si>
  <si>
    <t>Activity.Mtkm.IT.Tr.Avia.Freight.Domestic</t>
  </si>
  <si>
    <t>Activity.Mtkm.IT.Tr.Avia.Freight.IntraEEAwCHUK</t>
  </si>
  <si>
    <t>Activity.Mtkm.IT.Tr.Avia.Freight.ExtraEEAwCHUK</t>
  </si>
  <si>
    <t>VehicleKm.Mkm.IT.Tr.Avia</t>
  </si>
  <si>
    <t>VehicleKm.Mkm.IT.Tr.Avia.Passenger</t>
  </si>
  <si>
    <t>VehicleKm.Mkm.IT.Tr.Avia.Passenger.Domestic</t>
  </si>
  <si>
    <t>VehicleKm.Mkm.IT.Tr.Avia.Passenger.IntraEEAwCHUK</t>
  </si>
  <si>
    <t>VehicleKm.Mkm.IT.Tr.Avia.Passenger.ExtraEEAwCHUK</t>
  </si>
  <si>
    <t>VehicleKm.Mkm.IT.Tr.Avia.Freight</t>
  </si>
  <si>
    <t>VehicleKm.Mkm.IT.Tr.Avia.Freight.Domestic</t>
  </si>
  <si>
    <t>VehicleKm.Mkm.IT.Tr.Avia.Freight.IntraEEAwCHUK</t>
  </si>
  <si>
    <t>VehicleKm.Mkm.IT.Tr.Avia.Freight.ExtraEEAwCHUK</t>
  </si>
  <si>
    <t>Flights.number.IT.Tr.Avia</t>
  </si>
  <si>
    <t>Flights.number.IT.Tr.Avia.Passenger</t>
  </si>
  <si>
    <t>Flights.number.IT.Tr.Avia.Passenger.Domestic</t>
  </si>
  <si>
    <t>Flights.number.IT.Tr.Avia.Passenger.IntraEEAwCHUK</t>
  </si>
  <si>
    <t>Flights.number.IT.Tr.Avia.Passenger.ExtraEEAwCHUK</t>
  </si>
  <si>
    <t>Flights.number.IT.Tr.Avia.Freight</t>
  </si>
  <si>
    <t>Flights.number.IT.Tr.Avia.Freight.Domestic</t>
  </si>
  <si>
    <t>Flights.number.IT.Tr.Avia.Freight.IntraEEAwCHUK</t>
  </si>
  <si>
    <t>Flights.number.IT.Tr.Avia.Freight.ExtraEEAwCHUK</t>
  </si>
  <si>
    <t>VolCarried.passenger.IT.Tr.Avia.Passenger</t>
  </si>
  <si>
    <t>VolCarried.passenger.IT.Tr.Avia.Passenger.Domestic</t>
  </si>
  <si>
    <t>VolCarried.passenger.IT.Tr.Avia.Passenger.IntraEEAwCHUK</t>
  </si>
  <si>
    <t>VolCarried.passenger.IT.Tr.Avia.Passenger.ExtraEEAwCHUK</t>
  </si>
  <si>
    <t>VolCarried.t.IT.Tr.Avia.Freight</t>
  </si>
  <si>
    <t>VolCarried.t.IT.Tr.Avia.Freight.Domestic</t>
  </si>
  <si>
    <t>VolCarried.t.IT.Tr.Avia.Freight.IntraEEAwCHUK</t>
  </si>
  <si>
    <t>VolCarried.t.IT.Tr.Avia.Freight.ExtraEEAwCHUK</t>
  </si>
  <si>
    <t>Stock.number.IT.Tr.Avia</t>
  </si>
  <si>
    <t>Stock.number.IT.Tr.Avia.Passenger</t>
  </si>
  <si>
    <t>Stock.number.IT.Tr.Avia.Passenger.Domestic</t>
  </si>
  <si>
    <t>Stock.number.IT.Tr.Avia.Passenger.IntraEEAwCHUK</t>
  </si>
  <si>
    <t>Stock.number.IT.Tr.Avia.Passenger.ExtraEEAwCHUK</t>
  </si>
  <si>
    <t>Stock.number.IT.Tr.Avia.Freight</t>
  </si>
  <si>
    <t>Stock.number.IT.Tr.Avia.Freight.Domestic</t>
  </si>
  <si>
    <t>Stock.number.IT.Tr.Avia.Freight.IntraEEAwCHUK</t>
  </si>
  <si>
    <t>Stock.number.IT.Tr.Avia.Freight.ExtraEEAwCHUK</t>
  </si>
  <si>
    <t>StockNew.number.IT.Tr.Avia</t>
  </si>
  <si>
    <t>StockNew.number.IT.Tr.Avia.Passenger</t>
  </si>
  <si>
    <t>StockNew.number.IT.Tr.Avia.Passenger.Domestic</t>
  </si>
  <si>
    <t>StockNew.number.IT.Tr.Avia.Passenger.IntraEEAwCHUK</t>
  </si>
  <si>
    <t>StockNew.number.IT.Tr.Avia.Passenger.ExtraEEAwCHUK</t>
  </si>
  <si>
    <t>StockNew.number.IT.Tr.Avia.Freight</t>
  </si>
  <si>
    <t>StockNew.number.IT.Tr.Avia.Freight.Domestic</t>
  </si>
  <si>
    <t>StockNew.number.IT.Tr.Avia.Freight.IntraEEAwCHUK</t>
  </si>
  <si>
    <t>StockNew.number.IT.Tr.Avia.Freight.ExtraEEAwCHUK</t>
  </si>
  <si>
    <t>Load.passenger_per_movement.IT.Tr.Avia.Passenger</t>
  </si>
  <si>
    <t>Load.passenger_per_movement.IT.Tr.Avia.Passenger.Domestic</t>
  </si>
  <si>
    <t>Load.passenger_per_movement.IT.Tr.Avia.Passenger.IntraEEAwCHUK</t>
  </si>
  <si>
    <t>Load.passenger_per_movement.IT.Tr.Avia.Passenger.ExtraEEAwCHUK</t>
  </si>
  <si>
    <t>Load.t_per_movement.IT.Tr.Avia.Freight</t>
  </si>
  <si>
    <t>Load.t_per_movement.IT.Tr.Avia.Freight.Domestic</t>
  </si>
  <si>
    <t>Load.t_per_movement.IT.Tr.Avia.Freight.IntraEEAwCHUK</t>
  </si>
  <si>
    <t>Load.t_per_movement.IT.Tr.Avia.Freight.ExtraEEAwCHUK</t>
  </si>
  <si>
    <t>VehicleKm_per_flight.km.IT.Tr.Avia</t>
  </si>
  <si>
    <t>VehicleKm_per_flight.km.IT.Tr.Avia.Passenger</t>
  </si>
  <si>
    <t>VehicleKm_per_flight.km.IT.Tr.Avia.Passenger.Domestic</t>
  </si>
  <si>
    <t>VehicleKm_per_flight.km.IT.Tr.Avia.Passenger.IntraEEAwCHUK</t>
  </si>
  <si>
    <t>VehicleKm_per_flight.km.IT.Tr.Avia.Passenger.ExtraEEAwCHUK</t>
  </si>
  <si>
    <t>VehicleKm_per_flight.km.IT.Tr.Avia.Freight</t>
  </si>
  <si>
    <t>VehicleKm_per_flight.km.IT.Tr.Avia.Freight.Domestic</t>
  </si>
  <si>
    <t>VehicleKm_per_flight.km.IT.Tr.Avia.Freight.IntraEEAwCHUK</t>
  </si>
  <si>
    <t>VehicleKm_per_flight.km.IT.Tr.Avia.Freight.ExtraEEAwCHUK</t>
  </si>
  <si>
    <t>Activity_per_flight.pkm.IT.Tr.Avia.Passenger</t>
  </si>
  <si>
    <t>Activity_per_flight.pkm.IT.Tr.Avia.Passenger.Domestic</t>
  </si>
  <si>
    <t>Activity_per_flight.pkm.IT.Tr.Avia.Passenger.IntraEEAwCHUK</t>
  </si>
  <si>
    <t>Activity_per_flight.pkm.IT.Tr.Avia.Passenger.ExtraEEAwCHUK</t>
  </si>
  <si>
    <t>Activity_per_flight.tkm.IT.Tr.Avia.Freight</t>
  </si>
  <si>
    <t>Activity_per_flight.tkm.IT.Tr.Avia.Freight.Domestic</t>
  </si>
  <si>
    <t>Activity_per_flight.tkm.IT.Tr.Avia.Freight.IntraEEAwCHUK</t>
  </si>
  <si>
    <t>Activity_per_flight.tkm.IT.Tr.Avia.Freight.ExtraEEAwCHUK</t>
  </si>
  <si>
    <t>Flights_per_vehicle.number.IT.Tr.Avia</t>
  </si>
  <si>
    <t>Flights_per_vehicle.number.IT.Tr.Avia.Passenger</t>
  </si>
  <si>
    <t>Flights_per_vehicle.number.IT.Tr.Avia.Passenger.Domestic</t>
  </si>
  <si>
    <t>Flights_per_vehicle.number.IT.Tr.Avia.Passenger.IntraEEAwCHUK</t>
  </si>
  <si>
    <t>Flights_per_vehicle.number.IT.Tr.Avia.Passenger.ExtraEEAwCHUK</t>
  </si>
  <si>
    <t>Flights_per_vehicle.number.IT.Tr.Avia.Freight</t>
  </si>
  <si>
    <t>Flights_per_vehicle.number.IT.Tr.Avia.Freight.Domestic</t>
  </si>
  <si>
    <t>Flights_per_vehicle.number.IT.Tr.Avia.Freight.IntraEEAwCHUK</t>
  </si>
  <si>
    <t>Flights_per_vehicle.number.IT.Tr.Avia.Freight.ExtraEEAwCHUK</t>
  </si>
  <si>
    <t>Aviation / energy consumption - IT - Italy</t>
  </si>
  <si>
    <t>FEC.ktoe.IT.Tr.Avia</t>
  </si>
  <si>
    <t>FEC.ktoe.IT.Tr.Avia.Domestic</t>
  </si>
  <si>
    <t>FEC.ktoe.IT.Tr.Avia.International</t>
  </si>
  <si>
    <t>FEC.ktoe.IT.Tr.Avia.Passenger</t>
  </si>
  <si>
    <t>FEC.ktoe.IT.Tr.Avia.Passenger.Domestic</t>
  </si>
  <si>
    <t>FEC.ktoe.IT.Tr.Avia.Passenger.IntraEEAwCHUK</t>
  </si>
  <si>
    <t>FEC.ktoe.IT.Tr.Avia.Passenger.ExtraEEAwCHUK</t>
  </si>
  <si>
    <t>FEC.ktoe.IT.Tr.Avia.Freight</t>
  </si>
  <si>
    <t>FEC.ktoe.IT.Tr.Avia.Freight.Domestic</t>
  </si>
  <si>
    <t>FEC.ktoe.IT.Tr.Avia.Freight.IntraEEAwCHUK</t>
  </si>
  <si>
    <t>FEC.ktoe.IT.Tr.Avia.Freight.ExtraEEAwCHUK</t>
  </si>
  <si>
    <t>Eff.kgoe_per_100km.IT.Tr.Avia</t>
  </si>
  <si>
    <t>Eff.kgoe_per_100km.IT.Tr.Avia.Passenger</t>
  </si>
  <si>
    <t>Eff.kgoe_per_100km.IT.Tr.Avia.Passenger.Domestic</t>
  </si>
  <si>
    <t>Eff.kgoe_per_100km.IT.Tr.Avia.Passenger.IntraEEAwCHUK</t>
  </si>
  <si>
    <t>Eff.kgoe_per_100km.IT.Tr.Avia.Passenger.ExtraEEAwCHUK</t>
  </si>
  <si>
    <t>Eff.kgoe_per_100km.IT.Tr.Avia.Freight</t>
  </si>
  <si>
    <t>Eff.kgoe_per_100km.IT.Tr.Avia.Freight.Domestic</t>
  </si>
  <si>
    <t>Eff.kgoe_per_100km.IT.Tr.Avia.Freight.IntraEEAwCHUK</t>
  </si>
  <si>
    <t>Eff.kgoe_per_100km.IT.Tr.Avia.Freight.ExtraEEAwCHUK</t>
  </si>
  <si>
    <t>Eff.kgoe_per_kpkm.IT.Tr.Avia.Passenger</t>
  </si>
  <si>
    <t>Eff.kgoe_per_kpkm.IT.Tr.Avia.Passenger.Domestic</t>
  </si>
  <si>
    <t>Eff.kgoe_per_kpkm.IT.Tr.Avia.Passenger.IntraEEAwCHUK</t>
  </si>
  <si>
    <t>Eff.kgoe_per_kpkm.IT.Tr.Avia.Passenger.ExtraEEAwCHUK</t>
  </si>
  <si>
    <t>Eff.kgoe_per_ktkm.IT.Tr.Avia.Freight</t>
  </si>
  <si>
    <t>Eff.kgoe_per_ktkm.IT.Tr.Avia.Freight.Domestic</t>
  </si>
  <si>
    <t>Eff.kgoe_per_ktkm.IT.Tr.Avia.Freight.IntraEEAwCHUK</t>
  </si>
  <si>
    <t>Eff.kgoe_per_ktkm.IT.Tr.Avia.Freight.ExtraEEAwCHUK</t>
  </si>
  <si>
    <t>FEC_per_flight.kgoe.IT.Tr.Avia</t>
  </si>
  <si>
    <t>FEC_per_flight.kgoe.IT.Tr.Avia.Passenger</t>
  </si>
  <si>
    <t>FEC_per_flight.kgoe.IT.Tr.Avia.Passenger.Domestic</t>
  </si>
  <si>
    <t>FEC_per_flight.kgoe.IT.Tr.Avia.Passenger.IntraEEAwCHUK</t>
  </si>
  <si>
    <t>FEC_per_flight.kgoe.IT.Tr.Avia.Passenger.ExtraEEAwCHUK</t>
  </si>
  <si>
    <t>FEC_per_flight.kgoe.IT.Tr.Avia.Freight</t>
  </si>
  <si>
    <t>FEC_per_flight.kgoe.IT.Tr.Avia.Freight.Domestic</t>
  </si>
  <si>
    <t>FEC_per_flight.kgoe.IT.Tr.Avia.Freight.IntraEEAwCHUK</t>
  </si>
  <si>
    <t>FEC_per_flight.kgoe.IT.Tr.Avia.Freight.ExtraEEAwCHUK</t>
  </si>
  <si>
    <t>Eff_theor.kgoe_per_100km.IT.Tr.Avia</t>
  </si>
  <si>
    <t>Eff_theor.kgoe_per_100km.IT.Tr.Avia.Passenger</t>
  </si>
  <si>
    <t>Eff_theor.kgoe_per_100km.IT.Tr.Avia.Passenger.Domestic</t>
  </si>
  <si>
    <t>Eff_theor.kgoe_per_100km.IT.Tr.Avia.Passenger.IntraEEAwCHUK</t>
  </si>
  <si>
    <t>Eff_theor.kgoe_per_100km.IT.Tr.Avia.Passenger.ExtraEEAwCHUK</t>
  </si>
  <si>
    <t>Eff_theor.kgoe_per_100km.IT.Tr.Avia.Freight</t>
  </si>
  <si>
    <t>Eff_theor.kgoe_per_100km.IT.Tr.Avia.Freight.Domestic</t>
  </si>
  <si>
    <t>Eff_theor.kgoe_per_100km.IT.Tr.Avia.Freight.IntraEEAwCHUK</t>
  </si>
  <si>
    <t>Eff_theor.kgoe_per_100km.IT.Tr.Avia.Freight.ExtraEEAwCHUK</t>
  </si>
  <si>
    <t>Aviation / CO2 emissions - IT - Italy</t>
  </si>
  <si>
    <t>EMI.ktCO2.IT.Tr.Avia</t>
  </si>
  <si>
    <t>EMI.ktCO2.IT.Tr.Avia.Domestic</t>
  </si>
  <si>
    <t>EMI.ktCO2.IT.Tr.Avia.International</t>
  </si>
  <si>
    <t>EMI.ktCO2.IT.Tr.Avia.Passenger</t>
  </si>
  <si>
    <t>EMI.ktCO2.IT.Tr.Avia.Passenger.Domestic</t>
  </si>
  <si>
    <t>EMI.ktCO2.IT.Tr.Avia.Passenger.IntraEEAwCHUK</t>
  </si>
  <si>
    <t>EMI.ktCO2.IT.Tr.Avia.Passenger.ExtraEEAwCHUK</t>
  </si>
  <si>
    <t>EMI.ktCO2.IT.Tr.Avia.Freight</t>
  </si>
  <si>
    <t>EMI.ktCO2.IT.Tr.Avia.Freight.Domestic</t>
  </si>
  <si>
    <t>EMI.ktCO2.IT.Tr.Avia.Freight.IntraEEAwCHUK</t>
  </si>
  <si>
    <t>EMI.ktCO2.IT.Tr.Avia.Freight.ExtraEEAwCHUK</t>
  </si>
  <si>
    <t>EMIint.gCO2_per_km.IT.Tr.Avia</t>
  </si>
  <si>
    <t>EMIint.gCO2_per_km.IT.Tr.Avia.Passenger</t>
  </si>
  <si>
    <t>EMIint.gCO2_per_km.IT.Tr.Avia.Passenger.Domestic</t>
  </si>
  <si>
    <t>EMIint.gCO2_per_km.IT.Tr.Avia.Passenger.IntraEEAwCHUK</t>
  </si>
  <si>
    <t>EMIint.gCO2_per_km.IT.Tr.Avia.Passenger.ExtraEEAwCHUK</t>
  </si>
  <si>
    <t>EMIint.gCO2_per_km.IT.Tr.Avia.Freight</t>
  </si>
  <si>
    <t>EMIint.gCO2_per_km.IT.Tr.Avia.Freight.Domestic</t>
  </si>
  <si>
    <t>EMIint.gCO2_per_km.IT.Tr.Avia.Freight.IntraEEAwCHUK</t>
  </si>
  <si>
    <t>EMIint.gCO2_per_km.IT.Tr.Avia.Freight.ExtraEEAwCHUK</t>
  </si>
  <si>
    <t>EMIint.gCO2_per_pkm.IT.Tr.Avia.Passenger</t>
  </si>
  <si>
    <t>EMIint.gCO2_per_pkm.IT.Tr.Avia.Passenger.Domestic</t>
  </si>
  <si>
    <t>EMIint.gCO2_per_pkm.IT.Tr.Avia.Passenger.IntraEEAwCHUK</t>
  </si>
  <si>
    <t>EMIint.gCO2_per_pkm.IT.Tr.Avia.Passenger.ExtraEEAwCHUK</t>
  </si>
  <si>
    <t>EMIint.gCO2_per_tkm.IT.Tr.Avia.Freight</t>
  </si>
  <si>
    <t>EMIint.gCO2_per_tkm.IT.Tr.Avia.Freight.Domestic</t>
  </si>
  <si>
    <t>EMIint.gCO2_per_tkm.IT.Tr.Avia.Freight.IntraEEAwCHUK</t>
  </si>
  <si>
    <t>EMIint.gCO2_per_tkm.IT.Tr.Avia.Freight.ExtraEEAwCHUK</t>
  </si>
  <si>
    <t>EMI_per_flight.kgCO2.IT.Tr.Avia</t>
  </si>
  <si>
    <t>EMI_per_flight.kgCO2.IT.Tr.Avia.Passenger</t>
  </si>
  <si>
    <t>EMI_per_flight.kgCO2.IT.Tr.Avia.Passenger.Domestic</t>
  </si>
  <si>
    <t>EMI_per_flight.kgCO2.IT.Tr.Avia.Passenger.IntraEEAwCHUK</t>
  </si>
  <si>
    <t>EMI_per_flight.kgCO2.IT.Tr.Avia.Passenger.ExtraEEAwCHUK</t>
  </si>
  <si>
    <t>EMI_per_flight.kgCO2.IT.Tr.Avia.Freight</t>
  </si>
  <si>
    <t>EMI_per_flight.kgCO2.IT.Tr.Avia.Freight.Domestic</t>
  </si>
  <si>
    <t>EMI_per_flight.kgCO2.IT.Tr.Avia.Freight.IntraEEAwCHUK</t>
  </si>
  <si>
    <t>EMI_per_flight.kgCO2.IT.Tr.Avia.Freight.ExtraEEAwCHUK</t>
  </si>
  <si>
    <t>Aviation / passenger transport specific data - IT - Italy</t>
  </si>
  <si>
    <t>TrCap.seats.IT.Tr.Avia.Passenger</t>
  </si>
  <si>
    <t>TrCap.seats.IT.Tr.Avia.Passenger.Domestic</t>
  </si>
  <si>
    <t>TrCap.seats.IT.Tr.Avia.Passenger.IntraEEAwCHUK</t>
  </si>
  <si>
    <t>TrCap.seats.IT.Tr.Avia.Passenger.ExtraEEAwCHUK</t>
  </si>
  <si>
    <t>TrCap_per_flight.seats.IT.Tr.Avia.Passenger</t>
  </si>
  <si>
    <t>TrCap_per_flight.seats.IT.Tr.Avia.Passenger.Domestic</t>
  </si>
  <si>
    <t>TrCap_per_flight.seats.IT.Tr.Avia.Passenger.IntraEEAwCHUK</t>
  </si>
  <si>
    <t>TrCap_per_flight.seats.IT.Tr.Avia.Passenger.ExtraEEAwCHUK</t>
  </si>
  <si>
    <t>Transport overview - IT - Italy</t>
  </si>
  <si>
    <t>Activity.Mpkm.IT.Tr</t>
  </si>
  <si>
    <t>Activity.Mpkm.IT.Tr.Road.Passenger</t>
  </si>
  <si>
    <t>Activity.Mpkm.IT.Tr.Road.Passenger.P2W</t>
  </si>
  <si>
    <t>Activity.Mpkm.IT.Tr.Road.Passenger.Car</t>
  </si>
  <si>
    <t>Activity.Mpkm.IT.Tr.Road.Passenger.Bus</t>
  </si>
  <si>
    <t>Activity.Mpkm.IT.Tr.Rail.Passenger</t>
  </si>
  <si>
    <t>Activity.Mpkm.IT.Tr.Rail.Passenger.MTU</t>
  </si>
  <si>
    <t>Activity.Mpkm.IT.Tr.Rail.Passenger.CPT</t>
  </si>
  <si>
    <t>Activity.Mpkm.IT.Tr.Rail.Passenger.HST</t>
  </si>
  <si>
    <t>Activity.Mtkm.IT.Tr</t>
  </si>
  <si>
    <t>Activity.Mtkm.IT.Tr.Road.Freight</t>
  </si>
  <si>
    <t>Activity.Mtkm.IT.Tr.Road.Freight.LCV</t>
  </si>
  <si>
    <t>Activity.Mtkm.IT.Tr.Road.Freight.HGV_All</t>
  </si>
  <si>
    <t>Activity.Mtkm.IT.Tr.Rail.Freight</t>
  </si>
  <si>
    <t>Activity.Mtkm.IT.Tr.DNavi.Freight</t>
  </si>
  <si>
    <t>Activity.Mtkm.IT.Tr.DNavi.Freight.DCS</t>
  </si>
  <si>
    <t>Activity.Mtkm.IT.Tr.DNavi.Freight.IWW</t>
  </si>
  <si>
    <t>Activity.Mtkm.IT.MBunk.Freight</t>
  </si>
  <si>
    <t>Activity.Mtkm.IT.MBunk.Freight.IntraEEA</t>
  </si>
  <si>
    <t>Activity.Mtkm.IT.MBunk.Freight.ExtraEEA</t>
  </si>
  <si>
    <t>FEC.ktoe.IT.Tr.Road.Passenger</t>
  </si>
  <si>
    <t>FEC.ktoe.IT.Tr.Road.Passenger.P2W</t>
  </si>
  <si>
    <t>FEC.ktoe.IT.Tr.Road.Passenger.Car</t>
  </si>
  <si>
    <t>FEC.ktoe.IT.Tr.Road.Passenger.Bus</t>
  </si>
  <si>
    <t>FEC.ktoe.IT.Tr.Rail.Passenger</t>
  </si>
  <si>
    <t>FEC.ktoe.IT.Tr.Rail.Passenger.MTU</t>
  </si>
  <si>
    <t>FEC.ktoe.IT.Tr.Rail.Passenger.CPT</t>
  </si>
  <si>
    <t>FEC.ktoe.IT.Tr.Rail.Passenger.HST</t>
  </si>
  <si>
    <t>FEC.ktoe.IT.Tr.Road.Freight</t>
  </si>
  <si>
    <t>FEC.ktoe.IT.Tr.Road.Freight.LCV</t>
  </si>
  <si>
    <t>FEC.ktoe.IT.Tr.Road.Freight.HGV_All</t>
  </si>
  <si>
    <t>FEC.ktoe.IT.Tr.Rail.Freight</t>
  </si>
  <si>
    <t>EMI.ktCO2.IT.Tr.Road.Passenger</t>
  </si>
  <si>
    <t>EMI.ktCO2.IT.Tr.Road.Passenger.P2W</t>
  </si>
  <si>
    <t>EMI.ktCO2.IT.Tr.Road.Passenger.Car</t>
  </si>
  <si>
    <t>EMI.ktCO2.IT.Tr.Road.Passenger.Bus</t>
  </si>
  <si>
    <t>EMI.ktCO2.IT.Tr.Rail.Passenger</t>
  </si>
  <si>
    <t>EMI.ktCO2.IT.Tr.Rail.Passenger.MTU</t>
  </si>
  <si>
    <t>EMI.ktCO2.IT.Tr.Rail.Passenger.CPT</t>
  </si>
  <si>
    <t>EMI.ktCO2.IT.Tr.Rail.Passenger.HST</t>
  </si>
  <si>
    <t>EMI.ktCO2.IT.Tr.Road.Freight</t>
  </si>
  <si>
    <t>EMI.ktCO2.IT.Tr.Road.Freight.LCV</t>
  </si>
  <si>
    <t>EMI.ktCO2.IT.Tr.Road.Freight.HGV_All</t>
  </si>
  <si>
    <t>EMI.ktCO2.IT.Tr.Rail.Freight</t>
  </si>
  <si>
    <t>Eff.kgoe_per_kpkm.IT.Tr</t>
  </si>
  <si>
    <t>Eff.kgoe_per_kpkm.IT.Tr.Road.Passenger</t>
  </si>
  <si>
    <t>Eff.kgoe_per_kpkm.IT.Tr.Road.Passenger.P2W</t>
  </si>
  <si>
    <t>Eff.kgoe_per_kpkm.IT.Tr.Road.Passenger.Car</t>
  </si>
  <si>
    <t>Eff.kgoe_per_kpkm.IT.Tr.Road.Passenger.Bus</t>
  </si>
  <si>
    <t>Eff.kgoe_per_kpkm.IT.Tr.Rail.Passenger</t>
  </si>
  <si>
    <t>Eff.kgoe_per_kpkm.IT.Tr.Rail.Passenger.MTU</t>
  </si>
  <si>
    <t>Eff.kgoe_per_kpkm.IT.Tr.Rail.Passenger.CPT</t>
  </si>
  <si>
    <t>Eff.kgoe_per_kpkm.IT.Tr.Rail.Passenger.HST</t>
  </si>
  <si>
    <t>Eff.kgoe_per_ktkm.IT.Tr</t>
  </si>
  <si>
    <t>Eff.kgoe_per_ktkm.IT.Tr.Road.Freight</t>
  </si>
  <si>
    <t>Eff.kgoe_per_ktkm.IT.Tr.Road.Freight.LCV</t>
  </si>
  <si>
    <t>Eff.kgoe_per_ktkm.IT.Tr.Road.Freight.HGV_All</t>
  </si>
  <si>
    <t>Eff.kgoe_per_ktkm.IT.Tr.Rail.Freight</t>
  </si>
  <si>
    <t>Eff.kgoe_per_ktkm.IT.Tr.DNavi.Freight</t>
  </si>
  <si>
    <t>Eff.kgoe_per_ktkm.IT.Tr.DNavi.Freight.DCS</t>
  </si>
  <si>
    <t>Eff.kgoe_per_ktkm.IT.Tr.DNavi.Freight.IWW</t>
  </si>
  <si>
    <t>Eff.kgoe_per_ktkm.IT.MBunk.Freight</t>
  </si>
  <si>
    <t>Eff.kgoe_per_ktkm.IT.MBunk.Freight.IntraEEA</t>
  </si>
  <si>
    <t>Eff.kgoe_per_ktkm.IT.MBunk.Freight.ExtraEEA</t>
  </si>
  <si>
    <t>EMIint.gCO2_per_pkm.IT.Tr</t>
  </si>
  <si>
    <t>EMIint.gCO2_per_pkm.IT.Tr.Road.Passenger</t>
  </si>
  <si>
    <t>EMIint.gCO2_per_pkm.IT.Tr.Road.Passenger.P2W</t>
  </si>
  <si>
    <t>EMIint.gCO2_per_pkm.IT.Tr.Road.Passenger.Car</t>
  </si>
  <si>
    <t>EMIint.gCO2_per_pkm.IT.Tr.Road.Passenger.Bus</t>
  </si>
  <si>
    <t>EMIint.gCO2_per_pkm.IT.Tr.Rail.Passenger</t>
  </si>
  <si>
    <t>EMIint.gCO2_per_pkm.IT.Tr.Rail.Passenger.MTU</t>
  </si>
  <si>
    <t>EMIint.gCO2_per_pkm.IT.Tr.Rail.Passenger.CPT</t>
  </si>
  <si>
    <t>EMIint.gCO2_per_pkm.IT.Tr.Rail.Passenger.HST</t>
  </si>
  <si>
    <t>EMIint.gCO2_per_tkm.IT.Tr</t>
  </si>
  <si>
    <t>EMIint.gCO2_per_tkm.IT.Tr.Road.Freight</t>
  </si>
  <si>
    <t>EMIint.gCO2_per_tkm.IT.Tr.Road.Freight.LCV</t>
  </si>
  <si>
    <t>EMIint.gCO2_per_tkm.IT.Tr.Road.Freight.HGV_All</t>
  </si>
  <si>
    <t>EMIint.gCO2_per_tkm.IT.Tr.Rail.Freight</t>
  </si>
  <si>
    <t>EMIint.gCO2_per_tkm.IT.Tr.DNavi.Freight</t>
  </si>
  <si>
    <t>EMIint.gCO2_per_tkm.IT.Tr.DNavi.Freight.DCS</t>
  </si>
  <si>
    <t>EMIint.gCO2_per_tkm.IT.Tr.DNavi.Freight.IWW</t>
  </si>
  <si>
    <t>EMIint.gCO2_per_tkm.IT.MBunk.Freight</t>
  </si>
  <si>
    <t>EMIint.gCO2_per_tkm.IT.MBunk.Freight.IntraEEA</t>
  </si>
  <si>
    <t>EMIint.gCO2_per_tkm.IT.MBunk.Freight.ExtraEEA</t>
  </si>
  <si>
    <t>Road transport - IT - Italy</t>
  </si>
  <si>
    <t>Activity.Mpkm.IT.Tr.Road.Passenger.Car.ICE.Gasoline</t>
  </si>
  <si>
    <t>Activity.Mpkm.IT.Tr.Road.Passenger.Car.ICE.Diesel</t>
  </si>
  <si>
    <t>Activity.Mpkm.IT.Tr.Road.Passenger.Car.ICE.LPG</t>
  </si>
  <si>
    <t>Activity.Mpkm.IT.Tr.Road.Passenger.Car.ICE.NGas</t>
  </si>
  <si>
    <t>Activity.Mpkm.IT.Tr.Road.Passenger.Car.PHEV.Gasoline</t>
  </si>
  <si>
    <t>Activity.Mpkm.IT.Tr.Road.Passenger.Car.BEV</t>
  </si>
  <si>
    <t>Activity.Mpkm.IT.Tr.Road.Passenger.Bus.ICE.Gasoline</t>
  </si>
  <si>
    <t>Activity.Mpkm.IT.Tr.Road.Passenger.Bus.ICE.Diesel</t>
  </si>
  <si>
    <t>Activity.Mpkm.IT.Tr.Road.Passenger.Bus.ICE.LPG</t>
  </si>
  <si>
    <t>Activity.Mpkm.IT.Tr.Road.Passenger.Bus.ICE.NGas</t>
  </si>
  <si>
    <t>Activity.Mpkm.IT.Tr.Road.Passenger.Bus.BEV</t>
  </si>
  <si>
    <t>Activity.Mtkm.IT.Tr.Road.Freight.LCV.ICE.Gasoline</t>
  </si>
  <si>
    <t>Activity.Mtkm.IT.Tr.Road.Freight.LCV.ICE.Diesel</t>
  </si>
  <si>
    <t>Activity.Mtkm.IT.Tr.Road.Freight.LCV.ICE.LPG</t>
  </si>
  <si>
    <t>Activity.Mtkm.IT.Tr.Road.Freight.LCV.ICE.NGas</t>
  </si>
  <si>
    <t>Activity.Mtkm.IT.Tr.Road.Freight.LCV.BEV</t>
  </si>
  <si>
    <t>Activity.Mtkm.IT.Tr.Road.Freight.HGV_Domestic</t>
  </si>
  <si>
    <t>Activity.Mtkm.IT.Tr.Road.Freight.HGV_International</t>
  </si>
  <si>
    <t>VehicleKm.Mkm.IT.Tr.Road</t>
  </si>
  <si>
    <t>VehicleKm.Mkm.IT.Tr.Road.Passenger</t>
  </si>
  <si>
    <t>VehicleKm.Mkm.IT.Tr.Road.Passenger.P2W</t>
  </si>
  <si>
    <t>VehicleKm.Mkm.IT.Tr.Road.Passenger.Car</t>
  </si>
  <si>
    <t>VehicleKm.Mkm.IT.Tr.Road.Passenger.Car.ICE.Gasoline</t>
  </si>
  <si>
    <t>VehicleKm.Mkm.IT.Tr.Road.Passenger.Car.ICE.Diesel</t>
  </si>
  <si>
    <t>VehicleKm.Mkm.IT.Tr.Road.Passenger.Car.ICE.LPG</t>
  </si>
  <si>
    <t>VehicleKm.Mkm.IT.Tr.Road.Passenger.Car.ICE.NGas</t>
  </si>
  <si>
    <t>VehicleKm.Mkm.IT.Tr.Road.Passenger.Car.PHEV.Gasoline</t>
  </si>
  <si>
    <t>VehicleKm.Mkm.IT.Tr.Road.Passenger.Car.BEV</t>
  </si>
  <si>
    <t>VehicleKm.Mkm.IT.Tr.Road.Passenger.Bus</t>
  </si>
  <si>
    <t>VehicleKm.Mkm.IT.Tr.Road.Passenger.Bus.ICE.Gasoline</t>
  </si>
  <si>
    <t>VehicleKm.Mkm.IT.Tr.Road.Passenger.Bus.ICE.Diesel</t>
  </si>
  <si>
    <t>VehicleKm.Mkm.IT.Tr.Road.Passenger.Bus.ICE.LPG</t>
  </si>
  <si>
    <t>VehicleKm.Mkm.IT.Tr.Road.Passenger.Bus.ICE.NGas</t>
  </si>
  <si>
    <t>VehicleKm.Mkm.IT.Tr.Road.Passenger.Bus.BEV</t>
  </si>
  <si>
    <t>VehicleKm.Mkm.IT.Tr.Road.Freight</t>
  </si>
  <si>
    <t>VehicleKm.Mkm.IT.Tr.Road.Freight.LCV</t>
  </si>
  <si>
    <t>VehicleKm.Mkm.IT.Tr.Road.Freight.LCV.ICE.Gasoline</t>
  </si>
  <si>
    <t>VehicleKm.Mkm.IT.Tr.Road.Freight.LCV.ICE.Diesel</t>
  </si>
  <si>
    <t>VehicleKm.Mkm.IT.Tr.Road.Freight.LCV.ICE.LPG</t>
  </si>
  <si>
    <t>VehicleKm.Mkm.IT.Tr.Road.Freight.LCV.ICE.NGas</t>
  </si>
  <si>
    <t>VehicleKm.Mkm.IT.Tr.Road.Freight.LCV.BEV</t>
  </si>
  <si>
    <t>VehicleKm.Mkm.IT.Tr.Road.Freight.HGV_All</t>
  </si>
  <si>
    <t>VehicleKm.Mkm.IT.Tr.Road.Freight.HGV_Domestic</t>
  </si>
  <si>
    <t>VehicleKm.Mkm.IT.Tr.Road.Freight.HGV_International</t>
  </si>
  <si>
    <t>Stock.number.IT.Tr.Road</t>
  </si>
  <si>
    <t>Stock.number.IT.Tr.Road.Passenger</t>
  </si>
  <si>
    <t>Stock.number.IT.Tr.Road.Passenger.P2W</t>
  </si>
  <si>
    <t>Stock.number.IT.Tr.Road.Passenger.Car</t>
  </si>
  <si>
    <t>Stock.number.IT.Tr.Road.Passenger.Car.ICE.Gasoline</t>
  </si>
  <si>
    <t>Stock.number.IT.Tr.Road.Passenger.Car.ICE.Diesel</t>
  </si>
  <si>
    <t>Stock.number.IT.Tr.Road.Passenger.Car.ICE.LPG</t>
  </si>
  <si>
    <t>Stock.number.IT.Tr.Road.Passenger.Car.ICE.NGas</t>
  </si>
  <si>
    <t>Stock.number.IT.Tr.Road.Passenger.Car.PHEV.Gasoline</t>
  </si>
  <si>
    <t>Stock.number.IT.Tr.Road.Passenger.Car.BEV</t>
  </si>
  <si>
    <t>Stock.number.IT.Tr.Road.Passenger.Bus</t>
  </si>
  <si>
    <t>Stock.number.IT.Tr.Road.Passenger.Bus.ICE.Gasoline</t>
  </si>
  <si>
    <t>Stock.number.IT.Tr.Road.Passenger.Bus.ICE.Diesel</t>
  </si>
  <si>
    <t>Stock.number.IT.Tr.Road.Passenger.Bus.ICE.LPG</t>
  </si>
  <si>
    <t>Stock.number.IT.Tr.Road.Passenger.Bus.ICE.NGas</t>
  </si>
  <si>
    <t>Stock.number.IT.Tr.Road.Passenger.Bus.BEV</t>
  </si>
  <si>
    <t>Stock.number.IT.Tr.Road.Freight</t>
  </si>
  <si>
    <t>Stock.number.IT.Tr.Road.Freight.LCV</t>
  </si>
  <si>
    <t>Stock.number.IT.Tr.Road.Freight.LCV.ICE.Gasoline</t>
  </si>
  <si>
    <t>Stock.number.IT.Tr.Road.Freight.LCV.ICE.Diesel</t>
  </si>
  <si>
    <t>Stock.number.IT.Tr.Road.Freight.LCV.ICE.LPG</t>
  </si>
  <si>
    <t>Stock.number.IT.Tr.Road.Freight.LCV.ICE.NGas</t>
  </si>
  <si>
    <t>Stock.number.IT.Tr.Road.Freight.LCV.BEV</t>
  </si>
  <si>
    <t>Stock.number.IT.Tr.Road.Freight.HGV_All</t>
  </si>
  <si>
    <t>Stock.number.IT.Tr.Road.Freight.HGV_Domestic</t>
  </si>
  <si>
    <t>Stock.number.IT.Tr.Road.Freight.HGV_International</t>
  </si>
  <si>
    <t>StockNew.number.IT.Tr.Road</t>
  </si>
  <si>
    <t>StockNew.number.IT.Tr.Road.Passenger</t>
  </si>
  <si>
    <t>StockNew.number.IT.Tr.Road.Passenger.P2W</t>
  </si>
  <si>
    <t>StockNew.number.IT.Tr.Road.Passenger.Car</t>
  </si>
  <si>
    <t>StockNew.number.IT.Tr.Road.Passenger.Car.ICE.Gasoline</t>
  </si>
  <si>
    <t>StockNew.number.IT.Tr.Road.Passenger.Car.ICE.Diesel</t>
  </si>
  <si>
    <t>StockNew.number.IT.Tr.Road.Passenger.Car.ICE.LPG</t>
  </si>
  <si>
    <t>StockNew.number.IT.Tr.Road.Passenger.Car.ICE.NGas</t>
  </si>
  <si>
    <t>StockNew.number.IT.Tr.Road.Passenger.Car.PHEV.Gasoline</t>
  </si>
  <si>
    <t>StockNew.number.IT.Tr.Road.Passenger.Car.BEV</t>
  </si>
  <si>
    <t>StockNew.number.IT.Tr.Road.Passenger.Bus</t>
  </si>
  <si>
    <t>StockNew.number.IT.Tr.Road.Passenger.Bus.ICE.Gasoline</t>
  </si>
  <si>
    <t>StockNew.number.IT.Tr.Road.Passenger.Bus.ICE.Diesel</t>
  </si>
  <si>
    <t>StockNew.number.IT.Tr.Road.Passenger.Bus.ICE.LPG</t>
  </si>
  <si>
    <t>StockNew.number.IT.Tr.Road.Passenger.Bus.ICE.NGas</t>
  </si>
  <si>
    <t>StockNew.number.IT.Tr.Road.Passenger.Bus.BEV</t>
  </si>
  <si>
    <t>StockNew.number.IT.Tr.Road.Freight</t>
  </si>
  <si>
    <t>StockNew.number.IT.Tr.Road.Freight.LCV</t>
  </si>
  <si>
    <t>StockNew.number.IT.Tr.Road.Freight.LCV.ICE.Gasoline</t>
  </si>
  <si>
    <t>StockNew.number.IT.Tr.Road.Freight.LCV.ICE.Diesel</t>
  </si>
  <si>
    <t>StockNew.number.IT.Tr.Road.Freight.LCV.ICE.LPG</t>
  </si>
  <si>
    <t>StockNew.number.IT.Tr.Road.Freight.LCV.ICE.NGas</t>
  </si>
  <si>
    <t>StockNew.number.IT.Tr.Road.Freight.LCV.BEV</t>
  </si>
  <si>
    <t>StockNew.number.IT.Tr.Road.Freight.HGV_All</t>
  </si>
  <si>
    <t>StockNew.number.IT.Tr.Road.Freight.HGV_Domestic</t>
  </si>
  <si>
    <t>StockNew.number.IT.Tr.Road.Freight.HGV_International</t>
  </si>
  <si>
    <t>Load.passenger_per_movement.IT.Tr.Road.Passenger</t>
  </si>
  <si>
    <t>Load.passenger_per_movement.IT.Tr.Road.Passenger.P2W</t>
  </si>
  <si>
    <t>Load.passenger_per_movement.IT.Tr.Road.Passenger.Car</t>
  </si>
  <si>
    <t>Load.passenger_per_movement.IT.Tr.Road.Passenger.Car.ICE.Gasoline</t>
  </si>
  <si>
    <t>Load.passenger_per_movement.IT.Tr.Road.Passenger.Car.ICE.Diesel</t>
  </si>
  <si>
    <t>Load.passenger_per_movement.IT.Tr.Road.Passenger.Car.ICE.LPG</t>
  </si>
  <si>
    <t>Load.passenger_per_movement.IT.Tr.Road.Passenger.Car.ICE.NGas</t>
  </si>
  <si>
    <t>Load.passenger_per_movement.IT.Tr.Road.Passenger.Car.PHEV.Gasoline</t>
  </si>
  <si>
    <t>Load.passenger_per_movement.IT.Tr.Road.Passenger.Car.BEV</t>
  </si>
  <si>
    <t>Load.passenger_per_movement.IT.Tr.Road.Passenger.Bus</t>
  </si>
  <si>
    <t>Load.passenger_per_movement.IT.Tr.Road.Passenger.Bus.ICE.Gasoline</t>
  </si>
  <si>
    <t>Load.passenger_per_movement.IT.Tr.Road.Passenger.Bus.ICE.Diesel</t>
  </si>
  <si>
    <t>Load.passenger_per_movement.IT.Tr.Road.Passenger.Bus.ICE.LPG</t>
  </si>
  <si>
    <t>Load.passenger_per_movement.IT.Tr.Road.Passenger.Bus.ICE.NGas</t>
  </si>
  <si>
    <t>Load.passenger_per_movement.IT.Tr.Road.Passenger.Bus.BEV</t>
  </si>
  <si>
    <t>Load.t_per_movement.IT.Tr.Road.Freight</t>
  </si>
  <si>
    <t>Load.t_per_movement.IT.Tr.Road.Freight.LCV</t>
  </si>
  <si>
    <t>Load.t_per_movement.IT.Tr.Road.Freight.LCV.ICE.Gasoline</t>
  </si>
  <si>
    <t>Load.t_per_movement.IT.Tr.Road.Freight.LCV.ICE.Diesel</t>
  </si>
  <si>
    <t>Load.t_per_movement.IT.Tr.Road.Freight.LCV.ICE.LPG</t>
  </si>
  <si>
    <t>Load.t_per_movement.IT.Tr.Road.Freight.LCV.ICE.NGas</t>
  </si>
  <si>
    <t>Load.t_per_movement.IT.Tr.Road.Freight.LCV.BEV</t>
  </si>
  <si>
    <t>Load.t_per_movement.IT.Tr.Road.Freight.HGV_All</t>
  </si>
  <si>
    <t>Load.t_per_movement.IT.Tr.Road.Freight.HGV_Domestic</t>
  </si>
  <si>
    <t>Load.t_per_movement.IT.Tr.Road.Freight.HGV_International</t>
  </si>
  <si>
    <t>VehicleKm_per_vehicle.km.IT.Tr.Road</t>
  </si>
  <si>
    <t>VehicleKm_per_vehicle.km.IT.Tr.Road.Passenger</t>
  </si>
  <si>
    <t>VehicleKm_per_vehicle.km.IT.Tr.Road.Passenger.P2W</t>
  </si>
  <si>
    <t>VehicleKm_per_vehicle.km.IT.Tr.Road.Passenger.Car</t>
  </si>
  <si>
    <t>VehicleKm_per_vehicle.km.IT.Tr.Road.Passenger.Car.ICE.Gasoline</t>
  </si>
  <si>
    <t>VehicleKm_per_vehicle.km.IT.Tr.Road.Passenger.Car.ICE.Diesel</t>
  </si>
  <si>
    <t>VehicleKm_per_vehicle.km.IT.Tr.Road.Passenger.Car.ICE.LPG</t>
  </si>
  <si>
    <t>VehicleKm_per_vehicle.km.IT.Tr.Road.Passenger.Car.ICE.NGas</t>
  </si>
  <si>
    <t>VehicleKm_per_vehicle.km.IT.Tr.Road.Passenger.Car.PHEV.Gasoline</t>
  </si>
  <si>
    <t>VehicleKm_per_vehicle.km.IT.Tr.Road.Passenger.Car.BEV</t>
  </si>
  <si>
    <t>VehicleKm_per_vehicle.km.IT.Tr.Road.Passenger.Bus</t>
  </si>
  <si>
    <t>VehicleKm_per_vehicle.km.IT.Tr.Road.Passenger.Bus.ICE.Gasoline</t>
  </si>
  <si>
    <t>VehicleKm_per_vehicle.km.IT.Tr.Road.Passenger.Bus.ICE.Diesel</t>
  </si>
  <si>
    <t>VehicleKm_per_vehicle.km.IT.Tr.Road.Passenger.Bus.ICE.LPG</t>
  </si>
  <si>
    <t>VehicleKm_per_vehicle.km.IT.Tr.Road.Passenger.Bus.ICE.NGas</t>
  </si>
  <si>
    <t>VehicleKm_per_vehicle.km.IT.Tr.Road.Passenger.Bus.BEV</t>
  </si>
  <si>
    <t>VehicleKm_per_vehicle.km.IT.Tr.Road.Freight</t>
  </si>
  <si>
    <t>VehicleKm_per_vehicle.km.IT.Tr.Road.Freight.LCV</t>
  </si>
  <si>
    <t>VehicleKm_per_vehicle.km.IT.Tr.Road.Freight.LCV.ICE.Gasoline</t>
  </si>
  <si>
    <t>VehicleKm_per_vehicle.km.IT.Tr.Road.Freight.LCV.ICE.Diesel</t>
  </si>
  <si>
    <t>VehicleKm_per_vehicle.km.IT.Tr.Road.Freight.LCV.ICE.LPG</t>
  </si>
  <si>
    <t>VehicleKm_per_vehicle.km.IT.Tr.Road.Freight.LCV.ICE.NGas</t>
  </si>
  <si>
    <t>VehicleKm_per_vehicle.km.IT.Tr.Road.Freight.LCV.BEV</t>
  </si>
  <si>
    <t>VehicleKm_per_vehicle.km.IT.Tr.Road.Freight.HGV_All</t>
  </si>
  <si>
    <t>VehicleKm_per_vehicle.km.IT.Tr.Road.Freight.HGV_Domestic</t>
  </si>
  <si>
    <t>VehicleKm_per_vehicle.km.IT.Tr.Road.Freight.HGV_International</t>
  </si>
  <si>
    <t>Activity_per_vehicle.pkm.IT.Tr.Road.Passenger</t>
  </si>
  <si>
    <t>Activity_per_vehicle.pkm.IT.Tr.Road.Passenger.P2W</t>
  </si>
  <si>
    <t>Activity_per_vehicle.pkm.IT.Tr.Road.Passenger.Car</t>
  </si>
  <si>
    <t>Activity_per_vehicle.pkm.IT.Tr.Road.Passenger.Car.ICE.Gasoline</t>
  </si>
  <si>
    <t>Activity_per_vehicle.pkm.IT.Tr.Road.Passenger.Car.ICE.Diesel</t>
  </si>
  <si>
    <t>Activity_per_vehicle.pkm.IT.Tr.Road.Passenger.Car.ICE.LPG</t>
  </si>
  <si>
    <t>Activity_per_vehicle.pkm.IT.Tr.Road.Passenger.Car.ICE.NGas</t>
  </si>
  <si>
    <t>Activity_per_vehicle.pkm.IT.Tr.Road.Passenger.Car.PHEV.Gasoline</t>
  </si>
  <si>
    <t>Activity_per_vehicle.pkm.IT.Tr.Road.Passenger.Car.BEV</t>
  </si>
  <si>
    <t>Activity_per_vehicle.pkm.IT.Tr.Road.Passenger.Bus</t>
  </si>
  <si>
    <t>Activity_per_vehicle.pkm.IT.Tr.Road.Passenger.Bus.ICE.Gasoline</t>
  </si>
  <si>
    <t>Activity_per_vehicle.pkm.IT.Tr.Road.Passenger.Bus.ICE.Diesel</t>
  </si>
  <si>
    <t>Activity_per_vehicle.pkm.IT.Tr.Road.Passenger.Bus.ICE.LPG</t>
  </si>
  <si>
    <t>Activity_per_vehicle.pkm.IT.Tr.Road.Passenger.Bus.ICE.NGas</t>
  </si>
  <si>
    <t>Activity_per_vehicle.pkm.IT.Tr.Road.Passenger.Bus.BEV</t>
  </si>
  <si>
    <t>Activity_per_vehicle.tkm.IT.Tr.Road.Freight</t>
  </si>
  <si>
    <t>Activity_per_vehicle.tkm.IT.Tr.Road.Freight.LCV</t>
  </si>
  <si>
    <t>Activity_per_vehicle.tkm.IT.Tr.Road.Freight.LCV.ICE.Gasoline</t>
  </si>
  <si>
    <t>Activity_per_vehicle.tkm.IT.Tr.Road.Freight.LCV.ICE.Diesel</t>
  </si>
  <si>
    <t>Activity_per_vehicle.tkm.IT.Tr.Road.Freight.LCV.ICE.LPG</t>
  </si>
  <si>
    <t>Activity_per_vehicle.tkm.IT.Tr.Road.Freight.LCV.ICE.NGas</t>
  </si>
  <si>
    <t>Activity_per_vehicle.tkm.IT.Tr.Road.Freight.LCV.BEV</t>
  </si>
  <si>
    <t>Activity_per_vehicle.tkm.IT.Tr.Road.Freight.HGV_All</t>
  </si>
  <si>
    <t>Activity_per_vehicle.tkm.IT.Tr.Road.Freight.HGV_Domestic</t>
  </si>
  <si>
    <t>Activity_per_vehicle.tkm.IT.Tr.Road.Freight.HGV_International</t>
  </si>
  <si>
    <t>Road transport / energy consumption - IT - Italy</t>
  </si>
  <si>
    <t>FEC.ktoe.IT.ES.Tr.Road</t>
  </si>
  <si>
    <t>FEC.ktoe.IT.ES.Tr.Road.LPG</t>
  </si>
  <si>
    <t>FEC.ktoe.IT.ES.Tr.Road.Gasoline</t>
  </si>
  <si>
    <t>FEC.ktoe.IT.ES.Tr.Road.Diesel</t>
  </si>
  <si>
    <t>FEC.ktoe.IT.ES.Tr.Road.NG</t>
  </si>
  <si>
    <t>FEC.ktoe.IT.ES.Tr.Road.Biogas</t>
  </si>
  <si>
    <t>FEC.ktoe.IT.ES.Tr.Road.Biogasoline</t>
  </si>
  <si>
    <t>FEC.ktoe.IT.ES.Tr.Road.Biodiesel</t>
  </si>
  <si>
    <t>FEC.ktoe.IT.ES.Tr.Road.OthLiqBio</t>
  </si>
  <si>
    <t>FEC.ktoe.IT.ES.Tr.Road.Elec</t>
  </si>
  <si>
    <t>FEC.ktoe.IT.Tr.Road</t>
  </si>
  <si>
    <t>FEC.ktoe.IT.Tr.Road.Passenger.P2W.Total.Total.Biogasoline</t>
  </si>
  <si>
    <t>FEC.ktoe.IT.Tr.Road.Passenger.Car.ICE.Gasoline</t>
  </si>
  <si>
    <t>FEC.ktoe.IT.Tr.Road.Passenger.Car.ICE.Gasoline.Biogasoline</t>
  </si>
  <si>
    <t>FEC.ktoe.IT.Tr.Road.Passenger.Car.ICE.Diesel</t>
  </si>
  <si>
    <t>FEC.ktoe.IT.Tr.Road.Passenger.Car.ICE.Diesel.BioDiesel_OthLiqBio</t>
  </si>
  <si>
    <t>FEC.ktoe.IT.Tr.Road.Passenger.Car.ICE.LPG</t>
  </si>
  <si>
    <t>FEC.ktoe.IT.Tr.Road.Passenger.Car.ICE.NGas</t>
  </si>
  <si>
    <t>FEC.ktoe.IT.Tr.Road.Passenger.Car.ICE.NGas.Biogas</t>
  </si>
  <si>
    <t>FEC.ktoe.IT.Tr.Road.Passenger.Car.PHEV.Gasoline</t>
  </si>
  <si>
    <t>FEC.ktoe.IT.Tr.Road.Passenger.Car.PHEV.Gasoline.Biogasoline</t>
  </si>
  <si>
    <t>FEC.ktoe.IT.Tr.Road.Passenger.Car.PHEV.Gasoline.Elec</t>
  </si>
  <si>
    <t>FEC.ktoe.IT.Tr.Road.Passenger.Car.BEV</t>
  </si>
  <si>
    <t>FEC.ktoe.IT.Tr.Road.Passenger.Bus.ICE.Gasoline</t>
  </si>
  <si>
    <t>FEC.ktoe.IT.Tr.Road.Passenger.Bus.ICE.Gasoline.Biogasoline</t>
  </si>
  <si>
    <t>FEC.ktoe.IT.Tr.Road.Passenger.Bus.ICE.Diesel</t>
  </si>
  <si>
    <t>FEC.ktoe.IT.Tr.Road.Passenger.Bus.ICE.Diesel.BioDiesel_OthLiqBio</t>
  </si>
  <si>
    <t>FEC.ktoe.IT.Tr.Road.Passenger.Bus.ICE.LPG</t>
  </si>
  <si>
    <t>FEC.ktoe.IT.Tr.Road.Passenger.Bus.ICE.NGas</t>
  </si>
  <si>
    <t>FEC.ktoe.IT.Tr.Road.Passenger.Bus.ICE.NGas.Biogas</t>
  </si>
  <si>
    <t>FEC.ktoe.IT.Tr.Road.Passenger.Bus.BEV</t>
  </si>
  <si>
    <t>FEC.ktoe.IT.Tr.Road.Freight.LCV.ICE.Gasoline</t>
  </si>
  <si>
    <t>FEC.ktoe.IT.Tr.Road.Freight.LCV.ICE.Gasoline.Biogasoline</t>
  </si>
  <si>
    <t>FEC.ktoe.IT.Tr.Road.Freight.LCV.ICE.Diesel</t>
  </si>
  <si>
    <t>FEC.ktoe.IT.Tr.Road.Freight.LCV.ICE.Diesel.BioDiesel_OthLiqBio</t>
  </si>
  <si>
    <t>FEC.ktoe.IT.Tr.Road.Freight.LCV.ICE.LPG</t>
  </si>
  <si>
    <t>FEC.ktoe.IT.Tr.Road.Freight.LCV.ICE.NGas</t>
  </si>
  <si>
    <t>FEC.ktoe.IT.Tr.Road.Freight.LCV.ICE.NGas.Biogas</t>
  </si>
  <si>
    <t>FEC.ktoe.IT.Tr.Road.Freight.LCV.BEV</t>
  </si>
  <si>
    <t>FEC.ktoe.IT.Tr.Road.Freight.HGV_Domestic</t>
  </si>
  <si>
    <t>FEC.ktoe.IT.Tr.Road.Freight.HGV_Domestic.Total.Total.BioDiesel_OthLiqBio</t>
  </si>
  <si>
    <t>FEC.ktoe.IT.Tr.Road.Freight.HGV_International</t>
  </si>
  <si>
    <t>FEC.ktoe.IT.Tr.Road.Freight.HGV_International.Total.Total.BioDiesel_OthLiqBio</t>
  </si>
  <si>
    <t>Eff.kgoe_per_100km.IT.Tr.Road</t>
  </si>
  <si>
    <t>Eff.kgoe_per_100km.IT.Tr.Road.Passenger</t>
  </si>
  <si>
    <t>Eff.kgoe_per_100km.IT.Tr.Road.Passenger.P2W</t>
  </si>
  <si>
    <t>Eff.kgoe_per_100km.IT.Tr.Road.Passenger.Car</t>
  </si>
  <si>
    <t>Eff.kgoe_per_100km.IT.Tr.Road.Passenger.Car.ICE.Gasoline</t>
  </si>
  <si>
    <t>Eff.kgoe_per_100km.IT.Tr.Road.Passenger.Car.ICE.Diesel</t>
  </si>
  <si>
    <t>Eff.kgoe_per_100km.IT.Tr.Road.Passenger.Car.ICE.LPG</t>
  </si>
  <si>
    <t>Eff.kgoe_per_100km.IT.Tr.Road.Passenger.Car.ICE.NGas</t>
  </si>
  <si>
    <t>Eff.kgoe_per_100km.IT.Tr.Road.Passenger.Car.PHEV.Gasoline</t>
  </si>
  <si>
    <t>Eff.kgoe_per_100km.IT.Tr.Road.Passenger.Car.BEV</t>
  </si>
  <si>
    <t>Eff.kgoe_per_100km.IT.Tr.Road.Passenger.Bus</t>
  </si>
  <si>
    <t>Eff.kgoe_per_100km.IT.Tr.Road.Passenger.Bus.ICE.Gasoline</t>
  </si>
  <si>
    <t>Eff.kgoe_per_100km.IT.Tr.Road.Passenger.Bus.ICE.Diesel</t>
  </si>
  <si>
    <t>Eff.kgoe_per_100km.IT.Tr.Road.Passenger.Bus.ICE.LPG</t>
  </si>
  <si>
    <t>Eff.kgoe_per_100km.IT.Tr.Road.Passenger.Bus.ICE.NGas</t>
  </si>
  <si>
    <t>Eff.kgoe_per_100km.IT.Tr.Road.Passenger.Bus.BEV</t>
  </si>
  <si>
    <t>Eff.kgoe_per_100km.IT.Tr.Road.Freight</t>
  </si>
  <si>
    <t>Eff.kgoe_per_100km.IT.Tr.Road.Freight.LCV</t>
  </si>
  <si>
    <t>Eff.kgoe_per_100km.IT.Tr.Road.Freight.LCV.ICE.Gasoline</t>
  </si>
  <si>
    <t>Eff.kgoe_per_100km.IT.Tr.Road.Freight.LCV.ICE.Diesel</t>
  </si>
  <si>
    <t>Eff.kgoe_per_100km.IT.Tr.Road.Freight.LCV.ICE.LPG</t>
  </si>
  <si>
    <t>Eff.kgoe_per_100km.IT.Tr.Road.Freight.LCV.ICE.NGas</t>
  </si>
  <si>
    <t>Eff.kgoe_per_100km.IT.Tr.Road.Freight.LCV.BEV</t>
  </si>
  <si>
    <t>Eff.kgoe_per_100km.IT.Tr.Road.Freight.HGV_All</t>
  </si>
  <si>
    <t>Eff.kgoe_per_100km.IT.Tr.Road.Freight.HGV_Domestic</t>
  </si>
  <si>
    <t>Eff.kgoe_per_100km.IT.Tr.Road.Freight.HGV_International</t>
  </si>
  <si>
    <t>Eff.kgoe_per_kpkm.IT.Tr.Road.Passenger.Car.ICE.Gasoline</t>
  </si>
  <si>
    <t>Eff.kgoe_per_kpkm.IT.Tr.Road.Passenger.Car.ICE.Diesel</t>
  </si>
  <si>
    <t>Eff.kgoe_per_kpkm.IT.Tr.Road.Passenger.Car.ICE.LPG</t>
  </si>
  <si>
    <t>Eff.kgoe_per_kpkm.IT.Tr.Road.Passenger.Car.ICE.NGas</t>
  </si>
  <si>
    <t>Eff.kgoe_per_kpkm.IT.Tr.Road.Passenger.Car.PHEV.Gasoline</t>
  </si>
  <si>
    <t>Eff.kgoe_per_kpkm.IT.Tr.Road.Passenger.Car.BEV</t>
  </si>
  <si>
    <t>Eff.kgoe_per_kpkm.IT.Tr.Road.Passenger.Bus.ICE.Gasoline</t>
  </si>
  <si>
    <t>Eff.kgoe_per_kpkm.IT.Tr.Road.Passenger.Bus.ICE.Diesel</t>
  </si>
  <si>
    <t>Eff.kgoe_per_kpkm.IT.Tr.Road.Passenger.Bus.ICE.LPG</t>
  </si>
  <si>
    <t>Eff.kgoe_per_kpkm.IT.Tr.Road.Passenger.Bus.ICE.NGas</t>
  </si>
  <si>
    <t>Eff.kgoe_per_kpkm.IT.Tr.Road.Passenger.Bus.BEV</t>
  </si>
  <si>
    <t>Eff.kgoe_per_ktkm.IT.Tr.Road.Freight.LCV.ICE.Gasoline</t>
  </si>
  <si>
    <t>Eff.kgoe_per_ktkm.IT.Tr.Road.Freight.LCV.ICE.Diesel</t>
  </si>
  <si>
    <t>Eff.kgoe_per_ktkm.IT.Tr.Road.Freight.LCV.ICE.LPG</t>
  </si>
  <si>
    <t>Eff.kgoe_per_ktkm.IT.Tr.Road.Freight.LCV.ICE.NGas</t>
  </si>
  <si>
    <t>Eff.kgoe_per_ktkm.IT.Tr.Road.Freight.LCV.BEV</t>
  </si>
  <si>
    <t>Eff.kgoe_per_ktkm.IT.Tr.Road.Freight.HGV_Domestic</t>
  </si>
  <si>
    <t>Eff.kgoe_per_ktkm.IT.Tr.Road.Freight.HGV_International</t>
  </si>
  <si>
    <t>FEC_per_vehicle.kgoe.IT.Tr.Road.Passenger.P2W</t>
  </si>
  <si>
    <t>FEC_per_vehicle.kgoe.IT.Tr.Road.Passenger.Car</t>
  </si>
  <si>
    <t>FEC_per_vehicle.kgoe.IT.Tr.Road.Passenger.Car.ICE.Gasoline</t>
  </si>
  <si>
    <t>FEC_per_vehicle.kgoe.IT.Tr.Road.Passenger.Car.ICE.Diesel</t>
  </si>
  <si>
    <t>FEC_per_vehicle.kgoe.IT.Tr.Road.Passenger.Car.ICE.LPG</t>
  </si>
  <si>
    <t>FEC_per_vehicle.kgoe.IT.Tr.Road.Passenger.Car.ICE.NGas</t>
  </si>
  <si>
    <t>FEC_per_vehicle.kgoe.IT.Tr.Road.Passenger.Car.PHEV.Gasoline</t>
  </si>
  <si>
    <t>FEC_per_vehicle.kgoe.IT.Tr.Road.Passenger.Car.BEV</t>
  </si>
  <si>
    <t>FEC_per_vehicle.kgoe.IT.Tr.Road.Passenger.Bus</t>
  </si>
  <si>
    <t>FEC_per_vehicle.kgoe.IT.Tr.Road.Passenger.Bus.ICE.Gasoline</t>
  </si>
  <si>
    <t>FEC_per_vehicle.kgoe.IT.Tr.Road.Passenger.Bus.ICE.Diesel</t>
  </si>
  <si>
    <t>FEC_per_vehicle.kgoe.IT.Tr.Road.Passenger.Bus.ICE.LPG</t>
  </si>
  <si>
    <t>FEC_per_vehicle.kgoe.IT.Tr.Road.Passenger.Bus.ICE.NGas</t>
  </si>
  <si>
    <t>FEC_per_vehicle.kgoe.IT.Tr.Road.Passenger.Bus.BEV</t>
  </si>
  <si>
    <t>FEC_per_vehicle.kgoe.IT.Tr.Road.Freight.LCV</t>
  </si>
  <si>
    <t>FEC_per_vehicle.kgoe.IT.Tr.Road.Freight.LCV.ICE.Gasoline</t>
  </si>
  <si>
    <t>FEC_per_vehicle.kgoe.IT.Tr.Road.Freight.LCV.ICE.Diesel</t>
  </si>
  <si>
    <t>FEC_per_vehicle.kgoe.IT.Tr.Road.Freight.LCV.ICE.LPG</t>
  </si>
  <si>
    <t>FEC_per_vehicle.kgoe.IT.Tr.Road.Freight.LCV.ICE.NGas</t>
  </si>
  <si>
    <t>FEC_per_vehicle.kgoe.IT.Tr.Road.Freight.LCV.BEV</t>
  </si>
  <si>
    <t>FEC_per_vehicle.kgoe.IT.Tr.Road.Freight.HGV_All</t>
  </si>
  <si>
    <t>FEC_per_vehicle.kgoe.IT.Tr.Road.Freight.HGV_Domestic</t>
  </si>
  <si>
    <t>FEC_per_vehicle.kgoe.IT.Tr.Road.Freight.HGV_International</t>
  </si>
  <si>
    <t>Road transport / CO2 emissions - IT - Italy</t>
  </si>
  <si>
    <t>EMI.ktCO2.IT.ES.Tr.Road</t>
  </si>
  <si>
    <t>EMI.ktCO2.IT.ES.Tr.Road.LPG</t>
  </si>
  <si>
    <t>EMI.ktCO2.IT.ES.Tr.Road.Gasoline</t>
  </si>
  <si>
    <t>EMI.ktCO2.IT.ES.Tr.Road.Diesel</t>
  </si>
  <si>
    <t>EMI.ktCO2.IT.ES.Tr.Road.NG</t>
  </si>
  <si>
    <t>EMI.ktCO2.IT.ES.Tr.Road.Biogas</t>
  </si>
  <si>
    <t>EMI.ktCO2.IT.ES.Tr.Road.Biogasoline</t>
  </si>
  <si>
    <t>EMI.ktCO2.IT.ES.Tr.Road.Biodiesel</t>
  </si>
  <si>
    <t>EMI.ktCO2.IT.ES.Tr.Road.OthLiqBio</t>
  </si>
  <si>
    <t>EMI.ktCO2.IT.ES.Tr.Road.Elec</t>
  </si>
  <si>
    <t>EMI.ktCO2.IT.Tr.Road</t>
  </si>
  <si>
    <t>EMI.ktCO2.IT.Tr.Road.Passenger.Car.ICE.Gasoline</t>
  </si>
  <si>
    <t>EMI.ktCO2.IT.Tr.Road.Passenger.Car.ICE.Diesel</t>
  </si>
  <si>
    <t>EMI.ktCO2.IT.Tr.Road.Passenger.Car.ICE.LPG</t>
  </si>
  <si>
    <t>EMI.ktCO2.IT.Tr.Road.Passenger.Car.ICE.NGas</t>
  </si>
  <si>
    <t>EMI.ktCO2.IT.Tr.Road.Passenger.Car.PHEV.Gasoline</t>
  </si>
  <si>
    <t>EMI.ktCO2.IT.Tr.Road.Passenger.Car.BEV</t>
  </si>
  <si>
    <t>EMI.ktCO2.IT.Tr.Road.Passenger.Bus.ICE.Gasoline</t>
  </si>
  <si>
    <t>EMI.ktCO2.IT.Tr.Road.Passenger.Bus.ICE.Diesel</t>
  </si>
  <si>
    <t>EMI.ktCO2.IT.Tr.Road.Passenger.Bus.ICE.LPG</t>
  </si>
  <si>
    <t>EMI.ktCO2.IT.Tr.Road.Passenger.Bus.ICE.NGas</t>
  </si>
  <si>
    <t>EMI.ktCO2.IT.Tr.Road.Passenger.Bus.BEV</t>
  </si>
  <si>
    <t>EMI.ktCO2.IT.Tr.Road.Freight.LCV.ICE.Gasoline</t>
  </si>
  <si>
    <t>EMI.ktCO2.IT.Tr.Road.Freight.LCV.ICE.Diesel</t>
  </si>
  <si>
    <t>EMI.ktCO2.IT.Tr.Road.Freight.LCV.ICE.LPG</t>
  </si>
  <si>
    <t>EMI.ktCO2.IT.Tr.Road.Freight.LCV.ICE.NGas</t>
  </si>
  <si>
    <t>EMI.ktCO2.IT.Tr.Road.Freight.LCV.BEV</t>
  </si>
  <si>
    <t>EMI.ktCO2.IT.Tr.Road.Freight.HGV_Domestic</t>
  </si>
  <si>
    <t>EMI.ktCO2.IT.Tr.Road.Freight.HGV_International</t>
  </si>
  <si>
    <t>EMIint.gCO2_per_km.IT.Tr.Road</t>
  </si>
  <si>
    <t>EMIint.gCO2_per_km.IT.Tr.Road.Passenger</t>
  </si>
  <si>
    <t>EMIint.gCO2_per_km.IT.Tr.Road.Passenger.P2W</t>
  </si>
  <si>
    <t>EMIint.gCO2_per_km.IT.Tr.Road.Passenger.Car</t>
  </si>
  <si>
    <t>EMIint.gCO2_per_km.IT.Tr.Road.Passenger.Car.ICE.Gasoline</t>
  </si>
  <si>
    <t>EMIint.gCO2_per_km.IT.Tr.Road.Passenger.Car.ICE.Diesel</t>
  </si>
  <si>
    <t>EMIint.gCO2_per_km.IT.Tr.Road.Passenger.Car.ICE.LPG</t>
  </si>
  <si>
    <t>EMIint.gCO2_per_km.IT.Tr.Road.Passenger.Car.ICE.NGas</t>
  </si>
  <si>
    <t>EMIint.gCO2_per_km.IT.Tr.Road.Passenger.Car.PHEV.Gasoline</t>
  </si>
  <si>
    <t>EMIint.gCO2_per_km.IT.Tr.Road.Passenger.Car.BEV</t>
  </si>
  <si>
    <t>EMIint.gCO2_per_km.IT.Tr.Road.Passenger.Bus</t>
  </si>
  <si>
    <t>EMIint.gCO2_per_km.IT.Tr.Road.Passenger.Bus.ICE.Gasoline</t>
  </si>
  <si>
    <t>EMIint.gCO2_per_km.IT.Tr.Road.Passenger.Bus.ICE.Diesel</t>
  </si>
  <si>
    <t>EMIint.gCO2_per_km.IT.Tr.Road.Passenger.Bus.ICE.LPG</t>
  </si>
  <si>
    <t>EMIint.gCO2_per_km.IT.Tr.Road.Passenger.Bus.ICE.NGas</t>
  </si>
  <si>
    <t>EMIint.gCO2_per_km.IT.Tr.Road.Passenger.Bus.BEV</t>
  </si>
  <si>
    <t>EMIint.gCO2_per_km.IT.Tr.Road.Freight</t>
  </si>
  <si>
    <t>EMIint.gCO2_per_km.IT.Tr.Road.Freight.LCV</t>
  </si>
  <si>
    <t>EMIint.gCO2_per_km.IT.Tr.Road.Freight.LCV.ICE.Gasoline</t>
  </si>
  <si>
    <t>EMIint.gCO2_per_km.IT.Tr.Road.Freight.LCV.ICE.Diesel</t>
  </si>
  <si>
    <t>EMIint.gCO2_per_km.IT.Tr.Road.Freight.LCV.ICE.LPG</t>
  </si>
  <si>
    <t>EMIint.gCO2_per_km.IT.Tr.Road.Freight.LCV.ICE.NGas</t>
  </si>
  <si>
    <t>EMIint.gCO2_per_km.IT.Tr.Road.Freight.LCV.BEV</t>
  </si>
  <si>
    <t>EMIint.gCO2_per_km.IT.Tr.Road.Freight.HGV_All</t>
  </si>
  <si>
    <t>EMIint.gCO2_per_km.IT.Tr.Road.Freight.HGV_Domestic</t>
  </si>
  <si>
    <t>EMIint.gCO2_per_km.IT.Tr.Road.Freight.HGV_International</t>
  </si>
  <si>
    <t>EMIint.gCO2_per_pkm.IT.Tr.Road.Passenger.Car.ICE.Gasoline</t>
  </si>
  <si>
    <t>EMIint.gCO2_per_pkm.IT.Tr.Road.Passenger.Car.ICE.Diesel</t>
  </si>
  <si>
    <t>EMIint.gCO2_per_pkm.IT.Tr.Road.Passenger.Car.ICE.LPG</t>
  </si>
  <si>
    <t>EMIint.gCO2_per_pkm.IT.Tr.Road.Passenger.Car.ICE.NGas</t>
  </si>
  <si>
    <t>EMIint.gCO2_per_pkm.IT.Tr.Road.Passenger.Car.PHEV.Gasoline</t>
  </si>
  <si>
    <t>EMIint.gCO2_per_pkm.IT.Tr.Road.Passenger.Car.BEV</t>
  </si>
  <si>
    <t>EMIint.gCO2_per_pkm.IT.Tr.Road.Passenger.Bus.ICE.Gasoline</t>
  </si>
  <si>
    <t>EMIint.gCO2_per_pkm.IT.Tr.Road.Passenger.Bus.ICE.Diesel</t>
  </si>
  <si>
    <t>EMIint.gCO2_per_pkm.IT.Tr.Road.Passenger.Bus.ICE.LPG</t>
  </si>
  <si>
    <t>EMIint.gCO2_per_pkm.IT.Tr.Road.Passenger.Bus.ICE.NGas</t>
  </si>
  <si>
    <t>EMIint.gCO2_per_pkm.IT.Tr.Road.Passenger.Bus.BEV</t>
  </si>
  <si>
    <t>EMIint.gCO2_per_tkm.IT.Tr.Road.Freight.LCV.ICE.Gasoline</t>
  </si>
  <si>
    <t>EMIint.gCO2_per_tkm.IT.Tr.Road.Freight.LCV.ICE.Diesel</t>
  </si>
  <si>
    <t>EMIint.gCO2_per_tkm.IT.Tr.Road.Freight.LCV.ICE.LPG</t>
  </si>
  <si>
    <t>EMIint.gCO2_per_tkm.IT.Tr.Road.Freight.LCV.ICE.NGas</t>
  </si>
  <si>
    <t>EMIint.gCO2_per_tkm.IT.Tr.Road.Freight.LCV.BEV</t>
  </si>
  <si>
    <t>EMIint.gCO2_per_tkm.IT.Tr.Road.Freight.HGV_Domestic</t>
  </si>
  <si>
    <t>EMIint.gCO2_per_tkm.IT.Tr.Road.Freight.HGV_International</t>
  </si>
  <si>
    <t>EMI_per_vehicle.kgCO2.IT.Tr.Road.Passenger.P2W</t>
  </si>
  <si>
    <t>EMI_per_vehicle.kgCO2.IT.Tr.Road.Passenger.Car</t>
  </si>
  <si>
    <t>EMI_per_vehicle.kgCO2.IT.Tr.Road.Passenger.Car.ICE.Gasoline</t>
  </si>
  <si>
    <t>EMI_per_vehicle.kgCO2.IT.Tr.Road.Passenger.Car.ICE.Diesel</t>
  </si>
  <si>
    <t>EMI_per_vehicle.kgCO2.IT.Tr.Road.Passenger.Car.ICE.LPG</t>
  </si>
  <si>
    <t>EMI_per_vehicle.kgCO2.IT.Tr.Road.Passenger.Car.ICE.NGas</t>
  </si>
  <si>
    <t>EMI_per_vehicle.kgCO2.IT.Tr.Road.Passenger.Car.PHEV.Gasoline</t>
  </si>
  <si>
    <t>EMI_per_vehicle.kgCO2.IT.Tr.Road.Passenger.Car.BEV</t>
  </si>
  <si>
    <t>EMI_per_vehicle.kgCO2.IT.Tr.Road.Passenger.Bus</t>
  </si>
  <si>
    <t>EMI_per_vehicle.kgCO2.IT.Tr.Road.Passenger.Bus.ICE.Gasoline</t>
  </si>
  <si>
    <t>EMI_per_vehicle.kgCO2.IT.Tr.Road.Passenger.Bus.ICE.Diesel</t>
  </si>
  <si>
    <t>EMI_per_vehicle.kgCO2.IT.Tr.Road.Passenger.Bus.ICE.LPG</t>
  </si>
  <si>
    <t>EMI_per_vehicle.kgCO2.IT.Tr.Road.Passenger.Bus.ICE.NGas</t>
  </si>
  <si>
    <t>EMI_per_vehicle.kgCO2.IT.Tr.Road.Passenger.Bus.BEV</t>
  </si>
  <si>
    <t>EMI_per_vehicle.kgCO2.IT.Tr.Road.Freight.LCV</t>
  </si>
  <si>
    <t>EMI_per_vehicle.kgCO2.IT.Tr.Road.Freight.LCV.ICE.Gasoline</t>
  </si>
  <si>
    <t>EMI_per_vehicle.kgCO2.IT.Tr.Road.Freight.LCV.ICE.Diesel</t>
  </si>
  <si>
    <t>EMI_per_vehicle.kgCO2.IT.Tr.Road.Freight.LCV.ICE.LPG</t>
  </si>
  <si>
    <t>EMI_per_vehicle.kgCO2.IT.Tr.Road.Freight.LCV.ICE.NGas</t>
  </si>
  <si>
    <t>EMI_per_vehicle.kgCO2.IT.Tr.Road.Freight.LCV.BEV</t>
  </si>
  <si>
    <t>EMI_per_vehicle.kgCO2.IT.Tr.Road.Freight.HGV_All</t>
  </si>
  <si>
    <t>EMI_per_vehicle.kgCO2.IT.Tr.Road.Freight.HGV_Domestic</t>
  </si>
  <si>
    <t>EMI_per_vehicle.kgCO2.IT.Tr.Road.Freight.HGV_International</t>
  </si>
  <si>
    <t>Road transport / technologies - IT - Italy</t>
  </si>
  <si>
    <t>Stock.number.IT.Tr.Road.Freight.HGV_all</t>
  </si>
  <si>
    <t>StockVin.number.IT.Tr.Road</t>
  </si>
  <si>
    <t>StockVin.number.IT.Tr.Road.Passenger</t>
  </si>
  <si>
    <t>StockVin.number.IT.Tr.Road.Passenger.P2W</t>
  </si>
  <si>
    <t>StockVin.number.IT.Tr.Road.Passenger.Car</t>
  </si>
  <si>
    <t>StockVin.number.IT.Tr.Road.Passenger.Car.ICE.Gasoline</t>
  </si>
  <si>
    <t>StockVin.number.IT.Tr.Road.Passenger.Car.ICE.Diesel</t>
  </si>
  <si>
    <t>StockVin.number.IT.Tr.Road.Passenger.Car.ICE.LPG</t>
  </si>
  <si>
    <t>StockVin.number.IT.Tr.Road.Passenger.Car.ICE.NGas</t>
  </si>
  <si>
    <t>StockVin.number.IT.Tr.Road.Passenger.Car.PHEV.Gasoline</t>
  </si>
  <si>
    <t>StockVin.number.IT.Tr.Road.Passenger.Car.BEV</t>
  </si>
  <si>
    <t>StockVin.number.IT.Tr.Road.Passenger.Bus</t>
  </si>
  <si>
    <t>StockVin.number.IT.Tr.Road.Passenger.Bus.ICE.Gasoline</t>
  </si>
  <si>
    <t>StockVin.number.IT.Tr.Road.Passenger.Bus.ICE.Diesel</t>
  </si>
  <si>
    <t>StockVin.number.IT.Tr.Road.Passenger.Bus.ICE.LPG</t>
  </si>
  <si>
    <t>StockVin.number.IT.Tr.Road.Passenger.Bus.ICE.NGas</t>
  </si>
  <si>
    <t>StockVin.number.IT.Tr.Road.Passenger.Bus.BEV</t>
  </si>
  <si>
    <t>StockVin.number.IT.Tr.Road.Freight</t>
  </si>
  <si>
    <t>StockVin.number.IT.Tr.Road.Freight.LCV</t>
  </si>
  <si>
    <t>StockVin.number.IT.Tr.Road.Freight.LCV.ICE.Gasoline</t>
  </si>
  <si>
    <t>StockVin.number.IT.Tr.Road.Freight.LCV.ICE.Diesel</t>
  </si>
  <si>
    <t>StockVin.number.IT.Tr.Road.Freight.LCV.ICE.LPG</t>
  </si>
  <si>
    <t>StockVin.number.IT.Tr.Road.Freight.LCV.ICE.NGas</t>
  </si>
  <si>
    <t>StockVin.number.IT.Tr.Road.Freight.LCV.BEV</t>
  </si>
  <si>
    <t>StockVin.number.IT.Tr.Road.Freight.HGV_All</t>
  </si>
  <si>
    <t>StockVin.number.IT.Tr.Road.Freight.HGV_Domestic</t>
  </si>
  <si>
    <t>StockVin.number.IT.Tr.Road.Freight.HGV_International</t>
  </si>
  <si>
    <t>Eff_test_stock.kgoe_per_100km.IT.Tr.Road.Passenger.P2W</t>
  </si>
  <si>
    <t>Eff_test_stock.kgoe_per_100km.IT.Tr.Road.Passenger.Car</t>
  </si>
  <si>
    <t>Eff_test_stock.kgoe_per_100km.IT.Tr.Road.Passenger.Car.ICE.Gasoline</t>
  </si>
  <si>
    <t>Eff_test_stock.kgoe_per_100km.IT.Tr.Road.Passenger.Car.ICE.Diesel</t>
  </si>
  <si>
    <t>Eff_test_stock.kgoe_per_100km.IT.Tr.Road.Passenger.Car.ICE.LPG</t>
  </si>
  <si>
    <t>Eff_test_stock.kgoe_per_100km.IT.Tr.Road.Passenger.Car.ICE.NGas</t>
  </si>
  <si>
    <t>Eff_test_stock.kgoe_per_100km.IT.Tr.Road.Passenger.Car.PHEV.Gasoline</t>
  </si>
  <si>
    <t>Eff_test_stock.kgoe_per_100km.IT.Tr.Road.Passenger.Car.BEV</t>
  </si>
  <si>
    <t>Eff_test_stock.kgoe_per_100km.IT.Tr.Road.Passenger.Bus</t>
  </si>
  <si>
    <t>Eff_test_stock.kgoe_per_100km.IT.Tr.Road.Passenger.Bus.ICE.Gasoline</t>
  </si>
  <si>
    <t>Eff_test_stock.kgoe_per_100km.IT.Tr.Road.Passenger.Bus.ICE.Diesel</t>
  </si>
  <si>
    <t>Eff_test_stock.kgoe_per_100km.IT.Tr.Road.Passenger.Bus.ICE.LPG</t>
  </si>
  <si>
    <t>Eff_test_stock.kgoe_per_100km.IT.Tr.Road.Passenger.Bus.ICE.NGas</t>
  </si>
  <si>
    <t>Eff_test_stock.kgoe_per_100km.IT.Tr.Road.Passenger.Bus.BEV</t>
  </si>
  <si>
    <t>Eff_test_stock.kgoe_per_100km.IT.Tr.Road.Freight.LCV</t>
  </si>
  <si>
    <t>Eff_test_stock.kgoe_per_100km.IT.Tr.Road.Freight.LCV.ICE.Gasoline</t>
  </si>
  <si>
    <t>Eff_test_stock.kgoe_per_100km.IT.Tr.Road.Freight.LCV.ICE.Diesel</t>
  </si>
  <si>
    <t>Eff_test_stock.kgoe_per_100km.IT.Tr.Road.Freight.LCV.ICE.LPG</t>
  </si>
  <si>
    <t>Eff_test_stock.kgoe_per_100km.IT.Tr.Road.Freight.LCV.ICE.NGas</t>
  </si>
  <si>
    <t>Eff_test_stock.kgoe_per_100km.IT.Tr.Road.Freight.LCV.BEV</t>
  </si>
  <si>
    <t>Eff_test_stock.kgoe_per_100km.IT.Tr.Road.Freight.HGV_All</t>
  </si>
  <si>
    <t>Eff_test_stock.kgoe_per_100km.IT.Tr.Road.Freight.HGV_Domestic</t>
  </si>
  <si>
    <t>Eff_test_stock.kgoe_per_100km.IT.Tr.Road.Freight.HGV_International</t>
  </si>
  <si>
    <t>Eff_test_new.kgoe_per_100km.IT.Tr.Road.Passenger.P2W</t>
  </si>
  <si>
    <t>Eff_test_new.kgoe_per_100km.IT.Tr.Road.Passenger.Car</t>
  </si>
  <si>
    <t>Eff_test_new.kgoe_per_100km.IT.Tr.Road.Passenger.Car.ICE.Gasoline</t>
  </si>
  <si>
    <t>Eff_test_new.kgoe_per_100km.IT.Tr.Road.Passenger.Car.ICE.Diesel</t>
  </si>
  <si>
    <t>Eff_test_new.kgoe_per_100km.IT.Tr.Road.Passenger.Car.ICE.LPG</t>
  </si>
  <si>
    <t>Eff_test_new.kgoe_per_100km.IT.Tr.Road.Passenger.Car.ICE.NGas</t>
  </si>
  <si>
    <t>Eff_test_new.kgoe_per_100km.IT.Tr.Road.Passenger.Car.PHEV.Gasoline</t>
  </si>
  <si>
    <t>Eff_test_new.kgoe_per_100km.IT.Tr.Road.Passenger.Car.BEV</t>
  </si>
  <si>
    <t>Eff_test_new.kgoe_per_100km.IT.Tr.Road.Passenger.Bus</t>
  </si>
  <si>
    <t>Eff_test_new.kgoe_per_100km.IT.Tr.Road.Passenger.Bus.ICE.Gasoline</t>
  </si>
  <si>
    <t>Eff_test_new.kgoe_per_100km.IT.Tr.Road.Passenger.Bus.ICE.Diesel</t>
  </si>
  <si>
    <t>Eff_test_new.kgoe_per_100km.IT.Tr.Road.Passenger.Bus.ICE.LPG</t>
  </si>
  <si>
    <t>Eff_test_new.kgoe_per_100km.IT.Tr.Road.Passenger.Bus.ICE.NGas</t>
  </si>
  <si>
    <t>Eff_test_new.kgoe_per_100km.IT.Tr.Road.Passenger.Bus.BEV</t>
  </si>
  <si>
    <t>Eff_test_new.kgoe_per_100km.IT.Tr.Road.Freight.LCV</t>
  </si>
  <si>
    <t>Eff_test_new.kgoe_per_100km.IT.Tr.Road.Freight.LCV.ICE.Gasoline</t>
  </si>
  <si>
    <t>Eff_test_new.kgoe_per_100km.IT.Tr.Road.Freight.LCV.ICE.Diesel</t>
  </si>
  <si>
    <t>Eff_test_new.kgoe_per_100km.IT.Tr.Road.Freight.LCV.ICE.LPG</t>
  </si>
  <si>
    <t>Eff_test_new.kgoe_per_100km.IT.Tr.Road.Freight.LCV.ICE.NGas</t>
  </si>
  <si>
    <t>Eff_test_new.kgoe_per_100km.IT.Tr.Road.Freight.LCV.BEV</t>
  </si>
  <si>
    <t>Eff_test_new.kgoe_per_100km.IT.Tr.Road.Freight.HGV_All</t>
  </si>
  <si>
    <t>Eff_test_new.kgoe_per_100km.IT.Tr.Road.Freight.HGV_Domestic</t>
  </si>
  <si>
    <t>Eff_test_new.kgoe_per_100km.IT.Tr.Road.Freight.HGV_International</t>
  </si>
  <si>
    <t>EMIint_test_stock.gCO2_per_km.IT.Tr.Road.Passenger.P2W</t>
  </si>
  <si>
    <t>EMIint_test_stock.gCO2_per_km.IT.Tr.Road.Passenger.Car</t>
  </si>
  <si>
    <t>EMIint_test_stock.gCO2_per_km.IT.Tr.Road.Passenger.Car.ICE.Gasoline</t>
  </si>
  <si>
    <t>EMIint_test_stock.gCO2_per_km.IT.Tr.Road.Passenger.Car.ICE.Diesel</t>
  </si>
  <si>
    <t>EMIint_test_stock.gCO2_per_km.IT.Tr.Road.Passenger.Car.ICE.LPG</t>
  </si>
  <si>
    <t>EMIint_test_stock.gCO2_per_km.IT.Tr.Road.Passenger.Car.ICE.NGas</t>
  </si>
  <si>
    <t>EMIint_test_stock.gCO2_per_km.IT.Tr.Road.Passenger.Car.PHEV.Gasoline</t>
  </si>
  <si>
    <t>EMIint_test_stock.gCO2_per_km.IT.Tr.Road.Passenger.Car.BEV</t>
  </si>
  <si>
    <t>EMIint_test_stock.gCO2_per_km.IT.Tr.Road.Passenger.Bus</t>
  </si>
  <si>
    <t>EMIint_test_stock.gCO2_per_km.IT.Tr.Road.Passenger.Bus.ICE.Gasoline</t>
  </si>
  <si>
    <t>EMIint_test_stock.gCO2_per_km.IT.Tr.Road.Passenger.Bus.ICE.Diesel</t>
  </si>
  <si>
    <t>EMIint_test_stock.gCO2_per_km.IT.Tr.Road.Passenger.Bus.ICE.LPG</t>
  </si>
  <si>
    <t>EMIint_test_stock.gCO2_per_km.IT.Tr.Road.Passenger.Bus.ICE.NGas</t>
  </si>
  <si>
    <t>EMIint_test_stock.gCO2_per_km.IT.Tr.Road.Passenger.Bus.BEV</t>
  </si>
  <si>
    <t>EMIint_test_stock.gCO2_per_km.IT.Tr.Road.Freight.LCV</t>
  </si>
  <si>
    <t>EMIint_test_stock.gCO2_per_km.IT.Tr.Road.Freight.LCV.ICE.Gasoline</t>
  </si>
  <si>
    <t>EMIint_test_stock.gCO2_per_km.IT.Tr.Road.Freight.LCV.ICE.Diesel</t>
  </si>
  <si>
    <t>EMIint_test_stock.gCO2_per_km.IT.Tr.Road.Freight.LCV.ICE.LPG</t>
  </si>
  <si>
    <t>EMIint_test_stock.gCO2_per_km.IT.Tr.Road.Freight.LCV.ICE.NGas</t>
  </si>
  <si>
    <t>EMIint_test_stock.gCO2_per_km.IT.Tr.Road.Freight.LCV.BEV</t>
  </si>
  <si>
    <t>EMIint_test_stock.gCO2_per_km.IT.Tr.Road.Freight.HGV_All</t>
  </si>
  <si>
    <t>EMIint_test_stock.gCO2_per_km.IT.Tr.Road.Freight.HGV_Domestic</t>
  </si>
  <si>
    <t>EMIint_test_stock.gCO2_per_km.IT.Tr.Road.Freight.HGV_International</t>
  </si>
  <si>
    <t>EMIint_test_new.gCO2_per_km.IT.Tr.Road.Passenger.P2W</t>
  </si>
  <si>
    <t>EMIint_test_new.gCO2_per_km.IT.Tr.Road.Passenger.Car</t>
  </si>
  <si>
    <t>EMIint_test_new.gCO2_per_km.IT.Tr.Road.Passenger.Car.ICE.Gasoline</t>
  </si>
  <si>
    <t>EMIint_test_new.gCO2_per_km.IT.Tr.Road.Passenger.Car.ICE.Diesel</t>
  </si>
  <si>
    <t>EMIint_test_new.gCO2_per_km.IT.Tr.Road.Passenger.Car.ICE.LPG</t>
  </si>
  <si>
    <t>EMIint_test_new.gCO2_per_km.IT.Tr.Road.Passenger.Car.ICE.NGas</t>
  </si>
  <si>
    <t>EMIint_test_new.gCO2_per_km.IT.Tr.Road.Passenger.Car.PHEV.Gasoline</t>
  </si>
  <si>
    <t>EMIint_test_new.gCO2_per_km.IT.Tr.Road.Passenger.Car.BEV</t>
  </si>
  <si>
    <t>EMIint_test_new.gCO2_per_km.IT.Tr.Road.Passenger.Bus</t>
  </si>
  <si>
    <t>EMIint_test_new.gCO2_per_km.IT.Tr.Road.Passenger.Bus.ICE.Gasoline</t>
  </si>
  <si>
    <t>EMIint_test_new.gCO2_per_km.IT.Tr.Road.Passenger.Bus.ICE.Diesel</t>
  </si>
  <si>
    <t>EMIint_test_new.gCO2_per_km.IT.Tr.Road.Passenger.Bus.ICE.LPG</t>
  </si>
  <si>
    <t>EMIint_test_new.gCO2_per_km.IT.Tr.Road.Passenger.Bus.ICE.NGas</t>
  </si>
  <si>
    <t>EMIint_test_new.gCO2_per_km.IT.Tr.Road.Passenger.Bus.BEV</t>
  </si>
  <si>
    <t>EMIint_test_new.gCO2_per_km.IT.Tr.Road.Freight.LCV</t>
  </si>
  <si>
    <t>EMIint_test_new.gCO2_per_km.IT.Tr.Road.Freight.LCV.ICE.Gasoline</t>
  </si>
  <si>
    <t>EMIint_test_new.gCO2_per_km.IT.Tr.Road.Freight.LCV.ICE.Diesel</t>
  </si>
  <si>
    <t>EMIint_test_new.gCO2_per_km.IT.Tr.Road.Freight.LCV.ICE.LPG</t>
  </si>
  <si>
    <t>EMIint_test_new.gCO2_per_km.IT.Tr.Road.Freight.LCV.ICE.NGas</t>
  </si>
  <si>
    <t>EMIint_test_new.gCO2_per_km.IT.Tr.Road.Freight.LCV.BEV</t>
  </si>
  <si>
    <t>EMIint_test_new.gCO2_per_km.IT.Tr.Road.Freight.HGV_All</t>
  </si>
  <si>
    <t>EMIint_test_new.gCO2_per_km.IT.Tr.Road.Freight.HGV_Domestic</t>
  </si>
  <si>
    <t>EMIint_test_new.gCO2_per_km.IT.Tr.Road.Freight.HGV_International</t>
  </si>
  <si>
    <t>FEC.ktoe.IT.MBunk</t>
  </si>
  <si>
    <t>FEC.ktoe.IT.MBunk.IntraEEA</t>
  </si>
  <si>
    <t>FEC.ktoe.IT.MBunk.ExtraEEA</t>
  </si>
  <si>
    <t>EMI.ktCO2.IT.MBunk</t>
  </si>
  <si>
    <t>EMI.ktCO2.IT.MBunk.IntraEEA</t>
  </si>
  <si>
    <t>EMI.ktCO2.IT.MBunk.ExtraEEA</t>
  </si>
  <si>
    <t>International maritime bunkers - IT - Italy</t>
  </si>
  <si>
    <t>VehicleKm.Mkm.IT.MBunk.Freight</t>
  </si>
  <si>
    <t>VehicleKm.Mkm.IT.MBunk.Freight.IntraEEA</t>
  </si>
  <si>
    <t>VehicleKm.Mkm.IT.MBunk.Freight.ExtraEEA</t>
  </si>
  <si>
    <t>Load.t_per_movement.IT.MBunk.Freight</t>
  </si>
  <si>
    <t>Load.t_per_movement.IT.MBunk.Freight.IntraEEA</t>
  </si>
  <si>
    <t>Load.t_per_movement.IT.MBunk.Freight.ExtraEEA</t>
  </si>
  <si>
    <t>International maritime bunkers / energy consumption - IT - Italy</t>
  </si>
  <si>
    <t>FEC.ktoe.IT.ES.MBunk</t>
  </si>
  <si>
    <t>FEC.ktoe.IT.ES.MBunk.IntraEEA</t>
  </si>
  <si>
    <t>FEC.ktoe.IT.ES.MBunk.IntraEEA.Diesel</t>
  </si>
  <si>
    <t>FEC.ktoe.IT.ES.MBunk.IntraEEA.RFO_Other</t>
  </si>
  <si>
    <t>FEC.ktoe.IT.ES.MBunk.IntraEEA.LiqBio</t>
  </si>
  <si>
    <t>FEC.ktoe.IT.ES.MBunk.IntraEEA.NG</t>
  </si>
  <si>
    <t>FEC.ktoe.IT.ES.MBunk.IntraEEA.Biogas</t>
  </si>
  <si>
    <t>FEC.ktoe.IT.ES.MBunk.ExtraEEA</t>
  </si>
  <si>
    <t>FEC.ktoe.IT.ES.MBunk.ExtraEEA.Diesel</t>
  </si>
  <si>
    <t>FEC.ktoe.IT.ES.MBunk.ExtraEEA.RFO_Other</t>
  </si>
  <si>
    <t>FEC.ktoe.IT.ES.MBunk.ExtraEEA.LiqBio</t>
  </si>
  <si>
    <t>FEC.ktoe.IT.ES.MBunk.ExtraEEA.NG</t>
  </si>
  <si>
    <t>FEC.ktoe.IT.ES.MBunk.ExtraEEA.Biogas</t>
  </si>
  <si>
    <t>Eff.kgoe_per_100km.IT.MBunk.Freight</t>
  </si>
  <si>
    <t>Eff.kgoe_per_100km.IT.MBunk.Freight.IntraEEA</t>
  </si>
  <si>
    <t>Eff.kgoe_per_100km.IT.MBunk.Freight.ExtraEEA</t>
  </si>
  <si>
    <t>International maritime bunkers / CO2 emissions - IT - Italy</t>
  </si>
  <si>
    <t>EMI.ktCO2.IT.ES.MBunk</t>
  </si>
  <si>
    <t>EMI.ktCO2.IT.ES.MBunk.IntraEEA</t>
  </si>
  <si>
    <t>EMI.ktCO2.IT.ES.MBunk.ExtraEEA</t>
  </si>
  <si>
    <t>EMIint.gCO2_per_km.IT.MBunk.Freight</t>
  </si>
  <si>
    <t>EMIint.gCO2_per_km.IT.MBunk.Freight.IntraEEA</t>
  </si>
  <si>
    <t>EMIint.gCO2_per_km.IT.MBunk.Freight.ExtraEEA</t>
  </si>
  <si>
    <t>FEC.ktoe.IT.Tr.DNavi</t>
  </si>
  <si>
    <t>FEC.ktoe.IT.Tr.Dnavi.DCS</t>
  </si>
  <si>
    <t>FEC.ktoe.IT.Tr.Dnavi.IWW</t>
  </si>
  <si>
    <t>EMI.ktCO2.IT.Tr.DNavi</t>
  </si>
  <si>
    <t>EMI.ktCO2.IT.Tr.Dnavi.DCS</t>
  </si>
  <si>
    <t>EMI.ktCO2.IT.Tr.Dnavi.IWW</t>
  </si>
  <si>
    <t>Domestic navigation - IT - Italy</t>
  </si>
  <si>
    <t>VehicleKm.Mkm.IT.Tr.DNavi.Freight</t>
  </si>
  <si>
    <t>VehicleKm.Mkm.IT.Tr.DNavi.Freight.DCS</t>
  </si>
  <si>
    <t>VehicleKm.Mkm.IT.Tr.DNavi.Freight.IWW</t>
  </si>
  <si>
    <t>Load.t_per_movement.IT.Tr.DNavi.Freight</t>
  </si>
  <si>
    <t>Load.t_per_movement.IT.Tr.DNavi.Freight.DCS</t>
  </si>
  <si>
    <t>Load.t_per_movement.IT.Tr.DNavi.Freight.IWW</t>
  </si>
  <si>
    <t>Domestic navigation / energy consumption - IT - Italy</t>
  </si>
  <si>
    <t>FEC.ktoe.IT.ES.Tr.DNavi</t>
  </si>
  <si>
    <t>FEC.ktoe.IT.ES.Tr.DNavi.DCS</t>
  </si>
  <si>
    <t>FEC.ktoe.IT.ES.Tr.DNavi.DCS.Diesel</t>
  </si>
  <si>
    <t>FEC.ktoe.IT.ES.Tr.DNavi.DCS.RFO_Other</t>
  </si>
  <si>
    <t>FEC.ktoe.IT.ES.Tr.DNavi.DCS.LiqBio</t>
  </si>
  <si>
    <t>FEC.ktoe.IT.ES.Tr.DNavi.DCS.NG</t>
  </si>
  <si>
    <t>FEC.ktoe.IT.ES.Tr.DNavi.DCS.Biogas</t>
  </si>
  <si>
    <t>FEC.ktoe.IT.ES.Tr.DNavi.IWW</t>
  </si>
  <si>
    <t>FEC.ktoe.IT.ES.Tr.DNavi.IWW.Diesel</t>
  </si>
  <si>
    <t>FEC.ktoe.IT.ES.Tr.DNavi.IWW.RFO_Other</t>
  </si>
  <si>
    <t>FEC.ktoe.IT.ES.Tr.DNavi.IWW.LiqBio</t>
  </si>
  <si>
    <t>FEC.ktoe.IT.ES.Tr.DNavi.IWW.NG</t>
  </si>
  <si>
    <t>FEC.ktoe.IT.ES.Tr.DNavi.IWW.Biogas</t>
  </si>
  <si>
    <t>Eff.kgoe_per_100km.IT.Tr.DNavi.Freight</t>
  </si>
  <si>
    <t>Eff.kgoe_per_100km.IT.Tr.DNavi.Freight.DCS</t>
  </si>
  <si>
    <t>Eff.kgoe_per_100km.IT.Tr.DNavi.Freight.IWW</t>
  </si>
  <si>
    <t>Domestic navigation / CO2 emissions - IT - Italy</t>
  </si>
  <si>
    <t>EMI.ktCO2.IT.ES.Tr.DNavi</t>
  </si>
  <si>
    <t>EMI.ktCO2.IT.ES.Tr.DNavi.DCS</t>
  </si>
  <si>
    <t>EMI.ktCO2.IT.ES.Tr.DNavi.IWW</t>
  </si>
  <si>
    <t>EMIint.gCO2_per_km.IT.Tr.DNavi.Freight</t>
  </si>
  <si>
    <t>EMIint.gCO2_per_km.IT.Tr.DNavi.Freight.DCS</t>
  </si>
  <si>
    <t>EMIint.gCO2_per_km.IT.Tr.DNavi.Freight.IWW</t>
  </si>
  <si>
    <t>Rail, metro and tram - IT - Italy</t>
  </si>
  <si>
    <t>Activity.Mpkm.IT.Tr.Rail.Passenger.CPT.Diesel</t>
  </si>
  <si>
    <t>Activity.Mpkm.IT.Tr.Rail.Passenger.CPT.Elc</t>
  </si>
  <si>
    <t>Activity.Mtkm.IT.Tr.Rail.Freight.Diesel</t>
  </si>
  <si>
    <t>Activity.Mtkm.IT.Tr.Rail.Freight.Elc</t>
  </si>
  <si>
    <t>VehicleKm.Mkm.IT.Tr.Rail</t>
  </si>
  <si>
    <t>VehicleKm.Mkm.IT.Tr.Rail.Passenger</t>
  </si>
  <si>
    <t>VehicleKm.Mkm.IT.Tr.Rail.Passenger.MTU</t>
  </si>
  <si>
    <t>VehicleKm.Mkm.IT.Tr.Rail.Passenger.CPT</t>
  </si>
  <si>
    <t>VehicleKm.Mkm.IT.Tr.Rail.Passenger.CPT.Diesel</t>
  </si>
  <si>
    <t>VehicleKm.Mkm.IT.Tr.Rail.Passenger.CPT.Elc</t>
  </si>
  <si>
    <t>VehicleKm.Mkm.IT.Tr.Rail.Passenger.HST</t>
  </si>
  <si>
    <t>VehicleKm.Mkm.IT.Tr.Rail.Freight</t>
  </si>
  <si>
    <t>VehicleKm.Mkm.IT.Tr.Rail.Freight.Diesel</t>
  </si>
  <si>
    <t>VehicleKm.Mkm.IT.Tr.Rail.Freight.Elc</t>
  </si>
  <si>
    <t>Stock.number.IT.Tr.Rail</t>
  </si>
  <si>
    <t>Stock.number.IT.Tr.Rail.Passenger</t>
  </si>
  <si>
    <t>Stock.number.IT.Tr.Rail.Passenger.MTU</t>
  </si>
  <si>
    <t>Stock.number.IT.Tr.Rail.Passenger.CPT</t>
  </si>
  <si>
    <t>Stock.number.IT.Tr.Rail.Passenger.CPT.Diesel</t>
  </si>
  <si>
    <t>Stock.number.IT.Tr.Rail.Passenger.CPT.Elc</t>
  </si>
  <si>
    <t>Stock.number.IT.Tr.Rail.Passenger.HST</t>
  </si>
  <si>
    <t>Stock.number.IT.Tr.Rail.Freight</t>
  </si>
  <si>
    <t>Stock.number.IT.Tr.Rail.Freight.Diesel</t>
  </si>
  <si>
    <t>Stock.number.IT.Tr.Rail.Freight.Elc</t>
  </si>
  <si>
    <t>StockNew.number.IT.Tr.Rail</t>
  </si>
  <si>
    <t>StockNew.number.IT.Tr.Rail.Passenger</t>
  </si>
  <si>
    <t>StockNew.number.IT.Tr.Rail.Passenger.MTU</t>
  </si>
  <si>
    <t>StockNew.number.IT.Tr.Rail.Passenger.CPT</t>
  </si>
  <si>
    <t>StockNew.number.IT.Tr.Rail.Passenger.CPT.Diesel</t>
  </si>
  <si>
    <t>StockNew.number.IT.Tr.Rail.Passenger.CPT.Elc</t>
  </si>
  <si>
    <t>StockNew.number.IT.Tr.Rail.Passenger.HST</t>
  </si>
  <si>
    <t>StockNew.number.IT.Tr.Rail.Freight</t>
  </si>
  <si>
    <t>StockNew.number.IT.Tr.Rail.Freight.Diesel</t>
  </si>
  <si>
    <t>StockNew.number.IT.Tr.Rail.Freight.Elc</t>
  </si>
  <si>
    <t>Load.passenger_per_movement.IT.Tr.Rail.Passenger</t>
  </si>
  <si>
    <t>Load.passenger_per_movement.IT.Tr.Rail.Passenger.MTU</t>
  </si>
  <si>
    <t>Load.passenger_per_movement.IT.Tr.Rail.Passenger.CPT</t>
  </si>
  <si>
    <t>Load.passenger_per_movement.IT.Tr.Rail.Passenger.CPT.Diesel</t>
  </si>
  <si>
    <t>Load.passenger_per_movement.IT.Tr.Rail.Passenger.CPT.Elc</t>
  </si>
  <si>
    <t>Load.passenger_per_movement.IT.Tr.Rail.Passenger.HST</t>
  </si>
  <si>
    <t>Load.t_per_movement.IT.Tr.Rail.Freight</t>
  </si>
  <si>
    <t>Load.t_per_movement.IT.Tr.Rail.Freight.Diesel</t>
  </si>
  <si>
    <t>Load.t_per_movement.IT.Tr.Rail.Freight.Elc</t>
  </si>
  <si>
    <t>TrCap.seats.IT.Tr.Rail.Passenger</t>
  </si>
  <si>
    <t>TrCap.seats.IT.Tr.Rail.Passenger.MTU</t>
  </si>
  <si>
    <t>TrCap.seats.IT.Tr.Rail.Passenger.CPT</t>
  </si>
  <si>
    <t>TrCap.seats.IT.Tr.Rail.Passenger.CPT.Diesel</t>
  </si>
  <si>
    <t>TrCap.seats.IT.Tr.Rail.Passenger.CPT.Elc</t>
  </si>
  <si>
    <t>TrCap.seats.IT.Tr.Rail.Passenger.HST</t>
  </si>
  <si>
    <t>TrCap.t.IT.Tr.Rail.Freight</t>
  </si>
  <si>
    <t>TrCap.t.IT.Tr.Rail.Freight.Diesel</t>
  </si>
  <si>
    <t>TrCap.t.IT.Tr.Rail.Freight.Elc</t>
  </si>
  <si>
    <t>VehicleKm_per_vehicle.km.IT.Tr.Rail</t>
  </si>
  <si>
    <t>VehicleKm_per_vehicle.km.IT.Tr.Rail.Passenger</t>
  </si>
  <si>
    <t>VehicleKm_per_vehicle.km.IT.Tr.Rail.Passenger.MTU</t>
  </si>
  <si>
    <t>VehicleKm_per_vehicle.km.IT.Tr.Rail.Passenger.CPT</t>
  </si>
  <si>
    <t>VehicleKm_per_vehicle.km.IT.Tr.Rail.Passenger.CPT.Diesel</t>
  </si>
  <si>
    <t>VehicleKm_per_vehicle.km.IT.Tr.Rail.Passenger.CPT.Elc</t>
  </si>
  <si>
    <t>VehicleKm_per_vehicle.km.IT.Tr.Rail.Passenger.HST</t>
  </si>
  <si>
    <t>VehicleKm_per_vehicle.km.IT.Tr.Rail.Freight</t>
  </si>
  <si>
    <t>VehicleKm_per_vehicle.km.IT.Tr.Rail.Freight.Diesel</t>
  </si>
  <si>
    <t>VehicleKm_per_vehicle.km.IT.Tr.Rail.Freight.Elc</t>
  </si>
  <si>
    <t>Activity_per_vehicle.pkm.IT.Tr.Rail.Passenger</t>
  </si>
  <si>
    <t>Activity_per_vehicle.pkm.IT.Tr.Rail.Passenger.MTU</t>
  </si>
  <si>
    <t>Activity_per_vehicle.pkm.IT.Tr.Rail.Passenger.CPT</t>
  </si>
  <si>
    <t>Activity_per_vehicle.pkm.IT.Tr.Rail.Passenger.CPT.Diesel</t>
  </si>
  <si>
    <t>Activity_per_vehicle.pkm.IT.Tr.Rail.Passenger.CPT.Elc</t>
  </si>
  <si>
    <t>Activity_per_vehicle.pkm.IT.Tr.Rail.Passenger.HST</t>
  </si>
  <si>
    <t>Activity_per_vehicle.tkm.IT.Tr.Rail.Freight</t>
  </si>
  <si>
    <t>Activity_per_vehicle.tkm.IT.Tr.Rail.Freight.Diesel</t>
  </si>
  <si>
    <t>Activity_per_vehicle.tkm.IT.Tr.Rail.Freight.Elc</t>
  </si>
  <si>
    <t>Rail, metro and tram / energy consumption - IT - Italy</t>
  </si>
  <si>
    <t>FEC.ktoe.IT.ES.Tr.Rail</t>
  </si>
  <si>
    <t>FEC.ktoe.IT.ES.Tr.Rail.Diesel</t>
  </si>
  <si>
    <t>FEC.ktoe.IT.ES.Tr.Rail.LiqBio</t>
  </si>
  <si>
    <t>FEC.ktoe.IT.ES.Tr.Rail.Elec</t>
  </si>
  <si>
    <t>FEC.ktoe.IT.Tr.Rail</t>
  </si>
  <si>
    <t>FEC.ktoe.IT.Tr.Rail.Passenger.CPT.Diesel</t>
  </si>
  <si>
    <t>FEC.ktoe.IT.Tr.Rail.Passenger.CPT.Elc</t>
  </si>
  <si>
    <t>FEC.ktoe.IT.Tr.Rail.Freight.Diesel</t>
  </si>
  <si>
    <t>FEC.ktoe.IT.Tr.Rail.Freight.Elc</t>
  </si>
  <si>
    <t>Eff.kgoe_per_100km.IT.Tr.Rail</t>
  </si>
  <si>
    <t>Eff.kgoe_per_100km.IT.Tr.Rail.Passenger</t>
  </si>
  <si>
    <t>Eff.kgoe_per_100km.IT.Tr.Rail.Passenger.MTU</t>
  </si>
  <si>
    <t>Eff.kgoe_per_100km.IT.Tr.Rail.Passenger.CPT</t>
  </si>
  <si>
    <t>Eff.kgoe_per_100km.IT.Tr.Rail.Passenger.CPT.Diesel</t>
  </si>
  <si>
    <t>Eff.kgoe_per_100km.IT.Tr.Rail.Passenger.CPT.Elc</t>
  </si>
  <si>
    <t>Eff.kgoe_per_100km.IT.Tr.Rail.Passenger.HST</t>
  </si>
  <si>
    <t>Eff.kgoe_per_100km.IT.Tr.Rail.Freight</t>
  </si>
  <si>
    <t>Eff.kgoe_per_100km.IT.Tr.Rail.Freight.Diesel</t>
  </si>
  <si>
    <t>Eff.kgoe_per_100km.IT.Tr.Rail.Freight.Elc</t>
  </si>
  <si>
    <t>Eff.kgoe_per_kpkm.IT.Tr.Rail.Passenger.CPT.Diesel</t>
  </si>
  <si>
    <t>Eff.kgoe_per_kpkm.IT.Tr.Rail.Passenger.CPT.Elc</t>
  </si>
  <si>
    <t>Eff.kgoe_per_ktkm.IT.Tr.Rail.Freight.Diesel</t>
  </si>
  <si>
    <t>Eff.kgoe_per_ktkm.IT.Tr.Rail.Freight.Elc</t>
  </si>
  <si>
    <t>FEC_per_vehicle.kgoe.IT.Tr.Rail</t>
  </si>
  <si>
    <t>FEC_per_vehicle.kgoe.IT.Tr.Rail.Passenger</t>
  </si>
  <si>
    <t>FEC_per_vehicle.kgoe.IT.Tr.Rail.Passenger.MTU</t>
  </si>
  <si>
    <t>FEC_per_vehicle.kgoe.IT.Tr.Rail.Passenger.CPT</t>
  </si>
  <si>
    <t>FEC_per_vehicle.kgoe.IT.Tr.Rail.Passenger.CPT.Diesel</t>
  </si>
  <si>
    <t>FEC_per_vehicle.kgoe.IT.Tr.Rail.Passenger.CPT.Elc</t>
  </si>
  <si>
    <t>FEC_per_vehicle.kgoe.IT.Tr.Rail.Passenger.HST</t>
  </si>
  <si>
    <t>FEC_per_vehicle.kgoe.IT.Tr.Rail.Freight</t>
  </si>
  <si>
    <t>FEC_per_vehicle.kgoe.IT.Tr.Rail.Freight.Diesel</t>
  </si>
  <si>
    <t>FEC_per_vehicle.kgoe.IT.Tr.Rail.Freight.Elc</t>
  </si>
  <si>
    <t>Rail, metro and tram / CO2 emissions - IT - Italy</t>
  </si>
  <si>
    <t>EMI.ktCO2.IT.ES.Tr.Rail</t>
  </si>
  <si>
    <t>EMI.ktCO2.IT.ES.Tr.Rail.Diesel</t>
  </si>
  <si>
    <t>EMI.ktCO2.IT.ES.Tr.Rail.Elec</t>
  </si>
  <si>
    <t>EMI.ktCO2.IT.Tr.Rail</t>
  </si>
  <si>
    <t>EMI.ktCO2.IT.Tr.Rail.Passenger.CPT.Diesel</t>
  </si>
  <si>
    <t>EMI.ktCO2.IT.Tr.Rail.Passenger.CPT.Elc</t>
  </si>
  <si>
    <t>EMI.ktCO2.IT.Tr.Rail.Freight.Diesel</t>
  </si>
  <si>
    <t>EMI.ktCO2.IT.Tr.Rail.Freight.Elc</t>
  </si>
  <si>
    <t>EMIint.gCO2_per_km.IT.Tr.Rail</t>
  </si>
  <si>
    <t>EMIint.gCO2_per_km.IT.Tr.Rail.Passenger</t>
  </si>
  <si>
    <t>EMIint.gCO2_per_km.IT.Tr.Rail.Passenger.MTU</t>
  </si>
  <si>
    <t>EMIint.gCO2_per_km.IT.Tr.Rail.Passenger.CPT</t>
  </si>
  <si>
    <t>EMIint.gCO2_per_km.IT.Tr.Rail.Passenger.CPT.Diesel</t>
  </si>
  <si>
    <t>EMIint.gCO2_per_km.IT.Tr.Rail.Passenger.CPT.Elc</t>
  </si>
  <si>
    <t>EMIint.gCO2_per_km.IT.Tr.Rail.Passenger.HST</t>
  </si>
  <si>
    <t>EMIint.gCO2_per_km.IT.Tr.Rail.Freight</t>
  </si>
  <si>
    <t>EMIint.gCO2_per_km.IT.Tr.Rail.Freight.Diesel</t>
  </si>
  <si>
    <t>EMIint.gCO2_per_km.IT.Tr.Rail.Freight.Elc</t>
  </si>
  <si>
    <t>EMIint.gCO2_per_pkm.IT.Tr.Rail.Passenger.CPT.Diesel</t>
  </si>
  <si>
    <t>EMIint.gCO2_per_pkm.IT.Tr.Rail.Passenger.CPT.Elc</t>
  </si>
  <si>
    <t>EMIint.gCO2_per_tkm.IT.Tr.Rail.Freight.Diesel</t>
  </si>
  <si>
    <t>EMIint.gCO2_per_tkm.IT.Tr.Rail.Freight.Elc</t>
  </si>
  <si>
    <t>EMI_per_vehicle.tCO2.IT.Tr.Rail</t>
  </si>
  <si>
    <t>EMI_per_vehicle.tCO2.IT.Tr.Rail.Passenger</t>
  </si>
  <si>
    <t>EMI_per_vehicle.tCO2.IT.Tr.Rail.Passenger.MTU</t>
  </si>
  <si>
    <t>EMI_per_vehicle.tCO2.IT.Tr.Rail.Passenger.CPT</t>
  </si>
  <si>
    <t>EMI_per_vehicle.tCO2.IT.Tr.Rail.Passenger.CPT.Diesel</t>
  </si>
  <si>
    <t>EMI_per_vehicle.tCO2.IT.Tr.Rail.Passenger.CPT.Elc</t>
  </si>
  <si>
    <t>EMI_per_vehicle.tCO2.IT.Tr.Rail.Passenger.HST</t>
  </si>
  <si>
    <t>EMI_per_vehicle.tCO2.IT.Tr.Rail.Freight</t>
  </si>
  <si>
    <t>EMI_per_vehicle.tCO2.IT.Tr.Rail.Freight.Diesel</t>
  </si>
  <si>
    <t>EMI_per_vehicle.tCO2.IT.Tr.Rail.Freight.Elc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</si>
</sst>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45967.476712962962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977694.37461637892</v>
      </c>
      <c r="C4" s="28">
        <f t="shared" si="0"/>
        <v>980046.22751340631</v>
      </c>
      <c r="D4" s="28">
        <f t="shared" si="0"/>
        <v>984323.13061128894</v>
      </c>
      <c r="E4" s="28">
        <f t="shared" si="0"/>
        <v>995202.05378537253</v>
      </c>
      <c r="F4" s="28">
        <f t="shared" si="0"/>
        <v>1014432.4627290724</v>
      </c>
      <c r="G4" s="28">
        <f t="shared" si="0"/>
        <v>971565.85825540859</v>
      </c>
      <c r="H4" s="28">
        <f t="shared" si="0"/>
        <v>976307.62758415868</v>
      </c>
      <c r="I4" s="28">
        <f t="shared" si="0"/>
        <v>979577.36290422908</v>
      </c>
      <c r="J4" s="28">
        <f t="shared" si="0"/>
        <v>976733.91685394233</v>
      </c>
      <c r="K4" s="28">
        <f t="shared" si="0"/>
        <v>1009566.739989685</v>
      </c>
      <c r="L4" s="28">
        <f t="shared" si="0"/>
        <v>995329.28752033249</v>
      </c>
      <c r="M4" s="28">
        <f t="shared" si="0"/>
        <v>969718.91091889283</v>
      </c>
      <c r="N4" s="28">
        <f t="shared" si="0"/>
        <v>880242.24079295329</v>
      </c>
      <c r="O4" s="28">
        <f t="shared" si="0"/>
        <v>922559.77346407657</v>
      </c>
      <c r="P4" s="28">
        <f t="shared" si="0"/>
        <v>949802.58071085683</v>
      </c>
      <c r="Q4" s="28">
        <f t="shared" si="0"/>
        <v>989777.54174874374</v>
      </c>
      <c r="R4" s="28">
        <f t="shared" ref="R4:V4" si="1">R5+R9+R13</f>
        <v>1025434.480739058</v>
      </c>
      <c r="S4" s="28">
        <f t="shared" si="1"/>
        <v>1075282.5738505861</v>
      </c>
      <c r="T4" s="28">
        <f t="shared" si="1"/>
        <v>1065236.3890702219</v>
      </c>
      <c r="U4" s="28">
        <f t="shared" si="1"/>
        <v>1090492.3933537025</v>
      </c>
      <c r="V4" s="28">
        <f t="shared" si="1"/>
        <v>617135.84321413259</v>
      </c>
      <c r="W4" s="28">
        <f t="shared" ref="W4:Y4" si="2">W5+W9+W13</f>
        <v>776624.61624217289</v>
      </c>
      <c r="X4" s="28">
        <f t="shared" si="2"/>
        <v>892917.68640772998</v>
      </c>
      <c r="Y4" s="28">
        <f t="shared" si="2"/>
        <v>1006419.9038033846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853085.41718665673</v>
      </c>
      <c r="C5" s="137">
        <f t="shared" si="3"/>
        <v>860336.94209689298</v>
      </c>
      <c r="D5" s="137">
        <f t="shared" si="3"/>
        <v>864649.59689585585</v>
      </c>
      <c r="E5" s="137">
        <f t="shared" si="3"/>
        <v>870048.77998835675</v>
      </c>
      <c r="F5" s="137">
        <f t="shared" si="3"/>
        <v>877287.59597187326</v>
      </c>
      <c r="G5" s="137">
        <f t="shared" si="3"/>
        <v>827924.31504037813</v>
      </c>
      <c r="H5" s="137">
        <f t="shared" si="3"/>
        <v>827278.4173923732</v>
      </c>
      <c r="I5" s="137">
        <f t="shared" si="3"/>
        <v>821734.31939901796</v>
      </c>
      <c r="J5" s="137">
        <f t="shared" si="3"/>
        <v>823386.23644909903</v>
      </c>
      <c r="K5" s="137">
        <f t="shared" si="3"/>
        <v>861707.81455897796</v>
      </c>
      <c r="L5" s="137">
        <f t="shared" si="3"/>
        <v>840824.28758907935</v>
      </c>
      <c r="M5" s="137">
        <f t="shared" si="3"/>
        <v>811208.8486229633</v>
      </c>
      <c r="N5" s="137">
        <f t="shared" si="3"/>
        <v>722678.25231498689</v>
      </c>
      <c r="O5" s="137">
        <f t="shared" si="3"/>
        <v>763625.195536201</v>
      </c>
      <c r="P5" s="137">
        <f t="shared" si="3"/>
        <v>786731.83045210538</v>
      </c>
      <c r="Q5" s="137">
        <f t="shared" si="3"/>
        <v>817926.11549962917</v>
      </c>
      <c r="R5" s="137">
        <f t="shared" ref="R5:V5" si="4">R6+R7+R8</f>
        <v>846675.29959140427</v>
      </c>
      <c r="S5" s="137">
        <f t="shared" si="4"/>
        <v>885128.37007966649</v>
      </c>
      <c r="T5" s="137">
        <f t="shared" si="4"/>
        <v>861550.34385612479</v>
      </c>
      <c r="U5" s="137">
        <f t="shared" si="4"/>
        <v>875431.20501707587</v>
      </c>
      <c r="V5" s="137">
        <f t="shared" si="4"/>
        <v>553198.92958229873</v>
      </c>
      <c r="W5" s="137">
        <f t="shared" ref="W5:Y5" si="5">W6+W7+W8</f>
        <v>694117.76674306078</v>
      </c>
      <c r="X5" s="137">
        <f t="shared" si="5"/>
        <v>725247.98874988896</v>
      </c>
      <c r="Y5" s="137">
        <f t="shared" si="5"/>
        <v>794794.83546566858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45733.41718665677</v>
      </c>
      <c r="C6" s="102">
        <f>TrRoad_act!C$5</f>
        <v>47435.978178566846</v>
      </c>
      <c r="D6" s="102">
        <f>TrRoad_act!D$5</f>
        <v>46820.669059203436</v>
      </c>
      <c r="E6" s="102">
        <f>TrRoad_act!E$5</f>
        <v>47670.888233378129</v>
      </c>
      <c r="F6" s="102">
        <f>TrRoad_act!F$5</f>
        <v>50092.740298568606</v>
      </c>
      <c r="G6" s="102">
        <f>TrRoad_act!G$5</f>
        <v>49956.315040378147</v>
      </c>
      <c r="H6" s="102">
        <f>TrRoad_act!H$5</f>
        <v>47974.417392373223</v>
      </c>
      <c r="I6" s="102">
        <f>TrRoad_act!I$5</f>
        <v>42021.31939901795</v>
      </c>
      <c r="J6" s="102">
        <f>TrRoad_act!J$5</f>
        <v>44589.236449099037</v>
      </c>
      <c r="K6" s="102">
        <f>TrRoad_act!K$5</f>
        <v>40089.814558977938</v>
      </c>
      <c r="L6" s="102">
        <f>TrRoad_act!L$5</f>
        <v>40215.28758907938</v>
      </c>
      <c r="M6" s="102">
        <f>TrRoad_act!M$5</f>
        <v>43436.848622963327</v>
      </c>
      <c r="N6" s="102">
        <f>TrRoad_act!N$5</f>
        <v>42498.252314986923</v>
      </c>
      <c r="O6" s="102">
        <f>TrRoad_act!O$5</f>
        <v>41487.195536200983</v>
      </c>
      <c r="P6" s="102">
        <f>TrRoad_act!P$5</f>
        <v>41005.830452105416</v>
      </c>
      <c r="Q6" s="102">
        <f>TrRoad_act!Q$5</f>
        <v>39067.115499629217</v>
      </c>
      <c r="R6" s="102">
        <f>TrRoad_act!R$5</f>
        <v>39820.299591404415</v>
      </c>
      <c r="S6" s="102">
        <f>TrRoad_act!S$5</f>
        <v>37530.370079666638</v>
      </c>
      <c r="T6" s="102">
        <f>TrRoad_act!T$5</f>
        <v>35691.343856124724</v>
      </c>
      <c r="U6" s="102">
        <f>TrRoad_act!U$5</f>
        <v>38709.205017075816</v>
      </c>
      <c r="V6" s="102">
        <f>TrRoad_act!V$5</f>
        <v>33759.929582298872</v>
      </c>
      <c r="W6" s="102">
        <f>TrRoad_act!W$5</f>
        <v>36426.766743060718</v>
      </c>
      <c r="X6" s="102">
        <f>TrRoad_act!X$5</f>
        <v>36796.988749888791</v>
      </c>
      <c r="Y6" s="102">
        <f>TrRoad_act!Y$5</f>
        <v>39763.835465668591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713931</v>
      </c>
      <c r="C7" s="102">
        <f>TrRoad_act!C$6</f>
        <v>717306.96391832619</v>
      </c>
      <c r="D7" s="102">
        <f>TrRoad_act!D$6</f>
        <v>720682.92783665238</v>
      </c>
      <c r="E7" s="102">
        <f>TrRoad_act!E$6</f>
        <v>724058.89175497857</v>
      </c>
      <c r="F7" s="102">
        <f>TrRoad_act!F$6</f>
        <v>727434.85567330464</v>
      </c>
      <c r="G7" s="102">
        <f>TrRoad_act!G$6</f>
        <v>677014</v>
      </c>
      <c r="H7" s="102">
        <f>TrRoad_act!H$6</f>
        <v>676255</v>
      </c>
      <c r="I7" s="102">
        <f>TrRoad_act!I$6</f>
        <v>677056</v>
      </c>
      <c r="J7" s="102">
        <f>TrRoad_act!J$6</f>
        <v>676359</v>
      </c>
      <c r="K7" s="102">
        <f>TrRoad_act!K$6</f>
        <v>719912</v>
      </c>
      <c r="L7" s="102">
        <f>TrRoad_act!L$6</f>
        <v>698390</v>
      </c>
      <c r="M7" s="102">
        <f>TrRoad_act!M$6</f>
        <v>665328</v>
      </c>
      <c r="N7" s="102">
        <f>TrRoad_act!N$6</f>
        <v>578668</v>
      </c>
      <c r="O7" s="102">
        <f>TrRoad_act!O$6</f>
        <v>620368</v>
      </c>
      <c r="P7" s="102">
        <f>TrRoad_act!P$6</f>
        <v>642920</v>
      </c>
      <c r="Q7" s="102">
        <f>TrRoad_act!Q$6</f>
        <v>676350</v>
      </c>
      <c r="R7" s="102">
        <f>TrRoad_act!R$6</f>
        <v>704541.99999999988</v>
      </c>
      <c r="S7" s="102">
        <f>TrRoad_act!S$6</f>
        <v>744918.99999999988</v>
      </c>
      <c r="T7" s="102">
        <f>TrRoad_act!T$6</f>
        <v>722894.00000000012</v>
      </c>
      <c r="U7" s="102">
        <f>TrRoad_act!U$6</f>
        <v>732429</v>
      </c>
      <c r="V7" s="102">
        <f>TrRoad_act!V$6</f>
        <v>460481.99999999994</v>
      </c>
      <c r="W7" s="102">
        <f>TrRoad_act!W$6</f>
        <v>580421.00000000012</v>
      </c>
      <c r="X7" s="102">
        <f>TrRoad_act!X$6</f>
        <v>602862.00000000012</v>
      </c>
      <c r="Y7" s="102">
        <f>TrRoad_act!Y$6</f>
        <v>674190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93421</v>
      </c>
      <c r="C8" s="102">
        <f>TrRoad_act!C$13</f>
        <v>95594</v>
      </c>
      <c r="D8" s="102">
        <f>TrRoad_act!D$13</f>
        <v>97146</v>
      </c>
      <c r="E8" s="102">
        <f>TrRoad_act!E$13</f>
        <v>98319</v>
      </c>
      <c r="F8" s="102">
        <f>TrRoad_act!F$13</f>
        <v>99759.999999999985</v>
      </c>
      <c r="G8" s="102">
        <f>TrRoad_act!G$13</f>
        <v>100954</v>
      </c>
      <c r="H8" s="102">
        <f>TrRoad_act!H$13</f>
        <v>103049</v>
      </c>
      <c r="I8" s="102">
        <f>TrRoad_act!I$13</f>
        <v>102657</v>
      </c>
      <c r="J8" s="102">
        <f>TrRoad_act!J$13</f>
        <v>102438</v>
      </c>
      <c r="K8" s="102">
        <f>TrRoad_act!K$13</f>
        <v>101706</v>
      </c>
      <c r="L8" s="102">
        <f>TrRoad_act!L$13</f>
        <v>102219.00000000001</v>
      </c>
      <c r="M8" s="102">
        <f>TrRoad_act!M$13</f>
        <v>102443.99999999999</v>
      </c>
      <c r="N8" s="102">
        <f>TrRoad_act!N$13</f>
        <v>101512</v>
      </c>
      <c r="O8" s="102">
        <f>TrRoad_act!O$13</f>
        <v>101770.00000000003</v>
      </c>
      <c r="P8" s="102">
        <f>TrRoad_act!P$13</f>
        <v>102806</v>
      </c>
      <c r="Q8" s="102">
        <f>TrRoad_act!Q$13</f>
        <v>102509</v>
      </c>
      <c r="R8" s="102">
        <f>TrRoad_act!R$13</f>
        <v>102312.99999999999</v>
      </c>
      <c r="S8" s="102">
        <f>TrRoad_act!S$13</f>
        <v>102678.99999999997</v>
      </c>
      <c r="T8" s="102">
        <f>TrRoad_act!T$13</f>
        <v>102965</v>
      </c>
      <c r="U8" s="102">
        <f>TrRoad_act!U$13</f>
        <v>104293</v>
      </c>
      <c r="V8" s="102">
        <f>TrRoad_act!V$13</f>
        <v>58956.999999999993</v>
      </c>
      <c r="W8" s="102">
        <f>TrRoad_act!W$13</f>
        <v>77270</v>
      </c>
      <c r="X8" s="102">
        <f>TrRoad_act!X$13</f>
        <v>85588.999999999985</v>
      </c>
      <c r="Y8" s="102">
        <f>TrRoad_act!Y$13</f>
        <v>80840.999999999985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55180.7</v>
      </c>
      <c r="C9" s="110">
        <f t="shared" si="6"/>
        <v>55665</v>
      </c>
      <c r="D9" s="110">
        <f t="shared" si="6"/>
        <v>55189</v>
      </c>
      <c r="E9" s="110">
        <f t="shared" si="6"/>
        <v>54682</v>
      </c>
      <c r="F9" s="110">
        <f t="shared" si="6"/>
        <v>55259</v>
      </c>
      <c r="G9" s="110">
        <f t="shared" si="6"/>
        <v>56123</v>
      </c>
      <c r="H9" s="110">
        <f t="shared" si="6"/>
        <v>56464</v>
      </c>
      <c r="I9" s="110">
        <f t="shared" si="6"/>
        <v>56505</v>
      </c>
      <c r="J9" s="110">
        <f t="shared" si="6"/>
        <v>56408</v>
      </c>
      <c r="K9" s="110">
        <f t="shared" si="6"/>
        <v>55072</v>
      </c>
      <c r="L9" s="110">
        <f t="shared" si="6"/>
        <v>54255</v>
      </c>
      <c r="M9" s="110">
        <f t="shared" si="6"/>
        <v>53940</v>
      </c>
      <c r="N9" s="110">
        <f t="shared" si="6"/>
        <v>53297</v>
      </c>
      <c r="O9" s="110">
        <f t="shared" si="6"/>
        <v>55323</v>
      </c>
      <c r="P9" s="110">
        <f t="shared" si="6"/>
        <v>56611</v>
      </c>
      <c r="Q9" s="110">
        <f t="shared" si="6"/>
        <v>59035</v>
      </c>
      <c r="R9" s="110">
        <f t="shared" ref="R9:V9" si="7">R10+R11+R12</f>
        <v>59127.064999999995</v>
      </c>
      <c r="S9" s="110">
        <f t="shared" si="7"/>
        <v>60510</v>
      </c>
      <c r="T9" s="110">
        <f t="shared" si="7"/>
        <v>62772</v>
      </c>
      <c r="U9" s="110">
        <f t="shared" si="7"/>
        <v>64200</v>
      </c>
      <c r="V9" s="110">
        <f t="shared" si="7"/>
        <v>26662</v>
      </c>
      <c r="W9" s="110">
        <f t="shared" ref="W9:Y9" si="8">W10+W11+W12</f>
        <v>32732</v>
      </c>
      <c r="X9" s="110">
        <f t="shared" si="8"/>
        <v>52785</v>
      </c>
      <c r="Y9" s="110">
        <f t="shared" si="8"/>
        <v>60490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5608.7</v>
      </c>
      <c r="C10" s="102">
        <f>TrRail_act!C$5</f>
        <v>5589</v>
      </c>
      <c r="D10" s="102">
        <f>TrRail_act!D$5</f>
        <v>5885</v>
      </c>
      <c r="E10" s="102">
        <f>TrRail_act!E$5</f>
        <v>5984.9999999999991</v>
      </c>
      <c r="F10" s="102">
        <f>TrRail_act!F$5</f>
        <v>6005</v>
      </c>
      <c r="G10" s="102">
        <f>TrRail_act!G$5</f>
        <v>6035</v>
      </c>
      <c r="H10" s="102">
        <f>TrRail_act!H$5</f>
        <v>6279</v>
      </c>
      <c r="I10" s="102">
        <f>TrRail_act!I$5</f>
        <v>6725</v>
      </c>
      <c r="J10" s="102">
        <f>TrRail_act!J$5</f>
        <v>6884</v>
      </c>
      <c r="K10" s="102">
        <f>TrRail_act!K$5</f>
        <v>6948</v>
      </c>
      <c r="L10" s="102">
        <f>TrRail_act!L$5</f>
        <v>7083</v>
      </c>
      <c r="M10" s="102">
        <f>TrRail_act!M$5</f>
        <v>7095.0000000000009</v>
      </c>
      <c r="N10" s="102">
        <f>TrRail_act!N$5</f>
        <v>6538</v>
      </c>
      <c r="O10" s="102">
        <f>TrRail_act!O$5</f>
        <v>6584</v>
      </c>
      <c r="P10" s="102">
        <f>TrRail_act!P$5</f>
        <v>6654</v>
      </c>
      <c r="Q10" s="102">
        <f>TrRail_act!Q$5</f>
        <v>6828</v>
      </c>
      <c r="R10" s="102">
        <f>TrRail_act!R$5</f>
        <v>6949</v>
      </c>
      <c r="S10" s="102">
        <f>TrRail_act!S$5</f>
        <v>7279</v>
      </c>
      <c r="T10" s="102">
        <f>TrRail_act!T$5</f>
        <v>7279</v>
      </c>
      <c r="U10" s="102">
        <f>TrRail_act!U$5</f>
        <v>7614</v>
      </c>
      <c r="V10" s="102">
        <f>TrRail_act!V$5</f>
        <v>4393</v>
      </c>
      <c r="W10" s="102">
        <f>TrRail_act!W$5</f>
        <v>5039</v>
      </c>
      <c r="X10" s="102">
        <f>TrRail_act!X$5</f>
        <v>6287</v>
      </c>
      <c r="Y10" s="102">
        <f>TrRail_act!Y$5</f>
        <v>5699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44486</v>
      </c>
      <c r="C11" s="102">
        <f>TrRail_act!C$6</f>
        <v>43313</v>
      </c>
      <c r="D11" s="102">
        <f>TrRail_act!D$6</f>
        <v>42226</v>
      </c>
      <c r="E11" s="102">
        <f>TrRail_act!E$6</f>
        <v>41266</v>
      </c>
      <c r="F11" s="102">
        <f>TrRail_act!F$6</f>
        <v>41329</v>
      </c>
      <c r="G11" s="102">
        <f>TrRail_act!G$6</f>
        <v>41538</v>
      </c>
      <c r="H11" s="102">
        <f>TrRail_act!H$6</f>
        <v>41273</v>
      </c>
      <c r="I11" s="102">
        <f>TrRail_act!I$6</f>
        <v>40962</v>
      </c>
      <c r="J11" s="102">
        <f>TrRail_act!J$6</f>
        <v>40646</v>
      </c>
      <c r="K11" s="102">
        <f>TrRail_act!K$6</f>
        <v>37378</v>
      </c>
      <c r="L11" s="102">
        <f>TrRail_act!L$6</f>
        <v>35834</v>
      </c>
      <c r="M11" s="102">
        <f>TrRail_act!M$6</f>
        <v>34562</v>
      </c>
      <c r="N11" s="102">
        <f>TrRail_act!N$6</f>
        <v>33965</v>
      </c>
      <c r="O11" s="102">
        <f>TrRail_act!O$6</f>
        <v>35403.240766483461</v>
      </c>
      <c r="P11" s="102">
        <f>TrRail_act!P$6</f>
        <v>36287.976753138435</v>
      </c>
      <c r="Q11" s="102">
        <f>TrRail_act!Q$6</f>
        <v>37922.341260506</v>
      </c>
      <c r="R11" s="102">
        <f>TrRail_act!R$6</f>
        <v>37901.323332941247</v>
      </c>
      <c r="S11" s="102">
        <f>TrRail_act!S$6</f>
        <v>38666.158707414615</v>
      </c>
      <c r="T11" s="102">
        <f>TrRail_act!T$6</f>
        <v>40309.239825488141</v>
      </c>
      <c r="U11" s="102">
        <f>TrRail_act!U$6</f>
        <v>41103.177783956031</v>
      </c>
      <c r="V11" s="102">
        <f>TrRail_act!V$6</f>
        <v>16175.85031758592</v>
      </c>
      <c r="W11" s="102">
        <f>TrRail_act!W$6</f>
        <v>20115.758356679999</v>
      </c>
      <c r="X11" s="102">
        <f>TrRail_act!X$6</f>
        <v>33775.413717145362</v>
      </c>
      <c r="Y11" s="102">
        <f>TrRail_act!Y$6</f>
        <v>39799.318099189462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5086</v>
      </c>
      <c r="C12" s="102">
        <f>TrRail_act!C$9</f>
        <v>6763</v>
      </c>
      <c r="D12" s="102">
        <f>TrRail_act!D$9</f>
        <v>7078</v>
      </c>
      <c r="E12" s="102">
        <f>TrRail_act!E$9</f>
        <v>7431</v>
      </c>
      <c r="F12" s="102">
        <f>TrRail_act!F$9</f>
        <v>7925</v>
      </c>
      <c r="G12" s="102">
        <f>TrRail_act!G$9</f>
        <v>8550</v>
      </c>
      <c r="H12" s="102">
        <f>TrRail_act!H$9</f>
        <v>8912</v>
      </c>
      <c r="I12" s="102">
        <f>TrRail_act!I$9</f>
        <v>8818</v>
      </c>
      <c r="J12" s="102">
        <f>TrRail_act!J$9</f>
        <v>8878</v>
      </c>
      <c r="K12" s="102">
        <f>TrRail_act!K$9</f>
        <v>10746</v>
      </c>
      <c r="L12" s="102">
        <f>TrRail_act!L$9</f>
        <v>11338</v>
      </c>
      <c r="M12" s="102">
        <f>TrRail_act!M$9</f>
        <v>12283</v>
      </c>
      <c r="N12" s="102">
        <f>TrRail_act!N$9</f>
        <v>12794</v>
      </c>
      <c r="O12" s="102">
        <f>TrRail_act!O$9</f>
        <v>13335.759233516541</v>
      </c>
      <c r="P12" s="102">
        <f>TrRail_act!P$9</f>
        <v>13669.023246861565</v>
      </c>
      <c r="Q12" s="102">
        <f>TrRail_act!Q$9</f>
        <v>14284.658739494</v>
      </c>
      <c r="R12" s="102">
        <f>TrRail_act!R$9</f>
        <v>14276.741667058748</v>
      </c>
      <c r="S12" s="102">
        <f>TrRail_act!S$9</f>
        <v>14564.841292585385</v>
      </c>
      <c r="T12" s="102">
        <f>TrRail_act!T$9</f>
        <v>15183.760174511857</v>
      </c>
      <c r="U12" s="102">
        <f>TrRail_act!U$9</f>
        <v>15482.822216043967</v>
      </c>
      <c r="V12" s="102">
        <f>TrRail_act!V$9</f>
        <v>6093.1496824140795</v>
      </c>
      <c r="W12" s="102">
        <f>TrRail_act!W$9</f>
        <v>7577.2416433200015</v>
      </c>
      <c r="X12" s="102">
        <f>TrRail_act!X$9</f>
        <v>12722.586282854636</v>
      </c>
      <c r="Y12" s="102">
        <f>TrRail_act!Y$9</f>
        <v>14991.681900810538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69428.257429722202</v>
      </c>
      <c r="C13" s="110">
        <f t="shared" ref="C13:V13" si="10">C14+C15+C16</f>
        <v>64044.285416513339</v>
      </c>
      <c r="D13" s="110">
        <f t="shared" si="10"/>
        <v>64484.533715433048</v>
      </c>
      <c r="E13" s="110">
        <f t="shared" si="10"/>
        <v>70471.273797015776</v>
      </c>
      <c r="F13" s="110">
        <f t="shared" si="10"/>
        <v>81885.866757199183</v>
      </c>
      <c r="G13" s="110">
        <f t="shared" si="10"/>
        <v>87518.543215030426</v>
      </c>
      <c r="H13" s="110">
        <f t="shared" si="10"/>
        <v>92565.210191785533</v>
      </c>
      <c r="I13" s="110">
        <f t="shared" si="10"/>
        <v>101338.04350521113</v>
      </c>
      <c r="J13" s="110">
        <f t="shared" si="10"/>
        <v>96939.680404843253</v>
      </c>
      <c r="K13" s="110">
        <f t="shared" si="10"/>
        <v>92786.925430707081</v>
      </c>
      <c r="L13" s="110">
        <f t="shared" si="10"/>
        <v>100249.99993125317</v>
      </c>
      <c r="M13" s="110">
        <f t="shared" si="10"/>
        <v>104570.0622959295</v>
      </c>
      <c r="N13" s="110">
        <f t="shared" si="10"/>
        <v>104266.98847796636</v>
      </c>
      <c r="O13" s="110">
        <f t="shared" si="10"/>
        <v>103611.57792787554</v>
      </c>
      <c r="P13" s="110">
        <f t="shared" si="10"/>
        <v>106459.75025875148</v>
      </c>
      <c r="Q13" s="110">
        <f t="shared" si="10"/>
        <v>112816.42624911452</v>
      </c>
      <c r="R13" s="110">
        <f t="shared" si="10"/>
        <v>119632.11614765383</v>
      </c>
      <c r="S13" s="110">
        <f t="shared" si="10"/>
        <v>129644.2037709197</v>
      </c>
      <c r="T13" s="110">
        <f t="shared" si="10"/>
        <v>140914.04521409716</v>
      </c>
      <c r="U13" s="110">
        <f t="shared" si="10"/>
        <v>150861.18833662674</v>
      </c>
      <c r="V13" s="110">
        <f t="shared" si="10"/>
        <v>37274.913631833842</v>
      </c>
      <c r="W13" s="110">
        <f t="shared" ref="W13:Y13" si="11">W14+W15+W16</f>
        <v>49774.849499112126</v>
      </c>
      <c r="X13" s="110">
        <f t="shared" si="11"/>
        <v>114884.69765784104</v>
      </c>
      <c r="Y13" s="110">
        <f t="shared" si="11"/>
        <v>151135.0683377161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14383.948439598151</v>
      </c>
      <c r="C14" s="102">
        <f>TrAvia_act!C$5</f>
        <v>13384.498160731082</v>
      </c>
      <c r="D14" s="102">
        <f>TrAvia_act!D$5</f>
        <v>13586.478813493175</v>
      </c>
      <c r="E14" s="102">
        <f>TrAvia_act!E$5</f>
        <v>15139.558632782504</v>
      </c>
      <c r="F14" s="102">
        <f>TrAvia_act!F$5</f>
        <v>15384.460254481452</v>
      </c>
      <c r="G14" s="102">
        <f>TrAvia_act!G$5</f>
        <v>15430.525809280603</v>
      </c>
      <c r="H14" s="102">
        <f>TrAvia_act!H$5</f>
        <v>16360.789553086142</v>
      </c>
      <c r="I14" s="102">
        <f>TrAvia_act!I$5</f>
        <v>18343.379857879427</v>
      </c>
      <c r="J14" s="102">
        <f>TrAvia_act!J$5</f>
        <v>17862.659123156562</v>
      </c>
      <c r="K14" s="102">
        <f>TrAvia_act!K$5</f>
        <v>18639.590089035271</v>
      </c>
      <c r="L14" s="102">
        <f>TrAvia_act!L$5</f>
        <v>19891.551699073338</v>
      </c>
      <c r="M14" s="102">
        <f>TrAvia_act!M$5</f>
        <v>21308.658832192585</v>
      </c>
      <c r="N14" s="102">
        <f>TrAvia_act!N$5</f>
        <v>19938.844667051744</v>
      </c>
      <c r="O14" s="102">
        <f>TrAvia_act!O$5</f>
        <v>18958.630468827541</v>
      </c>
      <c r="P14" s="102">
        <f>TrAvia_act!P$5</f>
        <v>17931.429575072994</v>
      </c>
      <c r="Q14" s="102">
        <f>TrAvia_act!Q$5</f>
        <v>19651.625657787954</v>
      </c>
      <c r="R14" s="102">
        <f>TrAvia_act!R$5</f>
        <v>20411.845022716432</v>
      </c>
      <c r="S14" s="102">
        <f>TrAvia_act!S$5</f>
        <v>21341.448733614616</v>
      </c>
      <c r="T14" s="102">
        <f>TrAvia_act!T$5</f>
        <v>22211.631859514997</v>
      </c>
      <c r="U14" s="102">
        <f>TrAvia_act!U$5</f>
        <v>22709.688234522073</v>
      </c>
      <c r="V14" s="102">
        <f>TrAvia_act!V$5</f>
        <v>8927.9493191807633</v>
      </c>
      <c r="W14" s="102">
        <f>TrAvia_act!W$5</f>
        <v>15682.980238614853</v>
      </c>
      <c r="X14" s="102">
        <f>TrAvia_act!X$5</f>
        <v>23966.403972878132</v>
      </c>
      <c r="Y14" s="102">
        <f>TrAvia_act!Y$5</f>
        <v>24862.924645861578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24137.187653467397</v>
      </c>
      <c r="C15" s="102">
        <f>TrAvia_act!C$6</f>
        <v>22359.363885005718</v>
      </c>
      <c r="D15" s="102">
        <f>TrAvia_act!D$6</f>
        <v>22494.26239919661</v>
      </c>
      <c r="E15" s="102">
        <f>TrAvia_act!E$6</f>
        <v>25959.094971181203</v>
      </c>
      <c r="F15" s="102">
        <f>TrAvia_act!F$6</f>
        <v>29064.342233096912</v>
      </c>
      <c r="G15" s="102">
        <f>TrAvia_act!G$6</f>
        <v>32667.910678976452</v>
      </c>
      <c r="H15" s="102">
        <f>TrAvia_act!H$6</f>
        <v>34880.382369438739</v>
      </c>
      <c r="I15" s="102">
        <f>TrAvia_act!I$6</f>
        <v>37206.442207282053</v>
      </c>
      <c r="J15" s="102">
        <f>TrAvia_act!J$6</f>
        <v>34951.3522337623</v>
      </c>
      <c r="K15" s="102">
        <f>TrAvia_act!K$6</f>
        <v>33283.460376249895</v>
      </c>
      <c r="L15" s="102">
        <f>TrAvia_act!L$6</f>
        <v>35426.644348422269</v>
      </c>
      <c r="M15" s="102">
        <f>TrAvia_act!M$6</f>
        <v>38896.162128036878</v>
      </c>
      <c r="N15" s="102">
        <f>TrAvia_act!N$6</f>
        <v>38586.935654650821</v>
      </c>
      <c r="O15" s="102">
        <f>TrAvia_act!O$6</f>
        <v>38740.040937660589</v>
      </c>
      <c r="P15" s="102">
        <f>TrAvia_act!P$6</f>
        <v>40757.021907177957</v>
      </c>
      <c r="Q15" s="102">
        <f>TrAvia_act!Q$6</f>
        <v>44153.013960071985</v>
      </c>
      <c r="R15" s="102">
        <f>TrAvia_act!R$6</f>
        <v>48213.257924856996</v>
      </c>
      <c r="S15" s="102">
        <f>TrAvia_act!S$6</f>
        <v>51977.957310197104</v>
      </c>
      <c r="T15" s="102">
        <f>TrAvia_act!T$6</f>
        <v>55089.233878008577</v>
      </c>
      <c r="U15" s="102">
        <f>TrAvia_act!U$6</f>
        <v>57493.205363492008</v>
      </c>
      <c r="V15" s="102">
        <f>TrAvia_act!V$6</f>
        <v>13644.458260515839</v>
      </c>
      <c r="W15" s="102">
        <f>TrAvia_act!W$6</f>
        <v>19152.418333534621</v>
      </c>
      <c r="X15" s="102">
        <f>TrAvia_act!X$6</f>
        <v>48788.044185173036</v>
      </c>
      <c r="Y15" s="102">
        <f>TrAvia_act!Y$6</f>
        <v>59417.682288290998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30907.121336656648</v>
      </c>
      <c r="C16" s="102">
        <f>TrAvia_act!C$7</f>
        <v>28300.423370776538</v>
      </c>
      <c r="D16" s="102">
        <f>TrAvia_act!D$7</f>
        <v>28403.792502743265</v>
      </c>
      <c r="E16" s="102">
        <f>TrAvia_act!E$7</f>
        <v>29372.620193052066</v>
      </c>
      <c r="F16" s="102">
        <f>TrAvia_act!F$7</f>
        <v>37437.064269620823</v>
      </c>
      <c r="G16" s="102">
        <f>TrAvia_act!G$7</f>
        <v>39420.106726773367</v>
      </c>
      <c r="H16" s="102">
        <f>TrAvia_act!H$7</f>
        <v>41324.038269260644</v>
      </c>
      <c r="I16" s="102">
        <f>TrAvia_act!I$7</f>
        <v>45788.221440049638</v>
      </c>
      <c r="J16" s="102">
        <f>TrAvia_act!J$7</f>
        <v>44125.669047924392</v>
      </c>
      <c r="K16" s="102">
        <f>TrAvia_act!K$7</f>
        <v>40863.874965421921</v>
      </c>
      <c r="L16" s="102">
        <f>TrAvia_act!L$7</f>
        <v>44931.803883757559</v>
      </c>
      <c r="M16" s="102">
        <f>TrAvia_act!M$7</f>
        <v>44365.241335700033</v>
      </c>
      <c r="N16" s="102">
        <f>TrAvia_act!N$7</f>
        <v>45741.20815626379</v>
      </c>
      <c r="O16" s="102">
        <f>TrAvia_act!O$7</f>
        <v>45912.906521387406</v>
      </c>
      <c r="P16" s="102">
        <f>TrAvia_act!P$7</f>
        <v>47771.298776500516</v>
      </c>
      <c r="Q16" s="102">
        <f>TrAvia_act!Q$7</f>
        <v>49011.786631254581</v>
      </c>
      <c r="R16" s="102">
        <f>TrAvia_act!R$7</f>
        <v>51007.013200080401</v>
      </c>
      <c r="S16" s="102">
        <f>TrAvia_act!S$7</f>
        <v>56324.797727107987</v>
      </c>
      <c r="T16" s="102">
        <f>TrAvia_act!T$7</f>
        <v>63613.179476573576</v>
      </c>
      <c r="U16" s="102">
        <f>TrAvia_act!U$7</f>
        <v>70658.294738612662</v>
      </c>
      <c r="V16" s="102">
        <f>TrAvia_act!V$7</f>
        <v>14702.50605213724</v>
      </c>
      <c r="W16" s="102">
        <f>TrAvia_act!W$7</f>
        <v>14939.450926962649</v>
      </c>
      <c r="X16" s="102">
        <f>TrAvia_act!X$7</f>
        <v>42130.249499789876</v>
      </c>
      <c r="Y16" s="102">
        <f>TrAvia_act!Y$7</f>
        <v>66854.461403563517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244844.83366627863</v>
      </c>
      <c r="C17" s="28">
        <f t="shared" si="12"/>
        <v>239628.96544173863</v>
      </c>
      <c r="D17" s="28">
        <f t="shared" si="12"/>
        <v>249381.40233197404</v>
      </c>
      <c r="E17" s="28">
        <f t="shared" si="12"/>
        <v>236709.92321172167</v>
      </c>
      <c r="F17" s="28">
        <f t="shared" si="12"/>
        <v>258787.0151044713</v>
      </c>
      <c r="G17" s="28">
        <f t="shared" si="12"/>
        <v>279694.85781676875</v>
      </c>
      <c r="H17" s="28">
        <f t="shared" si="12"/>
        <v>265970.37116705487</v>
      </c>
      <c r="I17" s="28">
        <f t="shared" si="12"/>
        <v>269703.28337211255</v>
      </c>
      <c r="J17" s="28">
        <f t="shared" si="12"/>
        <v>265308.35404172936</v>
      </c>
      <c r="K17" s="28">
        <f t="shared" si="12"/>
        <v>250382.68720870168</v>
      </c>
      <c r="L17" s="28">
        <f t="shared" si="12"/>
        <v>260470.86457470534</v>
      </c>
      <c r="M17" s="28">
        <f t="shared" si="12"/>
        <v>237823.79122168597</v>
      </c>
      <c r="N17" s="28">
        <f t="shared" si="12"/>
        <v>215044.4336185935</v>
      </c>
      <c r="O17" s="28">
        <f t="shared" si="12"/>
        <v>214457.25610165164</v>
      </c>
      <c r="P17" s="28">
        <f t="shared" si="12"/>
        <v>210713.24457351191</v>
      </c>
      <c r="Q17" s="28">
        <f t="shared" si="12"/>
        <v>209364.37046069046</v>
      </c>
      <c r="R17" s="28">
        <f t="shared" ref="R17:V17" si="13">R18+R21+R22+R26</f>
        <v>213691.23450352464</v>
      </c>
      <c r="S17" s="28">
        <f t="shared" si="13"/>
        <v>225753.77072957045</v>
      </c>
      <c r="T17" s="28">
        <f t="shared" si="13"/>
        <v>229211.04222529905</v>
      </c>
      <c r="U17" s="28">
        <f t="shared" si="13"/>
        <v>239748.21665941362</v>
      </c>
      <c r="V17" s="28">
        <f t="shared" si="13"/>
        <v>231232.62785507701</v>
      </c>
      <c r="W17" s="28">
        <f t="shared" ref="W17:Y17" si="14">W18+W21+W22+W26</f>
        <v>251159.46953416482</v>
      </c>
      <c r="X17" s="28">
        <f t="shared" si="14"/>
        <v>257870.28149995141</v>
      </c>
      <c r="Y17" s="28">
        <f t="shared" si="14"/>
        <v>245569.1501202654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193001.60913437372</v>
      </c>
      <c r="C18" s="137">
        <f t="shared" si="15"/>
        <v>190808.40496753345</v>
      </c>
      <c r="D18" s="137">
        <f t="shared" si="15"/>
        <v>198197.45821312704</v>
      </c>
      <c r="E18" s="137">
        <f t="shared" si="15"/>
        <v>182775.01893076487</v>
      </c>
      <c r="F18" s="137">
        <f t="shared" si="15"/>
        <v>202972.45377977559</v>
      </c>
      <c r="G18" s="137">
        <f t="shared" si="15"/>
        <v>218807.55764054318</v>
      </c>
      <c r="H18" s="137">
        <f t="shared" si="15"/>
        <v>203701.30157870729</v>
      </c>
      <c r="I18" s="137">
        <f t="shared" si="15"/>
        <v>201441.252698514</v>
      </c>
      <c r="J18" s="137">
        <f t="shared" si="15"/>
        <v>202164.76528340086</v>
      </c>
      <c r="K18" s="137">
        <f t="shared" si="15"/>
        <v>191032.2204900402</v>
      </c>
      <c r="L18" s="137">
        <f t="shared" si="15"/>
        <v>199286.58898837995</v>
      </c>
      <c r="M18" s="137">
        <f t="shared" si="15"/>
        <v>173540.80732025811</v>
      </c>
      <c r="N18" s="137">
        <f t="shared" si="15"/>
        <v>154164.27323535585</v>
      </c>
      <c r="O18" s="137">
        <f t="shared" si="15"/>
        <v>155137.84841195462</v>
      </c>
      <c r="P18" s="137">
        <f t="shared" si="15"/>
        <v>146824.18706849692</v>
      </c>
      <c r="Q18" s="137">
        <f t="shared" si="15"/>
        <v>145673.86867590522</v>
      </c>
      <c r="R18" s="137">
        <f t="shared" ref="R18:V18" si="16">R19+R20</f>
        <v>142861.21028891183</v>
      </c>
      <c r="S18" s="137">
        <f t="shared" si="16"/>
        <v>153495.17511500212</v>
      </c>
      <c r="T18" s="137">
        <f t="shared" si="16"/>
        <v>158087.10335200655</v>
      </c>
      <c r="U18" s="137">
        <f t="shared" si="16"/>
        <v>170372.41619355595</v>
      </c>
      <c r="V18" s="137">
        <f t="shared" si="16"/>
        <v>164711.46643995389</v>
      </c>
      <c r="W18" s="137">
        <f t="shared" ref="W18:Y18" si="17">W19+W20</f>
        <v>181677.98596676596</v>
      </c>
      <c r="X18" s="137">
        <f t="shared" si="17"/>
        <v>184935.37404033018</v>
      </c>
      <c r="Y18" s="137">
        <f t="shared" si="17"/>
        <v>177853.30286357703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11373.488847273913</v>
      </c>
      <c r="C19" s="102">
        <f>TrRoad_act!C$20</f>
        <v>11019.445258252852</v>
      </c>
      <c r="D19" s="102">
        <f>TrRoad_act!D$20</f>
        <v>11600.289152517951</v>
      </c>
      <c r="E19" s="102">
        <f>TrRoad_act!E$20</f>
        <v>12651.795506834967</v>
      </c>
      <c r="F19" s="102">
        <f>TrRoad_act!F$20</f>
        <v>13534.109802301806</v>
      </c>
      <c r="G19" s="102">
        <f>TrRoad_act!G$20</f>
        <v>14854.614796703823</v>
      </c>
      <c r="H19" s="102">
        <f>TrRoad_act!H$20</f>
        <v>13630.509639712489</v>
      </c>
      <c r="I19" s="102">
        <f>TrRoad_act!I$20</f>
        <v>14643.801701906095</v>
      </c>
      <c r="J19" s="102">
        <f>TrRoad_act!J$20</f>
        <v>14661.054236350339</v>
      </c>
      <c r="K19" s="102">
        <f>TrRoad_act!K$20</f>
        <v>14605.255500329469</v>
      </c>
      <c r="L19" s="102">
        <f>TrRoad_act!L$20</f>
        <v>15679.776304851926</v>
      </c>
      <c r="M19" s="102">
        <f>TrRoad_act!M$20</f>
        <v>16219.956862316882</v>
      </c>
      <c r="N19" s="102">
        <f>TrRoad_act!N$20</f>
        <v>14703.817712991595</v>
      </c>
      <c r="O19" s="102">
        <f>TrRoad_act!O$20</f>
        <v>13344.806470882893</v>
      </c>
      <c r="P19" s="102">
        <f>TrRoad_act!P$20</f>
        <v>13797.153258022934</v>
      </c>
      <c r="Q19" s="102">
        <f>TrRoad_act!Q$20</f>
        <v>11703.829909133041</v>
      </c>
      <c r="R19" s="102">
        <f>TrRoad_act!R$20</f>
        <v>11166.067410448088</v>
      </c>
      <c r="S19" s="102">
        <f>TrRoad_act!S$20</f>
        <v>11418.361580399564</v>
      </c>
      <c r="T19" s="102">
        <f>TrRoad_act!T$20</f>
        <v>11822.103352006561</v>
      </c>
      <c r="U19" s="102">
        <f>TrRoad_act!U$20</f>
        <v>12065.416193555955</v>
      </c>
      <c r="V19" s="102">
        <f>TrRoad_act!V$20</f>
        <v>11847.466439953878</v>
      </c>
      <c r="W19" s="102">
        <f>TrRoad_act!W$20</f>
        <v>13787.985966765958</v>
      </c>
      <c r="X19" s="102">
        <f>TrRoad_act!X$20</f>
        <v>12514.374040330165</v>
      </c>
      <c r="Y19" s="102">
        <f>TrRoad_act!Y$20</f>
        <v>11689.302863577037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181628.12028709979</v>
      </c>
      <c r="C20" s="102">
        <f>TrRoad_act!C$26</f>
        <v>179788.95970928061</v>
      </c>
      <c r="D20" s="102">
        <f>TrRoad_act!D$26</f>
        <v>186597.1690606091</v>
      </c>
      <c r="E20" s="102">
        <f>TrRoad_act!E$26</f>
        <v>170123.22342392991</v>
      </c>
      <c r="F20" s="102">
        <f>TrRoad_act!F$26</f>
        <v>189438.34397747379</v>
      </c>
      <c r="G20" s="102">
        <f>TrRoad_act!G$26</f>
        <v>203952.94284383935</v>
      </c>
      <c r="H20" s="102">
        <f>TrRoad_act!H$26</f>
        <v>190070.79193899481</v>
      </c>
      <c r="I20" s="102">
        <f>TrRoad_act!I$26</f>
        <v>186797.45099660789</v>
      </c>
      <c r="J20" s="102">
        <f>TrRoad_act!J$26</f>
        <v>187503.71104705051</v>
      </c>
      <c r="K20" s="102">
        <f>TrRoad_act!K$26</f>
        <v>176426.96498971072</v>
      </c>
      <c r="L20" s="102">
        <f>TrRoad_act!L$26</f>
        <v>183606.81268352803</v>
      </c>
      <c r="M20" s="102">
        <f>TrRoad_act!M$26</f>
        <v>157320.85045794124</v>
      </c>
      <c r="N20" s="102">
        <f>TrRoad_act!N$26</f>
        <v>139460.45552236427</v>
      </c>
      <c r="O20" s="102">
        <f>TrRoad_act!O$26</f>
        <v>141793.04194107171</v>
      </c>
      <c r="P20" s="102">
        <f>TrRoad_act!P$26</f>
        <v>133027.03381047398</v>
      </c>
      <c r="Q20" s="102">
        <f>TrRoad_act!Q$26</f>
        <v>133970.0387667722</v>
      </c>
      <c r="R20" s="102">
        <f>TrRoad_act!R$26</f>
        <v>131695.14287846372</v>
      </c>
      <c r="S20" s="102">
        <f>TrRoad_act!S$26</f>
        <v>142076.81353460255</v>
      </c>
      <c r="T20" s="102">
        <f>TrRoad_act!T$26</f>
        <v>146265</v>
      </c>
      <c r="U20" s="102">
        <f>TrRoad_act!U$26</f>
        <v>158307</v>
      </c>
      <c r="V20" s="102">
        <f>TrRoad_act!V$26</f>
        <v>152864</v>
      </c>
      <c r="W20" s="102">
        <f>TrRoad_act!W$26</f>
        <v>167890</v>
      </c>
      <c r="X20" s="102">
        <f>TrRoad_act!X$26</f>
        <v>172421</v>
      </c>
      <c r="Y20" s="102">
        <f>TrRoad_act!Y$26</f>
        <v>166164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22817</v>
      </c>
      <c r="C21" s="110">
        <f>TrRail_act!C$10</f>
        <v>21762</v>
      </c>
      <c r="D21" s="110">
        <f>TrRail_act!D$10</f>
        <v>20679</v>
      </c>
      <c r="E21" s="110">
        <f>TrRail_act!E$10</f>
        <v>20299</v>
      </c>
      <c r="F21" s="110">
        <f>TrRail_act!F$10</f>
        <v>22183</v>
      </c>
      <c r="G21" s="110">
        <f>TrRail_act!G$10</f>
        <v>22761</v>
      </c>
      <c r="H21" s="110">
        <f>TrRail_act!H$10</f>
        <v>24151</v>
      </c>
      <c r="I21" s="110">
        <f>TrRail_act!I$10</f>
        <v>25285</v>
      </c>
      <c r="J21" s="110">
        <f>TrRail_act!J$10</f>
        <v>23831</v>
      </c>
      <c r="K21" s="110">
        <f>TrRail_act!K$10</f>
        <v>17791</v>
      </c>
      <c r="L21" s="110">
        <f>TrRail_act!L$10</f>
        <v>18616</v>
      </c>
      <c r="M21" s="110">
        <f>TrRail_act!M$10</f>
        <v>19787</v>
      </c>
      <c r="N21" s="110">
        <f>TrRail_act!N$10</f>
        <v>20244</v>
      </c>
      <c r="O21" s="110">
        <f>TrRail_act!O$10</f>
        <v>19037</v>
      </c>
      <c r="P21" s="110">
        <f>TrRail_act!P$10</f>
        <v>20157</v>
      </c>
      <c r="Q21" s="110">
        <f>TrRail_act!Q$10</f>
        <v>20781</v>
      </c>
      <c r="R21" s="110">
        <f>TrRail_act!R$10</f>
        <v>22712</v>
      </c>
      <c r="S21" s="110">
        <f>TrRail_act!S$10</f>
        <v>22335</v>
      </c>
      <c r="T21" s="110">
        <f>TrRail_act!T$10</f>
        <v>22070</v>
      </c>
      <c r="U21" s="110">
        <f>TrRail_act!U$10</f>
        <v>21309</v>
      </c>
      <c r="V21" s="110">
        <f>TrRail_act!V$10</f>
        <v>20750</v>
      </c>
      <c r="W21" s="110">
        <f>TrRail_act!W$10</f>
        <v>24262</v>
      </c>
      <c r="X21" s="110">
        <f>TrRail_act!X$10</f>
        <v>24330</v>
      </c>
      <c r="Y21" s="110">
        <f>TrRail_act!Y$10</f>
        <v>22693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1684.1145319049215</v>
      </c>
      <c r="C22" s="110">
        <f t="shared" ref="C22:V22" si="19">C23+C24+C25</f>
        <v>569.96747420518648</v>
      </c>
      <c r="D22" s="110">
        <f t="shared" si="19"/>
        <v>1420.8951188469914</v>
      </c>
      <c r="E22" s="110">
        <f t="shared" si="19"/>
        <v>1529.0972809568007</v>
      </c>
      <c r="F22" s="110">
        <f t="shared" si="19"/>
        <v>1628.9023246956801</v>
      </c>
      <c r="G22" s="110">
        <f t="shared" si="19"/>
        <v>1798.5401762255722</v>
      </c>
      <c r="H22" s="110">
        <f t="shared" si="19"/>
        <v>1951.2455883475914</v>
      </c>
      <c r="I22" s="110">
        <f t="shared" si="19"/>
        <v>2197.4426735985508</v>
      </c>
      <c r="J22" s="110">
        <f t="shared" si="19"/>
        <v>1904.860758328477</v>
      </c>
      <c r="K22" s="110">
        <f t="shared" si="19"/>
        <v>1624.9617186614723</v>
      </c>
      <c r="L22" s="110">
        <f t="shared" si="19"/>
        <v>2070.9335863253878</v>
      </c>
      <c r="M22" s="110">
        <f t="shared" si="19"/>
        <v>2257.8759014278453</v>
      </c>
      <c r="N22" s="110">
        <f t="shared" si="19"/>
        <v>2018.2813832376155</v>
      </c>
      <c r="O22" s="110">
        <f t="shared" si="19"/>
        <v>2141.2896896970101</v>
      </c>
      <c r="P22" s="110">
        <f t="shared" si="19"/>
        <v>2448.5565050150117</v>
      </c>
      <c r="Q22" s="110">
        <f t="shared" si="19"/>
        <v>2879.0267847852319</v>
      </c>
      <c r="R22" s="110">
        <f t="shared" si="19"/>
        <v>3286.3322146128044</v>
      </c>
      <c r="S22" s="110">
        <f t="shared" si="19"/>
        <v>3695.4766145683116</v>
      </c>
      <c r="T22" s="110">
        <f t="shared" si="19"/>
        <v>3705.9468732924925</v>
      </c>
      <c r="U22" s="110">
        <f t="shared" si="19"/>
        <v>3849.9344658576697</v>
      </c>
      <c r="V22" s="110">
        <f t="shared" si="19"/>
        <v>2452.9654151231348</v>
      </c>
      <c r="W22" s="110">
        <f t="shared" ref="W22:Y22" si="20">W23+W24+W25</f>
        <v>2824.2515673988264</v>
      </c>
      <c r="X22" s="110">
        <f t="shared" si="20"/>
        <v>2618.8294596212318</v>
      </c>
      <c r="Y22" s="110">
        <f t="shared" si="20"/>
        <v>2819.953256688384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21.988120865114194</v>
      </c>
      <c r="C23" s="102">
        <f>TrAvia_act!C$9</f>
        <v>39.654772635480072</v>
      </c>
      <c r="D23" s="102">
        <f>TrAvia_act!D$9</f>
        <v>34.533681175230996</v>
      </c>
      <c r="E23" s="102">
        <f>TrAvia_act!E$9</f>
        <v>40.803370310542839</v>
      </c>
      <c r="F23" s="102">
        <f>TrAvia_act!F$9</f>
        <v>37.47204634723775</v>
      </c>
      <c r="G23" s="102">
        <f>TrAvia_act!G$9</f>
        <v>34.226217098574317</v>
      </c>
      <c r="H23" s="102">
        <f>TrAvia_act!H$9</f>
        <v>33.125190195830243</v>
      </c>
      <c r="I23" s="102">
        <f>TrAvia_act!I$9</f>
        <v>36.100600177216187</v>
      </c>
      <c r="J23" s="102">
        <f>TrAvia_act!J$9</f>
        <v>31.179893519607628</v>
      </c>
      <c r="K23" s="102">
        <f>TrAvia_act!K$9</f>
        <v>29.015855495176897</v>
      </c>
      <c r="L23" s="102">
        <f>TrAvia_act!L$9</f>
        <v>30.129880116237835</v>
      </c>
      <c r="M23" s="102">
        <f>TrAvia_act!M$9</f>
        <v>29.727295035967785</v>
      </c>
      <c r="N23" s="102">
        <f>TrAvia_act!N$9</f>
        <v>24.532205061470549</v>
      </c>
      <c r="O23" s="102">
        <f>TrAvia_act!O$9</f>
        <v>23.304388171252402</v>
      </c>
      <c r="P23" s="102">
        <f>TrAvia_act!P$9</f>
        <v>21.973648239975919</v>
      </c>
      <c r="Q23" s="102">
        <f>TrAvia_act!Q$9</f>
        <v>21.324542868435184</v>
      </c>
      <c r="R23" s="102">
        <f>TrAvia_act!R$9</f>
        <v>19.501319315828479</v>
      </c>
      <c r="S23" s="102">
        <f>TrAvia_act!S$9</f>
        <v>19.436410280109886</v>
      </c>
      <c r="T23" s="102">
        <f>TrAvia_act!T$9</f>
        <v>20.270866189461181</v>
      </c>
      <c r="U23" s="102">
        <f>TrAvia_act!U$9</f>
        <v>24.061892143171203</v>
      </c>
      <c r="V23" s="102">
        <f>TrAvia_act!V$9</f>
        <v>23.953256826739203</v>
      </c>
      <c r="W23" s="102">
        <f>TrAvia_act!W$9</f>
        <v>32.327222517400479</v>
      </c>
      <c r="X23" s="102">
        <f>TrAvia_act!X$9</f>
        <v>34.254061163484884</v>
      </c>
      <c r="Y23" s="102">
        <f>TrAvia_act!Y$9</f>
        <v>30.842891572350663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88.599556071139091</v>
      </c>
      <c r="C24" s="102">
        <f>TrAvia_act!C$10</f>
        <v>42.260677868225265</v>
      </c>
      <c r="D24" s="102">
        <f>TrAvia_act!D$10</f>
        <v>164.72200981397572</v>
      </c>
      <c r="E24" s="102">
        <f>TrAvia_act!E$10</f>
        <v>191.5196828715597</v>
      </c>
      <c r="F24" s="102">
        <f>TrAvia_act!F$10</f>
        <v>210.01794804859512</v>
      </c>
      <c r="G24" s="102">
        <f>TrAvia_act!G$10</f>
        <v>220.10311250033715</v>
      </c>
      <c r="H24" s="102">
        <f>TrAvia_act!H$10</f>
        <v>199.49715307868448</v>
      </c>
      <c r="I24" s="102">
        <f>TrAvia_act!I$10</f>
        <v>211.81622921064559</v>
      </c>
      <c r="J24" s="102">
        <f>TrAvia_act!J$10</f>
        <v>188.82137909786206</v>
      </c>
      <c r="K24" s="102">
        <f>TrAvia_act!K$10</f>
        <v>177.24148320571402</v>
      </c>
      <c r="L24" s="102">
        <f>TrAvia_act!L$10</f>
        <v>167.01654311433015</v>
      </c>
      <c r="M24" s="102">
        <f>TrAvia_act!M$10</f>
        <v>161.52552528390356</v>
      </c>
      <c r="N24" s="102">
        <f>TrAvia_act!N$10</f>
        <v>164.86427438778105</v>
      </c>
      <c r="O24" s="102">
        <f>TrAvia_act!O$10</f>
        <v>162.12389711070622</v>
      </c>
      <c r="P24" s="102">
        <f>TrAvia_act!P$10</f>
        <v>167.92844648637396</v>
      </c>
      <c r="Q24" s="102">
        <f>TrAvia_act!Q$10</f>
        <v>182.73010456795353</v>
      </c>
      <c r="R24" s="102">
        <f>TrAvia_act!R$10</f>
        <v>180.55443624117271</v>
      </c>
      <c r="S24" s="102">
        <f>TrAvia_act!S$10</f>
        <v>181.66883427351527</v>
      </c>
      <c r="T24" s="102">
        <f>TrAvia_act!T$10</f>
        <v>185.05499743785933</v>
      </c>
      <c r="U24" s="102">
        <f>TrAvia_act!U$10</f>
        <v>192.934961395622</v>
      </c>
      <c r="V24" s="102">
        <f>TrAvia_act!V$10</f>
        <v>178.17187327686884</v>
      </c>
      <c r="W24" s="102">
        <f>TrAvia_act!W$10</f>
        <v>217.89604419435051</v>
      </c>
      <c r="X24" s="102">
        <f>TrAvia_act!X$10</f>
        <v>236.6053857800824</v>
      </c>
      <c r="Y24" s="102">
        <f>TrAvia_act!Y$10</f>
        <v>219.95723591468908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1573.5268549686682</v>
      </c>
      <c r="C25" s="102">
        <f>TrAvia_act!C$11</f>
        <v>488.05202370148118</v>
      </c>
      <c r="D25" s="102">
        <f>TrAvia_act!D$11</f>
        <v>1221.6394278577848</v>
      </c>
      <c r="E25" s="102">
        <f>TrAvia_act!E$11</f>
        <v>1296.7742277746981</v>
      </c>
      <c r="F25" s="102">
        <f>TrAvia_act!F$11</f>
        <v>1381.4123302998473</v>
      </c>
      <c r="G25" s="102">
        <f>TrAvia_act!G$11</f>
        <v>1544.2108466266607</v>
      </c>
      <c r="H25" s="102">
        <f>TrAvia_act!H$11</f>
        <v>1718.6232450730765</v>
      </c>
      <c r="I25" s="102">
        <f>TrAvia_act!I$11</f>
        <v>1949.5258442106888</v>
      </c>
      <c r="J25" s="102">
        <f>TrAvia_act!J$11</f>
        <v>1684.8594857110074</v>
      </c>
      <c r="K25" s="102">
        <f>TrAvia_act!K$11</f>
        <v>1418.7043799605815</v>
      </c>
      <c r="L25" s="102">
        <f>TrAvia_act!L$11</f>
        <v>1873.7871630948196</v>
      </c>
      <c r="M25" s="102">
        <f>TrAvia_act!M$11</f>
        <v>2066.623081107974</v>
      </c>
      <c r="N25" s="102">
        <f>TrAvia_act!N$11</f>
        <v>1828.8849037883638</v>
      </c>
      <c r="O25" s="102">
        <f>TrAvia_act!O$11</f>
        <v>1955.8614044150513</v>
      </c>
      <c r="P25" s="102">
        <f>TrAvia_act!P$11</f>
        <v>2258.6544102886619</v>
      </c>
      <c r="Q25" s="102">
        <f>TrAvia_act!Q$11</f>
        <v>2674.9721373488433</v>
      </c>
      <c r="R25" s="102">
        <f>TrAvia_act!R$11</f>
        <v>3086.2764590558031</v>
      </c>
      <c r="S25" s="102">
        <f>TrAvia_act!S$11</f>
        <v>3494.3713700146864</v>
      </c>
      <c r="T25" s="102">
        <f>TrAvia_act!T$11</f>
        <v>3500.6210096651721</v>
      </c>
      <c r="U25" s="102">
        <f>TrAvia_act!U$11</f>
        <v>3632.9376123188763</v>
      </c>
      <c r="V25" s="102">
        <f>TrAvia_act!V$11</f>
        <v>2250.8402850195266</v>
      </c>
      <c r="W25" s="102">
        <f>TrAvia_act!W$11</f>
        <v>2574.0283006870754</v>
      </c>
      <c r="X25" s="102">
        <f>TrAvia_act!X$11</f>
        <v>2347.9700126776643</v>
      </c>
      <c r="Y25" s="102">
        <f>TrAvia_act!Y$11</f>
        <v>2569.1531292013442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27342.11</v>
      </c>
      <c r="C26" s="110">
        <f t="shared" si="21"/>
        <v>26488.593000000001</v>
      </c>
      <c r="D26" s="110">
        <f t="shared" si="21"/>
        <v>29084.048999999999</v>
      </c>
      <c r="E26" s="110">
        <f t="shared" si="21"/>
        <v>32106.807000000001</v>
      </c>
      <c r="F26" s="110">
        <f t="shared" si="21"/>
        <v>32002.659000000003</v>
      </c>
      <c r="G26" s="110">
        <f t="shared" si="21"/>
        <v>36327.760000000002</v>
      </c>
      <c r="H26" s="110">
        <f t="shared" si="21"/>
        <v>36166.824000000001</v>
      </c>
      <c r="I26" s="110">
        <f t="shared" si="21"/>
        <v>40779.588000000003</v>
      </c>
      <c r="J26" s="110">
        <f t="shared" si="21"/>
        <v>37407.728000000003</v>
      </c>
      <c r="K26" s="110">
        <f t="shared" si="21"/>
        <v>39934.504999999997</v>
      </c>
      <c r="L26" s="110">
        <f t="shared" si="21"/>
        <v>40497.341999999997</v>
      </c>
      <c r="M26" s="110">
        <f t="shared" si="21"/>
        <v>42238.108</v>
      </c>
      <c r="N26" s="110">
        <f t="shared" si="21"/>
        <v>38617.879000000001</v>
      </c>
      <c r="O26" s="110">
        <f t="shared" si="21"/>
        <v>38141.118000000002</v>
      </c>
      <c r="P26" s="110">
        <f t="shared" si="21"/>
        <v>41283.500999999997</v>
      </c>
      <c r="Q26" s="110">
        <f t="shared" si="21"/>
        <v>40030.474999999999</v>
      </c>
      <c r="R26" s="110">
        <f t="shared" ref="R26:V26" si="22">R27+R28</f>
        <v>44831.692000000003</v>
      </c>
      <c r="S26" s="110">
        <f t="shared" si="22"/>
        <v>46228.118999999999</v>
      </c>
      <c r="T26" s="110">
        <f t="shared" si="22"/>
        <v>45347.991999999998</v>
      </c>
      <c r="U26" s="110">
        <f t="shared" si="22"/>
        <v>44216.866000000002</v>
      </c>
      <c r="V26" s="110">
        <f t="shared" si="22"/>
        <v>43318.196000000004</v>
      </c>
      <c r="W26" s="110">
        <f t="shared" ref="W26:Y26" si="23">W27+W28</f>
        <v>42395.232000000004</v>
      </c>
      <c r="X26" s="110">
        <f t="shared" si="23"/>
        <v>45986.078000000001</v>
      </c>
      <c r="Y26" s="110">
        <f t="shared" si="23"/>
        <v>42202.894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27172.544000000002</v>
      </c>
      <c r="C27" s="102">
        <f>TrNavi_act!C4</f>
        <v>26327.569</v>
      </c>
      <c r="D27" s="102">
        <f>TrNavi_act!D4</f>
        <v>28993.986000000001</v>
      </c>
      <c r="E27" s="102">
        <f>TrNavi_act!E4</f>
        <v>32015.987000000001</v>
      </c>
      <c r="F27" s="102">
        <f>TrNavi_act!F4</f>
        <v>31892.829000000002</v>
      </c>
      <c r="G27" s="102">
        <f>TrNavi_act!G4</f>
        <v>36239.01</v>
      </c>
      <c r="H27" s="102">
        <f>TrNavi_act!H4</f>
        <v>36090.85</v>
      </c>
      <c r="I27" s="102">
        <f>TrNavi_act!I4</f>
        <v>40686.588000000003</v>
      </c>
      <c r="J27" s="102">
        <f>TrNavi_act!J4</f>
        <v>37343.728000000003</v>
      </c>
      <c r="K27" s="102">
        <f>TrNavi_act!K4</f>
        <v>39880.504999999997</v>
      </c>
      <c r="L27" s="102">
        <f>TrNavi_act!L4</f>
        <v>40389.341999999997</v>
      </c>
      <c r="M27" s="102">
        <f>TrNavi_act!M4</f>
        <v>42094.108</v>
      </c>
      <c r="N27" s="102">
        <f>TrNavi_act!N4</f>
        <v>38536.879000000001</v>
      </c>
      <c r="O27" s="102">
        <f>TrNavi_act!O4</f>
        <v>38052.118000000002</v>
      </c>
      <c r="P27" s="102">
        <f>TrNavi_act!P4</f>
        <v>41219.500999999997</v>
      </c>
      <c r="Q27" s="102">
        <f>TrNavi_act!Q4</f>
        <v>39968.474999999999</v>
      </c>
      <c r="R27" s="102">
        <f>TrNavi_act!R4</f>
        <v>44764.692000000003</v>
      </c>
      <c r="S27" s="102">
        <f>TrNavi_act!S4</f>
        <v>46167.118999999999</v>
      </c>
      <c r="T27" s="102">
        <f>TrNavi_act!T4</f>
        <v>45273.991999999998</v>
      </c>
      <c r="U27" s="102">
        <f>TrNavi_act!U4</f>
        <v>44161.866000000002</v>
      </c>
      <c r="V27" s="102">
        <f>TrNavi_act!V4</f>
        <v>43194.196000000004</v>
      </c>
      <c r="W27" s="102">
        <f>TrNavi_act!W4</f>
        <v>42255.232000000004</v>
      </c>
      <c r="X27" s="102">
        <f>TrNavi_act!X4</f>
        <v>45886.078000000001</v>
      </c>
      <c r="Y27" s="102">
        <f>TrNavi_act!Y4</f>
        <v>42196.894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169.566</v>
      </c>
      <c r="C28" s="169">
        <f>TrNavi_act!C5</f>
        <v>161.024</v>
      </c>
      <c r="D28" s="169">
        <f>TrNavi_act!D5</f>
        <v>90.063000000000002</v>
      </c>
      <c r="E28" s="169">
        <f>TrNavi_act!E5</f>
        <v>90.82</v>
      </c>
      <c r="F28" s="169">
        <f>TrNavi_act!F5</f>
        <v>109.83</v>
      </c>
      <c r="G28" s="169">
        <f>TrNavi_act!G5</f>
        <v>88.75</v>
      </c>
      <c r="H28" s="169">
        <f>TrNavi_act!H5</f>
        <v>75.974000000000004</v>
      </c>
      <c r="I28" s="169">
        <f>TrNavi_act!I5</f>
        <v>93</v>
      </c>
      <c r="J28" s="169">
        <f>TrNavi_act!J5</f>
        <v>64</v>
      </c>
      <c r="K28" s="169">
        <f>TrNavi_act!K5</f>
        <v>54</v>
      </c>
      <c r="L28" s="169">
        <f>TrNavi_act!L5</f>
        <v>108</v>
      </c>
      <c r="M28" s="169">
        <f>TrNavi_act!M5</f>
        <v>144</v>
      </c>
      <c r="N28" s="169">
        <f>TrNavi_act!N5</f>
        <v>81</v>
      </c>
      <c r="O28" s="169">
        <f>TrNavi_act!O5</f>
        <v>89</v>
      </c>
      <c r="P28" s="169">
        <f>TrNavi_act!P5</f>
        <v>64</v>
      </c>
      <c r="Q28" s="169">
        <f>TrNavi_act!Q5</f>
        <v>62</v>
      </c>
      <c r="R28" s="169">
        <f>TrNavi_act!R5</f>
        <v>67</v>
      </c>
      <c r="S28" s="169">
        <f>TrNavi_act!S5</f>
        <v>61</v>
      </c>
      <c r="T28" s="169">
        <f>TrNavi_act!T5</f>
        <v>74</v>
      </c>
      <c r="U28" s="169">
        <f>TrNavi_act!U5</f>
        <v>55</v>
      </c>
      <c r="V28" s="169">
        <f>TrNavi_act!V5</f>
        <v>124</v>
      </c>
      <c r="W28" s="169">
        <f>TrNavi_act!W5</f>
        <v>140</v>
      </c>
      <c r="X28" s="169">
        <f>TrNavi_act!X5</f>
        <v>100</v>
      </c>
      <c r="Y28" s="169">
        <f>TrNavi_act!Y5</f>
        <v>6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744676.87866399996</v>
      </c>
      <c r="C29" s="28">
        <f t="shared" si="24"/>
        <v>765278.34657499997</v>
      </c>
      <c r="D29" s="28">
        <f t="shared" si="24"/>
        <v>762486.09917299997</v>
      </c>
      <c r="E29" s="28">
        <f t="shared" si="24"/>
        <v>791666.98267399997</v>
      </c>
      <c r="F29" s="28">
        <f t="shared" si="24"/>
        <v>816257.25641199993</v>
      </c>
      <c r="G29" s="28">
        <f t="shared" si="24"/>
        <v>816250.22021599999</v>
      </c>
      <c r="H29" s="28">
        <f t="shared" si="24"/>
        <v>864046.68154700007</v>
      </c>
      <c r="I29" s="28">
        <f t="shared" si="24"/>
        <v>863025.60061500012</v>
      </c>
      <c r="J29" s="28">
        <f t="shared" si="24"/>
        <v>829212.691139</v>
      </c>
      <c r="K29" s="28">
        <f t="shared" si="24"/>
        <v>690006.21739999996</v>
      </c>
      <c r="L29" s="28">
        <f t="shared" si="24"/>
        <v>713443.1107790001</v>
      </c>
      <c r="M29" s="28">
        <f t="shared" si="24"/>
        <v>761897.38502699998</v>
      </c>
      <c r="N29" s="28">
        <f t="shared" si="24"/>
        <v>715583.39110499993</v>
      </c>
      <c r="O29" s="28">
        <f t="shared" si="24"/>
        <v>684209.66777099995</v>
      </c>
      <c r="P29" s="28">
        <f t="shared" si="24"/>
        <v>634356.60387999995</v>
      </c>
      <c r="Q29" s="28">
        <f t="shared" si="24"/>
        <v>678072.48890400003</v>
      </c>
      <c r="R29" s="28">
        <f t="shared" si="24"/>
        <v>630528.994894</v>
      </c>
      <c r="S29" s="28">
        <f t="shared" si="24"/>
        <v>628463.89535300003</v>
      </c>
      <c r="T29" s="28">
        <f t="shared" si="24"/>
        <v>683842.61781099997</v>
      </c>
      <c r="U29" s="28">
        <f t="shared" si="24"/>
        <v>737369.97070299997</v>
      </c>
      <c r="V29" s="28">
        <f t="shared" si="24"/>
        <v>643904.504113</v>
      </c>
      <c r="W29" s="28">
        <f t="shared" si="24"/>
        <v>713704.98904199991</v>
      </c>
      <c r="X29" s="28">
        <f t="shared" ref="X29:Y29" si="25">X30+X31</f>
        <v>707504.68898999994</v>
      </c>
      <c r="Y29" s="28">
        <f t="shared" si="25"/>
        <v>700589.77987999993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104817.92207300001</v>
      </c>
      <c r="C30" s="102">
        <f>MBunk_act!C$4</f>
        <v>101321.57058700001</v>
      </c>
      <c r="D30" s="102">
        <f>MBunk_act!D$4</f>
        <v>106850.541595</v>
      </c>
      <c r="E30" s="102">
        <f>MBunk_act!E$4</f>
        <v>108663.211146</v>
      </c>
      <c r="F30" s="102">
        <f>MBunk_act!F$4</f>
        <v>105685.678747</v>
      </c>
      <c r="G30" s="102">
        <f>MBunk_act!G$4</f>
        <v>101382.096909</v>
      </c>
      <c r="H30" s="102">
        <f>MBunk_act!H$4</f>
        <v>105378.11022500001</v>
      </c>
      <c r="I30" s="102">
        <f>MBunk_act!I$4</f>
        <v>100630.200759</v>
      </c>
      <c r="J30" s="102">
        <f>MBunk_act!J$4</f>
        <v>112844.030644</v>
      </c>
      <c r="K30" s="102">
        <f>MBunk_act!K$4</f>
        <v>89502.935462000009</v>
      </c>
      <c r="L30" s="102">
        <f>MBunk_act!L$4</f>
        <v>95804.006362</v>
      </c>
      <c r="M30" s="102">
        <f>MBunk_act!M$4</f>
        <v>100957.01861500001</v>
      </c>
      <c r="N30" s="102">
        <f>MBunk_act!N$4</f>
        <v>97975.156336999993</v>
      </c>
      <c r="O30" s="102">
        <f>MBunk_act!O$4</f>
        <v>105005.784998</v>
      </c>
      <c r="P30" s="102">
        <f>MBunk_act!P$4</f>
        <v>94732.316141999996</v>
      </c>
      <c r="Q30" s="102">
        <f>MBunk_act!Q$4</f>
        <v>95591.253031999993</v>
      </c>
      <c r="R30" s="102">
        <f>MBunk_act!R$4</f>
        <v>100378.45395800001</v>
      </c>
      <c r="S30" s="102">
        <f>MBunk_act!S$4</f>
        <v>101912.27463100001</v>
      </c>
      <c r="T30" s="102">
        <f>MBunk_act!T$4</f>
        <v>128716.47048100001</v>
      </c>
      <c r="U30" s="102">
        <f>MBunk_act!U$4</f>
        <v>125970.643996</v>
      </c>
      <c r="V30" s="102">
        <f>MBunk_act!V$4</f>
        <v>109887.804516</v>
      </c>
      <c r="W30" s="102">
        <f>MBunk_act!W$4</f>
        <v>115227.463942</v>
      </c>
      <c r="X30" s="102">
        <f>MBunk_act!X$4</f>
        <v>115399.665802</v>
      </c>
      <c r="Y30" s="102">
        <f>MBunk_act!Y$4</f>
        <v>116804.283409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639858.95659099997</v>
      </c>
      <c r="C31" s="86">
        <f>MBunk_act!C$5</f>
        <v>663956.77598799998</v>
      </c>
      <c r="D31" s="86">
        <f>MBunk_act!D$5</f>
        <v>655635.55757800001</v>
      </c>
      <c r="E31" s="86">
        <f>MBunk_act!E$5</f>
        <v>683003.77152800001</v>
      </c>
      <c r="F31" s="86">
        <f>MBunk_act!F$5</f>
        <v>710571.57766499999</v>
      </c>
      <c r="G31" s="86">
        <f>MBunk_act!G$5</f>
        <v>714868.12330700003</v>
      </c>
      <c r="H31" s="86">
        <f>MBunk_act!H$5</f>
        <v>758668.571322</v>
      </c>
      <c r="I31" s="86">
        <f>MBunk_act!I$5</f>
        <v>762395.39985600009</v>
      </c>
      <c r="J31" s="86">
        <f>MBunk_act!J$5</f>
        <v>716368.66049499996</v>
      </c>
      <c r="K31" s="86">
        <f>MBunk_act!K$5</f>
        <v>600503.281938</v>
      </c>
      <c r="L31" s="86">
        <f>MBunk_act!L$5</f>
        <v>617639.10441700008</v>
      </c>
      <c r="M31" s="86">
        <f>MBunk_act!M$5</f>
        <v>660940.36641200003</v>
      </c>
      <c r="N31" s="86">
        <f>MBunk_act!N$5</f>
        <v>617608.23476799997</v>
      </c>
      <c r="O31" s="86">
        <f>MBunk_act!O$5</f>
        <v>579203.88277299993</v>
      </c>
      <c r="P31" s="86">
        <f>MBunk_act!P$5</f>
        <v>539624.28773799993</v>
      </c>
      <c r="Q31" s="86">
        <f>MBunk_act!Q$5</f>
        <v>582481.23587199999</v>
      </c>
      <c r="R31" s="86">
        <f>MBunk_act!R$5</f>
        <v>530150.54093599995</v>
      </c>
      <c r="S31" s="86">
        <f>MBunk_act!S$5</f>
        <v>526551.62072200002</v>
      </c>
      <c r="T31" s="86">
        <f>MBunk_act!T$5</f>
        <v>555126.14732999995</v>
      </c>
      <c r="U31" s="86">
        <f>MBunk_act!U$5</f>
        <v>611399.32670700003</v>
      </c>
      <c r="V31" s="86">
        <f>MBunk_act!V$5</f>
        <v>534016.69959700003</v>
      </c>
      <c r="W31" s="86">
        <f>MBunk_act!W$5</f>
        <v>598477.52509999997</v>
      </c>
      <c r="X31" s="86">
        <f>MBunk_act!X$5</f>
        <v>592105.02318799996</v>
      </c>
      <c r="Y31" s="86">
        <f>MBunk_act!Y$5</f>
        <v>583785.4964709999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30842.108909811341</v>
      </c>
      <c r="C34" s="28">
        <f t="shared" si="26"/>
        <v>30794.84851907377</v>
      </c>
      <c r="D34" s="28">
        <f t="shared" si="26"/>
        <v>31421.584649910837</v>
      </c>
      <c r="E34" s="28">
        <f t="shared" si="26"/>
        <v>31668.307727938965</v>
      </c>
      <c r="F34" s="28">
        <f t="shared" si="26"/>
        <v>31930.170606262054</v>
      </c>
      <c r="G34" s="28">
        <f t="shared" si="26"/>
        <v>30844.516428238327</v>
      </c>
      <c r="H34" s="28">
        <f t="shared" si="26"/>
        <v>31870.738255221782</v>
      </c>
      <c r="I34" s="28">
        <f t="shared" si="26"/>
        <v>31889.160330049715</v>
      </c>
      <c r="J34" s="28">
        <f t="shared" si="26"/>
        <v>31305.795888640994</v>
      </c>
      <c r="K34" s="28">
        <f t="shared" si="26"/>
        <v>30883.621916862288</v>
      </c>
      <c r="L34" s="28">
        <f t="shared" si="26"/>
        <v>30229.941638282027</v>
      </c>
      <c r="M34" s="28">
        <f t="shared" si="26"/>
        <v>29876.786517575823</v>
      </c>
      <c r="N34" s="28">
        <f t="shared" si="26"/>
        <v>27975.87532931826</v>
      </c>
      <c r="O34" s="28">
        <f t="shared" si="26"/>
        <v>28578.015439210252</v>
      </c>
      <c r="P34" s="28">
        <f t="shared" si="26"/>
        <v>29974.331297576282</v>
      </c>
      <c r="Q34" s="28">
        <f t="shared" si="26"/>
        <v>30313.552958770717</v>
      </c>
      <c r="R34" s="28">
        <f t="shared" ref="R34:V34" si="27">R35+R39+R43</f>
        <v>30541.420292300245</v>
      </c>
      <c r="S34" s="28">
        <f t="shared" si="27"/>
        <v>30377.943707878967</v>
      </c>
      <c r="T34" s="28">
        <f t="shared" si="27"/>
        <v>30874.327733264174</v>
      </c>
      <c r="U34" s="28">
        <f t="shared" si="27"/>
        <v>31236.372109666761</v>
      </c>
      <c r="V34" s="28">
        <f t="shared" si="27"/>
        <v>22604.442943485119</v>
      </c>
      <c r="W34" s="28">
        <f t="shared" ref="W34:Y34" si="28">W35+W39+W43</f>
        <v>26067.068952659665</v>
      </c>
      <c r="X34" s="28">
        <f t="shared" si="28"/>
        <v>28421.898115370415</v>
      </c>
      <c r="Y34" s="28">
        <f t="shared" si="28"/>
        <v>30032.509078667419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27061.163093779094</v>
      </c>
      <c r="C35" s="137">
        <f t="shared" si="29"/>
        <v>27235.516356515323</v>
      </c>
      <c r="D35" s="137">
        <f t="shared" si="29"/>
        <v>27941.647502744563</v>
      </c>
      <c r="E35" s="137">
        <f t="shared" si="29"/>
        <v>27788.083952683617</v>
      </c>
      <c r="F35" s="137">
        <f t="shared" si="29"/>
        <v>28109.568332696177</v>
      </c>
      <c r="G35" s="137">
        <f t="shared" si="29"/>
        <v>26904.105247554657</v>
      </c>
      <c r="H35" s="137">
        <f t="shared" si="29"/>
        <v>27703.352940959408</v>
      </c>
      <c r="I35" s="137">
        <f t="shared" si="29"/>
        <v>27504.31964509554</v>
      </c>
      <c r="J35" s="137">
        <f t="shared" si="29"/>
        <v>27070.504810854301</v>
      </c>
      <c r="K35" s="137">
        <f t="shared" si="29"/>
        <v>26986.116188116517</v>
      </c>
      <c r="L35" s="137">
        <f t="shared" si="29"/>
        <v>26160.443735552813</v>
      </c>
      <c r="M35" s="137">
        <f t="shared" si="29"/>
        <v>25736.569817772735</v>
      </c>
      <c r="N35" s="137">
        <f t="shared" si="29"/>
        <v>23960.093607323797</v>
      </c>
      <c r="O35" s="137">
        <f t="shared" si="29"/>
        <v>24670.754795925386</v>
      </c>
      <c r="P35" s="137">
        <f t="shared" si="29"/>
        <v>26052.121785692187</v>
      </c>
      <c r="Q35" s="137">
        <f t="shared" si="29"/>
        <v>26264.190690748706</v>
      </c>
      <c r="R35" s="137">
        <f t="shared" ref="R35:V35" si="30">R36+R37+R38</f>
        <v>26334.837670846049</v>
      </c>
      <c r="S35" s="137">
        <f t="shared" si="30"/>
        <v>25979.190738715042</v>
      </c>
      <c r="T35" s="137">
        <f t="shared" si="30"/>
        <v>25936.986420933012</v>
      </c>
      <c r="U35" s="137">
        <f t="shared" si="30"/>
        <v>26150.693455866895</v>
      </c>
      <c r="V35" s="137">
        <f t="shared" si="30"/>
        <v>20644.286230012192</v>
      </c>
      <c r="W35" s="137">
        <f t="shared" ref="W35:Y35" si="31">W36+W37+W38</f>
        <v>23844.088213936884</v>
      </c>
      <c r="X35" s="137">
        <f t="shared" si="31"/>
        <v>24581.96870161804</v>
      </c>
      <c r="Y35" s="137">
        <f t="shared" si="31"/>
        <v>25210.501641787247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1434.542907035378</v>
      </c>
      <c r="C36" s="102">
        <f>TrRoad_ene!C$19</f>
        <v>1448.9574029485786</v>
      </c>
      <c r="D36" s="102">
        <f>TrRoad_ene!D$19</f>
        <v>1421.7183656079008</v>
      </c>
      <c r="E36" s="102">
        <f>TrRoad_ene!E$19</f>
        <v>1433.0375151289957</v>
      </c>
      <c r="F36" s="102">
        <f>TrRoad_ene!F$19</f>
        <v>1474.4307383011997</v>
      </c>
      <c r="G36" s="102">
        <f>TrRoad_ene!G$19</f>
        <v>1465.091900204686</v>
      </c>
      <c r="H36" s="102">
        <f>TrRoad_ene!H$19</f>
        <v>1374.3817295810074</v>
      </c>
      <c r="I36" s="102">
        <f>TrRoad_ene!I$19</f>
        <v>1203.5586066194176</v>
      </c>
      <c r="J36" s="102">
        <f>TrRoad_ene!J$19</f>
        <v>1249.4951289977198</v>
      </c>
      <c r="K36" s="102">
        <f>TrRoad_ene!K$19</f>
        <v>1142.7380213431818</v>
      </c>
      <c r="L36" s="102">
        <f>TrRoad_ene!L$19</f>
        <v>1152.8029841905777</v>
      </c>
      <c r="M36" s="102">
        <f>TrRoad_ene!M$19</f>
        <v>1174.541087230418</v>
      </c>
      <c r="N36" s="102">
        <f>TrRoad_ene!N$19</f>
        <v>1119.8840885967409</v>
      </c>
      <c r="O36" s="102">
        <f>TrRoad_ene!O$19</f>
        <v>1077.2592791893198</v>
      </c>
      <c r="P36" s="102">
        <f>TrRoad_ene!P$19</f>
        <v>1080.8849947556646</v>
      </c>
      <c r="Q36" s="102">
        <f>TrRoad_ene!Q$19</f>
        <v>1066.5370362746182</v>
      </c>
      <c r="R36" s="102">
        <f>TrRoad_ene!R$19</f>
        <v>1081.9858189111787</v>
      </c>
      <c r="S36" s="102">
        <f>TrRoad_ene!S$19</f>
        <v>1011.5966097700746</v>
      </c>
      <c r="T36" s="102">
        <f>TrRoad_ene!T$19</f>
        <v>958.62998171132233</v>
      </c>
      <c r="U36" s="102">
        <f>TrRoad_ene!U$19</f>
        <v>1034.7855391380333</v>
      </c>
      <c r="V36" s="102">
        <f>TrRoad_ene!V$19</f>
        <v>901.28272044671576</v>
      </c>
      <c r="W36" s="102">
        <f>TrRoad_ene!W$19</f>
        <v>963.41719516449598</v>
      </c>
      <c r="X36" s="102">
        <f>TrRoad_ene!X$19</f>
        <v>970.26084994806831</v>
      </c>
      <c r="Y36" s="102">
        <f>TrRoad_ene!Y$19</f>
        <v>1046.7918643851601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23501.54009700369</v>
      </c>
      <c r="C37" s="102">
        <f>TrRoad_ene!C$21</f>
        <v>23654.277857281075</v>
      </c>
      <c r="D37" s="102">
        <f>TrRoad_ene!D$21</f>
        <v>24372.805795101762</v>
      </c>
      <c r="E37" s="102">
        <f>TrRoad_ene!E$21</f>
        <v>24208.497007534257</v>
      </c>
      <c r="F37" s="102">
        <f>TrRoad_ene!F$21</f>
        <v>24470.658365917643</v>
      </c>
      <c r="G37" s="102">
        <f>TrRoad_ene!G$21</f>
        <v>23272.348345675109</v>
      </c>
      <c r="H37" s="102">
        <f>TrRoad_ene!H$21</f>
        <v>24144.077261218044</v>
      </c>
      <c r="I37" s="102">
        <f>TrRoad_ene!I$21</f>
        <v>24121.987049970485</v>
      </c>
      <c r="J37" s="102">
        <f>TrRoad_ene!J$21</f>
        <v>23623.26719009798</v>
      </c>
      <c r="K37" s="102">
        <f>TrRoad_ene!K$21</f>
        <v>23655.74555515754</v>
      </c>
      <c r="L37" s="102">
        <f>TrRoad_ene!L$21</f>
        <v>22785.703495606529</v>
      </c>
      <c r="M37" s="102">
        <f>TrRoad_ene!M$21</f>
        <v>22275.223737448567</v>
      </c>
      <c r="N37" s="102">
        <f>TrRoad_ene!N$21</f>
        <v>20636.899575339648</v>
      </c>
      <c r="O37" s="102">
        <f>TrRoad_ene!O$21</f>
        <v>21382.008597491615</v>
      </c>
      <c r="P37" s="102">
        <f>TrRoad_ene!P$21</f>
        <v>22747.437074379905</v>
      </c>
      <c r="Q37" s="102">
        <f>TrRoad_ene!Q$21</f>
        <v>22916.753913569883</v>
      </c>
      <c r="R37" s="102">
        <f>TrRoad_ene!R$21</f>
        <v>22993.190268675236</v>
      </c>
      <c r="S37" s="102">
        <f>TrRoad_ene!S$21</f>
        <v>22688.355501630682</v>
      </c>
      <c r="T37" s="102">
        <f>TrRoad_ene!T$21</f>
        <v>22751.112204767829</v>
      </c>
      <c r="U37" s="102">
        <f>TrRoad_ene!U$21</f>
        <v>22799.084713058284</v>
      </c>
      <c r="V37" s="102">
        <f>TrRoad_ene!V$21</f>
        <v>17486.825122448507</v>
      </c>
      <c r="W37" s="102">
        <f>TrRoad_ene!W$21</f>
        <v>20550.060414523159</v>
      </c>
      <c r="X37" s="102">
        <f>TrRoad_ene!X$21</f>
        <v>21385.8981063795</v>
      </c>
      <c r="Y37" s="102">
        <f>TrRoad_ene!Y$21</f>
        <v>22004.008635323924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2125.080089740025</v>
      </c>
      <c r="C38" s="102">
        <f>TrRoad_ene!C$33</f>
        <v>2132.2810962856715</v>
      </c>
      <c r="D38" s="102">
        <f>TrRoad_ene!D$33</f>
        <v>2147.1233420349008</v>
      </c>
      <c r="E38" s="102">
        <f>TrRoad_ene!E$33</f>
        <v>2146.5494300203654</v>
      </c>
      <c r="F38" s="102">
        <f>TrRoad_ene!F$33</f>
        <v>2164.4792284773357</v>
      </c>
      <c r="G38" s="102">
        <f>TrRoad_ene!G$33</f>
        <v>2166.6650016748595</v>
      </c>
      <c r="H38" s="102">
        <f>TrRoad_ene!H$33</f>
        <v>2184.8939501603563</v>
      </c>
      <c r="I38" s="102">
        <f>TrRoad_ene!I$33</f>
        <v>2178.7739885056371</v>
      </c>
      <c r="J38" s="102">
        <f>TrRoad_ene!J$33</f>
        <v>2197.7424917586004</v>
      </c>
      <c r="K38" s="102">
        <f>TrRoad_ene!K$33</f>
        <v>2187.6326116157925</v>
      </c>
      <c r="L38" s="102">
        <f>TrRoad_ene!L$33</f>
        <v>2221.9372557557076</v>
      </c>
      <c r="M38" s="102">
        <f>TrRoad_ene!M$33</f>
        <v>2286.8049930937509</v>
      </c>
      <c r="N38" s="102">
        <f>TrRoad_ene!N$33</f>
        <v>2203.3099433874072</v>
      </c>
      <c r="O38" s="102">
        <f>TrRoad_ene!O$33</f>
        <v>2211.486919244453</v>
      </c>
      <c r="P38" s="102">
        <f>TrRoad_ene!P$33</f>
        <v>2223.7997165566189</v>
      </c>
      <c r="Q38" s="102">
        <f>TrRoad_ene!Q$33</f>
        <v>2280.8997409042076</v>
      </c>
      <c r="R38" s="102">
        <f>TrRoad_ene!R$33</f>
        <v>2259.661583259634</v>
      </c>
      <c r="S38" s="102">
        <f>TrRoad_ene!S$33</f>
        <v>2279.2386273142856</v>
      </c>
      <c r="T38" s="102">
        <f>TrRoad_ene!T$33</f>
        <v>2227.2442344538626</v>
      </c>
      <c r="U38" s="102">
        <f>TrRoad_ene!U$33</f>
        <v>2316.8232036705758</v>
      </c>
      <c r="V38" s="102">
        <f>TrRoad_ene!V$33</f>
        <v>2256.1783871169664</v>
      </c>
      <c r="W38" s="102">
        <f>TrRoad_ene!W$33</f>
        <v>2330.6106042492288</v>
      </c>
      <c r="X38" s="102">
        <f>TrRoad_ene!X$33</f>
        <v>2225.8097452904731</v>
      </c>
      <c r="Y38" s="102">
        <f>TrRoad_ene!Y$33</f>
        <v>2159.7011420781646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455.29152163947532</v>
      </c>
      <c r="C39" s="110">
        <f t="shared" si="32"/>
        <v>434.37300297149011</v>
      </c>
      <c r="D39" s="110">
        <f t="shared" si="32"/>
        <v>444.74543202600461</v>
      </c>
      <c r="E39" s="110">
        <f t="shared" si="32"/>
        <v>461.14145343097181</v>
      </c>
      <c r="F39" s="110">
        <f t="shared" si="32"/>
        <v>432.35181021863798</v>
      </c>
      <c r="G39" s="110">
        <f t="shared" si="32"/>
        <v>425.44678726705177</v>
      </c>
      <c r="H39" s="110">
        <f t="shared" si="32"/>
        <v>415.76964682909954</v>
      </c>
      <c r="I39" s="110">
        <f t="shared" si="32"/>
        <v>408.1821747156535</v>
      </c>
      <c r="J39" s="110">
        <f t="shared" si="32"/>
        <v>388.62458226126091</v>
      </c>
      <c r="K39" s="110">
        <f t="shared" si="32"/>
        <v>394.04417270453706</v>
      </c>
      <c r="L39" s="110">
        <f t="shared" si="32"/>
        <v>406.71796618792638</v>
      </c>
      <c r="M39" s="110">
        <f t="shared" si="32"/>
        <v>395.79523729330026</v>
      </c>
      <c r="N39" s="110">
        <f t="shared" si="32"/>
        <v>411.82319538042208</v>
      </c>
      <c r="O39" s="110">
        <f t="shared" si="32"/>
        <v>417.82374235042676</v>
      </c>
      <c r="P39" s="110">
        <f t="shared" si="32"/>
        <v>393.88035240006474</v>
      </c>
      <c r="Q39" s="110">
        <f t="shared" si="32"/>
        <v>409.81216123163279</v>
      </c>
      <c r="R39" s="110">
        <f t="shared" ref="R39:V39" si="33">R40+R41+R42</f>
        <v>426.47300670682137</v>
      </c>
      <c r="S39" s="110">
        <f t="shared" si="33"/>
        <v>448.40927789024965</v>
      </c>
      <c r="T39" s="110">
        <f t="shared" si="33"/>
        <v>475.05705130135374</v>
      </c>
      <c r="U39" s="110">
        <f t="shared" si="33"/>
        <v>457.96831119490361</v>
      </c>
      <c r="V39" s="110">
        <f t="shared" si="33"/>
        <v>381.63639417882007</v>
      </c>
      <c r="W39" s="110">
        <f t="shared" ref="W39:Y39" si="34">W40+W41+W42</f>
        <v>401.09960457356397</v>
      </c>
      <c r="X39" s="110">
        <f t="shared" si="34"/>
        <v>413.3920159558831</v>
      </c>
      <c r="Y39" s="110">
        <f t="shared" si="34"/>
        <v>443.68963694948241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24.334201197155874</v>
      </c>
      <c r="C40" s="102">
        <f>TrRail_ene!C$12</f>
        <v>24.163754337655149</v>
      </c>
      <c r="D40" s="102">
        <f>TrRail_ene!D$12</f>
        <v>25.010221327443144</v>
      </c>
      <c r="E40" s="102">
        <f>TrRail_ene!E$12</f>
        <v>25.507100548594988</v>
      </c>
      <c r="F40" s="102">
        <f>TrRail_ene!F$12</f>
        <v>26.236306887391059</v>
      </c>
      <c r="G40" s="102">
        <f>TrRail_ene!G$12</f>
        <v>26.021846325317107</v>
      </c>
      <c r="H40" s="102">
        <f>TrRail_ene!H$12</f>
        <v>26.465690674074214</v>
      </c>
      <c r="I40" s="102">
        <f>TrRail_ene!I$12</f>
        <v>28.350551429913263</v>
      </c>
      <c r="J40" s="102">
        <f>TrRail_ene!J$12</f>
        <v>28.627288648637627</v>
      </c>
      <c r="K40" s="102">
        <f>TrRail_ene!K$12</f>
        <v>28.772838752020292</v>
      </c>
      <c r="L40" s="102">
        <f>TrRail_ene!L$12</f>
        <v>28.786484547643145</v>
      </c>
      <c r="M40" s="102">
        <f>TrRail_ene!M$12</f>
        <v>28.426384269889887</v>
      </c>
      <c r="N40" s="102">
        <f>TrRail_ene!N$12</f>
        <v>25.780755563318984</v>
      </c>
      <c r="O40" s="102">
        <f>TrRail_ene!O$12</f>
        <v>25.66039605732788</v>
      </c>
      <c r="P40" s="102">
        <f>TrRail_ene!P$12</f>
        <v>25.176443812412654</v>
      </c>
      <c r="Q40" s="102">
        <f>TrRail_ene!Q$12</f>
        <v>25.107921764074838</v>
      </c>
      <c r="R40" s="102">
        <f>TrRail_ene!R$12</f>
        <v>25.273416910382085</v>
      </c>
      <c r="S40" s="102">
        <f>TrRail_ene!S$12</f>
        <v>26.052338137181572</v>
      </c>
      <c r="T40" s="102">
        <f>TrRail_ene!T$12</f>
        <v>25.730061546210443</v>
      </c>
      <c r="U40" s="102">
        <f>TrRail_ene!U$12</f>
        <v>26.688138692484458</v>
      </c>
      <c r="V40" s="102">
        <f>TrRail_ene!V$12</f>
        <v>21.790396345580685</v>
      </c>
      <c r="W40" s="102">
        <f>TrRail_ene!W$12</f>
        <v>23.220650131192528</v>
      </c>
      <c r="X40" s="102">
        <f>TrRail_ene!X$12</f>
        <v>29.931044594724909</v>
      </c>
      <c r="Y40" s="102">
        <f>TrRail_ene!Y$12</f>
        <v>18.744847960694781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397.70900689650585</v>
      </c>
      <c r="C41" s="102">
        <f>TrRail_ene!C$13</f>
        <v>366.45892482040409</v>
      </c>
      <c r="D41" s="102">
        <f>TrRail_ene!D$13</f>
        <v>374.44647920952139</v>
      </c>
      <c r="E41" s="102">
        <f>TrRail_ene!E$13</f>
        <v>389.3643583482019</v>
      </c>
      <c r="F41" s="102">
        <f>TrRail_ene!F$13</f>
        <v>358.49731681117106</v>
      </c>
      <c r="G41" s="102">
        <f>TrRail_ene!G$13</f>
        <v>351.36426428942241</v>
      </c>
      <c r="H41" s="102">
        <f>TrRail_ene!H$13</f>
        <v>341.28808757251562</v>
      </c>
      <c r="I41" s="102">
        <f>TrRail_ene!I$13</f>
        <v>335.18118699186721</v>
      </c>
      <c r="J41" s="102">
        <f>TrRail_ene!J$13</f>
        <v>314.49266092520338</v>
      </c>
      <c r="K41" s="102">
        <f>TrRail_ene!K$13</f>
        <v>309.86171892182864</v>
      </c>
      <c r="L41" s="102">
        <f>TrRail_ene!L$13</f>
        <v>318.01351653826043</v>
      </c>
      <c r="M41" s="102">
        <f>TrRail_ene!M$13</f>
        <v>304.73510665460776</v>
      </c>
      <c r="N41" s="102">
        <f>TrRail_ene!N$13</f>
        <v>323.62565490378375</v>
      </c>
      <c r="O41" s="102">
        <f>TrRail_ene!O$13</f>
        <v>330.4669030885255</v>
      </c>
      <c r="P41" s="102">
        <f>TrRail_ene!P$13</f>
        <v>308.61465499151234</v>
      </c>
      <c r="Q41" s="102">
        <f>TrRail_ene!Q$13</f>
        <v>325.1353015561449</v>
      </c>
      <c r="R41" s="102">
        <f>TrRail_ene!R$13</f>
        <v>342.0179298155183</v>
      </c>
      <c r="S41" s="102">
        <f>TrRail_ene!S$13</f>
        <v>363.48223473176995</v>
      </c>
      <c r="T41" s="102">
        <f>TrRail_ene!T$13</f>
        <v>390.66789691501663</v>
      </c>
      <c r="U41" s="102">
        <f>TrRail_ene!U$13</f>
        <v>368.08467086266876</v>
      </c>
      <c r="V41" s="102">
        <f>TrRail_ene!V$13</f>
        <v>302.10002189488773</v>
      </c>
      <c r="W41" s="102">
        <f>TrRail_ene!W$13</f>
        <v>315.14338303279368</v>
      </c>
      <c r="X41" s="102">
        <f>TrRail_ene!X$13</f>
        <v>324.91873933507759</v>
      </c>
      <c r="Y41" s="102">
        <f>TrRail_ene!Y$13</f>
        <v>367.97129901885734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33.248313545813552</v>
      </c>
      <c r="C42" s="102">
        <f>TrRail_ene!C$16</f>
        <v>43.750323813430924</v>
      </c>
      <c r="D42" s="102">
        <f>TrRail_ene!D$16</f>
        <v>45.288731489040053</v>
      </c>
      <c r="E42" s="102">
        <f>TrRail_ene!E$16</f>
        <v>46.269994534174955</v>
      </c>
      <c r="F42" s="102">
        <f>TrRail_ene!F$16</f>
        <v>47.618186520075902</v>
      </c>
      <c r="G42" s="102">
        <f>TrRail_ene!G$16</f>
        <v>48.06067665231226</v>
      </c>
      <c r="H42" s="102">
        <f>TrRail_ene!H$16</f>
        <v>48.015868582509711</v>
      </c>
      <c r="I42" s="102">
        <f>TrRail_ene!I$16</f>
        <v>44.650436293873028</v>
      </c>
      <c r="J42" s="102">
        <f>TrRail_ene!J$16</f>
        <v>45.504632687419942</v>
      </c>
      <c r="K42" s="102">
        <f>TrRail_ene!K$16</f>
        <v>55.409615030688151</v>
      </c>
      <c r="L42" s="102">
        <f>TrRail_ene!L$16</f>
        <v>59.917965102022798</v>
      </c>
      <c r="M42" s="102">
        <f>TrRail_ene!M$16</f>
        <v>62.633746368802655</v>
      </c>
      <c r="N42" s="102">
        <f>TrRail_ene!N$16</f>
        <v>62.41678491331934</v>
      </c>
      <c r="O42" s="102">
        <f>TrRail_ene!O$16</f>
        <v>61.696443204573356</v>
      </c>
      <c r="P42" s="102">
        <f>TrRail_ene!P$16</f>
        <v>60.089253596139791</v>
      </c>
      <c r="Q42" s="102">
        <f>TrRail_ene!Q$16</f>
        <v>59.568937911413052</v>
      </c>
      <c r="R42" s="102">
        <f>TrRail_ene!R$16</f>
        <v>59.181659980920955</v>
      </c>
      <c r="S42" s="102">
        <f>TrRail_ene!S$16</f>
        <v>58.874705021298141</v>
      </c>
      <c r="T42" s="102">
        <f>TrRail_ene!T$16</f>
        <v>58.659092840126675</v>
      </c>
      <c r="U42" s="102">
        <f>TrRail_ene!U$16</f>
        <v>63.195501639750397</v>
      </c>
      <c r="V42" s="102">
        <f>TrRail_ene!V$16</f>
        <v>57.745975938351656</v>
      </c>
      <c r="W42" s="102">
        <f>TrRail_ene!W$16</f>
        <v>62.735571409577759</v>
      </c>
      <c r="X42" s="102">
        <f>TrRail_ene!X$16</f>
        <v>58.542232026080633</v>
      </c>
      <c r="Y42" s="102">
        <f>TrRail_ene!Y$16</f>
        <v>56.973489969930284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3325.6542943927707</v>
      </c>
      <c r="C43" s="110">
        <f t="shared" si="35"/>
        <v>3124.9591595869588</v>
      </c>
      <c r="D43" s="110">
        <f t="shared" si="35"/>
        <v>3035.1917151402704</v>
      </c>
      <c r="E43" s="110">
        <f t="shared" si="35"/>
        <v>3419.0823218243736</v>
      </c>
      <c r="F43" s="110">
        <f t="shared" si="35"/>
        <v>3388.250463347239</v>
      </c>
      <c r="G43" s="110">
        <f t="shared" si="35"/>
        <v>3514.9643934166197</v>
      </c>
      <c r="H43" s="110">
        <f t="shared" si="35"/>
        <v>3751.615667433276</v>
      </c>
      <c r="I43" s="110">
        <f t="shared" si="35"/>
        <v>3976.6585102385225</v>
      </c>
      <c r="J43" s="110">
        <f t="shared" si="35"/>
        <v>3846.66649552543</v>
      </c>
      <c r="K43" s="110">
        <f t="shared" si="35"/>
        <v>3503.4615560412358</v>
      </c>
      <c r="L43" s="110">
        <f t="shared" si="35"/>
        <v>3662.7799365412875</v>
      </c>
      <c r="M43" s="110">
        <f t="shared" si="35"/>
        <v>3744.4214625097893</v>
      </c>
      <c r="N43" s="110">
        <f t="shared" si="35"/>
        <v>3603.958526614043</v>
      </c>
      <c r="O43" s="110">
        <f t="shared" si="35"/>
        <v>3489.43690093444</v>
      </c>
      <c r="P43" s="110">
        <f t="shared" si="35"/>
        <v>3528.3291594840293</v>
      </c>
      <c r="Q43" s="110">
        <f t="shared" si="35"/>
        <v>3639.5501067903774</v>
      </c>
      <c r="R43" s="110">
        <f t="shared" ref="R43:V43" si="36">R44+R45+R46</f>
        <v>3780.1096147473709</v>
      </c>
      <c r="S43" s="110">
        <f t="shared" si="36"/>
        <v>3950.3436912736761</v>
      </c>
      <c r="T43" s="110">
        <f t="shared" si="36"/>
        <v>4462.2842610298067</v>
      </c>
      <c r="U43" s="110">
        <f t="shared" si="36"/>
        <v>4627.7103426049607</v>
      </c>
      <c r="V43" s="110">
        <f t="shared" si="36"/>
        <v>1578.5203192941078</v>
      </c>
      <c r="W43" s="110">
        <f t="shared" ref="W43:Y43" si="37">W44+W45+W46</f>
        <v>1821.8811341492174</v>
      </c>
      <c r="X43" s="110">
        <f t="shared" si="37"/>
        <v>3426.5373977964919</v>
      </c>
      <c r="Y43" s="110">
        <f t="shared" si="37"/>
        <v>4378.3177999306899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660.07337620793555</v>
      </c>
      <c r="C44" s="102">
        <f>TrAvia_ene!C$7</f>
        <v>599.1223525366463</v>
      </c>
      <c r="D44" s="102">
        <f>TrAvia_ene!D$7</f>
        <v>602.78223793730422</v>
      </c>
      <c r="E44" s="102">
        <f>TrAvia_ene!E$7</f>
        <v>680.43104912068111</v>
      </c>
      <c r="F44" s="102">
        <f>TrAvia_ene!F$7</f>
        <v>673.31763329369051</v>
      </c>
      <c r="G44" s="102">
        <f>TrAvia_ene!G$7</f>
        <v>702.13642457947219</v>
      </c>
      <c r="H44" s="102">
        <f>TrAvia_ene!H$7</f>
        <v>753.26392009887377</v>
      </c>
      <c r="I44" s="102">
        <f>TrAvia_ene!I$7</f>
        <v>798.92538453437135</v>
      </c>
      <c r="J44" s="102">
        <f>TrAvia_ene!J$7</f>
        <v>766.45636957348711</v>
      </c>
      <c r="K44" s="102">
        <f>TrAvia_ene!K$7</f>
        <v>677.34207680096392</v>
      </c>
      <c r="L44" s="102">
        <f>TrAvia_ene!L$7</f>
        <v>703.11256268067916</v>
      </c>
      <c r="M44" s="102">
        <f>TrAvia_ene!M$7</f>
        <v>709.28709460924097</v>
      </c>
      <c r="N44" s="102">
        <f>TrAvia_ene!N$7</f>
        <v>677.2772175309866</v>
      </c>
      <c r="O44" s="102">
        <f>TrAvia_ene!O$7</f>
        <v>673.94021698123163</v>
      </c>
      <c r="P44" s="102">
        <f>TrAvia_ene!P$7</f>
        <v>638.00776904719612</v>
      </c>
      <c r="Q44" s="102">
        <f>TrAvia_ene!Q$7</f>
        <v>689.46104748319647</v>
      </c>
      <c r="R44" s="102">
        <f>TrAvia_ene!R$7</f>
        <v>703.33887555035926</v>
      </c>
      <c r="S44" s="102">
        <f>TrAvia_ene!S$7</f>
        <v>772.98703244760247</v>
      </c>
      <c r="T44" s="102">
        <f>TrAvia_ene!T$7</f>
        <v>870.86380342522148</v>
      </c>
      <c r="U44" s="102">
        <f>TrAvia_ene!U$7</f>
        <v>898.26942612153289</v>
      </c>
      <c r="V44" s="102">
        <f>TrAvia_ene!V$7</f>
        <v>337.82805024866855</v>
      </c>
      <c r="W44" s="102">
        <f>TrAvia_ene!W$7</f>
        <v>464.32652291084224</v>
      </c>
      <c r="X44" s="102">
        <f>TrAvia_ene!X$7</f>
        <v>803.38304667246825</v>
      </c>
      <c r="Y44" s="102">
        <f>TrAvia_ene!Y$7</f>
        <v>998.20334196879764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1247.6684933052675</v>
      </c>
      <c r="C45" s="102">
        <f>TrAvia_ene!C$8</f>
        <v>1182.25858521598</v>
      </c>
      <c r="D45" s="102">
        <f>TrAvia_ene!D$8</f>
        <v>1138.5195549830635</v>
      </c>
      <c r="E45" s="102">
        <f>TrAvia_ene!E$8</f>
        <v>1329.681638369683</v>
      </c>
      <c r="F45" s="102">
        <f>TrAvia_ene!F$8</f>
        <v>1237.720238336673</v>
      </c>
      <c r="G45" s="102">
        <f>TrAvia_ene!G$8</f>
        <v>1300.0272501890749</v>
      </c>
      <c r="H45" s="102">
        <f>TrAvia_ene!H$8</f>
        <v>1393.0736814344182</v>
      </c>
      <c r="I45" s="102">
        <f>TrAvia_ene!I$8</f>
        <v>1510.7103552852975</v>
      </c>
      <c r="J45" s="102">
        <f>TrAvia_ene!J$8</f>
        <v>1432.2308812821339</v>
      </c>
      <c r="K45" s="102">
        <f>TrAvia_ene!K$8</f>
        <v>1272.7195047353068</v>
      </c>
      <c r="L45" s="102">
        <f>TrAvia_ene!L$8</f>
        <v>1323.6609489325633</v>
      </c>
      <c r="M45" s="102">
        <f>TrAvia_ene!M$8</f>
        <v>1358.3809462643273</v>
      </c>
      <c r="N45" s="102">
        <f>TrAvia_ene!N$8</f>
        <v>1302.3623457304766</v>
      </c>
      <c r="O45" s="102">
        <f>TrAvia_ene!O$8</f>
        <v>1247.5423267286528</v>
      </c>
      <c r="P45" s="102">
        <f>TrAvia_ene!P$8</f>
        <v>1292.4039610025293</v>
      </c>
      <c r="Q45" s="102">
        <f>TrAvia_ene!Q$8</f>
        <v>1329.7731450866224</v>
      </c>
      <c r="R45" s="102">
        <f>TrAvia_ene!R$8</f>
        <v>1445.098735490528</v>
      </c>
      <c r="S45" s="102">
        <f>TrAvia_ene!S$8</f>
        <v>1524.1286348569888</v>
      </c>
      <c r="T45" s="102">
        <f>TrAvia_ene!T$8</f>
        <v>1719.0329476104059</v>
      </c>
      <c r="U45" s="102">
        <f>TrAvia_ene!U$8</f>
        <v>1746.2568971835713</v>
      </c>
      <c r="V45" s="102">
        <f>TrAvia_ene!V$8</f>
        <v>479.81209476327643</v>
      </c>
      <c r="W45" s="102">
        <f>TrAvia_ene!W$8</f>
        <v>569.79715929359759</v>
      </c>
      <c r="X45" s="102">
        <f>TrAvia_ene!X$8</f>
        <v>1282.4280916394891</v>
      </c>
      <c r="Y45" s="102">
        <f>TrAvia_ene!Y$8</f>
        <v>1627.2410011321426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1417.9124248795677</v>
      </c>
      <c r="C46" s="102">
        <f>TrAvia_ene!C$9</f>
        <v>1343.5782218343327</v>
      </c>
      <c r="D46" s="102">
        <f>TrAvia_ene!D$9</f>
        <v>1293.8899222199029</v>
      </c>
      <c r="E46" s="102">
        <f>TrAvia_ene!E$9</f>
        <v>1408.9696343340095</v>
      </c>
      <c r="F46" s="102">
        <f>TrAvia_ene!F$9</f>
        <v>1477.2125917168757</v>
      </c>
      <c r="G46" s="102">
        <f>TrAvia_ene!G$9</f>
        <v>1512.8007186480725</v>
      </c>
      <c r="H46" s="102">
        <f>TrAvia_ene!H$9</f>
        <v>1605.2780658999841</v>
      </c>
      <c r="I46" s="102">
        <f>TrAvia_ene!I$9</f>
        <v>1667.0227704188535</v>
      </c>
      <c r="J46" s="102">
        <f>TrAvia_ene!J$9</f>
        <v>1647.9792446698093</v>
      </c>
      <c r="K46" s="102">
        <f>TrAvia_ene!K$9</f>
        <v>1553.3999745049648</v>
      </c>
      <c r="L46" s="102">
        <f>TrAvia_ene!L$9</f>
        <v>1636.0064249280447</v>
      </c>
      <c r="M46" s="102">
        <f>TrAvia_ene!M$9</f>
        <v>1676.7534216362212</v>
      </c>
      <c r="N46" s="102">
        <f>TrAvia_ene!N$9</f>
        <v>1624.3189633525797</v>
      </c>
      <c r="O46" s="102">
        <f>TrAvia_ene!O$9</f>
        <v>1567.9543572245559</v>
      </c>
      <c r="P46" s="102">
        <f>TrAvia_ene!P$9</f>
        <v>1597.917429434304</v>
      </c>
      <c r="Q46" s="102">
        <f>TrAvia_ene!Q$9</f>
        <v>1620.3159142205586</v>
      </c>
      <c r="R46" s="102">
        <f>TrAvia_ene!R$9</f>
        <v>1631.6720037064836</v>
      </c>
      <c r="S46" s="102">
        <f>TrAvia_ene!S$9</f>
        <v>1653.2280239690847</v>
      </c>
      <c r="T46" s="102">
        <f>TrAvia_ene!T$9</f>
        <v>1872.387509994179</v>
      </c>
      <c r="U46" s="102">
        <f>TrAvia_ene!U$9</f>
        <v>1983.1840192998568</v>
      </c>
      <c r="V46" s="102">
        <f>TrAvia_ene!V$9</f>
        <v>760.8801742821629</v>
      </c>
      <c r="W46" s="102">
        <f>TrAvia_ene!W$9</f>
        <v>787.75745194477759</v>
      </c>
      <c r="X46" s="102">
        <f>TrAvia_ene!X$9</f>
        <v>1340.7262594845345</v>
      </c>
      <c r="Y46" s="102">
        <f>TrAvia_ene!Y$9</f>
        <v>1752.8734568297498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11331.985845132767</v>
      </c>
      <c r="C47" s="28">
        <f t="shared" si="38"/>
        <v>11786.270655474802</v>
      </c>
      <c r="D47" s="28">
        <f t="shared" si="38"/>
        <v>11850.635212513911</v>
      </c>
      <c r="E47" s="28">
        <f t="shared" si="38"/>
        <v>12219.417981433346</v>
      </c>
      <c r="F47" s="28">
        <f t="shared" si="38"/>
        <v>12815.128705861764</v>
      </c>
      <c r="G47" s="28">
        <f t="shared" si="38"/>
        <v>13532.023984487378</v>
      </c>
      <c r="H47" s="28">
        <f t="shared" si="38"/>
        <v>13055.073954580448</v>
      </c>
      <c r="I47" s="28">
        <f t="shared" si="38"/>
        <v>13321.888595143746</v>
      </c>
      <c r="J47" s="28">
        <f t="shared" si="38"/>
        <v>12153.108152631568</v>
      </c>
      <c r="K47" s="28">
        <f t="shared" si="38"/>
        <v>10722.193990274423</v>
      </c>
      <c r="L47" s="28">
        <f t="shared" si="38"/>
        <v>10981.233597531504</v>
      </c>
      <c r="M47" s="28">
        <f t="shared" si="38"/>
        <v>11292.525968731346</v>
      </c>
      <c r="N47" s="28">
        <f t="shared" si="38"/>
        <v>10833.586055989432</v>
      </c>
      <c r="O47" s="28">
        <f t="shared" si="38"/>
        <v>9420.1710524202208</v>
      </c>
      <c r="P47" s="28">
        <f t="shared" si="38"/>
        <v>9440.1268356627224</v>
      </c>
      <c r="Q47" s="28">
        <f t="shared" si="38"/>
        <v>8557.8401681117339</v>
      </c>
      <c r="R47" s="28">
        <f t="shared" ref="R47:V47" si="39">R48+R51+R52+R56</f>
        <v>7877.2994564380124</v>
      </c>
      <c r="S47" s="28">
        <f t="shared" si="39"/>
        <v>6858.2124815345896</v>
      </c>
      <c r="T47" s="28">
        <f t="shared" si="39"/>
        <v>7816.9855945680938</v>
      </c>
      <c r="U47" s="28">
        <f t="shared" si="39"/>
        <v>7909.0892318865181</v>
      </c>
      <c r="V47" s="28">
        <f t="shared" si="39"/>
        <v>7227.9556670038692</v>
      </c>
      <c r="W47" s="28">
        <f t="shared" ref="W47:Y47" si="40">W48+W51+W52+W56</f>
        <v>9759.9731562994166</v>
      </c>
      <c r="X47" s="28">
        <f t="shared" si="40"/>
        <v>10530.449522008246</v>
      </c>
      <c r="Y47" s="28">
        <f t="shared" si="40"/>
        <v>10232.807028165773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9820.2259861865095</v>
      </c>
      <c r="C48" s="137">
        <f t="shared" si="41"/>
        <v>10332.452001180285</v>
      </c>
      <c r="D48" s="137">
        <f t="shared" si="41"/>
        <v>10316.327475759292</v>
      </c>
      <c r="E48" s="137">
        <f t="shared" si="41"/>
        <v>10569.465918339596</v>
      </c>
      <c r="F48" s="137">
        <f t="shared" si="41"/>
        <v>11159.11885560993</v>
      </c>
      <c r="G48" s="137">
        <f t="shared" si="41"/>
        <v>11878.415990622469</v>
      </c>
      <c r="H48" s="137">
        <f t="shared" si="41"/>
        <v>11366.273112350991</v>
      </c>
      <c r="I48" s="137">
        <f t="shared" si="41"/>
        <v>11662.265823520105</v>
      </c>
      <c r="J48" s="137">
        <f t="shared" si="41"/>
        <v>10437.458215800891</v>
      </c>
      <c r="K48" s="137">
        <f t="shared" si="41"/>
        <v>9299.0920663976685</v>
      </c>
      <c r="L48" s="137">
        <f t="shared" si="41"/>
        <v>9582.0441399855663</v>
      </c>
      <c r="M48" s="137">
        <f t="shared" si="41"/>
        <v>9938.0307166857692</v>
      </c>
      <c r="N48" s="137">
        <f t="shared" si="41"/>
        <v>9617.9738828850132</v>
      </c>
      <c r="O48" s="137">
        <f t="shared" si="41"/>
        <v>8187.429804045586</v>
      </c>
      <c r="P48" s="137">
        <f t="shared" si="41"/>
        <v>8225.7260294040843</v>
      </c>
      <c r="Q48" s="137">
        <f t="shared" si="41"/>
        <v>7349.965548773469</v>
      </c>
      <c r="R48" s="137">
        <f t="shared" ref="R48:V48" si="42">R49+R50</f>
        <v>6635.5683203685576</v>
      </c>
      <c r="S48" s="137">
        <f t="shared" si="42"/>
        <v>5680.8698359091777</v>
      </c>
      <c r="T48" s="137">
        <f t="shared" si="42"/>
        <v>6874.4735964951278</v>
      </c>
      <c r="U48" s="137">
        <f t="shared" si="42"/>
        <v>6996.1858564516451</v>
      </c>
      <c r="V48" s="137">
        <f t="shared" si="42"/>
        <v>6348.4605318095573</v>
      </c>
      <c r="W48" s="137">
        <f t="shared" ref="W48:Y48" si="43">W49+W50</f>
        <v>8856.3980910669125</v>
      </c>
      <c r="X48" s="137">
        <f t="shared" si="43"/>
        <v>9689.5034413496141</v>
      </c>
      <c r="Y48" s="137">
        <f t="shared" si="43"/>
        <v>9387.6728485369167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7291.9779531995764</v>
      </c>
      <c r="C49" s="102">
        <f>TrRoad_ene!C$43</f>
        <v>6580.3200116403268</v>
      </c>
      <c r="D49" s="102">
        <f>TrRoad_ene!D$43</f>
        <v>6540.0954328383723</v>
      </c>
      <c r="E49" s="102">
        <f>TrRoad_ene!E$43</f>
        <v>6885.0282129857178</v>
      </c>
      <c r="F49" s="102">
        <f>TrRoad_ene!F$43</f>
        <v>7239.5032638421362</v>
      </c>
      <c r="G49" s="102">
        <f>TrRoad_ene!G$43</f>
        <v>7748.7170507730516</v>
      </c>
      <c r="H49" s="102">
        <f>TrRoad_ene!H$43</f>
        <v>6677.246268700962</v>
      </c>
      <c r="I49" s="102">
        <f>TrRoad_ene!I$43</f>
        <v>7037.5340819918829</v>
      </c>
      <c r="J49" s="102">
        <f>TrRoad_ene!J$43</f>
        <v>6857.7432665314</v>
      </c>
      <c r="K49" s="102">
        <f>TrRoad_ene!K$43</f>
        <v>6630.0029933975757</v>
      </c>
      <c r="L49" s="102">
        <f>TrRoad_ene!L$43</f>
        <v>7055.6038615341258</v>
      </c>
      <c r="M49" s="102">
        <f>TrRoad_ene!M$43</f>
        <v>7171.1977041491009</v>
      </c>
      <c r="N49" s="102">
        <f>TrRoad_ene!N$43</f>
        <v>6292.8868620385347</v>
      </c>
      <c r="O49" s="102">
        <f>TrRoad_ene!O$43</f>
        <v>5474.8427427332563</v>
      </c>
      <c r="P49" s="102">
        <f>TrRoad_ene!P$43</f>
        <v>5578.7375812761584</v>
      </c>
      <c r="Q49" s="102">
        <f>TrRoad_ene!Q$43</f>
        <v>4455.4908918092187</v>
      </c>
      <c r="R49" s="102">
        <f>TrRoad_ene!R$43</f>
        <v>4139.5093783442953</v>
      </c>
      <c r="S49" s="102">
        <f>TrRoad_ene!S$43</f>
        <v>4152.0868418908922</v>
      </c>
      <c r="T49" s="102">
        <f>TrRoad_ene!T$43</f>
        <v>4273.2737559103189</v>
      </c>
      <c r="U49" s="102">
        <f>TrRoad_ene!U$43</f>
        <v>4358.5516142430715</v>
      </c>
      <c r="V49" s="102">
        <f>TrRoad_ene!V$43</f>
        <v>4242.6989029550496</v>
      </c>
      <c r="W49" s="102">
        <f>TrRoad_ene!W$43</f>
        <v>5109.2997589295337</v>
      </c>
      <c r="X49" s="102">
        <f>TrRoad_ene!X$43</f>
        <v>4485.7716890373513</v>
      </c>
      <c r="Y49" s="102">
        <f>TrRoad_ene!Y$43</f>
        <v>4101.4259228865085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2528.2480329869331</v>
      </c>
      <c r="C50" s="102">
        <f>TrRoad_ene!C$52</f>
        <v>3752.1319895399574</v>
      </c>
      <c r="D50" s="102">
        <f>TrRoad_ene!D$52</f>
        <v>3776.2320429209194</v>
      </c>
      <c r="E50" s="102">
        <f>TrRoad_ene!E$52</f>
        <v>3684.4377053538774</v>
      </c>
      <c r="F50" s="102">
        <f>TrRoad_ene!F$52</f>
        <v>3919.6155917677929</v>
      </c>
      <c r="G50" s="102">
        <f>TrRoad_ene!G$52</f>
        <v>4129.698939849417</v>
      </c>
      <c r="H50" s="102">
        <f>TrRoad_ene!H$52</f>
        <v>4689.0268436500282</v>
      </c>
      <c r="I50" s="102">
        <f>TrRoad_ene!I$52</f>
        <v>4624.7317415282223</v>
      </c>
      <c r="J50" s="102">
        <f>TrRoad_ene!J$52</f>
        <v>3579.7149492694903</v>
      </c>
      <c r="K50" s="102">
        <f>TrRoad_ene!K$52</f>
        <v>2669.0890730000924</v>
      </c>
      <c r="L50" s="102">
        <f>TrRoad_ene!L$52</f>
        <v>2526.4402784514396</v>
      </c>
      <c r="M50" s="102">
        <f>TrRoad_ene!M$52</f>
        <v>2766.8330125366688</v>
      </c>
      <c r="N50" s="102">
        <f>TrRoad_ene!N$52</f>
        <v>3325.0870208464785</v>
      </c>
      <c r="O50" s="102">
        <f>TrRoad_ene!O$52</f>
        <v>2712.5870613123298</v>
      </c>
      <c r="P50" s="102">
        <f>TrRoad_ene!P$52</f>
        <v>2646.9884481279264</v>
      </c>
      <c r="Q50" s="102">
        <f>TrRoad_ene!Q$52</f>
        <v>2894.4746569642507</v>
      </c>
      <c r="R50" s="102">
        <f>TrRoad_ene!R$52</f>
        <v>2496.0589420242623</v>
      </c>
      <c r="S50" s="102">
        <f>TrRoad_ene!S$52</f>
        <v>1528.7829940182853</v>
      </c>
      <c r="T50" s="102">
        <f>TrRoad_ene!T$52</f>
        <v>2601.199840584809</v>
      </c>
      <c r="U50" s="102">
        <f>TrRoad_ene!U$52</f>
        <v>2637.6342422085736</v>
      </c>
      <c r="V50" s="102">
        <f>TrRoad_ene!V$52</f>
        <v>2105.7616288545078</v>
      </c>
      <c r="W50" s="102">
        <f>TrRoad_ene!W$52</f>
        <v>3747.0983321373787</v>
      </c>
      <c r="X50" s="102">
        <f>TrRoad_ene!X$52</f>
        <v>5203.7317523122638</v>
      </c>
      <c r="Y50" s="102">
        <f>TrRoad_ene!Y$52</f>
        <v>5286.2469256504082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70.862132702742969</v>
      </c>
      <c r="C51" s="110">
        <f>TrRail_ene!C$17</f>
        <v>64.523557647598295</v>
      </c>
      <c r="D51" s="110">
        <f>TrRail_ene!D$17</f>
        <v>61.244851722920622</v>
      </c>
      <c r="E51" s="110">
        <f>TrRail_ene!E$17</f>
        <v>62.848228426293844</v>
      </c>
      <c r="F51" s="110">
        <f>TrRail_ene!F$17</f>
        <v>68.923598207845203</v>
      </c>
      <c r="G51" s="110">
        <f>TrRail_ene!G$17</f>
        <v>66.800246266912097</v>
      </c>
      <c r="H51" s="110">
        <f>TrRail_ene!H$17</f>
        <v>74.456750419395689</v>
      </c>
      <c r="I51" s="110">
        <f>TrRail_ene!I$17</f>
        <v>77.673371286066129</v>
      </c>
      <c r="J51" s="110">
        <f>TrRail_ene!J$17</f>
        <v>73.398891513459489</v>
      </c>
      <c r="K51" s="110">
        <f>TrRail_ene!K$17</f>
        <v>50.409825575772537</v>
      </c>
      <c r="L51" s="110">
        <f>TrRail_ene!L$17</f>
        <v>51.278594431162091</v>
      </c>
      <c r="M51" s="110">
        <f>TrRail_ene!M$17</f>
        <v>53.946809138341948</v>
      </c>
      <c r="N51" s="110">
        <f>TrRail_ene!N$17</f>
        <v>55.416701438150568</v>
      </c>
      <c r="O51" s="110">
        <f>TrRail_ene!O$17</f>
        <v>53.600763238567268</v>
      </c>
      <c r="P51" s="110">
        <f>TrRail_ene!P$17</f>
        <v>51.777429199247266</v>
      </c>
      <c r="Q51" s="110">
        <f>TrRail_ene!Q$17</f>
        <v>51.60942088358648</v>
      </c>
      <c r="R51" s="110">
        <f>TrRail_ene!R$17</f>
        <v>57.06095717967905</v>
      </c>
      <c r="S51" s="110">
        <f>TrRail_ene!S$17</f>
        <v>59.357360114909483</v>
      </c>
      <c r="T51" s="110">
        <f>TrRail_ene!T$17</f>
        <v>59.940971054622032</v>
      </c>
      <c r="U51" s="110">
        <f>TrRail_ene!U$17</f>
        <v>62.984827240177992</v>
      </c>
      <c r="V51" s="110">
        <f>TrRail_ene!V$17</f>
        <v>61.722849157379343</v>
      </c>
      <c r="W51" s="110">
        <f>TrRail_ene!W$17</f>
        <v>82.805898435894349</v>
      </c>
      <c r="X51" s="110">
        <f>TrRail_ene!X$17</f>
        <v>77.390959108605287</v>
      </c>
      <c r="Y51" s="110">
        <f>TrRail_ene!Y$17</f>
        <v>99.559546197551057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171.55120861668715</v>
      </c>
      <c r="C52" s="110">
        <f t="shared" si="44"/>
        <v>70.416764746660874</v>
      </c>
      <c r="D52" s="110">
        <f t="shared" si="44"/>
        <v>161.23519801536128</v>
      </c>
      <c r="E52" s="110">
        <f t="shared" si="44"/>
        <v>177.96075642154057</v>
      </c>
      <c r="F52" s="110">
        <f t="shared" si="44"/>
        <v>177.95761919790232</v>
      </c>
      <c r="G52" s="110">
        <f t="shared" si="44"/>
        <v>200.16406746042219</v>
      </c>
      <c r="H52" s="110">
        <f t="shared" si="44"/>
        <v>229.56335234316361</v>
      </c>
      <c r="I52" s="110">
        <f t="shared" si="44"/>
        <v>250.98542785262094</v>
      </c>
      <c r="J52" s="110">
        <f t="shared" si="44"/>
        <v>227.80564548918593</v>
      </c>
      <c r="K52" s="110">
        <f t="shared" si="44"/>
        <v>182.98160818920263</v>
      </c>
      <c r="L52" s="110">
        <f t="shared" si="44"/>
        <v>219.87509355329701</v>
      </c>
      <c r="M52" s="110">
        <f t="shared" si="44"/>
        <v>225.24508951084721</v>
      </c>
      <c r="N52" s="110">
        <f t="shared" si="44"/>
        <v>182.84766427159758</v>
      </c>
      <c r="O52" s="110">
        <f t="shared" si="44"/>
        <v>194.59388152471689</v>
      </c>
      <c r="P52" s="110">
        <f t="shared" si="44"/>
        <v>193.70196691321871</v>
      </c>
      <c r="Q52" s="110">
        <f t="shared" si="44"/>
        <v>224.21214600411872</v>
      </c>
      <c r="R52" s="110">
        <f t="shared" si="44"/>
        <v>225.35994673156355</v>
      </c>
      <c r="S52" s="110">
        <f t="shared" si="44"/>
        <v>249.23593039442395</v>
      </c>
      <c r="T52" s="110">
        <f t="shared" si="44"/>
        <v>251.93663320922974</v>
      </c>
      <c r="U52" s="110">
        <f t="shared" si="44"/>
        <v>247.42792050767878</v>
      </c>
      <c r="V52" s="110">
        <f t="shared" si="44"/>
        <v>260.60530409368175</v>
      </c>
      <c r="W52" s="110">
        <f t="shared" ref="W52:Y52" si="45">W53+W54+W55</f>
        <v>282.69883145697247</v>
      </c>
      <c r="X52" s="110">
        <f t="shared" si="45"/>
        <v>231.98470022586457</v>
      </c>
      <c r="Y52" s="110">
        <f t="shared" si="45"/>
        <v>231.95864031006511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9.6982488995450495</v>
      </c>
      <c r="C53" s="102">
        <f>TrAvia_ene!C$11</f>
        <v>17.362772140911709</v>
      </c>
      <c r="D53" s="102">
        <f>TrAvia_ene!D$11</f>
        <v>14.753875562265742</v>
      </c>
      <c r="E53" s="102">
        <f>TrAvia_ene!E$11</f>
        <v>16.258546752061864</v>
      </c>
      <c r="F53" s="102">
        <f>TrAvia_ene!F$11</f>
        <v>16.15880694706615</v>
      </c>
      <c r="G53" s="102">
        <f>TrAvia_ene!G$11</f>
        <v>16.097023399891601</v>
      </c>
      <c r="H53" s="102">
        <f>TrAvia_ene!H$11</f>
        <v>16.369269926921522</v>
      </c>
      <c r="I53" s="102">
        <f>TrAvia_ene!I$11</f>
        <v>16.9004968069871</v>
      </c>
      <c r="J53" s="102">
        <f>TrAvia_ene!J$11</f>
        <v>15.334000159960802</v>
      </c>
      <c r="K53" s="102">
        <f>TrAvia_ene!K$11</f>
        <v>12.206074531796116</v>
      </c>
      <c r="L53" s="102">
        <f>TrAvia_ene!L$11</f>
        <v>12.159234395847037</v>
      </c>
      <c r="M53" s="102">
        <f>TrAvia_ene!M$11</f>
        <v>10.833283722659147</v>
      </c>
      <c r="N53" s="102">
        <f>TrAvia_ene!N$11</f>
        <v>8.9031779978182115</v>
      </c>
      <c r="O53" s="102">
        <f>TrAvia_ene!O$11</f>
        <v>9.0873840505826937</v>
      </c>
      <c r="P53" s="102">
        <f>TrAvia_ene!P$11</f>
        <v>8.0464871866817695</v>
      </c>
      <c r="Q53" s="102">
        <f>TrAvia_ene!Q$11</f>
        <v>7.9450574179213405</v>
      </c>
      <c r="R53" s="102">
        <f>TrAvia_ene!R$11</f>
        <v>6.3678312424180197</v>
      </c>
      <c r="S53" s="102">
        <f>TrAvia_ene!S$11</f>
        <v>7.4219099427670621</v>
      </c>
      <c r="T53" s="102">
        <f>TrAvia_ene!T$11</f>
        <v>8.4992232299805561</v>
      </c>
      <c r="U53" s="102">
        <f>TrAvia_ene!U$11</f>
        <v>8.3554234055522336</v>
      </c>
      <c r="V53" s="102">
        <f>TrAvia_ene!V$11</f>
        <v>6.3655868966452296</v>
      </c>
      <c r="W53" s="102">
        <f>TrAvia_ene!W$11</f>
        <v>8.0456181037750714</v>
      </c>
      <c r="X53" s="102">
        <f>TrAvia_ene!X$11</f>
        <v>10.852550919965065</v>
      </c>
      <c r="Y53" s="102">
        <f>TrAvia_ene!Y$11</f>
        <v>12.156159320969715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20.373574401733826</v>
      </c>
      <c r="C54" s="102">
        <f>TrAvia_ene!C$12</f>
        <v>9.5933194030546964</v>
      </c>
      <c r="D54" s="102">
        <f>TrAvia_ene!D$12</f>
        <v>35.636826301403467</v>
      </c>
      <c r="E54" s="102">
        <f>TrAvia_ene!E$12</f>
        <v>38.22978878032152</v>
      </c>
      <c r="F54" s="102">
        <f>TrAvia_ene!F$12</f>
        <v>41.232808678853452</v>
      </c>
      <c r="G54" s="102">
        <f>TrAvia_ene!G$12</f>
        <v>42.459032914497499</v>
      </c>
      <c r="H54" s="102">
        <f>TrAvia_ene!H$12</f>
        <v>46.512994153119642</v>
      </c>
      <c r="I54" s="102">
        <f>TrAvia_ene!I$12</f>
        <v>49.694901406945554</v>
      </c>
      <c r="J54" s="102">
        <f>TrAvia_ene!J$12</f>
        <v>46.130102105213034</v>
      </c>
      <c r="K54" s="102">
        <f>TrAvia_ene!K$12</f>
        <v>40.56817676577694</v>
      </c>
      <c r="L54" s="102">
        <f>TrAvia_ene!L$12</f>
        <v>37.814754900558057</v>
      </c>
      <c r="M54" s="102">
        <f>TrAvia_ene!M$12</f>
        <v>35.003804597522674</v>
      </c>
      <c r="N54" s="102">
        <f>TrAvia_ene!N$12</f>
        <v>32.225217825926606</v>
      </c>
      <c r="O54" s="102">
        <f>TrAvia_ene!O$12</f>
        <v>31.82839224807686</v>
      </c>
      <c r="P54" s="102">
        <f>TrAvia_ene!P$12</f>
        <v>28.86425171353067</v>
      </c>
      <c r="Q54" s="102">
        <f>TrAvia_ene!Q$12</f>
        <v>30.196351979636411</v>
      </c>
      <c r="R54" s="102">
        <f>TrAvia_ene!R$12</f>
        <v>27.432574412490066</v>
      </c>
      <c r="S54" s="102">
        <f>TrAvia_ene!S$12</f>
        <v>30.581332158706822</v>
      </c>
      <c r="T54" s="102">
        <f>TrAvia_ene!T$12</f>
        <v>33.25012145299722</v>
      </c>
      <c r="U54" s="102">
        <f>TrAvia_ene!U$12</f>
        <v>32.732856712398643</v>
      </c>
      <c r="V54" s="102">
        <f>TrAvia_ene!V$12</f>
        <v>31.313975292739329</v>
      </c>
      <c r="W54" s="102">
        <f>TrAvia_ene!W$12</f>
        <v>33.859102309005948</v>
      </c>
      <c r="X54" s="102">
        <f>TrAvia_ene!X$12</f>
        <v>39.450575751071533</v>
      </c>
      <c r="Y54" s="102">
        <f>TrAvia_ene!Y$12</f>
        <v>40.953545910825007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141.47938531540828</v>
      </c>
      <c r="C55" s="102">
        <f>TrAvia_ene!C$13</f>
        <v>43.460673202694466</v>
      </c>
      <c r="D55" s="102">
        <f>TrAvia_ene!D$13</f>
        <v>110.84449615169207</v>
      </c>
      <c r="E55" s="102">
        <f>TrAvia_ene!E$13</f>
        <v>123.47242088915719</v>
      </c>
      <c r="F55" s="102">
        <f>TrAvia_ene!F$13</f>
        <v>120.56600357198273</v>
      </c>
      <c r="G55" s="102">
        <f>TrAvia_ene!G$13</f>
        <v>141.60801114603308</v>
      </c>
      <c r="H55" s="102">
        <f>TrAvia_ene!H$13</f>
        <v>166.68108826312243</v>
      </c>
      <c r="I55" s="102">
        <f>TrAvia_ene!I$13</f>
        <v>184.39002963868828</v>
      </c>
      <c r="J55" s="102">
        <f>TrAvia_ene!J$13</f>
        <v>166.3415432240121</v>
      </c>
      <c r="K55" s="102">
        <f>TrAvia_ene!K$13</f>
        <v>130.20735689162956</v>
      </c>
      <c r="L55" s="102">
        <f>TrAvia_ene!L$13</f>
        <v>169.90110425689193</v>
      </c>
      <c r="M55" s="102">
        <f>TrAvia_ene!M$13</f>
        <v>179.40800119066537</v>
      </c>
      <c r="N55" s="102">
        <f>TrAvia_ene!N$13</f>
        <v>141.71926844785276</v>
      </c>
      <c r="O55" s="102">
        <f>TrAvia_ene!O$13</f>
        <v>153.67810522605734</v>
      </c>
      <c r="P55" s="102">
        <f>TrAvia_ene!P$13</f>
        <v>156.79122801300628</v>
      </c>
      <c r="Q55" s="102">
        <f>TrAvia_ene!Q$13</f>
        <v>186.07073660656098</v>
      </c>
      <c r="R55" s="102">
        <f>TrAvia_ene!R$13</f>
        <v>191.55954107665548</v>
      </c>
      <c r="S55" s="102">
        <f>TrAvia_ene!S$13</f>
        <v>211.23268829295006</v>
      </c>
      <c r="T55" s="102">
        <f>TrAvia_ene!T$13</f>
        <v>210.18728852625196</v>
      </c>
      <c r="U55" s="102">
        <f>TrAvia_ene!U$13</f>
        <v>206.33964038972789</v>
      </c>
      <c r="V55" s="102">
        <f>TrAvia_ene!V$13</f>
        <v>222.92574190429718</v>
      </c>
      <c r="W55" s="102">
        <f>TrAvia_ene!W$13</f>
        <v>240.79411104419148</v>
      </c>
      <c r="X55" s="102">
        <f>TrAvia_ene!X$13</f>
        <v>181.68157355482799</v>
      </c>
      <c r="Y55" s="102">
        <f>TrAvia_ene!Y$13</f>
        <v>178.84893507827039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1269.3465176268269</v>
      </c>
      <c r="C56" s="110">
        <f t="shared" si="46"/>
        <v>1318.8783319002578</v>
      </c>
      <c r="D56" s="110">
        <f t="shared" si="46"/>
        <v>1311.827687016337</v>
      </c>
      <c r="E56" s="110">
        <f t="shared" si="46"/>
        <v>1409.1430782459156</v>
      </c>
      <c r="F56" s="110">
        <f t="shared" si="46"/>
        <v>1409.1286328460874</v>
      </c>
      <c r="G56" s="110">
        <f t="shared" si="46"/>
        <v>1386.6436801375753</v>
      </c>
      <c r="H56" s="110">
        <f t="shared" si="46"/>
        <v>1384.7807394668962</v>
      </c>
      <c r="I56" s="110">
        <f t="shared" si="46"/>
        <v>1330.9639724849526</v>
      </c>
      <c r="J56" s="110">
        <f t="shared" si="46"/>
        <v>1414.445399828031</v>
      </c>
      <c r="K56" s="110">
        <f t="shared" si="46"/>
        <v>1189.7104901117798</v>
      </c>
      <c r="L56" s="110">
        <f t="shared" si="46"/>
        <v>1128.0357695614789</v>
      </c>
      <c r="M56" s="110">
        <f t="shared" si="46"/>
        <v>1075.3033533963887</v>
      </c>
      <c r="N56" s="110">
        <f t="shared" si="46"/>
        <v>977.34780739466896</v>
      </c>
      <c r="O56" s="110">
        <f t="shared" si="46"/>
        <v>984.54660361134995</v>
      </c>
      <c r="P56" s="110">
        <f t="shared" si="46"/>
        <v>968.92141014617368</v>
      </c>
      <c r="Q56" s="110">
        <f t="shared" si="46"/>
        <v>932.05305245055877</v>
      </c>
      <c r="R56" s="110">
        <f t="shared" ref="R56:V56" si="47">R57+R58</f>
        <v>959.31023215821153</v>
      </c>
      <c r="S56" s="110">
        <f t="shared" si="47"/>
        <v>868.74935511607896</v>
      </c>
      <c r="T56" s="110">
        <f t="shared" si="47"/>
        <v>630.63439380911427</v>
      </c>
      <c r="U56" s="110">
        <f t="shared" si="47"/>
        <v>602.49062768701629</v>
      </c>
      <c r="V56" s="110">
        <f t="shared" si="47"/>
        <v>557.16698194325022</v>
      </c>
      <c r="W56" s="110">
        <f t="shared" ref="W56:Y56" si="48">W57+W58</f>
        <v>538.07033533963875</v>
      </c>
      <c r="X56" s="110">
        <f t="shared" si="48"/>
        <v>531.57042132416166</v>
      </c>
      <c r="Y56" s="110">
        <f t="shared" si="48"/>
        <v>513.61599312123803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1259.9786805628314</v>
      </c>
      <c r="C57" s="102">
        <f>TrNavi_ene!C4</f>
        <v>1308.3960652876624</v>
      </c>
      <c r="D57" s="102">
        <f>TrNavi_ene!D4</f>
        <v>1306.9370868045191</v>
      </c>
      <c r="E57" s="102">
        <f>TrNavi_ene!E4</f>
        <v>1404.2920305173031</v>
      </c>
      <c r="F57" s="102">
        <f>TrNavi_ene!F4</f>
        <v>1402.9801210586388</v>
      </c>
      <c r="G57" s="102">
        <f>TrNavi_ene!G4</f>
        <v>1382.8639429996351</v>
      </c>
      <c r="H57" s="102">
        <f>TrNavi_ene!H4</f>
        <v>1380.7792561924334</v>
      </c>
      <c r="I57" s="102">
        <f>TrNavi_ene!I4</f>
        <v>1326.9952914758373</v>
      </c>
      <c r="J57" s="102">
        <f>TrNavi_ene!J4</f>
        <v>1411.6501828621292</v>
      </c>
      <c r="K57" s="102">
        <f>TrNavi_ene!K4</f>
        <v>1188.3633039758042</v>
      </c>
      <c r="L57" s="102">
        <f>TrNavi_ene!L4</f>
        <v>1125.7467562375825</v>
      </c>
      <c r="M57" s="102">
        <f>TrNavi_ene!M4</f>
        <v>1072.3463866796767</v>
      </c>
      <c r="N57" s="102">
        <f>TrNavi_ene!N4</f>
        <v>975.65093619968343</v>
      </c>
      <c r="O57" s="102">
        <f>TrNavi_ene!O4</f>
        <v>982.60030994372073</v>
      </c>
      <c r="P57" s="102">
        <f>TrNavi_ene!P4</f>
        <v>967.77077252908441</v>
      </c>
      <c r="Q57" s="102">
        <f>TrNavi_ene!Q4</f>
        <v>931.05932296638753</v>
      </c>
      <c r="R57" s="102">
        <f>TrNavi_ene!R4</f>
        <v>958.33236906119055</v>
      </c>
      <c r="S57" s="102">
        <f>TrNavi_ene!S4</f>
        <v>868.00724157942068</v>
      </c>
      <c r="T57" s="102">
        <f>TrNavi_ene!T4</f>
        <v>629.97772931682516</v>
      </c>
      <c r="U57" s="102">
        <f>TrNavi_ene!U4</f>
        <v>602.02053943650299</v>
      </c>
      <c r="V57" s="102">
        <f>TrNavi_ene!V4</f>
        <v>556.06930072780744</v>
      </c>
      <c r="W57" s="102">
        <f>TrNavi_ene!W4</f>
        <v>536.86418926457509</v>
      </c>
      <c r="X57" s="102">
        <f>TrNavi_ene!X4</f>
        <v>530.87605095033018</v>
      </c>
      <c r="Y57" s="102">
        <f>TrNavi_ene!Y4</f>
        <v>513.56769549459148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9.3678370639953936</v>
      </c>
      <c r="C58" s="169">
        <f>TrNavi_ene!C10</f>
        <v>10.482266612595431</v>
      </c>
      <c r="D58" s="169">
        <f>TrNavi_ene!D10</f>
        <v>4.8906002118179046</v>
      </c>
      <c r="E58" s="169">
        <f>TrNavi_ene!E10</f>
        <v>4.8510477286123708</v>
      </c>
      <c r="F58" s="169">
        <f>TrNavi_ene!F10</f>
        <v>6.1485117874486797</v>
      </c>
      <c r="G58" s="169">
        <f>TrNavi_ene!G10</f>
        <v>3.7797371379402822</v>
      </c>
      <c r="H58" s="169">
        <f>TrNavi_ene!H10</f>
        <v>4.0014832744627382</v>
      </c>
      <c r="I58" s="169">
        <f>TrNavi_ene!I10</f>
        <v>3.9686810091152265</v>
      </c>
      <c r="J58" s="169">
        <f>TrNavi_ene!J10</f>
        <v>2.7952169659016919</v>
      </c>
      <c r="K58" s="169">
        <f>TrNavi_ene!K10</f>
        <v>1.3471861359755484</v>
      </c>
      <c r="L58" s="169">
        <f>TrNavi_ene!L10</f>
        <v>2.2890133238964774</v>
      </c>
      <c r="M58" s="169">
        <f>TrNavi_ene!M10</f>
        <v>2.9569667167120119</v>
      </c>
      <c r="N58" s="169">
        <f>TrNavi_ene!N10</f>
        <v>1.6968711949855266</v>
      </c>
      <c r="O58" s="169">
        <f>TrNavi_ene!O10</f>
        <v>1.9462936676291827</v>
      </c>
      <c r="P58" s="169">
        <f>TrNavi_ene!P10</f>
        <v>1.1506376170892612</v>
      </c>
      <c r="Q58" s="169">
        <f>TrNavi_ene!Q10</f>
        <v>0.99372948417124618</v>
      </c>
      <c r="R58" s="169">
        <f>TrNavi_ene!R10</f>
        <v>0.97786309702095431</v>
      </c>
      <c r="S58" s="169">
        <f>TrNavi_ene!S10</f>
        <v>0.74211353665832114</v>
      </c>
      <c r="T58" s="169">
        <f>TrNavi_ene!T10</f>
        <v>0.65666449228913992</v>
      </c>
      <c r="U58" s="169">
        <f>TrNavi_ene!U10</f>
        <v>0.47008825051330427</v>
      </c>
      <c r="V58" s="169">
        <f>TrNavi_ene!V10</f>
        <v>1.0976812154428277</v>
      </c>
      <c r="W58" s="169">
        <f>TrNavi_ene!W10</f>
        <v>1.2061460750637025</v>
      </c>
      <c r="X58" s="169">
        <f>TrNavi_ene!X10</f>
        <v>0.69437037383150857</v>
      </c>
      <c r="Y58" s="169">
        <f>TrNavi_ene!Y10</f>
        <v>4.8297626646515116E-2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1645.5431642304384</v>
      </c>
      <c r="C59" s="28">
        <f t="shared" ref="C59:W59" si="49">C60+C61</f>
        <v>1756.7641444539984</v>
      </c>
      <c r="D59" s="28">
        <f t="shared" si="49"/>
        <v>1912.5345657781597</v>
      </c>
      <c r="E59" s="28">
        <f t="shared" si="49"/>
        <v>2085.2059329320714</v>
      </c>
      <c r="F59" s="28">
        <f t="shared" si="49"/>
        <v>2187.3507308684434</v>
      </c>
      <c r="G59" s="28">
        <f t="shared" si="49"/>
        <v>2241.4875322441958</v>
      </c>
      <c r="H59" s="28">
        <f t="shared" si="49"/>
        <v>2329.6789337919167</v>
      </c>
      <c r="I59" s="28">
        <f t="shared" si="49"/>
        <v>2403.9218400687873</v>
      </c>
      <c r="J59" s="28">
        <f t="shared" si="49"/>
        <v>2520.3448839208932</v>
      </c>
      <c r="K59" s="28">
        <f t="shared" si="49"/>
        <v>2351.7101461736888</v>
      </c>
      <c r="L59" s="28">
        <f t="shared" si="49"/>
        <v>2974.6871023215817</v>
      </c>
      <c r="M59" s="28">
        <f t="shared" si="49"/>
        <v>2496.5988822012041</v>
      </c>
      <c r="N59" s="28">
        <f t="shared" si="49"/>
        <v>2467.1395528804806</v>
      </c>
      <c r="O59" s="28">
        <f t="shared" si="49"/>
        <v>2179.2203783319001</v>
      </c>
      <c r="P59" s="28">
        <f t="shared" si="49"/>
        <v>1912.7830610490112</v>
      </c>
      <c r="Q59" s="28">
        <f t="shared" si="49"/>
        <v>1899.9283748925193</v>
      </c>
      <c r="R59" s="28">
        <f t="shared" si="49"/>
        <v>2212.7830610490114</v>
      </c>
      <c r="S59" s="28">
        <f t="shared" si="49"/>
        <v>2302.6127257093717</v>
      </c>
      <c r="T59" s="28">
        <f t="shared" si="49"/>
        <v>2721.2651762682708</v>
      </c>
      <c r="U59" s="28">
        <f t="shared" si="49"/>
        <v>2653.7713671539123</v>
      </c>
      <c r="V59" s="28">
        <f t="shared" si="49"/>
        <v>2439.472055030094</v>
      </c>
      <c r="W59" s="28">
        <f t="shared" si="49"/>
        <v>2518.0593293207221</v>
      </c>
      <c r="X59" s="28">
        <f t="shared" ref="X59:Y59" si="50">X60+X61</f>
        <v>2466.2171969045567</v>
      </c>
      <c r="Y59" s="28">
        <f t="shared" si="50"/>
        <v>2272.6705073086846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626.65152987646343</v>
      </c>
      <c r="C60" s="102">
        <f>MBunk_ene!C$4</f>
        <v>655.65209904632366</v>
      </c>
      <c r="D60" s="102">
        <f>MBunk_ene!D$4</f>
        <v>739.95392575593519</v>
      </c>
      <c r="E60" s="102">
        <f>MBunk_ene!E$4</f>
        <v>794.98511101788051</v>
      </c>
      <c r="F60" s="102">
        <f>MBunk_ene!F$4</f>
        <v>803.2473334478924</v>
      </c>
      <c r="G60" s="102">
        <f>MBunk_ene!G$4</f>
        <v>806.36153141097827</v>
      </c>
      <c r="H60" s="102">
        <f>MBunk_ene!H$4</f>
        <v>832.47119351929359</v>
      </c>
      <c r="I60" s="102">
        <f>MBunk_ene!I$4</f>
        <v>844.75656922919586</v>
      </c>
      <c r="J60" s="102">
        <f>MBunk_ene!J$4</f>
        <v>967.98521748565213</v>
      </c>
      <c r="K60" s="102">
        <f>MBunk_ene!K$4</f>
        <v>877.05462853906101</v>
      </c>
      <c r="L60" s="102">
        <f>MBunk_ene!L$4</f>
        <v>1157.5053529144816</v>
      </c>
      <c r="M60" s="102">
        <f>MBunk_ene!M$4</f>
        <v>960.08852140950876</v>
      </c>
      <c r="N60" s="102">
        <f>MBunk_ene!N$4</f>
        <v>974.20313683838435</v>
      </c>
      <c r="O60" s="102">
        <f>MBunk_ene!O$4</f>
        <v>922.76127723246134</v>
      </c>
      <c r="P60" s="102">
        <f>MBunk_ene!P$4</f>
        <v>793.65800911718247</v>
      </c>
      <c r="Q60" s="102">
        <f>MBunk_ene!Q$4</f>
        <v>768.68706755902372</v>
      </c>
      <c r="R60" s="102">
        <f>MBunk_ene!R$4</f>
        <v>940.67436466557149</v>
      </c>
      <c r="S60" s="102">
        <f>MBunk_ene!S$4</f>
        <v>995.93875677202243</v>
      </c>
      <c r="T60" s="102">
        <f>MBunk_ene!T$4</f>
        <v>1260.0138887063465</v>
      </c>
      <c r="U60" s="102">
        <f>MBunk_ene!U$4</f>
        <v>1184.5015184025349</v>
      </c>
      <c r="V60" s="102">
        <f>MBunk_ene!V$4</f>
        <v>975.00284985698556</v>
      </c>
      <c r="W60" s="102">
        <f>MBunk_ene!W$4</f>
        <v>981.371073654263</v>
      </c>
      <c r="X60" s="102">
        <f>MBunk_ene!X$4</f>
        <v>1044.6632599304648</v>
      </c>
      <c r="Y60" s="102">
        <f>MBunk_ene!Y$4</f>
        <v>970.45871464501954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1018.8916343539748</v>
      </c>
      <c r="C61" s="86">
        <f>MBunk_ene!C$10</f>
        <v>1101.1120454076747</v>
      </c>
      <c r="D61" s="86">
        <f>MBunk_ene!D$10</f>
        <v>1172.5806400222245</v>
      </c>
      <c r="E61" s="86">
        <f>MBunk_ene!E$10</f>
        <v>1290.220821914191</v>
      </c>
      <c r="F61" s="86">
        <f>MBunk_ene!F$10</f>
        <v>1384.1033974205509</v>
      </c>
      <c r="G61" s="86">
        <f>MBunk_ene!G$10</f>
        <v>1435.1260008332176</v>
      </c>
      <c r="H61" s="86">
        <f>MBunk_ene!H$10</f>
        <v>1497.2077402726231</v>
      </c>
      <c r="I61" s="86">
        <f>MBunk_ene!I$10</f>
        <v>1559.1652708395914</v>
      </c>
      <c r="J61" s="86">
        <f>MBunk_ene!J$10</f>
        <v>1552.3596664352413</v>
      </c>
      <c r="K61" s="86">
        <f>MBunk_ene!K$10</f>
        <v>1474.6555176346278</v>
      </c>
      <c r="L61" s="86">
        <f>MBunk_ene!L$10</f>
        <v>1817.1817494070999</v>
      </c>
      <c r="M61" s="86">
        <f>MBunk_ene!M$10</f>
        <v>1536.5103607916956</v>
      </c>
      <c r="N61" s="86">
        <f>MBunk_ene!N$10</f>
        <v>1492.9364160420962</v>
      </c>
      <c r="O61" s="86">
        <f>MBunk_ene!O$10</f>
        <v>1256.4591010994386</v>
      </c>
      <c r="P61" s="86">
        <f>MBunk_ene!P$10</f>
        <v>1119.1250519318287</v>
      </c>
      <c r="Q61" s="86">
        <f>MBunk_ene!Q$10</f>
        <v>1131.2413073334956</v>
      </c>
      <c r="R61" s="86">
        <f>MBunk_ene!R$10</f>
        <v>1272.1086963834398</v>
      </c>
      <c r="S61" s="86">
        <f>MBunk_ene!S$10</f>
        <v>1306.6739689373492</v>
      </c>
      <c r="T61" s="86">
        <f>MBunk_ene!T$10</f>
        <v>1461.2512875619245</v>
      </c>
      <c r="U61" s="86">
        <f>MBunk_ene!U$10</f>
        <v>1469.2698487513776</v>
      </c>
      <c r="V61" s="86">
        <f>MBunk_ene!V$10</f>
        <v>1464.4692051731083</v>
      </c>
      <c r="W61" s="86">
        <f>MBunk_ene!W$10</f>
        <v>1536.6882556664593</v>
      </c>
      <c r="X61" s="86">
        <f>MBunk_ene!X$10</f>
        <v>1421.5539369740918</v>
      </c>
      <c r="Y61" s="86">
        <f>MBunk_ene!Y$10</f>
        <v>1302.2117926636649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89958.614112092429</v>
      </c>
      <c r="C64" s="28">
        <f t="shared" si="51"/>
        <v>89899.95830386618</v>
      </c>
      <c r="D64" s="28">
        <f t="shared" si="51"/>
        <v>91954.399393764863</v>
      </c>
      <c r="E64" s="28">
        <f t="shared" si="51"/>
        <v>92839.902632990008</v>
      </c>
      <c r="F64" s="28">
        <f t="shared" si="51"/>
        <v>93536.323925100049</v>
      </c>
      <c r="G64" s="28">
        <f t="shared" si="51"/>
        <v>90495.785177385114</v>
      </c>
      <c r="H64" s="28">
        <f t="shared" si="51"/>
        <v>93854.897163315225</v>
      </c>
      <c r="I64" s="28">
        <f t="shared" si="51"/>
        <v>94065.804953144732</v>
      </c>
      <c r="J64" s="28">
        <f t="shared" si="51"/>
        <v>91170.253984114956</v>
      </c>
      <c r="K64" s="28">
        <f t="shared" si="51"/>
        <v>89008.363482327753</v>
      </c>
      <c r="L64" s="28">
        <f t="shared" si="51"/>
        <v>86459.813898007313</v>
      </c>
      <c r="M64" s="28">
        <f t="shared" si="51"/>
        <v>85461.16204140216</v>
      </c>
      <c r="N64" s="28">
        <f t="shared" si="51"/>
        <v>79821.55887164567</v>
      </c>
      <c r="O64" s="28">
        <f t="shared" si="51"/>
        <v>81604.675075744657</v>
      </c>
      <c r="P64" s="28">
        <f t="shared" si="51"/>
        <v>86253.315154837983</v>
      </c>
      <c r="Q64" s="28">
        <f t="shared" si="51"/>
        <v>86910.096227756265</v>
      </c>
      <c r="R64" s="28">
        <f t="shared" ref="R64:V64" si="52">R65+R69+R73</f>
        <v>87839.01313872484</v>
      </c>
      <c r="S64" s="28">
        <f t="shared" si="52"/>
        <v>87189.506175556948</v>
      </c>
      <c r="T64" s="28">
        <f t="shared" si="52"/>
        <v>88323.891362832277</v>
      </c>
      <c r="U64" s="28">
        <f t="shared" si="52"/>
        <v>89329.470213226799</v>
      </c>
      <c r="V64" s="28">
        <f t="shared" si="52"/>
        <v>63829.238219002087</v>
      </c>
      <c r="W64" s="28">
        <f t="shared" ref="W64:Y64" si="53">W65+W69+W73</f>
        <v>73888.447481529307</v>
      </c>
      <c r="X64" s="28">
        <f t="shared" si="53"/>
        <v>80951.113903492675</v>
      </c>
      <c r="Y64" s="28">
        <f t="shared" si="53"/>
        <v>85339.286364390457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79536.035401104076</v>
      </c>
      <c r="C65" s="137">
        <f t="shared" si="54"/>
        <v>80133.836604194687</v>
      </c>
      <c r="D65" s="137">
        <f t="shared" si="54"/>
        <v>82448.338697785992</v>
      </c>
      <c r="E65" s="137">
        <f t="shared" si="54"/>
        <v>82148.087350289192</v>
      </c>
      <c r="F65" s="137">
        <f t="shared" si="54"/>
        <v>82994.528808227653</v>
      </c>
      <c r="G65" s="137">
        <f t="shared" si="54"/>
        <v>79622.209539700416</v>
      </c>
      <c r="H65" s="137">
        <f t="shared" si="54"/>
        <v>82262.521401701277</v>
      </c>
      <c r="I65" s="137">
        <f t="shared" si="54"/>
        <v>81831.011902786078</v>
      </c>
      <c r="J65" s="137">
        <f t="shared" si="54"/>
        <v>79438.955139634694</v>
      </c>
      <c r="K65" s="137">
        <f t="shared" si="54"/>
        <v>78311.299505818766</v>
      </c>
      <c r="L65" s="137">
        <f t="shared" si="54"/>
        <v>75270.735859235327</v>
      </c>
      <c r="M65" s="137">
        <f t="shared" si="54"/>
        <v>74068.058351287837</v>
      </c>
      <c r="N65" s="137">
        <f t="shared" si="54"/>
        <v>68822.321827516775</v>
      </c>
      <c r="O65" s="137">
        <f t="shared" si="54"/>
        <v>70994.341902034575</v>
      </c>
      <c r="P65" s="137">
        <f t="shared" si="54"/>
        <v>75582.164137744054</v>
      </c>
      <c r="Q65" s="137">
        <f t="shared" si="54"/>
        <v>75892.940994304372</v>
      </c>
      <c r="R65" s="137">
        <f t="shared" ref="R65:V65" si="55">R66+R67+R68</f>
        <v>76418.455440895064</v>
      </c>
      <c r="S65" s="137">
        <f t="shared" si="55"/>
        <v>75207.107545125968</v>
      </c>
      <c r="T65" s="137">
        <f t="shared" si="55"/>
        <v>74769.472590249541</v>
      </c>
      <c r="U65" s="137">
        <f t="shared" si="55"/>
        <v>75280.655989526276</v>
      </c>
      <c r="V65" s="137">
        <f t="shared" si="55"/>
        <v>58960.803042964333</v>
      </c>
      <c r="W65" s="137">
        <f t="shared" ref="W65:Y65" si="56">W66+W67+W68</f>
        <v>68306.289815882134</v>
      </c>
      <c r="X65" s="137">
        <f t="shared" si="56"/>
        <v>70606.920024806561</v>
      </c>
      <c r="Y65" s="137">
        <f t="shared" si="56"/>
        <v>72127.861589993583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4162.2579605207748</v>
      </c>
      <c r="C66" s="102">
        <f>TrRoad_emi!C$19</f>
        <v>4204.0809342829207</v>
      </c>
      <c r="D66" s="102">
        <f>TrRoad_emi!D$19</f>
        <v>4125.0481640171211</v>
      </c>
      <c r="E66" s="102">
        <f>TrRoad_emi!E$19</f>
        <v>4157.8901375610612</v>
      </c>
      <c r="F66" s="102">
        <f>TrRoad_emi!F$19</f>
        <v>4277.9906042777875</v>
      </c>
      <c r="G66" s="102">
        <f>TrRoad_emi!G$19</f>
        <v>4250.8944100694471</v>
      </c>
      <c r="H66" s="102">
        <f>TrRoad_emi!H$19</f>
        <v>3987.7031678089661</v>
      </c>
      <c r="I66" s="102">
        <f>TrRoad_emi!I$19</f>
        <v>3492.0680077165653</v>
      </c>
      <c r="J66" s="102">
        <f>TrRoad_emi!J$19</f>
        <v>3603.1544323105977</v>
      </c>
      <c r="K66" s="102">
        <f>TrRoad_emi!K$19</f>
        <v>3287.7353809461247</v>
      </c>
      <c r="L66" s="102">
        <f>TrRoad_emi!L$19</f>
        <v>3305.5311618705541</v>
      </c>
      <c r="M66" s="102">
        <f>TrRoad_emi!M$19</f>
        <v>3369.0210547555566</v>
      </c>
      <c r="N66" s="102">
        <f>TrRoad_emi!N$19</f>
        <v>3210.8180222287606</v>
      </c>
      <c r="O66" s="102">
        <f>TrRoad_emi!O$19</f>
        <v>3098.20209501298</v>
      </c>
      <c r="P66" s="102">
        <f>TrRoad_emi!P$19</f>
        <v>3132.4485648003806</v>
      </c>
      <c r="Q66" s="102">
        <f>TrRoad_emi!Q$19</f>
        <v>3085.1659305541743</v>
      </c>
      <c r="R66" s="102">
        <f>TrRoad_emi!R$19</f>
        <v>3126.0314918890081</v>
      </c>
      <c r="S66" s="102">
        <f>TrRoad_emi!S$19</f>
        <v>2922.1017370447385</v>
      </c>
      <c r="T66" s="102">
        <f>TrRoad_emi!T$19</f>
        <v>2769.5972205662993</v>
      </c>
      <c r="U66" s="102">
        <f>TrRoad_emi!U$19</f>
        <v>2990.5779177183185</v>
      </c>
      <c r="V66" s="102">
        <f>TrRoad_emi!V$19</f>
        <v>2606.6090075874067</v>
      </c>
      <c r="W66" s="102">
        <f>TrRoad_emi!W$19</f>
        <v>2785.0649355320702</v>
      </c>
      <c r="X66" s="102">
        <f>TrRoad_emi!X$19</f>
        <v>2803.2662916633531</v>
      </c>
      <c r="Y66" s="102">
        <f>TrRoad_emi!Y$19</f>
        <v>3007.3064914098918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68782.871050569331</v>
      </c>
      <c r="C67" s="102">
        <f>TrRoad_emi!C$20</f>
        <v>69316.442503078273</v>
      </c>
      <c r="D67" s="102">
        <f>TrRoad_emi!D$20</f>
        <v>71663.716498285881</v>
      </c>
      <c r="E67" s="102">
        <f>TrRoad_emi!E$20</f>
        <v>71332.905727246092</v>
      </c>
      <c r="F67" s="102">
        <f>TrRoad_emi!F$20</f>
        <v>72079.277163342835</v>
      </c>
      <c r="G67" s="102">
        <f>TrRoad_emi!G$20</f>
        <v>68704.260170455265</v>
      </c>
      <c r="H67" s="102">
        <f>TrRoad_emi!H$20</f>
        <v>71545.58699003527</v>
      </c>
      <c r="I67" s="102">
        <f>TrRoad_emi!I$20</f>
        <v>71631.320241187437</v>
      </c>
      <c r="J67" s="102">
        <f>TrRoad_emi!J$20</f>
        <v>69231.145507345514</v>
      </c>
      <c r="K67" s="102">
        <f>TrRoad_emi!K$20</f>
        <v>68564.04756142931</v>
      </c>
      <c r="L67" s="102">
        <f>TrRoad_emi!L$20</f>
        <v>65479.355449770977</v>
      </c>
      <c r="M67" s="102">
        <f>TrRoad_emi!M$20</f>
        <v>64035.857076967637</v>
      </c>
      <c r="N67" s="102">
        <f>TrRoad_emi!N$20</f>
        <v>59215.276161423179</v>
      </c>
      <c r="O67" s="102">
        <f>TrRoad_emi!O$20</f>
        <v>61482.857091025158</v>
      </c>
      <c r="P67" s="102">
        <f>TrRoad_emi!P$20</f>
        <v>65934.437393711705</v>
      </c>
      <c r="Q67" s="102">
        <f>TrRoad_emi!Q$20</f>
        <v>66158.346994402935</v>
      </c>
      <c r="R67" s="102">
        <f>TrRoad_emi!R$20</f>
        <v>66643.878356115427</v>
      </c>
      <c r="S67" s="102">
        <f>TrRoad_emi!S$20</f>
        <v>65612.264403243084</v>
      </c>
      <c r="T67" s="102">
        <f>TrRoad_emi!T$20</f>
        <v>65558.700952422005</v>
      </c>
      <c r="U67" s="102">
        <f>TrRoad_emi!U$20</f>
        <v>65566.192135658639</v>
      </c>
      <c r="V67" s="102">
        <f>TrRoad_emi!V$20</f>
        <v>49864.915750480388</v>
      </c>
      <c r="W67" s="102">
        <f>TrRoad_emi!W$20</f>
        <v>58837.322439515148</v>
      </c>
      <c r="X67" s="102">
        <f>TrRoad_emi!X$20</f>
        <v>61354.492999604532</v>
      </c>
      <c r="Y67" s="102">
        <f>TrRoad_emi!Y$20</f>
        <v>62884.650370247567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6590.9063900139799</v>
      </c>
      <c r="C68" s="102">
        <f>TrRoad_emi!C$27</f>
        <v>6613.3131668335009</v>
      </c>
      <c r="D68" s="102">
        <f>TrRoad_emi!D$27</f>
        <v>6659.5740354829913</v>
      </c>
      <c r="E68" s="102">
        <f>TrRoad_emi!E$27</f>
        <v>6657.2914854820401</v>
      </c>
      <c r="F68" s="102">
        <f>TrRoad_emi!F$27</f>
        <v>6637.2610406070371</v>
      </c>
      <c r="G68" s="102">
        <f>TrRoad_emi!G$27</f>
        <v>6667.0549591757026</v>
      </c>
      <c r="H68" s="102">
        <f>TrRoad_emi!H$27</f>
        <v>6729.2312438570316</v>
      </c>
      <c r="I68" s="102">
        <f>TrRoad_emi!I$27</f>
        <v>6707.6236538820849</v>
      </c>
      <c r="J68" s="102">
        <f>TrRoad_emi!J$27</f>
        <v>6604.6551999785897</v>
      </c>
      <c r="K68" s="102">
        <f>TrRoad_emi!K$27</f>
        <v>6459.5165634433333</v>
      </c>
      <c r="L68" s="102">
        <f>TrRoad_emi!L$27</f>
        <v>6485.849247593801</v>
      </c>
      <c r="M68" s="102">
        <f>TrRoad_emi!M$27</f>
        <v>6663.1802195646505</v>
      </c>
      <c r="N68" s="102">
        <f>TrRoad_emi!N$27</f>
        <v>6396.2276438648405</v>
      </c>
      <c r="O68" s="102">
        <f>TrRoad_emi!O$27</f>
        <v>6413.2827159964372</v>
      </c>
      <c r="P68" s="102">
        <f>TrRoad_emi!P$27</f>
        <v>6515.2781792319793</v>
      </c>
      <c r="Q68" s="102">
        <f>TrRoad_emi!Q$27</f>
        <v>6649.4280693472683</v>
      </c>
      <c r="R68" s="102">
        <f>TrRoad_emi!R$27</f>
        <v>6648.5455928906276</v>
      </c>
      <c r="S68" s="102">
        <f>TrRoad_emi!S$27</f>
        <v>6672.7414048381497</v>
      </c>
      <c r="T68" s="102">
        <f>TrRoad_emi!T$27</f>
        <v>6441.174417261238</v>
      </c>
      <c r="U68" s="102">
        <f>TrRoad_emi!U$27</f>
        <v>6723.8859361493169</v>
      </c>
      <c r="V68" s="102">
        <f>TrRoad_emi!V$27</f>
        <v>6489.2782848965353</v>
      </c>
      <c r="W68" s="102">
        <f>TrRoad_emi!W$27</f>
        <v>6683.9024408349205</v>
      </c>
      <c r="X68" s="102">
        <f>TrRoad_emi!X$27</f>
        <v>6449.1607335386752</v>
      </c>
      <c r="Y68" s="102">
        <f>TrRoad_emi!Y$27</f>
        <v>6235.9047283361269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411.82532717642943</v>
      </c>
      <c r="C69" s="110">
        <f t="shared" si="57"/>
        <v>359.92208924690408</v>
      </c>
      <c r="D69" s="110">
        <f t="shared" si="57"/>
        <v>370.17438638236979</v>
      </c>
      <c r="E69" s="110">
        <f t="shared" si="57"/>
        <v>400.54504710776655</v>
      </c>
      <c r="F69" s="110">
        <f t="shared" si="57"/>
        <v>343.25654451488208</v>
      </c>
      <c r="G69" s="110">
        <f t="shared" si="57"/>
        <v>293.59015480260342</v>
      </c>
      <c r="H69" s="110">
        <f t="shared" si="57"/>
        <v>300.16175673783562</v>
      </c>
      <c r="I69" s="110">
        <f t="shared" si="57"/>
        <v>265.04937186643787</v>
      </c>
      <c r="J69" s="110">
        <f t="shared" si="57"/>
        <v>152.38094612949092</v>
      </c>
      <c r="K69" s="110">
        <f t="shared" si="57"/>
        <v>151.95746655485644</v>
      </c>
      <c r="L69" s="110">
        <f t="shared" si="57"/>
        <v>164.53929478970508</v>
      </c>
      <c r="M69" s="110">
        <f t="shared" si="57"/>
        <v>121.8137122575375</v>
      </c>
      <c r="N69" s="110">
        <f t="shared" si="57"/>
        <v>150.62011075174917</v>
      </c>
      <c r="O69" s="110">
        <f t="shared" si="57"/>
        <v>106.21414048507931</v>
      </c>
      <c r="P69" s="110">
        <f t="shared" si="57"/>
        <v>49.954402223439793</v>
      </c>
      <c r="Q69" s="110">
        <f t="shared" si="57"/>
        <v>61.149355322416383</v>
      </c>
      <c r="R69" s="110">
        <f t="shared" ref="R69:V69" si="58">R70+R71+R72</f>
        <v>41.34179594137651</v>
      </c>
      <c r="S69" s="110">
        <f t="shared" si="58"/>
        <v>90.725476862660557</v>
      </c>
      <c r="T69" s="110">
        <f t="shared" si="58"/>
        <v>121.97736778149607</v>
      </c>
      <c r="U69" s="110">
        <f t="shared" si="58"/>
        <v>118.13688920002922</v>
      </c>
      <c r="V69" s="110">
        <f t="shared" si="58"/>
        <v>116.80393928228061</v>
      </c>
      <c r="W69" s="110">
        <f t="shared" ref="W69:Y69" si="59">W70+W71+W72</f>
        <v>98.165603611439394</v>
      </c>
      <c r="X69" s="110">
        <f t="shared" si="59"/>
        <v>29.314811928086801</v>
      </c>
      <c r="Y69" s="110">
        <f t="shared" si="59"/>
        <v>31.402558675345293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411.82532717642943</v>
      </c>
      <c r="C71" s="102">
        <f>TrRail_emi!C$11</f>
        <v>359.92208924690408</v>
      </c>
      <c r="D71" s="102">
        <f>TrRail_emi!D$11</f>
        <v>370.17438638236979</v>
      </c>
      <c r="E71" s="102">
        <f>TrRail_emi!E$11</f>
        <v>400.54504710776655</v>
      </c>
      <c r="F71" s="102">
        <f>TrRail_emi!F$11</f>
        <v>343.25654451488208</v>
      </c>
      <c r="G71" s="102">
        <f>TrRail_emi!G$11</f>
        <v>293.59015480260342</v>
      </c>
      <c r="H71" s="102">
        <f>TrRail_emi!H$11</f>
        <v>300.16175673783562</v>
      </c>
      <c r="I71" s="102">
        <f>TrRail_emi!I$11</f>
        <v>265.04937186643787</v>
      </c>
      <c r="J71" s="102">
        <f>TrRail_emi!J$11</f>
        <v>152.38094612949092</v>
      </c>
      <c r="K71" s="102">
        <f>TrRail_emi!K$11</f>
        <v>151.95746655485644</v>
      </c>
      <c r="L71" s="102">
        <f>TrRail_emi!L$11</f>
        <v>164.53929478970508</v>
      </c>
      <c r="M71" s="102">
        <f>TrRail_emi!M$11</f>
        <v>121.8137122575375</v>
      </c>
      <c r="N71" s="102">
        <f>TrRail_emi!N$11</f>
        <v>150.62011075174917</v>
      </c>
      <c r="O71" s="102">
        <f>TrRail_emi!O$11</f>
        <v>106.21414048507931</v>
      </c>
      <c r="P71" s="102">
        <f>TrRail_emi!P$11</f>
        <v>49.954402223439793</v>
      </c>
      <c r="Q71" s="102">
        <f>TrRail_emi!Q$11</f>
        <v>61.149355322416383</v>
      </c>
      <c r="R71" s="102">
        <f>TrRail_emi!R$11</f>
        <v>41.34179594137651</v>
      </c>
      <c r="S71" s="102">
        <f>TrRail_emi!S$11</f>
        <v>90.725476862660557</v>
      </c>
      <c r="T71" s="102">
        <f>TrRail_emi!T$11</f>
        <v>121.97736778149607</v>
      </c>
      <c r="U71" s="102">
        <f>TrRail_emi!U$11</f>
        <v>118.13688920002922</v>
      </c>
      <c r="V71" s="102">
        <f>TrRail_emi!V$11</f>
        <v>116.80393928228061</v>
      </c>
      <c r="W71" s="102">
        <f>TrRail_emi!W$11</f>
        <v>98.165603611439394</v>
      </c>
      <c r="X71" s="102">
        <f>TrRail_emi!X$11</f>
        <v>29.314811928086801</v>
      </c>
      <c r="Y71" s="102">
        <f>TrRail_emi!Y$11</f>
        <v>31.402558675345293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10010.753383811925</v>
      </c>
      <c r="C73" s="110">
        <f t="shared" si="60"/>
        <v>9406.1996104245973</v>
      </c>
      <c r="D73" s="110">
        <f t="shared" si="60"/>
        <v>9135.8863095965025</v>
      </c>
      <c r="E73" s="110">
        <f t="shared" si="60"/>
        <v>10291.270235593051</v>
      </c>
      <c r="F73" s="110">
        <f t="shared" si="60"/>
        <v>10198.538572357516</v>
      </c>
      <c r="G73" s="110">
        <f t="shared" si="60"/>
        <v>10579.985482882093</v>
      </c>
      <c r="H73" s="110">
        <f t="shared" si="60"/>
        <v>11292.214004876107</v>
      </c>
      <c r="I73" s="110">
        <f t="shared" si="60"/>
        <v>11969.743678492217</v>
      </c>
      <c r="J73" s="110">
        <f t="shared" si="60"/>
        <v>11578.917898350774</v>
      </c>
      <c r="K73" s="110">
        <f t="shared" si="60"/>
        <v>10545.106509954134</v>
      </c>
      <c r="L73" s="110">
        <f t="shared" si="60"/>
        <v>11024.538743982284</v>
      </c>
      <c r="M73" s="110">
        <f t="shared" si="60"/>
        <v>11271.289977856788</v>
      </c>
      <c r="N73" s="110">
        <f t="shared" si="60"/>
        <v>10848.616933377143</v>
      </c>
      <c r="O73" s="110">
        <f t="shared" si="60"/>
        <v>10504.119033224997</v>
      </c>
      <c r="P73" s="110">
        <f t="shared" si="60"/>
        <v>10621.196614870494</v>
      </c>
      <c r="Q73" s="110">
        <f t="shared" si="60"/>
        <v>10956.005878129472</v>
      </c>
      <c r="R73" s="110">
        <f t="shared" ref="R73:V73" si="61">R74+R75+R76</f>
        <v>11379.215901888396</v>
      </c>
      <c r="S73" s="110">
        <f t="shared" si="61"/>
        <v>11891.673153568314</v>
      </c>
      <c r="T73" s="110">
        <f t="shared" si="61"/>
        <v>13432.441404801248</v>
      </c>
      <c r="U73" s="110">
        <f t="shared" si="61"/>
        <v>13930.677334500497</v>
      </c>
      <c r="V73" s="110">
        <f t="shared" si="61"/>
        <v>4751.6312367554701</v>
      </c>
      <c r="W73" s="110">
        <f t="shared" ref="W73:Y73" si="62">W74+W75+W76</f>
        <v>5483.9920620357334</v>
      </c>
      <c r="X73" s="110">
        <f t="shared" si="62"/>
        <v>10314.879066758038</v>
      </c>
      <c r="Y73" s="110">
        <f t="shared" si="62"/>
        <v>13180.022215721538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1986.5306224556693</v>
      </c>
      <c r="C74" s="102">
        <f>TrAvia_emi!C$7</f>
        <v>1802.6498324624174</v>
      </c>
      <c r="D74" s="102">
        <f>TrAvia_emi!D$7</f>
        <v>1813.5816822052216</v>
      </c>
      <c r="E74" s="102">
        <f>TrAvia_emi!E$7</f>
        <v>2047.0831137814121</v>
      </c>
      <c r="F74" s="102">
        <f>TrAvia_emi!F$7</f>
        <v>2025.7512966652826</v>
      </c>
      <c r="G74" s="102">
        <f>TrAvia_emi!G$7</f>
        <v>2112.5035702743126</v>
      </c>
      <c r="H74" s="102">
        <f>TrAvia_emi!H$7</f>
        <v>2266.2481550392795</v>
      </c>
      <c r="I74" s="102">
        <f>TrAvia_emi!I$7</f>
        <v>2403.7844150402543</v>
      </c>
      <c r="J74" s="102">
        <f>TrAvia_emi!J$7</f>
        <v>2306.5330182644757</v>
      </c>
      <c r="K74" s="102">
        <f>TrAvia_emi!K$7</f>
        <v>2037.6130412979333</v>
      </c>
      <c r="L74" s="102">
        <f>TrAvia_emi!L$7</f>
        <v>2115.0248195098557</v>
      </c>
      <c r="M74" s="102">
        <f>TrAvia_emi!M$7</f>
        <v>2134.5970669295825</v>
      </c>
      <c r="N74" s="102">
        <f>TrAvia_emi!N$7</f>
        <v>2038.4012631763733</v>
      </c>
      <c r="O74" s="102">
        <f>TrAvia_emi!O$7</f>
        <v>2028.6034629511598</v>
      </c>
      <c r="P74" s="102">
        <f>TrAvia_emi!P$7</f>
        <v>1920.4355422817</v>
      </c>
      <c r="Q74" s="102">
        <f>TrAvia_emi!Q$7</f>
        <v>2075.3256420777157</v>
      </c>
      <c r="R74" s="102">
        <f>TrAvia_emi!R$7</f>
        <v>2117.1846393928286</v>
      </c>
      <c r="S74" s="102">
        <f>TrAvia_emi!S$7</f>
        <v>2326.8471718229243</v>
      </c>
      <c r="T74" s="102">
        <f>TrAvia_emi!T$7</f>
        <v>2621.1553602059516</v>
      </c>
      <c r="U74" s="102">
        <f>TrAvia_emi!U$7</f>
        <v>2703.9070327539971</v>
      </c>
      <c r="V74" s="102">
        <f>TrAvia_emi!V$7</f>
        <v>1016.7638848791076</v>
      </c>
      <c r="W74" s="102">
        <f>TrAvia_emi!W$7</f>
        <v>1397.3329263224291</v>
      </c>
      <c r="X74" s="102">
        <f>TrAvia_emi!X$7</f>
        <v>2418.3733905493582</v>
      </c>
      <c r="Y74" s="102">
        <f>TrAvia_emi!Y$7</f>
        <v>3004.8325658658364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3755.8679439469847</v>
      </c>
      <c r="C75" s="102">
        <f>TrAvia_emi!C$8</f>
        <v>3558.9638958546484</v>
      </c>
      <c r="D75" s="102">
        <f>TrAvia_emi!D$8</f>
        <v>3427.2958907454222</v>
      </c>
      <c r="E75" s="102">
        <f>TrAvia_emi!E$8</f>
        <v>4002.7528690553318</v>
      </c>
      <c r="F75" s="102">
        <f>TrAvia_emi!F$8</f>
        <v>3725.9206204910797</v>
      </c>
      <c r="G75" s="102">
        <f>TrAvia_emi!G$8</f>
        <v>3913.4839914948748</v>
      </c>
      <c r="H75" s="102">
        <f>TrAvia_emi!H$8</f>
        <v>4193.5825194998979</v>
      </c>
      <c r="I75" s="102">
        <f>TrAvia_emi!I$8</f>
        <v>4547.7052810506002</v>
      </c>
      <c r="J75" s="102">
        <f>TrAvia_emi!J$8</f>
        <v>4311.4577984477173</v>
      </c>
      <c r="K75" s="102">
        <f>TrAvia_emi!K$8</f>
        <v>3831.2792341241384</v>
      </c>
      <c r="L75" s="102">
        <f>TrAvia_emi!L$8</f>
        <v>3984.6287322524258</v>
      </c>
      <c r="M75" s="102">
        <f>TrAvia_emi!M$8</f>
        <v>4089.1466596442101</v>
      </c>
      <c r="N75" s="102">
        <f>TrAvia_emi!N$8</f>
        <v>3920.513351086036</v>
      </c>
      <c r="O75" s="102">
        <f>TrAvia_emi!O$8</f>
        <v>3755.4881435406705</v>
      </c>
      <c r="P75" s="102">
        <f>TrAvia_emi!P$8</f>
        <v>3890.535533922357</v>
      </c>
      <c r="Q75" s="102">
        <f>TrAvia_emi!Q$8</f>
        <v>4003.0283325671962</v>
      </c>
      <c r="R75" s="102">
        <f>TrAvia_emi!R$8</f>
        <v>4350.1940183555043</v>
      </c>
      <c r="S75" s="102">
        <f>TrAvia_emi!S$8</f>
        <v>4588.0984514934335</v>
      </c>
      <c r="T75" s="102">
        <f>TrAvia_emi!T$8</f>
        <v>5174.8206972947246</v>
      </c>
      <c r="U75" s="102">
        <f>TrAvia_emi!U$8</f>
        <v>5256.7732031551614</v>
      </c>
      <c r="V75" s="102">
        <f>TrAvia_emi!V$8</f>
        <v>1444.3827631371635</v>
      </c>
      <c r="W75" s="102">
        <f>TrAvia_emi!W$8</f>
        <v>1715.2656307553825</v>
      </c>
      <c r="X75" s="102">
        <f>TrAvia_emi!X$8</f>
        <v>3860.5050826007982</v>
      </c>
      <c r="Y75" s="102">
        <f>TrAvia_emi!Y$8</f>
        <v>4898.4985563253013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4268.3548174092712</v>
      </c>
      <c r="C76" s="102">
        <f>TrAvia_emi!C$9</f>
        <v>4044.5858821075321</v>
      </c>
      <c r="D76" s="102">
        <f>TrAvia_emi!D$9</f>
        <v>3895.0087366458588</v>
      </c>
      <c r="E76" s="102">
        <f>TrAvia_emi!E$9</f>
        <v>4241.4342527563067</v>
      </c>
      <c r="F76" s="102">
        <f>TrAvia_emi!F$9</f>
        <v>4446.8666552011546</v>
      </c>
      <c r="G76" s="102">
        <f>TrAvia_emi!G$9</f>
        <v>4553.9979211129057</v>
      </c>
      <c r="H76" s="102">
        <f>TrAvia_emi!H$9</f>
        <v>4832.3833303369283</v>
      </c>
      <c r="I76" s="102">
        <f>TrAvia_emi!I$9</f>
        <v>5018.2539824013638</v>
      </c>
      <c r="J76" s="102">
        <f>TrAvia_emi!J$9</f>
        <v>4960.9270816385797</v>
      </c>
      <c r="K76" s="102">
        <f>TrAvia_emi!K$9</f>
        <v>4676.2142345320617</v>
      </c>
      <c r="L76" s="102">
        <f>TrAvia_emi!L$9</f>
        <v>4924.885192220002</v>
      </c>
      <c r="M76" s="102">
        <f>TrAvia_emi!M$9</f>
        <v>5047.5462512829963</v>
      </c>
      <c r="N76" s="102">
        <f>TrAvia_emi!N$9</f>
        <v>4889.7023191147346</v>
      </c>
      <c r="O76" s="102">
        <f>TrAvia_emi!O$9</f>
        <v>4720.0274267331679</v>
      </c>
      <c r="P76" s="102">
        <f>TrAvia_emi!P$9</f>
        <v>4810.2255386664374</v>
      </c>
      <c r="Q76" s="102">
        <f>TrAvia_emi!Q$9</f>
        <v>4877.6519034845605</v>
      </c>
      <c r="R76" s="102">
        <f>TrAvia_emi!R$9</f>
        <v>4911.8372441400625</v>
      </c>
      <c r="S76" s="102">
        <f>TrAvia_emi!S$9</f>
        <v>4976.7275302519556</v>
      </c>
      <c r="T76" s="102">
        <f>TrAvia_emi!T$9</f>
        <v>5636.465347300571</v>
      </c>
      <c r="U76" s="102">
        <f>TrAvia_emi!U$9</f>
        <v>5969.9970985913387</v>
      </c>
      <c r="V76" s="102">
        <f>TrAvia_emi!V$9</f>
        <v>2290.4845887391989</v>
      </c>
      <c r="W76" s="102">
        <f>TrAvia_emi!W$9</f>
        <v>2371.3935049579222</v>
      </c>
      <c r="X76" s="102">
        <f>TrAvia_emi!X$9</f>
        <v>4036.0005936078819</v>
      </c>
      <c r="Y76" s="102">
        <f>TrAvia_emi!Y$9</f>
        <v>5276.6910935304004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34926.075654747554</v>
      </c>
      <c r="C77" s="28">
        <f t="shared" si="63"/>
        <v>36363.083522533794</v>
      </c>
      <c r="D77" s="28">
        <f t="shared" si="63"/>
        <v>36567.515680235105</v>
      </c>
      <c r="E77" s="28">
        <f t="shared" si="63"/>
        <v>37711.374395409992</v>
      </c>
      <c r="F77" s="28">
        <f t="shared" si="63"/>
        <v>39170.19016397994</v>
      </c>
      <c r="G77" s="28">
        <f t="shared" si="63"/>
        <v>41495.535258734904</v>
      </c>
      <c r="H77" s="28">
        <f t="shared" si="63"/>
        <v>40082.662856564784</v>
      </c>
      <c r="I77" s="28">
        <f t="shared" si="63"/>
        <v>40953.127896855251</v>
      </c>
      <c r="J77" s="28">
        <f t="shared" si="63"/>
        <v>36682.836372565005</v>
      </c>
      <c r="K77" s="28">
        <f t="shared" si="63"/>
        <v>31865.501423672227</v>
      </c>
      <c r="L77" s="28">
        <f t="shared" si="63"/>
        <v>32273.957588152683</v>
      </c>
      <c r="M77" s="28">
        <f t="shared" si="63"/>
        <v>33178.266367317825</v>
      </c>
      <c r="N77" s="28">
        <f t="shared" si="63"/>
        <v>31731.791851354308</v>
      </c>
      <c r="O77" s="28">
        <f t="shared" si="63"/>
        <v>27649.021778935348</v>
      </c>
      <c r="P77" s="28">
        <f t="shared" si="63"/>
        <v>27917.480677042015</v>
      </c>
      <c r="Q77" s="28">
        <f t="shared" si="63"/>
        <v>25203.658073403745</v>
      </c>
      <c r="R77" s="28">
        <f t="shared" si="63"/>
        <v>23307.139099195163</v>
      </c>
      <c r="S77" s="28">
        <f t="shared" si="63"/>
        <v>20217.355674815073</v>
      </c>
      <c r="T77" s="28">
        <f t="shared" si="63"/>
        <v>22884.270502874948</v>
      </c>
      <c r="U77" s="28">
        <f t="shared" si="63"/>
        <v>23109.025531299354</v>
      </c>
      <c r="V77" s="28">
        <f t="shared" si="63"/>
        <v>20891.398034658345</v>
      </c>
      <c r="W77" s="28">
        <f t="shared" si="63"/>
        <v>28295.409207854929</v>
      </c>
      <c r="X77" s="28">
        <f t="shared" si="63"/>
        <v>30640.845156918989</v>
      </c>
      <c r="Y77" s="28">
        <f t="shared" si="63"/>
        <v>29606.939120841853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30391.579054535912</v>
      </c>
      <c r="C78" s="137">
        <f t="shared" si="64"/>
        <v>31979.2837186053</v>
      </c>
      <c r="D78" s="137">
        <f t="shared" si="64"/>
        <v>31926.642741933974</v>
      </c>
      <c r="E78" s="137">
        <f t="shared" si="64"/>
        <v>32709.788702790807</v>
      </c>
      <c r="F78" s="137">
        <f t="shared" si="64"/>
        <v>34160.675710812342</v>
      </c>
      <c r="G78" s="137">
        <f t="shared" si="64"/>
        <v>36493.706561419589</v>
      </c>
      <c r="H78" s="137">
        <f t="shared" si="64"/>
        <v>34953.376756098725</v>
      </c>
      <c r="I78" s="137">
        <f t="shared" si="64"/>
        <v>35909.206554733901</v>
      </c>
      <c r="J78" s="137">
        <f t="shared" si="64"/>
        <v>31443.278530765263</v>
      </c>
      <c r="K78" s="137">
        <f t="shared" si="64"/>
        <v>27500.341042021217</v>
      </c>
      <c r="L78" s="137">
        <f t="shared" si="64"/>
        <v>28008.16290800467</v>
      </c>
      <c r="M78" s="137">
        <f t="shared" si="64"/>
        <v>29080.844480032149</v>
      </c>
      <c r="N78" s="137">
        <f t="shared" si="64"/>
        <v>28085.167530523198</v>
      </c>
      <c r="O78" s="137">
        <f t="shared" si="64"/>
        <v>23955.289335925423</v>
      </c>
      <c r="P78" s="137">
        <f t="shared" si="64"/>
        <v>24274.522464775946</v>
      </c>
      <c r="Q78" s="137">
        <f t="shared" si="64"/>
        <v>21574.808109295634</v>
      </c>
      <c r="R78" s="137">
        <f t="shared" ref="R78:V78" si="65">R79+R80</f>
        <v>19583.450526304932</v>
      </c>
      <c r="S78" s="137">
        <f t="shared" si="65"/>
        <v>16704.734143326044</v>
      </c>
      <c r="T78" s="137">
        <f t="shared" si="65"/>
        <v>20104.885635017687</v>
      </c>
      <c r="U78" s="137">
        <f t="shared" si="65"/>
        <v>20427.630117719877</v>
      </c>
      <c r="V78" s="137">
        <f t="shared" si="65"/>
        <v>18307.973274096097</v>
      </c>
      <c r="W78" s="137">
        <f t="shared" ref="W78:Y78" si="66">W79+W80</f>
        <v>25711.445682142104</v>
      </c>
      <c r="X78" s="137">
        <f t="shared" si="66"/>
        <v>28247.068386885112</v>
      </c>
      <c r="Y78" s="137">
        <f t="shared" si="66"/>
        <v>27274.448415598737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22547.894825934229</v>
      </c>
      <c r="C79" s="102">
        <f>TrRoad_emi!C$34</f>
        <v>20338.598894175135</v>
      </c>
      <c r="D79" s="102">
        <f>TrRoad_emi!D$34</f>
        <v>20211.189458813707</v>
      </c>
      <c r="E79" s="102">
        <f>TrRoad_emi!E$34</f>
        <v>21279.119898272078</v>
      </c>
      <c r="F79" s="102">
        <f>TrRoad_emi!F$34</f>
        <v>22137.224703642754</v>
      </c>
      <c r="G79" s="102">
        <f>TrRoad_emi!G$34</f>
        <v>23779.69054988867</v>
      </c>
      <c r="H79" s="102">
        <f>TrRoad_emi!H$34</f>
        <v>20501.484891596974</v>
      </c>
      <c r="I79" s="102">
        <f>TrRoad_emi!I$34</f>
        <v>21640.773364172735</v>
      </c>
      <c r="J79" s="102">
        <f>TrRoad_emi!J$34</f>
        <v>20637.902629294789</v>
      </c>
      <c r="K79" s="102">
        <f>TrRoad_emi!K$34</f>
        <v>19591.376364441407</v>
      </c>
      <c r="L79" s="102">
        <f>TrRoad_emi!L$34</f>
        <v>20606.227466374407</v>
      </c>
      <c r="M79" s="102">
        <f>TrRoad_emi!M$34</f>
        <v>20966.248777907094</v>
      </c>
      <c r="N79" s="102">
        <f>TrRoad_emi!N$34</f>
        <v>18349.34986172443</v>
      </c>
      <c r="O79" s="102">
        <f>TrRoad_emi!O$34</f>
        <v>15992.89016212895</v>
      </c>
      <c r="P79" s="102">
        <f>TrRoad_emi!P$34</f>
        <v>16436.253949041246</v>
      </c>
      <c r="Q79" s="102">
        <f>TrRoad_emi!Q$34</f>
        <v>13047.255219973586</v>
      </c>
      <c r="R79" s="102">
        <f>TrRoad_emi!R$34</f>
        <v>12184.724097514943</v>
      </c>
      <c r="S79" s="102">
        <f>TrRoad_emi!S$34</f>
        <v>12188.714603211962</v>
      </c>
      <c r="T79" s="102">
        <f>TrRoad_emi!T$34</f>
        <v>12471.526749054989</v>
      </c>
      <c r="U79" s="102">
        <f>TrRoad_emi!U$34</f>
        <v>12695.408174310338</v>
      </c>
      <c r="V79" s="102">
        <f>TrRoad_emi!V$34</f>
        <v>12211.001020449996</v>
      </c>
      <c r="W79" s="102">
        <f>TrRoad_emi!W$34</f>
        <v>14794.296809711686</v>
      </c>
      <c r="X79" s="102">
        <f>TrRoad_emi!X$34</f>
        <v>13030.701709419833</v>
      </c>
      <c r="Y79" s="102">
        <f>TrRoad_emi!Y$34</f>
        <v>11863.319608319869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7843.6842286016818</v>
      </c>
      <c r="C80" s="102">
        <f>TrRoad_emi!C$40</f>
        <v>11640.684824430167</v>
      </c>
      <c r="D80" s="102">
        <f>TrRoad_emi!D$40</f>
        <v>11715.453283120269</v>
      </c>
      <c r="E80" s="102">
        <f>TrRoad_emi!E$40</f>
        <v>11430.668804518729</v>
      </c>
      <c r="F80" s="102">
        <f>TrRoad_emi!F$40</f>
        <v>12023.451007169588</v>
      </c>
      <c r="G80" s="102">
        <f>TrRoad_emi!G$40</f>
        <v>12714.016011530923</v>
      </c>
      <c r="H80" s="102">
        <f>TrRoad_emi!H$40</f>
        <v>14451.891864501751</v>
      </c>
      <c r="I80" s="102">
        <f>TrRoad_emi!I$40</f>
        <v>14268.433190561165</v>
      </c>
      <c r="J80" s="102">
        <f>TrRoad_emi!J$40</f>
        <v>10805.375901470474</v>
      </c>
      <c r="K80" s="102">
        <f>TrRoad_emi!K$40</f>
        <v>7908.9646775798101</v>
      </c>
      <c r="L80" s="102">
        <f>TrRoad_emi!L$40</f>
        <v>7401.935441630264</v>
      </c>
      <c r="M80" s="102">
        <f>TrRoad_emi!M$40</f>
        <v>8114.5957021250542</v>
      </c>
      <c r="N80" s="102">
        <f>TrRoad_emi!N$40</f>
        <v>9735.8176687987689</v>
      </c>
      <c r="O80" s="102">
        <f>TrRoad_emi!O$40</f>
        <v>7962.3991737964716</v>
      </c>
      <c r="P80" s="102">
        <f>TrRoad_emi!P$40</f>
        <v>7838.2685157346996</v>
      </c>
      <c r="Q80" s="102">
        <f>TrRoad_emi!Q$40</f>
        <v>8527.5528893220489</v>
      </c>
      <c r="R80" s="102">
        <f>TrRoad_emi!R$40</f>
        <v>7398.7264287899889</v>
      </c>
      <c r="S80" s="102">
        <f>TrRoad_emi!S$40</f>
        <v>4516.0195401140827</v>
      </c>
      <c r="T80" s="102">
        <f>TrRoad_emi!T$40</f>
        <v>7633.3588859626961</v>
      </c>
      <c r="U80" s="102">
        <f>TrRoad_emi!U$40</f>
        <v>7732.2219434095368</v>
      </c>
      <c r="V80" s="102">
        <f>TrRoad_emi!V$40</f>
        <v>6096.9722536461013</v>
      </c>
      <c r="W80" s="102">
        <f>TrRoad_emi!W$40</f>
        <v>10917.14887243042</v>
      </c>
      <c r="X80" s="102">
        <f>TrRoad_emi!X$40</f>
        <v>15216.366677465281</v>
      </c>
      <c r="Y80" s="102">
        <f>TrRoad_emi!Y$40</f>
        <v>15411.12880727887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20.637181743570288</v>
      </c>
      <c r="C81" s="110">
        <f>TrRail_emi!C$15</f>
        <v>15.720539673095983</v>
      </c>
      <c r="D81" s="110">
        <f>TrRail_emi!D$15</f>
        <v>14.938222537630269</v>
      </c>
      <c r="E81" s="110">
        <f>TrRail_emi!E$15</f>
        <v>16.134072892233405</v>
      </c>
      <c r="F81" s="110">
        <f>TrRail_emi!F$15</f>
        <v>19.759266565118029</v>
      </c>
      <c r="G81" s="110">
        <f>TrRail_emi!G$15</f>
        <v>12.605776277396556</v>
      </c>
      <c r="H81" s="110">
        <f>TrRail_emi!H$15</f>
        <v>53.384074342164503</v>
      </c>
      <c r="I81" s="110">
        <f>TrRail_emi!I$15</f>
        <v>66.399928133562028</v>
      </c>
      <c r="J81" s="110">
        <f>TrRail_emi!J$15</f>
        <v>68.585164950509039</v>
      </c>
      <c r="K81" s="110">
        <f>TrRail_emi!K$15</f>
        <v>37.44213344514354</v>
      </c>
      <c r="L81" s="110">
        <f>TrRail_emi!L$15</f>
        <v>34.33028521029491</v>
      </c>
      <c r="M81" s="110">
        <f>TrRail_emi!M$15</f>
        <v>20.235987742462484</v>
      </c>
      <c r="N81" s="110">
        <f>TrRail_emi!N$15</f>
        <v>19.839529248250809</v>
      </c>
      <c r="O81" s="110">
        <f>TrRail_emi!O$15</f>
        <v>13.739028434920655</v>
      </c>
      <c r="P81" s="110">
        <f>TrRail_emi!P$15</f>
        <v>6.8654777765602146</v>
      </c>
      <c r="Q81" s="110">
        <f>TrRail_emi!Q$15</f>
        <v>8.2970757575836096</v>
      </c>
      <c r="R81" s="110">
        <f>TrRail_emi!R$15</f>
        <v>6.008104058623486</v>
      </c>
      <c r="S81" s="110">
        <f>TrRail_emi!S$15</f>
        <v>13.444303137339439</v>
      </c>
      <c r="T81" s="110">
        <f>TrRail_emi!T$15</f>
        <v>16.915761138503935</v>
      </c>
      <c r="U81" s="110">
        <f>TrRail_emi!U$15</f>
        <v>17.599401879970774</v>
      </c>
      <c r="V81" s="110">
        <f>TrRail_emi!V$15</f>
        <v>20.065815037719393</v>
      </c>
      <c r="W81" s="110">
        <f>TrRail_emi!W$15</f>
        <v>20.174467588560603</v>
      </c>
      <c r="X81" s="110">
        <f>TrRail_emi!X$15</f>
        <v>5.8094772719131971</v>
      </c>
      <c r="Y81" s="110">
        <f>TrRail_emi!Y$15</f>
        <v>5.5871832046547114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516.41491846807276</v>
      </c>
      <c r="C82" s="110">
        <f t="shared" si="67"/>
        <v>211.95033509540133</v>
      </c>
      <c r="D82" s="110">
        <f t="shared" si="67"/>
        <v>485.3438319234985</v>
      </c>
      <c r="E82" s="110">
        <f t="shared" si="67"/>
        <v>535.68763792694938</v>
      </c>
      <c r="F82" s="110">
        <f t="shared" si="67"/>
        <v>535.68002840248255</v>
      </c>
      <c r="G82" s="110">
        <f t="shared" si="67"/>
        <v>602.52950283790881</v>
      </c>
      <c r="H82" s="110">
        <f t="shared" si="67"/>
        <v>691.02822216389245</v>
      </c>
      <c r="I82" s="110">
        <f t="shared" si="67"/>
        <v>755.51776494778323</v>
      </c>
      <c r="J82" s="110">
        <f t="shared" si="67"/>
        <v>685.75067288922799</v>
      </c>
      <c r="K82" s="110">
        <f t="shared" si="67"/>
        <v>550.80606108586767</v>
      </c>
      <c r="L82" s="110">
        <f t="shared" si="67"/>
        <v>661.86501505772083</v>
      </c>
      <c r="M82" s="110">
        <f t="shared" si="67"/>
        <v>678.04856158321309</v>
      </c>
      <c r="N82" s="110">
        <f t="shared" si="67"/>
        <v>550.42258242285891</v>
      </c>
      <c r="O82" s="110">
        <f t="shared" si="67"/>
        <v>585.78552733500374</v>
      </c>
      <c r="P82" s="110">
        <f t="shared" si="67"/>
        <v>583.10073064950802</v>
      </c>
      <c r="Q82" s="110">
        <f t="shared" si="67"/>
        <v>674.94598111053028</v>
      </c>
      <c r="R82" s="110">
        <f t="shared" si="67"/>
        <v>678.40237087160926</v>
      </c>
      <c r="S82" s="110">
        <f t="shared" si="67"/>
        <v>750.27641919168593</v>
      </c>
      <c r="T82" s="110">
        <f t="shared" si="67"/>
        <v>758.4031247187545</v>
      </c>
      <c r="U82" s="110">
        <f t="shared" si="67"/>
        <v>744.833041499508</v>
      </c>
      <c r="V82" s="110">
        <f t="shared" si="67"/>
        <v>784.49871936452951</v>
      </c>
      <c r="W82" s="110">
        <f t="shared" ref="W82:Y82" si="68">W83+W84+W85</f>
        <v>851.00338208426422</v>
      </c>
      <c r="X82" s="110">
        <f t="shared" si="68"/>
        <v>698.34489404196529</v>
      </c>
      <c r="Y82" s="110">
        <f t="shared" si="68"/>
        <v>698.26639915846124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29.187464784330473</v>
      </c>
      <c r="C83" s="102">
        <f>TrAvia_emi!C$11</f>
        <v>52.241413057582697</v>
      </c>
      <c r="D83" s="102">
        <f>TrAvia_emi!D$11</f>
        <v>44.389759314778395</v>
      </c>
      <c r="E83" s="102">
        <f>TrAvia_emi!E$11</f>
        <v>48.913988498588438</v>
      </c>
      <c r="F83" s="102">
        <f>TrAvia_emi!F$11</f>
        <v>48.61557533471769</v>
      </c>
      <c r="G83" s="102">
        <f>TrAvia_emi!G$11</f>
        <v>48.430786685688112</v>
      </c>
      <c r="H83" s="102">
        <f>TrAvia_emi!H$11</f>
        <v>49.248114480720794</v>
      </c>
      <c r="I83" s="102">
        <f>TrAvia_emi!I$11</f>
        <v>50.849743439745964</v>
      </c>
      <c r="J83" s="102">
        <f>TrAvia_emi!J$11</f>
        <v>46.145324215524383</v>
      </c>
      <c r="K83" s="102">
        <f>TrAvia_emi!K$11</f>
        <v>36.718900982067169</v>
      </c>
      <c r="L83" s="102">
        <f>TrAvia_emi!L$11</f>
        <v>36.576053250144959</v>
      </c>
      <c r="M83" s="102">
        <f>TrAvia_emi!M$11</f>
        <v>32.602730030417391</v>
      </c>
      <c r="N83" s="102">
        <f>TrAvia_emi!N$11</f>
        <v>26.795895103627078</v>
      </c>
      <c r="O83" s="102">
        <f>TrAvia_emi!O$11</f>
        <v>27.353611328840721</v>
      </c>
      <c r="P83" s="102">
        <f>TrAvia_emi!P$11</f>
        <v>24.220331998300242</v>
      </c>
      <c r="Q83" s="102">
        <f>TrAvia_emi!Q$11</f>
        <v>23.915174682285123</v>
      </c>
      <c r="R83" s="102">
        <f>TrAvia_emi!R$11</f>
        <v>19.168390887171817</v>
      </c>
      <c r="S83" s="102">
        <f>TrAvia_emi!S$11</f>
        <v>22.341448737075186</v>
      </c>
      <c r="T83" s="102">
        <f>TrAvia_emi!T$11</f>
        <v>25.581249834048712</v>
      </c>
      <c r="U83" s="102">
        <f>TrAvia_emi!U$11</f>
        <v>25.150904006002961</v>
      </c>
      <c r="V83" s="102">
        <f>TrAvia_emi!V$11</f>
        <v>19.158559680892143</v>
      </c>
      <c r="W83" s="102">
        <f>TrAvia_emi!W$11</f>
        <v>24.212287117571027</v>
      </c>
      <c r="X83" s="102">
        <f>TrAvia_emi!X$11</f>
        <v>32.668750570642203</v>
      </c>
      <c r="Y83" s="102">
        <f>TrAvia_emi!Y$11</f>
        <v>36.59296845416204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61.330758458423816</v>
      </c>
      <c r="C84" s="102">
        <f>TrAvia_emi!C$12</f>
        <v>28.878857657554061</v>
      </c>
      <c r="D84" s="102">
        <f>TrAvia_emi!D$12</f>
        <v>107.27786607391684</v>
      </c>
      <c r="E84" s="102">
        <f>TrAvia_emi!E$12</f>
        <v>115.08348487945869</v>
      </c>
      <c r="F84" s="102">
        <f>TrAvia_emi!F$12</f>
        <v>124.12350330779236</v>
      </c>
      <c r="G84" s="102">
        <f>TrAvia_emi!G$12</f>
        <v>127.81481740561468</v>
      </c>
      <c r="H84" s="102">
        <f>TrAvia_emi!H$12</f>
        <v>140.01849421868226</v>
      </c>
      <c r="I84" s="102">
        <f>TrAvia_emi!I$12</f>
        <v>149.59701889842117</v>
      </c>
      <c r="J84" s="102">
        <f>TrAvia_emi!J$12</f>
        <v>138.86587076426218</v>
      </c>
      <c r="K84" s="102">
        <f>TrAvia_emi!K$12</f>
        <v>122.12275574524459</v>
      </c>
      <c r="L84" s="102">
        <f>TrAvia_emi!L$12</f>
        <v>113.83410457289499</v>
      </c>
      <c r="M84" s="102">
        <f>TrAvia_emi!M$12</f>
        <v>105.3722750149248</v>
      </c>
      <c r="N84" s="102">
        <f>TrAvia_emi!N$12</f>
        <v>97.007869693390873</v>
      </c>
      <c r="O84" s="102">
        <f>TrAvia_emi!O$12</f>
        <v>95.81330200559448</v>
      </c>
      <c r="P84" s="102">
        <f>TrAvia_emi!P$12</f>
        <v>86.890322484357156</v>
      </c>
      <c r="Q84" s="102">
        <f>TrAvia_emi!Q$12</f>
        <v>90.900356170737709</v>
      </c>
      <c r="R84" s="102">
        <f>TrAvia_emi!R$12</f>
        <v>82.580531133603444</v>
      </c>
      <c r="S84" s="102">
        <f>TrAvia_emi!S$12</f>
        <v>92.059265545610984</v>
      </c>
      <c r="T84" s="102">
        <f>TrAvia_emi!T$12</f>
        <v>100.09314651107492</v>
      </c>
      <c r="U84" s="102">
        <f>TrAvia_emi!U$12</f>
        <v>98.536019703615423</v>
      </c>
      <c r="V84" s="102">
        <f>TrAvia_emi!V$12</f>
        <v>94.264747912305907</v>
      </c>
      <c r="W84" s="102">
        <f>TrAvia_emi!W$12</f>
        <v>101.92636718454186</v>
      </c>
      <c r="X84" s="102">
        <f>TrAvia_emi!X$12</f>
        <v>118.75843112874757</v>
      </c>
      <c r="Y84" s="102">
        <f>TrAvia_emi!Y$12</f>
        <v>123.28283602797896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425.89669522531847</v>
      </c>
      <c r="C85" s="102">
        <f>TrAvia_emi!C$13</f>
        <v>130.83006438026459</v>
      </c>
      <c r="D85" s="102">
        <f>TrAvia_emi!D$13</f>
        <v>333.67620653480327</v>
      </c>
      <c r="E85" s="102">
        <f>TrAvia_emi!E$13</f>
        <v>371.69016454890226</v>
      </c>
      <c r="F85" s="102">
        <f>TrAvia_emi!F$13</f>
        <v>362.94094975997251</v>
      </c>
      <c r="G85" s="102">
        <f>TrAvia_emi!G$13</f>
        <v>426.28389874660598</v>
      </c>
      <c r="H85" s="102">
        <f>TrAvia_emi!H$13</f>
        <v>501.76161346448941</v>
      </c>
      <c r="I85" s="102">
        <f>TrAvia_emi!I$13</f>
        <v>555.07100260961613</v>
      </c>
      <c r="J85" s="102">
        <f>TrAvia_emi!J$13</f>
        <v>500.7394779094414</v>
      </c>
      <c r="K85" s="102">
        <f>TrAvia_emi!K$13</f>
        <v>391.96440435855595</v>
      </c>
      <c r="L85" s="102">
        <f>TrAvia_emi!L$13</f>
        <v>511.4548572346809</v>
      </c>
      <c r="M85" s="102">
        <f>TrAvia_emi!M$13</f>
        <v>540.0735565378709</v>
      </c>
      <c r="N85" s="102">
        <f>TrAvia_emi!N$13</f>
        <v>426.61881762584096</v>
      </c>
      <c r="O85" s="102">
        <f>TrAvia_emi!O$13</f>
        <v>462.61861400056858</v>
      </c>
      <c r="P85" s="102">
        <f>TrAvia_emi!P$13</f>
        <v>471.99007616685066</v>
      </c>
      <c r="Q85" s="102">
        <f>TrAvia_emi!Q$13</f>
        <v>560.1304502575075</v>
      </c>
      <c r="R85" s="102">
        <f>TrAvia_emi!R$13</f>
        <v>576.65344885083402</v>
      </c>
      <c r="S85" s="102">
        <f>TrAvia_emi!S$13</f>
        <v>635.87570490899975</v>
      </c>
      <c r="T85" s="102">
        <f>TrAvia_emi!T$13</f>
        <v>632.72872837363093</v>
      </c>
      <c r="U85" s="102">
        <f>TrAvia_emi!U$13</f>
        <v>621.14611778988967</v>
      </c>
      <c r="V85" s="102">
        <f>TrAvia_emi!V$13</f>
        <v>671.07541177133146</v>
      </c>
      <c r="W85" s="102">
        <f>TrAvia_emi!W$13</f>
        <v>724.86472778215136</v>
      </c>
      <c r="X85" s="102">
        <f>TrAvia_emi!X$13</f>
        <v>546.91771234257544</v>
      </c>
      <c r="Y85" s="102">
        <f>TrAvia_emi!Y$13</f>
        <v>538.39059467632023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3997.4445000000001</v>
      </c>
      <c r="C86" s="110">
        <f t="shared" si="69"/>
        <v>4156.1289291600006</v>
      </c>
      <c r="D86" s="110">
        <f t="shared" si="69"/>
        <v>4140.5908838400001</v>
      </c>
      <c r="E86" s="110">
        <f t="shared" si="69"/>
        <v>4449.7639818000007</v>
      </c>
      <c r="F86" s="110">
        <f t="shared" si="69"/>
        <v>4454.0751581999994</v>
      </c>
      <c r="G86" s="110">
        <f t="shared" si="69"/>
        <v>4386.6934182000005</v>
      </c>
      <c r="H86" s="110">
        <f t="shared" si="69"/>
        <v>4384.8738039600003</v>
      </c>
      <c r="I86" s="110">
        <f t="shared" si="69"/>
        <v>4222.0036490399998</v>
      </c>
      <c r="J86" s="110">
        <f t="shared" si="69"/>
        <v>4485.2220039600006</v>
      </c>
      <c r="K86" s="110">
        <f t="shared" si="69"/>
        <v>3776.9121871200005</v>
      </c>
      <c r="L86" s="110">
        <f t="shared" si="69"/>
        <v>3569.5993798800005</v>
      </c>
      <c r="M86" s="110">
        <f t="shared" si="69"/>
        <v>3399.13733796</v>
      </c>
      <c r="N86" s="110">
        <f t="shared" si="69"/>
        <v>3076.36220916</v>
      </c>
      <c r="O86" s="110">
        <f t="shared" si="69"/>
        <v>3094.2078872399998</v>
      </c>
      <c r="P86" s="110">
        <f t="shared" si="69"/>
        <v>3052.9920038400001</v>
      </c>
      <c r="Q86" s="110">
        <f t="shared" si="69"/>
        <v>2945.6069072399996</v>
      </c>
      <c r="R86" s="110">
        <f t="shared" ref="R86:V86" si="70">R87+R88</f>
        <v>3039.2780979599997</v>
      </c>
      <c r="S86" s="110">
        <f t="shared" si="70"/>
        <v>2748.9008091599999</v>
      </c>
      <c r="T86" s="110">
        <f t="shared" si="70"/>
        <v>2004.0659820000003</v>
      </c>
      <c r="U86" s="110">
        <f t="shared" si="70"/>
        <v>1918.9629702000002</v>
      </c>
      <c r="V86" s="110">
        <f t="shared" si="70"/>
        <v>1778.8602261600001</v>
      </c>
      <c r="W86" s="110">
        <f t="shared" ref="W86:Y86" si="71">W87+W88</f>
        <v>1712.78567604</v>
      </c>
      <c r="X86" s="110">
        <f t="shared" si="71"/>
        <v>1689.6223987200003</v>
      </c>
      <c r="Y86" s="110">
        <f t="shared" si="71"/>
        <v>1628.6371228799999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3967.943171380628</v>
      </c>
      <c r="C87" s="102">
        <f>TrNavi_emi!C$4</f>
        <v>4123.0965785192811</v>
      </c>
      <c r="D87" s="102">
        <f>TrNavi_emi!D$4</f>
        <v>4125.1544245748228</v>
      </c>
      <c r="E87" s="102">
        <f>TrNavi_emi!E$4</f>
        <v>4434.4454397796671</v>
      </c>
      <c r="F87" s="102">
        <f>TrNavi_emi!F$4</f>
        <v>4434.6404998061362</v>
      </c>
      <c r="G87" s="102">
        <f>TrNavi_emi!G$4</f>
        <v>4374.7360940055951</v>
      </c>
      <c r="H87" s="102">
        <f>TrNavi_emi!H$4</f>
        <v>4372.2032065960229</v>
      </c>
      <c r="I87" s="102">
        <f>TrNavi_emi!I$4</f>
        <v>4209.4144384762631</v>
      </c>
      <c r="J87" s="102">
        <f>TrNavi_emi!J$4</f>
        <v>4476.3583400512853</v>
      </c>
      <c r="K87" s="102">
        <f>TrNavi_emi!K$4</f>
        <v>3772.63534516763</v>
      </c>
      <c r="L87" s="102">
        <f>TrNavi_emi!L$4</f>
        <v>3562.3559388810554</v>
      </c>
      <c r="M87" s="102">
        <f>TrNavi_emi!M$4</f>
        <v>3389.7900817256232</v>
      </c>
      <c r="N87" s="102">
        <f>TrNavi_emi!N$4</f>
        <v>3071.0210293071682</v>
      </c>
      <c r="O87" s="102">
        <f>TrNavi_emi!O$4</f>
        <v>3088.0911252754836</v>
      </c>
      <c r="P87" s="102">
        <f>TrNavi_emi!P$4</f>
        <v>3049.3664389515525</v>
      </c>
      <c r="Q87" s="102">
        <f>TrNavi_emi!Q$4</f>
        <v>2942.4663816821389</v>
      </c>
      <c r="R87" s="102">
        <f>TrNavi_emi!R$4</f>
        <v>3036.1800408415088</v>
      </c>
      <c r="S87" s="102">
        <f>TrNavi_emi!S$4</f>
        <v>2746.5526100052089</v>
      </c>
      <c r="T87" s="102">
        <f>TrNavi_emi!T$4</f>
        <v>2001.9791960848916</v>
      </c>
      <c r="U87" s="102">
        <f>TrNavi_emi!U$4</f>
        <v>1917.4657154643967</v>
      </c>
      <c r="V87" s="102">
        <f>TrNavi_emi!V$4</f>
        <v>1775.3556727344831</v>
      </c>
      <c r="W87" s="102">
        <f>TrNavi_emi!W$4</f>
        <v>1708.9462714400847</v>
      </c>
      <c r="X87" s="102">
        <f>TrNavi_emi!X$4</f>
        <v>1687.4153087662162</v>
      </c>
      <c r="Y87" s="102">
        <f>TrNavi_emi!Y$4</f>
        <v>1628.483974791239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29.501328619372028</v>
      </c>
      <c r="C88" s="169">
        <f>TrNavi_emi!C$5</f>
        <v>33.032350640718988</v>
      </c>
      <c r="D88" s="169">
        <f>TrNavi_emi!D$5</f>
        <v>15.436459265177106</v>
      </c>
      <c r="E88" s="169">
        <f>TrNavi_emi!E$5</f>
        <v>15.318542020333412</v>
      </c>
      <c r="F88" s="169">
        <f>TrNavi_emi!F$5</f>
        <v>19.434658393863092</v>
      </c>
      <c r="G88" s="169">
        <f>TrNavi_emi!G$5</f>
        <v>11.957324194405667</v>
      </c>
      <c r="H88" s="169">
        <f>TrNavi_emi!H$5</f>
        <v>12.670597363977269</v>
      </c>
      <c r="I88" s="169">
        <f>TrNavi_emi!I$5</f>
        <v>12.589210563736479</v>
      </c>
      <c r="J88" s="169">
        <f>TrNavi_emi!J$5</f>
        <v>8.8636639087156386</v>
      </c>
      <c r="K88" s="169">
        <f>TrNavi_emi!K$5</f>
        <v>4.2768419523703507</v>
      </c>
      <c r="L88" s="169">
        <f>TrNavi_emi!L$5</f>
        <v>7.2434409989448518</v>
      </c>
      <c r="M88" s="169">
        <f>TrNavi_emi!M$5</f>
        <v>9.3472562343769088</v>
      </c>
      <c r="N88" s="169">
        <f>TrNavi_emi!N$5</f>
        <v>5.3411798528317016</v>
      </c>
      <c r="O88" s="169">
        <f>TrNavi_emi!O$5</f>
        <v>6.1167619645161713</v>
      </c>
      <c r="P88" s="169">
        <f>TrNavi_emi!P$5</f>
        <v>3.6255648884475193</v>
      </c>
      <c r="Q88" s="169">
        <f>TrNavi_emi!Q$5</f>
        <v>3.1405255578604905</v>
      </c>
      <c r="R88" s="169">
        <f>TrNavi_emi!R$5</f>
        <v>3.0980571184911248</v>
      </c>
      <c r="S88" s="169">
        <f>TrNavi_emi!S$5</f>
        <v>2.3481991547908221</v>
      </c>
      <c r="T88" s="169">
        <f>TrNavi_emi!T$5</f>
        <v>2.08678591510869</v>
      </c>
      <c r="U88" s="169">
        <f>TrNavi_emi!U$5</f>
        <v>1.4972547356035364</v>
      </c>
      <c r="V88" s="169">
        <f>TrNavi_emi!V$5</f>
        <v>3.5045534255170474</v>
      </c>
      <c r="W88" s="169">
        <f>TrNavi_emi!W$5</f>
        <v>3.8394045999152988</v>
      </c>
      <c r="X88" s="169">
        <f>TrNavi_emi!X$5</f>
        <v>2.2070899537840218</v>
      </c>
      <c r="Y88" s="169">
        <f>TrNavi_emi!Y$5</f>
        <v>0.15314808876082917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5302.0072440000004</v>
      </c>
      <c r="C89" s="28">
        <f t="shared" si="72"/>
        <v>5663.6933040000022</v>
      </c>
      <c r="D89" s="28">
        <f t="shared" si="72"/>
        <v>6167.7423921599993</v>
      </c>
      <c r="E89" s="28">
        <f t="shared" si="72"/>
        <v>6728.1276898799979</v>
      </c>
      <c r="F89" s="28">
        <f t="shared" si="72"/>
        <v>7059.5124300000007</v>
      </c>
      <c r="G89" s="28">
        <f t="shared" si="72"/>
        <v>7235.3514639600016</v>
      </c>
      <c r="H89" s="28">
        <f t="shared" si="72"/>
        <v>7523.0197181999974</v>
      </c>
      <c r="I89" s="28">
        <f t="shared" si="72"/>
        <v>7766.7203041199991</v>
      </c>
      <c r="J89" s="28">
        <f t="shared" si="72"/>
        <v>8142.2029450799982</v>
      </c>
      <c r="K89" s="28">
        <f t="shared" si="72"/>
        <v>7582.2041660400027</v>
      </c>
      <c r="L89" s="28">
        <f t="shared" si="72"/>
        <v>9598.8267939600046</v>
      </c>
      <c r="M89" s="28">
        <f t="shared" si="72"/>
        <v>8052.6665098800022</v>
      </c>
      <c r="N89" s="28">
        <f t="shared" si="72"/>
        <v>7968.1065271199986</v>
      </c>
      <c r="O89" s="28">
        <f t="shared" si="72"/>
        <v>7038.032667120001</v>
      </c>
      <c r="P89" s="28">
        <f t="shared" si="72"/>
        <v>6176.6517279600002</v>
      </c>
      <c r="Q89" s="28">
        <f t="shared" si="72"/>
        <v>6118.4207138400016</v>
      </c>
      <c r="R89" s="28">
        <f t="shared" si="72"/>
        <v>7127.177371920001</v>
      </c>
      <c r="S89" s="28">
        <f t="shared" si="72"/>
        <v>7416.5139842399994</v>
      </c>
      <c r="T89" s="28">
        <f t="shared" si="72"/>
        <v>8745.3555483599976</v>
      </c>
      <c r="U89" s="28">
        <f t="shared" si="72"/>
        <v>8522.6246276400016</v>
      </c>
      <c r="V89" s="28">
        <f t="shared" si="72"/>
        <v>7821.4806759599996</v>
      </c>
      <c r="W89" s="28">
        <f t="shared" si="72"/>
        <v>8057.5715995200017</v>
      </c>
      <c r="X89" s="28">
        <f t="shared" ref="X89:Y89" si="73">X90+X91</f>
        <v>7902.8527039199998</v>
      </c>
      <c r="Y89" s="28">
        <f t="shared" si="73"/>
        <v>7279.2245545200003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2011.6217526508462</v>
      </c>
      <c r="C90" s="102">
        <f>MBunk_emi!C$4</f>
        <v>2106.6567218694386</v>
      </c>
      <c r="D90" s="102">
        <f>MBunk_emi!D$4</f>
        <v>2379.4568598575252</v>
      </c>
      <c r="E90" s="102">
        <f>MBunk_emi!E$4</f>
        <v>2558.304586394288</v>
      </c>
      <c r="F90" s="102">
        <f>MBunk_emi!F$4</f>
        <v>2585.5885768915309</v>
      </c>
      <c r="G90" s="102">
        <f>MBunk_emi!G$4</f>
        <v>2596.5086969083541</v>
      </c>
      <c r="H90" s="102">
        <f>MBunk_emi!H$4</f>
        <v>2682.091506331059</v>
      </c>
      <c r="I90" s="102">
        <f>MBunk_emi!I$4</f>
        <v>2723.9802131187198</v>
      </c>
      <c r="J90" s="102">
        <f>MBunk_emi!J$4</f>
        <v>3121.2093246281825</v>
      </c>
      <c r="K90" s="102">
        <f>MBunk_emi!K$4</f>
        <v>2816.0385466700427</v>
      </c>
      <c r="L90" s="102">
        <f>MBunk_emi!L$4</f>
        <v>3722.5481540782557</v>
      </c>
      <c r="M90" s="102">
        <f>MBunk_emi!M$4</f>
        <v>3085.4836123994205</v>
      </c>
      <c r="N90" s="102">
        <f>MBunk_emi!N$4</f>
        <v>3138.7410676742479</v>
      </c>
      <c r="O90" s="102">
        <f>MBunk_emi!O$4</f>
        <v>2973.7830024366613</v>
      </c>
      <c r="P90" s="102">
        <f>MBunk_emi!P$4</f>
        <v>2557.0082133544906</v>
      </c>
      <c r="Q90" s="102">
        <f>MBunk_emi!Q$4</f>
        <v>2463.9561817505569</v>
      </c>
      <c r="R90" s="102">
        <f>MBunk_emi!R$4</f>
        <v>3016.3065787645314</v>
      </c>
      <c r="S90" s="102">
        <f>MBunk_emi!S$4</f>
        <v>3193.6087782738296</v>
      </c>
      <c r="T90" s="102">
        <f>MBunk_emi!T$4</f>
        <v>4025.8459196816534</v>
      </c>
      <c r="U90" s="102">
        <f>MBunk_emi!U$4</f>
        <v>3778.6100303964245</v>
      </c>
      <c r="V90" s="102">
        <f>MBunk_emi!V$4</f>
        <v>3096.566486199265</v>
      </c>
      <c r="W90" s="102">
        <f>MBunk_emi!W$4</f>
        <v>3103.4954303510322</v>
      </c>
      <c r="X90" s="102">
        <f>MBunk_emi!X$4</f>
        <v>3316.1064735458035</v>
      </c>
      <c r="Y90" s="102">
        <f>MBunk_emi!Y$4</f>
        <v>3078.3090880063573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3290.3854913491546</v>
      </c>
      <c r="C91" s="86">
        <f>MBunk_emi!C$5</f>
        <v>3557.0365821305636</v>
      </c>
      <c r="D91" s="86">
        <f>MBunk_emi!D$5</f>
        <v>3788.2855323024742</v>
      </c>
      <c r="E91" s="86">
        <f>MBunk_emi!E$5</f>
        <v>4169.8231034857099</v>
      </c>
      <c r="F91" s="86">
        <f>MBunk_emi!F$5</f>
        <v>4473.9238531084702</v>
      </c>
      <c r="G91" s="86">
        <f>MBunk_emi!G$5</f>
        <v>4638.8427670516476</v>
      </c>
      <c r="H91" s="86">
        <f>MBunk_emi!H$5</f>
        <v>4840.9282118689389</v>
      </c>
      <c r="I91" s="86">
        <f>MBunk_emi!I$5</f>
        <v>5042.7400910012793</v>
      </c>
      <c r="J91" s="86">
        <f>MBunk_emi!J$5</f>
        <v>5020.9936204518153</v>
      </c>
      <c r="K91" s="86">
        <f>MBunk_emi!K$5</f>
        <v>4766.16561936996</v>
      </c>
      <c r="L91" s="86">
        <f>MBunk_emi!L$5</f>
        <v>5876.2786398817479</v>
      </c>
      <c r="M91" s="86">
        <f>MBunk_emi!M$5</f>
        <v>4967.1828974805812</v>
      </c>
      <c r="N91" s="86">
        <f>MBunk_emi!N$5</f>
        <v>4829.3654594457512</v>
      </c>
      <c r="O91" s="86">
        <f>MBunk_emi!O$5</f>
        <v>4064.2496646833397</v>
      </c>
      <c r="P91" s="86">
        <f>MBunk_emi!P$5</f>
        <v>3619.6435146055096</v>
      </c>
      <c r="Q91" s="86">
        <f>MBunk_emi!Q$5</f>
        <v>3654.4645320894442</v>
      </c>
      <c r="R91" s="86">
        <f>MBunk_emi!R$5</f>
        <v>4110.8707931554691</v>
      </c>
      <c r="S91" s="86">
        <f>MBunk_emi!S$5</f>
        <v>4222.9052059661699</v>
      </c>
      <c r="T91" s="86">
        <f>MBunk_emi!T$5</f>
        <v>4719.5096286783446</v>
      </c>
      <c r="U91" s="86">
        <f>MBunk_emi!U$5</f>
        <v>4744.0145972435766</v>
      </c>
      <c r="V91" s="86">
        <f>MBunk_emi!V$5</f>
        <v>4724.9141897607342</v>
      </c>
      <c r="W91" s="86">
        <f>MBunk_emi!W$5</f>
        <v>4954.0761691689695</v>
      </c>
      <c r="X91" s="86">
        <f>MBunk_emi!X$5</f>
        <v>4586.7462303741968</v>
      </c>
      <c r="Y91" s="86">
        <f>MBunk_emi!Y$5</f>
        <v>4200.915466513643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0.87254814933489266</v>
      </c>
      <c r="C97" s="139">
        <f t="shared" si="75"/>
        <v>0.87785342970990032</v>
      </c>
      <c r="D97" s="139">
        <f t="shared" si="75"/>
        <v>0.87842048002964956</v>
      </c>
      <c r="E97" s="139">
        <f t="shared" si="75"/>
        <v>0.87424335257249519</v>
      </c>
      <c r="F97" s="139">
        <f t="shared" si="75"/>
        <v>0.86480631111878481</v>
      </c>
      <c r="G97" s="139">
        <f t="shared" si="75"/>
        <v>0.852154599717038</v>
      </c>
      <c r="H97" s="139">
        <f t="shared" si="75"/>
        <v>0.84735424984791585</v>
      </c>
      <c r="I97" s="139">
        <f t="shared" si="75"/>
        <v>0.83886617894349702</v>
      </c>
      <c r="J97" s="139">
        <f t="shared" si="75"/>
        <v>0.84299953369206648</v>
      </c>
      <c r="K97" s="139">
        <f t="shared" si="75"/>
        <v>0.85354219827782984</v>
      </c>
      <c r="L97" s="139">
        <f t="shared" si="75"/>
        <v>0.84476996520802472</v>
      </c>
      <c r="M97" s="139">
        <f t="shared" si="75"/>
        <v>0.83654019684350855</v>
      </c>
      <c r="N97" s="139">
        <f t="shared" si="75"/>
        <v>0.82099928726889182</v>
      </c>
      <c r="O97" s="139">
        <f t="shared" si="75"/>
        <v>0.82772435727270055</v>
      </c>
      <c r="P97" s="139">
        <f t="shared" si="75"/>
        <v>0.82831090000123486</v>
      </c>
      <c r="Q97" s="139">
        <f t="shared" si="75"/>
        <v>0.82637368600474947</v>
      </c>
      <c r="R97" s="139">
        <f t="shared" si="75"/>
        <v>0.82567469252758385</v>
      </c>
      <c r="S97" s="139">
        <f t="shared" si="75"/>
        <v>0.82315885294227586</v>
      </c>
      <c r="T97" s="139">
        <f t="shared" si="75"/>
        <v>0.80878793918044622</v>
      </c>
      <c r="U97" s="139">
        <f t="shared" si="75"/>
        <v>0.8027852466946358</v>
      </c>
      <c r="V97" s="139">
        <f t="shared" si="75"/>
        <v>0.89639734211702693</v>
      </c>
      <c r="W97" s="139">
        <f t="shared" si="75"/>
        <v>0.89376225299381418</v>
      </c>
      <c r="X97" s="139">
        <f t="shared" si="75"/>
        <v>0.81222267157414263</v>
      </c>
      <c r="Y97" s="139">
        <f t="shared" si="75"/>
        <v>0.78972487771956923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4.6776803031725878E-2</v>
      </c>
      <c r="C98" s="140">
        <f t="shared" si="76"/>
        <v>4.8401776208988015E-2</v>
      </c>
      <c r="D98" s="140">
        <f t="shared" si="76"/>
        <v>4.7566360682925989E-2</v>
      </c>
      <c r="E98" s="140">
        <f t="shared" si="76"/>
        <v>4.7900713279334671E-2</v>
      </c>
      <c r="F98" s="140">
        <f t="shared" si="76"/>
        <v>4.9380064360131808E-2</v>
      </c>
      <c r="G98" s="140">
        <f t="shared" si="76"/>
        <v>5.1418351742085873E-2</v>
      </c>
      <c r="H98" s="140">
        <f t="shared" si="76"/>
        <v>4.9138628068577474E-2</v>
      </c>
      <c r="I98" s="140">
        <f t="shared" si="76"/>
        <v>4.2897397378022374E-2</v>
      </c>
      <c r="J98" s="140">
        <f t="shared" si="76"/>
        <v>4.5651364900607595E-2</v>
      </c>
      <c r="K98" s="140">
        <f t="shared" si="76"/>
        <v>3.9709920078575038E-2</v>
      </c>
      <c r="L98" s="140">
        <f t="shared" si="76"/>
        <v>4.040400307044905E-2</v>
      </c>
      <c r="M98" s="140">
        <f t="shared" si="76"/>
        <v>4.4793236611012512E-2</v>
      </c>
      <c r="N98" s="140">
        <f t="shared" si="76"/>
        <v>4.8280178279905085E-2</v>
      </c>
      <c r="O98" s="140">
        <f t="shared" si="76"/>
        <v>4.4969655874353434E-2</v>
      </c>
      <c r="P98" s="140">
        <f t="shared" si="76"/>
        <v>4.3173003827190692E-2</v>
      </c>
      <c r="Q98" s="140">
        <f t="shared" si="76"/>
        <v>3.9470602081559912E-2</v>
      </c>
      <c r="R98" s="140">
        <f t="shared" si="76"/>
        <v>3.8832612262759941E-2</v>
      </c>
      <c r="S98" s="140">
        <f t="shared" si="76"/>
        <v>3.4902797638829405E-2</v>
      </c>
      <c r="T98" s="140">
        <f t="shared" si="76"/>
        <v>3.3505561978855659E-2</v>
      </c>
      <c r="U98" s="140">
        <f t="shared" si="76"/>
        <v>3.5496996818134098E-2</v>
      </c>
      <c r="V98" s="140">
        <f t="shared" si="76"/>
        <v>5.4704211323186612E-2</v>
      </c>
      <c r="W98" s="140">
        <f t="shared" si="76"/>
        <v>4.6903955889677662E-2</v>
      </c>
      <c r="X98" s="140">
        <f t="shared" si="76"/>
        <v>4.1209833011512674E-2</v>
      </c>
      <c r="Y98" s="140">
        <f t="shared" si="76"/>
        <v>3.9510183885867287E-2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0.73021899126721213</v>
      </c>
      <c r="C99" s="140">
        <f t="shared" si="77"/>
        <v>0.7319113566084452</v>
      </c>
      <c r="D99" s="140">
        <f t="shared" si="77"/>
        <v>0.73216091893430413</v>
      </c>
      <c r="E99" s="140">
        <f t="shared" si="77"/>
        <v>0.72754963577590315</v>
      </c>
      <c r="F99" s="140">
        <f t="shared" si="77"/>
        <v>0.71708554526767243</v>
      </c>
      <c r="G99" s="140">
        <f t="shared" si="77"/>
        <v>0.69682769752292406</v>
      </c>
      <c r="H99" s="140">
        <f t="shared" si="77"/>
        <v>0.69266589842524418</v>
      </c>
      <c r="I99" s="140">
        <f t="shared" si="77"/>
        <v>0.69117154564768579</v>
      </c>
      <c r="J99" s="140">
        <f t="shared" si="77"/>
        <v>0.69247006613484952</v>
      </c>
      <c r="K99" s="140">
        <f t="shared" si="77"/>
        <v>0.713090052874915</v>
      </c>
      <c r="L99" s="140">
        <f t="shared" si="77"/>
        <v>0.70166728614999518</v>
      </c>
      <c r="M99" s="140">
        <f t="shared" si="77"/>
        <v>0.68610397560417169</v>
      </c>
      <c r="N99" s="140">
        <f t="shared" si="77"/>
        <v>0.65739630886006495</v>
      </c>
      <c r="O99" s="140">
        <f t="shared" si="77"/>
        <v>0.67244206591688815</v>
      </c>
      <c r="P99" s="140">
        <f t="shared" si="77"/>
        <v>0.6768985608765371</v>
      </c>
      <c r="Q99" s="140">
        <f t="shared" si="77"/>
        <v>0.68333536726345756</v>
      </c>
      <c r="R99" s="140">
        <f t="shared" si="77"/>
        <v>0.68706681239372569</v>
      </c>
      <c r="S99" s="140">
        <f t="shared" si="77"/>
        <v>0.69276580697522649</v>
      </c>
      <c r="T99" s="140">
        <f t="shared" si="77"/>
        <v>0.67862308067692745</v>
      </c>
      <c r="U99" s="140">
        <f t="shared" si="77"/>
        <v>0.6716498019279955</v>
      </c>
      <c r="V99" s="140">
        <f t="shared" si="77"/>
        <v>0.74615986911689203</v>
      </c>
      <c r="W99" s="140">
        <f t="shared" si="77"/>
        <v>0.74736363986048171</v>
      </c>
      <c r="X99" s="140">
        <f t="shared" si="77"/>
        <v>0.67515965824952573</v>
      </c>
      <c r="Y99" s="140">
        <f t="shared" si="77"/>
        <v>0.66988937465580023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9.5552355035954772E-2</v>
      </c>
      <c r="C100" s="140">
        <f t="shared" si="78"/>
        <v>9.7540296892467085E-2</v>
      </c>
      <c r="D100" s="140">
        <f t="shared" si="78"/>
        <v>9.8693200412419385E-2</v>
      </c>
      <c r="E100" s="140">
        <f t="shared" si="78"/>
        <v>9.8793003517257297E-2</v>
      </c>
      <c r="F100" s="140">
        <f t="shared" si="78"/>
        <v>9.8340701490980564E-2</v>
      </c>
      <c r="G100" s="140">
        <f t="shared" si="78"/>
        <v>0.10390855045202799</v>
      </c>
      <c r="H100" s="140">
        <f t="shared" si="78"/>
        <v>0.10554972335409422</v>
      </c>
      <c r="I100" s="140">
        <f t="shared" si="78"/>
        <v>0.10479723591778889</v>
      </c>
      <c r="J100" s="140">
        <f t="shared" si="78"/>
        <v>0.10487810265660945</v>
      </c>
      <c r="K100" s="140">
        <f t="shared" si="78"/>
        <v>0.10074222532433978</v>
      </c>
      <c r="L100" s="140">
        <f t="shared" si="78"/>
        <v>0.10269867598758053</v>
      </c>
      <c r="M100" s="140">
        <f t="shared" si="78"/>
        <v>0.1056429846283243</v>
      </c>
      <c r="N100" s="140">
        <f t="shared" si="78"/>
        <v>0.11532280012892179</v>
      </c>
      <c r="O100" s="140">
        <f t="shared" si="78"/>
        <v>0.11031263548145896</v>
      </c>
      <c r="P100" s="140">
        <f t="shared" si="78"/>
        <v>0.10823933529750712</v>
      </c>
      <c r="Q100" s="140">
        <f t="shared" si="78"/>
        <v>0.10356771665973205</v>
      </c>
      <c r="R100" s="140">
        <f t="shared" si="78"/>
        <v>9.9775267871098181E-2</v>
      </c>
      <c r="S100" s="140">
        <f t="shared" si="78"/>
        <v>9.5490248328219951E-2</v>
      </c>
      <c r="T100" s="140">
        <f t="shared" si="78"/>
        <v>9.6659296524663124E-2</v>
      </c>
      <c r="U100" s="140">
        <f t="shared" si="78"/>
        <v>9.5638447948506178E-2</v>
      </c>
      <c r="V100" s="140">
        <f t="shared" si="78"/>
        <v>9.5533261676948505E-2</v>
      </c>
      <c r="W100" s="140">
        <f t="shared" si="78"/>
        <v>9.9494657243654888E-2</v>
      </c>
      <c r="X100" s="140">
        <f t="shared" si="78"/>
        <v>9.5853180313104219E-2</v>
      </c>
      <c r="Y100" s="140">
        <f t="shared" si="78"/>
        <v>8.0325319177901686E-2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5.6439621043796455E-2</v>
      </c>
      <c r="C101" s="124">
        <f t="shared" si="79"/>
        <v>5.6798341177471186E-2</v>
      </c>
      <c r="D101" s="124">
        <f t="shared" si="79"/>
        <v>5.6067970246443631E-2</v>
      </c>
      <c r="E101" s="124">
        <f t="shared" si="79"/>
        <v>5.4945626159040105E-2</v>
      </c>
      <c r="F101" s="124">
        <f t="shared" si="79"/>
        <v>5.4472823012130071E-2</v>
      </c>
      <c r="G101" s="124">
        <f t="shared" si="79"/>
        <v>5.7765512778286815E-2</v>
      </c>
      <c r="H101" s="124">
        <f t="shared" si="79"/>
        <v>5.7834230118347353E-2</v>
      </c>
      <c r="I101" s="124">
        <f t="shared" si="79"/>
        <v>5.7683039788174809E-2</v>
      </c>
      <c r="J101" s="124">
        <f t="shared" si="79"/>
        <v>5.7751654802456372E-2</v>
      </c>
      <c r="K101" s="124">
        <f t="shared" si="79"/>
        <v>5.4550133060606458E-2</v>
      </c>
      <c r="L101" s="124">
        <f t="shared" si="79"/>
        <v>5.4509598662735706E-2</v>
      </c>
      <c r="M101" s="124">
        <f t="shared" si="79"/>
        <v>5.562436639385239E-2</v>
      </c>
      <c r="N101" s="124">
        <f t="shared" si="79"/>
        <v>6.0548105430600761E-2</v>
      </c>
      <c r="O101" s="124">
        <f t="shared" si="79"/>
        <v>5.9966846150542909E-2</v>
      </c>
      <c r="P101" s="124">
        <f t="shared" si="79"/>
        <v>5.9602912383782812E-2</v>
      </c>
      <c r="Q101" s="124">
        <f t="shared" si="79"/>
        <v>5.964471561528531E-2</v>
      </c>
      <c r="R101" s="124">
        <f t="shared" si="79"/>
        <v>5.7660500120286125E-2</v>
      </c>
      <c r="S101" s="124">
        <f t="shared" si="79"/>
        <v>5.627358005376553E-2</v>
      </c>
      <c r="T101" s="124">
        <f t="shared" si="79"/>
        <v>5.8927765371205303E-2</v>
      </c>
      <c r="U101" s="124">
        <f t="shared" si="79"/>
        <v>5.8872487686557069E-2</v>
      </c>
      <c r="V101" s="124">
        <f t="shared" si="79"/>
        <v>4.3202805821714152E-2</v>
      </c>
      <c r="W101" s="124">
        <f t="shared" si="79"/>
        <v>4.2146487911211485E-2</v>
      </c>
      <c r="X101" s="124">
        <f t="shared" si="79"/>
        <v>5.9115191471184457E-2</v>
      </c>
      <c r="Y101" s="124">
        <f t="shared" si="79"/>
        <v>6.0104137220856668E-2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5.7366597840973598E-3</v>
      </c>
      <c r="C102" s="140">
        <f t="shared" si="80"/>
        <v>5.7027922184655789E-3</v>
      </c>
      <c r="D102" s="140">
        <f t="shared" si="80"/>
        <v>5.9787277337933426E-3</v>
      </c>
      <c r="E102" s="140">
        <f t="shared" si="80"/>
        <v>6.0138541487483078E-3</v>
      </c>
      <c r="F102" s="140">
        <f t="shared" si="80"/>
        <v>5.9195660831329027E-3</v>
      </c>
      <c r="G102" s="140">
        <f t="shared" si="80"/>
        <v>6.2116221445211572E-3</v>
      </c>
      <c r="H102" s="140">
        <f t="shared" si="80"/>
        <v>6.4313745202802322E-3</v>
      </c>
      <c r="I102" s="140">
        <f t="shared" si="80"/>
        <v>6.8652056026099568E-3</v>
      </c>
      <c r="J102" s="140">
        <f t="shared" si="80"/>
        <v>7.0479788622200687E-3</v>
      </c>
      <c r="K102" s="140">
        <f t="shared" si="80"/>
        <v>6.8821601631517586E-3</v>
      </c>
      <c r="L102" s="140">
        <f t="shared" si="80"/>
        <v>7.1162379011732932E-3</v>
      </c>
      <c r="M102" s="140">
        <f t="shared" si="80"/>
        <v>7.3165531991913743E-3</v>
      </c>
      <c r="N102" s="140">
        <f t="shared" si="80"/>
        <v>7.4275008594342608E-3</v>
      </c>
      <c r="O102" s="140">
        <f t="shared" si="80"/>
        <v>7.1366649504758335E-3</v>
      </c>
      <c r="P102" s="140">
        <f t="shared" si="80"/>
        <v>7.0056663722896755E-3</v>
      </c>
      <c r="Q102" s="140">
        <f t="shared" si="80"/>
        <v>6.8985198309675288E-3</v>
      </c>
      <c r="R102" s="140">
        <f t="shared" si="80"/>
        <v>6.7766396883706019E-3</v>
      </c>
      <c r="S102" s="140">
        <f t="shared" si="80"/>
        <v>6.7693833946679766E-3</v>
      </c>
      <c r="T102" s="140">
        <f t="shared" si="80"/>
        <v>6.8332250706844358E-3</v>
      </c>
      <c r="U102" s="140">
        <f t="shared" si="80"/>
        <v>6.9821669975926098E-3</v>
      </c>
      <c r="V102" s="140">
        <f t="shared" si="80"/>
        <v>7.118367938443863E-3</v>
      </c>
      <c r="W102" s="140">
        <f t="shared" si="80"/>
        <v>6.4883341251556481E-3</v>
      </c>
      <c r="X102" s="140">
        <f t="shared" si="80"/>
        <v>7.0409625609422506E-3</v>
      </c>
      <c r="Y102" s="140">
        <f t="shared" si="80"/>
        <v>5.6626463551274946E-3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4.5500926623879896E-2</v>
      </c>
      <c r="C103" s="140">
        <f t="shared" si="81"/>
        <v>4.4194854063052361E-2</v>
      </c>
      <c r="D103" s="140">
        <f t="shared" si="81"/>
        <v>4.2898514407333506E-2</v>
      </c>
      <c r="E103" s="140">
        <f t="shared" si="81"/>
        <v>4.1464946583500036E-2</v>
      </c>
      <c r="F103" s="140">
        <f t="shared" si="81"/>
        <v>4.0741006935853412E-2</v>
      </c>
      <c r="G103" s="140">
        <f t="shared" si="81"/>
        <v>4.2753663734734028E-2</v>
      </c>
      <c r="H103" s="140">
        <f t="shared" si="81"/>
        <v>4.2274585216678776E-2</v>
      </c>
      <c r="I103" s="140">
        <f t="shared" si="81"/>
        <v>4.1815992846707666E-2</v>
      </c>
      <c r="J103" s="140">
        <f t="shared" si="81"/>
        <v>4.1614199423851965E-2</v>
      </c>
      <c r="K103" s="140">
        <f t="shared" si="81"/>
        <v>3.7023802904186304E-2</v>
      </c>
      <c r="L103" s="140">
        <f t="shared" si="81"/>
        <v>3.600215571800703E-2</v>
      </c>
      <c r="M103" s="140">
        <f t="shared" si="81"/>
        <v>3.5641256049394256E-2</v>
      </c>
      <c r="N103" s="140">
        <f t="shared" si="81"/>
        <v>3.858596920934302E-2</v>
      </c>
      <c r="O103" s="140">
        <f t="shared" si="81"/>
        <v>3.8375010253860829E-2</v>
      </c>
      <c r="P103" s="140">
        <f t="shared" si="81"/>
        <v>3.8205809807317616E-2</v>
      </c>
      <c r="Q103" s="140">
        <f t="shared" si="81"/>
        <v>3.8314004572688749E-2</v>
      </c>
      <c r="R103" s="140">
        <f t="shared" si="81"/>
        <v>3.6961233550118926E-2</v>
      </c>
      <c r="S103" s="140">
        <f t="shared" si="81"/>
        <v>3.5959067549054695E-2</v>
      </c>
      <c r="T103" s="140">
        <f t="shared" si="81"/>
        <v>3.7840652308800259E-2</v>
      </c>
      <c r="U103" s="140">
        <f t="shared" si="81"/>
        <v>3.7692310404428622E-2</v>
      </c>
      <c r="V103" s="140">
        <f t="shared" si="81"/>
        <v>2.6211166464322921E-2</v>
      </c>
      <c r="W103" s="140">
        <f t="shared" si="81"/>
        <v>2.5901520420526243E-2</v>
      </c>
      <c r="X103" s="140">
        <f t="shared" si="81"/>
        <v>3.7825898435303935E-2</v>
      </c>
      <c r="Y103" s="140">
        <f t="shared" si="81"/>
        <v>3.9545440177388126E-2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5.2020346358192049E-3</v>
      </c>
      <c r="C104" s="140">
        <f t="shared" si="82"/>
        <v>6.9006948959532497E-3</v>
      </c>
      <c r="D104" s="140">
        <f t="shared" si="82"/>
        <v>7.1907281053167852E-3</v>
      </c>
      <c r="E104" s="140">
        <f t="shared" si="82"/>
        <v>7.4668254267917598E-3</v>
      </c>
      <c r="F104" s="140">
        <f t="shared" si="82"/>
        <v>7.8122499931437567E-3</v>
      </c>
      <c r="G104" s="140">
        <f t="shared" si="82"/>
        <v>8.8002268990316317E-3</v>
      </c>
      <c r="H104" s="140">
        <f t="shared" si="82"/>
        <v>9.1282703813883471E-3</v>
      </c>
      <c r="I104" s="140">
        <f t="shared" si="82"/>
        <v>9.0018413388571888E-3</v>
      </c>
      <c r="J104" s="140">
        <f t="shared" si="82"/>
        <v>9.0894765163843372E-3</v>
      </c>
      <c r="K104" s="140">
        <f t="shared" si="82"/>
        <v>1.0644169993268395E-2</v>
      </c>
      <c r="L104" s="140">
        <f t="shared" si="82"/>
        <v>1.1391205043555385E-2</v>
      </c>
      <c r="M104" s="140">
        <f t="shared" si="82"/>
        <v>1.2666557145266757E-2</v>
      </c>
      <c r="N104" s="140">
        <f t="shared" si="82"/>
        <v>1.4534635361823483E-2</v>
      </c>
      <c r="O104" s="140">
        <f t="shared" si="82"/>
        <v>1.4455170946206252E-2</v>
      </c>
      <c r="P104" s="140">
        <f t="shared" si="82"/>
        <v>1.4391436204175519E-2</v>
      </c>
      <c r="Q104" s="140">
        <f t="shared" si="82"/>
        <v>1.4432191211629026E-2</v>
      </c>
      <c r="R104" s="140">
        <f t="shared" si="82"/>
        <v>1.3922626881796601E-2</v>
      </c>
      <c r="S104" s="140">
        <f t="shared" si="82"/>
        <v>1.354512911004286E-2</v>
      </c>
      <c r="T104" s="140">
        <f t="shared" si="82"/>
        <v>1.4253887991720608E-2</v>
      </c>
      <c r="U104" s="140">
        <f t="shared" si="82"/>
        <v>1.4198010284535836E-2</v>
      </c>
      <c r="V104" s="140">
        <f t="shared" si="82"/>
        <v>9.8732714189473676E-3</v>
      </c>
      <c r="W104" s="140">
        <f t="shared" si="82"/>
        <v>9.7566333655295951E-3</v>
      </c>
      <c r="X104" s="140">
        <f t="shared" si="82"/>
        <v>1.4248330474938274E-2</v>
      </c>
      <c r="Y104" s="140">
        <f t="shared" si="82"/>
        <v>1.4896050688341047E-2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7.1012229621310846E-2</v>
      </c>
      <c r="C105" s="124">
        <f t="shared" si="83"/>
        <v>6.5348229112628525E-2</v>
      </c>
      <c r="D105" s="124">
        <f t="shared" si="83"/>
        <v>6.5511549723906784E-2</v>
      </c>
      <c r="E105" s="124">
        <f t="shared" si="83"/>
        <v>7.0811021268464711E-2</v>
      </c>
      <c r="F105" s="124">
        <f t="shared" si="83"/>
        <v>8.0720865869085154E-2</v>
      </c>
      <c r="G105" s="124">
        <f t="shared" si="83"/>
        <v>9.0079887504675216E-2</v>
      </c>
      <c r="H105" s="124">
        <f t="shared" si="83"/>
        <v>9.4811520033736829E-2</v>
      </c>
      <c r="I105" s="124">
        <f t="shared" si="83"/>
        <v>0.10345078126832817</v>
      </c>
      <c r="J105" s="124">
        <f t="shared" si="83"/>
        <v>9.9248811505477083E-2</v>
      </c>
      <c r="K105" s="124">
        <f t="shared" si="83"/>
        <v>9.1907668661563774E-2</v>
      </c>
      <c r="L105" s="124">
        <f t="shared" si="83"/>
        <v>0.10072043612923956</v>
      </c>
      <c r="M105" s="124">
        <f t="shared" si="83"/>
        <v>0.10783543676263907</v>
      </c>
      <c r="N105" s="124">
        <f t="shared" si="83"/>
        <v>0.11845260730050738</v>
      </c>
      <c r="O105" s="124">
        <f t="shared" si="83"/>
        <v>0.11230879657675651</v>
      </c>
      <c r="P105" s="124">
        <f t="shared" si="83"/>
        <v>0.1120861876149823</v>
      </c>
      <c r="Q105" s="124">
        <f t="shared" si="83"/>
        <v>0.11398159837996517</v>
      </c>
      <c r="R105" s="124">
        <f t="shared" si="83"/>
        <v>0.11666480735213015</v>
      </c>
      <c r="S105" s="124">
        <f t="shared" si="83"/>
        <v>0.12056756700395869</v>
      </c>
      <c r="T105" s="124">
        <f t="shared" si="83"/>
        <v>0.13228429544834852</v>
      </c>
      <c r="U105" s="124">
        <f t="shared" si="83"/>
        <v>0.13834226561880725</v>
      </c>
      <c r="V105" s="124">
        <f t="shared" si="83"/>
        <v>6.0399852061258849E-2</v>
      </c>
      <c r="W105" s="124">
        <f t="shared" si="83"/>
        <v>6.4091259094974345E-2</v>
      </c>
      <c r="X105" s="124">
        <f t="shared" si="83"/>
        <v>0.12866213695467291</v>
      </c>
      <c r="Y105" s="124">
        <f t="shared" si="83"/>
        <v>0.15017098505957413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1.4712111282467005E-2</v>
      </c>
      <c r="C106" s="140">
        <f t="shared" si="84"/>
        <v>1.3657006970671688E-2</v>
      </c>
      <c r="D106" s="140">
        <f t="shared" si="84"/>
        <v>1.3802864517727666E-2</v>
      </c>
      <c r="E106" s="140">
        <f t="shared" si="84"/>
        <v>1.5212547618041326E-2</v>
      </c>
      <c r="F106" s="140">
        <f t="shared" si="84"/>
        <v>1.516558353534298E-2</v>
      </c>
      <c r="G106" s="140">
        <f t="shared" si="84"/>
        <v>1.5882120268190993E-2</v>
      </c>
      <c r="H106" s="140">
        <f t="shared" si="84"/>
        <v>1.6757822115525598E-2</v>
      </c>
      <c r="I106" s="140">
        <f t="shared" si="84"/>
        <v>1.8725810285667877E-2</v>
      </c>
      <c r="J106" s="140">
        <f t="shared" si="84"/>
        <v>1.828815280695089E-2</v>
      </c>
      <c r="K106" s="140">
        <f t="shared" si="84"/>
        <v>1.8462959753632251E-2</v>
      </c>
      <c r="L106" s="140">
        <f t="shared" si="84"/>
        <v>1.998489539942026E-2</v>
      </c>
      <c r="M106" s="140">
        <f t="shared" si="84"/>
        <v>2.1974057216230608E-2</v>
      </c>
      <c r="N106" s="140">
        <f t="shared" si="84"/>
        <v>2.2651542658405178E-2</v>
      </c>
      <c r="O106" s="140">
        <f t="shared" si="84"/>
        <v>2.0550029400957584E-2</v>
      </c>
      <c r="P106" s="140">
        <f t="shared" si="84"/>
        <v>1.8879112290527415E-2</v>
      </c>
      <c r="Q106" s="140">
        <f t="shared" si="84"/>
        <v>1.9854588358377345E-2</v>
      </c>
      <c r="R106" s="140">
        <f t="shared" si="84"/>
        <v>1.990555750378617E-2</v>
      </c>
      <c r="S106" s="140">
        <f t="shared" si="84"/>
        <v>1.9847293402320196E-2</v>
      </c>
      <c r="T106" s="140">
        <f t="shared" si="84"/>
        <v>2.0851364154863446E-2</v>
      </c>
      <c r="U106" s="140">
        <f t="shared" si="84"/>
        <v>2.0825168862187705E-2</v>
      </c>
      <c r="V106" s="140">
        <f t="shared" si="84"/>
        <v>1.446674896191852E-2</v>
      </c>
      <c r="W106" s="140">
        <f t="shared" si="84"/>
        <v>2.0193771753591272E-2</v>
      </c>
      <c r="X106" s="140">
        <f t="shared" si="84"/>
        <v>2.6840552424598783E-2</v>
      </c>
      <c r="Y106" s="140">
        <f t="shared" si="84"/>
        <v>2.4704325254202075E-2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2.4687865942706465E-2</v>
      </c>
      <c r="C107" s="140">
        <f t="shared" si="85"/>
        <v>2.2814601247674166E-2</v>
      </c>
      <c r="D107" s="140">
        <f t="shared" si="85"/>
        <v>2.2852518344486244E-2</v>
      </c>
      <c r="E107" s="140">
        <f t="shared" si="85"/>
        <v>2.6084245779480274E-2</v>
      </c>
      <c r="F107" s="140">
        <f t="shared" si="85"/>
        <v>2.8650840051891373E-2</v>
      </c>
      <c r="G107" s="140">
        <f t="shared" si="85"/>
        <v>3.3623979683308922E-2</v>
      </c>
      <c r="H107" s="140">
        <f t="shared" si="85"/>
        <v>3.5726835870113098E-2</v>
      </c>
      <c r="I107" s="140">
        <f t="shared" si="85"/>
        <v>3.7982137620017294E-2</v>
      </c>
      <c r="J107" s="140">
        <f t="shared" si="85"/>
        <v>3.5783903508071598E-2</v>
      </c>
      <c r="K107" s="140">
        <f t="shared" si="85"/>
        <v>3.2968063484926181E-2</v>
      </c>
      <c r="L107" s="140">
        <f t="shared" si="85"/>
        <v>3.5592888496912209E-2</v>
      </c>
      <c r="M107" s="140">
        <f t="shared" si="85"/>
        <v>4.0110759612988663E-2</v>
      </c>
      <c r="N107" s="140">
        <f t="shared" si="85"/>
        <v>4.3836723422736847E-2</v>
      </c>
      <c r="O107" s="140">
        <f t="shared" si="85"/>
        <v>4.1991903453797275E-2</v>
      </c>
      <c r="P107" s="140">
        <f t="shared" si="85"/>
        <v>4.2911045658219148E-2</v>
      </c>
      <c r="Q107" s="140">
        <f t="shared" si="85"/>
        <v>4.4609027885258161E-2</v>
      </c>
      <c r="R107" s="140">
        <f t="shared" si="85"/>
        <v>4.7017394899875428E-2</v>
      </c>
      <c r="S107" s="140">
        <f t="shared" si="85"/>
        <v>4.8338881866246637E-2</v>
      </c>
      <c r="T107" s="140">
        <f t="shared" si="85"/>
        <v>5.171550131336812E-2</v>
      </c>
      <c r="U107" s="140">
        <f t="shared" si="85"/>
        <v>5.2722243377303427E-2</v>
      </c>
      <c r="V107" s="140">
        <f t="shared" si="85"/>
        <v>2.2109327161186312E-2</v>
      </c>
      <c r="W107" s="140">
        <f t="shared" si="85"/>
        <v>2.4661101300402728E-2</v>
      </c>
      <c r="X107" s="140">
        <f t="shared" si="85"/>
        <v>5.4638904490122417E-2</v>
      </c>
      <c r="Y107" s="140">
        <f t="shared" si="85"/>
        <v>5.9038659771874807E-2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3.1612252396137366E-2</v>
      </c>
      <c r="C108" s="140">
        <f t="shared" si="86"/>
        <v>2.8876620894282671E-2</v>
      </c>
      <c r="D108" s="140">
        <f t="shared" si="86"/>
        <v>2.8856166861692876E-2</v>
      </c>
      <c r="E108" s="140">
        <f t="shared" si="86"/>
        <v>2.951422787094311E-2</v>
      </c>
      <c r="F108" s="140">
        <f t="shared" si="86"/>
        <v>3.6904442281850809E-2</v>
      </c>
      <c r="G108" s="140">
        <f t="shared" si="86"/>
        <v>4.057378755317529E-2</v>
      </c>
      <c r="H108" s="140">
        <f t="shared" si="86"/>
        <v>4.2326862048098123E-2</v>
      </c>
      <c r="I108" s="140">
        <f t="shared" si="86"/>
        <v>4.674283336264299E-2</v>
      </c>
      <c r="J108" s="140">
        <f t="shared" si="86"/>
        <v>4.5176755190454602E-2</v>
      </c>
      <c r="K108" s="140">
        <f t="shared" si="86"/>
        <v>4.0476645423005352E-2</v>
      </c>
      <c r="L108" s="140">
        <f t="shared" si="86"/>
        <v>4.5142652232907088E-2</v>
      </c>
      <c r="M108" s="140">
        <f t="shared" si="86"/>
        <v>4.5750619933419792E-2</v>
      </c>
      <c r="N108" s="140">
        <f t="shared" si="86"/>
        <v>5.1964341219365356E-2</v>
      </c>
      <c r="O108" s="140">
        <f t="shared" si="86"/>
        <v>4.976686372200164E-2</v>
      </c>
      <c r="P108" s="140">
        <f t="shared" si="86"/>
        <v>5.0296029666235732E-2</v>
      </c>
      <c r="Q108" s="140">
        <f t="shared" si="86"/>
        <v>4.9517982136329665E-2</v>
      </c>
      <c r="R108" s="140">
        <f t="shared" si="86"/>
        <v>4.9741854948468563E-2</v>
      </c>
      <c r="S108" s="140">
        <f t="shared" si="86"/>
        <v>5.2381391735391872E-2</v>
      </c>
      <c r="T108" s="140">
        <f t="shared" si="86"/>
        <v>5.9717429980116934E-2</v>
      </c>
      <c r="U108" s="140">
        <f t="shared" si="86"/>
        <v>6.4794853379316106E-2</v>
      </c>
      <c r="V108" s="140">
        <f t="shared" si="86"/>
        <v>2.3823775938154015E-2</v>
      </c>
      <c r="W108" s="140">
        <f t="shared" si="86"/>
        <v>1.9236386040980342E-2</v>
      </c>
      <c r="X108" s="140">
        <f t="shared" si="86"/>
        <v>4.7182680039951727E-2</v>
      </c>
      <c r="Y108" s="140">
        <f t="shared" si="86"/>
        <v>6.6428000033497234E-2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0.78826090076882416</v>
      </c>
      <c r="C110" s="139">
        <f t="shared" si="88"/>
        <v>0.79626602992585638</v>
      </c>
      <c r="D110" s="139">
        <f t="shared" si="88"/>
        <v>0.79475637060252213</v>
      </c>
      <c r="E110" s="139">
        <f t="shared" si="88"/>
        <v>0.77214768375926712</v>
      </c>
      <c r="F110" s="139">
        <f t="shared" si="88"/>
        <v>0.78432240388041263</v>
      </c>
      <c r="G110" s="139">
        <f t="shared" si="88"/>
        <v>0.78230811731221195</v>
      </c>
      <c r="H110" s="139">
        <f t="shared" si="88"/>
        <v>0.76587967556267145</v>
      </c>
      <c r="I110" s="139">
        <f t="shared" si="88"/>
        <v>0.7468995192786857</v>
      </c>
      <c r="J110" s="139">
        <f t="shared" si="88"/>
        <v>0.76199924428916821</v>
      </c>
      <c r="K110" s="139">
        <f t="shared" si="88"/>
        <v>0.76296098032851989</v>
      </c>
      <c r="L110" s="139">
        <f t="shared" si="88"/>
        <v>0.76510126886465191</v>
      </c>
      <c r="M110" s="139">
        <f t="shared" si="88"/>
        <v>0.72970330860840216</v>
      </c>
      <c r="N110" s="139">
        <f t="shared" si="88"/>
        <v>0.71689497208183617</v>
      </c>
      <c r="O110" s="139">
        <f t="shared" si="88"/>
        <v>0.72339752560491621</v>
      </c>
      <c r="P110" s="139">
        <f t="shared" si="88"/>
        <v>0.69679619506439761</v>
      </c>
      <c r="Q110" s="139">
        <f t="shared" si="88"/>
        <v>0.69579111457866916</v>
      </c>
      <c r="R110" s="139">
        <f t="shared" si="88"/>
        <v>0.66854033868457741</v>
      </c>
      <c r="S110" s="139">
        <f t="shared" si="88"/>
        <v>0.67992297368478238</v>
      </c>
      <c r="T110" s="139">
        <f t="shared" si="88"/>
        <v>0.6897010799183817</v>
      </c>
      <c r="U110" s="139">
        <f t="shared" si="88"/>
        <v>0.71063058807059676</v>
      </c>
      <c r="V110" s="139">
        <f t="shared" si="88"/>
        <v>0.71231931223471345</v>
      </c>
      <c r="W110" s="139">
        <f t="shared" si="88"/>
        <v>0.72335710177972246</v>
      </c>
      <c r="X110" s="139">
        <f t="shared" si="88"/>
        <v>0.71716435474696227</v>
      </c>
      <c r="Y110" s="139">
        <f t="shared" si="88"/>
        <v>0.72424937243328358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4.6451822882960556E-2</v>
      </c>
      <c r="C111" s="140">
        <f t="shared" si="89"/>
        <v>4.5985447702197868E-2</v>
      </c>
      <c r="D111" s="140">
        <f t="shared" si="89"/>
        <v>4.6516256000019449E-2</v>
      </c>
      <c r="E111" s="140">
        <f t="shared" si="89"/>
        <v>5.3448521866650923E-2</v>
      </c>
      <c r="F111" s="140">
        <f t="shared" si="89"/>
        <v>5.2298256915394845E-2</v>
      </c>
      <c r="G111" s="140">
        <f t="shared" si="89"/>
        <v>5.3110074717338022E-2</v>
      </c>
      <c r="H111" s="140">
        <f t="shared" si="89"/>
        <v>5.1248225807645403E-2</v>
      </c>
      <c r="I111" s="140">
        <f t="shared" si="89"/>
        <v>5.4295971182901331E-2</v>
      </c>
      <c r="J111" s="140">
        <f t="shared" si="89"/>
        <v>5.526043192007575E-2</v>
      </c>
      <c r="K111" s="140">
        <f t="shared" si="89"/>
        <v>5.8331730772405756E-2</v>
      </c>
      <c r="L111" s="140">
        <f t="shared" si="89"/>
        <v>6.01978126438584E-2</v>
      </c>
      <c r="M111" s="140">
        <f t="shared" si="89"/>
        <v>6.8201573858510861E-2</v>
      </c>
      <c r="N111" s="140">
        <f t="shared" si="89"/>
        <v>6.8375718755271472E-2</v>
      </c>
      <c r="O111" s="140">
        <f t="shared" si="89"/>
        <v>6.2225949886058056E-2</v>
      </c>
      <c r="P111" s="140">
        <f t="shared" si="89"/>
        <v>6.5478338990739127E-2</v>
      </c>
      <c r="Q111" s="140">
        <f t="shared" si="89"/>
        <v>5.5901727134276227E-2</v>
      </c>
      <c r="R111" s="140">
        <f t="shared" si="89"/>
        <v>5.2253277661999345E-2</v>
      </c>
      <c r="S111" s="140">
        <f t="shared" si="89"/>
        <v>5.0578829950431142E-2</v>
      </c>
      <c r="T111" s="140">
        <f t="shared" si="89"/>
        <v>5.1577372700858923E-2</v>
      </c>
      <c r="U111" s="140">
        <f t="shared" si="89"/>
        <v>5.0325363673908316E-2</v>
      </c>
      <c r="V111" s="140">
        <f t="shared" si="89"/>
        <v>5.1236136309358436E-2</v>
      </c>
      <c r="W111" s="140">
        <f t="shared" si="89"/>
        <v>5.4897336709378582E-2</v>
      </c>
      <c r="X111" s="140">
        <f t="shared" si="89"/>
        <v>4.8529725750241302E-2</v>
      </c>
      <c r="Y111" s="140">
        <f t="shared" si="89"/>
        <v>4.760086052279898E-2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0.74180907788586359</v>
      </c>
      <c r="C112" s="140">
        <f t="shared" si="90"/>
        <v>0.75028058222365857</v>
      </c>
      <c r="D112" s="140">
        <f t="shared" si="90"/>
        <v>0.74824011460250273</v>
      </c>
      <c r="E112" s="140">
        <f t="shared" si="90"/>
        <v>0.71869916189261629</v>
      </c>
      <c r="F112" s="140">
        <f t="shared" si="90"/>
        <v>0.73202414696501783</v>
      </c>
      <c r="G112" s="140">
        <f t="shared" si="90"/>
        <v>0.72919804259487397</v>
      </c>
      <c r="H112" s="140">
        <f t="shared" si="90"/>
        <v>0.71463144975502613</v>
      </c>
      <c r="I112" s="140">
        <f t="shared" si="90"/>
        <v>0.69260354809578428</v>
      </c>
      <c r="J112" s="140">
        <f t="shared" si="90"/>
        <v>0.70673881236909242</v>
      </c>
      <c r="K112" s="140">
        <f t="shared" si="90"/>
        <v>0.70462924955611406</v>
      </c>
      <c r="L112" s="140">
        <f t="shared" si="90"/>
        <v>0.70490345622079342</v>
      </c>
      <c r="M112" s="140">
        <f t="shared" si="90"/>
        <v>0.66150173474989127</v>
      </c>
      <c r="N112" s="140">
        <f t="shared" si="90"/>
        <v>0.64851925332656468</v>
      </c>
      <c r="O112" s="140">
        <f t="shared" si="90"/>
        <v>0.6611715757188581</v>
      </c>
      <c r="P112" s="140">
        <f t="shared" si="90"/>
        <v>0.63131785607365842</v>
      </c>
      <c r="Q112" s="140">
        <f t="shared" si="90"/>
        <v>0.63988938744439305</v>
      </c>
      <c r="R112" s="140">
        <f t="shared" si="90"/>
        <v>0.61628706102257802</v>
      </c>
      <c r="S112" s="140">
        <f t="shared" si="90"/>
        <v>0.62934414373435121</v>
      </c>
      <c r="T112" s="140">
        <f t="shared" si="90"/>
        <v>0.63812370721752287</v>
      </c>
      <c r="U112" s="140">
        <f t="shared" si="90"/>
        <v>0.66030522439668848</v>
      </c>
      <c r="V112" s="140">
        <f t="shared" si="90"/>
        <v>0.66108317592535493</v>
      </c>
      <c r="W112" s="140">
        <f t="shared" si="90"/>
        <v>0.66845976507034388</v>
      </c>
      <c r="X112" s="140">
        <f t="shared" si="90"/>
        <v>0.66863462899672088</v>
      </c>
      <c r="Y112" s="140">
        <f t="shared" si="90"/>
        <v>0.6766485119104847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9.3189632218662097E-2</v>
      </c>
      <c r="C113" s="124">
        <f t="shared" si="91"/>
        <v>9.0815398547013426E-2</v>
      </c>
      <c r="D113" s="124">
        <f t="shared" si="91"/>
        <v>8.2921179392809422E-2</v>
      </c>
      <c r="E113" s="124">
        <f t="shared" si="91"/>
        <v>8.5754748785262624E-2</v>
      </c>
      <c r="F113" s="124">
        <f t="shared" si="91"/>
        <v>8.571913853963968E-2</v>
      </c>
      <c r="G113" s="124">
        <f t="shared" si="91"/>
        <v>8.1377970898953697E-2</v>
      </c>
      <c r="H113" s="124">
        <f t="shared" si="91"/>
        <v>9.0803347357931302E-2</v>
      </c>
      <c r="I113" s="124">
        <f t="shared" si="91"/>
        <v>9.3751176047471435E-2</v>
      </c>
      <c r="J113" s="124">
        <f t="shared" si="91"/>
        <v>8.9823782918843603E-2</v>
      </c>
      <c r="K113" s="124">
        <f t="shared" si="91"/>
        <v>7.1055232285971326E-2</v>
      </c>
      <c r="L113" s="124">
        <f t="shared" si="91"/>
        <v>7.1470565548266016E-2</v>
      </c>
      <c r="M113" s="124">
        <f t="shared" si="91"/>
        <v>8.3200254685855513E-2</v>
      </c>
      <c r="N113" s="124">
        <f t="shared" si="91"/>
        <v>9.4138684081937721E-2</v>
      </c>
      <c r="O113" s="124">
        <f t="shared" si="91"/>
        <v>8.8768271804133131E-2</v>
      </c>
      <c r="P113" s="124">
        <f t="shared" si="91"/>
        <v>9.566081164379675E-2</v>
      </c>
      <c r="Q113" s="124">
        <f t="shared" si="91"/>
        <v>9.9257576417004389E-2</v>
      </c>
      <c r="R113" s="124">
        <f t="shared" si="91"/>
        <v>0.10628419107956151</v>
      </c>
      <c r="S113" s="124">
        <f t="shared" si="91"/>
        <v>9.8935224549383097E-2</v>
      </c>
      <c r="T113" s="124">
        <f t="shared" si="91"/>
        <v>9.6286809683046037E-2</v>
      </c>
      <c r="U113" s="124">
        <f t="shared" si="91"/>
        <v>8.8880744544897167E-2</v>
      </c>
      <c r="V113" s="124">
        <f t="shared" si="91"/>
        <v>8.973647098369214E-2</v>
      </c>
      <c r="W113" s="124">
        <f t="shared" si="91"/>
        <v>9.659998105984087E-2</v>
      </c>
      <c r="X113" s="124">
        <f t="shared" si="91"/>
        <v>9.4349763216140844E-2</v>
      </c>
      <c r="Y113" s="124">
        <f t="shared" si="91"/>
        <v>9.2409816090035318E-2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6.8782931078723714E-3</v>
      </c>
      <c r="C114" s="124">
        <f t="shared" si="92"/>
        <v>2.3785416473108448E-3</v>
      </c>
      <c r="D114" s="124">
        <f t="shared" si="92"/>
        <v>5.6976787585607926E-3</v>
      </c>
      <c r="E114" s="124">
        <f t="shared" si="92"/>
        <v>6.4597937433705397E-3</v>
      </c>
      <c r="F114" s="124">
        <f t="shared" si="92"/>
        <v>6.2943742522711147E-3</v>
      </c>
      <c r="G114" s="124">
        <f t="shared" si="92"/>
        <v>6.4303655428796479E-3</v>
      </c>
      <c r="H114" s="124">
        <f t="shared" si="92"/>
        <v>7.336326899066597E-3</v>
      </c>
      <c r="I114" s="124">
        <f t="shared" si="92"/>
        <v>8.1476304111830749E-3</v>
      </c>
      <c r="J114" s="124">
        <f t="shared" si="92"/>
        <v>7.1797993893131179E-3</v>
      </c>
      <c r="K114" s="124">
        <f t="shared" si="92"/>
        <v>6.4899124487270031E-3</v>
      </c>
      <c r="L114" s="124">
        <f t="shared" si="92"/>
        <v>7.9507302657699959E-3</v>
      </c>
      <c r="M114" s="124">
        <f t="shared" si="92"/>
        <v>9.4939025647067417E-3</v>
      </c>
      <c r="N114" s="124">
        <f t="shared" si="92"/>
        <v>9.3854156058615964E-3</v>
      </c>
      <c r="O114" s="124">
        <f t="shared" si="92"/>
        <v>9.9846921881815449E-3</v>
      </c>
      <c r="P114" s="124">
        <f t="shared" si="92"/>
        <v>1.1620325575504008E-2</v>
      </c>
      <c r="Q114" s="124">
        <f t="shared" si="92"/>
        <v>1.3751273812493268E-2</v>
      </c>
      <c r="R114" s="124">
        <f t="shared" si="92"/>
        <v>1.5378881694647141E-2</v>
      </c>
      <c r="S114" s="124">
        <f t="shared" si="92"/>
        <v>1.6369501172120438E-2</v>
      </c>
      <c r="T114" s="124">
        <f t="shared" si="92"/>
        <v>1.6168273732858802E-2</v>
      </c>
      <c r="U114" s="124">
        <f t="shared" si="92"/>
        <v>1.6058240263479781E-2</v>
      </c>
      <c r="V114" s="124">
        <f t="shared" si="92"/>
        <v>1.0608214930033616E-2</v>
      </c>
      <c r="W114" s="124">
        <f t="shared" si="92"/>
        <v>1.1244854007046102E-2</v>
      </c>
      <c r="X114" s="124">
        <f t="shared" si="92"/>
        <v>1.0155607867600383E-2</v>
      </c>
      <c r="Y114" s="124">
        <f t="shared" si="92"/>
        <v>1.1483336792538216E-2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8.9804308042226488E-5</v>
      </c>
      <c r="C115" s="140">
        <f t="shared" si="93"/>
        <v>1.6548405390967396E-4</v>
      </c>
      <c r="D115" s="140">
        <f t="shared" si="93"/>
        <v>1.3847737181804803E-4</v>
      </c>
      <c r="E115" s="140">
        <f t="shared" si="93"/>
        <v>1.7237710087061653E-4</v>
      </c>
      <c r="F115" s="140">
        <f t="shared" si="93"/>
        <v>1.4479878881137228E-4</v>
      </c>
      <c r="G115" s="140">
        <f t="shared" si="93"/>
        <v>1.2236984750358299E-4</v>
      </c>
      <c r="H115" s="140">
        <f t="shared" si="93"/>
        <v>1.2454466281518423E-4</v>
      </c>
      <c r="I115" s="140">
        <f t="shared" si="93"/>
        <v>1.3385302442687653E-4</v>
      </c>
      <c r="J115" s="140">
        <f t="shared" si="93"/>
        <v>1.1752322550198875E-4</v>
      </c>
      <c r="K115" s="140">
        <f t="shared" si="93"/>
        <v>1.158860295759638E-4</v>
      </c>
      <c r="L115" s="140">
        <f t="shared" si="93"/>
        <v>1.1567466543881464E-4</v>
      </c>
      <c r="M115" s="140">
        <f t="shared" si="93"/>
        <v>1.2499714550533622E-4</v>
      </c>
      <c r="N115" s="140">
        <f t="shared" si="93"/>
        <v>1.1407970273241896E-4</v>
      </c>
      <c r="O115" s="140">
        <f t="shared" si="93"/>
        <v>1.0866682058174912E-4</v>
      </c>
      <c r="P115" s="140">
        <f t="shared" si="93"/>
        <v>1.0428223572016581E-4</v>
      </c>
      <c r="Q115" s="140">
        <f t="shared" si="93"/>
        <v>1.0185373385888028E-4</v>
      </c>
      <c r="R115" s="140">
        <f t="shared" ref="R115:V116" si="94">IF(R23=0,0,R23/R$17)</f>
        <v>9.1259332003657003E-5</v>
      </c>
      <c r="S115" s="140">
        <f t="shared" si="94"/>
        <v>8.6095617438845286E-5</v>
      </c>
      <c r="T115" s="140">
        <f t="shared" si="94"/>
        <v>8.8437563882879091E-5</v>
      </c>
      <c r="U115" s="140">
        <f t="shared" si="94"/>
        <v>1.00363174660663E-4</v>
      </c>
      <c r="V115" s="140">
        <f t="shared" si="94"/>
        <v>1.0358943306976424E-4</v>
      </c>
      <c r="W115" s="140">
        <f t="shared" ref="W115:Y120" si="95">IF(W23=0,0,W23/W$17)</f>
        <v>1.2871193977817769E-4</v>
      </c>
      <c r="X115" s="140">
        <f t="shared" si="95"/>
        <v>1.3283446608984811E-4</v>
      </c>
      <c r="Y115" s="140">
        <f t="shared" si="95"/>
        <v>1.2559758242126757E-4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3.6186001862673365E-4</v>
      </c>
      <c r="C116" s="140">
        <f t="shared" si="96"/>
        <v>1.7635880449728091E-4</v>
      </c>
      <c r="D116" s="140">
        <f t="shared" si="96"/>
        <v>6.6052242979490277E-4</v>
      </c>
      <c r="E116" s="140">
        <f t="shared" si="96"/>
        <v>8.0909021587682981E-4</v>
      </c>
      <c r="F116" s="140">
        <f t="shared" si="96"/>
        <v>8.1154747259560797E-4</v>
      </c>
      <c r="G116" s="140">
        <f t="shared" si="96"/>
        <v>7.8694014691013442E-4</v>
      </c>
      <c r="H116" s="140">
        <f t="shared" si="96"/>
        <v>7.5007284534479651E-4</v>
      </c>
      <c r="I116" s="140">
        <f t="shared" si="96"/>
        <v>7.8536763276404182E-4</v>
      </c>
      <c r="J116" s="140">
        <f t="shared" si="96"/>
        <v>7.1170536555423757E-4</v>
      </c>
      <c r="K116" s="140">
        <f t="shared" si="96"/>
        <v>7.0788234275150899E-4</v>
      </c>
      <c r="L116" s="140">
        <f t="shared" si="96"/>
        <v>6.4121007693905942E-4</v>
      </c>
      <c r="M116" s="140">
        <f t="shared" si="96"/>
        <v>6.7918152533923126E-4</v>
      </c>
      <c r="N116" s="140">
        <f t="shared" si="96"/>
        <v>7.6665213608917296E-4</v>
      </c>
      <c r="O116" s="140">
        <f t="shared" si="96"/>
        <v>7.5597300859738838E-4</v>
      </c>
      <c r="P116" s="140">
        <f t="shared" si="96"/>
        <v>7.9695249734426849E-4</v>
      </c>
      <c r="Q116" s="140">
        <f t="shared" si="96"/>
        <v>8.7278510744626581E-4</v>
      </c>
      <c r="R116" s="140">
        <f t="shared" si="94"/>
        <v>8.4493141078369606E-4</v>
      </c>
      <c r="S116" s="140">
        <f t="shared" si="94"/>
        <v>8.0472115121893429E-4</v>
      </c>
      <c r="T116" s="140">
        <f t="shared" si="94"/>
        <v>8.0735638057071748E-4</v>
      </c>
      <c r="U116" s="140">
        <f t="shared" si="94"/>
        <v>8.0473992292382911E-4</v>
      </c>
      <c r="V116" s="140">
        <f t="shared" si="94"/>
        <v>7.7053084994794282E-4</v>
      </c>
      <c r="W116" s="140">
        <f t="shared" si="95"/>
        <v>8.6756053673186498E-4</v>
      </c>
      <c r="X116" s="140">
        <f t="shared" si="95"/>
        <v>9.175364621460926E-4</v>
      </c>
      <c r="Y116" s="140">
        <f t="shared" si="95"/>
        <v>8.9570386103859912E-4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6.4266287812034112E-3</v>
      </c>
      <c r="C117" s="140">
        <f t="shared" si="97"/>
        <v>2.0366987889038901E-3</v>
      </c>
      <c r="D117" s="140">
        <f t="shared" si="97"/>
        <v>4.8986789569478422E-3</v>
      </c>
      <c r="E117" s="140">
        <f t="shared" si="97"/>
        <v>5.478326426623094E-3</v>
      </c>
      <c r="F117" s="140">
        <f t="shared" si="97"/>
        <v>5.3380279908641342E-3</v>
      </c>
      <c r="G117" s="140">
        <f t="shared" si="97"/>
        <v>5.5210555484659302E-3</v>
      </c>
      <c r="H117" s="140">
        <f t="shared" si="97"/>
        <v>6.4617093909066156E-3</v>
      </c>
      <c r="I117" s="140">
        <f t="shared" si="97"/>
        <v>7.2284097539921559E-3</v>
      </c>
      <c r="J117" s="140">
        <f t="shared" si="97"/>
        <v>6.3505707982568927E-3</v>
      </c>
      <c r="K117" s="140">
        <f t="shared" si="97"/>
        <v>5.6661440763995305E-3</v>
      </c>
      <c r="L117" s="140">
        <f t="shared" si="97"/>
        <v>7.1938455233921212E-3</v>
      </c>
      <c r="M117" s="140">
        <f t="shared" si="97"/>
        <v>8.6897238938621751E-3</v>
      </c>
      <c r="N117" s="140">
        <f t="shared" si="97"/>
        <v>8.5046837670400034E-3</v>
      </c>
      <c r="O117" s="140">
        <f t="shared" si="97"/>
        <v>9.1200523590024059E-3</v>
      </c>
      <c r="P117" s="140">
        <f t="shared" si="97"/>
        <v>1.0719090842439575E-2</v>
      </c>
      <c r="Q117" s="140">
        <f t="shared" si="97"/>
        <v>1.2776634971188121E-2</v>
      </c>
      <c r="R117" s="140">
        <f t="shared" ref="R117:V120" si="98">IF(R25=0,0,R25/R$17)</f>
        <v>1.4442690951859787E-2</v>
      </c>
      <c r="S117" s="140">
        <f t="shared" si="98"/>
        <v>1.5478684403462657E-2</v>
      </c>
      <c r="T117" s="140">
        <f t="shared" si="98"/>
        <v>1.5272479788405206E-2</v>
      </c>
      <c r="U117" s="140">
        <f t="shared" si="98"/>
        <v>1.5153137165895288E-2</v>
      </c>
      <c r="V117" s="140">
        <f t="shared" si="98"/>
        <v>9.7340946470159083E-3</v>
      </c>
      <c r="W117" s="140">
        <f t="shared" si="95"/>
        <v>1.0248581530536059E-2</v>
      </c>
      <c r="X117" s="140">
        <f t="shared" si="95"/>
        <v>9.1052369393644413E-3</v>
      </c>
      <c r="Y117" s="140">
        <f t="shared" si="95"/>
        <v>1.0462035349078348E-2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0.1116711739046414</v>
      </c>
      <c r="C118" s="124">
        <f t="shared" si="99"/>
        <v>0.11054002987981941</v>
      </c>
      <c r="D118" s="124">
        <f t="shared" si="99"/>
        <v>0.11662477124610761</v>
      </c>
      <c r="E118" s="124">
        <f t="shared" si="99"/>
        <v>0.1356377737120997</v>
      </c>
      <c r="F118" s="124">
        <f t="shared" si="99"/>
        <v>0.12366408332767645</v>
      </c>
      <c r="G118" s="124">
        <f t="shared" si="99"/>
        <v>0.12988354624595469</v>
      </c>
      <c r="H118" s="124">
        <f t="shared" si="99"/>
        <v>0.1359806501803307</v>
      </c>
      <c r="I118" s="124">
        <f t="shared" si="99"/>
        <v>0.15120167426265985</v>
      </c>
      <c r="J118" s="124">
        <f t="shared" si="99"/>
        <v>0.14099717340267498</v>
      </c>
      <c r="K118" s="124">
        <f t="shared" si="99"/>
        <v>0.15949387493678169</v>
      </c>
      <c r="L118" s="124">
        <f t="shared" si="99"/>
        <v>0.15547743532131211</v>
      </c>
      <c r="M118" s="124">
        <f t="shared" si="99"/>
        <v>0.17760253414103558</v>
      </c>
      <c r="N118" s="124">
        <f t="shared" si="99"/>
        <v>0.1795809282303644</v>
      </c>
      <c r="O118" s="124">
        <f t="shared" si="99"/>
        <v>0.17784951040276906</v>
      </c>
      <c r="P118" s="124">
        <f t="shared" si="99"/>
        <v>0.19592266771630173</v>
      </c>
      <c r="Q118" s="124">
        <f t="shared" si="99"/>
        <v>0.1912000351918331</v>
      </c>
      <c r="R118" s="124">
        <f t="shared" si="98"/>
        <v>0.20979658854121386</v>
      </c>
      <c r="S118" s="124">
        <f t="shared" si="98"/>
        <v>0.20477230059371404</v>
      </c>
      <c r="T118" s="124">
        <f t="shared" si="98"/>
        <v>0.19784383666571337</v>
      </c>
      <c r="U118" s="124">
        <f t="shared" si="98"/>
        <v>0.18443042712102628</v>
      </c>
      <c r="V118" s="124">
        <f t="shared" si="98"/>
        <v>0.18733600185156091</v>
      </c>
      <c r="W118" s="124">
        <f t="shared" si="95"/>
        <v>0.16879806315339047</v>
      </c>
      <c r="X118" s="124">
        <f t="shared" si="95"/>
        <v>0.1783302741692965</v>
      </c>
      <c r="Y118" s="124">
        <f t="shared" si="95"/>
        <v>0.17185747468414289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0.11097862917146924</v>
      </c>
      <c r="C119" s="140">
        <f t="shared" si="100"/>
        <v>0.10986805769272105</v>
      </c>
      <c r="D119" s="140">
        <f t="shared" si="100"/>
        <v>0.11626362563076574</v>
      </c>
      <c r="E119" s="140">
        <f t="shared" si="100"/>
        <v>0.13525409735933958</v>
      </c>
      <c r="F119" s="140">
        <f t="shared" si="100"/>
        <v>0.12323968027192166</v>
      </c>
      <c r="G119" s="140">
        <f t="shared" si="100"/>
        <v>0.12956623615776514</v>
      </c>
      <c r="H119" s="140">
        <f t="shared" si="100"/>
        <v>0.13569500182158067</v>
      </c>
      <c r="I119" s="140">
        <f t="shared" si="100"/>
        <v>0.15085685087438952</v>
      </c>
      <c r="J119" s="140">
        <f t="shared" si="100"/>
        <v>0.14075594466251276</v>
      </c>
      <c r="K119" s="140">
        <f t="shared" si="100"/>
        <v>0.15927820507317411</v>
      </c>
      <c r="L119" s="140">
        <f t="shared" si="100"/>
        <v>0.15506280161486535</v>
      </c>
      <c r="M119" s="140">
        <f t="shared" si="100"/>
        <v>0.17699704383554393</v>
      </c>
      <c r="N119" s="140">
        <f t="shared" si="100"/>
        <v>0.17920426188919483</v>
      </c>
      <c r="O119" s="140">
        <f t="shared" si="100"/>
        <v>0.17743450928964369</v>
      </c>
      <c r="P119" s="140">
        <f t="shared" si="100"/>
        <v>0.19561893740200881</v>
      </c>
      <c r="Q119" s="140">
        <f t="shared" si="100"/>
        <v>0.19090390075471003</v>
      </c>
      <c r="R119" s="140">
        <f t="shared" si="98"/>
        <v>0.2094830520493888</v>
      </c>
      <c r="S119" s="140">
        <f t="shared" si="98"/>
        <v>0.20450209469725053</v>
      </c>
      <c r="T119" s="140">
        <f t="shared" si="98"/>
        <v>0.19752099009042814</v>
      </c>
      <c r="U119" s="140">
        <f t="shared" si="98"/>
        <v>0.18420101978375239</v>
      </c>
      <c r="V119" s="140">
        <f t="shared" si="98"/>
        <v>0.18679974535026078</v>
      </c>
      <c r="W119" s="140">
        <f t="shared" si="95"/>
        <v>0.16824064837520328</v>
      </c>
      <c r="X119" s="140">
        <f t="shared" si="95"/>
        <v>0.17794248229417878</v>
      </c>
      <c r="Y119" s="140">
        <f t="shared" si="95"/>
        <v>0.17183304164767615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6.9254473317218108E-4</v>
      </c>
      <c r="C120" s="127">
        <f t="shared" si="101"/>
        <v>6.7197218709834979E-4</v>
      </c>
      <c r="D120" s="127">
        <f t="shared" si="101"/>
        <v>3.6114561534187316E-4</v>
      </c>
      <c r="E120" s="127">
        <f t="shared" si="101"/>
        <v>3.8367635276011388E-4</v>
      </c>
      <c r="F120" s="127">
        <f t="shared" si="101"/>
        <v>4.2440305575479532E-4</v>
      </c>
      <c r="G120" s="127">
        <f t="shared" si="101"/>
        <v>3.1731008818954091E-4</v>
      </c>
      <c r="H120" s="127">
        <f t="shared" si="101"/>
        <v>2.8564835875000925E-4</v>
      </c>
      <c r="I120" s="127">
        <f t="shared" si="101"/>
        <v>3.4482338827031218E-4</v>
      </c>
      <c r="J120" s="127">
        <f t="shared" si="101"/>
        <v>2.4122874016222528E-4</v>
      </c>
      <c r="K120" s="127">
        <f t="shared" si="101"/>
        <v>2.1566986360757977E-4</v>
      </c>
      <c r="L120" s="127">
        <f t="shared" si="101"/>
        <v>4.1463370644675176E-4</v>
      </c>
      <c r="M120" s="127">
        <f t="shared" si="101"/>
        <v>6.0549030549164563E-4</v>
      </c>
      <c r="N120" s="127">
        <f t="shared" si="101"/>
        <v>3.7666634116957892E-4</v>
      </c>
      <c r="O120" s="127">
        <f t="shared" si="101"/>
        <v>4.1500111312537942E-4</v>
      </c>
      <c r="P120" s="127">
        <f t="shared" si="101"/>
        <v>3.0373031429294995E-4</v>
      </c>
      <c r="Q120" s="127">
        <f t="shared" si="101"/>
        <v>2.9613443712305816E-4</v>
      </c>
      <c r="R120" s="127">
        <f t="shared" si="98"/>
        <v>3.1353649182505377E-4</v>
      </c>
      <c r="S120" s="127">
        <f t="shared" si="98"/>
        <v>2.7020589646350432E-4</v>
      </c>
      <c r="T120" s="127">
        <f t="shared" si="98"/>
        <v>3.2284657528524729E-4</v>
      </c>
      <c r="U120" s="127">
        <f t="shared" si="98"/>
        <v>2.2940733727389102E-4</v>
      </c>
      <c r="V120" s="127">
        <f t="shared" si="98"/>
        <v>5.362565013001361E-4</v>
      </c>
      <c r="W120" s="127">
        <f t="shared" si="95"/>
        <v>5.574147781871948E-4</v>
      </c>
      <c r="X120" s="127">
        <f t="shared" si="95"/>
        <v>3.8779187511771821E-4</v>
      </c>
      <c r="Y120" s="127">
        <f t="shared" si="95"/>
        <v>2.4433036466761198E-5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1</v>
      </c>
      <c r="C121" s="31">
        <f t="shared" si="102"/>
        <v>1</v>
      </c>
      <c r="D121" s="31">
        <f t="shared" si="102"/>
        <v>1</v>
      </c>
      <c r="E121" s="31">
        <f t="shared" si="102"/>
        <v>1</v>
      </c>
      <c r="F121" s="31">
        <f t="shared" si="102"/>
        <v>1</v>
      </c>
      <c r="G121" s="31">
        <f t="shared" si="102"/>
        <v>1</v>
      </c>
      <c r="H121" s="31">
        <f t="shared" si="102"/>
        <v>1</v>
      </c>
      <c r="I121" s="31">
        <f t="shared" si="102"/>
        <v>1</v>
      </c>
      <c r="J121" s="31">
        <f t="shared" si="102"/>
        <v>1</v>
      </c>
      <c r="K121" s="31">
        <f t="shared" si="102"/>
        <v>1</v>
      </c>
      <c r="L121" s="31">
        <f t="shared" si="102"/>
        <v>1</v>
      </c>
      <c r="M121" s="31">
        <f t="shared" si="102"/>
        <v>1</v>
      </c>
      <c r="N121" s="31">
        <f t="shared" si="102"/>
        <v>1</v>
      </c>
      <c r="O121" s="31">
        <f t="shared" si="102"/>
        <v>1</v>
      </c>
      <c r="P121" s="31">
        <f t="shared" si="102"/>
        <v>1</v>
      </c>
      <c r="Q121" s="31">
        <f t="shared" si="102"/>
        <v>1</v>
      </c>
      <c r="R121" s="31">
        <f t="shared" si="102"/>
        <v>1</v>
      </c>
      <c r="S121" s="31">
        <f t="shared" si="102"/>
        <v>1</v>
      </c>
      <c r="T121" s="31">
        <f t="shared" si="102"/>
        <v>1</v>
      </c>
      <c r="U121" s="31">
        <f t="shared" si="102"/>
        <v>1</v>
      </c>
      <c r="V121" s="31">
        <f t="shared" si="102"/>
        <v>1</v>
      </c>
      <c r="W121" s="31">
        <f t="shared" si="102"/>
        <v>1</v>
      </c>
      <c r="X121" s="31">
        <f t="shared" si="102"/>
        <v>1</v>
      </c>
      <c r="Y121" s="31">
        <f t="shared" si="102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0.14075624620043309</v>
      </c>
      <c r="C122" s="140">
        <f t="shared" si="103"/>
        <v>0.1323983241397908</v>
      </c>
      <c r="D122" s="140">
        <f t="shared" si="103"/>
        <v>0.14013441256291906</v>
      </c>
      <c r="E122" s="140">
        <f t="shared" si="103"/>
        <v>0.13725873823734588</v>
      </c>
      <c r="F122" s="140">
        <f t="shared" si="103"/>
        <v>0.12947594390959499</v>
      </c>
      <c r="G122" s="140">
        <f t="shared" si="103"/>
        <v>0.12420467939619274</v>
      </c>
      <c r="H122" s="140">
        <f t="shared" si="103"/>
        <v>0.12195881597083356</v>
      </c>
      <c r="I122" s="140">
        <f t="shared" si="103"/>
        <v>0.11660164042328522</v>
      </c>
      <c r="J122" s="140">
        <f t="shared" si="103"/>
        <v>0.13608574959097447</v>
      </c>
      <c r="K122" s="140">
        <f t="shared" si="103"/>
        <v>0.12971323041008878</v>
      </c>
      <c r="L122" s="140">
        <f t="shared" si="103"/>
        <v>0.13428401636311652</v>
      </c>
      <c r="M122" s="140">
        <f t="shared" si="103"/>
        <v>0.13250736988869219</v>
      </c>
      <c r="N122" s="140">
        <f t="shared" si="103"/>
        <v>0.13691647619952063</v>
      </c>
      <c r="O122" s="140">
        <f t="shared" si="103"/>
        <v>0.15347018603242638</v>
      </c>
      <c r="P122" s="140">
        <f t="shared" si="103"/>
        <v>0.14933606044703576</v>
      </c>
      <c r="Q122" s="140">
        <f t="shared" si="103"/>
        <v>0.14097497626914279</v>
      </c>
      <c r="R122" s="140">
        <f t="shared" si="103"/>
        <v>0.15919720547486466</v>
      </c>
      <c r="S122" s="140">
        <f t="shared" si="103"/>
        <v>0.1621609059558739</v>
      </c>
      <c r="T122" s="140">
        <f t="shared" si="103"/>
        <v>0.18822528331595531</v>
      </c>
      <c r="U122" s="140">
        <f t="shared" si="103"/>
        <v>0.17083777343943238</v>
      </c>
      <c r="V122" s="140">
        <f t="shared" si="103"/>
        <v>0.17065854302009292</v>
      </c>
      <c r="W122" s="140">
        <f t="shared" si="103"/>
        <v>0.16144971061035854</v>
      </c>
      <c r="X122" s="140">
        <f t="shared" si="103"/>
        <v>0.16310798726541173</v>
      </c>
      <c r="Y122" s="140">
        <f t="shared" si="103"/>
        <v>0.16672279094480474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0.85924375379956697</v>
      </c>
      <c r="C123" s="127">
        <f t="shared" si="104"/>
        <v>0.8676016758602092</v>
      </c>
      <c r="D123" s="127">
        <f t="shared" si="104"/>
        <v>0.85986558743708097</v>
      </c>
      <c r="E123" s="127">
        <f t="shared" si="104"/>
        <v>0.8627412617626542</v>
      </c>
      <c r="F123" s="127">
        <f t="shared" si="104"/>
        <v>0.87052405609040506</v>
      </c>
      <c r="G123" s="127">
        <f t="shared" si="104"/>
        <v>0.87579532060380727</v>
      </c>
      <c r="H123" s="127">
        <f t="shared" si="104"/>
        <v>0.87804118402916642</v>
      </c>
      <c r="I123" s="127">
        <f t="shared" si="104"/>
        <v>0.88339835957671475</v>
      </c>
      <c r="J123" s="127">
        <f t="shared" si="104"/>
        <v>0.86391425040902547</v>
      </c>
      <c r="K123" s="127">
        <f t="shared" si="104"/>
        <v>0.87028676958991125</v>
      </c>
      <c r="L123" s="127">
        <f t="shared" si="104"/>
        <v>0.86571598363688351</v>
      </c>
      <c r="M123" s="127">
        <f t="shared" si="104"/>
        <v>0.86749263011130795</v>
      </c>
      <c r="N123" s="127">
        <f t="shared" si="104"/>
        <v>0.86308352380047937</v>
      </c>
      <c r="O123" s="127">
        <f t="shared" si="104"/>
        <v>0.84652981396757365</v>
      </c>
      <c r="P123" s="127">
        <f t="shared" si="104"/>
        <v>0.85066393955296415</v>
      </c>
      <c r="Q123" s="127">
        <f t="shared" si="104"/>
        <v>0.8590250237308571</v>
      </c>
      <c r="R123" s="127">
        <f t="shared" si="104"/>
        <v>0.84080279452513529</v>
      </c>
      <c r="S123" s="127">
        <f t="shared" si="104"/>
        <v>0.83783909404412615</v>
      </c>
      <c r="T123" s="127">
        <f t="shared" si="104"/>
        <v>0.81177471668404466</v>
      </c>
      <c r="U123" s="127">
        <f t="shared" si="104"/>
        <v>0.82916222656056771</v>
      </c>
      <c r="V123" s="127">
        <f t="shared" si="104"/>
        <v>0.82934145697990713</v>
      </c>
      <c r="W123" s="127">
        <f t="shared" si="104"/>
        <v>0.83855028938964149</v>
      </c>
      <c r="X123" s="127">
        <f t="shared" si="104"/>
        <v>0.83689201273458835</v>
      </c>
      <c r="Y123" s="127">
        <f t="shared" si="104"/>
        <v>0.8332772090551952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0.87740962114203969</v>
      </c>
      <c r="C127" s="139">
        <f t="shared" ref="C127:Y127" si="107">IF(C35=0,0,C35/C$34)</f>
        <v>0.88441793567018645</v>
      </c>
      <c r="D127" s="139">
        <f t="shared" si="107"/>
        <v>0.88925010670408222</v>
      </c>
      <c r="E127" s="139">
        <f t="shared" si="107"/>
        <v>0.87747296734040292</v>
      </c>
      <c r="F127" s="139">
        <f t="shared" si="107"/>
        <v>0.88034507172922549</v>
      </c>
      <c r="G127" s="139">
        <f t="shared" si="107"/>
        <v>0.87224921519352461</v>
      </c>
      <c r="H127" s="139">
        <f t="shared" si="107"/>
        <v>0.86924101723374481</v>
      </c>
      <c r="I127" s="139">
        <f t="shared" si="107"/>
        <v>0.86249745557513902</v>
      </c>
      <c r="J127" s="139">
        <f t="shared" si="107"/>
        <v>0.86471223754054349</v>
      </c>
      <c r="K127" s="139">
        <f t="shared" si="107"/>
        <v>0.87380023822213171</v>
      </c>
      <c r="L127" s="139">
        <f t="shared" si="107"/>
        <v>0.8653818802754234</v>
      </c>
      <c r="M127" s="139">
        <f t="shared" si="107"/>
        <v>0.86142362742500789</v>
      </c>
      <c r="N127" s="139">
        <f t="shared" si="107"/>
        <v>0.85645554697671999</v>
      </c>
      <c r="O127" s="139">
        <f t="shared" si="107"/>
        <v>0.86327739756470501</v>
      </c>
      <c r="P127" s="139">
        <f t="shared" si="107"/>
        <v>0.86914772266491747</v>
      </c>
      <c r="Q127" s="139">
        <f t="shared" si="107"/>
        <v>0.86641743138689409</v>
      </c>
      <c r="R127" s="139">
        <f t="shared" si="107"/>
        <v>0.86226630650458935</v>
      </c>
      <c r="S127" s="139">
        <f t="shared" si="107"/>
        <v>0.85519912040580137</v>
      </c>
      <c r="T127" s="139">
        <f t="shared" si="107"/>
        <v>0.84008262932923261</v>
      </c>
      <c r="U127" s="139">
        <f t="shared" si="107"/>
        <v>0.83718728167455803</v>
      </c>
      <c r="V127" s="139">
        <f t="shared" si="107"/>
        <v>0.91328444950518595</v>
      </c>
      <c r="W127" s="139">
        <f t="shared" si="107"/>
        <v>0.91472072511259583</v>
      </c>
      <c r="X127" s="139">
        <f t="shared" si="107"/>
        <v>0.86489539163903473</v>
      </c>
      <c r="Y127" s="139">
        <f t="shared" si="107"/>
        <v>0.83944040691873723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4.651247783445276E-2</v>
      </c>
      <c r="C128" s="140">
        <f t="shared" ref="C128:Y128" si="108">IF(C36=0,0,C36/C$34)</f>
        <v>4.7051941237870376E-2</v>
      </c>
      <c r="D128" s="140">
        <f t="shared" si="108"/>
        <v>4.5246552058027252E-2</v>
      </c>
      <c r="E128" s="140">
        <f t="shared" si="108"/>
        <v>4.5251471200802952E-2</v>
      </c>
      <c r="F128" s="140">
        <f t="shared" si="108"/>
        <v>4.6176725971268019E-2</v>
      </c>
      <c r="G128" s="140">
        <f t="shared" si="108"/>
        <v>4.7499266315726263E-2</v>
      </c>
      <c r="H128" s="140">
        <f t="shared" si="108"/>
        <v>4.3123623888939103E-2</v>
      </c>
      <c r="I128" s="140">
        <f t="shared" si="108"/>
        <v>3.7741934693880388E-2</v>
      </c>
      <c r="J128" s="140">
        <f t="shared" si="108"/>
        <v>3.9912581473486419E-2</v>
      </c>
      <c r="K128" s="140">
        <f t="shared" si="108"/>
        <v>3.7001425040735038E-2</v>
      </c>
      <c r="L128" s="140">
        <f t="shared" si="108"/>
        <v>3.8134476010059926E-2</v>
      </c>
      <c r="M128" s="140">
        <f t="shared" si="108"/>
        <v>3.9312831938584245E-2</v>
      </c>
      <c r="N128" s="140">
        <f t="shared" si="108"/>
        <v>4.003035027194022E-2</v>
      </c>
      <c r="O128" s="140">
        <f t="shared" si="108"/>
        <v>3.7695384463655737E-2</v>
      </c>
      <c r="P128" s="140">
        <f t="shared" si="108"/>
        <v>3.6060353908314371E-2</v>
      </c>
      <c r="Q128" s="140">
        <f t="shared" si="108"/>
        <v>3.5183504808070795E-2</v>
      </c>
      <c r="R128" s="140">
        <f t="shared" si="108"/>
        <v>3.5426833741060718E-2</v>
      </c>
      <c r="S128" s="140">
        <f t="shared" si="108"/>
        <v>3.3300364879789483E-2</v>
      </c>
      <c r="T128" s="140">
        <f t="shared" si="108"/>
        <v>3.1049420411460135E-2</v>
      </c>
      <c r="U128" s="140">
        <f t="shared" si="108"/>
        <v>3.3127583943008444E-2</v>
      </c>
      <c r="V128" s="140">
        <f t="shared" si="108"/>
        <v>3.9871927952397371E-2</v>
      </c>
      <c r="W128" s="140">
        <f t="shared" si="108"/>
        <v>3.695916855531995E-2</v>
      </c>
      <c r="X128" s="140">
        <f t="shared" si="108"/>
        <v>3.4137792135119797E-2</v>
      </c>
      <c r="Y128" s="140">
        <f t="shared" si="108"/>
        <v>3.4855291698844881E-2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0.7619952372818285</v>
      </c>
      <c r="C129" s="140">
        <f t="shared" ref="C129:Y129" si="109">IF(C37=0,0,C37/C$34)</f>
        <v>0.76812450766335305</v>
      </c>
      <c r="D129" s="140">
        <f t="shared" si="109"/>
        <v>0.77567080294185364</v>
      </c>
      <c r="E129" s="140">
        <f t="shared" si="109"/>
        <v>0.76443923734442609</v>
      </c>
      <c r="F129" s="140">
        <f t="shared" si="109"/>
        <v>0.76638044524317472</v>
      </c>
      <c r="G129" s="140">
        <f t="shared" si="109"/>
        <v>0.75450521002070714</v>
      </c>
      <c r="H129" s="140">
        <f t="shared" si="109"/>
        <v>0.75756253488298841</v>
      </c>
      <c r="I129" s="140">
        <f t="shared" si="109"/>
        <v>0.75643217947133945</v>
      </c>
      <c r="J129" s="140">
        <f t="shared" si="109"/>
        <v>0.7545972405278939</v>
      </c>
      <c r="K129" s="140">
        <f t="shared" si="109"/>
        <v>0.76596409640158281</v>
      </c>
      <c r="L129" s="140">
        <f t="shared" si="109"/>
        <v>0.75374619535327181</v>
      </c>
      <c r="M129" s="140">
        <f t="shared" si="109"/>
        <v>0.74556959880355833</v>
      </c>
      <c r="N129" s="140">
        <f t="shared" si="109"/>
        <v>0.7376676987730395</v>
      </c>
      <c r="O129" s="140">
        <f t="shared" si="109"/>
        <v>0.74819781111023509</v>
      </c>
      <c r="P129" s="140">
        <f t="shared" si="109"/>
        <v>0.75889723272055976</v>
      </c>
      <c r="Q129" s="140">
        <f t="shared" si="109"/>
        <v>0.75599036327872304</v>
      </c>
      <c r="R129" s="140">
        <f t="shared" si="109"/>
        <v>0.75285268493135593</v>
      </c>
      <c r="S129" s="140">
        <f t="shared" si="109"/>
        <v>0.74686936416127869</v>
      </c>
      <c r="T129" s="140">
        <f t="shared" si="109"/>
        <v>0.7368941730917643</v>
      </c>
      <c r="U129" s="140">
        <f t="shared" si="109"/>
        <v>0.72988900993411532</v>
      </c>
      <c r="V129" s="140">
        <f t="shared" si="109"/>
        <v>0.77360124140942066</v>
      </c>
      <c r="W129" s="140">
        <f t="shared" si="109"/>
        <v>0.78835332241780109</v>
      </c>
      <c r="X129" s="140">
        <f t="shared" si="109"/>
        <v>0.75244440112935729</v>
      </c>
      <c r="Y129" s="140">
        <f t="shared" si="109"/>
        <v>0.73267300370030453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6.8901906025758339E-2</v>
      </c>
      <c r="C130" s="140">
        <f t="shared" ref="C130:Y130" si="110">IF(C38=0,0,C38/C$34)</f>
        <v>6.9241486768963176E-2</v>
      </c>
      <c r="D130" s="140">
        <f t="shared" si="110"/>
        <v>6.8332751704201319E-2</v>
      </c>
      <c r="E130" s="140">
        <f t="shared" si="110"/>
        <v>6.7782258795173925E-2</v>
      </c>
      <c r="F130" s="140">
        <f t="shared" si="110"/>
        <v>6.7787900514782853E-2</v>
      </c>
      <c r="G130" s="140">
        <f t="shared" si="110"/>
        <v>7.0244738857091163E-2</v>
      </c>
      <c r="H130" s="140">
        <f t="shared" si="110"/>
        <v>6.8554858461817331E-2</v>
      </c>
      <c r="I130" s="140">
        <f t="shared" si="110"/>
        <v>6.8323341409919164E-2</v>
      </c>
      <c r="J130" s="140">
        <f t="shared" si="110"/>
        <v>7.0202415539163149E-2</v>
      </c>
      <c r="K130" s="140">
        <f t="shared" si="110"/>
        <v>7.0834716779813872E-2</v>
      </c>
      <c r="L130" s="140">
        <f t="shared" si="110"/>
        <v>7.350120891209172E-2</v>
      </c>
      <c r="M130" s="140">
        <f t="shared" si="110"/>
        <v>7.6541196682865353E-2</v>
      </c>
      <c r="N130" s="140">
        <f t="shared" si="110"/>
        <v>7.8757497931740292E-2</v>
      </c>
      <c r="O130" s="140">
        <f t="shared" si="110"/>
        <v>7.7384201990814208E-2</v>
      </c>
      <c r="P130" s="140">
        <f t="shared" si="110"/>
        <v>7.419013603604345E-2</v>
      </c>
      <c r="Q130" s="140">
        <f t="shared" si="110"/>
        <v>7.5243563300100319E-2</v>
      </c>
      <c r="R130" s="140">
        <f t="shared" si="110"/>
        <v>7.398678783217276E-2</v>
      </c>
      <c r="S130" s="140">
        <f t="shared" si="110"/>
        <v>7.5029391364733203E-2</v>
      </c>
      <c r="T130" s="140">
        <f t="shared" si="110"/>
        <v>7.2139035826008197E-2</v>
      </c>
      <c r="U130" s="140">
        <f t="shared" si="110"/>
        <v>7.4170687797434243E-2</v>
      </c>
      <c r="V130" s="140">
        <f t="shared" si="110"/>
        <v>9.9811280143367792E-2</v>
      </c>
      <c r="W130" s="140">
        <f t="shared" si="110"/>
        <v>8.9408234139474768E-2</v>
      </c>
      <c r="X130" s="140">
        <f t="shared" si="110"/>
        <v>7.8313198374557774E-2</v>
      </c>
      <c r="Y130" s="140">
        <f t="shared" si="110"/>
        <v>7.1912111519587804E-2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1.4762010048367354E-2</v>
      </c>
      <c r="C131" s="124">
        <f t="shared" ref="C131:Y131" si="111">IF(C39=0,0,C39/C$34)</f>
        <v>1.4105378784456347E-2</v>
      </c>
      <c r="D131" s="124">
        <f t="shared" si="111"/>
        <v>1.4154137577121421E-2</v>
      </c>
      <c r="E131" s="124">
        <f t="shared" si="111"/>
        <v>1.4561607061312454E-2</v>
      </c>
      <c r="F131" s="124">
        <f t="shared" si="111"/>
        <v>1.3540541813887032E-2</v>
      </c>
      <c r="G131" s="124">
        <f t="shared" si="111"/>
        <v>1.3793271431467568E-2</v>
      </c>
      <c r="H131" s="124">
        <f t="shared" si="111"/>
        <v>1.3045497832513459E-2</v>
      </c>
      <c r="I131" s="124">
        <f t="shared" si="111"/>
        <v>1.2800028928043498E-2</v>
      </c>
      <c r="J131" s="124">
        <f t="shared" si="111"/>
        <v>1.2413822144744437E-2</v>
      </c>
      <c r="K131" s="124">
        <f t="shared" si="111"/>
        <v>1.275900131679151E-2</v>
      </c>
      <c r="L131" s="124">
        <f t="shared" si="111"/>
        <v>1.3454143281337814E-2</v>
      </c>
      <c r="M131" s="124">
        <f t="shared" si="111"/>
        <v>1.3247583941481225E-2</v>
      </c>
      <c r="N131" s="124">
        <f t="shared" si="111"/>
        <v>1.4720654511526154E-2</v>
      </c>
      <c r="O131" s="124">
        <f t="shared" si="111"/>
        <v>1.4620460375885823E-2</v>
      </c>
      <c r="P131" s="124">
        <f t="shared" si="111"/>
        <v>1.3140588475176886E-2</v>
      </c>
      <c r="Q131" s="124">
        <f t="shared" si="111"/>
        <v>1.35191068427055E-2</v>
      </c>
      <c r="R131" s="124">
        <f t="shared" si="111"/>
        <v>1.3963758156143737E-2</v>
      </c>
      <c r="S131" s="124">
        <f t="shared" si="111"/>
        <v>1.4761014840314821E-2</v>
      </c>
      <c r="T131" s="124">
        <f t="shared" si="111"/>
        <v>1.5386798229440462E-2</v>
      </c>
      <c r="U131" s="124">
        <f t="shared" si="111"/>
        <v>1.4661379675816308E-2</v>
      </c>
      <c r="V131" s="124">
        <f t="shared" si="111"/>
        <v>1.6883247029487732E-2</v>
      </c>
      <c r="W131" s="124">
        <f t="shared" si="111"/>
        <v>1.5387215390499019E-2</v>
      </c>
      <c r="X131" s="124">
        <f t="shared" si="111"/>
        <v>1.4544841948199189E-2</v>
      </c>
      <c r="Y131" s="124">
        <f t="shared" si="111"/>
        <v>1.4773645311727963E-2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7.8899277829262823E-4</v>
      </c>
      <c r="C132" s="140">
        <f t="shared" ref="C132:Y132" si="112">IF(C40=0,0,C40/C$34)</f>
        <v>7.8466871894786422E-4</v>
      </c>
      <c r="D132" s="140">
        <f t="shared" si="112"/>
        <v>7.959567159358436E-4</v>
      </c>
      <c r="E132" s="140">
        <f t="shared" si="112"/>
        <v>8.0544564514546733E-4</v>
      </c>
      <c r="F132" s="140">
        <f t="shared" si="112"/>
        <v>8.2167762931544344E-4</v>
      </c>
      <c r="G132" s="140">
        <f t="shared" si="112"/>
        <v>8.4364578662980629E-4</v>
      </c>
      <c r="H132" s="140">
        <f t="shared" si="112"/>
        <v>8.3040720494568425E-4</v>
      </c>
      <c r="I132" s="140">
        <f t="shared" si="112"/>
        <v>8.890341149308356E-4</v>
      </c>
      <c r="J132" s="140">
        <f t="shared" si="112"/>
        <v>9.1444053204936288E-4</v>
      </c>
      <c r="K132" s="140">
        <f t="shared" si="112"/>
        <v>9.3165363924852603E-4</v>
      </c>
      <c r="L132" s="140">
        <f t="shared" si="112"/>
        <v>9.5225074835040549E-4</v>
      </c>
      <c r="M132" s="140">
        <f t="shared" si="112"/>
        <v>9.514538738350358E-4</v>
      </c>
      <c r="N132" s="140">
        <f t="shared" si="112"/>
        <v>9.2153526064298595E-4</v>
      </c>
      <c r="O132" s="140">
        <f t="shared" si="112"/>
        <v>8.9790685822503701E-4</v>
      </c>
      <c r="P132" s="140">
        <f t="shared" si="112"/>
        <v>8.3993346048218316E-4</v>
      </c>
      <c r="Q132" s="140">
        <f t="shared" si="112"/>
        <v>8.2827380209188849E-4</v>
      </c>
      <c r="R132" s="140">
        <f t="shared" si="112"/>
        <v>8.2751282253738974E-4</v>
      </c>
      <c r="S132" s="140">
        <f t="shared" si="112"/>
        <v>8.5760703185530347E-4</v>
      </c>
      <c r="T132" s="140">
        <f t="shared" si="112"/>
        <v>8.333804631635341E-4</v>
      </c>
      <c r="U132" s="140">
        <f t="shared" si="112"/>
        <v>8.5439303254507086E-4</v>
      </c>
      <c r="V132" s="140">
        <f t="shared" si="112"/>
        <v>9.6398731877889285E-4</v>
      </c>
      <c r="W132" s="140">
        <f t="shared" si="112"/>
        <v>8.9080403222025037E-4</v>
      </c>
      <c r="X132" s="140">
        <f t="shared" si="112"/>
        <v>1.0530980187610467E-3</v>
      </c>
      <c r="Y132" s="140">
        <f t="shared" si="112"/>
        <v>6.2415191190301022E-4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1.289500040543559E-2</v>
      </c>
      <c r="C133" s="140">
        <f t="shared" ref="C133:Y133" si="113">IF(C41=0,0,C41/C$34)</f>
        <v>1.1900007385762138E-2</v>
      </c>
      <c r="D133" s="140">
        <f t="shared" si="113"/>
        <v>1.1916855352188099E-2</v>
      </c>
      <c r="E133" s="140">
        <f t="shared" si="113"/>
        <v>1.2295079411669671E-2</v>
      </c>
      <c r="F133" s="140">
        <f t="shared" si="113"/>
        <v>1.122754153843649E-2</v>
      </c>
      <c r="G133" s="140">
        <f t="shared" si="113"/>
        <v>1.1391466133271796E-2</v>
      </c>
      <c r="H133" s="140">
        <f t="shared" si="113"/>
        <v>1.0708509004073608E-2</v>
      </c>
      <c r="I133" s="140">
        <f t="shared" si="113"/>
        <v>1.0510818833822353E-2</v>
      </c>
      <c r="J133" s="140">
        <f t="shared" si="113"/>
        <v>1.0045828639651803E-2</v>
      </c>
      <c r="K133" s="140">
        <f t="shared" si="113"/>
        <v>1.00332052942484E-2</v>
      </c>
      <c r="L133" s="140">
        <f t="shared" si="113"/>
        <v>1.0519819070227395E-2</v>
      </c>
      <c r="M133" s="140">
        <f t="shared" si="113"/>
        <v>1.0199728356841159E-2</v>
      </c>
      <c r="N133" s="140">
        <f t="shared" si="113"/>
        <v>1.1568026061534144E-2</v>
      </c>
      <c r="O133" s="140">
        <f t="shared" si="113"/>
        <v>1.1563675713993452E-2</v>
      </c>
      <c r="P133" s="140">
        <f t="shared" si="113"/>
        <v>1.0295964634796269E-2</v>
      </c>
      <c r="Q133" s="140">
        <f t="shared" si="113"/>
        <v>1.0725740463295724E-2</v>
      </c>
      <c r="R133" s="140">
        <f t="shared" si="113"/>
        <v>1.1198494586767596E-2</v>
      </c>
      <c r="S133" s="140">
        <f t="shared" si="113"/>
        <v>1.1965333737763675E-2</v>
      </c>
      <c r="T133" s="140">
        <f t="shared" si="113"/>
        <v>1.2653486750874542E-2</v>
      </c>
      <c r="U133" s="140">
        <f t="shared" si="113"/>
        <v>1.178384831536685E-2</v>
      </c>
      <c r="V133" s="140">
        <f t="shared" si="113"/>
        <v>1.3364630247699013E-2</v>
      </c>
      <c r="W133" s="140">
        <f t="shared" si="113"/>
        <v>1.208971302470273E-2</v>
      </c>
      <c r="X133" s="140">
        <f t="shared" si="113"/>
        <v>1.1431985929165063E-2</v>
      </c>
      <c r="Y133" s="140">
        <f t="shared" si="113"/>
        <v>1.2252432790580036E-2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1.078016864639135E-3</v>
      </c>
      <c r="C134" s="140">
        <f t="shared" ref="C134:Y134" si="114">IF(C42=0,0,C42/C$34)</f>
        <v>1.4207026797463467E-3</v>
      </c>
      <c r="D134" s="140">
        <f t="shared" si="114"/>
        <v>1.4413255089974772E-3</v>
      </c>
      <c r="E134" s="140">
        <f t="shared" si="114"/>
        <v>1.4610820044973175E-3</v>
      </c>
      <c r="F134" s="140">
        <f t="shared" si="114"/>
        <v>1.4913226461350996E-3</v>
      </c>
      <c r="G134" s="140">
        <f t="shared" si="114"/>
        <v>1.5581595115659664E-3</v>
      </c>
      <c r="H134" s="140">
        <f t="shared" si="114"/>
        <v>1.5065816234941676E-3</v>
      </c>
      <c r="I134" s="140">
        <f t="shared" si="114"/>
        <v>1.4001759792903088E-3</v>
      </c>
      <c r="J134" s="140">
        <f t="shared" si="114"/>
        <v>1.4535529730432715E-3</v>
      </c>
      <c r="K134" s="140">
        <f t="shared" si="114"/>
        <v>1.7941423832945839E-3</v>
      </c>
      <c r="L134" s="140">
        <f t="shared" si="114"/>
        <v>1.9820734627600143E-3</v>
      </c>
      <c r="M134" s="140">
        <f t="shared" si="114"/>
        <v>2.0964017108050315E-3</v>
      </c>
      <c r="N134" s="140">
        <f t="shared" si="114"/>
        <v>2.2310931893490234E-3</v>
      </c>
      <c r="O134" s="140">
        <f t="shared" si="114"/>
        <v>2.1588778036673328E-3</v>
      </c>
      <c r="P134" s="140">
        <f t="shared" si="114"/>
        <v>2.0046903798984364E-3</v>
      </c>
      <c r="Q134" s="140">
        <f t="shared" si="114"/>
        <v>1.9650925773178883E-3</v>
      </c>
      <c r="R134" s="140">
        <f t="shared" si="114"/>
        <v>1.9377507468387499E-3</v>
      </c>
      <c r="S134" s="140">
        <f t="shared" si="114"/>
        <v>1.9380740706958423E-3</v>
      </c>
      <c r="T134" s="140">
        <f t="shared" si="114"/>
        <v>1.8999310154023869E-3</v>
      </c>
      <c r="U134" s="140">
        <f t="shared" si="114"/>
        <v>2.0231383279043858E-3</v>
      </c>
      <c r="V134" s="140">
        <f t="shared" si="114"/>
        <v>2.5546294630098268E-3</v>
      </c>
      <c r="W134" s="140">
        <f t="shared" si="114"/>
        <v>2.4066983335760406E-3</v>
      </c>
      <c r="X134" s="140">
        <f t="shared" si="114"/>
        <v>2.0597580002730815E-3</v>
      </c>
      <c r="Y134" s="140">
        <f t="shared" si="114"/>
        <v>1.8970606092449159E-3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0.10782836880959297</v>
      </c>
      <c r="C135" s="124">
        <f t="shared" ref="C135:Y135" si="115">IF(C43=0,0,C43/C$34)</f>
        <v>0.10147668554535723</v>
      </c>
      <c r="D135" s="124">
        <f t="shared" si="115"/>
        <v>9.6595755718796417E-2</v>
      </c>
      <c r="E135" s="124">
        <f t="shared" si="115"/>
        <v>0.10796542559828454</v>
      </c>
      <c r="F135" s="124">
        <f t="shared" si="115"/>
        <v>0.10611438645688742</v>
      </c>
      <c r="G135" s="124">
        <f t="shared" si="115"/>
        <v>0.1139575133750079</v>
      </c>
      <c r="H135" s="124">
        <f t="shared" si="115"/>
        <v>0.11771348493374174</v>
      </c>
      <c r="I135" s="124">
        <f t="shared" si="115"/>
        <v>0.1247025154968175</v>
      </c>
      <c r="J135" s="124">
        <f t="shared" si="115"/>
        <v>0.12287394031471201</v>
      </c>
      <c r="K135" s="124">
        <f t="shared" si="115"/>
        <v>0.11344076046107678</v>
      </c>
      <c r="L135" s="124">
        <f t="shared" si="115"/>
        <v>0.12116397644323881</v>
      </c>
      <c r="M135" s="124">
        <f t="shared" si="115"/>
        <v>0.12532878863351093</v>
      </c>
      <c r="N135" s="124">
        <f t="shared" si="115"/>
        <v>0.12882379851175393</v>
      </c>
      <c r="O135" s="124">
        <f t="shared" si="115"/>
        <v>0.12210214205940921</v>
      </c>
      <c r="P135" s="124">
        <f t="shared" si="115"/>
        <v>0.11771168885990559</v>
      </c>
      <c r="Q135" s="124">
        <f t="shared" si="115"/>
        <v>0.12006346177040045</v>
      </c>
      <c r="R135" s="124">
        <f t="shared" si="115"/>
        <v>0.12376993533926675</v>
      </c>
      <c r="S135" s="124">
        <f t="shared" si="115"/>
        <v>0.13003986475388379</v>
      </c>
      <c r="T135" s="124">
        <f t="shared" si="115"/>
        <v>0.14453057244132692</v>
      </c>
      <c r="U135" s="124">
        <f t="shared" si="115"/>
        <v>0.1481513386496256</v>
      </c>
      <c r="V135" s="124">
        <f t="shared" si="115"/>
        <v>6.9832303465326359E-2</v>
      </c>
      <c r="W135" s="124">
        <f t="shared" si="115"/>
        <v>6.9892059496905107E-2</v>
      </c>
      <c r="X135" s="124">
        <f t="shared" si="115"/>
        <v>0.12055976641276601</v>
      </c>
      <c r="Y135" s="124">
        <f t="shared" si="115"/>
        <v>0.14578594776953485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2.1401693967754463E-2</v>
      </c>
      <c r="C136" s="140">
        <f t="shared" ref="C136:Y136" si="116">IF(C44=0,0,C44/C$34)</f>
        <v>1.9455278442612269E-2</v>
      </c>
      <c r="D136" s="140">
        <f t="shared" si="116"/>
        <v>1.9183699506352386E-2</v>
      </c>
      <c r="E136" s="140">
        <f t="shared" si="116"/>
        <v>2.1486182809837339E-2</v>
      </c>
      <c r="F136" s="140">
        <f t="shared" si="116"/>
        <v>2.108719184737589E-2</v>
      </c>
      <c r="G136" s="140">
        <f t="shared" si="116"/>
        <v>2.2763735856032495E-2</v>
      </c>
      <c r="H136" s="140">
        <f t="shared" si="116"/>
        <v>2.3634969295869921E-2</v>
      </c>
      <c r="I136" s="140">
        <f t="shared" si="116"/>
        <v>2.5053196015999517E-2</v>
      </c>
      <c r="J136" s="140">
        <f t="shared" si="116"/>
        <v>2.4482890398310826E-2</v>
      </c>
      <c r="K136" s="140">
        <f t="shared" si="116"/>
        <v>2.1932080331262534E-2</v>
      </c>
      <c r="L136" s="140">
        <f t="shared" si="116"/>
        <v>2.3258813103042338E-2</v>
      </c>
      <c r="M136" s="140">
        <f t="shared" si="116"/>
        <v>2.374040776413433E-2</v>
      </c>
      <c r="N136" s="140">
        <f t="shared" si="116"/>
        <v>2.4209330702200091E-2</v>
      </c>
      <c r="O136" s="140">
        <f t="shared" si="116"/>
        <v>2.3582470882724662E-2</v>
      </c>
      <c r="P136" s="140">
        <f t="shared" si="116"/>
        <v>2.1285137697093021E-2</v>
      </c>
      <c r="Q136" s="140">
        <f t="shared" si="116"/>
        <v>2.2744316656675923E-2</v>
      </c>
      <c r="R136" s="140">
        <f t="shared" si="116"/>
        <v>2.3029016621328415E-2</v>
      </c>
      <c r="S136" s="140">
        <f t="shared" si="116"/>
        <v>2.5445666760094656E-2</v>
      </c>
      <c r="T136" s="140">
        <f t="shared" si="116"/>
        <v>2.8206729258980687E-2</v>
      </c>
      <c r="U136" s="140">
        <f t="shared" si="116"/>
        <v>2.8757162418472544E-2</v>
      </c>
      <c r="V136" s="140">
        <f t="shared" si="116"/>
        <v>1.4945205732045469E-2</v>
      </c>
      <c r="W136" s="140">
        <f t="shared" si="116"/>
        <v>1.7812763059556272E-2</v>
      </c>
      <c r="X136" s="140">
        <f t="shared" si="116"/>
        <v>2.8266340390475288E-2</v>
      </c>
      <c r="Y136" s="140">
        <f t="shared" si="116"/>
        <v>3.3237427460825704E-2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4.0453410528887838E-2</v>
      </c>
      <c r="C137" s="140">
        <f t="shared" ref="C137:Y137" si="117">IF(C45=0,0,C45/C$34)</f>
        <v>3.839144019441143E-2</v>
      </c>
      <c r="D137" s="140">
        <f t="shared" si="117"/>
        <v>3.6233677189361428E-2</v>
      </c>
      <c r="E137" s="140">
        <f t="shared" si="117"/>
        <v>4.1987770543122145E-2</v>
      </c>
      <c r="F137" s="140">
        <f t="shared" si="117"/>
        <v>3.876334560185328E-2</v>
      </c>
      <c r="G137" s="140">
        <f t="shared" si="117"/>
        <v>4.2147759171834276E-2</v>
      </c>
      <c r="H137" s="140">
        <f t="shared" si="117"/>
        <v>4.3710116479845691E-2</v>
      </c>
      <c r="I137" s="140">
        <f t="shared" si="117"/>
        <v>4.7373789075961611E-2</v>
      </c>
      <c r="J137" s="140">
        <f t="shared" si="117"/>
        <v>4.5749703549361129E-2</v>
      </c>
      <c r="K137" s="140">
        <f t="shared" si="117"/>
        <v>4.1210176324571857E-2</v>
      </c>
      <c r="L137" s="140">
        <f t="shared" si="117"/>
        <v>4.3786420919064241E-2</v>
      </c>
      <c r="M137" s="140">
        <f t="shared" si="117"/>
        <v>4.5466099423551565E-2</v>
      </c>
      <c r="N137" s="140">
        <f t="shared" si="117"/>
        <v>4.655305081251996E-2</v>
      </c>
      <c r="O137" s="140">
        <f t="shared" si="117"/>
        <v>4.3653917445120129E-2</v>
      </c>
      <c r="P137" s="140">
        <f t="shared" si="117"/>
        <v>4.3117023968672584E-2</v>
      </c>
      <c r="Q137" s="140">
        <f t="shared" si="117"/>
        <v>4.3867280978090527E-2</v>
      </c>
      <c r="R137" s="140">
        <f t="shared" si="117"/>
        <v>4.7316029237017831E-2</v>
      </c>
      <c r="S137" s="140">
        <f t="shared" si="117"/>
        <v>5.0172212099454369E-2</v>
      </c>
      <c r="T137" s="140">
        <f t="shared" si="117"/>
        <v>5.5678392820787161E-2</v>
      </c>
      <c r="U137" s="140">
        <f t="shared" si="117"/>
        <v>5.5904600286252666E-2</v>
      </c>
      <c r="V137" s="140">
        <f t="shared" si="117"/>
        <v>2.1226450745231225E-2</v>
      </c>
      <c r="W137" s="140">
        <f t="shared" si="117"/>
        <v>2.1858888712359824E-2</v>
      </c>
      <c r="X137" s="140">
        <f t="shared" si="117"/>
        <v>4.5121127604984226E-2</v>
      </c>
      <c r="Y137" s="140">
        <f t="shared" si="117"/>
        <v>5.4182652434058481E-2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4.5973264312950672E-2</v>
      </c>
      <c r="C138" s="140">
        <f t="shared" ref="C138:Y138" si="118">IF(C46=0,0,C46/C$34)</f>
        <v>4.362996690833354E-2</v>
      </c>
      <c r="D138" s="140">
        <f t="shared" si="118"/>
        <v>4.1178379023082606E-2</v>
      </c>
      <c r="E138" s="140">
        <f t="shared" si="118"/>
        <v>4.4491472245325056E-2</v>
      </c>
      <c r="F138" s="140">
        <f t="shared" si="118"/>
        <v>4.6263849007658266E-2</v>
      </c>
      <c r="G138" s="140">
        <f t="shared" si="118"/>
        <v>4.9046018347141111E-2</v>
      </c>
      <c r="H138" s="140">
        <f t="shared" si="118"/>
        <v>5.0368399158026135E-2</v>
      </c>
      <c r="I138" s="140">
        <f t="shared" si="118"/>
        <v>5.2275530404856371E-2</v>
      </c>
      <c r="J138" s="140">
        <f t="shared" si="118"/>
        <v>5.2641346367040064E-2</v>
      </c>
      <c r="K138" s="140">
        <f t="shared" si="118"/>
        <v>5.0298503805242381E-2</v>
      </c>
      <c r="L138" s="140">
        <f t="shared" si="118"/>
        <v>5.4118742421132217E-2</v>
      </c>
      <c r="M138" s="140">
        <f t="shared" si="118"/>
        <v>5.6122281445825033E-2</v>
      </c>
      <c r="N138" s="140">
        <f t="shared" si="118"/>
        <v>5.806141699703387E-2</v>
      </c>
      <c r="O138" s="140">
        <f t="shared" si="118"/>
        <v>5.4865753731564437E-2</v>
      </c>
      <c r="P138" s="140">
        <f t="shared" si="118"/>
        <v>5.3309527194139984E-2</v>
      </c>
      <c r="Q138" s="140">
        <f t="shared" si="118"/>
        <v>5.3451864135634006E-2</v>
      </c>
      <c r="R138" s="140">
        <f t="shared" si="118"/>
        <v>5.3424889480920508E-2</v>
      </c>
      <c r="S138" s="140">
        <f t="shared" si="118"/>
        <v>5.4421985894334765E-2</v>
      </c>
      <c r="T138" s="140">
        <f t="shared" si="118"/>
        <v>6.0645450361559071E-2</v>
      </c>
      <c r="U138" s="140">
        <f t="shared" si="118"/>
        <v>6.34895759449004E-2</v>
      </c>
      <c r="V138" s="140">
        <f t="shared" si="118"/>
        <v>3.3660646988049665E-2</v>
      </c>
      <c r="W138" s="140">
        <f t="shared" si="118"/>
        <v>3.0220407724989021E-2</v>
      </c>
      <c r="X138" s="140">
        <f t="shared" si="118"/>
        <v>4.7172298417306503E-2</v>
      </c>
      <c r="Y138" s="140">
        <f t="shared" si="118"/>
        <v>5.8365867874650687E-2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0.86659356271649612</v>
      </c>
      <c r="C140" s="139">
        <f t="shared" ref="C140:Y140" si="121">IF(C48=0,0,C48/C$47)</f>
        <v>0.87665151286686194</v>
      </c>
      <c r="D140" s="139">
        <f t="shared" si="121"/>
        <v>0.87052949405324387</v>
      </c>
      <c r="E140" s="139">
        <f t="shared" si="121"/>
        <v>0.86497294178816453</v>
      </c>
      <c r="F140" s="139">
        <f t="shared" si="121"/>
        <v>0.87077696305193097</v>
      </c>
      <c r="G140" s="139">
        <f t="shared" si="121"/>
        <v>0.87780039440067903</v>
      </c>
      <c r="H140" s="139">
        <f t="shared" si="121"/>
        <v>0.87064026997434729</v>
      </c>
      <c r="I140" s="139">
        <f t="shared" si="121"/>
        <v>0.87542135938378685</v>
      </c>
      <c r="J140" s="139">
        <f t="shared" si="121"/>
        <v>0.85883035719885537</v>
      </c>
      <c r="K140" s="139">
        <f t="shared" si="121"/>
        <v>0.86727511877069363</v>
      </c>
      <c r="L140" s="139">
        <f t="shared" si="121"/>
        <v>0.87258358133275082</v>
      </c>
      <c r="M140" s="139">
        <f t="shared" si="121"/>
        <v>0.88005382889566675</v>
      </c>
      <c r="N140" s="139">
        <f t="shared" si="121"/>
        <v>0.8877922631691878</v>
      </c>
      <c r="O140" s="139">
        <f t="shared" si="121"/>
        <v>0.86913812482652109</v>
      </c>
      <c r="P140" s="139">
        <f t="shared" si="121"/>
        <v>0.8713575752318391</v>
      </c>
      <c r="Q140" s="139">
        <f t="shared" si="121"/>
        <v>0.85885753933112086</v>
      </c>
      <c r="R140" s="139">
        <f t="shared" si="121"/>
        <v>0.84236588402709456</v>
      </c>
      <c r="S140" s="139">
        <f t="shared" si="121"/>
        <v>0.8283309756302607</v>
      </c>
      <c r="T140" s="139">
        <f t="shared" si="121"/>
        <v>0.87942769157360312</v>
      </c>
      <c r="U140" s="139">
        <f t="shared" si="121"/>
        <v>0.88457541081286772</v>
      </c>
      <c r="V140" s="139">
        <f t="shared" si="121"/>
        <v>0.87832034731351916</v>
      </c>
      <c r="W140" s="139">
        <f t="shared" si="121"/>
        <v>0.90742033294945013</v>
      </c>
      <c r="X140" s="139">
        <f t="shared" si="121"/>
        <v>0.92014148314361266</v>
      </c>
      <c r="Y140" s="139">
        <f t="shared" si="121"/>
        <v>0.91740935040574623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0.64348632736172839</v>
      </c>
      <c r="C141" s="140">
        <f t="shared" ref="C141:Y141" si="122">IF(C49=0,0,C49/C$47)</f>
        <v>0.55830382688384339</v>
      </c>
      <c r="D141" s="140">
        <f t="shared" si="122"/>
        <v>0.55187720451746169</v>
      </c>
      <c r="E141" s="140">
        <f t="shared" si="122"/>
        <v>0.56344976687491133</v>
      </c>
      <c r="F141" s="140">
        <f t="shared" si="122"/>
        <v>0.56491849828482155</v>
      </c>
      <c r="G141" s="140">
        <f t="shared" si="122"/>
        <v>0.57262070032213219</v>
      </c>
      <c r="H141" s="140">
        <f t="shared" si="122"/>
        <v>0.51146751768175247</v>
      </c>
      <c r="I141" s="140">
        <f t="shared" si="122"/>
        <v>0.52826849824861088</v>
      </c>
      <c r="J141" s="140">
        <f t="shared" si="122"/>
        <v>0.56427896307715009</v>
      </c>
      <c r="K141" s="140">
        <f t="shared" si="122"/>
        <v>0.61834387620773568</v>
      </c>
      <c r="L141" s="140">
        <f t="shared" si="122"/>
        <v>0.64251468643014487</v>
      </c>
      <c r="M141" s="140">
        <f t="shared" si="122"/>
        <v>0.63503929271501558</v>
      </c>
      <c r="N141" s="140">
        <f t="shared" si="122"/>
        <v>0.58086831354973767</v>
      </c>
      <c r="O141" s="140">
        <f t="shared" si="122"/>
        <v>0.58118294373504664</v>
      </c>
      <c r="P141" s="140">
        <f t="shared" si="122"/>
        <v>0.59096002399045267</v>
      </c>
      <c r="Q141" s="140">
        <f t="shared" si="122"/>
        <v>0.52063263677338711</v>
      </c>
      <c r="R141" s="140">
        <f t="shared" si="122"/>
        <v>0.52549854188431666</v>
      </c>
      <c r="S141" s="140">
        <f t="shared" si="122"/>
        <v>0.60541822713574245</v>
      </c>
      <c r="T141" s="140">
        <f t="shared" si="122"/>
        <v>0.54666516961215239</v>
      </c>
      <c r="U141" s="140">
        <f t="shared" si="122"/>
        <v>0.55108135544494885</v>
      </c>
      <c r="V141" s="140">
        <f t="shared" si="122"/>
        <v>0.58698463278119861</v>
      </c>
      <c r="W141" s="140">
        <f t="shared" si="122"/>
        <v>0.52349526756964682</v>
      </c>
      <c r="X141" s="140">
        <f t="shared" si="122"/>
        <v>0.42598102575414809</v>
      </c>
      <c r="Y141" s="140">
        <f t="shared" si="122"/>
        <v>0.40081142071743803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0.22310723535476776</v>
      </c>
      <c r="C142" s="140">
        <f t="shared" ref="C142:Y142" si="123">IF(C50=0,0,C50/C$47)</f>
        <v>0.31834768598301844</v>
      </c>
      <c r="D142" s="140">
        <f t="shared" si="123"/>
        <v>0.31865228953578228</v>
      </c>
      <c r="E142" s="140">
        <f t="shared" si="123"/>
        <v>0.30152317491325314</v>
      </c>
      <c r="F142" s="140">
        <f t="shared" si="123"/>
        <v>0.30585846476710943</v>
      </c>
      <c r="G142" s="140">
        <f t="shared" si="123"/>
        <v>0.30517969407854689</v>
      </c>
      <c r="H142" s="140">
        <f t="shared" si="123"/>
        <v>0.35917275229259471</v>
      </c>
      <c r="I142" s="140">
        <f t="shared" si="123"/>
        <v>0.34715286113517602</v>
      </c>
      <c r="J142" s="140">
        <f t="shared" si="123"/>
        <v>0.29455139412170522</v>
      </c>
      <c r="K142" s="140">
        <f t="shared" si="123"/>
        <v>0.24893124256295796</v>
      </c>
      <c r="L142" s="140">
        <f t="shared" si="123"/>
        <v>0.23006889490260582</v>
      </c>
      <c r="M142" s="140">
        <f t="shared" si="123"/>
        <v>0.24501453618065111</v>
      </c>
      <c r="N142" s="140">
        <f t="shared" si="123"/>
        <v>0.30692394961945019</v>
      </c>
      <c r="O142" s="140">
        <f t="shared" si="123"/>
        <v>0.28795518109147439</v>
      </c>
      <c r="P142" s="140">
        <f t="shared" si="123"/>
        <v>0.28039755124138654</v>
      </c>
      <c r="Q142" s="140">
        <f t="shared" si="123"/>
        <v>0.33822490255773374</v>
      </c>
      <c r="R142" s="140">
        <f t="shared" si="123"/>
        <v>0.31686734214277795</v>
      </c>
      <c r="S142" s="140">
        <f t="shared" si="123"/>
        <v>0.22291274849451817</v>
      </c>
      <c r="T142" s="140">
        <f t="shared" si="123"/>
        <v>0.33276252196145067</v>
      </c>
      <c r="U142" s="140">
        <f t="shared" si="123"/>
        <v>0.33349405536791887</v>
      </c>
      <c r="V142" s="140">
        <f t="shared" si="123"/>
        <v>0.29133571453232054</v>
      </c>
      <c r="W142" s="140">
        <f t="shared" si="123"/>
        <v>0.38392506537980331</v>
      </c>
      <c r="X142" s="140">
        <f t="shared" si="123"/>
        <v>0.49416045738946457</v>
      </c>
      <c r="Y142" s="140">
        <f t="shared" si="123"/>
        <v>0.5165979296883082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6.2532846114680919E-3</v>
      </c>
      <c r="C143" s="124">
        <f t="shared" ref="C143:Y143" si="124">IF(C51=0,0,C51/C$47)</f>
        <v>5.4744676695190828E-3</v>
      </c>
      <c r="D143" s="124">
        <f t="shared" si="124"/>
        <v>5.1680648863655781E-3</v>
      </c>
      <c r="E143" s="124">
        <f t="shared" si="124"/>
        <v>5.1433078499964454E-3</v>
      </c>
      <c r="F143" s="124">
        <f t="shared" si="124"/>
        <v>5.3782993358715845E-3</v>
      </c>
      <c r="G143" s="124">
        <f t="shared" si="124"/>
        <v>4.9364563899302483E-3</v>
      </c>
      <c r="H143" s="124">
        <f t="shared" si="124"/>
        <v>5.703280630844079E-3</v>
      </c>
      <c r="I143" s="124">
        <f t="shared" si="124"/>
        <v>5.830507493838415E-3</v>
      </c>
      <c r="J143" s="124">
        <f t="shared" si="124"/>
        <v>6.0395160309312385E-3</v>
      </c>
      <c r="K143" s="124">
        <f t="shared" si="124"/>
        <v>4.7014468887148298E-3</v>
      </c>
      <c r="L143" s="124">
        <f t="shared" si="124"/>
        <v>4.6696570085431131E-3</v>
      </c>
      <c r="M143" s="124">
        <f t="shared" si="124"/>
        <v>4.777213644468827E-3</v>
      </c>
      <c r="N143" s="124">
        <f t="shared" si="124"/>
        <v>5.1152684948224522E-3</v>
      </c>
      <c r="O143" s="124">
        <f t="shared" si="124"/>
        <v>5.6899989331718357E-3</v>
      </c>
      <c r="P143" s="124">
        <f t="shared" si="124"/>
        <v>5.4848234669521104E-3</v>
      </c>
      <c r="Q143" s="124">
        <f t="shared" si="124"/>
        <v>6.0306595904763161E-3</v>
      </c>
      <c r="R143" s="124">
        <f t="shared" si="124"/>
        <v>7.2437207059640072E-3</v>
      </c>
      <c r="S143" s="124">
        <f t="shared" si="124"/>
        <v>8.6549316275525649E-3</v>
      </c>
      <c r="T143" s="124">
        <f t="shared" si="124"/>
        <v>7.6680416420716081E-3</v>
      </c>
      <c r="U143" s="124">
        <f t="shared" si="124"/>
        <v>7.963600535223006E-3</v>
      </c>
      <c r="V143" s="124">
        <f t="shared" si="124"/>
        <v>8.5394615021158107E-3</v>
      </c>
      <c r="W143" s="124">
        <f t="shared" si="124"/>
        <v>8.4842342401780704E-3</v>
      </c>
      <c r="X143" s="124">
        <f t="shared" si="124"/>
        <v>7.3492550291287253E-3</v>
      </c>
      <c r="Y143" s="124">
        <f t="shared" si="124"/>
        <v>9.7294462725148328E-3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1.513867127625919E-2</v>
      </c>
      <c r="C144" s="124">
        <f t="shared" ref="C144:Y144" si="125">IF(C52=0,0,C52/C$47)</f>
        <v>5.9744737589198169E-3</v>
      </c>
      <c r="D144" s="124">
        <f t="shared" si="125"/>
        <v>1.3605616502742553E-2</v>
      </c>
      <c r="E144" s="124">
        <f t="shared" si="125"/>
        <v>1.4563767005264979E-2</v>
      </c>
      <c r="F144" s="124">
        <f t="shared" si="125"/>
        <v>1.3886526096027642E-2</v>
      </c>
      <c r="G144" s="124">
        <f t="shared" si="125"/>
        <v>1.4791879447589144E-2</v>
      </c>
      <c r="H144" s="124">
        <f t="shared" si="125"/>
        <v>1.7584224581326097E-2</v>
      </c>
      <c r="I144" s="124">
        <f t="shared" si="125"/>
        <v>1.8840078571450685E-2</v>
      </c>
      <c r="J144" s="124">
        <f t="shared" si="125"/>
        <v>1.8744640681886644E-2</v>
      </c>
      <c r="K144" s="124">
        <f t="shared" si="125"/>
        <v>1.7065687149027176E-2</v>
      </c>
      <c r="L144" s="124">
        <f t="shared" si="125"/>
        <v>2.0022804505563312E-2</v>
      </c>
      <c r="M144" s="124">
        <f t="shared" si="125"/>
        <v>1.9946386675093231E-2</v>
      </c>
      <c r="N144" s="124">
        <f t="shared" si="125"/>
        <v>1.6877852202088602E-2</v>
      </c>
      <c r="O144" s="124">
        <f t="shared" si="125"/>
        <v>2.0657149476571556E-2</v>
      </c>
      <c r="P144" s="124">
        <f t="shared" si="125"/>
        <v>2.0519000463156415E-2</v>
      </c>
      <c r="Q144" s="124">
        <f t="shared" si="125"/>
        <v>2.6199618314861631E-2</v>
      </c>
      <c r="R144" s="124">
        <f t="shared" si="125"/>
        <v>2.8608782486665509E-2</v>
      </c>
      <c r="S144" s="124">
        <f t="shared" si="125"/>
        <v>3.6341237759179933E-2</v>
      </c>
      <c r="T144" s="124">
        <f t="shared" si="125"/>
        <v>3.222938435300389E-2</v>
      </c>
      <c r="U144" s="124">
        <f t="shared" si="125"/>
        <v>3.1283996583341231E-2</v>
      </c>
      <c r="V144" s="124">
        <f t="shared" si="125"/>
        <v>3.6055188506947194E-2</v>
      </c>
      <c r="W144" s="124">
        <f t="shared" si="125"/>
        <v>2.8965123871730024E-2</v>
      </c>
      <c r="X144" s="124">
        <f t="shared" si="125"/>
        <v>2.2029895280446025E-2</v>
      </c>
      <c r="Y144" s="124">
        <f t="shared" si="125"/>
        <v>2.2668133941312448E-2</v>
      </c>
      <c r="DA144" s="176"/>
    </row>
    <row r="145" spans="1:105" ht="11.45" customHeight="1" x14ac:dyDescent="0.25">
      <c r="A145" s="128" t="s">
        <v>27</v>
      </c>
      <c r="B145" s="140">
        <f t="shared" si="119"/>
        <v>8.5582959880862997E-4</v>
      </c>
      <c r="C145" s="140">
        <f t="shared" ref="C145:Y145" si="126">IF(C53=0,0,C53/C$47)</f>
        <v>1.4731353664313304E-3</v>
      </c>
      <c r="D145" s="140">
        <f t="shared" si="126"/>
        <v>1.2449860532949405E-3</v>
      </c>
      <c r="E145" s="140">
        <f t="shared" si="126"/>
        <v>1.3305500128374139E-3</v>
      </c>
      <c r="F145" s="140">
        <f t="shared" si="126"/>
        <v>1.2609164775438388E-3</v>
      </c>
      <c r="G145" s="140">
        <f t="shared" si="126"/>
        <v>1.1895503154845605E-3</v>
      </c>
      <c r="H145" s="140">
        <f t="shared" si="126"/>
        <v>1.253862673154622E-3</v>
      </c>
      <c r="I145" s="140">
        <f t="shared" si="126"/>
        <v>1.2686261926216581E-3</v>
      </c>
      <c r="J145" s="140">
        <f t="shared" si="126"/>
        <v>1.2617348555925144E-3</v>
      </c>
      <c r="K145" s="140">
        <f t="shared" si="126"/>
        <v>1.1383933682665738E-3</v>
      </c>
      <c r="L145" s="140">
        <f t="shared" si="126"/>
        <v>1.1072739950255077E-3</v>
      </c>
      <c r="M145" s="140">
        <f t="shared" si="126"/>
        <v>9.5933219482126255E-4</v>
      </c>
      <c r="N145" s="140">
        <f t="shared" si="126"/>
        <v>8.2181264373637584E-4</v>
      </c>
      <c r="O145" s="140">
        <f t="shared" si="126"/>
        <v>9.6467293428265002E-4</v>
      </c>
      <c r="P145" s="140">
        <f t="shared" si="126"/>
        <v>8.5237066479699314E-4</v>
      </c>
      <c r="Q145" s="140">
        <f t="shared" si="126"/>
        <v>9.2839516301394039E-4</v>
      </c>
      <c r="R145" s="140">
        <f t="shared" si="126"/>
        <v>8.0837744935717472E-4</v>
      </c>
      <c r="S145" s="140">
        <f t="shared" si="126"/>
        <v>1.082193058723421E-3</v>
      </c>
      <c r="T145" s="140">
        <f t="shared" si="126"/>
        <v>1.0872763071082718E-3</v>
      </c>
      <c r="U145" s="140">
        <f t="shared" si="126"/>
        <v>1.0564330684077075E-3</v>
      </c>
      <c r="V145" s="140">
        <f t="shared" si="126"/>
        <v>8.806898091122204E-4</v>
      </c>
      <c r="W145" s="140">
        <f t="shared" si="126"/>
        <v>8.2434838446068445E-4</v>
      </c>
      <c r="X145" s="140">
        <f t="shared" si="126"/>
        <v>1.0305876209067465E-3</v>
      </c>
      <c r="Y145" s="140">
        <f t="shared" si="126"/>
        <v>1.187959402294006E-3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1.7978820905856087E-3</v>
      </c>
      <c r="C146" s="140">
        <f t="shared" ref="C146:Y146" si="127">IF(C54=0,0,C54/C$47)</f>
        <v>8.1394019223532215E-4</v>
      </c>
      <c r="D146" s="140">
        <f t="shared" si="127"/>
        <v>3.0071659166229386E-3</v>
      </c>
      <c r="E146" s="140">
        <f t="shared" si="127"/>
        <v>3.128609630868617E-3</v>
      </c>
      <c r="F146" s="140">
        <f t="shared" si="127"/>
        <v>3.2175103056119262E-3</v>
      </c>
      <c r="G146" s="140">
        <f t="shared" si="127"/>
        <v>3.1376705334819829E-3</v>
      </c>
      <c r="H146" s="140">
        <f t="shared" si="127"/>
        <v>3.5628288522103922E-3</v>
      </c>
      <c r="I146" s="140">
        <f t="shared" si="127"/>
        <v>3.730319545312887E-3</v>
      </c>
      <c r="J146" s="140">
        <f t="shared" si="127"/>
        <v>3.795745213970162E-3</v>
      </c>
      <c r="K146" s="140">
        <f t="shared" si="127"/>
        <v>3.7835704896380671E-3</v>
      </c>
      <c r="L146" s="140">
        <f t="shared" si="127"/>
        <v>3.4435798642020073E-3</v>
      </c>
      <c r="M146" s="140">
        <f t="shared" si="127"/>
        <v>3.0997320435168464E-3</v>
      </c>
      <c r="N146" s="140">
        <f t="shared" si="127"/>
        <v>2.9745661002167096E-3</v>
      </c>
      <c r="O146" s="140">
        <f t="shared" si="127"/>
        <v>3.3787488646397287E-3</v>
      </c>
      <c r="P146" s="140">
        <f t="shared" si="127"/>
        <v>3.0576127011861616E-3</v>
      </c>
      <c r="Q146" s="140">
        <f t="shared" si="127"/>
        <v>3.5285015128179429E-3</v>
      </c>
      <c r="R146" s="140">
        <f t="shared" si="127"/>
        <v>3.4824846464443834E-3</v>
      </c>
      <c r="S146" s="140">
        <f t="shared" si="127"/>
        <v>4.4590820481350789E-3</v>
      </c>
      <c r="T146" s="140">
        <f t="shared" si="127"/>
        <v>4.2535733308888572E-3</v>
      </c>
      <c r="U146" s="140">
        <f t="shared" si="127"/>
        <v>4.1386379332315395E-3</v>
      </c>
      <c r="V146" s="140">
        <f t="shared" si="127"/>
        <v>4.3323419145595825E-3</v>
      </c>
      <c r="W146" s="140">
        <f t="shared" si="127"/>
        <v>3.4691798601056744E-3</v>
      </c>
      <c r="X146" s="140">
        <f t="shared" si="127"/>
        <v>3.7463334939901003E-3</v>
      </c>
      <c r="Y146" s="140">
        <f t="shared" si="127"/>
        <v>4.0021810044986172E-3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1.2484959586864953E-2</v>
      </c>
      <c r="C147" s="140">
        <f t="shared" ref="C147:Y147" si="128">IF(C55=0,0,C55/C$47)</f>
        <v>3.687398200253164E-3</v>
      </c>
      <c r="D147" s="140">
        <f t="shared" si="128"/>
        <v>9.3534645328246756E-3</v>
      </c>
      <c r="E147" s="140">
        <f t="shared" si="128"/>
        <v>1.0104607361558951E-2</v>
      </c>
      <c r="F147" s="140">
        <f t="shared" si="128"/>
        <v>9.4080993128718773E-3</v>
      </c>
      <c r="G147" s="140">
        <f t="shared" si="128"/>
        <v>1.0464658598622599E-2</v>
      </c>
      <c r="H147" s="140">
        <f t="shared" si="128"/>
        <v>1.2767533055961082E-2</v>
      </c>
      <c r="I147" s="140">
        <f t="shared" si="128"/>
        <v>1.3841132833516137E-2</v>
      </c>
      <c r="J147" s="140">
        <f t="shared" si="128"/>
        <v>1.3687160612323968E-2</v>
      </c>
      <c r="K147" s="140">
        <f t="shared" si="128"/>
        <v>1.2143723291122533E-2</v>
      </c>
      <c r="L147" s="140">
        <f t="shared" si="128"/>
        <v>1.5471950646335797E-2</v>
      </c>
      <c r="M147" s="140">
        <f t="shared" si="128"/>
        <v>1.5887322436755121E-2</v>
      </c>
      <c r="N147" s="140">
        <f t="shared" si="128"/>
        <v>1.3081473458135514E-2</v>
      </c>
      <c r="O147" s="140">
        <f t="shared" si="128"/>
        <v>1.6313727677649176E-2</v>
      </c>
      <c r="P147" s="140">
        <f t="shared" si="128"/>
        <v>1.6609017097173263E-2</v>
      </c>
      <c r="Q147" s="140">
        <f t="shared" si="128"/>
        <v>2.1742721639029749E-2</v>
      </c>
      <c r="R147" s="140">
        <f t="shared" si="128"/>
        <v>2.4317920390863952E-2</v>
      </c>
      <c r="S147" s="140">
        <f t="shared" si="128"/>
        <v>3.0799962652321433E-2</v>
      </c>
      <c r="T147" s="140">
        <f t="shared" si="128"/>
        <v>2.6888534715006761E-2</v>
      </c>
      <c r="U147" s="140">
        <f t="shared" si="128"/>
        <v>2.6088925581701984E-2</v>
      </c>
      <c r="V147" s="140">
        <f t="shared" si="128"/>
        <v>3.0842156783275392E-2</v>
      </c>
      <c r="W147" s="140">
        <f t="shared" si="128"/>
        <v>2.4671595627163669E-2</v>
      </c>
      <c r="X147" s="140">
        <f t="shared" si="128"/>
        <v>1.7252974165549179E-2</v>
      </c>
      <c r="Y147" s="140">
        <f t="shared" si="128"/>
        <v>1.7477993534519825E-2</v>
      </c>
      <c r="DA147" s="175"/>
    </row>
    <row r="148" spans="1:105" ht="11.45" customHeight="1" x14ac:dyDescent="0.25">
      <c r="A148" s="109" t="s">
        <v>141</v>
      </c>
      <c r="B148" s="124">
        <f t="shared" si="119"/>
        <v>0.11201448139577649</v>
      </c>
      <c r="C148" s="124">
        <f t="shared" ref="C148:Y148" si="129">IF(C56=0,0,C56/C$47)</f>
        <v>0.11189954570469922</v>
      </c>
      <c r="D148" s="124">
        <f t="shared" si="129"/>
        <v>0.11069682455764791</v>
      </c>
      <c r="E148" s="124">
        <f t="shared" si="129"/>
        <v>0.11531998335657409</v>
      </c>
      <c r="F148" s="124">
        <f t="shared" si="129"/>
        <v>0.10995821151616982</v>
      </c>
      <c r="G148" s="124">
        <f t="shared" si="129"/>
        <v>0.10247126976180158</v>
      </c>
      <c r="H148" s="124">
        <f t="shared" si="129"/>
        <v>0.10607222481348241</v>
      </c>
      <c r="I148" s="124">
        <f t="shared" si="129"/>
        <v>9.9908054550923914E-2</v>
      </c>
      <c r="J148" s="124">
        <f t="shared" si="129"/>
        <v>0.11638548608832668</v>
      </c>
      <c r="K148" s="124">
        <f t="shared" si="129"/>
        <v>0.11095774719156433</v>
      </c>
      <c r="L148" s="124">
        <f t="shared" si="129"/>
        <v>0.10272395715314285</v>
      </c>
      <c r="M148" s="124">
        <f t="shared" si="129"/>
        <v>9.5222570784771296E-2</v>
      </c>
      <c r="N148" s="124">
        <f t="shared" si="129"/>
        <v>9.0214616133900985E-2</v>
      </c>
      <c r="O148" s="124">
        <f t="shared" si="129"/>
        <v>0.10451472676373549</v>
      </c>
      <c r="P148" s="124">
        <f t="shared" si="129"/>
        <v>0.10263860083805249</v>
      </c>
      <c r="Q148" s="124">
        <f t="shared" si="129"/>
        <v>0.10891218276354114</v>
      </c>
      <c r="R148" s="124">
        <f t="shared" si="129"/>
        <v>0.12178161278027586</v>
      </c>
      <c r="S148" s="124">
        <f t="shared" si="129"/>
        <v>0.1266728549830069</v>
      </c>
      <c r="T148" s="124">
        <f t="shared" si="129"/>
        <v>8.067488243132144E-2</v>
      </c>
      <c r="U148" s="124">
        <f t="shared" si="129"/>
        <v>7.6176992068568053E-2</v>
      </c>
      <c r="V148" s="124">
        <f t="shared" si="129"/>
        <v>7.7085002677417774E-2</v>
      </c>
      <c r="W148" s="124">
        <f t="shared" si="129"/>
        <v>5.5130308938641903E-2</v>
      </c>
      <c r="X148" s="124">
        <f t="shared" si="129"/>
        <v>5.0479366546812586E-2</v>
      </c>
      <c r="Y148" s="124">
        <f t="shared" si="129"/>
        <v>5.0193069380426253E-2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0.11118780924916248</v>
      </c>
      <c r="C149" s="140">
        <f t="shared" ref="C149:Y149" si="130">IF(C57=0,0,C57/C$47)</f>
        <v>0.11101018324909276</v>
      </c>
      <c r="D149" s="140">
        <f t="shared" si="130"/>
        <v>0.1102841378008525</v>
      </c>
      <c r="E149" s="140">
        <f t="shared" si="130"/>
        <v>0.11492298836581567</v>
      </c>
      <c r="F149" s="140">
        <f t="shared" si="130"/>
        <v>0.10947842610561548</v>
      </c>
      <c r="G149" s="140">
        <f t="shared" si="130"/>
        <v>0.10219195181629151</v>
      </c>
      <c r="H149" s="140">
        <f t="shared" si="130"/>
        <v>0.10576571691560423</v>
      </c>
      <c r="I149" s="140">
        <f t="shared" si="130"/>
        <v>9.9610147765352847E-2</v>
      </c>
      <c r="J149" s="140">
        <f t="shared" si="130"/>
        <v>0.11615548591628867</v>
      </c>
      <c r="K149" s="140">
        <f t="shared" si="130"/>
        <v>0.11083210255790096</v>
      </c>
      <c r="L149" s="140">
        <f t="shared" si="130"/>
        <v>0.1025155094133178</v>
      </c>
      <c r="M149" s="140">
        <f t="shared" si="130"/>
        <v>9.4960719120679507E-2</v>
      </c>
      <c r="N149" s="140">
        <f t="shared" si="130"/>
        <v>9.0057985523665757E-2</v>
      </c>
      <c r="O149" s="140">
        <f t="shared" si="130"/>
        <v>0.10430811759954954</v>
      </c>
      <c r="P149" s="140">
        <f t="shared" si="130"/>
        <v>0.10251671289765507</v>
      </c>
      <c r="Q149" s="140">
        <f t="shared" si="130"/>
        <v>0.10879606357170649</v>
      </c>
      <c r="R149" s="140">
        <f t="shared" si="130"/>
        <v>0.12165747593586254</v>
      </c>
      <c r="S149" s="140">
        <f t="shared" si="130"/>
        <v>0.12656464697127551</v>
      </c>
      <c r="T149" s="140">
        <f t="shared" si="130"/>
        <v>8.0590877608190462E-2</v>
      </c>
      <c r="U149" s="140">
        <f t="shared" si="130"/>
        <v>7.611755561049674E-2</v>
      </c>
      <c r="V149" s="140">
        <f t="shared" si="130"/>
        <v>7.693313660822565E-2</v>
      </c>
      <c r="W149" s="140">
        <f t="shared" si="130"/>
        <v>5.500672805826979E-2</v>
      </c>
      <c r="X149" s="140">
        <f t="shared" si="130"/>
        <v>5.0413427255960826E-2</v>
      </c>
      <c r="Y149" s="140">
        <f t="shared" si="130"/>
        <v>5.0188349499897519E-2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8.2667214661400227E-4</v>
      </c>
      <c r="C150" s="127">
        <f t="shared" ref="C150:Y150" si="131">IF(C58=0,0,C58/C$47)</f>
        <v>8.893624556064601E-4</v>
      </c>
      <c r="D150" s="127">
        <f t="shared" si="131"/>
        <v>4.1268675679541458E-4</v>
      </c>
      <c r="E150" s="127">
        <f t="shared" si="131"/>
        <v>3.9699499075841743E-4</v>
      </c>
      <c r="F150" s="127">
        <f t="shared" si="131"/>
        <v>4.7978541055434669E-4</v>
      </c>
      <c r="G150" s="127">
        <f t="shared" si="131"/>
        <v>2.7931794551009042E-4</v>
      </c>
      <c r="H150" s="127">
        <f t="shared" si="131"/>
        <v>3.0650789787818817E-4</v>
      </c>
      <c r="I150" s="127">
        <f t="shared" si="131"/>
        <v>2.9790678557107419E-4</v>
      </c>
      <c r="J150" s="127">
        <f t="shared" si="131"/>
        <v>2.3000017203800088E-4</v>
      </c>
      <c r="K150" s="127">
        <f t="shared" si="131"/>
        <v>1.2564463366336357E-4</v>
      </c>
      <c r="L150" s="127">
        <f t="shared" si="131"/>
        <v>2.0844773982506208E-4</v>
      </c>
      <c r="M150" s="127">
        <f t="shared" si="131"/>
        <v>2.6185166409178608E-4</v>
      </c>
      <c r="N150" s="127">
        <f t="shared" si="131"/>
        <v>1.5663061023523216E-4</v>
      </c>
      <c r="O150" s="127">
        <f t="shared" si="131"/>
        <v>2.0660916418594575E-4</v>
      </c>
      <c r="P150" s="127">
        <f t="shared" si="131"/>
        <v>1.2188794039741133E-4</v>
      </c>
      <c r="Q150" s="127">
        <f t="shared" si="131"/>
        <v>1.1611919183465075E-4</v>
      </c>
      <c r="R150" s="127">
        <f t="shared" si="131"/>
        <v>1.2413684441331727E-4</v>
      </c>
      <c r="S150" s="127">
        <f t="shared" si="131"/>
        <v>1.0820801173139888E-4</v>
      </c>
      <c r="T150" s="127">
        <f t="shared" si="131"/>
        <v>8.4004823130983666E-5</v>
      </c>
      <c r="U150" s="127">
        <f t="shared" si="131"/>
        <v>5.9436458071314026E-5</v>
      </c>
      <c r="V150" s="127">
        <f t="shared" si="131"/>
        <v>1.5186606919212584E-4</v>
      </c>
      <c r="W150" s="127">
        <f t="shared" si="131"/>
        <v>1.2358088037211609E-4</v>
      </c>
      <c r="X150" s="127">
        <f t="shared" si="131"/>
        <v>6.593929085176282E-5</v>
      </c>
      <c r="Y150" s="127">
        <f t="shared" si="131"/>
        <v>4.7198805287323438E-6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1</v>
      </c>
      <c r="C151" s="31">
        <f t="shared" si="132"/>
        <v>1</v>
      </c>
      <c r="D151" s="31">
        <f t="shared" si="132"/>
        <v>1</v>
      </c>
      <c r="E151" s="31">
        <f t="shared" si="132"/>
        <v>1</v>
      </c>
      <c r="F151" s="31">
        <f t="shared" si="132"/>
        <v>1</v>
      </c>
      <c r="G151" s="31">
        <f t="shared" si="132"/>
        <v>1</v>
      </c>
      <c r="H151" s="31">
        <f t="shared" si="132"/>
        <v>1</v>
      </c>
      <c r="I151" s="31">
        <f t="shared" si="132"/>
        <v>1</v>
      </c>
      <c r="J151" s="31">
        <f t="shared" si="132"/>
        <v>1</v>
      </c>
      <c r="K151" s="31">
        <f t="shared" si="132"/>
        <v>1</v>
      </c>
      <c r="L151" s="31">
        <f t="shared" si="132"/>
        <v>1</v>
      </c>
      <c r="M151" s="31">
        <f t="shared" si="132"/>
        <v>1</v>
      </c>
      <c r="N151" s="31">
        <f t="shared" si="132"/>
        <v>1</v>
      </c>
      <c r="O151" s="31">
        <f t="shared" si="132"/>
        <v>1</v>
      </c>
      <c r="P151" s="31">
        <f t="shared" si="132"/>
        <v>1</v>
      </c>
      <c r="Q151" s="31">
        <f t="shared" si="132"/>
        <v>1</v>
      </c>
      <c r="R151" s="31">
        <f t="shared" si="132"/>
        <v>1</v>
      </c>
      <c r="S151" s="31">
        <f t="shared" si="132"/>
        <v>1</v>
      </c>
      <c r="T151" s="31">
        <f t="shared" si="132"/>
        <v>1</v>
      </c>
      <c r="U151" s="31">
        <f t="shared" si="132"/>
        <v>1</v>
      </c>
      <c r="V151" s="31">
        <f t="shared" si="132"/>
        <v>1</v>
      </c>
      <c r="W151" s="31">
        <f t="shared" si="132"/>
        <v>1</v>
      </c>
      <c r="X151" s="31">
        <f t="shared" si="132"/>
        <v>1</v>
      </c>
      <c r="Y151" s="31">
        <f t="shared" si="132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0.38081743675774432</v>
      </c>
      <c r="C152" s="140">
        <f t="shared" si="133"/>
        <v>0.37321577920188032</v>
      </c>
      <c r="D152" s="140">
        <f t="shared" si="133"/>
        <v>0.38689702084148608</v>
      </c>
      <c r="E152" s="140">
        <f t="shared" si="133"/>
        <v>0.38125016741153611</v>
      </c>
      <c r="F152" s="140">
        <f t="shared" si="133"/>
        <v>0.36722383937439207</v>
      </c>
      <c r="G152" s="140">
        <f t="shared" si="133"/>
        <v>0.35974392889156176</v>
      </c>
      <c r="H152" s="140">
        <f t="shared" si="133"/>
        <v>0.35733301333687068</v>
      </c>
      <c r="I152" s="140">
        <f t="shared" si="133"/>
        <v>0.35140766856422562</v>
      </c>
      <c r="J152" s="140">
        <f t="shared" si="133"/>
        <v>0.38406855492719727</v>
      </c>
      <c r="K152" s="140">
        <f t="shared" si="133"/>
        <v>0.37294333656129275</v>
      </c>
      <c r="L152" s="140">
        <f t="shared" si="133"/>
        <v>0.38911835534268852</v>
      </c>
      <c r="M152" s="140">
        <f t="shared" si="133"/>
        <v>0.38455858017649069</v>
      </c>
      <c r="N152" s="140">
        <f t="shared" si="133"/>
        <v>0.39487151657106895</v>
      </c>
      <c r="O152" s="140">
        <f t="shared" si="133"/>
        <v>0.42343642084459382</v>
      </c>
      <c r="P152" s="140">
        <f t="shared" si="133"/>
        <v>0.41492316890443576</v>
      </c>
      <c r="Q152" s="140">
        <f t="shared" si="133"/>
        <v>0.40458739272342781</v>
      </c>
      <c r="R152" s="140">
        <f t="shared" si="133"/>
        <v>0.42510916737568805</v>
      </c>
      <c r="S152" s="140">
        <f t="shared" si="133"/>
        <v>0.4325255157552389</v>
      </c>
      <c r="T152" s="140">
        <f t="shared" si="133"/>
        <v>0.46302502956886787</v>
      </c>
      <c r="U152" s="140">
        <f t="shared" si="133"/>
        <v>0.44634648374885294</v>
      </c>
      <c r="V152" s="140">
        <f t="shared" si="133"/>
        <v>0.39967781055190554</v>
      </c>
      <c r="W152" s="140">
        <f t="shared" si="133"/>
        <v>0.38973310208659778</v>
      </c>
      <c r="X152" s="140">
        <f t="shared" si="133"/>
        <v>0.42358931777852393</v>
      </c>
      <c r="Y152" s="140">
        <f t="shared" si="133"/>
        <v>0.42701249984285883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0.61918256324225562</v>
      </c>
      <c r="C153" s="127">
        <f t="shared" si="134"/>
        <v>0.62678422079811968</v>
      </c>
      <c r="D153" s="127">
        <f t="shared" si="134"/>
        <v>0.61310297915851397</v>
      </c>
      <c r="E153" s="127">
        <f t="shared" si="134"/>
        <v>0.61874983258846394</v>
      </c>
      <c r="F153" s="127">
        <f t="shared" si="134"/>
        <v>0.63277616062560782</v>
      </c>
      <c r="G153" s="127">
        <f t="shared" si="134"/>
        <v>0.6402560711084383</v>
      </c>
      <c r="H153" s="127">
        <f t="shared" si="134"/>
        <v>0.64266698666312938</v>
      </c>
      <c r="I153" s="127">
        <f t="shared" si="134"/>
        <v>0.64859233143577433</v>
      </c>
      <c r="J153" s="127">
        <f t="shared" si="134"/>
        <v>0.61593144507280284</v>
      </c>
      <c r="K153" s="127">
        <f t="shared" si="134"/>
        <v>0.62705666343870725</v>
      </c>
      <c r="L153" s="127">
        <f t="shared" si="134"/>
        <v>0.61088164465731143</v>
      </c>
      <c r="M153" s="127">
        <f t="shared" si="134"/>
        <v>0.61544141982350942</v>
      </c>
      <c r="N153" s="127">
        <f t="shared" si="134"/>
        <v>0.605128483428931</v>
      </c>
      <c r="O153" s="127">
        <f t="shared" si="134"/>
        <v>0.57656357915540613</v>
      </c>
      <c r="P153" s="127">
        <f t="shared" si="134"/>
        <v>0.5850768310955643</v>
      </c>
      <c r="Q153" s="127">
        <f t="shared" si="134"/>
        <v>0.59541260727657219</v>
      </c>
      <c r="R153" s="127">
        <f t="shared" si="134"/>
        <v>0.57489083262431195</v>
      </c>
      <c r="S153" s="127">
        <f t="shared" si="134"/>
        <v>0.5674744842447611</v>
      </c>
      <c r="T153" s="127">
        <f t="shared" si="134"/>
        <v>0.53697497043113218</v>
      </c>
      <c r="U153" s="127">
        <f t="shared" si="134"/>
        <v>0.55365351625114712</v>
      </c>
      <c r="V153" s="127">
        <f t="shared" si="134"/>
        <v>0.60032218944809446</v>
      </c>
      <c r="W153" s="127">
        <f t="shared" si="134"/>
        <v>0.61026689791340227</v>
      </c>
      <c r="X153" s="127">
        <f t="shared" si="134"/>
        <v>0.57641068222147607</v>
      </c>
      <c r="Y153" s="127">
        <f t="shared" si="134"/>
        <v>0.57298750015714117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0.88414029257941484</v>
      </c>
      <c r="C157" s="139">
        <f t="shared" ref="C157:W157" si="138">IF(C65=0,0,C65/C$64)</f>
        <v>0.8913667827668893</v>
      </c>
      <c r="D157" s="139">
        <f t="shared" si="138"/>
        <v>0.89662201309942491</v>
      </c>
      <c r="E157" s="139">
        <f t="shared" si="138"/>
        <v>0.88483599207371899</v>
      </c>
      <c r="F157" s="139">
        <f t="shared" si="138"/>
        <v>0.88729731216170282</v>
      </c>
      <c r="G157" s="139">
        <f t="shared" si="138"/>
        <v>0.87984439699185013</v>
      </c>
      <c r="H157" s="139">
        <f t="shared" si="138"/>
        <v>0.87648619185590004</v>
      </c>
      <c r="I157" s="139">
        <f t="shared" si="138"/>
        <v>0.86993368040115171</v>
      </c>
      <c r="J157" s="139">
        <f t="shared" si="138"/>
        <v>0.87132536839785191</v>
      </c>
      <c r="K157" s="139">
        <f t="shared" si="138"/>
        <v>0.87981956348817891</v>
      </c>
      <c r="L157" s="139">
        <f t="shared" si="138"/>
        <v>0.87058637378087311</v>
      </c>
      <c r="M157" s="139">
        <f t="shared" si="138"/>
        <v>0.86668676837561764</v>
      </c>
      <c r="N157" s="139">
        <f t="shared" si="138"/>
        <v>0.86220217696053969</v>
      </c>
      <c r="O157" s="139">
        <f t="shared" si="138"/>
        <v>0.8699788564336336</v>
      </c>
      <c r="P157" s="139">
        <f t="shared" si="138"/>
        <v>0.87628126527151373</v>
      </c>
      <c r="Q157" s="139">
        <f t="shared" si="138"/>
        <v>0.87323503584002049</v>
      </c>
      <c r="R157" s="139">
        <f t="shared" si="138"/>
        <v>0.86998308280407022</v>
      </c>
      <c r="S157" s="139">
        <f t="shared" si="138"/>
        <v>0.86257063314128313</v>
      </c>
      <c r="T157" s="139">
        <f t="shared" si="138"/>
        <v>0.84653734608565268</v>
      </c>
      <c r="U157" s="139">
        <f t="shared" si="138"/>
        <v>0.84273035326229495</v>
      </c>
      <c r="V157" s="139">
        <f t="shared" si="138"/>
        <v>0.92372719286835525</v>
      </c>
      <c r="W157" s="139">
        <f t="shared" si="138"/>
        <v>0.92445155019608982</v>
      </c>
      <c r="X157" s="139">
        <f t="shared" ref="X157:Y157" si="139">IF(X65=0,0,X65/X$64)</f>
        <v>0.87221678146370996</v>
      </c>
      <c r="Y157" s="139">
        <f t="shared" si="139"/>
        <v>0.84518941583381213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4.6268586967496146E-2</v>
      </c>
      <c r="C158" s="140">
        <f t="shared" ref="C158:W158" si="140">IF(C66=0,0,C66/C$64)</f>
        <v>4.6763992037381429E-2</v>
      </c>
      <c r="D158" s="140">
        <f t="shared" si="140"/>
        <v>4.4859715154605503E-2</v>
      </c>
      <c r="E158" s="140">
        <f t="shared" si="140"/>
        <v>4.4785593474799532E-2</v>
      </c>
      <c r="F158" s="140">
        <f t="shared" si="140"/>
        <v>4.5736142118471775E-2</v>
      </c>
      <c r="G158" s="140">
        <f t="shared" si="140"/>
        <v>4.6973396625456819E-2</v>
      </c>
      <c r="H158" s="140">
        <f t="shared" si="140"/>
        <v>4.2487960546907164E-2</v>
      </c>
      <c r="I158" s="140">
        <f t="shared" si="140"/>
        <v>3.7123671130609097E-2</v>
      </c>
      <c r="J158" s="140">
        <f t="shared" si="140"/>
        <v>3.9521162603521905E-2</v>
      </c>
      <c r="K158" s="140">
        <f t="shared" si="140"/>
        <v>3.6937375908488543E-2</v>
      </c>
      <c r="L158" s="140">
        <f t="shared" si="140"/>
        <v>3.823199487532946E-2</v>
      </c>
      <c r="M158" s="140">
        <f t="shared" si="140"/>
        <v>3.9421662124409389E-2</v>
      </c>
      <c r="N158" s="140">
        <f t="shared" si="140"/>
        <v>4.0224947590810731E-2</v>
      </c>
      <c r="O158" s="140">
        <f t="shared" si="140"/>
        <v>3.7965987759123597E-2</v>
      </c>
      <c r="P158" s="140">
        <f t="shared" si="140"/>
        <v>3.6316848334202033E-2</v>
      </c>
      <c r="Q158" s="140">
        <f t="shared" si="140"/>
        <v>3.5498360541095252E-2</v>
      </c>
      <c r="R158" s="140">
        <f t="shared" si="140"/>
        <v>3.5588190032964533E-2</v>
      </c>
      <c r="S158" s="140">
        <f t="shared" si="140"/>
        <v>3.3514374208761515E-2</v>
      </c>
      <c r="T158" s="140">
        <f t="shared" si="140"/>
        <v>3.135728258607702E-2</v>
      </c>
      <c r="U158" s="140">
        <f t="shared" si="140"/>
        <v>3.3478066203458924E-2</v>
      </c>
      <c r="V158" s="140">
        <f t="shared" si="140"/>
        <v>4.0837225702803612E-2</v>
      </c>
      <c r="W158" s="140">
        <f t="shared" si="140"/>
        <v>3.7692833324563801E-2</v>
      </c>
      <c r="X158" s="140">
        <f t="shared" ref="X158:Y158" si="141">IF(X66=0,0,X66/X$64)</f>
        <v>3.462912561036921E-2</v>
      </c>
      <c r="Y158" s="140">
        <f t="shared" si="141"/>
        <v>3.5239414571256025E-2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0.7646057215250428</v>
      </c>
      <c r="C159" s="140">
        <f t="shared" ref="C159:W159" si="142">IF(C67=0,0,C67/C$64)</f>
        <v>0.77103976254121687</v>
      </c>
      <c r="D159" s="140">
        <f t="shared" si="142"/>
        <v>0.77933972676401575</v>
      </c>
      <c r="E159" s="140">
        <f t="shared" si="142"/>
        <v>0.76834317684752118</v>
      </c>
      <c r="F159" s="140">
        <f t="shared" si="142"/>
        <v>0.77060198796203372</v>
      </c>
      <c r="G159" s="140">
        <f t="shared" si="142"/>
        <v>0.75919845367145844</v>
      </c>
      <c r="H159" s="140">
        <f t="shared" si="142"/>
        <v>0.76229998809268396</v>
      </c>
      <c r="I159" s="140">
        <f t="shared" si="142"/>
        <v>0.76150223002788131</v>
      </c>
      <c r="J159" s="140">
        <f t="shared" si="142"/>
        <v>0.75936111266519013</v>
      </c>
      <c r="K159" s="140">
        <f t="shared" si="142"/>
        <v>0.77031016950494124</v>
      </c>
      <c r="L159" s="140">
        <f t="shared" si="142"/>
        <v>0.75733861198237107</v>
      </c>
      <c r="M159" s="140">
        <f t="shared" si="142"/>
        <v>0.74929775757021755</v>
      </c>
      <c r="N159" s="140">
        <f t="shared" si="142"/>
        <v>0.74184564920164342</v>
      </c>
      <c r="O159" s="140">
        <f t="shared" si="142"/>
        <v>0.75342322034806675</v>
      </c>
      <c r="P159" s="140">
        <f t="shared" si="142"/>
        <v>0.7644278631534247</v>
      </c>
      <c r="Q159" s="140">
        <f t="shared" si="142"/>
        <v>0.76122740470829331</v>
      </c>
      <c r="R159" s="140">
        <f t="shared" si="142"/>
        <v>0.75870477108917689</v>
      </c>
      <c r="S159" s="140">
        <f t="shared" si="142"/>
        <v>0.7525247851631609</v>
      </c>
      <c r="T159" s="140">
        <f t="shared" si="142"/>
        <v>0.74225331267514638</v>
      </c>
      <c r="U159" s="140">
        <f t="shared" si="142"/>
        <v>0.73398165218213074</v>
      </c>
      <c r="V159" s="140">
        <f t="shared" si="142"/>
        <v>0.78122373291360236</v>
      </c>
      <c r="W159" s="140">
        <f t="shared" si="142"/>
        <v>0.79629934644686307</v>
      </c>
      <c r="X159" s="140">
        <f t="shared" ref="X159:Y159" si="143">IF(X67=0,0,X67/X$64)</f>
        <v>0.75792030573846569</v>
      </c>
      <c r="Y159" s="140">
        <f t="shared" si="143"/>
        <v>0.73687809037605756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7.3265984086875971E-2</v>
      </c>
      <c r="C160" s="140">
        <f t="shared" ref="C160:W160" si="144">IF(C68=0,0,C68/C$64)</f>
        <v>7.356302818829108E-2</v>
      </c>
      <c r="D160" s="140">
        <f t="shared" si="144"/>
        <v>7.2422571180803738E-2</v>
      </c>
      <c r="E160" s="140">
        <f t="shared" si="144"/>
        <v>7.1707221751398292E-2</v>
      </c>
      <c r="F160" s="140">
        <f t="shared" si="144"/>
        <v>7.0959182081197419E-2</v>
      </c>
      <c r="G160" s="140">
        <f t="shared" si="144"/>
        <v>7.3672546694934907E-2</v>
      </c>
      <c r="H160" s="140">
        <f t="shared" si="144"/>
        <v>7.1698243216308855E-2</v>
      </c>
      <c r="I160" s="140">
        <f t="shared" si="144"/>
        <v>7.1307779242661351E-2</v>
      </c>
      <c r="J160" s="140">
        <f t="shared" si="144"/>
        <v>7.2443093129140032E-2</v>
      </c>
      <c r="K160" s="140">
        <f t="shared" si="144"/>
        <v>7.2572018074749167E-2</v>
      </c>
      <c r="L160" s="140">
        <f t="shared" si="144"/>
        <v>7.5015766923172661E-2</v>
      </c>
      <c r="M160" s="140">
        <f t="shared" si="144"/>
        <v>7.7967348680990714E-2</v>
      </c>
      <c r="N160" s="140">
        <f t="shared" si="144"/>
        <v>8.0131580168085609E-2</v>
      </c>
      <c r="O160" s="140">
        <f t="shared" si="144"/>
        <v>7.8589648326443204E-2</v>
      </c>
      <c r="P160" s="140">
        <f t="shared" si="144"/>
        <v>7.5536553783887045E-2</v>
      </c>
      <c r="Q160" s="140">
        <f t="shared" si="144"/>
        <v>7.6509270590631992E-2</v>
      </c>
      <c r="R160" s="140">
        <f t="shared" si="144"/>
        <v>7.5690121681928818E-2</v>
      </c>
      <c r="S160" s="140">
        <f t="shared" si="144"/>
        <v>7.6531473769360703E-2</v>
      </c>
      <c r="T160" s="140">
        <f t="shared" si="144"/>
        <v>7.2926750824429357E-2</v>
      </c>
      <c r="U160" s="140">
        <f t="shared" si="144"/>
        <v>7.5270634876705309E-2</v>
      </c>
      <c r="V160" s="140">
        <f t="shared" si="144"/>
        <v>0.10166623425194921</v>
      </c>
      <c r="W160" s="140">
        <f t="shared" si="144"/>
        <v>9.0459370424663038E-2</v>
      </c>
      <c r="X160" s="140">
        <f t="shared" ref="X160:Y160" si="145">IF(X68=0,0,X68/X$64)</f>
        <v>7.9667350114874982E-2</v>
      </c>
      <c r="Y160" s="140">
        <f t="shared" si="145"/>
        <v>7.3071910886498628E-2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4.5779421041688877E-3</v>
      </c>
      <c r="C161" s="124">
        <f t="shared" ref="C161:W161" si="146">IF(C69=0,0,C69/C$64)</f>
        <v>4.0035846071290728E-3</v>
      </c>
      <c r="D161" s="124">
        <f t="shared" si="146"/>
        <v>4.0256299733655828E-3</v>
      </c>
      <c r="E161" s="124">
        <f t="shared" si="146"/>
        <v>4.3143630674752093E-3</v>
      </c>
      <c r="F161" s="124">
        <f t="shared" si="146"/>
        <v>3.6697673172376055E-3</v>
      </c>
      <c r="G161" s="124">
        <f t="shared" si="146"/>
        <v>3.2442412011468085E-3</v>
      </c>
      <c r="H161" s="124">
        <f t="shared" si="146"/>
        <v>3.1981469887024595E-3</v>
      </c>
      <c r="I161" s="124">
        <f t="shared" si="146"/>
        <v>2.8177016291782335E-3</v>
      </c>
      <c r="J161" s="124">
        <f t="shared" si="146"/>
        <v>1.6713888518511862E-3</v>
      </c>
      <c r="K161" s="124">
        <f t="shared" si="146"/>
        <v>1.7072268336337515E-3</v>
      </c>
      <c r="L161" s="124">
        <f t="shared" si="146"/>
        <v>1.9030725070008196E-3</v>
      </c>
      <c r="M161" s="124">
        <f t="shared" si="146"/>
        <v>1.4253692478289042E-3</v>
      </c>
      <c r="N161" s="124">
        <f t="shared" si="146"/>
        <v>1.8869602759067721E-3</v>
      </c>
      <c r="O161" s="124">
        <f t="shared" si="146"/>
        <v>1.3015693082104964E-3</v>
      </c>
      <c r="P161" s="124">
        <f t="shared" si="146"/>
        <v>5.7915921415616252E-4</v>
      </c>
      <c r="Q161" s="124">
        <f t="shared" si="146"/>
        <v>7.0359322997605043E-4</v>
      </c>
      <c r="R161" s="124">
        <f t="shared" si="146"/>
        <v>4.7065414858526577E-4</v>
      </c>
      <c r="S161" s="124">
        <f t="shared" si="146"/>
        <v>1.0405550030296523E-3</v>
      </c>
      <c r="T161" s="124">
        <f t="shared" si="146"/>
        <v>1.3810234795975664E-3</v>
      </c>
      <c r="U161" s="124">
        <f t="shared" si="146"/>
        <v>1.3224850535667565E-3</v>
      </c>
      <c r="V161" s="124">
        <f t="shared" si="146"/>
        <v>1.829944121869652E-3</v>
      </c>
      <c r="W161" s="124">
        <f t="shared" si="146"/>
        <v>1.3285649781175726E-3</v>
      </c>
      <c r="X161" s="124">
        <f t="shared" ref="X161:Y161" si="147">IF(X69=0,0,X69/X$64)</f>
        <v>3.6212981532329476E-4</v>
      </c>
      <c r="Y161" s="124">
        <f t="shared" si="147"/>
        <v>3.6797306390938658E-4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4.5779421041688877E-3</v>
      </c>
      <c r="C163" s="140">
        <f t="shared" ref="C163:W163" si="150">IF(C71=0,0,C71/C$64)</f>
        <v>4.0035846071290728E-3</v>
      </c>
      <c r="D163" s="140">
        <f t="shared" si="150"/>
        <v>4.0256299733655828E-3</v>
      </c>
      <c r="E163" s="140">
        <f t="shared" si="150"/>
        <v>4.3143630674752093E-3</v>
      </c>
      <c r="F163" s="140">
        <f t="shared" si="150"/>
        <v>3.6697673172376055E-3</v>
      </c>
      <c r="G163" s="140">
        <f t="shared" si="150"/>
        <v>3.2442412011468085E-3</v>
      </c>
      <c r="H163" s="140">
        <f t="shared" si="150"/>
        <v>3.1981469887024595E-3</v>
      </c>
      <c r="I163" s="140">
        <f t="shared" si="150"/>
        <v>2.8177016291782335E-3</v>
      </c>
      <c r="J163" s="140">
        <f t="shared" si="150"/>
        <v>1.6713888518511862E-3</v>
      </c>
      <c r="K163" s="140">
        <f t="shared" si="150"/>
        <v>1.7072268336337515E-3</v>
      </c>
      <c r="L163" s="140">
        <f t="shared" si="150"/>
        <v>1.9030725070008196E-3</v>
      </c>
      <c r="M163" s="140">
        <f t="shared" si="150"/>
        <v>1.4253692478289042E-3</v>
      </c>
      <c r="N163" s="140">
        <f t="shared" si="150"/>
        <v>1.8869602759067721E-3</v>
      </c>
      <c r="O163" s="140">
        <f t="shared" si="150"/>
        <v>1.3015693082104964E-3</v>
      </c>
      <c r="P163" s="140">
        <f t="shared" si="150"/>
        <v>5.7915921415616252E-4</v>
      </c>
      <c r="Q163" s="140">
        <f t="shared" si="150"/>
        <v>7.0359322997605043E-4</v>
      </c>
      <c r="R163" s="140">
        <f t="shared" si="150"/>
        <v>4.7065414858526577E-4</v>
      </c>
      <c r="S163" s="140">
        <f t="shared" si="150"/>
        <v>1.0405550030296523E-3</v>
      </c>
      <c r="T163" s="140">
        <f t="shared" si="150"/>
        <v>1.3810234795975664E-3</v>
      </c>
      <c r="U163" s="140">
        <f t="shared" si="150"/>
        <v>1.3224850535667565E-3</v>
      </c>
      <c r="V163" s="140">
        <f t="shared" si="150"/>
        <v>1.829944121869652E-3</v>
      </c>
      <c r="W163" s="140">
        <f t="shared" si="150"/>
        <v>1.3285649781175726E-3</v>
      </c>
      <c r="X163" s="140">
        <f t="shared" ref="X163:Y163" si="151">IF(X71=0,0,X71/X$64)</f>
        <v>3.6212981532329476E-4</v>
      </c>
      <c r="Y163" s="140">
        <f t="shared" si="151"/>
        <v>3.6797306390938658E-4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0.1112817653164163</v>
      </c>
      <c r="C165" s="124">
        <f t="shared" ref="C165:W165" si="154">IF(C73=0,0,C73/C$64)</f>
        <v>0.10462963262598177</v>
      </c>
      <c r="D165" s="124">
        <f t="shared" si="154"/>
        <v>9.9352356927209493E-2</v>
      </c>
      <c r="E165" s="124">
        <f t="shared" si="154"/>
        <v>0.11084964485880579</v>
      </c>
      <c r="F165" s="124">
        <f t="shared" si="154"/>
        <v>0.10903292052105958</v>
      </c>
      <c r="G165" s="124">
        <f t="shared" si="154"/>
        <v>0.11691136180700304</v>
      </c>
      <c r="H165" s="124">
        <f t="shared" si="154"/>
        <v>0.12031566115539744</v>
      </c>
      <c r="I165" s="124">
        <f t="shared" si="154"/>
        <v>0.12724861796967013</v>
      </c>
      <c r="J165" s="124">
        <f t="shared" si="154"/>
        <v>0.1270032427502969</v>
      </c>
      <c r="K165" s="124">
        <f t="shared" si="154"/>
        <v>0.11847320967818739</v>
      </c>
      <c r="L165" s="124">
        <f t="shared" si="154"/>
        <v>0.12751055371212605</v>
      </c>
      <c r="M165" s="124">
        <f t="shared" si="154"/>
        <v>0.13188786237655353</v>
      </c>
      <c r="N165" s="124">
        <f t="shared" si="154"/>
        <v>0.13591086276355352</v>
      </c>
      <c r="O165" s="124">
        <f t="shared" si="154"/>
        <v>0.12871957425815589</v>
      </c>
      <c r="P165" s="124">
        <f t="shared" si="154"/>
        <v>0.1231395755143302</v>
      </c>
      <c r="Q165" s="124">
        <f t="shared" si="154"/>
        <v>0.12606137093000341</v>
      </c>
      <c r="R165" s="124">
        <f t="shared" si="154"/>
        <v>0.12954626304734448</v>
      </c>
      <c r="S165" s="124">
        <f t="shared" si="154"/>
        <v>0.13638881185568721</v>
      </c>
      <c r="T165" s="124">
        <f t="shared" si="154"/>
        <v>0.15208163043474979</v>
      </c>
      <c r="U165" s="124">
        <f t="shared" si="154"/>
        <v>0.1559471616841383</v>
      </c>
      <c r="V165" s="124">
        <f t="shared" si="154"/>
        <v>7.444286300977504E-2</v>
      </c>
      <c r="W165" s="124">
        <f t="shared" si="154"/>
        <v>7.4219884825792642E-2</v>
      </c>
      <c r="X165" s="124">
        <f t="shared" ref="X165:Y165" si="155">IF(X73=0,0,X73/X$64)</f>
        <v>0.12742108872096691</v>
      </c>
      <c r="Y165" s="124">
        <f t="shared" si="155"/>
        <v>0.15444261110227855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2.208271705898408E-2</v>
      </c>
      <c r="C166" s="140">
        <f t="shared" ref="C166:W166" si="156">IF(C74=0,0,C74/C$64)</f>
        <v>2.0051731574439381E-2</v>
      </c>
      <c r="D166" s="140">
        <f t="shared" si="156"/>
        <v>1.9722620061266963E-2</v>
      </c>
      <c r="E166" s="140">
        <f t="shared" si="156"/>
        <v>2.2049604272785992E-2</v>
      </c>
      <c r="F166" s="140">
        <f t="shared" si="156"/>
        <v>2.1657375569809852E-2</v>
      </c>
      <c r="G166" s="140">
        <f t="shared" si="156"/>
        <v>2.3343668062921308E-2</v>
      </c>
      <c r="H166" s="140">
        <f t="shared" si="156"/>
        <v>2.4146296288576414E-2</v>
      </c>
      <c r="I166" s="140">
        <f t="shared" si="156"/>
        <v>2.5554285281857814E-2</v>
      </c>
      <c r="J166" s="140">
        <f t="shared" si="156"/>
        <v>2.5299183861727033E-2</v>
      </c>
      <c r="K166" s="140">
        <f t="shared" si="156"/>
        <v>2.2892377318031388E-2</v>
      </c>
      <c r="L166" s="140">
        <f t="shared" si="156"/>
        <v>2.4462518760505935E-2</v>
      </c>
      <c r="M166" s="140">
        <f t="shared" si="156"/>
        <v>2.4977393425746591E-2</v>
      </c>
      <c r="N166" s="140">
        <f t="shared" si="156"/>
        <v>2.5536976375695127E-2</v>
      </c>
      <c r="O166" s="140">
        <f t="shared" si="156"/>
        <v>2.4858912324180325E-2</v>
      </c>
      <c r="P166" s="140">
        <f t="shared" si="156"/>
        <v>2.2265063537954714E-2</v>
      </c>
      <c r="Q166" s="140">
        <f t="shared" si="156"/>
        <v>2.3878993720581384E-2</v>
      </c>
      <c r="R166" s="140">
        <f t="shared" si="156"/>
        <v>2.410301031102367E-2</v>
      </c>
      <c r="S166" s="140">
        <f t="shared" si="156"/>
        <v>2.6687238796120651E-2</v>
      </c>
      <c r="T166" s="140">
        <f t="shared" si="156"/>
        <v>2.9676629049758606E-2</v>
      </c>
      <c r="U166" s="140">
        <f t="shared" si="156"/>
        <v>3.0268924984104922E-2</v>
      </c>
      <c r="V166" s="140">
        <f t="shared" si="156"/>
        <v>1.5929437875954709E-2</v>
      </c>
      <c r="W166" s="140">
        <f t="shared" si="156"/>
        <v>1.8911385662443856E-2</v>
      </c>
      <c r="X166" s="140">
        <f t="shared" ref="X166:Y166" si="157">IF(X74=0,0,X74/X$64)</f>
        <v>2.9874491825183102E-2</v>
      </c>
      <c r="Y166" s="140">
        <f t="shared" si="157"/>
        <v>3.5210425278640059E-2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4.1751064987139604E-2</v>
      </c>
      <c r="C167" s="140">
        <f t="shared" ref="C167:W167" si="158">IF(C75=0,0,C75/C$64)</f>
        <v>3.9588048348422805E-2</v>
      </c>
      <c r="D167" s="140">
        <f t="shared" si="158"/>
        <v>3.7271690243651533E-2</v>
      </c>
      <c r="E167" s="140">
        <f t="shared" si="158"/>
        <v>4.3114574181306625E-2</v>
      </c>
      <c r="F167" s="140">
        <f t="shared" si="158"/>
        <v>3.9833943265448833E-2</v>
      </c>
      <c r="G167" s="140">
        <f t="shared" si="158"/>
        <v>4.3244931063075122E-2</v>
      </c>
      <c r="H167" s="140">
        <f t="shared" si="158"/>
        <v>4.4681552548107531E-2</v>
      </c>
      <c r="I167" s="140">
        <f t="shared" si="158"/>
        <v>4.8345998668866595E-2</v>
      </c>
      <c r="J167" s="140">
        <f t="shared" si="158"/>
        <v>4.7290180843402321E-2</v>
      </c>
      <c r="K167" s="140">
        <f t="shared" si="158"/>
        <v>4.3044036360524965E-2</v>
      </c>
      <c r="L167" s="140">
        <f t="shared" si="158"/>
        <v>4.6086482871139534E-2</v>
      </c>
      <c r="M167" s="140">
        <f t="shared" si="158"/>
        <v>4.7848011447155364E-2</v>
      </c>
      <c r="N167" s="140">
        <f t="shared" si="158"/>
        <v>4.9115970754095191E-2</v>
      </c>
      <c r="O167" s="140">
        <f t="shared" si="158"/>
        <v>4.6020502379978394E-2</v>
      </c>
      <c r="P167" s="140">
        <f t="shared" si="158"/>
        <v>4.5105924646933818E-2</v>
      </c>
      <c r="Q167" s="140">
        <f t="shared" si="158"/>
        <v>4.6059416642191667E-2</v>
      </c>
      <c r="R167" s="140">
        <f t="shared" si="158"/>
        <v>4.9524623090712656E-2</v>
      </c>
      <c r="S167" s="140">
        <f t="shared" si="158"/>
        <v>5.2622140584845739E-2</v>
      </c>
      <c r="T167" s="140">
        <f t="shared" si="158"/>
        <v>5.8589138425034902E-2</v>
      </c>
      <c r="U167" s="140">
        <f t="shared" si="158"/>
        <v>5.8847020928338649E-2</v>
      </c>
      <c r="V167" s="140">
        <f t="shared" si="158"/>
        <v>2.2628857925288036E-2</v>
      </c>
      <c r="W167" s="140">
        <f t="shared" si="158"/>
        <v>2.3214259998955399E-2</v>
      </c>
      <c r="X167" s="140">
        <f t="shared" ref="X167:Y167" si="159">IF(X75=0,0,X75/X$64)</f>
        <v>4.7689338619888152E-2</v>
      </c>
      <c r="Y167" s="140">
        <f t="shared" si="159"/>
        <v>5.740027559416408E-2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4.7447983270292621E-2</v>
      </c>
      <c r="C168" s="140">
        <f t="shared" ref="C168:W168" si="160">IF(C76=0,0,C76/C$64)</f>
        <v>4.4989852703119587E-2</v>
      </c>
      <c r="D168" s="140">
        <f t="shared" si="160"/>
        <v>4.2358046622290993E-2</v>
      </c>
      <c r="E168" s="140">
        <f t="shared" si="160"/>
        <v>4.5685466404713167E-2</v>
      </c>
      <c r="F168" s="140">
        <f t="shared" si="160"/>
        <v>4.7541601685800891E-2</v>
      </c>
      <c r="G168" s="140">
        <f t="shared" si="160"/>
        <v>5.0322762681006598E-2</v>
      </c>
      <c r="H168" s="140">
        <f t="shared" si="160"/>
        <v>5.148781231871348E-2</v>
      </c>
      <c r="I168" s="140">
        <f t="shared" si="160"/>
        <v>5.3348334018945717E-2</v>
      </c>
      <c r="J168" s="140">
        <f t="shared" si="160"/>
        <v>5.4413878045167521E-2</v>
      </c>
      <c r="K168" s="140">
        <f t="shared" si="160"/>
        <v>5.2536795999631035E-2</v>
      </c>
      <c r="L168" s="140">
        <f t="shared" si="160"/>
        <v>5.6961552080480579E-2</v>
      </c>
      <c r="M168" s="140">
        <f t="shared" si="160"/>
        <v>5.9062457503651578E-2</v>
      </c>
      <c r="N168" s="140">
        <f t="shared" si="160"/>
        <v>6.1257915633763219E-2</v>
      </c>
      <c r="O168" s="140">
        <f t="shared" si="160"/>
        <v>5.7840159553997184E-2</v>
      </c>
      <c r="P168" s="140">
        <f t="shared" si="160"/>
        <v>5.5768587329441677E-2</v>
      </c>
      <c r="Q168" s="140">
        <f t="shared" si="160"/>
        <v>5.6122960567230352E-2</v>
      </c>
      <c r="R168" s="140">
        <f t="shared" si="160"/>
        <v>5.5918629645608148E-2</v>
      </c>
      <c r="S168" s="140">
        <f t="shared" si="160"/>
        <v>5.7079432474720811E-2</v>
      </c>
      <c r="T168" s="140">
        <f t="shared" si="160"/>
        <v>6.3815862959956282E-2</v>
      </c>
      <c r="U168" s="140">
        <f t="shared" si="160"/>
        <v>6.6831215771694749E-2</v>
      </c>
      <c r="V168" s="140">
        <f t="shared" si="160"/>
        <v>3.5884567208532302E-2</v>
      </c>
      <c r="W168" s="140">
        <f t="shared" si="160"/>
        <v>3.2094239164393391E-2</v>
      </c>
      <c r="X168" s="140">
        <f t="shared" ref="X168:Y168" si="161">IF(X76=0,0,X76/X$64)</f>
        <v>4.9857258275895655E-2</v>
      </c>
      <c r="Y168" s="140">
        <f t="shared" si="161"/>
        <v>6.1831910229474409E-2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0.8701687345284308</v>
      </c>
      <c r="C170" s="139">
        <f t="shared" ref="C170:W170" si="165">IF(C78=0,0,C78/C$77)</f>
        <v>0.87944367255840938</v>
      </c>
      <c r="D170" s="139">
        <f t="shared" si="165"/>
        <v>0.87308755183471376</v>
      </c>
      <c r="E170" s="139">
        <f t="shared" si="165"/>
        <v>0.86737195944712242</v>
      </c>
      <c r="F170" s="139">
        <f t="shared" si="165"/>
        <v>0.87210900860588014</v>
      </c>
      <c r="G170" s="139">
        <f t="shared" si="165"/>
        <v>0.87946103921475693</v>
      </c>
      <c r="H170" s="139">
        <f t="shared" si="165"/>
        <v>0.87203230187522385</v>
      </c>
      <c r="I170" s="139">
        <f t="shared" si="165"/>
        <v>0.8768367252722431</v>
      </c>
      <c r="J170" s="139">
        <f t="shared" si="165"/>
        <v>0.85716595661838202</v>
      </c>
      <c r="K170" s="139">
        <f t="shared" si="165"/>
        <v>0.86301297055980974</v>
      </c>
      <c r="L170" s="139">
        <f t="shared" si="165"/>
        <v>0.86782548534692483</v>
      </c>
      <c r="M170" s="139">
        <f t="shared" si="165"/>
        <v>0.87650283345359381</v>
      </c>
      <c r="N170" s="139">
        <f t="shared" si="165"/>
        <v>0.88507978566374368</v>
      </c>
      <c r="O170" s="139">
        <f t="shared" si="165"/>
        <v>0.86640639685039322</v>
      </c>
      <c r="P170" s="139">
        <f t="shared" si="165"/>
        <v>0.86950977939560781</v>
      </c>
      <c r="Q170" s="139">
        <f t="shared" si="165"/>
        <v>0.85601891782774708</v>
      </c>
      <c r="R170" s="139">
        <f t="shared" si="165"/>
        <v>0.84023399195232773</v>
      </c>
      <c r="S170" s="139">
        <f t="shared" si="165"/>
        <v>0.82625712343455826</v>
      </c>
      <c r="T170" s="139">
        <f t="shared" si="165"/>
        <v>0.87854605776015071</v>
      </c>
      <c r="U170" s="139">
        <f t="shared" si="165"/>
        <v>0.88396761213718256</v>
      </c>
      <c r="V170" s="139">
        <f t="shared" si="165"/>
        <v>0.87634026424290012</v>
      </c>
      <c r="W170" s="139">
        <f t="shared" si="165"/>
        <v>0.90867905437481689</v>
      </c>
      <c r="X170" s="139">
        <f t="shared" ref="X170:Y170" si="166">IF(X78=0,0,X78/X$77)</f>
        <v>0.92187628122609599</v>
      </c>
      <c r="Y170" s="139">
        <f t="shared" si="166"/>
        <v>0.92121810715646879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0.64558913084955361</v>
      </c>
      <c r="C171" s="140">
        <f t="shared" ref="C171:W171" si="167">IF(C79=0,0,C79/C$77)</f>
        <v>0.55931997300425673</v>
      </c>
      <c r="D171" s="140">
        <f t="shared" si="167"/>
        <v>0.55270884780772622</v>
      </c>
      <c r="E171" s="140">
        <f t="shared" si="167"/>
        <v>0.56426264593692577</v>
      </c>
      <c r="F171" s="140">
        <f t="shared" si="167"/>
        <v>0.56515489485674408</v>
      </c>
      <c r="G171" s="140">
        <f t="shared" si="167"/>
        <v>0.57306624439512421</v>
      </c>
      <c r="H171" s="140">
        <f t="shared" si="167"/>
        <v>0.51148011211134436</v>
      </c>
      <c r="I171" s="140">
        <f t="shared" si="167"/>
        <v>0.52842785094895051</v>
      </c>
      <c r="J171" s="140">
        <f t="shared" si="167"/>
        <v>0.5626037861327926</v>
      </c>
      <c r="K171" s="140">
        <f t="shared" si="167"/>
        <v>0.61481462676395782</v>
      </c>
      <c r="L171" s="140">
        <f t="shared" si="167"/>
        <v>0.63847848253784234</v>
      </c>
      <c r="M171" s="140">
        <f t="shared" si="167"/>
        <v>0.63192719432019062</v>
      </c>
      <c r="N171" s="140">
        <f t="shared" si="167"/>
        <v>0.57826390478296552</v>
      </c>
      <c r="O171" s="140">
        <f t="shared" si="167"/>
        <v>0.5784251714219153</v>
      </c>
      <c r="P171" s="140">
        <f t="shared" si="167"/>
        <v>0.58874416854374778</v>
      </c>
      <c r="Q171" s="140">
        <f t="shared" si="167"/>
        <v>0.51767307674046537</v>
      </c>
      <c r="R171" s="140">
        <f t="shared" si="167"/>
        <v>0.52278934989218406</v>
      </c>
      <c r="S171" s="140">
        <f t="shared" si="167"/>
        <v>0.60288372026790549</v>
      </c>
      <c r="T171" s="140">
        <f t="shared" si="167"/>
        <v>0.54498249124822185</v>
      </c>
      <c r="U171" s="140">
        <f t="shared" si="167"/>
        <v>0.5493701219515037</v>
      </c>
      <c r="V171" s="140">
        <f t="shared" si="167"/>
        <v>0.58449898854027038</v>
      </c>
      <c r="W171" s="140">
        <f t="shared" si="167"/>
        <v>0.52285148806417425</v>
      </c>
      <c r="X171" s="140">
        <f t="shared" ref="X171:Y171" si="168">IF(X79=0,0,X79/X$77)</f>
        <v>0.42527226787272149</v>
      </c>
      <c r="Y171" s="140">
        <f t="shared" si="168"/>
        <v>0.40069389003365991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0.22457960367887705</v>
      </c>
      <c r="C172" s="140">
        <f t="shared" ref="C172:W172" si="169">IF(C80=0,0,C80/C$77)</f>
        <v>0.32012369955415265</v>
      </c>
      <c r="D172" s="140">
        <f t="shared" si="169"/>
        <v>0.32037870402698754</v>
      </c>
      <c r="E172" s="140">
        <f t="shared" si="169"/>
        <v>0.30310931351019665</v>
      </c>
      <c r="F172" s="140">
        <f t="shared" si="169"/>
        <v>0.306954113749136</v>
      </c>
      <c r="G172" s="140">
        <f t="shared" si="169"/>
        <v>0.30639479481963289</v>
      </c>
      <c r="H172" s="140">
        <f t="shared" si="169"/>
        <v>0.36055218976387954</v>
      </c>
      <c r="I172" s="140">
        <f t="shared" si="169"/>
        <v>0.34840887432329248</v>
      </c>
      <c r="J172" s="140">
        <f t="shared" si="169"/>
        <v>0.29456217048558941</v>
      </c>
      <c r="K172" s="140">
        <f t="shared" si="169"/>
        <v>0.24819834379585198</v>
      </c>
      <c r="L172" s="140">
        <f t="shared" si="169"/>
        <v>0.22934700280908255</v>
      </c>
      <c r="M172" s="140">
        <f t="shared" si="169"/>
        <v>0.24457563913340324</v>
      </c>
      <c r="N172" s="140">
        <f t="shared" si="169"/>
        <v>0.3068158808807781</v>
      </c>
      <c r="O172" s="140">
        <f t="shared" si="169"/>
        <v>0.28798122542847776</v>
      </c>
      <c r="P172" s="140">
        <f t="shared" si="169"/>
        <v>0.28076561085186003</v>
      </c>
      <c r="Q172" s="140">
        <f t="shared" si="169"/>
        <v>0.33834584108728172</v>
      </c>
      <c r="R172" s="140">
        <f t="shared" si="169"/>
        <v>0.31744464206014372</v>
      </c>
      <c r="S172" s="140">
        <f t="shared" si="169"/>
        <v>0.22337340316665277</v>
      </c>
      <c r="T172" s="140">
        <f t="shared" si="169"/>
        <v>0.3335635665119287</v>
      </c>
      <c r="U172" s="140">
        <f t="shared" si="169"/>
        <v>0.3345974901856788</v>
      </c>
      <c r="V172" s="140">
        <f t="shared" si="169"/>
        <v>0.29184127570262963</v>
      </c>
      <c r="W172" s="140">
        <f t="shared" si="169"/>
        <v>0.3858275663106428</v>
      </c>
      <c r="X172" s="140">
        <f t="shared" ref="X172:Y172" si="170">IF(X80=0,0,X80/X$77)</f>
        <v>0.49660401335337462</v>
      </c>
      <c r="Y172" s="140">
        <f t="shared" si="170"/>
        <v>0.52052421712280894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5.9088177977891551E-4</v>
      </c>
      <c r="C173" s="124">
        <f t="shared" ref="C173:W173" si="171">IF(C81=0,0,C81/C$77)</f>
        <v>4.3232141364893167E-4</v>
      </c>
      <c r="D173" s="124">
        <f t="shared" si="171"/>
        <v>4.0851073035033772E-4</v>
      </c>
      <c r="E173" s="124">
        <f t="shared" si="171"/>
        <v>4.2783041326112874E-4</v>
      </c>
      <c r="F173" s="124">
        <f t="shared" si="171"/>
        <v>5.0444653146688632E-4</v>
      </c>
      <c r="G173" s="124">
        <f t="shared" si="171"/>
        <v>3.0378632782530527E-4</v>
      </c>
      <c r="H173" s="124">
        <f t="shared" si="171"/>
        <v>1.3318494964568253E-3</v>
      </c>
      <c r="I173" s="124">
        <f t="shared" si="171"/>
        <v>1.621364021346482E-3</v>
      </c>
      <c r="J173" s="124">
        <f t="shared" si="171"/>
        <v>1.8696799847735793E-3</v>
      </c>
      <c r="K173" s="124">
        <f t="shared" si="171"/>
        <v>1.1750053120874022E-3</v>
      </c>
      <c r="L173" s="124">
        <f t="shared" si="171"/>
        <v>1.0637147649626049E-3</v>
      </c>
      <c r="M173" s="124">
        <f t="shared" si="171"/>
        <v>6.0991697150264304E-4</v>
      </c>
      <c r="N173" s="124">
        <f t="shared" si="171"/>
        <v>6.2522562044992308E-4</v>
      </c>
      <c r="O173" s="124">
        <f t="shared" si="171"/>
        <v>4.9690830094350233E-4</v>
      </c>
      <c r="P173" s="124">
        <f t="shared" si="171"/>
        <v>2.4592039145588274E-4</v>
      </c>
      <c r="Q173" s="124">
        <f t="shared" si="171"/>
        <v>3.292012506049322E-4</v>
      </c>
      <c r="R173" s="124">
        <f t="shared" si="171"/>
        <v>2.5777955986159434E-4</v>
      </c>
      <c r="S173" s="124">
        <f t="shared" si="171"/>
        <v>6.6498820882332889E-4</v>
      </c>
      <c r="T173" s="124">
        <f t="shared" si="171"/>
        <v>7.3918725687055703E-4</v>
      </c>
      <c r="U173" s="124">
        <f t="shared" si="171"/>
        <v>7.6158130753431258E-4</v>
      </c>
      <c r="V173" s="124">
        <f t="shared" si="171"/>
        <v>9.6048215655221685E-4</v>
      </c>
      <c r="W173" s="124">
        <f t="shared" si="171"/>
        <v>7.1299437447118041E-4</v>
      </c>
      <c r="X173" s="124">
        <f t="shared" ref="X173:Y173" si="172">IF(X81=0,0,X81/X$77)</f>
        <v>1.8959911980761284E-4</v>
      </c>
      <c r="Y173" s="124">
        <f t="shared" si="172"/>
        <v>1.8871194964972265E-4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1.4785941700778389E-2</v>
      </c>
      <c r="C174" s="124">
        <f t="shared" ref="C174:W174" si="173">IF(C82=0,0,C82/C$77)</f>
        <v>5.828722829956323E-3</v>
      </c>
      <c r="D174" s="124">
        <f t="shared" si="173"/>
        <v>1.327254047465491E-2</v>
      </c>
      <c r="E174" s="124">
        <f t="shared" si="173"/>
        <v>1.4204935421079486E-2</v>
      </c>
      <c r="F174" s="124">
        <f t="shared" si="173"/>
        <v>1.3675706606476533E-2</v>
      </c>
      <c r="G174" s="124">
        <f t="shared" si="173"/>
        <v>1.4520345359590825E-2</v>
      </c>
      <c r="H174" s="124">
        <f t="shared" si="173"/>
        <v>1.7240077702340453E-2</v>
      </c>
      <c r="I174" s="124">
        <f t="shared" si="173"/>
        <v>1.8448353123371529E-2</v>
      </c>
      <c r="J174" s="124">
        <f t="shared" si="173"/>
        <v>1.8694047153946337E-2</v>
      </c>
      <c r="K174" s="124">
        <f t="shared" si="173"/>
        <v>1.7285341089178192E-2</v>
      </c>
      <c r="L174" s="124">
        <f t="shared" si="173"/>
        <v>2.0507711620116963E-2</v>
      </c>
      <c r="M174" s="124">
        <f t="shared" si="173"/>
        <v>2.0436527758156867E-2</v>
      </c>
      <c r="N174" s="124">
        <f t="shared" si="173"/>
        <v>1.7346092051822373E-2</v>
      </c>
      <c r="O174" s="124">
        <f t="shared" si="173"/>
        <v>2.1186482907734901E-2</v>
      </c>
      <c r="P174" s="124">
        <f t="shared" si="173"/>
        <v>2.0886581328558841E-2</v>
      </c>
      <c r="Q174" s="124">
        <f t="shared" si="173"/>
        <v>2.6779683296162853E-2</v>
      </c>
      <c r="R174" s="124">
        <f t="shared" si="173"/>
        <v>2.9107063204296735E-2</v>
      </c>
      <c r="S174" s="124">
        <f t="shared" si="173"/>
        <v>3.7110511941297615E-2</v>
      </c>
      <c r="T174" s="124">
        <f t="shared" si="173"/>
        <v>3.3140804056807333E-2</v>
      </c>
      <c r="U174" s="124">
        <f t="shared" si="173"/>
        <v>3.2231261352439561E-2</v>
      </c>
      <c r="V174" s="124">
        <f t="shared" si="173"/>
        <v>3.755127914671217E-2</v>
      </c>
      <c r="W174" s="124">
        <f t="shared" si="173"/>
        <v>3.0075669725533497E-2</v>
      </c>
      <c r="X174" s="124">
        <f t="shared" ref="X174:Y174" si="174">IF(X82=0,0,X82/X$77)</f>
        <v>2.2791306521265209E-2</v>
      </c>
      <c r="Y174" s="124">
        <f t="shared" si="174"/>
        <v>2.3584552131797897E-2</v>
      </c>
      <c r="DA174" s="176"/>
    </row>
    <row r="175" spans="1:105" ht="11.45" customHeight="1" x14ac:dyDescent="0.25">
      <c r="A175" s="128" t="s">
        <v>27</v>
      </c>
      <c r="B175" s="140">
        <f t="shared" si="162"/>
        <v>8.3569265189869612E-4</v>
      </c>
      <c r="C175" s="140">
        <f t="shared" ref="C175:W175" si="175">IF(C83=0,0,C83/C$77)</f>
        <v>1.4366607008233854E-3</v>
      </c>
      <c r="D175" s="140">
        <f t="shared" si="175"/>
        <v>1.2139123615327045E-3</v>
      </c>
      <c r="E175" s="140">
        <f t="shared" si="175"/>
        <v>1.2970619417292297E-3</v>
      </c>
      <c r="F175" s="140">
        <f t="shared" si="175"/>
        <v>1.2411370772313361E-3</v>
      </c>
      <c r="G175" s="140">
        <f t="shared" si="175"/>
        <v>1.167132473016921E-3</v>
      </c>
      <c r="H175" s="140">
        <f t="shared" si="175"/>
        <v>1.2286637406540191E-3</v>
      </c>
      <c r="I175" s="140">
        <f t="shared" si="175"/>
        <v>1.2416571346593203E-3</v>
      </c>
      <c r="J175" s="140">
        <f t="shared" si="175"/>
        <v>1.2579540945758586E-3</v>
      </c>
      <c r="K175" s="140">
        <f t="shared" si="175"/>
        <v>1.1523089027806557E-3</v>
      </c>
      <c r="L175" s="140">
        <f t="shared" si="175"/>
        <v>1.1332992909295857E-3</v>
      </c>
      <c r="M175" s="140">
        <f t="shared" si="175"/>
        <v>9.8265321248166941E-4</v>
      </c>
      <c r="N175" s="140">
        <f t="shared" si="175"/>
        <v>8.4444947922105546E-4</v>
      </c>
      <c r="O175" s="140">
        <f t="shared" si="175"/>
        <v>9.893156997576064E-4</v>
      </c>
      <c r="P175" s="140">
        <f t="shared" si="175"/>
        <v>8.6756868495723078E-4</v>
      </c>
      <c r="Q175" s="140">
        <f t="shared" si="175"/>
        <v>9.4887712778176834E-4</v>
      </c>
      <c r="R175" s="140">
        <f t="shared" si="175"/>
        <v>8.2242572997016765E-4</v>
      </c>
      <c r="S175" s="140">
        <f t="shared" si="175"/>
        <v>1.1050628527501307E-3</v>
      </c>
      <c r="T175" s="140">
        <f t="shared" si="175"/>
        <v>1.1178529737635701E-3</v>
      </c>
      <c r="U175" s="140">
        <f t="shared" si="175"/>
        <v>1.0883584845210389E-3</v>
      </c>
      <c r="V175" s="140">
        <f t="shared" si="175"/>
        <v>9.1705493567776253E-4</v>
      </c>
      <c r="W175" s="140">
        <f t="shared" si="175"/>
        <v>8.5569665876574744E-4</v>
      </c>
      <c r="X175" s="140">
        <f t="shared" ref="X175:Y175" si="176">IF(X83=0,0,X83/X$77)</f>
        <v>1.06618307697904E-3</v>
      </c>
      <c r="Y175" s="140">
        <f t="shared" si="176"/>
        <v>1.2359591886485274E-3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1.7560163089805091E-3</v>
      </c>
      <c r="C176" s="140">
        <f t="shared" ref="C176:W176" si="177">IF(C84=0,0,C84/C$77)</f>
        <v>7.941806596148029E-4</v>
      </c>
      <c r="D176" s="140">
        <f t="shared" si="177"/>
        <v>2.9336930354254549E-3</v>
      </c>
      <c r="E176" s="140">
        <f t="shared" si="177"/>
        <v>3.0516916109391647E-3</v>
      </c>
      <c r="F176" s="140">
        <f t="shared" si="177"/>
        <v>3.1688256500202968E-3</v>
      </c>
      <c r="G176" s="140">
        <f t="shared" si="177"/>
        <v>3.0802064995344137E-3</v>
      </c>
      <c r="H176" s="140">
        <f t="shared" si="177"/>
        <v>3.4932433186821038E-3</v>
      </c>
      <c r="I176" s="140">
        <f t="shared" si="177"/>
        <v>3.6528838352761959E-3</v>
      </c>
      <c r="J176" s="140">
        <f t="shared" si="177"/>
        <v>3.7855816097176059E-3</v>
      </c>
      <c r="K176" s="140">
        <f t="shared" si="177"/>
        <v>3.8324441885142311E-3</v>
      </c>
      <c r="L176" s="140">
        <f t="shared" si="177"/>
        <v>3.5271194820768398E-3</v>
      </c>
      <c r="M176" s="140">
        <f t="shared" si="177"/>
        <v>3.1759427647106214E-3</v>
      </c>
      <c r="N176" s="140">
        <f t="shared" si="177"/>
        <v>3.0571191865816612E-3</v>
      </c>
      <c r="O176" s="140">
        <f t="shared" si="177"/>
        <v>3.465341478322777E-3</v>
      </c>
      <c r="P176" s="140">
        <f t="shared" si="177"/>
        <v>3.1123984104988226E-3</v>
      </c>
      <c r="Q176" s="140">
        <f t="shared" si="177"/>
        <v>3.6066334460655397E-3</v>
      </c>
      <c r="R176" s="140">
        <f t="shared" si="177"/>
        <v>3.5431431881081921E-3</v>
      </c>
      <c r="S176" s="140">
        <f t="shared" si="177"/>
        <v>4.5534770731807412E-3</v>
      </c>
      <c r="T176" s="140">
        <f t="shared" si="177"/>
        <v>4.3738840833270273E-3</v>
      </c>
      <c r="U176" s="140">
        <f t="shared" si="177"/>
        <v>4.2639625617339923E-3</v>
      </c>
      <c r="V176" s="140">
        <f t="shared" si="177"/>
        <v>4.5121321108296765E-3</v>
      </c>
      <c r="W176" s="140">
        <f t="shared" si="177"/>
        <v>3.6022227646825005E-3</v>
      </c>
      <c r="X176" s="140">
        <f t="shared" ref="X176:Y176" si="178">IF(X84=0,0,X84/X$77)</f>
        <v>3.87582100038552E-3</v>
      </c>
      <c r="Y176" s="140">
        <f t="shared" si="178"/>
        <v>4.1639845147380941E-3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1.2194232739899185E-2</v>
      </c>
      <c r="C177" s="140">
        <f t="shared" ref="C177:W177" si="179">IF(C85=0,0,C85/C$77)</f>
        <v>3.5978814695181356E-3</v>
      </c>
      <c r="D177" s="140">
        <f t="shared" si="179"/>
        <v>9.1249350776967508E-3</v>
      </c>
      <c r="E177" s="140">
        <f t="shared" si="179"/>
        <v>9.8561818684110916E-3</v>
      </c>
      <c r="F177" s="140">
        <f t="shared" si="179"/>
        <v>9.2657438792248994E-3</v>
      </c>
      <c r="G177" s="140">
        <f t="shared" si="179"/>
        <v>1.0273006387039488E-2</v>
      </c>
      <c r="H177" s="140">
        <f t="shared" si="179"/>
        <v>1.2518170643004331E-2</v>
      </c>
      <c r="I177" s="140">
        <f t="shared" si="179"/>
        <v>1.3553812153436014E-2</v>
      </c>
      <c r="J177" s="140">
        <f t="shared" si="179"/>
        <v>1.3650511449652871E-2</v>
      </c>
      <c r="K177" s="140">
        <f t="shared" si="179"/>
        <v>1.2300587997883304E-2</v>
      </c>
      <c r="L177" s="140">
        <f t="shared" si="179"/>
        <v>1.5847292847110537E-2</v>
      </c>
      <c r="M177" s="140">
        <f t="shared" si="179"/>
        <v>1.6277931780964573E-2</v>
      </c>
      <c r="N177" s="140">
        <f t="shared" si="179"/>
        <v>1.3444523386019657E-2</v>
      </c>
      <c r="O177" s="140">
        <f t="shared" si="179"/>
        <v>1.6731825729654516E-2</v>
      </c>
      <c r="P177" s="140">
        <f t="shared" si="179"/>
        <v>1.6906614233102791E-2</v>
      </c>
      <c r="Q177" s="140">
        <f t="shared" si="179"/>
        <v>2.2224172722315545E-2</v>
      </c>
      <c r="R177" s="140">
        <f t="shared" si="179"/>
        <v>2.4741494286218375E-2</v>
      </c>
      <c r="S177" s="140">
        <f t="shared" si="179"/>
        <v>3.1451972015366744E-2</v>
      </c>
      <c r="T177" s="140">
        <f t="shared" si="179"/>
        <v>2.764906699971674E-2</v>
      </c>
      <c r="U177" s="140">
        <f t="shared" si="179"/>
        <v>2.6878940306184533E-2</v>
      </c>
      <c r="V177" s="140">
        <f t="shared" si="179"/>
        <v>3.2122092100204731E-2</v>
      </c>
      <c r="W177" s="140">
        <f t="shared" si="179"/>
        <v>2.5617750302085251E-2</v>
      </c>
      <c r="X177" s="140">
        <f t="shared" ref="X177:Y177" si="180">IF(X85=0,0,X85/X$77)</f>
        <v>1.7849302443900646E-2</v>
      </c>
      <c r="Y177" s="140">
        <f t="shared" si="180"/>
        <v>1.8184608428411273E-2</v>
      </c>
      <c r="DA177" s="175"/>
    </row>
    <row r="178" spans="1:105" ht="11.45" customHeight="1" x14ac:dyDescent="0.25">
      <c r="A178" s="109" t="s">
        <v>141</v>
      </c>
      <c r="B178" s="124">
        <f t="shared" si="162"/>
        <v>0.11445444199101198</v>
      </c>
      <c r="C178" s="124">
        <f t="shared" ref="C178:W178" si="181">IF(C86=0,0,C86/C$77)</f>
        <v>0.11429528319798551</v>
      </c>
      <c r="D178" s="124">
        <f t="shared" si="181"/>
        <v>0.11323139696028098</v>
      </c>
      <c r="E178" s="124">
        <f t="shared" si="181"/>
        <v>0.11799527471853691</v>
      </c>
      <c r="F178" s="124">
        <f t="shared" si="181"/>
        <v>0.11371083825617652</v>
      </c>
      <c r="G178" s="124">
        <f t="shared" si="181"/>
        <v>0.10571482909782665</v>
      </c>
      <c r="H178" s="124">
        <f t="shared" si="181"/>
        <v>0.1093957709259788</v>
      </c>
      <c r="I178" s="124">
        <f t="shared" si="181"/>
        <v>0.10309355758303881</v>
      </c>
      <c r="J178" s="124">
        <f t="shared" si="181"/>
        <v>0.1222703162428979</v>
      </c>
      <c r="K178" s="124">
        <f t="shared" si="181"/>
        <v>0.11852668303892466</v>
      </c>
      <c r="L178" s="124">
        <f t="shared" si="181"/>
        <v>0.11060308826799568</v>
      </c>
      <c r="M178" s="124">
        <f t="shared" si="181"/>
        <v>0.10245072181674665</v>
      </c>
      <c r="N178" s="124">
        <f t="shared" si="181"/>
        <v>9.6948896663984055E-2</v>
      </c>
      <c r="O178" s="124">
        <f t="shared" si="181"/>
        <v>0.11191021194092839</v>
      </c>
      <c r="P178" s="124">
        <f t="shared" si="181"/>
        <v>0.10935771888437745</v>
      </c>
      <c r="Q178" s="124">
        <f t="shared" si="181"/>
        <v>0.11687219762548526</v>
      </c>
      <c r="R178" s="124">
        <f t="shared" si="181"/>
        <v>0.13040116528351398</v>
      </c>
      <c r="S178" s="124">
        <f t="shared" si="181"/>
        <v>0.13596737641532064</v>
      </c>
      <c r="T178" s="124">
        <f t="shared" si="181"/>
        <v>8.7573950926171304E-2</v>
      </c>
      <c r="U178" s="124">
        <f t="shared" si="181"/>
        <v>8.3039545202843623E-2</v>
      </c>
      <c r="V178" s="124">
        <f t="shared" si="181"/>
        <v>8.5147974453835609E-2</v>
      </c>
      <c r="W178" s="124">
        <f t="shared" si="181"/>
        <v>6.0532281525178408E-2</v>
      </c>
      <c r="X178" s="124">
        <f t="shared" ref="X178:Y178" si="182">IF(X86=0,0,X86/X$77)</f>
        <v>5.5142813132831217E-2</v>
      </c>
      <c r="Y178" s="124">
        <f t="shared" si="182"/>
        <v>5.5008628762083622E-2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0.11360976282032589</v>
      </c>
      <c r="C179" s="140">
        <f t="shared" ref="C179:W179" si="183">IF(C87=0,0,C87/C$77)</f>
        <v>0.11338687974478964</v>
      </c>
      <c r="D179" s="140">
        <f t="shared" si="183"/>
        <v>0.11280926111161788</v>
      </c>
      <c r="E179" s="140">
        <f t="shared" si="183"/>
        <v>0.11758906989927691</v>
      </c>
      <c r="F179" s="140">
        <f t="shared" si="183"/>
        <v>0.1132146788473888</v>
      </c>
      <c r="G179" s="140">
        <f t="shared" si="183"/>
        <v>0.10542666980261939</v>
      </c>
      <c r="H179" s="140">
        <f t="shared" si="183"/>
        <v>0.10907965925921358</v>
      </c>
      <c r="I179" s="140">
        <f t="shared" si="183"/>
        <v>0.10278615223428392</v>
      </c>
      <c r="J179" s="140">
        <f t="shared" si="183"/>
        <v>0.12202868651125194</v>
      </c>
      <c r="K179" s="140">
        <f t="shared" si="183"/>
        <v>0.11839246760965816</v>
      </c>
      <c r="L179" s="140">
        <f t="shared" si="183"/>
        <v>0.1103786521733779</v>
      </c>
      <c r="M179" s="140">
        <f t="shared" si="183"/>
        <v>0.10216899352718224</v>
      </c>
      <c r="N179" s="140">
        <f t="shared" si="183"/>
        <v>9.6780573996362501E-2</v>
      </c>
      <c r="O179" s="140">
        <f t="shared" si="183"/>
        <v>0.11168898306659707</v>
      </c>
      <c r="P179" s="140">
        <f t="shared" si="183"/>
        <v>0.10922785169004179</v>
      </c>
      <c r="Q179" s="140">
        <f t="shared" si="183"/>
        <v>0.1167475916834147</v>
      </c>
      <c r="R179" s="140">
        <f t="shared" si="183"/>
        <v>0.13026824218620436</v>
      </c>
      <c r="S179" s="140">
        <f t="shared" si="183"/>
        <v>0.13585122872555544</v>
      </c>
      <c r="T179" s="140">
        <f t="shared" si="183"/>
        <v>8.7482762268230624E-2</v>
      </c>
      <c r="U179" s="140">
        <f t="shared" si="183"/>
        <v>8.2974754295344066E-2</v>
      </c>
      <c r="V179" s="140">
        <f t="shared" si="183"/>
        <v>8.4980223429241511E-2</v>
      </c>
      <c r="W179" s="140">
        <f t="shared" si="183"/>
        <v>6.0396591506641784E-2</v>
      </c>
      <c r="X179" s="140">
        <f t="shared" ref="X179:Y179" si="184">IF(X87=0,0,X87/X$77)</f>
        <v>5.5070782157755918E-2</v>
      </c>
      <c r="Y179" s="140">
        <f t="shared" si="184"/>
        <v>5.5003456052803011E-2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8.4467917068609653E-4</v>
      </c>
      <c r="C180" s="127">
        <f t="shared" ref="C180:W180" si="185">IF(C88=0,0,C88/C$77)</f>
        <v>9.0840345319585488E-4</v>
      </c>
      <c r="D180" s="127">
        <f t="shared" si="185"/>
        <v>4.2213584866309571E-4</v>
      </c>
      <c r="E180" s="127">
        <f t="shared" si="185"/>
        <v>4.0620481925999216E-4</v>
      </c>
      <c r="F180" s="127">
        <f t="shared" si="185"/>
        <v>4.9615940878772614E-4</v>
      </c>
      <c r="G180" s="127">
        <f t="shared" si="185"/>
        <v>2.8815929520727466E-4</v>
      </c>
      <c r="H180" s="127">
        <f t="shared" si="185"/>
        <v>3.1611166676522501E-4</v>
      </c>
      <c r="I180" s="127">
        <f t="shared" si="185"/>
        <v>3.0740534875489184E-4</v>
      </c>
      <c r="J180" s="127">
        <f t="shared" si="185"/>
        <v>2.4162973164596261E-4</v>
      </c>
      <c r="K180" s="127">
        <f t="shared" si="185"/>
        <v>1.3421542926649735E-4</v>
      </c>
      <c r="L180" s="127">
        <f t="shared" si="185"/>
        <v>2.2443609461777992E-4</v>
      </c>
      <c r="M180" s="127">
        <f t="shared" si="185"/>
        <v>2.8172828956441202E-4</v>
      </c>
      <c r="N180" s="127">
        <f t="shared" si="185"/>
        <v>1.6832266762154943E-4</v>
      </c>
      <c r="O180" s="127">
        <f t="shared" si="185"/>
        <v>2.2122887433132554E-4</v>
      </c>
      <c r="P180" s="127">
        <f t="shared" si="185"/>
        <v>1.2986719433566256E-4</v>
      </c>
      <c r="Q180" s="127">
        <f t="shared" si="185"/>
        <v>1.2460594207054973E-4</v>
      </c>
      <c r="R180" s="127">
        <f t="shared" si="185"/>
        <v>1.3292309730961817E-4</v>
      </c>
      <c r="S180" s="127">
        <f t="shared" si="185"/>
        <v>1.1614768976518492E-4</v>
      </c>
      <c r="T180" s="127">
        <f t="shared" si="185"/>
        <v>9.1188657940681451E-5</v>
      </c>
      <c r="U180" s="127">
        <f t="shared" si="185"/>
        <v>6.4790907499566469E-5</v>
      </c>
      <c r="V180" s="127">
        <f t="shared" si="185"/>
        <v>1.6775102459409727E-4</v>
      </c>
      <c r="W180" s="127">
        <f t="shared" si="185"/>
        <v>1.3569001853662761E-4</v>
      </c>
      <c r="X180" s="127">
        <f t="shared" ref="X180:Y180" si="186">IF(X88=0,0,X88/X$77)</f>
        <v>7.2030975075295544E-5</v>
      </c>
      <c r="Y180" s="127">
        <f t="shared" si="186"/>
        <v>5.1727092806098394E-6</v>
      </c>
      <c r="DA180" s="178"/>
    </row>
    <row r="181" spans="1:105" ht="11.45" customHeight="1" x14ac:dyDescent="0.25">
      <c r="A181" s="27" t="s">
        <v>169</v>
      </c>
      <c r="B181" s="31">
        <f>IF(B89=0,0,B89/B$89)</f>
        <v>1</v>
      </c>
      <c r="C181" s="31">
        <f t="shared" ref="C181:W181" si="187">IF(C89=0,0,C89/C$89)</f>
        <v>1</v>
      </c>
      <c r="D181" s="31">
        <f t="shared" si="187"/>
        <v>1</v>
      </c>
      <c r="E181" s="31">
        <f t="shared" si="187"/>
        <v>1</v>
      </c>
      <c r="F181" s="31">
        <f t="shared" si="187"/>
        <v>1</v>
      </c>
      <c r="G181" s="31">
        <f t="shared" si="187"/>
        <v>1</v>
      </c>
      <c r="H181" s="31">
        <f t="shared" si="187"/>
        <v>1</v>
      </c>
      <c r="I181" s="31">
        <f t="shared" si="187"/>
        <v>1</v>
      </c>
      <c r="J181" s="31">
        <f t="shared" si="187"/>
        <v>1</v>
      </c>
      <c r="K181" s="31">
        <f t="shared" si="187"/>
        <v>1</v>
      </c>
      <c r="L181" s="31">
        <f t="shared" si="187"/>
        <v>1</v>
      </c>
      <c r="M181" s="31">
        <f t="shared" si="187"/>
        <v>1</v>
      </c>
      <c r="N181" s="31">
        <f t="shared" si="187"/>
        <v>1</v>
      </c>
      <c r="O181" s="31">
        <f t="shared" si="187"/>
        <v>1</v>
      </c>
      <c r="P181" s="31">
        <f t="shared" si="187"/>
        <v>1</v>
      </c>
      <c r="Q181" s="31">
        <f t="shared" si="187"/>
        <v>1</v>
      </c>
      <c r="R181" s="31">
        <f t="shared" si="187"/>
        <v>1</v>
      </c>
      <c r="S181" s="31">
        <f t="shared" si="187"/>
        <v>1</v>
      </c>
      <c r="T181" s="31">
        <f t="shared" si="187"/>
        <v>1</v>
      </c>
      <c r="U181" s="31">
        <f t="shared" si="187"/>
        <v>1</v>
      </c>
      <c r="V181" s="31">
        <f t="shared" si="187"/>
        <v>1</v>
      </c>
      <c r="W181" s="31">
        <f t="shared" si="187"/>
        <v>1</v>
      </c>
      <c r="X181" s="31">
        <f t="shared" ref="X181:Y181" si="188">IF(X89=0,0,X89/X$89)</f>
        <v>1</v>
      </c>
      <c r="Y181" s="31">
        <f t="shared" si="188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0.37940758284087439</v>
      </c>
      <c r="C182" s="140">
        <f t="shared" ref="C182:W182" si="189">IF(C90=0,0,C90/C$89)</f>
        <v>0.37195812145788426</v>
      </c>
      <c r="D182" s="140">
        <f t="shared" si="189"/>
        <v>0.38579057109812553</v>
      </c>
      <c r="E182" s="140">
        <f t="shared" si="189"/>
        <v>0.38024019523920743</v>
      </c>
      <c r="F182" s="140">
        <f t="shared" si="189"/>
        <v>0.36625597058287646</v>
      </c>
      <c r="G182" s="140">
        <f t="shared" si="189"/>
        <v>0.35886421134368102</v>
      </c>
      <c r="H182" s="140">
        <f t="shared" si="189"/>
        <v>0.35651794183689739</v>
      </c>
      <c r="I182" s="140">
        <f t="shared" si="189"/>
        <v>0.35072464392386249</v>
      </c>
      <c r="J182" s="140">
        <f t="shared" si="189"/>
        <v>0.38333720562863177</v>
      </c>
      <c r="K182" s="140">
        <f t="shared" si="189"/>
        <v>0.37140104447237404</v>
      </c>
      <c r="L182" s="140">
        <f t="shared" si="189"/>
        <v>0.38781282691970681</v>
      </c>
      <c r="M182" s="140">
        <f t="shared" si="189"/>
        <v>0.38316296951000883</v>
      </c>
      <c r="N182" s="140">
        <f t="shared" si="189"/>
        <v>0.39391304031783797</v>
      </c>
      <c r="O182" s="140">
        <f t="shared" si="189"/>
        <v>0.42253043472353596</v>
      </c>
      <c r="P182" s="140">
        <f t="shared" si="189"/>
        <v>0.41397966503107486</v>
      </c>
      <c r="Q182" s="140">
        <f t="shared" si="189"/>
        <v>0.40271114017658743</v>
      </c>
      <c r="R182" s="140">
        <f t="shared" si="189"/>
        <v>0.42321194231089609</v>
      </c>
      <c r="S182" s="140">
        <f t="shared" si="189"/>
        <v>0.43060780105858476</v>
      </c>
      <c r="T182" s="140">
        <f t="shared" si="189"/>
        <v>0.46034102300581864</v>
      </c>
      <c r="U182" s="140">
        <f t="shared" si="189"/>
        <v>0.44336224995078288</v>
      </c>
      <c r="V182" s="140">
        <f t="shared" si="189"/>
        <v>0.39590540646821915</v>
      </c>
      <c r="W182" s="140">
        <f t="shared" si="189"/>
        <v>0.38516510737998416</v>
      </c>
      <c r="X182" s="140">
        <f t="shared" ref="X182:Y182" si="190">IF(X90=0,0,X90/X$89)</f>
        <v>0.41960879163304377</v>
      </c>
      <c r="Y182" s="140">
        <f t="shared" si="190"/>
        <v>0.42288969998801529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0.62059241715912572</v>
      </c>
      <c r="C183" s="127">
        <f t="shared" ref="C183:W183" si="191">IF(C91=0,0,C91/C$89)</f>
        <v>0.62804187854211579</v>
      </c>
      <c r="D183" s="127">
        <f t="shared" si="191"/>
        <v>0.61420942890187447</v>
      </c>
      <c r="E183" s="127">
        <f t="shared" si="191"/>
        <v>0.61975980476079262</v>
      </c>
      <c r="F183" s="127">
        <f t="shared" si="191"/>
        <v>0.6337440294171236</v>
      </c>
      <c r="G183" s="127">
        <f t="shared" si="191"/>
        <v>0.64113578865631893</v>
      </c>
      <c r="H183" s="127">
        <f t="shared" si="191"/>
        <v>0.64348205816310267</v>
      </c>
      <c r="I183" s="127">
        <f t="shared" si="191"/>
        <v>0.64927535607613751</v>
      </c>
      <c r="J183" s="127">
        <f t="shared" si="191"/>
        <v>0.61666279437136817</v>
      </c>
      <c r="K183" s="127">
        <f t="shared" si="191"/>
        <v>0.62859895552762601</v>
      </c>
      <c r="L183" s="127">
        <f t="shared" si="191"/>
        <v>0.61218717308029302</v>
      </c>
      <c r="M183" s="127">
        <f t="shared" si="191"/>
        <v>0.61683703048999117</v>
      </c>
      <c r="N183" s="127">
        <f t="shared" si="191"/>
        <v>0.60608695968216209</v>
      </c>
      <c r="O183" s="127">
        <f t="shared" si="191"/>
        <v>0.57746956527646409</v>
      </c>
      <c r="P183" s="127">
        <f t="shared" si="191"/>
        <v>0.58602033496892514</v>
      </c>
      <c r="Q183" s="127">
        <f t="shared" si="191"/>
        <v>0.59728885982341251</v>
      </c>
      <c r="R183" s="127">
        <f t="shared" si="191"/>
        <v>0.57678805768910379</v>
      </c>
      <c r="S183" s="127">
        <f t="shared" si="191"/>
        <v>0.56939219894141524</v>
      </c>
      <c r="T183" s="127">
        <f t="shared" si="191"/>
        <v>0.53965897699418142</v>
      </c>
      <c r="U183" s="127">
        <f t="shared" si="191"/>
        <v>0.55663775004921701</v>
      </c>
      <c r="V183" s="127">
        <f t="shared" si="191"/>
        <v>0.60409459353178085</v>
      </c>
      <c r="W183" s="127">
        <f t="shared" si="191"/>
        <v>0.61483489262001589</v>
      </c>
      <c r="X183" s="127">
        <f t="shared" ref="X183:Y183" si="192">IF(X91=0,0,X91/X$89)</f>
        <v>0.58039120836695635</v>
      </c>
      <c r="Y183" s="127">
        <f t="shared" si="192"/>
        <v>0.57711030001198471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31.545756742144452</v>
      </c>
      <c r="C186" s="32">
        <f t="shared" si="193"/>
        <v>31.421832618250164</v>
      </c>
      <c r="D186" s="32">
        <f t="shared" si="193"/>
        <v>31.922022019737824</v>
      </c>
      <c r="E186" s="32">
        <f t="shared" si="193"/>
        <v>31.820983093317274</v>
      </c>
      <c r="F186" s="32">
        <f t="shared" si="193"/>
        <v>31.475895911652959</v>
      </c>
      <c r="G186" s="32">
        <f t="shared" si="193"/>
        <v>31.747221422152748</v>
      </c>
      <c r="H186" s="32">
        <f t="shared" si="193"/>
        <v>32.644155750462467</v>
      </c>
      <c r="I186" s="32">
        <f t="shared" si="193"/>
        <v>32.553998834257911</v>
      </c>
      <c r="J186" s="32">
        <f t="shared" si="193"/>
        <v>32.051508961086235</v>
      </c>
      <c r="K186" s="32">
        <f t="shared" si="193"/>
        <v>30.590966098167847</v>
      </c>
      <c r="L186" s="32">
        <f t="shared" si="193"/>
        <v>30.37179958161785</v>
      </c>
      <c r="M186" s="32">
        <f t="shared" si="193"/>
        <v>30.809738967826227</v>
      </c>
      <c r="N186" s="32">
        <f t="shared" si="193"/>
        <v>31.782018668084596</v>
      </c>
      <c r="O186" s="32">
        <f t="shared" si="193"/>
        <v>30.976871375936973</v>
      </c>
      <c r="P186" s="32">
        <f t="shared" si="193"/>
        <v>31.558485843597854</v>
      </c>
      <c r="Q186" s="32">
        <f t="shared" si="193"/>
        <v>30.626632430164648</v>
      </c>
      <c r="R186" s="32">
        <f t="shared" si="193"/>
        <v>29.783882701397197</v>
      </c>
      <c r="S186" s="32">
        <f t="shared" si="193"/>
        <v>28.251126212429511</v>
      </c>
      <c r="T186" s="32">
        <f t="shared" si="193"/>
        <v>28.983545858973557</v>
      </c>
      <c r="U186" s="32">
        <f t="shared" si="193"/>
        <v>28.644282436122602</v>
      </c>
      <c r="V186" s="32">
        <f t="shared" si="193"/>
        <v>36.627985867354447</v>
      </c>
      <c r="W186" s="32">
        <f t="shared" si="193"/>
        <v>33.564566983196471</v>
      </c>
      <c r="X186" s="32">
        <f t="shared" si="193"/>
        <v>31.830367510933385</v>
      </c>
      <c r="Y186" s="32">
        <f t="shared" si="193"/>
        <v>29.84093315838734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31.721516449106126</v>
      </c>
      <c r="C187" s="141">
        <f t="shared" si="194"/>
        <v>31.656802147928687</v>
      </c>
      <c r="D187" s="141">
        <f t="shared" si="194"/>
        <v>32.315573387250467</v>
      </c>
      <c r="E187" s="141">
        <f t="shared" si="194"/>
        <v>31.938535622169923</v>
      </c>
      <c r="F187" s="141">
        <f t="shared" si="194"/>
        <v>32.041451927239372</v>
      </c>
      <c r="G187" s="141">
        <f t="shared" si="194"/>
        <v>32.495851080593681</v>
      </c>
      <c r="H187" s="141">
        <f t="shared" si="194"/>
        <v>33.487339157573928</v>
      </c>
      <c r="I187" s="141">
        <f t="shared" si="194"/>
        <v>33.471061139579817</v>
      </c>
      <c r="J187" s="141">
        <f t="shared" si="194"/>
        <v>32.877043132998466</v>
      </c>
      <c r="K187" s="141">
        <f t="shared" si="194"/>
        <v>31.317014575210752</v>
      </c>
      <c r="L187" s="141">
        <f t="shared" si="194"/>
        <v>31.112854518705014</v>
      </c>
      <c r="M187" s="141">
        <f t="shared" si="194"/>
        <v>31.726194630964482</v>
      </c>
      <c r="N187" s="141">
        <f t="shared" si="194"/>
        <v>33.154579552617477</v>
      </c>
      <c r="O187" s="141">
        <f t="shared" si="194"/>
        <v>32.30741329665284</v>
      </c>
      <c r="P187" s="141">
        <f t="shared" si="194"/>
        <v>33.114360926163371</v>
      </c>
      <c r="Q187" s="141">
        <f t="shared" si="194"/>
        <v>32.110712927542671</v>
      </c>
      <c r="R187" s="141">
        <f t="shared" si="194"/>
        <v>31.103821835306803</v>
      </c>
      <c r="S187" s="141">
        <f t="shared" si="194"/>
        <v>29.350760428543005</v>
      </c>
      <c r="T187" s="141">
        <f t="shared" si="194"/>
        <v>30.105015459507932</v>
      </c>
      <c r="U187" s="141">
        <f t="shared" si="194"/>
        <v>29.87178581937436</v>
      </c>
      <c r="V187" s="141">
        <f t="shared" si="194"/>
        <v>37.318015502307595</v>
      </c>
      <c r="W187" s="141">
        <f t="shared" si="194"/>
        <v>34.351646588471738</v>
      </c>
      <c r="X187" s="141">
        <f t="shared" si="194"/>
        <v>33.894569971838209</v>
      </c>
      <c r="Y187" s="141">
        <f t="shared" si="194"/>
        <v>31.719508628936257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31.367498763112803</v>
      </c>
      <c r="C188" s="97">
        <f t="shared" si="195"/>
        <v>30.545536501727835</v>
      </c>
      <c r="D188" s="97">
        <f t="shared" si="195"/>
        <v>30.36518687527035</v>
      </c>
      <c r="E188" s="97">
        <f t="shared" si="195"/>
        <v>30.061061755623292</v>
      </c>
      <c r="F188" s="97">
        <f t="shared" si="195"/>
        <v>29.434020369281562</v>
      </c>
      <c r="G188" s="97">
        <f t="shared" si="195"/>
        <v>29.327461383420644</v>
      </c>
      <c r="H188" s="97">
        <f t="shared" si="195"/>
        <v>28.648221370573662</v>
      </c>
      <c r="I188" s="97">
        <f t="shared" si="195"/>
        <v>28.641618679101853</v>
      </c>
      <c r="J188" s="97">
        <f t="shared" si="195"/>
        <v>28.022348631694655</v>
      </c>
      <c r="K188" s="97">
        <f t="shared" si="195"/>
        <v>28.504447673661556</v>
      </c>
      <c r="L188" s="97">
        <f t="shared" si="195"/>
        <v>28.665789884929875</v>
      </c>
      <c r="M188" s="97">
        <f t="shared" si="195"/>
        <v>27.040200301489762</v>
      </c>
      <c r="N188" s="97">
        <f t="shared" si="195"/>
        <v>26.351297467397639</v>
      </c>
      <c r="O188" s="97">
        <f t="shared" si="195"/>
        <v>25.966066524051321</v>
      </c>
      <c r="P188" s="97">
        <f t="shared" si="195"/>
        <v>26.359300198007993</v>
      </c>
      <c r="Q188" s="97">
        <f t="shared" si="195"/>
        <v>27.300122433782978</v>
      </c>
      <c r="R188" s="97">
        <f t="shared" si="195"/>
        <v>27.171714678528826</v>
      </c>
      <c r="S188" s="97">
        <f t="shared" si="195"/>
        <v>26.954080325420016</v>
      </c>
      <c r="T188" s="97">
        <f t="shared" si="195"/>
        <v>26.858892889425878</v>
      </c>
      <c r="U188" s="97">
        <f t="shared" si="195"/>
        <v>26.732285994547233</v>
      </c>
      <c r="V188" s="97">
        <f t="shared" si="195"/>
        <v>26.696818731496396</v>
      </c>
      <c r="W188" s="97">
        <f t="shared" si="195"/>
        <v>26.448056780884251</v>
      </c>
      <c r="X188" s="97">
        <f t="shared" si="195"/>
        <v>26.367941587367</v>
      </c>
      <c r="Y188" s="97">
        <f t="shared" si="195"/>
        <v>26.325223714622354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32.918503464625701</v>
      </c>
      <c r="C189" s="97">
        <f t="shared" si="196"/>
        <v>32.976506638201819</v>
      </c>
      <c r="D189" s="97">
        <f t="shared" si="196"/>
        <v>33.819041430971737</v>
      </c>
      <c r="E189" s="97">
        <f t="shared" si="196"/>
        <v>33.43443093262421</v>
      </c>
      <c r="F189" s="97">
        <f t="shared" si="196"/>
        <v>33.639656080636811</v>
      </c>
      <c r="G189" s="97">
        <f t="shared" si="196"/>
        <v>34.374988324724612</v>
      </c>
      <c r="H189" s="97">
        <f t="shared" si="196"/>
        <v>35.702622917713065</v>
      </c>
      <c r="I189" s="97">
        <f t="shared" si="196"/>
        <v>35.627757600509391</v>
      </c>
      <c r="J189" s="97">
        <f t="shared" si="196"/>
        <v>34.927112953472907</v>
      </c>
      <c r="K189" s="97">
        <f t="shared" si="196"/>
        <v>32.859218286620504</v>
      </c>
      <c r="L189" s="97">
        <f t="shared" si="196"/>
        <v>32.626044896986677</v>
      </c>
      <c r="M189" s="97">
        <f t="shared" si="196"/>
        <v>33.480063573829099</v>
      </c>
      <c r="N189" s="97">
        <f t="shared" si="196"/>
        <v>35.662762715995434</v>
      </c>
      <c r="O189" s="97">
        <f t="shared" si="196"/>
        <v>34.466653014809943</v>
      </c>
      <c r="P189" s="97">
        <f t="shared" si="196"/>
        <v>35.381442596870379</v>
      </c>
      <c r="Q189" s="97">
        <f t="shared" si="196"/>
        <v>33.882980577467116</v>
      </c>
      <c r="R189" s="97">
        <f t="shared" si="196"/>
        <v>32.635655885206617</v>
      </c>
      <c r="S189" s="97">
        <f t="shared" si="196"/>
        <v>30.457479942961161</v>
      </c>
      <c r="T189" s="97">
        <f t="shared" si="196"/>
        <v>31.47226592663354</v>
      </c>
      <c r="U189" s="97">
        <f t="shared" si="196"/>
        <v>31.128047514582686</v>
      </c>
      <c r="V189" s="97">
        <f t="shared" si="196"/>
        <v>37.975045978884104</v>
      </c>
      <c r="W189" s="97">
        <f t="shared" si="196"/>
        <v>35.405439180393458</v>
      </c>
      <c r="X189" s="97">
        <f t="shared" si="196"/>
        <v>35.473952755986438</v>
      </c>
      <c r="Y189" s="97">
        <f t="shared" si="196"/>
        <v>32.637696547447938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22.747348987272936</v>
      </c>
      <c r="C190" s="97">
        <f t="shared" si="197"/>
        <v>22.305595500613755</v>
      </c>
      <c r="D190" s="97">
        <f t="shared" si="197"/>
        <v>22.102025220131562</v>
      </c>
      <c r="E190" s="97">
        <f t="shared" si="197"/>
        <v>21.832498601698202</v>
      </c>
      <c r="F190" s="97">
        <f t="shared" si="197"/>
        <v>21.696864760197833</v>
      </c>
      <c r="G190" s="97">
        <f t="shared" si="197"/>
        <v>21.461903457761547</v>
      </c>
      <c r="H190" s="97">
        <f t="shared" si="197"/>
        <v>21.202476008116104</v>
      </c>
      <c r="I190" s="97">
        <f t="shared" si="197"/>
        <v>21.223822910328931</v>
      </c>
      <c r="J190" s="97">
        <f t="shared" si="197"/>
        <v>21.454367439413112</v>
      </c>
      <c r="K190" s="97">
        <f t="shared" si="197"/>
        <v>21.509376158887306</v>
      </c>
      <c r="L190" s="97">
        <f t="shared" si="197"/>
        <v>21.737027908272506</v>
      </c>
      <c r="M190" s="97">
        <f t="shared" si="197"/>
        <v>22.322488316482676</v>
      </c>
      <c r="N190" s="97">
        <f t="shared" si="197"/>
        <v>21.704921027931746</v>
      </c>
      <c r="O190" s="97">
        <f t="shared" si="197"/>
        <v>21.730243875842117</v>
      </c>
      <c r="P190" s="97">
        <f t="shared" si="197"/>
        <v>21.631030451108099</v>
      </c>
      <c r="Q190" s="97">
        <f t="shared" si="197"/>
        <v>22.250726676723094</v>
      </c>
      <c r="R190" s="97">
        <f t="shared" si="197"/>
        <v>22.085771927903924</v>
      </c>
      <c r="S190" s="97">
        <f t="shared" si="197"/>
        <v>22.197709632098931</v>
      </c>
      <c r="T190" s="97">
        <f t="shared" si="197"/>
        <v>21.631080798852643</v>
      </c>
      <c r="U190" s="97">
        <f t="shared" si="197"/>
        <v>22.214560935734667</v>
      </c>
      <c r="V190" s="97">
        <f t="shared" si="197"/>
        <v>38.268202030581044</v>
      </c>
      <c r="W190" s="97">
        <f t="shared" si="197"/>
        <v>30.161907651730669</v>
      </c>
      <c r="X190" s="97">
        <f t="shared" si="197"/>
        <v>26.005792161264569</v>
      </c>
      <c r="Y190" s="97">
        <f t="shared" si="197"/>
        <v>26.715418439630447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8.2509196447213498</v>
      </c>
      <c r="C191" s="130">
        <f t="shared" si="198"/>
        <v>7.8033414707893671</v>
      </c>
      <c r="D191" s="130">
        <f t="shared" si="198"/>
        <v>8.0585883423509141</v>
      </c>
      <c r="E191" s="130">
        <f t="shared" si="198"/>
        <v>8.4331489965797122</v>
      </c>
      <c r="F191" s="130">
        <f t="shared" si="198"/>
        <v>7.8240976170151093</v>
      </c>
      <c r="G191" s="130">
        <f t="shared" si="198"/>
        <v>7.5806137816412482</v>
      </c>
      <c r="H191" s="130">
        <f t="shared" si="198"/>
        <v>7.3634465646978526</v>
      </c>
      <c r="I191" s="130">
        <f t="shared" si="198"/>
        <v>7.223823992844058</v>
      </c>
      <c r="J191" s="130">
        <f t="shared" si="198"/>
        <v>6.8895295394493852</v>
      </c>
      <c r="K191" s="130">
        <f t="shared" si="198"/>
        <v>7.1550728628801767</v>
      </c>
      <c r="L191" s="130">
        <f t="shared" si="198"/>
        <v>7.4964144537448423</v>
      </c>
      <c r="M191" s="130">
        <f t="shared" si="198"/>
        <v>7.3376944251631491</v>
      </c>
      <c r="N191" s="130">
        <f t="shared" si="198"/>
        <v>7.7269488973192129</v>
      </c>
      <c r="O191" s="130">
        <f t="shared" si="198"/>
        <v>7.5524418840342484</v>
      </c>
      <c r="P191" s="130">
        <f t="shared" si="198"/>
        <v>6.9576646305499761</v>
      </c>
      <c r="Q191" s="130">
        <f t="shared" si="198"/>
        <v>6.9418507873572084</v>
      </c>
      <c r="R191" s="130">
        <f t="shared" si="198"/>
        <v>7.2128221941478303</v>
      </c>
      <c r="S191" s="130">
        <f t="shared" si="198"/>
        <v>7.4104987256693047</v>
      </c>
      <c r="T191" s="130">
        <f t="shared" si="198"/>
        <v>7.5679769849830141</v>
      </c>
      <c r="U191" s="130">
        <f t="shared" si="198"/>
        <v>7.1334627911978759</v>
      </c>
      <c r="V191" s="130">
        <f t="shared" si="198"/>
        <v>14.313869708904811</v>
      </c>
      <c r="W191" s="130">
        <f t="shared" si="198"/>
        <v>12.254051221238054</v>
      </c>
      <c r="X191" s="130">
        <f t="shared" si="198"/>
        <v>7.831619133387953</v>
      </c>
      <c r="Y191" s="130">
        <f t="shared" si="198"/>
        <v>7.3349253917917405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4.3386526641032459</v>
      </c>
      <c r="C192" s="97">
        <f t="shared" si="199"/>
        <v>4.3234486200850153</v>
      </c>
      <c r="D192" s="97">
        <f t="shared" si="199"/>
        <v>4.2498252043233897</v>
      </c>
      <c r="E192" s="97">
        <f t="shared" si="199"/>
        <v>4.2618380198153707</v>
      </c>
      <c r="F192" s="97">
        <f t="shared" si="199"/>
        <v>4.3690769171342305</v>
      </c>
      <c r="G192" s="97">
        <f t="shared" si="199"/>
        <v>4.311822092016091</v>
      </c>
      <c r="H192" s="97">
        <f t="shared" si="199"/>
        <v>4.2149531253502488</v>
      </c>
      <c r="I192" s="97">
        <f t="shared" si="199"/>
        <v>4.2156953799127521</v>
      </c>
      <c r="J192" s="97">
        <f t="shared" si="199"/>
        <v>4.1585253702262674</v>
      </c>
      <c r="K192" s="97">
        <f t="shared" si="199"/>
        <v>4.141168502017889</v>
      </c>
      <c r="L192" s="97">
        <f t="shared" si="199"/>
        <v>4.0641655439281585</v>
      </c>
      <c r="M192" s="97">
        <f t="shared" si="199"/>
        <v>4.0065375997025905</v>
      </c>
      <c r="N192" s="97">
        <f t="shared" si="199"/>
        <v>3.9432174309144976</v>
      </c>
      <c r="O192" s="97">
        <f t="shared" si="199"/>
        <v>3.8973870074920836</v>
      </c>
      <c r="P192" s="97">
        <f t="shared" si="199"/>
        <v>3.7836555173448532</v>
      </c>
      <c r="Q192" s="97">
        <f t="shared" si="199"/>
        <v>3.6772000240297067</v>
      </c>
      <c r="R192" s="97">
        <f t="shared" si="199"/>
        <v>3.636986172166079</v>
      </c>
      <c r="S192" s="97">
        <f t="shared" si="199"/>
        <v>3.5791095119084448</v>
      </c>
      <c r="T192" s="97">
        <f t="shared" si="199"/>
        <v>3.5348346677030418</v>
      </c>
      <c r="U192" s="97">
        <f t="shared" si="199"/>
        <v>3.5051403588763406</v>
      </c>
      <c r="V192" s="97">
        <f t="shared" si="199"/>
        <v>4.9602541191852234</v>
      </c>
      <c r="W192" s="97">
        <f t="shared" si="199"/>
        <v>4.608186174080676</v>
      </c>
      <c r="X192" s="97">
        <f t="shared" si="199"/>
        <v>4.7607832980316376</v>
      </c>
      <c r="Y192" s="97">
        <f t="shared" si="199"/>
        <v>3.2891468609746939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8.9400936675921834</v>
      </c>
      <c r="C193" s="97">
        <f t="shared" si="200"/>
        <v>8.4607144464803667</v>
      </c>
      <c r="D193" s="97">
        <f t="shared" si="200"/>
        <v>8.8676758208099606</v>
      </c>
      <c r="E193" s="97">
        <f t="shared" si="200"/>
        <v>9.4354761389085908</v>
      </c>
      <c r="F193" s="97">
        <f t="shared" si="200"/>
        <v>8.6742315761613185</v>
      </c>
      <c r="G193" s="97">
        <f t="shared" si="200"/>
        <v>8.4588633128562378</v>
      </c>
      <c r="H193" s="97">
        <f t="shared" si="200"/>
        <v>8.269039991580831</v>
      </c>
      <c r="I193" s="97">
        <f t="shared" si="200"/>
        <v>8.1827349004410728</v>
      </c>
      <c r="J193" s="97">
        <f t="shared" si="200"/>
        <v>7.737358188387625</v>
      </c>
      <c r="K193" s="97">
        <f t="shared" si="200"/>
        <v>8.2899491391146825</v>
      </c>
      <c r="L193" s="97">
        <f t="shared" si="200"/>
        <v>8.8746307009616689</v>
      </c>
      <c r="M193" s="97">
        <f t="shared" si="200"/>
        <v>8.8170564971531675</v>
      </c>
      <c r="N193" s="97">
        <f t="shared" si="200"/>
        <v>9.5282100663560652</v>
      </c>
      <c r="O193" s="97">
        <f t="shared" si="200"/>
        <v>9.3343687169277807</v>
      </c>
      <c r="P193" s="97">
        <f t="shared" si="200"/>
        <v>8.5045980130270351</v>
      </c>
      <c r="Q193" s="97">
        <f t="shared" si="200"/>
        <v>8.5737138253843828</v>
      </c>
      <c r="R193" s="97">
        <f t="shared" si="200"/>
        <v>9.023904701455626</v>
      </c>
      <c r="S193" s="97">
        <f t="shared" si="200"/>
        <v>9.4005261159306368</v>
      </c>
      <c r="T193" s="97">
        <f t="shared" si="200"/>
        <v>9.6917703882867929</v>
      </c>
      <c r="U193" s="97">
        <f t="shared" si="200"/>
        <v>8.9551390113283347</v>
      </c>
      <c r="V193" s="97">
        <f t="shared" si="200"/>
        <v>18.675990193013426</v>
      </c>
      <c r="W193" s="97">
        <f t="shared" si="200"/>
        <v>15.666492778689676</v>
      </c>
      <c r="X193" s="97">
        <f t="shared" si="200"/>
        <v>9.6199780721009969</v>
      </c>
      <c r="Y193" s="97">
        <f t="shared" si="200"/>
        <v>9.2456684333581922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6.5372224824643244</v>
      </c>
      <c r="C194" s="97">
        <f t="shared" si="201"/>
        <v>6.4690705032427802</v>
      </c>
      <c r="D194" s="97">
        <f t="shared" si="201"/>
        <v>6.3985209789545143</v>
      </c>
      <c r="E194" s="97">
        <f t="shared" si="201"/>
        <v>6.2266174854225476</v>
      </c>
      <c r="F194" s="97">
        <f t="shared" si="201"/>
        <v>6.0086039772966444</v>
      </c>
      <c r="G194" s="97">
        <f t="shared" si="201"/>
        <v>5.6211317722002647</v>
      </c>
      <c r="H194" s="97">
        <f t="shared" si="201"/>
        <v>5.3877769953444474</v>
      </c>
      <c r="I194" s="97">
        <f t="shared" si="201"/>
        <v>5.0635559416957392</v>
      </c>
      <c r="J194" s="97">
        <f t="shared" si="201"/>
        <v>5.1255499760554111</v>
      </c>
      <c r="K194" s="97">
        <f t="shared" si="201"/>
        <v>5.1563014173355803</v>
      </c>
      <c r="L194" s="97">
        <f t="shared" si="201"/>
        <v>5.2847032194410648</v>
      </c>
      <c r="M194" s="97">
        <f t="shared" si="201"/>
        <v>5.0992222070180455</v>
      </c>
      <c r="N194" s="97">
        <f t="shared" si="201"/>
        <v>4.878598164242562</v>
      </c>
      <c r="O194" s="97">
        <f t="shared" si="201"/>
        <v>4.62639150304339</v>
      </c>
      <c r="P194" s="97">
        <f t="shared" si="201"/>
        <v>4.3960166363705904</v>
      </c>
      <c r="Q194" s="97">
        <f t="shared" si="201"/>
        <v>4.1701337776252076</v>
      </c>
      <c r="R194" s="97">
        <f t="shared" si="201"/>
        <v>4.1453198048314466</v>
      </c>
      <c r="S194" s="97">
        <f t="shared" si="201"/>
        <v>4.0422483045709434</v>
      </c>
      <c r="T194" s="97">
        <f t="shared" si="201"/>
        <v>3.8632784083743936</v>
      </c>
      <c r="U194" s="97">
        <f t="shared" si="201"/>
        <v>4.0816526055737112</v>
      </c>
      <c r="V194" s="97">
        <f t="shared" si="201"/>
        <v>9.477196351341389</v>
      </c>
      <c r="W194" s="97">
        <f t="shared" si="201"/>
        <v>8.27947350272043</v>
      </c>
      <c r="X194" s="97">
        <f t="shared" si="201"/>
        <v>4.6014411476205916</v>
      </c>
      <c r="Y194" s="97">
        <f t="shared" si="201"/>
        <v>3.8003401050585235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47.900587131386935</v>
      </c>
      <c r="C195" s="130">
        <f t="shared" si="202"/>
        <v>48.793723581483057</v>
      </c>
      <c r="D195" s="130">
        <f t="shared" si="202"/>
        <v>47.068522330244591</v>
      </c>
      <c r="E195" s="130">
        <f t="shared" si="202"/>
        <v>48.517390670028732</v>
      </c>
      <c r="F195" s="130">
        <f t="shared" si="202"/>
        <v>41.377719959828759</v>
      </c>
      <c r="G195" s="130">
        <f t="shared" si="202"/>
        <v>40.162510301165071</v>
      </c>
      <c r="H195" s="130">
        <f t="shared" si="202"/>
        <v>40.529434975195507</v>
      </c>
      <c r="I195" s="130">
        <f t="shared" si="202"/>
        <v>39.241516538988932</v>
      </c>
      <c r="J195" s="130">
        <f t="shared" si="202"/>
        <v>39.681031332688868</v>
      </c>
      <c r="K195" s="130">
        <f t="shared" si="202"/>
        <v>37.758138226679442</v>
      </c>
      <c r="L195" s="130">
        <f t="shared" si="202"/>
        <v>36.536458244918229</v>
      </c>
      <c r="M195" s="130">
        <f t="shared" si="202"/>
        <v>35.807776913369452</v>
      </c>
      <c r="N195" s="130">
        <f t="shared" si="202"/>
        <v>34.56471294723957</v>
      </c>
      <c r="O195" s="130">
        <f t="shared" si="202"/>
        <v>33.678059640819797</v>
      </c>
      <c r="P195" s="130">
        <f t="shared" si="202"/>
        <v>33.142376822305053</v>
      </c>
      <c r="Q195" s="130">
        <f t="shared" si="202"/>
        <v>32.260817221365791</v>
      </c>
      <c r="R195" s="130">
        <f t="shared" si="202"/>
        <v>31.597782739894338</v>
      </c>
      <c r="S195" s="130">
        <f t="shared" si="202"/>
        <v>30.470654116198688</v>
      </c>
      <c r="T195" s="130">
        <f t="shared" si="202"/>
        <v>31.666710399591846</v>
      </c>
      <c r="U195" s="130">
        <f t="shared" si="202"/>
        <v>30.675287617904999</v>
      </c>
      <c r="V195" s="130">
        <f t="shared" si="202"/>
        <v>42.348061081649462</v>
      </c>
      <c r="W195" s="130">
        <f t="shared" si="202"/>
        <v>36.602443854334823</v>
      </c>
      <c r="X195" s="130">
        <f t="shared" si="202"/>
        <v>29.825881667910942</v>
      </c>
      <c r="Y195" s="130">
        <f t="shared" si="202"/>
        <v>28.969569062205998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45.889581638849101</v>
      </c>
      <c r="C196" s="97">
        <f t="shared" si="203"/>
        <v>44.762406878609589</v>
      </c>
      <c r="D196" s="97">
        <f t="shared" si="203"/>
        <v>44.366332602577025</v>
      </c>
      <c r="E196" s="97">
        <f t="shared" si="203"/>
        <v>44.943915844898349</v>
      </c>
      <c r="F196" s="97">
        <f t="shared" si="203"/>
        <v>43.766087477625668</v>
      </c>
      <c r="G196" s="97">
        <f t="shared" si="203"/>
        <v>45.503078330433574</v>
      </c>
      <c r="H196" s="97">
        <f t="shared" si="203"/>
        <v>46.04080491682538</v>
      </c>
      <c r="I196" s="97">
        <f t="shared" si="203"/>
        <v>43.553881058140533</v>
      </c>
      <c r="J196" s="97">
        <f t="shared" si="203"/>
        <v>42.908301854110761</v>
      </c>
      <c r="K196" s="97">
        <f t="shared" si="203"/>
        <v>36.338893375096802</v>
      </c>
      <c r="L196" s="97">
        <f t="shared" si="203"/>
        <v>35.347295842859474</v>
      </c>
      <c r="M196" s="97">
        <f t="shared" si="203"/>
        <v>33.286332105410033</v>
      </c>
      <c r="N196" s="97">
        <f t="shared" si="203"/>
        <v>33.967726256986396</v>
      </c>
      <c r="O196" s="97">
        <f t="shared" si="203"/>
        <v>35.547937815938148</v>
      </c>
      <c r="P196" s="97">
        <f t="shared" si="203"/>
        <v>35.58041852581065</v>
      </c>
      <c r="Q196" s="97">
        <f t="shared" si="203"/>
        <v>35.084173670383471</v>
      </c>
      <c r="R196" s="97">
        <f t="shared" si="203"/>
        <v>34.457388578426418</v>
      </c>
      <c r="S196" s="97">
        <f t="shared" si="203"/>
        <v>36.21998872223147</v>
      </c>
      <c r="T196" s="97">
        <f t="shared" si="203"/>
        <v>39.207556154959484</v>
      </c>
      <c r="U196" s="97">
        <f t="shared" si="203"/>
        <v>39.55445873343303</v>
      </c>
      <c r="V196" s="97">
        <f t="shared" si="203"/>
        <v>37.839378133887969</v>
      </c>
      <c r="W196" s="97">
        <f t="shared" si="203"/>
        <v>29.607033602425322</v>
      </c>
      <c r="X196" s="97">
        <f t="shared" si="203"/>
        <v>33.521217767238937</v>
      </c>
      <c r="Y196" s="97">
        <f t="shared" si="203"/>
        <v>40.148267196512144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51.690715224067759</v>
      </c>
      <c r="C197" s="97">
        <f t="shared" si="204"/>
        <v>52.875322898108358</v>
      </c>
      <c r="D197" s="97">
        <f t="shared" si="204"/>
        <v>50.613775849957456</v>
      </c>
      <c r="E197" s="97">
        <f t="shared" si="204"/>
        <v>51.222187824569573</v>
      </c>
      <c r="F197" s="97">
        <f t="shared" si="204"/>
        <v>42.585523815062423</v>
      </c>
      <c r="G197" s="97">
        <f t="shared" si="204"/>
        <v>39.795237074212771</v>
      </c>
      <c r="H197" s="97">
        <f t="shared" si="204"/>
        <v>39.938601207967039</v>
      </c>
      <c r="I197" s="97">
        <f t="shared" si="204"/>
        <v>40.603461810966188</v>
      </c>
      <c r="J197" s="97">
        <f t="shared" si="204"/>
        <v>40.977838903143429</v>
      </c>
      <c r="K197" s="97">
        <f t="shared" si="204"/>
        <v>38.238797599407135</v>
      </c>
      <c r="L197" s="97">
        <f t="shared" si="204"/>
        <v>37.363430075801489</v>
      </c>
      <c r="M197" s="97">
        <f t="shared" si="204"/>
        <v>34.923264197451196</v>
      </c>
      <c r="N197" s="97">
        <f t="shared" si="204"/>
        <v>33.751380451313572</v>
      </c>
      <c r="O197" s="97">
        <f t="shared" si="204"/>
        <v>32.202917099033627</v>
      </c>
      <c r="P197" s="97">
        <f t="shared" si="204"/>
        <v>31.709970467074694</v>
      </c>
      <c r="Q197" s="97">
        <f t="shared" si="204"/>
        <v>30.117381030639262</v>
      </c>
      <c r="R197" s="97">
        <f t="shared" si="204"/>
        <v>29.973057156659969</v>
      </c>
      <c r="S197" s="97">
        <f t="shared" si="204"/>
        <v>29.322595841179456</v>
      </c>
      <c r="T197" s="97">
        <f t="shared" si="204"/>
        <v>31.204517227759769</v>
      </c>
      <c r="U197" s="97">
        <f t="shared" si="204"/>
        <v>30.373274305078816</v>
      </c>
      <c r="V197" s="97">
        <f t="shared" si="204"/>
        <v>35.165345930351123</v>
      </c>
      <c r="W197" s="97">
        <f t="shared" si="204"/>
        <v>29.750663825879386</v>
      </c>
      <c r="X197" s="97">
        <f t="shared" si="204"/>
        <v>26.285704070695793</v>
      </c>
      <c r="Y197" s="97">
        <f t="shared" si="204"/>
        <v>27.386477197761899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45.876560596987296</v>
      </c>
      <c r="C198" s="97">
        <f t="shared" si="205"/>
        <v>47.47555201671409</v>
      </c>
      <c r="D198" s="97">
        <f t="shared" si="205"/>
        <v>45.553421153000535</v>
      </c>
      <c r="E198" s="97">
        <f t="shared" si="205"/>
        <v>47.968809900973476</v>
      </c>
      <c r="F198" s="97">
        <f t="shared" si="205"/>
        <v>39.458558531139801</v>
      </c>
      <c r="G198" s="97">
        <f t="shared" si="205"/>
        <v>38.376372979746598</v>
      </c>
      <c r="H198" s="97">
        <f t="shared" si="205"/>
        <v>38.846108297554466</v>
      </c>
      <c r="I198" s="97">
        <f t="shared" si="205"/>
        <v>36.40724007158655</v>
      </c>
      <c r="J198" s="97">
        <f t="shared" si="205"/>
        <v>37.347405268347494</v>
      </c>
      <c r="K198" s="97">
        <f t="shared" si="205"/>
        <v>38.014015455446078</v>
      </c>
      <c r="L198" s="97">
        <f t="shared" si="205"/>
        <v>36.410877897547451</v>
      </c>
      <c r="M198" s="97">
        <f t="shared" si="205"/>
        <v>37.794304080274742</v>
      </c>
      <c r="N198" s="97">
        <f t="shared" si="205"/>
        <v>35.511063848674183</v>
      </c>
      <c r="O198" s="97">
        <f t="shared" si="205"/>
        <v>34.150622908052284</v>
      </c>
      <c r="P198" s="97">
        <f t="shared" si="205"/>
        <v>33.449319368732461</v>
      </c>
      <c r="Q198" s="97">
        <f t="shared" si="205"/>
        <v>33.059719418334588</v>
      </c>
      <c r="R198" s="97">
        <f t="shared" si="205"/>
        <v>31.989169750169015</v>
      </c>
      <c r="S198" s="97">
        <f t="shared" si="205"/>
        <v>29.35169038651371</v>
      </c>
      <c r="T198" s="97">
        <f t="shared" si="205"/>
        <v>29.433955752576576</v>
      </c>
      <c r="U198" s="97">
        <f t="shared" si="205"/>
        <v>28.067249947600359</v>
      </c>
      <c r="V198" s="97">
        <f t="shared" si="205"/>
        <v>51.751733451696623</v>
      </c>
      <c r="W198" s="97">
        <f t="shared" si="205"/>
        <v>52.73001369300907</v>
      </c>
      <c r="X198" s="97">
        <f t="shared" si="205"/>
        <v>31.823363863326307</v>
      </c>
      <c r="Y198" s="97">
        <f t="shared" si="205"/>
        <v>26.219244311140574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46.282315519788199</v>
      </c>
      <c r="C199" s="32">
        <f t="shared" si="206"/>
        <v>49.185500733384494</v>
      </c>
      <c r="D199" s="32">
        <f t="shared" si="206"/>
        <v>47.520124202118581</v>
      </c>
      <c r="E199" s="32">
        <f t="shared" si="206"/>
        <v>51.621908433909923</v>
      </c>
      <c r="F199" s="32">
        <f t="shared" si="206"/>
        <v>49.519983453143297</v>
      </c>
      <c r="G199" s="32">
        <f t="shared" si="206"/>
        <v>48.381382804514622</v>
      </c>
      <c r="H199" s="32">
        <f t="shared" si="206"/>
        <v>49.084692769709342</v>
      </c>
      <c r="I199" s="32">
        <f t="shared" si="206"/>
        <v>49.394610360613932</v>
      </c>
      <c r="J199" s="32">
        <f t="shared" si="206"/>
        <v>45.807483886165343</v>
      </c>
      <c r="K199" s="32">
        <f t="shared" si="206"/>
        <v>42.823224360305488</v>
      </c>
      <c r="L199" s="32">
        <f t="shared" si="206"/>
        <v>42.159162850945229</v>
      </c>
      <c r="M199" s="32">
        <f t="shared" si="206"/>
        <v>47.482743045690867</v>
      </c>
      <c r="N199" s="32">
        <f t="shared" si="206"/>
        <v>50.378360758707501</v>
      </c>
      <c r="O199" s="32">
        <f t="shared" si="206"/>
        <v>43.92563452343672</v>
      </c>
      <c r="P199" s="32">
        <f t="shared" si="206"/>
        <v>44.800823293142962</v>
      </c>
      <c r="Q199" s="32">
        <f t="shared" si="206"/>
        <v>40.875341631820419</v>
      </c>
      <c r="R199" s="32">
        <f t="shared" si="206"/>
        <v>36.862997561596671</v>
      </c>
      <c r="S199" s="32">
        <f t="shared" si="206"/>
        <v>30.379171339512265</v>
      </c>
      <c r="T199" s="32">
        <f t="shared" si="206"/>
        <v>34.103878760275961</v>
      </c>
      <c r="U199" s="32">
        <f t="shared" si="206"/>
        <v>32.989147289976188</v>
      </c>
      <c r="V199" s="32">
        <f t="shared" si="206"/>
        <v>31.258372722096667</v>
      </c>
      <c r="W199" s="32">
        <f t="shared" si="206"/>
        <v>38.859666228797252</v>
      </c>
      <c r="X199" s="32">
        <f t="shared" si="206"/>
        <v>40.836227659720571</v>
      </c>
      <c r="Y199" s="32">
        <f t="shared" si="206"/>
        <v>41.669757879417439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50.881575704114269</v>
      </c>
      <c r="C200" s="141">
        <f t="shared" si="207"/>
        <v>54.150926962249798</v>
      </c>
      <c r="D200" s="141">
        <f t="shared" si="207"/>
        <v>52.050755689640923</v>
      </c>
      <c r="E200" s="141">
        <f t="shared" si="207"/>
        <v>57.827738058357454</v>
      </c>
      <c r="F200" s="141">
        <f t="shared" si="207"/>
        <v>54.978489188082314</v>
      </c>
      <c r="G200" s="141">
        <f t="shared" si="207"/>
        <v>54.287046200370824</v>
      </c>
      <c r="H200" s="141">
        <f t="shared" si="207"/>
        <v>55.798725998612362</v>
      </c>
      <c r="I200" s="141">
        <f t="shared" si="207"/>
        <v>57.894128771003899</v>
      </c>
      <c r="J200" s="141">
        <f t="shared" si="207"/>
        <v>51.628473444268771</v>
      </c>
      <c r="K200" s="141">
        <f t="shared" si="207"/>
        <v>48.678134204499251</v>
      </c>
      <c r="L200" s="141">
        <f t="shared" si="207"/>
        <v>48.081730881270083</v>
      </c>
      <c r="M200" s="141">
        <f t="shared" si="207"/>
        <v>57.266246885355258</v>
      </c>
      <c r="N200" s="141">
        <f t="shared" si="207"/>
        <v>62.387826187210536</v>
      </c>
      <c r="O200" s="141">
        <f t="shared" si="207"/>
        <v>52.775192435985076</v>
      </c>
      <c r="P200" s="141">
        <f t="shared" si="207"/>
        <v>56.024325376081194</v>
      </c>
      <c r="Q200" s="141">
        <f t="shared" si="207"/>
        <v>50.454934818307393</v>
      </c>
      <c r="R200" s="141">
        <f t="shared" si="207"/>
        <v>46.447655783884798</v>
      </c>
      <c r="S200" s="141">
        <f t="shared" si="207"/>
        <v>37.010087331103009</v>
      </c>
      <c r="T200" s="141">
        <f t="shared" si="207"/>
        <v>43.485353648285894</v>
      </c>
      <c r="U200" s="141">
        <f t="shared" si="207"/>
        <v>41.064076056205302</v>
      </c>
      <c r="V200" s="141">
        <f t="shared" si="207"/>
        <v>38.542917922013096</v>
      </c>
      <c r="W200" s="141">
        <f t="shared" si="207"/>
        <v>48.747777800041213</v>
      </c>
      <c r="X200" s="141">
        <f t="shared" si="207"/>
        <v>52.393997046971414</v>
      </c>
      <c r="Y200" s="141">
        <f t="shared" si="207"/>
        <v>52.783235944388181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641.13818117888911</v>
      </c>
      <c r="C201" s="97">
        <f t="shared" si="208"/>
        <v>597.15528843995958</v>
      </c>
      <c r="D201" s="97">
        <f t="shared" si="208"/>
        <v>563.78727692479833</v>
      </c>
      <c r="E201" s="97">
        <f t="shared" si="208"/>
        <v>544.19376358605939</v>
      </c>
      <c r="F201" s="97">
        <f t="shared" si="208"/>
        <v>534.90797470926987</v>
      </c>
      <c r="G201" s="97">
        <f t="shared" si="208"/>
        <v>521.6370237007061</v>
      </c>
      <c r="H201" s="97">
        <f t="shared" si="208"/>
        <v>489.87502633407081</v>
      </c>
      <c r="I201" s="97">
        <f t="shared" si="208"/>
        <v>480.58108305822316</v>
      </c>
      <c r="J201" s="97">
        <f t="shared" si="208"/>
        <v>467.75239733636903</v>
      </c>
      <c r="K201" s="97">
        <f t="shared" si="208"/>
        <v>453.94638890418685</v>
      </c>
      <c r="L201" s="97">
        <f t="shared" si="208"/>
        <v>449.9811556208777</v>
      </c>
      <c r="M201" s="97">
        <f t="shared" si="208"/>
        <v>442.12187276586604</v>
      </c>
      <c r="N201" s="97">
        <f t="shared" si="208"/>
        <v>427.97639258533781</v>
      </c>
      <c r="O201" s="97">
        <f t="shared" si="208"/>
        <v>410.26018284183033</v>
      </c>
      <c r="P201" s="97">
        <f t="shared" si="208"/>
        <v>404.33975595887267</v>
      </c>
      <c r="Q201" s="97">
        <f t="shared" si="208"/>
        <v>380.68657237853336</v>
      </c>
      <c r="R201" s="97">
        <f t="shared" si="208"/>
        <v>370.72222709948511</v>
      </c>
      <c r="S201" s="97">
        <f t="shared" si="208"/>
        <v>363.63245397818258</v>
      </c>
      <c r="T201" s="97">
        <f t="shared" si="208"/>
        <v>361.46476042987882</v>
      </c>
      <c r="U201" s="97">
        <f t="shared" si="208"/>
        <v>361.24337066556728</v>
      </c>
      <c r="V201" s="97">
        <f t="shared" si="208"/>
        <v>358.11022757128541</v>
      </c>
      <c r="W201" s="97">
        <f t="shared" si="208"/>
        <v>370.56171737081809</v>
      </c>
      <c r="X201" s="97">
        <f t="shared" si="208"/>
        <v>358.44954566493072</v>
      </c>
      <c r="Y201" s="97">
        <f t="shared" si="208"/>
        <v>350.87001943171771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13.919915203606845</v>
      </c>
      <c r="C202" s="97">
        <f t="shared" si="209"/>
        <v>20.869646254181394</v>
      </c>
      <c r="D202" s="97">
        <f t="shared" si="209"/>
        <v>20.237349054820612</v>
      </c>
      <c r="E202" s="97">
        <f t="shared" si="209"/>
        <v>21.657464696472569</v>
      </c>
      <c r="F202" s="97">
        <f t="shared" si="209"/>
        <v>20.690719257099694</v>
      </c>
      <c r="G202" s="97">
        <f t="shared" si="209"/>
        <v>20.248292975166351</v>
      </c>
      <c r="H202" s="97">
        <f t="shared" si="209"/>
        <v>24.669896914803303</v>
      </c>
      <c r="I202" s="97">
        <f t="shared" si="209"/>
        <v>24.758002407710606</v>
      </c>
      <c r="J202" s="97">
        <f t="shared" si="209"/>
        <v>19.091435200294399</v>
      </c>
      <c r="K202" s="97">
        <f t="shared" si="209"/>
        <v>15.128577840443803</v>
      </c>
      <c r="L202" s="97">
        <f t="shared" si="209"/>
        <v>13.760057383089114</v>
      </c>
      <c r="M202" s="97">
        <f t="shared" si="209"/>
        <v>17.587198419553197</v>
      </c>
      <c r="N202" s="97">
        <f t="shared" si="209"/>
        <v>23.842507959636333</v>
      </c>
      <c r="O202" s="97">
        <f t="shared" si="209"/>
        <v>19.130607709507096</v>
      </c>
      <c r="P202" s="97">
        <f t="shared" si="209"/>
        <v>19.898124255699326</v>
      </c>
      <c r="Q202" s="97">
        <f t="shared" si="209"/>
        <v>21.605387918139126</v>
      </c>
      <c r="R202" s="97">
        <f t="shared" si="209"/>
        <v>18.953310558520574</v>
      </c>
      <c r="S202" s="97">
        <f t="shared" si="209"/>
        <v>10.760256765231809</v>
      </c>
      <c r="T202" s="97">
        <f t="shared" si="209"/>
        <v>17.784157799779916</v>
      </c>
      <c r="U202" s="97">
        <f t="shared" si="209"/>
        <v>16.661513655167322</v>
      </c>
      <c r="V202" s="97">
        <f t="shared" si="209"/>
        <v>13.775392694516091</v>
      </c>
      <c r="W202" s="97">
        <f t="shared" si="209"/>
        <v>22.318770219413778</v>
      </c>
      <c r="X202" s="97">
        <f t="shared" si="209"/>
        <v>30.180382623417472</v>
      </c>
      <c r="Y202" s="97">
        <f t="shared" si="209"/>
        <v>31.813430861380372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3.1056726433248443</v>
      </c>
      <c r="C203" s="130">
        <f t="shared" si="210"/>
        <v>2.9649645091259211</v>
      </c>
      <c r="D203" s="130">
        <f t="shared" si="210"/>
        <v>2.961693105223687</v>
      </c>
      <c r="E203" s="130">
        <f t="shared" si="210"/>
        <v>3.0961243621012784</v>
      </c>
      <c r="F203" s="130">
        <f t="shared" si="210"/>
        <v>3.107045855287617</v>
      </c>
      <c r="G203" s="130">
        <f t="shared" si="210"/>
        <v>2.9348555101670444</v>
      </c>
      <c r="H203" s="130">
        <f t="shared" si="210"/>
        <v>3.0829675963477987</v>
      </c>
      <c r="I203" s="130">
        <f t="shared" si="210"/>
        <v>3.0719150202122258</v>
      </c>
      <c r="J203" s="130">
        <f t="shared" si="210"/>
        <v>3.0799753058394312</v>
      </c>
      <c r="K203" s="130">
        <f t="shared" si="210"/>
        <v>2.8334453136851518</v>
      </c>
      <c r="L203" s="130">
        <f t="shared" si="210"/>
        <v>2.7545441787259395</v>
      </c>
      <c r="M203" s="130">
        <f t="shared" si="210"/>
        <v>2.7263763652065474</v>
      </c>
      <c r="N203" s="130">
        <f t="shared" si="210"/>
        <v>2.7374383243504528</v>
      </c>
      <c r="O203" s="130">
        <f t="shared" si="210"/>
        <v>2.8156097724729352</v>
      </c>
      <c r="P203" s="130">
        <f t="shared" si="210"/>
        <v>2.5687071091554929</v>
      </c>
      <c r="Q203" s="130">
        <f t="shared" si="210"/>
        <v>2.4834907311287466</v>
      </c>
      <c r="R203" s="130">
        <f t="shared" si="210"/>
        <v>2.5123704288340547</v>
      </c>
      <c r="S203" s="130">
        <f t="shared" si="210"/>
        <v>2.6575939160469884</v>
      </c>
      <c r="T203" s="130">
        <f t="shared" si="210"/>
        <v>2.7159479408528333</v>
      </c>
      <c r="U203" s="130">
        <f t="shared" si="210"/>
        <v>2.9557852193992202</v>
      </c>
      <c r="V203" s="130">
        <f t="shared" si="210"/>
        <v>2.9745951401146673</v>
      </c>
      <c r="W203" s="130">
        <f t="shared" si="210"/>
        <v>3.4129873232171444</v>
      </c>
      <c r="X203" s="130">
        <f t="shared" si="210"/>
        <v>3.1808861121498269</v>
      </c>
      <c r="Y203" s="130">
        <f t="shared" si="210"/>
        <v>4.3872359845569582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101.86433604527097</v>
      </c>
      <c r="C204" s="130">
        <f t="shared" si="211"/>
        <v>123.54523360277058</v>
      </c>
      <c r="D204" s="130">
        <f t="shared" si="211"/>
        <v>113.47438377168768</v>
      </c>
      <c r="E204" s="130">
        <f t="shared" si="211"/>
        <v>116.38288723539247</v>
      </c>
      <c r="F204" s="130">
        <f t="shared" si="211"/>
        <v>109.25002469448208</v>
      </c>
      <c r="G204" s="130">
        <f t="shared" si="211"/>
        <v>111.29251940342404</v>
      </c>
      <c r="H204" s="130">
        <f t="shared" si="211"/>
        <v>117.64964580269411</v>
      </c>
      <c r="I204" s="130">
        <f t="shared" si="211"/>
        <v>114.21705369979234</v>
      </c>
      <c r="J204" s="130">
        <f t="shared" si="211"/>
        <v>119.5917572941585</v>
      </c>
      <c r="K204" s="130">
        <f t="shared" si="211"/>
        <v>112.60671933855146</v>
      </c>
      <c r="L204" s="130">
        <f t="shared" si="211"/>
        <v>106.17196756340111</v>
      </c>
      <c r="M204" s="130">
        <f t="shared" si="211"/>
        <v>99.759729650511673</v>
      </c>
      <c r="N204" s="130">
        <f t="shared" si="211"/>
        <v>90.595724555653106</v>
      </c>
      <c r="O204" s="130">
        <f t="shared" si="211"/>
        <v>90.876952549214252</v>
      </c>
      <c r="P204" s="130">
        <f t="shared" si="211"/>
        <v>79.10863666674139</v>
      </c>
      <c r="Q204" s="130">
        <f t="shared" si="211"/>
        <v>77.877756187962788</v>
      </c>
      <c r="R204" s="130">
        <f t="shared" si="211"/>
        <v>68.5749133120175</v>
      </c>
      <c r="S204" s="130">
        <f t="shared" si="211"/>
        <v>67.443514433804239</v>
      </c>
      <c r="T204" s="130">
        <f t="shared" si="211"/>
        <v>67.981717445776681</v>
      </c>
      <c r="U204" s="130">
        <f t="shared" si="211"/>
        <v>64.268086301712671</v>
      </c>
      <c r="V204" s="130">
        <f t="shared" si="211"/>
        <v>106.24092067788074</v>
      </c>
      <c r="W204" s="130">
        <f t="shared" si="211"/>
        <v>100.0969016783947</v>
      </c>
      <c r="X204" s="130">
        <f t="shared" si="211"/>
        <v>88.583355198477548</v>
      </c>
      <c r="Y204" s="130">
        <f t="shared" si="211"/>
        <v>82.256200438749843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441.06765462309471</v>
      </c>
      <c r="C205" s="97">
        <f t="shared" si="212"/>
        <v>437.84823331395984</v>
      </c>
      <c r="D205" s="97">
        <f t="shared" si="212"/>
        <v>427.23147548046052</v>
      </c>
      <c r="E205" s="97">
        <f t="shared" si="212"/>
        <v>398.46087782265761</v>
      </c>
      <c r="F205" s="97">
        <f t="shared" si="212"/>
        <v>431.22296544280658</v>
      </c>
      <c r="G205" s="97">
        <f t="shared" si="212"/>
        <v>470.31266568346865</v>
      </c>
      <c r="H205" s="97">
        <f t="shared" si="212"/>
        <v>494.16380193288865</v>
      </c>
      <c r="I205" s="97">
        <f t="shared" si="212"/>
        <v>468.15002310275554</v>
      </c>
      <c r="J205" s="97">
        <f t="shared" si="212"/>
        <v>491.79129333196533</v>
      </c>
      <c r="K205" s="97">
        <f t="shared" si="212"/>
        <v>420.66912463859791</v>
      </c>
      <c r="L205" s="97">
        <f t="shared" si="212"/>
        <v>403.56066300091533</v>
      </c>
      <c r="M205" s="97">
        <f t="shared" si="212"/>
        <v>364.4221147451085</v>
      </c>
      <c r="N205" s="97">
        <f t="shared" si="212"/>
        <v>362.91796744358874</v>
      </c>
      <c r="O205" s="97">
        <f t="shared" si="212"/>
        <v>389.94304350768664</v>
      </c>
      <c r="P205" s="97">
        <f t="shared" si="212"/>
        <v>366.18804027467166</v>
      </c>
      <c r="Q205" s="97">
        <f t="shared" si="212"/>
        <v>372.57808839980805</v>
      </c>
      <c r="R205" s="97">
        <f t="shared" si="212"/>
        <v>326.53335598938139</v>
      </c>
      <c r="S205" s="97">
        <f t="shared" si="212"/>
        <v>381.85600302758695</v>
      </c>
      <c r="T205" s="97">
        <f t="shared" si="212"/>
        <v>419.28268632148047</v>
      </c>
      <c r="U205" s="97">
        <f t="shared" si="212"/>
        <v>347.24714730813525</v>
      </c>
      <c r="V205" s="97">
        <f t="shared" si="212"/>
        <v>265.75037134571517</v>
      </c>
      <c r="W205" s="97">
        <f t="shared" si="212"/>
        <v>248.88058661533418</v>
      </c>
      <c r="X205" s="97">
        <f t="shared" si="212"/>
        <v>316.82523331084531</v>
      </c>
      <c r="Y205" s="97">
        <f t="shared" si="212"/>
        <v>394.13163621361605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229.95120184773054</v>
      </c>
      <c r="C206" s="97">
        <f t="shared" si="213"/>
        <v>227.00344355497597</v>
      </c>
      <c r="D206" s="97">
        <f t="shared" si="213"/>
        <v>216.34526158130865</v>
      </c>
      <c r="E206" s="97">
        <f t="shared" si="213"/>
        <v>199.6128450461139</v>
      </c>
      <c r="F206" s="97">
        <f t="shared" si="213"/>
        <v>196.32992828457108</v>
      </c>
      <c r="G206" s="97">
        <f t="shared" si="213"/>
        <v>192.90519080884175</v>
      </c>
      <c r="H206" s="97">
        <f t="shared" si="213"/>
        <v>233.15116749948942</v>
      </c>
      <c r="I206" s="97">
        <f t="shared" si="213"/>
        <v>234.61328526212833</v>
      </c>
      <c r="J206" s="97">
        <f t="shared" si="213"/>
        <v>244.30550356961854</v>
      </c>
      <c r="K206" s="97">
        <f t="shared" si="213"/>
        <v>228.88646626078943</v>
      </c>
      <c r="L206" s="97">
        <f t="shared" si="213"/>
        <v>226.41322946477342</v>
      </c>
      <c r="M206" s="97">
        <f t="shared" si="213"/>
        <v>216.70757322100405</v>
      </c>
      <c r="N206" s="97">
        <f t="shared" si="213"/>
        <v>195.46513606779919</v>
      </c>
      <c r="O206" s="97">
        <f t="shared" si="213"/>
        <v>196.32141106466779</v>
      </c>
      <c r="P206" s="97">
        <f t="shared" si="213"/>
        <v>171.88422996500938</v>
      </c>
      <c r="Q206" s="97">
        <f t="shared" si="213"/>
        <v>165.25110654882275</v>
      </c>
      <c r="R206" s="97">
        <f t="shared" si="213"/>
        <v>151.93520017335626</v>
      </c>
      <c r="S206" s="97">
        <f t="shared" si="213"/>
        <v>168.33559966958595</v>
      </c>
      <c r="T206" s="97">
        <f t="shared" si="213"/>
        <v>179.67697124290018</v>
      </c>
      <c r="U206" s="97">
        <f t="shared" si="213"/>
        <v>169.65746630688886</v>
      </c>
      <c r="V206" s="97">
        <f t="shared" si="213"/>
        <v>175.7515073329179</v>
      </c>
      <c r="W206" s="97">
        <f t="shared" si="213"/>
        <v>155.39108309284225</v>
      </c>
      <c r="X206" s="97">
        <f t="shared" si="213"/>
        <v>166.73574703721943</v>
      </c>
      <c r="Y206" s="97">
        <f t="shared" si="213"/>
        <v>186.18867317785779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89.912278820449743</v>
      </c>
      <c r="C207" s="97">
        <f t="shared" si="214"/>
        <v>89.049263381965503</v>
      </c>
      <c r="D207" s="97">
        <f t="shared" si="214"/>
        <v>90.734216352254023</v>
      </c>
      <c r="E207" s="97">
        <f t="shared" si="214"/>
        <v>95.215048421373552</v>
      </c>
      <c r="F207" s="97">
        <f t="shared" si="214"/>
        <v>87.277347195686929</v>
      </c>
      <c r="G207" s="97">
        <f t="shared" si="214"/>
        <v>91.702510350433528</v>
      </c>
      <c r="H207" s="97">
        <f t="shared" si="214"/>
        <v>96.985240215364996</v>
      </c>
      <c r="I207" s="97">
        <f t="shared" si="214"/>
        <v>94.58198781321768</v>
      </c>
      <c r="J207" s="97">
        <f t="shared" si="214"/>
        <v>98.727249740838943</v>
      </c>
      <c r="K207" s="97">
        <f t="shared" si="214"/>
        <v>91.779061748753705</v>
      </c>
      <c r="L207" s="97">
        <f t="shared" si="214"/>
        <v>90.67257349350001</v>
      </c>
      <c r="M207" s="97">
        <f t="shared" si="214"/>
        <v>86.812154006564057</v>
      </c>
      <c r="N207" s="97">
        <f t="shared" si="214"/>
        <v>77.489440781262161</v>
      </c>
      <c r="O207" s="97">
        <f t="shared" si="214"/>
        <v>78.573105885290772</v>
      </c>
      <c r="P207" s="97">
        <f t="shared" si="214"/>
        <v>69.417980590031021</v>
      </c>
      <c r="Q207" s="97">
        <f t="shared" si="214"/>
        <v>69.559878403434553</v>
      </c>
      <c r="R207" s="97">
        <f t="shared" si="214"/>
        <v>62.068172964407744</v>
      </c>
      <c r="S207" s="97">
        <f t="shared" si="214"/>
        <v>60.449410187350026</v>
      </c>
      <c r="T207" s="97">
        <f t="shared" si="214"/>
        <v>60.042857523258704</v>
      </c>
      <c r="U207" s="97">
        <f t="shared" si="214"/>
        <v>56.796912694028592</v>
      </c>
      <c r="V207" s="97">
        <f t="shared" si="214"/>
        <v>99.041119615629796</v>
      </c>
      <c r="W207" s="97">
        <f t="shared" si="214"/>
        <v>93.547577149760642</v>
      </c>
      <c r="X207" s="97">
        <f t="shared" si="214"/>
        <v>77.378149028247293</v>
      </c>
      <c r="Y207" s="97">
        <f t="shared" si="214"/>
        <v>69.613964635057769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46.424599916642386</v>
      </c>
      <c r="C208" s="130">
        <f t="shared" si="215"/>
        <v>49.790426086438707</v>
      </c>
      <c r="D208" s="130">
        <f t="shared" si="215"/>
        <v>45.104713137305502</v>
      </c>
      <c r="E208" s="130">
        <f t="shared" si="215"/>
        <v>43.88923128500182</v>
      </c>
      <c r="F208" s="130">
        <f t="shared" si="215"/>
        <v>44.031611024761638</v>
      </c>
      <c r="G208" s="130">
        <f t="shared" si="215"/>
        <v>38.17036008103927</v>
      </c>
      <c r="H208" s="130">
        <f t="shared" si="215"/>
        <v>38.288701807681427</v>
      </c>
      <c r="I208" s="130">
        <f t="shared" si="215"/>
        <v>32.637994588982913</v>
      </c>
      <c r="J208" s="130">
        <f t="shared" si="215"/>
        <v>37.811582671581412</v>
      </c>
      <c r="K208" s="130">
        <f t="shared" si="215"/>
        <v>29.791542179170118</v>
      </c>
      <c r="L208" s="130">
        <f t="shared" si="215"/>
        <v>27.854563135562799</v>
      </c>
      <c r="M208" s="130">
        <f t="shared" si="215"/>
        <v>25.458132580095413</v>
      </c>
      <c r="N208" s="130">
        <f t="shared" si="215"/>
        <v>25.308168980348945</v>
      </c>
      <c r="O208" s="130">
        <f t="shared" si="215"/>
        <v>25.813260209397896</v>
      </c>
      <c r="P208" s="130">
        <f t="shared" si="215"/>
        <v>23.46994287490719</v>
      </c>
      <c r="Q208" s="130">
        <f t="shared" si="215"/>
        <v>23.28358712832058</v>
      </c>
      <c r="R208" s="130">
        <f t="shared" si="215"/>
        <v>21.398037623880256</v>
      </c>
      <c r="S208" s="130">
        <f t="shared" si="215"/>
        <v>18.792660698915284</v>
      </c>
      <c r="T208" s="130">
        <f t="shared" si="215"/>
        <v>13.906556078803098</v>
      </c>
      <c r="U208" s="130">
        <f t="shared" si="215"/>
        <v>13.625810288929483</v>
      </c>
      <c r="V208" s="130">
        <f t="shared" si="215"/>
        <v>12.862192644016158</v>
      </c>
      <c r="W208" s="130">
        <f t="shared" si="215"/>
        <v>12.691765322563601</v>
      </c>
      <c r="X208" s="130">
        <f t="shared" si="215"/>
        <v>11.559377195075466</v>
      </c>
      <c r="Y208" s="130">
        <f t="shared" si="215"/>
        <v>12.17016048997109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46.369551579816424</v>
      </c>
      <c r="C209" s="97">
        <f t="shared" si="216"/>
        <v>49.696805097639754</v>
      </c>
      <c r="D209" s="97">
        <f t="shared" si="216"/>
        <v>45.07614395635423</v>
      </c>
      <c r="E209" s="97">
        <f t="shared" si="216"/>
        <v>43.862212666356442</v>
      </c>
      <c r="F209" s="97">
        <f t="shared" si="216"/>
        <v>43.990456947504995</v>
      </c>
      <c r="G209" s="97">
        <f t="shared" si="216"/>
        <v>38.159539761147869</v>
      </c>
      <c r="H209" s="97">
        <f t="shared" si="216"/>
        <v>38.258429939788996</v>
      </c>
      <c r="I209" s="97">
        <f t="shared" si="216"/>
        <v>32.615054658204251</v>
      </c>
      <c r="J209" s="97">
        <f t="shared" si="216"/>
        <v>37.801533442567091</v>
      </c>
      <c r="K209" s="97">
        <f t="shared" si="216"/>
        <v>29.798100700475189</v>
      </c>
      <c r="L209" s="97">
        <f t="shared" si="216"/>
        <v>27.872371781584917</v>
      </c>
      <c r="M209" s="97">
        <f t="shared" si="216"/>
        <v>25.474975896381427</v>
      </c>
      <c r="N209" s="97">
        <f t="shared" si="216"/>
        <v>25.317331385338274</v>
      </c>
      <c r="O209" s="97">
        <f t="shared" si="216"/>
        <v>25.822486673244331</v>
      </c>
      <c r="P209" s="97">
        <f t="shared" si="216"/>
        <v>23.478468905508695</v>
      </c>
      <c r="Q209" s="97">
        <f t="shared" si="216"/>
        <v>23.294842321764531</v>
      </c>
      <c r="R209" s="97">
        <f t="shared" si="216"/>
        <v>21.408219876977832</v>
      </c>
      <c r="S209" s="97">
        <f t="shared" si="216"/>
        <v>18.801416687478824</v>
      </c>
      <c r="T209" s="97">
        <f t="shared" si="216"/>
        <v>13.914782008107991</v>
      </c>
      <c r="U209" s="97">
        <f t="shared" si="216"/>
        <v>13.632135459052002</v>
      </c>
      <c r="V209" s="97">
        <f t="shared" si="216"/>
        <v>12.873704159878503</v>
      </c>
      <c r="W209" s="97">
        <f t="shared" si="216"/>
        <v>12.705271367687084</v>
      </c>
      <c r="X209" s="97">
        <f t="shared" si="216"/>
        <v>11.5694361795386</v>
      </c>
      <c r="Y209" s="97">
        <f t="shared" si="216"/>
        <v>12.170746394144352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55.245963601166466</v>
      </c>
      <c r="C210" s="98">
        <f t="shared" si="217"/>
        <v>65.097542059540388</v>
      </c>
      <c r="D210" s="98">
        <f t="shared" si="217"/>
        <v>54.301990959860376</v>
      </c>
      <c r="E210" s="98">
        <f t="shared" si="217"/>
        <v>53.413870607931855</v>
      </c>
      <c r="F210" s="98">
        <f t="shared" si="217"/>
        <v>55.982079463249377</v>
      </c>
      <c r="G210" s="98">
        <f t="shared" si="217"/>
        <v>42.588587469749662</v>
      </c>
      <c r="H210" s="98">
        <f t="shared" si="217"/>
        <v>52.669114097753678</v>
      </c>
      <c r="I210" s="98">
        <f t="shared" si="217"/>
        <v>42.673989345325012</v>
      </c>
      <c r="J210" s="98">
        <f t="shared" si="217"/>
        <v>43.675265092213934</v>
      </c>
      <c r="K210" s="98">
        <f t="shared" si="217"/>
        <v>24.9478914069546</v>
      </c>
      <c r="L210" s="98">
        <f t="shared" si="217"/>
        <v>21.194567813856271</v>
      </c>
      <c r="M210" s="98">
        <f t="shared" si="217"/>
        <v>20.534491088277861</v>
      </c>
      <c r="N210" s="98">
        <f t="shared" si="217"/>
        <v>20.949027098586747</v>
      </c>
      <c r="O210" s="98">
        <f t="shared" si="217"/>
        <v>21.868468175608793</v>
      </c>
      <c r="P210" s="98">
        <f t="shared" si="217"/>
        <v>17.978712767019704</v>
      </c>
      <c r="Q210" s="98">
        <f t="shared" si="217"/>
        <v>16.027894905987843</v>
      </c>
      <c r="R210" s="98">
        <f t="shared" si="217"/>
        <v>14.594971597327676</v>
      </c>
      <c r="S210" s="98">
        <f t="shared" si="217"/>
        <v>12.165795682923298</v>
      </c>
      <c r="T210" s="98">
        <f t="shared" si="217"/>
        <v>8.8738444903937825</v>
      </c>
      <c r="U210" s="98">
        <f t="shared" si="217"/>
        <v>8.5470591002418956</v>
      </c>
      <c r="V210" s="98">
        <f t="shared" si="217"/>
        <v>8.852267866474417</v>
      </c>
      <c r="W210" s="98">
        <f t="shared" si="217"/>
        <v>8.6153291075978746</v>
      </c>
      <c r="X210" s="98">
        <f t="shared" si="217"/>
        <v>6.9437037383150857</v>
      </c>
      <c r="Y210" s="98">
        <f t="shared" si="217"/>
        <v>8.0496044410858527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2.209741179533669</v>
      </c>
      <c r="C211" s="32">
        <f t="shared" si="218"/>
        <v>2.295588464401729</v>
      </c>
      <c r="D211" s="32">
        <f t="shared" si="218"/>
        <v>2.5082877810526827</v>
      </c>
      <c r="E211" s="32">
        <f t="shared" si="218"/>
        <v>2.6339432849515934</v>
      </c>
      <c r="F211" s="32">
        <f t="shared" si="218"/>
        <v>2.6797320497747514</v>
      </c>
      <c r="G211" s="32">
        <f t="shared" si="218"/>
        <v>2.7460789311040465</v>
      </c>
      <c r="H211" s="32">
        <f t="shared" si="218"/>
        <v>2.6962419780616833</v>
      </c>
      <c r="I211" s="32">
        <f t="shared" si="218"/>
        <v>2.7854583205361809</v>
      </c>
      <c r="J211" s="32">
        <f t="shared" si="218"/>
        <v>3.0394432102323075</v>
      </c>
      <c r="K211" s="32">
        <f t="shared" si="218"/>
        <v>3.4082448634088043</v>
      </c>
      <c r="L211" s="32">
        <f t="shared" si="218"/>
        <v>4.1694804496374722</v>
      </c>
      <c r="M211" s="32">
        <f t="shared" si="218"/>
        <v>3.2768177595369097</v>
      </c>
      <c r="N211" s="32">
        <f t="shared" si="218"/>
        <v>3.4477317158951064</v>
      </c>
      <c r="O211" s="32">
        <f t="shared" si="218"/>
        <v>3.1850183956495473</v>
      </c>
      <c r="P211" s="32">
        <f t="shared" si="218"/>
        <v>3.0153119701909006</v>
      </c>
      <c r="Q211" s="32">
        <f t="shared" si="218"/>
        <v>2.8019546670643747</v>
      </c>
      <c r="R211" s="32">
        <f t="shared" si="218"/>
        <v>3.5094073055609574</v>
      </c>
      <c r="S211" s="32">
        <f t="shared" si="218"/>
        <v>3.6638743175787751</v>
      </c>
      <c r="T211" s="32">
        <f t="shared" si="218"/>
        <v>3.9793734777442205</v>
      </c>
      <c r="U211" s="32">
        <f t="shared" si="218"/>
        <v>3.5989685945900907</v>
      </c>
      <c r="V211" s="32">
        <f t="shared" si="218"/>
        <v>3.788561874389353</v>
      </c>
      <c r="W211" s="32">
        <f t="shared" si="218"/>
        <v>3.5281515023464971</v>
      </c>
      <c r="X211" s="32">
        <f t="shared" si="218"/>
        <v>3.4857962573014341</v>
      </c>
      <c r="Y211" s="32">
        <f t="shared" si="218"/>
        <v>3.2439389962239491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5.9784769387055254</v>
      </c>
      <c r="C212" s="97">
        <f t="shared" si="219"/>
        <v>6.4710021296338516</v>
      </c>
      <c r="D212" s="97">
        <f t="shared" si="219"/>
        <v>6.9251303241925806</v>
      </c>
      <c r="E212" s="97">
        <f t="shared" si="219"/>
        <v>7.3160465500116478</v>
      </c>
      <c r="F212" s="97">
        <f t="shared" si="219"/>
        <v>7.6003422882941312</v>
      </c>
      <c r="G212" s="97">
        <f t="shared" si="219"/>
        <v>7.95368764304376</v>
      </c>
      <c r="H212" s="97">
        <f t="shared" si="219"/>
        <v>7.8998493305851412</v>
      </c>
      <c r="I212" s="97">
        <f t="shared" si="219"/>
        <v>8.3946624657175182</v>
      </c>
      <c r="J212" s="97">
        <f t="shared" si="219"/>
        <v>8.5780808427470028</v>
      </c>
      <c r="K212" s="97">
        <f t="shared" si="219"/>
        <v>9.799171658581292</v>
      </c>
      <c r="L212" s="97">
        <f t="shared" si="219"/>
        <v>12.082014070902133</v>
      </c>
      <c r="M212" s="97">
        <f t="shared" si="219"/>
        <v>9.5098739501293146</v>
      </c>
      <c r="N212" s="97">
        <f t="shared" si="219"/>
        <v>9.9433690464087565</v>
      </c>
      <c r="O212" s="97">
        <f t="shared" si="219"/>
        <v>8.7877184790346252</v>
      </c>
      <c r="P212" s="97">
        <f t="shared" si="219"/>
        <v>8.3779014536868335</v>
      </c>
      <c r="Q212" s="97">
        <f t="shared" si="219"/>
        <v>8.0413954538465884</v>
      </c>
      <c r="R212" s="97">
        <f t="shared" si="219"/>
        <v>9.3712776753780762</v>
      </c>
      <c r="S212" s="97">
        <f t="shared" si="219"/>
        <v>9.7725103318327324</v>
      </c>
      <c r="T212" s="97">
        <f t="shared" si="219"/>
        <v>9.7890649424879843</v>
      </c>
      <c r="U212" s="97">
        <f t="shared" si="219"/>
        <v>9.402996450825059</v>
      </c>
      <c r="V212" s="97">
        <f t="shared" si="219"/>
        <v>8.8727120734769276</v>
      </c>
      <c r="W212" s="97">
        <f t="shared" si="219"/>
        <v>8.5168156972389699</v>
      </c>
      <c r="X212" s="97">
        <f t="shared" si="219"/>
        <v>9.0525674634350608</v>
      </c>
      <c r="Y212" s="97">
        <f t="shared" si="219"/>
        <v>8.3084171771926965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1.5923691055015643</v>
      </c>
      <c r="C213" s="98">
        <f t="shared" si="220"/>
        <v>1.6584092296809028</v>
      </c>
      <c r="D213" s="98">
        <f t="shared" si="220"/>
        <v>1.7884640734768635</v>
      </c>
      <c r="E213" s="98">
        <f t="shared" si="220"/>
        <v>1.8890390883607264</v>
      </c>
      <c r="F213" s="98">
        <f t="shared" si="220"/>
        <v>1.9478732909200154</v>
      </c>
      <c r="G213" s="98">
        <f t="shared" si="220"/>
        <v>2.0075395083981142</v>
      </c>
      <c r="H213" s="98">
        <f t="shared" si="220"/>
        <v>1.9734674624305306</v>
      </c>
      <c r="I213" s="98">
        <f t="shared" si="220"/>
        <v>2.0450874587308419</v>
      </c>
      <c r="J213" s="98">
        <f t="shared" si="220"/>
        <v>2.1669843364763945</v>
      </c>
      <c r="K213" s="98">
        <f t="shared" si="220"/>
        <v>2.4556993475131104</v>
      </c>
      <c r="L213" s="98">
        <f t="shared" si="220"/>
        <v>2.9421416753111322</v>
      </c>
      <c r="M213" s="98">
        <f t="shared" si="220"/>
        <v>2.3247337261799275</v>
      </c>
      <c r="N213" s="98">
        <f t="shared" si="220"/>
        <v>2.4172870956018047</v>
      </c>
      <c r="O213" s="98">
        <f t="shared" si="220"/>
        <v>2.169286392011061</v>
      </c>
      <c r="P213" s="98">
        <f t="shared" si="220"/>
        <v>2.073896741421672</v>
      </c>
      <c r="Q213" s="98">
        <f t="shared" si="220"/>
        <v>1.942107724105443</v>
      </c>
      <c r="R213" s="98">
        <f t="shared" si="220"/>
        <v>2.3995235280482521</v>
      </c>
      <c r="S213" s="98">
        <f t="shared" si="220"/>
        <v>2.481568601281023</v>
      </c>
      <c r="T213" s="98">
        <f t="shared" si="220"/>
        <v>2.6322869037787728</v>
      </c>
      <c r="U213" s="98">
        <f t="shared" si="220"/>
        <v>2.4031263767738715</v>
      </c>
      <c r="V213" s="98">
        <f t="shared" si="220"/>
        <v>2.7423659340209432</v>
      </c>
      <c r="W213" s="98">
        <f t="shared" si="220"/>
        <v>2.5676624287765746</v>
      </c>
      <c r="X213" s="98">
        <f t="shared" si="220"/>
        <v>2.4008476221332997</v>
      </c>
      <c r="Y213" s="98">
        <f t="shared" si="220"/>
        <v>2.2306340265997915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92.010976484742258</v>
      </c>
      <c r="C216" s="32">
        <f t="shared" si="221"/>
        <v>91.730324325580256</v>
      </c>
      <c r="D216" s="32">
        <f t="shared" si="221"/>
        <v>93.418915530979064</v>
      </c>
      <c r="E216" s="32">
        <f t="shared" si="221"/>
        <v>93.287490997292565</v>
      </c>
      <c r="F216" s="32">
        <f t="shared" si="221"/>
        <v>92.205570465937541</v>
      </c>
      <c r="G216" s="32">
        <f t="shared" si="221"/>
        <v>93.144262335323091</v>
      </c>
      <c r="H216" s="32">
        <f t="shared" si="221"/>
        <v>96.132504255401656</v>
      </c>
      <c r="I216" s="32">
        <f t="shared" si="221"/>
        <v>96.026928056259422</v>
      </c>
      <c r="J216" s="32">
        <f t="shared" si="221"/>
        <v>93.341955686123939</v>
      </c>
      <c r="K216" s="32">
        <f t="shared" si="221"/>
        <v>88.164912686443273</v>
      </c>
      <c r="L216" s="32">
        <f t="shared" si="221"/>
        <v>86.865537849694917</v>
      </c>
      <c r="M216" s="32">
        <f t="shared" si="221"/>
        <v>88.129829251674892</v>
      </c>
      <c r="N216" s="32">
        <f t="shared" si="221"/>
        <v>90.681354714060973</v>
      </c>
      <c r="O216" s="32">
        <f t="shared" si="221"/>
        <v>88.454620961123297</v>
      </c>
      <c r="P216" s="32">
        <f t="shared" si="221"/>
        <v>90.811834908138252</v>
      </c>
      <c r="Q216" s="32">
        <f t="shared" si="221"/>
        <v>87.807706845119043</v>
      </c>
      <c r="R216" s="32">
        <f t="shared" si="221"/>
        <v>85.660288188687517</v>
      </c>
      <c r="S216" s="32">
        <f t="shared" si="221"/>
        <v>81.085203365038637</v>
      </c>
      <c r="T216" s="32">
        <f t="shared" si="221"/>
        <v>82.914827421474655</v>
      </c>
      <c r="U216" s="32">
        <f t="shared" si="221"/>
        <v>81.916637619546123</v>
      </c>
      <c r="V216" s="32">
        <f t="shared" si="221"/>
        <v>103.42818185145461</v>
      </c>
      <c r="W216" s="32">
        <f t="shared" si="221"/>
        <v>95.140491218332514</v>
      </c>
      <c r="X216" s="32">
        <f t="shared" si="221"/>
        <v>90.659100089241875</v>
      </c>
      <c r="Y216" s="32">
        <f t="shared" si="221"/>
        <v>84.794911191524321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93.233378274594799</v>
      </c>
      <c r="C217" s="141">
        <f t="shared" si="222"/>
        <v>93.142387224341505</v>
      </c>
      <c r="D217" s="141">
        <f t="shared" si="222"/>
        <v>95.354625727902373</v>
      </c>
      <c r="E217" s="141">
        <f t="shared" si="222"/>
        <v>94.417795001549834</v>
      </c>
      <c r="F217" s="141">
        <f t="shared" si="222"/>
        <v>94.60355895752177</v>
      </c>
      <c r="G217" s="141">
        <f t="shared" si="222"/>
        <v>96.170879503420807</v>
      </c>
      <c r="H217" s="141">
        <f t="shared" si="222"/>
        <v>99.437528735485742</v>
      </c>
      <c r="I217" s="141">
        <f t="shared" si="222"/>
        <v>99.583295927853982</v>
      </c>
      <c r="J217" s="141">
        <f t="shared" si="222"/>
        <v>96.47836170084625</v>
      </c>
      <c r="K217" s="141">
        <f t="shared" si="222"/>
        <v>90.879179906124534</v>
      </c>
      <c r="L217" s="141">
        <f t="shared" si="222"/>
        <v>89.520173204155839</v>
      </c>
      <c r="M217" s="141">
        <f t="shared" si="222"/>
        <v>91.305782076982084</v>
      </c>
      <c r="N217" s="141">
        <f t="shared" si="222"/>
        <v>95.232313421713215</v>
      </c>
      <c r="O217" s="141">
        <f t="shared" si="222"/>
        <v>92.970140740555181</v>
      </c>
      <c r="P217" s="141">
        <f t="shared" si="222"/>
        <v>96.071064131611166</v>
      </c>
      <c r="Q217" s="141">
        <f t="shared" si="222"/>
        <v>92.787037308309039</v>
      </c>
      <c r="R217" s="141">
        <f t="shared" si="222"/>
        <v>90.257097942710416</v>
      </c>
      <c r="S217" s="141">
        <f t="shared" si="222"/>
        <v>84.967457927438147</v>
      </c>
      <c r="T217" s="141">
        <f t="shared" si="222"/>
        <v>86.78479803698589</v>
      </c>
      <c r="U217" s="141">
        <f t="shared" si="222"/>
        <v>85.992657741801509</v>
      </c>
      <c r="V217" s="141">
        <f t="shared" si="222"/>
        <v>106.58155663367532</v>
      </c>
      <c r="W217" s="141">
        <f t="shared" si="222"/>
        <v>98.407349715868662</v>
      </c>
      <c r="X217" s="141">
        <f t="shared" si="222"/>
        <v>97.355554403552105</v>
      </c>
      <c r="Y217" s="141">
        <f t="shared" si="222"/>
        <v>90.750289724434381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91.01130456823067</v>
      </c>
      <c r="C218" s="97">
        <f t="shared" si="223"/>
        <v>88.626420192225837</v>
      </c>
      <c r="D218" s="97">
        <f t="shared" si="223"/>
        <v>88.103144335701657</v>
      </c>
      <c r="E218" s="97">
        <f t="shared" si="223"/>
        <v>87.22073977740142</v>
      </c>
      <c r="F218" s="97">
        <f t="shared" si="223"/>
        <v>85.401409042100866</v>
      </c>
      <c r="G218" s="97">
        <f t="shared" si="223"/>
        <v>85.092233216833151</v>
      </c>
      <c r="H218" s="97">
        <f t="shared" si="223"/>
        <v>83.121450651382261</v>
      </c>
      <c r="I218" s="97">
        <f t="shared" si="223"/>
        <v>83.102293256364902</v>
      </c>
      <c r="J218" s="97">
        <f t="shared" si="223"/>
        <v>80.807717719584375</v>
      </c>
      <c r="K218" s="97">
        <f t="shared" si="223"/>
        <v>82.009243921779401</v>
      </c>
      <c r="L218" s="97">
        <f t="shared" si="223"/>
        <v>82.195885197851581</v>
      </c>
      <c r="M218" s="97">
        <f t="shared" si="223"/>
        <v>77.561360033252726</v>
      </c>
      <c r="N218" s="97">
        <f t="shared" si="223"/>
        <v>75.551766186311426</v>
      </c>
      <c r="O218" s="97">
        <f t="shared" si="223"/>
        <v>74.678513574376083</v>
      </c>
      <c r="P218" s="97">
        <f t="shared" si="223"/>
        <v>76.390321333915267</v>
      </c>
      <c r="Q218" s="97">
        <f t="shared" si="223"/>
        <v>78.970916872105775</v>
      </c>
      <c r="R218" s="97">
        <f t="shared" si="223"/>
        <v>78.503464915261233</v>
      </c>
      <c r="S218" s="97">
        <f t="shared" si="223"/>
        <v>77.859656881664677</v>
      </c>
      <c r="T218" s="97">
        <f t="shared" si="223"/>
        <v>77.598569326243776</v>
      </c>
      <c r="U218" s="97">
        <f t="shared" si="223"/>
        <v>77.257539037525646</v>
      </c>
      <c r="V218" s="97">
        <f t="shared" si="223"/>
        <v>77.21014349965094</v>
      </c>
      <c r="W218" s="97">
        <f t="shared" si="223"/>
        <v>76.456550623248049</v>
      </c>
      <c r="X218" s="97">
        <f t="shared" si="223"/>
        <v>76.181948221831746</v>
      </c>
      <c r="Y218" s="97">
        <f t="shared" si="223"/>
        <v>75.629185570047653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96.343863833576819</v>
      </c>
      <c r="C219" s="97">
        <f t="shared" si="224"/>
        <v>96.634280705199956</v>
      </c>
      <c r="D219" s="97">
        <f t="shared" si="224"/>
        <v>99.438620966651982</v>
      </c>
      <c r="E219" s="97">
        <f t="shared" si="224"/>
        <v>98.518099203711103</v>
      </c>
      <c r="F219" s="97">
        <f t="shared" si="224"/>
        <v>99.086916994961911</v>
      </c>
      <c r="G219" s="97">
        <f t="shared" si="224"/>
        <v>101.4812990136914</v>
      </c>
      <c r="H219" s="97">
        <f t="shared" si="224"/>
        <v>105.79675860442477</v>
      </c>
      <c r="I219" s="97">
        <f t="shared" si="224"/>
        <v>105.79822088747082</v>
      </c>
      <c r="J219" s="97">
        <f t="shared" si="224"/>
        <v>102.35857807369388</v>
      </c>
      <c r="K219" s="97">
        <f t="shared" si="224"/>
        <v>95.239484216722744</v>
      </c>
      <c r="L219" s="97">
        <f t="shared" si="224"/>
        <v>93.757578788028155</v>
      </c>
      <c r="M219" s="97">
        <f t="shared" si="224"/>
        <v>96.247049691231453</v>
      </c>
      <c r="N219" s="97">
        <f t="shared" si="224"/>
        <v>102.33031057778066</v>
      </c>
      <c r="O219" s="97">
        <f t="shared" si="224"/>
        <v>99.107073690172868</v>
      </c>
      <c r="P219" s="97">
        <f t="shared" si="224"/>
        <v>102.55465282416429</v>
      </c>
      <c r="Q219" s="97">
        <f t="shared" si="224"/>
        <v>97.81673245272853</v>
      </c>
      <c r="R219" s="97">
        <f t="shared" si="224"/>
        <v>94.591775019963947</v>
      </c>
      <c r="S219" s="97">
        <f t="shared" si="224"/>
        <v>88.079730015267558</v>
      </c>
      <c r="T219" s="97">
        <f t="shared" si="224"/>
        <v>90.68923099710608</v>
      </c>
      <c r="U219" s="97">
        <f t="shared" si="224"/>
        <v>89.518836823307979</v>
      </c>
      <c r="V219" s="97">
        <f t="shared" si="224"/>
        <v>108.28852322236351</v>
      </c>
      <c r="W219" s="97">
        <f t="shared" si="224"/>
        <v>101.37007868343002</v>
      </c>
      <c r="X219" s="97">
        <f t="shared" si="224"/>
        <v>101.77203572227893</v>
      </c>
      <c r="Y219" s="97">
        <f t="shared" si="224"/>
        <v>93.274374242049817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70.550587020198677</v>
      </c>
      <c r="C220" s="97">
        <f t="shared" si="225"/>
        <v>69.181257891013033</v>
      </c>
      <c r="D220" s="97">
        <f t="shared" si="225"/>
        <v>68.552220734595252</v>
      </c>
      <c r="E220" s="97">
        <f t="shared" si="225"/>
        <v>67.711139103144262</v>
      </c>
      <c r="F220" s="97">
        <f t="shared" si="225"/>
        <v>66.532287897023238</v>
      </c>
      <c r="G220" s="97">
        <f t="shared" si="225"/>
        <v>66.040523002314941</v>
      </c>
      <c r="H220" s="97">
        <f t="shared" si="225"/>
        <v>65.301276517550221</v>
      </c>
      <c r="I220" s="97">
        <f t="shared" si="225"/>
        <v>65.340148785587772</v>
      </c>
      <c r="J220" s="97">
        <f t="shared" si="225"/>
        <v>64.474659794007991</v>
      </c>
      <c r="K220" s="97">
        <f t="shared" si="225"/>
        <v>63.511656769938185</v>
      </c>
      <c r="L220" s="97">
        <f t="shared" si="225"/>
        <v>63.450525319107015</v>
      </c>
      <c r="M220" s="97">
        <f t="shared" si="225"/>
        <v>65.042171523609497</v>
      </c>
      <c r="N220" s="97">
        <f t="shared" si="225"/>
        <v>63.009571714327762</v>
      </c>
      <c r="O220" s="97">
        <f t="shared" si="225"/>
        <v>63.017418846383372</v>
      </c>
      <c r="P220" s="97">
        <f t="shared" si="225"/>
        <v>63.374493504581238</v>
      </c>
      <c r="Q220" s="97">
        <f t="shared" si="225"/>
        <v>64.866773350118208</v>
      </c>
      <c r="R220" s="97">
        <f t="shared" si="225"/>
        <v>64.982412722631821</v>
      </c>
      <c r="S220" s="97">
        <f t="shared" si="225"/>
        <v>64.986427651595278</v>
      </c>
      <c r="T220" s="97">
        <f t="shared" si="225"/>
        <v>62.556931163611303</v>
      </c>
      <c r="U220" s="97">
        <f t="shared" si="225"/>
        <v>64.471114419465508</v>
      </c>
      <c r="V220" s="97">
        <f t="shared" si="225"/>
        <v>110.06798658168726</v>
      </c>
      <c r="W220" s="97">
        <f t="shared" si="225"/>
        <v>86.500613961885861</v>
      </c>
      <c r="X220" s="97">
        <f t="shared" si="225"/>
        <v>75.350345646504536</v>
      </c>
      <c r="Y220" s="97">
        <f t="shared" si="225"/>
        <v>77.137896962384531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7.4632131737442524</v>
      </c>
      <c r="C221" s="130">
        <f t="shared" si="226"/>
        <v>6.465859862515118</v>
      </c>
      <c r="D221" s="130">
        <f t="shared" si="226"/>
        <v>6.7073943427561611</v>
      </c>
      <c r="E221" s="130">
        <f t="shared" si="226"/>
        <v>7.3249889745760308</v>
      </c>
      <c r="F221" s="130">
        <f t="shared" si="226"/>
        <v>6.2117762629595559</v>
      </c>
      <c r="G221" s="130">
        <f t="shared" si="226"/>
        <v>5.2311913975126672</v>
      </c>
      <c r="H221" s="130">
        <f t="shared" si="226"/>
        <v>5.3159846404405577</v>
      </c>
      <c r="I221" s="130">
        <f t="shared" si="226"/>
        <v>4.6907242167319332</v>
      </c>
      <c r="J221" s="130">
        <f t="shared" si="226"/>
        <v>2.7014066467432087</v>
      </c>
      <c r="K221" s="130">
        <f t="shared" si="226"/>
        <v>2.759250917977492</v>
      </c>
      <c r="L221" s="130">
        <f t="shared" si="226"/>
        <v>3.0327028806507252</v>
      </c>
      <c r="M221" s="130">
        <f t="shared" si="226"/>
        <v>2.2583187292832316</v>
      </c>
      <c r="N221" s="130">
        <f t="shared" si="226"/>
        <v>2.8260523247415268</v>
      </c>
      <c r="O221" s="130">
        <f t="shared" si="226"/>
        <v>1.9198911932664411</v>
      </c>
      <c r="P221" s="130">
        <f t="shared" si="226"/>
        <v>0.88241511761742042</v>
      </c>
      <c r="Q221" s="130">
        <f t="shared" si="226"/>
        <v>1.0358152845331818</v>
      </c>
      <c r="R221" s="130">
        <f t="shared" si="226"/>
        <v>0.69920257231399052</v>
      </c>
      <c r="S221" s="130">
        <f t="shared" si="226"/>
        <v>1.4993468329641475</v>
      </c>
      <c r="T221" s="130">
        <f t="shared" si="226"/>
        <v>1.9431811600952027</v>
      </c>
      <c r="U221" s="130">
        <f t="shared" si="226"/>
        <v>1.8401384610596452</v>
      </c>
      <c r="V221" s="130">
        <f t="shared" si="226"/>
        <v>4.3809143831025654</v>
      </c>
      <c r="W221" s="130">
        <f t="shared" si="226"/>
        <v>2.9990713555981725</v>
      </c>
      <c r="X221" s="130">
        <f t="shared" si="226"/>
        <v>0.55536254481551206</v>
      </c>
      <c r="Y221" s="130">
        <f t="shared" si="226"/>
        <v>0.51913636428079513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9.2574141792120983</v>
      </c>
      <c r="C223" s="97">
        <f t="shared" si="228"/>
        <v>8.3097935780690353</v>
      </c>
      <c r="D223" s="97">
        <f t="shared" si="228"/>
        <v>8.7665037271436983</v>
      </c>
      <c r="E223" s="97">
        <f t="shared" si="228"/>
        <v>9.7064180465217493</v>
      </c>
      <c r="F223" s="97">
        <f t="shared" si="228"/>
        <v>8.3054645530954545</v>
      </c>
      <c r="G223" s="97">
        <f t="shared" si="228"/>
        <v>7.0679896673552758</v>
      </c>
      <c r="H223" s="97">
        <f t="shared" si="228"/>
        <v>7.2725936262892361</v>
      </c>
      <c r="I223" s="97">
        <f t="shared" si="228"/>
        <v>6.4706159822869456</v>
      </c>
      <c r="J223" s="97">
        <f t="shared" si="228"/>
        <v>3.7489776639642503</v>
      </c>
      <c r="K223" s="97">
        <f t="shared" si="228"/>
        <v>4.0654252917453162</v>
      </c>
      <c r="L223" s="97">
        <f t="shared" si="228"/>
        <v>4.5917088460597499</v>
      </c>
      <c r="M223" s="97">
        <f t="shared" si="228"/>
        <v>3.5244983582413489</v>
      </c>
      <c r="N223" s="97">
        <f t="shared" si="228"/>
        <v>4.434568254136587</v>
      </c>
      <c r="O223" s="97">
        <f t="shared" si="228"/>
        <v>3.0001247960789263</v>
      </c>
      <c r="P223" s="97">
        <f t="shared" si="228"/>
        <v>1.3766102906004367</v>
      </c>
      <c r="Q223" s="97">
        <f t="shared" si="228"/>
        <v>1.612488925785287</v>
      </c>
      <c r="R223" s="97">
        <f t="shared" si="228"/>
        <v>1.0907744718624386</v>
      </c>
      <c r="S223" s="97">
        <f t="shared" si="228"/>
        <v>2.3463793636491501</v>
      </c>
      <c r="T223" s="97">
        <f t="shared" si="228"/>
        <v>3.0260398933241093</v>
      </c>
      <c r="U223" s="97">
        <f t="shared" si="228"/>
        <v>2.8741546413022609</v>
      </c>
      <c r="V223" s="97">
        <f t="shared" si="228"/>
        <v>7.2208840332365538</v>
      </c>
      <c r="W223" s="97">
        <f t="shared" si="228"/>
        <v>4.8800349393161584</v>
      </c>
      <c r="X223" s="97">
        <f t="shared" si="228"/>
        <v>0.86793346703569074</v>
      </c>
      <c r="Y223" s="97">
        <f t="shared" si="228"/>
        <v>0.7890225304132743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144.188458048874</v>
      </c>
      <c r="C225" s="130">
        <f t="shared" si="230"/>
        <v>146.87024063507278</v>
      </c>
      <c r="D225" s="130">
        <f t="shared" si="230"/>
        <v>141.67562023341446</v>
      </c>
      <c r="E225" s="130">
        <f t="shared" si="230"/>
        <v>146.03496830830454</v>
      </c>
      <c r="F225" s="130">
        <f t="shared" si="230"/>
        <v>124.54577299153873</v>
      </c>
      <c r="G225" s="130">
        <f t="shared" si="230"/>
        <v>120.88850081619145</v>
      </c>
      <c r="H225" s="130">
        <f t="shared" si="230"/>
        <v>121.99198793455778</v>
      </c>
      <c r="I225" s="130">
        <f t="shared" si="230"/>
        <v>118.11698020276754</v>
      </c>
      <c r="J225" s="130">
        <f t="shared" si="230"/>
        <v>119.44456439297558</v>
      </c>
      <c r="K225" s="130">
        <f t="shared" si="230"/>
        <v>113.64862518080933</v>
      </c>
      <c r="L225" s="130">
        <f t="shared" si="230"/>
        <v>109.97046136201901</v>
      </c>
      <c r="M225" s="130">
        <f t="shared" si="230"/>
        <v>107.7869681855926</v>
      </c>
      <c r="N225" s="130">
        <f t="shared" si="230"/>
        <v>104.0465164645056</v>
      </c>
      <c r="O225" s="130">
        <f t="shared" si="230"/>
        <v>101.37978055441796</v>
      </c>
      <c r="P225" s="130">
        <f t="shared" si="230"/>
        <v>99.767250900510021</v>
      </c>
      <c r="Q225" s="130">
        <f t="shared" si="230"/>
        <v>97.113569737948197</v>
      </c>
      <c r="R225" s="130">
        <f t="shared" si="230"/>
        <v>95.118403555143999</v>
      </c>
      <c r="S225" s="130">
        <f t="shared" si="230"/>
        <v>91.725451718464853</v>
      </c>
      <c r="T225" s="130">
        <f t="shared" si="230"/>
        <v>95.323651978003511</v>
      </c>
      <c r="U225" s="130">
        <f t="shared" si="230"/>
        <v>92.341028783467081</v>
      </c>
      <c r="V225" s="130">
        <f t="shared" si="230"/>
        <v>127.47531177905778</v>
      </c>
      <c r="W225" s="130">
        <f t="shared" si="230"/>
        <v>110.17596471353582</v>
      </c>
      <c r="X225" s="130">
        <f t="shared" si="230"/>
        <v>89.784621251114316</v>
      </c>
      <c r="Y225" s="130">
        <f t="shared" si="230"/>
        <v>87.206909426674954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138.10746268992938</v>
      </c>
      <c r="C226" s="97">
        <f t="shared" si="231"/>
        <v>134.68191416778183</v>
      </c>
      <c r="D226" s="97">
        <f t="shared" si="231"/>
        <v>133.48430502862112</v>
      </c>
      <c r="E226" s="97">
        <f t="shared" si="231"/>
        <v>135.21418711300819</v>
      </c>
      <c r="F226" s="97">
        <f t="shared" si="231"/>
        <v>131.67516202430221</v>
      </c>
      <c r="G226" s="97">
        <f t="shared" si="231"/>
        <v>136.90418566318453</v>
      </c>
      <c r="H226" s="97">
        <f t="shared" si="231"/>
        <v>138.51704086076921</v>
      </c>
      <c r="I226" s="97">
        <f t="shared" si="231"/>
        <v>131.04370261447238</v>
      </c>
      <c r="J226" s="97">
        <f t="shared" si="231"/>
        <v>129.12596060652373</v>
      </c>
      <c r="K226" s="97">
        <f t="shared" si="231"/>
        <v>109.31640833113373</v>
      </c>
      <c r="L226" s="97">
        <f t="shared" si="231"/>
        <v>106.32779440773268</v>
      </c>
      <c r="M226" s="97">
        <f t="shared" si="231"/>
        <v>100.17510176213845</v>
      </c>
      <c r="N226" s="97">
        <f t="shared" si="231"/>
        <v>102.23266679762853</v>
      </c>
      <c r="O226" s="97">
        <f t="shared" si="231"/>
        <v>107.00158253976531</v>
      </c>
      <c r="P226" s="97">
        <f t="shared" si="231"/>
        <v>107.09885311940515</v>
      </c>
      <c r="Q226" s="97">
        <f t="shared" si="231"/>
        <v>105.6057996532853</v>
      </c>
      <c r="R226" s="97">
        <f t="shared" si="231"/>
        <v>103.72333500654177</v>
      </c>
      <c r="S226" s="97">
        <f t="shared" si="231"/>
        <v>109.02948533938749</v>
      </c>
      <c r="T226" s="97">
        <f t="shared" si="231"/>
        <v>118.0082299573637</v>
      </c>
      <c r="U226" s="97">
        <f t="shared" si="231"/>
        <v>119.06403138743491</v>
      </c>
      <c r="V226" s="97">
        <f t="shared" si="231"/>
        <v>113.88549022054785</v>
      </c>
      <c r="W226" s="97">
        <f t="shared" si="231"/>
        <v>89.098685649166114</v>
      </c>
      <c r="X226" s="97">
        <f t="shared" si="231"/>
        <v>100.90681077086657</v>
      </c>
      <c r="Y226" s="97">
        <f t="shared" si="231"/>
        <v>120.85595756193507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155.6050355935912</v>
      </c>
      <c r="C227" s="97">
        <f t="shared" si="232"/>
        <v>159.17107097314624</v>
      </c>
      <c r="D227" s="97">
        <f t="shared" si="232"/>
        <v>152.36311508786477</v>
      </c>
      <c r="E227" s="97">
        <f t="shared" si="232"/>
        <v>154.19462325242986</v>
      </c>
      <c r="F227" s="97">
        <f t="shared" si="232"/>
        <v>128.19559412730149</v>
      </c>
      <c r="G227" s="97">
        <f t="shared" si="232"/>
        <v>119.79596828068379</v>
      </c>
      <c r="H227" s="97">
        <f t="shared" si="232"/>
        <v>120.22753865147428</v>
      </c>
      <c r="I227" s="97">
        <f t="shared" si="232"/>
        <v>122.2289746414002</v>
      </c>
      <c r="J227" s="97">
        <f t="shared" si="232"/>
        <v>123.35596544625064</v>
      </c>
      <c r="K227" s="97">
        <f t="shared" si="232"/>
        <v>115.11060421043322</v>
      </c>
      <c r="L227" s="97">
        <f t="shared" si="232"/>
        <v>112.47547730074191</v>
      </c>
      <c r="M227" s="97">
        <f t="shared" si="232"/>
        <v>105.12982350761794</v>
      </c>
      <c r="N227" s="97">
        <f t="shared" si="232"/>
        <v>101.60209108528946</v>
      </c>
      <c r="O227" s="97">
        <f t="shared" si="232"/>
        <v>96.94073761005825</v>
      </c>
      <c r="P227" s="97">
        <f t="shared" si="232"/>
        <v>95.456815828763297</v>
      </c>
      <c r="Q227" s="97">
        <f t="shared" si="232"/>
        <v>90.662629196438886</v>
      </c>
      <c r="R227" s="97">
        <f t="shared" si="232"/>
        <v>90.228169710819373</v>
      </c>
      <c r="S227" s="97">
        <f t="shared" si="232"/>
        <v>88.270080028584232</v>
      </c>
      <c r="T227" s="97">
        <f t="shared" si="232"/>
        <v>93.935245292283767</v>
      </c>
      <c r="U227" s="97">
        <f t="shared" si="232"/>
        <v>91.432947074702412</v>
      </c>
      <c r="V227" s="97">
        <f t="shared" si="232"/>
        <v>105.85856437531858</v>
      </c>
      <c r="W227" s="97">
        <f t="shared" si="232"/>
        <v>89.558697021151914</v>
      </c>
      <c r="X227" s="97">
        <f t="shared" si="232"/>
        <v>79.128096792493025</v>
      </c>
      <c r="Y227" s="97">
        <f t="shared" si="232"/>
        <v>82.441764264012903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138.10263242946831</v>
      </c>
      <c r="C228" s="97">
        <f t="shared" si="233"/>
        <v>142.91609101099297</v>
      </c>
      <c r="D228" s="97">
        <f t="shared" si="233"/>
        <v>137.12988278835212</v>
      </c>
      <c r="E228" s="97">
        <f t="shared" si="233"/>
        <v>144.40094975795162</v>
      </c>
      <c r="F228" s="97">
        <f t="shared" si="233"/>
        <v>118.78246176502861</v>
      </c>
      <c r="G228" s="97">
        <f t="shared" si="233"/>
        <v>115.52474864356263</v>
      </c>
      <c r="H228" s="97">
        <f t="shared" si="233"/>
        <v>116.93879719232454</v>
      </c>
      <c r="I228" s="97">
        <f t="shared" si="233"/>
        <v>109.59704973410567</v>
      </c>
      <c r="J228" s="97">
        <f t="shared" si="233"/>
        <v>112.42723767543497</v>
      </c>
      <c r="K228" s="97">
        <f t="shared" si="233"/>
        <v>114.43394045447153</v>
      </c>
      <c r="L228" s="97">
        <f t="shared" si="233"/>
        <v>109.60800071506372</v>
      </c>
      <c r="M228" s="97">
        <f t="shared" si="233"/>
        <v>113.77254128044859</v>
      </c>
      <c r="N228" s="97">
        <f t="shared" si="233"/>
        <v>106.89928220545131</v>
      </c>
      <c r="O228" s="97">
        <f t="shared" si="233"/>
        <v>102.80393432584056</v>
      </c>
      <c r="P228" s="97">
        <f t="shared" si="233"/>
        <v>100.69279382943354</v>
      </c>
      <c r="Q228" s="97">
        <f t="shared" si="233"/>
        <v>99.519977514431304</v>
      </c>
      <c r="R228" s="97">
        <f t="shared" si="233"/>
        <v>96.297291999295496</v>
      </c>
      <c r="S228" s="97">
        <f t="shared" si="233"/>
        <v>88.357663606073757</v>
      </c>
      <c r="T228" s="97">
        <f t="shared" si="233"/>
        <v>88.605307794374227</v>
      </c>
      <c r="U228" s="97">
        <f t="shared" si="233"/>
        <v>84.491100735960899</v>
      </c>
      <c r="V228" s="97">
        <f t="shared" si="233"/>
        <v>155.78871932559016</v>
      </c>
      <c r="W228" s="97">
        <f t="shared" si="233"/>
        <v>158.73364533619122</v>
      </c>
      <c r="X228" s="97">
        <f t="shared" si="233"/>
        <v>95.798165012718741</v>
      </c>
      <c r="Y228" s="97">
        <f t="shared" si="233"/>
        <v>78.928032366874149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142.64575295205734</v>
      </c>
      <c r="C229" s="32">
        <f t="shared" si="234"/>
        <v>151.74744612155331</v>
      </c>
      <c r="D229" s="32">
        <f t="shared" si="234"/>
        <v>146.63288977562485</v>
      </c>
      <c r="E229" s="32">
        <f t="shared" si="234"/>
        <v>159.31471686414943</v>
      </c>
      <c r="F229" s="32">
        <f t="shared" si="234"/>
        <v>151.3607247572568</v>
      </c>
      <c r="G229" s="32">
        <f t="shared" si="234"/>
        <v>148.36002199911411</v>
      </c>
      <c r="H229" s="32">
        <f t="shared" si="234"/>
        <v>150.70348881601188</v>
      </c>
      <c r="I229" s="32">
        <f t="shared" si="234"/>
        <v>151.84512173829108</v>
      </c>
      <c r="J229" s="32">
        <f t="shared" si="234"/>
        <v>138.26491255829546</v>
      </c>
      <c r="K229" s="32">
        <f t="shared" si="234"/>
        <v>127.26719158945424</v>
      </c>
      <c r="L229" s="32">
        <f t="shared" si="234"/>
        <v>123.90620978223163</v>
      </c>
      <c r="M229" s="32">
        <f t="shared" si="234"/>
        <v>139.50776832243378</v>
      </c>
      <c r="N229" s="32">
        <f t="shared" si="234"/>
        <v>147.55923377042328</v>
      </c>
      <c r="O229" s="32">
        <f t="shared" si="234"/>
        <v>128.92555972006772</v>
      </c>
      <c r="P229" s="32">
        <f t="shared" si="234"/>
        <v>132.49039344227077</v>
      </c>
      <c r="Q229" s="32">
        <f t="shared" si="234"/>
        <v>120.38179188724901</v>
      </c>
      <c r="R229" s="32">
        <f t="shared" si="234"/>
        <v>109.06923324836113</v>
      </c>
      <c r="S229" s="32">
        <f t="shared" si="234"/>
        <v>89.554896954670866</v>
      </c>
      <c r="T229" s="32">
        <f t="shared" si="234"/>
        <v>99.839302158842969</v>
      </c>
      <c r="U229" s="32">
        <f t="shared" si="234"/>
        <v>96.388727529631822</v>
      </c>
      <c r="V229" s="32">
        <f t="shared" si="234"/>
        <v>90.347967881729232</v>
      </c>
      <c r="W229" s="32">
        <f t="shared" si="234"/>
        <v>112.65913748080261</v>
      </c>
      <c r="X229" s="32">
        <f t="shared" si="234"/>
        <v>118.82270798593269</v>
      </c>
      <c r="Y229" s="32">
        <f t="shared" si="234"/>
        <v>120.56457053478464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157.46800863912151</v>
      </c>
      <c r="C230" s="141">
        <f t="shared" si="235"/>
        <v>167.59892586517171</v>
      </c>
      <c r="D230" s="141">
        <f t="shared" si="235"/>
        <v>161.08502616417209</v>
      </c>
      <c r="E230" s="141">
        <f t="shared" si="235"/>
        <v>178.96203154098026</v>
      </c>
      <c r="F230" s="141">
        <f t="shared" si="235"/>
        <v>168.30202854953194</v>
      </c>
      <c r="G230" s="141">
        <f t="shared" si="235"/>
        <v>166.78448841045707</v>
      </c>
      <c r="H230" s="141">
        <f t="shared" si="235"/>
        <v>171.5913275232227</v>
      </c>
      <c r="I230" s="141">
        <f t="shared" si="235"/>
        <v>178.26143391034819</v>
      </c>
      <c r="J230" s="141">
        <f t="shared" si="235"/>
        <v>155.53293120434265</v>
      </c>
      <c r="K230" s="141">
        <f t="shared" si="235"/>
        <v>143.9565585924548</v>
      </c>
      <c r="L230" s="141">
        <f t="shared" si="235"/>
        <v>140.54213607739445</v>
      </c>
      <c r="M230" s="141">
        <f t="shared" si="235"/>
        <v>167.57352307555749</v>
      </c>
      <c r="N230" s="141">
        <f t="shared" si="235"/>
        <v>182.17688794631945</v>
      </c>
      <c r="O230" s="141">
        <f t="shared" si="235"/>
        <v>154.41292747798272</v>
      </c>
      <c r="P230" s="141">
        <f t="shared" si="235"/>
        <v>165.33054225903064</v>
      </c>
      <c r="Q230" s="141">
        <f t="shared" si="235"/>
        <v>148.10348832909219</v>
      </c>
      <c r="R230" s="141">
        <f t="shared" si="235"/>
        <v>137.08025073216746</v>
      </c>
      <c r="S230" s="141">
        <f t="shared" si="235"/>
        <v>108.82905036468067</v>
      </c>
      <c r="T230" s="141">
        <f t="shared" si="235"/>
        <v>127.1760011330646</v>
      </c>
      <c r="U230" s="141">
        <f t="shared" si="235"/>
        <v>119.89986744399131</v>
      </c>
      <c r="V230" s="141">
        <f t="shared" si="235"/>
        <v>111.15178359953664</v>
      </c>
      <c r="W230" s="141">
        <f t="shared" si="235"/>
        <v>141.52207569521084</v>
      </c>
      <c r="X230" s="141">
        <f t="shared" si="235"/>
        <v>152.74021280928696</v>
      </c>
      <c r="Y230" s="141">
        <f t="shared" si="235"/>
        <v>153.35362333146938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1982.4958839554922</v>
      </c>
      <c r="C231" s="97">
        <f t="shared" si="236"/>
        <v>1845.7007968656899</v>
      </c>
      <c r="D231" s="97">
        <f t="shared" si="236"/>
        <v>1742.3004886414128</v>
      </c>
      <c r="E231" s="97">
        <f t="shared" si="236"/>
        <v>1681.9051404029026</v>
      </c>
      <c r="F231" s="97">
        <f t="shared" si="236"/>
        <v>1635.6616746140023</v>
      </c>
      <c r="G231" s="97">
        <f t="shared" si="236"/>
        <v>1600.8284883405581</v>
      </c>
      <c r="H231" s="97">
        <f t="shared" si="236"/>
        <v>1504.0879199311742</v>
      </c>
      <c r="I231" s="97">
        <f t="shared" si="236"/>
        <v>1477.8111452680957</v>
      </c>
      <c r="J231" s="97">
        <f t="shared" si="236"/>
        <v>1407.6683911396744</v>
      </c>
      <c r="K231" s="97">
        <f t="shared" si="236"/>
        <v>1341.3922381569744</v>
      </c>
      <c r="L231" s="97">
        <f t="shared" si="236"/>
        <v>1314.1914186618878</v>
      </c>
      <c r="M231" s="97">
        <f t="shared" si="236"/>
        <v>1292.620501760832</v>
      </c>
      <c r="N231" s="97">
        <f t="shared" si="236"/>
        <v>1247.9309945138816</v>
      </c>
      <c r="O231" s="97">
        <f t="shared" si="236"/>
        <v>1198.4355259871265</v>
      </c>
      <c r="P231" s="97">
        <f t="shared" si="236"/>
        <v>1191.2786385469549</v>
      </c>
      <c r="Q231" s="97">
        <f t="shared" si="236"/>
        <v>1114.785102079466</v>
      </c>
      <c r="R231" s="97">
        <f t="shared" si="236"/>
        <v>1091.2278826217455</v>
      </c>
      <c r="S231" s="97">
        <f t="shared" si="236"/>
        <v>1067.466161181545</v>
      </c>
      <c r="T231" s="97">
        <f t="shared" si="236"/>
        <v>1054.9329825422481</v>
      </c>
      <c r="U231" s="97">
        <f t="shared" si="236"/>
        <v>1052.2146912006945</v>
      </c>
      <c r="V231" s="97">
        <f t="shared" si="236"/>
        <v>1030.6845841124436</v>
      </c>
      <c r="W231" s="97">
        <f t="shared" si="236"/>
        <v>1072.9846146762334</v>
      </c>
      <c r="X231" s="97">
        <f t="shared" si="236"/>
        <v>1041.2587691102801</v>
      </c>
      <c r="Y231" s="97">
        <f t="shared" si="236"/>
        <v>1014.8868368604815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43.185406622075703</v>
      </c>
      <c r="C232" s="97">
        <f t="shared" si="237"/>
        <v>64.746382888321932</v>
      </c>
      <c r="D232" s="97">
        <f t="shared" si="237"/>
        <v>62.78473216983771</v>
      </c>
      <c r="E232" s="97">
        <f t="shared" si="237"/>
        <v>67.190525634672781</v>
      </c>
      <c r="F232" s="97">
        <f t="shared" si="237"/>
        <v>63.468940631149636</v>
      </c>
      <c r="G232" s="97">
        <f t="shared" si="237"/>
        <v>62.337987548753652</v>
      </c>
      <c r="H232" s="97">
        <f t="shared" si="237"/>
        <v>76.034259220323733</v>
      </c>
      <c r="I232" s="97">
        <f t="shared" si="237"/>
        <v>76.384517638949305</v>
      </c>
      <c r="J232" s="97">
        <f t="shared" si="237"/>
        <v>57.627530895956873</v>
      </c>
      <c r="K232" s="97">
        <f t="shared" si="237"/>
        <v>44.828548051263382</v>
      </c>
      <c r="L232" s="97">
        <f t="shared" si="237"/>
        <v>40.3140566161264</v>
      </c>
      <c r="M232" s="97">
        <f t="shared" si="237"/>
        <v>51.57991250685771</v>
      </c>
      <c r="N232" s="97">
        <f t="shared" si="237"/>
        <v>69.810597078090751</v>
      </c>
      <c r="O232" s="97">
        <f t="shared" si="237"/>
        <v>56.155076897959447</v>
      </c>
      <c r="P232" s="97">
        <f t="shared" si="237"/>
        <v>58.922373078708368</v>
      </c>
      <c r="Q232" s="97">
        <f t="shared" si="237"/>
        <v>63.652686584405828</v>
      </c>
      <c r="R232" s="97">
        <f t="shared" si="237"/>
        <v>56.18070846863337</v>
      </c>
      <c r="S232" s="97">
        <f t="shared" si="237"/>
        <v>31.78576030644307</v>
      </c>
      <c r="T232" s="97">
        <f t="shared" si="237"/>
        <v>52.188554240335669</v>
      </c>
      <c r="U232" s="97">
        <f t="shared" si="237"/>
        <v>48.843209355300381</v>
      </c>
      <c r="V232" s="97">
        <f t="shared" si="237"/>
        <v>39.884945138463614</v>
      </c>
      <c r="W232" s="97">
        <f t="shared" si="237"/>
        <v>65.025605291741144</v>
      </c>
      <c r="X232" s="97">
        <f t="shared" si="237"/>
        <v>88.251237827557432</v>
      </c>
      <c r="Y232" s="97">
        <f t="shared" si="237"/>
        <v>92.746496276442983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0.90446516823290923</v>
      </c>
      <c r="C233" s="130">
        <f t="shared" si="238"/>
        <v>0.72238487607278667</v>
      </c>
      <c r="D233" s="130">
        <f t="shared" si="238"/>
        <v>0.7223861181696537</v>
      </c>
      <c r="E233" s="130">
        <f t="shared" si="238"/>
        <v>0.79482106962083876</v>
      </c>
      <c r="F233" s="130">
        <f t="shared" si="238"/>
        <v>0.8907391500301145</v>
      </c>
      <c r="G233" s="130">
        <f t="shared" si="238"/>
        <v>0.55383226911807715</v>
      </c>
      <c r="H233" s="130">
        <f t="shared" si="238"/>
        <v>2.2104291475369342</v>
      </c>
      <c r="I233" s="130">
        <f t="shared" si="238"/>
        <v>2.6260600408764891</v>
      </c>
      <c r="J233" s="130">
        <f t="shared" si="238"/>
        <v>2.8779809890692394</v>
      </c>
      <c r="K233" s="130">
        <f t="shared" si="238"/>
        <v>2.1045547436986984</v>
      </c>
      <c r="L233" s="130">
        <f t="shared" si="238"/>
        <v>1.8441279120270151</v>
      </c>
      <c r="M233" s="130">
        <f t="shared" si="238"/>
        <v>1.022691046771238</v>
      </c>
      <c r="N233" s="130">
        <f t="shared" si="238"/>
        <v>0.98002021578002407</v>
      </c>
      <c r="O233" s="130">
        <f t="shared" si="238"/>
        <v>0.72170134133112651</v>
      </c>
      <c r="P233" s="130">
        <f t="shared" si="238"/>
        <v>0.34060017743514487</v>
      </c>
      <c r="Q233" s="130">
        <f t="shared" si="238"/>
        <v>0.39926258397495834</v>
      </c>
      <c r="R233" s="130">
        <f t="shared" si="238"/>
        <v>0.26453434565971667</v>
      </c>
      <c r="S233" s="130">
        <f t="shared" si="238"/>
        <v>0.60193880176133607</v>
      </c>
      <c r="T233" s="130">
        <f t="shared" si="238"/>
        <v>0.76645949879945341</v>
      </c>
      <c r="U233" s="130">
        <f t="shared" si="238"/>
        <v>0.82591402130418001</v>
      </c>
      <c r="V233" s="130">
        <f t="shared" si="238"/>
        <v>0.96702723073346475</v>
      </c>
      <c r="W233" s="130">
        <f t="shared" si="238"/>
        <v>0.83152533132308148</v>
      </c>
      <c r="X233" s="130">
        <f t="shared" si="238"/>
        <v>0.23877835067460737</v>
      </c>
      <c r="Y233" s="130">
        <f t="shared" si="238"/>
        <v>0.24620734167605476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306.63883523643125</v>
      </c>
      <c r="C234" s="130">
        <f t="shared" si="239"/>
        <v>371.86391274513301</v>
      </c>
      <c r="D234" s="130">
        <f t="shared" si="239"/>
        <v>341.57611317388341</v>
      </c>
      <c r="E234" s="130">
        <f t="shared" si="239"/>
        <v>350.32933783765151</v>
      </c>
      <c r="F234" s="130">
        <f t="shared" si="239"/>
        <v>328.85951495130996</v>
      </c>
      <c r="G234" s="130">
        <f t="shared" si="239"/>
        <v>335.01031047434316</v>
      </c>
      <c r="H234" s="130">
        <f t="shared" si="239"/>
        <v>354.14723102543354</v>
      </c>
      <c r="I234" s="130">
        <f t="shared" si="239"/>
        <v>343.81682581531965</v>
      </c>
      <c r="J234" s="130">
        <f t="shared" si="239"/>
        <v>360.00041992096942</v>
      </c>
      <c r="K234" s="130">
        <f t="shared" si="239"/>
        <v>338.96556131770444</v>
      </c>
      <c r="L234" s="130">
        <f t="shared" si="239"/>
        <v>319.597412214516</v>
      </c>
      <c r="M234" s="130">
        <f t="shared" si="239"/>
        <v>300.30373288205334</v>
      </c>
      <c r="N234" s="130">
        <f t="shared" si="239"/>
        <v>272.7184559072241</v>
      </c>
      <c r="O234" s="130">
        <f t="shared" si="239"/>
        <v>273.56668747510372</v>
      </c>
      <c r="P234" s="130">
        <f t="shared" si="239"/>
        <v>238.14060629404719</v>
      </c>
      <c r="Q234" s="130">
        <f t="shared" si="239"/>
        <v>234.43546433031173</v>
      </c>
      <c r="R234" s="130">
        <f t="shared" si="239"/>
        <v>206.43146418827246</v>
      </c>
      <c r="S234" s="130">
        <f t="shared" si="239"/>
        <v>203.02561684031377</v>
      </c>
      <c r="T234" s="130">
        <f t="shared" si="239"/>
        <v>204.64489930611518</v>
      </c>
      <c r="U234" s="130">
        <f t="shared" si="239"/>
        <v>193.46642081960158</v>
      </c>
      <c r="V234" s="130">
        <f t="shared" si="239"/>
        <v>319.81646154809278</v>
      </c>
      <c r="W234" s="130">
        <f t="shared" si="239"/>
        <v>301.31996452003381</v>
      </c>
      <c r="X234" s="130">
        <f t="shared" si="239"/>
        <v>266.66299001500039</v>
      </c>
      <c r="Y234" s="130">
        <f t="shared" si="239"/>
        <v>247.61630268243218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1327.4196991812328</v>
      </c>
      <c r="C235" s="97">
        <f t="shared" si="240"/>
        <v>1317.4054366117095</v>
      </c>
      <c r="D235" s="97">
        <f t="shared" si="240"/>
        <v>1285.4047933533536</v>
      </c>
      <c r="E235" s="97">
        <f t="shared" si="240"/>
        <v>1198.773241678763</v>
      </c>
      <c r="F235" s="97">
        <f t="shared" si="240"/>
        <v>1297.3824510200891</v>
      </c>
      <c r="G235" s="97">
        <f t="shared" si="240"/>
        <v>1415.0201451186811</v>
      </c>
      <c r="H235" s="97">
        <f t="shared" si="240"/>
        <v>1486.7269950625096</v>
      </c>
      <c r="I235" s="97">
        <f t="shared" si="240"/>
        <v>1408.556732855601</v>
      </c>
      <c r="J235" s="97">
        <f t="shared" si="240"/>
        <v>1479.9705517437278</v>
      </c>
      <c r="K235" s="97">
        <f t="shared" si="240"/>
        <v>1265.4771108909988</v>
      </c>
      <c r="L235" s="97">
        <f t="shared" si="240"/>
        <v>1213.946192584852</v>
      </c>
      <c r="M235" s="97">
        <f t="shared" si="240"/>
        <v>1096.727098478706</v>
      </c>
      <c r="N235" s="97">
        <f t="shared" si="240"/>
        <v>1092.2742181750227</v>
      </c>
      <c r="O235" s="97">
        <f t="shared" si="240"/>
        <v>1173.7536779696848</v>
      </c>
      <c r="P235" s="97">
        <f t="shared" si="240"/>
        <v>1102.2444581704465</v>
      </c>
      <c r="Q235" s="97">
        <f t="shared" si="240"/>
        <v>1121.4859249191513</v>
      </c>
      <c r="R235" s="97">
        <f t="shared" si="240"/>
        <v>982.92790229907996</v>
      </c>
      <c r="S235" s="97">
        <f t="shared" si="240"/>
        <v>1149.4637340485733</v>
      </c>
      <c r="T235" s="97">
        <f t="shared" si="240"/>
        <v>1261.9712248580872</v>
      </c>
      <c r="U235" s="97">
        <f t="shared" si="240"/>
        <v>1045.2587791663268</v>
      </c>
      <c r="V235" s="97">
        <f t="shared" si="240"/>
        <v>799.83109685131831</v>
      </c>
      <c r="W235" s="97">
        <f t="shared" si="240"/>
        <v>748.97517423708462</v>
      </c>
      <c r="X235" s="97">
        <f t="shared" si="240"/>
        <v>953.71904705615941</v>
      </c>
      <c r="Y235" s="97">
        <f t="shared" si="240"/>
        <v>1186.4311868529887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692.22421847328008</v>
      </c>
      <c r="C236" s="97">
        <f t="shared" si="241"/>
        <v>683.35055456522491</v>
      </c>
      <c r="D236" s="97">
        <f t="shared" si="241"/>
        <v>651.26613131462011</v>
      </c>
      <c r="E236" s="97">
        <f t="shared" si="241"/>
        <v>600.89638388049138</v>
      </c>
      <c r="F236" s="97">
        <f t="shared" si="241"/>
        <v>591.0137893503844</v>
      </c>
      <c r="G236" s="97">
        <f t="shared" si="241"/>
        <v>580.70427061961198</v>
      </c>
      <c r="H236" s="97">
        <f t="shared" si="241"/>
        <v>701.85710451445391</v>
      </c>
      <c r="I236" s="97">
        <f t="shared" si="241"/>
        <v>706.2585310668095</v>
      </c>
      <c r="J236" s="97">
        <f t="shared" si="241"/>
        <v>735.43510500625564</v>
      </c>
      <c r="K236" s="97">
        <f t="shared" si="241"/>
        <v>689.01903514034416</v>
      </c>
      <c r="L236" s="97">
        <f t="shared" si="241"/>
        <v>681.57382765951843</v>
      </c>
      <c r="M236" s="97">
        <f t="shared" si="241"/>
        <v>652.35680137686211</v>
      </c>
      <c r="N236" s="97">
        <f t="shared" si="241"/>
        <v>588.4104973841479</v>
      </c>
      <c r="O236" s="97">
        <f t="shared" si="241"/>
        <v>590.98814988495133</v>
      </c>
      <c r="P236" s="97">
        <f t="shared" si="241"/>
        <v>517.4246787985835</v>
      </c>
      <c r="Q236" s="97">
        <f t="shared" si="241"/>
        <v>497.45692635410137</v>
      </c>
      <c r="R236" s="97">
        <f t="shared" si="241"/>
        <v>457.37193088569592</v>
      </c>
      <c r="S236" s="97">
        <f t="shared" si="241"/>
        <v>506.74220437287141</v>
      </c>
      <c r="T236" s="97">
        <f t="shared" si="241"/>
        <v>540.883239560638</v>
      </c>
      <c r="U236" s="97">
        <f t="shared" si="241"/>
        <v>510.72143167231775</v>
      </c>
      <c r="V236" s="97">
        <f t="shared" si="241"/>
        <v>529.06637943815031</v>
      </c>
      <c r="W236" s="97">
        <f t="shared" si="241"/>
        <v>467.77520703234757</v>
      </c>
      <c r="X236" s="97">
        <f t="shared" si="241"/>
        <v>501.92615327501443</v>
      </c>
      <c r="Y236" s="97">
        <f t="shared" si="241"/>
        <v>560.48547580309878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270.66376012616502</v>
      </c>
      <c r="C237" s="97">
        <f t="shared" si="242"/>
        <v>268.06581681195377</v>
      </c>
      <c r="D237" s="97">
        <f t="shared" si="242"/>
        <v>273.13804623998078</v>
      </c>
      <c r="E237" s="97">
        <f t="shared" si="242"/>
        <v>286.62673624130645</v>
      </c>
      <c r="F237" s="97">
        <f t="shared" si="242"/>
        <v>262.7318012147706</v>
      </c>
      <c r="G237" s="97">
        <f t="shared" si="242"/>
        <v>276.05291057100533</v>
      </c>
      <c r="H237" s="97">
        <f t="shared" si="242"/>
        <v>291.95556088452315</v>
      </c>
      <c r="I237" s="97">
        <f t="shared" si="242"/>
        <v>284.72102806841713</v>
      </c>
      <c r="J237" s="97">
        <f t="shared" si="242"/>
        <v>297.19954818554515</v>
      </c>
      <c r="K237" s="97">
        <f t="shared" si="242"/>
        <v>276.28335394964142</v>
      </c>
      <c r="L237" s="97">
        <f t="shared" si="242"/>
        <v>272.95248217515922</v>
      </c>
      <c r="M237" s="97">
        <f t="shared" si="242"/>
        <v>261.33142587777661</v>
      </c>
      <c r="N237" s="97">
        <f t="shared" si="242"/>
        <v>233.2671764866887</v>
      </c>
      <c r="O237" s="97">
        <f t="shared" si="242"/>
        <v>236.52934351906498</v>
      </c>
      <c r="P237" s="97">
        <f t="shared" si="242"/>
        <v>208.96958561559185</v>
      </c>
      <c r="Q237" s="97">
        <f t="shared" si="242"/>
        <v>209.39674190874044</v>
      </c>
      <c r="R237" s="97">
        <f t="shared" si="242"/>
        <v>186.84439210194799</v>
      </c>
      <c r="S237" s="97">
        <f t="shared" si="242"/>
        <v>181.97141562155346</v>
      </c>
      <c r="T237" s="97">
        <f t="shared" si="242"/>
        <v>180.74756639655496</v>
      </c>
      <c r="U237" s="97">
        <f t="shared" si="242"/>
        <v>170.97626881443108</v>
      </c>
      <c r="V237" s="97">
        <f t="shared" si="242"/>
        <v>298.1443935572309</v>
      </c>
      <c r="W237" s="97">
        <f t="shared" si="242"/>
        <v>281.60713213163427</v>
      </c>
      <c r="X237" s="97">
        <f t="shared" si="242"/>
        <v>232.93215389870389</v>
      </c>
      <c r="Y237" s="97">
        <f t="shared" si="242"/>
        <v>209.55955818938912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146.20102471974548</v>
      </c>
      <c r="C238" s="130">
        <f t="shared" si="243"/>
        <v>156.90259309582811</v>
      </c>
      <c r="D238" s="130">
        <f t="shared" si="243"/>
        <v>142.36638384978653</v>
      </c>
      <c r="E238" s="130">
        <f t="shared" si="243"/>
        <v>138.59254150685243</v>
      </c>
      <c r="F238" s="130">
        <f t="shared" si="243"/>
        <v>139.17828384822644</v>
      </c>
      <c r="G238" s="130">
        <f t="shared" si="243"/>
        <v>120.75320411167658</v>
      </c>
      <c r="H238" s="130">
        <f t="shared" si="243"/>
        <v>121.24022291700263</v>
      </c>
      <c r="I238" s="130">
        <f t="shared" si="243"/>
        <v>103.53227818387963</v>
      </c>
      <c r="J238" s="130">
        <f t="shared" si="243"/>
        <v>119.90094677655912</v>
      </c>
      <c r="K238" s="130">
        <f t="shared" si="243"/>
        <v>94.577663780232172</v>
      </c>
      <c r="L238" s="130">
        <f t="shared" si="243"/>
        <v>88.144041154108351</v>
      </c>
      <c r="M238" s="130">
        <f t="shared" si="243"/>
        <v>80.475606008678227</v>
      </c>
      <c r="N238" s="130">
        <f t="shared" si="243"/>
        <v>79.66160464586882</v>
      </c>
      <c r="O238" s="130">
        <f t="shared" si="243"/>
        <v>81.125254043156247</v>
      </c>
      <c r="P238" s="130">
        <f t="shared" si="243"/>
        <v>73.951867692616489</v>
      </c>
      <c r="Q238" s="130">
        <f t="shared" si="243"/>
        <v>73.584110786594451</v>
      </c>
      <c r="R238" s="130">
        <f t="shared" si="243"/>
        <v>67.793071427239454</v>
      </c>
      <c r="S238" s="130">
        <f t="shared" si="243"/>
        <v>59.463825667663443</v>
      </c>
      <c r="T238" s="130">
        <f t="shared" si="243"/>
        <v>44.193047886221741</v>
      </c>
      <c r="U238" s="130">
        <f t="shared" si="243"/>
        <v>43.398891504431816</v>
      </c>
      <c r="V238" s="130">
        <f t="shared" si="243"/>
        <v>41.064965543809812</v>
      </c>
      <c r="W238" s="130">
        <f t="shared" si="243"/>
        <v>40.400431728737793</v>
      </c>
      <c r="X238" s="130">
        <f t="shared" si="243"/>
        <v>36.742041770120082</v>
      </c>
      <c r="Y238" s="130">
        <f t="shared" si="243"/>
        <v>38.590650273414902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146.02766569742707</v>
      </c>
      <c r="C239" s="97">
        <f t="shared" si="244"/>
        <v>156.60756899048602</v>
      </c>
      <c r="D239" s="97">
        <f t="shared" si="244"/>
        <v>142.27620943787525</v>
      </c>
      <c r="E239" s="97">
        <f t="shared" si="244"/>
        <v>138.50722265034861</v>
      </c>
      <c r="F239" s="97">
        <f t="shared" si="244"/>
        <v>139.04820108012794</v>
      </c>
      <c r="G239" s="97">
        <f t="shared" si="244"/>
        <v>120.71897366968896</v>
      </c>
      <c r="H239" s="97">
        <f t="shared" si="244"/>
        <v>121.14436779948444</v>
      </c>
      <c r="I239" s="97">
        <f t="shared" si="244"/>
        <v>103.45950951886805</v>
      </c>
      <c r="J239" s="97">
        <f t="shared" si="244"/>
        <v>119.86908056022915</v>
      </c>
      <c r="K239" s="97">
        <f t="shared" si="244"/>
        <v>94.598484777653397</v>
      </c>
      <c r="L239" s="97">
        <f t="shared" si="244"/>
        <v>88.20039551228777</v>
      </c>
      <c r="M239" s="97">
        <f t="shared" si="244"/>
        <v>80.528849351686546</v>
      </c>
      <c r="N239" s="97">
        <f t="shared" si="244"/>
        <v>79.690444815397953</v>
      </c>
      <c r="O239" s="97">
        <f t="shared" si="244"/>
        <v>81.154250737777161</v>
      </c>
      <c r="P239" s="97">
        <f t="shared" si="244"/>
        <v>73.978732516717088</v>
      </c>
      <c r="Q239" s="97">
        <f t="shared" si="244"/>
        <v>73.619681053183513</v>
      </c>
      <c r="R239" s="97">
        <f t="shared" si="244"/>
        <v>67.825330750438511</v>
      </c>
      <c r="S239" s="97">
        <f t="shared" si="244"/>
        <v>59.491531407996433</v>
      </c>
      <c r="T239" s="97">
        <f t="shared" si="244"/>
        <v>44.219188714016909</v>
      </c>
      <c r="U239" s="97">
        <f t="shared" si="244"/>
        <v>43.419037489593315</v>
      </c>
      <c r="V239" s="97">
        <f t="shared" si="244"/>
        <v>41.10171822007019</v>
      </c>
      <c r="W239" s="97">
        <f t="shared" si="244"/>
        <v>40.443424176208161</v>
      </c>
      <c r="X239" s="97">
        <f t="shared" si="244"/>
        <v>36.774014740728468</v>
      </c>
      <c r="Y239" s="97">
        <f t="shared" si="244"/>
        <v>38.592508130841075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173.98139143090023</v>
      </c>
      <c r="C240" s="98">
        <f t="shared" si="245"/>
        <v>205.1392999845923</v>
      </c>
      <c r="D240" s="98">
        <f t="shared" si="245"/>
        <v>171.39623669183914</v>
      </c>
      <c r="E240" s="98">
        <f t="shared" si="245"/>
        <v>168.66925809660222</v>
      </c>
      <c r="F240" s="98">
        <f t="shared" si="245"/>
        <v>176.95218422892736</v>
      </c>
      <c r="G240" s="98">
        <f t="shared" si="245"/>
        <v>134.73041345809202</v>
      </c>
      <c r="H240" s="98">
        <f t="shared" si="245"/>
        <v>166.77544112429604</v>
      </c>
      <c r="I240" s="98">
        <f t="shared" si="245"/>
        <v>135.36785552404817</v>
      </c>
      <c r="J240" s="98">
        <f t="shared" si="245"/>
        <v>138.49474857368185</v>
      </c>
      <c r="K240" s="98">
        <f t="shared" si="245"/>
        <v>79.200776895747239</v>
      </c>
      <c r="L240" s="98">
        <f t="shared" si="245"/>
        <v>67.068898138378259</v>
      </c>
      <c r="M240" s="98">
        <f t="shared" si="245"/>
        <v>64.911501627617426</v>
      </c>
      <c r="N240" s="98">
        <f t="shared" si="245"/>
        <v>65.940492010267917</v>
      </c>
      <c r="O240" s="98">
        <f t="shared" si="245"/>
        <v>68.727662522653617</v>
      </c>
      <c r="P240" s="98">
        <f t="shared" si="245"/>
        <v>56.649451381992492</v>
      </c>
      <c r="Q240" s="98">
        <f t="shared" si="245"/>
        <v>50.653638030007912</v>
      </c>
      <c r="R240" s="98">
        <f t="shared" si="245"/>
        <v>46.239658484942161</v>
      </c>
      <c r="S240" s="98">
        <f t="shared" si="245"/>
        <v>38.495068111324947</v>
      </c>
      <c r="T240" s="98">
        <f t="shared" si="245"/>
        <v>28.199809663630948</v>
      </c>
      <c r="U240" s="98">
        <f t="shared" si="245"/>
        <v>27.22281337460975</v>
      </c>
      <c r="V240" s="98">
        <f t="shared" si="245"/>
        <v>28.26252762513748</v>
      </c>
      <c r="W240" s="98">
        <f t="shared" si="245"/>
        <v>27.424318570823562</v>
      </c>
      <c r="X240" s="98">
        <f t="shared" si="245"/>
        <v>22.070899537840219</v>
      </c>
      <c r="Y240" s="98">
        <f t="shared" si="245"/>
        <v>25.524681460138197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7.1198762791080012</v>
      </c>
      <c r="C241" s="32">
        <f t="shared" si="246"/>
        <v>7.4008278547901405</v>
      </c>
      <c r="D241" s="32">
        <f t="shared" si="246"/>
        <v>8.0889899486031211</v>
      </c>
      <c r="E241" s="32">
        <f t="shared" si="246"/>
        <v>8.4986842158738476</v>
      </c>
      <c r="F241" s="32">
        <f t="shared" si="246"/>
        <v>8.6486366577999068</v>
      </c>
      <c r="G241" s="32">
        <f t="shared" si="246"/>
        <v>8.864134164699335</v>
      </c>
      <c r="H241" s="32">
        <f t="shared" si="246"/>
        <v>8.7067283271439546</v>
      </c>
      <c r="I241" s="32">
        <f t="shared" si="246"/>
        <v>8.9994089382578704</v>
      </c>
      <c r="J241" s="32">
        <f t="shared" si="246"/>
        <v>9.8191972121120479</v>
      </c>
      <c r="K241" s="32">
        <f t="shared" si="246"/>
        <v>10.988602674640195</v>
      </c>
      <c r="L241" s="32">
        <f t="shared" si="246"/>
        <v>13.454228723968138</v>
      </c>
      <c r="M241" s="32">
        <f t="shared" si="246"/>
        <v>10.569227127081732</v>
      </c>
      <c r="N241" s="32">
        <f t="shared" si="246"/>
        <v>11.135119437045196</v>
      </c>
      <c r="O241" s="32">
        <f t="shared" si="246"/>
        <v>10.286368343856228</v>
      </c>
      <c r="P241" s="32">
        <f t="shared" si="246"/>
        <v>9.7368762147046635</v>
      </c>
      <c r="Q241" s="32">
        <f t="shared" si="246"/>
        <v>9.0232546135730818</v>
      </c>
      <c r="R241" s="32">
        <f t="shared" si="246"/>
        <v>11.303488704937623</v>
      </c>
      <c r="S241" s="32">
        <f t="shared" si="246"/>
        <v>11.80101838638517</v>
      </c>
      <c r="T241" s="32">
        <f t="shared" si="246"/>
        <v>12.788550056084739</v>
      </c>
      <c r="U241" s="32">
        <f t="shared" si="246"/>
        <v>11.55813901604188</v>
      </c>
      <c r="V241" s="32">
        <f t="shared" si="246"/>
        <v>12.146957547275353</v>
      </c>
      <c r="W241" s="32">
        <f t="shared" si="246"/>
        <v>11.289779002856083</v>
      </c>
      <c r="X241" s="32">
        <f t="shared" si="246"/>
        <v>11.170035798917089</v>
      </c>
      <c r="Y241" s="32">
        <f t="shared" si="246"/>
        <v>10.390138085895025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19.191582058360787</v>
      </c>
      <c r="C242" s="97">
        <f t="shared" si="247"/>
        <v>20.791789050097211</v>
      </c>
      <c r="D242" s="97">
        <f t="shared" si="247"/>
        <v>22.269020112939419</v>
      </c>
      <c r="E242" s="97">
        <f t="shared" si="247"/>
        <v>23.543428906743308</v>
      </c>
      <c r="F242" s="97">
        <f t="shared" si="247"/>
        <v>24.464890679097103</v>
      </c>
      <c r="G242" s="97">
        <f t="shared" si="247"/>
        <v>25.611116519309771</v>
      </c>
      <c r="H242" s="97">
        <f t="shared" si="247"/>
        <v>25.452074445103843</v>
      </c>
      <c r="I242" s="97">
        <f t="shared" si="247"/>
        <v>27.06921175326282</v>
      </c>
      <c r="J242" s="97">
        <f t="shared" si="247"/>
        <v>27.659498750757706</v>
      </c>
      <c r="K242" s="97">
        <f t="shared" si="247"/>
        <v>31.463085899184165</v>
      </c>
      <c r="L242" s="97">
        <f t="shared" si="247"/>
        <v>38.855871434148902</v>
      </c>
      <c r="M242" s="97">
        <f t="shared" si="247"/>
        <v>30.562348757206514</v>
      </c>
      <c r="N242" s="97">
        <f t="shared" si="247"/>
        <v>32.036091444223729</v>
      </c>
      <c r="O242" s="97">
        <f t="shared" si="247"/>
        <v>28.32018257368679</v>
      </c>
      <c r="P242" s="97">
        <f t="shared" si="247"/>
        <v>26.99193176615292</v>
      </c>
      <c r="Q242" s="97">
        <f t="shared" si="247"/>
        <v>25.775958611252083</v>
      </c>
      <c r="R242" s="97">
        <f t="shared" si="247"/>
        <v>30.049342860237751</v>
      </c>
      <c r="S242" s="97">
        <f t="shared" si="247"/>
        <v>31.336841316093906</v>
      </c>
      <c r="T242" s="97">
        <f t="shared" si="247"/>
        <v>31.276851397785286</v>
      </c>
      <c r="U242" s="97">
        <f t="shared" si="247"/>
        <v>29.995957078034849</v>
      </c>
      <c r="V242" s="97">
        <f t="shared" si="247"/>
        <v>28.179346196223214</v>
      </c>
      <c r="W242" s="97">
        <f t="shared" si="247"/>
        <v>26.933643457719278</v>
      </c>
      <c r="X242" s="97">
        <f t="shared" si="247"/>
        <v>28.735841221893136</v>
      </c>
      <c r="Y242" s="97">
        <f t="shared" si="247"/>
        <v>26.354419531237564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5.1423606053425619</v>
      </c>
      <c r="C243" s="98">
        <f t="shared" si="248"/>
        <v>5.3573315474302081</v>
      </c>
      <c r="D243" s="98">
        <f t="shared" si="248"/>
        <v>5.7780355084719259</v>
      </c>
      <c r="E243" s="98">
        <f t="shared" si="248"/>
        <v>6.1051245649157684</v>
      </c>
      <c r="F243" s="98">
        <f t="shared" si="248"/>
        <v>6.296232489076151</v>
      </c>
      <c r="G243" s="98">
        <f t="shared" si="248"/>
        <v>6.4890888484329539</v>
      </c>
      <c r="H243" s="98">
        <f t="shared" si="248"/>
        <v>6.380820815383843</v>
      </c>
      <c r="I243" s="98">
        <f t="shared" si="248"/>
        <v>6.6143369857081291</v>
      </c>
      <c r="J243" s="98">
        <f t="shared" si="248"/>
        <v>7.0089520903697613</v>
      </c>
      <c r="K243" s="98">
        <f t="shared" si="248"/>
        <v>7.9369518247896131</v>
      </c>
      <c r="L243" s="98">
        <f t="shared" si="248"/>
        <v>9.514097468664108</v>
      </c>
      <c r="M243" s="98">
        <f t="shared" si="248"/>
        <v>7.5153268735053569</v>
      </c>
      <c r="N243" s="98">
        <f t="shared" si="248"/>
        <v>7.8194641644632004</v>
      </c>
      <c r="O243" s="98">
        <f t="shared" si="248"/>
        <v>7.0169585970752033</v>
      </c>
      <c r="P243" s="98">
        <f t="shared" si="248"/>
        <v>6.7077105253700706</v>
      </c>
      <c r="Q243" s="98">
        <f t="shared" si="248"/>
        <v>6.2739609570745234</v>
      </c>
      <c r="R243" s="98">
        <f t="shared" si="248"/>
        <v>7.7541575000519245</v>
      </c>
      <c r="S243" s="98">
        <f t="shared" si="248"/>
        <v>8.0199263277848853</v>
      </c>
      <c r="T243" s="98">
        <f t="shared" si="248"/>
        <v>8.5016885826363122</v>
      </c>
      <c r="U243" s="98">
        <f t="shared" si="248"/>
        <v>7.7592735059013949</v>
      </c>
      <c r="V243" s="98">
        <f t="shared" si="248"/>
        <v>8.8478772168106872</v>
      </c>
      <c r="W243" s="98">
        <f t="shared" si="248"/>
        <v>8.2777981818802466</v>
      </c>
      <c r="X243" s="98">
        <f t="shared" si="248"/>
        <v>7.7465078841559727</v>
      </c>
      <c r="Y243" s="98">
        <f t="shared" si="248"/>
        <v>7.1959914932938513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853085.41718665673</v>
      </c>
      <c r="C4" s="29">
        <f t="shared" si="0"/>
        <v>860336.94209689298</v>
      </c>
      <c r="D4" s="29">
        <f t="shared" si="0"/>
        <v>864649.59689585585</v>
      </c>
      <c r="E4" s="29">
        <f t="shared" si="0"/>
        <v>870048.77998835675</v>
      </c>
      <c r="F4" s="29">
        <f t="shared" si="0"/>
        <v>877287.59597187326</v>
      </c>
      <c r="G4" s="29">
        <f t="shared" si="0"/>
        <v>827924.31504037813</v>
      </c>
      <c r="H4" s="29">
        <f t="shared" si="0"/>
        <v>827278.4173923732</v>
      </c>
      <c r="I4" s="29">
        <f t="shared" si="0"/>
        <v>821734.31939901796</v>
      </c>
      <c r="J4" s="29">
        <f t="shared" si="0"/>
        <v>823386.23644909903</v>
      </c>
      <c r="K4" s="29">
        <f t="shared" si="0"/>
        <v>861707.81455897796</v>
      </c>
      <c r="L4" s="29">
        <f t="shared" ref="L4" si="1">L5+L6+L13</f>
        <v>840824.28758907935</v>
      </c>
      <c r="M4" s="29">
        <f t="shared" ref="M4:V4" si="2">M5+M6+M13</f>
        <v>811208.8486229633</v>
      </c>
      <c r="N4" s="29">
        <f t="shared" si="2"/>
        <v>722678.25231498689</v>
      </c>
      <c r="O4" s="29">
        <f t="shared" si="2"/>
        <v>763625.195536201</v>
      </c>
      <c r="P4" s="29">
        <f t="shared" si="2"/>
        <v>786731.83045210538</v>
      </c>
      <c r="Q4" s="29">
        <f t="shared" si="2"/>
        <v>817926.11549962917</v>
      </c>
      <c r="R4" s="29">
        <f t="shared" si="2"/>
        <v>846675.29959140427</v>
      </c>
      <c r="S4" s="29">
        <f t="shared" si="2"/>
        <v>885128.37007966649</v>
      </c>
      <c r="T4" s="29">
        <f t="shared" si="2"/>
        <v>861550.34385612479</v>
      </c>
      <c r="U4" s="29">
        <f t="shared" si="2"/>
        <v>875431.20501707587</v>
      </c>
      <c r="V4" s="29">
        <f t="shared" si="2"/>
        <v>553198.92958229873</v>
      </c>
      <c r="W4" s="29">
        <f t="shared" ref="W4:Y4" si="3">W5+W6+W13</f>
        <v>694117.76674306078</v>
      </c>
      <c r="X4" s="29">
        <f t="shared" si="3"/>
        <v>725247.98874988896</v>
      </c>
      <c r="Y4" s="29">
        <f t="shared" si="3"/>
        <v>794794.83546566858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45733.41718665677</v>
      </c>
      <c r="C5" s="152">
        <f t="shared" si="4"/>
        <v>47435.978178566846</v>
      </c>
      <c r="D5" s="152">
        <f t="shared" si="4"/>
        <v>46820.669059203436</v>
      </c>
      <c r="E5" s="152">
        <f t="shared" si="4"/>
        <v>47670.888233378129</v>
      </c>
      <c r="F5" s="152">
        <f t="shared" si="4"/>
        <v>50092.740298568606</v>
      </c>
      <c r="G5" s="152">
        <f t="shared" si="4"/>
        <v>49956.315040378147</v>
      </c>
      <c r="H5" s="152">
        <f t="shared" si="4"/>
        <v>47974.417392373223</v>
      </c>
      <c r="I5" s="152">
        <f t="shared" si="4"/>
        <v>42021.31939901795</v>
      </c>
      <c r="J5" s="152">
        <f t="shared" si="4"/>
        <v>44589.236449099037</v>
      </c>
      <c r="K5" s="152">
        <f t="shared" si="4"/>
        <v>40089.814558977938</v>
      </c>
      <c r="L5" s="152">
        <f t="shared" ref="L5:L7" si="5">IF(L32=0,0,L32*L142)</f>
        <v>40215.28758907938</v>
      </c>
      <c r="M5" s="152">
        <f t="shared" ref="M5:V5" si="6">IF(M32=0,0,M32*M142)</f>
        <v>43436.848622963327</v>
      </c>
      <c r="N5" s="152">
        <f t="shared" si="6"/>
        <v>42498.252314986923</v>
      </c>
      <c r="O5" s="152">
        <f t="shared" si="6"/>
        <v>41487.195536200983</v>
      </c>
      <c r="P5" s="152">
        <f t="shared" si="6"/>
        <v>41005.830452105416</v>
      </c>
      <c r="Q5" s="152">
        <f t="shared" si="6"/>
        <v>39067.115499629217</v>
      </c>
      <c r="R5" s="152">
        <f t="shared" si="6"/>
        <v>39820.299591404415</v>
      </c>
      <c r="S5" s="152">
        <f t="shared" si="6"/>
        <v>37530.370079666638</v>
      </c>
      <c r="T5" s="152">
        <f t="shared" si="6"/>
        <v>35691.343856124724</v>
      </c>
      <c r="U5" s="152">
        <f t="shared" si="6"/>
        <v>38709.205017075816</v>
      </c>
      <c r="V5" s="152">
        <f t="shared" si="6"/>
        <v>33759.929582298872</v>
      </c>
      <c r="W5" s="152">
        <f t="shared" ref="W5:Y5" si="7">IF(W32=0,0,W32*W142)</f>
        <v>36426.766743060718</v>
      </c>
      <c r="X5" s="152">
        <f t="shared" si="7"/>
        <v>36796.988749888791</v>
      </c>
      <c r="Y5" s="152">
        <f t="shared" si="7"/>
        <v>39763.835465668591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713931</v>
      </c>
      <c r="C6" s="116">
        <f t="shared" si="8"/>
        <v>717306.96391832619</v>
      </c>
      <c r="D6" s="116">
        <f t="shared" si="8"/>
        <v>720682.92783665238</v>
      </c>
      <c r="E6" s="116">
        <f t="shared" si="8"/>
        <v>724058.89175497857</v>
      </c>
      <c r="F6" s="116">
        <f t="shared" si="8"/>
        <v>727434.85567330464</v>
      </c>
      <c r="G6" s="116">
        <f t="shared" si="8"/>
        <v>677014</v>
      </c>
      <c r="H6" s="116">
        <f t="shared" si="8"/>
        <v>676255</v>
      </c>
      <c r="I6" s="116">
        <f t="shared" si="8"/>
        <v>677056</v>
      </c>
      <c r="J6" s="116">
        <f t="shared" si="8"/>
        <v>676359</v>
      </c>
      <c r="K6" s="116">
        <f t="shared" si="8"/>
        <v>719912</v>
      </c>
      <c r="L6" s="116">
        <f t="shared" ref="L6" si="9">SUM(L7:L12)</f>
        <v>698390</v>
      </c>
      <c r="M6" s="116">
        <f t="shared" ref="M6:V6" si="10">SUM(M7:M12)</f>
        <v>665328</v>
      </c>
      <c r="N6" s="116">
        <f t="shared" si="10"/>
        <v>578668</v>
      </c>
      <c r="O6" s="116">
        <f t="shared" si="10"/>
        <v>620368</v>
      </c>
      <c r="P6" s="116">
        <f t="shared" si="10"/>
        <v>642920</v>
      </c>
      <c r="Q6" s="116">
        <f t="shared" si="10"/>
        <v>676350</v>
      </c>
      <c r="R6" s="116">
        <f t="shared" si="10"/>
        <v>704541.99999999988</v>
      </c>
      <c r="S6" s="116">
        <f t="shared" si="10"/>
        <v>744918.99999999988</v>
      </c>
      <c r="T6" s="116">
        <f t="shared" si="10"/>
        <v>722894.00000000012</v>
      </c>
      <c r="U6" s="116">
        <f t="shared" si="10"/>
        <v>732429</v>
      </c>
      <c r="V6" s="116">
        <f t="shared" si="10"/>
        <v>460481.99999999994</v>
      </c>
      <c r="W6" s="116">
        <f t="shared" ref="W6:Y6" si="11">SUM(W7:W12)</f>
        <v>580421.00000000012</v>
      </c>
      <c r="X6" s="116">
        <f t="shared" si="11"/>
        <v>602862.00000000012</v>
      </c>
      <c r="Y6" s="116">
        <f t="shared" si="11"/>
        <v>674190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490576.19958817214</v>
      </c>
      <c r="C7" s="87">
        <f t="shared" si="12"/>
        <v>473073.14646174427</v>
      </c>
      <c r="D7" s="87">
        <f t="shared" si="12"/>
        <v>445718.61982021935</v>
      </c>
      <c r="E7" s="87">
        <f t="shared" si="12"/>
        <v>431492.50333424768</v>
      </c>
      <c r="F7" s="87">
        <f t="shared" si="12"/>
        <v>387753.49408833816</v>
      </c>
      <c r="G7" s="87">
        <f t="shared" si="12"/>
        <v>341519.3549417762</v>
      </c>
      <c r="H7" s="87">
        <f t="shared" si="12"/>
        <v>290601.67249324807</v>
      </c>
      <c r="I7" s="87">
        <f t="shared" si="12"/>
        <v>279954.55376158754</v>
      </c>
      <c r="J7" s="87">
        <f t="shared" si="12"/>
        <v>278831.41412043141</v>
      </c>
      <c r="K7" s="87">
        <f t="shared" si="12"/>
        <v>301758.69916025858</v>
      </c>
      <c r="L7" s="87">
        <f t="shared" si="5"/>
        <v>288612.97340834129</v>
      </c>
      <c r="M7" s="87">
        <f t="shared" ref="M7:V7" si="13">IF(M34=0,0,M34*M144)</f>
        <v>271827.11066233949</v>
      </c>
      <c r="N7" s="87">
        <f t="shared" si="13"/>
        <v>217283.01950460198</v>
      </c>
      <c r="O7" s="87">
        <f t="shared" si="13"/>
        <v>219434.77719544127</v>
      </c>
      <c r="P7" s="87">
        <f t="shared" si="13"/>
        <v>213290.37241400441</v>
      </c>
      <c r="Q7" s="87">
        <f t="shared" si="13"/>
        <v>214440.00626212524</v>
      </c>
      <c r="R7" s="87">
        <f t="shared" si="13"/>
        <v>214049.19985971713</v>
      </c>
      <c r="S7" s="87">
        <f t="shared" si="13"/>
        <v>216782.02917632819</v>
      </c>
      <c r="T7" s="87">
        <f t="shared" si="13"/>
        <v>204379.82870572337</v>
      </c>
      <c r="U7" s="87">
        <f t="shared" si="13"/>
        <v>209046.38539980832</v>
      </c>
      <c r="V7" s="87">
        <f t="shared" si="13"/>
        <v>129122.77504789941</v>
      </c>
      <c r="W7" s="87">
        <f t="shared" ref="W7:Y7" si="14">IF(W34=0,0,W34*W144)</f>
        <v>164998.68844724586</v>
      </c>
      <c r="X7" s="87">
        <f t="shared" si="14"/>
        <v>174591.63523133073</v>
      </c>
      <c r="Y7" s="87">
        <f t="shared" si="14"/>
        <v>201534.31612382008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171212.22380286804</v>
      </c>
      <c r="C8" s="87">
        <f t="shared" si="15"/>
        <v>193990.56286754366</v>
      </c>
      <c r="D8" s="87">
        <f t="shared" si="15"/>
        <v>227368.7864009242</v>
      </c>
      <c r="E8" s="87">
        <f t="shared" si="15"/>
        <v>247792.40711669635</v>
      </c>
      <c r="F8" s="87">
        <f t="shared" si="15"/>
        <v>295713.16026727547</v>
      </c>
      <c r="G8" s="87">
        <f t="shared" si="15"/>
        <v>292593.95892063668</v>
      </c>
      <c r="H8" s="87">
        <f t="shared" si="15"/>
        <v>342079.05850339221</v>
      </c>
      <c r="I8" s="87">
        <f t="shared" si="15"/>
        <v>353569.21191684727</v>
      </c>
      <c r="J8" s="87">
        <f t="shared" si="15"/>
        <v>355958.27010041883</v>
      </c>
      <c r="K8" s="87">
        <f t="shared" si="15"/>
        <v>368477.94162723958</v>
      </c>
      <c r="L8" s="87">
        <f t="shared" ref="L8" si="16">IF(L35=0,0,L35*L145)</f>
        <v>355704.59350966418</v>
      </c>
      <c r="M8" s="87">
        <f t="shared" ref="M8:V8" si="17">IF(M35=0,0,M35*M145)</f>
        <v>341313.88339575939</v>
      </c>
      <c r="N8" s="87">
        <f t="shared" si="17"/>
        <v>311284.28229330317</v>
      </c>
      <c r="O8" s="87">
        <f t="shared" si="17"/>
        <v>340937.0653481324</v>
      </c>
      <c r="P8" s="87">
        <f t="shared" si="17"/>
        <v>368282.13252536318</v>
      </c>
      <c r="Q8" s="87">
        <f t="shared" si="17"/>
        <v>392459.34210506361</v>
      </c>
      <c r="R8" s="87">
        <f t="shared" si="17"/>
        <v>418153.82445109618</v>
      </c>
      <c r="S8" s="87">
        <f t="shared" si="17"/>
        <v>449555.0045317334</v>
      </c>
      <c r="T8" s="87">
        <f t="shared" si="17"/>
        <v>439412.454681676</v>
      </c>
      <c r="U8" s="87">
        <f t="shared" si="17"/>
        <v>440370.16506978055</v>
      </c>
      <c r="V8" s="87">
        <f t="shared" si="17"/>
        <v>277602.19748286257</v>
      </c>
      <c r="W8" s="87">
        <f t="shared" ref="W8:Y8" si="18">IF(W35=0,0,W35*W145)</f>
        <v>344650.23163519939</v>
      </c>
      <c r="X8" s="87">
        <f t="shared" si="18"/>
        <v>353783.50442629238</v>
      </c>
      <c r="Y8" s="87">
        <f t="shared" si="18"/>
        <v>392907.8012223852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44564.207443178799</v>
      </c>
      <c r="C9" s="87">
        <f t="shared" si="19"/>
        <v>41827.206446978395</v>
      </c>
      <c r="D9" s="87">
        <f t="shared" si="19"/>
        <v>39259.752216290035</v>
      </c>
      <c r="E9" s="87">
        <f t="shared" si="19"/>
        <v>36449.512980547945</v>
      </c>
      <c r="F9" s="87">
        <f t="shared" si="19"/>
        <v>36093.428917229212</v>
      </c>
      <c r="G9" s="87">
        <f t="shared" si="19"/>
        <v>34873.492973674474</v>
      </c>
      <c r="H9" s="87">
        <f t="shared" si="19"/>
        <v>34603.737975969583</v>
      </c>
      <c r="I9" s="87">
        <f t="shared" si="19"/>
        <v>33573.894232943676</v>
      </c>
      <c r="J9" s="87">
        <f t="shared" si="19"/>
        <v>30605.496404162423</v>
      </c>
      <c r="K9" s="87">
        <f t="shared" si="19"/>
        <v>35630.872319984956</v>
      </c>
      <c r="L9" s="87">
        <f t="shared" ref="L9" si="20">IF(L36=0,0,L36*L146)</f>
        <v>39751.624068391626</v>
      </c>
      <c r="M9" s="87">
        <f t="shared" ref="M9:V9" si="21">IF(M36=0,0,M36*M146)</f>
        <v>38102.765344385552</v>
      </c>
      <c r="N9" s="87">
        <f t="shared" si="21"/>
        <v>37233.054950511825</v>
      </c>
      <c r="O9" s="87">
        <f t="shared" si="21"/>
        <v>44951.735483488905</v>
      </c>
      <c r="P9" s="87">
        <f t="shared" si="21"/>
        <v>44339.043014833223</v>
      </c>
      <c r="Q9" s="87">
        <f t="shared" si="21"/>
        <v>50716.998653351504</v>
      </c>
      <c r="R9" s="87">
        <f t="shared" si="21"/>
        <v>51994.263808058611</v>
      </c>
      <c r="S9" s="87">
        <f t="shared" si="21"/>
        <v>56190.710869813403</v>
      </c>
      <c r="T9" s="87">
        <f t="shared" si="21"/>
        <v>56769.144336270016</v>
      </c>
      <c r="U9" s="87">
        <f t="shared" si="21"/>
        <v>59652.439334166294</v>
      </c>
      <c r="V9" s="87">
        <f t="shared" si="21"/>
        <v>37740.632076486676</v>
      </c>
      <c r="W9" s="87">
        <f t="shared" ref="W9:Y9" si="22">IF(W36=0,0,W36*W146)</f>
        <v>48838.965330403269</v>
      </c>
      <c r="X9" s="87">
        <f t="shared" si="22"/>
        <v>53024.620852990083</v>
      </c>
      <c r="Y9" s="87">
        <f t="shared" si="22"/>
        <v>56545.785822235383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7578.3691657811205</v>
      </c>
      <c r="C10" s="87">
        <f t="shared" si="23"/>
        <v>8416.0481420598753</v>
      </c>
      <c r="D10" s="87">
        <f t="shared" si="23"/>
        <v>8335.7693992187997</v>
      </c>
      <c r="E10" s="87">
        <f t="shared" si="23"/>
        <v>8324.4683234865661</v>
      </c>
      <c r="F10" s="87">
        <f t="shared" si="23"/>
        <v>7874.7724004618749</v>
      </c>
      <c r="G10" s="87">
        <f t="shared" si="23"/>
        <v>8027.1931639126115</v>
      </c>
      <c r="H10" s="87">
        <f t="shared" si="23"/>
        <v>8970.5310273901305</v>
      </c>
      <c r="I10" s="87">
        <f t="shared" si="23"/>
        <v>9958.3400886215295</v>
      </c>
      <c r="J10" s="87">
        <f t="shared" si="23"/>
        <v>10963.819374987344</v>
      </c>
      <c r="K10" s="87">
        <f t="shared" si="23"/>
        <v>14044.486892516914</v>
      </c>
      <c r="L10" s="87">
        <f t="shared" ref="L10" si="24">IF(L37=0,0,L37*L147)</f>
        <v>14229.836286543748</v>
      </c>
      <c r="M10" s="87">
        <f t="shared" ref="M10:V10" si="25">IF(M37=0,0,M37*M147)</f>
        <v>13870.308804412312</v>
      </c>
      <c r="N10" s="87">
        <f t="shared" si="25"/>
        <v>12663.198014646958</v>
      </c>
      <c r="O10" s="87">
        <f t="shared" si="25"/>
        <v>14625.273566174921</v>
      </c>
      <c r="P10" s="87">
        <f t="shared" si="25"/>
        <v>16269.234490545563</v>
      </c>
      <c r="Q10" s="87">
        <f t="shared" si="25"/>
        <v>17908.339020704007</v>
      </c>
      <c r="R10" s="87">
        <f t="shared" si="25"/>
        <v>19468.002619764116</v>
      </c>
      <c r="S10" s="87">
        <f t="shared" si="25"/>
        <v>21361.901918055137</v>
      </c>
      <c r="T10" s="87">
        <f t="shared" si="25"/>
        <v>21138.101764429583</v>
      </c>
      <c r="U10" s="87">
        <f t="shared" si="25"/>
        <v>21815.907043645293</v>
      </c>
      <c r="V10" s="87">
        <f t="shared" si="25"/>
        <v>14211.716312758144</v>
      </c>
      <c r="W10" s="87">
        <f t="shared" ref="W10:Y10" si="26">IF(W37=0,0,W37*W147)</f>
        <v>17151.996960456581</v>
      </c>
      <c r="X10" s="87">
        <f t="shared" si="26"/>
        <v>15602.511646673302</v>
      </c>
      <c r="Y10" s="87">
        <f t="shared" si="26"/>
        <v>16013.915500400628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1.6558529612693054</v>
      </c>
      <c r="O11" s="87">
        <f t="shared" si="29"/>
        <v>186.67791245254483</v>
      </c>
      <c r="P11" s="87">
        <f t="shared" si="29"/>
        <v>492.72422815379997</v>
      </c>
      <c r="Q11" s="87">
        <f t="shared" si="29"/>
        <v>535.45660215663429</v>
      </c>
      <c r="R11" s="87">
        <f t="shared" si="29"/>
        <v>553.536734139793</v>
      </c>
      <c r="S11" s="87">
        <f t="shared" si="29"/>
        <v>653.50099996564563</v>
      </c>
      <c r="T11" s="87">
        <f t="shared" si="29"/>
        <v>698.55741948766308</v>
      </c>
      <c r="U11" s="87">
        <f t="shared" si="29"/>
        <v>795.03405262871354</v>
      </c>
      <c r="V11" s="87">
        <f t="shared" si="29"/>
        <v>801.01434608194882</v>
      </c>
      <c r="W11" s="87">
        <f t="shared" ref="W11:Y11" si="30">IF(W38=0,0,W38*W148)</f>
        <v>1790.3204822811072</v>
      </c>
      <c r="X11" s="87">
        <f t="shared" si="30"/>
        <v>2681.8304867653164</v>
      </c>
      <c r="Y11" s="87">
        <f t="shared" si="30"/>
        <v>3907.5200187043611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90.972727059164797</v>
      </c>
      <c r="M12" s="87">
        <f t="shared" ref="M12:V12" si="33">IF(M39=0,0,M39*M149)</f>
        <v>213.93179310329168</v>
      </c>
      <c r="N12" s="87">
        <f t="shared" si="33"/>
        <v>202.78938397480809</v>
      </c>
      <c r="O12" s="87">
        <f t="shared" si="33"/>
        <v>232.47049430999138</v>
      </c>
      <c r="P12" s="87">
        <f t="shared" si="33"/>
        <v>246.49332709983412</v>
      </c>
      <c r="Q12" s="87">
        <f t="shared" si="33"/>
        <v>289.85735659895704</v>
      </c>
      <c r="R12" s="87">
        <f t="shared" si="33"/>
        <v>323.17252722418726</v>
      </c>
      <c r="S12" s="87">
        <f t="shared" si="33"/>
        <v>375.85250410418735</v>
      </c>
      <c r="T12" s="87">
        <f t="shared" si="33"/>
        <v>495.91309241341406</v>
      </c>
      <c r="U12" s="87">
        <f t="shared" si="33"/>
        <v>749.06909997083221</v>
      </c>
      <c r="V12" s="87">
        <f t="shared" si="33"/>
        <v>1003.6647339112359</v>
      </c>
      <c r="W12" s="87">
        <f t="shared" ref="W12:Y12" si="34">IF(W39=0,0,W39*W149)</f>
        <v>2990.7971444137929</v>
      </c>
      <c r="X12" s="87">
        <f t="shared" si="34"/>
        <v>3177.8973559482165</v>
      </c>
      <c r="Y12" s="87">
        <f t="shared" si="34"/>
        <v>3280.6613124543269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93421</v>
      </c>
      <c r="C13" s="116">
        <f t="shared" si="35"/>
        <v>95594</v>
      </c>
      <c r="D13" s="116">
        <f t="shared" si="35"/>
        <v>97146</v>
      </c>
      <c r="E13" s="116">
        <f t="shared" si="35"/>
        <v>98319</v>
      </c>
      <c r="F13" s="116">
        <f t="shared" si="35"/>
        <v>99759.999999999985</v>
      </c>
      <c r="G13" s="116">
        <f t="shared" si="35"/>
        <v>100954</v>
      </c>
      <c r="H13" s="116">
        <f t="shared" si="35"/>
        <v>103049</v>
      </c>
      <c r="I13" s="116">
        <f t="shared" si="35"/>
        <v>102657</v>
      </c>
      <c r="J13" s="116">
        <f t="shared" si="35"/>
        <v>102438</v>
      </c>
      <c r="K13" s="116">
        <f t="shared" si="35"/>
        <v>101706</v>
      </c>
      <c r="L13" s="116">
        <f t="shared" ref="L13" si="36">SUM(L14:L18)</f>
        <v>102219.00000000001</v>
      </c>
      <c r="M13" s="116">
        <f t="shared" ref="M13:V13" si="37">SUM(M14:M18)</f>
        <v>102443.99999999999</v>
      </c>
      <c r="N13" s="116">
        <f t="shared" si="37"/>
        <v>101512</v>
      </c>
      <c r="O13" s="116">
        <f t="shared" si="37"/>
        <v>101770.00000000003</v>
      </c>
      <c r="P13" s="116">
        <f t="shared" si="37"/>
        <v>102806</v>
      </c>
      <c r="Q13" s="116">
        <f t="shared" si="37"/>
        <v>102509</v>
      </c>
      <c r="R13" s="116">
        <f t="shared" si="37"/>
        <v>102312.99999999999</v>
      </c>
      <c r="S13" s="116">
        <f t="shared" si="37"/>
        <v>102678.99999999997</v>
      </c>
      <c r="T13" s="116">
        <f t="shared" si="37"/>
        <v>102965</v>
      </c>
      <c r="U13" s="116">
        <f t="shared" si="37"/>
        <v>104293</v>
      </c>
      <c r="V13" s="116">
        <f t="shared" si="37"/>
        <v>58956.999999999993</v>
      </c>
      <c r="W13" s="116">
        <f t="shared" ref="W13:Y13" si="38">SUM(W14:W18)</f>
        <v>77270</v>
      </c>
      <c r="X13" s="116">
        <f t="shared" si="38"/>
        <v>85588.999999999985</v>
      </c>
      <c r="Y13" s="116">
        <f t="shared" si="38"/>
        <v>80840.999999999985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100.07260513158843</v>
      </c>
      <c r="C14" s="101">
        <f t="shared" si="39"/>
        <v>89.779498057386036</v>
      </c>
      <c r="D14" s="101">
        <f t="shared" si="39"/>
        <v>84.488080482162786</v>
      </c>
      <c r="E14" s="101">
        <f t="shared" si="39"/>
        <v>67.772543766741165</v>
      </c>
      <c r="F14" s="101">
        <f t="shared" si="39"/>
        <v>58.548610220031783</v>
      </c>
      <c r="G14" s="101">
        <f t="shared" si="39"/>
        <v>55.489995360548171</v>
      </c>
      <c r="H14" s="101">
        <f t="shared" si="39"/>
        <v>52.185659141928646</v>
      </c>
      <c r="I14" s="101">
        <f t="shared" si="39"/>
        <v>48.454043861265085</v>
      </c>
      <c r="J14" s="101">
        <f t="shared" si="39"/>
        <v>49.3256540373607</v>
      </c>
      <c r="K14" s="101">
        <f t="shared" si="39"/>
        <v>52.231176505792064</v>
      </c>
      <c r="L14" s="101">
        <f t="shared" ref="L14" si="40">IF(L41=0,0,L41*L151)</f>
        <v>52.687532019013446</v>
      </c>
      <c r="M14" s="101">
        <f t="shared" ref="M14:V14" si="41">IF(M41=0,0,M41*M151)</f>
        <v>51.303232255012958</v>
      </c>
      <c r="N14" s="101">
        <f t="shared" si="41"/>
        <v>52.501748000296466</v>
      </c>
      <c r="O14" s="101">
        <f t="shared" si="41"/>
        <v>100.90950305060545</v>
      </c>
      <c r="P14" s="101">
        <f t="shared" si="41"/>
        <v>62.682919636672317</v>
      </c>
      <c r="Q14" s="101">
        <f t="shared" si="41"/>
        <v>61.596212829198258</v>
      </c>
      <c r="R14" s="101">
        <f t="shared" si="41"/>
        <v>59.232242274346376</v>
      </c>
      <c r="S14" s="101">
        <f t="shared" si="41"/>
        <v>56.284811849406942</v>
      </c>
      <c r="T14" s="101">
        <f t="shared" si="41"/>
        <v>53.03779863574335</v>
      </c>
      <c r="U14" s="101">
        <f t="shared" si="41"/>
        <v>96.538890939559053</v>
      </c>
      <c r="V14" s="101">
        <f t="shared" si="41"/>
        <v>66.794622971217919</v>
      </c>
      <c r="W14" s="101">
        <f t="shared" ref="W14:Y14" si="42">IF(W41=0,0,W41*W151)</f>
        <v>66.087811904390165</v>
      </c>
      <c r="X14" s="101">
        <f t="shared" si="42"/>
        <v>71.363290238693565</v>
      </c>
      <c r="Y14" s="101">
        <f t="shared" si="42"/>
        <v>65.804990804684138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92342.366211093729</v>
      </c>
      <c r="C15" s="101">
        <f t="shared" si="43"/>
        <v>94569.646932419142</v>
      </c>
      <c r="D15" s="101">
        <f t="shared" si="43"/>
        <v>96263.273901286026</v>
      </c>
      <c r="E15" s="101">
        <f t="shared" si="43"/>
        <v>97000.908277556053</v>
      </c>
      <c r="F15" s="101">
        <f t="shared" si="43"/>
        <v>98404.8976286424</v>
      </c>
      <c r="G15" s="101">
        <f t="shared" si="43"/>
        <v>98894.034176742818</v>
      </c>
      <c r="H15" s="101">
        <f t="shared" si="43"/>
        <v>99928.291394106549</v>
      </c>
      <c r="I15" s="101">
        <f t="shared" si="43"/>
        <v>99056.030221004781</v>
      </c>
      <c r="J15" s="101">
        <f t="shared" si="43"/>
        <v>98588.707170176043</v>
      </c>
      <c r="K15" s="101">
        <f t="shared" si="43"/>
        <v>97286.789282371246</v>
      </c>
      <c r="L15" s="101">
        <f t="shared" ref="L15" si="44">IF(L42=0,0,L42*L152)</f>
        <v>97581.696319621027</v>
      </c>
      <c r="M15" s="101">
        <f t="shared" ref="M15:V15" si="45">IF(M42=0,0,M42*M152)</f>
        <v>97164.482338419039</v>
      </c>
      <c r="N15" s="101">
        <f t="shared" si="45"/>
        <v>95928.900182669124</v>
      </c>
      <c r="O15" s="101">
        <f t="shared" si="45"/>
        <v>95408.189252566197</v>
      </c>
      <c r="P15" s="101">
        <f t="shared" si="45"/>
        <v>96641.964173936605</v>
      </c>
      <c r="Q15" s="101">
        <f t="shared" si="45"/>
        <v>97076.095450593537</v>
      </c>
      <c r="R15" s="101">
        <f t="shared" si="45"/>
        <v>97290.250774070228</v>
      </c>
      <c r="S15" s="101">
        <f t="shared" si="45"/>
        <v>96971.293339567928</v>
      </c>
      <c r="T15" s="101">
        <f t="shared" si="45"/>
        <v>91656.385599607442</v>
      </c>
      <c r="U15" s="101">
        <f t="shared" si="45"/>
        <v>97652.159003985449</v>
      </c>
      <c r="V15" s="101">
        <f t="shared" si="45"/>
        <v>55095.628291973379</v>
      </c>
      <c r="W15" s="101">
        <f t="shared" ref="W15:Y15" si="46">IF(W42=0,0,W42*W152)</f>
        <v>71562.453285445852</v>
      </c>
      <c r="X15" s="101">
        <f t="shared" si="46"/>
        <v>79257.058516225079</v>
      </c>
      <c r="Y15" s="101">
        <f t="shared" si="46"/>
        <v>73962.377198449496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48.574287730938096</v>
      </c>
      <c r="C16" s="101">
        <f t="shared" si="47"/>
        <v>54.864953171315022</v>
      </c>
      <c r="D16" s="101">
        <f t="shared" si="47"/>
        <v>51.911669487167387</v>
      </c>
      <c r="E16" s="101">
        <f t="shared" si="47"/>
        <v>60.742955678153599</v>
      </c>
      <c r="F16" s="101">
        <f t="shared" si="47"/>
        <v>95.741617492093837</v>
      </c>
      <c r="G16" s="101">
        <f t="shared" si="47"/>
        <v>138.80458981641297</v>
      </c>
      <c r="H16" s="101">
        <f t="shared" si="47"/>
        <v>156.31961782646138</v>
      </c>
      <c r="I16" s="101">
        <f t="shared" si="47"/>
        <v>186.32890435264432</v>
      </c>
      <c r="J16" s="101">
        <f t="shared" si="47"/>
        <v>221.65404986310415</v>
      </c>
      <c r="K16" s="101">
        <f t="shared" si="47"/>
        <v>300.63169261991135</v>
      </c>
      <c r="L16" s="101">
        <f t="shared" ref="L16" si="48">IF(L43=0,0,L43*L153)</f>
        <v>305.34119475611891</v>
      </c>
      <c r="M16" s="101">
        <f t="shared" ref="M16:V16" si="49">IF(M43=0,0,M43*M153)</f>
        <v>291.02207723113349</v>
      </c>
      <c r="N16" s="101">
        <f t="shared" si="49"/>
        <v>282.26400515862662</v>
      </c>
      <c r="O16" s="101">
        <f t="shared" si="49"/>
        <v>274.30130460301888</v>
      </c>
      <c r="P16" s="101">
        <f t="shared" si="49"/>
        <v>264.25500807516562</v>
      </c>
      <c r="Q16" s="101">
        <f t="shared" si="49"/>
        <v>262.18307889547759</v>
      </c>
      <c r="R16" s="101">
        <f t="shared" si="49"/>
        <v>245.74167365649652</v>
      </c>
      <c r="S16" s="101">
        <f t="shared" si="49"/>
        <v>231.10012945818391</v>
      </c>
      <c r="T16" s="101">
        <f t="shared" si="49"/>
        <v>216.64502867679488</v>
      </c>
      <c r="U16" s="101">
        <f t="shared" si="49"/>
        <v>214.42719965106414</v>
      </c>
      <c r="V16" s="101">
        <f t="shared" si="49"/>
        <v>121.46161218699211</v>
      </c>
      <c r="W16" s="101">
        <f t="shared" ref="W16:Y16" si="50">IF(W43=0,0,W43*W153)</f>
        <v>144.90471446197003</v>
      </c>
      <c r="X16" s="101">
        <f t="shared" si="50"/>
        <v>135.2467184860061</v>
      </c>
      <c r="Y16" s="101">
        <f t="shared" si="50"/>
        <v>105.25615175624968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929.98689604374829</v>
      </c>
      <c r="C17" s="101">
        <f t="shared" si="51"/>
        <v>879.7086163521609</v>
      </c>
      <c r="D17" s="101">
        <f t="shared" si="51"/>
        <v>746.32634874464839</v>
      </c>
      <c r="E17" s="101">
        <f t="shared" si="51"/>
        <v>1189.5762229990487</v>
      </c>
      <c r="F17" s="101">
        <f t="shared" si="51"/>
        <v>1200.8121436454539</v>
      </c>
      <c r="G17" s="101">
        <f t="shared" si="51"/>
        <v>1865.6712380802214</v>
      </c>
      <c r="H17" s="101">
        <f t="shared" si="51"/>
        <v>2912.203328925053</v>
      </c>
      <c r="I17" s="101">
        <f t="shared" si="51"/>
        <v>3366.1868307813193</v>
      </c>
      <c r="J17" s="101">
        <f t="shared" si="51"/>
        <v>3578.3131259234897</v>
      </c>
      <c r="K17" s="101">
        <f t="shared" si="51"/>
        <v>4066.3478485030469</v>
      </c>
      <c r="L17" s="101">
        <f t="shared" ref="L17" si="52">IF(L44=0,0,L44*L154)</f>
        <v>4279.2749536038418</v>
      </c>
      <c r="M17" s="101">
        <f t="shared" ref="M17:V17" si="53">IF(M44=0,0,M44*M154)</f>
        <v>4937.1923520948103</v>
      </c>
      <c r="N17" s="101">
        <f t="shared" si="53"/>
        <v>5248.3340641719578</v>
      </c>
      <c r="O17" s="101">
        <f t="shared" si="53"/>
        <v>5444.6101459559986</v>
      </c>
      <c r="P17" s="101">
        <f t="shared" si="53"/>
        <v>5294.9958297035218</v>
      </c>
      <c r="Q17" s="101">
        <f t="shared" si="53"/>
        <v>4573.1499174195642</v>
      </c>
      <c r="R17" s="101">
        <f t="shared" si="53"/>
        <v>4178.5579025249745</v>
      </c>
      <c r="S17" s="101">
        <f t="shared" si="53"/>
        <v>4860.8017065597669</v>
      </c>
      <c r="T17" s="101">
        <f t="shared" si="53"/>
        <v>10512.159651703862</v>
      </c>
      <c r="U17" s="101">
        <f t="shared" si="53"/>
        <v>5747.8614832380026</v>
      </c>
      <c r="V17" s="101">
        <f t="shared" si="53"/>
        <v>3313.0025158646276</v>
      </c>
      <c r="W17" s="101">
        <f t="shared" ref="W17:Y17" si="54">IF(W44=0,0,W44*W154)</f>
        <v>4897.4902127163014</v>
      </c>
      <c r="X17" s="101">
        <f t="shared" si="54"/>
        <v>5378.6315329141462</v>
      </c>
      <c r="Y17" s="101">
        <f t="shared" si="54"/>
        <v>5621.3526136746277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541.98979382420237</v>
      </c>
      <c r="P18" s="101">
        <f t="shared" si="57"/>
        <v>542.10206864803706</v>
      </c>
      <c r="Q18" s="101">
        <f t="shared" si="57"/>
        <v>535.97534026222195</v>
      </c>
      <c r="R18" s="101">
        <f t="shared" si="57"/>
        <v>539.21740747395074</v>
      </c>
      <c r="S18" s="101">
        <f t="shared" si="57"/>
        <v>559.52001256470123</v>
      </c>
      <c r="T18" s="101">
        <f t="shared" si="57"/>
        <v>526.77192137615896</v>
      </c>
      <c r="U18" s="101">
        <f t="shared" si="57"/>
        <v>582.01342218592811</v>
      </c>
      <c r="V18" s="101">
        <f t="shared" si="57"/>
        <v>360.11295700378065</v>
      </c>
      <c r="W18" s="101">
        <f t="shared" ref="W18:Y18" si="58">IF(W45=0,0,W45*W155)</f>
        <v>599.06397547148276</v>
      </c>
      <c r="X18" s="101">
        <f t="shared" si="58"/>
        <v>746.69994213607163</v>
      </c>
      <c r="Y18" s="101">
        <f t="shared" si="58"/>
        <v>1086.2090453149433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193001.60913437372</v>
      </c>
      <c r="C19" s="29">
        <f t="shared" si="59"/>
        <v>190808.40496753345</v>
      </c>
      <c r="D19" s="29">
        <f t="shared" si="59"/>
        <v>198197.45821312704</v>
      </c>
      <c r="E19" s="29">
        <f t="shared" si="59"/>
        <v>182775.01893076487</v>
      </c>
      <c r="F19" s="29">
        <f t="shared" si="59"/>
        <v>202972.45377977559</v>
      </c>
      <c r="G19" s="29">
        <f t="shared" si="59"/>
        <v>218807.55764054318</v>
      </c>
      <c r="H19" s="29">
        <f t="shared" si="59"/>
        <v>203701.30157870729</v>
      </c>
      <c r="I19" s="29">
        <f t="shared" si="59"/>
        <v>201441.252698514</v>
      </c>
      <c r="J19" s="29">
        <f t="shared" si="59"/>
        <v>202164.76528340086</v>
      </c>
      <c r="K19" s="29">
        <f t="shared" si="59"/>
        <v>191032.2204900402</v>
      </c>
      <c r="L19" s="29">
        <f t="shared" ref="L19" si="60">L20+L26</f>
        <v>199286.58898837995</v>
      </c>
      <c r="M19" s="29">
        <f t="shared" ref="M19:V19" si="61">M20+M26</f>
        <v>173540.80732025811</v>
      </c>
      <c r="N19" s="29">
        <f t="shared" si="61"/>
        <v>154164.27323535585</v>
      </c>
      <c r="O19" s="29">
        <f t="shared" si="61"/>
        <v>155137.84841195462</v>
      </c>
      <c r="P19" s="29">
        <f t="shared" si="61"/>
        <v>146824.18706849692</v>
      </c>
      <c r="Q19" s="29">
        <f t="shared" si="61"/>
        <v>145673.86867590522</v>
      </c>
      <c r="R19" s="29">
        <f t="shared" si="61"/>
        <v>142861.21028891183</v>
      </c>
      <c r="S19" s="29">
        <f t="shared" si="61"/>
        <v>153495.17511500212</v>
      </c>
      <c r="T19" s="29">
        <f t="shared" si="61"/>
        <v>158087.10335200655</v>
      </c>
      <c r="U19" s="29">
        <f t="shared" si="61"/>
        <v>170372.41619355595</v>
      </c>
      <c r="V19" s="29">
        <f t="shared" si="61"/>
        <v>164711.46643995389</v>
      </c>
      <c r="W19" s="29">
        <f t="shared" ref="W19:Y19" si="62">W20+W26</f>
        <v>181677.98596676596</v>
      </c>
      <c r="X19" s="29">
        <f t="shared" si="62"/>
        <v>184935.37404033018</v>
      </c>
      <c r="Y19" s="29">
        <f t="shared" si="62"/>
        <v>177853.30286357703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11373.488847273913</v>
      </c>
      <c r="C20" s="152">
        <f t="shared" si="63"/>
        <v>11019.445258252852</v>
      </c>
      <c r="D20" s="152">
        <f t="shared" si="63"/>
        <v>11600.289152517951</v>
      </c>
      <c r="E20" s="152">
        <f t="shared" si="63"/>
        <v>12651.795506834967</v>
      </c>
      <c r="F20" s="152">
        <f t="shared" si="63"/>
        <v>13534.109802301806</v>
      </c>
      <c r="G20" s="152">
        <f t="shared" si="63"/>
        <v>14854.614796703823</v>
      </c>
      <c r="H20" s="152">
        <f t="shared" si="63"/>
        <v>13630.509639712489</v>
      </c>
      <c r="I20" s="152">
        <f t="shared" si="63"/>
        <v>14643.801701906095</v>
      </c>
      <c r="J20" s="152">
        <f t="shared" si="63"/>
        <v>14661.054236350339</v>
      </c>
      <c r="K20" s="152">
        <f t="shared" si="63"/>
        <v>14605.255500329469</v>
      </c>
      <c r="L20" s="152">
        <f t="shared" ref="L20" si="64">SUM(L21:L25)</f>
        <v>15679.776304851926</v>
      </c>
      <c r="M20" s="152">
        <f t="shared" ref="M20:V20" si="65">SUM(M21:M25)</f>
        <v>16219.956862316882</v>
      </c>
      <c r="N20" s="152">
        <f t="shared" si="65"/>
        <v>14703.817712991595</v>
      </c>
      <c r="O20" s="152">
        <f t="shared" si="65"/>
        <v>13344.806470882893</v>
      </c>
      <c r="P20" s="152">
        <f t="shared" si="65"/>
        <v>13797.153258022934</v>
      </c>
      <c r="Q20" s="152">
        <f t="shared" si="65"/>
        <v>11703.829909133041</v>
      </c>
      <c r="R20" s="152">
        <f t="shared" si="65"/>
        <v>11166.067410448088</v>
      </c>
      <c r="S20" s="152">
        <f t="shared" si="65"/>
        <v>11418.361580399564</v>
      </c>
      <c r="T20" s="152">
        <f t="shared" si="65"/>
        <v>11822.103352006561</v>
      </c>
      <c r="U20" s="152">
        <f t="shared" si="65"/>
        <v>12065.416193555955</v>
      </c>
      <c r="V20" s="152">
        <f t="shared" si="65"/>
        <v>11847.466439953878</v>
      </c>
      <c r="W20" s="152">
        <f t="shared" ref="W20:Y20" si="66">SUM(W21:W25)</f>
        <v>13787.985966765958</v>
      </c>
      <c r="X20" s="152">
        <f t="shared" si="66"/>
        <v>12514.374040330165</v>
      </c>
      <c r="Y20" s="152">
        <f t="shared" si="66"/>
        <v>11689.302863577037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442.63542004316929</v>
      </c>
      <c r="C21" s="87">
        <f t="shared" si="67"/>
        <v>460.98837411373347</v>
      </c>
      <c r="D21" s="87">
        <f t="shared" si="67"/>
        <v>487.18519632020696</v>
      </c>
      <c r="E21" s="87">
        <f t="shared" si="67"/>
        <v>505.83375144376043</v>
      </c>
      <c r="F21" s="87">
        <f t="shared" si="67"/>
        <v>504.92910719511383</v>
      </c>
      <c r="G21" s="87">
        <f t="shared" si="67"/>
        <v>518.6732134619574</v>
      </c>
      <c r="H21" s="87">
        <f t="shared" si="67"/>
        <v>522.55960240563911</v>
      </c>
      <c r="I21" s="87">
        <f t="shared" si="67"/>
        <v>458.86016541872863</v>
      </c>
      <c r="J21" s="87">
        <f t="shared" si="67"/>
        <v>443.23649824106263</v>
      </c>
      <c r="K21" s="87">
        <f t="shared" si="67"/>
        <v>420.93937464839911</v>
      </c>
      <c r="L21" s="87">
        <f t="shared" ref="L21" si="68">IF(L48=0,0,L48*L158)</f>
        <v>406.23753687346084</v>
      </c>
      <c r="M21" s="87">
        <f t="shared" ref="M21:V21" si="69">IF(M48=0,0,M48*M158)</f>
        <v>413.81419219801791</v>
      </c>
      <c r="N21" s="87">
        <f t="shared" si="69"/>
        <v>377.46415630698931</v>
      </c>
      <c r="O21" s="87">
        <f t="shared" si="69"/>
        <v>364.54470660342372</v>
      </c>
      <c r="P21" s="87">
        <f t="shared" si="69"/>
        <v>355.6082934923466</v>
      </c>
      <c r="Q21" s="87">
        <f t="shared" si="69"/>
        <v>335.72099266674587</v>
      </c>
      <c r="R21" s="87">
        <f t="shared" si="69"/>
        <v>324.59743847826644</v>
      </c>
      <c r="S21" s="87">
        <f t="shared" si="69"/>
        <v>310.65858012693246</v>
      </c>
      <c r="T21" s="87">
        <f t="shared" si="69"/>
        <v>304.62622987419257</v>
      </c>
      <c r="U21" s="87">
        <f t="shared" si="69"/>
        <v>308.73419532244355</v>
      </c>
      <c r="V21" s="87">
        <f t="shared" si="69"/>
        <v>313.73757948921553</v>
      </c>
      <c r="W21" s="87">
        <f t="shared" ref="W21:Y21" si="70">IF(W48=0,0,W48*W158)</f>
        <v>323.30572339203951</v>
      </c>
      <c r="X21" s="87">
        <f t="shared" si="70"/>
        <v>351.03998133747314</v>
      </c>
      <c r="Y21" s="87">
        <f t="shared" si="70"/>
        <v>374.17741723113369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10901.638983964469</v>
      </c>
      <c r="C22" s="87">
        <f t="shared" si="71"/>
        <v>10524.206752217973</v>
      </c>
      <c r="D22" s="87">
        <f t="shared" si="71"/>
        <v>11072.341416605132</v>
      </c>
      <c r="E22" s="87">
        <f t="shared" si="71"/>
        <v>12098.284256395009</v>
      </c>
      <c r="F22" s="87">
        <f t="shared" si="71"/>
        <v>12975.545216813813</v>
      </c>
      <c r="G22" s="87">
        <f t="shared" si="71"/>
        <v>14273.830819459621</v>
      </c>
      <c r="H22" s="87">
        <f t="shared" si="71"/>
        <v>13038.669695532892</v>
      </c>
      <c r="I22" s="87">
        <f t="shared" si="71"/>
        <v>14115.964858686906</v>
      </c>
      <c r="J22" s="87">
        <f t="shared" si="71"/>
        <v>14126.837214477611</v>
      </c>
      <c r="K22" s="87">
        <f t="shared" si="71"/>
        <v>14057.385397651537</v>
      </c>
      <c r="L22" s="87">
        <f t="shared" ref="L22" si="72">IF(L49=0,0,L49*L159)</f>
        <v>15084.061234678813</v>
      </c>
      <c r="M22" s="87">
        <f t="shared" ref="M22:V22" si="73">IF(M49=0,0,M49*M159)</f>
        <v>15610.928650609112</v>
      </c>
      <c r="N22" s="87">
        <f t="shared" si="73"/>
        <v>14078.253151721716</v>
      </c>
      <c r="O22" s="87">
        <f t="shared" si="73"/>
        <v>12727.229261506764</v>
      </c>
      <c r="P22" s="87">
        <f t="shared" si="73"/>
        <v>13173.907775995902</v>
      </c>
      <c r="Q22" s="87">
        <f t="shared" si="73"/>
        <v>11100.176142918706</v>
      </c>
      <c r="R22" s="87">
        <f t="shared" si="73"/>
        <v>10566.045020042602</v>
      </c>
      <c r="S22" s="87">
        <f t="shared" si="73"/>
        <v>10832.220031634013</v>
      </c>
      <c r="T22" s="87">
        <f t="shared" si="73"/>
        <v>11235.795331193662</v>
      </c>
      <c r="U22" s="87">
        <f t="shared" si="73"/>
        <v>11459.094142692982</v>
      </c>
      <c r="V22" s="87">
        <f t="shared" si="73"/>
        <v>11231.521723785492</v>
      </c>
      <c r="W22" s="87">
        <f t="shared" ref="W22:Y22" si="74">IF(W49=0,0,W49*W159)</f>
        <v>13141.833089982503</v>
      </c>
      <c r="X22" s="87">
        <f t="shared" si="74"/>
        <v>11862.058775266507</v>
      </c>
      <c r="Y22" s="87">
        <f t="shared" si="74"/>
        <v>10997.917106932313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12.775877679682823</v>
      </c>
      <c r="C23" s="87">
        <f t="shared" si="75"/>
        <v>14.648823740499223</v>
      </c>
      <c r="D23" s="87">
        <f t="shared" si="75"/>
        <v>17.045231141442674</v>
      </c>
      <c r="E23" s="87">
        <f t="shared" si="75"/>
        <v>19.485698556312499</v>
      </c>
      <c r="F23" s="87">
        <f t="shared" si="75"/>
        <v>21.416127748315134</v>
      </c>
      <c r="G23" s="87">
        <f t="shared" si="75"/>
        <v>24.219651869334559</v>
      </c>
      <c r="H23" s="87">
        <f t="shared" si="75"/>
        <v>26.155795523775172</v>
      </c>
      <c r="I23" s="87">
        <f t="shared" si="75"/>
        <v>25.478119582767743</v>
      </c>
      <c r="J23" s="87">
        <f t="shared" si="75"/>
        <v>30.551202631969954</v>
      </c>
      <c r="K23" s="87">
        <f t="shared" si="75"/>
        <v>40.407315246802916</v>
      </c>
      <c r="L23" s="87">
        <f t="shared" ref="L23" si="76">IF(L50=0,0,L50*L160)</f>
        <v>51.773423346994086</v>
      </c>
      <c r="M23" s="87">
        <f t="shared" ref="M23:V23" si="77">IF(M50=0,0,M50*M160)</f>
        <v>57.439398290352514</v>
      </c>
      <c r="N23" s="87">
        <f t="shared" si="77"/>
        <v>63.71433584409553</v>
      </c>
      <c r="O23" s="87">
        <f t="shared" si="77"/>
        <v>66.018647483635476</v>
      </c>
      <c r="P23" s="87">
        <f t="shared" si="77"/>
        <v>70.768853217976783</v>
      </c>
      <c r="Q23" s="87">
        <f t="shared" si="77"/>
        <v>70.490949862114263</v>
      </c>
      <c r="R23" s="87">
        <f t="shared" si="77"/>
        <v>68.649295853725775</v>
      </c>
      <c r="S23" s="87">
        <f t="shared" si="77"/>
        <v>70.333339497741704</v>
      </c>
      <c r="T23" s="87">
        <f t="shared" si="77"/>
        <v>69.701632226417004</v>
      </c>
      <c r="U23" s="87">
        <f t="shared" si="77"/>
        <v>74.742004855443795</v>
      </c>
      <c r="V23" s="87">
        <f t="shared" si="77"/>
        <v>76.185106673559844</v>
      </c>
      <c r="W23" s="87">
        <f t="shared" ref="W23:Y23" si="78">IF(W50=0,0,W50*W160)</f>
        <v>87.046456588773026</v>
      </c>
      <c r="X23" s="87">
        <f t="shared" si="78"/>
        <v>72.168368184146559</v>
      </c>
      <c r="Y23" s="87">
        <f t="shared" si="78"/>
        <v>74.412461548269405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16.438565586591707</v>
      </c>
      <c r="C24" s="87">
        <f t="shared" si="79"/>
        <v>19.601308180647099</v>
      </c>
      <c r="D24" s="87">
        <f t="shared" si="79"/>
        <v>23.717308451170993</v>
      </c>
      <c r="E24" s="87">
        <f t="shared" si="79"/>
        <v>28.191800439885547</v>
      </c>
      <c r="F24" s="87">
        <f t="shared" si="79"/>
        <v>32.219350544563994</v>
      </c>
      <c r="G24" s="87">
        <f t="shared" si="79"/>
        <v>37.891111912910205</v>
      </c>
      <c r="H24" s="87">
        <f t="shared" si="79"/>
        <v>43.124546250182867</v>
      </c>
      <c r="I24" s="87">
        <f t="shared" si="79"/>
        <v>43.498558217694075</v>
      </c>
      <c r="J24" s="87">
        <f t="shared" si="79"/>
        <v>60.429320999694944</v>
      </c>
      <c r="K24" s="87">
        <f t="shared" si="79"/>
        <v>86.523412782731796</v>
      </c>
      <c r="L24" s="87">
        <f t="shared" ref="L24" si="80">IF(L51=0,0,L51*L161)</f>
        <v>137.70410995265843</v>
      </c>
      <c r="M24" s="87">
        <f t="shared" ref="M24:V24" si="81">IF(M51=0,0,M51*M161)</f>
        <v>137.77131960651531</v>
      </c>
      <c r="N24" s="87">
        <f t="shared" si="81"/>
        <v>183.73067176143579</v>
      </c>
      <c r="O24" s="87">
        <f t="shared" si="81"/>
        <v>186.7004188104674</v>
      </c>
      <c r="P24" s="87">
        <f t="shared" si="81"/>
        <v>196.33251097353946</v>
      </c>
      <c r="Q24" s="87">
        <f t="shared" si="81"/>
        <v>195.7829317476546</v>
      </c>
      <c r="R24" s="87">
        <f t="shared" si="81"/>
        <v>203.78091933291108</v>
      </c>
      <c r="S24" s="87">
        <f t="shared" si="81"/>
        <v>201.61190978808776</v>
      </c>
      <c r="T24" s="87">
        <f t="shared" si="81"/>
        <v>206.9618088567029</v>
      </c>
      <c r="U24" s="87">
        <f t="shared" si="81"/>
        <v>213.74985831351856</v>
      </c>
      <c r="V24" s="87">
        <f t="shared" si="81"/>
        <v>215.40672925941496</v>
      </c>
      <c r="W24" s="87">
        <f t="shared" ref="W24:Y24" si="82">IF(W51=0,0,W51*W161)</f>
        <v>219.50582789236526</v>
      </c>
      <c r="X24" s="87">
        <f t="shared" si="82"/>
        <v>206.84871114953302</v>
      </c>
      <c r="Y24" s="87">
        <f t="shared" si="82"/>
        <v>209.21947157249056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3.30161288144932E-3</v>
      </c>
      <c r="N25" s="87">
        <f t="shared" si="85"/>
        <v>0.65539735735949789</v>
      </c>
      <c r="O25" s="87">
        <f t="shared" si="85"/>
        <v>0.31343647860362261</v>
      </c>
      <c r="P25" s="87">
        <f t="shared" si="85"/>
        <v>0.53582434316977723</v>
      </c>
      <c r="Q25" s="87">
        <f t="shared" si="85"/>
        <v>1.6588919378188363</v>
      </c>
      <c r="R25" s="87">
        <f t="shared" si="85"/>
        <v>2.9947367405836793</v>
      </c>
      <c r="S25" s="87">
        <f t="shared" si="85"/>
        <v>3.5377193527893751</v>
      </c>
      <c r="T25" s="87">
        <f t="shared" si="85"/>
        <v>5.0183498555869361</v>
      </c>
      <c r="U25" s="87">
        <f t="shared" si="85"/>
        <v>9.0959923715668545</v>
      </c>
      <c r="V25" s="87">
        <f t="shared" si="85"/>
        <v>10.615300746194066</v>
      </c>
      <c r="W25" s="87">
        <f t="shared" ref="W25:Y25" si="86">IF(W52=0,0,W52*W162)</f>
        <v>16.294868910276818</v>
      </c>
      <c r="X25" s="87">
        <f t="shared" si="86"/>
        <v>22.258204392505935</v>
      </c>
      <c r="Y25" s="87">
        <f t="shared" si="86"/>
        <v>33.576406292829766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181628.12028709979</v>
      </c>
      <c r="C26" s="116">
        <f t="shared" si="87"/>
        <v>179788.95970928061</v>
      </c>
      <c r="D26" s="116">
        <f t="shared" si="87"/>
        <v>186597.1690606091</v>
      </c>
      <c r="E26" s="116">
        <f t="shared" si="87"/>
        <v>170123.22342392991</v>
      </c>
      <c r="F26" s="116">
        <f t="shared" si="87"/>
        <v>189438.34397747379</v>
      </c>
      <c r="G26" s="116">
        <f t="shared" si="87"/>
        <v>203952.94284383935</v>
      </c>
      <c r="H26" s="116">
        <f t="shared" si="87"/>
        <v>190070.79193899481</v>
      </c>
      <c r="I26" s="116">
        <f t="shared" si="87"/>
        <v>186797.45099660789</v>
      </c>
      <c r="J26" s="116">
        <f t="shared" si="87"/>
        <v>187503.71104705051</v>
      </c>
      <c r="K26" s="116">
        <f t="shared" si="87"/>
        <v>176426.96498971072</v>
      </c>
      <c r="L26" s="116">
        <f t="shared" ref="L26" si="88">SUM(L27:L28)</f>
        <v>183606.81268352803</v>
      </c>
      <c r="M26" s="116">
        <f t="shared" ref="M26:V26" si="89">SUM(M27:M28)</f>
        <v>157320.85045794124</v>
      </c>
      <c r="N26" s="116">
        <f t="shared" si="89"/>
        <v>139460.45552236427</v>
      </c>
      <c r="O26" s="116">
        <f t="shared" si="89"/>
        <v>141793.04194107171</v>
      </c>
      <c r="P26" s="116">
        <f t="shared" si="89"/>
        <v>133027.03381047398</v>
      </c>
      <c r="Q26" s="116">
        <f t="shared" si="89"/>
        <v>133970.0387667722</v>
      </c>
      <c r="R26" s="116">
        <f t="shared" si="89"/>
        <v>131695.14287846372</v>
      </c>
      <c r="S26" s="116">
        <f t="shared" si="89"/>
        <v>142076.81353460255</v>
      </c>
      <c r="T26" s="116">
        <f t="shared" si="89"/>
        <v>146265</v>
      </c>
      <c r="U26" s="116">
        <f t="shared" si="89"/>
        <v>158307</v>
      </c>
      <c r="V26" s="116">
        <f t="shared" si="89"/>
        <v>152864</v>
      </c>
      <c r="W26" s="116">
        <f t="shared" ref="W26:Y26" si="90">SUM(W27:W28)</f>
        <v>167890</v>
      </c>
      <c r="X26" s="116">
        <f t="shared" si="90"/>
        <v>172421</v>
      </c>
      <c r="Y26" s="116">
        <f t="shared" si="90"/>
        <v>166164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158250</v>
      </c>
      <c r="C27" s="101">
        <f t="shared" si="91"/>
        <v>154749</v>
      </c>
      <c r="D27" s="101">
        <f t="shared" si="91"/>
        <v>160082</v>
      </c>
      <c r="E27" s="101">
        <f t="shared" si="91"/>
        <v>143184</v>
      </c>
      <c r="F27" s="101">
        <f t="shared" si="91"/>
        <v>158172</v>
      </c>
      <c r="G27" s="101">
        <f t="shared" si="91"/>
        <v>171587</v>
      </c>
      <c r="H27" s="101">
        <f t="shared" si="91"/>
        <v>155425</v>
      </c>
      <c r="I27" s="101">
        <f t="shared" si="91"/>
        <v>152406</v>
      </c>
      <c r="J27" s="101">
        <f t="shared" si="91"/>
        <v>151823</v>
      </c>
      <c r="K27" s="101">
        <f t="shared" si="91"/>
        <v>145610</v>
      </c>
      <c r="L27" s="101">
        <f t="shared" ref="L27:V27" si="92">IF(L54=0,0,L54*L164)</f>
        <v>149248</v>
      </c>
      <c r="M27" s="101">
        <f t="shared" si="92"/>
        <v>127681</v>
      </c>
      <c r="N27" s="101">
        <f t="shared" si="92"/>
        <v>111785</v>
      </c>
      <c r="O27" s="101">
        <f t="shared" si="92"/>
        <v>111975</v>
      </c>
      <c r="P27" s="101">
        <f t="shared" si="92"/>
        <v>102351</v>
      </c>
      <c r="Q27" s="101">
        <f t="shared" si="92"/>
        <v>104104</v>
      </c>
      <c r="R27" s="101">
        <f t="shared" si="92"/>
        <v>100282</v>
      </c>
      <c r="S27" s="101">
        <f t="shared" si="92"/>
        <v>106711</v>
      </c>
      <c r="T27" s="101">
        <f t="shared" si="92"/>
        <v>111741</v>
      </c>
      <c r="U27" s="101">
        <f t="shared" si="92"/>
        <v>122491</v>
      </c>
      <c r="V27" s="101">
        <f t="shared" si="92"/>
        <v>118151</v>
      </c>
      <c r="W27" s="101">
        <f t="shared" ref="W27:Y27" si="93">IF(W54=0,0,W54*W164)</f>
        <v>128547.00000000001</v>
      </c>
      <c r="X27" s="101">
        <f t="shared" si="93"/>
        <v>132267</v>
      </c>
      <c r="Y27" s="101">
        <f t="shared" si="93"/>
        <v>128805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23378.120287099795</v>
      </c>
      <c r="C28" s="88">
        <f t="shared" si="94"/>
        <v>25039.959709280607</v>
      </c>
      <c r="D28" s="88">
        <f t="shared" si="94"/>
        <v>26515.1690606091</v>
      </c>
      <c r="E28" s="88">
        <f t="shared" si="94"/>
        <v>26939.223423929914</v>
      </c>
      <c r="F28" s="88">
        <f t="shared" si="94"/>
        <v>31266.343977473793</v>
      </c>
      <c r="G28" s="88">
        <f t="shared" si="94"/>
        <v>32365.942843839352</v>
      </c>
      <c r="H28" s="88">
        <f t="shared" si="94"/>
        <v>34645.791938994807</v>
      </c>
      <c r="I28" s="88">
        <f t="shared" si="94"/>
        <v>34391.450996607891</v>
      </c>
      <c r="J28" s="88">
        <f t="shared" si="94"/>
        <v>35680.711047050514</v>
      </c>
      <c r="K28" s="88">
        <f t="shared" si="94"/>
        <v>30816.964989710716</v>
      </c>
      <c r="L28" s="88">
        <f t="shared" ref="L28:V28" si="95">IF(L55=0,0,L55*L165)</f>
        <v>34358.812683528027</v>
      </c>
      <c r="M28" s="88">
        <f t="shared" si="95"/>
        <v>29639.85045794124</v>
      </c>
      <c r="N28" s="88">
        <f t="shared" si="95"/>
        <v>27675.455522364267</v>
      </c>
      <c r="O28" s="88">
        <f t="shared" si="95"/>
        <v>29818.041941071715</v>
      </c>
      <c r="P28" s="88">
        <f t="shared" si="95"/>
        <v>30676.033810473979</v>
      </c>
      <c r="Q28" s="88">
        <f t="shared" si="95"/>
        <v>29866.038766772195</v>
      </c>
      <c r="R28" s="88">
        <f t="shared" si="95"/>
        <v>31413.142878463725</v>
      </c>
      <c r="S28" s="88">
        <f t="shared" si="95"/>
        <v>35365.813534602552</v>
      </c>
      <c r="T28" s="88">
        <f t="shared" si="95"/>
        <v>34524</v>
      </c>
      <c r="U28" s="88">
        <f t="shared" si="95"/>
        <v>35816</v>
      </c>
      <c r="V28" s="88">
        <f t="shared" si="95"/>
        <v>34713</v>
      </c>
      <c r="W28" s="88">
        <f t="shared" ref="W28:Y28" si="96">IF(W55=0,0,W55*W165)</f>
        <v>39343</v>
      </c>
      <c r="X28" s="88">
        <f t="shared" si="96"/>
        <v>40154</v>
      </c>
      <c r="Y28" s="88">
        <f t="shared" si="96"/>
        <v>37359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461538.57274140388</v>
      </c>
      <c r="C30" s="62">
        <f t="shared" ref="C30:V30" si="98">C31+C46</f>
        <v>474305.63609734789</v>
      </c>
      <c r="D30" s="62">
        <f t="shared" si="98"/>
        <v>479480.90590258595</v>
      </c>
      <c r="E30" s="62">
        <f t="shared" si="98"/>
        <v>487503.624370076</v>
      </c>
      <c r="F30" s="62">
        <f t="shared" si="98"/>
        <v>498043.29931542982</v>
      </c>
      <c r="G30" s="62">
        <f t="shared" si="98"/>
        <v>481621.1952365163</v>
      </c>
      <c r="H30" s="62">
        <f t="shared" si="98"/>
        <v>470577.73604448984</v>
      </c>
      <c r="I30" s="62">
        <f t="shared" si="98"/>
        <v>473229.43639583286</v>
      </c>
      <c r="J30" s="62">
        <f t="shared" si="98"/>
        <v>474058.09019059472</v>
      </c>
      <c r="K30" s="62">
        <f t="shared" si="98"/>
        <v>493618.229851885</v>
      </c>
      <c r="L30" s="62">
        <f t="shared" si="98"/>
        <v>490438.08206573484</v>
      </c>
      <c r="M30" s="62">
        <f t="shared" si="98"/>
        <v>487190.60279289715</v>
      </c>
      <c r="N30" s="62">
        <f t="shared" si="98"/>
        <v>459606.11390686792</v>
      </c>
      <c r="O30" s="62">
        <f t="shared" si="98"/>
        <v>455408.38592864247</v>
      </c>
      <c r="P30" s="62">
        <f t="shared" si="98"/>
        <v>485084.97124291636</v>
      </c>
      <c r="Q30" s="62">
        <f t="shared" si="98"/>
        <v>474731.86863231839</v>
      </c>
      <c r="R30" s="62">
        <f t="shared" si="98"/>
        <v>481684.2958645242</v>
      </c>
      <c r="S30" s="62">
        <f t="shared" si="98"/>
        <v>492328.14048153779</v>
      </c>
      <c r="T30" s="62">
        <f t="shared" si="98"/>
        <v>478136.98109295958</v>
      </c>
      <c r="U30" s="62">
        <f t="shared" si="98"/>
        <v>483730.3449139049</v>
      </c>
      <c r="V30" s="62">
        <f t="shared" si="98"/>
        <v>397599.70028337184</v>
      </c>
      <c r="W30" s="62">
        <f t="shared" ref="W30:Y30" si="99">W31+W46</f>
        <v>414350.7411392231</v>
      </c>
      <c r="X30" s="62">
        <f t="shared" si="99"/>
        <v>424464.913801004</v>
      </c>
      <c r="Y30" s="62">
        <f t="shared" si="99"/>
        <v>453698.0526012535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391138.75438523799</v>
      </c>
      <c r="C31" s="29">
        <f t="shared" ref="C31:V31" si="101">C32+C33+C40</f>
        <v>407262.00890388229</v>
      </c>
      <c r="D31" s="29">
        <f t="shared" si="101"/>
        <v>409798.13150835253</v>
      </c>
      <c r="E31" s="29">
        <f t="shared" si="101"/>
        <v>412364.55186838389</v>
      </c>
      <c r="F31" s="29">
        <f t="shared" si="101"/>
        <v>415618.84404004656</v>
      </c>
      <c r="G31" s="29">
        <f t="shared" si="101"/>
        <v>391211.84134074074</v>
      </c>
      <c r="H31" s="29">
        <f t="shared" si="101"/>
        <v>390269.19907265477</v>
      </c>
      <c r="I31" s="29">
        <f t="shared" si="101"/>
        <v>387041.89572327933</v>
      </c>
      <c r="J31" s="29">
        <f t="shared" si="101"/>
        <v>388389.64083046612</v>
      </c>
      <c r="K31" s="29">
        <f t="shared" si="101"/>
        <v>408871.40972571616</v>
      </c>
      <c r="L31" s="29">
        <f t="shared" si="101"/>
        <v>398759.88197709591</v>
      </c>
      <c r="M31" s="29">
        <f t="shared" si="101"/>
        <v>394065.57854047266</v>
      </c>
      <c r="N31" s="29">
        <f t="shared" si="101"/>
        <v>377056.47044789046</v>
      </c>
      <c r="O31" s="29">
        <f t="shared" si="101"/>
        <v>380816.40652366623</v>
      </c>
      <c r="P31" s="29">
        <f t="shared" si="101"/>
        <v>408229.29113186419</v>
      </c>
      <c r="Q31" s="29">
        <f t="shared" si="101"/>
        <v>410582.52285945375</v>
      </c>
      <c r="R31" s="29">
        <f t="shared" si="101"/>
        <v>420908.07709107897</v>
      </c>
      <c r="S31" s="29">
        <f t="shared" si="101"/>
        <v>429852.26515871444</v>
      </c>
      <c r="T31" s="29">
        <f t="shared" si="101"/>
        <v>413464.61411281337</v>
      </c>
      <c r="U31" s="29">
        <f t="shared" si="101"/>
        <v>417301.4876420378</v>
      </c>
      <c r="V31" s="29">
        <f t="shared" si="101"/>
        <v>333043.63656612911</v>
      </c>
      <c r="W31" s="29">
        <f t="shared" ref="W31:Y31" si="102">W32+W33+W40</f>
        <v>337810.80561475968</v>
      </c>
      <c r="X31" s="29">
        <f t="shared" si="102"/>
        <v>355123.88720306702</v>
      </c>
      <c r="Y31" s="29">
        <f t="shared" si="102"/>
        <v>389429.72635926615</v>
      </c>
      <c r="DA31" s="173" t="s">
        <v>475</v>
      </c>
    </row>
    <row r="32" spans="1:105" ht="11.45" customHeight="1" x14ac:dyDescent="0.25">
      <c r="A32" s="136" t="s">
        <v>173</v>
      </c>
      <c r="B32" s="152">
        <v>35789.742552754156</v>
      </c>
      <c r="C32" s="152">
        <v>36695.58346283024</v>
      </c>
      <c r="D32" s="152">
        <v>36447.437103339471</v>
      </c>
      <c r="E32" s="152">
        <v>37254.29423662652</v>
      </c>
      <c r="F32" s="152">
        <v>38772.88726664077</v>
      </c>
      <c r="G32" s="152">
        <v>38964.688766185536</v>
      </c>
      <c r="H32" s="152">
        <v>37045.021812552863</v>
      </c>
      <c r="I32" s="152">
        <v>32941.2545872669</v>
      </c>
      <c r="J32" s="152">
        <v>34752.176569278003</v>
      </c>
      <c r="K32" s="152">
        <v>32461.910630683677</v>
      </c>
      <c r="L32" s="152">
        <v>33158</v>
      </c>
      <c r="M32" s="152">
        <v>34247</v>
      </c>
      <c r="N32" s="152">
        <v>33397</v>
      </c>
      <c r="O32" s="152">
        <v>32389</v>
      </c>
      <c r="P32" s="152">
        <v>33120</v>
      </c>
      <c r="Q32" s="152">
        <v>32850</v>
      </c>
      <c r="R32" s="152">
        <v>33476.929582932149</v>
      </c>
      <c r="S32" s="152">
        <v>31570.47813402734</v>
      </c>
      <c r="T32" s="152">
        <v>30038.580942897548</v>
      </c>
      <c r="U32" s="152">
        <v>32552.04299839379</v>
      </c>
      <c r="V32" s="152">
        <v>28428.873932401122</v>
      </c>
      <c r="W32" s="152">
        <v>30651.276046098916</v>
      </c>
      <c r="X32" s="152">
        <v>30963.906438624697</v>
      </c>
      <c r="Y32" s="152">
        <v>33421.465159364307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351526.93008835771</v>
      </c>
      <c r="C33" s="116">
        <f t="shared" ref="C33:V33" si="104">SUM(C34:C39)</f>
        <v>366655.31066531682</v>
      </c>
      <c r="D33" s="116">
        <f t="shared" si="104"/>
        <v>369375.8165851442</v>
      </c>
      <c r="E33" s="116">
        <f t="shared" si="104"/>
        <v>371086.84864516254</v>
      </c>
      <c r="F33" s="116">
        <f t="shared" si="104"/>
        <v>372762.49113059329</v>
      </c>
      <c r="G33" s="116">
        <f t="shared" si="104"/>
        <v>348112.60998692492</v>
      </c>
      <c r="H33" s="116">
        <f t="shared" si="104"/>
        <v>348999.33336951258</v>
      </c>
      <c r="I33" s="116">
        <f t="shared" si="104"/>
        <v>349882.88617196603</v>
      </c>
      <c r="J33" s="116">
        <f t="shared" si="104"/>
        <v>349410.72311305144</v>
      </c>
      <c r="K33" s="116">
        <f t="shared" si="104"/>
        <v>372156.08011391596</v>
      </c>
      <c r="L33" s="116">
        <f t="shared" si="104"/>
        <v>361274.88197709591</v>
      </c>
      <c r="M33" s="116">
        <f t="shared" si="104"/>
        <v>355399.78991812159</v>
      </c>
      <c r="N33" s="116">
        <f t="shared" si="104"/>
        <v>339434.47044789046</v>
      </c>
      <c r="O33" s="116">
        <f t="shared" si="104"/>
        <v>344191.40652366623</v>
      </c>
      <c r="P33" s="116">
        <f t="shared" si="104"/>
        <v>370839.29113186419</v>
      </c>
      <c r="Q33" s="116">
        <f t="shared" si="104"/>
        <v>373414.52285945375</v>
      </c>
      <c r="R33" s="116">
        <f t="shared" si="104"/>
        <v>383121.48612332129</v>
      </c>
      <c r="S33" s="116">
        <f t="shared" si="104"/>
        <v>393956.55442321504</v>
      </c>
      <c r="T33" s="116">
        <f t="shared" si="104"/>
        <v>379088.63250999589</v>
      </c>
      <c r="U33" s="116">
        <f t="shared" si="104"/>
        <v>380355.53893501882</v>
      </c>
      <c r="V33" s="116">
        <f t="shared" si="104"/>
        <v>300245.84823980817</v>
      </c>
      <c r="W33" s="116">
        <f t="shared" ref="W33:Y33" si="105">SUM(W34:W39)</f>
        <v>302778.78137629677</v>
      </c>
      <c r="X33" s="116">
        <f t="shared" si="105"/>
        <v>319774.7509228831</v>
      </c>
      <c r="Y33" s="116">
        <f t="shared" si="105"/>
        <v>351625.53340492095</v>
      </c>
      <c r="DA33" s="176" t="s">
        <v>477</v>
      </c>
    </row>
    <row r="34" spans="1:105" ht="11.45" customHeight="1" x14ac:dyDescent="0.25">
      <c r="A34" s="111" t="s">
        <v>110</v>
      </c>
      <c r="B34" s="87">
        <v>243060.27200847029</v>
      </c>
      <c r="C34" s="87">
        <v>243614.15222568178</v>
      </c>
      <c r="D34" s="87">
        <v>230545.32853355684</v>
      </c>
      <c r="E34" s="87">
        <v>223411.98050306382</v>
      </c>
      <c r="F34" s="87">
        <v>201207.16913973776</v>
      </c>
      <c r="G34" s="87">
        <v>177977.57129793629</v>
      </c>
      <c r="H34" s="87">
        <v>152402.32403203516</v>
      </c>
      <c r="I34" s="87">
        <v>147103.90993753736</v>
      </c>
      <c r="J34" s="87">
        <v>146494.67109909339</v>
      </c>
      <c r="K34" s="87">
        <v>158543.50206212915</v>
      </c>
      <c r="L34" s="87">
        <v>151703.430930823</v>
      </c>
      <c r="M34" s="87">
        <v>147556.5653197832</v>
      </c>
      <c r="N34" s="87">
        <v>129622.87356242695</v>
      </c>
      <c r="O34" s="87">
        <v>123853.16168954926</v>
      </c>
      <c r="P34" s="87">
        <v>125267.82963494357</v>
      </c>
      <c r="Q34" s="87">
        <v>120570.49898731407</v>
      </c>
      <c r="R34" s="87">
        <v>118597.73127346039</v>
      </c>
      <c r="S34" s="87">
        <v>116853.79525999294</v>
      </c>
      <c r="T34" s="87">
        <v>109251.48675447934</v>
      </c>
      <c r="U34" s="87">
        <v>110622.64439659468</v>
      </c>
      <c r="V34" s="87">
        <v>85783.838779083177</v>
      </c>
      <c r="W34" s="87">
        <v>87639.259752365659</v>
      </c>
      <c r="X34" s="87">
        <v>94265.542531314641</v>
      </c>
      <c r="Y34" s="87">
        <v>106987.31741563237</v>
      </c>
      <c r="DA34" s="171" t="s">
        <v>478</v>
      </c>
    </row>
    <row r="35" spans="1:105" ht="11.45" customHeight="1" x14ac:dyDescent="0.25">
      <c r="A35" s="111" t="s">
        <v>111</v>
      </c>
      <c r="B35" s="87">
        <v>81998.536861258792</v>
      </c>
      <c r="C35" s="87">
        <v>96564.756709685273</v>
      </c>
      <c r="D35" s="87">
        <v>113681.61199055142</v>
      </c>
      <c r="E35" s="87">
        <v>124018.08704376717</v>
      </c>
      <c r="F35" s="87">
        <v>148327.68319376421</v>
      </c>
      <c r="G35" s="87">
        <v>147393.77417268229</v>
      </c>
      <c r="H35" s="87">
        <v>173413.8572579778</v>
      </c>
      <c r="I35" s="87">
        <v>179587.02265050804</v>
      </c>
      <c r="J35" s="87">
        <v>180776.94510169755</v>
      </c>
      <c r="K35" s="87">
        <v>187138.85703288417</v>
      </c>
      <c r="L35" s="87">
        <v>180731.08560355045</v>
      </c>
      <c r="M35" s="87">
        <v>179095.03767991767</v>
      </c>
      <c r="N35" s="87">
        <v>179505.13606834464</v>
      </c>
      <c r="O35" s="87">
        <v>186011.4542324811</v>
      </c>
      <c r="P35" s="87">
        <v>209080.1387211445</v>
      </c>
      <c r="Q35" s="87">
        <v>213301.42084464376</v>
      </c>
      <c r="R35" s="87">
        <v>223955.98631631449</v>
      </c>
      <c r="S35" s="87">
        <v>234242.77893772215</v>
      </c>
      <c r="T35" s="87">
        <v>227052.09695660742</v>
      </c>
      <c r="U35" s="87">
        <v>225259.48722630239</v>
      </c>
      <c r="V35" s="87">
        <v>178274.55257333093</v>
      </c>
      <c r="W35" s="87">
        <v>176954.09327419338</v>
      </c>
      <c r="X35" s="87">
        <v>184642.19238705843</v>
      </c>
      <c r="Y35" s="87">
        <v>201621.93292524343</v>
      </c>
      <c r="DA35" s="171" t="s">
        <v>479</v>
      </c>
    </row>
    <row r="36" spans="1:105" ht="11.45" customHeight="1" x14ac:dyDescent="0.25">
      <c r="A36" s="111" t="s">
        <v>112</v>
      </c>
      <c r="B36" s="87">
        <v>22621.261190523644</v>
      </c>
      <c r="C36" s="87">
        <v>22041.444770844082</v>
      </c>
      <c r="D36" s="87">
        <v>20744.360165867794</v>
      </c>
      <c r="E36" s="87">
        <v>19258.464952365466</v>
      </c>
      <c r="F36" s="87">
        <v>19067.533005962778</v>
      </c>
      <c r="G36" s="87">
        <v>18486.122244721901</v>
      </c>
      <c r="H36" s="87">
        <v>18410.49175039988</v>
      </c>
      <c r="I36" s="87">
        <v>17886.612272877606</v>
      </c>
      <c r="J36" s="87">
        <v>16299.964151308301</v>
      </c>
      <c r="K36" s="87">
        <v>18988.927073969167</v>
      </c>
      <c r="L36" s="87">
        <v>21199.367224596055</v>
      </c>
      <c r="M36" s="87">
        <v>20982.929803500236</v>
      </c>
      <c r="N36" s="87">
        <v>22515.594274280713</v>
      </c>
      <c r="O36" s="87">
        <v>25711.378663143081</v>
      </c>
      <c r="P36" s="87">
        <v>26365.947761992466</v>
      </c>
      <c r="Q36" s="87">
        <v>28866.991260708532</v>
      </c>
      <c r="R36" s="87">
        <v>29148.305982960333</v>
      </c>
      <c r="S36" s="87">
        <v>30636.000713262059</v>
      </c>
      <c r="T36" s="87">
        <v>30690.697284644433</v>
      </c>
      <c r="U36" s="87">
        <v>31936.012307664005</v>
      </c>
      <c r="V36" s="87">
        <v>25368.908810591558</v>
      </c>
      <c r="W36" s="87">
        <v>26264.977919278022</v>
      </c>
      <c r="X36" s="87">
        <v>28995.59979660801</v>
      </c>
      <c r="Y36" s="87">
        <v>30403.711795191157</v>
      </c>
      <c r="DA36" s="171" t="s">
        <v>480</v>
      </c>
    </row>
    <row r="37" spans="1:105" ht="11.45" customHeight="1" x14ac:dyDescent="0.25">
      <c r="A37" s="111" t="s">
        <v>113</v>
      </c>
      <c r="B37" s="87">
        <v>3846.8600281050376</v>
      </c>
      <c r="C37" s="87">
        <v>4434.9569591057016</v>
      </c>
      <c r="D37" s="87">
        <v>4404.5158951681933</v>
      </c>
      <c r="E37" s="87">
        <v>4398.3161459660341</v>
      </c>
      <c r="F37" s="87">
        <v>4160.1057911285397</v>
      </c>
      <c r="G37" s="87">
        <v>4255.1422715844201</v>
      </c>
      <c r="H37" s="87">
        <v>4772.66032909974</v>
      </c>
      <c r="I37" s="87">
        <v>5305.3413110430747</v>
      </c>
      <c r="J37" s="87">
        <v>5839.1427609521834</v>
      </c>
      <c r="K37" s="87">
        <v>7484.793944933429</v>
      </c>
      <c r="L37" s="87">
        <v>7588.7094440548899</v>
      </c>
      <c r="M37" s="87">
        <v>7638.2832942790492</v>
      </c>
      <c r="N37" s="87">
        <v>7657.6963424471451</v>
      </c>
      <c r="O37" s="87">
        <v>8365.326558973482</v>
      </c>
      <c r="P37" s="87">
        <v>9674.4033596265908</v>
      </c>
      <c r="Q37" s="87">
        <v>10193.029550858608</v>
      </c>
      <c r="R37" s="87">
        <v>10913.88271853956</v>
      </c>
      <c r="S37" s="87">
        <v>11646.822620102306</v>
      </c>
      <c r="T37" s="87">
        <v>11427.741073237074</v>
      </c>
      <c r="U37" s="87">
        <v>11679.540411512782</v>
      </c>
      <c r="V37" s="87">
        <v>9552.9861410291633</v>
      </c>
      <c r="W37" s="87">
        <v>9224.1270549085984</v>
      </c>
      <c r="X37" s="87">
        <v>8531.9645148079017</v>
      </c>
      <c r="Y37" s="87">
        <v>8610.4112712723017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1.0013283493218552</v>
      </c>
      <c r="O38" s="87">
        <v>106.77555479199317</v>
      </c>
      <c r="P38" s="87">
        <v>292.99552667893801</v>
      </c>
      <c r="Q38" s="87">
        <v>304.77002711836951</v>
      </c>
      <c r="R38" s="87">
        <v>310.31611792942698</v>
      </c>
      <c r="S38" s="87">
        <v>356.29834168587507</v>
      </c>
      <c r="T38" s="87">
        <v>377.65611139818873</v>
      </c>
      <c r="U38" s="87">
        <v>425.63585954179393</v>
      </c>
      <c r="V38" s="87">
        <v>538.43454080327854</v>
      </c>
      <c r="W38" s="87">
        <v>962.81171432335475</v>
      </c>
      <c r="X38" s="87">
        <v>1466.5127683266514</v>
      </c>
      <c r="Y38" s="87">
        <v>2101.0073651838907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52.288774071530113</v>
      </c>
      <c r="M39" s="87">
        <v>126.97382064137608</v>
      </c>
      <c r="N39" s="87">
        <v>132.16887204165988</v>
      </c>
      <c r="O39" s="87">
        <v>143.30982472734445</v>
      </c>
      <c r="P39" s="87">
        <v>157.97612747816771</v>
      </c>
      <c r="Q39" s="87">
        <v>177.81218881036619</v>
      </c>
      <c r="R39" s="87">
        <v>195.26371411713038</v>
      </c>
      <c r="S39" s="87">
        <v>220.85855044974011</v>
      </c>
      <c r="T39" s="87">
        <v>288.95432962940066</v>
      </c>
      <c r="U39" s="87">
        <v>432.21873340317006</v>
      </c>
      <c r="V39" s="87">
        <v>727.12739497010239</v>
      </c>
      <c r="W39" s="87">
        <v>1733.5116612277343</v>
      </c>
      <c r="X39" s="87">
        <v>1872.9389247674326</v>
      </c>
      <c r="Y39" s="87">
        <v>1901.1526323977919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3822.0817441260829</v>
      </c>
      <c r="C40" s="116">
        <f t="shared" ref="C40:V40" si="107">SUM(C41:C45)</f>
        <v>3911.1147757352223</v>
      </c>
      <c r="D40" s="116">
        <f t="shared" si="107"/>
        <v>3974.8778198688719</v>
      </c>
      <c r="E40" s="116">
        <f t="shared" si="107"/>
        <v>4023.4089865948154</v>
      </c>
      <c r="F40" s="116">
        <f t="shared" si="107"/>
        <v>4083.4656428124958</v>
      </c>
      <c r="G40" s="116">
        <f t="shared" si="107"/>
        <v>4134.5425876302488</v>
      </c>
      <c r="H40" s="116">
        <f t="shared" si="107"/>
        <v>4224.8438905893199</v>
      </c>
      <c r="I40" s="116">
        <f t="shared" si="107"/>
        <v>4217.7549640464167</v>
      </c>
      <c r="J40" s="116">
        <f t="shared" si="107"/>
        <v>4226.7411481366507</v>
      </c>
      <c r="K40" s="116">
        <f t="shared" si="107"/>
        <v>4253.4189811165752</v>
      </c>
      <c r="L40" s="116">
        <f t="shared" si="107"/>
        <v>4327</v>
      </c>
      <c r="M40" s="116">
        <f t="shared" si="107"/>
        <v>4418.7886223510441</v>
      </c>
      <c r="N40" s="116">
        <f t="shared" si="107"/>
        <v>4225</v>
      </c>
      <c r="O40" s="116">
        <f t="shared" si="107"/>
        <v>4236</v>
      </c>
      <c r="P40" s="116">
        <f t="shared" si="107"/>
        <v>4269.9999999999991</v>
      </c>
      <c r="Q40" s="116">
        <f t="shared" si="107"/>
        <v>4318</v>
      </c>
      <c r="R40" s="116">
        <f t="shared" si="107"/>
        <v>4309.6613848255492</v>
      </c>
      <c r="S40" s="116">
        <f t="shared" si="107"/>
        <v>4325.232601472052</v>
      </c>
      <c r="T40" s="116">
        <f t="shared" si="107"/>
        <v>4337.4006599199447</v>
      </c>
      <c r="U40" s="116">
        <f t="shared" si="107"/>
        <v>4393.9057086252251</v>
      </c>
      <c r="V40" s="116">
        <f t="shared" si="107"/>
        <v>4368.9143939197966</v>
      </c>
      <c r="W40" s="116">
        <f t="shared" ref="W40:Y40" si="108">SUM(W41:W45)</f>
        <v>4380.7481923639943</v>
      </c>
      <c r="X40" s="116">
        <f t="shared" si="108"/>
        <v>4385.2298415592113</v>
      </c>
      <c r="Y40" s="116">
        <f t="shared" si="108"/>
        <v>4382.7277949809304</v>
      </c>
      <c r="DA40" s="176" t="s">
        <v>484</v>
      </c>
    </row>
    <row r="41" spans="1:105" ht="11.45" customHeight="1" x14ac:dyDescent="0.25">
      <c r="A41" s="111" t="s">
        <v>110</v>
      </c>
      <c r="B41" s="101">
        <v>10.644959491094228</v>
      </c>
      <c r="C41" s="101">
        <v>9.5503755012539369</v>
      </c>
      <c r="D41" s="101">
        <v>8.9880949559919809</v>
      </c>
      <c r="E41" s="101">
        <v>7.2108068659393583</v>
      </c>
      <c r="F41" s="101">
        <v>6.2310667551783565</v>
      </c>
      <c r="G41" s="101">
        <v>5.9087004716458722</v>
      </c>
      <c r="H41" s="101">
        <v>5.5627738680200709</v>
      </c>
      <c r="I41" s="101">
        <v>5.1760224676576501</v>
      </c>
      <c r="J41" s="101">
        <v>5.2916457379489001</v>
      </c>
      <c r="K41" s="101">
        <v>5.6792991725664539</v>
      </c>
      <c r="L41" s="101">
        <v>5.7987778467829374</v>
      </c>
      <c r="M41" s="101">
        <v>5.7535352128337367</v>
      </c>
      <c r="N41" s="101">
        <v>5.6814140375842923</v>
      </c>
      <c r="O41" s="101">
        <v>10.920476592297808</v>
      </c>
      <c r="P41" s="101">
        <v>6.7691163337386522</v>
      </c>
      <c r="Q41" s="101">
        <v>6.7460258337398953</v>
      </c>
      <c r="R41" s="101">
        <v>6.4869992952273252</v>
      </c>
      <c r="S41" s="101">
        <v>6.164422601163003</v>
      </c>
      <c r="T41" s="101">
        <v>5.8089649423471403</v>
      </c>
      <c r="U41" s="101">
        <v>10.574777198944886</v>
      </c>
      <c r="V41" s="101">
        <v>10.246105870378152</v>
      </c>
      <c r="W41" s="101">
        <v>9.7416405150429277</v>
      </c>
      <c r="X41" s="101">
        <v>9.5065431055519092</v>
      </c>
      <c r="Y41" s="101">
        <v>9.2756638567706933</v>
      </c>
      <c r="DA41" s="175" t="s">
        <v>485</v>
      </c>
    </row>
    <row r="42" spans="1:105" ht="11.45" customHeight="1" x14ac:dyDescent="0.25">
      <c r="A42" s="111" t="s">
        <v>111</v>
      </c>
      <c r="B42" s="101">
        <v>3771.4701426826082</v>
      </c>
      <c r="C42" s="101">
        <v>3863.3849464979085</v>
      </c>
      <c r="D42" s="101">
        <v>3933.2740784848152</v>
      </c>
      <c r="E42" s="101">
        <v>3965.0891021173989</v>
      </c>
      <c r="F42" s="101">
        <v>4024.212741861942</v>
      </c>
      <c r="G42" s="101">
        <v>4046.6133813189845</v>
      </c>
      <c r="H42" s="101">
        <v>4093.5785791398175</v>
      </c>
      <c r="I42" s="101">
        <v>4066.7309243790064</v>
      </c>
      <c r="J42" s="101">
        <v>4064.778174775558</v>
      </c>
      <c r="K42" s="101">
        <v>4065.2595584645296</v>
      </c>
      <c r="L42" s="101">
        <v>4127.2914252267083</v>
      </c>
      <c r="M42" s="101">
        <v>4187.7036480021552</v>
      </c>
      <c r="N42" s="101">
        <v>3989.3218323075212</v>
      </c>
      <c r="O42" s="101">
        <v>3964.8941955325104</v>
      </c>
      <c r="P42" s="101">
        <v>4010.0613648889002</v>
      </c>
      <c r="Q42" s="101">
        <v>4085.2153088951645</v>
      </c>
      <c r="R42" s="101">
        <v>4094.2932888765804</v>
      </c>
      <c r="S42" s="101">
        <v>4081.2175604494478</v>
      </c>
      <c r="T42" s="101">
        <v>3857.8415002727525</v>
      </c>
      <c r="U42" s="101">
        <v>4108.0255944076998</v>
      </c>
      <c r="V42" s="101">
        <v>4077.8184811706433</v>
      </c>
      <c r="W42" s="101">
        <v>4051.6075327242324</v>
      </c>
      <c r="X42" s="101">
        <v>4055.3851914007028</v>
      </c>
      <c r="Y42" s="101">
        <v>4004.5822996124552</v>
      </c>
      <c r="DA42" s="175" t="s">
        <v>486</v>
      </c>
    </row>
    <row r="43" spans="1:105" ht="11.45" customHeight="1" x14ac:dyDescent="0.25">
      <c r="A43" s="111" t="s">
        <v>112</v>
      </c>
      <c r="B43" s="101">
        <v>1.9838832747746775</v>
      </c>
      <c r="C43" s="101">
        <v>2.241357994323951</v>
      </c>
      <c r="D43" s="101">
        <v>2.1210874686656469</v>
      </c>
      <c r="E43" s="101">
        <v>2.4829791376868462</v>
      </c>
      <c r="F43" s="101">
        <v>3.9152994040208484</v>
      </c>
      <c r="G43" s="101">
        <v>5.6797006534867744</v>
      </c>
      <c r="H43" s="101">
        <v>6.4036583644765965</v>
      </c>
      <c r="I43" s="101">
        <v>7.6497060880184184</v>
      </c>
      <c r="J43" s="101">
        <v>9.1387195358893152</v>
      </c>
      <c r="K43" s="101">
        <v>12.562300298072669</v>
      </c>
      <c r="L43" s="101">
        <v>12.914636068198883</v>
      </c>
      <c r="M43" s="101">
        <v>12.542795321290985</v>
      </c>
      <c r="N43" s="101">
        <v>11.738297385976983</v>
      </c>
      <c r="O43" s="101">
        <v>11.399185530798153</v>
      </c>
      <c r="P43" s="101">
        <v>10.964996494208373</v>
      </c>
      <c r="Q43" s="101">
        <v>11.033347835690327</v>
      </c>
      <c r="R43" s="101">
        <v>10.341616731830321</v>
      </c>
      <c r="S43" s="101">
        <v>9.7262795419686547</v>
      </c>
      <c r="T43" s="101">
        <v>9.1186465295299559</v>
      </c>
      <c r="U43" s="101">
        <v>9.0205115103270845</v>
      </c>
      <c r="V43" s="101">
        <v>8.9897950578604355</v>
      </c>
      <c r="W43" s="101">
        <v>8.203981357368777</v>
      </c>
      <c r="X43" s="101">
        <v>6.9202358704923093</v>
      </c>
      <c r="Y43" s="101">
        <v>5.6989369219089427</v>
      </c>
      <c r="DA43" s="175" t="s">
        <v>487</v>
      </c>
    </row>
    <row r="44" spans="1:105" ht="11.45" customHeight="1" x14ac:dyDescent="0.25">
      <c r="A44" s="111" t="s">
        <v>113</v>
      </c>
      <c r="B44" s="101">
        <v>37.98275867760578</v>
      </c>
      <c r="C44" s="101">
        <v>35.938095741735928</v>
      </c>
      <c r="D44" s="101">
        <v>30.494558959399019</v>
      </c>
      <c r="E44" s="101">
        <v>48.626098473789924</v>
      </c>
      <c r="F44" s="101">
        <v>49.106534791354321</v>
      </c>
      <c r="G44" s="101">
        <v>76.340805186131774</v>
      </c>
      <c r="H44" s="101">
        <v>119.29887921700568</v>
      </c>
      <c r="I44" s="101">
        <v>138.19831111173409</v>
      </c>
      <c r="J44" s="101">
        <v>147.53260808725472</v>
      </c>
      <c r="K44" s="101">
        <v>169.91782318140628</v>
      </c>
      <c r="L44" s="101">
        <v>180.9951608583099</v>
      </c>
      <c r="M44" s="101">
        <v>212.78864381476404</v>
      </c>
      <c r="N44" s="101">
        <v>218.25845626891763</v>
      </c>
      <c r="O44" s="101">
        <v>226.26258116577469</v>
      </c>
      <c r="P44" s="101">
        <v>219.71054071010224</v>
      </c>
      <c r="Q44" s="101">
        <v>192.45007708435637</v>
      </c>
      <c r="R44" s="101">
        <v>175.84744043079274</v>
      </c>
      <c r="S44" s="101">
        <v>204.57589663372798</v>
      </c>
      <c r="T44" s="101">
        <v>442.45957874657461</v>
      </c>
      <c r="U44" s="101">
        <v>241.80071723030966</v>
      </c>
      <c r="V44" s="101">
        <v>245.20680326511129</v>
      </c>
      <c r="W44" s="101">
        <v>277.27820003789776</v>
      </c>
      <c r="X44" s="101">
        <v>275.21110519280205</v>
      </c>
      <c r="Y44" s="101">
        <v>304.35973030182078</v>
      </c>
      <c r="DA44" s="175" t="s">
        <v>488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22.523561178619076</v>
      </c>
      <c r="P45" s="101">
        <v>22.493981573049538</v>
      </c>
      <c r="Q45" s="101">
        <v>22.555240351049125</v>
      </c>
      <c r="R45" s="101">
        <v>22.692039491118514</v>
      </c>
      <c r="S45" s="101">
        <v>23.5484422457444</v>
      </c>
      <c r="T45" s="101">
        <v>22.171969428740653</v>
      </c>
      <c r="U45" s="101">
        <v>24.484108277944237</v>
      </c>
      <c r="V45" s="101">
        <v>26.653208555804074</v>
      </c>
      <c r="W45" s="101">
        <v>33.916837729452396</v>
      </c>
      <c r="X45" s="101">
        <v>38.206765989662337</v>
      </c>
      <c r="Y45" s="101">
        <v>58.81116428797467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70399.81835616591</v>
      </c>
      <c r="C46" s="29">
        <f t="shared" ref="C46:V46" si="110">C47+C53</f>
        <v>67043.627193465582</v>
      </c>
      <c r="D46" s="29">
        <f t="shared" si="110"/>
        <v>69682.774394233435</v>
      </c>
      <c r="E46" s="29">
        <f t="shared" si="110"/>
        <v>75139.072501692106</v>
      </c>
      <c r="F46" s="29">
        <f t="shared" si="110"/>
        <v>82424.455275383239</v>
      </c>
      <c r="G46" s="29">
        <f t="shared" si="110"/>
        <v>90409.353895775566</v>
      </c>
      <c r="H46" s="29">
        <f t="shared" si="110"/>
        <v>80308.536971835085</v>
      </c>
      <c r="I46" s="29">
        <f t="shared" si="110"/>
        <v>86187.540672553514</v>
      </c>
      <c r="J46" s="29">
        <f t="shared" si="110"/>
        <v>85668.449360128609</v>
      </c>
      <c r="K46" s="29">
        <f t="shared" si="110"/>
        <v>84746.820126168852</v>
      </c>
      <c r="L46" s="29">
        <f t="shared" si="110"/>
        <v>91678.200088638929</v>
      </c>
      <c r="M46" s="29">
        <f t="shared" si="110"/>
        <v>93125.024252424511</v>
      </c>
      <c r="N46" s="29">
        <f t="shared" si="110"/>
        <v>82549.643458977444</v>
      </c>
      <c r="O46" s="29">
        <f t="shared" si="110"/>
        <v>74591.979404976271</v>
      </c>
      <c r="P46" s="29">
        <f t="shared" si="110"/>
        <v>76855.680111052163</v>
      </c>
      <c r="Q46" s="29">
        <f t="shared" si="110"/>
        <v>64149.345772864661</v>
      </c>
      <c r="R46" s="29">
        <f t="shared" si="110"/>
        <v>60776.21877344526</v>
      </c>
      <c r="S46" s="29">
        <f t="shared" si="110"/>
        <v>62475.87532282334</v>
      </c>
      <c r="T46" s="29">
        <f t="shared" si="110"/>
        <v>64672.366980146231</v>
      </c>
      <c r="U46" s="29">
        <f t="shared" si="110"/>
        <v>66428.857271867106</v>
      </c>
      <c r="V46" s="29">
        <f t="shared" si="110"/>
        <v>64556.06371724276</v>
      </c>
      <c r="W46" s="29">
        <f t="shared" ref="W46:Y46" si="111">W47+W53</f>
        <v>76539.935524463435</v>
      </c>
      <c r="X46" s="29">
        <f t="shared" si="111"/>
        <v>69341.026597936972</v>
      </c>
      <c r="Y46" s="29">
        <f t="shared" si="111"/>
        <v>64268.326241987335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58874.102541279033</v>
      </c>
      <c r="C47" s="152">
        <f t="shared" ref="C47:V47" si="113">SUM(C48:C52)</f>
        <v>55759.827468985743</v>
      </c>
      <c r="D47" s="152">
        <f t="shared" si="113"/>
        <v>58332.55883360302</v>
      </c>
      <c r="E47" s="152">
        <f t="shared" si="113"/>
        <v>64031.151411337225</v>
      </c>
      <c r="F47" s="152">
        <f t="shared" si="113"/>
        <v>69275.049798222026</v>
      </c>
      <c r="G47" s="152">
        <f t="shared" si="113"/>
        <v>76850.402365247559</v>
      </c>
      <c r="H47" s="152">
        <f t="shared" si="113"/>
        <v>68358.443841219079</v>
      </c>
      <c r="I47" s="152">
        <f t="shared" si="113"/>
        <v>74029.067952658923</v>
      </c>
      <c r="J47" s="152">
        <f t="shared" si="113"/>
        <v>73690.341397983575</v>
      </c>
      <c r="K47" s="152">
        <f t="shared" si="113"/>
        <v>73158.616052548809</v>
      </c>
      <c r="L47" s="152">
        <f t="shared" si="113"/>
        <v>79702.930519444577</v>
      </c>
      <c r="M47" s="152">
        <f t="shared" si="113"/>
        <v>82913.84578184897</v>
      </c>
      <c r="N47" s="152">
        <f t="shared" si="113"/>
        <v>73373.953823205142</v>
      </c>
      <c r="O47" s="152">
        <f t="shared" si="113"/>
        <v>65146.999224126026</v>
      </c>
      <c r="P47" s="152">
        <f t="shared" si="113"/>
        <v>67830.954919499782</v>
      </c>
      <c r="Q47" s="152">
        <f t="shared" si="113"/>
        <v>55202.903612823888</v>
      </c>
      <c r="R47" s="152">
        <f t="shared" si="113"/>
        <v>51826.678624601584</v>
      </c>
      <c r="S47" s="152">
        <f t="shared" si="113"/>
        <v>53017.916049579741</v>
      </c>
      <c r="T47" s="152">
        <f t="shared" si="113"/>
        <v>55144.896781352661</v>
      </c>
      <c r="U47" s="152">
        <f t="shared" si="113"/>
        <v>56398.857976645624</v>
      </c>
      <c r="V47" s="152">
        <f t="shared" si="113"/>
        <v>54866.863535460951</v>
      </c>
      <c r="W47" s="152">
        <f t="shared" ref="W47:Y47" si="114">SUM(W48:W52)</f>
        <v>65986.985007775089</v>
      </c>
      <c r="X47" s="152">
        <f t="shared" si="114"/>
        <v>58368.537815846794</v>
      </c>
      <c r="Y47" s="152">
        <f t="shared" si="114"/>
        <v>53407.450547887653</v>
      </c>
      <c r="DA47" s="174" t="s">
        <v>491</v>
      </c>
    </row>
    <row r="48" spans="1:105" ht="11.45" customHeight="1" x14ac:dyDescent="0.25">
      <c r="A48" s="111" t="s">
        <v>110</v>
      </c>
      <c r="B48" s="87">
        <v>2660.5906235581415</v>
      </c>
      <c r="C48" s="87">
        <v>2770.489236763482</v>
      </c>
      <c r="D48" s="87">
        <v>2927.4883773943488</v>
      </c>
      <c r="E48" s="87">
        <v>3039.089583790209</v>
      </c>
      <c r="F48" s="87">
        <v>3033.1976206832392</v>
      </c>
      <c r="G48" s="87">
        <v>3115.2917240086099</v>
      </c>
      <c r="H48" s="87">
        <v>3127.6572285066682</v>
      </c>
      <c r="I48" s="87">
        <v>2748.856001341373</v>
      </c>
      <c r="J48" s="87">
        <v>2654.2356994327688</v>
      </c>
      <c r="K48" s="87">
        <v>2519.8459353119706</v>
      </c>
      <c r="L48" s="87">
        <v>2437.4461391338441</v>
      </c>
      <c r="M48" s="87">
        <v>2484.0740987509753</v>
      </c>
      <c r="N48" s="87">
        <v>2260.1078574613366</v>
      </c>
      <c r="O48" s="87">
        <v>2177.5202073830974</v>
      </c>
      <c r="P48" s="87">
        <v>2125.4267265564781</v>
      </c>
      <c r="Q48" s="87">
        <v>1997.6551805111021</v>
      </c>
      <c r="R48" s="87">
        <v>1930.9658964681598</v>
      </c>
      <c r="S48" s="87">
        <v>1848.2765136822445</v>
      </c>
      <c r="T48" s="87">
        <v>1813.4253916516157</v>
      </c>
      <c r="U48" s="87">
        <v>1837.6487722619449</v>
      </c>
      <c r="V48" s="87">
        <v>1865.4657214914914</v>
      </c>
      <c r="W48" s="87">
        <v>1929.3447843064969</v>
      </c>
      <c r="X48" s="87">
        <v>2097.9030643101451</v>
      </c>
      <c r="Y48" s="87">
        <v>2234.8784746906103</v>
      </c>
      <c r="DA48" s="171" t="s">
        <v>492</v>
      </c>
    </row>
    <row r="49" spans="1:105" ht="11.45" customHeight="1" x14ac:dyDescent="0.25">
      <c r="A49" s="111" t="s">
        <v>111</v>
      </c>
      <c r="B49" s="87">
        <v>56035.337814083454</v>
      </c>
      <c r="C49" s="87">
        <v>52780.549016632387</v>
      </c>
      <c r="D49" s="87">
        <v>55156.695701312965</v>
      </c>
      <c r="E49" s="87">
        <v>60701.6851877761</v>
      </c>
      <c r="F49" s="87">
        <v>65915.33666532152</v>
      </c>
      <c r="G49" s="87">
        <v>73357.170118992028</v>
      </c>
      <c r="H49" s="87">
        <v>64812.767819565328</v>
      </c>
      <c r="I49" s="87">
        <v>70863.162138092492</v>
      </c>
      <c r="J49" s="87">
        <v>70486.635976654681</v>
      </c>
      <c r="K49" s="87">
        <v>69872.879123673149</v>
      </c>
      <c r="L49" s="87">
        <v>76116.495431480929</v>
      </c>
      <c r="M49" s="87">
        <v>79244.51127231447</v>
      </c>
      <c r="N49" s="87">
        <v>69616.673428128575</v>
      </c>
      <c r="O49" s="87">
        <v>61450.723770577861</v>
      </c>
      <c r="P49" s="87">
        <v>64096.902146081433</v>
      </c>
      <c r="Q49" s="87">
        <v>51610.956431522267</v>
      </c>
      <c r="R49" s="87">
        <v>48257.751976080901</v>
      </c>
      <c r="S49" s="87">
        <v>49530.83307383232</v>
      </c>
      <c r="T49" s="87">
        <v>51653.577699713955</v>
      </c>
      <c r="U49" s="87">
        <v>52788.843650400035</v>
      </c>
      <c r="V49" s="87">
        <v>51207.643833118673</v>
      </c>
      <c r="W49" s="87">
        <v>62125.710527497737</v>
      </c>
      <c r="X49" s="87">
        <v>54494.126195712677</v>
      </c>
      <c r="Y49" s="87">
        <v>49305.946710511053</v>
      </c>
      <c r="DA49" s="171" t="s">
        <v>493</v>
      </c>
    </row>
    <row r="50" spans="1:105" ht="11.45" customHeight="1" x14ac:dyDescent="0.25">
      <c r="A50" s="111" t="s">
        <v>112</v>
      </c>
      <c r="B50" s="87">
        <v>78.361432823667926</v>
      </c>
      <c r="C50" s="87">
        <v>89.808652902213097</v>
      </c>
      <c r="D50" s="87">
        <v>104.45329127877329</v>
      </c>
      <c r="E50" s="87">
        <v>119.35456086964149</v>
      </c>
      <c r="F50" s="87">
        <v>131.11965374852309</v>
      </c>
      <c r="G50" s="87">
        <v>148.2171802136663</v>
      </c>
      <c r="H50" s="87">
        <v>158.39221578195745</v>
      </c>
      <c r="I50" s="87">
        <v>154.70281450388512</v>
      </c>
      <c r="J50" s="87">
        <v>185.29178674245043</v>
      </c>
      <c r="K50" s="87">
        <v>244.81569261532792</v>
      </c>
      <c r="L50" s="87">
        <v>315.85500279603616</v>
      </c>
      <c r="M50" s="87">
        <v>350.91612350012934</v>
      </c>
      <c r="N50" s="87">
        <v>386.28998460238898</v>
      </c>
      <c r="O50" s="87">
        <v>397.3898412639723</v>
      </c>
      <c r="P50" s="87">
        <v>426.75721530282675</v>
      </c>
      <c r="Q50" s="87">
        <v>419.44535565871752</v>
      </c>
      <c r="R50" s="87">
        <v>408.16952706709662</v>
      </c>
      <c r="S50" s="87">
        <v>418.33862043052517</v>
      </c>
      <c r="T50" s="87">
        <v>415.29440887860704</v>
      </c>
      <c r="U50" s="87">
        <v>445.15782443364782</v>
      </c>
      <c r="V50" s="87">
        <v>450.77030313252828</v>
      </c>
      <c r="W50" s="87">
        <v>520.67110467100247</v>
      </c>
      <c r="X50" s="87">
        <v>421.48462168520939</v>
      </c>
      <c r="Y50" s="87">
        <v>431.3185002115921</v>
      </c>
      <c r="DA50" s="171" t="s">
        <v>494</v>
      </c>
    </row>
    <row r="51" spans="1:105" ht="11.45" customHeight="1" x14ac:dyDescent="0.25">
      <c r="A51" s="111" t="s">
        <v>113</v>
      </c>
      <c r="B51" s="87">
        <v>99.812670813769088</v>
      </c>
      <c r="C51" s="87">
        <v>118.98056268766129</v>
      </c>
      <c r="D51" s="87">
        <v>143.92146361692366</v>
      </c>
      <c r="E51" s="87">
        <v>171.02207890127681</v>
      </c>
      <c r="F51" s="87">
        <v>195.39585846875494</v>
      </c>
      <c r="G51" s="87">
        <v>229.72334203325457</v>
      </c>
      <c r="H51" s="87">
        <v>259.62657736512972</v>
      </c>
      <c r="I51" s="87">
        <v>262.3469987211796</v>
      </c>
      <c r="J51" s="87">
        <v>364.17793515366333</v>
      </c>
      <c r="K51" s="87">
        <v>521.07530094836488</v>
      </c>
      <c r="L51" s="87">
        <v>833.13394603377355</v>
      </c>
      <c r="M51" s="87">
        <v>834.32473953458759</v>
      </c>
      <c r="N51" s="87">
        <v>1106.9972209297462</v>
      </c>
      <c r="O51" s="87">
        <v>1119.5050576245978</v>
      </c>
      <c r="P51" s="87">
        <v>1178.6875775057497</v>
      </c>
      <c r="Q51" s="87">
        <v>1164.9756684997851</v>
      </c>
      <c r="R51" s="87">
        <v>1211.9383280931006</v>
      </c>
      <c r="S51" s="87">
        <v>1199.3372985176165</v>
      </c>
      <c r="T51" s="87">
        <v>1232.573930336654</v>
      </c>
      <c r="U51" s="87">
        <v>1272.6804029071309</v>
      </c>
      <c r="V51" s="87">
        <v>1279.8489080155757</v>
      </c>
      <c r="W51" s="87">
        <v>1313.7022172677066</v>
      </c>
      <c r="X51" s="87">
        <v>1221.9737002592378</v>
      </c>
      <c r="Y51" s="87">
        <v>1234.5428000249453</v>
      </c>
      <c r="DA51" s="171" t="s">
        <v>495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1.9547748813599945E-2</v>
      </c>
      <c r="N52" s="87">
        <v>3.8853320831029019</v>
      </c>
      <c r="O52" s="87">
        <v>1.8603472764983109</v>
      </c>
      <c r="P52" s="87">
        <v>3.1812540532906746</v>
      </c>
      <c r="Q52" s="87">
        <v>9.8709766320196817</v>
      </c>
      <c r="R52" s="87">
        <v>17.852896892325937</v>
      </c>
      <c r="S52" s="87">
        <v>21.130543117031937</v>
      </c>
      <c r="T52" s="87">
        <v>30.025350771825892</v>
      </c>
      <c r="U52" s="87">
        <v>54.527326642871309</v>
      </c>
      <c r="V52" s="87">
        <v>63.134769702677154</v>
      </c>
      <c r="W52" s="87">
        <v>97.556374032145271</v>
      </c>
      <c r="X52" s="87">
        <v>133.05023387952818</v>
      </c>
      <c r="Y52" s="87">
        <v>200.7640624494496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11525.715814886877</v>
      </c>
      <c r="C53" s="116">
        <f t="shared" ref="C53:V53" si="116">SUM(C54:C55)</f>
        <v>11283.799724479835</v>
      </c>
      <c r="D53" s="116">
        <f t="shared" si="116"/>
        <v>11350.215560630419</v>
      </c>
      <c r="E53" s="116">
        <f t="shared" si="116"/>
        <v>11107.921090354881</v>
      </c>
      <c r="F53" s="116">
        <f t="shared" si="116"/>
        <v>13149.405477161217</v>
      </c>
      <c r="G53" s="116">
        <f t="shared" si="116"/>
        <v>13558.951530528</v>
      </c>
      <c r="H53" s="116">
        <f t="shared" si="116"/>
        <v>11950.093130616</v>
      </c>
      <c r="I53" s="116">
        <f t="shared" si="116"/>
        <v>12158.472719894589</v>
      </c>
      <c r="J53" s="116">
        <f t="shared" si="116"/>
        <v>11978.107962145026</v>
      </c>
      <c r="K53" s="116">
        <f t="shared" si="116"/>
        <v>11588.204073620042</v>
      </c>
      <c r="L53" s="116">
        <f t="shared" si="116"/>
        <v>11975.269569194348</v>
      </c>
      <c r="M53" s="116">
        <f t="shared" si="116"/>
        <v>10211.178470575542</v>
      </c>
      <c r="N53" s="116">
        <f t="shared" si="116"/>
        <v>9175.6896357722999</v>
      </c>
      <c r="O53" s="116">
        <f t="shared" si="116"/>
        <v>9444.9801808502452</v>
      </c>
      <c r="P53" s="116">
        <f t="shared" si="116"/>
        <v>9024.7251915523848</v>
      </c>
      <c r="Q53" s="116">
        <f t="shared" si="116"/>
        <v>8946.442160040775</v>
      </c>
      <c r="R53" s="116">
        <f t="shared" si="116"/>
        <v>8949.5401488436764</v>
      </c>
      <c r="S53" s="116">
        <f t="shared" si="116"/>
        <v>9457.9592732436031</v>
      </c>
      <c r="T53" s="116">
        <f t="shared" si="116"/>
        <v>9527.4701987935696</v>
      </c>
      <c r="U53" s="116">
        <f t="shared" si="116"/>
        <v>10029.999295221487</v>
      </c>
      <c r="V53" s="116">
        <f t="shared" si="116"/>
        <v>9689.2001817818091</v>
      </c>
      <c r="W53" s="116">
        <f t="shared" ref="W53:Y53" si="117">SUM(W54:W55)</f>
        <v>10552.950516688346</v>
      </c>
      <c r="X53" s="116">
        <f t="shared" si="117"/>
        <v>10972.48878209018</v>
      </c>
      <c r="Y53" s="116">
        <f t="shared" si="117"/>
        <v>10860.875694099683</v>
      </c>
      <c r="DA53" s="176" t="s">
        <v>497</v>
      </c>
    </row>
    <row r="54" spans="1:105" ht="11.45" customHeight="1" x14ac:dyDescent="0.25">
      <c r="A54" s="128" t="s">
        <v>27</v>
      </c>
      <c r="B54" s="101">
        <v>9886</v>
      </c>
      <c r="C54" s="101">
        <v>9526</v>
      </c>
      <c r="D54" s="101">
        <v>9501</v>
      </c>
      <c r="E54" s="101">
        <v>9218</v>
      </c>
      <c r="F54" s="101">
        <v>10915</v>
      </c>
      <c r="G54" s="101">
        <v>11247</v>
      </c>
      <c r="H54" s="101">
        <v>9491</v>
      </c>
      <c r="I54" s="101">
        <v>9722</v>
      </c>
      <c r="J54" s="101">
        <v>9414</v>
      </c>
      <c r="K54" s="101">
        <v>9344</v>
      </c>
      <c r="L54" s="101">
        <v>9552</v>
      </c>
      <c r="M54" s="101">
        <v>8114</v>
      </c>
      <c r="N54" s="101">
        <v>7211</v>
      </c>
      <c r="O54" s="101">
        <v>7331</v>
      </c>
      <c r="P54" s="101">
        <v>6855</v>
      </c>
      <c r="Q54" s="101">
        <v>6814</v>
      </c>
      <c r="R54" s="101">
        <v>6695</v>
      </c>
      <c r="S54" s="101">
        <v>6934</v>
      </c>
      <c r="T54" s="101">
        <v>7087</v>
      </c>
      <c r="U54" s="101">
        <v>7483</v>
      </c>
      <c r="V54" s="101">
        <v>7185</v>
      </c>
      <c r="W54" s="101">
        <v>7752</v>
      </c>
      <c r="X54" s="101">
        <v>8103</v>
      </c>
      <c r="Y54" s="101">
        <v>8161</v>
      </c>
      <c r="DA54" s="175" t="s">
        <v>498</v>
      </c>
    </row>
    <row r="55" spans="1:105" ht="11.45" customHeight="1" x14ac:dyDescent="0.25">
      <c r="A55" s="138" t="s">
        <v>116</v>
      </c>
      <c r="B55" s="88">
        <v>1639.7158148868766</v>
      </c>
      <c r="C55" s="88">
        <v>1757.7997244798362</v>
      </c>
      <c r="D55" s="88">
        <v>1849.2155606304193</v>
      </c>
      <c r="E55" s="88">
        <v>1889.9210903548815</v>
      </c>
      <c r="F55" s="88">
        <v>2234.4054771612173</v>
      </c>
      <c r="G55" s="88">
        <v>2311.9515305280011</v>
      </c>
      <c r="H55" s="88">
        <v>2459.0931306160005</v>
      </c>
      <c r="I55" s="88">
        <v>2436.4727198945898</v>
      </c>
      <c r="J55" s="88">
        <v>2564.1079621450272</v>
      </c>
      <c r="K55" s="88">
        <v>2244.2040736200411</v>
      </c>
      <c r="L55" s="88">
        <v>2423.2695691943491</v>
      </c>
      <c r="M55" s="88">
        <v>2097.1784705755413</v>
      </c>
      <c r="N55" s="88">
        <v>1964.6896357723006</v>
      </c>
      <c r="O55" s="88">
        <v>2113.9801808502461</v>
      </c>
      <c r="P55" s="88">
        <v>2169.7251915523843</v>
      </c>
      <c r="Q55" s="88">
        <v>2132.4421600407745</v>
      </c>
      <c r="R55" s="88">
        <v>2254.5401488436773</v>
      </c>
      <c r="S55" s="88">
        <v>2523.959273243604</v>
      </c>
      <c r="T55" s="88">
        <v>2440.4701987935696</v>
      </c>
      <c r="U55" s="88">
        <v>2546.9992952214866</v>
      </c>
      <c r="V55" s="88">
        <v>2504.2001817818095</v>
      </c>
      <c r="W55" s="88">
        <v>2800.9505166883469</v>
      </c>
      <c r="X55" s="88">
        <v>2869.4887820901804</v>
      </c>
      <c r="Y55" s="88">
        <v>2699.8756940996836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45373265</v>
      </c>
      <c r="C57" s="54">
        <f t="shared" si="118"/>
        <v>46377058</v>
      </c>
      <c r="D57" s="54">
        <f t="shared" si="118"/>
        <v>47489614</v>
      </c>
      <c r="E57" s="54">
        <f t="shared" si="118"/>
        <v>48545400</v>
      </c>
      <c r="F57" s="54">
        <f t="shared" si="118"/>
        <v>48367461</v>
      </c>
      <c r="G57" s="54">
        <f t="shared" si="118"/>
        <v>49268882</v>
      </c>
      <c r="H57" s="54">
        <f t="shared" si="118"/>
        <v>49994858</v>
      </c>
      <c r="I57" s="54">
        <f t="shared" si="118"/>
        <v>50366689</v>
      </c>
      <c r="J57" s="54">
        <f t="shared" si="118"/>
        <v>50703654</v>
      </c>
      <c r="K57" s="54">
        <f t="shared" si="118"/>
        <v>50830357</v>
      </c>
      <c r="L57" s="54">
        <f t="shared" ref="L57" si="119">L58+L73</f>
        <v>52163278</v>
      </c>
      <c r="M57" s="54">
        <f t="shared" ref="M57:V57" si="120">M58+M73</f>
        <v>52350573</v>
      </c>
      <c r="N57" s="54">
        <f t="shared" si="120"/>
        <v>51935482</v>
      </c>
      <c r="O57" s="54">
        <f t="shared" si="120"/>
        <v>52021766</v>
      </c>
      <c r="P57" s="54">
        <f t="shared" si="120"/>
        <v>52417177</v>
      </c>
      <c r="Q57" s="54">
        <f t="shared" si="120"/>
        <v>52989589</v>
      </c>
      <c r="R57" s="54">
        <f t="shared" si="120"/>
        <v>53496612</v>
      </c>
      <c r="S57" s="54">
        <f t="shared" si="120"/>
        <v>53833841</v>
      </c>
      <c r="T57" s="54">
        <f t="shared" si="120"/>
        <v>54004255</v>
      </c>
      <c r="U57" s="54">
        <f t="shared" si="120"/>
        <v>54752283</v>
      </c>
      <c r="V57" s="54">
        <f t="shared" si="120"/>
        <v>55087095</v>
      </c>
      <c r="W57" s="54">
        <f t="shared" ref="W57:Y57" si="121">W58+W73</f>
        <v>55356565</v>
      </c>
      <c r="X57" s="54">
        <f t="shared" si="121"/>
        <v>55771435</v>
      </c>
      <c r="Y57" s="54">
        <f t="shared" si="121"/>
        <v>56807648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41815984</v>
      </c>
      <c r="C58" s="28">
        <f t="shared" si="122"/>
        <v>42652365</v>
      </c>
      <c r="D58" s="28">
        <f t="shared" si="122"/>
        <v>43538591</v>
      </c>
      <c r="E58" s="28">
        <f t="shared" si="122"/>
        <v>44409470</v>
      </c>
      <c r="F58" s="28">
        <f t="shared" si="122"/>
        <v>44171891</v>
      </c>
      <c r="G58" s="28">
        <f t="shared" si="122"/>
        <v>44911427</v>
      </c>
      <c r="H58" s="28">
        <f t="shared" si="122"/>
        <v>45479444</v>
      </c>
      <c r="I58" s="28">
        <f t="shared" si="122"/>
        <v>45753899</v>
      </c>
      <c r="J58" s="28">
        <f t="shared" si="122"/>
        <v>46004010</v>
      </c>
      <c r="K58" s="28">
        <f t="shared" si="122"/>
        <v>46093707</v>
      </c>
      <c r="L58" s="28">
        <f t="shared" ref="L58" si="123">L59+L60+L67</f>
        <v>47384206</v>
      </c>
      <c r="M58" s="28">
        <f t="shared" ref="M58:V58" si="124">M59+M60+M67</f>
        <v>47526568</v>
      </c>
      <c r="N58" s="28">
        <f t="shared" si="124"/>
        <v>47117142</v>
      </c>
      <c r="O58" s="28">
        <f t="shared" si="124"/>
        <v>47244475</v>
      </c>
      <c r="P58" s="28">
        <f t="shared" si="124"/>
        <v>47637942</v>
      </c>
      <c r="Q58" s="28">
        <f t="shared" si="124"/>
        <v>48176183</v>
      </c>
      <c r="R58" s="28">
        <f t="shared" si="124"/>
        <v>48666574</v>
      </c>
      <c r="S58" s="28">
        <f t="shared" si="124"/>
        <v>48968923</v>
      </c>
      <c r="T58" s="28">
        <f t="shared" si="124"/>
        <v>49081816</v>
      </c>
      <c r="U58" s="28">
        <f t="shared" si="124"/>
        <v>49775775</v>
      </c>
      <c r="V58" s="28">
        <f t="shared" si="124"/>
        <v>50057520</v>
      </c>
      <c r="W58" s="28">
        <f t="shared" ref="W58:Y58" si="125">W59+W60+W67</f>
        <v>50261073</v>
      </c>
      <c r="X58" s="28">
        <f t="shared" si="125"/>
        <v>50606615</v>
      </c>
      <c r="Y58" s="28">
        <f t="shared" si="125"/>
        <v>51520155</v>
      </c>
      <c r="DA58" s="173" t="s">
        <v>501</v>
      </c>
    </row>
    <row r="59" spans="1:105" ht="11.45" customHeight="1" x14ac:dyDescent="0.25">
      <c r="A59" s="136" t="s">
        <v>173</v>
      </c>
      <c r="B59" s="137">
        <v>8942816</v>
      </c>
      <c r="C59" s="137">
        <v>9323507</v>
      </c>
      <c r="D59" s="137">
        <v>9740875</v>
      </c>
      <c r="E59" s="137">
        <v>10006769</v>
      </c>
      <c r="F59" s="137">
        <v>10106017</v>
      </c>
      <c r="G59" s="137">
        <v>10149990</v>
      </c>
      <c r="H59" s="137">
        <v>10086345</v>
      </c>
      <c r="I59" s="137">
        <v>9977480</v>
      </c>
      <c r="J59" s="137">
        <v>9801413</v>
      </c>
      <c r="K59" s="137">
        <v>9624183</v>
      </c>
      <c r="L59" s="137">
        <v>9758349</v>
      </c>
      <c r="M59" s="137">
        <v>9684151</v>
      </c>
      <c r="N59" s="137">
        <v>9093076</v>
      </c>
      <c r="O59" s="137">
        <v>9266569</v>
      </c>
      <c r="P59" s="137">
        <v>9423418</v>
      </c>
      <c r="Q59" s="137">
        <v>9578483</v>
      </c>
      <c r="R59" s="137">
        <v>9696587</v>
      </c>
      <c r="S59" s="137">
        <v>9831254</v>
      </c>
      <c r="T59" s="137">
        <v>9967662</v>
      </c>
      <c r="U59" s="137">
        <v>10134457</v>
      </c>
      <c r="V59" s="137">
        <v>10243815</v>
      </c>
      <c r="W59" s="137">
        <v>10342216</v>
      </c>
      <c r="X59" s="137">
        <v>10297597</v>
      </c>
      <c r="Y59" s="137">
        <v>10508908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32785000</v>
      </c>
      <c r="C60" s="110">
        <f t="shared" si="126"/>
        <v>33239000</v>
      </c>
      <c r="D60" s="110">
        <f t="shared" si="126"/>
        <v>33706000</v>
      </c>
      <c r="E60" s="110">
        <f t="shared" si="126"/>
        <v>34310000</v>
      </c>
      <c r="F60" s="110">
        <f t="shared" si="126"/>
        <v>33973000</v>
      </c>
      <c r="G60" s="110">
        <f t="shared" si="126"/>
        <v>34667000</v>
      </c>
      <c r="H60" s="110">
        <f t="shared" si="126"/>
        <v>35297000</v>
      </c>
      <c r="I60" s="110">
        <f t="shared" si="126"/>
        <v>35680000</v>
      </c>
      <c r="J60" s="110">
        <f t="shared" si="126"/>
        <v>36105000</v>
      </c>
      <c r="K60" s="110">
        <f t="shared" si="126"/>
        <v>36372000</v>
      </c>
      <c r="L60" s="110">
        <f t="shared" ref="L60" si="127">SUM(L61:L66)</f>
        <v>37528616</v>
      </c>
      <c r="M60" s="110">
        <f t="shared" ref="M60:V60" si="128">SUM(M61:M66)</f>
        <v>37743940</v>
      </c>
      <c r="N60" s="110">
        <f t="shared" si="128"/>
        <v>37927910</v>
      </c>
      <c r="O60" s="110">
        <f t="shared" si="128"/>
        <v>37883046</v>
      </c>
      <c r="P60" s="110">
        <f t="shared" si="128"/>
        <v>38120255</v>
      </c>
      <c r="Q60" s="110">
        <f t="shared" si="128"/>
        <v>38503684</v>
      </c>
      <c r="R60" s="110">
        <f t="shared" si="128"/>
        <v>38876138</v>
      </c>
      <c r="S60" s="110">
        <f t="shared" si="128"/>
        <v>39042589</v>
      </c>
      <c r="T60" s="110">
        <f t="shared" si="128"/>
        <v>39018170</v>
      </c>
      <c r="U60" s="110">
        <f t="shared" si="128"/>
        <v>39545232</v>
      </c>
      <c r="V60" s="110">
        <f t="shared" si="128"/>
        <v>39717874</v>
      </c>
      <c r="W60" s="110">
        <f t="shared" ref="W60:Y60" si="129">SUM(W61:W66)</f>
        <v>39822723</v>
      </c>
      <c r="X60" s="110">
        <f t="shared" si="129"/>
        <v>40213061</v>
      </c>
      <c r="Y60" s="110">
        <f t="shared" si="129"/>
        <v>40915229</v>
      </c>
      <c r="DA60" s="176" t="s">
        <v>503</v>
      </c>
    </row>
    <row r="61" spans="1:105" ht="11.45" customHeight="1" x14ac:dyDescent="0.25">
      <c r="A61" s="111" t="s">
        <v>110</v>
      </c>
      <c r="B61" s="84">
        <v>26204297</v>
      </c>
      <c r="C61" s="84">
        <v>25904935</v>
      </c>
      <c r="D61" s="84">
        <v>25606831</v>
      </c>
      <c r="E61" s="84">
        <v>25216710</v>
      </c>
      <c r="F61" s="84">
        <v>23812322</v>
      </c>
      <c r="G61" s="84">
        <v>23180516</v>
      </c>
      <c r="H61" s="84">
        <v>22568800</v>
      </c>
      <c r="I61" s="84">
        <v>21875940</v>
      </c>
      <c r="J61" s="84">
        <v>21528895</v>
      </c>
      <c r="K61" s="84">
        <v>20922591</v>
      </c>
      <c r="L61" s="84">
        <v>20916824</v>
      </c>
      <c r="M61" s="84">
        <v>20546761</v>
      </c>
      <c r="N61" s="84">
        <v>20249559</v>
      </c>
      <c r="O61" s="84">
        <v>19836530</v>
      </c>
      <c r="P61" s="84">
        <v>19530504</v>
      </c>
      <c r="Q61" s="84">
        <v>19196617</v>
      </c>
      <c r="R61" s="84">
        <v>19153225</v>
      </c>
      <c r="S61" s="84">
        <v>18930495</v>
      </c>
      <c r="T61" s="84">
        <v>18304564</v>
      </c>
      <c r="U61" s="84">
        <v>18505986</v>
      </c>
      <c r="V61" s="84">
        <v>18570864</v>
      </c>
      <c r="W61" s="84">
        <v>18544345</v>
      </c>
      <c r="X61" s="84">
        <v>18701671</v>
      </c>
      <c r="Y61" s="84">
        <v>19072999</v>
      </c>
      <c r="DA61" s="171" t="s">
        <v>504</v>
      </c>
    </row>
    <row r="62" spans="1:105" ht="11.45" customHeight="1" x14ac:dyDescent="0.25">
      <c r="A62" s="111" t="s">
        <v>111</v>
      </c>
      <c r="B62" s="84">
        <v>4799703</v>
      </c>
      <c r="C62" s="84">
        <v>5506065</v>
      </c>
      <c r="D62" s="84">
        <v>6366169</v>
      </c>
      <c r="E62" s="84">
        <v>7344088</v>
      </c>
      <c r="F62" s="84">
        <v>8469678</v>
      </c>
      <c r="G62" s="84">
        <v>9667334</v>
      </c>
      <c r="H62" s="84">
        <v>10840049</v>
      </c>
      <c r="I62" s="84">
        <v>11896958</v>
      </c>
      <c r="J62" s="84">
        <v>12729152</v>
      </c>
      <c r="K62" s="84">
        <v>13363409</v>
      </c>
      <c r="L62" s="84">
        <v>14194111</v>
      </c>
      <c r="M62" s="84">
        <v>14731252</v>
      </c>
      <c r="N62" s="84">
        <v>15081965</v>
      </c>
      <c r="O62" s="84">
        <v>15304722</v>
      </c>
      <c r="P62" s="84">
        <v>15668930</v>
      </c>
      <c r="Q62" s="84">
        <v>16240488</v>
      </c>
      <c r="R62" s="84">
        <v>16540144</v>
      </c>
      <c r="S62" s="84">
        <v>16822633</v>
      </c>
      <c r="T62" s="84">
        <v>17296156</v>
      </c>
      <c r="U62" s="84">
        <v>17491485</v>
      </c>
      <c r="V62" s="84">
        <v>17556388</v>
      </c>
      <c r="W62" s="84">
        <v>17534029</v>
      </c>
      <c r="X62" s="84">
        <v>17658582</v>
      </c>
      <c r="Y62" s="84">
        <v>17836557</v>
      </c>
      <c r="DA62" s="171" t="s">
        <v>505</v>
      </c>
    </row>
    <row r="63" spans="1:105" ht="11.45" customHeight="1" x14ac:dyDescent="0.25">
      <c r="A63" s="111" t="s">
        <v>112</v>
      </c>
      <c r="B63" s="84">
        <v>1492000</v>
      </c>
      <c r="C63" s="84">
        <v>1493000</v>
      </c>
      <c r="D63" s="84">
        <v>1398000</v>
      </c>
      <c r="E63" s="84">
        <v>1410000</v>
      </c>
      <c r="F63" s="84">
        <v>1375000</v>
      </c>
      <c r="G63" s="84">
        <v>1464150</v>
      </c>
      <c r="H63" s="84">
        <v>1483151</v>
      </c>
      <c r="I63" s="84">
        <v>1453102</v>
      </c>
      <c r="J63" s="84">
        <v>1340953</v>
      </c>
      <c r="K63" s="84">
        <v>1474000</v>
      </c>
      <c r="L63" s="84">
        <v>1753000</v>
      </c>
      <c r="M63" s="84">
        <v>1776000</v>
      </c>
      <c r="N63" s="84">
        <v>1867000</v>
      </c>
      <c r="O63" s="84">
        <v>1943722</v>
      </c>
      <c r="P63" s="84">
        <v>2042000</v>
      </c>
      <c r="Q63" s="84">
        <v>2137078</v>
      </c>
      <c r="R63" s="84">
        <v>2222873</v>
      </c>
      <c r="S63" s="84">
        <v>2309020</v>
      </c>
      <c r="T63" s="84">
        <v>2409840</v>
      </c>
      <c r="U63" s="84">
        <v>2505000</v>
      </c>
      <c r="V63" s="84">
        <v>2473188</v>
      </c>
      <c r="W63" s="84">
        <v>2512384</v>
      </c>
      <c r="X63" s="84">
        <v>2546218</v>
      </c>
      <c r="Y63" s="84">
        <v>2615427</v>
      </c>
      <c r="DA63" s="171" t="s">
        <v>506</v>
      </c>
    </row>
    <row r="64" spans="1:105" ht="11.45" customHeight="1" x14ac:dyDescent="0.25">
      <c r="A64" s="111" t="s">
        <v>113</v>
      </c>
      <c r="B64" s="84">
        <v>289000</v>
      </c>
      <c r="C64" s="84">
        <v>335000</v>
      </c>
      <c r="D64" s="84">
        <v>335000</v>
      </c>
      <c r="E64" s="84">
        <v>339202</v>
      </c>
      <c r="F64" s="84">
        <v>316000</v>
      </c>
      <c r="G64" s="84">
        <v>355000</v>
      </c>
      <c r="H64" s="84">
        <v>405000</v>
      </c>
      <c r="I64" s="84">
        <v>454000</v>
      </c>
      <c r="J64" s="84">
        <v>506000</v>
      </c>
      <c r="K64" s="84">
        <v>612000</v>
      </c>
      <c r="L64" s="84">
        <v>661000</v>
      </c>
      <c r="M64" s="84">
        <v>681000</v>
      </c>
      <c r="N64" s="84">
        <v>720000</v>
      </c>
      <c r="O64" s="84">
        <v>774000</v>
      </c>
      <c r="P64" s="84">
        <v>833668</v>
      </c>
      <c r="Q64" s="84">
        <v>883190</v>
      </c>
      <c r="R64" s="84">
        <v>911246</v>
      </c>
      <c r="S64" s="84">
        <v>926704</v>
      </c>
      <c r="T64" s="84">
        <v>945184</v>
      </c>
      <c r="U64" s="84">
        <v>965000</v>
      </c>
      <c r="V64" s="84">
        <v>981000</v>
      </c>
      <c r="W64" s="84">
        <v>972144</v>
      </c>
      <c r="X64" s="84">
        <v>978614</v>
      </c>
      <c r="Y64" s="84">
        <v>999542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141</v>
      </c>
      <c r="O65" s="84">
        <v>14056</v>
      </c>
      <c r="P65" s="84">
        <v>34126</v>
      </c>
      <c r="Q65" s="84">
        <v>33908</v>
      </c>
      <c r="R65" s="84">
        <v>35020</v>
      </c>
      <c r="S65" s="84">
        <v>38318</v>
      </c>
      <c r="T65" s="84">
        <v>42219</v>
      </c>
      <c r="U65" s="84">
        <v>47533</v>
      </c>
      <c r="V65" s="84">
        <v>74734</v>
      </c>
      <c r="W65" s="84">
        <v>137152</v>
      </c>
      <c r="X65" s="84">
        <v>195867</v>
      </c>
      <c r="Y65" s="84">
        <v>257320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3681</v>
      </c>
      <c r="M66" s="84">
        <v>8927</v>
      </c>
      <c r="N66" s="84">
        <v>9245</v>
      </c>
      <c r="O66" s="84">
        <v>10016</v>
      </c>
      <c r="P66" s="84">
        <v>11027</v>
      </c>
      <c r="Q66" s="84">
        <v>12403</v>
      </c>
      <c r="R66" s="84">
        <v>13630</v>
      </c>
      <c r="S66" s="84">
        <v>15419</v>
      </c>
      <c r="T66" s="84">
        <v>20207</v>
      </c>
      <c r="U66" s="84">
        <v>30228</v>
      </c>
      <c r="V66" s="84">
        <v>61700</v>
      </c>
      <c r="W66" s="84">
        <v>122669</v>
      </c>
      <c r="X66" s="84">
        <v>132109</v>
      </c>
      <c r="Y66" s="84">
        <v>133384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88168</v>
      </c>
      <c r="C67" s="110">
        <f t="shared" si="130"/>
        <v>89858</v>
      </c>
      <c r="D67" s="110">
        <f t="shared" si="130"/>
        <v>91716</v>
      </c>
      <c r="E67" s="110">
        <f t="shared" si="130"/>
        <v>92701</v>
      </c>
      <c r="F67" s="110">
        <f t="shared" si="130"/>
        <v>92874</v>
      </c>
      <c r="G67" s="110">
        <f t="shared" si="130"/>
        <v>94437</v>
      </c>
      <c r="H67" s="110">
        <f t="shared" si="130"/>
        <v>96099</v>
      </c>
      <c r="I67" s="110">
        <f t="shared" si="130"/>
        <v>96419</v>
      </c>
      <c r="J67" s="110">
        <f t="shared" si="130"/>
        <v>97597</v>
      </c>
      <c r="K67" s="110">
        <f t="shared" si="130"/>
        <v>97524</v>
      </c>
      <c r="L67" s="110">
        <f t="shared" ref="L67" si="131">SUM(L68:L72)</f>
        <v>97241</v>
      </c>
      <c r="M67" s="110">
        <f t="shared" ref="M67:V67" si="132">SUM(M68:M72)</f>
        <v>98477</v>
      </c>
      <c r="N67" s="110">
        <f t="shared" si="132"/>
        <v>96156</v>
      </c>
      <c r="O67" s="110">
        <f t="shared" si="132"/>
        <v>94860</v>
      </c>
      <c r="P67" s="110">
        <f t="shared" si="132"/>
        <v>94269</v>
      </c>
      <c r="Q67" s="110">
        <f t="shared" si="132"/>
        <v>94016</v>
      </c>
      <c r="R67" s="110">
        <f t="shared" si="132"/>
        <v>93849</v>
      </c>
      <c r="S67" s="110">
        <f t="shared" si="132"/>
        <v>95080</v>
      </c>
      <c r="T67" s="110">
        <f t="shared" si="132"/>
        <v>95984</v>
      </c>
      <c r="U67" s="110">
        <f t="shared" si="132"/>
        <v>96086</v>
      </c>
      <c r="V67" s="110">
        <f t="shared" si="132"/>
        <v>95831</v>
      </c>
      <c r="W67" s="110">
        <f t="shared" ref="W67:Y67" si="133">SUM(W68:W72)</f>
        <v>96134</v>
      </c>
      <c r="X67" s="110">
        <f t="shared" si="133"/>
        <v>95957</v>
      </c>
      <c r="Y67" s="110">
        <f t="shared" si="133"/>
        <v>96018</v>
      </c>
      <c r="DA67" s="176" t="s">
        <v>510</v>
      </c>
    </row>
    <row r="68" spans="1:105" ht="11.45" customHeight="1" x14ac:dyDescent="0.25">
      <c r="A68" s="111" t="s">
        <v>110</v>
      </c>
      <c r="B68" s="102">
        <v>1014</v>
      </c>
      <c r="C68" s="102">
        <v>924</v>
      </c>
      <c r="D68" s="102">
        <v>891</v>
      </c>
      <c r="E68" s="102">
        <v>728</v>
      </c>
      <c r="F68" s="102">
        <v>633</v>
      </c>
      <c r="G68" s="102">
        <v>615</v>
      </c>
      <c r="H68" s="102">
        <v>588</v>
      </c>
      <c r="I68" s="102">
        <v>561</v>
      </c>
      <c r="J68" s="102">
        <v>568</v>
      </c>
      <c r="K68" s="102">
        <v>593</v>
      </c>
      <c r="L68" s="102">
        <v>581</v>
      </c>
      <c r="M68" s="102">
        <v>560</v>
      </c>
      <c r="N68" s="102">
        <v>554</v>
      </c>
      <c r="O68" s="102">
        <v>1026</v>
      </c>
      <c r="P68" s="102">
        <v>614</v>
      </c>
      <c r="Q68" s="102">
        <v>591</v>
      </c>
      <c r="R68" s="102">
        <v>580</v>
      </c>
      <c r="S68" s="102">
        <v>568</v>
      </c>
      <c r="T68" s="102">
        <v>550</v>
      </c>
      <c r="U68" s="102">
        <v>1009</v>
      </c>
      <c r="V68" s="102">
        <v>1001</v>
      </c>
      <c r="W68" s="102">
        <v>971</v>
      </c>
      <c r="X68" s="102">
        <v>964</v>
      </c>
      <c r="Y68" s="102">
        <v>961</v>
      </c>
      <c r="DA68" s="175" t="s">
        <v>511</v>
      </c>
    </row>
    <row r="69" spans="1:105" ht="11.45" customHeight="1" x14ac:dyDescent="0.25">
      <c r="A69" s="111" t="s">
        <v>111</v>
      </c>
      <c r="B69" s="102">
        <v>86391</v>
      </c>
      <c r="C69" s="102">
        <v>88156</v>
      </c>
      <c r="D69" s="102">
        <v>90117</v>
      </c>
      <c r="E69" s="102">
        <v>90894</v>
      </c>
      <c r="F69" s="102">
        <v>91139</v>
      </c>
      <c r="G69" s="102">
        <v>92266</v>
      </c>
      <c r="H69" s="102">
        <v>93287</v>
      </c>
      <c r="I69" s="102">
        <v>93146</v>
      </c>
      <c r="J69" s="102">
        <v>93805</v>
      </c>
      <c r="K69" s="102">
        <v>93328</v>
      </c>
      <c r="L69" s="102">
        <v>92826</v>
      </c>
      <c r="M69" s="102">
        <v>93935</v>
      </c>
      <c r="N69" s="102">
        <v>91540</v>
      </c>
      <c r="O69" s="102">
        <v>89227</v>
      </c>
      <c r="P69" s="102">
        <v>89231</v>
      </c>
      <c r="Q69" s="102">
        <v>89201</v>
      </c>
      <c r="R69" s="102">
        <v>89009</v>
      </c>
      <c r="S69" s="102">
        <v>89651</v>
      </c>
      <c r="T69" s="102">
        <v>85882</v>
      </c>
      <c r="U69" s="102">
        <v>89514</v>
      </c>
      <c r="V69" s="102">
        <v>89135</v>
      </c>
      <c r="W69" s="102">
        <v>89202</v>
      </c>
      <c r="X69" s="102">
        <v>88541</v>
      </c>
      <c r="Y69" s="102">
        <v>87615</v>
      </c>
      <c r="DA69" s="175" t="s">
        <v>512</v>
      </c>
    </row>
    <row r="70" spans="1:105" ht="11.45" customHeight="1" x14ac:dyDescent="0.25">
      <c r="A70" s="111" t="s">
        <v>112</v>
      </c>
      <c r="B70" s="102">
        <v>72</v>
      </c>
      <c r="C70" s="102">
        <v>81</v>
      </c>
      <c r="D70" s="102">
        <v>77</v>
      </c>
      <c r="E70" s="102">
        <v>90</v>
      </c>
      <c r="F70" s="102">
        <v>140</v>
      </c>
      <c r="G70" s="102">
        <v>204</v>
      </c>
      <c r="H70" s="102">
        <v>229</v>
      </c>
      <c r="I70" s="102">
        <v>275</v>
      </c>
      <c r="J70" s="102">
        <v>332</v>
      </c>
      <c r="K70" s="102">
        <v>453</v>
      </c>
      <c r="L70" s="102">
        <v>456</v>
      </c>
      <c r="M70" s="102">
        <v>439</v>
      </c>
      <c r="N70" s="102">
        <v>420</v>
      </c>
      <c r="O70" s="102">
        <v>401</v>
      </c>
      <c r="P70" s="102">
        <v>380</v>
      </c>
      <c r="Q70" s="102">
        <v>358</v>
      </c>
      <c r="R70" s="102">
        <v>339</v>
      </c>
      <c r="S70" s="102">
        <v>322</v>
      </c>
      <c r="T70" s="102">
        <v>304</v>
      </c>
      <c r="U70" s="102">
        <v>297</v>
      </c>
      <c r="V70" s="102">
        <v>297</v>
      </c>
      <c r="W70" s="102">
        <v>271</v>
      </c>
      <c r="X70" s="102">
        <v>228</v>
      </c>
      <c r="Y70" s="102">
        <v>188</v>
      </c>
      <c r="DA70" s="175" t="s">
        <v>513</v>
      </c>
    </row>
    <row r="71" spans="1:105" ht="11.45" customHeight="1" x14ac:dyDescent="0.25">
      <c r="A71" s="111" t="s">
        <v>113</v>
      </c>
      <c r="B71" s="102">
        <v>691</v>
      </c>
      <c r="C71" s="102">
        <v>697</v>
      </c>
      <c r="D71" s="102">
        <v>631</v>
      </c>
      <c r="E71" s="102">
        <v>989</v>
      </c>
      <c r="F71" s="102">
        <v>962</v>
      </c>
      <c r="G71" s="102">
        <v>1352</v>
      </c>
      <c r="H71" s="102">
        <v>1995</v>
      </c>
      <c r="I71" s="102">
        <v>2437</v>
      </c>
      <c r="J71" s="102">
        <v>2892</v>
      </c>
      <c r="K71" s="102">
        <v>3150</v>
      </c>
      <c r="L71" s="102">
        <v>3378</v>
      </c>
      <c r="M71" s="102">
        <v>3543</v>
      </c>
      <c r="N71" s="102">
        <v>3642</v>
      </c>
      <c r="O71" s="102">
        <v>3712</v>
      </c>
      <c r="P71" s="102">
        <v>3551</v>
      </c>
      <c r="Q71" s="102">
        <v>3372</v>
      </c>
      <c r="R71" s="102">
        <v>3424</v>
      </c>
      <c r="S71" s="102">
        <v>4023</v>
      </c>
      <c r="T71" s="102">
        <v>8762</v>
      </c>
      <c r="U71" s="102">
        <v>4729</v>
      </c>
      <c r="V71" s="102">
        <v>4812</v>
      </c>
      <c r="W71" s="102">
        <v>4946</v>
      </c>
      <c r="X71" s="102">
        <v>5386</v>
      </c>
      <c r="Y71" s="102">
        <v>5964</v>
      </c>
      <c r="DA71" s="175" t="s">
        <v>514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494</v>
      </c>
      <c r="P72" s="102">
        <v>493</v>
      </c>
      <c r="Q72" s="102">
        <v>494</v>
      </c>
      <c r="R72" s="102">
        <v>497</v>
      </c>
      <c r="S72" s="102">
        <v>516</v>
      </c>
      <c r="T72" s="102">
        <v>486</v>
      </c>
      <c r="U72" s="102">
        <v>537</v>
      </c>
      <c r="V72" s="102">
        <v>586</v>
      </c>
      <c r="W72" s="102">
        <v>744</v>
      </c>
      <c r="X72" s="102">
        <v>838</v>
      </c>
      <c r="Y72" s="102">
        <v>1290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3557281</v>
      </c>
      <c r="C73" s="28">
        <f t="shared" si="134"/>
        <v>3724693</v>
      </c>
      <c r="D73" s="28">
        <f t="shared" si="134"/>
        <v>3951023</v>
      </c>
      <c r="E73" s="28">
        <f t="shared" si="134"/>
        <v>4135930</v>
      </c>
      <c r="F73" s="28">
        <f t="shared" si="134"/>
        <v>4195570</v>
      </c>
      <c r="G73" s="28">
        <f t="shared" si="134"/>
        <v>4357455</v>
      </c>
      <c r="H73" s="28">
        <f t="shared" si="134"/>
        <v>4515414</v>
      </c>
      <c r="I73" s="28">
        <f t="shared" si="134"/>
        <v>4612790</v>
      </c>
      <c r="J73" s="28">
        <f t="shared" si="134"/>
        <v>4699644</v>
      </c>
      <c r="K73" s="28">
        <f t="shared" si="134"/>
        <v>4736650</v>
      </c>
      <c r="L73" s="28">
        <f t="shared" ref="L73" si="135">L74+L80</f>
        <v>4779072</v>
      </c>
      <c r="M73" s="28">
        <f t="shared" ref="M73:V73" si="136">M74+M80</f>
        <v>4824005</v>
      </c>
      <c r="N73" s="28">
        <f t="shared" si="136"/>
        <v>4818340</v>
      </c>
      <c r="O73" s="28">
        <f t="shared" si="136"/>
        <v>4777291</v>
      </c>
      <c r="P73" s="28">
        <f t="shared" si="136"/>
        <v>4779235</v>
      </c>
      <c r="Q73" s="28">
        <f t="shared" si="136"/>
        <v>4813406</v>
      </c>
      <c r="R73" s="28">
        <f t="shared" si="136"/>
        <v>4830038</v>
      </c>
      <c r="S73" s="28">
        <f t="shared" si="136"/>
        <v>4864918</v>
      </c>
      <c r="T73" s="28">
        <f t="shared" si="136"/>
        <v>4922439</v>
      </c>
      <c r="U73" s="28">
        <f t="shared" si="136"/>
        <v>4976508</v>
      </c>
      <c r="V73" s="28">
        <f t="shared" si="136"/>
        <v>5029575</v>
      </c>
      <c r="W73" s="28">
        <f t="shared" ref="W73:Y73" si="137">W74+W80</f>
        <v>5095492</v>
      </c>
      <c r="X73" s="28">
        <f t="shared" si="137"/>
        <v>5164820</v>
      </c>
      <c r="Y73" s="28">
        <f t="shared" si="137"/>
        <v>5287493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2637172</v>
      </c>
      <c r="C74" s="137">
        <f t="shared" si="138"/>
        <v>2804885</v>
      </c>
      <c r="D74" s="137">
        <f t="shared" si="138"/>
        <v>3027282</v>
      </c>
      <c r="E74" s="137">
        <f t="shared" si="138"/>
        <v>3209962</v>
      </c>
      <c r="F74" s="137">
        <f t="shared" si="138"/>
        <v>3272318</v>
      </c>
      <c r="G74" s="137">
        <f t="shared" si="138"/>
        <v>3432827</v>
      </c>
      <c r="H74" s="137">
        <f t="shared" si="138"/>
        <v>3579735</v>
      </c>
      <c r="I74" s="137">
        <f t="shared" si="138"/>
        <v>3673354</v>
      </c>
      <c r="J74" s="137">
        <f t="shared" si="138"/>
        <v>3761540</v>
      </c>
      <c r="K74" s="137">
        <f t="shared" si="138"/>
        <v>3802936</v>
      </c>
      <c r="L74" s="137">
        <f t="shared" ref="L74" si="139">SUM(L75:L79)</f>
        <v>3855887</v>
      </c>
      <c r="M74" s="137">
        <f t="shared" ref="M74:V74" si="140">SUM(M75:M79)</f>
        <v>3900300</v>
      </c>
      <c r="N74" s="137">
        <f t="shared" si="140"/>
        <v>3914121</v>
      </c>
      <c r="O74" s="137">
        <f t="shared" si="140"/>
        <v>3894922</v>
      </c>
      <c r="P74" s="137">
        <f t="shared" si="140"/>
        <v>3909637</v>
      </c>
      <c r="Q74" s="137">
        <f t="shared" si="140"/>
        <v>3944261</v>
      </c>
      <c r="R74" s="137">
        <f t="shared" si="140"/>
        <v>4022228</v>
      </c>
      <c r="S74" s="137">
        <f t="shared" si="140"/>
        <v>4089425</v>
      </c>
      <c r="T74" s="137">
        <f t="shared" si="140"/>
        <v>4144626</v>
      </c>
      <c r="U74" s="137">
        <f t="shared" si="140"/>
        <v>4200074</v>
      </c>
      <c r="V74" s="137">
        <f t="shared" si="140"/>
        <v>4292148</v>
      </c>
      <c r="W74" s="137">
        <f t="shared" ref="W74:Y74" si="141">SUM(W75:W79)</f>
        <v>4350789</v>
      </c>
      <c r="X74" s="137">
        <f t="shared" si="141"/>
        <v>4411888</v>
      </c>
      <c r="Y74" s="137">
        <f t="shared" si="141"/>
        <v>4527220</v>
      </c>
      <c r="DA74" s="174" t="s">
        <v>517</v>
      </c>
    </row>
    <row r="75" spans="1:105" ht="11.45" customHeight="1" x14ac:dyDescent="0.25">
      <c r="A75" s="111" t="s">
        <v>110</v>
      </c>
      <c r="B75" s="84">
        <v>252409</v>
      </c>
      <c r="C75" s="84">
        <v>263033</v>
      </c>
      <c r="D75" s="84">
        <v>278148</v>
      </c>
      <c r="E75" s="84">
        <v>288969</v>
      </c>
      <c r="F75" s="84">
        <v>288626</v>
      </c>
      <c r="G75" s="84">
        <v>296661</v>
      </c>
      <c r="H75" s="84">
        <v>303102</v>
      </c>
      <c r="I75" s="84">
        <v>265204</v>
      </c>
      <c r="J75" s="84">
        <v>256570</v>
      </c>
      <c r="K75" s="84">
        <v>243999</v>
      </c>
      <c r="L75" s="84">
        <v>233317</v>
      </c>
      <c r="M75" s="84">
        <v>237222</v>
      </c>
      <c r="N75" s="84">
        <v>218599</v>
      </c>
      <c r="O75" s="84">
        <v>213153</v>
      </c>
      <c r="P75" s="84">
        <v>207425</v>
      </c>
      <c r="Q75" s="84">
        <v>199341</v>
      </c>
      <c r="R75" s="84">
        <v>192936</v>
      </c>
      <c r="S75" s="84">
        <v>184559</v>
      </c>
      <c r="T75" s="84">
        <v>180561</v>
      </c>
      <c r="U75" s="84">
        <v>183088</v>
      </c>
      <c r="V75" s="84">
        <v>186840</v>
      </c>
      <c r="W75" s="84">
        <v>189764</v>
      </c>
      <c r="X75" s="84">
        <v>204846</v>
      </c>
      <c r="Y75" s="84">
        <v>218856</v>
      </c>
      <c r="DA75" s="171" t="s">
        <v>518</v>
      </c>
    </row>
    <row r="76" spans="1:105" ht="11.45" customHeight="1" x14ac:dyDescent="0.25">
      <c r="A76" s="111" t="s">
        <v>111</v>
      </c>
      <c r="B76" s="84">
        <v>2370095</v>
      </c>
      <c r="C76" s="84">
        <v>2524678</v>
      </c>
      <c r="D76" s="84">
        <v>2728721</v>
      </c>
      <c r="E76" s="84">
        <v>2897148</v>
      </c>
      <c r="F76" s="84">
        <v>2956902</v>
      </c>
      <c r="G76" s="84">
        <v>3105183</v>
      </c>
      <c r="H76" s="84">
        <v>3240999</v>
      </c>
      <c r="I76" s="84">
        <v>3373071</v>
      </c>
      <c r="J76" s="84">
        <v>3459014</v>
      </c>
      <c r="K76" s="84">
        <v>3494966</v>
      </c>
      <c r="L76" s="84">
        <v>3530458</v>
      </c>
      <c r="M76" s="84">
        <v>3567974</v>
      </c>
      <c r="N76" s="84">
        <v>3573103</v>
      </c>
      <c r="O76" s="84">
        <v>3553989</v>
      </c>
      <c r="P76" s="84">
        <v>3567629</v>
      </c>
      <c r="Q76" s="84">
        <v>3604429</v>
      </c>
      <c r="R76" s="84">
        <v>3685095</v>
      </c>
      <c r="S76" s="84">
        <v>3760448</v>
      </c>
      <c r="T76" s="84">
        <v>3817440</v>
      </c>
      <c r="U76" s="84">
        <v>3861336</v>
      </c>
      <c r="V76" s="84">
        <v>3944651</v>
      </c>
      <c r="W76" s="84">
        <v>3993457</v>
      </c>
      <c r="X76" s="84">
        <v>4041628</v>
      </c>
      <c r="Y76" s="84">
        <v>4131519</v>
      </c>
      <c r="DA76" s="171" t="s">
        <v>519</v>
      </c>
    </row>
    <row r="77" spans="1:105" ht="11.45" customHeight="1" x14ac:dyDescent="0.25">
      <c r="A77" s="111" t="s">
        <v>112</v>
      </c>
      <c r="B77" s="84">
        <v>7466</v>
      </c>
      <c r="C77" s="84">
        <v>8576</v>
      </c>
      <c r="D77" s="84">
        <v>9997</v>
      </c>
      <c r="E77" s="84">
        <v>11449</v>
      </c>
      <c r="F77" s="84">
        <v>12606</v>
      </c>
      <c r="G77" s="84">
        <v>14282</v>
      </c>
      <c r="H77" s="84">
        <v>16086</v>
      </c>
      <c r="I77" s="84">
        <v>15502</v>
      </c>
      <c r="J77" s="84">
        <v>18675</v>
      </c>
      <c r="K77" s="84">
        <v>24802</v>
      </c>
      <c r="L77" s="84">
        <v>30912</v>
      </c>
      <c r="M77" s="84">
        <v>34102</v>
      </c>
      <c r="N77" s="84">
        <v>39001</v>
      </c>
      <c r="O77" s="84">
        <v>41592</v>
      </c>
      <c r="P77" s="84">
        <v>44262</v>
      </c>
      <c r="Q77" s="84">
        <v>46506</v>
      </c>
      <c r="R77" s="84">
        <v>45432</v>
      </c>
      <c r="S77" s="84">
        <v>46477</v>
      </c>
      <c r="T77" s="84">
        <v>45744</v>
      </c>
      <c r="U77" s="84">
        <v>49126</v>
      </c>
      <c r="V77" s="84">
        <v>51413</v>
      </c>
      <c r="W77" s="84">
        <v>56240</v>
      </c>
      <c r="X77" s="84">
        <v>51304</v>
      </c>
      <c r="Y77" s="84">
        <v>54523</v>
      </c>
      <c r="DA77" s="171" t="s">
        <v>520</v>
      </c>
    </row>
    <row r="78" spans="1:105" ht="11.45" customHeight="1" x14ac:dyDescent="0.25">
      <c r="A78" s="111" t="s">
        <v>113</v>
      </c>
      <c r="B78" s="84">
        <v>7202</v>
      </c>
      <c r="C78" s="84">
        <v>8598</v>
      </c>
      <c r="D78" s="84">
        <v>10416</v>
      </c>
      <c r="E78" s="84">
        <v>12396</v>
      </c>
      <c r="F78" s="84">
        <v>14184</v>
      </c>
      <c r="G78" s="84">
        <v>16701</v>
      </c>
      <c r="H78" s="84">
        <v>19548</v>
      </c>
      <c r="I78" s="84">
        <v>19577</v>
      </c>
      <c r="J78" s="84">
        <v>27281</v>
      </c>
      <c r="K78" s="84">
        <v>39169</v>
      </c>
      <c r="L78" s="84">
        <v>61200</v>
      </c>
      <c r="M78" s="84">
        <v>61000</v>
      </c>
      <c r="N78" s="84">
        <v>83023</v>
      </c>
      <c r="O78" s="84">
        <v>86000</v>
      </c>
      <c r="P78" s="84">
        <v>90000</v>
      </c>
      <c r="Q78" s="84">
        <v>93000</v>
      </c>
      <c r="R78" s="84">
        <v>97000</v>
      </c>
      <c r="S78" s="84">
        <v>95872</v>
      </c>
      <c r="T78" s="84">
        <v>97966</v>
      </c>
      <c r="U78" s="84">
        <v>101281</v>
      </c>
      <c r="V78" s="84">
        <v>102929</v>
      </c>
      <c r="W78" s="84">
        <v>101887</v>
      </c>
      <c r="X78" s="84">
        <v>101133</v>
      </c>
      <c r="Y78" s="84">
        <v>102769</v>
      </c>
      <c r="DA78" s="171" t="s">
        <v>521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2</v>
      </c>
      <c r="N79" s="84">
        <v>395</v>
      </c>
      <c r="O79" s="84">
        <v>188</v>
      </c>
      <c r="P79" s="84">
        <v>321</v>
      </c>
      <c r="Q79" s="84">
        <v>985</v>
      </c>
      <c r="R79" s="84">
        <v>1765</v>
      </c>
      <c r="S79" s="84">
        <v>2069</v>
      </c>
      <c r="T79" s="84">
        <v>2915</v>
      </c>
      <c r="U79" s="84">
        <v>5243</v>
      </c>
      <c r="V79" s="84">
        <v>6315</v>
      </c>
      <c r="W79" s="84">
        <v>9441</v>
      </c>
      <c r="X79" s="84">
        <v>12977</v>
      </c>
      <c r="Y79" s="84">
        <v>19553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920109</v>
      </c>
      <c r="C80" s="110">
        <f t="shared" si="142"/>
        <v>919808</v>
      </c>
      <c r="D80" s="110">
        <f t="shared" si="142"/>
        <v>923741</v>
      </c>
      <c r="E80" s="110">
        <f t="shared" si="142"/>
        <v>925968</v>
      </c>
      <c r="F80" s="110">
        <f t="shared" si="142"/>
        <v>923252</v>
      </c>
      <c r="G80" s="110">
        <f t="shared" si="142"/>
        <v>924628</v>
      </c>
      <c r="H80" s="110">
        <f t="shared" si="142"/>
        <v>935679</v>
      </c>
      <c r="I80" s="110">
        <f t="shared" si="142"/>
        <v>939436</v>
      </c>
      <c r="J80" s="110">
        <f t="shared" si="142"/>
        <v>938104</v>
      </c>
      <c r="K80" s="110">
        <f t="shared" si="142"/>
        <v>933714</v>
      </c>
      <c r="L80" s="110">
        <f t="shared" ref="L80" si="143">SUM(L81:L82)</f>
        <v>923185</v>
      </c>
      <c r="M80" s="110">
        <f t="shared" ref="M80:V80" si="144">SUM(M81:M82)</f>
        <v>923705</v>
      </c>
      <c r="N80" s="110">
        <f t="shared" si="144"/>
        <v>904219</v>
      </c>
      <c r="O80" s="110">
        <f t="shared" si="144"/>
        <v>882369</v>
      </c>
      <c r="P80" s="110">
        <f t="shared" si="144"/>
        <v>869598</v>
      </c>
      <c r="Q80" s="110">
        <f t="shared" si="144"/>
        <v>869145</v>
      </c>
      <c r="R80" s="110">
        <f t="shared" si="144"/>
        <v>807810</v>
      </c>
      <c r="S80" s="110">
        <f t="shared" si="144"/>
        <v>775493</v>
      </c>
      <c r="T80" s="110">
        <f t="shared" si="144"/>
        <v>777813</v>
      </c>
      <c r="U80" s="110">
        <f t="shared" si="144"/>
        <v>776434</v>
      </c>
      <c r="V80" s="110">
        <f t="shared" si="144"/>
        <v>737427</v>
      </c>
      <c r="W80" s="110">
        <f t="shared" ref="W80:Y80" si="145">SUM(W81:W82)</f>
        <v>744703</v>
      </c>
      <c r="X80" s="110">
        <f t="shared" si="145"/>
        <v>752932</v>
      </c>
      <c r="Y80" s="110">
        <f t="shared" si="145"/>
        <v>760273</v>
      </c>
      <c r="DA80" s="176" t="s">
        <v>523</v>
      </c>
    </row>
    <row r="81" spans="1:105" ht="11.45" customHeight="1" x14ac:dyDescent="0.25">
      <c r="A81" s="128" t="s">
        <v>27</v>
      </c>
      <c r="B81" s="102">
        <v>900818</v>
      </c>
      <c r="C81" s="102">
        <v>899128</v>
      </c>
      <c r="D81" s="102">
        <v>901986</v>
      </c>
      <c r="E81" s="102">
        <v>903734</v>
      </c>
      <c r="F81" s="102">
        <v>896965</v>
      </c>
      <c r="G81" s="102">
        <v>897429</v>
      </c>
      <c r="H81" s="102">
        <v>906748</v>
      </c>
      <c r="I81" s="102">
        <v>910772</v>
      </c>
      <c r="J81" s="102">
        <v>907938</v>
      </c>
      <c r="K81" s="102">
        <v>907312</v>
      </c>
      <c r="L81" s="102">
        <v>894676</v>
      </c>
      <c r="M81" s="102">
        <v>899032</v>
      </c>
      <c r="N81" s="102">
        <v>881105</v>
      </c>
      <c r="O81" s="102">
        <v>857499</v>
      </c>
      <c r="P81" s="102">
        <v>844072</v>
      </c>
      <c r="Q81" s="102">
        <v>844057</v>
      </c>
      <c r="R81" s="102">
        <v>781286</v>
      </c>
      <c r="S81" s="102">
        <v>745799</v>
      </c>
      <c r="T81" s="102">
        <v>749102</v>
      </c>
      <c r="U81" s="102">
        <v>746469</v>
      </c>
      <c r="V81" s="102">
        <v>707966</v>
      </c>
      <c r="W81" s="102">
        <v>711751</v>
      </c>
      <c r="X81" s="102">
        <v>719173</v>
      </c>
      <c r="Y81" s="102">
        <v>728510</v>
      </c>
      <c r="DA81" s="175" t="s">
        <v>524</v>
      </c>
    </row>
    <row r="82" spans="1:105" ht="11.45" customHeight="1" x14ac:dyDescent="0.25">
      <c r="A82" s="138" t="s">
        <v>116</v>
      </c>
      <c r="B82" s="86">
        <v>19291</v>
      </c>
      <c r="C82" s="86">
        <v>20680</v>
      </c>
      <c r="D82" s="86">
        <v>21755</v>
      </c>
      <c r="E82" s="86">
        <v>22234</v>
      </c>
      <c r="F82" s="86">
        <v>26287</v>
      </c>
      <c r="G82" s="86">
        <v>27199</v>
      </c>
      <c r="H82" s="86">
        <v>28931</v>
      </c>
      <c r="I82" s="86">
        <v>28664</v>
      </c>
      <c r="J82" s="86">
        <v>30166</v>
      </c>
      <c r="K82" s="86">
        <v>26402</v>
      </c>
      <c r="L82" s="86">
        <v>28509</v>
      </c>
      <c r="M82" s="86">
        <v>24673</v>
      </c>
      <c r="N82" s="86">
        <v>23114</v>
      </c>
      <c r="O82" s="86">
        <v>24870</v>
      </c>
      <c r="P82" s="86">
        <v>25526</v>
      </c>
      <c r="Q82" s="86">
        <v>25088</v>
      </c>
      <c r="R82" s="86">
        <v>26524</v>
      </c>
      <c r="S82" s="86">
        <v>29694</v>
      </c>
      <c r="T82" s="86">
        <v>28711</v>
      </c>
      <c r="U82" s="86">
        <v>29965</v>
      </c>
      <c r="V82" s="86">
        <v>29461</v>
      </c>
      <c r="W82" s="86">
        <v>32952</v>
      </c>
      <c r="X82" s="86">
        <v>33759</v>
      </c>
      <c r="Y82" s="86">
        <v>31763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45373265</v>
      </c>
      <c r="C84" s="54">
        <f t="shared" si="146"/>
        <v>46377058</v>
      </c>
      <c r="D84" s="54">
        <f t="shared" ref="D84:V84" si="147">D85+D100</f>
        <v>47489614</v>
      </c>
      <c r="E84" s="54">
        <f t="shared" si="147"/>
        <v>48545400</v>
      </c>
      <c r="F84" s="54">
        <f t="shared" si="147"/>
        <v>48367461</v>
      </c>
      <c r="G84" s="54">
        <f t="shared" si="147"/>
        <v>49268882</v>
      </c>
      <c r="H84" s="54">
        <f t="shared" si="147"/>
        <v>49994858</v>
      </c>
      <c r="I84" s="54">
        <f t="shared" si="147"/>
        <v>50366689</v>
      </c>
      <c r="J84" s="54">
        <f t="shared" si="147"/>
        <v>50703654</v>
      </c>
      <c r="K84" s="54">
        <f t="shared" si="147"/>
        <v>50830357</v>
      </c>
      <c r="L84" s="54">
        <f t="shared" si="147"/>
        <v>52163278</v>
      </c>
      <c r="M84" s="54">
        <f t="shared" si="147"/>
        <v>52350573</v>
      </c>
      <c r="N84" s="54">
        <f t="shared" si="147"/>
        <v>51935482</v>
      </c>
      <c r="O84" s="54">
        <f t="shared" si="147"/>
        <v>52021766</v>
      </c>
      <c r="P84" s="54">
        <f t="shared" si="147"/>
        <v>52417177</v>
      </c>
      <c r="Q84" s="54">
        <f t="shared" si="147"/>
        <v>52989589</v>
      </c>
      <c r="R84" s="54">
        <f t="shared" si="147"/>
        <v>53496612</v>
      </c>
      <c r="S84" s="54">
        <f t="shared" si="147"/>
        <v>53833841</v>
      </c>
      <c r="T84" s="54">
        <f t="shared" si="147"/>
        <v>54004255</v>
      </c>
      <c r="U84" s="54">
        <f t="shared" si="147"/>
        <v>54752283</v>
      </c>
      <c r="V84" s="54">
        <f t="shared" si="147"/>
        <v>55087095</v>
      </c>
      <c r="W84" s="54">
        <f t="shared" ref="W84:Y84" si="148">W85+W100</f>
        <v>55356565</v>
      </c>
      <c r="X84" s="54">
        <f t="shared" si="148"/>
        <v>55771435</v>
      </c>
      <c r="Y84" s="54">
        <f t="shared" si="148"/>
        <v>56807648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41815984</v>
      </c>
      <c r="C85" s="28">
        <f t="shared" si="149"/>
        <v>42652365</v>
      </c>
      <c r="D85" s="28">
        <f t="shared" ref="D85:V85" si="150">D86+D87+D94</f>
        <v>43538591</v>
      </c>
      <c r="E85" s="28">
        <f t="shared" si="150"/>
        <v>44409470</v>
      </c>
      <c r="F85" s="28">
        <f t="shared" si="150"/>
        <v>44171891</v>
      </c>
      <c r="G85" s="28">
        <f t="shared" si="150"/>
        <v>44911427</v>
      </c>
      <c r="H85" s="28">
        <f t="shared" si="150"/>
        <v>45479444</v>
      </c>
      <c r="I85" s="28">
        <f t="shared" si="150"/>
        <v>45753899</v>
      </c>
      <c r="J85" s="28">
        <f t="shared" si="150"/>
        <v>46004010</v>
      </c>
      <c r="K85" s="28">
        <f t="shared" si="150"/>
        <v>46093707</v>
      </c>
      <c r="L85" s="28">
        <f t="shared" si="150"/>
        <v>47384206</v>
      </c>
      <c r="M85" s="28">
        <f t="shared" si="150"/>
        <v>47526568</v>
      </c>
      <c r="N85" s="28">
        <f t="shared" si="150"/>
        <v>47117142</v>
      </c>
      <c r="O85" s="28">
        <f t="shared" si="150"/>
        <v>47244475</v>
      </c>
      <c r="P85" s="28">
        <f t="shared" si="150"/>
        <v>47637942</v>
      </c>
      <c r="Q85" s="28">
        <f t="shared" si="150"/>
        <v>48176183</v>
      </c>
      <c r="R85" s="28">
        <f t="shared" si="150"/>
        <v>48666574</v>
      </c>
      <c r="S85" s="28">
        <f t="shared" si="150"/>
        <v>48968923</v>
      </c>
      <c r="T85" s="28">
        <f t="shared" si="150"/>
        <v>49081816</v>
      </c>
      <c r="U85" s="28">
        <f t="shared" si="150"/>
        <v>49775775</v>
      </c>
      <c r="V85" s="28">
        <f t="shared" si="150"/>
        <v>50057520</v>
      </c>
      <c r="W85" s="28">
        <f t="shared" ref="W85:Y85" si="151">W86+W87+W94</f>
        <v>50261073</v>
      </c>
      <c r="X85" s="28">
        <f t="shared" si="151"/>
        <v>50606615</v>
      </c>
      <c r="Y85" s="28">
        <f t="shared" si="151"/>
        <v>51520155</v>
      </c>
      <c r="DA85" s="173"/>
    </row>
    <row r="86" spans="1:105" ht="11.45" hidden="1" customHeight="1" x14ac:dyDescent="0.25">
      <c r="A86" s="136" t="s">
        <v>173</v>
      </c>
      <c r="B86" s="137">
        <v>8942816</v>
      </c>
      <c r="C86" s="137">
        <v>9323507</v>
      </c>
      <c r="D86" s="137">
        <v>9740875</v>
      </c>
      <c r="E86" s="137">
        <v>10006769</v>
      </c>
      <c r="F86" s="137">
        <v>10106017</v>
      </c>
      <c r="G86" s="137">
        <v>10149990</v>
      </c>
      <c r="H86" s="137">
        <v>10086345</v>
      </c>
      <c r="I86" s="137">
        <v>9977480</v>
      </c>
      <c r="J86" s="137">
        <v>9801413</v>
      </c>
      <c r="K86" s="137">
        <v>9624183</v>
      </c>
      <c r="L86" s="137">
        <v>9758349</v>
      </c>
      <c r="M86" s="137">
        <v>9684151</v>
      </c>
      <c r="N86" s="137">
        <v>9093076</v>
      </c>
      <c r="O86" s="137">
        <v>9266569</v>
      </c>
      <c r="P86" s="137">
        <v>9423418</v>
      </c>
      <c r="Q86" s="137">
        <v>9578483</v>
      </c>
      <c r="R86" s="137">
        <v>9696587</v>
      </c>
      <c r="S86" s="137">
        <v>9831254</v>
      </c>
      <c r="T86" s="137">
        <v>9967662</v>
      </c>
      <c r="U86" s="137">
        <v>10134457</v>
      </c>
      <c r="V86" s="137">
        <v>10243815</v>
      </c>
      <c r="W86" s="137">
        <v>10342216</v>
      </c>
      <c r="X86" s="137">
        <v>10297597</v>
      </c>
      <c r="Y86" s="137">
        <v>10508908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32785000</v>
      </c>
      <c r="C87" s="110">
        <f t="shared" si="152"/>
        <v>33239000</v>
      </c>
      <c r="D87" s="110">
        <f t="shared" ref="D87:V87" si="153">SUM(D88:D93)</f>
        <v>33706000</v>
      </c>
      <c r="E87" s="110">
        <f t="shared" si="153"/>
        <v>34310000</v>
      </c>
      <c r="F87" s="110">
        <f t="shared" si="153"/>
        <v>33973000</v>
      </c>
      <c r="G87" s="110">
        <f t="shared" si="153"/>
        <v>34667000</v>
      </c>
      <c r="H87" s="110">
        <f t="shared" si="153"/>
        <v>35297000</v>
      </c>
      <c r="I87" s="110">
        <f t="shared" si="153"/>
        <v>35680000</v>
      </c>
      <c r="J87" s="110">
        <f t="shared" si="153"/>
        <v>36105000</v>
      </c>
      <c r="K87" s="110">
        <f t="shared" si="153"/>
        <v>36372000</v>
      </c>
      <c r="L87" s="110">
        <f t="shared" si="153"/>
        <v>37528616</v>
      </c>
      <c r="M87" s="110">
        <f t="shared" si="153"/>
        <v>37743940</v>
      </c>
      <c r="N87" s="110">
        <f t="shared" si="153"/>
        <v>37927910</v>
      </c>
      <c r="O87" s="110">
        <f t="shared" si="153"/>
        <v>37883046</v>
      </c>
      <c r="P87" s="110">
        <f t="shared" si="153"/>
        <v>38120255</v>
      </c>
      <c r="Q87" s="110">
        <f t="shared" si="153"/>
        <v>38503684</v>
      </c>
      <c r="R87" s="110">
        <f t="shared" si="153"/>
        <v>38876138</v>
      </c>
      <c r="S87" s="110">
        <f t="shared" si="153"/>
        <v>39042589</v>
      </c>
      <c r="T87" s="110">
        <f t="shared" si="153"/>
        <v>39018170</v>
      </c>
      <c r="U87" s="110">
        <f t="shared" si="153"/>
        <v>39545232</v>
      </c>
      <c r="V87" s="110">
        <f t="shared" si="153"/>
        <v>39717874</v>
      </c>
      <c r="W87" s="110">
        <f t="shared" ref="W87:Y87" si="154">SUM(W88:W93)</f>
        <v>39822723</v>
      </c>
      <c r="X87" s="110">
        <f t="shared" si="154"/>
        <v>40213061</v>
      </c>
      <c r="Y87" s="110">
        <f t="shared" si="154"/>
        <v>40915229</v>
      </c>
      <c r="DA87" s="176"/>
    </row>
    <row r="88" spans="1:105" ht="11.45" hidden="1" customHeight="1" x14ac:dyDescent="0.25">
      <c r="A88" s="111" t="s">
        <v>110</v>
      </c>
      <c r="B88" s="84">
        <v>26204297</v>
      </c>
      <c r="C88" s="84">
        <v>25904935</v>
      </c>
      <c r="D88" s="84">
        <v>25606831</v>
      </c>
      <c r="E88" s="84">
        <v>25216710</v>
      </c>
      <c r="F88" s="84">
        <v>23812322</v>
      </c>
      <c r="G88" s="84">
        <v>23180516</v>
      </c>
      <c r="H88" s="84">
        <v>22568800</v>
      </c>
      <c r="I88" s="84">
        <v>21875940</v>
      </c>
      <c r="J88" s="84">
        <v>21528895</v>
      </c>
      <c r="K88" s="84">
        <v>20922591</v>
      </c>
      <c r="L88" s="84">
        <v>20916824</v>
      </c>
      <c r="M88" s="84">
        <v>20546761</v>
      </c>
      <c r="N88" s="84">
        <v>20249559</v>
      </c>
      <c r="O88" s="84">
        <v>19836530</v>
      </c>
      <c r="P88" s="84">
        <v>19530504</v>
      </c>
      <c r="Q88" s="84">
        <v>19196617</v>
      </c>
      <c r="R88" s="84">
        <v>19153225</v>
      </c>
      <c r="S88" s="84">
        <v>18930495</v>
      </c>
      <c r="T88" s="84">
        <v>18304564</v>
      </c>
      <c r="U88" s="84">
        <v>18505986</v>
      </c>
      <c r="V88" s="84">
        <v>18570864</v>
      </c>
      <c r="W88" s="84">
        <v>18544345</v>
      </c>
      <c r="X88" s="84">
        <v>18701671</v>
      </c>
      <c r="Y88" s="84">
        <v>19072999</v>
      </c>
      <c r="DA88" s="171"/>
    </row>
    <row r="89" spans="1:105" ht="11.45" hidden="1" customHeight="1" x14ac:dyDescent="0.25">
      <c r="A89" s="111" t="s">
        <v>111</v>
      </c>
      <c r="B89" s="84">
        <v>4799703</v>
      </c>
      <c r="C89" s="84">
        <v>5506065</v>
      </c>
      <c r="D89" s="84">
        <v>6366169</v>
      </c>
      <c r="E89" s="84">
        <v>7344088</v>
      </c>
      <c r="F89" s="84">
        <v>8469678</v>
      </c>
      <c r="G89" s="84">
        <v>9667334</v>
      </c>
      <c r="H89" s="84">
        <v>10840049</v>
      </c>
      <c r="I89" s="84">
        <v>11896958</v>
      </c>
      <c r="J89" s="84">
        <v>12729152</v>
      </c>
      <c r="K89" s="84">
        <v>13363409</v>
      </c>
      <c r="L89" s="84">
        <v>14194111</v>
      </c>
      <c r="M89" s="84">
        <v>14731252</v>
      </c>
      <c r="N89" s="84">
        <v>15081965</v>
      </c>
      <c r="O89" s="84">
        <v>15304722</v>
      </c>
      <c r="P89" s="84">
        <v>15668930</v>
      </c>
      <c r="Q89" s="84">
        <v>16240488</v>
      </c>
      <c r="R89" s="84">
        <v>16540144</v>
      </c>
      <c r="S89" s="84">
        <v>16822633</v>
      </c>
      <c r="T89" s="84">
        <v>17296156</v>
      </c>
      <c r="U89" s="84">
        <v>17491485</v>
      </c>
      <c r="V89" s="84">
        <v>17556388</v>
      </c>
      <c r="W89" s="84">
        <v>17534029</v>
      </c>
      <c r="X89" s="84">
        <v>17658582</v>
      </c>
      <c r="Y89" s="84">
        <v>17836557</v>
      </c>
      <c r="DA89" s="171"/>
    </row>
    <row r="90" spans="1:105" ht="11.45" hidden="1" customHeight="1" x14ac:dyDescent="0.25">
      <c r="A90" s="111" t="s">
        <v>112</v>
      </c>
      <c r="B90" s="84">
        <v>1492000</v>
      </c>
      <c r="C90" s="84">
        <v>1493000</v>
      </c>
      <c r="D90" s="84">
        <v>1398000</v>
      </c>
      <c r="E90" s="84">
        <v>1410000</v>
      </c>
      <c r="F90" s="84">
        <v>1375000</v>
      </c>
      <c r="G90" s="84">
        <v>1464150</v>
      </c>
      <c r="H90" s="84">
        <v>1483151</v>
      </c>
      <c r="I90" s="84">
        <v>1453102</v>
      </c>
      <c r="J90" s="84">
        <v>1340953</v>
      </c>
      <c r="K90" s="84">
        <v>1474000</v>
      </c>
      <c r="L90" s="84">
        <v>1753000</v>
      </c>
      <c r="M90" s="84">
        <v>1776000</v>
      </c>
      <c r="N90" s="84">
        <v>1867000</v>
      </c>
      <c r="O90" s="84">
        <v>1943722</v>
      </c>
      <c r="P90" s="84">
        <v>2042000</v>
      </c>
      <c r="Q90" s="84">
        <v>2137078</v>
      </c>
      <c r="R90" s="84">
        <v>2222873</v>
      </c>
      <c r="S90" s="84">
        <v>2309020</v>
      </c>
      <c r="T90" s="84">
        <v>2409840</v>
      </c>
      <c r="U90" s="84">
        <v>2505000</v>
      </c>
      <c r="V90" s="84">
        <v>2473188</v>
      </c>
      <c r="W90" s="84">
        <v>2512384</v>
      </c>
      <c r="X90" s="84">
        <v>2546218</v>
      </c>
      <c r="Y90" s="84">
        <v>2615427</v>
      </c>
      <c r="DA90" s="171"/>
    </row>
    <row r="91" spans="1:105" ht="11.45" hidden="1" customHeight="1" x14ac:dyDescent="0.25">
      <c r="A91" s="111" t="s">
        <v>113</v>
      </c>
      <c r="B91" s="84">
        <v>289000</v>
      </c>
      <c r="C91" s="84">
        <v>335000</v>
      </c>
      <c r="D91" s="84">
        <v>335000</v>
      </c>
      <c r="E91" s="84">
        <v>339202</v>
      </c>
      <c r="F91" s="84">
        <v>316000</v>
      </c>
      <c r="G91" s="84">
        <v>355000</v>
      </c>
      <c r="H91" s="84">
        <v>405000</v>
      </c>
      <c r="I91" s="84">
        <v>454000</v>
      </c>
      <c r="J91" s="84">
        <v>506000</v>
      </c>
      <c r="K91" s="84">
        <v>612000</v>
      </c>
      <c r="L91" s="84">
        <v>661000</v>
      </c>
      <c r="M91" s="84">
        <v>681000</v>
      </c>
      <c r="N91" s="84">
        <v>720000</v>
      </c>
      <c r="O91" s="84">
        <v>774000</v>
      </c>
      <c r="P91" s="84">
        <v>833668</v>
      </c>
      <c r="Q91" s="84">
        <v>883190</v>
      </c>
      <c r="R91" s="84">
        <v>911246</v>
      </c>
      <c r="S91" s="84">
        <v>926704</v>
      </c>
      <c r="T91" s="84">
        <v>945184</v>
      </c>
      <c r="U91" s="84">
        <v>965000</v>
      </c>
      <c r="V91" s="84">
        <v>981000</v>
      </c>
      <c r="W91" s="84">
        <v>972144</v>
      </c>
      <c r="X91" s="84">
        <v>978614</v>
      </c>
      <c r="Y91" s="84">
        <v>999542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141</v>
      </c>
      <c r="O92" s="84">
        <v>14056</v>
      </c>
      <c r="P92" s="84">
        <v>34126</v>
      </c>
      <c r="Q92" s="84">
        <v>33908</v>
      </c>
      <c r="R92" s="84">
        <v>35020</v>
      </c>
      <c r="S92" s="84">
        <v>38318</v>
      </c>
      <c r="T92" s="84">
        <v>42219</v>
      </c>
      <c r="U92" s="84">
        <v>47533</v>
      </c>
      <c r="V92" s="84">
        <v>74734</v>
      </c>
      <c r="W92" s="84">
        <v>137152</v>
      </c>
      <c r="X92" s="84">
        <v>195867</v>
      </c>
      <c r="Y92" s="84">
        <v>257320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3681</v>
      </c>
      <c r="M93" s="84">
        <v>8927</v>
      </c>
      <c r="N93" s="84">
        <v>9245</v>
      </c>
      <c r="O93" s="84">
        <v>10016</v>
      </c>
      <c r="P93" s="84">
        <v>11027</v>
      </c>
      <c r="Q93" s="84">
        <v>12403</v>
      </c>
      <c r="R93" s="84">
        <v>13630</v>
      </c>
      <c r="S93" s="84">
        <v>15419</v>
      </c>
      <c r="T93" s="84">
        <v>20207</v>
      </c>
      <c r="U93" s="84">
        <v>30228</v>
      </c>
      <c r="V93" s="84">
        <v>61700</v>
      </c>
      <c r="W93" s="84">
        <v>122669</v>
      </c>
      <c r="X93" s="84">
        <v>132109</v>
      </c>
      <c r="Y93" s="84">
        <v>133384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88168</v>
      </c>
      <c r="C94" s="110">
        <f t="shared" si="155"/>
        <v>89858</v>
      </c>
      <c r="D94" s="110">
        <f t="shared" ref="D94:V94" si="156">SUM(D95:D99)</f>
        <v>91716</v>
      </c>
      <c r="E94" s="110">
        <f t="shared" si="156"/>
        <v>92701</v>
      </c>
      <c r="F94" s="110">
        <f t="shared" si="156"/>
        <v>92874</v>
      </c>
      <c r="G94" s="110">
        <f t="shared" si="156"/>
        <v>94437</v>
      </c>
      <c r="H94" s="110">
        <f t="shared" si="156"/>
        <v>96099</v>
      </c>
      <c r="I94" s="110">
        <f t="shared" si="156"/>
        <v>96419</v>
      </c>
      <c r="J94" s="110">
        <f t="shared" si="156"/>
        <v>97597</v>
      </c>
      <c r="K94" s="110">
        <f t="shared" si="156"/>
        <v>97524</v>
      </c>
      <c r="L94" s="110">
        <f t="shared" si="156"/>
        <v>97241</v>
      </c>
      <c r="M94" s="110">
        <f t="shared" si="156"/>
        <v>98477</v>
      </c>
      <c r="N94" s="110">
        <f t="shared" si="156"/>
        <v>96156</v>
      </c>
      <c r="O94" s="110">
        <f t="shared" si="156"/>
        <v>94860</v>
      </c>
      <c r="P94" s="110">
        <f t="shared" si="156"/>
        <v>94269</v>
      </c>
      <c r="Q94" s="110">
        <f t="shared" si="156"/>
        <v>94016</v>
      </c>
      <c r="R94" s="110">
        <f t="shared" si="156"/>
        <v>93849</v>
      </c>
      <c r="S94" s="110">
        <f t="shared" si="156"/>
        <v>95080</v>
      </c>
      <c r="T94" s="110">
        <f t="shared" si="156"/>
        <v>95984</v>
      </c>
      <c r="U94" s="110">
        <f t="shared" si="156"/>
        <v>96086</v>
      </c>
      <c r="V94" s="110">
        <f t="shared" si="156"/>
        <v>95831</v>
      </c>
      <c r="W94" s="110">
        <f t="shared" ref="W94:Y94" si="157">SUM(W95:W99)</f>
        <v>96134</v>
      </c>
      <c r="X94" s="110">
        <f t="shared" si="157"/>
        <v>95957</v>
      </c>
      <c r="Y94" s="110">
        <f t="shared" si="157"/>
        <v>96018</v>
      </c>
      <c r="DA94" s="176"/>
    </row>
    <row r="95" spans="1:105" ht="11.45" hidden="1" customHeight="1" x14ac:dyDescent="0.25">
      <c r="A95" s="111" t="s">
        <v>110</v>
      </c>
      <c r="B95" s="102">
        <v>1014</v>
      </c>
      <c r="C95" s="102">
        <v>924</v>
      </c>
      <c r="D95" s="102">
        <v>891</v>
      </c>
      <c r="E95" s="102">
        <v>728</v>
      </c>
      <c r="F95" s="102">
        <v>633</v>
      </c>
      <c r="G95" s="102">
        <v>615</v>
      </c>
      <c r="H95" s="102">
        <v>588</v>
      </c>
      <c r="I95" s="102">
        <v>561</v>
      </c>
      <c r="J95" s="102">
        <v>568</v>
      </c>
      <c r="K95" s="102">
        <v>593</v>
      </c>
      <c r="L95" s="102">
        <v>581</v>
      </c>
      <c r="M95" s="102">
        <v>560</v>
      </c>
      <c r="N95" s="102">
        <v>554</v>
      </c>
      <c r="O95" s="102">
        <v>1026</v>
      </c>
      <c r="P95" s="102">
        <v>614</v>
      </c>
      <c r="Q95" s="102">
        <v>591</v>
      </c>
      <c r="R95" s="102">
        <v>580</v>
      </c>
      <c r="S95" s="102">
        <v>568</v>
      </c>
      <c r="T95" s="102">
        <v>550</v>
      </c>
      <c r="U95" s="102">
        <v>1009</v>
      </c>
      <c r="V95" s="102">
        <v>1001</v>
      </c>
      <c r="W95" s="102">
        <v>971</v>
      </c>
      <c r="X95" s="102">
        <v>964</v>
      </c>
      <c r="Y95" s="102">
        <v>961</v>
      </c>
      <c r="DA95" s="175"/>
    </row>
    <row r="96" spans="1:105" ht="11.45" hidden="1" customHeight="1" x14ac:dyDescent="0.25">
      <c r="A96" s="111" t="s">
        <v>111</v>
      </c>
      <c r="B96" s="102">
        <v>86391</v>
      </c>
      <c r="C96" s="102">
        <v>88156</v>
      </c>
      <c r="D96" s="102">
        <v>90117</v>
      </c>
      <c r="E96" s="102">
        <v>90894</v>
      </c>
      <c r="F96" s="102">
        <v>91139</v>
      </c>
      <c r="G96" s="102">
        <v>92266</v>
      </c>
      <c r="H96" s="102">
        <v>93287</v>
      </c>
      <c r="I96" s="102">
        <v>93146</v>
      </c>
      <c r="J96" s="102">
        <v>93805</v>
      </c>
      <c r="K96" s="102">
        <v>93328</v>
      </c>
      <c r="L96" s="102">
        <v>92826</v>
      </c>
      <c r="M96" s="102">
        <v>93935</v>
      </c>
      <c r="N96" s="102">
        <v>91540</v>
      </c>
      <c r="O96" s="102">
        <v>89227</v>
      </c>
      <c r="P96" s="102">
        <v>89231</v>
      </c>
      <c r="Q96" s="102">
        <v>89201</v>
      </c>
      <c r="R96" s="102">
        <v>89009</v>
      </c>
      <c r="S96" s="102">
        <v>89651</v>
      </c>
      <c r="T96" s="102">
        <v>85882</v>
      </c>
      <c r="U96" s="102">
        <v>89514</v>
      </c>
      <c r="V96" s="102">
        <v>89135</v>
      </c>
      <c r="W96" s="102">
        <v>89202</v>
      </c>
      <c r="X96" s="102">
        <v>88541</v>
      </c>
      <c r="Y96" s="102">
        <v>87615</v>
      </c>
      <c r="DA96" s="175"/>
    </row>
    <row r="97" spans="1:105" ht="11.45" hidden="1" customHeight="1" x14ac:dyDescent="0.25">
      <c r="A97" s="111" t="s">
        <v>112</v>
      </c>
      <c r="B97" s="102">
        <v>72</v>
      </c>
      <c r="C97" s="102">
        <v>81</v>
      </c>
      <c r="D97" s="102">
        <v>77</v>
      </c>
      <c r="E97" s="102">
        <v>90</v>
      </c>
      <c r="F97" s="102">
        <v>140</v>
      </c>
      <c r="G97" s="102">
        <v>204</v>
      </c>
      <c r="H97" s="102">
        <v>229</v>
      </c>
      <c r="I97" s="102">
        <v>275</v>
      </c>
      <c r="J97" s="102">
        <v>332</v>
      </c>
      <c r="K97" s="102">
        <v>453</v>
      </c>
      <c r="L97" s="102">
        <v>456</v>
      </c>
      <c r="M97" s="102">
        <v>439</v>
      </c>
      <c r="N97" s="102">
        <v>420</v>
      </c>
      <c r="O97" s="102">
        <v>401</v>
      </c>
      <c r="P97" s="102">
        <v>380</v>
      </c>
      <c r="Q97" s="102">
        <v>358</v>
      </c>
      <c r="R97" s="102">
        <v>339</v>
      </c>
      <c r="S97" s="102">
        <v>322</v>
      </c>
      <c r="T97" s="102">
        <v>304</v>
      </c>
      <c r="U97" s="102">
        <v>297</v>
      </c>
      <c r="V97" s="102">
        <v>297</v>
      </c>
      <c r="W97" s="102">
        <v>271</v>
      </c>
      <c r="X97" s="102">
        <v>228</v>
      </c>
      <c r="Y97" s="102">
        <v>188</v>
      </c>
      <c r="DA97" s="175"/>
    </row>
    <row r="98" spans="1:105" ht="11.45" hidden="1" customHeight="1" x14ac:dyDescent="0.25">
      <c r="A98" s="111" t="s">
        <v>113</v>
      </c>
      <c r="B98" s="102">
        <v>691</v>
      </c>
      <c r="C98" s="102">
        <v>697</v>
      </c>
      <c r="D98" s="102">
        <v>631</v>
      </c>
      <c r="E98" s="102">
        <v>989</v>
      </c>
      <c r="F98" s="102">
        <v>962</v>
      </c>
      <c r="G98" s="102">
        <v>1352</v>
      </c>
      <c r="H98" s="102">
        <v>1995</v>
      </c>
      <c r="I98" s="102">
        <v>2437</v>
      </c>
      <c r="J98" s="102">
        <v>2892</v>
      </c>
      <c r="K98" s="102">
        <v>3150</v>
      </c>
      <c r="L98" s="102">
        <v>3378</v>
      </c>
      <c r="M98" s="102">
        <v>3543</v>
      </c>
      <c r="N98" s="102">
        <v>3642</v>
      </c>
      <c r="O98" s="102">
        <v>3712</v>
      </c>
      <c r="P98" s="102">
        <v>3551</v>
      </c>
      <c r="Q98" s="102">
        <v>3372</v>
      </c>
      <c r="R98" s="102">
        <v>3424</v>
      </c>
      <c r="S98" s="102">
        <v>4023</v>
      </c>
      <c r="T98" s="102">
        <v>8762</v>
      </c>
      <c r="U98" s="102">
        <v>4729</v>
      </c>
      <c r="V98" s="102">
        <v>4812</v>
      </c>
      <c r="W98" s="102">
        <v>4946</v>
      </c>
      <c r="X98" s="102">
        <v>5386</v>
      </c>
      <c r="Y98" s="102">
        <v>5964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494</v>
      </c>
      <c r="P99" s="102">
        <v>493</v>
      </c>
      <c r="Q99" s="102">
        <v>494</v>
      </c>
      <c r="R99" s="102">
        <v>497</v>
      </c>
      <c r="S99" s="102">
        <v>516</v>
      </c>
      <c r="T99" s="102">
        <v>486</v>
      </c>
      <c r="U99" s="102">
        <v>537</v>
      </c>
      <c r="V99" s="102">
        <v>586</v>
      </c>
      <c r="W99" s="102">
        <v>744</v>
      </c>
      <c r="X99" s="102">
        <v>838</v>
      </c>
      <c r="Y99" s="102">
        <v>1290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3557281</v>
      </c>
      <c r="C100" s="28">
        <f t="shared" si="158"/>
        <v>3724693</v>
      </c>
      <c r="D100" s="28">
        <f t="shared" ref="D100:V100" si="159">D101+D107</f>
        <v>3951023</v>
      </c>
      <c r="E100" s="28">
        <f t="shared" si="159"/>
        <v>4135930</v>
      </c>
      <c r="F100" s="28">
        <f t="shared" si="159"/>
        <v>4195570</v>
      </c>
      <c r="G100" s="28">
        <f t="shared" si="159"/>
        <v>4357455</v>
      </c>
      <c r="H100" s="28">
        <f t="shared" si="159"/>
        <v>4515414</v>
      </c>
      <c r="I100" s="28">
        <f t="shared" si="159"/>
        <v>4612790</v>
      </c>
      <c r="J100" s="28">
        <f t="shared" si="159"/>
        <v>4699644</v>
      </c>
      <c r="K100" s="28">
        <f t="shared" si="159"/>
        <v>4736650</v>
      </c>
      <c r="L100" s="28">
        <f t="shared" si="159"/>
        <v>4779072</v>
      </c>
      <c r="M100" s="28">
        <f t="shared" si="159"/>
        <v>4824005</v>
      </c>
      <c r="N100" s="28">
        <f t="shared" si="159"/>
        <v>4818340</v>
      </c>
      <c r="O100" s="28">
        <f t="shared" si="159"/>
        <v>4777291</v>
      </c>
      <c r="P100" s="28">
        <f t="shared" si="159"/>
        <v>4779235</v>
      </c>
      <c r="Q100" s="28">
        <f t="shared" si="159"/>
        <v>4813406</v>
      </c>
      <c r="R100" s="28">
        <f t="shared" si="159"/>
        <v>4830038</v>
      </c>
      <c r="S100" s="28">
        <f t="shared" si="159"/>
        <v>4864918</v>
      </c>
      <c r="T100" s="28">
        <f t="shared" si="159"/>
        <v>4922439</v>
      </c>
      <c r="U100" s="28">
        <f t="shared" si="159"/>
        <v>4976508</v>
      </c>
      <c r="V100" s="28">
        <f t="shared" si="159"/>
        <v>5029575</v>
      </c>
      <c r="W100" s="28">
        <f t="shared" ref="W100:Y100" si="160">W101+W107</f>
        <v>5095492</v>
      </c>
      <c r="X100" s="28">
        <f t="shared" si="160"/>
        <v>5164820</v>
      </c>
      <c r="Y100" s="28">
        <f t="shared" si="160"/>
        <v>5287493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2637172</v>
      </c>
      <c r="C101" s="137">
        <f t="shared" si="161"/>
        <v>2804885</v>
      </c>
      <c r="D101" s="137">
        <f t="shared" ref="D101:V101" si="162">SUM(D102:D106)</f>
        <v>3027282</v>
      </c>
      <c r="E101" s="137">
        <f t="shared" si="162"/>
        <v>3209962</v>
      </c>
      <c r="F101" s="137">
        <f t="shared" si="162"/>
        <v>3272318</v>
      </c>
      <c r="G101" s="137">
        <f t="shared" si="162"/>
        <v>3432827</v>
      </c>
      <c r="H101" s="137">
        <f t="shared" si="162"/>
        <v>3579735</v>
      </c>
      <c r="I101" s="137">
        <f t="shared" si="162"/>
        <v>3673354</v>
      </c>
      <c r="J101" s="137">
        <f t="shared" si="162"/>
        <v>3761540</v>
      </c>
      <c r="K101" s="137">
        <f t="shared" si="162"/>
        <v>3802936</v>
      </c>
      <c r="L101" s="137">
        <f t="shared" si="162"/>
        <v>3855887</v>
      </c>
      <c r="M101" s="137">
        <f t="shared" si="162"/>
        <v>3900300</v>
      </c>
      <c r="N101" s="137">
        <f t="shared" si="162"/>
        <v>3914121</v>
      </c>
      <c r="O101" s="137">
        <f t="shared" si="162"/>
        <v>3894922</v>
      </c>
      <c r="P101" s="137">
        <f t="shared" si="162"/>
        <v>3909637</v>
      </c>
      <c r="Q101" s="137">
        <f t="shared" si="162"/>
        <v>3944261</v>
      </c>
      <c r="R101" s="137">
        <f t="shared" si="162"/>
        <v>4022228</v>
      </c>
      <c r="S101" s="137">
        <f t="shared" si="162"/>
        <v>4089425</v>
      </c>
      <c r="T101" s="137">
        <f t="shared" si="162"/>
        <v>4144626</v>
      </c>
      <c r="U101" s="137">
        <f t="shared" si="162"/>
        <v>4200074</v>
      </c>
      <c r="V101" s="137">
        <f t="shared" si="162"/>
        <v>4292148</v>
      </c>
      <c r="W101" s="137">
        <f t="shared" ref="W101:Y101" si="163">SUM(W102:W106)</f>
        <v>4350789</v>
      </c>
      <c r="X101" s="137">
        <f t="shared" si="163"/>
        <v>4411888</v>
      </c>
      <c r="Y101" s="137">
        <f t="shared" si="163"/>
        <v>4527220</v>
      </c>
      <c r="DA101" s="174"/>
    </row>
    <row r="102" spans="1:105" ht="11.45" hidden="1" customHeight="1" x14ac:dyDescent="0.25">
      <c r="A102" s="111" t="s">
        <v>110</v>
      </c>
      <c r="B102" s="84">
        <v>252409</v>
      </c>
      <c r="C102" s="84">
        <v>263033</v>
      </c>
      <c r="D102" s="84">
        <v>278148</v>
      </c>
      <c r="E102" s="84">
        <v>288969</v>
      </c>
      <c r="F102" s="84">
        <v>288626</v>
      </c>
      <c r="G102" s="84">
        <v>296661</v>
      </c>
      <c r="H102" s="84">
        <v>303102</v>
      </c>
      <c r="I102" s="84">
        <v>265204</v>
      </c>
      <c r="J102" s="84">
        <v>256570</v>
      </c>
      <c r="K102" s="84">
        <v>243999</v>
      </c>
      <c r="L102" s="84">
        <v>233317</v>
      </c>
      <c r="M102" s="84">
        <v>237222</v>
      </c>
      <c r="N102" s="84">
        <v>218599</v>
      </c>
      <c r="O102" s="84">
        <v>213153</v>
      </c>
      <c r="P102" s="84">
        <v>207425</v>
      </c>
      <c r="Q102" s="84">
        <v>199341</v>
      </c>
      <c r="R102" s="84">
        <v>192936</v>
      </c>
      <c r="S102" s="84">
        <v>184559</v>
      </c>
      <c r="T102" s="84">
        <v>180561</v>
      </c>
      <c r="U102" s="84">
        <v>183088</v>
      </c>
      <c r="V102" s="84">
        <v>186840</v>
      </c>
      <c r="W102" s="84">
        <v>189764</v>
      </c>
      <c r="X102" s="84">
        <v>204846</v>
      </c>
      <c r="Y102" s="84">
        <v>218856</v>
      </c>
      <c r="DA102" s="171"/>
    </row>
    <row r="103" spans="1:105" ht="11.45" hidden="1" customHeight="1" x14ac:dyDescent="0.25">
      <c r="A103" s="111" t="s">
        <v>111</v>
      </c>
      <c r="B103" s="84">
        <v>2370095</v>
      </c>
      <c r="C103" s="84">
        <v>2524678</v>
      </c>
      <c r="D103" s="84">
        <v>2728721</v>
      </c>
      <c r="E103" s="84">
        <v>2897148</v>
      </c>
      <c r="F103" s="84">
        <v>2956902</v>
      </c>
      <c r="G103" s="84">
        <v>3105183</v>
      </c>
      <c r="H103" s="84">
        <v>3240999</v>
      </c>
      <c r="I103" s="84">
        <v>3373071</v>
      </c>
      <c r="J103" s="84">
        <v>3459014</v>
      </c>
      <c r="K103" s="84">
        <v>3494966</v>
      </c>
      <c r="L103" s="84">
        <v>3530458</v>
      </c>
      <c r="M103" s="84">
        <v>3567974</v>
      </c>
      <c r="N103" s="84">
        <v>3573103</v>
      </c>
      <c r="O103" s="84">
        <v>3553989</v>
      </c>
      <c r="P103" s="84">
        <v>3567629</v>
      </c>
      <c r="Q103" s="84">
        <v>3604429</v>
      </c>
      <c r="R103" s="84">
        <v>3685095</v>
      </c>
      <c r="S103" s="84">
        <v>3760448</v>
      </c>
      <c r="T103" s="84">
        <v>3817440</v>
      </c>
      <c r="U103" s="84">
        <v>3861336</v>
      </c>
      <c r="V103" s="84">
        <v>3944651</v>
      </c>
      <c r="W103" s="84">
        <v>3993457</v>
      </c>
      <c r="X103" s="84">
        <v>4041628</v>
      </c>
      <c r="Y103" s="84">
        <v>4131519</v>
      </c>
      <c r="DA103" s="171"/>
    </row>
    <row r="104" spans="1:105" ht="11.45" hidden="1" customHeight="1" x14ac:dyDescent="0.25">
      <c r="A104" s="111" t="s">
        <v>112</v>
      </c>
      <c r="B104" s="84">
        <v>7466</v>
      </c>
      <c r="C104" s="84">
        <v>8576</v>
      </c>
      <c r="D104" s="84">
        <v>9997</v>
      </c>
      <c r="E104" s="84">
        <v>11449</v>
      </c>
      <c r="F104" s="84">
        <v>12606</v>
      </c>
      <c r="G104" s="84">
        <v>14282</v>
      </c>
      <c r="H104" s="84">
        <v>16086</v>
      </c>
      <c r="I104" s="84">
        <v>15502</v>
      </c>
      <c r="J104" s="84">
        <v>18675</v>
      </c>
      <c r="K104" s="84">
        <v>24802</v>
      </c>
      <c r="L104" s="84">
        <v>30912</v>
      </c>
      <c r="M104" s="84">
        <v>34102</v>
      </c>
      <c r="N104" s="84">
        <v>39001</v>
      </c>
      <c r="O104" s="84">
        <v>41592</v>
      </c>
      <c r="P104" s="84">
        <v>44262</v>
      </c>
      <c r="Q104" s="84">
        <v>46506</v>
      </c>
      <c r="R104" s="84">
        <v>45432</v>
      </c>
      <c r="S104" s="84">
        <v>46477</v>
      </c>
      <c r="T104" s="84">
        <v>45744</v>
      </c>
      <c r="U104" s="84">
        <v>49126</v>
      </c>
      <c r="V104" s="84">
        <v>51413</v>
      </c>
      <c r="W104" s="84">
        <v>56240</v>
      </c>
      <c r="X104" s="84">
        <v>51304</v>
      </c>
      <c r="Y104" s="84">
        <v>54523</v>
      </c>
      <c r="DA104" s="171"/>
    </row>
    <row r="105" spans="1:105" ht="11.45" hidden="1" customHeight="1" x14ac:dyDescent="0.25">
      <c r="A105" s="111" t="s">
        <v>113</v>
      </c>
      <c r="B105" s="84">
        <v>7202</v>
      </c>
      <c r="C105" s="84">
        <v>8598</v>
      </c>
      <c r="D105" s="84">
        <v>10416</v>
      </c>
      <c r="E105" s="84">
        <v>12396</v>
      </c>
      <c r="F105" s="84">
        <v>14184</v>
      </c>
      <c r="G105" s="84">
        <v>16701</v>
      </c>
      <c r="H105" s="84">
        <v>19548</v>
      </c>
      <c r="I105" s="84">
        <v>19577</v>
      </c>
      <c r="J105" s="84">
        <v>27281</v>
      </c>
      <c r="K105" s="84">
        <v>39169</v>
      </c>
      <c r="L105" s="84">
        <v>61200</v>
      </c>
      <c r="M105" s="84">
        <v>61000</v>
      </c>
      <c r="N105" s="84">
        <v>83023</v>
      </c>
      <c r="O105" s="84">
        <v>86000</v>
      </c>
      <c r="P105" s="84">
        <v>90000</v>
      </c>
      <c r="Q105" s="84">
        <v>93000</v>
      </c>
      <c r="R105" s="84">
        <v>97000</v>
      </c>
      <c r="S105" s="84">
        <v>95872</v>
      </c>
      <c r="T105" s="84">
        <v>97966</v>
      </c>
      <c r="U105" s="84">
        <v>101281</v>
      </c>
      <c r="V105" s="84">
        <v>102929</v>
      </c>
      <c r="W105" s="84">
        <v>101887</v>
      </c>
      <c r="X105" s="84">
        <v>101133</v>
      </c>
      <c r="Y105" s="84">
        <v>102769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2</v>
      </c>
      <c r="N106" s="84">
        <v>395</v>
      </c>
      <c r="O106" s="84">
        <v>188</v>
      </c>
      <c r="P106" s="84">
        <v>321</v>
      </c>
      <c r="Q106" s="84">
        <v>985</v>
      </c>
      <c r="R106" s="84">
        <v>1765</v>
      </c>
      <c r="S106" s="84">
        <v>2069</v>
      </c>
      <c r="T106" s="84">
        <v>2915</v>
      </c>
      <c r="U106" s="84">
        <v>5243</v>
      </c>
      <c r="V106" s="84">
        <v>6315</v>
      </c>
      <c r="W106" s="84">
        <v>9441</v>
      </c>
      <c r="X106" s="84">
        <v>12977</v>
      </c>
      <c r="Y106" s="84">
        <v>19553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920109</v>
      </c>
      <c r="C107" s="110">
        <f t="shared" si="164"/>
        <v>919808</v>
      </c>
      <c r="D107" s="110">
        <f t="shared" ref="D107:V107" si="165">SUM(D108:D109)</f>
        <v>923741</v>
      </c>
      <c r="E107" s="110">
        <f t="shared" si="165"/>
        <v>925968</v>
      </c>
      <c r="F107" s="110">
        <f t="shared" si="165"/>
        <v>923252</v>
      </c>
      <c r="G107" s="110">
        <f t="shared" si="165"/>
        <v>924628</v>
      </c>
      <c r="H107" s="110">
        <f t="shared" si="165"/>
        <v>935679</v>
      </c>
      <c r="I107" s="110">
        <f t="shared" si="165"/>
        <v>939436</v>
      </c>
      <c r="J107" s="110">
        <f t="shared" si="165"/>
        <v>938104</v>
      </c>
      <c r="K107" s="110">
        <f t="shared" si="165"/>
        <v>933714</v>
      </c>
      <c r="L107" s="110">
        <f t="shared" si="165"/>
        <v>923185</v>
      </c>
      <c r="M107" s="110">
        <f t="shared" si="165"/>
        <v>923705</v>
      </c>
      <c r="N107" s="110">
        <f t="shared" si="165"/>
        <v>904219</v>
      </c>
      <c r="O107" s="110">
        <f t="shared" si="165"/>
        <v>882369</v>
      </c>
      <c r="P107" s="110">
        <f t="shared" si="165"/>
        <v>869598</v>
      </c>
      <c r="Q107" s="110">
        <f t="shared" si="165"/>
        <v>869145</v>
      </c>
      <c r="R107" s="110">
        <f t="shared" si="165"/>
        <v>807810</v>
      </c>
      <c r="S107" s="110">
        <f t="shared" si="165"/>
        <v>775493</v>
      </c>
      <c r="T107" s="110">
        <f t="shared" si="165"/>
        <v>777813</v>
      </c>
      <c r="U107" s="110">
        <f t="shared" si="165"/>
        <v>776434</v>
      </c>
      <c r="V107" s="110">
        <f t="shared" si="165"/>
        <v>737427</v>
      </c>
      <c r="W107" s="110">
        <f t="shared" ref="W107:Y107" si="166">SUM(W108:W109)</f>
        <v>744703</v>
      </c>
      <c r="X107" s="110">
        <f t="shared" si="166"/>
        <v>752932</v>
      </c>
      <c r="Y107" s="110">
        <f t="shared" si="166"/>
        <v>760273</v>
      </c>
      <c r="DA107" s="176"/>
    </row>
    <row r="108" spans="1:105" ht="11.45" hidden="1" customHeight="1" x14ac:dyDescent="0.25">
      <c r="A108" s="128" t="s">
        <v>27</v>
      </c>
      <c r="B108" s="102">
        <v>900818</v>
      </c>
      <c r="C108" s="102">
        <v>899128</v>
      </c>
      <c r="D108" s="102">
        <v>901986</v>
      </c>
      <c r="E108" s="102">
        <v>903734</v>
      </c>
      <c r="F108" s="102">
        <v>896965</v>
      </c>
      <c r="G108" s="102">
        <v>897429</v>
      </c>
      <c r="H108" s="102">
        <v>906748</v>
      </c>
      <c r="I108" s="102">
        <v>910772</v>
      </c>
      <c r="J108" s="102">
        <v>907938</v>
      </c>
      <c r="K108" s="102">
        <v>907312</v>
      </c>
      <c r="L108" s="102">
        <v>894676</v>
      </c>
      <c r="M108" s="102">
        <v>899032</v>
      </c>
      <c r="N108" s="102">
        <v>881105</v>
      </c>
      <c r="O108" s="102">
        <v>857499</v>
      </c>
      <c r="P108" s="102">
        <v>844072</v>
      </c>
      <c r="Q108" s="102">
        <v>844057</v>
      </c>
      <c r="R108" s="102">
        <v>781286</v>
      </c>
      <c r="S108" s="102">
        <v>745799</v>
      </c>
      <c r="T108" s="102">
        <v>749102</v>
      </c>
      <c r="U108" s="102">
        <v>746469</v>
      </c>
      <c r="V108" s="102">
        <v>707966</v>
      </c>
      <c r="W108" s="102">
        <v>711751</v>
      </c>
      <c r="X108" s="102">
        <v>719173</v>
      </c>
      <c r="Y108" s="102">
        <v>728510</v>
      </c>
      <c r="DA108" s="175"/>
    </row>
    <row r="109" spans="1:105" ht="11.45" hidden="1" customHeight="1" x14ac:dyDescent="0.25">
      <c r="A109" s="138" t="s">
        <v>116</v>
      </c>
      <c r="B109" s="86">
        <v>19291</v>
      </c>
      <c r="C109" s="86">
        <v>20680</v>
      </c>
      <c r="D109" s="86">
        <v>21755</v>
      </c>
      <c r="E109" s="86">
        <v>22234</v>
      </c>
      <c r="F109" s="86">
        <v>26287</v>
      </c>
      <c r="G109" s="86">
        <v>27199</v>
      </c>
      <c r="H109" s="86">
        <v>28931</v>
      </c>
      <c r="I109" s="86">
        <v>28664</v>
      </c>
      <c r="J109" s="86">
        <v>30166</v>
      </c>
      <c r="K109" s="86">
        <v>26402</v>
      </c>
      <c r="L109" s="86">
        <v>28509</v>
      </c>
      <c r="M109" s="86">
        <v>24673</v>
      </c>
      <c r="N109" s="86">
        <v>23114</v>
      </c>
      <c r="O109" s="86">
        <v>24870</v>
      </c>
      <c r="P109" s="86">
        <v>25526</v>
      </c>
      <c r="Q109" s="86">
        <v>25088</v>
      </c>
      <c r="R109" s="86">
        <v>26524</v>
      </c>
      <c r="S109" s="86">
        <v>29694</v>
      </c>
      <c r="T109" s="86">
        <v>28711</v>
      </c>
      <c r="U109" s="86">
        <v>29965</v>
      </c>
      <c r="V109" s="86">
        <v>29461</v>
      </c>
      <c r="W109" s="86">
        <v>32952</v>
      </c>
      <c r="X109" s="86">
        <v>33759</v>
      </c>
      <c r="Y109" s="86">
        <v>31763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3826176</v>
      </c>
      <c r="C111" s="54">
        <f t="shared" si="167"/>
        <v>4172131</v>
      </c>
      <c r="D111" s="54">
        <f t="shared" si="167"/>
        <v>4023393</v>
      </c>
      <c r="E111" s="54">
        <f t="shared" si="167"/>
        <v>4395960</v>
      </c>
      <c r="F111" s="54">
        <f t="shared" si="167"/>
        <v>4352838</v>
      </c>
      <c r="G111" s="54">
        <f t="shared" si="167"/>
        <v>4299573</v>
      </c>
      <c r="H111" s="54">
        <f t="shared" si="167"/>
        <v>4397456</v>
      </c>
      <c r="I111" s="54">
        <f t="shared" si="167"/>
        <v>4300415</v>
      </c>
      <c r="J111" s="54">
        <f t="shared" si="167"/>
        <v>3900179</v>
      </c>
      <c r="K111" s="54">
        <f t="shared" si="167"/>
        <v>3929100</v>
      </c>
      <c r="L111" s="54">
        <f t="shared" ref="L111" si="168">L112+L127</f>
        <v>3565550</v>
      </c>
      <c r="M111" s="54">
        <f t="shared" ref="M111:V111" si="169">M112+M127</f>
        <v>3245949</v>
      </c>
      <c r="N111" s="54">
        <f t="shared" si="169"/>
        <v>2771063</v>
      </c>
      <c r="O111" s="54">
        <f t="shared" si="169"/>
        <v>2989063</v>
      </c>
      <c r="P111" s="54">
        <f t="shared" si="169"/>
        <v>3062886</v>
      </c>
      <c r="Q111" s="54">
        <f t="shared" si="169"/>
        <v>3123956</v>
      </c>
      <c r="R111" s="54">
        <f t="shared" si="169"/>
        <v>2874254</v>
      </c>
      <c r="S111" s="54">
        <f t="shared" si="169"/>
        <v>3091396</v>
      </c>
      <c r="T111" s="54">
        <f t="shared" si="169"/>
        <v>3138729</v>
      </c>
      <c r="U111" s="54">
        <f t="shared" si="169"/>
        <v>3164681</v>
      </c>
      <c r="V111" s="54">
        <f t="shared" si="169"/>
        <v>2475794</v>
      </c>
      <c r="W111" s="54">
        <f t="shared" ref="W111:Y111" si="170">W112+W127</f>
        <v>3233066</v>
      </c>
      <c r="X111" s="54">
        <f t="shared" si="170"/>
        <v>2413557</v>
      </c>
      <c r="Y111" s="54">
        <f t="shared" si="170"/>
        <v>2843144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3824247</v>
      </c>
      <c r="C112" s="28">
        <f t="shared" si="171"/>
        <v>3851450</v>
      </c>
      <c r="D112" s="28">
        <f t="shared" si="171"/>
        <v>3624280</v>
      </c>
      <c r="E112" s="28">
        <f t="shared" si="171"/>
        <v>4014228</v>
      </c>
      <c r="F112" s="28">
        <f t="shared" si="171"/>
        <v>4066513</v>
      </c>
      <c r="G112" s="28">
        <f t="shared" si="171"/>
        <v>3895408</v>
      </c>
      <c r="H112" s="28">
        <f t="shared" si="171"/>
        <v>3985593</v>
      </c>
      <c r="I112" s="28">
        <f t="shared" si="171"/>
        <v>3907776</v>
      </c>
      <c r="J112" s="28">
        <f t="shared" si="171"/>
        <v>3549094</v>
      </c>
      <c r="K112" s="28">
        <f t="shared" si="171"/>
        <v>3588900</v>
      </c>
      <c r="L112" s="28">
        <f t="shared" ref="L112" si="172">L113+L114+L121</f>
        <v>3206268</v>
      </c>
      <c r="M112" s="28">
        <f t="shared" ref="M112:V112" si="173">M113+M114+M121</f>
        <v>2886992</v>
      </c>
      <c r="N112" s="28">
        <f t="shared" si="173"/>
        <v>2435790</v>
      </c>
      <c r="O112" s="28">
        <f t="shared" si="173"/>
        <v>2689091</v>
      </c>
      <c r="P112" s="28">
        <f t="shared" si="173"/>
        <v>2724431</v>
      </c>
      <c r="Q112" s="28">
        <f t="shared" si="173"/>
        <v>2757894</v>
      </c>
      <c r="R112" s="28">
        <f t="shared" si="173"/>
        <v>2504364</v>
      </c>
      <c r="S112" s="28">
        <f t="shared" si="173"/>
        <v>2708686</v>
      </c>
      <c r="T112" s="28">
        <f t="shared" si="173"/>
        <v>2748860</v>
      </c>
      <c r="U112" s="28">
        <f t="shared" si="173"/>
        <v>2770117</v>
      </c>
      <c r="V112" s="28">
        <f t="shared" si="173"/>
        <v>2160739</v>
      </c>
      <c r="W112" s="28">
        <f t="shared" ref="W112:Y112" si="174">W113+W114+W121</f>
        <v>2831769</v>
      </c>
      <c r="X112" s="28">
        <f t="shared" si="174"/>
        <v>1987989</v>
      </c>
      <c r="Y112" s="28">
        <f t="shared" si="174"/>
        <v>2365642</v>
      </c>
      <c r="DA112" s="173" t="s">
        <v>527</v>
      </c>
    </row>
    <row r="113" spans="1:105" ht="11.45" customHeight="1" x14ac:dyDescent="0.25">
      <c r="A113" s="136" t="s">
        <v>173</v>
      </c>
      <c r="B113" s="137">
        <v>839390</v>
      </c>
      <c r="C113" s="137">
        <v>829787</v>
      </c>
      <c r="D113" s="137">
        <v>757902</v>
      </c>
      <c r="E113" s="137">
        <v>820302</v>
      </c>
      <c r="F113" s="137">
        <v>674382</v>
      </c>
      <c r="G113" s="137">
        <v>672765</v>
      </c>
      <c r="H113" s="137">
        <v>711979</v>
      </c>
      <c r="I113" s="137">
        <v>697534</v>
      </c>
      <c r="J113" s="137">
        <v>653198</v>
      </c>
      <c r="K113" s="137">
        <v>712994</v>
      </c>
      <c r="L113" s="137">
        <v>512702</v>
      </c>
      <c r="M113" s="137">
        <v>410030</v>
      </c>
      <c r="N113" s="137">
        <v>330066</v>
      </c>
      <c r="O113" s="137">
        <v>654931</v>
      </c>
      <c r="P113" s="137">
        <v>664723</v>
      </c>
      <c r="Q113" s="137">
        <v>475317</v>
      </c>
      <c r="R113" s="137">
        <v>404139</v>
      </c>
      <c r="S113" s="137">
        <v>433475</v>
      </c>
      <c r="T113" s="137">
        <v>439493</v>
      </c>
      <c r="U113" s="137">
        <v>491386</v>
      </c>
      <c r="V113" s="137">
        <v>403490</v>
      </c>
      <c r="W113" s="137">
        <v>1028582</v>
      </c>
      <c r="X113" s="137">
        <v>320244</v>
      </c>
      <c r="Y113" s="137">
        <v>365775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2979534</v>
      </c>
      <c r="C114" s="110">
        <f t="shared" si="175"/>
        <v>3012300</v>
      </c>
      <c r="D114" s="110">
        <f t="shared" si="175"/>
        <v>2856676</v>
      </c>
      <c r="E114" s="110">
        <f t="shared" si="175"/>
        <v>3184841</v>
      </c>
      <c r="F114" s="110">
        <f t="shared" si="175"/>
        <v>3383888</v>
      </c>
      <c r="G114" s="110">
        <f t="shared" si="175"/>
        <v>3213139</v>
      </c>
      <c r="H114" s="110">
        <f t="shared" si="175"/>
        <v>3264134</v>
      </c>
      <c r="I114" s="110">
        <f t="shared" si="175"/>
        <v>3202283</v>
      </c>
      <c r="J114" s="110">
        <f t="shared" si="175"/>
        <v>2887318</v>
      </c>
      <c r="K114" s="110">
        <f t="shared" si="175"/>
        <v>2868854</v>
      </c>
      <c r="L114" s="110">
        <f t="shared" ref="L114" si="176">SUM(L115:L120)</f>
        <v>2686945</v>
      </c>
      <c r="M114" s="110">
        <f t="shared" ref="M114:V114" si="177">SUM(M115:M120)</f>
        <v>2469026</v>
      </c>
      <c r="N114" s="110">
        <f t="shared" si="177"/>
        <v>2101544</v>
      </c>
      <c r="O114" s="110">
        <f t="shared" si="177"/>
        <v>2029096</v>
      </c>
      <c r="P114" s="110">
        <f t="shared" si="177"/>
        <v>2053607</v>
      </c>
      <c r="Q114" s="110">
        <f t="shared" si="177"/>
        <v>2276555</v>
      </c>
      <c r="R114" s="110">
        <f t="shared" si="177"/>
        <v>2095079</v>
      </c>
      <c r="S114" s="110">
        <f t="shared" si="177"/>
        <v>2268467</v>
      </c>
      <c r="T114" s="110">
        <f t="shared" si="177"/>
        <v>2302229</v>
      </c>
      <c r="U114" s="110">
        <f t="shared" si="177"/>
        <v>2268747</v>
      </c>
      <c r="V114" s="110">
        <f t="shared" si="177"/>
        <v>1751263</v>
      </c>
      <c r="W114" s="110">
        <f t="shared" ref="W114:Y114" si="178">SUM(W115:W120)</f>
        <v>1796268</v>
      </c>
      <c r="X114" s="110">
        <f t="shared" si="178"/>
        <v>1660407</v>
      </c>
      <c r="Y114" s="110">
        <f t="shared" si="178"/>
        <v>1992283</v>
      </c>
      <c r="DA114" s="176" t="s">
        <v>529</v>
      </c>
    </row>
    <row r="115" spans="1:105" ht="11.45" customHeight="1" x14ac:dyDescent="0.25">
      <c r="A115" s="111" t="s">
        <v>110</v>
      </c>
      <c r="B115" s="84">
        <v>1887051</v>
      </c>
      <c r="C115" s="84">
        <v>1741451</v>
      </c>
      <c r="D115" s="84">
        <v>1800395</v>
      </c>
      <c r="E115" s="84">
        <v>1800633</v>
      </c>
      <c r="F115" s="84">
        <v>1607297</v>
      </c>
      <c r="G115" s="84">
        <v>1435577</v>
      </c>
      <c r="H115" s="84">
        <v>1466449</v>
      </c>
      <c r="I115" s="84">
        <v>1476218</v>
      </c>
      <c r="J115" s="84">
        <v>1370819</v>
      </c>
      <c r="K115" s="84">
        <v>1225405</v>
      </c>
      <c r="L115" s="84">
        <v>1133337</v>
      </c>
      <c r="M115" s="84">
        <v>1104026</v>
      </c>
      <c r="N115" s="84">
        <v>876808</v>
      </c>
      <c r="O115" s="84">
        <v>816482</v>
      </c>
      <c r="P115" s="84">
        <v>848907</v>
      </c>
      <c r="Q115" s="84">
        <v>968990</v>
      </c>
      <c r="R115" s="84">
        <v>679684</v>
      </c>
      <c r="S115" s="84">
        <v>759053</v>
      </c>
      <c r="T115" s="84">
        <v>847008</v>
      </c>
      <c r="U115" s="84">
        <v>1050589</v>
      </c>
      <c r="V115" s="84">
        <v>816317</v>
      </c>
      <c r="W115" s="84">
        <v>857020</v>
      </c>
      <c r="X115" s="84">
        <v>809045</v>
      </c>
      <c r="Y115" s="84">
        <v>1034823</v>
      </c>
      <c r="DA115" s="171" t="s">
        <v>530</v>
      </c>
    </row>
    <row r="116" spans="1:105" ht="11.45" customHeight="1" x14ac:dyDescent="0.25">
      <c r="A116" s="111" t="s">
        <v>111</v>
      </c>
      <c r="B116" s="84">
        <v>1092483</v>
      </c>
      <c r="C116" s="84">
        <v>1223849</v>
      </c>
      <c r="D116" s="84">
        <v>1056281</v>
      </c>
      <c r="E116" s="84">
        <v>1368006</v>
      </c>
      <c r="F116" s="84">
        <v>1776591</v>
      </c>
      <c r="G116" s="84">
        <v>1649412</v>
      </c>
      <c r="H116" s="84">
        <v>1728684</v>
      </c>
      <c r="I116" s="84">
        <v>1644781</v>
      </c>
      <c r="J116" s="84">
        <v>1375629</v>
      </c>
      <c r="K116" s="84">
        <v>1181913</v>
      </c>
      <c r="L116" s="84">
        <v>1184555</v>
      </c>
      <c r="M116" s="84">
        <v>1264602</v>
      </c>
      <c r="N116" s="84">
        <v>1042193</v>
      </c>
      <c r="O116" s="84">
        <v>1009340</v>
      </c>
      <c r="P116" s="84">
        <v>985732</v>
      </c>
      <c r="Q116" s="84">
        <v>1121390</v>
      </c>
      <c r="R116" s="84">
        <v>1266962</v>
      </c>
      <c r="S116" s="84">
        <v>1342046</v>
      </c>
      <c r="T116" s="84">
        <v>1218304</v>
      </c>
      <c r="U116" s="84">
        <v>1025532</v>
      </c>
      <c r="V116" s="84">
        <v>746633</v>
      </c>
      <c r="W116" s="84">
        <v>665326</v>
      </c>
      <c r="X116" s="84">
        <v>602016</v>
      </c>
      <c r="Y116" s="84">
        <v>649928</v>
      </c>
      <c r="DA116" s="171" t="s">
        <v>531</v>
      </c>
    </row>
    <row r="117" spans="1:105" ht="11.45" customHeight="1" x14ac:dyDescent="0.25">
      <c r="A117" s="111" t="s">
        <v>112</v>
      </c>
      <c r="B117" s="84">
        <v>0</v>
      </c>
      <c r="C117" s="84">
        <v>1000</v>
      </c>
      <c r="D117" s="84">
        <v>0</v>
      </c>
      <c r="E117" s="84">
        <v>12000</v>
      </c>
      <c r="F117" s="84">
        <v>0</v>
      </c>
      <c r="G117" s="84">
        <v>89150</v>
      </c>
      <c r="H117" s="84">
        <v>19001</v>
      </c>
      <c r="I117" s="84">
        <v>21660</v>
      </c>
      <c r="J117" s="84">
        <v>62069</v>
      </c>
      <c r="K117" s="84">
        <v>333715</v>
      </c>
      <c r="L117" s="84">
        <v>299600</v>
      </c>
      <c r="M117" s="84">
        <v>56658</v>
      </c>
      <c r="N117" s="84">
        <v>128126</v>
      </c>
      <c r="O117" s="84">
        <v>116100</v>
      </c>
      <c r="P117" s="84">
        <v>124635</v>
      </c>
      <c r="Q117" s="84">
        <v>120728</v>
      </c>
      <c r="R117" s="84">
        <v>101753</v>
      </c>
      <c r="S117" s="84">
        <v>128765</v>
      </c>
      <c r="T117" s="84">
        <v>187503</v>
      </c>
      <c r="U117" s="84">
        <v>137096</v>
      </c>
      <c r="V117" s="84">
        <v>94989</v>
      </c>
      <c r="W117" s="84">
        <v>108090</v>
      </c>
      <c r="X117" s="84">
        <v>118415</v>
      </c>
      <c r="Y117" s="84">
        <v>141624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46000</v>
      </c>
      <c r="D118" s="84">
        <v>0</v>
      </c>
      <c r="E118" s="84">
        <v>4202</v>
      </c>
      <c r="F118" s="84">
        <v>0</v>
      </c>
      <c r="G118" s="84">
        <v>39000</v>
      </c>
      <c r="H118" s="84">
        <v>50000</v>
      </c>
      <c r="I118" s="84">
        <v>59624</v>
      </c>
      <c r="J118" s="84">
        <v>78801</v>
      </c>
      <c r="K118" s="84">
        <v>127821</v>
      </c>
      <c r="L118" s="84">
        <v>65772</v>
      </c>
      <c r="M118" s="84">
        <v>38303</v>
      </c>
      <c r="N118" s="84">
        <v>53658</v>
      </c>
      <c r="O118" s="84">
        <v>72387</v>
      </c>
      <c r="P118" s="84">
        <v>72387</v>
      </c>
      <c r="Q118" s="84">
        <v>62939</v>
      </c>
      <c r="R118" s="84">
        <v>43787</v>
      </c>
      <c r="S118" s="84">
        <v>32752</v>
      </c>
      <c r="T118" s="84">
        <v>39605</v>
      </c>
      <c r="U118" s="84">
        <v>38638</v>
      </c>
      <c r="V118" s="84">
        <v>32455</v>
      </c>
      <c r="W118" s="84">
        <v>31695</v>
      </c>
      <c r="X118" s="84">
        <v>18034</v>
      </c>
      <c r="Y118" s="84">
        <v>32825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141</v>
      </c>
      <c r="O119" s="84">
        <v>13922</v>
      </c>
      <c r="P119" s="84">
        <v>20791</v>
      </c>
      <c r="Q119" s="84">
        <v>932</v>
      </c>
      <c r="R119" s="84">
        <v>1396</v>
      </c>
      <c r="S119" s="84">
        <v>3742</v>
      </c>
      <c r="T119" s="84">
        <v>4611</v>
      </c>
      <c r="U119" s="84">
        <v>6234</v>
      </c>
      <c r="V119" s="84">
        <v>28388</v>
      </c>
      <c r="W119" s="84">
        <v>64959</v>
      </c>
      <c r="X119" s="84">
        <v>63490</v>
      </c>
      <c r="Y119" s="84">
        <v>66789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3681</v>
      </c>
      <c r="M120" s="84">
        <v>5437</v>
      </c>
      <c r="N120" s="84">
        <v>618</v>
      </c>
      <c r="O120" s="84">
        <v>865</v>
      </c>
      <c r="P120" s="84">
        <v>1155</v>
      </c>
      <c r="Q120" s="84">
        <v>1576</v>
      </c>
      <c r="R120" s="84">
        <v>1497</v>
      </c>
      <c r="S120" s="84">
        <v>2109</v>
      </c>
      <c r="T120" s="84">
        <v>5198</v>
      </c>
      <c r="U120" s="84">
        <v>10658</v>
      </c>
      <c r="V120" s="84">
        <v>32481</v>
      </c>
      <c r="W120" s="84">
        <v>69178</v>
      </c>
      <c r="X120" s="84">
        <v>49407</v>
      </c>
      <c r="Y120" s="84">
        <v>66294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5323</v>
      </c>
      <c r="C121" s="110">
        <f t="shared" si="179"/>
        <v>9363</v>
      </c>
      <c r="D121" s="110">
        <f t="shared" si="179"/>
        <v>9702</v>
      </c>
      <c r="E121" s="110">
        <f t="shared" si="179"/>
        <v>9085</v>
      </c>
      <c r="F121" s="110">
        <f t="shared" si="179"/>
        <v>8243</v>
      </c>
      <c r="G121" s="110">
        <f t="shared" si="179"/>
        <v>9504</v>
      </c>
      <c r="H121" s="110">
        <f t="shared" si="179"/>
        <v>9480</v>
      </c>
      <c r="I121" s="110">
        <f t="shared" si="179"/>
        <v>7959</v>
      </c>
      <c r="J121" s="110">
        <f t="shared" si="179"/>
        <v>8578</v>
      </c>
      <c r="K121" s="110">
        <f t="shared" si="179"/>
        <v>7052</v>
      </c>
      <c r="L121" s="110">
        <f t="shared" ref="L121" si="180">SUM(L122:L126)</f>
        <v>6621</v>
      </c>
      <c r="M121" s="110">
        <f t="shared" ref="M121:V121" si="181">SUM(M122:M126)</f>
        <v>7936</v>
      </c>
      <c r="N121" s="110">
        <f t="shared" si="181"/>
        <v>4180</v>
      </c>
      <c r="O121" s="110">
        <f t="shared" si="181"/>
        <v>5064</v>
      </c>
      <c r="P121" s="110">
        <f t="shared" si="181"/>
        <v>6101</v>
      </c>
      <c r="Q121" s="110">
        <f t="shared" si="181"/>
        <v>6022</v>
      </c>
      <c r="R121" s="110">
        <f t="shared" si="181"/>
        <v>5146</v>
      </c>
      <c r="S121" s="110">
        <f t="shared" si="181"/>
        <v>6744</v>
      </c>
      <c r="T121" s="110">
        <f t="shared" si="181"/>
        <v>7138</v>
      </c>
      <c r="U121" s="110">
        <f t="shared" si="181"/>
        <v>9984</v>
      </c>
      <c r="V121" s="110">
        <f t="shared" si="181"/>
        <v>5986</v>
      </c>
      <c r="W121" s="110">
        <f t="shared" ref="W121:Y121" si="182">SUM(W122:W126)</f>
        <v>6919</v>
      </c>
      <c r="X121" s="110">
        <f t="shared" si="182"/>
        <v>7338</v>
      </c>
      <c r="Y121" s="110">
        <f t="shared" si="182"/>
        <v>7584</v>
      </c>
      <c r="DA121" s="176" t="s">
        <v>536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10</v>
      </c>
      <c r="J122" s="102">
        <v>34</v>
      </c>
      <c r="K122" s="102">
        <v>25</v>
      </c>
      <c r="L122" s="102">
        <v>15</v>
      </c>
      <c r="M122" s="102">
        <v>9</v>
      </c>
      <c r="N122" s="102">
        <v>4</v>
      </c>
      <c r="O122" s="102">
        <v>472</v>
      </c>
      <c r="P122" s="102">
        <v>3</v>
      </c>
      <c r="Q122" s="102">
        <v>1</v>
      </c>
      <c r="R122" s="102">
        <v>0</v>
      </c>
      <c r="S122" s="102">
        <v>2</v>
      </c>
      <c r="T122" s="102">
        <v>0</v>
      </c>
      <c r="U122" s="102">
        <v>480</v>
      </c>
      <c r="V122" s="102">
        <v>17</v>
      </c>
      <c r="W122" s="102">
        <v>1</v>
      </c>
      <c r="X122" s="102">
        <v>42</v>
      </c>
      <c r="Y122" s="102">
        <v>48</v>
      </c>
      <c r="DA122" s="175" t="s">
        <v>537</v>
      </c>
    </row>
    <row r="123" spans="1:105" ht="11.45" customHeight="1" x14ac:dyDescent="0.25">
      <c r="A123" s="111" t="s">
        <v>111</v>
      </c>
      <c r="B123" s="102">
        <v>5323</v>
      </c>
      <c r="C123" s="102">
        <v>9284</v>
      </c>
      <c r="D123" s="102">
        <v>9702</v>
      </c>
      <c r="E123" s="102">
        <v>8648</v>
      </c>
      <c r="F123" s="102">
        <v>8154</v>
      </c>
      <c r="G123" s="102">
        <v>8982</v>
      </c>
      <c r="H123" s="102">
        <v>8744</v>
      </c>
      <c r="I123" s="102">
        <v>7390</v>
      </c>
      <c r="J123" s="102">
        <v>7954</v>
      </c>
      <c r="K123" s="102">
        <v>6560</v>
      </c>
      <c r="L123" s="102">
        <v>6277</v>
      </c>
      <c r="M123" s="102">
        <v>7650</v>
      </c>
      <c r="N123" s="102">
        <v>3949</v>
      </c>
      <c r="O123" s="102">
        <v>3883</v>
      </c>
      <c r="P123" s="102">
        <v>6098</v>
      </c>
      <c r="Q123" s="102">
        <v>6015</v>
      </c>
      <c r="R123" s="102">
        <v>4898</v>
      </c>
      <c r="S123" s="102">
        <v>6063</v>
      </c>
      <c r="T123" s="102">
        <v>2284</v>
      </c>
      <c r="U123" s="102">
        <v>9239</v>
      </c>
      <c r="V123" s="102">
        <v>5741</v>
      </c>
      <c r="W123" s="102">
        <v>6324</v>
      </c>
      <c r="X123" s="102">
        <v>6638</v>
      </c>
      <c r="Y123" s="102">
        <v>6107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9</v>
      </c>
      <c r="D124" s="102">
        <v>0</v>
      </c>
      <c r="E124" s="102">
        <v>13</v>
      </c>
      <c r="F124" s="102">
        <v>50</v>
      </c>
      <c r="G124" s="102">
        <v>64</v>
      </c>
      <c r="H124" s="102">
        <v>25</v>
      </c>
      <c r="I124" s="102">
        <v>46</v>
      </c>
      <c r="J124" s="102">
        <v>57</v>
      </c>
      <c r="K124" s="102">
        <v>121</v>
      </c>
      <c r="L124" s="102">
        <v>3</v>
      </c>
      <c r="M124" s="102">
        <v>0</v>
      </c>
      <c r="N124" s="102">
        <v>0</v>
      </c>
      <c r="O124" s="102">
        <v>1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6</v>
      </c>
      <c r="W124" s="102">
        <v>0</v>
      </c>
      <c r="X124" s="102">
        <v>0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70</v>
      </c>
      <c r="D125" s="102">
        <v>0</v>
      </c>
      <c r="E125" s="102">
        <v>424</v>
      </c>
      <c r="F125" s="102">
        <v>39</v>
      </c>
      <c r="G125" s="102">
        <v>458</v>
      </c>
      <c r="H125" s="102">
        <v>711</v>
      </c>
      <c r="I125" s="102">
        <v>513</v>
      </c>
      <c r="J125" s="102">
        <v>533</v>
      </c>
      <c r="K125" s="102">
        <v>346</v>
      </c>
      <c r="L125" s="102">
        <v>326</v>
      </c>
      <c r="M125" s="102">
        <v>277</v>
      </c>
      <c r="N125" s="102">
        <v>227</v>
      </c>
      <c r="O125" s="102">
        <v>214</v>
      </c>
      <c r="P125" s="102">
        <v>0</v>
      </c>
      <c r="Q125" s="102">
        <v>0</v>
      </c>
      <c r="R125" s="102">
        <v>238</v>
      </c>
      <c r="S125" s="102">
        <v>650</v>
      </c>
      <c r="T125" s="102">
        <v>4794</v>
      </c>
      <c r="U125" s="102">
        <v>198</v>
      </c>
      <c r="V125" s="102">
        <v>168</v>
      </c>
      <c r="W125" s="102">
        <v>330</v>
      </c>
      <c r="X125" s="102">
        <v>535</v>
      </c>
      <c r="Y125" s="102">
        <v>959</v>
      </c>
      <c r="DA125" s="175" t="s">
        <v>540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494</v>
      </c>
      <c r="P126" s="102">
        <v>0</v>
      </c>
      <c r="Q126" s="102">
        <v>6</v>
      </c>
      <c r="R126" s="102">
        <v>10</v>
      </c>
      <c r="S126" s="102">
        <v>29</v>
      </c>
      <c r="T126" s="102">
        <v>60</v>
      </c>
      <c r="U126" s="102">
        <v>67</v>
      </c>
      <c r="V126" s="102">
        <v>54</v>
      </c>
      <c r="W126" s="102">
        <v>264</v>
      </c>
      <c r="X126" s="102">
        <v>123</v>
      </c>
      <c r="Y126" s="102">
        <v>470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1929</v>
      </c>
      <c r="C127" s="28">
        <f t="shared" si="183"/>
        <v>320681</v>
      </c>
      <c r="D127" s="28">
        <f t="shared" si="183"/>
        <v>399113</v>
      </c>
      <c r="E127" s="28">
        <f t="shared" si="183"/>
        <v>381732</v>
      </c>
      <c r="F127" s="28">
        <f t="shared" si="183"/>
        <v>286325</v>
      </c>
      <c r="G127" s="28">
        <f t="shared" si="183"/>
        <v>404165</v>
      </c>
      <c r="H127" s="28">
        <f t="shared" si="183"/>
        <v>411863</v>
      </c>
      <c r="I127" s="28">
        <f t="shared" si="183"/>
        <v>392639</v>
      </c>
      <c r="J127" s="28">
        <f t="shared" si="183"/>
        <v>351085</v>
      </c>
      <c r="K127" s="28">
        <f t="shared" si="183"/>
        <v>340200</v>
      </c>
      <c r="L127" s="28">
        <f t="shared" ref="L127" si="184">L128+L134</f>
        <v>359282</v>
      </c>
      <c r="M127" s="28">
        <f t="shared" ref="M127:V127" si="185">M128+M134</f>
        <v>358957</v>
      </c>
      <c r="N127" s="28">
        <f t="shared" si="185"/>
        <v>335273</v>
      </c>
      <c r="O127" s="28">
        <f t="shared" si="185"/>
        <v>299972</v>
      </c>
      <c r="P127" s="28">
        <f t="shared" si="185"/>
        <v>338455</v>
      </c>
      <c r="Q127" s="28">
        <f t="shared" si="185"/>
        <v>366062</v>
      </c>
      <c r="R127" s="28">
        <f t="shared" si="185"/>
        <v>369890</v>
      </c>
      <c r="S127" s="28">
        <f t="shared" si="185"/>
        <v>382710</v>
      </c>
      <c r="T127" s="28">
        <f t="shared" si="185"/>
        <v>389869</v>
      </c>
      <c r="U127" s="28">
        <f t="shared" si="185"/>
        <v>394564</v>
      </c>
      <c r="V127" s="28">
        <f t="shared" si="185"/>
        <v>315055</v>
      </c>
      <c r="W127" s="28">
        <f t="shared" ref="W127:Y127" si="186">W128+W134</f>
        <v>401297</v>
      </c>
      <c r="X127" s="28">
        <f t="shared" si="186"/>
        <v>425568</v>
      </c>
      <c r="Y127" s="28">
        <f t="shared" si="186"/>
        <v>477502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0</v>
      </c>
      <c r="C128" s="137">
        <f t="shared" si="187"/>
        <v>283279</v>
      </c>
      <c r="D128" s="137">
        <f t="shared" si="187"/>
        <v>355254</v>
      </c>
      <c r="E128" s="137">
        <f t="shared" si="187"/>
        <v>333021</v>
      </c>
      <c r="F128" s="137">
        <f t="shared" si="187"/>
        <v>230112</v>
      </c>
      <c r="G128" s="137">
        <f t="shared" si="187"/>
        <v>344874</v>
      </c>
      <c r="H128" s="137">
        <f t="shared" si="187"/>
        <v>346717</v>
      </c>
      <c r="I128" s="137">
        <f t="shared" si="187"/>
        <v>325776</v>
      </c>
      <c r="J128" s="137">
        <f t="shared" si="187"/>
        <v>281914</v>
      </c>
      <c r="K128" s="137">
        <f t="shared" si="187"/>
        <v>276348</v>
      </c>
      <c r="L128" s="137">
        <f t="shared" ref="L128" si="188">SUM(L129:L133)</f>
        <v>291635</v>
      </c>
      <c r="M128" s="137">
        <f t="shared" ref="M128:V128" si="189">SUM(M129:M133)</f>
        <v>291286</v>
      </c>
      <c r="N128" s="137">
        <f t="shared" si="189"/>
        <v>281734</v>
      </c>
      <c r="O128" s="137">
        <f t="shared" si="189"/>
        <v>245162</v>
      </c>
      <c r="P128" s="137">
        <f t="shared" si="189"/>
        <v>276099</v>
      </c>
      <c r="Q128" s="137">
        <f t="shared" si="189"/>
        <v>298438</v>
      </c>
      <c r="R128" s="137">
        <f t="shared" si="189"/>
        <v>357925</v>
      </c>
      <c r="S128" s="137">
        <f t="shared" si="189"/>
        <v>347665</v>
      </c>
      <c r="T128" s="137">
        <f t="shared" si="189"/>
        <v>322975</v>
      </c>
      <c r="U128" s="137">
        <f t="shared" si="189"/>
        <v>332515</v>
      </c>
      <c r="V128" s="137">
        <f t="shared" si="189"/>
        <v>305763</v>
      </c>
      <c r="W128" s="137">
        <f t="shared" ref="W128:Y128" si="190">SUM(W129:W133)</f>
        <v>342996</v>
      </c>
      <c r="X128" s="137">
        <f t="shared" si="190"/>
        <v>351945</v>
      </c>
      <c r="Y128" s="137">
        <f t="shared" si="190"/>
        <v>409843</v>
      </c>
      <c r="DA128" s="174" t="s">
        <v>543</v>
      </c>
    </row>
    <row r="129" spans="1:105" ht="11.45" customHeight="1" x14ac:dyDescent="0.25">
      <c r="A129" s="111" t="s">
        <v>110</v>
      </c>
      <c r="B129" s="84">
        <v>0</v>
      </c>
      <c r="C129" s="84">
        <v>21685</v>
      </c>
      <c r="D129" s="84">
        <v>27816</v>
      </c>
      <c r="E129" s="84">
        <v>25147</v>
      </c>
      <c r="F129" s="84">
        <v>15564</v>
      </c>
      <c r="G129" s="84">
        <v>25404</v>
      </c>
      <c r="H129" s="84">
        <v>25117</v>
      </c>
      <c r="I129" s="84">
        <v>0</v>
      </c>
      <c r="J129" s="84">
        <v>9568</v>
      </c>
      <c r="K129" s="84">
        <v>6139</v>
      </c>
      <c r="L129" s="84">
        <v>5125</v>
      </c>
      <c r="M129" s="84">
        <v>16429</v>
      </c>
      <c r="N129" s="84">
        <v>6319</v>
      </c>
      <c r="O129" s="84">
        <v>12099</v>
      </c>
      <c r="P129" s="84">
        <v>14099</v>
      </c>
      <c r="Q129" s="84">
        <v>11445</v>
      </c>
      <c r="R129" s="84">
        <v>11900</v>
      </c>
      <c r="S129" s="84">
        <v>9326</v>
      </c>
      <c r="T129" s="84">
        <v>12210</v>
      </c>
      <c r="U129" s="84">
        <v>18058</v>
      </c>
      <c r="V129" s="84">
        <v>15595</v>
      </c>
      <c r="W129" s="84">
        <v>29117</v>
      </c>
      <c r="X129" s="84">
        <v>38972</v>
      </c>
      <c r="Y129" s="84">
        <v>36610</v>
      </c>
      <c r="DA129" s="171" t="s">
        <v>544</v>
      </c>
    </row>
    <row r="130" spans="1:105" ht="11.45" customHeight="1" x14ac:dyDescent="0.25">
      <c r="A130" s="111" t="s">
        <v>111</v>
      </c>
      <c r="B130" s="84">
        <v>0</v>
      </c>
      <c r="C130" s="84">
        <v>258445</v>
      </c>
      <c r="D130" s="84">
        <v>323456</v>
      </c>
      <c r="E130" s="84">
        <v>303587</v>
      </c>
      <c r="F130" s="84">
        <v>210623</v>
      </c>
      <c r="G130" s="84">
        <v>314162</v>
      </c>
      <c r="H130" s="84">
        <v>315687</v>
      </c>
      <c r="I130" s="84">
        <v>324905</v>
      </c>
      <c r="J130" s="84">
        <v>261469</v>
      </c>
      <c r="K130" s="84">
        <v>251841</v>
      </c>
      <c r="L130" s="84">
        <v>258097</v>
      </c>
      <c r="M130" s="84">
        <v>266609</v>
      </c>
      <c r="N130" s="84">
        <v>242967</v>
      </c>
      <c r="O130" s="84">
        <v>222185</v>
      </c>
      <c r="P130" s="84">
        <v>251871</v>
      </c>
      <c r="Q130" s="84">
        <v>277151</v>
      </c>
      <c r="R130" s="84">
        <v>334990</v>
      </c>
      <c r="S130" s="84">
        <v>330580</v>
      </c>
      <c r="T130" s="84">
        <v>301693</v>
      </c>
      <c r="U130" s="84">
        <v>301776</v>
      </c>
      <c r="V130" s="84">
        <v>281355</v>
      </c>
      <c r="W130" s="84">
        <v>300997</v>
      </c>
      <c r="X130" s="84">
        <v>302029</v>
      </c>
      <c r="Y130" s="84">
        <v>357300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1437</v>
      </c>
      <c r="D131" s="84">
        <v>1799</v>
      </c>
      <c r="E131" s="84">
        <v>1885</v>
      </c>
      <c r="F131" s="84">
        <v>1651</v>
      </c>
      <c r="G131" s="84">
        <v>2233</v>
      </c>
      <c r="H131" s="84">
        <v>2429</v>
      </c>
      <c r="I131" s="84">
        <v>113</v>
      </c>
      <c r="J131" s="84">
        <v>3173</v>
      </c>
      <c r="K131" s="84">
        <v>6127</v>
      </c>
      <c r="L131" s="84">
        <v>6110</v>
      </c>
      <c r="M131" s="84">
        <v>3190</v>
      </c>
      <c r="N131" s="84">
        <v>9619</v>
      </c>
      <c r="O131" s="84">
        <v>3902</v>
      </c>
      <c r="P131" s="84">
        <v>4162</v>
      </c>
      <c r="Q131" s="84">
        <v>3932</v>
      </c>
      <c r="R131" s="84">
        <v>3052</v>
      </c>
      <c r="S131" s="84">
        <v>3201</v>
      </c>
      <c r="T131" s="84">
        <v>3252</v>
      </c>
      <c r="U131" s="84">
        <v>4017</v>
      </c>
      <c r="V131" s="84">
        <v>2951</v>
      </c>
      <c r="W131" s="84">
        <v>5548</v>
      </c>
      <c r="X131" s="84">
        <v>4847</v>
      </c>
      <c r="Y131" s="84">
        <v>5999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1712</v>
      </c>
      <c r="D132" s="84">
        <v>2183</v>
      </c>
      <c r="E132" s="84">
        <v>2402</v>
      </c>
      <c r="F132" s="84">
        <v>2274</v>
      </c>
      <c r="G132" s="84">
        <v>3075</v>
      </c>
      <c r="H132" s="84">
        <v>3484</v>
      </c>
      <c r="I132" s="84">
        <v>758</v>
      </c>
      <c r="J132" s="84">
        <v>7704</v>
      </c>
      <c r="K132" s="84">
        <v>12241</v>
      </c>
      <c r="L132" s="84">
        <v>22303</v>
      </c>
      <c r="M132" s="84">
        <v>5056</v>
      </c>
      <c r="N132" s="84">
        <v>22434</v>
      </c>
      <c r="O132" s="84">
        <v>6788</v>
      </c>
      <c r="P132" s="84">
        <v>5646</v>
      </c>
      <c r="Q132" s="84">
        <v>5244</v>
      </c>
      <c r="R132" s="84">
        <v>7199</v>
      </c>
      <c r="S132" s="84">
        <v>4019</v>
      </c>
      <c r="T132" s="84">
        <v>4963</v>
      </c>
      <c r="U132" s="84">
        <v>6320</v>
      </c>
      <c r="V132" s="84">
        <v>4751</v>
      </c>
      <c r="W132" s="84">
        <v>3772</v>
      </c>
      <c r="X132" s="84">
        <v>1959</v>
      </c>
      <c r="Y132" s="84">
        <v>3294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2</v>
      </c>
      <c r="N133" s="84">
        <v>395</v>
      </c>
      <c r="O133" s="84">
        <v>188</v>
      </c>
      <c r="P133" s="84">
        <v>321</v>
      </c>
      <c r="Q133" s="84">
        <v>666</v>
      </c>
      <c r="R133" s="84">
        <v>784</v>
      </c>
      <c r="S133" s="84">
        <v>539</v>
      </c>
      <c r="T133" s="84">
        <v>857</v>
      </c>
      <c r="U133" s="84">
        <v>2344</v>
      </c>
      <c r="V133" s="84">
        <v>1111</v>
      </c>
      <c r="W133" s="84">
        <v>3562</v>
      </c>
      <c r="X133" s="84">
        <v>4138</v>
      </c>
      <c r="Y133" s="84">
        <v>6640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1929</v>
      </c>
      <c r="C134" s="110">
        <f t="shared" si="191"/>
        <v>37402</v>
      </c>
      <c r="D134" s="110">
        <f t="shared" si="191"/>
        <v>43859</v>
      </c>
      <c r="E134" s="110">
        <f t="shared" si="191"/>
        <v>48711</v>
      </c>
      <c r="F134" s="110">
        <f t="shared" si="191"/>
        <v>56213</v>
      </c>
      <c r="G134" s="110">
        <f t="shared" si="191"/>
        <v>59291</v>
      </c>
      <c r="H134" s="110">
        <f t="shared" si="191"/>
        <v>65146</v>
      </c>
      <c r="I134" s="110">
        <f t="shared" si="191"/>
        <v>66863</v>
      </c>
      <c r="J134" s="110">
        <f t="shared" si="191"/>
        <v>69171</v>
      </c>
      <c r="K134" s="110">
        <f t="shared" si="191"/>
        <v>63852</v>
      </c>
      <c r="L134" s="110">
        <f t="shared" ref="L134" si="192">SUM(L135:L136)</f>
        <v>67647</v>
      </c>
      <c r="M134" s="110">
        <f t="shared" ref="M134:V134" si="193">SUM(M135:M136)</f>
        <v>67671</v>
      </c>
      <c r="N134" s="110">
        <f t="shared" si="193"/>
        <v>53539</v>
      </c>
      <c r="O134" s="110">
        <f t="shared" si="193"/>
        <v>54810</v>
      </c>
      <c r="P134" s="110">
        <f t="shared" si="193"/>
        <v>62356</v>
      </c>
      <c r="Q134" s="110">
        <f t="shared" si="193"/>
        <v>67624</v>
      </c>
      <c r="R134" s="110">
        <f t="shared" si="193"/>
        <v>11965</v>
      </c>
      <c r="S134" s="110">
        <f t="shared" si="193"/>
        <v>35045</v>
      </c>
      <c r="T134" s="110">
        <f t="shared" si="193"/>
        <v>66894</v>
      </c>
      <c r="U134" s="110">
        <f t="shared" si="193"/>
        <v>62049</v>
      </c>
      <c r="V134" s="110">
        <f t="shared" si="193"/>
        <v>9292</v>
      </c>
      <c r="W134" s="110">
        <f t="shared" ref="W134:Y134" si="194">SUM(W135:W136)</f>
        <v>58301</v>
      </c>
      <c r="X134" s="110">
        <f t="shared" si="194"/>
        <v>73623</v>
      </c>
      <c r="Y134" s="110">
        <f t="shared" si="194"/>
        <v>67659</v>
      </c>
      <c r="DA134" s="176" t="s">
        <v>549</v>
      </c>
    </row>
    <row r="135" spans="1:105" ht="11.45" customHeight="1" x14ac:dyDescent="0.25">
      <c r="A135" s="128" t="s">
        <v>27</v>
      </c>
      <c r="B135" s="102">
        <v>0</v>
      </c>
      <c r="C135" s="102">
        <v>35170</v>
      </c>
      <c r="D135" s="102">
        <v>41760</v>
      </c>
      <c r="E135" s="102">
        <v>47024</v>
      </c>
      <c r="F135" s="102">
        <v>50775</v>
      </c>
      <c r="G135" s="102">
        <v>56790</v>
      </c>
      <c r="H135" s="102">
        <v>61635</v>
      </c>
      <c r="I135" s="102">
        <v>65166</v>
      </c>
      <c r="J135" s="102">
        <v>65551</v>
      </c>
      <c r="K135" s="102">
        <v>63852</v>
      </c>
      <c r="L135" s="102">
        <v>63395</v>
      </c>
      <c r="M135" s="102">
        <v>67671</v>
      </c>
      <c r="N135" s="102">
        <v>53101</v>
      </c>
      <c r="O135" s="102">
        <v>51063</v>
      </c>
      <c r="P135" s="102">
        <v>59725</v>
      </c>
      <c r="Q135" s="102">
        <v>66025</v>
      </c>
      <c r="R135" s="102">
        <v>8441</v>
      </c>
      <c r="S135" s="102">
        <v>29734</v>
      </c>
      <c r="T135" s="102">
        <v>65664</v>
      </c>
      <c r="U135" s="102">
        <v>58506</v>
      </c>
      <c r="V135" s="102">
        <v>7465</v>
      </c>
      <c r="W135" s="102">
        <v>52451</v>
      </c>
      <c r="X135" s="102">
        <v>70411</v>
      </c>
      <c r="Y135" s="102">
        <v>67205</v>
      </c>
      <c r="DA135" s="175" t="s">
        <v>550</v>
      </c>
    </row>
    <row r="136" spans="1:105" ht="11.45" customHeight="1" x14ac:dyDescent="0.25">
      <c r="A136" s="138" t="s">
        <v>116</v>
      </c>
      <c r="B136" s="86">
        <v>1929</v>
      </c>
      <c r="C136" s="86">
        <v>2232</v>
      </c>
      <c r="D136" s="86">
        <v>2099</v>
      </c>
      <c r="E136" s="86">
        <v>1687</v>
      </c>
      <c r="F136" s="86">
        <v>5438</v>
      </c>
      <c r="G136" s="86">
        <v>2501</v>
      </c>
      <c r="H136" s="86">
        <v>3511</v>
      </c>
      <c r="I136" s="86">
        <v>1697</v>
      </c>
      <c r="J136" s="86">
        <v>3620</v>
      </c>
      <c r="K136" s="86">
        <v>0</v>
      </c>
      <c r="L136" s="86">
        <v>4252</v>
      </c>
      <c r="M136" s="86">
        <v>0</v>
      </c>
      <c r="N136" s="86">
        <v>438</v>
      </c>
      <c r="O136" s="86">
        <v>3747</v>
      </c>
      <c r="P136" s="86">
        <v>2631</v>
      </c>
      <c r="Q136" s="86">
        <v>1599</v>
      </c>
      <c r="R136" s="86">
        <v>3524</v>
      </c>
      <c r="S136" s="86">
        <v>5311</v>
      </c>
      <c r="T136" s="86">
        <v>1230</v>
      </c>
      <c r="U136" s="86">
        <v>3543</v>
      </c>
      <c r="V136" s="86">
        <v>1827</v>
      </c>
      <c r="W136" s="86">
        <v>5850</v>
      </c>
      <c r="X136" s="86">
        <v>3212</v>
      </c>
      <c r="Y136" s="86">
        <v>454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2.1810301526563669</v>
      </c>
      <c r="C141" s="32">
        <f t="shared" si="195"/>
        <v>2.1124900513368057</v>
      </c>
      <c r="D141" s="32">
        <f t="shared" si="195"/>
        <v>2.1099403106434917</v>
      </c>
      <c r="E141" s="32">
        <f t="shared" si="195"/>
        <v>2.1099019691344707</v>
      </c>
      <c r="F141" s="32">
        <f t="shared" si="195"/>
        <v>2.1107984119395296</v>
      </c>
      <c r="G141" s="32">
        <f t="shared" si="195"/>
        <v>2.1163068893900534</v>
      </c>
      <c r="H141" s="32">
        <f t="shared" si="195"/>
        <v>2.1197635359339806</v>
      </c>
      <c r="I141" s="32">
        <f t="shared" si="195"/>
        <v>2.1231146510984633</v>
      </c>
      <c r="J141" s="32">
        <f t="shared" si="195"/>
        <v>2.1200005095102701</v>
      </c>
      <c r="K141" s="32">
        <f t="shared" si="195"/>
        <v>2.1075276824492053</v>
      </c>
      <c r="L141" s="32">
        <f t="shared" ref="L141" si="196">IF(L4=0,0,L4/L31)</f>
        <v>2.1085979949140792</v>
      </c>
      <c r="M141" s="32">
        <f t="shared" ref="M141:V141" si="197">IF(M4=0,0,M4/M31)</f>
        <v>2.0585630737591756</v>
      </c>
      <c r="N141" s="32">
        <f t="shared" si="197"/>
        <v>1.9166313508863699</v>
      </c>
      <c r="O141" s="32">
        <f t="shared" si="197"/>
        <v>2.0052318714602038</v>
      </c>
      <c r="P141" s="32">
        <f t="shared" si="197"/>
        <v>1.9271812374628923</v>
      </c>
      <c r="Q141" s="32">
        <f t="shared" si="197"/>
        <v>1.9921113782517552</v>
      </c>
      <c r="R141" s="32">
        <f t="shared" si="197"/>
        <v>2.0115444337462662</v>
      </c>
      <c r="S141" s="32">
        <f t="shared" si="197"/>
        <v>2.0591455293433207</v>
      </c>
      <c r="T141" s="32">
        <f t="shared" si="197"/>
        <v>2.0837341684119348</v>
      </c>
      <c r="U141" s="32">
        <f t="shared" si="197"/>
        <v>2.0978386872371346</v>
      </c>
      <c r="V141" s="32">
        <f t="shared" si="197"/>
        <v>1.6610403828342044</v>
      </c>
      <c r="W141" s="32">
        <f t="shared" ref="W141:Y141" si="198">IF(W4=0,0,W4/W31)</f>
        <v>2.0547530014023132</v>
      </c>
      <c r="X141" s="32">
        <f t="shared" si="198"/>
        <v>2.0422393842945787</v>
      </c>
      <c r="Y141" s="32">
        <f t="shared" si="198"/>
        <v>2.04091979032036</v>
      </c>
      <c r="DA141" s="173" t="s">
        <v>552</v>
      </c>
    </row>
    <row r="142" spans="1:105" ht="11.45" customHeight="1" x14ac:dyDescent="0.25">
      <c r="A142" s="136" t="s">
        <v>173</v>
      </c>
      <c r="B142" s="141">
        <v>1.2778358804689811</v>
      </c>
      <c r="C142" s="141">
        <v>1.2926890296380158</v>
      </c>
      <c r="D142" s="141">
        <v>1.2846079938749253</v>
      </c>
      <c r="E142" s="141">
        <v>1.279607873674615</v>
      </c>
      <c r="F142" s="141">
        <v>1.2919528007827046</v>
      </c>
      <c r="G142" s="141">
        <v>1.2820919817979246</v>
      </c>
      <c r="H142" s="141">
        <v>1.2950300754342352</v>
      </c>
      <c r="I142" s="141">
        <v>1.2756441709800832</v>
      </c>
      <c r="J142" s="141">
        <v>1.2830631301671418</v>
      </c>
      <c r="K142" s="141">
        <v>1.2349801284057571</v>
      </c>
      <c r="L142" s="141">
        <v>1.2128381563749135</v>
      </c>
      <c r="M142" s="141">
        <v>1.2683402523713998</v>
      </c>
      <c r="N142" s="141">
        <v>1.2725170618614523</v>
      </c>
      <c r="O142" s="141">
        <v>1.280903872802525</v>
      </c>
      <c r="P142" s="141">
        <v>1.2380987455345838</v>
      </c>
      <c r="Q142" s="141">
        <v>1.1892577016629899</v>
      </c>
      <c r="R142" s="141">
        <v>1.1894848209647746</v>
      </c>
      <c r="S142" s="141">
        <v>1.1887805411225494</v>
      </c>
      <c r="T142" s="141">
        <v>1.1881834206473638</v>
      </c>
      <c r="U142" s="141">
        <v>1.1891482515854945</v>
      </c>
      <c r="V142" s="141">
        <v>1.1875225752020311</v>
      </c>
      <c r="W142" s="141">
        <v>1.1884257832618641</v>
      </c>
      <c r="X142" s="141">
        <v>1.1883832817679569</v>
      </c>
      <c r="Y142" s="141">
        <v>1.1897693675624879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2.0309425506050149</v>
      </c>
      <c r="C143" s="130">
        <f t="shared" si="199"/>
        <v>1.9563523097939917</v>
      </c>
      <c r="D143" s="130">
        <f t="shared" si="199"/>
        <v>1.9510831393871964</v>
      </c>
      <c r="E143" s="130">
        <f t="shared" si="199"/>
        <v>1.9511844582973403</v>
      </c>
      <c r="F143" s="130">
        <f t="shared" si="199"/>
        <v>1.9514700995451169</v>
      </c>
      <c r="G143" s="130">
        <f t="shared" si="199"/>
        <v>1.9448132029041654</v>
      </c>
      <c r="H143" s="130">
        <f t="shared" si="199"/>
        <v>1.9376971109683943</v>
      </c>
      <c r="I143" s="130">
        <f t="shared" si="199"/>
        <v>1.9350932176409157</v>
      </c>
      <c r="J143" s="130">
        <f t="shared" si="199"/>
        <v>1.9357133460988969</v>
      </c>
      <c r="K143" s="130">
        <f t="shared" si="199"/>
        <v>1.9344356802652181</v>
      </c>
      <c r="L143" s="130">
        <f t="shared" ref="L143" si="200">IF(L6=0,0,L6/L33)</f>
        <v>1.9331263667654495</v>
      </c>
      <c r="M143" s="130">
        <f t="shared" ref="M143:V143" si="201">IF(M6=0,0,M6/M33)</f>
        <v>1.8720551302331407</v>
      </c>
      <c r="N143" s="130">
        <f t="shared" si="201"/>
        <v>1.7048003381519743</v>
      </c>
      <c r="O143" s="130">
        <f t="shared" si="201"/>
        <v>1.8023924718682487</v>
      </c>
      <c r="P143" s="130">
        <f t="shared" si="201"/>
        <v>1.7336890005309296</v>
      </c>
      <c r="Q143" s="130">
        <f t="shared" si="201"/>
        <v>1.8112578879385619</v>
      </c>
      <c r="R143" s="130">
        <f t="shared" si="201"/>
        <v>1.8389519395767273</v>
      </c>
      <c r="S143" s="130">
        <f t="shared" si="201"/>
        <v>1.8908658623299792</v>
      </c>
      <c r="T143" s="130">
        <f t="shared" si="201"/>
        <v>1.9069260800927306</v>
      </c>
      <c r="U143" s="130">
        <f t="shared" si="201"/>
        <v>1.9256430497917123</v>
      </c>
      <c r="V143" s="130">
        <f t="shared" si="201"/>
        <v>1.533683155652531</v>
      </c>
      <c r="W143" s="130">
        <f t="shared" ref="W143:Y143" si="202">IF(W6=0,0,W6/W33)</f>
        <v>1.9169804348959532</v>
      </c>
      <c r="X143" s="130">
        <f t="shared" si="202"/>
        <v>1.8852707984608401</v>
      </c>
      <c r="Y143" s="130">
        <f t="shared" si="202"/>
        <v>1.917352228296868</v>
      </c>
      <c r="DA143" s="176" t="s">
        <v>554</v>
      </c>
    </row>
    <row r="144" spans="1:105" ht="11.45" customHeight="1" x14ac:dyDescent="0.25">
      <c r="A144" s="111" t="s">
        <v>110</v>
      </c>
      <c r="B144" s="96">
        <v>2.0183314843450693</v>
      </c>
      <c r="C144" s="96">
        <v>1.9418951737397172</v>
      </c>
      <c r="D144" s="96">
        <v>1.9333231458443676</v>
      </c>
      <c r="E144" s="96">
        <v>1.9313758481646435</v>
      </c>
      <c r="F144" s="96">
        <v>1.9271355774557146</v>
      </c>
      <c r="G144" s="96">
        <v>1.9188898491600903</v>
      </c>
      <c r="H144" s="96">
        <v>1.9068060434049761</v>
      </c>
      <c r="I144" s="96">
        <v>1.903107496466006</v>
      </c>
      <c r="J144" s="96">
        <v>1.9033553372861014</v>
      </c>
      <c r="K144" s="96">
        <v>1.9033179867693792</v>
      </c>
      <c r="L144" s="96">
        <v>1.90248151697999</v>
      </c>
      <c r="M144" s="96">
        <v>1.8421891975679858</v>
      </c>
      <c r="N144" s="96">
        <v>1.6762706575854263</v>
      </c>
      <c r="O144" s="96">
        <v>1.7717333510264131</v>
      </c>
      <c r="P144" s="96">
        <v>1.7026747652256511</v>
      </c>
      <c r="Q144" s="96">
        <v>1.7785445698842777</v>
      </c>
      <c r="R144" s="96">
        <v>1.8048338493606304</v>
      </c>
      <c r="S144" s="96">
        <v>1.8551560836684911</v>
      </c>
      <c r="T144" s="96">
        <v>1.8707281225840502</v>
      </c>
      <c r="U144" s="96">
        <v>1.8897250788035169</v>
      </c>
      <c r="V144" s="96">
        <v>1.5052109684718802</v>
      </c>
      <c r="W144" s="96">
        <v>1.8827028995163555</v>
      </c>
      <c r="X144" s="96">
        <v>1.8521257136278835</v>
      </c>
      <c r="Y144" s="96">
        <v>1.8837215568354184</v>
      </c>
      <c r="DA144" s="171" t="s">
        <v>555</v>
      </c>
    </row>
    <row r="145" spans="1:105" ht="11.45" customHeight="1" x14ac:dyDescent="0.25">
      <c r="A145" s="111" t="s">
        <v>111</v>
      </c>
      <c r="B145" s="96">
        <v>2.0879912051669711</v>
      </c>
      <c r="C145" s="96">
        <v>2.0089168085491251</v>
      </c>
      <c r="D145" s="96">
        <v>2.0000489298112858</v>
      </c>
      <c r="E145" s="96">
        <v>1.9980344240372621</v>
      </c>
      <c r="F145" s="96">
        <v>1.993647806667201</v>
      </c>
      <c r="G145" s="96">
        <v>1.9851174892763248</v>
      </c>
      <c r="H145" s="96">
        <v>1.9726166288689428</v>
      </c>
      <c r="I145" s="96">
        <v>1.9687904320621412</v>
      </c>
      <c r="J145" s="96">
        <v>1.9690468267409409</v>
      </c>
      <c r="K145" s="96">
        <v>1.9690081871264735</v>
      </c>
      <c r="L145" s="96">
        <v>1.9681428478216167</v>
      </c>
      <c r="M145" s="96">
        <v>1.9057696283342176</v>
      </c>
      <c r="N145" s="96">
        <v>1.7341246557690977</v>
      </c>
      <c r="O145" s="96">
        <v>1.8328821026366577</v>
      </c>
      <c r="P145" s="96">
        <v>1.7614400620641946</v>
      </c>
      <c r="Q145" s="96">
        <v>1.8399284006218972</v>
      </c>
      <c r="R145" s="96">
        <v>1.8671250156291759</v>
      </c>
      <c r="S145" s="96">
        <v>1.919184047296741</v>
      </c>
      <c r="T145" s="96">
        <v>1.935293532063936</v>
      </c>
      <c r="U145" s="96">
        <v>1.9549461400814234</v>
      </c>
      <c r="V145" s="96">
        <v>1.5571610949278614</v>
      </c>
      <c r="W145" s="96">
        <v>1.9476816006802284</v>
      </c>
      <c r="X145" s="96">
        <v>1.9160490885239785</v>
      </c>
      <c r="Y145" s="96">
        <v>1.9487354154474155</v>
      </c>
      <c r="DA145" s="171" t="s">
        <v>556</v>
      </c>
    </row>
    <row r="146" spans="1:105" ht="11.45" customHeight="1" x14ac:dyDescent="0.25">
      <c r="A146" s="111" t="s">
        <v>112</v>
      </c>
      <c r="B146" s="96">
        <v>1.9700142740868645</v>
      </c>
      <c r="C146" s="96">
        <v>1.8976617405001719</v>
      </c>
      <c r="D146" s="96">
        <v>1.8925506452055805</v>
      </c>
      <c r="E146" s="96">
        <v>1.8926489245484204</v>
      </c>
      <c r="F146" s="96">
        <v>1.8929259965587637</v>
      </c>
      <c r="G146" s="96">
        <v>1.8864688068170405</v>
      </c>
      <c r="H146" s="96">
        <v>1.8795661976393423</v>
      </c>
      <c r="I146" s="96">
        <v>1.8770404211116885</v>
      </c>
      <c r="J146" s="96">
        <v>1.8776419457159299</v>
      </c>
      <c r="K146" s="96">
        <v>1.8764026098572615</v>
      </c>
      <c r="L146" s="96">
        <v>1.8751325757624859</v>
      </c>
      <c r="M146" s="96">
        <v>1.8158934763261467</v>
      </c>
      <c r="N146" s="96">
        <v>1.6536563280074152</v>
      </c>
      <c r="O146" s="96">
        <v>1.7483206977122008</v>
      </c>
      <c r="P146" s="96">
        <v>1.6816783305150014</v>
      </c>
      <c r="Q146" s="96">
        <v>1.7569201513004051</v>
      </c>
      <c r="R146" s="96">
        <v>1.7837833813894257</v>
      </c>
      <c r="S146" s="96">
        <v>1.83413988646008</v>
      </c>
      <c r="T146" s="96">
        <v>1.8497182976899482</v>
      </c>
      <c r="U146" s="96">
        <v>1.8678737582979608</v>
      </c>
      <c r="V146" s="96">
        <v>1.4876726609829551</v>
      </c>
      <c r="W146" s="96">
        <v>1.859471021849074</v>
      </c>
      <c r="X146" s="96">
        <v>1.8287126745070146</v>
      </c>
      <c r="Y146" s="96">
        <v>1.8598316614479624</v>
      </c>
      <c r="DA146" s="171" t="s">
        <v>557</v>
      </c>
    </row>
    <row r="147" spans="1:105" ht="11.45" customHeight="1" x14ac:dyDescent="0.25">
      <c r="A147" s="111" t="s">
        <v>113</v>
      </c>
      <c r="B147" s="96">
        <v>1.9700142740868645</v>
      </c>
      <c r="C147" s="96">
        <v>1.8976617405001719</v>
      </c>
      <c r="D147" s="96">
        <v>1.8925506452055807</v>
      </c>
      <c r="E147" s="96">
        <v>1.8926489245484199</v>
      </c>
      <c r="F147" s="96">
        <v>1.8929259965587637</v>
      </c>
      <c r="G147" s="96">
        <v>1.8864688068170403</v>
      </c>
      <c r="H147" s="96">
        <v>1.8795661976393423</v>
      </c>
      <c r="I147" s="96">
        <v>1.8770404211116882</v>
      </c>
      <c r="J147" s="96">
        <v>1.8776419457159299</v>
      </c>
      <c r="K147" s="96">
        <v>1.8764026098572615</v>
      </c>
      <c r="L147" s="96">
        <v>1.8751325757624859</v>
      </c>
      <c r="M147" s="96">
        <v>1.8158934763261465</v>
      </c>
      <c r="N147" s="96">
        <v>1.653656328007415</v>
      </c>
      <c r="O147" s="96">
        <v>1.7483206977122008</v>
      </c>
      <c r="P147" s="96">
        <v>1.6816783305150012</v>
      </c>
      <c r="Q147" s="96">
        <v>1.7569201513004051</v>
      </c>
      <c r="R147" s="96">
        <v>1.7837833813894259</v>
      </c>
      <c r="S147" s="96">
        <v>1.8341398864600802</v>
      </c>
      <c r="T147" s="96">
        <v>1.8497182976899482</v>
      </c>
      <c r="U147" s="96">
        <v>1.867873758297961</v>
      </c>
      <c r="V147" s="96">
        <v>1.4876726609829549</v>
      </c>
      <c r="W147" s="96">
        <v>1.859471021849074</v>
      </c>
      <c r="X147" s="96">
        <v>1.8287126745070146</v>
      </c>
      <c r="Y147" s="96">
        <v>1.8598316614479624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1.653656328007415</v>
      </c>
      <c r="O148" s="96">
        <v>1.7483206977122008</v>
      </c>
      <c r="P148" s="96">
        <v>1.6816783305150012</v>
      </c>
      <c r="Q148" s="96">
        <v>1.7569201513004049</v>
      </c>
      <c r="R148" s="96">
        <v>1.7837833813894255</v>
      </c>
      <c r="S148" s="96">
        <v>1.8341398864600797</v>
      </c>
      <c r="T148" s="96">
        <v>1.8497182976899482</v>
      </c>
      <c r="U148" s="96">
        <v>1.8678737582979608</v>
      </c>
      <c r="V148" s="96">
        <v>1.4876726609829549</v>
      </c>
      <c r="W148" s="96">
        <v>1.859471021849074</v>
      </c>
      <c r="X148" s="96">
        <v>1.8287126745070144</v>
      </c>
      <c r="Y148" s="96">
        <v>1.8598316614479624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1.7398137300889045</v>
      </c>
      <c r="M149" s="96">
        <v>1.6848496172098266</v>
      </c>
      <c r="N149" s="96">
        <v>1.5343203043367768</v>
      </c>
      <c r="O149" s="96">
        <v>1.6221532246814234</v>
      </c>
      <c r="P149" s="96">
        <v>1.5603201004778362</v>
      </c>
      <c r="Q149" s="96">
        <v>1.6301320991447059</v>
      </c>
      <c r="R149" s="96">
        <v>1.6550567456190546</v>
      </c>
      <c r="S149" s="96">
        <v>1.7017792760969812</v>
      </c>
      <c r="T149" s="96">
        <v>1.7162334720834571</v>
      </c>
      <c r="U149" s="96">
        <v>1.7330787448125409</v>
      </c>
      <c r="V149" s="96">
        <v>1.380314840087278</v>
      </c>
      <c r="W149" s="96">
        <v>1.7252823914063575</v>
      </c>
      <c r="X149" s="96">
        <v>1.696743718614756</v>
      </c>
      <c r="Y149" s="96">
        <v>1.7256170054671816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24.442439030398255</v>
      </c>
      <c r="C150" s="130">
        <f t="shared" si="203"/>
        <v>24.441624826013953</v>
      </c>
      <c r="D150" s="130">
        <f t="shared" si="203"/>
        <v>24.439996498610558</v>
      </c>
      <c r="E150" s="130">
        <f t="shared" si="203"/>
        <v>24.436740169239322</v>
      </c>
      <c r="F150" s="130">
        <f t="shared" si="203"/>
        <v>24.430228812036745</v>
      </c>
      <c r="G150" s="130">
        <f t="shared" si="203"/>
        <v>24.417211302172781</v>
      </c>
      <c r="H150" s="130">
        <f t="shared" si="203"/>
        <v>24.391197087669383</v>
      </c>
      <c r="I150" s="130">
        <f t="shared" si="203"/>
        <v>24.339251776142358</v>
      </c>
      <c r="J150" s="130">
        <f t="shared" si="203"/>
        <v>24.235692797312549</v>
      </c>
      <c r="K150" s="130">
        <f t="shared" si="203"/>
        <v>23.911587466819672</v>
      </c>
      <c r="L150" s="130">
        <f t="shared" ref="L150" si="204">IF(L13=0,0,L13/L40)</f>
        <v>23.623526692858796</v>
      </c>
      <c r="M150" s="130">
        <f t="shared" ref="M150:V150" si="205">IF(M13=0,0,M13/M40)</f>
        <v>23.183729468709913</v>
      </c>
      <c r="N150" s="130">
        <f t="shared" si="205"/>
        <v>24.026508875739644</v>
      </c>
      <c r="O150" s="130">
        <f t="shared" si="205"/>
        <v>24.025023607176589</v>
      </c>
      <c r="P150" s="130">
        <f t="shared" si="205"/>
        <v>24.076346604215463</v>
      </c>
      <c r="Q150" s="130">
        <f t="shared" si="205"/>
        <v>23.73992589161649</v>
      </c>
      <c r="R150" s="130">
        <f t="shared" si="205"/>
        <v>23.740380244315066</v>
      </c>
      <c r="S150" s="130">
        <f t="shared" si="205"/>
        <v>23.739532520182646</v>
      </c>
      <c r="T150" s="130">
        <f t="shared" si="205"/>
        <v>23.738872212441731</v>
      </c>
      <c r="U150" s="130">
        <f t="shared" si="205"/>
        <v>23.735830242163168</v>
      </c>
      <c r="V150" s="130">
        <f t="shared" si="205"/>
        <v>13.494656723430024</v>
      </c>
      <c r="W150" s="130">
        <f t="shared" ref="W150:Y150" si="206">IF(W13=0,0,W13/W40)</f>
        <v>17.638539493022673</v>
      </c>
      <c r="X150" s="130">
        <f t="shared" si="206"/>
        <v>19.517563067929864</v>
      </c>
      <c r="Y150" s="130">
        <f t="shared" si="206"/>
        <v>18.445361834375966</v>
      </c>
      <c r="DA150" s="176" t="s">
        <v>561</v>
      </c>
    </row>
    <row r="151" spans="1:105" ht="11.45" customHeight="1" x14ac:dyDescent="0.25">
      <c r="A151" s="111" t="s">
        <v>110</v>
      </c>
      <c r="B151" s="97">
        <v>9.4009380886147138</v>
      </c>
      <c r="C151" s="97">
        <v>9.4006249330822911</v>
      </c>
      <c r="D151" s="97">
        <v>9.3999986533117532</v>
      </c>
      <c r="E151" s="97">
        <v>9.3987462189382018</v>
      </c>
      <c r="F151" s="97">
        <v>9.3962418507833654</v>
      </c>
      <c r="G151" s="97">
        <v>9.3912351162203009</v>
      </c>
      <c r="H151" s="97">
        <v>9.3812296491036076</v>
      </c>
      <c r="I151" s="97">
        <v>9.3612506831316775</v>
      </c>
      <c r="J151" s="97">
        <v>9.3214203066586734</v>
      </c>
      <c r="K151" s="97">
        <v>9.196764410315259</v>
      </c>
      <c r="L151" s="97">
        <v>9.0859718049456895</v>
      </c>
      <c r="M151" s="97">
        <v>8.9168190264268912</v>
      </c>
      <c r="N151" s="97">
        <v>9.2409649522075554</v>
      </c>
      <c r="O151" s="97">
        <v>9.2403936950679189</v>
      </c>
      <c r="P151" s="97">
        <v>9.2601333093136393</v>
      </c>
      <c r="Q151" s="97">
        <v>9.1307407275448043</v>
      </c>
      <c r="R151" s="97">
        <v>9.13091547858272</v>
      </c>
      <c r="S151" s="97">
        <v>9.1305894308394819</v>
      </c>
      <c r="T151" s="97">
        <v>9.1303354663237428</v>
      </c>
      <c r="U151" s="97">
        <v>9.1291654777550644</v>
      </c>
      <c r="V151" s="97">
        <v>6.5190252585934623</v>
      </c>
      <c r="W151" s="97">
        <v>6.7840536511625675</v>
      </c>
      <c r="X151" s="97">
        <v>7.5067550261268732</v>
      </c>
      <c r="Y151" s="97">
        <v>7.0943699362984498</v>
      </c>
      <c r="DA151" s="175" t="s">
        <v>562</v>
      </c>
    </row>
    <row r="152" spans="1:105" ht="11.45" customHeight="1" x14ac:dyDescent="0.25">
      <c r="A152" s="111" t="s">
        <v>111</v>
      </c>
      <c r="B152" s="97">
        <v>24.484448429283216</v>
      </c>
      <c r="C152" s="97">
        <v>24.478442671922945</v>
      </c>
      <c r="D152" s="97">
        <v>24.47408240067745</v>
      </c>
      <c r="E152" s="97">
        <v>24.463739850324313</v>
      </c>
      <c r="F152" s="97">
        <v>24.453204624343979</v>
      </c>
      <c r="G152" s="97">
        <v>24.438715750133888</v>
      </c>
      <c r="H152" s="97">
        <v>24.410986490725787</v>
      </c>
      <c r="I152" s="97">
        <v>24.357655341097033</v>
      </c>
      <c r="J152" s="97">
        <v>24.254388045571453</v>
      </c>
      <c r="K152" s="97">
        <v>23.931261431955647</v>
      </c>
      <c r="L152" s="97">
        <v>23.643035169066348</v>
      </c>
      <c r="M152" s="97">
        <v>23.20233008483628</v>
      </c>
      <c r="N152" s="97">
        <v>24.046417966529791</v>
      </c>
      <c r="O152" s="97">
        <v>24.063237137593347</v>
      </c>
      <c r="P152" s="97">
        <v>24.099871642890456</v>
      </c>
      <c r="Q152" s="97">
        <v>23.762785584206455</v>
      </c>
      <c r="R152" s="97">
        <v>23.762403889919028</v>
      </c>
      <c r="S152" s="97">
        <v>23.760383244280874</v>
      </c>
      <c r="T152" s="97">
        <v>23.758463273601901</v>
      </c>
      <c r="U152" s="97">
        <v>23.771068792005678</v>
      </c>
      <c r="V152" s="97">
        <v>13.511054635309995</v>
      </c>
      <c r="W152" s="97">
        <v>17.662730831514786</v>
      </c>
      <c r="X152" s="97">
        <v>19.54365732860267</v>
      </c>
      <c r="Y152" s="97">
        <v>18.469436177053279</v>
      </c>
      <c r="DA152" s="175" t="s">
        <v>563</v>
      </c>
    </row>
    <row r="153" spans="1:105" ht="11.45" customHeight="1" x14ac:dyDescent="0.25">
      <c r="A153" s="111" t="s">
        <v>112</v>
      </c>
      <c r="B153" s="97">
        <v>24.484448429283216</v>
      </c>
      <c r="C153" s="97">
        <v>24.478442671922942</v>
      </c>
      <c r="D153" s="97">
        <v>24.47408240067745</v>
      </c>
      <c r="E153" s="97">
        <v>24.463739850324313</v>
      </c>
      <c r="F153" s="97">
        <v>24.453204624343979</v>
      </c>
      <c r="G153" s="97">
        <v>24.438715750133888</v>
      </c>
      <c r="H153" s="97">
        <v>24.410986490725787</v>
      </c>
      <c r="I153" s="97">
        <v>24.357655341097033</v>
      </c>
      <c r="J153" s="97">
        <v>24.254388045571456</v>
      </c>
      <c r="K153" s="97">
        <v>23.931261431955644</v>
      </c>
      <c r="L153" s="97">
        <v>23.643035169066348</v>
      </c>
      <c r="M153" s="97">
        <v>23.202330084836277</v>
      </c>
      <c r="N153" s="97">
        <v>24.046417966529791</v>
      </c>
      <c r="O153" s="97">
        <v>24.063237137593351</v>
      </c>
      <c r="P153" s="97">
        <v>24.099871642890456</v>
      </c>
      <c r="Q153" s="97">
        <v>23.762785584206455</v>
      </c>
      <c r="R153" s="97">
        <v>23.762403889919028</v>
      </c>
      <c r="S153" s="97">
        <v>23.760383244280877</v>
      </c>
      <c r="T153" s="97">
        <v>23.758463273601901</v>
      </c>
      <c r="U153" s="97">
        <v>23.771068792005675</v>
      </c>
      <c r="V153" s="97">
        <v>13.511054635309995</v>
      </c>
      <c r="W153" s="97">
        <v>17.662730831514786</v>
      </c>
      <c r="X153" s="97">
        <v>19.54365732860267</v>
      </c>
      <c r="Y153" s="97">
        <v>18.469436177053279</v>
      </c>
      <c r="DA153" s="175" t="s">
        <v>564</v>
      </c>
    </row>
    <row r="154" spans="1:105" ht="11.45" customHeight="1" x14ac:dyDescent="0.25">
      <c r="A154" s="111" t="s">
        <v>113</v>
      </c>
      <c r="B154" s="97">
        <v>24.484448429283216</v>
      </c>
      <c r="C154" s="97">
        <v>24.478442671922942</v>
      </c>
      <c r="D154" s="97">
        <v>24.47408240067745</v>
      </c>
      <c r="E154" s="97">
        <v>24.463739850324309</v>
      </c>
      <c r="F154" s="97">
        <v>24.453204624343979</v>
      </c>
      <c r="G154" s="97">
        <v>24.438715750133888</v>
      </c>
      <c r="H154" s="97">
        <v>24.410986490725787</v>
      </c>
      <c r="I154" s="97">
        <v>24.357655341097033</v>
      </c>
      <c r="J154" s="97">
        <v>24.254388045571456</v>
      </c>
      <c r="K154" s="97">
        <v>23.931261431955644</v>
      </c>
      <c r="L154" s="97">
        <v>23.643035169066348</v>
      </c>
      <c r="M154" s="97">
        <v>23.202330084836277</v>
      </c>
      <c r="N154" s="97">
        <v>24.046417966529791</v>
      </c>
      <c r="O154" s="97">
        <v>24.063237137593347</v>
      </c>
      <c r="P154" s="97">
        <v>24.099871642890456</v>
      </c>
      <c r="Q154" s="97">
        <v>23.762785584206455</v>
      </c>
      <c r="R154" s="97">
        <v>23.762403889919032</v>
      </c>
      <c r="S154" s="97">
        <v>23.760383244280877</v>
      </c>
      <c r="T154" s="97">
        <v>23.758463273601901</v>
      </c>
      <c r="U154" s="97">
        <v>23.771068792005675</v>
      </c>
      <c r="V154" s="97">
        <v>13.511054635309995</v>
      </c>
      <c r="W154" s="97">
        <v>17.662730831514786</v>
      </c>
      <c r="X154" s="97">
        <v>19.54365732860267</v>
      </c>
      <c r="Y154" s="97">
        <v>18.469436177053279</v>
      </c>
      <c r="DA154" s="175" t="s">
        <v>565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24.063237137593347</v>
      </c>
      <c r="P155" s="97">
        <v>24.099871642890459</v>
      </c>
      <c r="Q155" s="97">
        <v>23.762785584206458</v>
      </c>
      <c r="R155" s="97">
        <v>23.762403889919025</v>
      </c>
      <c r="S155" s="97">
        <v>23.760383244280877</v>
      </c>
      <c r="T155" s="97">
        <v>23.758463273601905</v>
      </c>
      <c r="U155" s="97">
        <v>23.771068792005675</v>
      </c>
      <c r="V155" s="97">
        <v>13.511054635309995</v>
      </c>
      <c r="W155" s="97">
        <v>17.662730831514786</v>
      </c>
      <c r="X155" s="97">
        <v>19.54365732860267</v>
      </c>
      <c r="Y155" s="97">
        <v>18.469436177053282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2.7415072032990526</v>
      </c>
      <c r="C156" s="32">
        <f t="shared" si="207"/>
        <v>2.8460334405375165</v>
      </c>
      <c r="D156" s="32">
        <f t="shared" si="207"/>
        <v>2.8442819611603865</v>
      </c>
      <c r="E156" s="32">
        <f t="shared" si="207"/>
        <v>2.4324896867292161</v>
      </c>
      <c r="F156" s="32">
        <f t="shared" si="207"/>
        <v>2.4625270873994483</v>
      </c>
      <c r="G156" s="32">
        <f t="shared" si="207"/>
        <v>2.4201871621910471</v>
      </c>
      <c r="H156" s="32">
        <f t="shared" si="207"/>
        <v>2.5364837819190647</v>
      </c>
      <c r="I156" s="32">
        <f t="shared" si="207"/>
        <v>2.3372433083319559</v>
      </c>
      <c r="J156" s="32">
        <f t="shared" si="207"/>
        <v>2.3598508761790593</v>
      </c>
      <c r="K156" s="32">
        <f t="shared" si="207"/>
        <v>2.2541520756252145</v>
      </c>
      <c r="L156" s="32">
        <f t="shared" ref="L156" si="208">IF(L19=0,0,L19/L46)</f>
        <v>2.1737620153504325</v>
      </c>
      <c r="M156" s="32">
        <f t="shared" ref="M156:V156" si="209">IF(M19=0,0,M19/M46)</f>
        <v>1.8635249624188954</v>
      </c>
      <c r="N156" s="32">
        <f t="shared" si="209"/>
        <v>1.8675340894956969</v>
      </c>
      <c r="O156" s="32">
        <f t="shared" si="209"/>
        <v>2.0798194343345831</v>
      </c>
      <c r="P156" s="32">
        <f t="shared" si="209"/>
        <v>1.9103882348883541</v>
      </c>
      <c r="Q156" s="32">
        <f t="shared" si="209"/>
        <v>2.2708550947923407</v>
      </c>
      <c r="R156" s="32">
        <f t="shared" si="209"/>
        <v>2.3506103731371271</v>
      </c>
      <c r="S156" s="32">
        <f t="shared" si="209"/>
        <v>2.4568711414104527</v>
      </c>
      <c r="T156" s="32">
        <f t="shared" si="209"/>
        <v>2.4444304535898262</v>
      </c>
      <c r="U156" s="32">
        <f t="shared" si="209"/>
        <v>2.5647350141262986</v>
      </c>
      <c r="V156" s="32">
        <f t="shared" si="209"/>
        <v>2.5514484148444119</v>
      </c>
      <c r="W156" s="32">
        <f t="shared" ref="W156:Y156" si="210">IF(W19=0,0,W19/W46)</f>
        <v>2.3736365169617715</v>
      </c>
      <c r="X156" s="32">
        <f t="shared" si="210"/>
        <v>2.6670411892320089</v>
      </c>
      <c r="Y156" s="32">
        <f t="shared" si="210"/>
        <v>2.7673554496177801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0.19318322244147154</v>
      </c>
      <c r="C157" s="141">
        <f t="shared" si="211"/>
        <v>0.19762337436180186</v>
      </c>
      <c r="D157" s="141">
        <f t="shared" si="211"/>
        <v>0.19886474011209493</v>
      </c>
      <c r="E157" s="141">
        <f t="shared" si="211"/>
        <v>0.19758813058911925</v>
      </c>
      <c r="F157" s="141">
        <f t="shared" si="211"/>
        <v>0.19536773833757914</v>
      </c>
      <c r="G157" s="141">
        <f t="shared" si="211"/>
        <v>0.1932926092709856</v>
      </c>
      <c r="H157" s="141">
        <f t="shared" si="211"/>
        <v>0.19939759997130746</v>
      </c>
      <c r="I157" s="141">
        <f t="shared" si="211"/>
        <v>0.19781150981491089</v>
      </c>
      <c r="J157" s="141">
        <f t="shared" si="211"/>
        <v>0.19895489637060518</v>
      </c>
      <c r="K157" s="141">
        <f t="shared" si="211"/>
        <v>0.19963821472290727</v>
      </c>
      <c r="L157" s="141">
        <f t="shared" ref="L157" si="212">IF(L20=0,0,L20/L47)</f>
        <v>0.19672772635413499</v>
      </c>
      <c r="M157" s="141">
        <f t="shared" ref="M157:V157" si="213">IF(M20=0,0,M20/M47)</f>
        <v>0.19562422547607439</v>
      </c>
      <c r="N157" s="141">
        <f t="shared" si="213"/>
        <v>0.2003956028922812</v>
      </c>
      <c r="O157" s="141">
        <f t="shared" si="213"/>
        <v>0.2048414605402252</v>
      </c>
      <c r="P157" s="141">
        <f t="shared" si="213"/>
        <v>0.2034049686370637</v>
      </c>
      <c r="Q157" s="141">
        <f t="shared" si="213"/>
        <v>0.21201475181849289</v>
      </c>
      <c r="R157" s="141">
        <f t="shared" si="213"/>
        <v>0.21545018331828178</v>
      </c>
      <c r="S157" s="141">
        <f t="shared" si="213"/>
        <v>0.21536798182941921</v>
      </c>
      <c r="T157" s="141">
        <f t="shared" si="213"/>
        <v>0.21438254565750181</v>
      </c>
      <c r="U157" s="141">
        <f t="shared" si="213"/>
        <v>0.21393015082951078</v>
      </c>
      <c r="V157" s="141">
        <f t="shared" si="213"/>
        <v>0.2159311773361485</v>
      </c>
      <c r="W157" s="141">
        <f t="shared" ref="W157:Y157" si="214">IF(W20=0,0,W20/W47)</f>
        <v>0.20895008258282075</v>
      </c>
      <c r="X157" s="141">
        <f t="shared" si="214"/>
        <v>0.21440273319528949</v>
      </c>
      <c r="Y157" s="141">
        <f t="shared" si="214"/>
        <v>0.21887026517200731</v>
      </c>
      <c r="DA157" s="174" t="s">
        <v>568</v>
      </c>
    </row>
    <row r="158" spans="1:105" ht="11.45" customHeight="1" x14ac:dyDescent="0.25">
      <c r="A158" s="111" t="s">
        <v>110</v>
      </c>
      <c r="B158" s="96">
        <v>0.16636735321994434</v>
      </c>
      <c r="C158" s="96">
        <v>0.16639240752014814</v>
      </c>
      <c r="D158" s="96">
        <v>0.1664174655934357</v>
      </c>
      <c r="E158" s="96">
        <v>0.16644252744037524</v>
      </c>
      <c r="F158" s="96">
        <v>0.16646759306153505</v>
      </c>
      <c r="G158" s="96">
        <v>0.16649266245748351</v>
      </c>
      <c r="H158" s="96">
        <v>0.16707700500004616</v>
      </c>
      <c r="I158" s="96">
        <v>0.1669276838054872</v>
      </c>
      <c r="J158" s="96">
        <v>0.1669921395209121</v>
      </c>
      <c r="K158" s="96">
        <v>0.16704964726198013</v>
      </c>
      <c r="L158" s="96">
        <v>0.16666523635177388</v>
      </c>
      <c r="M158" s="96">
        <v>0.16658689545778407</v>
      </c>
      <c r="N158" s="96">
        <v>0.16701156763862388</v>
      </c>
      <c r="O158" s="96">
        <v>0.16741277778612518</v>
      </c>
      <c r="P158" s="96">
        <v>0.16731148105420099</v>
      </c>
      <c r="Q158" s="96">
        <v>0.16805752861755216</v>
      </c>
      <c r="R158" s="96">
        <v>0.16810107266626126</v>
      </c>
      <c r="S158" s="96">
        <v>0.16808014267736393</v>
      </c>
      <c r="T158" s="96">
        <v>0.16798387806666132</v>
      </c>
      <c r="U158" s="96">
        <v>0.16800500725850101</v>
      </c>
      <c r="V158" s="96">
        <v>0.1681819053948489</v>
      </c>
      <c r="W158" s="96">
        <v>0.16757280814805312</v>
      </c>
      <c r="X158" s="96">
        <v>0.16732898069001384</v>
      </c>
      <c r="Y158" s="96">
        <v>0.16742629251146807</v>
      </c>
      <c r="DA158" s="171" t="s">
        <v>569</v>
      </c>
    </row>
    <row r="159" spans="1:105" ht="11.45" customHeight="1" x14ac:dyDescent="0.25">
      <c r="A159" s="111" t="s">
        <v>111</v>
      </c>
      <c r="B159" s="96">
        <v>0.19454935776660104</v>
      </c>
      <c r="C159" s="96">
        <v>0.19939555287500987</v>
      </c>
      <c r="D159" s="96">
        <v>0.20074337803998585</v>
      </c>
      <c r="E159" s="96">
        <v>0.19930722217957997</v>
      </c>
      <c r="F159" s="96">
        <v>0.19685168692524224</v>
      </c>
      <c r="G159" s="96">
        <v>0.19457989991034502</v>
      </c>
      <c r="H159" s="96">
        <v>0.20117440026372163</v>
      </c>
      <c r="I159" s="96">
        <v>0.19920032401572538</v>
      </c>
      <c r="J159" s="96">
        <v>0.20041866119354099</v>
      </c>
      <c r="K159" s="96">
        <v>0.20118514613903823</v>
      </c>
      <c r="L159" s="96">
        <v>0.19817072697806071</v>
      </c>
      <c r="M159" s="96">
        <v>0.19699697051526996</v>
      </c>
      <c r="N159" s="96">
        <v>0.20222530693391916</v>
      </c>
      <c r="O159" s="96">
        <v>0.20711276418847427</v>
      </c>
      <c r="P159" s="96">
        <v>0.2055311151539215</v>
      </c>
      <c r="Q159" s="96">
        <v>0.21507402517615593</v>
      </c>
      <c r="R159" s="96">
        <v>0.21895021188056366</v>
      </c>
      <c r="S159" s="96">
        <v>0.21869650396324131</v>
      </c>
      <c r="T159" s="96">
        <v>0.2175221123406498</v>
      </c>
      <c r="U159" s="96">
        <v>0.21707416473416433</v>
      </c>
      <c r="V159" s="96">
        <v>0.21933291366398461</v>
      </c>
      <c r="W159" s="96">
        <v>0.21153614145251085</v>
      </c>
      <c r="X159" s="96">
        <v>0.21767591488052437</v>
      </c>
      <c r="Y159" s="96">
        <v>0.22305457740227863</v>
      </c>
      <c r="DA159" s="171" t="s">
        <v>570</v>
      </c>
    </row>
    <row r="160" spans="1:105" ht="11.45" customHeight="1" x14ac:dyDescent="0.25">
      <c r="A160" s="111" t="s">
        <v>112</v>
      </c>
      <c r="B160" s="96">
        <v>0.16303782638114367</v>
      </c>
      <c r="C160" s="96">
        <v>0.16311149613222004</v>
      </c>
      <c r="D160" s="96">
        <v>0.16318519917147464</v>
      </c>
      <c r="E160" s="96">
        <v>0.16325893551394899</v>
      </c>
      <c r="F160" s="96">
        <v>0.16333270517469134</v>
      </c>
      <c r="G160" s="96">
        <v>0.16340650816875679</v>
      </c>
      <c r="H160" s="96">
        <v>0.16513308684172467</v>
      </c>
      <c r="I160" s="96">
        <v>0.16469073083429842</v>
      </c>
      <c r="J160" s="96">
        <v>0.16488158039317272</v>
      </c>
      <c r="K160" s="96">
        <v>0.16505198182002903</v>
      </c>
      <c r="L160" s="96">
        <v>0.16391516008510668</v>
      </c>
      <c r="M160" s="96">
        <v>0.16368412405060476</v>
      </c>
      <c r="N160" s="96">
        <v>0.16493913480484654</v>
      </c>
      <c r="O160" s="96">
        <v>0.16613068737150122</v>
      </c>
      <c r="P160" s="96">
        <v>0.16582930687594638</v>
      </c>
      <c r="Q160" s="96">
        <v>0.16805752861755216</v>
      </c>
      <c r="R160" s="96">
        <v>0.16818819461365844</v>
      </c>
      <c r="S160" s="96">
        <v>0.16812537992633694</v>
      </c>
      <c r="T160" s="96">
        <v>0.16783667378192707</v>
      </c>
      <c r="U160" s="96">
        <v>0.16790001377721336</v>
      </c>
      <c r="V160" s="96">
        <v>0.16901092672726739</v>
      </c>
      <c r="W160" s="96">
        <v>0.16718127011057249</v>
      </c>
      <c r="X160" s="96">
        <v>0.17122420242901845</v>
      </c>
      <c r="Y160" s="96">
        <v>0.17252323169946304</v>
      </c>
      <c r="DA160" s="171" t="s">
        <v>571</v>
      </c>
    </row>
    <row r="161" spans="1:105" ht="11.45" customHeight="1" x14ac:dyDescent="0.25">
      <c r="A161" s="111" t="s">
        <v>113</v>
      </c>
      <c r="B161" s="96">
        <v>0.16469417612582329</v>
      </c>
      <c r="C161" s="96">
        <v>0.16474378451296251</v>
      </c>
      <c r="D161" s="96">
        <v>0.16479340784290139</v>
      </c>
      <c r="E161" s="96">
        <v>0.16484304612014089</v>
      </c>
      <c r="F161" s="96">
        <v>0.16489269934918338</v>
      </c>
      <c r="G161" s="96">
        <v>0.16494236753453254</v>
      </c>
      <c r="H161" s="96">
        <v>0.16610220220071698</v>
      </c>
      <c r="I161" s="96">
        <v>0.16580543490007299</v>
      </c>
      <c r="J161" s="96">
        <v>0.16593350438487453</v>
      </c>
      <c r="K161" s="96">
        <v>0.16604781041292474</v>
      </c>
      <c r="L161" s="96">
        <v>0.1652844786942293</v>
      </c>
      <c r="M161" s="96">
        <v>0.16512913147387726</v>
      </c>
      <c r="N161" s="96">
        <v>0.16597211653984448</v>
      </c>
      <c r="O161" s="96">
        <v>0.16677050053406137</v>
      </c>
      <c r="P161" s="96">
        <v>0.16656874537441346</v>
      </c>
      <c r="Q161" s="96">
        <v>0.16805752861755216</v>
      </c>
      <c r="R161" s="96">
        <v>0.16814462799732224</v>
      </c>
      <c r="S161" s="96">
        <v>0.16810275978015568</v>
      </c>
      <c r="T161" s="96">
        <v>0.16791025979283469</v>
      </c>
      <c r="U161" s="96">
        <v>0.16795250231343128</v>
      </c>
      <c r="V161" s="96">
        <v>0.16830637422147449</v>
      </c>
      <c r="W161" s="96">
        <v>0.16708948573513316</v>
      </c>
      <c r="X161" s="96">
        <v>0.1692742741563511</v>
      </c>
      <c r="Y161" s="96">
        <v>0.16947121765909051</v>
      </c>
      <c r="DA161" s="171" t="s">
        <v>572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0.16889990315162484</v>
      </c>
      <c r="N162" s="96">
        <v>0.16868502957824003</v>
      </c>
      <c r="O162" s="96">
        <v>0.1684827787603167</v>
      </c>
      <c r="P162" s="96">
        <v>0.16843179896793309</v>
      </c>
      <c r="Q162" s="96">
        <v>0.16805752861755216</v>
      </c>
      <c r="R162" s="96">
        <v>0.16774514291128664</v>
      </c>
      <c r="S162" s="96">
        <v>0.16742207397110645</v>
      </c>
      <c r="T162" s="96">
        <v>0.16713709337563759</v>
      </c>
      <c r="U162" s="96">
        <v>0.16681530035648703</v>
      </c>
      <c r="V162" s="96">
        <v>0.16813715795884082</v>
      </c>
      <c r="W162" s="96">
        <v>0.16703028450921706</v>
      </c>
      <c r="X162" s="96">
        <v>0.16729173443362658</v>
      </c>
      <c r="Y162" s="96">
        <v>0.16724311056060631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15.758511072475411</v>
      </c>
      <c r="C163" s="130">
        <f t="shared" si="215"/>
        <v>15.933370327305113</v>
      </c>
      <c r="D163" s="130">
        <f t="shared" si="215"/>
        <v>16.439966982463638</v>
      </c>
      <c r="E163" s="130">
        <f t="shared" si="215"/>
        <v>15.315487213142845</v>
      </c>
      <c r="F163" s="130">
        <f t="shared" si="215"/>
        <v>14.406609052135719</v>
      </c>
      <c r="G163" s="130">
        <f t="shared" si="215"/>
        <v>15.041940550096296</v>
      </c>
      <c r="H163" s="130">
        <f t="shared" si="215"/>
        <v>15.905381645272341</v>
      </c>
      <c r="I163" s="130">
        <f t="shared" si="215"/>
        <v>15.363562126594744</v>
      </c>
      <c r="J163" s="130">
        <f t="shared" si="215"/>
        <v>15.653867174985168</v>
      </c>
      <c r="K163" s="130">
        <f t="shared" si="215"/>
        <v>15.224702971130595</v>
      </c>
      <c r="L163" s="130">
        <f t="shared" ref="L163" si="216">IF(L26=0,0,L26/L53)</f>
        <v>15.332165311405213</v>
      </c>
      <c r="M163" s="130">
        <f t="shared" ref="M163:V163" si="217">IF(M26=0,0,M26/M53)</f>
        <v>15.406728117746239</v>
      </c>
      <c r="N163" s="130">
        <f t="shared" si="217"/>
        <v>15.198907227492134</v>
      </c>
      <c r="O163" s="130">
        <f t="shared" si="217"/>
        <v>15.012529325213194</v>
      </c>
      <c r="P163" s="130">
        <f t="shared" si="217"/>
        <v>14.740286378469923</v>
      </c>
      <c r="Q163" s="130">
        <f t="shared" si="217"/>
        <v>14.974672207142689</v>
      </c>
      <c r="R163" s="130">
        <f t="shared" si="217"/>
        <v>14.715297175964887</v>
      </c>
      <c r="S163" s="130">
        <f t="shared" si="217"/>
        <v>15.021931204180092</v>
      </c>
      <c r="T163" s="130">
        <f t="shared" si="217"/>
        <v>15.351924167500522</v>
      </c>
      <c r="U163" s="130">
        <f t="shared" si="217"/>
        <v>15.783351059199072</v>
      </c>
      <c r="V163" s="130">
        <f t="shared" si="217"/>
        <v>15.776740817825569</v>
      </c>
      <c r="W163" s="130">
        <f t="shared" ref="W163:Y163" si="218">IF(W26=0,0,W26/W53)</f>
        <v>15.909294726105289</v>
      </c>
      <c r="X163" s="130">
        <f t="shared" si="218"/>
        <v>15.7139372319463</v>
      </c>
      <c r="Y163" s="130">
        <f t="shared" si="218"/>
        <v>15.299318828432115</v>
      </c>
      <c r="DA163" s="176" t="s">
        <v>574</v>
      </c>
    </row>
    <row r="164" spans="1:105" ht="11.45" customHeight="1" x14ac:dyDescent="0.25">
      <c r="A164" s="128" t="s">
        <v>27</v>
      </c>
      <c r="B164" s="97">
        <v>16.007485332793848</v>
      </c>
      <c r="C164" s="97">
        <v>16.244908671005668</v>
      </c>
      <c r="D164" s="97">
        <v>16.848963267024523</v>
      </c>
      <c r="E164" s="97">
        <v>15.533087437622044</v>
      </c>
      <c r="F164" s="97">
        <v>14.491250572606505</v>
      </c>
      <c r="G164" s="97">
        <v>15.256246110073798</v>
      </c>
      <c r="H164" s="97">
        <v>16.376040459382573</v>
      </c>
      <c r="I164" s="97">
        <v>15.676404032092162</v>
      </c>
      <c r="J164" s="97">
        <v>16.127363501168471</v>
      </c>
      <c r="K164" s="97">
        <v>15.58326198630137</v>
      </c>
      <c r="L164" s="97">
        <v>15.624790619765495</v>
      </c>
      <c r="M164" s="97">
        <v>15.735888587626325</v>
      </c>
      <c r="N164" s="97">
        <v>15.502010816807655</v>
      </c>
      <c r="O164" s="97">
        <v>15.274178147592416</v>
      </c>
      <c r="P164" s="97">
        <v>14.930853391684902</v>
      </c>
      <c r="Q164" s="97">
        <v>15.277957147050191</v>
      </c>
      <c r="R164" s="97">
        <v>14.978640776699029</v>
      </c>
      <c r="S164" s="97">
        <v>15.389529852898759</v>
      </c>
      <c r="T164" s="97">
        <v>15.767038239029208</v>
      </c>
      <c r="U164" s="97">
        <v>16.36923693705733</v>
      </c>
      <c r="V164" s="97">
        <v>16.444119693806542</v>
      </c>
      <c r="W164" s="97">
        <v>16.582430340557277</v>
      </c>
      <c r="X164" s="97">
        <v>16.323213624583488</v>
      </c>
      <c r="Y164" s="97">
        <v>15.782992280357799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13.993137904941618</v>
      </c>
      <c r="G165" s="98">
        <v>13.999403714336369</v>
      </c>
      <c r="H165" s="98">
        <v>14.088849058887034</v>
      </c>
      <c r="I165" s="98">
        <v>14.115262081857328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13.933281647068958</v>
      </c>
      <c r="S165" s="98">
        <v>14.0120381138928</v>
      </c>
      <c r="T165" s="98">
        <v>14.146454243557947</v>
      </c>
      <c r="U165" s="98">
        <v>14.062037656310167</v>
      </c>
      <c r="V165" s="98">
        <v>13.861910981613585</v>
      </c>
      <c r="W165" s="98">
        <v>14.046303126595925</v>
      </c>
      <c r="X165" s="98">
        <v>13.993433342768185</v>
      </c>
      <c r="Y165" s="98">
        <v>13.837303725369457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10172.037933382222</v>
      </c>
      <c r="C167" s="54">
        <f t="shared" si="219"/>
        <v>10227.160940164595</v>
      </c>
      <c r="D167" s="54">
        <f t="shared" si="219"/>
        <v>10096.542496693823</v>
      </c>
      <c r="E167" s="54">
        <f t="shared" si="219"/>
        <v>10042.220774163485</v>
      </c>
      <c r="F167" s="54">
        <f t="shared" si="219"/>
        <v>10297.073466714117</v>
      </c>
      <c r="G167" s="54">
        <f t="shared" si="219"/>
        <v>9775.3627784067903</v>
      </c>
      <c r="H167" s="54">
        <f t="shared" si="219"/>
        <v>9412.5227047247499</v>
      </c>
      <c r="I167" s="54">
        <f t="shared" si="219"/>
        <v>9395.682856894422</v>
      </c>
      <c r="J167" s="54">
        <f t="shared" si="219"/>
        <v>9349.584355214216</v>
      </c>
      <c r="K167" s="54">
        <f t="shared" si="219"/>
        <v>9711.0911468098675</v>
      </c>
      <c r="L167" s="54">
        <f t="shared" si="219"/>
        <v>9401.9797234701182</v>
      </c>
      <c r="M167" s="54">
        <f>IF(M30=0,0,M30*1000000/M57)</f>
        <v>9306.308887830075</v>
      </c>
      <c r="N167" s="54">
        <f t="shared" ref="N167:V167" si="220">IF(N30=0,0,N30*1000000/N57)</f>
        <v>8849.5590337809499</v>
      </c>
      <c r="O167" s="54">
        <f t="shared" si="220"/>
        <v>8754.1892739404975</v>
      </c>
      <c r="P167" s="54">
        <f t="shared" si="220"/>
        <v>9254.3131661385796</v>
      </c>
      <c r="Q167" s="54">
        <f t="shared" si="220"/>
        <v>8958.9649135100553</v>
      </c>
      <c r="R167" s="54">
        <f t="shared" si="220"/>
        <v>9004.0149806968002</v>
      </c>
      <c r="S167" s="54">
        <f t="shared" si="220"/>
        <v>9145.3281307112702</v>
      </c>
      <c r="T167" s="54">
        <f t="shared" si="220"/>
        <v>8853.6909007069826</v>
      </c>
      <c r="U167" s="54">
        <f t="shared" si="220"/>
        <v>8834.8890385795403</v>
      </c>
      <c r="V167" s="54">
        <f t="shared" si="220"/>
        <v>7217.6559733885369</v>
      </c>
      <c r="W167" s="54">
        <f t="shared" ref="W167:Y191" si="221">IF(W30=0,0,W30*1000000/W57)</f>
        <v>7485.1237814200194</v>
      </c>
      <c r="X167" s="54">
        <f t="shared" si="221"/>
        <v>7610.7941960074013</v>
      </c>
      <c r="Y167" s="54">
        <f t="shared" si="221"/>
        <v>7986.5663968565195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9353.80964334686</v>
      </c>
      <c r="C168" s="28">
        <f t="shared" si="219"/>
        <v>9548.4039139185425</v>
      </c>
      <c r="D168" s="28">
        <f t="shared" si="219"/>
        <v>9412.2965878329069</v>
      </c>
      <c r="E168" s="28">
        <f t="shared" si="219"/>
        <v>9285.5094165362461</v>
      </c>
      <c r="F168" s="28">
        <f t="shared" si="219"/>
        <v>9409.1250030488063</v>
      </c>
      <c r="G168" s="28">
        <f t="shared" si="219"/>
        <v>8710.7417304006103</v>
      </c>
      <c r="H168" s="28">
        <f t="shared" si="219"/>
        <v>8581.2218608621242</v>
      </c>
      <c r="I168" s="28">
        <f t="shared" si="219"/>
        <v>8459.2112187702151</v>
      </c>
      <c r="J168" s="28">
        <f t="shared" si="219"/>
        <v>8442.5170942808272</v>
      </c>
      <c r="K168" s="28">
        <f t="shared" si="219"/>
        <v>8870.4388589469745</v>
      </c>
      <c r="L168" s="28">
        <f t="shared" si="219"/>
        <v>8415.4598259406503</v>
      </c>
      <c r="M168" s="28">
        <f t="shared" ref="M168:M192" si="222">IF(M31=0,0,M31*1000000/M58)</f>
        <v>8291.4798001082818</v>
      </c>
      <c r="N168" s="28">
        <f t="shared" si="219"/>
        <v>8002.5327183021936</v>
      </c>
      <c r="O168" s="28">
        <f t="shared" si="219"/>
        <v>8060.5490170790599</v>
      </c>
      <c r="P168" s="28">
        <f t="shared" si="219"/>
        <v>8569.4149241767027</v>
      </c>
      <c r="Q168" s="28">
        <f t="shared" si="219"/>
        <v>8522.5208244383684</v>
      </c>
      <c r="R168" s="28">
        <f t="shared" si="219"/>
        <v>8648.8125728981649</v>
      </c>
      <c r="S168" s="28">
        <f t="shared" si="219"/>
        <v>8778.0624695118258</v>
      </c>
      <c r="T168" s="28">
        <f t="shared" si="219"/>
        <v>8423.9876966413249</v>
      </c>
      <c r="U168" s="28">
        <f t="shared" si="219"/>
        <v>8383.6261241947068</v>
      </c>
      <c r="V168" s="28">
        <f t="shared" si="219"/>
        <v>6653.2188683364475</v>
      </c>
      <c r="W168" s="28">
        <f t="shared" si="221"/>
        <v>6721.1220423957066</v>
      </c>
      <c r="X168" s="28">
        <f t="shared" si="221"/>
        <v>7017.3412547562612</v>
      </c>
      <c r="Y168" s="28">
        <f t="shared" si="221"/>
        <v>7558.7840595445832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4002.0663013478256</v>
      </c>
      <c r="C169" s="137">
        <f t="shared" si="219"/>
        <v>3935.8133653817431</v>
      </c>
      <c r="D169" s="137">
        <f t="shared" si="219"/>
        <v>3741.7005251930109</v>
      </c>
      <c r="E169" s="137">
        <f t="shared" si="219"/>
        <v>3722.9093862990658</v>
      </c>
      <c r="F169" s="137">
        <f t="shared" si="219"/>
        <v>3836.6140950129779</v>
      </c>
      <c r="G169" s="137">
        <f t="shared" si="219"/>
        <v>3838.889374884659</v>
      </c>
      <c r="H169" s="137">
        <f t="shared" si="219"/>
        <v>3672.7894804860298</v>
      </c>
      <c r="I169" s="137">
        <f t="shared" si="219"/>
        <v>3301.5605731373953</v>
      </c>
      <c r="J169" s="137">
        <f t="shared" si="219"/>
        <v>3545.6292444036385</v>
      </c>
      <c r="K169" s="137">
        <f t="shared" si="219"/>
        <v>3372.9523462597995</v>
      </c>
      <c r="L169" s="137">
        <f t="shared" si="219"/>
        <v>3397.9108556170722</v>
      </c>
      <c r="M169" s="137">
        <f t="shared" si="222"/>
        <v>3536.396737308206</v>
      </c>
      <c r="N169" s="137">
        <f t="shared" si="219"/>
        <v>3672.7945526904209</v>
      </c>
      <c r="O169" s="137">
        <f t="shared" si="219"/>
        <v>3495.252665792485</v>
      </c>
      <c r="P169" s="137">
        <f t="shared" si="219"/>
        <v>3514.6482942813318</v>
      </c>
      <c r="Q169" s="137">
        <f t="shared" si="219"/>
        <v>3429.5618627709628</v>
      </c>
      <c r="R169" s="137">
        <f t="shared" si="219"/>
        <v>3452.4446161244309</v>
      </c>
      <c r="S169" s="137">
        <f t="shared" si="219"/>
        <v>3211.2361387496794</v>
      </c>
      <c r="T169" s="137">
        <f t="shared" si="219"/>
        <v>3013.603485240325</v>
      </c>
      <c r="U169" s="137">
        <f t="shared" si="219"/>
        <v>3212.0164897235036</v>
      </c>
      <c r="V169" s="137">
        <f t="shared" si="219"/>
        <v>2775.223286676021</v>
      </c>
      <c r="W169" s="137">
        <f t="shared" si="221"/>
        <v>2963.7048816326128</v>
      </c>
      <c r="X169" s="137">
        <f t="shared" si="221"/>
        <v>3006.9060226987617</v>
      </c>
      <c r="Y169" s="137">
        <f t="shared" si="221"/>
        <v>3180.2985771085168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10722.187893498787</v>
      </c>
      <c r="C170" s="110">
        <f t="shared" si="219"/>
        <v>11030.876701023401</v>
      </c>
      <c r="D170" s="110">
        <f t="shared" si="219"/>
        <v>10958.755609836357</v>
      </c>
      <c r="E170" s="110">
        <f t="shared" si="219"/>
        <v>10815.705294233825</v>
      </c>
      <c r="F170" s="110">
        <f t="shared" si="219"/>
        <v>10972.315990068386</v>
      </c>
      <c r="G170" s="110">
        <f t="shared" si="219"/>
        <v>10041.613349494473</v>
      </c>
      <c r="H170" s="110">
        <f t="shared" si="219"/>
        <v>9887.5069657339882</v>
      </c>
      <c r="I170" s="110">
        <f t="shared" si="219"/>
        <v>9806.1347021290931</v>
      </c>
      <c r="J170" s="110">
        <f t="shared" si="219"/>
        <v>9677.6270077011905</v>
      </c>
      <c r="K170" s="110">
        <f t="shared" si="219"/>
        <v>10231.938857195533</v>
      </c>
      <c r="L170" s="110">
        <f t="shared" si="219"/>
        <v>9626.650819659746</v>
      </c>
      <c r="M170" s="110">
        <f t="shared" si="222"/>
        <v>9416.0755320753888</v>
      </c>
      <c r="N170" s="110">
        <f t="shared" si="219"/>
        <v>8949.4641399404936</v>
      </c>
      <c r="O170" s="110">
        <f t="shared" si="219"/>
        <v>9085.6317763800253</v>
      </c>
      <c r="P170" s="110">
        <f t="shared" si="219"/>
        <v>9728.1429815163665</v>
      </c>
      <c r="Q170" s="110">
        <f t="shared" si="219"/>
        <v>9698.1505161805744</v>
      </c>
      <c r="R170" s="110">
        <f t="shared" si="219"/>
        <v>9854.9265907874196</v>
      </c>
      <c r="S170" s="110">
        <f t="shared" si="219"/>
        <v>10090.431103921284</v>
      </c>
      <c r="T170" s="110">
        <f t="shared" si="219"/>
        <v>9715.6948291013105</v>
      </c>
      <c r="U170" s="110">
        <f t="shared" si="219"/>
        <v>9618.240169510671</v>
      </c>
      <c r="V170" s="110">
        <f t="shared" si="219"/>
        <v>7559.4642412080811</v>
      </c>
      <c r="W170" s="110">
        <f t="shared" si="221"/>
        <v>7603.1661967539676</v>
      </c>
      <c r="X170" s="110">
        <f t="shared" si="221"/>
        <v>7952.0121813876121</v>
      </c>
      <c r="Y170" s="110">
        <f t="shared" si="221"/>
        <v>8594.0013535038743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9275.588351348264</v>
      </c>
      <c r="C171" s="84">
        <f t="shared" si="219"/>
        <v>9404.159949665258</v>
      </c>
      <c r="D171" s="84">
        <f t="shared" si="219"/>
        <v>9003.2744986506459</v>
      </c>
      <c r="E171" s="84">
        <f t="shared" si="219"/>
        <v>8859.6799702682783</v>
      </c>
      <c r="F171" s="84">
        <f t="shared" si="219"/>
        <v>8449.7080603788982</v>
      </c>
      <c r="G171" s="84">
        <f t="shared" si="219"/>
        <v>7677.895146852481</v>
      </c>
      <c r="H171" s="84">
        <f t="shared" si="219"/>
        <v>6752.7880982611023</v>
      </c>
      <c r="I171" s="84">
        <f t="shared" si="219"/>
        <v>6724.4612088686181</v>
      </c>
      <c r="J171" s="84">
        <f t="shared" si="219"/>
        <v>6804.560619534509</v>
      </c>
      <c r="K171" s="84">
        <f t="shared" si="219"/>
        <v>7577.6227744512689</v>
      </c>
      <c r="L171" s="84">
        <f t="shared" si="219"/>
        <v>7252.6991158324518</v>
      </c>
      <c r="M171" s="84">
        <f t="shared" si="222"/>
        <v>7181.5000583198107</v>
      </c>
      <c r="N171" s="84">
        <f t="shared" si="219"/>
        <v>6401.2689640513627</v>
      </c>
      <c r="O171" s="84">
        <f t="shared" si="219"/>
        <v>6243.6908919830867</v>
      </c>
      <c r="P171" s="84">
        <f t="shared" si="219"/>
        <v>6413.9578597123545</v>
      </c>
      <c r="Q171" s="84">
        <f t="shared" si="219"/>
        <v>6280.8201563491148</v>
      </c>
      <c r="R171" s="84">
        <f t="shared" si="219"/>
        <v>6192.0502303638359</v>
      </c>
      <c r="S171" s="84">
        <f t="shared" si="219"/>
        <v>6172.7807571853209</v>
      </c>
      <c r="T171" s="84">
        <f t="shared" si="219"/>
        <v>5968.5380517383173</v>
      </c>
      <c r="U171" s="84">
        <f t="shared" si="219"/>
        <v>5977.6682202501761</v>
      </c>
      <c r="V171" s="84">
        <f t="shared" si="219"/>
        <v>4619.2702062264407</v>
      </c>
      <c r="W171" s="84">
        <f t="shared" si="221"/>
        <v>4725.9291041212655</v>
      </c>
      <c r="X171" s="84">
        <f t="shared" si="221"/>
        <v>5040.4876939239621</v>
      </c>
      <c r="Y171" s="84">
        <f t="shared" si="221"/>
        <v>5609.3599866299146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17084.085590558163</v>
      </c>
      <c r="C172" s="84">
        <f t="shared" si="219"/>
        <v>17537.888984181129</v>
      </c>
      <c r="D172" s="84">
        <f t="shared" si="219"/>
        <v>17857.146423626426</v>
      </c>
      <c r="E172" s="84">
        <f t="shared" si="219"/>
        <v>16886.792075989171</v>
      </c>
      <c r="F172" s="84">
        <f t="shared" si="219"/>
        <v>17512.78893881966</v>
      </c>
      <c r="G172" s="84">
        <f t="shared" si="219"/>
        <v>15246.579271253304</v>
      </c>
      <c r="H172" s="84">
        <f t="shared" si="219"/>
        <v>15997.515994436721</v>
      </c>
      <c r="I172" s="84">
        <f t="shared" si="219"/>
        <v>15095.205232338218</v>
      </c>
      <c r="J172" s="84">
        <f t="shared" si="219"/>
        <v>14201.805831346624</v>
      </c>
      <c r="K172" s="84">
        <f t="shared" si="219"/>
        <v>14003.826196809825</v>
      </c>
      <c r="L172" s="84">
        <f t="shared" si="219"/>
        <v>12732.821774012507</v>
      </c>
      <c r="M172" s="84">
        <f t="shared" si="222"/>
        <v>12157.489239877077</v>
      </c>
      <c r="N172" s="84">
        <f t="shared" si="219"/>
        <v>11901.972724929718</v>
      </c>
      <c r="O172" s="84">
        <f t="shared" si="219"/>
        <v>12153.860372797435</v>
      </c>
      <c r="P172" s="84">
        <f t="shared" si="219"/>
        <v>13343.613043210002</v>
      </c>
      <c r="Q172" s="84">
        <f t="shared" si="219"/>
        <v>13133.929278765747</v>
      </c>
      <c r="R172" s="84">
        <f t="shared" si="219"/>
        <v>13540.147311674826</v>
      </c>
      <c r="S172" s="84">
        <f t="shared" si="219"/>
        <v>13924.263754533677</v>
      </c>
      <c r="T172" s="84">
        <f t="shared" si="219"/>
        <v>13127.315511990491</v>
      </c>
      <c r="U172" s="84">
        <f t="shared" si="219"/>
        <v>12878.236880762404</v>
      </c>
      <c r="V172" s="84">
        <f t="shared" si="219"/>
        <v>10154.398078541608</v>
      </c>
      <c r="W172" s="84">
        <f t="shared" si="221"/>
        <v>10092.038360047962</v>
      </c>
      <c r="X172" s="84">
        <f t="shared" si="221"/>
        <v>10456.229859626239</v>
      </c>
      <c r="Y172" s="84">
        <f t="shared" si="221"/>
        <v>11303.85942338779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15161.703210806732</v>
      </c>
      <c r="C173" s="84">
        <f t="shared" si="219"/>
        <v>14763.191407129325</v>
      </c>
      <c r="D173" s="84">
        <f t="shared" si="219"/>
        <v>14838.59811578526</v>
      </c>
      <c r="E173" s="84">
        <f t="shared" si="219"/>
        <v>13658.48578181948</v>
      </c>
      <c r="F173" s="84">
        <f t="shared" si="219"/>
        <v>13867.296731609291</v>
      </c>
      <c r="G173" s="84">
        <f t="shared" si="219"/>
        <v>12625.83904977079</v>
      </c>
      <c r="H173" s="84">
        <f t="shared" si="219"/>
        <v>12413.093306345665</v>
      </c>
      <c r="I173" s="84">
        <f t="shared" si="219"/>
        <v>12309.261340826457</v>
      </c>
      <c r="J173" s="84">
        <f t="shared" si="219"/>
        <v>12155.507427410432</v>
      </c>
      <c r="K173" s="84">
        <f t="shared" si="219"/>
        <v>12882.582818160899</v>
      </c>
      <c r="L173" s="84">
        <f t="shared" si="219"/>
        <v>12093.192940442701</v>
      </c>
      <c r="M173" s="84">
        <f t="shared" si="222"/>
        <v>11814.71272719608</v>
      </c>
      <c r="N173" s="84">
        <f t="shared" si="219"/>
        <v>12059.771973369423</v>
      </c>
      <c r="O173" s="84">
        <f t="shared" si="219"/>
        <v>13227.909476325874</v>
      </c>
      <c r="P173" s="84">
        <f t="shared" si="219"/>
        <v>12911.825544560463</v>
      </c>
      <c r="Q173" s="84">
        <f t="shared" si="219"/>
        <v>13507.691932961048</v>
      </c>
      <c r="R173" s="84">
        <f t="shared" si="219"/>
        <v>13112.897580275767</v>
      </c>
      <c r="S173" s="84">
        <f t="shared" si="219"/>
        <v>13267.966805511454</v>
      </c>
      <c r="T173" s="84">
        <f t="shared" si="219"/>
        <v>12735.574679084268</v>
      </c>
      <c r="U173" s="84">
        <f t="shared" si="219"/>
        <v>12748.907108847907</v>
      </c>
      <c r="V173" s="84">
        <f t="shared" si="219"/>
        <v>10257.573953371744</v>
      </c>
      <c r="W173" s="84">
        <f t="shared" si="221"/>
        <v>10454.205216749519</v>
      </c>
      <c r="X173" s="84">
        <f t="shared" si="221"/>
        <v>11387.712991035336</v>
      </c>
      <c r="Y173" s="84">
        <f t="shared" si="221"/>
        <v>11624.760238076291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13310.934353304629</v>
      </c>
      <c r="C174" s="84">
        <f t="shared" si="219"/>
        <v>13238.677489867765</v>
      </c>
      <c r="D174" s="84">
        <f t="shared" si="219"/>
        <v>13147.808642293114</v>
      </c>
      <c r="E174" s="84">
        <f t="shared" si="219"/>
        <v>12966.657466542161</v>
      </c>
      <c r="F174" s="84">
        <f t="shared" si="219"/>
        <v>13164.891744077657</v>
      </c>
      <c r="G174" s="84">
        <f t="shared" si="219"/>
        <v>11986.316257984283</v>
      </c>
      <c r="H174" s="84">
        <f t="shared" si="219"/>
        <v>11784.346491604296</v>
      </c>
      <c r="I174" s="84">
        <f t="shared" si="219"/>
        <v>11685.773812870208</v>
      </c>
      <c r="J174" s="84">
        <f t="shared" si="219"/>
        <v>11539.807827968743</v>
      </c>
      <c r="K174" s="84">
        <f t="shared" si="219"/>
        <v>12230.055465577498</v>
      </c>
      <c r="L174" s="84">
        <f t="shared" si="219"/>
        <v>11480.649688434023</v>
      </c>
      <c r="M174" s="84">
        <f t="shared" si="222"/>
        <v>11216.27502830991</v>
      </c>
      <c r="N174" s="84">
        <f t="shared" si="219"/>
        <v>10635.689364509924</v>
      </c>
      <c r="O174" s="84">
        <f t="shared" si="219"/>
        <v>10807.915450870132</v>
      </c>
      <c r="P174" s="84">
        <f t="shared" si="219"/>
        <v>11604.623614708242</v>
      </c>
      <c r="Q174" s="84">
        <f t="shared" si="219"/>
        <v>11541.151451962327</v>
      </c>
      <c r="R174" s="84">
        <f t="shared" si="219"/>
        <v>11976.878601979663</v>
      </c>
      <c r="S174" s="84">
        <f t="shared" si="219"/>
        <v>12568.007281831422</v>
      </c>
      <c r="T174" s="84">
        <f t="shared" si="219"/>
        <v>12090.493568698872</v>
      </c>
      <c r="U174" s="84">
        <f t="shared" si="219"/>
        <v>12103.150685505474</v>
      </c>
      <c r="V174" s="84">
        <f t="shared" si="219"/>
        <v>9738.0082987045498</v>
      </c>
      <c r="W174" s="84">
        <f t="shared" si="221"/>
        <v>9488.4369547192582</v>
      </c>
      <c r="X174" s="84">
        <f t="shared" si="221"/>
        <v>8718.4165716083171</v>
      </c>
      <c r="Y174" s="84">
        <f t="shared" si="221"/>
        <v>8614.3566466164539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7101.6194987365616</v>
      </c>
      <c r="O175" s="84">
        <f t="shared" si="219"/>
        <v>7596.4395839494291</v>
      </c>
      <c r="P175" s="84">
        <f t="shared" si="219"/>
        <v>8585.6979042061193</v>
      </c>
      <c r="Q175" s="84">
        <f t="shared" si="219"/>
        <v>8988.1451904674268</v>
      </c>
      <c r="R175" s="84">
        <f t="shared" si="219"/>
        <v>8861.1113058088795</v>
      </c>
      <c r="S175" s="84">
        <f t="shared" si="219"/>
        <v>9298.4587318199028</v>
      </c>
      <c r="T175" s="84">
        <f t="shared" si="219"/>
        <v>8945.1695065773401</v>
      </c>
      <c r="U175" s="84">
        <f t="shared" si="219"/>
        <v>8954.5338931225451</v>
      </c>
      <c r="V175" s="84">
        <f t="shared" si="219"/>
        <v>7204.6798084309494</v>
      </c>
      <c r="W175" s="84">
        <f t="shared" si="221"/>
        <v>7020.0340813357061</v>
      </c>
      <c r="X175" s="84">
        <f t="shared" si="221"/>
        <v>7487.2886618299726</v>
      </c>
      <c r="Y175" s="84">
        <f t="shared" si="221"/>
        <v>8164.959448095331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14205.045930869359</v>
      </c>
      <c r="M176" s="84">
        <f t="shared" si="222"/>
        <v>14223.571260375948</v>
      </c>
      <c r="N176" s="84">
        <f t="shared" si="219"/>
        <v>14296.2544122942</v>
      </c>
      <c r="O176" s="84">
        <f t="shared" si="219"/>
        <v>14308.089529487266</v>
      </c>
      <c r="P176" s="84">
        <f t="shared" si="219"/>
        <v>14326.30157596515</v>
      </c>
      <c r="Q176" s="84">
        <f t="shared" si="219"/>
        <v>14336.224204657436</v>
      </c>
      <c r="R176" s="84">
        <f t="shared" si="219"/>
        <v>14326.024513362463</v>
      </c>
      <c r="S176" s="84">
        <f t="shared" si="219"/>
        <v>14323.792103880933</v>
      </c>
      <c r="T176" s="84">
        <f t="shared" si="219"/>
        <v>14299.714437046601</v>
      </c>
      <c r="U176" s="84">
        <f t="shared" si="219"/>
        <v>14298.621589359867</v>
      </c>
      <c r="V176" s="84">
        <f t="shared" si="219"/>
        <v>11784.88484554461</v>
      </c>
      <c r="W176" s="84">
        <f t="shared" si="221"/>
        <v>14131.619734633317</v>
      </c>
      <c r="X176" s="84">
        <f t="shared" si="221"/>
        <v>14177.224297870946</v>
      </c>
      <c r="Y176" s="84">
        <f t="shared" si="221"/>
        <v>14253.228516147303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43349.988024295468</v>
      </c>
      <c r="C177" s="110">
        <f t="shared" si="219"/>
        <v>43525.504415135241</v>
      </c>
      <c r="D177" s="110">
        <f t="shared" si="219"/>
        <v>43338.979238833708</v>
      </c>
      <c r="E177" s="110">
        <f t="shared" si="219"/>
        <v>43402.0019912926</v>
      </c>
      <c r="F177" s="110">
        <f t="shared" si="219"/>
        <v>43967.801998540985</v>
      </c>
      <c r="G177" s="110">
        <f t="shared" si="219"/>
        <v>43780.96072122419</v>
      </c>
      <c r="H177" s="110">
        <f t="shared" si="219"/>
        <v>43963.453215843241</v>
      </c>
      <c r="I177" s="110">
        <f t="shared" si="219"/>
        <v>43744.023107960224</v>
      </c>
      <c r="J177" s="110">
        <f t="shared" si="219"/>
        <v>43308.105250536908</v>
      </c>
      <c r="K177" s="110">
        <f t="shared" si="219"/>
        <v>43614.074290601035</v>
      </c>
      <c r="L177" s="110">
        <f t="shared" si="219"/>
        <v>44497.691303051179</v>
      </c>
      <c r="M177" s="110">
        <f t="shared" si="222"/>
        <v>44871.275753232163</v>
      </c>
      <c r="N177" s="110">
        <f t="shared" si="219"/>
        <v>43939.015766046839</v>
      </c>
      <c r="O177" s="110">
        <f t="shared" si="219"/>
        <v>44655.281467425681</v>
      </c>
      <c r="P177" s="110">
        <f t="shared" si="219"/>
        <v>45295.908517115902</v>
      </c>
      <c r="Q177" s="110">
        <f t="shared" si="219"/>
        <v>45928.352620830497</v>
      </c>
      <c r="R177" s="110">
        <f t="shared" si="219"/>
        <v>45921.228620715716</v>
      </c>
      <c r="S177" s="110">
        <f t="shared" si="219"/>
        <v>45490.456473202059</v>
      </c>
      <c r="T177" s="110">
        <f t="shared" si="219"/>
        <v>45188.788338889237</v>
      </c>
      <c r="U177" s="110">
        <f t="shared" si="219"/>
        <v>45728.885671432101</v>
      </c>
      <c r="V177" s="110">
        <f t="shared" si="219"/>
        <v>45589.781948636628</v>
      </c>
      <c r="W177" s="110">
        <f t="shared" si="221"/>
        <v>45569.186680716441</v>
      </c>
      <c r="X177" s="110">
        <f t="shared" si="221"/>
        <v>45699.947284296213</v>
      </c>
      <c r="Y177" s="110">
        <f t="shared" si="221"/>
        <v>45644.856120528755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10497.987663801014</v>
      </c>
      <c r="C178" s="102">
        <f t="shared" si="219"/>
        <v>10335.904222136294</v>
      </c>
      <c r="D178" s="102">
        <f t="shared" si="219"/>
        <v>10087.648659923661</v>
      </c>
      <c r="E178" s="102">
        <f t="shared" si="219"/>
        <v>9904.954486180437</v>
      </c>
      <c r="F178" s="102">
        <f t="shared" si="219"/>
        <v>9843.7073541522223</v>
      </c>
      <c r="G178" s="102">
        <f t="shared" si="219"/>
        <v>9607.6430433266214</v>
      </c>
      <c r="H178" s="102">
        <f t="shared" si="219"/>
        <v>9460.4997755443383</v>
      </c>
      <c r="I178" s="102">
        <f t="shared" si="219"/>
        <v>9226.4215109762026</v>
      </c>
      <c r="J178" s="102">
        <f t="shared" si="219"/>
        <v>9316.2777076565144</v>
      </c>
      <c r="K178" s="102">
        <f t="shared" si="219"/>
        <v>9577.2330060142558</v>
      </c>
      <c r="L178" s="102">
        <f t="shared" si="219"/>
        <v>9980.6847621048837</v>
      </c>
      <c r="M178" s="102">
        <f t="shared" si="222"/>
        <v>10274.170022917388</v>
      </c>
      <c r="N178" s="102">
        <f t="shared" si="219"/>
        <v>10255.259995639517</v>
      </c>
      <c r="O178" s="102">
        <f t="shared" si="219"/>
        <v>10643.739368711313</v>
      </c>
      <c r="P178" s="102">
        <f t="shared" si="219"/>
        <v>11024.619436056437</v>
      </c>
      <c r="Q178" s="102">
        <f t="shared" si="219"/>
        <v>11414.595319356846</v>
      </c>
      <c r="R178" s="102">
        <f t="shared" si="219"/>
        <v>11184.481543495389</v>
      </c>
      <c r="S178" s="102">
        <f t="shared" si="219"/>
        <v>10852.856692188385</v>
      </c>
      <c r="T178" s="102">
        <f t="shared" si="219"/>
        <v>10561.754440631164</v>
      </c>
      <c r="U178" s="102">
        <f t="shared" si="219"/>
        <v>10480.453120857173</v>
      </c>
      <c r="V178" s="102">
        <f t="shared" si="219"/>
        <v>10235.870000377774</v>
      </c>
      <c r="W178" s="102">
        <f t="shared" si="221"/>
        <v>10032.585494379946</v>
      </c>
      <c r="X178" s="102">
        <f t="shared" si="221"/>
        <v>9861.5592381243878</v>
      </c>
      <c r="Y178" s="102">
        <f t="shared" si="221"/>
        <v>9652.0955845688786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43655.822281054832</v>
      </c>
      <c r="C179" s="102">
        <f t="shared" si="219"/>
        <v>43824.412932731844</v>
      </c>
      <c r="D179" s="102">
        <f t="shared" si="219"/>
        <v>43646.305119842153</v>
      </c>
      <c r="E179" s="102">
        <f t="shared" si="219"/>
        <v>43623.221578073346</v>
      </c>
      <c r="F179" s="102">
        <f t="shared" si="219"/>
        <v>44154.672992483371</v>
      </c>
      <c r="G179" s="102">
        <f t="shared" si="219"/>
        <v>43858.120882220799</v>
      </c>
      <c r="H179" s="102">
        <f t="shared" si="219"/>
        <v>43881.5545482202</v>
      </c>
      <c r="I179" s="102">
        <f t="shared" si="219"/>
        <v>43659.748399061755</v>
      </c>
      <c r="J179" s="102">
        <f t="shared" si="219"/>
        <v>43332.212299723447</v>
      </c>
      <c r="K179" s="102">
        <f t="shared" si="219"/>
        <v>43558.841488776459</v>
      </c>
      <c r="L179" s="102">
        <f t="shared" si="219"/>
        <v>44462.665904237052</v>
      </c>
      <c r="M179" s="102">
        <f t="shared" si="222"/>
        <v>44580.866003110183</v>
      </c>
      <c r="N179" s="102">
        <f t="shared" si="219"/>
        <v>43580.094300934252</v>
      </c>
      <c r="O179" s="102">
        <f t="shared" si="219"/>
        <v>44436.036127321444</v>
      </c>
      <c r="P179" s="102">
        <f t="shared" si="219"/>
        <v>44940.226657651488</v>
      </c>
      <c r="Q179" s="102">
        <f t="shared" si="219"/>
        <v>45797.86447343824</v>
      </c>
      <c r="R179" s="102">
        <f t="shared" si="219"/>
        <v>45998.643832383023</v>
      </c>
      <c r="S179" s="102">
        <f t="shared" si="219"/>
        <v>45523.391378227214</v>
      </c>
      <c r="T179" s="102">
        <f t="shared" si="219"/>
        <v>44920.256867245203</v>
      </c>
      <c r="U179" s="102">
        <f t="shared" si="219"/>
        <v>45892.548589133541</v>
      </c>
      <c r="V179" s="102">
        <f t="shared" si="219"/>
        <v>45748.790948231821</v>
      </c>
      <c r="W179" s="102">
        <f t="shared" si="221"/>
        <v>45420.590712363315</v>
      </c>
      <c r="X179" s="102">
        <f t="shared" si="221"/>
        <v>45802.342320514821</v>
      </c>
      <c r="Y179" s="102">
        <f t="shared" si="221"/>
        <v>45706.58334317703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27553.93437187052</v>
      </c>
      <c r="C180" s="102">
        <f t="shared" si="219"/>
        <v>27671.086349678411</v>
      </c>
      <c r="D180" s="102">
        <f t="shared" si="219"/>
        <v>27546.590502151259</v>
      </c>
      <c r="E180" s="102">
        <f t="shared" si="219"/>
        <v>27588.657085409402</v>
      </c>
      <c r="F180" s="102">
        <f t="shared" ref="B180:V192" si="223">IF(F43=0,0,F43*1000000/F70)</f>
        <v>27966.424314434629</v>
      </c>
      <c r="G180" s="102">
        <f t="shared" si="223"/>
        <v>27841.669870033209</v>
      </c>
      <c r="H180" s="102">
        <f t="shared" si="223"/>
        <v>27963.573644002608</v>
      </c>
      <c r="I180" s="102">
        <f t="shared" si="223"/>
        <v>27817.113047339702</v>
      </c>
      <c r="J180" s="102">
        <f t="shared" si="223"/>
        <v>27526.263662317211</v>
      </c>
      <c r="K180" s="102">
        <f t="shared" si="223"/>
        <v>27731.347236363508</v>
      </c>
      <c r="L180" s="102">
        <f t="shared" si="223"/>
        <v>28321.570324997549</v>
      </c>
      <c r="M180" s="102">
        <f t="shared" si="222"/>
        <v>28571.287747815455</v>
      </c>
      <c r="N180" s="102">
        <f t="shared" si="223"/>
        <v>27948.327109469006</v>
      </c>
      <c r="O180" s="102">
        <f t="shared" si="223"/>
        <v>28426.896585531555</v>
      </c>
      <c r="P180" s="102">
        <f t="shared" si="223"/>
        <v>28855.253932127296</v>
      </c>
      <c r="Q180" s="102">
        <f t="shared" si="223"/>
        <v>30819.407362263482</v>
      </c>
      <c r="R180" s="102">
        <f t="shared" si="223"/>
        <v>30506.244046697113</v>
      </c>
      <c r="S180" s="102">
        <f t="shared" si="223"/>
        <v>30205.837086859177</v>
      </c>
      <c r="T180" s="102">
        <f t="shared" si="223"/>
        <v>29995.54779450643</v>
      </c>
      <c r="U180" s="102">
        <f t="shared" si="223"/>
        <v>30372.09262736392</v>
      </c>
      <c r="V180" s="102">
        <f t="shared" si="223"/>
        <v>30268.670228486317</v>
      </c>
      <c r="W180" s="102">
        <f t="shared" si="221"/>
        <v>30272.99393863017</v>
      </c>
      <c r="X180" s="102">
        <f t="shared" si="221"/>
        <v>30351.911712685567</v>
      </c>
      <c r="Y180" s="102">
        <f t="shared" si="221"/>
        <v>30313.494265473102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54967.812847475798</v>
      </c>
      <c r="C181" s="102">
        <f t="shared" si="223"/>
        <v>51561.112972361443</v>
      </c>
      <c r="D181" s="102">
        <f t="shared" si="223"/>
        <v>48327.35175816009</v>
      </c>
      <c r="E181" s="102">
        <f t="shared" si="223"/>
        <v>49166.934756107104</v>
      </c>
      <c r="F181" s="102">
        <f t="shared" si="223"/>
        <v>51046.293961906777</v>
      </c>
      <c r="G181" s="102">
        <f t="shared" si="223"/>
        <v>56465.092593292735</v>
      </c>
      <c r="H181" s="102">
        <f t="shared" si="223"/>
        <v>59798.936950880037</v>
      </c>
      <c r="I181" s="102">
        <f t="shared" si="223"/>
        <v>56708.375507482189</v>
      </c>
      <c r="J181" s="102">
        <f t="shared" si="223"/>
        <v>51014.041523946995</v>
      </c>
      <c r="K181" s="102">
        <f t="shared" si="223"/>
        <v>53942.166089335333</v>
      </c>
      <c r="L181" s="102">
        <f t="shared" si="223"/>
        <v>53580.568637747157</v>
      </c>
      <c r="M181" s="102">
        <f t="shared" si="222"/>
        <v>60058.88902477111</v>
      </c>
      <c r="N181" s="102">
        <f t="shared" si="223"/>
        <v>59928.186784436468</v>
      </c>
      <c r="O181" s="102">
        <f t="shared" si="223"/>
        <v>60954.359150262579</v>
      </c>
      <c r="P181" s="102">
        <f t="shared" si="223"/>
        <v>61872.864181949371</v>
      </c>
      <c r="Q181" s="102">
        <f t="shared" si="223"/>
        <v>57072.97659678421</v>
      </c>
      <c r="R181" s="102">
        <f t="shared" si="223"/>
        <v>51357.313209927786</v>
      </c>
      <c r="S181" s="102">
        <f t="shared" si="223"/>
        <v>50851.577587304986</v>
      </c>
      <c r="T181" s="102">
        <f t="shared" si="223"/>
        <v>50497.555209606777</v>
      </c>
      <c r="U181" s="102">
        <f t="shared" si="223"/>
        <v>51131.469069636216</v>
      </c>
      <c r="V181" s="102">
        <f t="shared" si="223"/>
        <v>50957.357287013983</v>
      </c>
      <c r="W181" s="102">
        <f t="shared" si="221"/>
        <v>56061.09988635216</v>
      </c>
      <c r="X181" s="102">
        <f t="shared" si="221"/>
        <v>51097.494465800606</v>
      </c>
      <c r="Y181" s="102">
        <f t="shared" si="221"/>
        <v>51032.818628742578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45594.25339801432</v>
      </c>
      <c r="P182" s="102">
        <f t="shared" si="223"/>
        <v>45626.73747068872</v>
      </c>
      <c r="Q182" s="102">
        <f t="shared" si="223"/>
        <v>45658.381277427376</v>
      </c>
      <c r="R182" s="102">
        <f t="shared" si="223"/>
        <v>45658.02714510767</v>
      </c>
      <c r="S182" s="102">
        <f t="shared" si="223"/>
        <v>45636.515980124808</v>
      </c>
      <c r="T182" s="102">
        <f t="shared" si="223"/>
        <v>45621.336273128916</v>
      </c>
      <c r="U182" s="102">
        <f t="shared" si="223"/>
        <v>45594.242603248116</v>
      </c>
      <c r="V182" s="102">
        <f t="shared" si="223"/>
        <v>45483.291050860193</v>
      </c>
      <c r="W182" s="102">
        <f t="shared" si="221"/>
        <v>45587.147485823109</v>
      </c>
      <c r="X182" s="102">
        <f t="shared" si="221"/>
        <v>45592.799510336918</v>
      </c>
      <c r="Y182" s="102">
        <f t="shared" si="221"/>
        <v>45590.049835639278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19790.345029297914</v>
      </c>
      <c r="C183" s="28">
        <f t="shared" si="223"/>
        <v>17999.772650649484</v>
      </c>
      <c r="D183" s="28">
        <f t="shared" si="223"/>
        <v>17636.641040619968</v>
      </c>
      <c r="E183" s="28">
        <f t="shared" si="223"/>
        <v>18167.394637165547</v>
      </c>
      <c r="F183" s="28">
        <f t="shared" si="223"/>
        <v>19645.591725411145</v>
      </c>
      <c r="G183" s="28">
        <f t="shared" si="223"/>
        <v>20748.201391815997</v>
      </c>
      <c r="H183" s="28">
        <f t="shared" si="223"/>
        <v>17785.420555420849</v>
      </c>
      <c r="I183" s="28">
        <f t="shared" si="223"/>
        <v>18684.47093246246</v>
      </c>
      <c r="J183" s="28">
        <f t="shared" si="223"/>
        <v>18228.71037894117</v>
      </c>
      <c r="K183" s="28">
        <f t="shared" si="223"/>
        <v>17891.720968652709</v>
      </c>
      <c r="L183" s="28">
        <f t="shared" si="223"/>
        <v>19183.264049723239</v>
      </c>
      <c r="M183" s="28">
        <f t="shared" si="222"/>
        <v>19304.504089946946</v>
      </c>
      <c r="N183" s="28">
        <f t="shared" si="223"/>
        <v>17132.382409497346</v>
      </c>
      <c r="O183" s="28">
        <f t="shared" si="223"/>
        <v>15613.865557902223</v>
      </c>
      <c r="P183" s="28">
        <f t="shared" si="223"/>
        <v>16081.167825196328</v>
      </c>
      <c r="Q183" s="28">
        <f t="shared" si="223"/>
        <v>13327.225206613501</v>
      </c>
      <c r="R183" s="28">
        <f t="shared" si="223"/>
        <v>12582.969072592236</v>
      </c>
      <c r="S183" s="28">
        <f t="shared" si="223"/>
        <v>12842.122996281405</v>
      </c>
      <c r="T183" s="28">
        <f t="shared" si="223"/>
        <v>13138.276976138503</v>
      </c>
      <c r="U183" s="28">
        <f t="shared" si="223"/>
        <v>13348.487990347268</v>
      </c>
      <c r="V183" s="28">
        <f t="shared" si="223"/>
        <v>12835.291991319895</v>
      </c>
      <c r="W183" s="28">
        <f t="shared" si="221"/>
        <v>15021.10797631778</v>
      </c>
      <c r="X183" s="28">
        <f t="shared" si="221"/>
        <v>13425.64244212518</v>
      </c>
      <c r="Y183" s="28">
        <f t="shared" si="221"/>
        <v>12154.782283775568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22324.71091808916</v>
      </c>
      <c r="C184" s="137">
        <f t="shared" si="223"/>
        <v>19879.541396166238</v>
      </c>
      <c r="D184" s="137">
        <f t="shared" si="223"/>
        <v>19268.954406495006</v>
      </c>
      <c r="E184" s="137">
        <f t="shared" si="223"/>
        <v>19947.635333794366</v>
      </c>
      <c r="F184" s="137">
        <f t="shared" si="223"/>
        <v>21170.023756316481</v>
      </c>
      <c r="G184" s="137">
        <f t="shared" si="223"/>
        <v>22386.913865816005</v>
      </c>
      <c r="H184" s="137">
        <f t="shared" si="223"/>
        <v>19095.950912908102</v>
      </c>
      <c r="I184" s="137">
        <f t="shared" si="223"/>
        <v>20152.990414933851</v>
      </c>
      <c r="J184" s="137">
        <f t="shared" si="223"/>
        <v>19590.471295794698</v>
      </c>
      <c r="K184" s="137">
        <f t="shared" si="223"/>
        <v>19237.403956455964</v>
      </c>
      <c r="L184" s="137">
        <f t="shared" si="223"/>
        <v>20670.45287360459</v>
      </c>
      <c r="M184" s="137">
        <f t="shared" si="222"/>
        <v>21258.325201099651</v>
      </c>
      <c r="N184" s="137">
        <f t="shared" si="223"/>
        <v>18745.959520210319</v>
      </c>
      <c r="O184" s="137">
        <f t="shared" si="223"/>
        <v>16726.137063624385</v>
      </c>
      <c r="P184" s="137">
        <f t="shared" si="223"/>
        <v>17349.681036756043</v>
      </c>
      <c r="Q184" s="137">
        <f t="shared" si="223"/>
        <v>13995.753225464514</v>
      </c>
      <c r="R184" s="137">
        <f t="shared" si="223"/>
        <v>12885.067336958915</v>
      </c>
      <c r="S184" s="137">
        <f t="shared" si="223"/>
        <v>12964.638317020055</v>
      </c>
      <c r="T184" s="137">
        <f t="shared" si="223"/>
        <v>13305.15631117323</v>
      </c>
      <c r="U184" s="137">
        <f t="shared" si="223"/>
        <v>13428.062928568788</v>
      </c>
      <c r="V184" s="137">
        <f t="shared" si="223"/>
        <v>12783.078201278464</v>
      </c>
      <c r="W184" s="137">
        <f t="shared" si="221"/>
        <v>15166.670920556038</v>
      </c>
      <c r="X184" s="137">
        <f t="shared" si="221"/>
        <v>13229.832175215417</v>
      </c>
      <c r="Y184" s="137">
        <f t="shared" si="221"/>
        <v>11796.963820597994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10540.791428032049</v>
      </c>
      <c r="C185" s="84">
        <f t="shared" si="223"/>
        <v>10532.857994105234</v>
      </c>
      <c r="D185" s="84">
        <f t="shared" si="223"/>
        <v>10524.930531207661</v>
      </c>
      <c r="E185" s="84">
        <f t="shared" si="223"/>
        <v>10517.00903484529</v>
      </c>
      <c r="F185" s="84">
        <f t="shared" si="223"/>
        <v>10509.09350052746</v>
      </c>
      <c r="G185" s="84">
        <f t="shared" si="223"/>
        <v>10501.183923766892</v>
      </c>
      <c r="H185" s="84">
        <f t="shared" si="223"/>
        <v>10318.827419504551</v>
      </c>
      <c r="I185" s="84">
        <f t="shared" si="223"/>
        <v>10365.062372141343</v>
      </c>
      <c r="J185" s="84">
        <f t="shared" si="223"/>
        <v>10345.074246532209</v>
      </c>
      <c r="K185" s="84">
        <f t="shared" si="223"/>
        <v>10327.279764720228</v>
      </c>
      <c r="L185" s="84">
        <f t="shared" si="223"/>
        <v>10446.929024176738</v>
      </c>
      <c r="M185" s="84">
        <f t="shared" si="222"/>
        <v>10471.516548848653</v>
      </c>
      <c r="N185" s="84">
        <f t="shared" si="223"/>
        <v>10339.058538517269</v>
      </c>
      <c r="O185" s="84">
        <f t="shared" si="223"/>
        <v>10215.761482986856</v>
      </c>
      <c r="P185" s="84">
        <f t="shared" si="223"/>
        <v>10246.724004129097</v>
      </c>
      <c r="Q185" s="84">
        <f t="shared" si="223"/>
        <v>10021.296073116429</v>
      </c>
      <c r="R185" s="84">
        <f t="shared" si="223"/>
        <v>10008.323467202388</v>
      </c>
      <c r="S185" s="84">
        <f t="shared" si="223"/>
        <v>10014.55639487776</v>
      </c>
      <c r="T185" s="84">
        <f t="shared" si="223"/>
        <v>10043.283940893192</v>
      </c>
      <c r="U185" s="84">
        <f t="shared" si="223"/>
        <v>10036.970048621128</v>
      </c>
      <c r="V185" s="84">
        <f t="shared" si="223"/>
        <v>9984.2952338444193</v>
      </c>
      <c r="W185" s="84">
        <f t="shared" si="221"/>
        <v>10167.074810324913</v>
      </c>
      <c r="X185" s="84">
        <f t="shared" si="221"/>
        <v>10241.366999161053</v>
      </c>
      <c r="Y185" s="84">
        <f t="shared" si="221"/>
        <v>10211.639044351585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23642.654751848957</v>
      </c>
      <c r="C186" s="84">
        <f t="shared" si="223"/>
        <v>20905.853743183245</v>
      </c>
      <c r="D186" s="84">
        <f t="shared" si="223"/>
        <v>20213.387774460258</v>
      </c>
      <c r="E186" s="84">
        <f t="shared" si="223"/>
        <v>20952.22100761718</v>
      </c>
      <c r="F186" s="84">
        <f t="shared" si="223"/>
        <v>22292.026135908975</v>
      </c>
      <c r="G186" s="84">
        <f t="shared" si="223"/>
        <v>23624.105284291469</v>
      </c>
      <c r="H186" s="84">
        <f t="shared" si="223"/>
        <v>19997.774704517135</v>
      </c>
      <c r="I186" s="84">
        <f t="shared" si="223"/>
        <v>21008.500010255491</v>
      </c>
      <c r="J186" s="84">
        <f t="shared" si="223"/>
        <v>20377.667155049006</v>
      </c>
      <c r="K186" s="84">
        <f t="shared" si="223"/>
        <v>19992.434582674952</v>
      </c>
      <c r="L186" s="84">
        <f t="shared" si="223"/>
        <v>21559.94928461999</v>
      </c>
      <c r="M186" s="84">
        <f t="shared" si="222"/>
        <v>22209.94639319526</v>
      </c>
      <c r="N186" s="84">
        <f t="shared" si="223"/>
        <v>19483.533899842398</v>
      </c>
      <c r="O186" s="84">
        <f t="shared" si="223"/>
        <v>17290.634205839651</v>
      </c>
      <c r="P186" s="84">
        <f t="shared" si="223"/>
        <v>17966.246531262481</v>
      </c>
      <c r="Q186" s="84">
        <f t="shared" si="223"/>
        <v>14318.760733398347</v>
      </c>
      <c r="R186" s="84">
        <f t="shared" si="223"/>
        <v>13095.388850512918</v>
      </c>
      <c r="S186" s="84">
        <f t="shared" si="223"/>
        <v>13171.524529479551</v>
      </c>
      <c r="T186" s="84">
        <f t="shared" si="223"/>
        <v>13530.946838644209</v>
      </c>
      <c r="U186" s="84">
        <f t="shared" si="223"/>
        <v>13671.134459782839</v>
      </c>
      <c r="V186" s="84">
        <f t="shared" si="223"/>
        <v>12981.539769454554</v>
      </c>
      <c r="W186" s="84">
        <f t="shared" si="221"/>
        <v>15556.874789811869</v>
      </c>
      <c r="X186" s="84">
        <f t="shared" si="221"/>
        <v>13483.211764099189</v>
      </c>
      <c r="Y186" s="84">
        <f t="shared" si="221"/>
        <v>11934.096566059858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10495.771875658709</v>
      </c>
      <c r="C187" s="84">
        <f t="shared" si="223"/>
        <v>10472.091056694624</v>
      </c>
      <c r="D187" s="84">
        <f t="shared" si="223"/>
        <v>10448.463666977423</v>
      </c>
      <c r="E187" s="84">
        <f t="shared" si="223"/>
        <v>10424.889585958728</v>
      </c>
      <c r="F187" s="84">
        <f t="shared" si="223"/>
        <v>10401.368693362136</v>
      </c>
      <c r="G187" s="84">
        <f t="shared" si="223"/>
        <v>10377.900869182628</v>
      </c>
      <c r="H187" s="84">
        <f t="shared" si="223"/>
        <v>9846.5880754667069</v>
      </c>
      <c r="I187" s="84">
        <f t="shared" si="223"/>
        <v>9979.5390597268179</v>
      </c>
      <c r="J187" s="84">
        <f t="shared" si="223"/>
        <v>9921.9162914297412</v>
      </c>
      <c r="K187" s="84">
        <f t="shared" si="223"/>
        <v>9870.8044760635403</v>
      </c>
      <c r="L187" s="84">
        <f t="shared" si="223"/>
        <v>10217.876643246513</v>
      </c>
      <c r="M187" s="84">
        <f t="shared" si="222"/>
        <v>10290.19188024542</v>
      </c>
      <c r="N187" s="84">
        <f t="shared" si="223"/>
        <v>9904.6174355116273</v>
      </c>
      <c r="O187" s="84">
        <f t="shared" si="223"/>
        <v>9554.4778145790606</v>
      </c>
      <c r="P187" s="84">
        <f t="shared" si="223"/>
        <v>9641.6161787272777</v>
      </c>
      <c r="Q187" s="84">
        <f t="shared" si="223"/>
        <v>9019.1664658047885</v>
      </c>
      <c r="R187" s="84">
        <f t="shared" si="223"/>
        <v>8984.185751608924</v>
      </c>
      <c r="S187" s="84">
        <f t="shared" si="223"/>
        <v>9000.9815700351828</v>
      </c>
      <c r="T187" s="84">
        <f t="shared" si="223"/>
        <v>9078.6640625788532</v>
      </c>
      <c r="U187" s="84">
        <f t="shared" si="223"/>
        <v>9061.5524250630588</v>
      </c>
      <c r="V187" s="84">
        <f t="shared" si="223"/>
        <v>8767.6327608295232</v>
      </c>
      <c r="W187" s="84">
        <f t="shared" si="221"/>
        <v>9258.0210645626321</v>
      </c>
      <c r="X187" s="84">
        <f t="shared" si="221"/>
        <v>8215.4339171450447</v>
      </c>
      <c r="Y187" s="84">
        <f t="shared" si="221"/>
        <v>7910.7624344146889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13859.021218240639</v>
      </c>
      <c r="C188" s="84">
        <f t="shared" si="223"/>
        <v>13838.167328176471</v>
      </c>
      <c r="D188" s="84">
        <f t="shared" si="223"/>
        <v>13817.344817292978</v>
      </c>
      <c r="E188" s="84">
        <f t="shared" si="223"/>
        <v>13796.553638373412</v>
      </c>
      <c r="F188" s="84">
        <f t="shared" si="223"/>
        <v>13775.793744272063</v>
      </c>
      <c r="G188" s="84">
        <f t="shared" si="223"/>
        <v>13755.06508791417</v>
      </c>
      <c r="H188" s="84">
        <f t="shared" si="223"/>
        <v>13281.490554794849</v>
      </c>
      <c r="I188" s="84">
        <f t="shared" si="223"/>
        <v>13400.77635598813</v>
      </c>
      <c r="J188" s="84">
        <f t="shared" si="223"/>
        <v>13349.141715980475</v>
      </c>
      <c r="K188" s="84">
        <f t="shared" si="223"/>
        <v>13303.257702478106</v>
      </c>
      <c r="L188" s="84">
        <f t="shared" si="223"/>
        <v>13613.299771793685</v>
      </c>
      <c r="M188" s="84">
        <f t="shared" si="222"/>
        <v>13677.454746468649</v>
      </c>
      <c r="N188" s="84">
        <f t="shared" si="223"/>
        <v>13333.621055969385</v>
      </c>
      <c r="O188" s="84">
        <f t="shared" si="223"/>
        <v>13017.500670053463</v>
      </c>
      <c r="P188" s="84">
        <f t="shared" si="223"/>
        <v>13096.528638952774</v>
      </c>
      <c r="Q188" s="84">
        <f t="shared" si="223"/>
        <v>12526.62009139554</v>
      </c>
      <c r="R188" s="84">
        <f t="shared" si="223"/>
        <v>12494.209567970109</v>
      </c>
      <c r="S188" s="84">
        <f t="shared" si="223"/>
        <v>12509.776561640692</v>
      </c>
      <c r="T188" s="84">
        <f t="shared" si="223"/>
        <v>12581.650065702937</v>
      </c>
      <c r="U188" s="84">
        <f t="shared" si="223"/>
        <v>12565.835674086264</v>
      </c>
      <c r="V188" s="84">
        <f t="shared" si="223"/>
        <v>12434.288762307762</v>
      </c>
      <c r="W188" s="84">
        <f t="shared" si="221"/>
        <v>12893.717719313618</v>
      </c>
      <c r="X188" s="84">
        <f t="shared" si="221"/>
        <v>12082.838443032815</v>
      </c>
      <c r="Y188" s="84">
        <f t="shared" si="221"/>
        <v>12012.793741546042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9773.8744067999723</v>
      </c>
      <c r="N189" s="84">
        <f t="shared" si="223"/>
        <v>9836.2837546908904</v>
      </c>
      <c r="O189" s="84">
        <f t="shared" si="223"/>
        <v>9895.4642366931439</v>
      </c>
      <c r="P189" s="84">
        <f t="shared" si="223"/>
        <v>9910.4487641454034</v>
      </c>
      <c r="Q189" s="84">
        <f t="shared" si="223"/>
        <v>10021.296073116428</v>
      </c>
      <c r="R189" s="84">
        <f t="shared" si="223"/>
        <v>10114.955746360305</v>
      </c>
      <c r="S189" s="84">
        <f t="shared" si="223"/>
        <v>10212.925624471694</v>
      </c>
      <c r="T189" s="84">
        <f t="shared" si="223"/>
        <v>10300.291859974577</v>
      </c>
      <c r="U189" s="84">
        <f t="shared" si="223"/>
        <v>10400.024154657887</v>
      </c>
      <c r="V189" s="84">
        <f t="shared" si="223"/>
        <v>9997.5882347865645</v>
      </c>
      <c r="W189" s="84">
        <f t="shared" si="221"/>
        <v>10333.267030202867</v>
      </c>
      <c r="X189" s="84">
        <f t="shared" si="221"/>
        <v>10252.77289662697</v>
      </c>
      <c r="Y189" s="84">
        <f t="shared" si="221"/>
        <v>10267.685902390916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12526.467858576405</v>
      </c>
      <c r="C190" s="110">
        <f t="shared" si="223"/>
        <v>12267.559886932746</v>
      </c>
      <c r="D190" s="110">
        <f t="shared" si="223"/>
        <v>12287.227221299498</v>
      </c>
      <c r="E190" s="110">
        <f t="shared" si="223"/>
        <v>11996.009678903463</v>
      </c>
      <c r="F190" s="110">
        <f t="shared" si="223"/>
        <v>14242.487941711706</v>
      </c>
      <c r="G190" s="110">
        <f t="shared" si="223"/>
        <v>14664.223374727999</v>
      </c>
      <c r="H190" s="110">
        <f t="shared" si="223"/>
        <v>12771.573510376955</v>
      </c>
      <c r="I190" s="110">
        <f t="shared" si="223"/>
        <v>12942.310833196289</v>
      </c>
      <c r="J190" s="110">
        <f t="shared" si="223"/>
        <v>12768.422224129763</v>
      </c>
      <c r="K190" s="110">
        <f t="shared" si="223"/>
        <v>12410.871073605023</v>
      </c>
      <c r="L190" s="110">
        <f t="shared" si="223"/>
        <v>12971.689931264424</v>
      </c>
      <c r="M190" s="110">
        <f t="shared" si="222"/>
        <v>11054.588283678819</v>
      </c>
      <c r="N190" s="110">
        <f t="shared" si="223"/>
        <v>10147.640821274825</v>
      </c>
      <c r="O190" s="110">
        <f t="shared" si="223"/>
        <v>10704.116056718045</v>
      </c>
      <c r="P190" s="110">
        <f t="shared" si="223"/>
        <v>10378.042718074772</v>
      </c>
      <c r="Q190" s="110">
        <f t="shared" si="223"/>
        <v>10293.382761266274</v>
      </c>
      <c r="R190" s="110">
        <f t="shared" si="223"/>
        <v>11078.768706556833</v>
      </c>
      <c r="S190" s="110">
        <f t="shared" si="223"/>
        <v>12196.060149148481</v>
      </c>
      <c r="T190" s="110">
        <f t="shared" si="223"/>
        <v>12249.049834334948</v>
      </c>
      <c r="U190" s="110">
        <f t="shared" si="223"/>
        <v>12918.032048083272</v>
      </c>
      <c r="V190" s="110">
        <f t="shared" si="223"/>
        <v>13139.199109582112</v>
      </c>
      <c r="W190" s="110">
        <f t="shared" si="221"/>
        <v>14170.683502937878</v>
      </c>
      <c r="X190" s="110">
        <f t="shared" si="221"/>
        <v>14573.014272324963</v>
      </c>
      <c r="Y190" s="110">
        <f t="shared" si="221"/>
        <v>14285.494413322165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10974.469870717503</v>
      </c>
      <c r="C191" s="102">
        <f t="shared" si="223"/>
        <v>10594.709540799529</v>
      </c>
      <c r="D191" s="102">
        <f t="shared" si="223"/>
        <v>10533.42291343768</v>
      </c>
      <c r="E191" s="102">
        <f t="shared" si="223"/>
        <v>10199.903954039573</v>
      </c>
      <c r="F191" s="102">
        <f t="shared" si="223"/>
        <v>12168.81372182861</v>
      </c>
      <c r="G191" s="102">
        <f t="shared" si="223"/>
        <v>12532.467749537847</v>
      </c>
      <c r="H191" s="102">
        <f t="shared" si="223"/>
        <v>10467.075747616758</v>
      </c>
      <c r="I191" s="102">
        <f t="shared" si="223"/>
        <v>10674.460787112472</v>
      </c>
      <c r="J191" s="102">
        <f t="shared" si="223"/>
        <v>10368.549394341904</v>
      </c>
      <c r="K191" s="102">
        <f t="shared" si="223"/>
        <v>10298.552206958577</v>
      </c>
      <c r="L191" s="102">
        <f t="shared" si="223"/>
        <v>10676.490707250447</v>
      </c>
      <c r="M191" s="102">
        <f t="shared" si="222"/>
        <v>9025.2627270219527</v>
      </c>
      <c r="N191" s="102">
        <f t="shared" si="223"/>
        <v>8184.0416295447194</v>
      </c>
      <c r="O191" s="102">
        <f t="shared" si="223"/>
        <v>8549.281107033361</v>
      </c>
      <c r="P191" s="102">
        <f t="shared" si="223"/>
        <v>8121.3450985224008</v>
      </c>
      <c r="Q191" s="102">
        <f t="shared" si="223"/>
        <v>8072.914506958653</v>
      </c>
      <c r="R191" s="102">
        <f t="shared" si="223"/>
        <v>8569.2051310275619</v>
      </c>
      <c r="S191" s="102">
        <f t="shared" si="223"/>
        <v>9297.4112327852417</v>
      </c>
      <c r="T191" s="102">
        <f t="shared" si="223"/>
        <v>9460.6608979818502</v>
      </c>
      <c r="U191" s="102">
        <f t="shared" si="223"/>
        <v>10024.528814994326</v>
      </c>
      <c r="V191" s="102">
        <f t="shared" si="223"/>
        <v>10148.792456134899</v>
      </c>
      <c r="W191" s="102">
        <f t="shared" si="221"/>
        <v>10891.449397331369</v>
      </c>
      <c r="X191" s="102">
        <f t="shared" si="221"/>
        <v>11267.108192326465</v>
      </c>
      <c r="Y191" s="102">
        <f t="shared" si="221"/>
        <v>11202.3170581049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84999.005488926268</v>
      </c>
      <c r="C192" s="86">
        <f t="shared" si="223"/>
        <v>84999.986676974673</v>
      </c>
      <c r="D192" s="86">
        <f t="shared" si="223"/>
        <v>85001.864427966866</v>
      </c>
      <c r="E192" s="86">
        <f t="shared" si="223"/>
        <v>85001.398324857495</v>
      </c>
      <c r="F192" s="86">
        <f t="shared" si="223"/>
        <v>85000.398568159828</v>
      </c>
      <c r="G192" s="86">
        <f t="shared" si="223"/>
        <v>85001.343083495754</v>
      </c>
      <c r="H192" s="86">
        <f t="shared" si="223"/>
        <v>84998.552784763771</v>
      </c>
      <c r="I192" s="86">
        <f t="shared" si="223"/>
        <v>85001.141497857592</v>
      </c>
      <c r="J192" s="86">
        <f t="shared" si="223"/>
        <v>84999.932445303566</v>
      </c>
      <c r="K192" s="86">
        <f t="shared" si="223"/>
        <v>85001.290569655364</v>
      </c>
      <c r="L192" s="86">
        <f t="shared" si="223"/>
        <v>85000.16027199653</v>
      </c>
      <c r="M192" s="86">
        <f t="shared" si="222"/>
        <v>84998.924758867637</v>
      </c>
      <c r="N192" s="86">
        <f t="shared" si="223"/>
        <v>84999.984242117353</v>
      </c>
      <c r="O192" s="86">
        <f t="shared" si="223"/>
        <v>85001.213544440936</v>
      </c>
      <c r="P192" s="86">
        <f t="shared" si="223"/>
        <v>85000.595140342572</v>
      </c>
      <c r="Q192" s="86">
        <f t="shared" si="223"/>
        <v>84998.491710808943</v>
      </c>
      <c r="R192" s="86">
        <f t="shared" si="223"/>
        <v>85000.005611660294</v>
      </c>
      <c r="S192" s="86">
        <f t="shared" si="223"/>
        <v>84998.965220031125</v>
      </c>
      <c r="T192" s="86">
        <f t="shared" si="223"/>
        <v>85001.225968916769</v>
      </c>
      <c r="U192" s="86">
        <f t="shared" si="223"/>
        <v>84999.142173251676</v>
      </c>
      <c r="V192" s="86">
        <f t="shared" ref="V192:W192" si="224">IF(V55=0,0,V55*1000000/V82)</f>
        <v>85000.51531793928</v>
      </c>
      <c r="W192" s="86">
        <f t="shared" si="224"/>
        <v>85000.926095179253</v>
      </c>
      <c r="X192" s="86">
        <f t="shared" ref="X192:Y192" si="225">IF(X55=0,0,X55*1000000/X82)</f>
        <v>84999.223380141018</v>
      </c>
      <c r="Y192" s="86">
        <f t="shared" si="225"/>
        <v>85000.651515904785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20400.940874347398</v>
      </c>
      <c r="C195" s="28">
        <f t="shared" si="226"/>
        <v>20170.908274298341</v>
      </c>
      <c r="D195" s="28">
        <f t="shared" si="226"/>
        <v>19859.383986400841</v>
      </c>
      <c r="E195" s="28">
        <f t="shared" si="226"/>
        <v>19591.514602366493</v>
      </c>
      <c r="F195" s="28">
        <f t="shared" si="226"/>
        <v>19860.766114175942</v>
      </c>
      <c r="G195" s="28">
        <f t="shared" si="226"/>
        <v>18434.602735744251</v>
      </c>
      <c r="H195" s="28">
        <f t="shared" si="226"/>
        <v>18190.161194415068</v>
      </c>
      <c r="I195" s="28">
        <f t="shared" si="226"/>
        <v>17959.875275307531</v>
      </c>
      <c r="J195" s="28">
        <f t="shared" si="226"/>
        <v>17898.14054142452</v>
      </c>
      <c r="K195" s="28">
        <f t="shared" si="226"/>
        <v>18694.695450703886</v>
      </c>
      <c r="L195" s="28">
        <f t="shared" si="226"/>
        <v>17744.82171525844</v>
      </c>
      <c r="M195" s="28">
        <f>IF(M4=0,0,M4*1000000/M58)</f>
        <v>17068.534143323021</v>
      </c>
      <c r="N195" s="28">
        <f t="shared" ref="N195:V195" si="227">IF(N4=0,0,N4*1000000/N58)</f>
        <v>15337.905094391908</v>
      </c>
      <c r="O195" s="28">
        <f t="shared" si="227"/>
        <v>16163.26979051415</v>
      </c>
      <c r="P195" s="28">
        <f t="shared" si="227"/>
        <v>16514.815657907835</v>
      </c>
      <c r="Q195" s="28">
        <f t="shared" si="227"/>
        <v>16977.810705751202</v>
      </c>
      <c r="R195" s="28">
        <f t="shared" si="227"/>
        <v>17397.47078952803</v>
      </c>
      <c r="S195" s="28">
        <f t="shared" si="227"/>
        <v>18075.308090391667</v>
      </c>
      <c r="T195" s="28">
        <f t="shared" si="227"/>
        <v>17553.350997773283</v>
      </c>
      <c r="U195" s="28">
        <f t="shared" si="227"/>
        <v>17587.49522266757</v>
      </c>
      <c r="V195" s="28">
        <f t="shared" si="227"/>
        <v>11051.265216141324</v>
      </c>
      <c r="W195" s="28">
        <f t="shared" ref="W195:Y195" si="228">IF(W4=0,0,W4*1000000/W58)</f>
        <v>13810.245689403821</v>
      </c>
      <c r="X195" s="28">
        <f t="shared" si="228"/>
        <v>14331.090683498371</v>
      </c>
      <c r="Y195" s="28">
        <f t="shared" si="228"/>
        <v>15426.871977882609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5113.9839158780378</v>
      </c>
      <c r="C196" s="137">
        <f t="shared" si="229"/>
        <v>5087.7827601316594</v>
      </c>
      <c r="D196" s="137">
        <f t="shared" si="229"/>
        <v>4806.6184053489487</v>
      </c>
      <c r="E196" s="137">
        <f t="shared" si="229"/>
        <v>4763.8641636854145</v>
      </c>
      <c r="F196" s="137">
        <f t="shared" si="229"/>
        <v>4956.7243255744179</v>
      </c>
      <c r="G196" s="137">
        <f t="shared" si="229"/>
        <v>4921.8092865488688</v>
      </c>
      <c r="H196" s="137">
        <f t="shared" si="229"/>
        <v>4756.3728379678887</v>
      </c>
      <c r="I196" s="137">
        <f t="shared" si="229"/>
        <v>4211.6165002603811</v>
      </c>
      <c r="J196" s="137">
        <f t="shared" si="229"/>
        <v>4549.2661567366904</v>
      </c>
      <c r="K196" s="137">
        <f t="shared" si="229"/>
        <v>4165.529121690427</v>
      </c>
      <c r="L196" s="137">
        <f t="shared" si="229"/>
        <v>4121.1159376529149</v>
      </c>
      <c r="M196" s="137">
        <f>IF(M5=0,0,M5*1000000/M59)</f>
        <v>4485.3543302828848</v>
      </c>
      <c r="N196" s="137">
        <f t="shared" ref="N196:V196" si="230">IF(N5=0,0,N5*1000000/N59)</f>
        <v>4673.693733010361</v>
      </c>
      <c r="O196" s="137">
        <f t="shared" si="230"/>
        <v>4477.0826760369437</v>
      </c>
      <c r="P196" s="137">
        <f t="shared" si="230"/>
        <v>4351.4816441449821</v>
      </c>
      <c r="Q196" s="137">
        <f t="shared" si="230"/>
        <v>4078.6328586300378</v>
      </c>
      <c r="R196" s="137">
        <f t="shared" si="230"/>
        <v>4106.6304661015683</v>
      </c>
      <c r="S196" s="137">
        <f t="shared" si="230"/>
        <v>3817.4550346951305</v>
      </c>
      <c r="T196" s="137">
        <f t="shared" si="230"/>
        <v>3580.7136975676667</v>
      </c>
      <c r="U196" s="137">
        <f t="shared" si="230"/>
        <v>3819.5637928184819</v>
      </c>
      <c r="V196" s="137">
        <f t="shared" si="230"/>
        <v>3295.6403041541525</v>
      </c>
      <c r="W196" s="137">
        <f t="shared" ref="W196:Y196" si="231">IF(W5=0,0,W5*1000000/W59)</f>
        <v>3522.143295311248</v>
      </c>
      <c r="X196" s="137">
        <f t="shared" si="231"/>
        <v>3573.3568472225893</v>
      </c>
      <c r="Y196" s="137">
        <f t="shared" si="231"/>
        <v>3783.8218267462798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21776.147628488638</v>
      </c>
      <c r="C197" s="110">
        <f t="shared" si="232"/>
        <v>21580.281113099856</v>
      </c>
      <c r="D197" s="110">
        <f t="shared" si="232"/>
        <v>21381.443299016566</v>
      </c>
      <c r="E197" s="110">
        <f t="shared" si="232"/>
        <v>21103.436075633301</v>
      </c>
      <c r="F197" s="110">
        <f t="shared" si="232"/>
        <v>21412.146577379233</v>
      </c>
      <c r="G197" s="110">
        <f t="shared" si="232"/>
        <v>19529.06222055557</v>
      </c>
      <c r="H197" s="110">
        <f t="shared" si="232"/>
        <v>19158.993682182623</v>
      </c>
      <c r="I197" s="110">
        <f t="shared" si="232"/>
        <v>18975.78475336323</v>
      </c>
      <c r="J197" s="110">
        <f t="shared" si="232"/>
        <v>18733.111757374325</v>
      </c>
      <c r="K197" s="110">
        <f t="shared" si="232"/>
        <v>19793.02760365116</v>
      </c>
      <c r="L197" s="110">
        <f t="shared" si="232"/>
        <v>18609.532523128484</v>
      </c>
      <c r="M197" s="110">
        <f>IF(M6=0,0,M6*1000000/M60)</f>
        <v>17627.412506484485</v>
      </c>
      <c r="N197" s="110">
        <f t="shared" ref="N197:V197" si="233">IF(N6=0,0,N6*1000000/N60)</f>
        <v>15257.049492049522</v>
      </c>
      <c r="O197" s="110">
        <f t="shared" si="233"/>
        <v>16375.874315914301</v>
      </c>
      <c r="P197" s="110">
        <f t="shared" si="233"/>
        <v>16865.574482647087</v>
      </c>
      <c r="Q197" s="110">
        <f t="shared" si="233"/>
        <v>17565.851620847501</v>
      </c>
      <c r="R197" s="110">
        <f t="shared" si="233"/>
        <v>18122.73636851479</v>
      </c>
      <c r="S197" s="110">
        <f t="shared" si="233"/>
        <v>19079.651710597365</v>
      </c>
      <c r="T197" s="110">
        <f t="shared" si="233"/>
        <v>18527.111855835374</v>
      </c>
      <c r="U197" s="110">
        <f t="shared" si="233"/>
        <v>18521.297333645685</v>
      </c>
      <c r="V197" s="110">
        <f t="shared" si="233"/>
        <v>11593.822972498476</v>
      </c>
      <c r="W197" s="110">
        <f t="shared" ref="W197:Y209" si="234">IF(W6=0,0,W6*1000000/W60)</f>
        <v>14575.120842439632</v>
      </c>
      <c r="X197" s="110">
        <f t="shared" si="234"/>
        <v>14991.696354574951</v>
      </c>
      <c r="Y197" s="110">
        <f t="shared" si="234"/>
        <v>16477.727645126954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18721.212005350579</v>
      </c>
      <c r="C198" s="84">
        <f t="shared" si="232"/>
        <v>18261.892819331308</v>
      </c>
      <c r="D198" s="84">
        <f t="shared" si="232"/>
        <v>17406.238976631641</v>
      </c>
      <c r="E198" s="84">
        <f t="shared" si="232"/>
        <v>17111.371917044202</v>
      </c>
      <c r="F198" s="84">
        <f t="shared" si="232"/>
        <v>16283.733022270493</v>
      </c>
      <c r="G198" s="84">
        <f t="shared" si="232"/>
        <v>14733.035060210746</v>
      </c>
      <c r="H198" s="84">
        <f t="shared" si="232"/>
        <v>12876.257155597465</v>
      </c>
      <c r="I198" s="84">
        <f t="shared" si="232"/>
        <v>12797.372536292727</v>
      </c>
      <c r="J198" s="84">
        <f t="shared" si="232"/>
        <v>12951.496773077828</v>
      </c>
      <c r="K198" s="84">
        <f t="shared" si="232"/>
        <v>14422.625723566389</v>
      </c>
      <c r="L198" s="84">
        <f t="shared" si="232"/>
        <v>13798.126016088356</v>
      </c>
      <c r="M198" s="84">
        <f t="shared" ref="M198:M219" si="235">IF(M7=0,0,M7*1000000/M61)</f>
        <v>13229.681829770614</v>
      </c>
      <c r="N198" s="84">
        <f t="shared" si="232"/>
        <v>10730.259335751558</v>
      </c>
      <c r="O198" s="84">
        <f t="shared" si="232"/>
        <v>11062.155386826289</v>
      </c>
      <c r="P198" s="84">
        <f t="shared" si="232"/>
        <v>10920.884192952952</v>
      </c>
      <c r="Q198" s="84">
        <f t="shared" si="232"/>
        <v>11170.718583494438</v>
      </c>
      <c r="R198" s="84">
        <f t="shared" si="232"/>
        <v>11175.621852701941</v>
      </c>
      <c r="S198" s="84">
        <f t="shared" si="232"/>
        <v>11451.471774844144</v>
      </c>
      <c r="T198" s="84">
        <f t="shared" si="232"/>
        <v>11165.511984099887</v>
      </c>
      <c r="U198" s="84">
        <f t="shared" si="232"/>
        <v>11296.149548573543</v>
      </c>
      <c r="V198" s="84">
        <f t="shared" si="232"/>
        <v>6952.9761807474015</v>
      </c>
      <c r="W198" s="84">
        <f t="shared" si="234"/>
        <v>8897.5204272378378</v>
      </c>
      <c r="X198" s="84">
        <f t="shared" si="234"/>
        <v>9335.6168671414835</v>
      </c>
      <c r="Y198" s="84">
        <f t="shared" si="234"/>
        <v>10566.472326864805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35671.420461405221</v>
      </c>
      <c r="C199" s="84">
        <f t="shared" si="232"/>
        <v>35232.159966790015</v>
      </c>
      <c r="D199" s="84">
        <f t="shared" si="232"/>
        <v>35715.16659405746</v>
      </c>
      <c r="E199" s="84">
        <f t="shared" si="232"/>
        <v>33740.391879386021</v>
      </c>
      <c r="F199" s="84">
        <f t="shared" si="232"/>
        <v>34914.333256503429</v>
      </c>
      <c r="G199" s="84">
        <f t="shared" si="232"/>
        <v>30266.251163002817</v>
      </c>
      <c r="H199" s="84">
        <f t="shared" si="232"/>
        <v>31556.96607122276</v>
      </c>
      <c r="I199" s="84">
        <f t="shared" si="232"/>
        <v>29719.295631441859</v>
      </c>
      <c r="J199" s="84">
        <f t="shared" si="232"/>
        <v>27964.020706204061</v>
      </c>
      <c r="K199" s="84">
        <f t="shared" si="232"/>
        <v>27573.648432614729</v>
      </c>
      <c r="L199" s="84">
        <f t="shared" si="232"/>
        <v>25060.012107110066</v>
      </c>
      <c r="M199" s="84">
        <f t="shared" si="235"/>
        <v>23169.373750157785</v>
      </c>
      <c r="N199" s="84">
        <f t="shared" si="232"/>
        <v>20639.504354591936</v>
      </c>
      <c r="O199" s="84">
        <f t="shared" si="232"/>
        <v>22276.593155245315</v>
      </c>
      <c r="P199" s="84">
        <f t="shared" si="232"/>
        <v>23503.974586992423</v>
      </c>
      <c r="Q199" s="84">
        <f t="shared" si="232"/>
        <v>24165.489491760567</v>
      </c>
      <c r="R199" s="84">
        <f t="shared" si="232"/>
        <v>25281.147760932203</v>
      </c>
      <c r="S199" s="84">
        <f t="shared" si="232"/>
        <v>26723.224868053258</v>
      </c>
      <c r="T199" s="84">
        <f t="shared" si="232"/>
        <v>25405.208803717775</v>
      </c>
      <c r="U199" s="84">
        <f t="shared" si="232"/>
        <v>25176.259481100689</v>
      </c>
      <c r="V199" s="84">
        <f t="shared" si="232"/>
        <v>15812.03363031522</v>
      </c>
      <c r="W199" s="84">
        <f t="shared" si="234"/>
        <v>19656.077427224478</v>
      </c>
      <c r="X199" s="84">
        <f t="shared" si="234"/>
        <v>20034.649691934061</v>
      </c>
      <c r="Y199" s="84">
        <f t="shared" si="234"/>
        <v>22028.231189594786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29868.771744757909</v>
      </c>
      <c r="C200" s="84">
        <f t="shared" si="232"/>
        <v>28015.543500990218</v>
      </c>
      <c r="D200" s="84">
        <f t="shared" si="232"/>
        <v>28082.798437975704</v>
      </c>
      <c r="E200" s="84">
        <f t="shared" si="232"/>
        <v>25850.718425920528</v>
      </c>
      <c r="F200" s="84">
        <f t="shared" si="232"/>
        <v>26249.766485257605</v>
      </c>
      <c r="G200" s="84">
        <f t="shared" si="232"/>
        <v>23818.251527285098</v>
      </c>
      <c r="H200" s="84">
        <f t="shared" si="232"/>
        <v>23331.230586750495</v>
      </c>
      <c r="I200" s="84">
        <f t="shared" si="232"/>
        <v>23104.98109075872</v>
      </c>
      <c r="J200" s="84">
        <f t="shared" si="232"/>
        <v>22823.690617167358</v>
      </c>
      <c r="K200" s="84">
        <f t="shared" si="232"/>
        <v>24172.912021699427</v>
      </c>
      <c r="L200" s="84">
        <f t="shared" si="232"/>
        <v>22676.340027605034</v>
      </c>
      <c r="M200" s="84">
        <f t="shared" si="235"/>
        <v>21454.259765982857</v>
      </c>
      <c r="N200" s="84">
        <f t="shared" si="232"/>
        <v>19942.718238088819</v>
      </c>
      <c r="O200" s="84">
        <f t="shared" si="232"/>
        <v>23126.627924923887</v>
      </c>
      <c r="P200" s="84">
        <f t="shared" si="232"/>
        <v>21713.537225677384</v>
      </c>
      <c r="Q200" s="84">
        <f t="shared" si="232"/>
        <v>23731.936154577186</v>
      </c>
      <c r="R200" s="84">
        <f t="shared" si="232"/>
        <v>23390.568785557523</v>
      </c>
      <c r="S200" s="84">
        <f t="shared" si="232"/>
        <v>24335.30713021689</v>
      </c>
      <c r="T200" s="84">
        <f t="shared" si="232"/>
        <v>23557.225515498958</v>
      </c>
      <c r="U200" s="84">
        <f t="shared" si="232"/>
        <v>23813.349035595329</v>
      </c>
      <c r="V200" s="84">
        <f t="shared" si="232"/>
        <v>15259.912338441995</v>
      </c>
      <c r="W200" s="84">
        <f t="shared" si="234"/>
        <v>19439.291657009147</v>
      </c>
      <c r="X200" s="84">
        <f t="shared" si="234"/>
        <v>20824.855080354504</v>
      </c>
      <c r="Y200" s="84">
        <f t="shared" si="234"/>
        <v>21620.097147515637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26222.730677443324</v>
      </c>
      <c r="C201" s="84">
        <f t="shared" si="232"/>
        <v>25122.531767342913</v>
      </c>
      <c r="D201" s="84">
        <f t="shared" si="232"/>
        <v>24882.893729011343</v>
      </c>
      <c r="E201" s="84">
        <f t="shared" si="232"/>
        <v>24541.330309038764</v>
      </c>
      <c r="F201" s="84">
        <f t="shared" si="232"/>
        <v>24920.16582424644</v>
      </c>
      <c r="G201" s="84">
        <f t="shared" si="232"/>
        <v>22611.811729331297</v>
      </c>
      <c r="H201" s="84">
        <f t="shared" si="232"/>
        <v>22149.459326889213</v>
      </c>
      <c r="I201" s="84">
        <f t="shared" si="232"/>
        <v>21934.669798725834</v>
      </c>
      <c r="J201" s="84">
        <f t="shared" si="232"/>
        <v>21667.627223295149</v>
      </c>
      <c r="K201" s="84">
        <f t="shared" si="232"/>
        <v>22948.507994308682</v>
      </c>
      <c r="L201" s="84">
        <f t="shared" si="232"/>
        <v>21527.740221700074</v>
      </c>
      <c r="M201" s="84">
        <f t="shared" si="235"/>
        <v>20367.560652587828</v>
      </c>
      <c r="N201" s="84">
        <f t="shared" si="232"/>
        <v>17587.775020342997</v>
      </c>
      <c r="O201" s="84">
        <f t="shared" si="232"/>
        <v>18895.702281879741</v>
      </c>
      <c r="P201" s="84">
        <f t="shared" si="232"/>
        <v>19515.244066637515</v>
      </c>
      <c r="Q201" s="84">
        <f t="shared" si="232"/>
        <v>20276.881555162541</v>
      </c>
      <c r="R201" s="84">
        <f t="shared" si="232"/>
        <v>21364.157011129944</v>
      </c>
      <c r="S201" s="84">
        <f t="shared" si="232"/>
        <v>23051.483448927745</v>
      </c>
      <c r="T201" s="84">
        <f t="shared" si="232"/>
        <v>22364.00718212494</v>
      </c>
      <c r="U201" s="84">
        <f t="shared" si="232"/>
        <v>22607.157558181651</v>
      </c>
      <c r="V201" s="84">
        <f t="shared" si="232"/>
        <v>14486.968718407894</v>
      </c>
      <c r="W201" s="84">
        <f t="shared" si="234"/>
        <v>17643.473559942337</v>
      </c>
      <c r="X201" s="84">
        <f t="shared" si="234"/>
        <v>15943.478886132123</v>
      </c>
      <c r="Y201" s="84">
        <f t="shared" si="234"/>
        <v>16021.253234381975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0</v>
      </c>
      <c r="N202" s="84">
        <f t="shared" si="232"/>
        <v>11743.638023186562</v>
      </c>
      <c r="O202" s="84">
        <f t="shared" si="232"/>
        <v>13281.012553539047</v>
      </c>
      <c r="P202" s="84">
        <f t="shared" si="232"/>
        <v>14438.38211785149</v>
      </c>
      <c r="Q202" s="84">
        <f t="shared" si="232"/>
        <v>15791.453407946039</v>
      </c>
      <c r="R202" s="84">
        <f t="shared" si="232"/>
        <v>15806.303087943834</v>
      </c>
      <c r="S202" s="84">
        <f t="shared" si="232"/>
        <v>17054.674042633898</v>
      </c>
      <c r="T202" s="84">
        <f t="shared" si="232"/>
        <v>16546.043712254272</v>
      </c>
      <c r="U202" s="84">
        <f t="shared" si="232"/>
        <v>16725.938876753276</v>
      </c>
      <c r="V202" s="84">
        <f t="shared" si="232"/>
        <v>10718.205182138636</v>
      </c>
      <c r="W202" s="84">
        <f t="shared" si="234"/>
        <v>13053.549946636631</v>
      </c>
      <c r="X202" s="84">
        <f t="shared" si="234"/>
        <v>13692.099673581137</v>
      </c>
      <c r="Y202" s="84">
        <f t="shared" si="234"/>
        <v>15185.450096006378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0</v>
      </c>
      <c r="J203" s="84">
        <f t="shared" si="232"/>
        <v>0</v>
      </c>
      <c r="K203" s="84">
        <f t="shared" si="232"/>
        <v>0</v>
      </c>
      <c r="L203" s="84">
        <f t="shared" si="232"/>
        <v>24714.133947070033</v>
      </c>
      <c r="M203" s="84">
        <f t="shared" si="235"/>
        <v>23964.578593401107</v>
      </c>
      <c r="N203" s="84">
        <f t="shared" si="232"/>
        <v>21935.033420747226</v>
      </c>
      <c r="O203" s="84">
        <f t="shared" si="232"/>
        <v>23209.913569288277</v>
      </c>
      <c r="P203" s="84">
        <f t="shared" si="232"/>
        <v>22353.616314485727</v>
      </c>
      <c r="Q203" s="84">
        <f t="shared" si="232"/>
        <v>23369.939256547372</v>
      </c>
      <c r="R203" s="84">
        <f t="shared" si="232"/>
        <v>23710.383508744479</v>
      </c>
      <c r="S203" s="84">
        <f t="shared" si="232"/>
        <v>24375.932557506152</v>
      </c>
      <c r="T203" s="84">
        <f t="shared" si="232"/>
        <v>24541.648558094425</v>
      </c>
      <c r="U203" s="84">
        <f t="shared" si="232"/>
        <v>24780.637156637298</v>
      </c>
      <c r="V203" s="84">
        <f t="shared" si="232"/>
        <v>16266.851441024894</v>
      </c>
      <c r="W203" s="84">
        <f t="shared" si="234"/>
        <v>24381.034690213444</v>
      </c>
      <c r="X203" s="84">
        <f t="shared" si="234"/>
        <v>24055.116274805019</v>
      </c>
      <c r="Y203" s="84">
        <f t="shared" si="234"/>
        <v>24595.61351027355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1059579.4392523365</v>
      </c>
      <c r="C204" s="110">
        <f t="shared" si="232"/>
        <v>1063834.0492777494</v>
      </c>
      <c r="D204" s="110">
        <f t="shared" si="232"/>
        <v>1059204.5008504514</v>
      </c>
      <c r="E204" s="110">
        <f t="shared" si="232"/>
        <v>1060603.445486025</v>
      </c>
      <c r="F204" s="110">
        <f t="shared" si="232"/>
        <v>1074143.4631866829</v>
      </c>
      <c r="G204" s="110">
        <f t="shared" si="232"/>
        <v>1069008.9689422578</v>
      </c>
      <c r="H204" s="110">
        <f t="shared" si="232"/>
        <v>1072321.2520421648</v>
      </c>
      <c r="I204" s="110">
        <f t="shared" si="232"/>
        <v>1064696.7921260332</v>
      </c>
      <c r="J204" s="110">
        <f t="shared" si="232"/>
        <v>1049601.9344856911</v>
      </c>
      <c r="K204" s="110">
        <f t="shared" si="232"/>
        <v>1042881.7521840777</v>
      </c>
      <c r="L204" s="110">
        <f t="shared" si="232"/>
        <v>1051192.3982682202</v>
      </c>
      <c r="M204" s="110">
        <f t="shared" si="235"/>
        <v>1040283.5179788172</v>
      </c>
      <c r="N204" s="110">
        <f t="shared" si="232"/>
        <v>1055701.1522941885</v>
      </c>
      <c r="O204" s="110">
        <f t="shared" si="232"/>
        <v>1072844.1914400172</v>
      </c>
      <c r="P204" s="110">
        <f t="shared" si="232"/>
        <v>1090559.9932109178</v>
      </c>
      <c r="Q204" s="110">
        <f t="shared" si="232"/>
        <v>1090335.6875425458</v>
      </c>
      <c r="R204" s="110">
        <f t="shared" si="232"/>
        <v>1090187.4287419152</v>
      </c>
      <c r="S204" s="110">
        <f t="shared" si="232"/>
        <v>1079922.1708035336</v>
      </c>
      <c r="T204" s="110">
        <f t="shared" si="232"/>
        <v>1072730.8718119687</v>
      </c>
      <c r="U204" s="110">
        <f t="shared" si="232"/>
        <v>1085413.0674604001</v>
      </c>
      <c r="V204" s="110">
        <f t="shared" si="232"/>
        <v>615218.45749287796</v>
      </c>
      <c r="W204" s="110">
        <f t="shared" si="234"/>
        <v>803773.89893273974</v>
      </c>
      <c r="X204" s="110">
        <f t="shared" si="234"/>
        <v>891951.60332232132</v>
      </c>
      <c r="Y204" s="110">
        <f t="shared" si="234"/>
        <v>841935.88702118339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98690.932082434345</v>
      </c>
      <c r="C205" s="102">
        <f t="shared" si="232"/>
        <v>97163.958936564974</v>
      </c>
      <c r="D205" s="102">
        <f t="shared" si="232"/>
        <v>94823.883818364528</v>
      </c>
      <c r="E205" s="102">
        <f t="shared" si="232"/>
        <v>93094.153525743372</v>
      </c>
      <c r="F205" s="102">
        <f t="shared" si="232"/>
        <v>92493.855007949111</v>
      </c>
      <c r="G205" s="102">
        <f t="shared" si="232"/>
        <v>90227.634732598643</v>
      </c>
      <c r="H205" s="102">
        <f t="shared" si="232"/>
        <v>88751.120989674557</v>
      </c>
      <c r="I205" s="102">
        <f t="shared" si="232"/>
        <v>86370.844672486783</v>
      </c>
      <c r="J205" s="102">
        <f t="shared" si="232"/>
        <v>86840.940206620944</v>
      </c>
      <c r="K205" s="102">
        <f t="shared" si="232"/>
        <v>88079.555659008547</v>
      </c>
      <c r="L205" s="102">
        <f t="shared" si="232"/>
        <v>90684.220342536064</v>
      </c>
      <c r="M205" s="102">
        <f t="shared" si="235"/>
        <v>91612.914741094573</v>
      </c>
      <c r="N205" s="102">
        <f t="shared" si="232"/>
        <v>94768.498195480992</v>
      </c>
      <c r="O205" s="102">
        <f t="shared" si="232"/>
        <v>98352.342154586207</v>
      </c>
      <c r="P205" s="102">
        <f t="shared" si="232"/>
        <v>102089.44566233277</v>
      </c>
      <c r="Q205" s="102">
        <f t="shared" si="232"/>
        <v>104223.71037089384</v>
      </c>
      <c r="R205" s="102">
        <f t="shared" si="232"/>
        <v>102124.55564542479</v>
      </c>
      <c r="S205" s="102">
        <f t="shared" si="232"/>
        <v>99092.978608110818</v>
      </c>
      <c r="T205" s="102">
        <f t="shared" si="232"/>
        <v>96432.361155897001</v>
      </c>
      <c r="U205" s="102">
        <f t="shared" si="232"/>
        <v>95677.790822159615</v>
      </c>
      <c r="V205" s="102">
        <f t="shared" si="232"/>
        <v>66727.89507614178</v>
      </c>
      <c r="W205" s="102">
        <f t="shared" si="234"/>
        <v>68061.598253748874</v>
      </c>
      <c r="X205" s="102">
        <f t="shared" si="234"/>
        <v>74028.309376238132</v>
      </c>
      <c r="Y205" s="102">
        <f t="shared" si="234"/>
        <v>68475.536737444476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1068888.7292784404</v>
      </c>
      <c r="C206" s="102">
        <f t="shared" si="232"/>
        <v>1072753.379604555</v>
      </c>
      <c r="D206" s="102">
        <f t="shared" si="232"/>
        <v>1068203.2679881267</v>
      </c>
      <c r="E206" s="102">
        <f t="shared" si="232"/>
        <v>1067187.1441190403</v>
      </c>
      <c r="F206" s="102">
        <f t="shared" si="232"/>
        <v>1079723.2538061906</v>
      </c>
      <c r="G206" s="102">
        <f t="shared" si="232"/>
        <v>1071836.1495756055</v>
      </c>
      <c r="H206" s="102">
        <f t="shared" si="232"/>
        <v>1071192.0352686499</v>
      </c>
      <c r="I206" s="102">
        <f t="shared" si="232"/>
        <v>1063449.1037833593</v>
      </c>
      <c r="J206" s="102">
        <f t="shared" si="232"/>
        <v>1050996.2919905765</v>
      </c>
      <c r="K206" s="102">
        <f t="shared" si="232"/>
        <v>1042418.0233410257</v>
      </c>
      <c r="L206" s="102">
        <f t="shared" si="232"/>
        <v>1051232.3736843236</v>
      </c>
      <c r="M206" s="102">
        <f t="shared" si="235"/>
        <v>1034379.9684720183</v>
      </c>
      <c r="N206" s="102">
        <f t="shared" si="232"/>
        <v>1047945.162581048</v>
      </c>
      <c r="O206" s="102">
        <f t="shared" si="232"/>
        <v>1069274.8747864009</v>
      </c>
      <c r="P206" s="102">
        <f t="shared" si="232"/>
        <v>1083053.694051805</v>
      </c>
      <c r="Q206" s="102">
        <f t="shared" si="232"/>
        <v>1088284.8336968592</v>
      </c>
      <c r="R206" s="102">
        <f t="shared" si="232"/>
        <v>1093038.3531336181</v>
      </c>
      <c r="S206" s="102">
        <f t="shared" si="232"/>
        <v>1081653.2257260703</v>
      </c>
      <c r="T206" s="102">
        <f t="shared" si="232"/>
        <v>1067236.2730212086</v>
      </c>
      <c r="U206" s="102">
        <f t="shared" si="232"/>
        <v>1090914.9295527565</v>
      </c>
      <c r="V206" s="102">
        <f t="shared" si="232"/>
        <v>618114.4140009355</v>
      </c>
      <c r="W206" s="102">
        <f t="shared" si="234"/>
        <v>802251.66796087357</v>
      </c>
      <c r="X206" s="102">
        <f t="shared" si="234"/>
        <v>895145.28315949766</v>
      </c>
      <c r="Y206" s="102">
        <f t="shared" si="234"/>
        <v>844174.82392797456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674642.88515191805</v>
      </c>
      <c r="C207" s="102">
        <f t="shared" si="232"/>
        <v>677345.10088043241</v>
      </c>
      <c r="D207" s="102">
        <f t="shared" si="232"/>
        <v>674177.52580736869</v>
      </c>
      <c r="E207" s="102">
        <f t="shared" si="232"/>
        <v>674921.72975726216</v>
      </c>
      <c r="F207" s="102">
        <f t="shared" si="232"/>
        <v>683868.69637209876</v>
      </c>
      <c r="G207" s="102">
        <f t="shared" si="232"/>
        <v>680414.65596280876</v>
      </c>
      <c r="H207" s="102">
        <f t="shared" si="232"/>
        <v>682618.41845616326</v>
      </c>
      <c r="I207" s="102">
        <f t="shared" si="232"/>
        <v>677559.65219143394</v>
      </c>
      <c r="J207" s="102">
        <f t="shared" si="232"/>
        <v>667632.68031055457</v>
      </c>
      <c r="K207" s="102">
        <f t="shared" si="232"/>
        <v>663646.12057375582</v>
      </c>
      <c r="L207" s="102">
        <f t="shared" si="232"/>
        <v>669607.88323710288</v>
      </c>
      <c r="M207" s="102">
        <f t="shared" si="235"/>
        <v>662920.44927365263</v>
      </c>
      <c r="N207" s="102">
        <f t="shared" si="232"/>
        <v>672057.15513958724</v>
      </c>
      <c r="O207" s="102">
        <f t="shared" si="232"/>
        <v>684043.1536234885</v>
      </c>
      <c r="P207" s="102">
        <f t="shared" si="232"/>
        <v>695407.91598727799</v>
      </c>
      <c r="Q207" s="102">
        <f t="shared" si="232"/>
        <v>732354.96898178104</v>
      </c>
      <c r="R207" s="102">
        <f t="shared" si="232"/>
        <v>724901.69220205466</v>
      </c>
      <c r="S207" s="102">
        <f t="shared" si="232"/>
        <v>717702.26539808675</v>
      </c>
      <c r="T207" s="102">
        <f t="shared" si="232"/>
        <v>712648.12064735161</v>
      </c>
      <c r="U207" s="102">
        <f t="shared" si="232"/>
        <v>721977.10320223623</v>
      </c>
      <c r="V207" s="102">
        <f t="shared" si="232"/>
        <v>408961.65719525964</v>
      </c>
      <c r="W207" s="102">
        <f t="shared" si="234"/>
        <v>534703.74340210343</v>
      </c>
      <c r="X207" s="102">
        <f t="shared" si="234"/>
        <v>593187.36178072856</v>
      </c>
      <c r="Y207" s="102">
        <f t="shared" si="234"/>
        <v>559873.14763962594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1345856.5789345126</v>
      </c>
      <c r="C208" s="102">
        <f t="shared" si="232"/>
        <v>1262135.7479944921</v>
      </c>
      <c r="D208" s="102">
        <f t="shared" si="232"/>
        <v>1182767.5891357344</v>
      </c>
      <c r="E208" s="102">
        <f t="shared" si="232"/>
        <v>1202807.1011112728</v>
      </c>
      <c r="F208" s="102">
        <f t="shared" si="232"/>
        <v>1248245.4715649209</v>
      </c>
      <c r="G208" s="102">
        <f t="shared" si="232"/>
        <v>1379934.3476924715</v>
      </c>
      <c r="H208" s="102">
        <f t="shared" si="232"/>
        <v>1459751.0420676959</v>
      </c>
      <c r="I208" s="102">
        <f t="shared" si="232"/>
        <v>1381283.0655647595</v>
      </c>
      <c r="J208" s="102">
        <f t="shared" si="232"/>
        <v>1237314.358894706</v>
      </c>
      <c r="K208" s="102">
        <f t="shared" si="232"/>
        <v>1290904.0788898561</v>
      </c>
      <c r="L208" s="102">
        <f t="shared" si="232"/>
        <v>1266807.2686808293</v>
      </c>
      <c r="M208" s="102">
        <f t="shared" si="235"/>
        <v>1393506.1676812901</v>
      </c>
      <c r="N208" s="102">
        <f t="shared" si="232"/>
        <v>1441058.2273948265</v>
      </c>
      <c r="O208" s="102">
        <f t="shared" si="232"/>
        <v>1466759.1988028013</v>
      </c>
      <c r="P208" s="102">
        <f t="shared" si="232"/>
        <v>1491128.0849629743</v>
      </c>
      <c r="Q208" s="102">
        <f t="shared" si="232"/>
        <v>1356212.9055218161</v>
      </c>
      <c r="R208" s="102">
        <f t="shared" si="232"/>
        <v>1220373.219195378</v>
      </c>
      <c r="S208" s="102">
        <f t="shared" si="232"/>
        <v>1208252.9720506505</v>
      </c>
      <c r="T208" s="102">
        <f t="shared" si="232"/>
        <v>1199744.3108541272</v>
      </c>
      <c r="U208" s="102">
        <f t="shared" si="232"/>
        <v>1215449.6686906328</v>
      </c>
      <c r="V208" s="102">
        <f t="shared" si="232"/>
        <v>688487.63837585784</v>
      </c>
      <c r="W208" s="102">
        <f t="shared" si="234"/>
        <v>990192.11741130229</v>
      </c>
      <c r="X208" s="102">
        <f t="shared" si="234"/>
        <v>998631.92218977842</v>
      </c>
      <c r="Y208" s="102">
        <f t="shared" si="234"/>
        <v>942547.3865986967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0</v>
      </c>
      <c r="C209" s="102">
        <f t="shared" si="232"/>
        <v>0</v>
      </c>
      <c r="D209" s="102">
        <f t="shared" si="232"/>
        <v>0</v>
      </c>
      <c r="E209" s="102">
        <f t="shared" si="232"/>
        <v>0</v>
      </c>
      <c r="F209" s="102">
        <f t="shared" si="232"/>
        <v>0</v>
      </c>
      <c r="G209" s="102">
        <f t="shared" si="232"/>
        <v>0</v>
      </c>
      <c r="H209" s="102">
        <f t="shared" si="232"/>
        <v>0</v>
      </c>
      <c r="I209" s="102">
        <f t="shared" si="232"/>
        <v>0</v>
      </c>
      <c r="J209" s="102">
        <f t="shared" si="232"/>
        <v>0</v>
      </c>
      <c r="K209" s="102">
        <f t="shared" si="232"/>
        <v>0</v>
      </c>
      <c r="L209" s="102">
        <f t="shared" si="232"/>
        <v>0</v>
      </c>
      <c r="M209" s="102">
        <f t="shared" si="235"/>
        <v>0</v>
      </c>
      <c r="N209" s="102">
        <f t="shared" si="232"/>
        <v>0</v>
      </c>
      <c r="O209" s="102">
        <f t="shared" si="232"/>
        <v>1097145.3316279401</v>
      </c>
      <c r="P209" s="102">
        <f t="shared" si="232"/>
        <v>1099598.5165274586</v>
      </c>
      <c r="Q209" s="102">
        <f t="shared" si="232"/>
        <v>1084970.3244174533</v>
      </c>
      <c r="R209" s="102">
        <f t="shared" si="232"/>
        <v>1084944.4818389351</v>
      </c>
      <c r="S209" s="102">
        <f t="shared" si="232"/>
        <v>1084341.1096215139</v>
      </c>
      <c r="T209" s="102">
        <f t="shared" si="232"/>
        <v>1083892.8423377755</v>
      </c>
      <c r="U209" s="102">
        <f t="shared" si="232"/>
        <v>1083823.8774412069</v>
      </c>
      <c r="V209" s="102">
        <f t="shared" si="232"/>
        <v>614527.23038187821</v>
      </c>
      <c r="W209" s="102">
        <f t="shared" si="234"/>
        <v>805193.51541865966</v>
      </c>
      <c r="X209" s="102">
        <f t="shared" si="234"/>
        <v>891050.05028170848</v>
      </c>
      <c r="Y209" s="102">
        <f t="shared" si="234"/>
        <v>842022.51574801805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54255.373453593835</v>
      </c>
      <c r="C210" s="28">
        <f t="shared" si="232"/>
        <v>51227.954885821047</v>
      </c>
      <c r="D210" s="28">
        <f t="shared" si="232"/>
        <v>50163.579967296326</v>
      </c>
      <c r="E210" s="28">
        <f t="shared" si="232"/>
        <v>44192.000089644862</v>
      </c>
      <c r="F210" s="28">
        <f t="shared" ref="B210:V219" si="236">IF(F19=0,0,F19*1000000/F73)</f>
        <v>48377.801771815415</v>
      </c>
      <c r="G210" s="28">
        <f t="shared" si="236"/>
        <v>50214.530647027495</v>
      </c>
      <c r="H210" s="28">
        <f t="shared" si="236"/>
        <v>45112.430793434956</v>
      </c>
      <c r="I210" s="28">
        <f t="shared" si="236"/>
        <v>43670.154656620834</v>
      </c>
      <c r="J210" s="28">
        <f t="shared" si="236"/>
        <v>43017.038159358635</v>
      </c>
      <c r="K210" s="28">
        <f t="shared" si="236"/>
        <v>40330.659957995667</v>
      </c>
      <c r="L210" s="28">
        <f t="shared" si="236"/>
        <v>41699.850721725881</v>
      </c>
      <c r="M210" s="28">
        <f t="shared" si="235"/>
        <v>35974.425258733798</v>
      </c>
      <c r="N210" s="28">
        <f t="shared" si="236"/>
        <v>31995.308184012723</v>
      </c>
      <c r="O210" s="28">
        <f t="shared" si="236"/>
        <v>32474.021032412431</v>
      </c>
      <c r="P210" s="28">
        <f t="shared" si="236"/>
        <v>30721.273816520199</v>
      </c>
      <c r="Q210" s="28">
        <f t="shared" si="236"/>
        <v>30264.197259883171</v>
      </c>
      <c r="R210" s="28">
        <f t="shared" si="236"/>
        <v>29577.657626898967</v>
      </c>
      <c r="S210" s="28">
        <f t="shared" si="236"/>
        <v>31551.441384007318</v>
      </c>
      <c r="T210" s="28">
        <f t="shared" si="236"/>
        <v>32115.604348171011</v>
      </c>
      <c r="U210" s="28">
        <f t="shared" si="236"/>
        <v>34235.334534488029</v>
      </c>
      <c r="V210" s="28">
        <f t="shared" si="236"/>
        <v>32748.585405318321</v>
      </c>
      <c r="W210" s="28">
        <f t="shared" ref="W210:Y210" si="237">IF(W19=0,0,W19*1000000/W73)</f>
        <v>35654.650417813624</v>
      </c>
      <c r="X210" s="28">
        <f t="shared" si="237"/>
        <v>35806.741385049267</v>
      </c>
      <c r="Y210" s="28">
        <f t="shared" si="237"/>
        <v>33636.602991923966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4312.7595952307674</v>
      </c>
      <c r="C211" s="137">
        <f t="shared" si="236"/>
        <v>3928.6620514754977</v>
      </c>
      <c r="D211" s="137">
        <f t="shared" si="236"/>
        <v>3831.9156102794364</v>
      </c>
      <c r="E211" s="137">
        <f t="shared" si="236"/>
        <v>3941.4159752778901</v>
      </c>
      <c r="F211" s="137">
        <f t="shared" si="236"/>
        <v>4135.9396618243718</v>
      </c>
      <c r="G211" s="137">
        <f t="shared" si="236"/>
        <v>4327.2249946483826</v>
      </c>
      <c r="H211" s="137">
        <f t="shared" si="236"/>
        <v>3807.6867812037731</v>
      </c>
      <c r="I211" s="137">
        <f t="shared" si="236"/>
        <v>3986.4934612634925</v>
      </c>
      <c r="J211" s="137">
        <f t="shared" si="236"/>
        <v>3897.6201865061489</v>
      </c>
      <c r="K211" s="137">
        <f t="shared" si="236"/>
        <v>3840.5209817702612</v>
      </c>
      <c r="L211" s="137">
        <f t="shared" si="236"/>
        <v>4066.4511965345268</v>
      </c>
      <c r="M211" s="137">
        <f t="shared" si="235"/>
        <v>4158.6434023836327</v>
      </c>
      <c r="N211" s="137">
        <f t="shared" si="236"/>
        <v>3756.6078598468453</v>
      </c>
      <c r="O211" s="137">
        <f t="shared" si="236"/>
        <v>3426.2063453088131</v>
      </c>
      <c r="P211" s="137">
        <f t="shared" si="236"/>
        <v>3529.0113271444211</v>
      </c>
      <c r="Q211" s="137">
        <f t="shared" si="236"/>
        <v>2967.3061466097301</v>
      </c>
      <c r="R211" s="137">
        <f t="shared" si="236"/>
        <v>2776.0901198162032</v>
      </c>
      <c r="S211" s="137">
        <f t="shared" si="236"/>
        <v>2792.1679894849676</v>
      </c>
      <c r="T211" s="137">
        <f t="shared" si="236"/>
        <v>2852.3932803602934</v>
      </c>
      <c r="U211" s="137">
        <f t="shared" si="236"/>
        <v>2872.6675276568831</v>
      </c>
      <c r="V211" s="137">
        <f t="shared" si="236"/>
        <v>2760.2651259821141</v>
      </c>
      <c r="W211" s="137">
        <f t="shared" ref="W211:Y211" si="238">IF(W20=0,0,W20*1000000/W74)</f>
        <v>3169.0771413566504</v>
      </c>
      <c r="X211" s="137">
        <f t="shared" si="238"/>
        <v>2836.5121780811673</v>
      </c>
      <c r="Y211" s="137">
        <f t="shared" si="238"/>
        <v>2582.0045996388594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1753.6435707251696</v>
      </c>
      <c r="C212" s="84">
        <f t="shared" si="236"/>
        <v>1752.5875997070082</v>
      </c>
      <c r="D212" s="84">
        <f t="shared" si="236"/>
        <v>1751.5322645505521</v>
      </c>
      <c r="E212" s="84">
        <f t="shared" si="236"/>
        <v>1750.4775648729119</v>
      </c>
      <c r="F212" s="84">
        <f t="shared" si="236"/>
        <v>1749.4235002914286</v>
      </c>
      <c r="G212" s="84">
        <f t="shared" si="236"/>
        <v>1748.3700704236735</v>
      </c>
      <c r="H212" s="84">
        <f t="shared" si="236"/>
        <v>1724.0387803631752</v>
      </c>
      <c r="I212" s="84">
        <f t="shared" si="236"/>
        <v>1730.2158542809634</v>
      </c>
      <c r="J212" s="84">
        <f t="shared" si="236"/>
        <v>1727.5460819311013</v>
      </c>
      <c r="K212" s="84">
        <f t="shared" si="236"/>
        <v>1725.1684418722991</v>
      </c>
      <c r="L212" s="84">
        <f t="shared" si="236"/>
        <v>1741.1398949646225</v>
      </c>
      <c r="M212" s="84">
        <f t="shared" si="235"/>
        <v>1744.4174326075065</v>
      </c>
      <c r="N212" s="84">
        <f t="shared" si="236"/>
        <v>1726.7423744252687</v>
      </c>
      <c r="O212" s="84">
        <f t="shared" si="236"/>
        <v>1710.2490070673352</v>
      </c>
      <c r="P212" s="84">
        <f t="shared" si="236"/>
        <v>1714.3945690844719</v>
      </c>
      <c r="Q212" s="84">
        <f t="shared" si="236"/>
        <v>1684.1542515927276</v>
      </c>
      <c r="R212" s="84">
        <f t="shared" si="236"/>
        <v>1682.4099104276363</v>
      </c>
      <c r="S212" s="84">
        <f t="shared" si="236"/>
        <v>1683.2480677015612</v>
      </c>
      <c r="T212" s="84">
        <f t="shared" si="236"/>
        <v>1687.10978491586</v>
      </c>
      <c r="U212" s="84">
        <f t="shared" si="236"/>
        <v>1686.2612258719498</v>
      </c>
      <c r="V212" s="84">
        <f t="shared" si="236"/>
        <v>1679.177796452663</v>
      </c>
      <c r="W212" s="84">
        <f t="shared" ref="W212:Y212" si="239">IF(W21=0,0,W21*1000000/W75)</f>
        <v>1703.7252766174804</v>
      </c>
      <c r="X212" s="84">
        <f t="shared" si="239"/>
        <v>1713.677500841965</v>
      </c>
      <c r="Y212" s="84">
        <f t="shared" si="239"/>
        <v>1709.6968656611366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4599.6632978696925</v>
      </c>
      <c r="C213" s="84">
        <f t="shared" si="236"/>
        <v>4168.5342654461174</v>
      </c>
      <c r="D213" s="84">
        <f t="shared" si="236"/>
        <v>4057.7037434773033</v>
      </c>
      <c r="E213" s="84">
        <f t="shared" si="236"/>
        <v>4175.9289675208202</v>
      </c>
      <c r="F213" s="84">
        <f t="shared" si="236"/>
        <v>4388.2229498352708</v>
      </c>
      <c r="G213" s="84">
        <f t="shared" si="236"/>
        <v>4596.7760416888868</v>
      </c>
      <c r="H213" s="84">
        <f t="shared" si="236"/>
        <v>4023.0403327902577</v>
      </c>
      <c r="I213" s="84">
        <f t="shared" si="236"/>
        <v>4184.9000091272628</v>
      </c>
      <c r="J213" s="84">
        <f t="shared" si="236"/>
        <v>4084.064769462515</v>
      </c>
      <c r="K213" s="84">
        <f t="shared" si="236"/>
        <v>4022.1808731906226</v>
      </c>
      <c r="L213" s="84">
        <f t="shared" si="236"/>
        <v>4272.5508233432638</v>
      </c>
      <c r="M213" s="84">
        <f t="shared" si="235"/>
        <v>4375.2921547660135</v>
      </c>
      <c r="N213" s="84">
        <f t="shared" si="236"/>
        <v>3940.0636230530481</v>
      </c>
      <c r="O213" s="84">
        <f t="shared" si="236"/>
        <v>3581.1110449432354</v>
      </c>
      <c r="P213" s="84">
        <f t="shared" si="236"/>
        <v>3692.6226847006515</v>
      </c>
      <c r="Q213" s="84">
        <f t="shared" si="236"/>
        <v>3079.593506466269</v>
      </c>
      <c r="R213" s="84">
        <f t="shared" si="236"/>
        <v>2867.2381634781741</v>
      </c>
      <c r="S213" s="84">
        <f t="shared" si="236"/>
        <v>2880.5663664632543</v>
      </c>
      <c r="T213" s="84">
        <f t="shared" si="236"/>
        <v>2943.2801383109263</v>
      </c>
      <c r="U213" s="84">
        <f t="shared" si="236"/>
        <v>2967.6500938258109</v>
      </c>
      <c r="V213" s="84">
        <f t="shared" si="236"/>
        <v>2847.2789414793583</v>
      </c>
      <c r="W213" s="84">
        <f t="shared" ref="W213:Y213" si="240">IF(W22=0,0,W22*1000000/W76)</f>
        <v>3290.8412660966437</v>
      </c>
      <c r="X213" s="84">
        <f t="shared" si="240"/>
        <v>2934.9704562781399</v>
      </c>
      <c r="Y213" s="84">
        <f t="shared" si="240"/>
        <v>2661.9548662204656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1711.2078327997351</v>
      </c>
      <c r="C214" s="84">
        <f t="shared" si="236"/>
        <v>1708.1184398903013</v>
      </c>
      <c r="D214" s="84">
        <f t="shared" si="236"/>
        <v>1705.0346245316271</v>
      </c>
      <c r="E214" s="84">
        <f t="shared" si="236"/>
        <v>1701.9563766540743</v>
      </c>
      <c r="F214" s="84">
        <f t="shared" si="236"/>
        <v>1698.8836862061821</v>
      </c>
      <c r="G214" s="84">
        <f t="shared" si="236"/>
        <v>1695.8165431546395</v>
      </c>
      <c r="H214" s="84">
        <f t="shared" si="236"/>
        <v>1625.9974837607342</v>
      </c>
      <c r="I214" s="84">
        <f t="shared" si="236"/>
        <v>1643.5375811358369</v>
      </c>
      <c r="J214" s="84">
        <f t="shared" si="236"/>
        <v>1635.941238659703</v>
      </c>
      <c r="K214" s="84">
        <f t="shared" si="236"/>
        <v>1629.1958409323006</v>
      </c>
      <c r="L214" s="84">
        <f t="shared" si="236"/>
        <v>1674.8648857076244</v>
      </c>
      <c r="M214" s="84">
        <f t="shared" si="235"/>
        <v>1684.3410442306174</v>
      </c>
      <c r="N214" s="84">
        <f t="shared" si="236"/>
        <v>1633.6590303862856</v>
      </c>
      <c r="O214" s="84">
        <f t="shared" si="236"/>
        <v>1587.2919668117781</v>
      </c>
      <c r="P214" s="84">
        <f t="shared" si="236"/>
        <v>1598.8625280822553</v>
      </c>
      <c r="Q214" s="84">
        <f t="shared" si="236"/>
        <v>1515.7388264334552</v>
      </c>
      <c r="R214" s="84">
        <f t="shared" si="236"/>
        <v>1511.0339816368589</v>
      </c>
      <c r="S214" s="84">
        <f t="shared" si="236"/>
        <v>1513.2934461721218</v>
      </c>
      <c r="T214" s="84">
        <f t="shared" si="236"/>
        <v>1523.7327786467515</v>
      </c>
      <c r="U214" s="84">
        <f t="shared" si="236"/>
        <v>1521.4347770110287</v>
      </c>
      <c r="V214" s="84">
        <f t="shared" si="236"/>
        <v>1481.8257381121475</v>
      </c>
      <c r="W214" s="84">
        <f t="shared" ref="W214:Y214" si="241">IF(W23=0,0,W23*1000000/W77)</f>
        <v>1547.7677202840155</v>
      </c>
      <c r="X214" s="84">
        <f t="shared" si="241"/>
        <v>1406.6811200714671</v>
      </c>
      <c r="Y214" s="84">
        <f t="shared" si="241"/>
        <v>1364.7903003919339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2282.5000814484461</v>
      </c>
      <c r="C215" s="84">
        <f t="shared" si="236"/>
        <v>2279.7520563674225</v>
      </c>
      <c r="D215" s="84">
        <f t="shared" si="236"/>
        <v>2277.0073397821611</v>
      </c>
      <c r="E215" s="84">
        <f t="shared" si="236"/>
        <v>2274.2659277093858</v>
      </c>
      <c r="F215" s="84">
        <f t="shared" si="236"/>
        <v>2271.5278161706142</v>
      </c>
      <c r="G215" s="84">
        <f t="shared" si="236"/>
        <v>2268.7930011921567</v>
      </c>
      <c r="H215" s="84">
        <f t="shared" si="236"/>
        <v>2206.0848296594468</v>
      </c>
      <c r="I215" s="84">
        <f t="shared" si="236"/>
        <v>2221.9215517032271</v>
      </c>
      <c r="J215" s="84">
        <f t="shared" si="236"/>
        <v>2215.0698654629573</v>
      </c>
      <c r="K215" s="84">
        <f t="shared" si="236"/>
        <v>2208.9768128553651</v>
      </c>
      <c r="L215" s="84">
        <f t="shared" si="236"/>
        <v>2250.0671560891897</v>
      </c>
      <c r="M215" s="84">
        <f t="shared" si="235"/>
        <v>2258.5462230576281</v>
      </c>
      <c r="N215" s="84">
        <f t="shared" si="236"/>
        <v>2213.0093077994748</v>
      </c>
      <c r="O215" s="84">
        <f t="shared" si="236"/>
        <v>2170.9351024472953</v>
      </c>
      <c r="P215" s="84">
        <f t="shared" si="236"/>
        <v>2181.4723441504384</v>
      </c>
      <c r="Q215" s="84">
        <f t="shared" si="236"/>
        <v>2105.1928144909093</v>
      </c>
      <c r="R215" s="84">
        <f t="shared" si="236"/>
        <v>2100.8342199269182</v>
      </c>
      <c r="S215" s="84">
        <f t="shared" si="236"/>
        <v>2102.9279642449073</v>
      </c>
      <c r="T215" s="84">
        <f t="shared" si="236"/>
        <v>2112.5881311547159</v>
      </c>
      <c r="U215" s="84">
        <f t="shared" si="236"/>
        <v>2110.4635451221707</v>
      </c>
      <c r="V215" s="84">
        <f t="shared" si="236"/>
        <v>2092.7700576068451</v>
      </c>
      <c r="W215" s="84">
        <f t="shared" ref="W215:Y215" si="242">IF(W24=0,0,W24*1000000/W78)</f>
        <v>2154.4046629340864</v>
      </c>
      <c r="X215" s="84">
        <f t="shared" si="242"/>
        <v>2045.3137071928352</v>
      </c>
      <c r="Y215" s="84">
        <f t="shared" si="242"/>
        <v>2035.82278286731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0</v>
      </c>
      <c r="C216" s="84">
        <f t="shared" si="236"/>
        <v>0</v>
      </c>
      <c r="D216" s="84">
        <f t="shared" si="236"/>
        <v>0</v>
      </c>
      <c r="E216" s="84">
        <f t="shared" si="236"/>
        <v>0</v>
      </c>
      <c r="F216" s="84">
        <f t="shared" si="236"/>
        <v>0</v>
      </c>
      <c r="G216" s="84">
        <f t="shared" si="236"/>
        <v>0</v>
      </c>
      <c r="H216" s="84">
        <f t="shared" si="236"/>
        <v>0</v>
      </c>
      <c r="I216" s="84">
        <f t="shared" si="236"/>
        <v>0</v>
      </c>
      <c r="J216" s="84">
        <f t="shared" si="236"/>
        <v>0</v>
      </c>
      <c r="K216" s="84">
        <f t="shared" si="236"/>
        <v>0</v>
      </c>
      <c r="L216" s="84">
        <f t="shared" si="236"/>
        <v>0</v>
      </c>
      <c r="M216" s="84">
        <f t="shared" si="235"/>
        <v>1650.80644072466</v>
      </c>
      <c r="N216" s="84">
        <f t="shared" si="236"/>
        <v>1659.2338160999948</v>
      </c>
      <c r="O216" s="84">
        <f t="shared" si="236"/>
        <v>1667.215311721397</v>
      </c>
      <c r="P216" s="84">
        <f t="shared" si="236"/>
        <v>1669.2347139245396</v>
      </c>
      <c r="Q216" s="84">
        <f t="shared" si="236"/>
        <v>1684.1542515927272</v>
      </c>
      <c r="R216" s="84">
        <f t="shared" si="236"/>
        <v>1696.7346972145492</v>
      </c>
      <c r="S216" s="84">
        <f t="shared" si="236"/>
        <v>1709.8691893617085</v>
      </c>
      <c r="T216" s="84">
        <f t="shared" si="236"/>
        <v>1721.5608423968904</v>
      </c>
      <c r="U216" s="84">
        <f t="shared" si="236"/>
        <v>1734.8831530739756</v>
      </c>
      <c r="V216" s="84">
        <f t="shared" si="236"/>
        <v>1680.9660722397571</v>
      </c>
      <c r="W216" s="84">
        <f t="shared" ref="W216:Y216" si="243">IF(W25=0,0,W25*1000000/W79)</f>
        <v>1725.9685319644973</v>
      </c>
      <c r="X216" s="84">
        <f t="shared" si="243"/>
        <v>1715.2041606308035</v>
      </c>
      <c r="Y216" s="84">
        <f t="shared" si="243"/>
        <v>1717.1997285751427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197398.48244838361</v>
      </c>
      <c r="C217" s="110">
        <f t="shared" si="236"/>
        <v>195463.57469089268</v>
      </c>
      <c r="D217" s="110">
        <f t="shared" si="236"/>
        <v>202001.60982419216</v>
      </c>
      <c r="E217" s="110">
        <f t="shared" si="236"/>
        <v>183724.73284598376</v>
      </c>
      <c r="F217" s="110">
        <f t="shared" si="236"/>
        <v>205185.95570599771</v>
      </c>
      <c r="G217" s="110">
        <f t="shared" si="236"/>
        <v>220578.37621599104</v>
      </c>
      <c r="H217" s="110">
        <f t="shared" si="236"/>
        <v>203136.75089319609</v>
      </c>
      <c r="I217" s="110">
        <f t="shared" si="236"/>
        <v>198839.99654751137</v>
      </c>
      <c r="J217" s="110">
        <f t="shared" si="236"/>
        <v>199875.18553065599</v>
      </c>
      <c r="K217" s="110">
        <f t="shared" si="236"/>
        <v>188951.82570863317</v>
      </c>
      <c r="L217" s="110">
        <f t="shared" si="236"/>
        <v>198884.09439443666</v>
      </c>
      <c r="M217" s="110">
        <f t="shared" si="235"/>
        <v>170315.03614026259</v>
      </c>
      <c r="N217" s="110">
        <f t="shared" si="236"/>
        <v>154233.05142046811</v>
      </c>
      <c r="O217" s="110">
        <f t="shared" si="236"/>
        <v>160695.85620196507</v>
      </c>
      <c r="P217" s="110">
        <f t="shared" si="236"/>
        <v>152975.32171241651</v>
      </c>
      <c r="Q217" s="110">
        <f t="shared" si="236"/>
        <v>154140.03275261572</v>
      </c>
      <c r="R217" s="110">
        <f t="shared" si="236"/>
        <v>163027.37386076397</v>
      </c>
      <c r="S217" s="110">
        <f t="shared" si="236"/>
        <v>183208.37652255085</v>
      </c>
      <c r="T217" s="110">
        <f t="shared" si="236"/>
        <v>188046.48418064497</v>
      </c>
      <c r="U217" s="110">
        <f t="shared" si="236"/>
        <v>203889.83480888268</v>
      </c>
      <c r="V217" s="110">
        <f t="shared" si="236"/>
        <v>207293.7389056815</v>
      </c>
      <c r="W217" s="110">
        <f t="shared" ref="W217:Y217" si="244">IF(W26=0,0,W26*1000000/W80)</f>
        <v>225445.5803185968</v>
      </c>
      <c r="X217" s="110">
        <f t="shared" si="244"/>
        <v>228999.43155557208</v>
      </c>
      <c r="Y217" s="110">
        <f t="shared" si="244"/>
        <v>218558.3336512016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175673.66549069845</v>
      </c>
      <c r="C218" s="163">
        <f t="shared" si="236"/>
        <v>172110.08888612076</v>
      </c>
      <c r="D218" s="163">
        <f t="shared" si="236"/>
        <v>177477.25574454592</v>
      </c>
      <c r="E218" s="163">
        <f t="shared" si="236"/>
        <v>158435.99997344351</v>
      </c>
      <c r="F218" s="163">
        <f t="shared" si="236"/>
        <v>176341.32881439076</v>
      </c>
      <c r="G218" s="163">
        <f t="shared" si="236"/>
        <v>191198.41235351207</v>
      </c>
      <c r="H218" s="163">
        <f t="shared" si="236"/>
        <v>171409.25593439411</v>
      </c>
      <c r="I218" s="163">
        <f t="shared" si="236"/>
        <v>167337.16012349963</v>
      </c>
      <c r="J218" s="163">
        <f t="shared" si="236"/>
        <v>167217.36506237209</v>
      </c>
      <c r="K218" s="163">
        <f t="shared" si="236"/>
        <v>160485.03712063766</v>
      </c>
      <c r="L218" s="163">
        <f t="shared" si="236"/>
        <v>166817.93185466024</v>
      </c>
      <c r="M218" s="163">
        <f t="shared" si="235"/>
        <v>142020.52874647398</v>
      </c>
      <c r="N218" s="163">
        <f t="shared" si="236"/>
        <v>126869.10186640639</v>
      </c>
      <c r="O218" s="163">
        <f t="shared" si="236"/>
        <v>130583.24266267366</v>
      </c>
      <c r="P218" s="163">
        <f t="shared" si="236"/>
        <v>121258.61300931674</v>
      </c>
      <c r="Q218" s="163">
        <f t="shared" si="236"/>
        <v>123337.64188911412</v>
      </c>
      <c r="R218" s="163">
        <f t="shared" si="236"/>
        <v>128355.04539950799</v>
      </c>
      <c r="S218" s="163">
        <f t="shared" si="236"/>
        <v>143082.78772162471</v>
      </c>
      <c r="T218" s="163">
        <f t="shared" si="236"/>
        <v>149166.60214496823</v>
      </c>
      <c r="U218" s="163">
        <f t="shared" si="236"/>
        <v>164093.88735500068</v>
      </c>
      <c r="V218" s="163">
        <f t="shared" si="236"/>
        <v>166887.95789628316</v>
      </c>
      <c r="W218" s="163">
        <f t="shared" ref="W218:Y218" si="245">IF(W27=0,0,W27*1000000/W81)</f>
        <v>180606.70093895198</v>
      </c>
      <c r="X218" s="163">
        <f t="shared" si="245"/>
        <v>183915.41395463957</v>
      </c>
      <c r="Y218" s="163">
        <f t="shared" si="245"/>
        <v>176806.08365019012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1211866.6884609298</v>
      </c>
      <c r="C219" s="86">
        <f t="shared" si="236"/>
        <v>1210829.7731760447</v>
      </c>
      <c r="D219" s="86">
        <f t="shared" si="236"/>
        <v>1218808.0469137717</v>
      </c>
      <c r="E219" s="86">
        <f t="shared" si="236"/>
        <v>1211622.8939430562</v>
      </c>
      <c r="F219" s="86">
        <f t="shared" si="236"/>
        <v>1189422.2991392624</v>
      </c>
      <c r="G219" s="86">
        <f t="shared" si="236"/>
        <v>1189968.1180866705</v>
      </c>
      <c r="H219" s="86">
        <f t="shared" si="236"/>
        <v>1197531.7804083787</v>
      </c>
      <c r="I219" s="86">
        <f t="shared" si="236"/>
        <v>1199813.3894992985</v>
      </c>
      <c r="J219" s="86">
        <f t="shared" si="236"/>
        <v>1182812.1410545155</v>
      </c>
      <c r="K219" s="86">
        <f t="shared" si="236"/>
        <v>1167220.8540910052</v>
      </c>
      <c r="L219" s="86">
        <f t="shared" si="236"/>
        <v>1205191.7879802177</v>
      </c>
      <c r="M219" s="86">
        <f t="shared" si="235"/>
        <v>1201307.1153869103</v>
      </c>
      <c r="N219" s="86">
        <f t="shared" si="236"/>
        <v>1197346.0033903378</v>
      </c>
      <c r="O219" s="86">
        <f t="shared" si="236"/>
        <v>1198956.2501436155</v>
      </c>
      <c r="P219" s="86">
        <f t="shared" si="236"/>
        <v>1201756.3978090566</v>
      </c>
      <c r="Q219" s="86">
        <f t="shared" si="236"/>
        <v>1190451.1625786109</v>
      </c>
      <c r="R219" s="86">
        <f t="shared" si="236"/>
        <v>1184329.0181897047</v>
      </c>
      <c r="S219" s="86">
        <f t="shared" si="236"/>
        <v>1191008.7403045245</v>
      </c>
      <c r="T219" s="86">
        <f t="shared" si="236"/>
        <v>1202465.9538156108</v>
      </c>
      <c r="U219" s="86">
        <f t="shared" si="236"/>
        <v>1195261.1379943267</v>
      </c>
      <c r="V219" s="86">
        <f t="shared" si="236"/>
        <v>1178269.5767285563</v>
      </c>
      <c r="W219" s="86">
        <f t="shared" ref="W219:Y219" si="246">IF(W28=0,0,W28*1000000/W82)</f>
        <v>1193948.7739742657</v>
      </c>
      <c r="X219" s="86">
        <f t="shared" si="246"/>
        <v>1189430.9665570662</v>
      </c>
      <c r="Y219" s="86">
        <f t="shared" si="246"/>
        <v>1176179.8318798603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5.360942323627859E-2</v>
      </c>
      <c r="C223" s="154">
        <f t="shared" si="251"/>
        <v>5.5136512054162735E-2</v>
      </c>
      <c r="D223" s="154">
        <f t="shared" si="251"/>
        <v>5.4149876698367128E-2</v>
      </c>
      <c r="E223" s="154">
        <f t="shared" si="251"/>
        <v>5.4791052329291323E-2</v>
      </c>
      <c r="F223" s="154">
        <f t="shared" si="251"/>
        <v>5.7099565215070737E-2</v>
      </c>
      <c r="G223" s="154">
        <f t="shared" si="251"/>
        <v>6.0339229242158156E-2</v>
      </c>
      <c r="H223" s="154">
        <f t="shared" si="251"/>
        <v>5.7990655121393363E-2</v>
      </c>
      <c r="I223" s="154">
        <f t="shared" si="251"/>
        <v>5.1137354747153051E-2</v>
      </c>
      <c r="J223" s="154">
        <f t="shared" si="251"/>
        <v>5.4153487725751535E-2</v>
      </c>
      <c r="K223" s="154">
        <f t="shared" si="251"/>
        <v>4.6523675289513192E-2</v>
      </c>
      <c r="L223" s="154">
        <f t="shared" ref="L223" si="252">IF(L5=0,0,L5/L$4)</f>
        <v>4.7828408601742319E-2</v>
      </c>
      <c r="M223" s="154">
        <f t="shared" ref="M223:V223" si="253">IF(M5=0,0,M5/M$4)</f>
        <v>5.3545826942960367E-2</v>
      </c>
      <c r="N223" s="154">
        <f t="shared" si="253"/>
        <v>5.8806601940559866E-2</v>
      </c>
      <c r="O223" s="154">
        <f t="shared" si="253"/>
        <v>5.4329264904714909E-2</v>
      </c>
      <c r="P223" s="154">
        <f t="shared" si="253"/>
        <v>5.2121738138573723E-2</v>
      </c>
      <c r="Q223" s="154">
        <f t="shared" si="253"/>
        <v>4.7763624072285696E-2</v>
      </c>
      <c r="R223" s="154">
        <f t="shared" si="253"/>
        <v>4.703137036195721E-2</v>
      </c>
      <c r="S223" s="154">
        <f t="shared" si="253"/>
        <v>4.2401047518439268E-2</v>
      </c>
      <c r="T223" s="154">
        <f t="shared" si="253"/>
        <v>4.1426881331597526E-2</v>
      </c>
      <c r="U223" s="154">
        <f t="shared" si="253"/>
        <v>4.4217300908665651E-2</v>
      </c>
      <c r="V223" s="154">
        <f t="shared" si="253"/>
        <v>6.1026744227053766E-2</v>
      </c>
      <c r="W223" s="154">
        <f t="shared" ref="W223:Y223" si="254">IF(W5=0,0,W5/W$4)</f>
        <v>5.2479231174246389E-2</v>
      </c>
      <c r="X223" s="154">
        <f t="shared" si="254"/>
        <v>5.0737112436969066E-2</v>
      </c>
      <c r="Y223" s="154">
        <f t="shared" si="254"/>
        <v>5.003031435448501E-2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0.83688102693682609</v>
      </c>
      <c r="C224" s="156">
        <f t="shared" si="255"/>
        <v>0.83375120702133187</v>
      </c>
      <c r="D224" s="156">
        <f t="shared" si="255"/>
        <v>0.83349709572981645</v>
      </c>
      <c r="E224" s="156">
        <f t="shared" si="255"/>
        <v>0.83220493885948343</v>
      </c>
      <c r="F224" s="156">
        <f t="shared" si="255"/>
        <v>0.82918629992418924</v>
      </c>
      <c r="G224" s="156">
        <f t="shared" si="255"/>
        <v>0.81772450416193154</v>
      </c>
      <c r="H224" s="156">
        <f t="shared" si="255"/>
        <v>0.81744547637492193</v>
      </c>
      <c r="I224" s="156">
        <f t="shared" si="255"/>
        <v>0.82393540590487979</v>
      </c>
      <c r="J224" s="156">
        <f t="shared" si="255"/>
        <v>0.8214358827721453</v>
      </c>
      <c r="K224" s="156">
        <f t="shared" si="255"/>
        <v>0.83544791846694688</v>
      </c>
      <c r="L224" s="156">
        <f t="shared" ref="L224" si="256">IF(L6=0,0,L6/L$4)</f>
        <v>0.83060160167651031</v>
      </c>
      <c r="M224" s="156">
        <f t="shared" ref="M224:V224" si="257">IF(M6=0,0,M6/M$4)</f>
        <v>0.82016856834020269</v>
      </c>
      <c r="N224" s="156">
        <f t="shared" si="257"/>
        <v>0.80072701530221435</v>
      </c>
      <c r="O224" s="156">
        <f t="shared" si="257"/>
        <v>0.81239854790856014</v>
      </c>
      <c r="P224" s="156">
        <f t="shared" si="257"/>
        <v>0.81720349312743312</v>
      </c>
      <c r="Q224" s="156">
        <f t="shared" si="257"/>
        <v>0.82690842997090563</v>
      </c>
      <c r="R224" s="156">
        <f t="shared" si="257"/>
        <v>0.83212773579198984</v>
      </c>
      <c r="S224" s="156">
        <f t="shared" si="257"/>
        <v>0.84159431013713071</v>
      </c>
      <c r="T224" s="156">
        <f t="shared" si="257"/>
        <v>0.83906182053676981</v>
      </c>
      <c r="U224" s="156">
        <f t="shared" si="257"/>
        <v>0.83664940865994541</v>
      </c>
      <c r="V224" s="156">
        <f t="shared" si="257"/>
        <v>0.83239857377832216</v>
      </c>
      <c r="W224" s="156">
        <f t="shared" ref="W224:Y224" si="258">IF(W6=0,0,W6/W$4)</f>
        <v>0.83619960157978868</v>
      </c>
      <c r="X224" s="156">
        <f t="shared" si="258"/>
        <v>0.83124946135894051</v>
      </c>
      <c r="Y224" s="156">
        <f t="shared" si="258"/>
        <v>0.8482566442508318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0.57506105450262679</v>
      </c>
      <c r="C225" s="103">
        <f t="shared" si="259"/>
        <v>0.5498696188829536</v>
      </c>
      <c r="D225" s="103">
        <f t="shared" si="259"/>
        <v>0.51549046159320033</v>
      </c>
      <c r="E225" s="103">
        <f t="shared" si="259"/>
        <v>0.49594058776798933</v>
      </c>
      <c r="F225" s="103">
        <f t="shared" si="259"/>
        <v>0.4419913103396596</v>
      </c>
      <c r="G225" s="103">
        <f t="shared" si="259"/>
        <v>0.4125006944929745</v>
      </c>
      <c r="H225" s="103">
        <f t="shared" si="259"/>
        <v>0.35127433084648868</v>
      </c>
      <c r="I225" s="103">
        <f t="shared" si="259"/>
        <v>0.34068743041708976</v>
      </c>
      <c r="J225" s="103">
        <f t="shared" si="259"/>
        <v>0.33863987734712214</v>
      </c>
      <c r="K225" s="103">
        <f t="shared" si="259"/>
        <v>0.35018679657059704</v>
      </c>
      <c r="L225" s="103">
        <f t="shared" ref="L225" si="260">IF(L7=0,0,L7/L$4)</f>
        <v>0.3432500436397834</v>
      </c>
      <c r="M225" s="103">
        <f t="shared" ref="M225:V225" si="261">IF(M7=0,0,M7/M$4)</f>
        <v>0.33508893686720659</v>
      </c>
      <c r="N225" s="103">
        <f t="shared" si="261"/>
        <v>0.30066356474484984</v>
      </c>
      <c r="O225" s="103">
        <f t="shared" si="261"/>
        <v>0.28735926797354944</v>
      </c>
      <c r="P225" s="103">
        <f t="shared" si="261"/>
        <v>0.27110937190813089</v>
      </c>
      <c r="Q225" s="103">
        <f t="shared" si="261"/>
        <v>0.2621752774468325</v>
      </c>
      <c r="R225" s="103">
        <f t="shared" si="261"/>
        <v>0.25281143782393889</v>
      </c>
      <c r="S225" s="103">
        <f t="shared" si="261"/>
        <v>0.24491592011316574</v>
      </c>
      <c r="T225" s="103">
        <f t="shared" si="261"/>
        <v>0.23722331511233652</v>
      </c>
      <c r="U225" s="103">
        <f t="shared" si="261"/>
        <v>0.23879247644105939</v>
      </c>
      <c r="V225" s="103">
        <f t="shared" si="261"/>
        <v>0.23341110790904013</v>
      </c>
      <c r="W225" s="103">
        <f t="shared" ref="W225:Y225" si="262">IF(W7=0,0,W7/W$4)</f>
        <v>0.23770993389414691</v>
      </c>
      <c r="X225" s="103">
        <f t="shared" si="262"/>
        <v>0.24073370480113235</v>
      </c>
      <c r="Y225" s="103">
        <f t="shared" si="262"/>
        <v>0.25356772229872576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0.20069763279684158</v>
      </c>
      <c r="C226" s="103">
        <f t="shared" si="263"/>
        <v>0.22548207960794042</v>
      </c>
      <c r="D226" s="103">
        <f t="shared" si="263"/>
        <v>0.26296061111598484</v>
      </c>
      <c r="E226" s="103">
        <f t="shared" si="263"/>
        <v>0.2848028901552076</v>
      </c>
      <c r="F226" s="103">
        <f t="shared" si="263"/>
        <v>0.33707664581724728</v>
      </c>
      <c r="G226" s="103">
        <f t="shared" si="263"/>
        <v>0.35340665034866958</v>
      </c>
      <c r="H226" s="103">
        <f t="shared" si="263"/>
        <v>0.41349931451329786</v>
      </c>
      <c r="I226" s="103">
        <f t="shared" si="263"/>
        <v>0.43027193044028267</v>
      </c>
      <c r="J226" s="103">
        <f t="shared" si="263"/>
        <v>0.43231020187501501</v>
      </c>
      <c r="K226" s="103">
        <f t="shared" si="263"/>
        <v>0.42761355461981804</v>
      </c>
      <c r="L226" s="103">
        <f t="shared" ref="L226" si="264">IF(L8=0,0,L8/L$4)</f>
        <v>0.42304271981674862</v>
      </c>
      <c r="M226" s="103">
        <f t="shared" ref="M226:V226" si="265">IF(M8=0,0,M8/M$4)</f>
        <v>0.42074723910512535</v>
      </c>
      <c r="N226" s="103">
        <f t="shared" si="265"/>
        <v>0.43073702757230148</v>
      </c>
      <c r="O226" s="103">
        <f t="shared" si="265"/>
        <v>0.44647173422392616</v>
      </c>
      <c r="P226" s="103">
        <f t="shared" si="265"/>
        <v>0.46811647663184697</v>
      </c>
      <c r="Q226" s="103">
        <f t="shared" si="265"/>
        <v>0.47982248600208871</v>
      </c>
      <c r="R226" s="103">
        <f t="shared" si="265"/>
        <v>0.49387743406816331</v>
      </c>
      <c r="S226" s="103">
        <f t="shared" si="265"/>
        <v>0.50789808543959669</v>
      </c>
      <c r="T226" s="103">
        <f t="shared" si="265"/>
        <v>0.51002527921346408</v>
      </c>
      <c r="U226" s="103">
        <f t="shared" si="265"/>
        <v>0.50303229145366235</v>
      </c>
      <c r="V226" s="103">
        <f t="shared" si="265"/>
        <v>0.50181260779457826</v>
      </c>
      <c r="W226" s="103">
        <f t="shared" ref="W226:Y226" si="266">IF(W8=0,0,W8/W$4)</f>
        <v>0.49652990911379075</v>
      </c>
      <c r="X226" s="103">
        <f t="shared" si="266"/>
        <v>0.48781039025852319</v>
      </c>
      <c r="Y226" s="103">
        <f t="shared" si="266"/>
        <v>0.49435122586344105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5.2238857382118468E-2</v>
      </c>
      <c r="C227" s="103">
        <f t="shared" si="267"/>
        <v>4.8617238665857182E-2</v>
      </c>
      <c r="D227" s="103">
        <f t="shared" si="267"/>
        <v>4.5405390064639957E-2</v>
      </c>
      <c r="E227" s="103">
        <f t="shared" si="267"/>
        <v>4.1893642999000266E-2</v>
      </c>
      <c r="F227" s="103">
        <f t="shared" si="267"/>
        <v>4.1142071406178191E-2</v>
      </c>
      <c r="G227" s="103">
        <f t="shared" si="267"/>
        <v>4.2121595344103022E-2</v>
      </c>
      <c r="H227" s="103">
        <f t="shared" si="267"/>
        <v>4.1828406553917431E-2</v>
      </c>
      <c r="I227" s="103">
        <f t="shared" si="267"/>
        <v>4.085735917358084E-2</v>
      </c>
      <c r="J227" s="103">
        <f t="shared" si="267"/>
        <v>3.7170279328630026E-2</v>
      </c>
      <c r="K227" s="103">
        <f t="shared" si="267"/>
        <v>4.1349134495456366E-2</v>
      </c>
      <c r="L227" s="103">
        <f t="shared" ref="L227" si="268">IF(L9=0,0,L9/L$4)</f>
        <v>4.7276969344418732E-2</v>
      </c>
      <c r="M227" s="103">
        <f t="shared" ref="M227:V227" si="269">IF(M9=0,0,M9/M$4)</f>
        <v>4.6970352220720289E-2</v>
      </c>
      <c r="N227" s="103">
        <f t="shared" si="269"/>
        <v>5.1520929032029886E-2</v>
      </c>
      <c r="O227" s="103">
        <f t="shared" si="269"/>
        <v>5.8866228807346745E-2</v>
      </c>
      <c r="P227" s="103">
        <f t="shared" si="269"/>
        <v>5.6358521796878655E-2</v>
      </c>
      <c r="Q227" s="103">
        <f t="shared" si="269"/>
        <v>6.200682151146511E-2</v>
      </c>
      <c r="R227" s="103">
        <f t="shared" si="269"/>
        <v>6.1409921646645937E-2</v>
      </c>
      <c r="S227" s="103">
        <f t="shared" si="269"/>
        <v>6.3483120380330743E-2</v>
      </c>
      <c r="T227" s="103">
        <f t="shared" si="269"/>
        <v>6.5891848040107351E-2</v>
      </c>
      <c r="U227" s="103">
        <f t="shared" si="269"/>
        <v>6.8140636285637921E-2</v>
      </c>
      <c r="V227" s="103">
        <f t="shared" si="269"/>
        <v>6.8222532724319107E-2</v>
      </c>
      <c r="W227" s="103">
        <f t="shared" ref="W227:Y227" si="270">IF(W9=0,0,W9/W$4)</f>
        <v>7.0361209106583528E-2</v>
      </c>
      <c r="X227" s="103">
        <f t="shared" si="270"/>
        <v>7.3112399724663421E-2</v>
      </c>
      <c r="Y227" s="103">
        <f t="shared" si="270"/>
        <v>7.114513494429707E-2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8.8834822552393469E-3</v>
      </c>
      <c r="C228" s="103">
        <f t="shared" si="271"/>
        <v>9.7822698645806169E-3</v>
      </c>
      <c r="D228" s="103">
        <f t="shared" si="271"/>
        <v>9.6406329559913222E-3</v>
      </c>
      <c r="E228" s="103">
        <f t="shared" si="271"/>
        <v>9.5678179372861907E-3</v>
      </c>
      <c r="F228" s="103">
        <f t="shared" si="271"/>
        <v>8.9762723611042008E-3</v>
      </c>
      <c r="G228" s="103">
        <f t="shared" si="271"/>
        <v>9.695563976184372E-3</v>
      </c>
      <c r="H228" s="103">
        <f t="shared" si="271"/>
        <v>1.0843424461217947E-2</v>
      </c>
      <c r="I228" s="103">
        <f t="shared" si="271"/>
        <v>1.2118685873926553E-2</v>
      </c>
      <c r="J228" s="103">
        <f t="shared" si="271"/>
        <v>1.3315524221378112E-2</v>
      </c>
      <c r="K228" s="103">
        <f t="shared" si="271"/>
        <v>1.6298432781075428E-2</v>
      </c>
      <c r="L228" s="103">
        <f t="shared" ref="L228" si="272">IF(L10=0,0,L10/L$4)</f>
        <v>1.6923674180898584E-2</v>
      </c>
      <c r="M228" s="103">
        <f t="shared" ref="M228:V228" si="273">IF(M10=0,0,M10/M$4)</f>
        <v>1.7098320399188602E-2</v>
      </c>
      <c r="N228" s="103">
        <f t="shared" si="273"/>
        <v>1.7522594562770336E-2</v>
      </c>
      <c r="O228" s="103">
        <f t="shared" si="273"/>
        <v>1.9152424057859132E-2</v>
      </c>
      <c r="P228" s="103">
        <f t="shared" si="273"/>
        <v>2.067951729014986E-2</v>
      </c>
      <c r="Q228" s="103">
        <f t="shared" si="273"/>
        <v>2.1894812601459385E-2</v>
      </c>
      <c r="R228" s="103">
        <f t="shared" si="273"/>
        <v>2.299346943173983E-2</v>
      </c>
      <c r="S228" s="103">
        <f t="shared" si="273"/>
        <v>2.4134241585920972E-2</v>
      </c>
      <c r="T228" s="103">
        <f t="shared" si="273"/>
        <v>2.4534958305303115E-2</v>
      </c>
      <c r="U228" s="103">
        <f t="shared" si="273"/>
        <v>2.4920184382986165E-2</v>
      </c>
      <c r="V228" s="103">
        <f t="shared" si="273"/>
        <v>2.5690064735824629E-2</v>
      </c>
      <c r="W228" s="103">
        <f t="shared" ref="W228:Y228" si="274">IF(W10=0,0,W10/W$4)</f>
        <v>2.4710499834829439E-2</v>
      </c>
      <c r="X228" s="103">
        <f t="shared" si="274"/>
        <v>2.1513347005025652E-2</v>
      </c>
      <c r="Y228" s="103">
        <f t="shared" si="274"/>
        <v>2.0148489630054164E-2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0</v>
      </c>
      <c r="N229" s="103">
        <f t="shared" si="277"/>
        <v>2.2912727150222649E-6</v>
      </c>
      <c r="O229" s="103">
        <f t="shared" si="277"/>
        <v>2.4446274631033312E-4</v>
      </c>
      <c r="P229" s="103">
        <f t="shared" si="277"/>
        <v>6.2629247868444546E-4</v>
      </c>
      <c r="Q229" s="103">
        <f t="shared" si="277"/>
        <v>6.546515534958207E-4</v>
      </c>
      <c r="R229" s="103">
        <f t="shared" si="277"/>
        <v>6.5377687811008943E-4</v>
      </c>
      <c r="S229" s="103">
        <f t="shared" si="277"/>
        <v>7.3831211613613389E-4</v>
      </c>
      <c r="T229" s="103">
        <f t="shared" si="277"/>
        <v>8.1081439345849667E-4</v>
      </c>
      <c r="U229" s="103">
        <f t="shared" si="277"/>
        <v>9.0816279802729432E-4</v>
      </c>
      <c r="V229" s="103">
        <f t="shared" si="277"/>
        <v>1.4479679971303758E-3</v>
      </c>
      <c r="W229" s="103">
        <f t="shared" ref="W229:Y229" si="278">IF(W11=0,0,W11/W$4)</f>
        <v>2.5792748263477657E-3</v>
      </c>
      <c r="X229" s="103">
        <f t="shared" si="278"/>
        <v>3.697811684232302E-3</v>
      </c>
      <c r="Y229" s="103">
        <f t="shared" si="278"/>
        <v>4.9163882858083161E-3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0</v>
      </c>
      <c r="J230" s="103">
        <f t="shared" si="279"/>
        <v>0</v>
      </c>
      <c r="K230" s="103">
        <f t="shared" si="279"/>
        <v>0</v>
      </c>
      <c r="L230" s="103">
        <f t="shared" ref="L230" si="280">IF(L12=0,0,L12/L$4)</f>
        <v>1.0819469466089475E-4</v>
      </c>
      <c r="M230" s="103">
        <f t="shared" ref="M230:V230" si="281">IF(M12=0,0,M12/M$4)</f>
        <v>2.6371974796187623E-4</v>
      </c>
      <c r="N230" s="103">
        <f t="shared" si="281"/>
        <v>2.8060811754775236E-4</v>
      </c>
      <c r="O230" s="103">
        <f t="shared" si="281"/>
        <v>3.044300995683565E-4</v>
      </c>
      <c r="P230" s="103">
        <f t="shared" si="281"/>
        <v>3.133130217423434E-4</v>
      </c>
      <c r="Q230" s="103">
        <f t="shared" si="281"/>
        <v>3.5438085556407261E-4</v>
      </c>
      <c r="R230" s="103">
        <f t="shared" si="281"/>
        <v>3.8169594339193145E-4</v>
      </c>
      <c r="S230" s="103">
        <f t="shared" si="281"/>
        <v>4.2463050198058677E-4</v>
      </c>
      <c r="T230" s="103">
        <f t="shared" si="281"/>
        <v>5.7560547210022282E-4</v>
      </c>
      <c r="U230" s="103">
        <f t="shared" si="281"/>
        <v>8.5565729857233169E-4</v>
      </c>
      <c r="V230" s="103">
        <f t="shared" si="281"/>
        <v>1.8142926174298064E-3</v>
      </c>
      <c r="W230" s="103">
        <f t="shared" ref="W230:Y230" si="282">IF(W12=0,0,W12/W$4)</f>
        <v>4.3087748040901049E-3</v>
      </c>
      <c r="X230" s="103">
        <f t="shared" si="282"/>
        <v>4.381807885363409E-3</v>
      </c>
      <c r="Y230" s="103">
        <f t="shared" si="282"/>
        <v>4.1276832285053718E-3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0.10950954982689536</v>
      </c>
      <c r="C231" s="156">
        <f t="shared" si="283"/>
        <v>0.11111228092450551</v>
      </c>
      <c r="D231" s="156">
        <f t="shared" si="283"/>
        <v>0.11235302757181637</v>
      </c>
      <c r="E231" s="156">
        <f t="shared" si="283"/>
        <v>0.1130040088112252</v>
      </c>
      <c r="F231" s="156">
        <f t="shared" si="283"/>
        <v>0.11371413486074</v>
      </c>
      <c r="G231" s="156">
        <f t="shared" si="283"/>
        <v>0.12193626659591032</v>
      </c>
      <c r="H231" s="156">
        <f t="shared" si="283"/>
        <v>0.12456386850368474</v>
      </c>
      <c r="I231" s="156">
        <f t="shared" si="283"/>
        <v>0.12492723934796715</v>
      </c>
      <c r="J231" s="156">
        <f t="shared" si="283"/>
        <v>0.1244106295021032</v>
      </c>
      <c r="K231" s="156">
        <f t="shared" si="283"/>
        <v>0.1180284062435399</v>
      </c>
      <c r="L231" s="156">
        <f t="shared" ref="L231" si="284">IF(L13=0,0,L13/L$4)</f>
        <v>0.12156998972174747</v>
      </c>
      <c r="M231" s="156">
        <f t="shared" ref="M231:V231" si="285">IF(M13=0,0,M13/M$4)</f>
        <v>0.12628560471683697</v>
      </c>
      <c r="N231" s="156">
        <f t="shared" si="285"/>
        <v>0.14046638275722587</v>
      </c>
      <c r="O231" s="156">
        <f t="shared" si="285"/>
        <v>0.13327218718672496</v>
      </c>
      <c r="P231" s="156">
        <f t="shared" si="285"/>
        <v>0.13067476873399317</v>
      </c>
      <c r="Q231" s="156">
        <f t="shared" si="285"/>
        <v>0.12532794595680871</v>
      </c>
      <c r="R231" s="156">
        <f t="shared" si="285"/>
        <v>0.12084089384605298</v>
      </c>
      <c r="S231" s="156">
        <f t="shared" si="285"/>
        <v>0.11600464234442998</v>
      </c>
      <c r="T231" s="156">
        <f t="shared" si="285"/>
        <v>0.11951129813163271</v>
      </c>
      <c r="U231" s="156">
        <f t="shared" si="285"/>
        <v>0.11913329043138883</v>
      </c>
      <c r="V231" s="156">
        <f t="shared" si="285"/>
        <v>0.10657468199462419</v>
      </c>
      <c r="W231" s="156">
        <f t="shared" ref="W231:Y231" si="286">IF(W13=0,0,W13/W$4)</f>
        <v>0.11132116724596501</v>
      </c>
      <c r="X231" s="156">
        <f t="shared" si="286"/>
        <v>0.11801342620409037</v>
      </c>
      <c r="Y231" s="156">
        <f t="shared" si="286"/>
        <v>0.10171304139468322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1.17306664860844E-4</v>
      </c>
      <c r="C232" s="103">
        <f t="shared" si="287"/>
        <v>1.0435388004909695E-4</v>
      </c>
      <c r="D232" s="103">
        <f t="shared" si="287"/>
        <v>9.7713664339265394E-5</v>
      </c>
      <c r="E232" s="103">
        <f t="shared" si="287"/>
        <v>7.789510809686799E-5</v>
      </c>
      <c r="F232" s="103">
        <f t="shared" si="287"/>
        <v>6.6738217306230909E-5</v>
      </c>
      <c r="G232" s="103">
        <f t="shared" si="287"/>
        <v>6.7023028980423054E-5</v>
      </c>
      <c r="H232" s="103">
        <f t="shared" si="287"/>
        <v>6.3081132113201619E-5</v>
      </c>
      <c r="I232" s="103">
        <f t="shared" si="287"/>
        <v>5.8965583787108148E-5</v>
      </c>
      <c r="J232" s="103">
        <f t="shared" si="287"/>
        <v>5.9905852021622861E-5</v>
      </c>
      <c r="K232" s="103">
        <f t="shared" si="287"/>
        <v>6.0613557894358868E-5</v>
      </c>
      <c r="L232" s="103">
        <f t="shared" ref="L232" si="288">IF(L14=0,0,L14/L$4)</f>
        <v>6.2661762744848851E-5</v>
      </c>
      <c r="M232" s="103">
        <f t="shared" ref="M232:V232" si="289">IF(M14=0,0,M14/M$4)</f>
        <v>6.3242939647540592E-5</v>
      </c>
      <c r="N232" s="103">
        <f t="shared" si="289"/>
        <v>7.264885560360412E-5</v>
      </c>
      <c r="O232" s="103">
        <f t="shared" si="289"/>
        <v>1.3214532946329645E-4</v>
      </c>
      <c r="P232" s="103">
        <f t="shared" si="289"/>
        <v>7.967507759365829E-5</v>
      </c>
      <c r="Q232" s="103">
        <f t="shared" si="289"/>
        <v>7.5307795731124549E-5</v>
      </c>
      <c r="R232" s="103">
        <f t="shared" si="289"/>
        <v>6.9958627945011713E-5</v>
      </c>
      <c r="S232" s="103">
        <f t="shared" si="289"/>
        <v>6.3589433749977983E-5</v>
      </c>
      <c r="T232" s="103">
        <f t="shared" si="289"/>
        <v>6.1560881513153258E-5</v>
      </c>
      <c r="U232" s="103">
        <f t="shared" si="289"/>
        <v>1.1027581651910157E-4</v>
      </c>
      <c r="V232" s="103">
        <f t="shared" si="289"/>
        <v>1.2074250219835425E-4</v>
      </c>
      <c r="W232" s="103">
        <f t="shared" ref="W232:Y232" si="290">IF(W14=0,0,W14/W$4)</f>
        <v>9.5211238021593057E-5</v>
      </c>
      <c r="X232" s="103">
        <f t="shared" si="290"/>
        <v>9.8398466932259366E-5</v>
      </c>
      <c r="Y232" s="103">
        <f t="shared" si="290"/>
        <v>8.2794940113229513E-5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0.1082451585160423</v>
      </c>
      <c r="C233" s="103">
        <f t="shared" si="291"/>
        <v>0.10992163919164651</v>
      </c>
      <c r="D233" s="103">
        <f t="shared" si="291"/>
        <v>0.11133212141297119</v>
      </c>
      <c r="E233" s="103">
        <f t="shared" si="291"/>
        <v>0.11148904579678182</v>
      </c>
      <c r="F233" s="103">
        <f t="shared" si="291"/>
        <v>0.11216948476243743</v>
      </c>
      <c r="G233" s="103">
        <f t="shared" si="291"/>
        <v>0.11944815773639855</v>
      </c>
      <c r="H233" s="103">
        <f t="shared" si="291"/>
        <v>0.1207916093219088</v>
      </c>
      <c r="I233" s="103">
        <f t="shared" si="291"/>
        <v>0.12054508115646212</v>
      </c>
      <c r="J233" s="103">
        <f t="shared" si="291"/>
        <v>0.11973567544114602</v>
      </c>
      <c r="K233" s="103">
        <f t="shared" si="291"/>
        <v>0.11289997333047586</v>
      </c>
      <c r="L233" s="103">
        <f t="shared" ref="L233" si="292">IF(L15=0,0,L15/L$4)</f>
        <v>0.11605480212687475</v>
      </c>
      <c r="M233" s="103">
        <f t="shared" ref="M233:V233" si="293">IF(M15=0,0,M15/M$4)</f>
        <v>0.11977739456781926</v>
      </c>
      <c r="N233" s="103">
        <f t="shared" si="293"/>
        <v>0.13274081498284454</v>
      </c>
      <c r="O233" s="103">
        <f t="shared" si="293"/>
        <v>0.12494112270034861</v>
      </c>
      <c r="P233" s="103">
        <f t="shared" si="293"/>
        <v>0.12283977898593486</v>
      </c>
      <c r="Q233" s="103">
        <f t="shared" si="293"/>
        <v>0.11868565339950629</v>
      </c>
      <c r="R233" s="103">
        <f t="shared" si="293"/>
        <v>0.11490857335866698</v>
      </c>
      <c r="S233" s="103">
        <f t="shared" si="293"/>
        <v>0.10955619164126439</v>
      </c>
      <c r="T233" s="103">
        <f t="shared" si="293"/>
        <v>0.10638540887741049</v>
      </c>
      <c r="U233" s="103">
        <f t="shared" si="293"/>
        <v>0.11154749618741393</v>
      </c>
      <c r="V233" s="103">
        <f t="shared" si="293"/>
        <v>9.9594603940347776E-2</v>
      </c>
      <c r="W233" s="103">
        <f t="shared" ref="W233:Y233" si="294">IF(W15=0,0,W15/W$4)</f>
        <v>0.10309843187162775</v>
      </c>
      <c r="X233" s="103">
        <f t="shared" si="294"/>
        <v>0.10928270018761525</v>
      </c>
      <c r="Y233" s="103">
        <f t="shared" si="294"/>
        <v>9.3058452191772362E-2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5.693953589211331E-5</v>
      </c>
      <c r="C234" s="103">
        <f t="shared" si="295"/>
        <v>6.3771471950969661E-5</v>
      </c>
      <c r="D234" s="103">
        <f t="shared" si="295"/>
        <v>6.0037811471298212E-5</v>
      </c>
      <c r="E234" s="103">
        <f t="shared" si="295"/>
        <v>6.9815574799112395E-5</v>
      </c>
      <c r="F234" s="103">
        <f t="shared" si="295"/>
        <v>1.091336728476478E-4</v>
      </c>
      <c r="G234" s="103">
        <f t="shared" si="295"/>
        <v>1.6765371821413823E-4</v>
      </c>
      <c r="H234" s="103">
        <f t="shared" si="295"/>
        <v>1.8895648011607672E-4</v>
      </c>
      <c r="I234" s="103">
        <f t="shared" si="295"/>
        <v>2.2675078788107265E-4</v>
      </c>
      <c r="J234" s="103">
        <f t="shared" si="295"/>
        <v>2.6919814790565377E-4</v>
      </c>
      <c r="K234" s="103">
        <f t="shared" si="295"/>
        <v>3.48878921068825E-4</v>
      </c>
      <c r="L234" s="103">
        <f t="shared" ref="L234" si="296">IF(L16=0,0,L16/L$4)</f>
        <v>3.6314506997845277E-4</v>
      </c>
      <c r="M234" s="103">
        <f t="shared" ref="M234:V234" si="297">IF(M16=0,0,M16/M$4)</f>
        <v>3.5875111289176265E-4</v>
      </c>
      <c r="N234" s="103">
        <f t="shared" si="297"/>
        <v>3.9058046129717891E-4</v>
      </c>
      <c r="O234" s="103">
        <f t="shared" si="297"/>
        <v>3.5920934275932378E-4</v>
      </c>
      <c r="P234" s="103">
        <f t="shared" si="297"/>
        <v>3.3588955962708173E-4</v>
      </c>
      <c r="Q234" s="103">
        <f t="shared" si="297"/>
        <v>3.2054616416706954E-4</v>
      </c>
      <c r="R234" s="103">
        <f t="shared" si="297"/>
        <v>2.9024311182231088E-4</v>
      </c>
      <c r="S234" s="103">
        <f t="shared" si="297"/>
        <v>2.6109221811225372E-4</v>
      </c>
      <c r="T234" s="103">
        <f t="shared" si="297"/>
        <v>2.5145951159062348E-4</v>
      </c>
      <c r="U234" s="103">
        <f t="shared" si="297"/>
        <v>2.449389494253653E-4</v>
      </c>
      <c r="V234" s="103">
        <f t="shared" si="297"/>
        <v>2.1956226899915289E-4</v>
      </c>
      <c r="W234" s="103">
        <f t="shared" ref="W234:Y234" si="298">IF(W16=0,0,W16/W$4)</f>
        <v>2.0876099331370223E-4</v>
      </c>
      <c r="X234" s="103">
        <f t="shared" si="298"/>
        <v>1.8648341061811295E-4</v>
      </c>
      <c r="Y234" s="103">
        <f t="shared" si="298"/>
        <v>1.3243185166720455E-4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1.0901451101001125E-3</v>
      </c>
      <c r="C235" s="103">
        <f t="shared" si="299"/>
        <v>1.0225163808589381E-3</v>
      </c>
      <c r="D235" s="103">
        <f t="shared" si="299"/>
        <v>8.6315468303461301E-4</v>
      </c>
      <c r="E235" s="103">
        <f t="shared" si="299"/>
        <v>1.3672523315473965E-3</v>
      </c>
      <c r="F235" s="103">
        <f t="shared" si="299"/>
        <v>1.3687782081486916E-3</v>
      </c>
      <c r="G235" s="103">
        <f t="shared" si="299"/>
        <v>2.2534321123172133E-3</v>
      </c>
      <c r="H235" s="103">
        <f t="shared" si="299"/>
        <v>3.5202215695466555E-3</v>
      </c>
      <c r="I235" s="103">
        <f t="shared" si="299"/>
        <v>4.0964418198368635E-3</v>
      </c>
      <c r="J235" s="103">
        <f t="shared" si="299"/>
        <v>4.3458500610298913E-3</v>
      </c>
      <c r="K235" s="103">
        <f t="shared" si="299"/>
        <v>4.7189404341008599E-3</v>
      </c>
      <c r="L235" s="103">
        <f t="shared" ref="L235" si="300">IF(L17=0,0,L17/L$4)</f>
        <v>5.0893807621494079E-3</v>
      </c>
      <c r="M235" s="103">
        <f t="shared" ref="M235:V235" si="301">IF(M17=0,0,M17/M$4)</f>
        <v>6.0862160964784261E-3</v>
      </c>
      <c r="N235" s="103">
        <f t="shared" si="301"/>
        <v>7.2623384574805449E-3</v>
      </c>
      <c r="O235" s="103">
        <f t="shared" si="301"/>
        <v>7.1299508944737107E-3</v>
      </c>
      <c r="P235" s="103">
        <f t="shared" si="301"/>
        <v>6.7303693898601831E-3</v>
      </c>
      <c r="Q235" s="103">
        <f t="shared" si="301"/>
        <v>5.5911528324609876E-3</v>
      </c>
      <c r="R235" s="103">
        <f t="shared" si="301"/>
        <v>4.9352542876135615E-3</v>
      </c>
      <c r="S235" s="103">
        <f t="shared" si="301"/>
        <v>5.4916347400798685E-3</v>
      </c>
      <c r="T235" s="103">
        <f t="shared" si="301"/>
        <v>1.2201445599398829E-2</v>
      </c>
      <c r="U235" s="103">
        <f t="shared" si="301"/>
        <v>6.5657489135607025E-3</v>
      </c>
      <c r="V235" s="103">
        <f t="shared" si="301"/>
        <v>5.9888086160364779E-3</v>
      </c>
      <c r="W235" s="103">
        <f t="shared" ref="W235:Y235" si="302">IF(W17=0,0,W17/W$4)</f>
        <v>7.055705022068955E-3</v>
      </c>
      <c r="X235" s="103">
        <f t="shared" si="302"/>
        <v>7.4162653552273909E-3</v>
      </c>
      <c r="Y235" s="103">
        <f t="shared" si="302"/>
        <v>7.0727090348807935E-3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0</v>
      </c>
      <c r="C236" s="103">
        <f t="shared" si="303"/>
        <v>0</v>
      </c>
      <c r="D236" s="103">
        <f t="shared" si="303"/>
        <v>0</v>
      </c>
      <c r="E236" s="103">
        <f t="shared" si="303"/>
        <v>0</v>
      </c>
      <c r="F236" s="103">
        <f t="shared" si="303"/>
        <v>0</v>
      </c>
      <c r="G236" s="103">
        <f t="shared" si="303"/>
        <v>0</v>
      </c>
      <c r="H236" s="103">
        <f t="shared" si="303"/>
        <v>0</v>
      </c>
      <c r="I236" s="103">
        <f t="shared" si="303"/>
        <v>0</v>
      </c>
      <c r="J236" s="103">
        <f t="shared" si="303"/>
        <v>0</v>
      </c>
      <c r="K236" s="103">
        <f t="shared" si="303"/>
        <v>0</v>
      </c>
      <c r="L236" s="103">
        <f t="shared" ref="L236" si="304">IF(L18=0,0,L18/L$4)</f>
        <v>0</v>
      </c>
      <c r="M236" s="103">
        <f t="shared" ref="M236:V236" si="305">IF(M18=0,0,M18/M$4)</f>
        <v>0</v>
      </c>
      <c r="N236" s="103">
        <f t="shared" si="305"/>
        <v>0</v>
      </c>
      <c r="O236" s="103">
        <f t="shared" si="305"/>
        <v>7.0975891967999948E-4</v>
      </c>
      <c r="P236" s="103">
        <f t="shared" si="305"/>
        <v>6.8905572097738982E-4</v>
      </c>
      <c r="Q236" s="103">
        <f t="shared" si="305"/>
        <v>6.5528576494323335E-4</v>
      </c>
      <c r="R236" s="103">
        <f t="shared" si="305"/>
        <v>6.3686446000511745E-4</v>
      </c>
      <c r="S236" s="103">
        <f t="shared" si="305"/>
        <v>6.3213431122351366E-4</v>
      </c>
      <c r="T236" s="103">
        <f t="shared" si="305"/>
        <v>6.1142326171960491E-4</v>
      </c>
      <c r="U236" s="103">
        <f t="shared" si="305"/>
        <v>6.6483056446974096E-4</v>
      </c>
      <c r="V236" s="103">
        <f t="shared" si="305"/>
        <v>6.5096466704244967E-4</v>
      </c>
      <c r="W236" s="103">
        <f t="shared" ref="W236:Y236" si="306">IF(W18=0,0,W18/W$4)</f>
        <v>8.6305812093300915E-4</v>
      </c>
      <c r="X236" s="103">
        <f t="shared" si="306"/>
        <v>1.0295787836973659E-3</v>
      </c>
      <c r="Y236" s="103">
        <f t="shared" si="306"/>
        <v>1.3666533762496528E-3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5.8929502703551746E-2</v>
      </c>
      <c r="C238" s="154">
        <f t="shared" si="311"/>
        <v>5.7751361949322094E-2</v>
      </c>
      <c r="D238" s="154">
        <f t="shared" si="311"/>
        <v>5.8528950154566814E-2</v>
      </c>
      <c r="E238" s="154">
        <f t="shared" si="311"/>
        <v>6.9220594700786023E-2</v>
      </c>
      <c r="F238" s="154">
        <f t="shared" si="311"/>
        <v>6.6679539761519899E-2</v>
      </c>
      <c r="G238" s="154">
        <f t="shared" si="311"/>
        <v>6.7888947515729631E-2</v>
      </c>
      <c r="H238" s="154">
        <f t="shared" si="311"/>
        <v>6.6914200027562681E-2</v>
      </c>
      <c r="I238" s="154">
        <f t="shared" si="311"/>
        <v>7.2695148117563904E-2</v>
      </c>
      <c r="J238" s="154">
        <f t="shared" si="311"/>
        <v>7.2520323785393651E-2</v>
      </c>
      <c r="K238" s="154">
        <f t="shared" si="311"/>
        <v>7.6454408909992957E-2</v>
      </c>
      <c r="L238" s="154">
        <f t="shared" ref="L238" si="312">IF(L20=0,0,L20/L$19)</f>
        <v>7.8679535760262251E-2</v>
      </c>
      <c r="M238" s="154">
        <f t="shared" ref="M238:V238" si="313">IF(M20=0,0,M20/M$19)</f>
        <v>9.3464800082346172E-2</v>
      </c>
      <c r="N238" s="154">
        <f t="shared" si="313"/>
        <v>9.5377595628423711E-2</v>
      </c>
      <c r="O238" s="154">
        <f t="shared" si="313"/>
        <v>8.6019025063741761E-2</v>
      </c>
      <c r="P238" s="154">
        <f t="shared" si="313"/>
        <v>9.3970574831694728E-2</v>
      </c>
      <c r="Q238" s="154">
        <f t="shared" si="313"/>
        <v>8.0342686135230518E-2</v>
      </c>
      <c r="R238" s="154">
        <f t="shared" si="313"/>
        <v>7.8160246492849028E-2</v>
      </c>
      <c r="S238" s="154">
        <f t="shared" si="313"/>
        <v>7.4389058625749405E-2</v>
      </c>
      <c r="T238" s="154">
        <f t="shared" si="313"/>
        <v>7.4782212472340209E-2</v>
      </c>
      <c r="U238" s="154">
        <f t="shared" si="313"/>
        <v>7.0817896835182109E-2</v>
      </c>
      <c r="V238" s="154">
        <f t="shared" si="313"/>
        <v>7.1928607619269239E-2</v>
      </c>
      <c r="W238" s="154">
        <f t="shared" ref="W238:Y238" si="314">IF(W20=0,0,W20/W$19)</f>
        <v>7.5892441747390196E-2</v>
      </c>
      <c r="X238" s="154">
        <f t="shared" si="314"/>
        <v>6.7668903827999213E-2</v>
      </c>
      <c r="Y238" s="154">
        <f t="shared" si="314"/>
        <v>6.5724406999308607E-2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2.2934286508201739E-3</v>
      </c>
      <c r="C239" s="103">
        <f t="shared" si="315"/>
        <v>2.4159751987454215E-3</v>
      </c>
      <c r="D239" s="103">
        <f t="shared" si="315"/>
        <v>2.4580799406434548E-3</v>
      </c>
      <c r="E239" s="103">
        <f t="shared" si="315"/>
        <v>2.7675212641360479E-3</v>
      </c>
      <c r="F239" s="103">
        <f t="shared" si="315"/>
        <v>2.4876730698785371E-3</v>
      </c>
      <c r="G239" s="103">
        <f t="shared" si="315"/>
        <v>2.3704538319194311E-3</v>
      </c>
      <c r="H239" s="103">
        <f t="shared" si="315"/>
        <v>2.5653228445559513E-3</v>
      </c>
      <c r="I239" s="103">
        <f t="shared" si="315"/>
        <v>2.2778857819429833E-3</v>
      </c>
      <c r="J239" s="103">
        <f t="shared" si="315"/>
        <v>2.1924517737782838E-3</v>
      </c>
      <c r="K239" s="103">
        <f t="shared" si="315"/>
        <v>2.2034993550752633E-3</v>
      </c>
      <c r="L239" s="103">
        <f t="shared" ref="L239" si="316">IF(L21=0,0,L21/L$19)</f>
        <v>2.038458979781865E-3</v>
      </c>
      <c r="M239" s="103">
        <f t="shared" ref="M239:V239" si="317">IF(M21=0,0,M21/M$19)</f>
        <v>2.3845353642636402E-3</v>
      </c>
      <c r="N239" s="103">
        <f t="shared" si="317"/>
        <v>2.4484541611708654E-3</v>
      </c>
      <c r="O239" s="103">
        <f t="shared" si="317"/>
        <v>2.3498115407363908E-3</v>
      </c>
      <c r="P239" s="103">
        <f t="shared" si="317"/>
        <v>2.4220007656262179E-3</v>
      </c>
      <c r="Q239" s="103">
        <f t="shared" si="317"/>
        <v>2.3046068297510303E-3</v>
      </c>
      <c r="R239" s="103">
        <f t="shared" si="317"/>
        <v>2.2721173775710345E-3</v>
      </c>
      <c r="S239" s="103">
        <f t="shared" si="317"/>
        <v>2.0238980143459226E-3</v>
      </c>
      <c r="T239" s="103">
        <f t="shared" si="317"/>
        <v>1.9269518095723021E-3</v>
      </c>
      <c r="U239" s="103">
        <f t="shared" si="317"/>
        <v>1.8121137342543652E-3</v>
      </c>
      <c r="V239" s="103">
        <f t="shared" si="317"/>
        <v>1.9047707258655828E-3</v>
      </c>
      <c r="W239" s="103">
        <f t="shared" ref="W239:Y239" si="318">IF(W21=0,0,W21/W$19)</f>
        <v>1.7795536518727219E-3</v>
      </c>
      <c r="X239" s="103">
        <f t="shared" si="318"/>
        <v>1.8981765017055058E-3</v>
      </c>
      <c r="Y239" s="103">
        <f t="shared" si="318"/>
        <v>2.10385419447705E-3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5.6484705142403287E-2</v>
      </c>
      <c r="C240" s="103">
        <f t="shared" si="319"/>
        <v>5.5155886628834271E-2</v>
      </c>
      <c r="D240" s="103">
        <f t="shared" si="319"/>
        <v>5.5865203905383819E-2</v>
      </c>
      <c r="E240" s="103">
        <f t="shared" si="319"/>
        <v>6.6192219960747672E-2</v>
      </c>
      <c r="F240" s="103">
        <f t="shared" si="319"/>
        <v>6.3927616655273994E-2</v>
      </c>
      <c r="G240" s="103">
        <f t="shared" si="319"/>
        <v>6.5234633453149074E-2</v>
      </c>
      <c r="H240" s="103">
        <f t="shared" si="319"/>
        <v>6.4008769676392741E-2</v>
      </c>
      <c r="I240" s="103">
        <f t="shared" si="319"/>
        <v>7.0074846485458919E-2</v>
      </c>
      <c r="J240" s="103">
        <f t="shared" si="319"/>
        <v>6.987784045688758E-2</v>
      </c>
      <c r="K240" s="103">
        <f t="shared" si="319"/>
        <v>7.3586462857371457E-2</v>
      </c>
      <c r="L240" s="103">
        <f t="shared" ref="L240" si="320">IF(L22=0,0,L22/L$19)</f>
        <v>7.5690297632412876E-2</v>
      </c>
      <c r="M240" s="103">
        <f t="shared" ref="M240:V240" si="321">IF(M22=0,0,M22/M$19)</f>
        <v>8.9955376442384369E-2</v>
      </c>
      <c r="N240" s="103">
        <f t="shared" si="321"/>
        <v>9.1319816558464634E-2</v>
      </c>
      <c r="O240" s="103">
        <f t="shared" si="321"/>
        <v>8.2038196299530658E-2</v>
      </c>
      <c r="P240" s="103">
        <f t="shared" si="321"/>
        <v>8.9725732789856794E-2</v>
      </c>
      <c r="Q240" s="103">
        <f t="shared" si="321"/>
        <v>7.6198814817050986E-2</v>
      </c>
      <c r="R240" s="103">
        <f t="shared" si="321"/>
        <v>7.3960209343562344E-2</v>
      </c>
      <c r="S240" s="103">
        <f t="shared" si="321"/>
        <v>7.0570426878358003E-2</v>
      </c>
      <c r="T240" s="103">
        <f t="shared" si="321"/>
        <v>7.1073446808468263E-2</v>
      </c>
      <c r="U240" s="103">
        <f t="shared" si="321"/>
        <v>6.7259092749348492E-2</v>
      </c>
      <c r="V240" s="103">
        <f t="shared" si="321"/>
        <v>6.8189070054087461E-2</v>
      </c>
      <c r="W240" s="103">
        <f t="shared" ref="W240:Y240" si="322">IF(W22=0,0,W22/W$19)</f>
        <v>7.2335858524909646E-2</v>
      </c>
      <c r="X240" s="103">
        <f t="shared" si="322"/>
        <v>6.4141643191959932E-2</v>
      </c>
      <c r="Y240" s="103">
        <f t="shared" si="322"/>
        <v>6.1837013594109647E-2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6.6195705502060661E-5</v>
      </c>
      <c r="C241" s="103">
        <f t="shared" si="323"/>
        <v>7.6772423850992094E-5</v>
      </c>
      <c r="D241" s="103">
        <f t="shared" si="323"/>
        <v>8.6001260031869225E-5</v>
      </c>
      <c r="E241" s="103">
        <f t="shared" si="323"/>
        <v>1.0661029428586014E-4</v>
      </c>
      <c r="F241" s="103">
        <f t="shared" si="323"/>
        <v>1.0551248383463679E-4</v>
      </c>
      <c r="G241" s="103">
        <f t="shared" si="323"/>
        <v>1.1068928391003101E-4</v>
      </c>
      <c r="H241" s="103">
        <f t="shared" si="323"/>
        <v>1.2840269218245001E-4</v>
      </c>
      <c r="I241" s="103">
        <f t="shared" si="323"/>
        <v>1.2647915579089175E-4</v>
      </c>
      <c r="J241" s="103">
        <f t="shared" si="323"/>
        <v>1.5112031312252818E-4</v>
      </c>
      <c r="K241" s="103">
        <f t="shared" si="323"/>
        <v>2.1152094208583847E-4</v>
      </c>
      <c r="L241" s="103">
        <f t="shared" ref="L241" si="324">IF(L23=0,0,L23/L$19)</f>
        <v>2.5979381557889427E-4</v>
      </c>
      <c r="M241" s="103">
        <f t="shared" ref="M241:V241" si="325">IF(M23=0,0,M23/M$19)</f>
        <v>3.3098496646008968E-4</v>
      </c>
      <c r="N241" s="103">
        <f t="shared" si="325"/>
        <v>4.132885947370286E-4</v>
      </c>
      <c r="O241" s="103">
        <f t="shared" si="325"/>
        <v>4.2554829888016035E-4</v>
      </c>
      <c r="P241" s="103">
        <f t="shared" si="325"/>
        <v>4.8199724194598442E-4</v>
      </c>
      <c r="Q241" s="103">
        <f t="shared" si="325"/>
        <v>4.8389563964242835E-4</v>
      </c>
      <c r="R241" s="103">
        <f t="shared" si="325"/>
        <v>4.8053138927560933E-4</v>
      </c>
      <c r="S241" s="103">
        <f t="shared" si="325"/>
        <v>4.5821205419027894E-4</v>
      </c>
      <c r="T241" s="103">
        <f t="shared" si="325"/>
        <v>4.4090650501208204E-4</v>
      </c>
      <c r="U241" s="103">
        <f t="shared" si="325"/>
        <v>4.3869780405374556E-4</v>
      </c>
      <c r="V241" s="103">
        <f t="shared" si="325"/>
        <v>4.6253675181341051E-4</v>
      </c>
      <c r="W241" s="103">
        <f t="shared" ref="W241:Y241" si="326">IF(W23=0,0,W23/W$19)</f>
        <v>4.7912495355764391E-4</v>
      </c>
      <c r="X241" s="103">
        <f t="shared" si="326"/>
        <v>3.9023560829637866E-4</v>
      </c>
      <c r="Y241" s="103">
        <f t="shared" si="326"/>
        <v>4.1839235116902909E-4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8.517320482621814E-5</v>
      </c>
      <c r="C242" s="103">
        <f t="shared" si="327"/>
        <v>1.0272769789141265E-4</v>
      </c>
      <c r="D242" s="103">
        <f t="shared" si="327"/>
        <v>1.1966504850767126E-4</v>
      </c>
      <c r="E242" s="103">
        <f t="shared" si="327"/>
        <v>1.5424318161643628E-4</v>
      </c>
      <c r="F242" s="103">
        <f t="shared" si="327"/>
        <v>1.5873755253272879E-4</v>
      </c>
      <c r="G242" s="103">
        <f t="shared" si="327"/>
        <v>1.7317094675110665E-4</v>
      </c>
      <c r="H242" s="103">
        <f t="shared" si="327"/>
        <v>2.1170481443153741E-4</v>
      </c>
      <c r="I242" s="103">
        <f t="shared" si="327"/>
        <v>2.1593669437111756E-4</v>
      </c>
      <c r="J242" s="103">
        <f t="shared" si="327"/>
        <v>2.989112416052483E-4</v>
      </c>
      <c r="K242" s="103">
        <f t="shared" si="327"/>
        <v>4.5292575546041381E-4</v>
      </c>
      <c r="L242" s="103">
        <f t="shared" ref="L242" si="328">IF(L24=0,0,L24/L$19)</f>
        <v>6.9098533248861875E-4</v>
      </c>
      <c r="M242" s="103">
        <f t="shared" ref="M242:V242" si="329">IF(M24=0,0,M24/M$19)</f>
        <v>7.9388428424369045E-4</v>
      </c>
      <c r="N242" s="103">
        <f t="shared" si="329"/>
        <v>1.1917850219482578E-3</v>
      </c>
      <c r="O242" s="103">
        <f t="shared" si="329"/>
        <v>1.2034485505735596E-3</v>
      </c>
      <c r="P242" s="103">
        <f t="shared" si="329"/>
        <v>1.3371946059673788E-3</v>
      </c>
      <c r="Q242" s="103">
        <f t="shared" si="329"/>
        <v>1.343981137641315E-3</v>
      </c>
      <c r="R242" s="103">
        <f t="shared" si="329"/>
        <v>1.4264258221024432E-3</v>
      </c>
      <c r="S242" s="103">
        <f t="shared" si="329"/>
        <v>1.3134739227929184E-3</v>
      </c>
      <c r="T242" s="103">
        <f t="shared" si="329"/>
        <v>1.3091631415111003E-3</v>
      </c>
      <c r="U242" s="103">
        <f t="shared" si="329"/>
        <v>1.2546036681823104E-3</v>
      </c>
      <c r="V242" s="103">
        <f t="shared" si="329"/>
        <v>1.3077822322585064E-3</v>
      </c>
      <c r="W242" s="103">
        <f t="shared" ref="W242:Y242" si="330">IF(W24=0,0,W24/W$19)</f>
        <v>1.2082136794081318E-3</v>
      </c>
      <c r="X242" s="103">
        <f t="shared" si="330"/>
        <v>1.118491863565399E-3</v>
      </c>
      <c r="Y242" s="103">
        <f t="shared" si="330"/>
        <v>1.1763597763094287E-3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0</v>
      </c>
      <c r="C243" s="103">
        <f t="shared" si="331"/>
        <v>0</v>
      </c>
      <c r="D243" s="103">
        <f t="shared" si="331"/>
        <v>0</v>
      </c>
      <c r="E243" s="103">
        <f t="shared" si="331"/>
        <v>0</v>
      </c>
      <c r="F243" s="103">
        <f t="shared" si="331"/>
        <v>0</v>
      </c>
      <c r="G243" s="103">
        <f t="shared" si="331"/>
        <v>0</v>
      </c>
      <c r="H243" s="103">
        <f t="shared" si="331"/>
        <v>0</v>
      </c>
      <c r="I243" s="103">
        <f t="shared" si="331"/>
        <v>0</v>
      </c>
      <c r="J243" s="103">
        <f t="shared" si="331"/>
        <v>0</v>
      </c>
      <c r="K243" s="103">
        <f t="shared" si="331"/>
        <v>0</v>
      </c>
      <c r="L243" s="103">
        <f t="shared" ref="L243" si="332">IF(L25=0,0,L25/L$19)</f>
        <v>0</v>
      </c>
      <c r="M243" s="103">
        <f t="shared" ref="M243:V243" si="333">IF(M25=0,0,M25/M$19)</f>
        <v>1.902499436548322E-8</v>
      </c>
      <c r="N243" s="103">
        <f t="shared" si="333"/>
        <v>4.2512921029305629E-6</v>
      </c>
      <c r="O243" s="103">
        <f t="shared" si="333"/>
        <v>2.0203740209888707E-6</v>
      </c>
      <c r="P243" s="103">
        <f t="shared" si="333"/>
        <v>3.6494282983484364E-6</v>
      </c>
      <c r="Q243" s="103">
        <f t="shared" si="333"/>
        <v>1.138771114474576E-5</v>
      </c>
      <c r="R243" s="103">
        <f t="shared" si="333"/>
        <v>2.0962560337598624E-5</v>
      </c>
      <c r="S243" s="103">
        <f t="shared" si="333"/>
        <v>2.3047756062292083E-5</v>
      </c>
      <c r="T243" s="103">
        <f t="shared" si="333"/>
        <v>3.1744207776473496E-5</v>
      </c>
      <c r="U243" s="103">
        <f t="shared" si="333"/>
        <v>5.3388879343197898E-5</v>
      </c>
      <c r="V243" s="103">
        <f t="shared" si="333"/>
        <v>6.4447855244272918E-5</v>
      </c>
      <c r="W243" s="103">
        <f t="shared" ref="W243:Y243" si="334">IF(W25=0,0,W25/W$19)</f>
        <v>8.9690937642041067E-5</v>
      </c>
      <c r="X243" s="103">
        <f t="shared" si="334"/>
        <v>1.2035666247200456E-4</v>
      </c>
      <c r="Y243" s="103">
        <f t="shared" si="334"/>
        <v>1.8878708324345634E-4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0.94107049729644821</v>
      </c>
      <c r="C244" s="156">
        <f t="shared" si="335"/>
        <v>0.94224863805067793</v>
      </c>
      <c r="D244" s="156">
        <f t="shared" si="335"/>
        <v>0.94147104984543317</v>
      </c>
      <c r="E244" s="156">
        <f t="shared" si="335"/>
        <v>0.9307794052992141</v>
      </c>
      <c r="F244" s="156">
        <f t="shared" si="335"/>
        <v>0.93332046023848014</v>
      </c>
      <c r="G244" s="156">
        <f t="shared" si="335"/>
        <v>0.9321110524842704</v>
      </c>
      <c r="H244" s="156">
        <f t="shared" si="335"/>
        <v>0.93308579997243735</v>
      </c>
      <c r="I244" s="156">
        <f t="shared" si="335"/>
        <v>0.92730485188243605</v>
      </c>
      <c r="J244" s="156">
        <f t="shared" si="335"/>
        <v>0.92747967621460636</v>
      </c>
      <c r="K244" s="156">
        <f t="shared" si="335"/>
        <v>0.923545591090007</v>
      </c>
      <c r="L244" s="156">
        <f t="shared" ref="L244" si="336">IF(L26=0,0,L26/L$19)</f>
        <v>0.92132046423973779</v>
      </c>
      <c r="M244" s="156">
        <f t="shared" ref="M244:V244" si="337">IF(M26=0,0,M26/M$19)</f>
        <v>0.90653519991765386</v>
      </c>
      <c r="N244" s="156">
        <f t="shared" si="337"/>
        <v>0.90462240437157637</v>
      </c>
      <c r="O244" s="156">
        <f t="shared" si="337"/>
        <v>0.91398097493625818</v>
      </c>
      <c r="P244" s="156">
        <f t="shared" si="337"/>
        <v>0.9060294251683052</v>
      </c>
      <c r="Q244" s="156">
        <f t="shared" si="337"/>
        <v>0.91965731386476957</v>
      </c>
      <c r="R244" s="156">
        <f t="shared" si="337"/>
        <v>0.92183975350715086</v>
      </c>
      <c r="S244" s="156">
        <f t="shared" si="337"/>
        <v>0.9256109413742506</v>
      </c>
      <c r="T244" s="156">
        <f t="shared" si="337"/>
        <v>0.92521778752765982</v>
      </c>
      <c r="U244" s="156">
        <f t="shared" si="337"/>
        <v>0.92918210316481786</v>
      </c>
      <c r="V244" s="156">
        <f t="shared" si="337"/>
        <v>0.92807139238073066</v>
      </c>
      <c r="W244" s="156">
        <f t="shared" ref="W244:Y244" si="338">IF(W26=0,0,W26/W$19)</f>
        <v>0.92410755825260982</v>
      </c>
      <c r="X244" s="156">
        <f t="shared" si="338"/>
        <v>0.93233109617200072</v>
      </c>
      <c r="Y244" s="156">
        <f t="shared" si="338"/>
        <v>0.93427559300069141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0.81994135028077109</v>
      </c>
      <c r="C245" s="103">
        <f t="shared" si="339"/>
        <v>0.81101773282120848</v>
      </c>
      <c r="D245" s="103">
        <f t="shared" si="339"/>
        <v>0.8076894701033932</v>
      </c>
      <c r="E245" s="103">
        <f t="shared" si="339"/>
        <v>0.78338933207408423</v>
      </c>
      <c r="F245" s="103">
        <f t="shared" si="339"/>
        <v>0.77927815846191661</v>
      </c>
      <c r="G245" s="103">
        <f t="shared" si="339"/>
        <v>0.7841913773466771</v>
      </c>
      <c r="H245" s="103">
        <f t="shared" si="339"/>
        <v>0.76300445208469114</v>
      </c>
      <c r="I245" s="103">
        <f t="shared" si="339"/>
        <v>0.7565779002977987</v>
      </c>
      <c r="J245" s="103">
        <f t="shared" si="339"/>
        <v>0.7509864529913004</v>
      </c>
      <c r="K245" s="103">
        <f t="shared" si="339"/>
        <v>0.7622274380022277</v>
      </c>
      <c r="L245" s="103">
        <f t="shared" ref="L245" si="340">IF(L27=0,0,L27/L$19)</f>
        <v>0.74891140822678437</v>
      </c>
      <c r="M245" s="103">
        <f t="shared" ref="M245:V245" si="341">IF(M27=0,0,M27/M$19)</f>
        <v>0.73574049799349572</v>
      </c>
      <c r="N245" s="103">
        <f t="shared" si="341"/>
        <v>0.72510314908917151</v>
      </c>
      <c r="O245" s="103">
        <f t="shared" si="341"/>
        <v>0.7217774459696028</v>
      </c>
      <c r="P245" s="103">
        <f t="shared" si="341"/>
        <v>0.69709904099282272</v>
      </c>
      <c r="Q245" s="103">
        <f t="shared" si="341"/>
        <v>0.71463743598112484</v>
      </c>
      <c r="R245" s="103">
        <f t="shared" si="341"/>
        <v>0.70195401394960311</v>
      </c>
      <c r="S245" s="103">
        <f t="shared" si="341"/>
        <v>0.69520751984581708</v>
      </c>
      <c r="T245" s="103">
        <f t="shared" si="341"/>
        <v>0.70683185174941532</v>
      </c>
      <c r="U245" s="103">
        <f t="shared" si="341"/>
        <v>0.71896027970185594</v>
      </c>
      <c r="V245" s="103">
        <f t="shared" si="341"/>
        <v>0.71732103753124155</v>
      </c>
      <c r="W245" s="103">
        <f t="shared" ref="W245:Y245" si="342">IF(W27=0,0,W27/W$19)</f>
        <v>0.70755407880575527</v>
      </c>
      <c r="X245" s="103">
        <f t="shared" si="342"/>
        <v>0.71520659952895538</v>
      </c>
      <c r="Y245" s="103">
        <f t="shared" si="342"/>
        <v>0.72422045543230817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0.12112914701567706</v>
      </c>
      <c r="C246" s="105">
        <f t="shared" si="343"/>
        <v>0.13123090522946942</v>
      </c>
      <c r="D246" s="105">
        <f t="shared" si="343"/>
        <v>0.13378157974204002</v>
      </c>
      <c r="E246" s="105">
        <f t="shared" si="343"/>
        <v>0.14739007322512976</v>
      </c>
      <c r="F246" s="105">
        <f t="shared" si="343"/>
        <v>0.15404230177656356</v>
      </c>
      <c r="G246" s="105">
        <f t="shared" si="343"/>
        <v>0.14791967513759322</v>
      </c>
      <c r="H246" s="105">
        <f t="shared" si="343"/>
        <v>0.17008134788774615</v>
      </c>
      <c r="I246" s="105">
        <f t="shared" si="343"/>
        <v>0.17072695158463733</v>
      </c>
      <c r="J246" s="105">
        <f t="shared" si="343"/>
        <v>0.17649322322330591</v>
      </c>
      <c r="K246" s="105">
        <f t="shared" si="343"/>
        <v>0.1613181530877793</v>
      </c>
      <c r="L246" s="105">
        <f t="shared" ref="L246" si="344">IF(L28=0,0,L28/L$19)</f>
        <v>0.17240905601295342</v>
      </c>
      <c r="M246" s="105">
        <f t="shared" ref="M246:V246" si="345">IF(M28=0,0,M28/M$19)</f>
        <v>0.1707947019241581</v>
      </c>
      <c r="N246" s="105">
        <f t="shared" si="345"/>
        <v>0.17951925528240489</v>
      </c>
      <c r="O246" s="105">
        <f t="shared" si="345"/>
        <v>0.19220352896665541</v>
      </c>
      <c r="P246" s="105">
        <f t="shared" si="345"/>
        <v>0.20893038417548254</v>
      </c>
      <c r="Q246" s="105">
        <f t="shared" si="345"/>
        <v>0.20501987788364479</v>
      </c>
      <c r="R246" s="105">
        <f t="shared" si="345"/>
        <v>0.21988573955754773</v>
      </c>
      <c r="S246" s="105">
        <f t="shared" si="345"/>
        <v>0.23040342152843352</v>
      </c>
      <c r="T246" s="105">
        <f t="shared" si="345"/>
        <v>0.21838593577824447</v>
      </c>
      <c r="U246" s="105">
        <f t="shared" si="345"/>
        <v>0.21022182346296195</v>
      </c>
      <c r="V246" s="105">
        <f t="shared" si="345"/>
        <v>0.21075035484948912</v>
      </c>
      <c r="W246" s="105">
        <f t="shared" ref="W246:Y246" si="346">IF(W28=0,0,W28/W$19)</f>
        <v>0.21655347944685466</v>
      </c>
      <c r="X246" s="105">
        <f t="shared" si="346"/>
        <v>0.21712449664304531</v>
      </c>
      <c r="Y246" s="105">
        <f t="shared" si="346"/>
        <v>0.21005513756838323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9.1501397270147111E-2</v>
      </c>
      <c r="C250" s="154">
        <f t="shared" si="351"/>
        <v>9.0103134249113689E-2</v>
      </c>
      <c r="D250" s="154">
        <f t="shared" si="351"/>
        <v>8.8939978738279329E-2</v>
      </c>
      <c r="E250" s="154">
        <f t="shared" si="351"/>
        <v>9.0343105555099043E-2</v>
      </c>
      <c r="F250" s="154">
        <f t="shared" si="351"/>
        <v>9.3289531556718458E-2</v>
      </c>
      <c r="G250" s="154">
        <f t="shared" si="351"/>
        <v>9.9599972824564301E-2</v>
      </c>
      <c r="H250" s="154">
        <f t="shared" si="351"/>
        <v>9.4921715320035668E-2</v>
      </c>
      <c r="I250" s="154">
        <f t="shared" si="351"/>
        <v>8.5110307052698717E-2</v>
      </c>
      <c r="J250" s="154">
        <f t="shared" si="351"/>
        <v>8.9477609379513517E-2</v>
      </c>
      <c r="K250" s="154">
        <f t="shared" si="351"/>
        <v>7.9393936231589662E-2</v>
      </c>
      <c r="L250" s="154">
        <f t="shared" ref="L250" si="352">IF(L32=0,0,L32/L$31)</f>
        <v>8.3152798209285603E-2</v>
      </c>
      <c r="M250" s="154">
        <f t="shared" ref="M250:V250" si="353">IF(M32=0,0,M32/M$31)</f>
        <v>8.6906854759664448E-2</v>
      </c>
      <c r="N250" s="154">
        <f t="shared" si="353"/>
        <v>8.8572939645695584E-2</v>
      </c>
      <c r="O250" s="154">
        <f t="shared" si="353"/>
        <v>8.5051482670264508E-2</v>
      </c>
      <c r="P250" s="154">
        <f t="shared" si="353"/>
        <v>8.1130876003950789E-2</v>
      </c>
      <c r="Q250" s="154">
        <f t="shared" si="353"/>
        <v>8.0008276463450115E-2</v>
      </c>
      <c r="R250" s="154">
        <f t="shared" si="353"/>
        <v>7.9535013474422309E-2</v>
      </c>
      <c r="S250" s="154">
        <f t="shared" si="353"/>
        <v>7.3444950028053402E-2</v>
      </c>
      <c r="T250" s="154">
        <f t="shared" si="353"/>
        <v>7.2650911148351746E-2</v>
      </c>
      <c r="U250" s="154">
        <f t="shared" si="353"/>
        <v>7.8006055483600401E-2</v>
      </c>
      <c r="V250" s="154">
        <f t="shared" si="353"/>
        <v>8.5360808047615366E-2</v>
      </c>
      <c r="W250" s="154">
        <f t="shared" ref="W250:Y250" si="354">IF(W32=0,0,W32/W$31)</f>
        <v>9.0735037294969512E-2</v>
      </c>
      <c r="X250" s="154">
        <f t="shared" si="354"/>
        <v>8.7191843619685627E-2</v>
      </c>
      <c r="Y250" s="154">
        <f t="shared" si="354"/>
        <v>8.5821556232539703E-2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0.89872692528476472</v>
      </c>
      <c r="C251" s="156">
        <f t="shared" si="355"/>
        <v>0.90029342941204948</v>
      </c>
      <c r="D251" s="156">
        <f t="shared" si="355"/>
        <v>0.90136042159483487</v>
      </c>
      <c r="E251" s="156">
        <f t="shared" si="355"/>
        <v>0.89989997191515114</v>
      </c>
      <c r="F251" s="156">
        <f t="shared" si="355"/>
        <v>0.89688544317946306</v>
      </c>
      <c r="G251" s="156">
        <f t="shared" si="355"/>
        <v>0.88983147543257279</v>
      </c>
      <c r="H251" s="156">
        <f t="shared" si="355"/>
        <v>0.89425282394509653</v>
      </c>
      <c r="I251" s="156">
        <f t="shared" si="355"/>
        <v>0.9039922810375014</v>
      </c>
      <c r="J251" s="156">
        <f t="shared" si="355"/>
        <v>0.89963965662403145</v>
      </c>
      <c r="K251" s="156">
        <f t="shared" si="355"/>
        <v>0.91020323569106976</v>
      </c>
      <c r="L251" s="156">
        <f t="shared" ref="L251" si="356">IF(L33=0,0,L33/L$31)</f>
        <v>0.90599606004960886</v>
      </c>
      <c r="M251" s="156">
        <f t="shared" ref="M251:V251" si="357">IF(M33=0,0,M33/M$31)</f>
        <v>0.90187981207199019</v>
      </c>
      <c r="N251" s="156">
        <f t="shared" si="357"/>
        <v>0.90022184222084745</v>
      </c>
      <c r="O251" s="156">
        <f t="shared" si="357"/>
        <v>0.90382504699748567</v>
      </c>
      <c r="P251" s="156">
        <f t="shared" si="357"/>
        <v>0.90840931600882491</v>
      </c>
      <c r="Q251" s="156">
        <f t="shared" si="357"/>
        <v>0.90947495830765557</v>
      </c>
      <c r="R251" s="156">
        <f t="shared" si="357"/>
        <v>0.91022602552817922</v>
      </c>
      <c r="S251" s="156">
        <f t="shared" si="357"/>
        <v>0.91649291246087627</v>
      </c>
      <c r="T251" s="156">
        <f t="shared" si="357"/>
        <v>0.91685870947728065</v>
      </c>
      <c r="U251" s="156">
        <f t="shared" si="357"/>
        <v>0.9114646129929177</v>
      </c>
      <c r="V251" s="156">
        <f t="shared" si="357"/>
        <v>0.90152104791887044</v>
      </c>
      <c r="W251" s="156">
        <f t="shared" ref="W251:Y251" si="358">IF(W33=0,0,W33/W$31)</f>
        <v>0.89629691041199699</v>
      </c>
      <c r="X251" s="156">
        <f t="shared" si="358"/>
        <v>0.90045970560135657</v>
      </c>
      <c r="Y251" s="156">
        <f t="shared" si="358"/>
        <v>0.90292422381883308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0.62141700172485814</v>
      </c>
      <c r="C252" s="103">
        <f t="shared" si="359"/>
        <v>0.59817549120614644</v>
      </c>
      <c r="D252" s="103">
        <f t="shared" si="359"/>
        <v>0.56258267377887705</v>
      </c>
      <c r="E252" s="103">
        <f t="shared" si="359"/>
        <v>0.54178270050324584</v>
      </c>
      <c r="F252" s="103">
        <f t="shared" si="359"/>
        <v>0.48411464500476459</v>
      </c>
      <c r="G252" s="103">
        <f t="shared" si="359"/>
        <v>0.45493912118810331</v>
      </c>
      <c r="H252" s="103">
        <f t="shared" si="359"/>
        <v>0.39050564173183205</v>
      </c>
      <c r="I252" s="103">
        <f t="shared" si="359"/>
        <v>0.38007231662256852</v>
      </c>
      <c r="J252" s="103">
        <f t="shared" si="359"/>
        <v>0.37718480540792537</v>
      </c>
      <c r="K252" s="103">
        <f t="shared" si="359"/>
        <v>0.38775883637470548</v>
      </c>
      <c r="L252" s="103">
        <f t="shared" ref="L252" si="360">IF(L34=0,0,L34/L$31)</f>
        <v>0.38043804752539423</v>
      </c>
      <c r="M252" s="103">
        <f t="shared" ref="M252:V252" si="361">IF(M34=0,0,M34/M$31)</f>
        <v>0.37444672500018505</v>
      </c>
      <c r="N252" s="103">
        <f t="shared" si="361"/>
        <v>0.3437757570065117</v>
      </c>
      <c r="O252" s="103">
        <f t="shared" si="361"/>
        <v>0.3252306349407566</v>
      </c>
      <c r="P252" s="103">
        <f t="shared" si="361"/>
        <v>0.30685654448661348</v>
      </c>
      <c r="Q252" s="103">
        <f t="shared" si="361"/>
        <v>0.29365716335808695</v>
      </c>
      <c r="R252" s="103">
        <f t="shared" si="361"/>
        <v>0.2817663469256671</v>
      </c>
      <c r="S252" s="103">
        <f t="shared" si="361"/>
        <v>0.27184641034018281</v>
      </c>
      <c r="T252" s="103">
        <f t="shared" si="361"/>
        <v>0.26423418842965407</v>
      </c>
      <c r="U252" s="103">
        <f t="shared" si="361"/>
        <v>0.26509046258537916</v>
      </c>
      <c r="V252" s="103">
        <f t="shared" si="361"/>
        <v>0.25757537259550656</v>
      </c>
      <c r="W252" s="103">
        <f t="shared" ref="W252:Y252" si="362">IF(W34=0,0,W34/W$31)</f>
        <v>0.25943296749456174</v>
      </c>
      <c r="X252" s="103">
        <f t="shared" si="362"/>
        <v>0.26544410536205831</v>
      </c>
      <c r="Y252" s="103">
        <f t="shared" si="362"/>
        <v>0.27472817346493944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0.20964053278263831</v>
      </c>
      <c r="C253" s="103">
        <f t="shared" si="363"/>
        <v>0.23710720518612252</v>
      </c>
      <c r="D253" s="103">
        <f t="shared" si="363"/>
        <v>0.27740880997217127</v>
      </c>
      <c r="E253" s="103">
        <f t="shared" si="363"/>
        <v>0.30074866154681146</v>
      </c>
      <c r="F253" s="103">
        <f t="shared" si="363"/>
        <v>0.35688392218200826</v>
      </c>
      <c r="G253" s="103">
        <f t="shared" si="363"/>
        <v>0.37676204704730321</v>
      </c>
      <c r="H253" s="103">
        <f t="shared" si="363"/>
        <v>0.44434420566634075</v>
      </c>
      <c r="I253" s="103">
        <f t="shared" si="363"/>
        <v>0.46399892268744497</v>
      </c>
      <c r="J253" s="103">
        <f t="shared" si="363"/>
        <v>0.46545254068866254</v>
      </c>
      <c r="K253" s="103">
        <f t="shared" si="363"/>
        <v>0.45769611809840854</v>
      </c>
      <c r="L253" s="103">
        <f t="shared" ref="L253" si="364">IF(L35=0,0,L35/L$31)</f>
        <v>0.45323286963439152</v>
      </c>
      <c r="M253" s="103">
        <f t="shared" ref="M253:V253" si="365">IF(M35=0,0,M35/M$31)</f>
        <v>0.45448028813692398</v>
      </c>
      <c r="N253" s="103">
        <f t="shared" si="365"/>
        <v>0.47606963449033934</v>
      </c>
      <c r="O253" s="103">
        <f t="shared" si="365"/>
        <v>0.4884544127983132</v>
      </c>
      <c r="P253" s="103">
        <f t="shared" si="365"/>
        <v>0.51216349062421507</v>
      </c>
      <c r="Q253" s="103">
        <f t="shared" si="365"/>
        <v>0.5195092556768639</v>
      </c>
      <c r="R253" s="103">
        <f t="shared" si="365"/>
        <v>0.5320781389230822</v>
      </c>
      <c r="S253" s="103">
        <f t="shared" si="365"/>
        <v>0.54493787266942195</v>
      </c>
      <c r="T253" s="103">
        <f t="shared" si="365"/>
        <v>0.54914517278292763</v>
      </c>
      <c r="U253" s="103">
        <f t="shared" si="365"/>
        <v>0.53980034554664824</v>
      </c>
      <c r="V253" s="103">
        <f t="shared" si="365"/>
        <v>0.53528887208728504</v>
      </c>
      <c r="W253" s="103">
        <f t="shared" ref="W253:Y253" si="366">IF(W35=0,0,W35/W$31)</f>
        <v>0.52382603023063834</v>
      </c>
      <c r="X253" s="103">
        <f t="shared" si="366"/>
        <v>0.5199374050596498</v>
      </c>
      <c r="Y253" s="103">
        <f t="shared" si="366"/>
        <v>0.5177363700767883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5.7834364242627952E-2</v>
      </c>
      <c r="C254" s="103">
        <f t="shared" si="367"/>
        <v>5.4121043183397138E-2</v>
      </c>
      <c r="D254" s="103">
        <f t="shared" si="367"/>
        <v>5.062092423289876E-2</v>
      </c>
      <c r="E254" s="103">
        <f t="shared" si="367"/>
        <v>4.6702522962042262E-2</v>
      </c>
      <c r="F254" s="103">
        <f t="shared" si="367"/>
        <v>4.5877450648328988E-2</v>
      </c>
      <c r="G254" s="103">
        <f t="shared" si="367"/>
        <v>4.7253483384774933E-2</v>
      </c>
      <c r="H254" s="103">
        <f t="shared" si="367"/>
        <v>4.7173827179153013E-2</v>
      </c>
      <c r="I254" s="103">
        <f t="shared" si="367"/>
        <v>4.6213633383156726E-2</v>
      </c>
      <c r="J254" s="103">
        <f t="shared" si="367"/>
        <v>4.196807133283792E-2</v>
      </c>
      <c r="K254" s="103">
        <f t="shared" si="367"/>
        <v>4.64422960918386E-2</v>
      </c>
      <c r="L254" s="103">
        <f t="shared" ref="L254" si="368">IF(L36=0,0,L36/L$31)</f>
        <v>5.3163239791042247E-2</v>
      </c>
      <c r="M254" s="103">
        <f t="shared" ref="M254:V254" si="369">IF(M36=0,0,M36/M$31)</f>
        <v>5.3247304373084635E-2</v>
      </c>
      <c r="N254" s="103">
        <f t="shared" si="369"/>
        <v>5.9714117218397894E-2</v>
      </c>
      <c r="O254" s="103">
        <f t="shared" si="369"/>
        <v>6.7516467837751157E-2</v>
      </c>
      <c r="P254" s="103">
        <f t="shared" si="369"/>
        <v>6.4586124354011301E-2</v>
      </c>
      <c r="Q254" s="103">
        <f t="shared" si="369"/>
        <v>7.0307403879901559E-2</v>
      </c>
      <c r="R254" s="103">
        <f t="shared" si="369"/>
        <v>6.9251001749374902E-2</v>
      </c>
      <c r="S254" s="103">
        <f t="shared" si="369"/>
        <v>7.1270999821183498E-2</v>
      </c>
      <c r="T254" s="103">
        <f t="shared" si="369"/>
        <v>7.422811103315001E-2</v>
      </c>
      <c r="U254" s="103">
        <f t="shared" si="369"/>
        <v>7.6529830957752995E-2</v>
      </c>
      <c r="V254" s="103">
        <f t="shared" si="369"/>
        <v>7.6172927584383709E-2</v>
      </c>
      <c r="W254" s="103">
        <f t="shared" ref="W254:Y254" si="370">IF(W36=0,0,W36/W$31)</f>
        <v>7.7750555881361219E-2</v>
      </c>
      <c r="X254" s="103">
        <f t="shared" si="370"/>
        <v>8.1649252110229747E-2</v>
      </c>
      <c r="Y254" s="103">
        <f t="shared" si="370"/>
        <v>7.8072395960708932E-2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9.835026534640471E-3</v>
      </c>
      <c r="C255" s="103">
        <f t="shared" si="371"/>
        <v>1.0889689836383422E-2</v>
      </c>
      <c r="D255" s="103">
        <f t="shared" si="371"/>
        <v>1.0748013610887877E-2</v>
      </c>
      <c r="E255" s="103">
        <f t="shared" si="371"/>
        <v>1.0666086903051411E-2</v>
      </c>
      <c r="F255" s="103">
        <f t="shared" si="371"/>
        <v>1.0009425344361183E-2</v>
      </c>
      <c r="G255" s="103">
        <f t="shared" si="371"/>
        <v>1.0876823812391311E-2</v>
      </c>
      <c r="H255" s="103">
        <f t="shared" si="371"/>
        <v>1.2229149367770717E-2</v>
      </c>
      <c r="I255" s="103">
        <f t="shared" si="371"/>
        <v>1.3707408344331276E-2</v>
      </c>
      <c r="J255" s="103">
        <f t="shared" si="371"/>
        <v>1.5034239194605595E-2</v>
      </c>
      <c r="K255" s="103">
        <f t="shared" si="371"/>
        <v>1.8305985126116951E-2</v>
      </c>
      <c r="L255" s="103">
        <f t="shared" ref="L255" si="372">IF(L37=0,0,L37/L$31)</f>
        <v>1.9030774626648057E-2</v>
      </c>
      <c r="M255" s="103">
        <f t="shared" ref="M255:V255" si="373">IF(M37=0,0,M37/M$31)</f>
        <v>1.9383279611909967E-2</v>
      </c>
      <c r="N255" s="103">
        <f t="shared" si="373"/>
        <v>2.0309149802815663E-2</v>
      </c>
      <c r="O255" s="103">
        <f t="shared" si="373"/>
        <v>2.1966822898565455E-2</v>
      </c>
      <c r="P255" s="103">
        <f t="shared" si="373"/>
        <v>2.3698454691487618E-2</v>
      </c>
      <c r="Q255" s="103">
        <f t="shared" si="373"/>
        <v>2.482577553440524E-2</v>
      </c>
      <c r="R255" s="103">
        <f t="shared" si="373"/>
        <v>2.5929373448868122E-2</v>
      </c>
      <c r="S255" s="103">
        <f t="shared" si="373"/>
        <v>2.7094942993500216E-2</v>
      </c>
      <c r="T255" s="103">
        <f t="shared" si="373"/>
        <v>2.7638982111584106E-2</v>
      </c>
      <c r="U255" s="103">
        <f t="shared" si="373"/>
        <v>2.7988254912552624E-2</v>
      </c>
      <c r="V255" s="103">
        <f t="shared" si="373"/>
        <v>2.8683887311362347E-2</v>
      </c>
      <c r="W255" s="103">
        <f t="shared" ref="W255:Y255" si="374">IF(W37=0,0,W37/W$31)</f>
        <v>2.7305600950574143E-2</v>
      </c>
      <c r="X255" s="103">
        <f t="shared" si="374"/>
        <v>2.4025318550112491E-2</v>
      </c>
      <c r="Y255" s="103">
        <f t="shared" si="374"/>
        <v>2.2110308198015724E-2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0</v>
      </c>
      <c r="N256" s="103">
        <f t="shared" si="377"/>
        <v>2.6556455804416165E-6</v>
      </c>
      <c r="O256" s="103">
        <f t="shared" si="377"/>
        <v>2.8038591027815263E-4</v>
      </c>
      <c r="P256" s="103">
        <f t="shared" si="377"/>
        <v>7.1772293915160551E-4</v>
      </c>
      <c r="Q256" s="103">
        <f t="shared" si="377"/>
        <v>7.4228689763956455E-4</v>
      </c>
      <c r="R256" s="103">
        <f t="shared" si="377"/>
        <v>7.3725389180944291E-4</v>
      </c>
      <c r="S256" s="103">
        <f t="shared" si="377"/>
        <v>8.2888557433638034E-4</v>
      </c>
      <c r="T256" s="103">
        <f t="shared" si="377"/>
        <v>9.1339403302635627E-4</v>
      </c>
      <c r="U256" s="103">
        <f t="shared" si="377"/>
        <v>1.0199720637154915E-3</v>
      </c>
      <c r="V256" s="103">
        <f t="shared" si="377"/>
        <v>1.6167086882513278E-3</v>
      </c>
      <c r="W256" s="103">
        <f t="shared" ref="W256:Y256" si="378">IF(W38=0,0,W38/W$31)</f>
        <v>2.850150730291759E-3</v>
      </c>
      <c r="X256" s="103">
        <f t="shared" si="378"/>
        <v>4.129580749627439E-3</v>
      </c>
      <c r="Y256" s="103">
        <f t="shared" si="378"/>
        <v>5.3950872852618816E-3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0</v>
      </c>
      <c r="J257" s="103">
        <f t="shared" si="379"/>
        <v>0</v>
      </c>
      <c r="K257" s="103">
        <f t="shared" si="379"/>
        <v>0</v>
      </c>
      <c r="L257" s="103">
        <f t="shared" ref="L257" si="380">IF(L39=0,0,L39/L$31)</f>
        <v>1.3112847213284483E-4</v>
      </c>
      <c r="M257" s="103">
        <f t="shared" ref="M257:V257" si="381">IF(M39=0,0,M39/M$31)</f>
        <v>3.2221494988640621E-4</v>
      </c>
      <c r="N257" s="103">
        <f t="shared" si="381"/>
        <v>3.5052805720231164E-4</v>
      </c>
      <c r="O257" s="103">
        <f t="shared" si="381"/>
        <v>3.7632261182118557E-4</v>
      </c>
      <c r="P257" s="103">
        <f t="shared" si="381"/>
        <v>3.8697891334588005E-4</v>
      </c>
      <c r="Q257" s="103">
        <f t="shared" si="381"/>
        <v>4.3307296075832479E-4</v>
      </c>
      <c r="R257" s="103">
        <f t="shared" si="381"/>
        <v>4.6391058937763713E-4</v>
      </c>
      <c r="S257" s="103">
        <f t="shared" si="381"/>
        <v>5.1380106225145153E-4</v>
      </c>
      <c r="T257" s="103">
        <f t="shared" si="381"/>
        <v>6.9886108693828822E-4</v>
      </c>
      <c r="U257" s="103">
        <f t="shared" si="381"/>
        <v>1.0357469268691616E-3</v>
      </c>
      <c r="V257" s="103">
        <f t="shared" si="381"/>
        <v>2.1832796520816398E-3</v>
      </c>
      <c r="W257" s="103">
        <f t="shared" ref="W257:Y257" si="382">IF(W39=0,0,W39/W$31)</f>
        <v>5.1316051245697434E-3</v>
      </c>
      <c r="X257" s="103">
        <f t="shared" si="382"/>
        <v>5.2740437696787434E-3</v>
      </c>
      <c r="Y257" s="103">
        <f t="shared" si="382"/>
        <v>4.8818888331187502E-3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9.771677445088096E-3</v>
      </c>
      <c r="C258" s="156">
        <f t="shared" si="383"/>
        <v>9.6034363388368075E-3</v>
      </c>
      <c r="D258" s="156">
        <f t="shared" si="383"/>
        <v>9.6995996668858796E-3</v>
      </c>
      <c r="E258" s="156">
        <f t="shared" si="383"/>
        <v>9.7569225297498008E-3</v>
      </c>
      <c r="F258" s="156">
        <f t="shared" si="383"/>
        <v>9.8250252638184942E-3</v>
      </c>
      <c r="G258" s="156">
        <f t="shared" si="383"/>
        <v>1.0568551742862795E-2</v>
      </c>
      <c r="H258" s="156">
        <f t="shared" si="383"/>
        <v>1.0825460734867776E-2</v>
      </c>
      <c r="I258" s="156">
        <f t="shared" si="383"/>
        <v>1.0897411909799955E-2</v>
      </c>
      <c r="J258" s="156">
        <f t="shared" si="383"/>
        <v>1.0882733996454974E-2</v>
      </c>
      <c r="K258" s="156">
        <f t="shared" si="383"/>
        <v>1.0402828077340753E-2</v>
      </c>
      <c r="L258" s="156">
        <f t="shared" ref="L258" si="384">IF(L40=0,0,L40/L$31)</f>
        <v>1.085114174110558E-2</v>
      </c>
      <c r="M258" s="156">
        <f t="shared" ref="M258:V258" si="385">IF(M40=0,0,M40/M$31)</f>
        <v>1.1213333168345255E-2</v>
      </c>
      <c r="N258" s="156">
        <f t="shared" si="385"/>
        <v>1.1205218133457012E-2</v>
      </c>
      <c r="O258" s="156">
        <f t="shared" si="385"/>
        <v>1.1123470332249851E-2</v>
      </c>
      <c r="P258" s="156">
        <f t="shared" si="385"/>
        <v>1.045980798722433E-2</v>
      </c>
      <c r="Q258" s="156">
        <f t="shared" si="385"/>
        <v>1.0516765228894295E-2</v>
      </c>
      <c r="R258" s="156">
        <f t="shared" si="385"/>
        <v>1.0238960997398478E-2</v>
      </c>
      <c r="S258" s="156">
        <f t="shared" si="385"/>
        <v>1.0062137511070334E-2</v>
      </c>
      <c r="T258" s="156">
        <f t="shared" si="385"/>
        <v>1.0490379374367668E-2</v>
      </c>
      <c r="U258" s="156">
        <f t="shared" si="385"/>
        <v>1.0529331523481957E-2</v>
      </c>
      <c r="V258" s="156">
        <f t="shared" si="385"/>
        <v>1.3118144033514075E-2</v>
      </c>
      <c r="W258" s="156">
        <f t="shared" ref="W258:Y258" si="386">IF(W40=0,0,W40/W$31)</f>
        <v>1.2968052293033548E-2</v>
      </c>
      <c r="X258" s="156">
        <f t="shared" si="386"/>
        <v>1.2348450778957734E-2</v>
      </c>
      <c r="Y258" s="156">
        <f t="shared" si="386"/>
        <v>1.1254219948627317E-2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2.7215302425925966E-5</v>
      </c>
      <c r="C259" s="103">
        <f t="shared" si="387"/>
        <v>2.3450199852812482E-5</v>
      </c>
      <c r="D259" s="103">
        <f t="shared" si="387"/>
        <v>2.1932981790105563E-5</v>
      </c>
      <c r="E259" s="103">
        <f t="shared" si="387"/>
        <v>1.7486485764277966E-5</v>
      </c>
      <c r="F259" s="103">
        <f t="shared" si="387"/>
        <v>1.4992262368589736E-5</v>
      </c>
      <c r="G259" s="103">
        <f t="shared" si="387"/>
        <v>1.5103582885926672E-5</v>
      </c>
      <c r="H259" s="103">
        <f t="shared" si="387"/>
        <v>1.4253684075602576E-5</v>
      </c>
      <c r="I259" s="103">
        <f t="shared" si="387"/>
        <v>1.3373287297451424E-5</v>
      </c>
      <c r="J259" s="103">
        <f t="shared" si="387"/>
        <v>1.3624580013602186E-5</v>
      </c>
      <c r="K259" s="103">
        <f t="shared" si="387"/>
        <v>1.389018414463439E-5</v>
      </c>
      <c r="L259" s="103">
        <f t="shared" ref="L259" si="388">IF(L41=0,0,L41/L$31)</f>
        <v>1.4542029198203067E-5</v>
      </c>
      <c r="M259" s="103">
        <f t="shared" ref="M259:V259" si="389">IF(M41=0,0,M41/M$31)</f>
        <v>1.4600451108019873E-5</v>
      </c>
      <c r="N259" s="103">
        <f t="shared" si="389"/>
        <v>1.5067806768666682E-5</v>
      </c>
      <c r="O259" s="103">
        <f t="shared" si="389"/>
        <v>2.8676486635612281E-5</v>
      </c>
      <c r="P259" s="103">
        <f t="shared" si="389"/>
        <v>1.6581652715243616E-5</v>
      </c>
      <c r="Q259" s="103">
        <f t="shared" si="389"/>
        <v>1.6430377471398418E-5</v>
      </c>
      <c r="R259" s="103">
        <f t="shared" si="389"/>
        <v>1.5411914497006965E-5</v>
      </c>
      <c r="S259" s="103">
        <f t="shared" si="389"/>
        <v>1.4340793572151846E-5</v>
      </c>
      <c r="T259" s="103">
        <f t="shared" si="389"/>
        <v>1.4049485116910563E-5</v>
      </c>
      <c r="U259" s="103">
        <f t="shared" si="389"/>
        <v>2.5340856699787169E-5</v>
      </c>
      <c r="V259" s="103">
        <f t="shared" si="389"/>
        <v>3.07650552222567E-5</v>
      </c>
      <c r="W259" s="103">
        <f t="shared" ref="W259:Y259" si="390">IF(W41=0,0,W41/W$31)</f>
        <v>2.8837563373127621E-5</v>
      </c>
      <c r="X259" s="103">
        <f t="shared" si="390"/>
        <v>2.6769652642701208E-5</v>
      </c>
      <c r="Y259" s="103">
        <f t="shared" si="390"/>
        <v>2.3818581964678997E-5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9.6422819278297201E-3</v>
      </c>
      <c r="C260" s="103">
        <f t="shared" si="391"/>
        <v>9.4862394773721805E-3</v>
      </c>
      <c r="D260" s="103">
        <f t="shared" si="391"/>
        <v>9.5980771410731705E-3</v>
      </c>
      <c r="E260" s="103">
        <f t="shared" si="391"/>
        <v>9.6154945524584111E-3</v>
      </c>
      <c r="F260" s="103">
        <f t="shared" si="391"/>
        <v>9.6824597815256732E-3</v>
      </c>
      <c r="G260" s="103">
        <f t="shared" si="391"/>
        <v>1.0343790636425121E-2</v>
      </c>
      <c r="H260" s="103">
        <f t="shared" si="391"/>
        <v>1.0489115177079945E-2</v>
      </c>
      <c r="I260" s="103">
        <f t="shared" si="391"/>
        <v>1.0507211155472866E-2</v>
      </c>
      <c r="J260" s="103">
        <f t="shared" si="391"/>
        <v>1.0465722427828224E-2</v>
      </c>
      <c r="K260" s="103">
        <f t="shared" si="391"/>
        <v>9.9426359040159697E-3</v>
      </c>
      <c r="L260" s="103">
        <f t="shared" ref="L260" si="392">IF(L42=0,0,L42/L$31)</f>
        <v>1.0350317601567986E-2</v>
      </c>
      <c r="M260" s="103">
        <f t="shared" ref="M260:V260" si="393">IF(M42=0,0,M42/M$31)</f>
        <v>1.0626920685415956E-2</v>
      </c>
      <c r="N260" s="103">
        <f t="shared" si="393"/>
        <v>1.0580170730311996E-2</v>
      </c>
      <c r="O260" s="103">
        <f t="shared" si="393"/>
        <v>1.0411563492567404E-2</v>
      </c>
      <c r="P260" s="103">
        <f t="shared" si="393"/>
        <v>9.8230613334249709E-3</v>
      </c>
      <c r="Q260" s="103">
        <f t="shared" si="393"/>
        <v>9.9498032221249037E-3</v>
      </c>
      <c r="R260" s="103">
        <f t="shared" si="393"/>
        <v>9.7272861028766359E-3</v>
      </c>
      <c r="S260" s="103">
        <f t="shared" si="393"/>
        <v>9.4944656367985849E-3</v>
      </c>
      <c r="T260" s="103">
        <f t="shared" si="393"/>
        <v>9.3305239882514948E-3</v>
      </c>
      <c r="U260" s="103">
        <f t="shared" si="393"/>
        <v>9.8442629994445977E-3</v>
      </c>
      <c r="V260" s="103">
        <f t="shared" si="393"/>
        <v>1.2244096669179121E-2</v>
      </c>
      <c r="W260" s="103">
        <f t="shared" ref="W260:Y260" si="394">IF(W42=0,0,W42/W$31)</f>
        <v>1.1993717978769147E-2</v>
      </c>
      <c r="X260" s="103">
        <f t="shared" si="394"/>
        <v>1.141963505564398E-2</v>
      </c>
      <c r="Y260" s="103">
        <f t="shared" si="394"/>
        <v>1.0283196244546702E-2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5.0720703395724454E-6</v>
      </c>
      <c r="C261" s="103">
        <f t="shared" si="395"/>
        <v>5.5034791984560799E-6</v>
      </c>
      <c r="D261" s="103">
        <f t="shared" si="395"/>
        <v>5.175932503299896E-6</v>
      </c>
      <c r="E261" s="103">
        <f t="shared" si="395"/>
        <v>6.0213205195177614E-6</v>
      </c>
      <c r="F261" s="103">
        <f t="shared" si="395"/>
        <v>9.4204087715608809E-6</v>
      </c>
      <c r="G261" s="103">
        <f t="shared" si="395"/>
        <v>1.4518222746074356E-5</v>
      </c>
      <c r="H261" s="103">
        <f t="shared" si="395"/>
        <v>1.6408310929206725E-5</v>
      </c>
      <c r="I261" s="103">
        <f t="shared" si="395"/>
        <v>1.9764542734380559E-5</v>
      </c>
      <c r="J261" s="103">
        <f t="shared" si="395"/>
        <v>2.3529771588007951E-5</v>
      </c>
      <c r="K261" s="103">
        <f t="shared" si="395"/>
        <v>3.0724330435575962E-5</v>
      </c>
      <c r="L261" s="103">
        <f t="shared" ref="L261" si="396">IF(L43=0,0,L43/L$31)</f>
        <v>3.2386999424733197E-5</v>
      </c>
      <c r="M261" s="103">
        <f t="shared" ref="M261:V261" si="397">IF(M43=0,0,M43/M$31)</f>
        <v>3.1829208142833952E-5</v>
      </c>
      <c r="N261" s="103">
        <f t="shared" si="397"/>
        <v>3.1131404195327887E-5</v>
      </c>
      <c r="O261" s="103">
        <f t="shared" si="397"/>
        <v>2.9933546285090893E-5</v>
      </c>
      <c r="P261" s="103">
        <f t="shared" si="397"/>
        <v>2.685989646604392E-5</v>
      </c>
      <c r="Q261" s="103">
        <f t="shared" si="397"/>
        <v>2.6872424473525742E-5</v>
      </c>
      <c r="R261" s="103">
        <f t="shared" si="397"/>
        <v>2.4569774957282493E-5</v>
      </c>
      <c r="S261" s="103">
        <f t="shared" si="397"/>
        <v>2.2627028703402128E-5</v>
      </c>
      <c r="T261" s="103">
        <f t="shared" si="397"/>
        <v>2.2054236851915802E-5</v>
      </c>
      <c r="U261" s="103">
        <f t="shared" si="397"/>
        <v>2.1616293680852872E-5</v>
      </c>
      <c r="V261" s="103">
        <f t="shared" si="397"/>
        <v>2.6992844392856077E-5</v>
      </c>
      <c r="W261" s="103">
        <f t="shared" ref="W261:Y261" si="398">IF(W43=0,0,W43/W$31)</f>
        <v>2.4285728049577604E-5</v>
      </c>
      <c r="X261" s="103">
        <f t="shared" si="398"/>
        <v>1.9486821697621199E-5</v>
      </c>
      <c r="Y261" s="103">
        <f t="shared" si="398"/>
        <v>1.4634057279570439E-5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9.7108144492877413E-5</v>
      </c>
      <c r="C262" s="103">
        <f t="shared" si="399"/>
        <v>8.8243182413358034E-5</v>
      </c>
      <c r="D262" s="103">
        <f t="shared" si="399"/>
        <v>7.4413611519303559E-5</v>
      </c>
      <c r="E262" s="103">
        <f t="shared" si="399"/>
        <v>1.1792017100759456E-4</v>
      </c>
      <c r="F262" s="103">
        <f t="shared" si="399"/>
        <v>1.1815281115266926E-4</v>
      </c>
      <c r="G262" s="103">
        <f t="shared" si="399"/>
        <v>1.9513930080567235E-4</v>
      </c>
      <c r="H262" s="103">
        <f t="shared" si="399"/>
        <v>3.0568356278302229E-4</v>
      </c>
      <c r="I262" s="103">
        <f t="shared" si="399"/>
        <v>3.5706292429525709E-4</v>
      </c>
      <c r="J262" s="103">
        <f t="shared" si="399"/>
        <v>3.7985721702514042E-4</v>
      </c>
      <c r="K262" s="103">
        <f t="shared" si="399"/>
        <v>4.155776587445733E-4</v>
      </c>
      <c r="L262" s="103">
        <f t="shared" ref="L262" si="400">IF(L44=0,0,L44/L$31)</f>
        <v>4.5389511091465805E-4</v>
      </c>
      <c r="M262" s="103">
        <f t="shared" ref="M262:V262" si="401">IF(M44=0,0,M44/M$31)</f>
        <v>5.3998282367844397E-4</v>
      </c>
      <c r="N262" s="103">
        <f t="shared" si="401"/>
        <v>5.7884819218102009E-4</v>
      </c>
      <c r="O262" s="103">
        <f t="shared" si="401"/>
        <v>5.9415134770910501E-4</v>
      </c>
      <c r="P262" s="103">
        <f t="shared" si="401"/>
        <v>5.3820376313744821E-4</v>
      </c>
      <c r="Q262" s="103">
        <f t="shared" si="401"/>
        <v>4.6872447405715275E-4</v>
      </c>
      <c r="R262" s="103">
        <f t="shared" si="401"/>
        <v>4.1778110233969606E-4</v>
      </c>
      <c r="S262" s="103">
        <f t="shared" si="401"/>
        <v>4.7592141118110053E-4</v>
      </c>
      <c r="T262" s="103">
        <f t="shared" si="401"/>
        <v>1.0701268346651064E-3</v>
      </c>
      <c r="U262" s="103">
        <f t="shared" si="401"/>
        <v>5.7943890542208392E-4</v>
      </c>
      <c r="V262" s="103">
        <f t="shared" si="401"/>
        <v>7.3626028646976737E-4</v>
      </c>
      <c r="W262" s="103">
        <f t="shared" ref="W262:Y262" si="402">IF(W44=0,0,W44/W$31)</f>
        <v>8.2080914946843517E-4</v>
      </c>
      <c r="X262" s="103">
        <f t="shared" si="402"/>
        <v>7.7497210159628257E-4</v>
      </c>
      <c r="Y262" s="103">
        <f t="shared" si="402"/>
        <v>7.8155238211331476E-4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0</v>
      </c>
      <c r="C263" s="103">
        <f t="shared" si="403"/>
        <v>0</v>
      </c>
      <c r="D263" s="103">
        <f t="shared" si="403"/>
        <v>0</v>
      </c>
      <c r="E263" s="103">
        <f t="shared" si="403"/>
        <v>0</v>
      </c>
      <c r="F263" s="103">
        <f t="shared" si="403"/>
        <v>0</v>
      </c>
      <c r="G263" s="103">
        <f t="shared" si="403"/>
        <v>0</v>
      </c>
      <c r="H263" s="103">
        <f t="shared" si="403"/>
        <v>0</v>
      </c>
      <c r="I263" s="103">
        <f t="shared" si="403"/>
        <v>0</v>
      </c>
      <c r="J263" s="103">
        <f t="shared" si="403"/>
        <v>0</v>
      </c>
      <c r="K263" s="103">
        <f t="shared" si="403"/>
        <v>0</v>
      </c>
      <c r="L263" s="103">
        <f t="shared" ref="L263" si="404">IF(L45=0,0,L45/L$31)</f>
        <v>0</v>
      </c>
      <c r="M263" s="103">
        <f t="shared" ref="M263:V263" si="405">IF(M45=0,0,M45/M$31)</f>
        <v>0</v>
      </c>
      <c r="N263" s="103">
        <f t="shared" si="405"/>
        <v>0</v>
      </c>
      <c r="O263" s="103">
        <f t="shared" si="405"/>
        <v>5.9145459052640176E-5</v>
      </c>
      <c r="P263" s="103">
        <f t="shared" si="405"/>
        <v>5.5101341480623068E-5</v>
      </c>
      <c r="Q263" s="103">
        <f t="shared" si="405"/>
        <v>5.493473076731519E-5</v>
      </c>
      <c r="R263" s="103">
        <f t="shared" si="405"/>
        <v>5.3912102727855839E-5</v>
      </c>
      <c r="S263" s="103">
        <f t="shared" si="405"/>
        <v>5.4782640815094007E-5</v>
      </c>
      <c r="T263" s="103">
        <f t="shared" si="405"/>
        <v>5.3624829482242109E-5</v>
      </c>
      <c r="U263" s="103">
        <f t="shared" si="405"/>
        <v>5.8672468234637027E-5</v>
      </c>
      <c r="V263" s="103">
        <f t="shared" si="405"/>
        <v>8.0029178250075401E-5</v>
      </c>
      <c r="W263" s="103">
        <f t="shared" ref="W263:Y263" si="406">IF(W45=0,0,W45/W$31)</f>
        <v>1.0040187337326103E-4</v>
      </c>
      <c r="X263" s="103">
        <f t="shared" si="406"/>
        <v>1.075871473771488E-4</v>
      </c>
      <c r="Y263" s="103">
        <f t="shared" si="406"/>
        <v>1.5101868272305121E-4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0.8362820233913657</v>
      </c>
      <c r="C265" s="154">
        <f t="shared" si="411"/>
        <v>0.8316946711143991</v>
      </c>
      <c r="D265" s="154">
        <f t="shared" si="411"/>
        <v>0.83711590620063348</v>
      </c>
      <c r="E265" s="154">
        <f t="shared" si="411"/>
        <v>0.85216850939829292</v>
      </c>
      <c r="F265" s="154">
        <f t="shared" si="411"/>
        <v>0.84046718375961904</v>
      </c>
      <c r="G265" s="154">
        <f t="shared" si="411"/>
        <v>0.85002711615261795</v>
      </c>
      <c r="H265" s="154">
        <f t="shared" si="411"/>
        <v>0.85119772341504607</v>
      </c>
      <c r="I265" s="154">
        <f t="shared" si="411"/>
        <v>0.85893004226576719</v>
      </c>
      <c r="J265" s="154">
        <f t="shared" si="411"/>
        <v>0.86018063766052211</v>
      </c>
      <c r="K265" s="154">
        <f t="shared" si="411"/>
        <v>0.86326089809189499</v>
      </c>
      <c r="L265" s="154">
        <f t="shared" ref="L265" si="412">IF(L47=0,0,L47/L$46)</f>
        <v>0.86937713046704579</v>
      </c>
      <c r="M265" s="154">
        <f t="shared" ref="M265:V265" si="413">IF(M47=0,0,M47/M$46)</f>
        <v>0.89034978994585667</v>
      </c>
      <c r="N265" s="154">
        <f t="shared" si="413"/>
        <v>0.8888464050080106</v>
      </c>
      <c r="O265" s="154">
        <f t="shared" si="413"/>
        <v>0.87337807286797731</v>
      </c>
      <c r="P265" s="154">
        <f t="shared" si="413"/>
        <v>0.88257569019606419</v>
      </c>
      <c r="Q265" s="154">
        <f t="shared" si="413"/>
        <v>0.86053728136655228</v>
      </c>
      <c r="R265" s="154">
        <f t="shared" si="413"/>
        <v>0.85274601925788174</v>
      </c>
      <c r="S265" s="154">
        <f t="shared" si="413"/>
        <v>0.84861421749799049</v>
      </c>
      <c r="T265" s="154">
        <f t="shared" si="413"/>
        <v>0.8526809726676865</v>
      </c>
      <c r="U265" s="154">
        <f t="shared" si="413"/>
        <v>0.84901141300425131</v>
      </c>
      <c r="V265" s="154">
        <f t="shared" si="413"/>
        <v>0.84991030084763597</v>
      </c>
      <c r="W265" s="154">
        <f t="shared" ref="W265:Y265" si="414">IF(W47=0,0,W47/W$46)</f>
        <v>0.86212490976928702</v>
      </c>
      <c r="X265" s="154">
        <f t="shared" si="414"/>
        <v>0.8417605085988642</v>
      </c>
      <c r="Y265" s="154">
        <f t="shared" si="414"/>
        <v>0.83100733550760919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3.7792577959473043E-2</v>
      </c>
      <c r="C266" s="103">
        <f t="shared" si="415"/>
        <v>4.1323677622166426E-2</v>
      </c>
      <c r="D266" s="103">
        <f t="shared" si="415"/>
        <v>4.2011650696224458E-2</v>
      </c>
      <c r="E266" s="103">
        <f t="shared" si="415"/>
        <v>4.04461950701051E-2</v>
      </c>
      <c r="F266" s="103">
        <f t="shared" si="415"/>
        <v>3.679972904339144E-2</v>
      </c>
      <c r="G266" s="103">
        <f t="shared" si="415"/>
        <v>3.4457626227480137E-2</v>
      </c>
      <c r="H266" s="103">
        <f t="shared" si="415"/>
        <v>3.894551372045995E-2</v>
      </c>
      <c r="I266" s="103">
        <f t="shared" si="415"/>
        <v>3.1893890693376614E-2</v>
      </c>
      <c r="J266" s="103">
        <f t="shared" si="415"/>
        <v>3.0982651364156594E-2</v>
      </c>
      <c r="K266" s="103">
        <f t="shared" si="415"/>
        <v>2.9733811033387327E-2</v>
      </c>
      <c r="L266" s="103">
        <f t="shared" ref="L266" si="416">IF(L48=0,0,L48/L$46)</f>
        <v>2.6586976367088393E-2</v>
      </c>
      <c r="M266" s="103">
        <f t="shared" ref="M266:V266" si="417">IF(M48=0,0,M48/M$46)</f>
        <v>2.6674614247805713E-2</v>
      </c>
      <c r="N266" s="103">
        <f t="shared" si="417"/>
        <v>2.737877188512006E-2</v>
      </c>
      <c r="O266" s="103">
        <f t="shared" si="417"/>
        <v>2.9192417532733123E-2</v>
      </c>
      <c r="P266" s="103">
        <f t="shared" si="417"/>
        <v>2.7654777415089624E-2</v>
      </c>
      <c r="Q266" s="103">
        <f t="shared" si="417"/>
        <v>3.1140694522189739E-2</v>
      </c>
      <c r="R266" s="103">
        <f t="shared" si="417"/>
        <v>3.1771734659344256E-2</v>
      </c>
      <c r="S266" s="103">
        <f t="shared" si="417"/>
        <v>2.9583843429674083E-2</v>
      </c>
      <c r="T266" s="103">
        <f t="shared" si="417"/>
        <v>2.8040188976047823E-2</v>
      </c>
      <c r="U266" s="103">
        <f t="shared" si="417"/>
        <v>2.766341086888148E-2</v>
      </c>
      <c r="V266" s="103">
        <f t="shared" si="417"/>
        <v>2.8896831901992659E-2</v>
      </c>
      <c r="W266" s="103">
        <f t="shared" ref="W266:Y266" si="418">IF(W48=0,0,W48/W$46)</f>
        <v>2.5207034355154978E-2</v>
      </c>
      <c r="X266" s="103">
        <f t="shared" si="418"/>
        <v>3.0254860177864194E-2</v>
      </c>
      <c r="Y266" s="103">
        <f t="shared" si="418"/>
        <v>3.4774182017370404E-2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0.79595855674783345</v>
      </c>
      <c r="C267" s="103">
        <f t="shared" si="419"/>
        <v>0.78725676438008496</v>
      </c>
      <c r="D267" s="103">
        <f t="shared" si="419"/>
        <v>0.79153989175662665</v>
      </c>
      <c r="E267" s="103">
        <f t="shared" si="419"/>
        <v>0.80785779178215322</v>
      </c>
      <c r="F267" s="103">
        <f t="shared" si="419"/>
        <v>0.79970606351107654</v>
      </c>
      <c r="G267" s="103">
        <f t="shared" si="419"/>
        <v>0.81138916448356224</v>
      </c>
      <c r="H267" s="103">
        <f t="shared" si="419"/>
        <v>0.80704704958447615</v>
      </c>
      <c r="I267" s="103">
        <f t="shared" si="419"/>
        <v>0.82219728727749763</v>
      </c>
      <c r="J267" s="103">
        <f t="shared" si="419"/>
        <v>0.82278407632133732</v>
      </c>
      <c r="K267" s="103">
        <f t="shared" si="419"/>
        <v>0.82448968609852535</v>
      </c>
      <c r="L267" s="103">
        <f t="shared" ref="L267" si="420">IF(L49=0,0,L49/L$46)</f>
        <v>0.83025730607590253</v>
      </c>
      <c r="M267" s="103">
        <f t="shared" ref="M267:V267" si="421">IF(M49=0,0,M49/M$46)</f>
        <v>0.85094755044051806</v>
      </c>
      <c r="N267" s="103">
        <f t="shared" si="421"/>
        <v>0.84333100072956912</v>
      </c>
      <c r="O267" s="103">
        <f t="shared" si="421"/>
        <v>0.82382481683383624</v>
      </c>
      <c r="P267" s="103">
        <f t="shared" si="421"/>
        <v>0.83399043575523624</v>
      </c>
      <c r="Q267" s="103">
        <f t="shared" si="421"/>
        <v>0.80454376907073366</v>
      </c>
      <c r="R267" s="103">
        <f t="shared" si="421"/>
        <v>0.79402359919709242</v>
      </c>
      <c r="S267" s="103">
        <f t="shared" si="421"/>
        <v>0.79279934563378562</v>
      </c>
      <c r="T267" s="103">
        <f t="shared" si="421"/>
        <v>0.79869626104099589</v>
      </c>
      <c r="U267" s="103">
        <f t="shared" si="421"/>
        <v>0.79466734516230086</v>
      </c>
      <c r="V267" s="103">
        <f t="shared" si="421"/>
        <v>0.79322748142466504</v>
      </c>
      <c r="W267" s="103">
        <f t="shared" ref="W267:Y267" si="422">IF(W49=0,0,W49/W$46)</f>
        <v>0.81167706899415049</v>
      </c>
      <c r="X267" s="103">
        <f t="shared" si="422"/>
        <v>0.78588577166139018</v>
      </c>
      <c r="Y267" s="103">
        <f t="shared" si="422"/>
        <v>0.76718890305095322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1.113091406390038E-3</v>
      </c>
      <c r="C268" s="103">
        <f t="shared" si="423"/>
        <v>1.3395554008892633E-3</v>
      </c>
      <c r="D268" s="103">
        <f t="shared" si="423"/>
        <v>1.4989829579376977E-3</v>
      </c>
      <c r="E268" s="103">
        <f t="shared" si="423"/>
        <v>1.5884486844970527E-3</v>
      </c>
      <c r="F268" s="103">
        <f t="shared" si="423"/>
        <v>1.5907858087802623E-3</v>
      </c>
      <c r="G268" s="103">
        <f t="shared" si="423"/>
        <v>1.6394009450010219E-3</v>
      </c>
      <c r="H268" s="103">
        <f t="shared" si="423"/>
        <v>1.9722961188734767E-3</v>
      </c>
      <c r="I268" s="103">
        <f t="shared" si="423"/>
        <v>1.7949556664070164E-3</v>
      </c>
      <c r="J268" s="103">
        <f t="shared" si="423"/>
        <v>2.1628941357807281E-3</v>
      </c>
      <c r="K268" s="103">
        <f t="shared" si="423"/>
        <v>2.8887891280269008E-3</v>
      </c>
      <c r="L268" s="103">
        <f t="shared" ref="L268" si="424">IF(L50=0,0,L50/L$46)</f>
        <v>3.4452574602321187E-3</v>
      </c>
      <c r="M268" s="103">
        <f t="shared" ref="M268:V268" si="425">IF(M50=0,0,M50/M$46)</f>
        <v>3.7682258481773574E-3</v>
      </c>
      <c r="N268" s="103">
        <f t="shared" si="425"/>
        <v>4.6794870143122246E-3</v>
      </c>
      <c r="O268" s="103">
        <f t="shared" si="425"/>
        <v>5.3275143578970525E-3</v>
      </c>
      <c r="P268" s="103">
        <f t="shared" si="425"/>
        <v>5.5527088523084625E-3</v>
      </c>
      <c r="Q268" s="103">
        <f t="shared" si="425"/>
        <v>6.5385757345656978E-3</v>
      </c>
      <c r="R268" s="103">
        <f t="shared" si="425"/>
        <v>6.7159414538213542E-3</v>
      </c>
      <c r="S268" s="103">
        <f t="shared" si="425"/>
        <v>6.6960025492864127E-3</v>
      </c>
      <c r="T268" s="103">
        <f t="shared" si="425"/>
        <v>6.4215124367737811E-3</v>
      </c>
      <c r="U268" s="103">
        <f t="shared" si="425"/>
        <v>6.7012717471834939E-3</v>
      </c>
      <c r="V268" s="103">
        <f t="shared" si="425"/>
        <v>6.9826175447579011E-3</v>
      </c>
      <c r="W268" s="103">
        <f t="shared" ref="W268:Y268" si="426">IF(W50=0,0,W50/W$46)</f>
        <v>6.8026070456328946E-3</v>
      </c>
      <c r="X268" s="103">
        <f t="shared" si="426"/>
        <v>6.0784306544684093E-3</v>
      </c>
      <c r="Y268" s="103">
        <f t="shared" si="426"/>
        <v>6.7112141459474651E-3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1.4177972776690706E-3</v>
      </c>
      <c r="C269" s="103">
        <f t="shared" si="427"/>
        <v>1.7746737112585363E-3</v>
      </c>
      <c r="D269" s="103">
        <f t="shared" si="427"/>
        <v>2.065380789844582E-3</v>
      </c>
      <c r="E269" s="103">
        <f t="shared" si="427"/>
        <v>2.276073861537557E-3</v>
      </c>
      <c r="F269" s="103">
        <f t="shared" si="427"/>
        <v>2.3706053963708945E-3</v>
      </c>
      <c r="G269" s="103">
        <f t="shared" si="427"/>
        <v>2.5409244965745579E-3</v>
      </c>
      <c r="H269" s="103">
        <f t="shared" si="427"/>
        <v>3.2328639912364864E-3</v>
      </c>
      <c r="I269" s="103">
        <f t="shared" si="427"/>
        <v>3.0439086284860684E-3</v>
      </c>
      <c r="J269" s="103">
        <f t="shared" si="427"/>
        <v>4.2510158392473161E-3</v>
      </c>
      <c r="K269" s="103">
        <f t="shared" si="427"/>
        <v>6.1486118319554837E-3</v>
      </c>
      <c r="L269" s="103">
        <f t="shared" ref="L269" si="428">IF(L51=0,0,L51/L$46)</f>
        <v>9.0875905638227988E-3</v>
      </c>
      <c r="M269" s="103">
        <f t="shared" ref="M269:V269" si="429">IF(M51=0,0,M51/M$46)</f>
        <v>8.9591895006982079E-3</v>
      </c>
      <c r="N269" s="103">
        <f t="shared" si="429"/>
        <v>1.341007876648022E-2</v>
      </c>
      <c r="O269" s="103">
        <f t="shared" si="429"/>
        <v>1.5008383831008942E-2</v>
      </c>
      <c r="P269" s="103">
        <f t="shared" si="429"/>
        <v>1.5336375604283406E-2</v>
      </c>
      <c r="Q269" s="103">
        <f t="shared" si="429"/>
        <v>1.8160367100619329E-2</v>
      </c>
      <c r="R269" s="103">
        <f t="shared" si="429"/>
        <v>1.9940995878845767E-2</v>
      </c>
      <c r="S269" s="103">
        <f t="shared" si="429"/>
        <v>1.9196806644491804E-2</v>
      </c>
      <c r="T269" s="103">
        <f t="shared" si="429"/>
        <v>1.9058741590748361E-2</v>
      </c>
      <c r="U269" s="103">
        <f t="shared" si="429"/>
        <v>1.9158547281621179E-2</v>
      </c>
      <c r="V269" s="103">
        <f t="shared" si="429"/>
        <v>1.9825386405548939E-2</v>
      </c>
      <c r="W269" s="103">
        <f t="shared" ref="W269:Y269" si="430">IF(W51=0,0,W51/W$46)</f>
        <v>1.7163618028497366E-2</v>
      </c>
      <c r="X269" s="103">
        <f t="shared" si="430"/>
        <v>1.7622665256236542E-2</v>
      </c>
      <c r="Y269" s="103">
        <f t="shared" si="430"/>
        <v>1.9209194827582151E-2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0</v>
      </c>
      <c r="C270" s="103">
        <f t="shared" si="431"/>
        <v>0</v>
      </c>
      <c r="D270" s="103">
        <f t="shared" si="431"/>
        <v>0</v>
      </c>
      <c r="E270" s="103">
        <f t="shared" si="431"/>
        <v>0</v>
      </c>
      <c r="F270" s="103">
        <f t="shared" si="431"/>
        <v>0</v>
      </c>
      <c r="G270" s="103">
        <f t="shared" si="431"/>
        <v>0</v>
      </c>
      <c r="H270" s="103">
        <f t="shared" si="431"/>
        <v>0</v>
      </c>
      <c r="I270" s="103">
        <f t="shared" si="431"/>
        <v>0</v>
      </c>
      <c r="J270" s="103">
        <f t="shared" si="431"/>
        <v>0</v>
      </c>
      <c r="K270" s="103">
        <f t="shared" si="431"/>
        <v>0</v>
      </c>
      <c r="L270" s="103">
        <f t="shared" ref="L270" si="432">IF(L52=0,0,L52/L$46)</f>
        <v>0</v>
      </c>
      <c r="M270" s="103">
        <f t="shared" ref="M270:V270" si="433">IF(M52=0,0,M52/M$46)</f>
        <v>2.0990865742610551E-7</v>
      </c>
      <c r="N270" s="103">
        <f t="shared" si="433"/>
        <v>4.7066612529146714E-5</v>
      </c>
      <c r="O270" s="103">
        <f t="shared" si="433"/>
        <v>2.4940312501939065E-5</v>
      </c>
      <c r="P270" s="103">
        <f t="shared" si="433"/>
        <v>4.1392569146404538E-5</v>
      </c>
      <c r="Q270" s="103">
        <f t="shared" si="433"/>
        <v>1.5387493844395731E-4</v>
      </c>
      <c r="R270" s="103">
        <f t="shared" si="433"/>
        <v>2.9374806877795331E-4</v>
      </c>
      <c r="S270" s="103">
        <f t="shared" si="433"/>
        <v>3.3821924075248041E-4</v>
      </c>
      <c r="T270" s="103">
        <f t="shared" si="433"/>
        <v>4.6426862312065018E-4</v>
      </c>
      <c r="U270" s="103">
        <f t="shared" si="433"/>
        <v>8.2083794426438005E-4</v>
      </c>
      <c r="V270" s="103">
        <f t="shared" si="433"/>
        <v>9.7798357067136387E-4</v>
      </c>
      <c r="W270" s="103">
        <f t="shared" ref="W270:Y270" si="434">IF(W52=0,0,W52/W$46)</f>
        <v>1.2745813458513383E-3</v>
      </c>
      <c r="X270" s="103">
        <f t="shared" si="434"/>
        <v>1.9187808489049205E-3</v>
      </c>
      <c r="Y270" s="103">
        <f t="shared" si="434"/>
        <v>3.1238414657559234E-3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0.16371797660863432</v>
      </c>
      <c r="C271" s="156">
        <f t="shared" si="435"/>
        <v>0.16830532888560082</v>
      </c>
      <c r="D271" s="156">
        <f t="shared" si="435"/>
        <v>0.16288409379936658</v>
      </c>
      <c r="E271" s="156">
        <f t="shared" si="435"/>
        <v>0.14783149060170706</v>
      </c>
      <c r="F271" s="156">
        <f t="shared" si="435"/>
        <v>0.15953281624038101</v>
      </c>
      <c r="G271" s="156">
        <f t="shared" si="435"/>
        <v>0.14997288384738197</v>
      </c>
      <c r="H271" s="156">
        <f t="shared" si="435"/>
        <v>0.1488022765849539</v>
      </c>
      <c r="I271" s="156">
        <f t="shared" si="435"/>
        <v>0.14106995773423273</v>
      </c>
      <c r="J271" s="156">
        <f t="shared" si="435"/>
        <v>0.13981936233947778</v>
      </c>
      <c r="K271" s="156">
        <f t="shared" si="435"/>
        <v>0.13673910190810495</v>
      </c>
      <c r="L271" s="156">
        <f t="shared" ref="L271" si="436">IF(L53=0,0,L53/L$46)</f>
        <v>0.13062286953295416</v>
      </c>
      <c r="M271" s="156">
        <f t="shared" ref="M271:V271" si="437">IF(M53=0,0,M53/M$46)</f>
        <v>0.10965021005414335</v>
      </c>
      <c r="N271" s="156">
        <f t="shared" si="437"/>
        <v>0.11115359499198933</v>
      </c>
      <c r="O271" s="156">
        <f t="shared" si="437"/>
        <v>0.12662192713202272</v>
      </c>
      <c r="P271" s="156">
        <f t="shared" si="437"/>
        <v>0.11742430980393591</v>
      </c>
      <c r="Q271" s="156">
        <f t="shared" si="437"/>
        <v>0.13946271863344775</v>
      </c>
      <c r="R271" s="156">
        <f t="shared" si="437"/>
        <v>0.14725398074211829</v>
      </c>
      <c r="S271" s="156">
        <f t="shared" si="437"/>
        <v>0.1513857825020096</v>
      </c>
      <c r="T271" s="156">
        <f t="shared" si="437"/>
        <v>0.14731902733231347</v>
      </c>
      <c r="U271" s="156">
        <f t="shared" si="437"/>
        <v>0.1509885869957488</v>
      </c>
      <c r="V271" s="156">
        <f t="shared" si="437"/>
        <v>0.15008969915236403</v>
      </c>
      <c r="W271" s="156">
        <f t="shared" ref="W271:Y271" si="438">IF(W53=0,0,W53/W$46)</f>
        <v>0.13787509023071293</v>
      </c>
      <c r="X271" s="156">
        <f t="shared" si="438"/>
        <v>0.15823949140113586</v>
      </c>
      <c r="Y271" s="156">
        <f t="shared" si="438"/>
        <v>0.16899266449239084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0.14042649868760837</v>
      </c>
      <c r="C272" s="104">
        <f t="shared" si="439"/>
        <v>0.14208658449387196</v>
      </c>
      <c r="D272" s="104">
        <f t="shared" si="439"/>
        <v>0.1363464655733663</v>
      </c>
      <c r="E272" s="104">
        <f t="shared" si="439"/>
        <v>0.12267918265550076</v>
      </c>
      <c r="F272" s="104">
        <f t="shared" si="439"/>
        <v>0.13242429038241829</v>
      </c>
      <c r="G272" s="104">
        <f t="shared" si="439"/>
        <v>0.12440084477282747</v>
      </c>
      <c r="H272" s="104">
        <f t="shared" si="439"/>
        <v>0.11818170717427685</v>
      </c>
      <c r="I272" s="104">
        <f t="shared" si="439"/>
        <v>0.11280052689908088</v>
      </c>
      <c r="J272" s="104">
        <f t="shared" si="439"/>
        <v>0.10988876383679962</v>
      </c>
      <c r="K272" s="104">
        <f t="shared" si="439"/>
        <v>0.11025782425923353</v>
      </c>
      <c r="L272" s="104">
        <f t="shared" ref="L272" si="440">IF(L54=0,0,L54/L$46)</f>
        <v>0.10419052720019223</v>
      </c>
      <c r="M272" s="104">
        <f t="shared" ref="M272:V272" si="441">IF(M54=0,0,M54/M$46)</f>
        <v>8.7130178651081011E-2</v>
      </c>
      <c r="N272" s="104">
        <f t="shared" si="441"/>
        <v>8.7353496609388306E-2</v>
      </c>
      <c r="O272" s="104">
        <f t="shared" si="441"/>
        <v>9.8281344167023471E-2</v>
      </c>
      <c r="P272" s="104">
        <f t="shared" si="441"/>
        <v>8.9193147339206524E-2</v>
      </c>
      <c r="Q272" s="104">
        <f t="shared" si="441"/>
        <v>0.10622088063261807</v>
      </c>
      <c r="R272" s="104">
        <f t="shared" si="441"/>
        <v>0.1101582187098027</v>
      </c>
      <c r="S272" s="104">
        <f t="shared" si="441"/>
        <v>0.11098684034710771</v>
      </c>
      <c r="T272" s="104">
        <f t="shared" si="441"/>
        <v>0.10958312384291792</v>
      </c>
      <c r="U272" s="104">
        <f t="shared" si="441"/>
        <v>0.11264682710670504</v>
      </c>
      <c r="V272" s="104">
        <f t="shared" si="441"/>
        <v>0.11129860754011409</v>
      </c>
      <c r="W272" s="104">
        <f t="shared" ref="W272:Y272" si="442">IF(W54=0,0,W54/W$46)</f>
        <v>0.10128046159017644</v>
      </c>
      <c r="X272" s="104">
        <f t="shared" si="442"/>
        <v>0.1168572257659808</v>
      </c>
      <c r="Y272" s="104">
        <f t="shared" si="442"/>
        <v>0.12698323540077372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2.3291477921025962E-2</v>
      </c>
      <c r="C273" s="105">
        <f t="shared" si="443"/>
        <v>2.621874439172886E-2</v>
      </c>
      <c r="D273" s="105">
        <f t="shared" si="443"/>
        <v>2.6537628226000289E-2</v>
      </c>
      <c r="E273" s="105">
        <f t="shared" si="443"/>
        <v>2.5152307946206296E-2</v>
      </c>
      <c r="F273" s="105">
        <f t="shared" si="443"/>
        <v>2.7108525857962709E-2</v>
      </c>
      <c r="G273" s="105">
        <f t="shared" si="443"/>
        <v>2.5572039074554524E-2</v>
      </c>
      <c r="H273" s="105">
        <f t="shared" si="443"/>
        <v>3.0620569410677052E-2</v>
      </c>
      <c r="I273" s="105">
        <f t="shared" si="443"/>
        <v>2.8269430835151866E-2</v>
      </c>
      <c r="J273" s="105">
        <f t="shared" si="443"/>
        <v>2.9930598502678183E-2</v>
      </c>
      <c r="K273" s="105">
        <f t="shared" si="443"/>
        <v>2.6481277648871412E-2</v>
      </c>
      <c r="L273" s="105">
        <f t="shared" ref="L273" si="444">IF(L55=0,0,L55/L$46)</f>
        <v>2.6432342332761927E-2</v>
      </c>
      <c r="M273" s="105">
        <f t="shared" ref="M273:V273" si="445">IF(M55=0,0,M55/M$46)</f>
        <v>2.2520031403062333E-2</v>
      </c>
      <c r="N273" s="105">
        <f t="shared" si="445"/>
        <v>2.3800098382601029E-2</v>
      </c>
      <c r="O273" s="105">
        <f t="shared" si="445"/>
        <v>2.8340582964999261E-2</v>
      </c>
      <c r="P273" s="105">
        <f t="shared" si="445"/>
        <v>2.8231162464729381E-2</v>
      </c>
      <c r="Q273" s="105">
        <f t="shared" si="445"/>
        <v>3.3241838000829665E-2</v>
      </c>
      <c r="R273" s="105">
        <f t="shared" si="445"/>
        <v>3.7095762032315599E-2</v>
      </c>
      <c r="S273" s="105">
        <f t="shared" si="445"/>
        <v>4.0398942154901911E-2</v>
      </c>
      <c r="T273" s="105">
        <f t="shared" si="445"/>
        <v>3.7735903489395546E-2</v>
      </c>
      <c r="U273" s="105">
        <f t="shared" si="445"/>
        <v>3.8341759889043751E-2</v>
      </c>
      <c r="V273" s="105">
        <f t="shared" si="445"/>
        <v>3.8791091612249959E-2</v>
      </c>
      <c r="W273" s="105">
        <f t="shared" ref="W273:Y273" si="446">IF(W55=0,0,W55/W$46)</f>
        <v>3.6594628640536503E-2</v>
      </c>
      <c r="X273" s="105">
        <f t="shared" si="446"/>
        <v>4.1382265635155062E-2</v>
      </c>
      <c r="Y273" s="105">
        <f t="shared" si="446"/>
        <v>4.2009429091617131E-2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36881.389079965607</v>
      </c>
      <c r="C4" s="145">
        <f t="shared" si="0"/>
        <v>37567.968357695616</v>
      </c>
      <c r="D4" s="145">
        <f t="shared" si="0"/>
        <v>38257.974978503858</v>
      </c>
      <c r="E4" s="145">
        <f t="shared" si="0"/>
        <v>38357.549871023213</v>
      </c>
      <c r="F4" s="145">
        <f t="shared" si="0"/>
        <v>39268.687188306103</v>
      </c>
      <c r="G4" s="145">
        <f t="shared" si="0"/>
        <v>38782.521238177127</v>
      </c>
      <c r="H4" s="145">
        <f t="shared" si="0"/>
        <v>39069.6260533104</v>
      </c>
      <c r="I4" s="145">
        <f t="shared" si="0"/>
        <v>39166.585468615638</v>
      </c>
      <c r="J4" s="145">
        <f t="shared" si="0"/>
        <v>37507.963026655198</v>
      </c>
      <c r="K4" s="145">
        <f t="shared" si="0"/>
        <v>36285.208254514182</v>
      </c>
      <c r="L4" s="145">
        <f t="shared" ref="L4" si="1">L5+L9+L10+L15</f>
        <v>35742.487875538383</v>
      </c>
      <c r="M4" s="145">
        <f t="shared" ref="M4:V4" si="2">M5+M9+M10+M15</f>
        <v>35674.600534458499</v>
      </c>
      <c r="N4" s="145">
        <f t="shared" si="2"/>
        <v>33578.067490208807</v>
      </c>
      <c r="O4" s="145">
        <f t="shared" si="2"/>
        <v>32858.184599970969</v>
      </c>
      <c r="P4" s="145">
        <f t="shared" si="2"/>
        <v>34277.847815096276</v>
      </c>
      <c r="Q4" s="145">
        <f t="shared" si="2"/>
        <v>33614.156239522184</v>
      </c>
      <c r="R4" s="145">
        <f t="shared" si="2"/>
        <v>32970.405991214611</v>
      </c>
      <c r="S4" s="145">
        <f t="shared" si="2"/>
        <v>31660.060574624222</v>
      </c>
      <c r="T4" s="145">
        <f t="shared" si="2"/>
        <v>32811.460017428137</v>
      </c>
      <c r="U4" s="145">
        <f t="shared" si="2"/>
        <v>33146.879312318539</v>
      </c>
      <c r="V4" s="145">
        <f t="shared" si="2"/>
        <v>26992.746761821749</v>
      </c>
      <c r="W4" s="145">
        <f t="shared" ref="W4:Y4" si="3">W5+W9+W10+W15</f>
        <v>32700.486305003797</v>
      </c>
      <c r="X4" s="145">
        <f t="shared" si="3"/>
        <v>34271.472142967665</v>
      </c>
      <c r="Y4" s="145">
        <f t="shared" si="3"/>
        <v>34598.174490324171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36554.604901117797</v>
      </c>
      <c r="C5" s="97">
        <f t="shared" si="4"/>
        <v>37200.234049871025</v>
      </c>
      <c r="D5" s="97">
        <f t="shared" si="4"/>
        <v>37895.915649183138</v>
      </c>
      <c r="E5" s="97">
        <f t="shared" si="4"/>
        <v>37993.125967325876</v>
      </c>
      <c r="F5" s="97">
        <f t="shared" si="4"/>
        <v>38660.351504729151</v>
      </c>
      <c r="G5" s="97">
        <f t="shared" si="4"/>
        <v>38226.239552880477</v>
      </c>
      <c r="H5" s="97">
        <f t="shared" si="4"/>
        <v>38474.849613069644</v>
      </c>
      <c r="I5" s="97">
        <f t="shared" si="4"/>
        <v>38542.906276870155</v>
      </c>
      <c r="J5" s="97">
        <f t="shared" si="4"/>
        <v>36229.506964746339</v>
      </c>
      <c r="K5" s="97">
        <f t="shared" si="4"/>
        <v>34539.610146173683</v>
      </c>
      <c r="L5" s="97">
        <f t="shared" ref="L5" si="5">SUM(L6:L8)</f>
        <v>33627.051676698196</v>
      </c>
      <c r="M5" s="97">
        <f t="shared" ref="M5:V5" si="6">SUM(M6:M8)</f>
        <v>33549.445829750635</v>
      </c>
      <c r="N5" s="97">
        <f t="shared" si="6"/>
        <v>31451.428288907991</v>
      </c>
      <c r="O5" s="97">
        <f t="shared" si="6"/>
        <v>30785.306190885636</v>
      </c>
      <c r="P5" s="97">
        <f t="shared" si="6"/>
        <v>32339.151590713671</v>
      </c>
      <c r="Q5" s="97">
        <f t="shared" si="6"/>
        <v>31535.052966466039</v>
      </c>
      <c r="R5" s="97">
        <f t="shared" si="6"/>
        <v>31023.841616509024</v>
      </c>
      <c r="S5" s="97">
        <f t="shared" si="6"/>
        <v>29738.047807394669</v>
      </c>
      <c r="T5" s="97">
        <f t="shared" si="6"/>
        <v>30689.629234737738</v>
      </c>
      <c r="U5" s="97">
        <f t="shared" si="6"/>
        <v>30892.507910576096</v>
      </c>
      <c r="V5" s="97">
        <f t="shared" si="6"/>
        <v>24929.411521926049</v>
      </c>
      <c r="W5" s="97">
        <f t="shared" ref="W5:Y5" si="7">SUM(W6:W8)</f>
        <v>30321.720550300943</v>
      </c>
      <c r="X5" s="97">
        <f t="shared" si="7"/>
        <v>32116.459415305246</v>
      </c>
      <c r="Y5" s="97">
        <f t="shared" si="7"/>
        <v>32329.769819432498</v>
      </c>
      <c r="DA5" s="175"/>
    </row>
    <row r="6" spans="1:105" ht="11.45" customHeight="1" x14ac:dyDescent="0.25">
      <c r="A6" s="128" t="s">
        <v>52</v>
      </c>
      <c r="B6" s="97">
        <v>1562.338779019776</v>
      </c>
      <c r="C6" s="97">
        <v>1527.1806534823729</v>
      </c>
      <c r="D6" s="97">
        <v>1442.5814273430781</v>
      </c>
      <c r="E6" s="97">
        <v>1328.317540842648</v>
      </c>
      <c r="F6" s="97">
        <v>1215.152364574376</v>
      </c>
      <c r="G6" s="97">
        <v>1130.553138435082</v>
      </c>
      <c r="H6" s="97">
        <v>1084.4081685296651</v>
      </c>
      <c r="I6" s="97">
        <v>1033.868357695615</v>
      </c>
      <c r="J6" s="97">
        <v>1101.9871883061051</v>
      </c>
      <c r="K6" s="97">
        <v>1204.1654342218401</v>
      </c>
      <c r="L6" s="97">
        <v>1333.811006018916</v>
      </c>
      <c r="M6" s="97">
        <v>1392.041616509028</v>
      </c>
      <c r="N6" s="97">
        <v>1483.2330180567501</v>
      </c>
      <c r="O6" s="97">
        <v>1688.688220120378</v>
      </c>
      <c r="P6" s="97">
        <v>1718.352880481513</v>
      </c>
      <c r="Q6" s="97">
        <v>1817.235081685297</v>
      </c>
      <c r="R6" s="97">
        <v>1755.7084264832331</v>
      </c>
      <c r="S6" s="97">
        <v>1831.9268271711089</v>
      </c>
      <c r="T6" s="97">
        <v>1773.2874462596731</v>
      </c>
      <c r="U6" s="97">
        <v>1816.155116079105</v>
      </c>
      <c r="V6" s="97">
        <v>1438.6932072227</v>
      </c>
      <c r="W6" s="97">
        <v>1545.823215821152</v>
      </c>
      <c r="X6" s="97">
        <v>1686.798538263113</v>
      </c>
      <c r="Y6" s="97">
        <v>1705.567411865864</v>
      </c>
      <c r="DA6" s="175" t="s">
        <v>630</v>
      </c>
    </row>
    <row r="7" spans="1:105" ht="11.45" customHeight="1" x14ac:dyDescent="0.25">
      <c r="A7" s="128" t="s">
        <v>53</v>
      </c>
      <c r="B7" s="97">
        <v>17555.65107480653</v>
      </c>
      <c r="C7" s="97">
        <v>17206.74496990542</v>
      </c>
      <c r="D7" s="97">
        <v>16818.954772141009</v>
      </c>
      <c r="E7" s="97">
        <v>16206.267325881339</v>
      </c>
      <c r="F7" s="97">
        <v>15229.960791057611</v>
      </c>
      <c r="G7" s="97">
        <v>14174.83516766982</v>
      </c>
      <c r="H7" s="97">
        <v>13301.51908856406</v>
      </c>
      <c r="I7" s="97">
        <v>12423.999226139291</v>
      </c>
      <c r="J7" s="97">
        <v>11445.59088564058</v>
      </c>
      <c r="K7" s="97">
        <v>10956.912209802231</v>
      </c>
      <c r="L7" s="97">
        <v>10275.91478933792</v>
      </c>
      <c r="M7" s="97">
        <v>9908.0920894239025</v>
      </c>
      <c r="N7" s="97">
        <v>8769.9435941530519</v>
      </c>
      <c r="O7" s="97">
        <v>8398.9681857265678</v>
      </c>
      <c r="P7" s="97">
        <v>8494.6020636285466</v>
      </c>
      <c r="Q7" s="97">
        <v>8191.9365434221827</v>
      </c>
      <c r="R7" s="97">
        <v>7649.6608770421317</v>
      </c>
      <c r="S7" s="97">
        <v>7432.6370593293204</v>
      </c>
      <c r="T7" s="97">
        <v>7639.9524505588988</v>
      </c>
      <c r="U7" s="97">
        <v>7711.6652622527936</v>
      </c>
      <c r="V7" s="97">
        <v>6078.9959587274288</v>
      </c>
      <c r="W7" s="97">
        <v>7364.8756663800514</v>
      </c>
      <c r="X7" s="97">
        <v>8243.1427343078249</v>
      </c>
      <c r="Y7" s="97">
        <v>8556.7399828030939</v>
      </c>
      <c r="DA7" s="175" t="s">
        <v>631</v>
      </c>
    </row>
    <row r="8" spans="1:105" ht="11.45" customHeight="1" x14ac:dyDescent="0.25">
      <c r="A8" s="128" t="s">
        <v>54</v>
      </c>
      <c r="B8" s="97">
        <v>17436.615047291489</v>
      </c>
      <c r="C8" s="97">
        <v>18466.308426483229</v>
      </c>
      <c r="D8" s="97">
        <v>19634.379449699049</v>
      </c>
      <c r="E8" s="97">
        <v>20458.541100601891</v>
      </c>
      <c r="F8" s="97">
        <v>22215.238349097166</v>
      </c>
      <c r="G8" s="97">
        <v>22920.851246775579</v>
      </c>
      <c r="H8" s="97">
        <v>24088.922355975919</v>
      </c>
      <c r="I8" s="97">
        <v>25085.038693035251</v>
      </c>
      <c r="J8" s="97">
        <v>23681.928890799649</v>
      </c>
      <c r="K8" s="97">
        <v>22378.53250214961</v>
      </c>
      <c r="L8" s="97">
        <v>22017.325881341359</v>
      </c>
      <c r="M8" s="97">
        <v>22249.312123817708</v>
      </c>
      <c r="N8" s="97">
        <v>21198.25167669819</v>
      </c>
      <c r="O8" s="97">
        <v>20697.649785038691</v>
      </c>
      <c r="P8" s="97">
        <v>22126.19664660361</v>
      </c>
      <c r="Q8" s="97">
        <v>21525.881341358559</v>
      </c>
      <c r="R8" s="97">
        <v>21618.47231298366</v>
      </c>
      <c r="S8" s="97">
        <v>20473.483920894239</v>
      </c>
      <c r="T8" s="97">
        <v>21276.389337919169</v>
      </c>
      <c r="U8" s="97">
        <v>21364.687532244199</v>
      </c>
      <c r="V8" s="97">
        <v>17411.722355975919</v>
      </c>
      <c r="W8" s="97">
        <v>21411.02166809974</v>
      </c>
      <c r="X8" s="97">
        <v>22186.518142734309</v>
      </c>
      <c r="Y8" s="97">
        <v>22067.46242476354</v>
      </c>
      <c r="DA8" s="175" t="s">
        <v>632</v>
      </c>
    </row>
    <row r="9" spans="1:105" ht="11.45" customHeight="1" x14ac:dyDescent="0.25">
      <c r="A9" s="92" t="s">
        <v>55</v>
      </c>
      <c r="B9" s="97">
        <v>326.78417884780742</v>
      </c>
      <c r="C9" s="97">
        <v>367.73430782459161</v>
      </c>
      <c r="D9" s="97">
        <v>362.05932932072233</v>
      </c>
      <c r="E9" s="97">
        <v>364.42390369733448</v>
      </c>
      <c r="F9" s="97">
        <v>355.58899398108338</v>
      </c>
      <c r="G9" s="97">
        <v>379.5356835769561</v>
      </c>
      <c r="H9" s="97">
        <v>435.70507308684432</v>
      </c>
      <c r="I9" s="97">
        <v>484.04987102321581</v>
      </c>
      <c r="J9" s="97">
        <v>549.57007738607047</v>
      </c>
      <c r="K9" s="97">
        <v>601.09630266552017</v>
      </c>
      <c r="L9" s="97">
        <v>695.29234737747197</v>
      </c>
      <c r="M9" s="97">
        <v>722.39896818572652</v>
      </c>
      <c r="N9" s="97">
        <v>756.79277730008596</v>
      </c>
      <c r="O9" s="97">
        <v>811.62940670679268</v>
      </c>
      <c r="P9" s="97">
        <v>862.40326741186584</v>
      </c>
      <c r="Q9" s="97">
        <v>900.90283748925185</v>
      </c>
      <c r="R9" s="97">
        <v>893.59415305245045</v>
      </c>
      <c r="S9" s="97">
        <v>846.97209147943374</v>
      </c>
      <c r="T9" s="97">
        <v>857.602907392014</v>
      </c>
      <c r="U9" s="97">
        <v>959.21576396803493</v>
      </c>
      <c r="V9" s="97">
        <v>771.27322963267443</v>
      </c>
      <c r="W9" s="97">
        <v>910.71299797847064</v>
      </c>
      <c r="X9" s="97">
        <v>701.94609823372446</v>
      </c>
      <c r="Y9" s="97">
        <v>684.15393656029175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252.74668959587271</v>
      </c>
      <c r="G10" s="97">
        <f t="shared" si="8"/>
        <v>176.74600171969041</v>
      </c>
      <c r="H10" s="97">
        <f t="shared" si="8"/>
        <v>159.07136715391229</v>
      </c>
      <c r="I10" s="97">
        <f t="shared" si="8"/>
        <v>139.62932072226999</v>
      </c>
      <c r="J10" s="97">
        <f t="shared" si="8"/>
        <v>728.88598452278586</v>
      </c>
      <c r="K10" s="97">
        <f t="shared" si="8"/>
        <v>1144.5018056749786</v>
      </c>
      <c r="L10" s="97">
        <f t="shared" si="8"/>
        <v>1419.4237317282893</v>
      </c>
      <c r="M10" s="97">
        <f t="shared" si="8"/>
        <v>1401.001805674978</v>
      </c>
      <c r="N10" s="97">
        <f t="shared" si="8"/>
        <v>1367.9561478933795</v>
      </c>
      <c r="O10" s="97">
        <f t="shared" si="8"/>
        <v>1252.353998280309</v>
      </c>
      <c r="P10" s="97">
        <f t="shared" si="8"/>
        <v>1065.1979363714531</v>
      </c>
      <c r="Q10" s="97">
        <f t="shared" si="8"/>
        <v>1166.6043852106618</v>
      </c>
      <c r="R10" s="97">
        <f t="shared" si="8"/>
        <v>1040.9030094582972</v>
      </c>
      <c r="S10" s="97">
        <f t="shared" si="8"/>
        <v>1061.8674614010476</v>
      </c>
      <c r="T10" s="97">
        <f t="shared" si="8"/>
        <v>1250.0516927799551</v>
      </c>
      <c r="U10" s="97">
        <f t="shared" si="8"/>
        <v>1276.7747777344587</v>
      </c>
      <c r="V10" s="97">
        <f t="shared" si="8"/>
        <v>1265.8427634885641</v>
      </c>
      <c r="W10" s="97">
        <f t="shared" si="8"/>
        <v>1417.5281026234211</v>
      </c>
      <c r="X10" s="97">
        <f t="shared" ref="X10:Y10" si="9">SUM(X11:X13)</f>
        <v>1390.1482267877718</v>
      </c>
      <c r="Y10" s="97">
        <f t="shared" si="9"/>
        <v>1504.4394426314543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2.3903697334479789E-2</v>
      </c>
      <c r="M11" s="97">
        <v>2.3903697334479789E-2</v>
      </c>
      <c r="N11" s="97">
        <v>2.3903697334479789E-2</v>
      </c>
      <c r="O11" s="97">
        <v>2.3903697334479789E-2</v>
      </c>
      <c r="P11" s="97">
        <v>2.3903697334479789E-2</v>
      </c>
      <c r="Q11" s="97">
        <v>2.3903697334479789E-2</v>
      </c>
      <c r="R11" s="97">
        <v>2.3903697334479789E-2</v>
      </c>
      <c r="S11" s="97">
        <v>0.12481307774596068</v>
      </c>
      <c r="T11" s="97">
        <v>0.3633866750538633</v>
      </c>
      <c r="U11" s="97">
        <v>0.67916294512051345</v>
      </c>
      <c r="V11" s="97">
        <v>1.1290919494407572</v>
      </c>
      <c r="W11" s="97">
        <v>2.0465033112970823</v>
      </c>
      <c r="X11" s="97">
        <v>2.377461525518767</v>
      </c>
      <c r="Y11" s="97">
        <v>3.1360032505422804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70.507308684436794</v>
      </c>
      <c r="K12" s="97">
        <v>92.863284608770414</v>
      </c>
      <c r="L12" s="97">
        <v>122.0844368013758</v>
      </c>
      <c r="M12" s="97">
        <v>114.26732588134141</v>
      </c>
      <c r="N12" s="97">
        <v>105.08237317282889</v>
      </c>
      <c r="O12" s="97">
        <v>74.318228718830611</v>
      </c>
      <c r="P12" s="97">
        <v>10.0006018916595</v>
      </c>
      <c r="Q12" s="97">
        <v>24.801547721410149</v>
      </c>
      <c r="R12" s="97">
        <v>32.543422184006879</v>
      </c>
      <c r="S12" s="97">
        <v>33.060791057609627</v>
      </c>
      <c r="T12" s="97">
        <v>32.611177987962172</v>
      </c>
      <c r="U12" s="97">
        <v>30.436027515047289</v>
      </c>
      <c r="V12" s="97">
        <v>19.636457437661221</v>
      </c>
      <c r="W12" s="97">
        <v>27.08993981083405</v>
      </c>
      <c r="X12" s="97">
        <v>34.990713671539119</v>
      </c>
      <c r="Y12" s="97">
        <v>85.104213241616492</v>
      </c>
      <c r="DA12" s="175" t="s">
        <v>635</v>
      </c>
    </row>
    <row r="13" spans="1:105" ht="11.45" customHeight="1" x14ac:dyDescent="0.25">
      <c r="A13" s="128" t="s">
        <v>177</v>
      </c>
      <c r="B13" s="97">
        <v>0</v>
      </c>
      <c r="C13" s="97">
        <v>0</v>
      </c>
      <c r="D13" s="97">
        <v>0</v>
      </c>
      <c r="E13" s="97">
        <v>0</v>
      </c>
      <c r="F13" s="97">
        <v>252.74668959587271</v>
      </c>
      <c r="G13" s="97">
        <v>176.74600171969041</v>
      </c>
      <c r="H13" s="97">
        <v>159.07136715391229</v>
      </c>
      <c r="I13" s="97">
        <v>139.62932072226999</v>
      </c>
      <c r="J13" s="97">
        <v>658.37867583834907</v>
      </c>
      <c r="K13" s="97">
        <v>1051.6385210662081</v>
      </c>
      <c r="L13" s="97">
        <v>1297.3153912295791</v>
      </c>
      <c r="M13" s="97">
        <v>1286.710576096302</v>
      </c>
      <c r="N13" s="97">
        <v>1262.8498710232161</v>
      </c>
      <c r="O13" s="97">
        <v>1178.0118658641441</v>
      </c>
      <c r="P13" s="97">
        <v>1055.173430782459</v>
      </c>
      <c r="Q13" s="97">
        <v>1141.7789337919171</v>
      </c>
      <c r="R13" s="97">
        <v>1008.3356835769559</v>
      </c>
      <c r="S13" s="97">
        <v>1028.6818572656921</v>
      </c>
      <c r="T13" s="97">
        <v>1217.0771281169391</v>
      </c>
      <c r="U13" s="97">
        <v>1245.659587274291</v>
      </c>
      <c r="V13" s="97">
        <v>1245.077214101462</v>
      </c>
      <c r="W13" s="97">
        <v>1388.39165950129</v>
      </c>
      <c r="X13" s="97">
        <v>1352.780051590714</v>
      </c>
      <c r="Y13" s="97">
        <v>1416.1992261392954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0</v>
      </c>
      <c r="L15" s="98">
        <v>0.72011973442286825</v>
      </c>
      <c r="M15" s="98">
        <v>1.7539308471608386</v>
      </c>
      <c r="N15" s="98">
        <v>1.8902761073503471</v>
      </c>
      <c r="O15" s="98">
        <v>8.8950040982313059</v>
      </c>
      <c r="P15" s="98">
        <v>11.095020599282046</v>
      </c>
      <c r="Q15" s="98">
        <v>11.596050356229451</v>
      </c>
      <c r="R15" s="98">
        <v>12.067212194835644</v>
      </c>
      <c r="S15" s="98">
        <v>13.173214349070442</v>
      </c>
      <c r="T15" s="98">
        <v>14.17618251843129</v>
      </c>
      <c r="U15" s="98">
        <v>18.380860039947848</v>
      </c>
      <c r="V15" s="98">
        <v>26.219246774461901</v>
      </c>
      <c r="W15" s="98">
        <v>50.52465410096147</v>
      </c>
      <c r="X15" s="98">
        <v>62.91840264092091</v>
      </c>
      <c r="Y15" s="98">
        <v>79.811291699923402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36881.389079965607</v>
      </c>
      <c r="C17" s="79">
        <f t="shared" si="10"/>
        <v>37567.968357695609</v>
      </c>
      <c r="D17" s="79">
        <f t="shared" si="10"/>
        <v>38257.974978503858</v>
      </c>
      <c r="E17" s="79">
        <f t="shared" si="10"/>
        <v>38357.549871023213</v>
      </c>
      <c r="F17" s="79">
        <f t="shared" si="10"/>
        <v>39268.68718830611</v>
      </c>
      <c r="G17" s="79">
        <f t="shared" si="10"/>
        <v>38782.521238177127</v>
      </c>
      <c r="H17" s="79">
        <f t="shared" si="10"/>
        <v>39069.6260533104</v>
      </c>
      <c r="I17" s="79">
        <f t="shared" si="10"/>
        <v>39166.585468615645</v>
      </c>
      <c r="J17" s="79">
        <f t="shared" si="10"/>
        <v>37507.96302665519</v>
      </c>
      <c r="K17" s="79">
        <f t="shared" si="10"/>
        <v>36285.208254514189</v>
      </c>
      <c r="L17" s="79">
        <f t="shared" ref="L17" si="11">L18+L42</f>
        <v>35742.487875538383</v>
      </c>
      <c r="M17" s="79">
        <f t="shared" ref="M17:V17" si="12">M18+M42</f>
        <v>35674.600534458506</v>
      </c>
      <c r="N17" s="79">
        <f t="shared" si="12"/>
        <v>33578.067490208807</v>
      </c>
      <c r="O17" s="79">
        <f t="shared" si="12"/>
        <v>32858.184599970969</v>
      </c>
      <c r="P17" s="79">
        <f t="shared" si="12"/>
        <v>34277.847815096269</v>
      </c>
      <c r="Q17" s="79">
        <f t="shared" si="12"/>
        <v>33614.156239522177</v>
      </c>
      <c r="R17" s="79">
        <f t="shared" si="12"/>
        <v>32970.405991214604</v>
      </c>
      <c r="S17" s="79">
        <f t="shared" si="12"/>
        <v>31660.060574624222</v>
      </c>
      <c r="T17" s="79">
        <f t="shared" si="12"/>
        <v>32811.460017428137</v>
      </c>
      <c r="U17" s="79">
        <f t="shared" si="12"/>
        <v>33146.879312318539</v>
      </c>
      <c r="V17" s="79">
        <f t="shared" si="12"/>
        <v>26992.746761821749</v>
      </c>
      <c r="W17" s="79">
        <f t="shared" ref="W17:Y17" si="13">W18+W42</f>
        <v>32700.486305003797</v>
      </c>
      <c r="X17" s="79">
        <f t="shared" si="13"/>
        <v>34271.472142967657</v>
      </c>
      <c r="Y17" s="79">
        <f t="shared" si="13"/>
        <v>34598.174490324163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27061.163093779094</v>
      </c>
      <c r="C18" s="32">
        <f t="shared" si="14"/>
        <v>27235.516356515323</v>
      </c>
      <c r="D18" s="32">
        <f t="shared" si="14"/>
        <v>27941.647502744563</v>
      </c>
      <c r="E18" s="32">
        <f t="shared" si="14"/>
        <v>27788.083952683617</v>
      </c>
      <c r="F18" s="32">
        <f t="shared" si="14"/>
        <v>28109.568332696177</v>
      </c>
      <c r="G18" s="32">
        <f t="shared" si="14"/>
        <v>26904.105247554657</v>
      </c>
      <c r="H18" s="32">
        <f t="shared" si="14"/>
        <v>27703.352940959408</v>
      </c>
      <c r="I18" s="32">
        <f t="shared" si="14"/>
        <v>27504.31964509554</v>
      </c>
      <c r="J18" s="32">
        <f t="shared" si="14"/>
        <v>27070.504810854301</v>
      </c>
      <c r="K18" s="32">
        <f t="shared" si="14"/>
        <v>26986.116188116517</v>
      </c>
      <c r="L18" s="32">
        <f t="shared" ref="L18" si="15">L19+L21+L33</f>
        <v>26160.443735552813</v>
      </c>
      <c r="M18" s="32">
        <f t="shared" ref="M18:V18" si="16">M19+M21+M33</f>
        <v>25736.569817772735</v>
      </c>
      <c r="N18" s="32">
        <f t="shared" si="16"/>
        <v>23960.093607323797</v>
      </c>
      <c r="O18" s="32">
        <f t="shared" si="16"/>
        <v>24670.754795925386</v>
      </c>
      <c r="P18" s="32">
        <f t="shared" si="16"/>
        <v>26052.121785692187</v>
      </c>
      <c r="Q18" s="32">
        <f t="shared" si="16"/>
        <v>26264.190690748706</v>
      </c>
      <c r="R18" s="32">
        <f t="shared" si="16"/>
        <v>26334.837670846049</v>
      </c>
      <c r="S18" s="32">
        <f t="shared" si="16"/>
        <v>25979.190738715042</v>
      </c>
      <c r="T18" s="32">
        <f t="shared" si="16"/>
        <v>25936.986420933012</v>
      </c>
      <c r="U18" s="32">
        <f t="shared" si="16"/>
        <v>26150.693455866895</v>
      </c>
      <c r="V18" s="32">
        <f t="shared" si="16"/>
        <v>20644.286230012192</v>
      </c>
      <c r="W18" s="32">
        <f t="shared" ref="W18:Y18" si="17">W19+W21+W33</f>
        <v>23844.088213936884</v>
      </c>
      <c r="X18" s="32">
        <f t="shared" si="17"/>
        <v>24581.96870161804</v>
      </c>
      <c r="Y18" s="32">
        <f t="shared" si="17"/>
        <v>25210.501641787247</v>
      </c>
      <c r="DA18" s="173" t="s">
        <v>391</v>
      </c>
    </row>
    <row r="19" spans="1:105" ht="11.45" customHeight="1" x14ac:dyDescent="0.25">
      <c r="A19" s="107" t="s">
        <v>174</v>
      </c>
      <c r="B19" s="129">
        <v>1434.542907035378</v>
      </c>
      <c r="C19" s="129">
        <v>1448.9574029485786</v>
      </c>
      <c r="D19" s="129">
        <v>1421.7183656079008</v>
      </c>
      <c r="E19" s="129">
        <v>1433.0375151289957</v>
      </c>
      <c r="F19" s="129">
        <v>1474.4307383011997</v>
      </c>
      <c r="G19" s="129">
        <v>1465.091900204686</v>
      </c>
      <c r="H19" s="129">
        <v>1374.3817295810074</v>
      </c>
      <c r="I19" s="129">
        <v>1203.5586066194176</v>
      </c>
      <c r="J19" s="129">
        <v>1249.4951289977198</v>
      </c>
      <c r="K19" s="129">
        <v>1142.7380213431818</v>
      </c>
      <c r="L19" s="129">
        <v>1152.8029841905777</v>
      </c>
      <c r="M19" s="129">
        <v>1174.541087230418</v>
      </c>
      <c r="N19" s="129">
        <v>1119.8840885967409</v>
      </c>
      <c r="O19" s="129">
        <v>1077.2592791893198</v>
      </c>
      <c r="P19" s="129">
        <v>1080.8849947556646</v>
      </c>
      <c r="Q19" s="129">
        <v>1066.5370362746182</v>
      </c>
      <c r="R19" s="129">
        <v>1081.9858189111787</v>
      </c>
      <c r="S19" s="129">
        <v>1011.5966097700746</v>
      </c>
      <c r="T19" s="129">
        <v>958.62998171132233</v>
      </c>
      <c r="U19" s="129">
        <v>1034.7855391380333</v>
      </c>
      <c r="V19" s="129">
        <v>901.28272044671576</v>
      </c>
      <c r="W19" s="129">
        <v>963.41719516449598</v>
      </c>
      <c r="X19" s="129">
        <v>970.26084994806831</v>
      </c>
      <c r="Y19" s="129">
        <v>1046.7918643851601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7.6500336549193557</v>
      </c>
      <c r="K20" s="97">
        <v>9.6036707861557868</v>
      </c>
      <c r="L20" s="97">
        <v>13.535229230836128</v>
      </c>
      <c r="M20" s="97">
        <v>13.391224921611499</v>
      </c>
      <c r="N20" s="97">
        <v>13.259688269249548</v>
      </c>
      <c r="O20" s="97">
        <v>9.4485182707605482</v>
      </c>
      <c r="P20" s="97">
        <v>1.2710177004558127</v>
      </c>
      <c r="Q20" s="97">
        <v>3.2192542719996542</v>
      </c>
      <c r="R20" s="97">
        <v>4.5835179501125625</v>
      </c>
      <c r="S20" s="97">
        <v>4.4797130583661859</v>
      </c>
      <c r="T20" s="97">
        <v>4.0745250833593554</v>
      </c>
      <c r="U20" s="97">
        <v>4.0679861916819027</v>
      </c>
      <c r="V20" s="97">
        <v>2.9019620419228702</v>
      </c>
      <c r="W20" s="97">
        <v>3.5307136450784502</v>
      </c>
      <c r="X20" s="97">
        <v>4.1011805137695658</v>
      </c>
      <c r="Y20" s="97">
        <v>10.308725316639931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23501.54009700369</v>
      </c>
      <c r="C21" s="130">
        <f t="shared" si="18"/>
        <v>23654.277857281075</v>
      </c>
      <c r="D21" s="130">
        <f t="shared" si="18"/>
        <v>24372.805795101762</v>
      </c>
      <c r="E21" s="130">
        <f t="shared" si="18"/>
        <v>24208.497007534257</v>
      </c>
      <c r="F21" s="130">
        <f t="shared" si="18"/>
        <v>24470.658365917643</v>
      </c>
      <c r="G21" s="130">
        <f t="shared" si="18"/>
        <v>23272.348345675109</v>
      </c>
      <c r="H21" s="130">
        <f t="shared" si="18"/>
        <v>24144.077261218044</v>
      </c>
      <c r="I21" s="130">
        <f t="shared" si="18"/>
        <v>24121.987049970485</v>
      </c>
      <c r="J21" s="130">
        <f t="shared" si="18"/>
        <v>23623.26719009798</v>
      </c>
      <c r="K21" s="130">
        <f t="shared" si="18"/>
        <v>23655.74555515754</v>
      </c>
      <c r="L21" s="130">
        <f t="shared" ref="L21" si="19">L22+L24+L26+L27+L29+L32</f>
        <v>22785.703495606529</v>
      </c>
      <c r="M21" s="130">
        <f t="shared" ref="M21:V21" si="20">M22+M24+M26+M27+M29+M32</f>
        <v>22275.223737448567</v>
      </c>
      <c r="N21" s="130">
        <f t="shared" si="20"/>
        <v>20636.899575339648</v>
      </c>
      <c r="O21" s="130">
        <f t="shared" si="20"/>
        <v>21382.008597491615</v>
      </c>
      <c r="P21" s="130">
        <f t="shared" si="20"/>
        <v>22747.437074379905</v>
      </c>
      <c r="Q21" s="130">
        <f t="shared" si="20"/>
        <v>22916.753913569883</v>
      </c>
      <c r="R21" s="130">
        <f t="shared" si="20"/>
        <v>22993.190268675236</v>
      </c>
      <c r="S21" s="130">
        <f t="shared" si="20"/>
        <v>22688.355501630682</v>
      </c>
      <c r="T21" s="130">
        <f t="shared" si="20"/>
        <v>22751.112204767829</v>
      </c>
      <c r="U21" s="130">
        <f t="shared" si="20"/>
        <v>22799.084713058284</v>
      </c>
      <c r="V21" s="130">
        <f t="shared" si="20"/>
        <v>17486.825122448507</v>
      </c>
      <c r="W21" s="130">
        <f t="shared" ref="W21:Y21" si="21">W22+W24+W26+W27+W29+W32</f>
        <v>20550.060414523159</v>
      </c>
      <c r="X21" s="130">
        <f t="shared" si="21"/>
        <v>21385.8981063795</v>
      </c>
      <c r="Y21" s="130">
        <f t="shared" si="21"/>
        <v>22004.008635323924</v>
      </c>
      <c r="DA21" s="176" t="s">
        <v>393</v>
      </c>
    </row>
    <row r="22" spans="1:105" ht="11.45" customHeight="1" x14ac:dyDescent="0.25">
      <c r="A22" s="111" t="s">
        <v>110</v>
      </c>
      <c r="B22" s="96">
        <v>15825.122348287321</v>
      </c>
      <c r="C22" s="96">
        <v>15460.985617744875</v>
      </c>
      <c r="D22" s="96">
        <v>15096.542035464796</v>
      </c>
      <c r="E22" s="96">
        <v>14471.688752936641</v>
      </c>
      <c r="F22" s="96">
        <v>13460.967725287341</v>
      </c>
      <c r="G22" s="96">
        <v>12415.618551819331</v>
      </c>
      <c r="H22" s="96">
        <v>11638.885523073273</v>
      </c>
      <c r="I22" s="96">
        <v>10971.939498684931</v>
      </c>
      <c r="J22" s="96">
        <v>10030.605950603178</v>
      </c>
      <c r="K22" s="96">
        <v>9686.6436846604665</v>
      </c>
      <c r="L22" s="96">
        <v>9032.4356470549919</v>
      </c>
      <c r="M22" s="96">
        <v>8633.3447010461859</v>
      </c>
      <c r="N22" s="96">
        <v>7564.4613815853354</v>
      </c>
      <c r="O22" s="96">
        <v>7211.3734215664999</v>
      </c>
      <c r="P22" s="96">
        <v>7241.0794675747538</v>
      </c>
      <c r="Q22" s="96">
        <v>6981.0706675373458</v>
      </c>
      <c r="R22" s="96">
        <v>6437.8186834269563</v>
      </c>
      <c r="S22" s="96">
        <v>6299.0327264407188</v>
      </c>
      <c r="T22" s="96">
        <v>6561.9837772437877</v>
      </c>
      <c r="U22" s="96">
        <v>6552.9087409772355</v>
      </c>
      <c r="V22" s="96">
        <v>5041.8368569564118</v>
      </c>
      <c r="W22" s="96">
        <v>6258.2803738346784</v>
      </c>
      <c r="X22" s="96">
        <v>7118.212147071742</v>
      </c>
      <c r="Y22" s="96">
        <v>7391.3280230856544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61.41238274606247</v>
      </c>
      <c r="K23" s="96">
        <v>81.407405050660003</v>
      </c>
      <c r="L23" s="96">
        <v>106.05115416274283</v>
      </c>
      <c r="M23" s="96">
        <v>98.430835646732888</v>
      </c>
      <c r="N23" s="96">
        <v>89.564983435277824</v>
      </c>
      <c r="O23" s="96">
        <v>63.250133786012682</v>
      </c>
      <c r="P23" s="96">
        <v>8.5148190772831818</v>
      </c>
      <c r="Q23" s="96">
        <v>21.071787294046086</v>
      </c>
      <c r="R23" s="96">
        <v>27.271944769804609</v>
      </c>
      <c r="S23" s="96">
        <v>27.894378932454188</v>
      </c>
      <c r="T23" s="96">
        <v>27.890810852010713</v>
      </c>
      <c r="U23" s="96">
        <v>25.761030924197282</v>
      </c>
      <c r="V23" s="96">
        <v>16.233773097528516</v>
      </c>
      <c r="W23" s="96">
        <v>22.935230989781132</v>
      </c>
      <c r="X23" s="96">
        <v>30.087860343959019</v>
      </c>
      <c r="Y23" s="96">
        <v>72.789226691140726</v>
      </c>
      <c r="DA23" s="171" t="s">
        <v>642</v>
      </c>
    </row>
    <row r="24" spans="1:105" ht="11.45" customHeight="1" x14ac:dyDescent="0.25">
      <c r="A24" s="111" t="s">
        <v>111</v>
      </c>
      <c r="B24" s="96">
        <v>5814.7509489659724</v>
      </c>
      <c r="C24" s="96">
        <v>6327.7298701420968</v>
      </c>
      <c r="D24" s="96">
        <v>7503.4622160847648</v>
      </c>
      <c r="E24" s="96">
        <v>8079.6832583840369</v>
      </c>
      <c r="F24" s="96">
        <v>9477.7396000339904</v>
      </c>
      <c r="G24" s="96">
        <v>9391.065735150305</v>
      </c>
      <c r="H24" s="96">
        <v>11034.367250635249</v>
      </c>
      <c r="I24" s="96">
        <v>11694.23298565298</v>
      </c>
      <c r="J24" s="96">
        <v>12039.248695649083</v>
      </c>
      <c r="K24" s="96">
        <v>12271.464596094571</v>
      </c>
      <c r="L24" s="96">
        <v>11870.341235968026</v>
      </c>
      <c r="M24" s="96">
        <v>11706.302104554607</v>
      </c>
      <c r="N24" s="96">
        <v>11054.826080596367</v>
      </c>
      <c r="O24" s="96">
        <v>11899.713240135652</v>
      </c>
      <c r="P24" s="96">
        <v>13131.664227104258</v>
      </c>
      <c r="Q24" s="96">
        <v>13425.36837208571</v>
      </c>
      <c r="R24" s="96">
        <v>14076.936777701272</v>
      </c>
      <c r="S24" s="96">
        <v>13886.927627415311</v>
      </c>
      <c r="T24" s="96">
        <v>13789.435105743507</v>
      </c>
      <c r="U24" s="96">
        <v>13671.584648525493</v>
      </c>
      <c r="V24" s="96">
        <v>10389.245414963581</v>
      </c>
      <c r="W24" s="96">
        <v>12077.258450117381</v>
      </c>
      <c r="X24" s="96">
        <v>11986.2254761975</v>
      </c>
      <c r="Y24" s="96">
        <v>12297.509777680232</v>
      </c>
      <c r="DA24" s="171" t="s">
        <v>643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106.61691756670521</v>
      </c>
      <c r="G25" s="96">
        <v>71.861731015451582</v>
      </c>
      <c r="H25" s="96">
        <v>72.387509840147914</v>
      </c>
      <c r="I25" s="96">
        <v>64.732578730634998</v>
      </c>
      <c r="J25" s="96">
        <v>325.64849859145988</v>
      </c>
      <c r="K25" s="96">
        <v>550.79174908139362</v>
      </c>
      <c r="L25" s="96">
        <v>660.51097267731336</v>
      </c>
      <c r="M25" s="96">
        <v>639.98165352567582</v>
      </c>
      <c r="N25" s="96">
        <v>621.5450146291447</v>
      </c>
      <c r="O25" s="96">
        <v>640.80363012388796</v>
      </c>
      <c r="P25" s="96">
        <v>597.72926052864739</v>
      </c>
      <c r="Q25" s="96">
        <v>676.24106765213958</v>
      </c>
      <c r="R25" s="96">
        <v>627.32125850763407</v>
      </c>
      <c r="S25" s="96">
        <v>664.36240194899585</v>
      </c>
      <c r="T25" s="96">
        <v>746.11914985154999</v>
      </c>
      <c r="U25" s="96">
        <v>753.20119592354456</v>
      </c>
      <c r="V25" s="96">
        <v>693.33503258649159</v>
      </c>
      <c r="W25" s="96">
        <v>735.45598129426878</v>
      </c>
      <c r="X25" s="96">
        <v>688.83645485987847</v>
      </c>
      <c r="Y25" s="96">
        <v>741.61023478728293</v>
      </c>
      <c r="DA25" s="171" t="s">
        <v>644</v>
      </c>
    </row>
    <row r="26" spans="1:105" ht="11.45" customHeight="1" x14ac:dyDescent="0.25">
      <c r="A26" s="111" t="s">
        <v>112</v>
      </c>
      <c r="B26" s="96">
        <v>1551.0170497113245</v>
      </c>
      <c r="C26" s="96">
        <v>1515.092922477314</v>
      </c>
      <c r="D26" s="96">
        <v>1429.6260580437684</v>
      </c>
      <c r="E26" s="96">
        <v>1314.2729192178651</v>
      </c>
      <c r="F26" s="96">
        <v>1199.8328580018431</v>
      </c>
      <c r="G26" s="96">
        <v>1113.4180304664039</v>
      </c>
      <c r="H26" s="96">
        <v>1066.6097351955696</v>
      </c>
      <c r="I26" s="96">
        <v>1016.0152025674458</v>
      </c>
      <c r="J26" s="96">
        <v>1081.1671086921156</v>
      </c>
      <c r="K26" s="96">
        <v>1177.4226267670808</v>
      </c>
      <c r="L26" s="96">
        <v>1301.4291826981607</v>
      </c>
      <c r="M26" s="96">
        <v>1357.1251031218683</v>
      </c>
      <c r="N26" s="96">
        <v>1447.3033114866912</v>
      </c>
      <c r="O26" s="96">
        <v>1652.3041105236546</v>
      </c>
      <c r="P26" s="96">
        <v>1680.411421955441</v>
      </c>
      <c r="Q26" s="96">
        <v>1780.1385124922926</v>
      </c>
      <c r="R26" s="96">
        <v>1720.4736498950663</v>
      </c>
      <c r="S26" s="96">
        <v>1796.6692700904493</v>
      </c>
      <c r="T26" s="96">
        <v>1738.8882749526874</v>
      </c>
      <c r="U26" s="96">
        <v>1779.7840475438265</v>
      </c>
      <c r="V26" s="96">
        <v>1401.7852098244036</v>
      </c>
      <c r="W26" s="96">
        <v>1503.3878106656593</v>
      </c>
      <c r="X26" s="96">
        <v>1651.4820303041131</v>
      </c>
      <c r="Y26" s="96">
        <v>1669.3166910029788</v>
      </c>
      <c r="DA26" s="171" t="s">
        <v>645</v>
      </c>
    </row>
    <row r="27" spans="1:105" ht="11.45" customHeight="1" x14ac:dyDescent="0.25">
      <c r="A27" s="111" t="s">
        <v>113</v>
      </c>
      <c r="B27" s="96">
        <v>310.64975003907165</v>
      </c>
      <c r="C27" s="96">
        <v>350.46944691679289</v>
      </c>
      <c r="D27" s="96">
        <v>343.17548550843509</v>
      </c>
      <c r="E27" s="96">
        <v>342.85207699571123</v>
      </c>
      <c r="F27" s="96">
        <v>332.11818259446835</v>
      </c>
      <c r="G27" s="96">
        <v>352.24602823907082</v>
      </c>
      <c r="H27" s="96">
        <v>404.214752313953</v>
      </c>
      <c r="I27" s="96">
        <v>439.79936306512485</v>
      </c>
      <c r="J27" s="96">
        <v>472.24543515360261</v>
      </c>
      <c r="K27" s="96">
        <v>520.21464763542201</v>
      </c>
      <c r="L27" s="96">
        <v>580.77731015092684</v>
      </c>
      <c r="M27" s="96">
        <v>576.69822070373903</v>
      </c>
      <c r="N27" s="96">
        <v>568.44828306229101</v>
      </c>
      <c r="O27" s="96">
        <v>611.36758640949358</v>
      </c>
      <c r="P27" s="96">
        <v>677.59562178231761</v>
      </c>
      <c r="Q27" s="96">
        <v>712.59759726191339</v>
      </c>
      <c r="R27" s="96">
        <v>740.74449538231477</v>
      </c>
      <c r="S27" s="96">
        <v>686.09575352138643</v>
      </c>
      <c r="T27" s="96">
        <v>638.07965938389384</v>
      </c>
      <c r="U27" s="96">
        <v>767.97484488130124</v>
      </c>
      <c r="V27" s="96">
        <v>620.29983929879052</v>
      </c>
      <c r="W27" s="96">
        <v>643.5047572240619</v>
      </c>
      <c r="X27" s="96">
        <v>541.12470485027427</v>
      </c>
      <c r="Y27" s="96">
        <v>539.33977483397871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1.996605863752127E-2</v>
      </c>
      <c r="M28" s="96">
        <v>1.908192591563827E-2</v>
      </c>
      <c r="N28" s="96">
        <v>1.7954170474569667E-2</v>
      </c>
      <c r="O28" s="96">
        <v>1.8005157569513982E-2</v>
      </c>
      <c r="P28" s="96">
        <v>1.8780763409183335E-2</v>
      </c>
      <c r="Q28" s="96">
        <v>1.8906883886909219E-2</v>
      </c>
      <c r="R28" s="96">
        <v>1.9814429762310279E-2</v>
      </c>
      <c r="S28" s="96">
        <v>0.10109082227163059</v>
      </c>
      <c r="T28" s="96">
        <v>0.27025495925238457</v>
      </c>
      <c r="U28" s="96">
        <v>0.54337203250501498</v>
      </c>
      <c r="V28" s="96">
        <v>0.90674967594229583</v>
      </c>
      <c r="W28" s="96">
        <v>1.4428057058114248</v>
      </c>
      <c r="X28" s="96">
        <v>1.8265797707079217</v>
      </c>
      <c r="Y28" s="96">
        <v>2.4609283346874284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4.4133123697048665E-2</v>
      </c>
      <c r="O29" s="96">
        <v>5.2874445084856241</v>
      </c>
      <c r="P29" s="96">
        <v>14.537666015168053</v>
      </c>
      <c r="Q29" s="96">
        <v>15.210090878122676</v>
      </c>
      <c r="R29" s="96">
        <v>14.647883059504684</v>
      </c>
      <c r="S29" s="96">
        <v>16.759084204327195</v>
      </c>
      <c r="T29" s="96">
        <v>18.991265238693011</v>
      </c>
      <c r="U29" s="96">
        <v>20.699273453056037</v>
      </c>
      <c r="V29" s="96">
        <v>22.702859991588387</v>
      </c>
      <c r="W29" s="96">
        <v>41.352830370763563</v>
      </c>
      <c r="X29" s="96">
        <v>60.237203415673932</v>
      </c>
      <c r="Y29" s="96">
        <v>77.332042053439665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4.0547168673743539E-4</v>
      </c>
      <c r="O30" s="96">
        <v>3.6462194838124982E-2</v>
      </c>
      <c r="P30" s="96">
        <v>1.341479445371593E-2</v>
      </c>
      <c r="Q30" s="96">
        <v>3.6012207858437818E-2</v>
      </c>
      <c r="R30" s="96">
        <v>4.7744819834890449E-2</v>
      </c>
      <c r="S30" s="96">
        <v>5.6862590050688215E-2</v>
      </c>
      <c r="T30" s="96">
        <v>6.2540590279514308E-2</v>
      </c>
      <c r="U30" s="96">
        <v>6.1551427816184404E-2</v>
      </c>
      <c r="V30" s="96">
        <v>4.9464650696749157E-2</v>
      </c>
      <c r="W30" s="96">
        <v>0.10004424016811014</v>
      </c>
      <c r="X30" s="96">
        <v>0.16049542001588527</v>
      </c>
      <c r="Y30" s="96">
        <v>0.43836294314841595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9.8878774187637596E-3</v>
      </c>
      <c r="O31" s="96">
        <v>1.1302595824075445</v>
      </c>
      <c r="P31" s="96">
        <v>3.1296029901188196</v>
      </c>
      <c r="Q31" s="96">
        <v>3.2792677141648112</v>
      </c>
      <c r="R31" s="96">
        <v>3.3772349350543358</v>
      </c>
      <c r="S31" s="96">
        <v>3.9185288900542687</v>
      </c>
      <c r="T31" s="96">
        <v>4.2770878341362186</v>
      </c>
      <c r="U31" s="96">
        <v>5.0422568319763723</v>
      </c>
      <c r="V31" s="96">
        <v>7.3402762286483405</v>
      </c>
      <c r="W31" s="96">
        <v>14.054003293842046</v>
      </c>
      <c r="X31" s="96">
        <v>22.267057474876491</v>
      </c>
      <c r="Y31" s="96">
        <v>32.818802206511258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0.72011973442286825</v>
      </c>
      <c r="M32" s="96">
        <v>1.753608022166838</v>
      </c>
      <c r="N32" s="96">
        <v>1.8163854852639232</v>
      </c>
      <c r="O32" s="96">
        <v>1.962794347826208</v>
      </c>
      <c r="P32" s="96">
        <v>2.1486699479666664</v>
      </c>
      <c r="Q32" s="96">
        <v>2.3686733145013497</v>
      </c>
      <c r="R32" s="96">
        <v>2.5687792101242213</v>
      </c>
      <c r="S32" s="96">
        <v>2.871039958489809</v>
      </c>
      <c r="T32" s="96">
        <v>3.7341222052596801</v>
      </c>
      <c r="U32" s="96">
        <v>6.1331576773707468</v>
      </c>
      <c r="V32" s="96">
        <v>10.954941413733463</v>
      </c>
      <c r="W32" s="96">
        <v>26.276192310615489</v>
      </c>
      <c r="X32" s="96">
        <v>28.616544540201822</v>
      </c>
      <c r="Y32" s="96">
        <v>29.182326667640897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2125.080089740025</v>
      </c>
      <c r="C33" s="130">
        <f t="shared" si="22"/>
        <v>2132.2810962856715</v>
      </c>
      <c r="D33" s="130">
        <f t="shared" si="22"/>
        <v>2147.1233420349008</v>
      </c>
      <c r="E33" s="130">
        <f t="shared" si="22"/>
        <v>2146.5494300203654</v>
      </c>
      <c r="F33" s="130">
        <f t="shared" si="22"/>
        <v>2164.4792284773357</v>
      </c>
      <c r="G33" s="130">
        <f t="shared" si="22"/>
        <v>2166.6650016748595</v>
      </c>
      <c r="H33" s="130">
        <f t="shared" si="22"/>
        <v>2184.8939501603563</v>
      </c>
      <c r="I33" s="130">
        <f t="shared" si="22"/>
        <v>2178.7739885056371</v>
      </c>
      <c r="J33" s="130">
        <f t="shared" si="22"/>
        <v>2197.7424917586004</v>
      </c>
      <c r="K33" s="130">
        <f t="shared" si="22"/>
        <v>2187.6326116157925</v>
      </c>
      <c r="L33" s="130">
        <f t="shared" ref="L33" si="23">L34+L36+L38+L39+L41</f>
        <v>2221.9372557557076</v>
      </c>
      <c r="M33" s="130">
        <f t="shared" ref="M33:V33" si="24">M34+M36+M38+M39+M41</f>
        <v>2286.8049930937509</v>
      </c>
      <c r="N33" s="130">
        <f t="shared" si="24"/>
        <v>2203.3099433874072</v>
      </c>
      <c r="O33" s="130">
        <f t="shared" si="24"/>
        <v>2211.486919244453</v>
      </c>
      <c r="P33" s="130">
        <f t="shared" si="24"/>
        <v>2223.7997165566189</v>
      </c>
      <c r="Q33" s="130">
        <f t="shared" si="24"/>
        <v>2280.8997409042076</v>
      </c>
      <c r="R33" s="130">
        <f t="shared" si="24"/>
        <v>2259.661583259634</v>
      </c>
      <c r="S33" s="130">
        <f t="shared" si="24"/>
        <v>2279.2386273142856</v>
      </c>
      <c r="T33" s="130">
        <f t="shared" si="24"/>
        <v>2227.2442344538626</v>
      </c>
      <c r="U33" s="130">
        <f t="shared" si="24"/>
        <v>2316.8232036705758</v>
      </c>
      <c r="V33" s="130">
        <f t="shared" si="24"/>
        <v>2256.1783871169664</v>
      </c>
      <c r="W33" s="130">
        <f t="shared" ref="W33:Y33" si="25">W34+W36+W38+W39+W41</f>
        <v>2330.6106042492288</v>
      </c>
      <c r="X33" s="130">
        <f t="shared" si="25"/>
        <v>2225.8097452904731</v>
      </c>
      <c r="Y33" s="130">
        <f t="shared" si="25"/>
        <v>2159.7011420781646</v>
      </c>
      <c r="DA33" s="176" t="s">
        <v>394</v>
      </c>
    </row>
    <row r="34" spans="1:105" ht="11.45" customHeight="1" x14ac:dyDescent="0.25">
      <c r="A34" s="111" t="s">
        <v>110</v>
      </c>
      <c r="B34" s="97">
        <v>1.8017458948842244</v>
      </c>
      <c r="C34" s="97">
        <v>1.6164786600064698</v>
      </c>
      <c r="D34" s="97">
        <v>1.5213081086251738</v>
      </c>
      <c r="E34" s="97">
        <v>1.2204876571281087</v>
      </c>
      <c r="F34" s="97">
        <v>1.0546586820067017</v>
      </c>
      <c r="G34" s="97">
        <v>1.0000955689681161</v>
      </c>
      <c r="H34" s="97">
        <v>0.94154468030240823</v>
      </c>
      <c r="I34" s="97">
        <v>0.87243268132577567</v>
      </c>
      <c r="J34" s="97">
        <v>0.87920812652492653</v>
      </c>
      <c r="K34" s="97">
        <v>0.93251774851377789</v>
      </c>
      <c r="L34" s="97">
        <v>0.94364405956966935</v>
      </c>
      <c r="M34" s="97">
        <v>0.92990604888684569</v>
      </c>
      <c r="N34" s="97">
        <v>0.91546834935658139</v>
      </c>
      <c r="O34" s="97">
        <v>1.5577981780082049</v>
      </c>
      <c r="P34" s="97">
        <v>0.90679404422580268</v>
      </c>
      <c r="Q34" s="97">
        <v>0.89807191654730734</v>
      </c>
      <c r="R34" s="97">
        <v>0.86320541924870209</v>
      </c>
      <c r="S34" s="97">
        <v>0.81699894401688511</v>
      </c>
      <c r="T34" s="97">
        <v>0.76962771683975317</v>
      </c>
      <c r="U34" s="97">
        <v>1.3516018618899457</v>
      </c>
      <c r="V34" s="97">
        <v>1.3077075239309288</v>
      </c>
      <c r="W34" s="97">
        <v>1.2397857337990073</v>
      </c>
      <c r="X34" s="97">
        <v>1.2028619336467028</v>
      </c>
      <c r="Y34" s="97">
        <v>1.1667635797228406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5.3829515629960946E-3</v>
      </c>
      <c r="K35" s="97">
        <v>7.8369611334425313E-3</v>
      </c>
      <c r="L35" s="97">
        <v>1.1079463562943689E-2</v>
      </c>
      <c r="M35" s="97">
        <v>1.0602082117002943E-2</v>
      </c>
      <c r="N35" s="97">
        <v>1.0839358337560754E-2</v>
      </c>
      <c r="O35" s="97">
        <v>1.3663270144346826E-2</v>
      </c>
      <c r="P35" s="97">
        <v>1.066303340754066E-3</v>
      </c>
      <c r="Q35" s="97">
        <v>2.7107561721498555E-3</v>
      </c>
      <c r="R35" s="97">
        <v>3.6567184750557809E-3</v>
      </c>
      <c r="S35" s="97">
        <v>3.6179647132424525E-3</v>
      </c>
      <c r="T35" s="97">
        <v>3.2711969132387174E-3</v>
      </c>
      <c r="U35" s="97">
        <v>5.3134659336270583E-3</v>
      </c>
      <c r="V35" s="97">
        <v>4.2105740077914384E-3</v>
      </c>
      <c r="W35" s="97">
        <v>4.5435439903585692E-3</v>
      </c>
      <c r="X35" s="97">
        <v>5.0843584210277862E-3</v>
      </c>
      <c r="Y35" s="97">
        <v>1.1490197490106508E-2</v>
      </c>
      <c r="DA35" s="175" t="s">
        <v>653</v>
      </c>
    </row>
    <row r="36" spans="1:105" ht="11.45" customHeight="1" x14ac:dyDescent="0.25">
      <c r="A36" s="111" t="s">
        <v>111</v>
      </c>
      <c r="B36" s="97">
        <v>2120.7654203883817</v>
      </c>
      <c r="C36" s="97">
        <v>2128.1490397833963</v>
      </c>
      <c r="D36" s="97">
        <v>2143.366986372972</v>
      </c>
      <c r="E36" s="97">
        <v>2142.2888165155564</v>
      </c>
      <c r="F36" s="97">
        <v>2159.7612622878905</v>
      </c>
      <c r="G36" s="97">
        <v>2160.224930343275</v>
      </c>
      <c r="H36" s="97">
        <v>2176.564395767934</v>
      </c>
      <c r="I36" s="97">
        <v>2157.1803635422489</v>
      </c>
      <c r="J36" s="97">
        <v>2151.6180720808798</v>
      </c>
      <c r="K36" s="97">
        <v>2147.0498676990442</v>
      </c>
      <c r="L36" s="97">
        <v>2176.9824625187275</v>
      </c>
      <c r="M36" s="97">
        <v>2208.5746538969756</v>
      </c>
      <c r="N36" s="97">
        <v>2104.8501185814607</v>
      </c>
      <c r="O36" s="97">
        <v>2097.358229225923</v>
      </c>
      <c r="P36" s="97">
        <v>2128.7415145067816</v>
      </c>
      <c r="Q36" s="97">
        <v>2182.4995443805565</v>
      </c>
      <c r="R36" s="97">
        <v>2198.5281836818785</v>
      </c>
      <c r="S36" s="97">
        <v>2200.42327788287</v>
      </c>
      <c r="T36" s="97">
        <v>2085.2782925554375</v>
      </c>
      <c r="U36" s="97">
        <v>2221.7581617138394</v>
      </c>
      <c r="V36" s="97">
        <v>2201.9584223962474</v>
      </c>
      <c r="W36" s="97">
        <v>2173.0106433543656</v>
      </c>
      <c r="X36" s="97">
        <v>2155.699844006615</v>
      </c>
      <c r="Y36" s="97">
        <v>2103.4464466086692</v>
      </c>
      <c r="DA36" s="175" t="s">
        <v>654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24.295570271236969</v>
      </c>
      <c r="G37" s="97">
        <v>16.530339287920704</v>
      </c>
      <c r="H37" s="97">
        <v>14.278668911196188</v>
      </c>
      <c r="I37" s="97">
        <v>11.940915482913244</v>
      </c>
      <c r="J37" s="97">
        <v>58.198913605681106</v>
      </c>
      <c r="K37" s="97">
        <v>96.368069412944408</v>
      </c>
      <c r="L37" s="97">
        <v>121.13559123832847</v>
      </c>
      <c r="M37" s="97">
        <v>120.74242116013301</v>
      </c>
      <c r="N37" s="97">
        <v>118.34280233880399</v>
      </c>
      <c r="O37" s="97">
        <v>112.94345837050271</v>
      </c>
      <c r="P37" s="97">
        <v>96.896407745216806</v>
      </c>
      <c r="Q37" s="97">
        <v>109.93335759120971</v>
      </c>
      <c r="R37" s="97">
        <v>97.974686455687575</v>
      </c>
      <c r="S37" s="97">
        <v>105.27011686247529</v>
      </c>
      <c r="T37" s="97">
        <v>112.83029760931343</v>
      </c>
      <c r="U37" s="97">
        <v>122.40211705350791</v>
      </c>
      <c r="V37" s="97">
        <v>146.94954768777629</v>
      </c>
      <c r="W37" s="97">
        <v>132.3275213221543</v>
      </c>
      <c r="X37" s="97">
        <v>123.88592565994225</v>
      </c>
      <c r="Y37" s="97">
        <v>126.84986158443154</v>
      </c>
      <c r="DA37" s="175" t="s">
        <v>655</v>
      </c>
    </row>
    <row r="38" spans="1:105" ht="11.45" customHeight="1" x14ac:dyDescent="0.25">
      <c r="A38" s="111" t="s">
        <v>112</v>
      </c>
      <c r="B38" s="97">
        <v>0.93442626563253928</v>
      </c>
      <c r="C38" s="97">
        <v>1.0402235768323329</v>
      </c>
      <c r="D38" s="97">
        <v>0.98380804391125887</v>
      </c>
      <c r="E38" s="97">
        <v>1.1347482226568995</v>
      </c>
      <c r="F38" s="97">
        <v>1.748146148057877</v>
      </c>
      <c r="G38" s="97">
        <v>2.5162140710524308</v>
      </c>
      <c r="H38" s="97">
        <v>2.8340362857269668</v>
      </c>
      <c r="I38" s="97">
        <v>3.3824302986212063</v>
      </c>
      <c r="J38" s="97">
        <v>4.0438885392562067</v>
      </c>
      <c r="K38" s="97">
        <v>5.5604597107186331</v>
      </c>
      <c r="L38" s="97">
        <v>5.7166273415149575</v>
      </c>
      <c r="M38" s="97">
        <v>5.5468679299381076</v>
      </c>
      <c r="N38" s="97">
        <v>5.1878555884275386</v>
      </c>
      <c r="O38" s="97">
        <v>5.035480796072954</v>
      </c>
      <c r="P38" s="97">
        <v>4.8416322484443324</v>
      </c>
      <c r="Q38" s="97">
        <v>4.8695159317418097</v>
      </c>
      <c r="R38" s="97">
        <v>4.5625017258077989</v>
      </c>
      <c r="S38" s="97">
        <v>4.2913293632003793</v>
      </c>
      <c r="T38" s="97">
        <v>4.0238822225654589</v>
      </c>
      <c r="U38" s="97">
        <v>3.9801927758621032</v>
      </c>
      <c r="V38" s="97">
        <v>3.975061078052887</v>
      </c>
      <c r="W38" s="97">
        <v>3.6290144697888667</v>
      </c>
      <c r="X38" s="97">
        <v>3.0618069754192088</v>
      </c>
      <c r="Y38" s="97">
        <v>2.5245699326759361</v>
      </c>
      <c r="DA38" s="175" t="s">
        <v>656</v>
      </c>
    </row>
    <row r="39" spans="1:105" ht="11.45" customHeight="1" x14ac:dyDescent="0.25">
      <c r="A39" s="111" t="s">
        <v>113</v>
      </c>
      <c r="B39" s="97">
        <v>1.5784971911261323</v>
      </c>
      <c r="C39" s="97">
        <v>1.4753542654362377</v>
      </c>
      <c r="D39" s="97">
        <v>1.251239509392235</v>
      </c>
      <c r="E39" s="97">
        <v>1.9053776250240162</v>
      </c>
      <c r="F39" s="97">
        <v>1.9151613593803063</v>
      </c>
      <c r="G39" s="97">
        <v>2.9237616915642661</v>
      </c>
      <c r="H39" s="97">
        <v>4.5539734263932132</v>
      </c>
      <c r="I39" s="97">
        <v>17.338761983441032</v>
      </c>
      <c r="J39" s="97">
        <v>41.201323011939223</v>
      </c>
      <c r="K39" s="97">
        <v>34.08976645751568</v>
      </c>
      <c r="L39" s="97">
        <v>38.294521835895559</v>
      </c>
      <c r="M39" s="97">
        <v>71.753565217950353</v>
      </c>
      <c r="N39" s="97">
        <v>92.356500868162342</v>
      </c>
      <c r="O39" s="97">
        <v>101.7631423543789</v>
      </c>
      <c r="P39" s="97">
        <v>83.545087637049818</v>
      </c>
      <c r="Q39" s="97">
        <v>86.854202904171942</v>
      </c>
      <c r="R39" s="97">
        <v>49.899884021849438</v>
      </c>
      <c r="S39" s="97">
        <v>67.705001894967864</v>
      </c>
      <c r="T39" s="97">
        <v>131.59577231484531</v>
      </c>
      <c r="U39" s="97">
        <v>83.669282417505613</v>
      </c>
      <c r="V39" s="97">
        <v>42.422667927134313</v>
      </c>
      <c r="W39" s="97">
        <v>144.94270781757407</v>
      </c>
      <c r="X39" s="97">
        <v>57.268899641831595</v>
      </c>
      <c r="Y39" s="97">
        <v>40.055456192491839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1.3164954193417774E-3</v>
      </c>
      <c r="M40" s="97">
        <v>2.3741987863271502E-3</v>
      </c>
      <c r="N40" s="97">
        <v>2.9170364489253357E-3</v>
      </c>
      <c r="O40" s="97">
        <v>2.9969881517929037E-3</v>
      </c>
      <c r="P40" s="97">
        <v>2.3156001521730356E-3</v>
      </c>
      <c r="Q40" s="97">
        <v>2.3044455043196924E-3</v>
      </c>
      <c r="R40" s="97">
        <v>1.334789192848549E-3</v>
      </c>
      <c r="S40" s="97">
        <v>9.9758004306774312E-3</v>
      </c>
      <c r="T40" s="97">
        <v>5.5736630312074598E-2</v>
      </c>
      <c r="U40" s="97">
        <v>5.9199267200559125E-2</v>
      </c>
      <c r="V40" s="97">
        <v>6.2013139385979521E-2</v>
      </c>
      <c r="W40" s="97">
        <v>0.32497687625041038</v>
      </c>
      <c r="X40" s="97">
        <v>0.19331258144167629</v>
      </c>
      <c r="Y40" s="97">
        <v>0.18276717516945151</v>
      </c>
      <c r="DA40" s="175" t="s">
        <v>658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5.7722686900695557</v>
      </c>
      <c r="P41" s="97">
        <v>5.7646881201170688</v>
      </c>
      <c r="Q41" s="97">
        <v>5.7784057711903181</v>
      </c>
      <c r="R41" s="97">
        <v>5.8078084108495807</v>
      </c>
      <c r="S41" s="97">
        <v>6.0020192292301475</v>
      </c>
      <c r="T41" s="97">
        <v>5.576659644174355</v>
      </c>
      <c r="U41" s="97">
        <v>6.0639649014789097</v>
      </c>
      <c r="V41" s="97">
        <v>6.5145281916011877</v>
      </c>
      <c r="W41" s="97">
        <v>7.7884528737013063</v>
      </c>
      <c r="X41" s="97">
        <v>8.5763327329607684</v>
      </c>
      <c r="Y41" s="97">
        <v>12.507905764604304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9820.2259861865095</v>
      </c>
      <c r="C42" s="32">
        <f t="shared" si="26"/>
        <v>10332.452001180285</v>
      </c>
      <c r="D42" s="32">
        <f t="shared" si="26"/>
        <v>10316.327475759292</v>
      </c>
      <c r="E42" s="32">
        <f t="shared" si="26"/>
        <v>10569.465918339596</v>
      </c>
      <c r="F42" s="32">
        <f t="shared" si="26"/>
        <v>11159.11885560993</v>
      </c>
      <c r="G42" s="32">
        <f t="shared" si="26"/>
        <v>11878.415990622469</v>
      </c>
      <c r="H42" s="32">
        <f t="shared" si="26"/>
        <v>11366.273112350991</v>
      </c>
      <c r="I42" s="32">
        <f t="shared" si="26"/>
        <v>11662.265823520105</v>
      </c>
      <c r="J42" s="32">
        <f t="shared" si="26"/>
        <v>10437.458215800891</v>
      </c>
      <c r="K42" s="32">
        <f t="shared" si="26"/>
        <v>9299.0920663976685</v>
      </c>
      <c r="L42" s="32">
        <f t="shared" ref="L42" si="27">L43+L52</f>
        <v>9582.0441399855663</v>
      </c>
      <c r="M42" s="32">
        <f t="shared" ref="M42:V42" si="28">M43+M52</f>
        <v>9938.0307166857692</v>
      </c>
      <c r="N42" s="32">
        <f t="shared" si="28"/>
        <v>9617.9738828850132</v>
      </c>
      <c r="O42" s="32">
        <f t="shared" si="28"/>
        <v>8187.429804045586</v>
      </c>
      <c r="P42" s="32">
        <f t="shared" si="28"/>
        <v>8225.7260294040843</v>
      </c>
      <c r="Q42" s="32">
        <f t="shared" si="28"/>
        <v>7349.965548773469</v>
      </c>
      <c r="R42" s="32">
        <f t="shared" si="28"/>
        <v>6635.5683203685576</v>
      </c>
      <c r="S42" s="32">
        <f t="shared" si="28"/>
        <v>5680.8698359091777</v>
      </c>
      <c r="T42" s="32">
        <f t="shared" si="28"/>
        <v>6874.4735964951278</v>
      </c>
      <c r="U42" s="32">
        <f t="shared" si="28"/>
        <v>6996.1858564516451</v>
      </c>
      <c r="V42" s="32">
        <f t="shared" si="28"/>
        <v>6348.4605318095573</v>
      </c>
      <c r="W42" s="32">
        <f t="shared" ref="W42:Y42" si="29">W43+W52</f>
        <v>8856.3980910669125</v>
      </c>
      <c r="X42" s="32">
        <f t="shared" si="29"/>
        <v>9689.5034413496141</v>
      </c>
      <c r="Y42" s="32">
        <f t="shared" si="29"/>
        <v>9387.6728485369167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7291.9779531995764</v>
      </c>
      <c r="C43" s="141">
        <f t="shared" si="30"/>
        <v>6580.3200116403268</v>
      </c>
      <c r="D43" s="141">
        <f t="shared" si="30"/>
        <v>6540.0954328383723</v>
      </c>
      <c r="E43" s="141">
        <f t="shared" si="30"/>
        <v>6885.0282129857178</v>
      </c>
      <c r="F43" s="141">
        <f t="shared" si="30"/>
        <v>7239.5032638421362</v>
      </c>
      <c r="G43" s="141">
        <f t="shared" si="30"/>
        <v>7748.7170507730516</v>
      </c>
      <c r="H43" s="141">
        <f t="shared" si="30"/>
        <v>6677.246268700962</v>
      </c>
      <c r="I43" s="141">
        <f t="shared" si="30"/>
        <v>7037.5340819918829</v>
      </c>
      <c r="J43" s="141">
        <f t="shared" si="30"/>
        <v>6857.7432665314</v>
      </c>
      <c r="K43" s="141">
        <f t="shared" si="30"/>
        <v>6630.0029933975757</v>
      </c>
      <c r="L43" s="141">
        <f t="shared" ref="L43" si="31">L44+L46+L48+L49+L51</f>
        <v>7055.6038615341258</v>
      </c>
      <c r="M43" s="141">
        <f t="shared" ref="M43:V43" si="32">M44+M46+M48+M49+M51</f>
        <v>7171.1977041491009</v>
      </c>
      <c r="N43" s="141">
        <f t="shared" si="32"/>
        <v>6292.8868620385347</v>
      </c>
      <c r="O43" s="141">
        <f t="shared" si="32"/>
        <v>5474.8427427332563</v>
      </c>
      <c r="P43" s="141">
        <f t="shared" si="32"/>
        <v>5578.7375812761584</v>
      </c>
      <c r="Q43" s="141">
        <f t="shared" si="32"/>
        <v>4455.4908918092187</v>
      </c>
      <c r="R43" s="141">
        <f t="shared" si="32"/>
        <v>4139.5093783442953</v>
      </c>
      <c r="S43" s="141">
        <f t="shared" si="32"/>
        <v>4152.0868418908922</v>
      </c>
      <c r="T43" s="141">
        <f t="shared" si="32"/>
        <v>4273.2737559103189</v>
      </c>
      <c r="U43" s="141">
        <f t="shared" si="32"/>
        <v>4358.5516142430715</v>
      </c>
      <c r="V43" s="141">
        <f t="shared" si="32"/>
        <v>4242.6989029550496</v>
      </c>
      <c r="W43" s="141">
        <f t="shared" ref="W43:Y43" si="33">W44+W46+W48+W49+W51</f>
        <v>5109.2997589295337</v>
      </c>
      <c r="X43" s="141">
        <f t="shared" si="33"/>
        <v>4485.7716890373513</v>
      </c>
      <c r="Y43" s="141">
        <f t="shared" si="33"/>
        <v>4101.4259228865085</v>
      </c>
      <c r="DA43" s="174" t="s">
        <v>400</v>
      </c>
    </row>
    <row r="44" spans="1:105" ht="11.45" customHeight="1" x14ac:dyDescent="0.25">
      <c r="A44" s="111" t="s">
        <v>110</v>
      </c>
      <c r="B44" s="96">
        <v>294.18407358894768</v>
      </c>
      <c r="C44" s="96">
        <v>295.1854705519591</v>
      </c>
      <c r="D44" s="96">
        <v>299.17306295968672</v>
      </c>
      <c r="E44" s="96">
        <v>300.32057015857418</v>
      </c>
      <c r="F44" s="96">
        <v>293.50766878706185</v>
      </c>
      <c r="G44" s="96">
        <v>293.12462007683376</v>
      </c>
      <c r="H44" s="96">
        <v>287.31029122947604</v>
      </c>
      <c r="I44" s="96">
        <v>247.62868815361708</v>
      </c>
      <c r="J44" s="96">
        <v>235.11790659759447</v>
      </c>
      <c r="K44" s="96">
        <v>219.46127065884008</v>
      </c>
      <c r="L44" s="96">
        <v>211.81695083415553</v>
      </c>
      <c r="M44" s="96">
        <v>213.54372097975468</v>
      </c>
      <c r="N44" s="96">
        <v>189.73078354816883</v>
      </c>
      <c r="O44" s="96">
        <v>178.93873058549346</v>
      </c>
      <c r="P44" s="96">
        <v>170.32334612051272</v>
      </c>
      <c r="Q44" s="96">
        <v>156.30149225112407</v>
      </c>
      <c r="R44" s="96">
        <v>150.26594334430493</v>
      </c>
      <c r="S44" s="96">
        <v>141.4109599178469</v>
      </c>
      <c r="T44" s="96">
        <v>136.46606447035438</v>
      </c>
      <c r="U44" s="96">
        <v>137.39839116960246</v>
      </c>
      <c r="V44" s="96">
        <v>138.84254747509257</v>
      </c>
      <c r="W44" s="96">
        <v>141.72942438099068</v>
      </c>
      <c r="X44" s="96">
        <v>150.48744308510948</v>
      </c>
      <c r="Y44" s="96">
        <v>158.04430514724373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1.4395093318919738</v>
      </c>
      <c r="K45" s="96">
        <v>1.8443718108211749</v>
      </c>
      <c r="L45" s="96">
        <v>2.486973944233891</v>
      </c>
      <c r="M45" s="96">
        <v>2.4346632308800218</v>
      </c>
      <c r="N45" s="96">
        <v>2.2464566382772166</v>
      </c>
      <c r="O45" s="96">
        <v>1.5694511970749112</v>
      </c>
      <c r="P45" s="96">
        <v>0.20028401612603572</v>
      </c>
      <c r="Q45" s="96">
        <v>0.47178319133381857</v>
      </c>
      <c r="R45" s="96">
        <v>0.63655792577976367</v>
      </c>
      <c r="S45" s="96">
        <v>0.62621851202532164</v>
      </c>
      <c r="T45" s="96">
        <v>0.58003026539935154</v>
      </c>
      <c r="U45" s="96">
        <v>0.54014550541829076</v>
      </c>
      <c r="V45" s="96">
        <v>0.44704707350529221</v>
      </c>
      <c r="W45" s="96">
        <v>0.51940739181600115</v>
      </c>
      <c r="X45" s="96">
        <v>0.6360930353736225</v>
      </c>
      <c r="Y45" s="96">
        <v>1.5564080931973041</v>
      </c>
      <c r="DA45" s="171" t="s">
        <v>661</v>
      </c>
    </row>
    <row r="46" spans="1:105" ht="11.45" customHeight="1" x14ac:dyDescent="0.25">
      <c r="A46" s="111" t="s">
        <v>111</v>
      </c>
      <c r="B46" s="96">
        <v>6972.8506449502011</v>
      </c>
      <c r="C46" s="96">
        <v>6258.2975270177785</v>
      </c>
      <c r="D46" s="96">
        <v>6211.3182043203924</v>
      </c>
      <c r="E46" s="96">
        <v>6552.1313203484196</v>
      </c>
      <c r="F46" s="96">
        <v>6910.868584603365</v>
      </c>
      <c r="G46" s="96">
        <v>7416.6076431522715</v>
      </c>
      <c r="H46" s="96">
        <v>6348.0352330766191</v>
      </c>
      <c r="I46" s="96">
        <v>6748.5229230340674</v>
      </c>
      <c r="J46" s="96">
        <v>6569.725849638543</v>
      </c>
      <c r="K46" s="96">
        <v>6342.5674864221119</v>
      </c>
      <c r="L46" s="96">
        <v>6740.8772956327457</v>
      </c>
      <c r="M46" s="96">
        <v>6854.3129289257586</v>
      </c>
      <c r="N46" s="96">
        <v>5976.338327697099</v>
      </c>
      <c r="O46" s="96">
        <v>5166.0031202289301</v>
      </c>
      <c r="P46" s="96">
        <v>5273.9758876471051</v>
      </c>
      <c r="Q46" s="96">
        <v>4165.3177017199578</v>
      </c>
      <c r="R46" s="96">
        <v>3855.2840931532032</v>
      </c>
      <c r="S46" s="96">
        <v>3886.0318788434647</v>
      </c>
      <c r="T46" s="96">
        <v>4017.5532271523539</v>
      </c>
      <c r="U46" s="96">
        <v>4079.3700670705816</v>
      </c>
      <c r="V46" s="96">
        <v>3959.8341038630442</v>
      </c>
      <c r="W46" s="96">
        <v>4802.0459019919044</v>
      </c>
      <c r="X46" s="96">
        <v>4193.6411218086414</v>
      </c>
      <c r="Y46" s="96">
        <v>3796.4585009635257</v>
      </c>
      <c r="DA46" s="171" t="s">
        <v>662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77.741691299088572</v>
      </c>
      <c r="G47" s="96">
        <v>56.752905211223137</v>
      </c>
      <c r="H47" s="96">
        <v>41.644296629105291</v>
      </c>
      <c r="I47" s="96">
        <v>37.355959297779037</v>
      </c>
      <c r="J47" s="96">
        <v>177.70389275748323</v>
      </c>
      <c r="K47" s="96">
        <v>284.67945387912454</v>
      </c>
      <c r="L47" s="96">
        <v>375.08807293135129</v>
      </c>
      <c r="M47" s="96">
        <v>374.72418555895672</v>
      </c>
      <c r="N47" s="96">
        <v>336.01282066635872</v>
      </c>
      <c r="O47" s="96">
        <v>278.19103585695257</v>
      </c>
      <c r="P47" s="96">
        <v>240.0617052682878</v>
      </c>
      <c r="Q47" s="96">
        <v>209.80868544196676</v>
      </c>
      <c r="R47" s="96">
        <v>171.8059622923351</v>
      </c>
      <c r="S47" s="96">
        <v>185.91106271642144</v>
      </c>
      <c r="T47" s="96">
        <v>217.38188514174379</v>
      </c>
      <c r="U47" s="96">
        <v>224.74252196241616</v>
      </c>
      <c r="V47" s="96">
        <v>264.26286008073947</v>
      </c>
      <c r="W47" s="96">
        <v>292.42508932441143</v>
      </c>
      <c r="X47" s="96">
        <v>241.00438366004167</v>
      </c>
      <c r="Y47" s="96">
        <v>228.94817984774502</v>
      </c>
      <c r="DA47" s="171" t="s">
        <v>663</v>
      </c>
    </row>
    <row r="48" spans="1:105" ht="11.45" customHeight="1" x14ac:dyDescent="0.25">
      <c r="A48" s="111" t="s">
        <v>112</v>
      </c>
      <c r="B48" s="96">
        <v>10.387303042818974</v>
      </c>
      <c r="C48" s="96">
        <v>11.047507428226536</v>
      </c>
      <c r="D48" s="96">
        <v>11.971561255398552</v>
      </c>
      <c r="E48" s="96">
        <v>12.909873402125786</v>
      </c>
      <c r="F48" s="96">
        <v>13.571360424474952</v>
      </c>
      <c r="G48" s="96">
        <v>14.618893897625609</v>
      </c>
      <c r="H48" s="96">
        <v>14.964397048368586</v>
      </c>
      <c r="I48" s="96">
        <v>14.470724829547981</v>
      </c>
      <c r="J48" s="96">
        <v>16.776191074733322</v>
      </c>
      <c r="K48" s="96">
        <v>21.182347744040726</v>
      </c>
      <c r="L48" s="96">
        <v>26.665195979240352</v>
      </c>
      <c r="M48" s="96">
        <v>29.369645457221644</v>
      </c>
      <c r="N48" s="96">
        <v>30.741850981631323</v>
      </c>
      <c r="O48" s="96">
        <v>31.34862880065041</v>
      </c>
      <c r="P48" s="96">
        <v>33.099826277627812</v>
      </c>
      <c r="Q48" s="96">
        <v>32.227053261262625</v>
      </c>
      <c r="R48" s="96">
        <v>30.672274862359114</v>
      </c>
      <c r="S48" s="96">
        <v>30.966227717459205</v>
      </c>
      <c r="T48" s="96">
        <v>30.375289084420327</v>
      </c>
      <c r="U48" s="96">
        <v>32.390875759416318</v>
      </c>
      <c r="V48" s="96">
        <v>32.932936320243464</v>
      </c>
      <c r="W48" s="96">
        <v>38.80639068570374</v>
      </c>
      <c r="X48" s="96">
        <v>32.254700983580712</v>
      </c>
      <c r="Y48" s="96">
        <v>33.726150930209222</v>
      </c>
      <c r="DA48" s="171" t="s">
        <v>664</v>
      </c>
    </row>
    <row r="49" spans="1:105" ht="11.45" customHeight="1" x14ac:dyDescent="0.25">
      <c r="A49" s="111" t="s">
        <v>113</v>
      </c>
      <c r="B49" s="96">
        <v>14.55593161760966</v>
      </c>
      <c r="C49" s="96">
        <v>15.789506642362467</v>
      </c>
      <c r="D49" s="96">
        <v>17.632604302895015</v>
      </c>
      <c r="E49" s="96">
        <v>19.666449076599246</v>
      </c>
      <c r="F49" s="96">
        <v>21.555650027234698</v>
      </c>
      <c r="G49" s="96">
        <v>24.365893646321013</v>
      </c>
      <c r="H49" s="96">
        <v>26.936347346498124</v>
      </c>
      <c r="I49" s="96">
        <v>26.911745974649946</v>
      </c>
      <c r="J49" s="96">
        <v>36.123319220528657</v>
      </c>
      <c r="K49" s="96">
        <v>46.791888572582522</v>
      </c>
      <c r="L49" s="96">
        <v>76.244419087984014</v>
      </c>
      <c r="M49" s="96">
        <v>73.971085961371671</v>
      </c>
      <c r="N49" s="96">
        <v>96.011897066967137</v>
      </c>
      <c r="O49" s="96">
        <v>98.5225816402547</v>
      </c>
      <c r="P49" s="96">
        <v>101.28646168983283</v>
      </c>
      <c r="Q49" s="96">
        <v>101.47494102050102</v>
      </c>
      <c r="R49" s="96">
        <v>102.97367734562069</v>
      </c>
      <c r="S49" s="96">
        <v>93.296149140825477</v>
      </c>
      <c r="T49" s="96">
        <v>88.290862368328689</v>
      </c>
      <c r="U49" s="96">
        <v>108.25079961434857</v>
      </c>
      <c r="V49" s="96">
        <v>109.67981435619031</v>
      </c>
      <c r="W49" s="96">
        <v>124.31203624813178</v>
      </c>
      <c r="X49" s="96">
        <v>105.92995526713736</v>
      </c>
      <c r="Y49" s="96">
        <v>107.89470878436344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2.6211432776167419E-3</v>
      </c>
      <c r="M50" s="96">
        <v>2.4475726325143706E-3</v>
      </c>
      <c r="N50" s="96">
        <v>3.0324904109847871E-3</v>
      </c>
      <c r="O50" s="96">
        <v>2.9015516131729044E-3</v>
      </c>
      <c r="P50" s="96">
        <v>2.8073337731234172E-3</v>
      </c>
      <c r="Q50" s="96">
        <v>2.6923679432508765E-3</v>
      </c>
      <c r="R50" s="96">
        <v>2.7544783793209617E-3</v>
      </c>
      <c r="S50" s="96">
        <v>1.374645504365265E-2</v>
      </c>
      <c r="T50" s="96">
        <v>3.7395085489404102E-2</v>
      </c>
      <c r="U50" s="96">
        <v>7.6591645414939333E-2</v>
      </c>
      <c r="V50" s="96">
        <v>0.16032913411248181</v>
      </c>
      <c r="W50" s="96">
        <v>0.27872072923524721</v>
      </c>
      <c r="X50" s="96">
        <v>0.35756917336916899</v>
      </c>
      <c r="Y50" s="96">
        <v>0.49230774068540029</v>
      </c>
      <c r="DA50" s="171" t="s">
        <v>666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3.2282499400064805E-4</v>
      </c>
      <c r="N51" s="96">
        <v>6.400274466766015E-2</v>
      </c>
      <c r="O51" s="96">
        <v>2.9681477927998277E-2</v>
      </c>
      <c r="P51" s="96">
        <v>5.2059541079491629E-2</v>
      </c>
      <c r="Q51" s="96">
        <v>0.16970355637297097</v>
      </c>
      <c r="R51" s="96">
        <v>0.31338963880750637</v>
      </c>
      <c r="S51" s="96">
        <v>0.3816262712962164</v>
      </c>
      <c r="T51" s="96">
        <v>0.58831283486103669</v>
      </c>
      <c r="U51" s="96">
        <v>1.1414806291218196</v>
      </c>
      <c r="V51" s="96">
        <v>1.4095009404789087</v>
      </c>
      <c r="W51" s="96">
        <v>2.4060056228026339</v>
      </c>
      <c r="X51" s="96">
        <v>3.4584678928818273</v>
      </c>
      <c r="Y51" s="96">
        <v>5.3022570611669479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2528.2480329869331</v>
      </c>
      <c r="C52" s="130">
        <f t="shared" si="34"/>
        <v>3752.1319895399574</v>
      </c>
      <c r="D52" s="130">
        <f t="shared" si="34"/>
        <v>3776.2320429209194</v>
      </c>
      <c r="E52" s="130">
        <f t="shared" si="34"/>
        <v>3684.4377053538774</v>
      </c>
      <c r="F52" s="130">
        <f t="shared" si="34"/>
        <v>3919.6155917677929</v>
      </c>
      <c r="G52" s="130">
        <f t="shared" si="34"/>
        <v>4129.698939849417</v>
      </c>
      <c r="H52" s="130">
        <f t="shared" si="34"/>
        <v>4689.0268436500282</v>
      </c>
      <c r="I52" s="130">
        <f t="shared" si="34"/>
        <v>4624.7317415282223</v>
      </c>
      <c r="J52" s="130">
        <f t="shared" si="34"/>
        <v>3579.7149492694903</v>
      </c>
      <c r="K52" s="130">
        <f t="shared" si="34"/>
        <v>2669.0890730000924</v>
      </c>
      <c r="L52" s="130">
        <f t="shared" ref="L52" si="35">L53+L55</f>
        <v>2526.4402784514396</v>
      </c>
      <c r="M52" s="130">
        <f t="shared" ref="M52:V52" si="36">M53+M55</f>
        <v>2766.8330125366688</v>
      </c>
      <c r="N52" s="130">
        <f t="shared" si="36"/>
        <v>3325.0870208464785</v>
      </c>
      <c r="O52" s="130">
        <f t="shared" si="36"/>
        <v>2712.5870613123298</v>
      </c>
      <c r="P52" s="130">
        <f t="shared" si="36"/>
        <v>2646.9884481279264</v>
      </c>
      <c r="Q52" s="130">
        <f t="shared" si="36"/>
        <v>2894.4746569642507</v>
      </c>
      <c r="R52" s="130">
        <f t="shared" si="36"/>
        <v>2496.0589420242623</v>
      </c>
      <c r="S52" s="130">
        <f t="shared" si="36"/>
        <v>1528.7829940182853</v>
      </c>
      <c r="T52" s="130">
        <f t="shared" si="36"/>
        <v>2601.199840584809</v>
      </c>
      <c r="U52" s="130">
        <f t="shared" si="36"/>
        <v>2637.6342422085736</v>
      </c>
      <c r="V52" s="130">
        <f t="shared" si="36"/>
        <v>2105.7616288545078</v>
      </c>
      <c r="W52" s="130">
        <f t="shared" ref="W52:Y52" si="37">W53+W55</f>
        <v>3747.0983321373787</v>
      </c>
      <c r="X52" s="130">
        <f t="shared" si="37"/>
        <v>5203.7317523122638</v>
      </c>
      <c r="Y52" s="130">
        <f t="shared" si="37"/>
        <v>5286.2469256504082</v>
      </c>
      <c r="DA52" s="176" t="s">
        <v>401</v>
      </c>
    </row>
    <row r="53" spans="1:105" ht="11.45" customHeight="1" x14ac:dyDescent="0.25">
      <c r="A53" s="128" t="s">
        <v>27</v>
      </c>
      <c r="B53" s="97">
        <v>2157.8863673497981</v>
      </c>
      <c r="C53" s="97">
        <v>3154.3266351436519</v>
      </c>
      <c r="D53" s="97">
        <v>3149.9475754940777</v>
      </c>
      <c r="E53" s="97">
        <v>3047.9997575778048</v>
      </c>
      <c r="F53" s="97">
        <v>3249.5523731326243</v>
      </c>
      <c r="G53" s="97">
        <v>3422.4730481141141</v>
      </c>
      <c r="H53" s="97">
        <v>3722.213102552872</v>
      </c>
      <c r="I53" s="97">
        <v>3695.5204831386118</v>
      </c>
      <c r="J53" s="97">
        <v>2811.9892237389845</v>
      </c>
      <c r="K53" s="97">
        <v>2150.8132262554795</v>
      </c>
      <c r="L53" s="97">
        <v>2013.9369652977932</v>
      </c>
      <c r="M53" s="97">
        <v>2196.9143553471404</v>
      </c>
      <c r="N53" s="97">
        <v>2609.4490577951124</v>
      </c>
      <c r="O53" s="97">
        <v>2101.3596449119959</v>
      </c>
      <c r="P53" s="97">
        <v>2002.3388376469634</v>
      </c>
      <c r="Q53" s="97">
        <v>2190.5865124517759</v>
      </c>
      <c r="R53" s="97">
        <v>1853.3844637526206</v>
      </c>
      <c r="S53" s="97">
        <v>1110.2298022508517</v>
      </c>
      <c r="T53" s="97">
        <v>1908.8746611623251</v>
      </c>
      <c r="U53" s="97">
        <v>1933.6897533691713</v>
      </c>
      <c r="V53" s="97">
        <v>1532.3854218940446</v>
      </c>
      <c r="W53" s="97">
        <v>2689.5660006385651</v>
      </c>
      <c r="X53" s="97">
        <v>3737.8615812617172</v>
      </c>
      <c r="Y53" s="97">
        <v>3852.8709185894641</v>
      </c>
      <c r="DA53" s="175" t="s">
        <v>668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36.554840301133616</v>
      </c>
      <c r="G54" s="97">
        <v>26.189236081124371</v>
      </c>
      <c r="H54" s="97">
        <v>24.418413078707502</v>
      </c>
      <c r="I54" s="97">
        <v>20.456285668237619</v>
      </c>
      <c r="J54" s="97">
        <v>76.061230390306804</v>
      </c>
      <c r="K54" s="97">
        <v>96.53698379357823</v>
      </c>
      <c r="L54" s="97">
        <v>112.06311911480292</v>
      </c>
      <c r="M54" s="97">
        <v>120.10495451354593</v>
      </c>
      <c r="N54" s="97">
        <v>146.71330340040751</v>
      </c>
      <c r="O54" s="97">
        <v>113.15893597450244</v>
      </c>
      <c r="P54" s="97">
        <v>91.142789828889391</v>
      </c>
      <c r="Q54" s="97">
        <v>110.34070134305196</v>
      </c>
      <c r="R54" s="97">
        <v>82.59378390769831</v>
      </c>
      <c r="S54" s="97">
        <v>53.114335865234118</v>
      </c>
      <c r="T54" s="97">
        <v>103.28544486687333</v>
      </c>
      <c r="U54" s="97">
        <v>106.53172051564978</v>
      </c>
      <c r="V54" s="97">
        <v>102.26503022959875</v>
      </c>
      <c r="W54" s="97">
        <v>163.78364431176968</v>
      </c>
      <c r="X54" s="97">
        <v>214.8111868499642</v>
      </c>
      <c r="Y54" s="97">
        <v>232.35017155475089</v>
      </c>
      <c r="DA54" s="175" t="s">
        <v>669</v>
      </c>
    </row>
    <row r="55" spans="1:105" ht="11.45" customHeight="1" x14ac:dyDescent="0.25">
      <c r="A55" s="128" t="s">
        <v>116</v>
      </c>
      <c r="B55" s="97">
        <v>370.36166563713488</v>
      </c>
      <c r="C55" s="97">
        <v>597.80535439630546</v>
      </c>
      <c r="D55" s="97">
        <v>626.28446742684184</v>
      </c>
      <c r="E55" s="97">
        <v>636.43794777607263</v>
      </c>
      <c r="F55" s="97">
        <v>670.0632186351686</v>
      </c>
      <c r="G55" s="97">
        <v>707.22589173530264</v>
      </c>
      <c r="H55" s="97">
        <v>966.81374109715614</v>
      </c>
      <c r="I55" s="97">
        <v>929.21125838961052</v>
      </c>
      <c r="J55" s="97">
        <v>767.72572553050588</v>
      </c>
      <c r="K55" s="97">
        <v>518.27584674461286</v>
      </c>
      <c r="L55" s="97">
        <v>512.50331315364645</v>
      </c>
      <c r="M55" s="97">
        <v>569.91865718952852</v>
      </c>
      <c r="N55" s="97">
        <v>715.63796305136611</v>
      </c>
      <c r="O55" s="97">
        <v>611.22741640033394</v>
      </c>
      <c r="P55" s="97">
        <v>644.64961048096291</v>
      </c>
      <c r="Q55" s="97">
        <v>703.88814451247492</v>
      </c>
      <c r="R55" s="97">
        <v>642.67447827164176</v>
      </c>
      <c r="S55" s="97">
        <v>418.5531917674337</v>
      </c>
      <c r="T55" s="97">
        <v>692.32517942248387</v>
      </c>
      <c r="U55" s="97">
        <v>703.94448883940242</v>
      </c>
      <c r="V55" s="97">
        <v>573.37620696046326</v>
      </c>
      <c r="W55" s="97">
        <v>1057.5323314988134</v>
      </c>
      <c r="X55" s="97">
        <v>1465.8701710505461</v>
      </c>
      <c r="Y55" s="97">
        <v>1433.3760070609442</v>
      </c>
      <c r="DA55" s="175" t="s">
        <v>670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7.5376701577083685</v>
      </c>
      <c r="G56" s="98">
        <v>5.4117901239706105</v>
      </c>
      <c r="H56" s="98">
        <v>6.3424786947553837</v>
      </c>
      <c r="I56" s="98">
        <v>5.1435815427051006</v>
      </c>
      <c r="J56" s="98">
        <v>20.766140493418014</v>
      </c>
      <c r="K56" s="98">
        <v>23.262264899167317</v>
      </c>
      <c r="L56" s="98">
        <v>28.517635267783035</v>
      </c>
      <c r="M56" s="98">
        <v>31.15736133799059</v>
      </c>
      <c r="N56" s="98">
        <v>40.235929988501219</v>
      </c>
      <c r="O56" s="98">
        <v>32.914805538298339</v>
      </c>
      <c r="P56" s="98">
        <v>29.343267411417596</v>
      </c>
      <c r="Q56" s="98">
        <v>35.455121763549045</v>
      </c>
      <c r="R56" s="98">
        <v>28.639992413600858</v>
      </c>
      <c r="S56" s="98">
        <v>20.0239398725654</v>
      </c>
      <c r="T56" s="98">
        <v>37.460350647458469</v>
      </c>
      <c r="U56" s="98">
        <v>38.782031819172531</v>
      </c>
      <c r="V56" s="98">
        <v>38.264743516855816</v>
      </c>
      <c r="W56" s="98">
        <v>64.399423248685792</v>
      </c>
      <c r="X56" s="98">
        <v>84.242100560887479</v>
      </c>
      <c r="Y56" s="98">
        <v>86.440778365085194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7.9909657086515997</v>
      </c>
      <c r="C60" s="79">
        <f>IF(C17=0,0,C17/TrRoad_act!C30*100)</f>
        <v>7.9206244873685296</v>
      </c>
      <c r="D60" s="79">
        <f>IF(D17=0,0,D17/TrRoad_act!D30*100)</f>
        <v>7.9790403554206524</v>
      </c>
      <c r="E60" s="79">
        <f>IF(E17=0,0,E17/TrRoad_act!E30*100)</f>
        <v>7.8681568615180293</v>
      </c>
      <c r="F60" s="79">
        <f>IF(F17=0,0,F17/TrRoad_act!F30*100)</f>
        <v>7.8845930147602994</v>
      </c>
      <c r="G60" s="79">
        <f>IF(G17=0,0,G17/TrRoad_act!G30*100)</f>
        <v>8.0524947036709342</v>
      </c>
      <c r="H60" s="79">
        <f>IF(H17=0,0,H17/TrRoad_act!H30*100)</f>
        <v>8.3024807721920446</v>
      </c>
      <c r="I60" s="79">
        <f>IF(I17=0,0,I17/TrRoad_act!I30*100)</f>
        <v>8.2764474177499707</v>
      </c>
      <c r="J60" s="79">
        <f>IF(J17=0,0,J17/TrRoad_act!J30*100)</f>
        <v>7.9121027154235763</v>
      </c>
      <c r="K60" s="79">
        <f>IF(K17=0,0,K17/TrRoad_act!K30*100)</f>
        <v>7.3508647088260739</v>
      </c>
      <c r="L60" s="79">
        <f>IF(L17=0,0,L17/TrRoad_act!L30*100)</f>
        <v>7.2878695971141401</v>
      </c>
      <c r="M60" s="79">
        <f>IF(M17=0,0,M17/TrRoad_act!M30*100)</f>
        <v>7.322514089957445</v>
      </c>
      <c r="N60" s="79">
        <f>IF(N17=0,0,N17/TrRoad_act!N30*100)</f>
        <v>7.3058356871668781</v>
      </c>
      <c r="O60" s="79">
        <f>IF(O17=0,0,O17/TrRoad_act!O30*100)</f>
        <v>7.2151031064060138</v>
      </c>
      <c r="P60" s="79">
        <f>IF(P17=0,0,P17/TrRoad_act!P30*100)</f>
        <v>7.0663594724997001</v>
      </c>
      <c r="Q60" s="79">
        <f>IF(Q17=0,0,Q17/TrRoad_act!Q30*100)</f>
        <v>7.0806614134338783</v>
      </c>
      <c r="R60" s="79">
        <f>IF(R17=0,0,R17/TrRoad_act!R30*100)</f>
        <v>6.8448164647011183</v>
      </c>
      <c r="S60" s="79">
        <f>IF(S17=0,0,S17/TrRoad_act!S30*100)</f>
        <v>6.4306827035436278</v>
      </c>
      <c r="T60" s="79">
        <f>IF(T17=0,0,T17/TrRoad_act!T30*100)</f>
        <v>6.862355625039787</v>
      </c>
      <c r="U60" s="79">
        <f>IF(U17=0,0,U17/TrRoad_act!U30*100)</f>
        <v>6.8523464903195341</v>
      </c>
      <c r="V60" s="79">
        <f>IF(V17=0,0,V17/TrRoad_act!V30*100)</f>
        <v>6.7889253293158536</v>
      </c>
      <c r="W60" s="79">
        <f>IF(W17=0,0,W17/TrRoad_act!W30*100)</f>
        <v>7.8919820959162559</v>
      </c>
      <c r="X60" s="79">
        <f>IF(X17=0,0,X17/TrRoad_act!X30*100)</f>
        <v>8.0740412290083121</v>
      </c>
      <c r="Y60" s="79">
        <f>IF(Y17=0,0,Y17/TrRoad_act!Y30*100)</f>
        <v>7.6258150750168268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6.9185583863485389</v>
      </c>
      <c r="C61" s="32">
        <f>IF(C18=0,0,C18/TrRoad_act!C31*100)</f>
        <v>6.6874679594636985</v>
      </c>
      <c r="D61" s="32">
        <f>IF(D18=0,0,D18/TrRoad_act!D31*100)</f>
        <v>6.8183930951317802</v>
      </c>
      <c r="E61" s="32">
        <f>IF(E18=0,0,E18/TrRoad_act!E31*100)</f>
        <v>6.738717920048777</v>
      </c>
      <c r="F61" s="32">
        <f>IF(F18=0,0,F18/TrRoad_act!F31*100)</f>
        <v>6.7633045844253656</v>
      </c>
      <c r="G61" s="32">
        <f>IF(G18=0,0,G18/TrRoad_act!G31*100)</f>
        <v>6.8771193518453622</v>
      </c>
      <c r="H61" s="32">
        <f>IF(H18=0,0,H18/TrRoad_act!H31*100)</f>
        <v>7.0985240461679355</v>
      </c>
      <c r="I61" s="32">
        <f>IF(I18=0,0,I18/TrRoad_act!I31*100)</f>
        <v>7.1062900293254332</v>
      </c>
      <c r="J61" s="32">
        <f>IF(J18=0,0,J18/TrRoad_act!J31*100)</f>
        <v>6.9699348193147879</v>
      </c>
      <c r="K61" s="32">
        <f>IF(K18=0,0,K18/TrRoad_act!K31*100)</f>
        <v>6.6001475148921891</v>
      </c>
      <c r="L61" s="32">
        <f>IF(L18=0,0,L18/TrRoad_act!L31*100)</f>
        <v>6.5604502654194849</v>
      </c>
      <c r="M61" s="32">
        <f>IF(M18=0,0,M18/TrRoad_act!M31*100)</f>
        <v>6.5310372738200106</v>
      </c>
      <c r="N61" s="32">
        <f>IF(N18=0,0,N18/TrRoad_act!N31*100)</f>
        <v>6.3545106596002849</v>
      </c>
      <c r="O61" s="32">
        <f>IF(O18=0,0,O18/TrRoad_act!O31*100)</f>
        <v>6.4783854826885454</v>
      </c>
      <c r="P61" s="32">
        <f>IF(P18=0,0,P18/TrRoad_act!P31*100)</f>
        <v>6.3817375067476378</v>
      </c>
      <c r="Q61" s="32">
        <f>IF(Q18=0,0,Q18/TrRoad_act!Q31*100)</f>
        <v>6.3968116586733483</v>
      </c>
      <c r="R61" s="32">
        <f>IF(R18=0,0,R18/TrRoad_act!R31*100)</f>
        <v>6.2566719681046976</v>
      </c>
      <c r="S61" s="32">
        <f>IF(S18=0,0,S18/TrRoad_act!S31*100)</f>
        <v>6.043748711926118</v>
      </c>
      <c r="T61" s="32">
        <f>IF(T18=0,0,T18/TrRoad_act!T31*100)</f>
        <v>6.2730849353546212</v>
      </c>
      <c r="U61" s="32">
        <f>IF(U18=0,0,U18/TrRoad_act!U31*100)</f>
        <v>6.2666187948745149</v>
      </c>
      <c r="V61" s="32">
        <f>IF(V18=0,0,V18/TrRoad_act!V31*100)</f>
        <v>6.1986730756565782</v>
      </c>
      <c r="W61" s="32">
        <f>IF(W18=0,0,W18/TrRoad_act!W31*100)</f>
        <v>7.0584148930773836</v>
      </c>
      <c r="X61" s="32">
        <f>IF(X18=0,0,X18/TrRoad_act!X31*100)</f>
        <v>6.9220825710216367</v>
      </c>
      <c r="Y61" s="32">
        <f>IF(Y18=0,0,Y18/TrRoad_act!Y31*100)</f>
        <v>6.4736972900033427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4.0082515400071923</v>
      </c>
      <c r="C62" s="141">
        <f>IF(C19=0,0,C19/TrRoad_act!C32*100)</f>
        <v>3.9485879940191149</v>
      </c>
      <c r="D62" s="141">
        <f>IF(D19=0,0,D19/TrRoad_act!D32*100)</f>
        <v>3.9007361795478257</v>
      </c>
      <c r="E62" s="141">
        <f>IF(E19=0,0,E19/TrRoad_act!E32*100)</f>
        <v>3.8466371313514416</v>
      </c>
      <c r="F62" s="141">
        <f>IF(F19=0,0,F19/TrRoad_act!F32*100)</f>
        <v>3.8027365054388489</v>
      </c>
      <c r="G62" s="141">
        <f>IF(G19=0,0,G19/TrRoad_act!G32*100)</f>
        <v>3.7600503086171875</v>
      </c>
      <c r="H62" s="141">
        <f>IF(H19=0,0,H19/TrRoad_act!H32*100)</f>
        <v>3.7100308282590677</v>
      </c>
      <c r="I62" s="141">
        <f>IF(I19=0,0,I19/TrRoad_act!I32*100)</f>
        <v>3.6536513915430548</v>
      </c>
      <c r="J62" s="141">
        <f>IF(J19=0,0,J19/TrRoad_act!J32*100)</f>
        <v>3.5954442350017066</v>
      </c>
      <c r="K62" s="141">
        <f>IF(K19=0,0,K19/TrRoad_act!K32*100)</f>
        <v>3.5202426448153732</v>
      </c>
      <c r="L62" s="141">
        <f>IF(L19=0,0,L19/TrRoad_act!L32*100)</f>
        <v>3.4766963755068989</v>
      </c>
      <c r="M62" s="141">
        <f>IF(M19=0,0,M19/TrRoad_act!M32*100)</f>
        <v>3.4296174474564718</v>
      </c>
      <c r="N62" s="141">
        <f>IF(N19=0,0,N19/TrRoad_act!N32*100)</f>
        <v>3.3532475629449978</v>
      </c>
      <c r="O62" s="141">
        <f>IF(O19=0,0,O19/TrRoad_act!O32*100)</f>
        <v>3.3260035172105336</v>
      </c>
      <c r="P62" s="141">
        <f>IF(P19=0,0,P19/TrRoad_act!P32*100)</f>
        <v>3.2635416508323205</v>
      </c>
      <c r="Q62" s="141">
        <f>IF(Q19=0,0,Q19/TrRoad_act!Q32*100)</f>
        <v>3.246688086071897</v>
      </c>
      <c r="R62" s="141">
        <f>IF(R19=0,0,R19/TrRoad_act!R32*100)</f>
        <v>3.2320342169695802</v>
      </c>
      <c r="S62" s="141">
        <f>IF(S19=0,0,S19/TrRoad_act!S32*100)</f>
        <v>3.2042486194713469</v>
      </c>
      <c r="T62" s="141">
        <f>IF(T19=0,0,T19/TrRoad_act!T32*100)</f>
        <v>3.1913291228159197</v>
      </c>
      <c r="U62" s="141">
        <f>IF(U19=0,0,U19/TrRoad_act!U32*100)</f>
        <v>3.1788651151299243</v>
      </c>
      <c r="V62" s="141">
        <f>IF(V19=0,0,V19/TrRoad_act!V32*100)</f>
        <v>3.1703074929728419</v>
      </c>
      <c r="W62" s="141">
        <f>IF(W19=0,0,W19/TrRoad_act!W32*100)</f>
        <v>3.1431552595576626</v>
      </c>
      <c r="X62" s="141">
        <f>IF(X19=0,0,X19/TrRoad_act!X32*100)</f>
        <v>3.1335220957060992</v>
      </c>
      <c r="Y62" s="141">
        <f>IF(Y19=0,0,Y19/TrRoad_act!Y32*100)</f>
        <v>3.132094476988724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6.6855589388546939</v>
      </c>
      <c r="C63" s="130">
        <f>IF(C21=0,0,C21/TrRoad_act!C33*100)</f>
        <v>6.4513664930583028</v>
      </c>
      <c r="D63" s="130">
        <f>IF(D21=0,0,D21/TrRoad_act!D33*100)</f>
        <v>6.5983761526205997</v>
      </c>
      <c r="E63" s="130">
        <f>IF(E21=0,0,E21/TrRoad_act!E33*100)</f>
        <v>6.5236742007752202</v>
      </c>
      <c r="F63" s="130">
        <f>IF(F21=0,0,F21/TrRoad_act!F33*100)</f>
        <v>6.5646783000343811</v>
      </c>
      <c r="G63" s="130">
        <f>IF(G21=0,0,G21/TrRoad_act!G33*100)</f>
        <v>6.6852931143600971</v>
      </c>
      <c r="H63" s="130">
        <f>IF(H21=0,0,H21/TrRoad_act!H33*100)</f>
        <v>6.9180869281646569</v>
      </c>
      <c r="I63" s="130">
        <f>IF(I21=0,0,I21/TrRoad_act!I33*100)</f>
        <v>6.8943032092500296</v>
      </c>
      <c r="J63" s="130">
        <f>IF(J21=0,0,J21/TrRoad_act!J33*100)</f>
        <v>6.760887868474116</v>
      </c>
      <c r="K63" s="130">
        <f>IF(K21=0,0,K21/TrRoad_act!K33*100)</f>
        <v>6.3564044279262033</v>
      </c>
      <c r="L63" s="130">
        <f>IF(L21=0,0,L21/TrRoad_act!L33*100)</f>
        <v>6.3070267633638295</v>
      </c>
      <c r="M63" s="130">
        <f>IF(M21=0,0,M21/TrRoad_act!M33*100)</f>
        <v>6.2676524773918469</v>
      </c>
      <c r="N63" s="130">
        <f>IF(N21=0,0,N21/TrRoad_act!N33*100)</f>
        <v>6.0797889937662646</v>
      </c>
      <c r="O63" s="130">
        <f>IF(O21=0,0,O21/TrRoad_act!O33*100)</f>
        <v>6.2122435924388517</v>
      </c>
      <c r="P63" s="130">
        <f>IF(P21=0,0,P21/TrRoad_act!P33*100)</f>
        <v>6.1340417853110658</v>
      </c>
      <c r="Q63" s="130">
        <f>IF(Q21=0,0,Q21/TrRoad_act!Q33*100)</f>
        <v>6.1370815837806392</v>
      </c>
      <c r="R63" s="130">
        <f>IF(R21=0,0,R21/TrRoad_act!R33*100)</f>
        <v>6.0015402689459343</v>
      </c>
      <c r="S63" s="130">
        <f>IF(S21=0,0,S21/TrRoad_act!S33*100)</f>
        <v>5.7591009076745303</v>
      </c>
      <c r="T63" s="130">
        <f>IF(T21=0,0,T21/TrRoad_act!T33*100)</f>
        <v>6.0015284695111308</v>
      </c>
      <c r="U63" s="130">
        <f>IF(U21=0,0,U21/TrRoad_act!U33*100)</f>
        <v>5.9941508350042341</v>
      </c>
      <c r="V63" s="130">
        <f>IF(V21=0,0,V21/TrRoad_act!V33*100)</f>
        <v>5.8241688352944934</v>
      </c>
      <c r="W63" s="130">
        <f>IF(W21=0,0,W21/TrRoad_act!W33*100)</f>
        <v>6.7871534197712888</v>
      </c>
      <c r="X63" s="130">
        <f>IF(X21=0,0,X21/TrRoad_act!X33*100)</f>
        <v>6.6878007236840675</v>
      </c>
      <c r="Y63" s="130">
        <f>IF(Y21=0,0,Y21/TrRoad_act!Y33*100)</f>
        <v>6.2577960201726306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6.5107811398054549</v>
      </c>
      <c r="C64" s="96">
        <f>IF(C22=0,0,C22/TrRoad_act!C34*100)</f>
        <v>6.3465055196883498</v>
      </c>
      <c r="D64" s="96">
        <f>IF(D22=0,0,D22/TrRoad_act!D34*100)</f>
        <v>6.5481882159531297</v>
      </c>
      <c r="E64" s="96">
        <f>IF(E22=0,0,E22/TrRoad_act!E34*100)</f>
        <v>6.4775795462491681</v>
      </c>
      <c r="F64" s="96">
        <f>IF(F22=0,0,F22/TrRoad_act!F34*100)</f>
        <v>6.6901034306281302</v>
      </c>
      <c r="G64" s="96">
        <f>IF(G22=0,0,G22/TrRoad_act!G34*100)</f>
        <v>6.9759455988055139</v>
      </c>
      <c r="H64" s="96">
        <f>IF(H22=0,0,H22/TrRoad_act!H34*100)</f>
        <v>7.6369475314738411</v>
      </c>
      <c r="I64" s="96">
        <f>IF(I22=0,0,I22/TrRoad_act!I34*100)</f>
        <v>7.4586321351647209</v>
      </c>
      <c r="J64" s="96">
        <f>IF(J22=0,0,J22/TrRoad_act!J34*100)</f>
        <v>6.847079061202284</v>
      </c>
      <c r="K64" s="96">
        <f>IF(K22=0,0,K22/TrRoad_act!K34*100)</f>
        <v>6.1097702262591111</v>
      </c>
      <c r="L64" s="96">
        <f>IF(L22=0,0,L22/TrRoad_act!L34*100)</f>
        <v>5.9540088128750339</v>
      </c>
      <c r="M64" s="96">
        <f>IF(M22=0,0,M22/TrRoad_act!M34*100)</f>
        <v>5.8508712793199562</v>
      </c>
      <c r="N64" s="96">
        <f>IF(N22=0,0,N22/TrRoad_act!N34*100)</f>
        <v>5.8357457859798618</v>
      </c>
      <c r="O64" s="96">
        <f>IF(O22=0,0,O22/TrRoad_act!O34*100)</f>
        <v>5.8225186367406199</v>
      </c>
      <c r="P64" s="96">
        <f>IF(P22=0,0,P22/TrRoad_act!P34*100)</f>
        <v>5.7804781073295199</v>
      </c>
      <c r="Q64" s="96">
        <f>IF(Q22=0,0,Q22/TrRoad_act!Q34*100)</f>
        <v>5.790032160580064</v>
      </c>
      <c r="R64" s="96">
        <f>IF(R22=0,0,R22/TrRoad_act!R34*100)</f>
        <v>5.4282814808512283</v>
      </c>
      <c r="S64" s="96">
        <f>IF(S22=0,0,S22/TrRoad_act!S34*100)</f>
        <v>5.390524725727337</v>
      </c>
      <c r="T64" s="96">
        <f>IF(T22=0,0,T22/TrRoad_act!T34*100)</f>
        <v>6.0063107351486407</v>
      </c>
      <c r="U64" s="96">
        <f>IF(U22=0,0,U22/TrRoad_act!U34*100)</f>
        <v>5.9236594611536475</v>
      </c>
      <c r="V64" s="96">
        <f>IF(V22=0,0,V22/TrRoad_act!V34*100)</f>
        <v>5.8773737905813697</v>
      </c>
      <c r="W64" s="96">
        <f>IF(W22=0,0,W22/TrRoad_act!W34*100)</f>
        <v>7.1409553110308517</v>
      </c>
      <c r="X64" s="96">
        <f>IF(X22=0,0,X22/TrRoad_act!X34*100)</f>
        <v>7.5512344764865693</v>
      </c>
      <c r="Y64" s="96">
        <f>IF(Y22=0,0,Y22/TrRoad_act!Y34*100)</f>
        <v>6.908602067636922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7.0912862247828983</v>
      </c>
      <c r="C65" s="96">
        <f>IF(C24=0,0,C24/TrRoad_act!C35*100)</f>
        <v>6.552835719522335</v>
      </c>
      <c r="D65" s="96">
        <f>IF(D24=0,0,D24/TrRoad_act!D35*100)</f>
        <v>6.6004185590792037</v>
      </c>
      <c r="E65" s="96">
        <f>IF(E24=0,0,E24/TrRoad_act!E35*100)</f>
        <v>6.514923307543552</v>
      </c>
      <c r="F65" s="96">
        <f>IF(F24=0,0,F24/TrRoad_act!F35*100)</f>
        <v>6.3897307609483658</v>
      </c>
      <c r="G65" s="96">
        <f>IF(G24=0,0,G24/TrRoad_act!G35*100)</f>
        <v>6.3714127600450778</v>
      </c>
      <c r="H65" s="96">
        <f>IF(H24=0,0,H24/TrRoad_act!H35*100)</f>
        <v>6.3630250921759144</v>
      </c>
      <c r="I65" s="96">
        <f>IF(I24=0,0,I24/TrRoad_act!I35*100)</f>
        <v>6.5117361004480676</v>
      </c>
      <c r="J65" s="96">
        <f>IF(J24=0,0,J24/TrRoad_act!J35*100)</f>
        <v>6.6597257127430183</v>
      </c>
      <c r="K65" s="96">
        <f>IF(K24=0,0,K24/TrRoad_act!K35*100)</f>
        <v>6.5574113204817861</v>
      </c>
      <c r="L65" s="96">
        <f>IF(L24=0,0,L24/TrRoad_act!L35*100)</f>
        <v>6.567957690469842</v>
      </c>
      <c r="M65" s="96">
        <f>IF(M24=0,0,M24/TrRoad_act!M35*100)</f>
        <v>6.536363182477646</v>
      </c>
      <c r="N65" s="96">
        <f>IF(N24=0,0,N24/TrRoad_act!N35*100)</f>
        <v>6.1585012678341204</v>
      </c>
      <c r="O65" s="96">
        <f>IF(O24=0,0,O24/TrRoad_act!O35*100)</f>
        <v>6.3973013324561911</v>
      </c>
      <c r="P65" s="96">
        <f>IF(P24=0,0,P24/TrRoad_act!P35*100)</f>
        <v>6.2806846730756636</v>
      </c>
      <c r="Q65" s="96">
        <f>IF(Q24=0,0,Q24/TrRoad_act!Q35*100)</f>
        <v>6.294082954967263</v>
      </c>
      <c r="R65" s="96">
        <f>IF(R24=0,0,R24/TrRoad_act!R35*100)</f>
        <v>6.2855818275913675</v>
      </c>
      <c r="S65" s="96">
        <f>IF(S24=0,0,S24/TrRoad_act!S35*100)</f>
        <v>5.9284336065306888</v>
      </c>
      <c r="T65" s="96">
        <f>IF(T24=0,0,T24/TrRoad_act!T35*100)</f>
        <v>6.073247193298922</v>
      </c>
      <c r="U65" s="96">
        <f>IF(U24=0,0,U24/TrRoad_act!U35*100)</f>
        <v>6.0692603081310459</v>
      </c>
      <c r="V65" s="96">
        <f>IF(V24=0,0,V24/TrRoad_act!V35*100)</f>
        <v>5.8276659596103038</v>
      </c>
      <c r="W65" s="96">
        <f>IF(W24=0,0,W24/TrRoad_act!W35*100)</f>
        <v>6.825080011799141</v>
      </c>
      <c r="X65" s="96">
        <f>IF(X24=0,0,X24/TrRoad_act!X35*100)</f>
        <v>6.491596162956748</v>
      </c>
      <c r="Y65" s="96">
        <f>IF(Y24=0,0,Y24/TrRoad_act!Y35*100)</f>
        <v>6.0992916788670275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6.8564570147002541</v>
      </c>
      <c r="C66" s="96">
        <f>IF(C26=0,0,C26/TrRoad_act!C36*100)</f>
        <v>6.8738367118358967</v>
      </c>
      <c r="D66" s="96">
        <f>IF(D26=0,0,D26/TrRoad_act!D36*100)</f>
        <v>6.8916372768924266</v>
      </c>
      <c r="E66" s="96">
        <f>IF(E26=0,0,E26/TrRoad_act!E36*100)</f>
        <v>6.8243908456288276</v>
      </c>
      <c r="F66" s="96">
        <f>IF(F26=0,0,F26/TrRoad_act!F36*100)</f>
        <v>6.2925437581601811</v>
      </c>
      <c r="G66" s="96">
        <f>IF(G26=0,0,G26/TrRoad_act!G36*100)</f>
        <v>6.0229939828743886</v>
      </c>
      <c r="H66" s="96">
        <f>IF(H26=0,0,H26/TrRoad_act!H36*100)</f>
        <v>5.7934885697575274</v>
      </c>
      <c r="I66" s="96">
        <f>IF(I26=0,0,I26/TrRoad_act!I36*100)</f>
        <v>5.6803109893989383</v>
      </c>
      <c r="J66" s="96">
        <f>IF(J26=0,0,J26/TrRoad_act!J36*100)</f>
        <v>6.6329416350608152</v>
      </c>
      <c r="K66" s="96">
        <f>IF(K26=0,0,K26/TrRoad_act!K36*100)</f>
        <v>6.2005747990951114</v>
      </c>
      <c r="L66" s="96">
        <f>IF(L26=0,0,L26/TrRoad_act!L36*100)</f>
        <v>6.1390001357597548</v>
      </c>
      <c r="M66" s="96">
        <f>IF(M26=0,0,M26/TrRoad_act!M36*100)</f>
        <v>6.4677579147954898</v>
      </c>
      <c r="N66" s="96">
        <f>IF(N26=0,0,N26/TrRoad_act!N36*100)</f>
        <v>6.4280040484648815</v>
      </c>
      <c r="O66" s="96">
        <f>IF(O26=0,0,O26/TrRoad_act!O36*100)</f>
        <v>6.4263536085375712</v>
      </c>
      <c r="P66" s="96">
        <f>IF(P26=0,0,P26/TrRoad_act!P36*100)</f>
        <v>6.3734155780199906</v>
      </c>
      <c r="Q66" s="96">
        <f>IF(Q26=0,0,Q26/TrRoad_act!Q36*100)</f>
        <v>6.1666922486489844</v>
      </c>
      <c r="R66" s="96">
        <f>IF(R26=0,0,R26/TrRoad_act!R36*100)</f>
        <v>5.9024824663938604</v>
      </c>
      <c r="S66" s="96">
        <f>IF(S26=0,0,S26/TrRoad_act!S36*100)</f>
        <v>5.864568573771729</v>
      </c>
      <c r="T66" s="96">
        <f>IF(T26=0,0,T26/TrRoad_act!T36*100)</f>
        <v>5.665848054298559</v>
      </c>
      <c r="U66" s="96">
        <f>IF(U26=0,0,U26/TrRoad_act!U36*100)</f>
        <v>5.5729689430158258</v>
      </c>
      <c r="V66" s="96">
        <f>IF(V26=0,0,V26/TrRoad_act!V36*100)</f>
        <v>5.5256030927083319</v>
      </c>
      <c r="W66" s="96">
        <f>IF(W26=0,0,W26/TrRoad_act!W36*100)</f>
        <v>5.7239256598125658</v>
      </c>
      <c r="X66" s="96">
        <f>IF(X26=0,0,X26/TrRoad_act!X36*100)</f>
        <v>5.6956298262100731</v>
      </c>
      <c r="Y66" s="96">
        <f>IF(Y26=0,0,Y26/TrRoad_act!Y36*100)</f>
        <v>5.4905029433511752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8.075410796584082</v>
      </c>
      <c r="C67" s="96">
        <f>IF(C27=0,0,C27/TrRoad_act!C37*100)</f>
        <v>7.9024317518396892</v>
      </c>
      <c r="D67" s="96">
        <f>IF(D27=0,0,D27/TrRoad_act!D37*100)</f>
        <v>7.7914461810639102</v>
      </c>
      <c r="E67" s="96">
        <f>IF(E27=0,0,E27/TrRoad_act!E37*100)</f>
        <v>7.7950757884960575</v>
      </c>
      <c r="F67" s="96">
        <f>IF(F27=0,0,F27/TrRoad_act!F37*100)</f>
        <v>7.9834071360087311</v>
      </c>
      <c r="G67" s="96">
        <f>IF(G27=0,0,G27/TrRoad_act!G37*100)</f>
        <v>8.278125753663943</v>
      </c>
      <c r="H67" s="96">
        <f>IF(H27=0,0,H27/TrRoad_act!H37*100)</f>
        <v>8.4693802709860861</v>
      </c>
      <c r="I67" s="96">
        <f>IF(I27=0,0,I27/TrRoad_act!I37*100)</f>
        <v>8.2897468283460274</v>
      </c>
      <c r="J67" s="96">
        <f>IF(J27=0,0,J27/TrRoad_act!J37*100)</f>
        <v>8.0875815935110662</v>
      </c>
      <c r="K67" s="96">
        <f>IF(K27=0,0,K27/TrRoad_act!K37*100)</f>
        <v>6.9502868277030281</v>
      </c>
      <c r="L67" s="96">
        <f>IF(L27=0,0,L27/TrRoad_act!L37*100)</f>
        <v>7.6531762670913244</v>
      </c>
      <c r="M67" s="96">
        <f>IF(M27=0,0,M27/TrRoad_act!M37*100)</f>
        <v>7.5501025359412459</v>
      </c>
      <c r="N67" s="96">
        <f>IF(N27=0,0,N27/TrRoad_act!N37*100)</f>
        <v>7.4232283136031727</v>
      </c>
      <c r="O67" s="96">
        <f>IF(O27=0,0,O27/TrRoad_act!O37*100)</f>
        <v>7.3083529028962992</v>
      </c>
      <c r="P67" s="96">
        <f>IF(P27=0,0,P27/TrRoad_act!P37*100)</f>
        <v>7.0040042428877101</v>
      </c>
      <c r="Q67" s="96">
        <f>IF(Q27=0,0,Q27/TrRoad_act!Q37*100)</f>
        <v>6.9910284641712614</v>
      </c>
      <c r="R67" s="96">
        <f>IF(R27=0,0,R27/TrRoad_act!R37*100)</f>
        <v>6.7871766124442772</v>
      </c>
      <c r="S67" s="96">
        <f>IF(S27=0,0,S27/TrRoad_act!S37*100)</f>
        <v>5.8908405828830226</v>
      </c>
      <c r="T67" s="96">
        <f>IF(T27=0,0,T27/TrRoad_act!T37*100)</f>
        <v>5.5836027023593431</v>
      </c>
      <c r="U67" s="96">
        <f>IF(U27=0,0,U27/TrRoad_act!U37*100)</f>
        <v>6.5753858270338386</v>
      </c>
      <c r="V67" s="96">
        <f>IF(V27=0,0,V27/TrRoad_act!V37*100)</f>
        <v>6.493255932138978</v>
      </c>
      <c r="W67" s="96">
        <f>IF(W27=0,0,W27/TrRoad_act!W37*100)</f>
        <v>6.9763214816259742</v>
      </c>
      <c r="X67" s="96">
        <f>IF(X27=0,0,X27/TrRoad_act!X37*100)</f>
        <v>6.342322496901029</v>
      </c>
      <c r="Y67" s="96">
        <f>IF(Y27=0,0,Y27/TrRoad_act!Y37*100)</f>
        <v>6.2638096815819599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4.4074577262231323</v>
      </c>
      <c r="O68" s="96">
        <f>IF(O29=0,0,O29/TrRoad_act!O38*100)</f>
        <v>4.9519241728932855</v>
      </c>
      <c r="P68" s="96">
        <f>IF(P29=0,0,P29/TrRoad_act!P38*100)</f>
        <v>4.9617365083864584</v>
      </c>
      <c r="Q68" s="96">
        <f>IF(Q29=0,0,Q29/TrRoad_act!Q38*100)</f>
        <v>4.9906780604167595</v>
      </c>
      <c r="R68" s="96">
        <f>IF(R29=0,0,R29/TrRoad_act!R38*100)</f>
        <v>4.7203101009519424</v>
      </c>
      <c r="S68" s="96">
        <f>IF(S29=0,0,S29/TrRoad_act!S38*100)</f>
        <v>4.7036660695722752</v>
      </c>
      <c r="T68" s="96">
        <f>IF(T29=0,0,T29/TrRoad_act!T38*100)</f>
        <v>5.0287191615626252</v>
      </c>
      <c r="U68" s="96">
        <f>IF(U29=0,0,U29/TrRoad_act!U38*100)</f>
        <v>4.8631413423058962</v>
      </c>
      <c r="V68" s="96">
        <f>IF(V29=0,0,V29/TrRoad_act!V38*100)</f>
        <v>4.2164568338647994</v>
      </c>
      <c r="W68" s="96">
        <f>IF(W29=0,0,W29/TrRoad_act!W38*100)</f>
        <v>4.2950069837720584</v>
      </c>
      <c r="X68" s="96">
        <f>IF(X29=0,0,X29/TrRoad_act!X38*100)</f>
        <v>4.1075130552328529</v>
      </c>
      <c r="Y68" s="96">
        <f>IF(Y29=0,0,Y29/TrRoad_act!Y38*100)</f>
        <v>3.6807125636454483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1.3771975863074497</v>
      </c>
      <c r="M69" s="96">
        <f>IF(M32=0,0,M32/TrRoad_act!M39*100)</f>
        <v>1.3810784091625592</v>
      </c>
      <c r="N69" s="96">
        <f>IF(N32=0,0,N32/TrRoad_act!N39*100)</f>
        <v>1.3742914327750295</v>
      </c>
      <c r="O69" s="96">
        <f>IF(O32=0,0,O32/TrRoad_act!O39*100)</f>
        <v>1.36961604102199</v>
      </c>
      <c r="P69" s="96">
        <f>IF(P32=0,0,P32/TrRoad_act!P39*100)</f>
        <v>1.3601231921978925</v>
      </c>
      <c r="Q69" s="96">
        <f>IF(Q32=0,0,Q32/TrRoad_act!Q39*100)</f>
        <v>1.3321208913453628</v>
      </c>
      <c r="R69" s="96">
        <f>IF(R32=0,0,R32/TrRoad_act!R39*100)</f>
        <v>1.3155435569474623</v>
      </c>
      <c r="S69" s="96">
        <f>IF(S32=0,0,S32/TrRoad_act!S39*100)</f>
        <v>1.2999451244443261</v>
      </c>
      <c r="T69" s="96">
        <f>IF(T32=0,0,T32/TrRoad_act!T39*100)</f>
        <v>1.2922880269864414</v>
      </c>
      <c r="U69" s="96">
        <f>IF(U32=0,0,U32/TrRoad_act!U39*100)</f>
        <v>1.4189939499104931</v>
      </c>
      <c r="V69" s="96">
        <f>IF(V32=0,0,V32/TrRoad_act!V39*100)</f>
        <v>1.5066055122546858</v>
      </c>
      <c r="W69" s="96">
        <f>IF(W32=0,0,W32/TrRoad_act!W39*100)</f>
        <v>1.5157782262627388</v>
      </c>
      <c r="X69" s="96">
        <f>IF(X32=0,0,X32/TrRoad_act!X39*100)</f>
        <v>1.5278952325557122</v>
      </c>
      <c r="Y69" s="96">
        <f>IF(Y32=0,0,Y32/TrRoad_act!Y39*100)</f>
        <v>1.5349807359146779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55.600069072461025</v>
      </c>
      <c r="C70" s="130">
        <f>IF(C33=0,0,C33/TrRoad_act!C40*100)</f>
        <v>54.51849967468263</v>
      </c>
      <c r="D70" s="130">
        <f>IF(D33=0,0,D33/TrRoad_act!D40*100)</f>
        <v>54.017341899221762</v>
      </c>
      <c r="E70" s="130">
        <f>IF(E33=0,0,E33/TrRoad_act!E40*100)</f>
        <v>53.351509557497977</v>
      </c>
      <c r="F70" s="130">
        <f>IF(F33=0,0,F33/TrRoad_act!F40*100)</f>
        <v>53.005937059544983</v>
      </c>
      <c r="G70" s="130">
        <f>IF(G33=0,0,G33/TrRoad_act!G40*100)</f>
        <v>52.403983167499632</v>
      </c>
      <c r="H70" s="130">
        <f>IF(H33=0,0,H33/TrRoad_act!H40*100)</f>
        <v>51.715377106054142</v>
      </c>
      <c r="I70" s="130">
        <f>IF(I33=0,0,I33/TrRoad_act!I40*100)</f>
        <v>51.657196946675434</v>
      </c>
      <c r="J70" s="130">
        <f>IF(J33=0,0,J33/TrRoad_act!J40*100)</f>
        <v>51.996145842228124</v>
      </c>
      <c r="K70" s="130">
        <f>IF(K33=0,0,K33/TrRoad_act!K40*100)</f>
        <v>51.432332937995959</v>
      </c>
      <c r="L70" s="130">
        <f>IF(L33=0,0,L33/TrRoad_act!L40*100)</f>
        <v>51.350525901449217</v>
      </c>
      <c r="M70" s="130">
        <f>IF(M33=0,0,M33/TrRoad_act!M40*100)</f>
        <v>51.751853019777215</v>
      </c>
      <c r="N70" s="130">
        <f>IF(N33=0,0,N33/TrRoad_act!N40*100)</f>
        <v>52.149347772483011</v>
      </c>
      <c r="O70" s="130">
        <f>IF(O33=0,0,O33/TrRoad_act!O40*100)</f>
        <v>52.206962210681141</v>
      </c>
      <c r="P70" s="130">
        <f>IF(P33=0,0,P33/TrRoad_act!P40*100)</f>
        <v>52.07961865472177</v>
      </c>
      <c r="Q70" s="130">
        <f>IF(Q33=0,0,Q33/TrRoad_act!Q40*100)</f>
        <v>52.823060234002028</v>
      </c>
      <c r="R70" s="130">
        <f>IF(R33=0,0,R33/TrRoad_act!R40*100)</f>
        <v>52.432462355765864</v>
      </c>
      <c r="S70" s="130">
        <f>IF(S33=0,0,S33/TrRoad_act!S40*100)</f>
        <v>52.696324968478415</v>
      </c>
      <c r="T70" s="130">
        <f>IF(T33=0,0,T33/TrRoad_act!T40*100)</f>
        <v>51.349746290096498</v>
      </c>
      <c r="U70" s="130">
        <f>IF(U33=0,0,U33/TrRoad_act!U40*100)</f>
        <v>52.728104727478744</v>
      </c>
      <c r="V70" s="130">
        <f>IF(V33=0,0,V33/TrRoad_act!V40*100)</f>
        <v>51.641624982555904</v>
      </c>
      <c r="W70" s="130">
        <f>IF(W33=0,0,W33/TrRoad_act!W40*100)</f>
        <v>53.201199929995411</v>
      </c>
      <c r="X70" s="130">
        <f>IF(X33=0,0,X33/TrRoad_act!X40*100)</f>
        <v>50.756968863895736</v>
      </c>
      <c r="Y70" s="130">
        <f>IF(Y33=0,0,Y33/TrRoad_act!Y40*100)</f>
        <v>49.277555967574337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16.925812600711147</v>
      </c>
      <c r="C71" s="97">
        <f>IF(C34=0,0,C34/TrRoad_act!C41*100)</f>
        <v>16.925812600711154</v>
      </c>
      <c r="D71" s="97">
        <f>IF(D34=0,0,D34/TrRoad_act!D41*100)</f>
        <v>16.925812600711147</v>
      </c>
      <c r="E71" s="97">
        <f>IF(E34=0,0,E34/TrRoad_act!E41*100)</f>
        <v>16.925812600711151</v>
      </c>
      <c r="F71" s="97">
        <f>IF(F34=0,0,F34/TrRoad_act!F41*100)</f>
        <v>16.925812600711147</v>
      </c>
      <c r="G71" s="97">
        <f>IF(G34=0,0,G34/TrRoad_act!G41*100)</f>
        <v>16.925812600711147</v>
      </c>
      <c r="H71" s="97">
        <f>IF(H34=0,0,H34/TrRoad_act!H41*100)</f>
        <v>16.925812600711151</v>
      </c>
      <c r="I71" s="97">
        <f>IF(I34=0,0,I34/TrRoad_act!I41*100)</f>
        <v>16.855272301794802</v>
      </c>
      <c r="J71" s="97">
        <f>IF(J34=0,0,J34/TrRoad_act!J41*100)</f>
        <v>16.615022434697551</v>
      </c>
      <c r="K71" s="97">
        <f>IF(K34=0,0,K34/TrRoad_act!K41*100)</f>
        <v>16.419591928142371</v>
      </c>
      <c r="L71" s="97">
        <f>IF(L34=0,0,L34/TrRoad_act!L41*100)</f>
        <v>16.273154180120677</v>
      </c>
      <c r="M71" s="97">
        <f>IF(M34=0,0,M34/TrRoad_act!M41*100)</f>
        <v>16.162342185941842</v>
      </c>
      <c r="N71" s="97">
        <f>IF(N34=0,0,N34/TrRoad_act!N41*100)</f>
        <v>16.113389084134305</v>
      </c>
      <c r="O71" s="97">
        <f>IF(O34=0,0,O34/TrRoad_act!O41*100)</f>
        <v>14.264928502359659</v>
      </c>
      <c r="P71" s="97">
        <f>IF(P34=0,0,P34/TrRoad_act!P41*100)</f>
        <v>13.396047571322667</v>
      </c>
      <c r="Q71" s="97">
        <f>IF(Q34=0,0,Q34/TrRoad_act!Q41*100)</f>
        <v>13.312607136125207</v>
      </c>
      <c r="R71" s="97">
        <f>IF(R34=0,0,R34/TrRoad_act!R41*100)</f>
        <v>13.306698212281102</v>
      </c>
      <c r="S71" s="97">
        <f>IF(S34=0,0,S34/TrRoad_act!S41*100)</f>
        <v>13.253454490007663</v>
      </c>
      <c r="T71" s="97">
        <f>IF(T34=0,0,T34/TrRoad_act!T41*100)</f>
        <v>13.24896473774864</v>
      </c>
      <c r="U71" s="97">
        <f>IF(U34=0,0,U34/TrRoad_act!U41*100)</f>
        <v>12.7813743633748</v>
      </c>
      <c r="V71" s="97">
        <f>IF(V34=0,0,V34/TrRoad_act!V41*100)</f>
        <v>12.762971029916418</v>
      </c>
      <c r="W71" s="97">
        <f>IF(W34=0,0,W34/TrRoad_act!W41*100)</f>
        <v>12.726662741091138</v>
      </c>
      <c r="X71" s="97">
        <f>IF(X34=0,0,X34/TrRoad_act!X41*100)</f>
        <v>12.652989843849971</v>
      </c>
      <c r="Y71" s="97">
        <f>IF(Y34=0,0,Y34/TrRoad_act!Y41*100)</f>
        <v>12.578760913928239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56.231796624535988</v>
      </c>
      <c r="C72" s="97">
        <f>IF(C36=0,0,C36/TrRoad_act!C42*100)</f>
        <v>55.085089092986358</v>
      </c>
      <c r="D72" s="97">
        <f>IF(D36=0,0,D36/TrRoad_act!D42*100)</f>
        <v>54.493201938234733</v>
      </c>
      <c r="E72" s="97">
        <f>IF(E36=0,0,E36/TrRoad_act!E42*100)</f>
        <v>54.028768618883035</v>
      </c>
      <c r="F72" s="97">
        <f>IF(F36=0,0,F36/TrRoad_act!F42*100)</f>
        <v>53.669162164836294</v>
      </c>
      <c r="G72" s="97">
        <f>IF(G36=0,0,G36/TrRoad_act!G42*100)</f>
        <v>53.383526588328401</v>
      </c>
      <c r="H72" s="97">
        <f>IF(H36=0,0,H36/TrRoad_act!H42*100)</f>
        <v>53.170211678831258</v>
      </c>
      <c r="I72" s="97">
        <f>IF(I36=0,0,I36/TrRoad_act!I42*100)</f>
        <v>53.044580614136706</v>
      </c>
      <c r="J72" s="97">
        <f>IF(J36=0,0,J36/TrRoad_act!J42*100)</f>
        <v>52.93322241870392</v>
      </c>
      <c r="K72" s="97">
        <f>IF(K36=0,0,K36/TrRoad_act!K42*100)</f>
        <v>52.814582607118851</v>
      </c>
      <c r="L72" s="97">
        <f>IF(L36=0,0,L36/TrRoad_act!L42*100)</f>
        <v>52.746032160768678</v>
      </c>
      <c r="M72" s="97">
        <f>IF(M36=0,0,M36/TrRoad_act!M42*100)</f>
        <v>52.739516440009538</v>
      </c>
      <c r="N72" s="97">
        <f>IF(N36=0,0,N36/TrRoad_act!N42*100)</f>
        <v>52.762103612080956</v>
      </c>
      <c r="O72" s="97">
        <f>IF(O36=0,0,O36/TrRoad_act!O42*100)</f>
        <v>52.89821432282217</v>
      </c>
      <c r="P72" s="97">
        <f>IF(P36=0,0,P36/TrRoad_act!P42*100)</f>
        <v>53.085010946353904</v>
      </c>
      <c r="Q72" s="97">
        <f>IF(Q36=0,0,Q36/TrRoad_act!Q42*100)</f>
        <v>53.424345581697317</v>
      </c>
      <c r="R72" s="97">
        <f>IF(R36=0,0,R36/TrRoad_act!R42*100)</f>
        <v>53.697378975142385</v>
      </c>
      <c r="S72" s="97">
        <f>IF(S36=0,0,S36/TrRoad_act!S42*100)</f>
        <v>53.915853425871916</v>
      </c>
      <c r="T72" s="97">
        <f>IF(T36=0,0,T36/TrRoad_act!T42*100)</f>
        <v>54.052979947672988</v>
      </c>
      <c r="U72" s="97">
        <f>IF(U36=0,0,U36/TrRoad_act!U42*100)</f>
        <v>54.08335733687597</v>
      </c>
      <c r="V72" s="97">
        <f>IF(V36=0,0,V36/TrRoad_act!V42*100)</f>
        <v>53.998441386339444</v>
      </c>
      <c r="W72" s="97">
        <f>IF(W36=0,0,W36/TrRoad_act!W42*100)</f>
        <v>53.633295569802385</v>
      </c>
      <c r="X72" s="97">
        <f>IF(X36=0,0,X36/TrRoad_act!X42*100)</f>
        <v>53.156475704889836</v>
      </c>
      <c r="Y72" s="97">
        <f>IF(Y36=0,0,Y36/TrRoad_act!Y42*100)</f>
        <v>52.525988710788404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47.100869164727854</v>
      </c>
      <c r="C73" s="97">
        <f>IF(C38=0,0,C38/TrRoad_act!C43*100)</f>
        <v>46.410416339853377</v>
      </c>
      <c r="D73" s="97">
        <f>IF(D38=0,0,D38/TrRoad_act!D43*100)</f>
        <v>46.382247712309663</v>
      </c>
      <c r="E73" s="97">
        <f>IF(E38=0,0,E38/TrRoad_act!E43*100)</f>
        <v>45.701077606074278</v>
      </c>
      <c r="F73" s="97">
        <f>IF(F38=0,0,F38/TrRoad_act!F43*100)</f>
        <v>44.649105155600722</v>
      </c>
      <c r="G73" s="97">
        <f>IF(G38=0,0,G38/TrRoad_act!G43*100)</f>
        <v>44.301878295429603</v>
      </c>
      <c r="H73" s="97">
        <f>IF(H38=0,0,H38/TrRoad_act!H43*100)</f>
        <v>44.256519077413451</v>
      </c>
      <c r="I73" s="97">
        <f>IF(I38=0,0,I38/TrRoad_act!I43*100)</f>
        <v>44.216473936417493</v>
      </c>
      <c r="J73" s="97">
        <f>IF(J38=0,0,J38/TrRoad_act!J43*100)</f>
        <v>44.250056294814222</v>
      </c>
      <c r="K73" s="97">
        <f>IF(K38=0,0,K38/TrRoad_act!K43*100)</f>
        <v>44.263069491912468</v>
      </c>
      <c r="L73" s="97">
        <f>IF(L38=0,0,L38/TrRoad_act!L43*100)</f>
        <v>44.264718814583034</v>
      </c>
      <c r="M73" s="97">
        <f>IF(M38=0,0,M38/TrRoad_act!M43*100)</f>
        <v>44.22353859607739</v>
      </c>
      <c r="N73" s="97">
        <f>IF(N38=0,0,N38/TrRoad_act!N43*100)</f>
        <v>44.195980199182451</v>
      </c>
      <c r="O73" s="97">
        <f>IF(O38=0,0,O38/TrRoad_act!O43*100)</f>
        <v>44.174040175661375</v>
      </c>
      <c r="P73" s="97">
        <f>IF(P38=0,0,P38/TrRoad_act!P43*100)</f>
        <v>44.155346980745911</v>
      </c>
      <c r="Q73" s="97">
        <f>IF(Q38=0,0,Q38/TrRoad_act!Q43*100)</f>
        <v>44.134527473067173</v>
      </c>
      <c r="R73" s="97">
        <f>IF(R38=0,0,R38/TrRoad_act!R43*100)</f>
        <v>44.117876770321004</v>
      </c>
      <c r="S73" s="97">
        <f>IF(S38=0,0,S38/TrRoad_act!S43*100)</f>
        <v>44.120974980036301</v>
      </c>
      <c r="T73" s="97">
        <f>IF(T38=0,0,T38/TrRoad_act!T43*100)</f>
        <v>44.12806450534584</v>
      </c>
      <c r="U73" s="97">
        <f>IF(U38=0,0,U38/TrRoad_act!U43*100)</f>
        <v>44.123803526057259</v>
      </c>
      <c r="V73" s="97">
        <f>IF(V38=0,0,V38/TrRoad_act!V43*100)</f>
        <v>44.217482739800616</v>
      </c>
      <c r="W73" s="97">
        <f>IF(W38=0,0,W38/TrRoad_act!W43*100)</f>
        <v>44.234796639674265</v>
      </c>
      <c r="X73" s="97">
        <f>IF(X38=0,0,X38/TrRoad_act!X43*100)</f>
        <v>44.244257460568178</v>
      </c>
      <c r="Y73" s="97">
        <f>IF(Y38=0,0,Y38/TrRoad_act!Y43*100)</f>
        <v>44.298962548093868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4.1558255537052311</v>
      </c>
      <c r="C74" s="97">
        <f>IF(C39=0,0,C39/TrRoad_act!C44*100)</f>
        <v>4.1052655545209289</v>
      </c>
      <c r="D74" s="97">
        <f>IF(D39=0,0,D39/TrRoad_act!D44*100)</f>
        <v>4.1031566026521551</v>
      </c>
      <c r="E74" s="97">
        <f>IF(E39=0,0,E39/TrRoad_act!E44*100)</f>
        <v>3.918425875872066</v>
      </c>
      <c r="F74" s="97">
        <f>IF(F39=0,0,F39/TrRoad_act!F44*100)</f>
        <v>3.9000132416541211</v>
      </c>
      <c r="G74" s="97">
        <f>IF(G39=0,0,G39/TrRoad_act!G44*100)</f>
        <v>3.8298806050520966</v>
      </c>
      <c r="H74" s="97">
        <f>IF(H39=0,0,H39/TrRoad_act!H44*100)</f>
        <v>3.8172809805777779</v>
      </c>
      <c r="I74" s="97">
        <f>IF(I39=0,0,I39/TrRoad_act!I44*100)</f>
        <v>12.546290793251844</v>
      </c>
      <c r="J74" s="97">
        <f>IF(J39=0,0,J39/TrRoad_act!J44*100)</f>
        <v>27.926926491783881</v>
      </c>
      <c r="K74" s="97">
        <f>IF(K39=0,0,K39/TrRoad_act!K44*100)</f>
        <v>20.062501872520482</v>
      </c>
      <c r="L74" s="97">
        <f>IF(L39=0,0,L39/TrRoad_act!L44*100)</f>
        <v>21.157760049659014</v>
      </c>
      <c r="M74" s="97">
        <f>IF(M39=0,0,M39/TrRoad_act!M44*100)</f>
        <v>33.720580164237049</v>
      </c>
      <c r="N74" s="97">
        <f>IF(N39=0,0,N39/TrRoad_act!N44*100)</f>
        <v>42.315199349879627</v>
      </c>
      <c r="O74" s="97">
        <f>IF(O39=0,0,O39/TrRoad_act!O44*100)</f>
        <v>44.97568348688668</v>
      </c>
      <c r="P74" s="97">
        <f>IF(P39=0,0,P39/TrRoad_act!P44*100)</f>
        <v>38.025070334374014</v>
      </c>
      <c r="Q74" s="97">
        <f>IF(Q39=0,0,Q39/TrRoad_act!Q44*100)</f>
        <v>45.130770649731289</v>
      </c>
      <c r="R74" s="97">
        <f>IF(R39=0,0,R39/TrRoad_act!R44*100)</f>
        <v>28.376804291040131</v>
      </c>
      <c r="S74" s="97">
        <f>IF(S39=0,0,S39/TrRoad_act!S44*100)</f>
        <v>33.095297642119917</v>
      </c>
      <c r="T74" s="97">
        <f>IF(T39=0,0,T39/TrRoad_act!T44*100)</f>
        <v>29.741874430120262</v>
      </c>
      <c r="U74" s="97">
        <f>IF(U39=0,0,U39/TrRoad_act!U44*100)</f>
        <v>34.602578261921586</v>
      </c>
      <c r="V74" s="97">
        <f>IF(V39=0,0,V39/TrRoad_act!V44*100)</f>
        <v>17.300771170393674</v>
      </c>
      <c r="W74" s="97">
        <f>IF(W39=0,0,W39/TrRoad_act!W44*100)</f>
        <v>52.27338744905429</v>
      </c>
      <c r="X74" s="97">
        <f>IF(X39=0,0,X39/TrRoad_act!X44*100)</f>
        <v>20.809080215608038</v>
      </c>
      <c r="Y74" s="97">
        <f>IF(Y39=0,0,Y39/TrRoad_act!Y44*100)</f>
        <v>13.160563702947996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25.627691128829987</v>
      </c>
      <c r="P75" s="97">
        <f>IF(P41=0,0,P41/TrRoad_act!P45*100)</f>
        <v>25.627691128829987</v>
      </c>
      <c r="Q75" s="97">
        <f>IF(Q41=0,0,Q41/TrRoad_act!Q45*100)</f>
        <v>25.618905767597123</v>
      </c>
      <c r="R75" s="97">
        <f>IF(R41=0,0,R41/TrRoad_act!R45*100)</f>
        <v>25.594034476816024</v>
      </c>
      <c r="S75" s="97">
        <f>IF(S41=0,0,S41/TrRoad_act!S45*100)</f>
        <v>25.487967172498692</v>
      </c>
      <c r="T75" s="97">
        <f>IF(T41=0,0,T41/TrRoad_act!T45*100)</f>
        <v>25.15184617269745</v>
      </c>
      <c r="U75" s="97">
        <f>IF(U41=0,0,U41/TrRoad_act!U45*100)</f>
        <v>24.766942020679789</v>
      </c>
      <c r="V75" s="97">
        <f>IF(V41=0,0,V41/TrRoad_act!V45*100)</f>
        <v>24.441815993604141</v>
      </c>
      <c r="W75" s="97">
        <f>IF(W41=0,0,W41/TrRoad_act!W45*100)</f>
        <v>22.963381597742647</v>
      </c>
      <c r="X75" s="97">
        <f>IF(X41=0,0,X41/TrRoad_act!X45*100)</f>
        <v>22.447156965028864</v>
      </c>
      <c r="Y75" s="97">
        <f>IF(Y41=0,0,Y41/TrRoad_act!Y45*100)</f>
        <v>21.267910465703601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13.949220630803536</v>
      </c>
      <c r="C76" s="32">
        <f>IF(C42=0,0,C42/TrRoad_act!C46*100)</f>
        <v>15.411534897066756</v>
      </c>
      <c r="D76" s="32">
        <f>IF(D42=0,0,D42/TrRoad_act!D46*100)</f>
        <v>14.804702547281204</v>
      </c>
      <c r="E76" s="32">
        <f>IF(E42=0,0,E42/TrRoad_act!E46*100)</f>
        <v>14.06653764338331</v>
      </c>
      <c r="F76" s="32">
        <f>IF(F42=0,0,F42/TrRoad_act!F46*100)</f>
        <v>13.538601884995041</v>
      </c>
      <c r="G76" s="32">
        <f>IF(G42=0,0,G42/TrRoad_act!G46*100)</f>
        <v>13.138481228740972</v>
      </c>
      <c r="H76" s="32">
        <f>IF(H42=0,0,H42/TrRoad_act!H46*100)</f>
        <v>14.15325635472259</v>
      </c>
      <c r="I76" s="32">
        <f>IF(I42=0,0,I42/TrRoad_act!I46*100)</f>
        <v>13.531266506173742</v>
      </c>
      <c r="J76" s="32">
        <f>IF(J42=0,0,J42/TrRoad_act!J46*100)</f>
        <v>12.183549829324496</v>
      </c>
      <c r="K76" s="32">
        <f>IF(K42=0,0,K42/TrRoad_act!K46*100)</f>
        <v>10.972791725463473</v>
      </c>
      <c r="L76" s="32">
        <f>IF(L42=0,0,L42/TrRoad_act!L46*100)</f>
        <v>10.451824022200677</v>
      </c>
      <c r="M76" s="32">
        <f>IF(M42=0,0,M42/TrRoad_act!M46*100)</f>
        <v>10.671708057490285</v>
      </c>
      <c r="N76" s="32">
        <f>IF(N42=0,0,N42/TrRoad_act!N46*100)</f>
        <v>11.651139217414801</v>
      </c>
      <c r="O76" s="32">
        <f>IF(O42=0,0,O42/TrRoad_act!O46*100)</f>
        <v>10.976287087910924</v>
      </c>
      <c r="P76" s="32">
        <f>IF(P42=0,0,P42/TrRoad_act!P46*100)</f>
        <v>10.702821206602257</v>
      </c>
      <c r="Q76" s="32">
        <f>IF(Q42=0,0,Q42/TrRoad_act!Q46*100)</f>
        <v>11.457584578956881</v>
      </c>
      <c r="R76" s="32">
        <f>IF(R42=0,0,R42/TrRoad_act!R46*100)</f>
        <v>10.918034149350229</v>
      </c>
      <c r="S76" s="32">
        <f>IF(S42=0,0,S42/TrRoad_act!S46*100)</f>
        <v>9.0929015504867579</v>
      </c>
      <c r="T76" s="32">
        <f>IF(T42=0,0,T42/TrRoad_act!T46*100)</f>
        <v>10.62969227429935</v>
      </c>
      <c r="U76" s="32">
        <f>IF(U42=0,0,U42/TrRoad_act!U46*100)</f>
        <v>10.53184736840951</v>
      </c>
      <c r="V76" s="32">
        <f>IF(V42=0,0,V42/TrRoad_act!V46*100)</f>
        <v>9.8340266835598591</v>
      </c>
      <c r="W76" s="32">
        <f>IF(W42=0,0,W42/TrRoad_act!W46*100)</f>
        <v>11.57095055069162</v>
      </c>
      <c r="X76" s="32">
        <f>IF(X42=0,0,X42/TrRoad_act!X46*100)</f>
        <v>13.973694819277302</v>
      </c>
      <c r="Y76" s="32">
        <f>IF(Y42=0,0,Y42/TrRoad_act!Y46*100)</f>
        <v>14.606997563916371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12.385713987040182</v>
      </c>
      <c r="C77" s="141">
        <f>IF(C43=0,0,C43/TrRoad_act!C47*100)</f>
        <v>11.80118431194999</v>
      </c>
      <c r="D77" s="141">
        <f>IF(D43=0,0,D43/TrRoad_act!D47*100)</f>
        <v>11.211741030415572</v>
      </c>
      <c r="E77" s="141">
        <f>IF(E43=0,0,E43/TrRoad_act!E47*100)</f>
        <v>10.75262284252266</v>
      </c>
      <c r="F77" s="141">
        <f>IF(F43=0,0,F43/TrRoad_act!F47*100)</f>
        <v>10.450376123768505</v>
      </c>
      <c r="G77" s="141">
        <f>IF(G43=0,0,G43/TrRoad_act!G47*100)</f>
        <v>10.082858140346044</v>
      </c>
      <c r="H77" s="141">
        <f>IF(H43=0,0,H43/TrRoad_act!H47*100)</f>
        <v>9.7679904536894782</v>
      </c>
      <c r="I77" s="141">
        <f>IF(I43=0,0,I43/TrRoad_act!I47*100)</f>
        <v>9.5064469628232207</v>
      </c>
      <c r="J77" s="141">
        <f>IF(J43=0,0,J43/TrRoad_act!J47*100)</f>
        <v>9.3061629739159439</v>
      </c>
      <c r="K77" s="141">
        <f>IF(K43=0,0,K43/TrRoad_act!K47*100)</f>
        <v>9.0625046660742417</v>
      </c>
      <c r="L77" s="141">
        <f>IF(L43=0,0,L43/TrRoad_act!L47*100)</f>
        <v>8.852376964750146</v>
      </c>
      <c r="M77" s="141">
        <f>IF(M43=0,0,M43/TrRoad_act!M47*100)</f>
        <v>8.6489748925854055</v>
      </c>
      <c r="N77" s="141">
        <f>IF(N43=0,0,N43/TrRoad_act!N47*100)</f>
        <v>8.5764587215802397</v>
      </c>
      <c r="O77" s="141">
        <f>IF(O43=0,0,O43/TrRoad_act!O47*100)</f>
        <v>8.4038295054820367</v>
      </c>
      <c r="P77" s="141">
        <f>IF(P43=0,0,P43/TrRoad_act!P47*100)</f>
        <v>8.2244715379532494</v>
      </c>
      <c r="Q77" s="141">
        <f>IF(Q43=0,0,Q43/TrRoad_act!Q47*100)</f>
        <v>8.0711169163467478</v>
      </c>
      <c r="R77" s="141">
        <f>IF(R43=0,0,R43/TrRoad_act!R47*100)</f>
        <v>7.9872171788745758</v>
      </c>
      <c r="S77" s="141">
        <f>IF(S43=0,0,S43/TrRoad_act!S47*100)</f>
        <v>7.8314787740960341</v>
      </c>
      <c r="T77" s="141">
        <f>IF(T43=0,0,T43/TrRoad_act!T47*100)</f>
        <v>7.7491735506436443</v>
      </c>
      <c r="U77" s="141">
        <f>IF(U43=0,0,U43/TrRoad_act!U47*100)</f>
        <v>7.7280848772645667</v>
      </c>
      <c r="V77" s="141">
        <f>IF(V43=0,0,V43/TrRoad_act!V47*100)</f>
        <v>7.7327163055583723</v>
      </c>
      <c r="W77" s="141">
        <f>IF(W43=0,0,W43/TrRoad_act!W47*100)</f>
        <v>7.7428901446664327</v>
      </c>
      <c r="X77" s="141">
        <f>IF(X43=0,0,X43/TrRoad_act!X47*100)</f>
        <v>7.6852562303170879</v>
      </c>
      <c r="Y77" s="141">
        <f>IF(Y43=0,0,Y43/TrRoad_act!Y47*100)</f>
        <v>7.6795014193927411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11.057096532781152</v>
      </c>
      <c r="C78" s="96">
        <f>IF(C44=0,0,C44/TrRoad_act!C48*100)</f>
        <v>10.654633363484862</v>
      </c>
      <c r="D78" s="96">
        <f>IF(D44=0,0,D44/TrRoad_act!D48*100)</f>
        <v>10.219444943654048</v>
      </c>
      <c r="E78" s="96">
        <f>IF(E44=0,0,E44/TrRoad_act!E48*100)</f>
        <v>9.8819255529818424</v>
      </c>
      <c r="F78" s="96">
        <f>IF(F44=0,0,F44/TrRoad_act!F48*100)</f>
        <v>9.6765099242346153</v>
      </c>
      <c r="G78" s="96">
        <f>IF(G44=0,0,G44/TrRoad_act!G48*100)</f>
        <v>9.4092189767594192</v>
      </c>
      <c r="H78" s="96">
        <f>IF(H44=0,0,H44/TrRoad_act!H48*100)</f>
        <v>9.1861182424601964</v>
      </c>
      <c r="I78" s="96">
        <f>IF(I44=0,0,I44/TrRoad_act!I48*100)</f>
        <v>9.008427070489704</v>
      </c>
      <c r="J78" s="96">
        <f>IF(J44=0,0,J44/TrRoad_act!J48*100)</f>
        <v>8.858215065370457</v>
      </c>
      <c r="K78" s="96">
        <f>IF(K44=0,0,K44/TrRoad_act!K48*100)</f>
        <v>8.7093130410637425</v>
      </c>
      <c r="L78" s="96">
        <f>IF(L44=0,0,L44/TrRoad_act!L48*100)</f>
        <v>8.6901182115730968</v>
      </c>
      <c r="M78" s="96">
        <f>IF(M44=0,0,M44/TrRoad_act!M48*100)</f>
        <v>8.5965117178721524</v>
      </c>
      <c r="N78" s="96">
        <f>IF(N44=0,0,N44/TrRoad_act!N48*100)</f>
        <v>8.3947667772494583</v>
      </c>
      <c r="O78" s="96">
        <f>IF(O44=0,0,O44/TrRoad_act!O48*100)</f>
        <v>8.2175462702382287</v>
      </c>
      <c r="P78" s="96">
        <f>IF(P44=0,0,P44/TrRoad_act!P48*100)</f>
        <v>8.013607055579989</v>
      </c>
      <c r="Q78" s="96">
        <f>IF(Q44=0,0,Q44/TrRoad_act!Q48*100)</f>
        <v>7.8242478369632424</v>
      </c>
      <c r="R78" s="96">
        <f>IF(R44=0,0,R44/TrRoad_act!R48*100)</f>
        <v>7.7819056058498699</v>
      </c>
      <c r="S78" s="96">
        <f>IF(S44=0,0,S44/TrRoad_act!S48*100)</f>
        <v>7.6509634175959809</v>
      </c>
      <c r="T78" s="96">
        <f>IF(T44=0,0,T44/TrRoad_act!T48*100)</f>
        <v>7.5253200434160146</v>
      </c>
      <c r="U78" s="96">
        <f>IF(U44=0,0,U44/TrRoad_act!U48*100)</f>
        <v>7.4768581049620293</v>
      </c>
      <c r="V78" s="96">
        <f>IF(V44=0,0,V44/TrRoad_act!V48*100)</f>
        <v>7.4427820289339932</v>
      </c>
      <c r="W78" s="96">
        <f>IF(W44=0,0,W44/TrRoad_act!W48*100)</f>
        <v>7.3459873804741092</v>
      </c>
      <c r="X78" s="96">
        <f>IF(X44=0,0,X44/TrRoad_act!X48*100)</f>
        <v>7.1732314826755061</v>
      </c>
      <c r="Y78" s="96">
        <f>IF(Y44=0,0,Y44/TrRoad_act!Y48*100)</f>
        <v>7.0717180793968186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12.443666652077724</v>
      </c>
      <c r="C79" s="96">
        <f>IF(C46=0,0,C46/TrRoad_act!C49*100)</f>
        <v>11.857204298965595</v>
      </c>
      <c r="D79" s="96">
        <f>IF(D46=0,0,D46/TrRoad_act!D49*100)</f>
        <v>11.261222459656038</v>
      </c>
      <c r="E79" s="96">
        <f>IF(E46=0,0,E46/TrRoad_act!E49*100)</f>
        <v>10.793985867245521</v>
      </c>
      <c r="F79" s="96">
        <f>IF(F46=0,0,F46/TrRoad_act!F49*100)</f>
        <v>10.484462242364936</v>
      </c>
      <c r="G79" s="96">
        <f>IF(G46=0,0,G46/TrRoad_act!G49*100)</f>
        <v>10.110269563454883</v>
      </c>
      <c r="H79" s="96">
        <f>IF(H46=0,0,H46/TrRoad_act!H49*100)</f>
        <v>9.7944208319403216</v>
      </c>
      <c r="I79" s="96">
        <f>IF(I46=0,0,I46/TrRoad_act!I49*100)</f>
        <v>9.5233160917700559</v>
      </c>
      <c r="J79" s="96">
        <f>IF(J46=0,0,J46/TrRoad_act!J49*100)</f>
        <v>9.3205268752142612</v>
      </c>
      <c r="K79" s="96">
        <f>IF(K46=0,0,K46/TrRoad_act!K49*100)</f>
        <v>9.0772951765676275</v>
      </c>
      <c r="L79" s="96">
        <f>IF(L46=0,0,L46/TrRoad_act!L49*100)</f>
        <v>8.8560006046268853</v>
      </c>
      <c r="M79" s="96">
        <f>IF(M46=0,0,M46/TrRoad_act!M49*100)</f>
        <v>8.6495743602629034</v>
      </c>
      <c r="N79" s="96">
        <f>IF(N46=0,0,N46/TrRoad_act!N49*100)</f>
        <v>8.5846364576253418</v>
      </c>
      <c r="O79" s="96">
        <f>IF(O46=0,0,O46/TrRoad_act!O49*100)</f>
        <v>8.4067408864309794</v>
      </c>
      <c r="P79" s="96">
        <f>IF(P46=0,0,P46/TrRoad_act!P49*100)</f>
        <v>8.2281291467524227</v>
      </c>
      <c r="Q79" s="96">
        <f>IF(Q46=0,0,Q46/TrRoad_act!Q49*100)</f>
        <v>8.0706074634492122</v>
      </c>
      <c r="R79" s="96">
        <f>IF(R46=0,0,R46/TrRoad_act!R49*100)</f>
        <v>7.9889425745817713</v>
      </c>
      <c r="S79" s="96">
        <f>IF(S46=0,0,S46/TrRoad_act!S49*100)</f>
        <v>7.8456824520815456</v>
      </c>
      <c r="T79" s="96">
        <f>IF(T46=0,0,T46/TrRoad_act!T49*100)</f>
        <v>7.7778798798957185</v>
      </c>
      <c r="U79" s="96">
        <f>IF(U46=0,0,U46/TrRoad_act!U49*100)</f>
        <v>7.7277124956300653</v>
      </c>
      <c r="V79" s="96">
        <f>IF(V46=0,0,V46/TrRoad_act!V49*100)</f>
        <v>7.7328965120281739</v>
      </c>
      <c r="W79" s="96">
        <f>IF(W46=0,0,W46/TrRoad_act!W49*100)</f>
        <v>7.7295629478015382</v>
      </c>
      <c r="X79" s="96">
        <f>IF(X46=0,0,X46/TrRoad_act!X49*100)</f>
        <v>7.6955837529120261</v>
      </c>
      <c r="Y79" s="96">
        <f>IF(Y46=0,0,Y46/TrRoad_act!Y49*100)</f>
        <v>7.6997984102274541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13.255631844038515</v>
      </c>
      <c r="C80" s="96">
        <f>IF(C48=0,0,C48/TrRoad_act!C50*100)</f>
        <v>12.301161493041725</v>
      </c>
      <c r="D80" s="96">
        <f>IF(D48=0,0,D48/TrRoad_act!D50*100)</f>
        <v>11.461162313639207</v>
      </c>
      <c r="E80" s="96">
        <f>IF(E48=0,0,E48/TrRoad_act!E50*100)</f>
        <v>10.816405596955688</v>
      </c>
      <c r="F80" s="96">
        <f>IF(F48=0,0,F48/TrRoad_act!F50*100)</f>
        <v>10.350363226632465</v>
      </c>
      <c r="G80" s="96">
        <f>IF(G48=0,0,G48/TrRoad_act!G50*100)</f>
        <v>9.8631574804967723</v>
      </c>
      <c r="H80" s="96">
        <f>IF(H48=0,0,H48/TrRoad_act!H50*100)</f>
        <v>9.4476846444073725</v>
      </c>
      <c r="I80" s="96">
        <f>IF(I48=0,0,I48/TrRoad_act!I50*100)</f>
        <v>9.353885949621537</v>
      </c>
      <c r="J80" s="96">
        <f>IF(J48=0,0,J48/TrRoad_act!J50*100)</f>
        <v>9.0539312992063081</v>
      </c>
      <c r="K80" s="96">
        <f>IF(K48=0,0,K48/TrRoad_act!K50*100)</f>
        <v>8.6523651804151136</v>
      </c>
      <c r="L80" s="96">
        <f>IF(L48=0,0,L48/TrRoad_act!L50*100)</f>
        <v>8.4422268899313408</v>
      </c>
      <c r="M80" s="96">
        <f>IF(M48=0,0,M48/TrRoad_act!M50*100)</f>
        <v>8.3694203515874701</v>
      </c>
      <c r="N80" s="96">
        <f>IF(N48=0,0,N48/TrRoad_act!N50*100)</f>
        <v>7.958231434157975</v>
      </c>
      <c r="O80" s="96">
        <f>IF(O48=0,0,O48/TrRoad_act!O50*100)</f>
        <v>7.8886336653549742</v>
      </c>
      <c r="P80" s="96">
        <f>IF(P48=0,0,P48/TrRoad_act!P50*100)</f>
        <v>7.7561257527046585</v>
      </c>
      <c r="Q80" s="96">
        <f>IF(Q48=0,0,Q48/TrRoad_act!Q50*100)</f>
        <v>7.6832542848523575</v>
      </c>
      <c r="R80" s="96">
        <f>IF(R48=0,0,R48/TrRoad_act!R50*100)</f>
        <v>7.5145920575587404</v>
      </c>
      <c r="S80" s="96">
        <f>IF(S48=0,0,S48/TrRoad_act!S50*100)</f>
        <v>7.4021919576994595</v>
      </c>
      <c r="T80" s="96">
        <f>IF(T48=0,0,T48/TrRoad_act!T50*100)</f>
        <v>7.3141579648136323</v>
      </c>
      <c r="U80" s="96">
        <f>IF(U48=0,0,U48/TrRoad_act!U50*100)</f>
        <v>7.2762678721025775</v>
      </c>
      <c r="V80" s="96">
        <f>IF(V48=0,0,V48/TrRoad_act!V50*100)</f>
        <v>7.3059241239680883</v>
      </c>
      <c r="W80" s="96">
        <f>IF(W48=0,0,W48/TrRoad_act!W50*100)</f>
        <v>7.4531485111362983</v>
      </c>
      <c r="X80" s="96">
        <f>IF(X48=0,0,X48/TrRoad_act!X50*100)</f>
        <v>7.6526400547231601</v>
      </c>
      <c r="Y80" s="96">
        <f>IF(Y48=0,0,Y48/TrRoad_act!Y50*100)</f>
        <v>7.8193147091219526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14.583250301725901</v>
      </c>
      <c r="C81" s="96">
        <f>IF(C49=0,0,C49/TrRoad_act!C51*100)</f>
        <v>13.27066059000904</v>
      </c>
      <c r="D81" s="96">
        <f>IF(D49=0,0,D49/TrRoad_act!D51*100)</f>
        <v>12.251545988878899</v>
      </c>
      <c r="E81" s="96">
        <f>IF(E49=0,0,E49/TrRoad_act!E51*100)</f>
        <v>11.499362657117379</v>
      </c>
      <c r="F81" s="96">
        <f>IF(F49=0,0,F49/TrRoad_act!F51*100)</f>
        <v>11.031784499506978</v>
      </c>
      <c r="G81" s="96">
        <f>IF(G49=0,0,G49/TrRoad_act!G51*100)</f>
        <v>10.606625095500233</v>
      </c>
      <c r="H81" s="96">
        <f>IF(H49=0,0,H49/TrRoad_act!H51*100)</f>
        <v>10.375034643936235</v>
      </c>
      <c r="I81" s="96">
        <f>IF(I49=0,0,I49/TrRoad_act!I51*100)</f>
        <v>10.258072745574477</v>
      </c>
      <c r="J81" s="96">
        <f>IF(J49=0,0,J49/TrRoad_act!J51*100)</f>
        <v>9.9191399954768187</v>
      </c>
      <c r="K81" s="96">
        <f>IF(K49=0,0,K49/TrRoad_act!K51*100)</f>
        <v>8.9798707571478786</v>
      </c>
      <c r="L81" s="96">
        <f>IF(L49=0,0,L49/TrRoad_act!L51*100)</f>
        <v>9.1515199267721616</v>
      </c>
      <c r="M81" s="96">
        <f>IF(M49=0,0,M49/TrRoad_act!M51*100)</f>
        <v>8.8659825672477428</v>
      </c>
      <c r="N81" s="96">
        <f>IF(N49=0,0,N49/TrRoad_act!N51*100)</f>
        <v>8.6731832069396297</v>
      </c>
      <c r="O81" s="96">
        <f>IF(O49=0,0,O49/TrRoad_act!O51*100)</f>
        <v>8.8005481502069411</v>
      </c>
      <c r="P81" s="96">
        <f>IF(P49=0,0,P49/TrRoad_act!P51*100)</f>
        <v>8.5931559492777261</v>
      </c>
      <c r="Q81" s="96">
        <f>IF(Q49=0,0,Q49/TrRoad_act!Q51*100)</f>
        <v>8.7104772884378701</v>
      </c>
      <c r="R81" s="96">
        <f>IF(R49=0,0,R49/TrRoad_act!R51*100)</f>
        <v>8.4966103438318097</v>
      </c>
      <c r="S81" s="96">
        <f>IF(S49=0,0,S49/TrRoad_act!S51*100)</f>
        <v>7.7789750436461631</v>
      </c>
      <c r="T81" s="96">
        <f>IF(T49=0,0,T49/TrRoad_act!T51*100)</f>
        <v>7.1631291393785785</v>
      </c>
      <c r="U81" s="96">
        <f>IF(U49=0,0,U49/TrRoad_act!U51*100)</f>
        <v>8.5057332042731062</v>
      </c>
      <c r="V81" s="96">
        <f>IF(V49=0,0,V49/TrRoad_act!V51*100)</f>
        <v>8.5697470747738844</v>
      </c>
      <c r="W81" s="96">
        <f>IF(W49=0,0,W49/TrRoad_act!W51*100)</f>
        <v>9.4627256172773464</v>
      </c>
      <c r="X81" s="96">
        <f>IF(X49=0,0,X49/TrRoad_act!X51*100)</f>
        <v>8.6687590121346023</v>
      </c>
      <c r="Y81" s="96">
        <f>IF(Y49=0,0,Y49/TrRoad_act!Y51*100)</f>
        <v>8.739649105902469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1.6514689086655809</v>
      </c>
      <c r="N82" s="96">
        <f>IF(N51=0,0,N51/TrRoad_act!N52*100)</f>
        <v>1.6472914875411706</v>
      </c>
      <c r="O82" s="96">
        <f>IF(O51=0,0,O51/TrRoad_act!O52*100)</f>
        <v>1.5954804945809389</v>
      </c>
      <c r="P82" s="96">
        <f>IF(P51=0,0,P51/TrRoad_act!P52*100)</f>
        <v>1.6364471434037617</v>
      </c>
      <c r="Q82" s="96">
        <f>IF(Q51=0,0,Q51/TrRoad_act!Q52*100)</f>
        <v>1.7192174867731225</v>
      </c>
      <c r="R82" s="96">
        <f>IF(R51=0,0,R51/TrRoad_act!R52*100)</f>
        <v>1.7553993657030351</v>
      </c>
      <c r="S82" s="96">
        <f>IF(S51=0,0,S51/TrRoad_act!S52*100)</f>
        <v>1.8060409956458368</v>
      </c>
      <c r="T82" s="96">
        <f>IF(T51=0,0,T51/TrRoad_act!T52*100)</f>
        <v>1.9593870504023436</v>
      </c>
      <c r="U82" s="96">
        <f>IF(U51=0,0,U51/TrRoad_act!U52*100)</f>
        <v>2.0934102208934395</v>
      </c>
      <c r="V82" s="96">
        <f>IF(V51=0,0,V51/TrRoad_act!V52*100)</f>
        <v>2.2325272541845362</v>
      </c>
      <c r="W82" s="96">
        <f>IF(W51=0,0,W51/TrRoad_act!W52*100)</f>
        <v>2.4662720879825279</v>
      </c>
      <c r="X82" s="96">
        <f>IF(X51=0,0,X51/TrRoad_act!X52*100)</f>
        <v>2.5993700214111128</v>
      </c>
      <c r="Y82" s="96">
        <f>IF(Y51=0,0,Y51/TrRoad_act!Y52*100)</f>
        <v>2.6410389371862824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21.935713786395727</v>
      </c>
      <c r="C83" s="130">
        <f>IF(C52=0,0,C52/TrRoad_act!C53*100)</f>
        <v>33.252380236772808</v>
      </c>
      <c r="D83" s="130">
        <f>IF(D52=0,0,D52/TrRoad_act!D53*100)</f>
        <v>33.270135027384256</v>
      </c>
      <c r="E83" s="130">
        <f>IF(E52=0,0,E52/TrRoad_act!E53*100)</f>
        <v>33.169462362791826</v>
      </c>
      <c r="F83" s="130">
        <f>IF(F52=0,0,F52/TrRoad_act!F53*100)</f>
        <v>29.808310334453132</v>
      </c>
      <c r="G83" s="130">
        <f>IF(G52=0,0,G52/TrRoad_act!G53*100)</f>
        <v>30.457361917338471</v>
      </c>
      <c r="H83" s="130">
        <f>IF(H52=0,0,H52/TrRoad_act!H53*100)</f>
        <v>39.238412557947314</v>
      </c>
      <c r="I83" s="130">
        <f>IF(I52=0,0,I52/TrRoad_act!I53*100)</f>
        <v>38.037110812124411</v>
      </c>
      <c r="J83" s="130">
        <f>IF(J52=0,0,J52/TrRoad_act!J53*100)</f>
        <v>29.88547908052449</v>
      </c>
      <c r="K83" s="130">
        <f>IF(K52=0,0,K52/TrRoad_act!K53*100)</f>
        <v>23.032810399638528</v>
      </c>
      <c r="L83" s="130">
        <f>IF(L52=0,0,L52/TrRoad_act!L53*100)</f>
        <v>21.097147449194409</v>
      </c>
      <c r="M83" s="130">
        <f>IF(M52=0,0,M52/TrRoad_act!M53*100)</f>
        <v>27.096118440291246</v>
      </c>
      <c r="N83" s="130">
        <f>IF(N52=0,0,N52/TrRoad_act!N53*100)</f>
        <v>36.238006654925528</v>
      </c>
      <c r="O83" s="130">
        <f>IF(O52=0,0,O52/TrRoad_act!O53*100)</f>
        <v>28.71988092481249</v>
      </c>
      <c r="P83" s="130">
        <f>IF(P52=0,0,P52/TrRoad_act!P53*100)</f>
        <v>29.330404992338671</v>
      </c>
      <c r="Q83" s="130">
        <f>IF(Q52=0,0,Q52/TrRoad_act!Q53*100)</f>
        <v>32.353360198229446</v>
      </c>
      <c r="R83" s="130">
        <f>IF(R52=0,0,R52/TrRoad_act!R53*100)</f>
        <v>27.890359733698329</v>
      </c>
      <c r="S83" s="130">
        <f>IF(S52=0,0,S52/TrRoad_act!S53*100)</f>
        <v>16.163983686662565</v>
      </c>
      <c r="T83" s="130">
        <f>IF(T52=0,0,T52/TrRoad_act!T53*100)</f>
        <v>27.302104192508413</v>
      </c>
      <c r="U83" s="130">
        <f>IF(U52=0,0,U52/TrRoad_act!U53*100)</f>
        <v>26.297451919714497</v>
      </c>
      <c r="V83" s="130">
        <f>IF(V52=0,0,V52/TrRoad_act!V53*100)</f>
        <v>21.733080020514816</v>
      </c>
      <c r="W83" s="130">
        <f>IF(W52=0,0,W52/TrRoad_act!W53*100)</f>
        <v>35.507589334487541</v>
      </c>
      <c r="X83" s="130">
        <f>IF(X52=0,0,X52/TrRoad_act!X53*100)</f>
        <v>47.425263818050496</v>
      </c>
      <c r="Y83" s="130">
        <f>IF(Y52=0,0,Y52/TrRoad_act!Y53*100)</f>
        <v>48.672382177454011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21.827699447196018</v>
      </c>
      <c r="C84" s="97">
        <f>IF(C53=0,0,C53/TrRoad_act!C54*100)</f>
        <v>33.112813721852319</v>
      </c>
      <c r="D84" s="97">
        <f>IF(D53=0,0,D53/TrRoad_act!D54*100)</f>
        <v>33.153853020672322</v>
      </c>
      <c r="E84" s="97">
        <f>IF(E53=0,0,E53/TrRoad_act!E54*100)</f>
        <v>33.065738311757478</v>
      </c>
      <c r="F84" s="97">
        <f>IF(F53=0,0,F53/TrRoad_act!F54*100)</f>
        <v>29.771437225218726</v>
      </c>
      <c r="G84" s="97">
        <f>IF(G53=0,0,G53/TrRoad_act!G54*100)</f>
        <v>30.430097342527912</v>
      </c>
      <c r="H84" s="97">
        <f>IF(H53=0,0,H53/TrRoad_act!H54*100)</f>
        <v>39.218344774553493</v>
      </c>
      <c r="I84" s="97">
        <f>IF(I53=0,0,I53/TrRoad_act!I54*100)</f>
        <v>38.01193667083534</v>
      </c>
      <c r="J84" s="97">
        <f>IF(J53=0,0,J53/TrRoad_act!J54*100)</f>
        <v>29.870291308041054</v>
      </c>
      <c r="K84" s="97">
        <f>IF(K53=0,0,K53/TrRoad_act!K54*100)</f>
        <v>23.01812100016566</v>
      </c>
      <c r="L84" s="97">
        <f>IF(L53=0,0,L53/TrRoad_act!L54*100)</f>
        <v>21.083929703703866</v>
      </c>
      <c r="M84" s="97">
        <f>IF(M53=0,0,M53/TrRoad_act!M54*100)</f>
        <v>27.075602111746861</v>
      </c>
      <c r="N84" s="97">
        <f>IF(N53=0,0,N53/TrRoad_act!N54*100)</f>
        <v>36.187062235405804</v>
      </c>
      <c r="O84" s="97">
        <f>IF(O53=0,0,O53/TrRoad_act!O54*100)</f>
        <v>28.66402462027003</v>
      </c>
      <c r="P84" s="97">
        <f>IF(P53=0,0,P53/TrRoad_act!P54*100)</f>
        <v>29.209902810313103</v>
      </c>
      <c r="Q84" s="97">
        <f>IF(Q53=0,0,Q53/TrRoad_act!Q54*100)</f>
        <v>32.148319818781566</v>
      </c>
      <c r="R84" s="97">
        <f>IF(R53=0,0,R53/TrRoad_act!R54*100)</f>
        <v>27.683113722966702</v>
      </c>
      <c r="S84" s="97">
        <f>IF(S53=0,0,S53/TrRoad_act!S54*100)</f>
        <v>16.011390283398494</v>
      </c>
      <c r="T84" s="97">
        <f>IF(T53=0,0,T53/TrRoad_act!T54*100)</f>
        <v>26.93487598648688</v>
      </c>
      <c r="U84" s="97">
        <f>IF(U53=0,0,U53/TrRoad_act!U54*100)</f>
        <v>25.841103212203276</v>
      </c>
      <c r="V84" s="97">
        <f>IF(V53=0,0,V53/TrRoad_act!V54*100)</f>
        <v>21.327563283146063</v>
      </c>
      <c r="W84" s="97">
        <f>IF(W53=0,0,W53/TrRoad_act!W54*100)</f>
        <v>34.695123847246713</v>
      </c>
      <c r="X84" s="97">
        <f>IF(X53=0,0,X53/TrRoad_act!X54*100)</f>
        <v>46.129354328788317</v>
      </c>
      <c r="Y84" s="97">
        <f>IF(Y53=0,0,Y53/TrRoad_act!Y54*100)</f>
        <v>47.210769741324157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22.586942339315424</v>
      </c>
      <c r="C85" s="98">
        <f>IF(C55=0,0,C55/TrRoad_act!C55*100)</f>
        <v>34.008729553829383</v>
      </c>
      <c r="D85" s="98">
        <f>IF(D55=0,0,D55/TrRoad_act!D55*100)</f>
        <v>33.867575028047789</v>
      </c>
      <c r="E85" s="98">
        <f>IF(E55=0,0,E55/TrRoad_act!E55*100)</f>
        <v>33.675371475777595</v>
      </c>
      <c r="F85" s="98">
        <f>IF(F55=0,0,F55/TrRoad_act!F55*100)</f>
        <v>29.988434305418686</v>
      </c>
      <c r="G85" s="98">
        <f>IF(G55=0,0,G55/TrRoad_act!G55*100)</f>
        <v>30.589996476863302</v>
      </c>
      <c r="H85" s="98">
        <f>IF(H55=0,0,H55/TrRoad_act!H55*100)</f>
        <v>39.315865229348603</v>
      </c>
      <c r="I85" s="98">
        <f>IF(I55=0,0,I55/TrRoad_act!I55*100)</f>
        <v>38.137560531759675</v>
      </c>
      <c r="J85" s="98">
        <f>IF(J55=0,0,J55/TrRoad_act!J55*100)</f>
        <v>29.941240262296059</v>
      </c>
      <c r="K85" s="98">
        <f>IF(K55=0,0,K55/TrRoad_act!K55*100)</f>
        <v>23.093971392209518</v>
      </c>
      <c r="L85" s="98">
        <f>IF(L55=0,0,L55/TrRoad_act!L55*100)</f>
        <v>21.149248918436903</v>
      </c>
      <c r="M85" s="98">
        <f>IF(M55=0,0,M55/TrRoad_act!M55*100)</f>
        <v>27.175496276820084</v>
      </c>
      <c r="N85" s="98">
        <f>IF(N55=0,0,N55/TrRoad_act!N55*100)</f>
        <v>36.424987948290152</v>
      </c>
      <c r="O85" s="98">
        <f>IF(O55=0,0,O55/TrRoad_act!O55*100)</f>
        <v>28.913583104383566</v>
      </c>
      <c r="P85" s="98">
        <f>IF(P55=0,0,P55/TrRoad_act!P55*100)</f>
        <v>29.711117932853615</v>
      </c>
      <c r="Q85" s="98">
        <f>IF(Q55=0,0,Q55/TrRoad_act!Q55*100)</f>
        <v>33.008545680742678</v>
      </c>
      <c r="R85" s="98">
        <f>IF(R55=0,0,R55/TrRoad_act!R55*100)</f>
        <v>28.505789910251128</v>
      </c>
      <c r="S85" s="98">
        <f>IF(S55=0,0,S55/TrRoad_act!S55*100)</f>
        <v>16.583199111194073</v>
      </c>
      <c r="T85" s="98">
        <f>IF(T55=0,0,T55/TrRoad_act!T55*100)</f>
        <v>28.368516024687796</v>
      </c>
      <c r="U85" s="98">
        <f>IF(U55=0,0,U55/TrRoad_act!U55*100)</f>
        <v>27.638189384665203</v>
      </c>
      <c r="V85" s="98">
        <f>IF(V55=0,0,V55/TrRoad_act!V55*100)</f>
        <v>22.896580358543453</v>
      </c>
      <c r="W85" s="98">
        <f>IF(W55=0,0,W55/TrRoad_act!W55*100)</f>
        <v>37.756194734534887</v>
      </c>
      <c r="X85" s="98">
        <f>IF(X55=0,0,X55/TrRoad_act!X55*100)</f>
        <v>51.084715165981009</v>
      </c>
      <c r="Y85" s="98">
        <f>IF(Y55=0,0,Y55/TrRoad_act!Y55*100)</f>
        <v>53.090444504295085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31.721516449106126</v>
      </c>
      <c r="C88" s="29">
        <f>IF(TrRoad_act!C4=0,0,C18/TrRoad_act!C4*1000)</f>
        <v>31.656802147928687</v>
      </c>
      <c r="D88" s="29">
        <f>IF(TrRoad_act!D4=0,0,D18/TrRoad_act!D4*1000)</f>
        <v>32.315573387250467</v>
      </c>
      <c r="E88" s="29">
        <f>IF(TrRoad_act!E4=0,0,E18/TrRoad_act!E4*1000)</f>
        <v>31.938535622169923</v>
      </c>
      <c r="F88" s="29">
        <f>IF(TrRoad_act!F4=0,0,F18/TrRoad_act!F4*1000)</f>
        <v>32.041451927239372</v>
      </c>
      <c r="G88" s="29">
        <f>IF(TrRoad_act!G4=0,0,G18/TrRoad_act!G4*1000)</f>
        <v>32.495851080593681</v>
      </c>
      <c r="H88" s="29">
        <f>IF(TrRoad_act!H4=0,0,H18/TrRoad_act!H4*1000)</f>
        <v>33.487339157573928</v>
      </c>
      <c r="I88" s="29">
        <f>IF(TrRoad_act!I4=0,0,I18/TrRoad_act!I4*1000)</f>
        <v>33.471061139579817</v>
      </c>
      <c r="J88" s="29">
        <f>IF(TrRoad_act!J4=0,0,J18/TrRoad_act!J4*1000)</f>
        <v>32.877043132998466</v>
      </c>
      <c r="K88" s="29">
        <f>IF(TrRoad_act!K4=0,0,K18/TrRoad_act!K4*1000)</f>
        <v>31.317014575210752</v>
      </c>
      <c r="L88" s="29">
        <f>IF(TrRoad_act!L4=0,0,L18/TrRoad_act!L4*1000)</f>
        <v>31.112854518705014</v>
      </c>
      <c r="M88" s="29">
        <f>IF(TrRoad_act!M4=0,0,M18/TrRoad_act!M4*1000)</f>
        <v>31.726194630964482</v>
      </c>
      <c r="N88" s="29">
        <f>IF(TrRoad_act!N4=0,0,N18/TrRoad_act!N4*1000)</f>
        <v>33.154579552617477</v>
      </c>
      <c r="O88" s="29">
        <f>IF(TrRoad_act!O4=0,0,O18/TrRoad_act!O4*1000)</f>
        <v>32.30741329665284</v>
      </c>
      <c r="P88" s="29">
        <f>IF(TrRoad_act!P4=0,0,P18/TrRoad_act!P4*1000)</f>
        <v>33.114360926163371</v>
      </c>
      <c r="Q88" s="29">
        <f>IF(TrRoad_act!Q4=0,0,Q18/TrRoad_act!Q4*1000)</f>
        <v>32.110712927542671</v>
      </c>
      <c r="R88" s="29">
        <f>IF(TrRoad_act!R4=0,0,R18/TrRoad_act!R4*1000)</f>
        <v>31.103821835306803</v>
      </c>
      <c r="S88" s="29">
        <f>IF(TrRoad_act!S4=0,0,S18/TrRoad_act!S4*1000)</f>
        <v>29.350760428543005</v>
      </c>
      <c r="T88" s="29">
        <f>IF(TrRoad_act!T4=0,0,T18/TrRoad_act!T4*1000)</f>
        <v>30.105015459507932</v>
      </c>
      <c r="U88" s="29">
        <f>IF(TrRoad_act!U4=0,0,U18/TrRoad_act!U4*1000)</f>
        <v>29.87178581937436</v>
      </c>
      <c r="V88" s="29">
        <f>IF(TrRoad_act!V4=0,0,V18/TrRoad_act!V4*1000)</f>
        <v>37.318015502307595</v>
      </c>
      <c r="W88" s="29">
        <f>IF(TrRoad_act!W4=0,0,W18/TrRoad_act!W4*1000)</f>
        <v>34.351646588471738</v>
      </c>
      <c r="X88" s="29">
        <f>IF(TrRoad_act!X4=0,0,X18/TrRoad_act!X4*1000)</f>
        <v>33.894569971838209</v>
      </c>
      <c r="Y88" s="29">
        <f>IF(TrRoad_act!Y4=0,0,Y18/TrRoad_act!Y4*1000)</f>
        <v>31.719508628936257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31.367498763112803</v>
      </c>
      <c r="C89" s="152">
        <f>IF(TrRoad_act!C5=0,0,C19/TrRoad_act!C5*1000)</f>
        <v>30.545536501727835</v>
      </c>
      <c r="D89" s="152">
        <f>IF(TrRoad_act!D5=0,0,D19/TrRoad_act!D5*1000)</f>
        <v>30.36518687527035</v>
      </c>
      <c r="E89" s="152">
        <f>IF(TrRoad_act!E5=0,0,E19/TrRoad_act!E5*1000)</f>
        <v>30.061061755623292</v>
      </c>
      <c r="F89" s="152">
        <f>IF(TrRoad_act!F5=0,0,F19/TrRoad_act!F5*1000)</f>
        <v>29.434020369281562</v>
      </c>
      <c r="G89" s="152">
        <f>IF(TrRoad_act!G5=0,0,G19/TrRoad_act!G5*1000)</f>
        <v>29.327461383420644</v>
      </c>
      <c r="H89" s="152">
        <f>IF(TrRoad_act!H5=0,0,H19/TrRoad_act!H5*1000)</f>
        <v>28.648221370573662</v>
      </c>
      <c r="I89" s="152">
        <f>IF(TrRoad_act!I5=0,0,I19/TrRoad_act!I5*1000)</f>
        <v>28.641618679101853</v>
      </c>
      <c r="J89" s="152">
        <f>IF(TrRoad_act!J5=0,0,J19/TrRoad_act!J5*1000)</f>
        <v>28.022348631694655</v>
      </c>
      <c r="K89" s="152">
        <f>IF(TrRoad_act!K5=0,0,K19/TrRoad_act!K5*1000)</f>
        <v>28.504447673661556</v>
      </c>
      <c r="L89" s="152">
        <f>IF(TrRoad_act!L5=0,0,L19/TrRoad_act!L5*1000)</f>
        <v>28.665789884929875</v>
      </c>
      <c r="M89" s="152">
        <f>IF(TrRoad_act!M5=0,0,M19/TrRoad_act!M5*1000)</f>
        <v>27.040200301489762</v>
      </c>
      <c r="N89" s="152">
        <f>IF(TrRoad_act!N5=0,0,N19/TrRoad_act!N5*1000)</f>
        <v>26.351297467397639</v>
      </c>
      <c r="O89" s="152">
        <f>IF(TrRoad_act!O5=0,0,O19/TrRoad_act!O5*1000)</f>
        <v>25.966066524051321</v>
      </c>
      <c r="P89" s="152">
        <f>IF(TrRoad_act!P5=0,0,P19/TrRoad_act!P5*1000)</f>
        <v>26.359300198007993</v>
      </c>
      <c r="Q89" s="152">
        <f>IF(TrRoad_act!Q5=0,0,Q19/TrRoad_act!Q5*1000)</f>
        <v>27.300122433782978</v>
      </c>
      <c r="R89" s="152">
        <f>IF(TrRoad_act!R5=0,0,R19/TrRoad_act!R5*1000)</f>
        <v>27.171714678528826</v>
      </c>
      <c r="S89" s="152">
        <f>IF(TrRoad_act!S5=0,0,S19/TrRoad_act!S5*1000)</f>
        <v>26.954080325420016</v>
      </c>
      <c r="T89" s="152">
        <f>IF(TrRoad_act!T5=0,0,T19/TrRoad_act!T5*1000)</f>
        <v>26.858892889425878</v>
      </c>
      <c r="U89" s="152">
        <f>IF(TrRoad_act!U5=0,0,U19/TrRoad_act!U5*1000)</f>
        <v>26.732285994547233</v>
      </c>
      <c r="V89" s="152">
        <f>IF(TrRoad_act!V5=0,0,V19/TrRoad_act!V5*1000)</f>
        <v>26.696818731496396</v>
      </c>
      <c r="W89" s="152">
        <f>IF(TrRoad_act!W5=0,0,W19/TrRoad_act!W5*1000)</f>
        <v>26.448056780884251</v>
      </c>
      <c r="X89" s="152">
        <f>IF(TrRoad_act!X5=0,0,X19/TrRoad_act!X5*1000)</f>
        <v>26.367941587367</v>
      </c>
      <c r="Y89" s="152">
        <f>IF(TrRoad_act!Y5=0,0,Y19/TrRoad_act!Y5*1000)</f>
        <v>26.325223714622354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32.918503464625701</v>
      </c>
      <c r="C90" s="116">
        <f>IF(TrRoad_act!C6=0,0,C21/TrRoad_act!C6*1000)</f>
        <v>32.976506638201819</v>
      </c>
      <c r="D90" s="116">
        <f>IF(TrRoad_act!D6=0,0,D21/TrRoad_act!D6*1000)</f>
        <v>33.819041430971737</v>
      </c>
      <c r="E90" s="116">
        <f>IF(TrRoad_act!E6=0,0,E21/TrRoad_act!E6*1000)</f>
        <v>33.43443093262421</v>
      </c>
      <c r="F90" s="116">
        <f>IF(TrRoad_act!F6=0,0,F21/TrRoad_act!F6*1000)</f>
        <v>33.639656080636811</v>
      </c>
      <c r="G90" s="116">
        <f>IF(TrRoad_act!G6=0,0,G21/TrRoad_act!G6*1000)</f>
        <v>34.374988324724612</v>
      </c>
      <c r="H90" s="116">
        <f>IF(TrRoad_act!H6=0,0,H21/TrRoad_act!H6*1000)</f>
        <v>35.702622917713065</v>
      </c>
      <c r="I90" s="116">
        <f>IF(TrRoad_act!I6=0,0,I21/TrRoad_act!I6*1000)</f>
        <v>35.627757600509391</v>
      </c>
      <c r="J90" s="116">
        <f>IF(TrRoad_act!J6=0,0,J21/TrRoad_act!J6*1000)</f>
        <v>34.927112953472907</v>
      </c>
      <c r="K90" s="116">
        <f>IF(TrRoad_act!K6=0,0,K21/TrRoad_act!K6*1000)</f>
        <v>32.859218286620504</v>
      </c>
      <c r="L90" s="116">
        <f>IF(TrRoad_act!L6=0,0,L21/TrRoad_act!L6*1000)</f>
        <v>32.626044896986677</v>
      </c>
      <c r="M90" s="116">
        <f>IF(TrRoad_act!M6=0,0,M21/TrRoad_act!M6*1000)</f>
        <v>33.480063573829099</v>
      </c>
      <c r="N90" s="116">
        <f>IF(TrRoad_act!N6=0,0,N21/TrRoad_act!N6*1000)</f>
        <v>35.662762715995434</v>
      </c>
      <c r="O90" s="116">
        <f>IF(TrRoad_act!O6=0,0,O21/TrRoad_act!O6*1000)</f>
        <v>34.466653014809943</v>
      </c>
      <c r="P90" s="116">
        <f>IF(TrRoad_act!P6=0,0,P21/TrRoad_act!P6*1000)</f>
        <v>35.381442596870379</v>
      </c>
      <c r="Q90" s="116">
        <f>IF(TrRoad_act!Q6=0,0,Q21/TrRoad_act!Q6*1000)</f>
        <v>33.882980577467116</v>
      </c>
      <c r="R90" s="116">
        <f>IF(TrRoad_act!R6=0,0,R21/TrRoad_act!R6*1000)</f>
        <v>32.635655885206617</v>
      </c>
      <c r="S90" s="116">
        <f>IF(TrRoad_act!S6=0,0,S21/TrRoad_act!S6*1000)</f>
        <v>30.457479942961161</v>
      </c>
      <c r="T90" s="116">
        <f>IF(TrRoad_act!T6=0,0,T21/TrRoad_act!T6*1000)</f>
        <v>31.47226592663354</v>
      </c>
      <c r="U90" s="116">
        <f>IF(TrRoad_act!U6=0,0,U21/TrRoad_act!U6*1000)</f>
        <v>31.128047514582686</v>
      </c>
      <c r="V90" s="116">
        <f>IF(TrRoad_act!V6=0,0,V21/TrRoad_act!V6*1000)</f>
        <v>37.975045978884104</v>
      </c>
      <c r="W90" s="116">
        <f>IF(TrRoad_act!W6=0,0,W21/TrRoad_act!W6*1000)</f>
        <v>35.405439180393458</v>
      </c>
      <c r="X90" s="116">
        <f>IF(TrRoad_act!X6=0,0,X21/TrRoad_act!X6*1000)</f>
        <v>35.473952755986438</v>
      </c>
      <c r="Y90" s="116">
        <f>IF(TrRoad_act!Y6=0,0,Y21/TrRoad_act!Y6*1000)</f>
        <v>32.637696547447938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32.258235033766745</v>
      </c>
      <c r="C91" s="87">
        <f>IF(TrRoad_act!C7=0,0,C22/TrRoad_act!C7*1000)</f>
        <v>32.682019119838479</v>
      </c>
      <c r="D91" s="87">
        <f>IF(TrRoad_act!D7=0,0,D22/TrRoad_act!D7*1000)</f>
        <v>33.870117522920602</v>
      </c>
      <c r="E91" s="87">
        <f>IF(TrRoad_act!E7=0,0,E22/TrRoad_act!E7*1000)</f>
        <v>33.53867944659612</v>
      </c>
      <c r="F91" s="87">
        <f>IF(TrRoad_act!F7=0,0,F22/TrRoad_act!F7*1000)</f>
        <v>34.715271249678686</v>
      </c>
      <c r="G91" s="87">
        <f>IF(TrRoad_act!G7=0,0,G22/TrRoad_act!G7*1000)</f>
        <v>36.354070046589321</v>
      </c>
      <c r="H91" s="87">
        <f>IF(TrRoad_act!H7=0,0,H22/TrRoad_act!H7*1000)</f>
        <v>40.050992904535654</v>
      </c>
      <c r="I91" s="87">
        <f>IF(TrRoad_act!I7=0,0,I22/TrRoad_act!I7*1000)</f>
        <v>39.191859361676109</v>
      </c>
      <c r="J91" s="87">
        <f>IF(TrRoad_act!J7=0,0,J22/TrRoad_act!J7*1000)</f>
        <v>35.973729797428099</v>
      </c>
      <c r="K91" s="87">
        <f>IF(TrRoad_act!K7=0,0,K22/TrRoad_act!K7*1000)</f>
        <v>32.100627791731249</v>
      </c>
      <c r="L91" s="87">
        <f>IF(TrRoad_act!L7=0,0,L22/TrRoad_act!L7*1000)</f>
        <v>31.296013967728118</v>
      </c>
      <c r="M91" s="87">
        <f>IF(TrRoad_act!M7=0,0,M22/TrRoad_act!M7*1000)</f>
        <v>31.760425514622153</v>
      </c>
      <c r="N91" s="87">
        <f>IF(TrRoad_act!N7=0,0,N22/TrRoad_act!N7*1000)</f>
        <v>34.813863498546979</v>
      </c>
      <c r="O91" s="87">
        <f>IF(TrRoad_act!O7=0,0,O22/TrRoad_act!O7*1000)</f>
        <v>32.863402573347045</v>
      </c>
      <c r="P91" s="87">
        <f>IF(TrRoad_act!P7=0,0,P22/TrRoad_act!P7*1000)</f>
        <v>33.949396710319178</v>
      </c>
      <c r="Q91" s="87">
        <f>IF(TrRoad_act!Q7=0,0,Q22/TrRoad_act!Q7*1000)</f>
        <v>32.554889310177913</v>
      </c>
      <c r="R91" s="87">
        <f>IF(TrRoad_act!R7=0,0,R22/TrRoad_act!R7*1000)</f>
        <v>30.076350145883065</v>
      </c>
      <c r="S91" s="87">
        <f>IF(TrRoad_act!S7=0,0,S22/TrRoad_act!S7*1000)</f>
        <v>29.056987566608452</v>
      </c>
      <c r="T91" s="87">
        <f>IF(TrRoad_act!T7=0,0,T22/TrRoad_act!T7*1000)</f>
        <v>32.106807304805365</v>
      </c>
      <c r="U91" s="87">
        <f>IF(TrRoad_act!U7=0,0,U22/TrRoad_act!U7*1000)</f>
        <v>31.346673267966697</v>
      </c>
      <c r="V91" s="87">
        <f>IF(TrRoad_act!V7=0,0,V22/TrRoad_act!V7*1000)</f>
        <v>39.046844021793142</v>
      </c>
      <c r="W91" s="87">
        <f>IF(TrRoad_act!W7=0,0,W22/TrRoad_act!W7*1000)</f>
        <v>37.929273455016606</v>
      </c>
      <c r="X91" s="87">
        <f>IF(TrRoad_act!X7=0,0,X22/TrRoad_act!X7*1000)</f>
        <v>40.770636792766396</v>
      </c>
      <c r="Y91" s="87">
        <f>IF(TrRoad_act!Y7=0,0,Y22/TrRoad_act!Y7*1000)</f>
        <v>36.675282727257816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33.962241829537916</v>
      </c>
      <c r="C92" s="87">
        <f>IF(TrRoad_act!C8=0,0,C24/TrRoad_act!C8*1000)</f>
        <v>32.61875101863928</v>
      </c>
      <c r="D92" s="87">
        <f>IF(TrRoad_act!D8=0,0,D24/TrRoad_act!D8*1000)</f>
        <v>33.001285422062068</v>
      </c>
      <c r="E92" s="87">
        <f>IF(TrRoad_act!E8=0,0,E24/TrRoad_act!E8*1000)</f>
        <v>32.606661973217598</v>
      </c>
      <c r="F92" s="87">
        <f>IF(TrRoad_act!F8=0,0,F24/TrRoad_act!F8*1000)</f>
        <v>32.050449129378251</v>
      </c>
      <c r="G92" s="87">
        <f>IF(TrRoad_act!G8=0,0,G24/TrRoad_act!G8*1000)</f>
        <v>32.095897570111973</v>
      </c>
      <c r="H92" s="87">
        <f>IF(TrRoad_act!H8=0,0,H24/TrRoad_act!H8*1000)</f>
        <v>32.256775082669456</v>
      </c>
      <c r="I92" s="87">
        <f>IF(TrRoad_act!I8=0,0,I24/TrRoad_act!I8*1000)</f>
        <v>33.074805700003203</v>
      </c>
      <c r="J92" s="87">
        <f>IF(TrRoad_act!J8=0,0,J24/TrRoad_act!J8*1000)</f>
        <v>33.82207889776717</v>
      </c>
      <c r="K92" s="87">
        <f>IF(TrRoad_act!K8=0,0,K24/TrRoad_act!K8*1000)</f>
        <v>33.303118612480354</v>
      </c>
      <c r="L92" s="87">
        <f>IF(TrRoad_act!L8=0,0,L24/TrRoad_act!L8*1000)</f>
        <v>33.37134648401868</v>
      </c>
      <c r="M92" s="87">
        <f>IF(TrRoad_act!M8=0,0,M24/TrRoad_act!M8*1000)</f>
        <v>34.297761310168994</v>
      </c>
      <c r="N92" s="87">
        <f>IF(TrRoad_act!N8=0,0,N24/TrRoad_act!N8*1000)</f>
        <v>35.513601904834104</v>
      </c>
      <c r="O92" s="87">
        <f>IF(TrRoad_act!O8=0,0,O24/TrRoad_act!O8*1000)</f>
        <v>34.902961424815459</v>
      </c>
      <c r="P92" s="87">
        <f>IF(TrRoad_act!P8=0,0,P24/TrRoad_act!P8*1000)</f>
        <v>35.656533584886567</v>
      </c>
      <c r="Q92" s="87">
        <f>IF(TrRoad_act!Q8=0,0,Q24/TrRoad_act!Q8*1000)</f>
        <v>34.208303718991765</v>
      </c>
      <c r="R92" s="87">
        <f>IF(TrRoad_act!R8=0,0,R24/TrRoad_act!R8*1000)</f>
        <v>33.664493673302744</v>
      </c>
      <c r="S92" s="87">
        <f>IF(TrRoad_act!S8=0,0,S24/TrRoad_act!S8*1000)</f>
        <v>30.890386020460937</v>
      </c>
      <c r="T92" s="87">
        <f>IF(TrRoad_act!T8=0,0,T24/TrRoad_act!T8*1000)</f>
        <v>31.381529947149545</v>
      </c>
      <c r="U92" s="87">
        <f>IF(TrRoad_act!U8=0,0,U24/TrRoad_act!U8*1000)</f>
        <v>31.04566506307054</v>
      </c>
      <c r="V92" s="87">
        <f>IF(TrRoad_act!V8=0,0,V24/TrRoad_act!V8*1000)</f>
        <v>37.42493938869108</v>
      </c>
      <c r="W92" s="87">
        <f>IF(TrRoad_act!W8=0,0,W24/TrRoad_act!W8*1000)</f>
        <v>35.042072633511964</v>
      </c>
      <c r="X92" s="87">
        <f>IF(TrRoad_act!X8=0,0,X24/TrRoad_act!X8*1000)</f>
        <v>33.88011404215915</v>
      </c>
      <c r="Y92" s="87">
        <f>IF(TrRoad_act!Y8=0,0,Y24/TrRoad_act!Y8*1000)</f>
        <v>31.298716236789254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34.804098147351439</v>
      </c>
      <c r="C93" s="87">
        <f>IF(TrRoad_act!C9=0,0,C26/TrRoad_act!C9*1000)</f>
        <v>36.222665847835138</v>
      </c>
      <c r="D93" s="87">
        <f>IF(TrRoad_act!D9=0,0,D26/TrRoad_act!D9*1000)</f>
        <v>36.41454612774082</v>
      </c>
      <c r="E93" s="87">
        <f>IF(TrRoad_act!E9=0,0,E26/TrRoad_act!E9*1000)</f>
        <v>36.057351984901821</v>
      </c>
      <c r="F93" s="87">
        <f>IF(TrRoad_act!F9=0,0,F26/TrRoad_act!F9*1000)</f>
        <v>33.242418190672439</v>
      </c>
      <c r="G93" s="87">
        <f>IF(TrRoad_act!G9=0,0,G26/TrRoad_act!G9*1000)</f>
        <v>31.92734468287728</v>
      </c>
      <c r="H93" s="87">
        <f>IF(TrRoad_act!H9=0,0,H26/TrRoad_act!H9*1000)</f>
        <v>30.823540969367876</v>
      </c>
      <c r="I93" s="87">
        <f>IF(TrRoad_act!I9=0,0,I26/TrRoad_act!I9*1000)</f>
        <v>30.262060025509413</v>
      </c>
      <c r="J93" s="87">
        <f>IF(TrRoad_act!J9=0,0,J26/TrRoad_act!J9*1000)</f>
        <v>35.325913176336336</v>
      </c>
      <c r="K93" s="87">
        <f>IF(TrRoad_act!K9=0,0,K26/TrRoad_act!K9*1000)</f>
        <v>33.045012656248602</v>
      </c>
      <c r="L93" s="87">
        <f>IF(TrRoad_act!L9=0,0,L26/TrRoad_act!L9*1000)</f>
        <v>32.739019177155775</v>
      </c>
      <c r="M93" s="87">
        <f>IF(TrRoad_act!M9=0,0,M26/TrRoad_act!M9*1000)</f>
        <v>35.617496285524609</v>
      </c>
      <c r="N93" s="87">
        <f>IF(TrRoad_act!N9=0,0,N26/TrRoad_act!N9*1000)</f>
        <v>38.871462828134007</v>
      </c>
      <c r="O93" s="87">
        <f>IF(TrRoad_act!O9=0,0,O26/TrRoad_act!O9*1000)</f>
        <v>36.757292966598754</v>
      </c>
      <c r="P93" s="87">
        <f>IF(TrRoad_act!P9=0,0,P26/TrRoad_act!P9*1000)</f>
        <v>37.899136014128111</v>
      </c>
      <c r="Q93" s="87">
        <f>IF(TrRoad_act!Q9=0,0,Q26/TrRoad_act!Q9*1000)</f>
        <v>35.099445151702731</v>
      </c>
      <c r="R93" s="87">
        <f>IF(TrRoad_act!R9=0,0,R26/TrRoad_act!R9*1000)</f>
        <v>33.089681897340562</v>
      </c>
      <c r="S93" s="87">
        <f>IF(TrRoad_act!S9=0,0,S26/TrRoad_act!S9*1000)</f>
        <v>31.974489061957218</v>
      </c>
      <c r="T93" s="87">
        <f>IF(TrRoad_act!T9=0,0,T26/TrRoad_act!T9*1000)</f>
        <v>30.630869907998687</v>
      </c>
      <c r="U93" s="87">
        <f>IF(TrRoad_act!U9=0,0,U26/TrRoad_act!U9*1000)</f>
        <v>29.835897197324577</v>
      </c>
      <c r="V93" s="87">
        <f>IF(TrRoad_act!V9=0,0,V26/TrRoad_act!V9*1000)</f>
        <v>37.142600234767919</v>
      </c>
      <c r="W93" s="87">
        <f>IF(TrRoad_act!W9=0,0,W26/TrRoad_act!W9*1000)</f>
        <v>30.782548329904305</v>
      </c>
      <c r="X93" s="87">
        <f>IF(TrRoad_act!X9=0,0,X26/TrRoad_act!X9*1000)</f>
        <v>31.145569807709155</v>
      </c>
      <c r="Y93" s="87">
        <f>IF(TrRoad_act!Y9=0,0,Y26/TrRoad_act!Y9*1000)</f>
        <v>29.521504860695682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40.991635963283429</v>
      </c>
      <c r="C94" s="87">
        <f>IF(TrRoad_act!C10=0,0,C27/TrRoad_act!C10*1000)</f>
        <v>41.642994550529451</v>
      </c>
      <c r="D94" s="87">
        <f>IF(TrRoad_act!D10=0,0,D27/TrRoad_act!D10*1000)</f>
        <v>41.169023406597155</v>
      </c>
      <c r="E94" s="87">
        <f>IF(TrRoad_act!E10=0,0,E27/TrRoad_act!E10*1000)</f>
        <v>41.186063021994094</v>
      </c>
      <c r="F94" s="87">
        <f>IF(TrRoad_act!F10=0,0,F27/TrRoad_act!F10*1000)</f>
        <v>42.174956393023983</v>
      </c>
      <c r="G94" s="87">
        <f>IF(TrRoad_act!G10=0,0,G27/TrRoad_act!G10*1000)</f>
        <v>43.881593608914621</v>
      </c>
      <c r="H94" s="87">
        <f>IF(TrRoad_act!H10=0,0,H27/TrRoad_act!H10*1000)</f>
        <v>45.060292537838137</v>
      </c>
      <c r="I94" s="87">
        <f>IF(TrRoad_act!I10=0,0,I27/TrRoad_act!I10*1000)</f>
        <v>44.163922817583099</v>
      </c>
      <c r="J94" s="87">
        <f>IF(TrRoad_act!J10=0,0,J27/TrRoad_act!J10*1000)</f>
        <v>43.073076908853011</v>
      </c>
      <c r="K94" s="87">
        <f>IF(TrRoad_act!K10=0,0,K27/TrRoad_act!K10*1000)</f>
        <v>37.040487959200497</v>
      </c>
      <c r="L94" s="87">
        <f>IF(TrRoad_act!L10=0,0,L27/TrRoad_act!L10*1000)</f>
        <v>40.814054248827233</v>
      </c>
      <c r="M94" s="87">
        <f>IF(TrRoad_act!M10=0,0,M27/TrRoad_act!M10*1000)</f>
        <v>41.577893386215337</v>
      </c>
      <c r="N94" s="87">
        <f>IF(TrRoad_act!N10=0,0,N27/TrRoad_act!N10*1000)</f>
        <v>44.889788693566366</v>
      </c>
      <c r="O94" s="87">
        <f>IF(TrRoad_act!O10=0,0,O27/TrRoad_act!O10*1000)</f>
        <v>41.802129966543255</v>
      </c>
      <c r="P94" s="87">
        <f>IF(TrRoad_act!P10=0,0,P27/TrRoad_act!P10*1000)</f>
        <v>41.648893940036601</v>
      </c>
      <c r="Q94" s="87">
        <f>IF(TrRoad_act!Q10=0,0,Q27/TrRoad_act!Q10*1000)</f>
        <v>39.791384138868061</v>
      </c>
      <c r="R94" s="87">
        <f>IF(TrRoad_act!R10=0,0,R27/TrRoad_act!R10*1000)</f>
        <v>38.049332016747492</v>
      </c>
      <c r="S94" s="87">
        <f>IF(TrRoad_act!S10=0,0,S27/TrRoad_act!S10*1000)</f>
        <v>32.117727913613187</v>
      </c>
      <c r="T94" s="87">
        <f>IF(TrRoad_act!T10=0,0,T27/TrRoad_act!T10*1000)</f>
        <v>30.186232732478882</v>
      </c>
      <c r="U94" s="87">
        <f>IF(TrRoad_act!U10=0,0,U27/TrRoad_act!U10*1000)</f>
        <v>35.202517289099056</v>
      </c>
      <c r="V94" s="87">
        <f>IF(TrRoad_act!V10=0,0,V27/TrRoad_act!V10*1000)</f>
        <v>43.647074403106039</v>
      </c>
      <c r="W94" s="87">
        <f>IF(TrRoad_act!W10=0,0,W27/TrRoad_act!W10*1000)</f>
        <v>37.517774677061972</v>
      </c>
      <c r="X94" s="87">
        <f>IF(TrRoad_act!X10=0,0,X27/TrRoad_act!X10*1000)</f>
        <v>34.681897190934031</v>
      </c>
      <c r="Y94" s="87">
        <f>IF(TrRoad_act!Y10=0,0,Y27/TrRoad_act!Y10*1000)</f>
        <v>33.679444282098636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26.652803557640844</v>
      </c>
      <c r="O95" s="87">
        <f>IF(TrRoad_act!O11=0,0,O29/TrRoad_act!O11*1000)</f>
        <v>28.323889200495206</v>
      </c>
      <c r="P95" s="87">
        <f>IF(TrRoad_act!P11=0,0,P29/TrRoad_act!P11*1000)</f>
        <v>29.504670532722894</v>
      </c>
      <c r="Q95" s="87">
        <f>IF(TrRoad_act!Q11=0,0,Q29/TrRoad_act!Q11*1000)</f>
        <v>28.405833109278475</v>
      </c>
      <c r="R95" s="87">
        <f>IF(TrRoad_act!R11=0,0,R29/TrRoad_act!R11*1000)</f>
        <v>26.462350474838463</v>
      </c>
      <c r="S95" s="87">
        <f>IF(TrRoad_act!S11=0,0,S29/TrRoad_act!S11*1000)</f>
        <v>25.645078133328358</v>
      </c>
      <c r="T95" s="87">
        <f>IF(TrRoad_act!T11=0,0,T29/TrRoad_act!T11*1000)</f>
        <v>27.186405453429455</v>
      </c>
      <c r="U95" s="87">
        <f>IF(TrRoad_act!U11=0,0,U29/TrRoad_act!U11*1000)</f>
        <v>26.035706753208398</v>
      </c>
      <c r="V95" s="87">
        <f>IF(TrRoad_act!V11=0,0,V29/TrRoad_act!V11*1000)</f>
        <v>28.342638434175736</v>
      </c>
      <c r="W95" s="87">
        <f>IF(TrRoad_act!W11=0,0,W29/TrRoad_act!W11*1000)</f>
        <v>23.098004396438867</v>
      </c>
      <c r="X95" s="87">
        <f>IF(TrRoad_act!X11=0,0,X29/TrRoad_act!X11*1000)</f>
        <v>22.46122702868103</v>
      </c>
      <c r="Y95" s="87">
        <f>IF(TrRoad_act!Y11=0,0,Y29/TrRoad_act!Y11*1000)</f>
        <v>19.790568361331413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7.9157760540093847</v>
      </c>
      <c r="M96" s="87">
        <f>IF(TrRoad_act!M12=0,0,M32/TrRoad_act!M12*1000)</f>
        <v>8.1970426028269294</v>
      </c>
      <c r="N96" s="87">
        <f>IF(TrRoad_act!N12=0,0,N32/TrRoad_act!N12*1000)</f>
        <v>8.9570047980892689</v>
      </c>
      <c r="O96" s="87">
        <f>IF(TrRoad_act!O12=0,0,O32/TrRoad_act!O12*1000)</f>
        <v>8.4431977212939966</v>
      </c>
      <c r="P96" s="87">
        <f>IF(TrRoad_act!P12=0,0,P32/TrRoad_act!P12*1000)</f>
        <v>8.7169497578180586</v>
      </c>
      <c r="Q96" s="87">
        <f>IF(TrRoad_act!Q12=0,0,Q32/TrRoad_act!Q12*1000)</f>
        <v>8.1718585386073741</v>
      </c>
      <c r="R96" s="87">
        <f>IF(TrRoad_act!R12=0,0,R32/TrRoad_act!R12*1000)</f>
        <v>7.9486311295954915</v>
      </c>
      <c r="S96" s="87">
        <f>IF(TrRoad_act!S12=0,0,S32/TrRoad_act!S12*1000)</f>
        <v>7.6387410676767731</v>
      </c>
      <c r="T96" s="87">
        <f>IF(TrRoad_act!T12=0,0,T32/TrRoad_act!T12*1000)</f>
        <v>7.5297915348174724</v>
      </c>
      <c r="U96" s="87">
        <f>IF(TrRoad_act!U12=0,0,U32/TrRoad_act!U12*1000)</f>
        <v>8.1877061510207323</v>
      </c>
      <c r="V96" s="87">
        <f>IF(TrRoad_act!V12=0,0,V32/TrRoad_act!V12*1000)</f>
        <v>10.914941059095057</v>
      </c>
      <c r="W96" s="87">
        <f>IF(TrRoad_act!W12=0,0,W32/TrRoad_act!W12*1000)</f>
        <v>8.7856818907608378</v>
      </c>
      <c r="X96" s="87">
        <f>IF(TrRoad_act!X12=0,0,X32/TrRoad_act!X12*1000)</f>
        <v>9.0048674752313573</v>
      </c>
      <c r="Y96" s="87">
        <f>IF(TrRoad_act!Y12=0,0,Y32/TrRoad_act!Y12*1000)</f>
        <v>8.8952573546243414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22.747348987272936</v>
      </c>
      <c r="C97" s="116">
        <f>IF(TrRoad_act!C13=0,0,C33/TrRoad_act!C13*1000)</f>
        <v>22.305595500613755</v>
      </c>
      <c r="D97" s="116">
        <f>IF(TrRoad_act!D13=0,0,D33/TrRoad_act!D13*1000)</f>
        <v>22.102025220131562</v>
      </c>
      <c r="E97" s="116">
        <f>IF(TrRoad_act!E13=0,0,E33/TrRoad_act!E13*1000)</f>
        <v>21.832498601698202</v>
      </c>
      <c r="F97" s="116">
        <f>IF(TrRoad_act!F13=0,0,F33/TrRoad_act!F13*1000)</f>
        <v>21.696864760197833</v>
      </c>
      <c r="G97" s="116">
        <f>IF(TrRoad_act!G13=0,0,G33/TrRoad_act!G13*1000)</f>
        <v>21.461903457761547</v>
      </c>
      <c r="H97" s="116">
        <f>IF(TrRoad_act!H13=0,0,H33/TrRoad_act!H13*1000)</f>
        <v>21.202476008116104</v>
      </c>
      <c r="I97" s="116">
        <f>IF(TrRoad_act!I13=0,0,I33/TrRoad_act!I13*1000)</f>
        <v>21.223822910328931</v>
      </c>
      <c r="J97" s="116">
        <f>IF(TrRoad_act!J13=0,0,J33/TrRoad_act!J13*1000)</f>
        <v>21.454367439413112</v>
      </c>
      <c r="K97" s="116">
        <f>IF(TrRoad_act!K13=0,0,K33/TrRoad_act!K13*1000)</f>
        <v>21.509376158887306</v>
      </c>
      <c r="L97" s="116">
        <f>IF(TrRoad_act!L13=0,0,L33/TrRoad_act!L13*1000)</f>
        <v>21.737027908272506</v>
      </c>
      <c r="M97" s="116">
        <f>IF(TrRoad_act!M13=0,0,M33/TrRoad_act!M13*1000)</f>
        <v>22.322488316482676</v>
      </c>
      <c r="N97" s="116">
        <f>IF(TrRoad_act!N13=0,0,N33/TrRoad_act!N13*1000)</f>
        <v>21.704921027931746</v>
      </c>
      <c r="O97" s="116">
        <f>IF(TrRoad_act!O13=0,0,O33/TrRoad_act!O13*1000)</f>
        <v>21.730243875842117</v>
      </c>
      <c r="P97" s="116">
        <f>IF(TrRoad_act!P13=0,0,P33/TrRoad_act!P13*1000)</f>
        <v>21.631030451108099</v>
      </c>
      <c r="Q97" s="116">
        <f>IF(TrRoad_act!Q13=0,0,Q33/TrRoad_act!Q13*1000)</f>
        <v>22.250726676723094</v>
      </c>
      <c r="R97" s="116">
        <f>IF(TrRoad_act!R13=0,0,R33/TrRoad_act!R13*1000)</f>
        <v>22.085771927903924</v>
      </c>
      <c r="S97" s="116">
        <f>IF(TrRoad_act!S13=0,0,S33/TrRoad_act!S13*1000)</f>
        <v>22.197709632098931</v>
      </c>
      <c r="T97" s="116">
        <f>IF(TrRoad_act!T13=0,0,T33/TrRoad_act!T13*1000)</f>
        <v>21.631080798852643</v>
      </c>
      <c r="U97" s="116">
        <f>IF(TrRoad_act!U13=0,0,U33/TrRoad_act!U13*1000)</f>
        <v>22.214560935734667</v>
      </c>
      <c r="V97" s="116">
        <f>IF(TrRoad_act!V13=0,0,V33/TrRoad_act!V13*1000)</f>
        <v>38.268202030581044</v>
      </c>
      <c r="W97" s="116">
        <f>IF(TrRoad_act!W13=0,0,W33/TrRoad_act!W13*1000)</f>
        <v>30.161907651730669</v>
      </c>
      <c r="X97" s="116">
        <f>IF(TrRoad_act!X13=0,0,X33/TrRoad_act!X13*1000)</f>
        <v>26.005792161264569</v>
      </c>
      <c r="Y97" s="116">
        <f>IF(TrRoad_act!Y13=0,0,Y33/TrRoad_act!Y13*1000)</f>
        <v>26.715418439630447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18.00438684008531</v>
      </c>
      <c r="C98" s="101">
        <f>IF(TrRoad_act!C14=0,0,C34/TrRoad_act!C14*1000)</f>
        <v>18.004986605886739</v>
      </c>
      <c r="D98" s="101">
        <f>IF(TrRoad_act!D14=0,0,D34/TrRoad_act!D14*1000)</f>
        <v>18.006186197428811</v>
      </c>
      <c r="E98" s="101">
        <f>IF(TrRoad_act!E14=0,0,E34/TrRoad_act!E14*1000)</f>
        <v>18.00858562028851</v>
      </c>
      <c r="F98" s="101">
        <f>IF(TrRoad_act!F14=0,0,F34/TrRoad_act!F14*1000)</f>
        <v>18.013385425259187</v>
      </c>
      <c r="G98" s="101">
        <f>IF(TrRoad_act!G14=0,0,G34/TrRoad_act!G14*1000)</f>
        <v>18.022988873398898</v>
      </c>
      <c r="H98" s="101">
        <f>IF(TrRoad_act!H14=0,0,H34/TrRoad_act!H14*1000)</f>
        <v>18.042211132021954</v>
      </c>
      <c r="I98" s="101">
        <f>IF(TrRoad_act!I14=0,0,I34/TrRoad_act!I14*1000)</f>
        <v>18.005363676636531</v>
      </c>
      <c r="J98" s="101">
        <f>IF(TrRoad_act!J14=0,0,J34/TrRoad_act!J14*1000)</f>
        <v>17.824560944675735</v>
      </c>
      <c r="K98" s="101">
        <f>IF(TrRoad_act!K14=0,0,K34/TrRoad_act!K14*1000)</f>
        <v>17.85366156571963</v>
      </c>
      <c r="L98" s="101">
        <f>IF(TrRoad_act!L14=0,0,L34/TrRoad_act!L14*1000)</f>
        <v>17.910196652011233</v>
      </c>
      <c r="M98" s="101">
        <f>IF(TrRoad_act!M14=0,0,M34/TrRoad_act!M14*1000)</f>
        <v>18.125681521674153</v>
      </c>
      <c r="N98" s="101">
        <f>IF(TrRoad_act!N14=0,0,N34/TrRoad_act!N14*1000)</f>
        <v>17.436911802468213</v>
      </c>
      <c r="O98" s="101">
        <f>IF(TrRoad_act!O14=0,0,O34/TrRoad_act!O14*1000)</f>
        <v>15.437576550416459</v>
      </c>
      <c r="P98" s="101">
        <f>IF(TrRoad_act!P14=0,0,P34/TrRoad_act!P14*1000)</f>
        <v>14.466365789625529</v>
      </c>
      <c r="Q98" s="101">
        <f>IF(TrRoad_act!Q14=0,0,Q34/TrRoad_act!Q14*1000)</f>
        <v>14.579985932537676</v>
      </c>
      <c r="R98" s="101">
        <f>IF(TrRoad_act!R14=0,0,R34/TrRoad_act!R14*1000)</f>
        <v>14.5732355572593</v>
      </c>
      <c r="S98" s="101">
        <f>IF(TrRoad_act!S14=0,0,S34/TrRoad_act!S14*1000)</f>
        <v>14.515442393283822</v>
      </c>
      <c r="T98" s="101">
        <f>IF(TrRoad_act!T14=0,0,T34/TrRoad_act!T14*1000)</f>
        <v>14.510928745845117</v>
      </c>
      <c r="U98" s="101">
        <f>IF(TrRoad_act!U14=0,0,U34/TrRoad_act!U14*1000)</f>
        <v>14.000594462351497</v>
      </c>
      <c r="V98" s="101">
        <f>IF(TrRoad_act!V14=0,0,V34/TrRoad_act!V14*1000)</f>
        <v>19.578035862174495</v>
      </c>
      <c r="W98" s="101">
        <f>IF(TrRoad_act!W14=0,0,W34/TrRoad_act!W14*1000)</f>
        <v>18.759672896912011</v>
      </c>
      <c r="X98" s="101">
        <f>IF(TrRoad_act!X14=0,0,X34/TrRoad_act!X14*1000)</f>
        <v>16.855471904720339</v>
      </c>
      <c r="Y98" s="101">
        <f>IF(TrRoad_act!Y14=0,0,Y34/TrRoad_act!Y14*1000)</f>
        <v>17.730624462602126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22.966331786867286</v>
      </c>
      <c r="C99" s="101">
        <f>IF(TrRoad_act!C15=0,0,C36/TrRoad_act!C15*1000)</f>
        <v>22.503510468894984</v>
      </c>
      <c r="D99" s="101">
        <f>IF(TrRoad_act!D15=0,0,D36/TrRoad_act!D15*1000)</f>
        <v>22.265677236065184</v>
      </c>
      <c r="E99" s="101">
        <f>IF(TrRoad_act!E15=0,0,E36/TrRoad_act!E15*1000)</f>
        <v>22.085244917353382</v>
      </c>
      <c r="F99" s="101">
        <f>IF(TrRoad_act!F15=0,0,F36/TrRoad_act!F15*1000)</f>
        <v>21.947700920723847</v>
      </c>
      <c r="G99" s="101">
        <f>IF(TrRoad_act!G15=0,0,G36/TrRoad_act!G15*1000)</f>
        <v>21.843834649141058</v>
      </c>
      <c r="H99" s="101">
        <f>IF(TrRoad_act!H15=0,0,H36/TrRoad_act!H15*1000)</f>
        <v>21.78126299772099</v>
      </c>
      <c r="I99" s="101">
        <f>IF(TrRoad_act!I15=0,0,I36/TrRoad_act!I15*1000)</f>
        <v>21.777375478598778</v>
      </c>
      <c r="J99" s="101">
        <f>IF(TrRoad_act!J15=0,0,J36/TrRoad_act!J15*1000)</f>
        <v>21.824183862832548</v>
      </c>
      <c r="K99" s="101">
        <f>IF(TrRoad_act!K15=0,0,K36/TrRoad_act!K15*1000)</f>
        <v>22.0692848796491</v>
      </c>
      <c r="L99" s="101">
        <f>IF(TrRoad_act!L15=0,0,L36/TrRoad_act!L15*1000)</f>
        <v>22.309332022556728</v>
      </c>
      <c r="M99" s="101">
        <f>IF(TrRoad_act!M15=0,0,M36/TrRoad_act!M15*1000)</f>
        <v>22.730267282283464</v>
      </c>
      <c r="N99" s="101">
        <f>IF(TrRoad_act!N15=0,0,N36/TrRoad_act!N15*1000)</f>
        <v>21.941772652176525</v>
      </c>
      <c r="O99" s="101">
        <f>IF(TrRoad_act!O15=0,0,O36/TrRoad_act!O15*1000)</f>
        <v>21.983000051219506</v>
      </c>
      <c r="P99" s="101">
        <f>IF(TrRoad_act!P15=0,0,P36/TrRoad_act!P15*1000)</f>
        <v>22.027092813174448</v>
      </c>
      <c r="Q99" s="101">
        <f>IF(TrRoad_act!Q15=0,0,Q36/TrRoad_act!Q15*1000)</f>
        <v>22.482358136162681</v>
      </c>
      <c r="R99" s="101">
        <f>IF(TrRoad_act!R15=0,0,R36/TrRoad_act!R15*1000)</f>
        <v>22.597620688504072</v>
      </c>
      <c r="S99" s="101">
        <f>IF(TrRoad_act!S15=0,0,S36/TrRoad_act!S15*1000)</f>
        <v>22.691491493029464</v>
      </c>
      <c r="T99" s="101">
        <f>IF(TrRoad_act!T15=0,0,T36/TrRoad_act!T15*1000)</f>
        <v>22.751042155041826</v>
      </c>
      <c r="U99" s="101">
        <f>IF(TrRoad_act!U15=0,0,U36/TrRoad_act!U15*1000)</f>
        <v>22.751756687972083</v>
      </c>
      <c r="V99" s="101">
        <f>IF(TrRoad_act!V15=0,0,V36/TrRoad_act!V15*1000)</f>
        <v>39.966118740441701</v>
      </c>
      <c r="W99" s="101">
        <f>IF(TrRoad_act!W15=0,0,W36/TrRoad_act!W15*1000)</f>
        <v>30.365234052090631</v>
      </c>
      <c r="X99" s="101">
        <f>IF(TrRoad_act!X15=0,0,X36/TrRoad_act!X15*1000)</f>
        <v>27.198837357373183</v>
      </c>
      <c r="Y99" s="101">
        <f>IF(TrRoad_act!Y15=0,0,Y36/TrRoad_act!Y15*1000)</f>
        <v>28.439411039546261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19.237055431641078</v>
      </c>
      <c r="C100" s="101">
        <f>IF(TrRoad_act!C16=0,0,C38/TrRoad_act!C16*1000)</f>
        <v>18.959709554189352</v>
      </c>
      <c r="D100" s="101">
        <f>IF(TrRoad_act!D16=0,0,D38/TrRoad_act!D16*1000)</f>
        <v>18.951577817285518</v>
      </c>
      <c r="E100" s="101">
        <f>IF(TrRoad_act!E16=0,0,E38/TrRoad_act!E16*1000)</f>
        <v>18.681149278763449</v>
      </c>
      <c r="F100" s="101">
        <f>IF(TrRoad_act!F16=0,0,F38/TrRoad_act!F16*1000)</f>
        <v>18.258999522357513</v>
      </c>
      <c r="G100" s="101">
        <f>IF(TrRoad_act!G16=0,0,G38/TrRoad_act!G16*1000)</f>
        <v>18.127744006019174</v>
      </c>
      <c r="H100" s="101">
        <f>IF(TrRoad_act!H16=0,0,H38/TrRoad_act!H16*1000)</f>
        <v>18.129754442421802</v>
      </c>
      <c r="I100" s="101">
        <f>IF(TrRoad_act!I16=0,0,I38/TrRoad_act!I16*1000)</f>
        <v>18.15300911242225</v>
      </c>
      <c r="J100" s="101">
        <f>IF(TrRoad_act!J16=0,0,J38/TrRoad_act!J16*1000)</f>
        <v>18.244144610728991</v>
      </c>
      <c r="K100" s="101">
        <f>IF(TrRoad_act!K16=0,0,K38/TrRoad_act!K16*1000)</f>
        <v>18.49591991536542</v>
      </c>
      <c r="L100" s="101">
        <f>IF(TrRoad_act!L16=0,0,L38/TrRoad_act!L16*1000)</f>
        <v>18.722096591260552</v>
      </c>
      <c r="M100" s="101">
        <f>IF(TrRoad_act!M16=0,0,M38/TrRoad_act!M16*1000)</f>
        <v>19.059955803740323</v>
      </c>
      <c r="N100" s="101">
        <f>IF(TrRoad_act!N16=0,0,N38/TrRoad_act!N16*1000)</f>
        <v>18.379444398204686</v>
      </c>
      <c r="O100" s="101">
        <f>IF(TrRoad_act!O16=0,0,O38/TrRoad_act!O16*1000)</f>
        <v>18.35748030203694</v>
      </c>
      <c r="P100" s="101">
        <f>IF(TrRoad_act!P16=0,0,P38/TrRoad_act!P16*1000)</f>
        <v>18.321818321290475</v>
      </c>
      <c r="Q100" s="101">
        <f>IF(TrRoad_act!Q16=0,0,Q38/TrRoad_act!Q16*1000)</f>
        <v>18.572960361347729</v>
      </c>
      <c r="R100" s="101">
        <f>IF(TrRoad_act!R16=0,0,R38/TrRoad_act!R16*1000)</f>
        <v>18.566251535282415</v>
      </c>
      <c r="S100" s="101">
        <f>IF(TrRoad_act!S16=0,0,S38/TrRoad_act!S16*1000)</f>
        <v>18.569134397550684</v>
      </c>
      <c r="T100" s="101">
        <f>IF(TrRoad_act!T16=0,0,T38/TrRoad_act!T16*1000)</f>
        <v>18.573619007748142</v>
      </c>
      <c r="U100" s="101">
        <f>IF(TrRoad_act!U16=0,0,U38/TrRoad_act!U16*1000)</f>
        <v>18.561977129482838</v>
      </c>
      <c r="V100" s="101">
        <f>IF(TrRoad_act!V16=0,0,V38/TrRoad_act!V16*1000)</f>
        <v>32.726892114137392</v>
      </c>
      <c r="W100" s="101">
        <f>IF(TrRoad_act!W16=0,0,W38/TrRoad_act!W16*1000)</f>
        <v>25.04414354814725</v>
      </c>
      <c r="X100" s="101">
        <f>IF(TrRoad_act!X16=0,0,X38/TrRoad_act!X16*1000)</f>
        <v>22.638678481031036</v>
      </c>
      <c r="Y100" s="101">
        <f>IF(TrRoad_act!Y16=0,0,Y38/TrRoad_act!Y16*1000)</f>
        <v>23.985010762338057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1.6973327235482649</v>
      </c>
      <c r="C101" s="101">
        <f>IF(TrRoad_act!C17=0,0,C39/TrRoad_act!C17*1000)</f>
        <v>1.6770942537246112</v>
      </c>
      <c r="D101" s="101">
        <f>IF(TrRoad_act!D17=0,0,D39/TrRoad_act!D17*1000)</f>
        <v>1.6765313344448731</v>
      </c>
      <c r="E101" s="101">
        <f>IF(TrRoad_act!E17=0,0,E39/TrRoad_act!E17*1000)</f>
        <v>1.6017280676814099</v>
      </c>
      <c r="F101" s="101">
        <f>IF(TrRoad_act!F17=0,0,F39/TrRoad_act!F17*1000)</f>
        <v>1.5948884007503572</v>
      </c>
      <c r="G101" s="101">
        <f>IF(TrRoad_act!G17=0,0,G39/TrRoad_act!G17*1000)</f>
        <v>1.5671366057895717</v>
      </c>
      <c r="H101" s="101">
        <f>IF(TrRoad_act!H17=0,0,H39/TrRoad_act!H17*1000)</f>
        <v>1.5637553123992092</v>
      </c>
      <c r="I101" s="101">
        <f>IF(TrRoad_act!I17=0,0,I39/TrRoad_act!I17*1000)</f>
        <v>5.1508614509719779</v>
      </c>
      <c r="J101" s="101">
        <f>IF(TrRoad_act!J17=0,0,J39/TrRoad_act!J17*1000)</f>
        <v>11.514174853355239</v>
      </c>
      <c r="K101" s="101">
        <f>IF(TrRoad_act!K17=0,0,K39/TrRoad_act!K17*1000)</f>
        <v>8.3833866967542416</v>
      </c>
      <c r="L101" s="101">
        <f>IF(TrRoad_act!L17=0,0,L39/TrRoad_act!L17*1000)</f>
        <v>8.9488341485618665</v>
      </c>
      <c r="M101" s="101">
        <f>IF(TrRoad_act!M17=0,0,M39/TrRoad_act!M17*1000)</f>
        <v>14.533273184607827</v>
      </c>
      <c r="N101" s="101">
        <f>IF(TrRoad_act!N17=0,0,N39/TrRoad_act!N17*1000)</f>
        <v>17.597298445356042</v>
      </c>
      <c r="O101" s="101">
        <f>IF(TrRoad_act!O17=0,0,O39/TrRoad_act!O17*1000)</f>
        <v>18.690620563524423</v>
      </c>
      <c r="P101" s="101">
        <f>IF(TrRoad_act!P17=0,0,P39/TrRoad_act!P17*1000)</f>
        <v>15.778121517751542</v>
      </c>
      <c r="Q101" s="101">
        <f>IF(TrRoad_act!Q17=0,0,Q39/TrRoad_act!Q17*1000)</f>
        <v>18.992205475997192</v>
      </c>
      <c r="R101" s="101">
        <f>IF(TrRoad_act!R17=0,0,R39/TrRoad_act!R17*1000)</f>
        <v>11.941891242358151</v>
      </c>
      <c r="S101" s="101">
        <f>IF(TrRoad_act!S17=0,0,S39/TrRoad_act!S17*1000)</f>
        <v>13.928772655670846</v>
      </c>
      <c r="T101" s="101">
        <f>IF(TrRoad_act!T17=0,0,T39/TrRoad_act!T17*1000)</f>
        <v>12.518433573591668</v>
      </c>
      <c r="U101" s="101">
        <f>IF(TrRoad_act!U17=0,0,U39/TrRoad_act!U17*1000)</f>
        <v>14.556593380251629</v>
      </c>
      <c r="V101" s="101">
        <f>IF(TrRoad_act!V17=0,0,V39/TrRoad_act!V17*1000)</f>
        <v>12.80490060722542</v>
      </c>
      <c r="W101" s="101">
        <f>IF(TrRoad_act!W17=0,0,W39/TrRoad_act!W17*1000)</f>
        <v>29.595303210863246</v>
      </c>
      <c r="X101" s="101">
        <f>IF(TrRoad_act!X17=0,0,X39/TrRoad_act!X17*1000)</f>
        <v>10.647485199790824</v>
      </c>
      <c r="Y101" s="101">
        <f>IF(TrRoad_act!Y17=0,0,Y39/TrRoad_act!Y17*1000)</f>
        <v>7.1255903952817405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10.650142780994555</v>
      </c>
      <c r="P102" s="101">
        <f>IF(TrRoad_act!P18=0,0,P41/TrRoad_act!P18*1000)</f>
        <v>10.633953370614835</v>
      </c>
      <c r="Q102" s="101">
        <f>IF(TrRoad_act!Q18=0,0,Q41/TrRoad_act!Q18*1000)</f>
        <v>10.781103788027403</v>
      </c>
      <c r="R102" s="101">
        <f>IF(TrRoad_act!R18=0,0,R41/TrRoad_act!R18*1000)</f>
        <v>10.770810308326613</v>
      </c>
      <c r="S102" s="101">
        <f>IF(TrRoad_act!S18=0,0,S41/TrRoad_act!S18*1000)</f>
        <v>10.727085885129251</v>
      </c>
      <c r="T102" s="101">
        <f>IF(TrRoad_act!T18=0,0,T41/TrRoad_act!T18*1000)</f>
        <v>10.586478545792035</v>
      </c>
      <c r="U102" s="101">
        <f>IF(TrRoad_act!U18=0,0,U41/TrRoad_act!U18*1000)</f>
        <v>10.418943396019715</v>
      </c>
      <c r="V102" s="101">
        <f>IF(TrRoad_act!V18=0,0,V41/TrRoad_act!V18*1000)</f>
        <v>18.090235480010218</v>
      </c>
      <c r="W102" s="101">
        <f>IF(TrRoad_act!W18=0,0,W41/TrRoad_act!W18*1000)</f>
        <v>13.001036938620022</v>
      </c>
      <c r="X102" s="101">
        <f>IF(TrRoad_act!X18=0,0,X41/TrRoad_act!X18*1000)</f>
        <v>11.48564804816591</v>
      </c>
      <c r="Y102" s="101">
        <f>IF(TrRoad_act!Y18=0,0,Y41/TrRoad_act!Y18*1000)</f>
        <v>11.515192051247992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50.881575704114269</v>
      </c>
      <c r="C103" s="29">
        <f>IF(TrRoad_act!C19=0,0,C42/TrRoad_act!C19*1000)</f>
        <v>54.150926962249798</v>
      </c>
      <c r="D103" s="29">
        <f>IF(TrRoad_act!D19=0,0,D42/TrRoad_act!D19*1000)</f>
        <v>52.050755689640923</v>
      </c>
      <c r="E103" s="29">
        <f>IF(TrRoad_act!E19=0,0,E42/TrRoad_act!E19*1000)</f>
        <v>57.827738058357454</v>
      </c>
      <c r="F103" s="29">
        <f>IF(TrRoad_act!F19=0,0,F42/TrRoad_act!F19*1000)</f>
        <v>54.978489188082314</v>
      </c>
      <c r="G103" s="29">
        <f>IF(TrRoad_act!G19=0,0,G42/TrRoad_act!G19*1000)</f>
        <v>54.287046200370824</v>
      </c>
      <c r="H103" s="29">
        <f>IF(TrRoad_act!H19=0,0,H42/TrRoad_act!H19*1000)</f>
        <v>55.798725998612362</v>
      </c>
      <c r="I103" s="29">
        <f>IF(TrRoad_act!I19=0,0,I42/TrRoad_act!I19*1000)</f>
        <v>57.894128771003899</v>
      </c>
      <c r="J103" s="29">
        <f>IF(TrRoad_act!J19=0,0,J42/TrRoad_act!J19*1000)</f>
        <v>51.628473444268771</v>
      </c>
      <c r="K103" s="29">
        <f>IF(TrRoad_act!K19=0,0,K42/TrRoad_act!K19*1000)</f>
        <v>48.678134204499251</v>
      </c>
      <c r="L103" s="29">
        <f>IF(TrRoad_act!L19=0,0,L42/TrRoad_act!L19*1000)</f>
        <v>48.081730881270083</v>
      </c>
      <c r="M103" s="29">
        <f>IF(TrRoad_act!M19=0,0,M42/TrRoad_act!M19*1000)</f>
        <v>57.266246885355258</v>
      </c>
      <c r="N103" s="29">
        <f>IF(TrRoad_act!N19=0,0,N42/TrRoad_act!N19*1000)</f>
        <v>62.387826187210536</v>
      </c>
      <c r="O103" s="29">
        <f>IF(TrRoad_act!O19=0,0,O42/TrRoad_act!O19*1000)</f>
        <v>52.775192435985076</v>
      </c>
      <c r="P103" s="29">
        <f>IF(TrRoad_act!P19=0,0,P42/TrRoad_act!P19*1000)</f>
        <v>56.024325376081194</v>
      </c>
      <c r="Q103" s="29">
        <f>IF(TrRoad_act!Q19=0,0,Q42/TrRoad_act!Q19*1000)</f>
        <v>50.454934818307393</v>
      </c>
      <c r="R103" s="29">
        <f>IF(TrRoad_act!R19=0,0,R42/TrRoad_act!R19*1000)</f>
        <v>46.447655783884798</v>
      </c>
      <c r="S103" s="29">
        <f>IF(TrRoad_act!S19=0,0,S42/TrRoad_act!S19*1000)</f>
        <v>37.010087331103009</v>
      </c>
      <c r="T103" s="29">
        <f>IF(TrRoad_act!T19=0,0,T42/TrRoad_act!T19*1000)</f>
        <v>43.485353648285894</v>
      </c>
      <c r="U103" s="29">
        <f>IF(TrRoad_act!U19=0,0,U42/TrRoad_act!U19*1000)</f>
        <v>41.064076056205302</v>
      </c>
      <c r="V103" s="29">
        <f>IF(TrRoad_act!V19=0,0,V42/TrRoad_act!V19*1000)</f>
        <v>38.542917922013096</v>
      </c>
      <c r="W103" s="29">
        <f>IF(TrRoad_act!W19=0,0,W42/TrRoad_act!W19*1000)</f>
        <v>48.747777800041213</v>
      </c>
      <c r="X103" s="29">
        <f>IF(TrRoad_act!X19=0,0,X42/TrRoad_act!X19*1000)</f>
        <v>52.393997046971414</v>
      </c>
      <c r="Y103" s="29">
        <f>IF(TrRoad_act!Y19=0,0,Y42/TrRoad_act!Y19*1000)</f>
        <v>52.783235944388181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641.13818117888911</v>
      </c>
      <c r="C104" s="152">
        <f>IF(TrRoad_act!C20=0,0,C43/TrRoad_act!C20*1000)</f>
        <v>597.15528843995958</v>
      </c>
      <c r="D104" s="152">
        <f>IF(TrRoad_act!D20=0,0,D43/TrRoad_act!D20*1000)</f>
        <v>563.78727692479833</v>
      </c>
      <c r="E104" s="152">
        <f>IF(TrRoad_act!E20=0,0,E43/TrRoad_act!E20*1000)</f>
        <v>544.19376358605939</v>
      </c>
      <c r="F104" s="152">
        <f>IF(TrRoad_act!F20=0,0,F43/TrRoad_act!F20*1000)</f>
        <v>534.90797470926987</v>
      </c>
      <c r="G104" s="152">
        <f>IF(TrRoad_act!G20=0,0,G43/TrRoad_act!G20*1000)</f>
        <v>521.6370237007061</v>
      </c>
      <c r="H104" s="152">
        <f>IF(TrRoad_act!H20=0,0,H43/TrRoad_act!H20*1000)</f>
        <v>489.87502633407081</v>
      </c>
      <c r="I104" s="152">
        <f>IF(TrRoad_act!I20=0,0,I43/TrRoad_act!I20*1000)</f>
        <v>480.58108305822316</v>
      </c>
      <c r="J104" s="152">
        <f>IF(TrRoad_act!J20=0,0,J43/TrRoad_act!J20*1000)</f>
        <v>467.75239733636903</v>
      </c>
      <c r="K104" s="152">
        <f>IF(TrRoad_act!K20=0,0,K43/TrRoad_act!K20*1000)</f>
        <v>453.94638890418685</v>
      </c>
      <c r="L104" s="152">
        <f>IF(TrRoad_act!L20=0,0,L43/TrRoad_act!L20*1000)</f>
        <v>449.9811556208777</v>
      </c>
      <c r="M104" s="152">
        <f>IF(TrRoad_act!M20=0,0,M43/TrRoad_act!M20*1000)</f>
        <v>442.12187276586604</v>
      </c>
      <c r="N104" s="152">
        <f>IF(TrRoad_act!N20=0,0,N43/TrRoad_act!N20*1000)</f>
        <v>427.97639258533781</v>
      </c>
      <c r="O104" s="152">
        <f>IF(TrRoad_act!O20=0,0,O43/TrRoad_act!O20*1000)</f>
        <v>410.26018284183033</v>
      </c>
      <c r="P104" s="152">
        <f>IF(TrRoad_act!P20=0,0,P43/TrRoad_act!P20*1000)</f>
        <v>404.33975595887267</v>
      </c>
      <c r="Q104" s="152">
        <f>IF(TrRoad_act!Q20=0,0,Q43/TrRoad_act!Q20*1000)</f>
        <v>380.68657237853336</v>
      </c>
      <c r="R104" s="152">
        <f>IF(TrRoad_act!R20=0,0,R43/TrRoad_act!R20*1000)</f>
        <v>370.72222709948511</v>
      </c>
      <c r="S104" s="152">
        <f>IF(TrRoad_act!S20=0,0,S43/TrRoad_act!S20*1000)</f>
        <v>363.63245397818258</v>
      </c>
      <c r="T104" s="152">
        <f>IF(TrRoad_act!T20=0,0,T43/TrRoad_act!T20*1000)</f>
        <v>361.46476042987882</v>
      </c>
      <c r="U104" s="152">
        <f>IF(TrRoad_act!U20=0,0,U43/TrRoad_act!U20*1000)</f>
        <v>361.24337066556728</v>
      </c>
      <c r="V104" s="152">
        <f>IF(TrRoad_act!V20=0,0,V43/TrRoad_act!V20*1000)</f>
        <v>358.11022757128541</v>
      </c>
      <c r="W104" s="152">
        <f>IF(TrRoad_act!W20=0,0,W43/TrRoad_act!W20*1000)</f>
        <v>370.56171737081809</v>
      </c>
      <c r="X104" s="152">
        <f>IF(TrRoad_act!X20=0,0,X43/TrRoad_act!X20*1000)</f>
        <v>358.44954566493072</v>
      </c>
      <c r="Y104" s="152">
        <f>IF(TrRoad_act!Y20=0,0,Y43/TrRoad_act!Y20*1000)</f>
        <v>350.87001943171771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664.61936905152447</v>
      </c>
      <c r="C105" s="87">
        <f>IF(TrRoad_act!C21=0,0,C44/TrRoad_act!C21*1000)</f>
        <v>640.33170276682938</v>
      </c>
      <c r="D105" s="87">
        <f>IF(TrRoad_act!D21=0,0,D44/TrRoad_act!D21*1000)</f>
        <v>614.08488028657678</v>
      </c>
      <c r="E105" s="87">
        <f>IF(TrRoad_act!E21=0,0,E44/TrRoad_act!E21*1000)</f>
        <v>593.71398073258945</v>
      </c>
      <c r="F105" s="87">
        <f>IF(TrRoad_act!F21=0,0,F44/TrRoad_act!F21*1000)</f>
        <v>581.28490634556579</v>
      </c>
      <c r="G105" s="87">
        <f>IF(TrRoad_act!G21=0,0,G44/TrRoad_act!G21*1000)</f>
        <v>565.14316233979423</v>
      </c>
      <c r="H105" s="87">
        <f>IF(TrRoad_act!H21=0,0,H44/TrRoad_act!H21*1000)</f>
        <v>549.81343737025077</v>
      </c>
      <c r="I105" s="87">
        <f>IF(TrRoad_act!I21=0,0,I44/TrRoad_act!I21*1000)</f>
        <v>539.66046045344956</v>
      </c>
      <c r="J105" s="87">
        <f>IF(TrRoad_act!J21=0,0,J44/TrRoad_act!J21*1000)</f>
        <v>530.45700778395985</v>
      </c>
      <c r="K105" s="87">
        <f>IF(TrRoad_act!K21=0,0,K44/TrRoad_act!K21*1000)</f>
        <v>521.36075614725041</v>
      </c>
      <c r="L105" s="87">
        <f>IF(TrRoad_act!L21=0,0,L44/TrRoad_act!L21*1000)</f>
        <v>521.41156739076655</v>
      </c>
      <c r="M105" s="87">
        <f>IF(TrRoad_act!M21=0,0,M44/TrRoad_act!M21*1000)</f>
        <v>516.03769277581944</v>
      </c>
      <c r="N105" s="87">
        <f>IF(TrRoad_act!N21=0,0,N44/TrRoad_act!N21*1000)</f>
        <v>502.64582842632069</v>
      </c>
      <c r="O105" s="87">
        <f>IF(TrRoad_act!O21=0,0,O44/TrRoad_act!O21*1000)</f>
        <v>490.85538027069765</v>
      </c>
      <c r="P105" s="87">
        <f>IF(TrRoad_act!P21=0,0,P44/TrRoad_act!P21*1000)</f>
        <v>478.96336850810377</v>
      </c>
      <c r="Q105" s="87">
        <f>IF(TrRoad_act!Q21=0,0,Q44/TrRoad_act!Q21*1000)</f>
        <v>465.56961186599693</v>
      </c>
      <c r="R105" s="87">
        <f>IF(TrRoad_act!R21=0,0,R44/TrRoad_act!R21*1000)</f>
        <v>462.93015757844944</v>
      </c>
      <c r="S105" s="87">
        <f>IF(TrRoad_act!S21=0,0,S44/TrRoad_act!S21*1000)</f>
        <v>455.19734191815195</v>
      </c>
      <c r="T105" s="87">
        <f>IF(TrRoad_act!T21=0,0,T44/TrRoad_act!T21*1000)</f>
        <v>447.97870664884448</v>
      </c>
      <c r="U105" s="87">
        <f>IF(TrRoad_act!U21=0,0,U44/TrRoad_act!U21*1000)</f>
        <v>445.03781327527673</v>
      </c>
      <c r="V105" s="87">
        <f>IF(TrRoad_act!V21=0,0,V44/TrRoad_act!V21*1000)</f>
        <v>442.54356682784686</v>
      </c>
      <c r="W105" s="87">
        <f>IF(TrRoad_act!W21=0,0,W44/TrRoad_act!W21*1000)</f>
        <v>438.37585952392817</v>
      </c>
      <c r="X105" s="87">
        <f>IF(TrRoad_act!X21=0,0,X44/TrRoad_act!X21*1000)</f>
        <v>428.69032328382559</v>
      </c>
      <c r="Y105" s="87">
        <f>IF(TrRoad_act!Y21=0,0,Y44/TrRoad_act!Y21*1000)</f>
        <v>422.37798934193285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639.61489233011343</v>
      </c>
      <c r="C106" s="87">
        <f>IF(TrRoad_act!C22=0,0,C46/TrRoad_act!C22*1000)</f>
        <v>594.65740975668734</v>
      </c>
      <c r="D106" s="87">
        <f>IF(TrRoad_act!D22=0,0,D46/TrRoad_act!D22*1000)</f>
        <v>560.97603664978317</v>
      </c>
      <c r="E106" s="87">
        <f>IF(TrRoad_act!E22=0,0,E46/TrRoad_act!E22*1000)</f>
        <v>541.57524996860946</v>
      </c>
      <c r="F106" s="87">
        <f>IF(TrRoad_act!F22=0,0,F46/TrRoad_act!F22*1000)</f>
        <v>532.60718290651926</v>
      </c>
      <c r="G106" s="87">
        <f>IF(TrRoad_act!G22=0,0,G46/TrRoad_act!G22*1000)</f>
        <v>519.59475609316837</v>
      </c>
      <c r="H106" s="87">
        <f>IF(TrRoad_act!H22=0,0,H46/TrRoad_act!H22*1000)</f>
        <v>486.86218619768283</v>
      </c>
      <c r="I106" s="87">
        <f>IF(TrRoad_act!I22=0,0,I46/TrRoad_act!I22*1000)</f>
        <v>478.07733942331646</v>
      </c>
      <c r="J106" s="87">
        <f>IF(TrRoad_act!J22=0,0,J46/TrRoad_act!J22*1000)</f>
        <v>465.05284586316947</v>
      </c>
      <c r="K106" s="87">
        <f>IF(TrRoad_act!K22=0,0,K46/TrRoad_act!K22*1000)</f>
        <v>451.19112174883657</v>
      </c>
      <c r="L106" s="87">
        <f>IF(TrRoad_act!L22=0,0,L46/TrRoad_act!L22*1000)</f>
        <v>446.88742579055702</v>
      </c>
      <c r="M106" s="87">
        <f>IF(TrRoad_act!M22=0,0,M46/TrRoad_act!M22*1000)</f>
        <v>439.0714404205745</v>
      </c>
      <c r="N106" s="87">
        <f>IF(TrRoad_act!N22=0,0,N46/TrRoad_act!N22*1000)</f>
        <v>424.50851418069692</v>
      </c>
      <c r="O106" s="87">
        <f>IF(TrRoad_act!O22=0,0,O46/TrRoad_act!O22*1000)</f>
        <v>405.9016313828335</v>
      </c>
      <c r="P106" s="87">
        <f>IF(TrRoad_act!P22=0,0,P46/TrRoad_act!P22*1000)</f>
        <v>400.33496342344102</v>
      </c>
      <c r="Q106" s="87">
        <f>IF(TrRoad_act!Q22=0,0,Q46/TrRoad_act!Q22*1000)</f>
        <v>375.24789229378115</v>
      </c>
      <c r="R106" s="87">
        <f>IF(TrRoad_act!R22=0,0,R46/TrRoad_act!R22*1000)</f>
        <v>364.87485012984155</v>
      </c>
      <c r="S106" s="87">
        <f>IF(TrRoad_act!S22=0,0,S46/TrRoad_act!S22*1000)</f>
        <v>358.74750212743476</v>
      </c>
      <c r="T106" s="87">
        <f>IF(TrRoad_act!T22=0,0,T46/TrRoad_act!T22*1000)</f>
        <v>357.56732022329743</v>
      </c>
      <c r="U106" s="87">
        <f>IF(TrRoad_act!U22=0,0,U46/TrRoad_act!U22*1000)</f>
        <v>355.99411404363377</v>
      </c>
      <c r="V106" s="87">
        <f>IF(TrRoad_act!V22=0,0,V46/TrRoad_act!V22*1000)</f>
        <v>352.56434535287661</v>
      </c>
      <c r="W106" s="87">
        <f>IF(TrRoad_act!W22=0,0,W46/TrRoad_act!W22*1000)</f>
        <v>365.4015287754882</v>
      </c>
      <c r="X106" s="87">
        <f>IF(TrRoad_act!X22=0,0,X46/TrRoad_act!X22*1000)</f>
        <v>353.53400292980945</v>
      </c>
      <c r="Y106" s="87">
        <f>IF(TrRoad_act!Y22=0,0,Y46/TrRoad_act!Y22*1000)</f>
        <v>345.19795558110775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813.04027036339414</v>
      </c>
      <c r="C107" s="87">
        <f>IF(TrRoad_act!C23=0,0,C48/TrRoad_act!C23*1000)</f>
        <v>754.15662198759208</v>
      </c>
      <c r="D107" s="87">
        <f>IF(TrRoad_act!D23=0,0,D48/TrRoad_act!D23*1000)</f>
        <v>702.34079878750788</v>
      </c>
      <c r="E107" s="87">
        <f>IF(TrRoad_act!E23=0,0,E48/TrRoad_act!E23*1000)</f>
        <v>662.53069474604808</v>
      </c>
      <c r="F107" s="87">
        <f>IF(TrRoad_act!F23=0,0,F48/TrRoad_act!F23*1000)</f>
        <v>633.69814487320889</v>
      </c>
      <c r="G107" s="87">
        <f>IF(TrRoad_act!G23=0,0,G48/TrRoad_act!G23*1000)</f>
        <v>603.59636779648179</v>
      </c>
      <c r="H107" s="87">
        <f>IF(TrRoad_act!H23=0,0,H48/TrRoad_act!H23*1000)</f>
        <v>572.12547921802661</v>
      </c>
      <c r="I107" s="87">
        <f>IF(TrRoad_act!I23=0,0,I48/TrRoad_act!I23*1000)</f>
        <v>567.96675211993784</v>
      </c>
      <c r="J107" s="87">
        <f>IF(TrRoad_act!J23=0,0,J48/TrRoad_act!J23*1000)</f>
        <v>549.11720749015853</v>
      </c>
      <c r="K107" s="87">
        <f>IF(TrRoad_act!K23=0,0,K48/TrRoad_act!K23*1000)</f>
        <v>524.22061734766453</v>
      </c>
      <c r="L107" s="87">
        <f>IF(TrRoad_act!L23=0,0,L48/TrRoad_act!L23*1000)</f>
        <v>515.03636915267862</v>
      </c>
      <c r="M107" s="87">
        <f>IF(TrRoad_act!M23=0,0,M48/TrRoad_act!M23*1000)</f>
        <v>511.31533984321965</v>
      </c>
      <c r="N107" s="87">
        <f>IF(TrRoad_act!N23=0,0,N48/TrRoad_act!N23*1000)</f>
        <v>482.49503937158596</v>
      </c>
      <c r="O107" s="87">
        <f>IF(TrRoad_act!O23=0,0,O48/TrRoad_act!O23*1000)</f>
        <v>474.84506265326053</v>
      </c>
      <c r="P107" s="87">
        <f>IF(TrRoad_act!P23=0,0,P48/TrRoad_act!P23*1000)</f>
        <v>467.71743178706413</v>
      </c>
      <c r="Q107" s="87">
        <f>IF(TrRoad_act!Q23=0,0,Q48/TrRoad_act!Q23*1000)</f>
        <v>457.18001139580656</v>
      </c>
      <c r="R107" s="87">
        <f>IF(TrRoad_act!R23=0,0,R48/TrRoad_act!R23*1000)</f>
        <v>446.79664198907363</v>
      </c>
      <c r="S107" s="87">
        <f>IF(TrRoad_act!S23=0,0,S48/TrRoad_act!S23*1000)</f>
        <v>440.27808061713722</v>
      </c>
      <c r="T107" s="87">
        <f>IF(TrRoad_act!T23=0,0,T48/TrRoad_act!T23*1000)</f>
        <v>435.79021199604068</v>
      </c>
      <c r="U107" s="87">
        <f>IF(TrRoad_act!U23=0,0,U48/TrRoad_act!U23*1000)</f>
        <v>433.36910512452147</v>
      </c>
      <c r="V107" s="87">
        <f>IF(TrRoad_act!V23=0,0,V48/TrRoad_act!V23*1000)</f>
        <v>432.27525376259518</v>
      </c>
      <c r="W107" s="87">
        <f>IF(TrRoad_act!W23=0,0,W48/TrRoad_act!W23*1000)</f>
        <v>445.81241105578636</v>
      </c>
      <c r="X107" s="87">
        <f>IF(TrRoad_act!X23=0,0,X48/TrRoad_act!X23*1000)</f>
        <v>446.93682003836966</v>
      </c>
      <c r="Y107" s="87">
        <f>IF(TrRoad_act!Y23=0,0,Y48/TrRoad_act!Y23*1000)</f>
        <v>453.23256654172042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885.47455925730912</v>
      </c>
      <c r="C108" s="87">
        <f>IF(TrRoad_act!C24=0,0,C49/TrRoad_act!C24*1000)</f>
        <v>805.53330914677792</v>
      </c>
      <c r="D108" s="87">
        <f>IF(TrRoad_act!D24=0,0,D49/TrRoad_act!D24*1000)</f>
        <v>743.44879138359568</v>
      </c>
      <c r="E108" s="87">
        <f>IF(TrRoad_act!E24=0,0,E49/TrRoad_act!E24*1000)</f>
        <v>697.59464701570812</v>
      </c>
      <c r="F108" s="87">
        <f>IF(TrRoad_act!F24=0,0,F49/TrRoad_act!F24*1000)</f>
        <v>669.02807359261124</v>
      </c>
      <c r="G108" s="87">
        <f>IF(TrRoad_act!G24=0,0,G49/TrRoad_act!G24*1000)</f>
        <v>643.05037292978193</v>
      </c>
      <c r="H108" s="87">
        <f>IF(TrRoad_act!H24=0,0,H49/TrRoad_act!H24*1000)</f>
        <v>624.61752502228126</v>
      </c>
      <c r="I108" s="87">
        <f>IF(TrRoad_act!I24=0,0,I49/TrRoad_act!I24*1000)</f>
        <v>618.68133283789973</v>
      </c>
      <c r="J108" s="87">
        <f>IF(TrRoad_act!J24=0,0,J49/TrRoad_act!J24*1000)</f>
        <v>597.77800946515697</v>
      </c>
      <c r="K108" s="87">
        <f>IF(TrRoad_act!K24=0,0,K49/TrRoad_act!K24*1000)</f>
        <v>540.80031135712636</v>
      </c>
      <c r="L108" s="87">
        <f>IF(TrRoad_act!L24=0,0,L49/TrRoad_act!L24*1000)</f>
        <v>553.68295916655097</v>
      </c>
      <c r="M108" s="87">
        <f>IF(TrRoad_act!M24=0,0,M49/TrRoad_act!M24*1000)</f>
        <v>536.91208135799491</v>
      </c>
      <c r="N108" s="87">
        <f>IF(TrRoad_act!N24=0,0,N49/TrRoad_act!N24*1000)</f>
        <v>522.56869332973065</v>
      </c>
      <c r="O108" s="87">
        <f>IF(TrRoad_act!O24=0,0,O49/TrRoad_act!O24*1000)</f>
        <v>527.70412764993227</v>
      </c>
      <c r="P108" s="87">
        <f>IF(TrRoad_act!P24=0,0,P49/TrRoad_act!P24*1000)</f>
        <v>515.89245809362478</v>
      </c>
      <c r="Q108" s="87">
        <f>IF(TrRoad_act!Q24=0,0,Q49/TrRoad_act!Q24*1000)</f>
        <v>518.30330721215512</v>
      </c>
      <c r="R108" s="87">
        <f>IF(TrRoad_act!R24=0,0,R49/TrRoad_act!R24*1000)</f>
        <v>505.31559913808968</v>
      </c>
      <c r="S108" s="87">
        <f>IF(TrRoad_act!S24=0,0,S49/TrRoad_act!S24*1000)</f>
        <v>462.75117992229781</v>
      </c>
      <c r="T108" s="87">
        <f>IF(TrRoad_act!T24=0,0,T49/TrRoad_act!T24*1000)</f>
        <v>426.60461297697634</v>
      </c>
      <c r="U108" s="87">
        <f>IF(TrRoad_act!U24=0,0,U49/TrRoad_act!U24*1000)</f>
        <v>506.43682512093744</v>
      </c>
      <c r="V108" s="87">
        <f>IF(TrRoad_act!V24=0,0,V49/TrRoad_act!V24*1000)</f>
        <v>509.17543167420075</v>
      </c>
      <c r="W108" s="87">
        <f>IF(TrRoad_act!W24=0,0,W49/TrRoad_act!W24*1000)</f>
        <v>566.32681438001828</v>
      </c>
      <c r="X108" s="87">
        <f>IF(TrRoad_act!X24=0,0,X49/TrRoad_act!X24*1000)</f>
        <v>512.11319944149682</v>
      </c>
      <c r="Y108" s="87">
        <f>IF(TrRoad_act!Y24=0,0,Y49/TrRoad_act!Y24*1000)</f>
        <v>515.7010863923341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97.777966585512132</v>
      </c>
      <c r="N109" s="87">
        <f>IF(TrRoad_act!N25=0,0,N51/TrRoad_act!N25*1000)</f>
        <v>97.654871428713179</v>
      </c>
      <c r="O109" s="87">
        <f>IF(TrRoad_act!O25=0,0,O51/TrRoad_act!O25*1000)</f>
        <v>94.696948039459073</v>
      </c>
      <c r="P109" s="87">
        <f>IF(TrRoad_act!P25=0,0,P51/TrRoad_act!P25*1000)</f>
        <v>97.157849849678144</v>
      </c>
      <c r="Q109" s="87">
        <f>IF(TrRoad_act!Q25=0,0,Q51/TrRoad_act!Q25*1000)</f>
        <v>102.29934361854973</v>
      </c>
      <c r="R109" s="87">
        <f>IF(TrRoad_act!R25=0,0,R51/TrRoad_act!R25*1000)</f>
        <v>104.64680736725667</v>
      </c>
      <c r="S109" s="87">
        <f>IF(TrRoad_act!S25=0,0,S51/TrRoad_act!S25*1000)</f>
        <v>107.87352902804929</v>
      </c>
      <c r="T109" s="87">
        <f>IF(TrRoad_act!T25=0,0,T51/TrRoad_act!T25*1000)</f>
        <v>117.23232771546751</v>
      </c>
      <c r="U109" s="87">
        <f>IF(TrRoad_act!U25=0,0,U51/TrRoad_act!U25*1000)</f>
        <v>125.49269859657883</v>
      </c>
      <c r="V109" s="87">
        <f>IF(TrRoad_act!V25=0,0,V51/TrRoad_act!V25*1000)</f>
        <v>132.78012316177299</v>
      </c>
      <c r="W109" s="87">
        <f>IF(TrRoad_act!W25=0,0,W51/TrRoad_act!W25*1000)</f>
        <v>147.65418709721675</v>
      </c>
      <c r="X109" s="87">
        <f>IF(TrRoad_act!X25=0,0,X51/TrRoad_act!X25*1000)</f>
        <v>155.37946511292938</v>
      </c>
      <c r="Y109" s="87">
        <f>IF(TrRoad_act!Y25=0,0,Y51/TrRoad_act!Y25*1000)</f>
        <v>157.91615740304061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13.919915203606845</v>
      </c>
      <c r="C110" s="116">
        <f>IF(TrRoad_act!C26=0,0,C52/TrRoad_act!C26*1000)</f>
        <v>20.869646254181394</v>
      </c>
      <c r="D110" s="116">
        <f>IF(TrRoad_act!D26=0,0,D52/TrRoad_act!D26*1000)</f>
        <v>20.237349054820612</v>
      </c>
      <c r="E110" s="116">
        <f>IF(TrRoad_act!E26=0,0,E52/TrRoad_act!E26*1000)</f>
        <v>21.657464696472569</v>
      </c>
      <c r="F110" s="116">
        <f>IF(TrRoad_act!F26=0,0,F52/TrRoad_act!F26*1000)</f>
        <v>20.690719257099694</v>
      </c>
      <c r="G110" s="116">
        <f>IF(TrRoad_act!G26=0,0,G52/TrRoad_act!G26*1000)</f>
        <v>20.248292975166351</v>
      </c>
      <c r="H110" s="116">
        <f>IF(TrRoad_act!H26=0,0,H52/TrRoad_act!H26*1000)</f>
        <v>24.669896914803303</v>
      </c>
      <c r="I110" s="116">
        <f>IF(TrRoad_act!I26=0,0,I52/TrRoad_act!I26*1000)</f>
        <v>24.758002407710606</v>
      </c>
      <c r="J110" s="116">
        <f>IF(TrRoad_act!J26=0,0,J52/TrRoad_act!J26*1000)</f>
        <v>19.091435200294399</v>
      </c>
      <c r="K110" s="116">
        <f>IF(TrRoad_act!K26=0,0,K52/TrRoad_act!K26*1000)</f>
        <v>15.128577840443803</v>
      </c>
      <c r="L110" s="116">
        <f>IF(TrRoad_act!L26=0,0,L52/TrRoad_act!L26*1000)</f>
        <v>13.760057383089114</v>
      </c>
      <c r="M110" s="116">
        <f>IF(TrRoad_act!M26=0,0,M52/TrRoad_act!M26*1000)</f>
        <v>17.587198419553197</v>
      </c>
      <c r="N110" s="116">
        <f>IF(TrRoad_act!N26=0,0,N52/TrRoad_act!N26*1000)</f>
        <v>23.842507959636333</v>
      </c>
      <c r="O110" s="116">
        <f>IF(TrRoad_act!O26=0,0,O52/TrRoad_act!O26*1000)</f>
        <v>19.130607709507096</v>
      </c>
      <c r="P110" s="116">
        <f>IF(TrRoad_act!P26=0,0,P52/TrRoad_act!P26*1000)</f>
        <v>19.898124255699326</v>
      </c>
      <c r="Q110" s="116">
        <f>IF(TrRoad_act!Q26=0,0,Q52/TrRoad_act!Q26*1000)</f>
        <v>21.605387918139126</v>
      </c>
      <c r="R110" s="116">
        <f>IF(TrRoad_act!R26=0,0,R52/TrRoad_act!R26*1000)</f>
        <v>18.953310558520574</v>
      </c>
      <c r="S110" s="116">
        <f>IF(TrRoad_act!S26=0,0,S52/TrRoad_act!S26*1000)</f>
        <v>10.760256765231809</v>
      </c>
      <c r="T110" s="116">
        <f>IF(TrRoad_act!T26=0,0,T52/TrRoad_act!T26*1000)</f>
        <v>17.784157799779916</v>
      </c>
      <c r="U110" s="116">
        <f>IF(TrRoad_act!U26=0,0,U52/TrRoad_act!U26*1000)</f>
        <v>16.661513655167322</v>
      </c>
      <c r="V110" s="116">
        <f>IF(TrRoad_act!V26=0,0,V52/TrRoad_act!V26*1000)</f>
        <v>13.775392694516091</v>
      </c>
      <c r="W110" s="116">
        <f>IF(TrRoad_act!W26=0,0,W52/TrRoad_act!W26*1000)</f>
        <v>22.318770219413778</v>
      </c>
      <c r="X110" s="116">
        <f>IF(TrRoad_act!X26=0,0,X52/TrRoad_act!X26*1000)</f>
        <v>30.180382623417472</v>
      </c>
      <c r="Y110" s="116">
        <f>IF(TrRoad_act!Y26=0,0,Y52/TrRoad_act!Y26*1000)</f>
        <v>31.813430861380372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13.635932811057176</v>
      </c>
      <c r="C111" s="101">
        <f>IF(TrRoad_act!C27=0,0,C53/TrRoad_act!C27*1000)</f>
        <v>20.383502543755707</v>
      </c>
      <c r="D111" s="101">
        <f>IF(TrRoad_act!D27=0,0,D53/TrRoad_act!D27*1000)</f>
        <v>19.677087839320336</v>
      </c>
      <c r="E111" s="101">
        <f>IF(TrRoad_act!E27=0,0,E53/TrRoad_act!E27*1000)</f>
        <v>21.287292976713911</v>
      </c>
      <c r="F111" s="101">
        <f>IF(TrRoad_act!F27=0,0,F53/TrRoad_act!F27*1000)</f>
        <v>20.544422357513493</v>
      </c>
      <c r="G111" s="101">
        <f>IF(TrRoad_act!G27=0,0,G53/TrRoad_act!G27*1000)</f>
        <v>19.94599269241909</v>
      </c>
      <c r="H111" s="101">
        <f>IF(TrRoad_act!H27=0,0,H53/TrRoad_act!H27*1000)</f>
        <v>23.948612530499418</v>
      </c>
      <c r="I111" s="101">
        <f>IF(TrRoad_act!I27=0,0,I53/TrRoad_act!I27*1000)</f>
        <v>24.247867427388762</v>
      </c>
      <c r="J111" s="101">
        <f>IF(TrRoad_act!J27=0,0,J53/TrRoad_act!J27*1000)</f>
        <v>18.521496899277345</v>
      </c>
      <c r="K111" s="101">
        <f>IF(TrRoad_act!K27=0,0,K53/TrRoad_act!K27*1000)</f>
        <v>14.771054366152596</v>
      </c>
      <c r="L111" s="101">
        <f>IF(TrRoad_act!L27=0,0,L53/TrRoad_act!L27*1000)</f>
        <v>13.493895833095205</v>
      </c>
      <c r="M111" s="101">
        <f>IF(TrRoad_act!M27=0,0,M53/TrRoad_act!M27*1000)</f>
        <v>17.206274663788196</v>
      </c>
      <c r="N111" s="101">
        <f>IF(TrRoad_act!N27=0,0,N53/TrRoad_act!N27*1000)</f>
        <v>23.343463414546783</v>
      </c>
      <c r="O111" s="101">
        <f>IF(TrRoad_act!O27=0,0,O53/TrRoad_act!O27*1000)</f>
        <v>18.766328599348032</v>
      </c>
      <c r="P111" s="101">
        <f>IF(TrRoad_act!P27=0,0,P53/TrRoad_act!P27*1000)</f>
        <v>19.563451628679381</v>
      </c>
      <c r="Q111" s="101">
        <f>IF(TrRoad_act!Q27=0,0,Q53/TrRoad_act!Q27*1000)</f>
        <v>21.042289560936908</v>
      </c>
      <c r="R111" s="101">
        <f>IF(TrRoad_act!R27=0,0,R53/TrRoad_act!R27*1000)</f>
        <v>18.481726169727573</v>
      </c>
      <c r="S111" s="101">
        <f>IF(TrRoad_act!S27=0,0,S53/TrRoad_act!S27*1000)</f>
        <v>10.404080200268497</v>
      </c>
      <c r="T111" s="101">
        <f>IF(TrRoad_act!T27=0,0,T53/TrRoad_act!T27*1000)</f>
        <v>17.083028263236638</v>
      </c>
      <c r="U111" s="101">
        <f>IF(TrRoad_act!U27=0,0,U53/TrRoad_act!U27*1000)</f>
        <v>15.786382292324916</v>
      </c>
      <c r="V111" s="101">
        <f>IF(TrRoad_act!V27=0,0,V53/TrRoad_act!V27*1000)</f>
        <v>12.969720289240419</v>
      </c>
      <c r="W111" s="101">
        <f>IF(TrRoad_act!W27=0,0,W53/TrRoad_act!W27*1000)</f>
        <v>20.922822007814766</v>
      </c>
      <c r="X111" s="101">
        <f>IF(TrRoad_act!X27=0,0,X53/TrRoad_act!X27*1000)</f>
        <v>28.259970977354268</v>
      </c>
      <c r="Y111" s="101">
        <f>IF(TrRoad_act!Y27=0,0,Y53/TrRoad_act!Y27*1000)</f>
        <v>29.912432891498501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15.842234580403924</v>
      </c>
      <c r="C112" s="88">
        <f>IF(TrRoad_act!C28=0,0,C55/TrRoad_act!C28*1000)</f>
        <v>23.874054165300425</v>
      </c>
      <c r="D112" s="88">
        <f>IF(TrRoad_act!D28=0,0,D55/TrRoad_act!D28*1000)</f>
        <v>23.619855713356518</v>
      </c>
      <c r="E112" s="88">
        <f>IF(TrRoad_act!E28=0,0,E55/TrRoad_act!E28*1000)</f>
        <v>23.624955246881001</v>
      </c>
      <c r="F112" s="88">
        <f>IF(TrRoad_act!F28=0,0,F55/TrRoad_act!F28*1000)</f>
        <v>21.430814524330813</v>
      </c>
      <c r="G112" s="88">
        <f>IF(TrRoad_act!G28=0,0,G55/TrRoad_act!G28*1000)</f>
        <v>21.850928154559185</v>
      </c>
      <c r="H112" s="88">
        <f>IF(TrRoad_act!H28=0,0,H55/TrRoad_act!H28*1000)</f>
        <v>27.905661466753205</v>
      </c>
      <c r="I112" s="88">
        <f>IF(TrRoad_act!I28=0,0,I55/TrRoad_act!I28*1000)</f>
        <v>27.018669799109691</v>
      </c>
      <c r="J112" s="88">
        <f>IF(TrRoad_act!J28=0,0,J55/TrRoad_act!J28*1000)</f>
        <v>21.516547820982076</v>
      </c>
      <c r="K112" s="88">
        <f>IF(TrRoad_act!K28=0,0,K55/TrRoad_act!K28*1000)</f>
        <v>16.817874405141996</v>
      </c>
      <c r="L112" s="88">
        <f>IF(TrRoad_act!L28=0,0,L55/TrRoad_act!L28*1000)</f>
        <v>14.916211391651082</v>
      </c>
      <c r="M112" s="88">
        <f>IF(TrRoad_act!M28=0,0,M55/TrRoad_act!M28*1000)</f>
        <v>19.228121882674124</v>
      </c>
      <c r="N112" s="88">
        <f>IF(TrRoad_act!N28=0,0,N55/TrRoad_act!N28*1000)</f>
        <v>25.858218032692037</v>
      </c>
      <c r="O112" s="88">
        <f>IF(TrRoad_act!O28=0,0,O55/TrRoad_act!O28*1000)</f>
        <v>20.498576586895943</v>
      </c>
      <c r="P112" s="88">
        <f>IF(TrRoad_act!P28=0,0,P55/TrRoad_act!P28*1000)</f>
        <v>21.01476398362994</v>
      </c>
      <c r="Q112" s="88">
        <f>IF(TrRoad_act!Q28=0,0,Q55/TrRoad_act!Q28*1000)</f>
        <v>23.568178894068595</v>
      </c>
      <c r="R112" s="88">
        <f>IF(TrRoad_act!R28=0,0,R55/TrRoad_act!R28*1000)</f>
        <v>20.458776785185911</v>
      </c>
      <c r="S112" s="88">
        <f>IF(TrRoad_act!S28=0,0,S55/TrRoad_act!S28*1000)</f>
        <v>11.834965746169352</v>
      </c>
      <c r="T112" s="88">
        <f>IF(TrRoad_act!T28=0,0,T55/TrRoad_act!T28*1000)</f>
        <v>20.053446281499358</v>
      </c>
      <c r="U112" s="88">
        <f>IF(TrRoad_act!U28=0,0,U55/TrRoad_act!U28*1000)</f>
        <v>19.654469757633525</v>
      </c>
      <c r="V112" s="88">
        <f>IF(TrRoad_act!V28=0,0,V55/TrRoad_act!V28*1000)</f>
        <v>16.517621840822265</v>
      </c>
      <c r="W112" s="88">
        <f>IF(TrRoad_act!W28=0,0,W55/TrRoad_act!W28*1000)</f>
        <v>26.879809152805159</v>
      </c>
      <c r="X112" s="88">
        <f>IF(TrRoad_act!X28=0,0,X55/TrRoad_act!X28*1000)</f>
        <v>36.506205385529363</v>
      </c>
      <c r="Y112" s="88">
        <f>IF(TrRoad_act!Y28=0,0,Y55/TrRoad_act!Y28*1000)</f>
        <v>38.367622448698953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160.41288415588312</v>
      </c>
      <c r="C116" s="152">
        <f>IF(C19=0,0,1000000*C19/TrRoad_act!C59)</f>
        <v>155.40905401246317</v>
      </c>
      <c r="D116" s="152">
        <f>IF(D19=0,0,1000000*D19/TrRoad_act!D59)</f>
        <v>145.95386611653478</v>
      </c>
      <c r="E116" s="152">
        <f>IF(E19=0,0,1000000*E19/TrRoad_act!E59)</f>
        <v>143.20681481994794</v>
      </c>
      <c r="F116" s="152">
        <f>IF(F19=0,0,1000000*F19/TrRoad_act!F59)</f>
        <v>145.89632476387084</v>
      </c>
      <c r="G116" s="152">
        <f>IF(G19=0,0,1000000*G19/TrRoad_act!G59)</f>
        <v>144.34417178782303</v>
      </c>
      <c r="H116" s="152">
        <f>IF(H19=0,0,1000000*H19/TrRoad_act!H59)</f>
        <v>136.26162198308776</v>
      </c>
      <c r="I116" s="152">
        <f>IF(I19=0,0,1000000*I19/TrRoad_act!I59)</f>
        <v>120.62751382307133</v>
      </c>
      <c r="J116" s="152">
        <f>IF(J19=0,0,1000000*J19/TrRoad_act!J59)</f>
        <v>127.4811222624452</v>
      </c>
      <c r="K116" s="152">
        <f>IF(K19=0,0,1000000*K19/TrRoad_act!K59)</f>
        <v>118.73610688233815</v>
      </c>
      <c r="L116" s="152">
        <f>IF(L19=0,0,1000000*L19/TrRoad_act!L59)</f>
        <v>118.13504356019422</v>
      </c>
      <c r="M116" s="152">
        <f>IF(M19=0,0,1000000*M19/TrRoad_act!M59)</f>
        <v>121.28487951400365</v>
      </c>
      <c r="N116" s="152">
        <f>IF(N19=0,0,1000000*N19/TrRoad_act!N59)</f>
        <v>123.15789383006818</v>
      </c>
      <c r="O116" s="152">
        <f>IF(O19=0,0,1000000*O19/TrRoad_act!O59)</f>
        <v>116.252226599653</v>
      </c>
      <c r="P116" s="152">
        <f>IF(P19=0,0,1000000*P19/TrRoad_act!P59)</f>
        <v>114.70201096413898</v>
      </c>
      <c r="Q116" s="152">
        <f>IF(Q19=0,0,1000000*Q19/TrRoad_act!Q59)</f>
        <v>111.34717640305028</v>
      </c>
      <c r="R116" s="152">
        <f>IF(R19=0,0,1000000*R19/TrRoad_act!R59)</f>
        <v>111.58419131506568</v>
      </c>
      <c r="S116" s="152">
        <f>IF(S19=0,0,1000000*S19/TrRoad_act!S59)</f>
        <v>102.89598964385159</v>
      </c>
      <c r="T116" s="152">
        <f>IF(T19=0,0,1000000*T19/TrRoad_act!T59)</f>
        <v>96.174005670670041</v>
      </c>
      <c r="U116" s="152">
        <f>IF(U19=0,0,1000000*U19/TrRoad_act!U59)</f>
        <v>102.10567168404121</v>
      </c>
      <c r="V116" s="152">
        <f>IF(V19=0,0,1000000*V19/TrRoad_act!V59)</f>
        <v>87.98311180421706</v>
      </c>
      <c r="W116" s="152">
        <f>IF(W19=0,0,1000000*W19/TrRoad_act!W59)</f>
        <v>93.153845864802662</v>
      </c>
      <c r="X116" s="152">
        <f>IF(X19=0,0,1000000*X19/TrRoad_act!X59)</f>
        <v>94.222064618383129</v>
      </c>
      <c r="Y116" s="152">
        <f>IF(Y19=0,0,1000000*Y19/TrRoad_act!Y59)</f>
        <v>99.609956085366818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716.83819115460392</v>
      </c>
      <c r="C117" s="116">
        <f>IF(C21=0,0,1000000*C21/TrRoad_act!C60)</f>
        <v>711.64228338039879</v>
      </c>
      <c r="D117" s="116">
        <f>IF(D21=0,0,1000000*D21/TrRoad_act!D60)</f>
        <v>723.0999167834143</v>
      </c>
      <c r="E117" s="116">
        <f>IF(E21=0,0,1000000*E21/TrRoad_act!E60)</f>
        <v>705.58137591181162</v>
      </c>
      <c r="F117" s="116">
        <f>IF(F21=0,0,1000000*F21/TrRoad_act!F60)</f>
        <v>720.29724681122195</v>
      </c>
      <c r="G117" s="116">
        <f>IF(G21=0,0,1000000*G21/TrRoad_act!G60)</f>
        <v>671.31128582441829</v>
      </c>
      <c r="H117" s="116">
        <f>IF(H21=0,0,1000000*H21/TrRoad_act!H60)</f>
        <v>684.02632691781298</v>
      </c>
      <c r="I117" s="116">
        <f>IF(I21=0,0,1000000*I21/TrRoad_act!I60)</f>
        <v>676.06465947226695</v>
      </c>
      <c r="J117" s="116">
        <f>IF(J21=0,0,1000000*J21/TrRoad_act!J60)</f>
        <v>654.29351031984436</v>
      </c>
      <c r="K117" s="116">
        <f>IF(K21=0,0,1000000*K21/TrRoad_act!K60)</f>
        <v>650.38341458147863</v>
      </c>
      <c r="L117" s="116">
        <f>IF(L21=0,0,1000000*L21/TrRoad_act!L60)</f>
        <v>607.15544361152376</v>
      </c>
      <c r="M117" s="116">
        <f>IF(M21=0,0,1000000*M21/TrRoad_act!M60)</f>
        <v>590.16689135921069</v>
      </c>
      <c r="N117" s="116">
        <f>IF(N21=0,0,1000000*N21/TrRoad_act!N60)</f>
        <v>544.10853578116087</v>
      </c>
      <c r="O117" s="116">
        <f>IF(O21=0,0,1000000*O21/TrRoad_act!O60)</f>
        <v>564.42157786075643</v>
      </c>
      <c r="P117" s="116">
        <f>IF(P21=0,0,1000000*P21/TrRoad_act!P60)</f>
        <v>596.72835542101973</v>
      </c>
      <c r="Q117" s="116">
        <f>IF(Q21=0,0,1000000*Q21/TrRoad_act!Q60)</f>
        <v>595.18340929584508</v>
      </c>
      <c r="R117" s="116">
        <f>IF(R21=0,0,1000000*R21/TrRoad_act!R60)</f>
        <v>591.44738782116769</v>
      </c>
      <c r="S117" s="116">
        <f>IF(S21=0,0,1000000*S21/TrRoad_act!S60)</f>
        <v>581.1181092942038</v>
      </c>
      <c r="T117" s="116">
        <f>IF(T21=0,0,1000000*T21/TrRoad_act!T60)</f>
        <v>583.09019117933599</v>
      </c>
      <c r="U117" s="116">
        <f>IF(U21=0,0,1000000*U21/TrRoad_act!U60)</f>
        <v>576.53182343343656</v>
      </c>
      <c r="V117" s="116">
        <f>IF(V21=0,0,1000000*V21/TrRoad_act!V60)</f>
        <v>440.27596045167235</v>
      </c>
      <c r="W117" s="116">
        <f>IF(W21=0,0,1000000*W21/TrRoad_act!W60)</f>
        <v>516.03855453388155</v>
      </c>
      <c r="X117" s="116">
        <f>IF(X21=0,0,1000000*X21/TrRoad_act!X60)</f>
        <v>531.81472821428588</v>
      </c>
      <c r="Y117" s="116">
        <f>IF(Y21=0,0,1000000*Y21/TrRoad_act!Y60)</f>
        <v>537.79507467314738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603.91325698557455</v>
      </c>
      <c r="C118" s="87">
        <f>IF(C22=0,0,1000000*C22/TrRoad_act!C61)</f>
        <v>596.83553028582685</v>
      </c>
      <c r="D118" s="87">
        <f>IF(D22=0,0,1000000*D22/TrRoad_act!D61)</f>
        <v>589.55135977055477</v>
      </c>
      <c r="E118" s="87">
        <f>IF(E22=0,0,1000000*E22/TrRoad_act!E61)</f>
        <v>573.89281761723248</v>
      </c>
      <c r="F118" s="87">
        <f>IF(F22=0,0,1000000*F22/TrRoad_act!F61)</f>
        <v>565.29420882547026</v>
      </c>
      <c r="G118" s="87">
        <f>IF(G22=0,0,1000000*G22/TrRoad_act!G61)</f>
        <v>535.60578857775772</v>
      </c>
      <c r="H118" s="87">
        <f>IF(H22=0,0,1000000*H22/TrRoad_act!H61)</f>
        <v>515.70688397581057</v>
      </c>
      <c r="I118" s="87">
        <f>IF(I22=0,0,1000000*I22/TrRoad_act!I61)</f>
        <v>501.55282464136081</v>
      </c>
      <c r="J118" s="87">
        <f>IF(J22=0,0,1000000*J22/TrRoad_act!J61)</f>
        <v>465.91364538696382</v>
      </c>
      <c r="K118" s="87">
        <f>IF(K22=0,0,1000000*K22/TrRoad_act!K61)</f>
        <v>462.97534013165324</v>
      </c>
      <c r="L118" s="87">
        <f>IF(L22=0,0,1000000*L22/TrRoad_act!L61)</f>
        <v>431.8263445279739</v>
      </c>
      <c r="M118" s="87">
        <f>IF(M22=0,0,1000000*M22/TrRoad_act!M61)</f>
        <v>420.1803243365797</v>
      </c>
      <c r="N118" s="87">
        <f>IF(N22=0,0,1000000*N22/TrRoad_act!N61)</f>
        <v>373.56178381886417</v>
      </c>
      <c r="O118" s="87">
        <f>IF(O22=0,0,1000000*O22/TrRoad_act!O61)</f>
        <v>363.54006580619188</v>
      </c>
      <c r="P118" s="87">
        <f>IF(P22=0,0,1000000*P22/TrRoad_act!P61)</f>
        <v>370.75742989401368</v>
      </c>
      <c r="Q118" s="87">
        <f>IF(Q22=0,0,1000000*Q22/TrRoad_act!Q61)</f>
        <v>363.66150700080885</v>
      </c>
      <c r="R118" s="87">
        <f>IF(R22=0,0,1000000*R22/TrRoad_act!R61)</f>
        <v>336.12191593984596</v>
      </c>
      <c r="S118" s="87">
        <f>IF(S22=0,0,1000000*S22/TrRoad_act!S61)</f>
        <v>332.7452729810139</v>
      </c>
      <c r="T118" s="87">
        <f>IF(T22=0,0,1000000*T22/TrRoad_act!T61)</f>
        <v>358.4889417329901</v>
      </c>
      <c r="U118" s="87">
        <f>IF(U22=0,0,1000000*U22/TrRoad_act!U61)</f>
        <v>354.0967090852244</v>
      </c>
      <c r="V118" s="87">
        <f>IF(V22=0,0,1000000*V22/TrRoad_act!V61)</f>
        <v>271.49177641688675</v>
      </c>
      <c r="W118" s="87">
        <f>IF(W22=0,0,1000000*W22/TrRoad_act!W61)</f>
        <v>337.4764853563002</v>
      </c>
      <c r="X118" s="87">
        <f>IF(X22=0,0,1000000*X22/TrRoad_act!X61)</f>
        <v>380.61904452664908</v>
      </c>
      <c r="Y118" s="87">
        <f>IF(Y22=0,0,1000000*Y22/TrRoad_act!Y61)</f>
        <v>387.5283600175124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1211.4814081133711</v>
      </c>
      <c r="C119" s="87">
        <f>IF(C24=0,0,1000000*C24/TrRoad_act!C62)</f>
        <v>1149.2290538055938</v>
      </c>
      <c r="D119" s="87">
        <f>IF(D24=0,0,1000000*D24/TrRoad_act!D62)</f>
        <v>1178.6464066669869</v>
      </c>
      <c r="E119" s="87">
        <f>IF(E24=0,0,1000000*E24/TrRoad_act!E62)</f>
        <v>1100.1615528550362</v>
      </c>
      <c r="F119" s="87">
        <f>IF(F24=0,0,1000000*F24/TrRoad_act!F62)</f>
        <v>1119.0200619237226</v>
      </c>
      <c r="G119" s="87">
        <f>IF(G24=0,0,1000000*G24/TrRoad_act!G62)</f>
        <v>971.42249715902074</v>
      </c>
      <c r="H119" s="87">
        <f>IF(H24=0,0,1000000*H24/TrRoad_act!H62)</f>
        <v>1017.9259568508637</v>
      </c>
      <c r="I119" s="87">
        <f>IF(I24=0,0,1000000*I24/TrRoad_act!I62)</f>
        <v>982.95992855089332</v>
      </c>
      <c r="J119" s="87">
        <f>IF(J24=0,0,1000000*J24/TrRoad_act!J62)</f>
        <v>945.80131462402858</v>
      </c>
      <c r="K119" s="87">
        <f>IF(K24=0,0,1000000*K24/TrRoad_act!K62)</f>
        <v>918.28848433020119</v>
      </c>
      <c r="L119" s="87">
        <f>IF(L24=0,0,1000000*L24/TrRoad_act!L62)</f>
        <v>836.28634692007302</v>
      </c>
      <c r="M119" s="87">
        <f>IF(M24=0,0,1000000*M24/TrRoad_act!M62)</f>
        <v>794.65765058900683</v>
      </c>
      <c r="N119" s="87">
        <f>IF(N24=0,0,1000000*N24/TrRoad_act!N62)</f>
        <v>732.98314116206791</v>
      </c>
      <c r="O119" s="87">
        <f>IF(O24=0,0,1000000*O24/TrRoad_act!O62)</f>
        <v>777.51907157383539</v>
      </c>
      <c r="P119" s="87">
        <f>IF(P24=0,0,1000000*P24/TrRoad_act!P62)</f>
        <v>838.07025923941569</v>
      </c>
      <c r="Q119" s="87">
        <f>IF(Q24=0,0,1000000*Q24/TrRoad_act!Q62)</f>
        <v>826.66040405224953</v>
      </c>
      <c r="R119" s="87">
        <f>IF(R24=0,0,1000000*R24/TrRoad_act!R62)</f>
        <v>851.07703885173385</v>
      </c>
      <c r="S119" s="87">
        <f>IF(S24=0,0,1000000*S24/TrRoad_act!S62)</f>
        <v>825.49073188574641</v>
      </c>
      <c r="T119" s="87">
        <f>IF(T24=0,0,1000000*T24/TrRoad_act!T62)</f>
        <v>797.25432088745663</v>
      </c>
      <c r="U119" s="87">
        <f>IF(U24=0,0,1000000*U24/TrRoad_act!U62)</f>
        <v>781.61371939120625</v>
      </c>
      <c r="V119" s="87">
        <f>IF(V24=0,0,1000000*V24/TrRoad_act!V62)</f>
        <v>591.76440022649194</v>
      </c>
      <c r="W119" s="87">
        <f>IF(W24=0,0,1000000*W24/TrRoad_act!W62)</f>
        <v>688.78969289473514</v>
      </c>
      <c r="X119" s="87">
        <f>IF(X24=0,0,1000000*X24/TrRoad_act!X62)</f>
        <v>678.77621635743458</v>
      </c>
      <c r="Y119" s="87">
        <f>IF(Y24=0,0,1000000*Y24/TrRoad_act!Y62)</f>
        <v>689.45535720151781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1039.5556633453916</v>
      </c>
      <c r="C120" s="87">
        <f>IF(C26=0,0,1000000*C26/TrRoad_act!C63)</f>
        <v>1014.797670781858</v>
      </c>
      <c r="D120" s="87">
        <f>IF(D26=0,0,1000000*D26/TrRoad_act!D63)</f>
        <v>1022.6223591157142</v>
      </c>
      <c r="E120" s="87">
        <f>IF(E26=0,0,1000000*E26/TrRoad_act!E63)</f>
        <v>932.10845334600367</v>
      </c>
      <c r="F120" s="87">
        <f>IF(F26=0,0,1000000*F26/TrRoad_act!F63)</f>
        <v>872.60571491043129</v>
      </c>
      <c r="G120" s="87">
        <f>IF(G26=0,0,1000000*G26/TrRoad_act!G63)</f>
        <v>760.45352625509952</v>
      </c>
      <c r="H120" s="87">
        <f>IF(H26=0,0,1000000*H26/TrRoad_act!H63)</f>
        <v>719.1511418564728</v>
      </c>
      <c r="I120" s="87">
        <f>IF(I26=0,0,1000000*I26/TrRoad_act!I63)</f>
        <v>699.20432465680028</v>
      </c>
      <c r="J120" s="87">
        <f>IF(J26=0,0,1000000*J26/TrRoad_act!J63)</f>
        <v>806.26771310561639</v>
      </c>
      <c r="K120" s="87">
        <f>IF(K26=0,0,1000000*K26/TrRoad_act!K63)</f>
        <v>798.79418369544146</v>
      </c>
      <c r="L120" s="87">
        <f>IF(L26=0,0,1000000*L26/TrRoad_act!L63)</f>
        <v>742.40113103146643</v>
      </c>
      <c r="M120" s="87">
        <f>IF(M26=0,0,1000000*M26/TrRoad_act!M63)</f>
        <v>764.1470175235745</v>
      </c>
      <c r="N120" s="87">
        <f>IF(N26=0,0,1000000*N26/TrRoad_act!N63)</f>
        <v>775.20263068381962</v>
      </c>
      <c r="O120" s="87">
        <f>IF(O26=0,0,1000000*O26/TrRoad_act!O63)</f>
        <v>850.0722379659511</v>
      </c>
      <c r="P120" s="87">
        <f>IF(P26=0,0,1000000*P26/TrRoad_act!P63)</f>
        <v>822.92430066378108</v>
      </c>
      <c r="Q120" s="87">
        <f>IF(Q26=0,0,1000000*Q26/TrRoad_act!Q63)</f>
        <v>832.97779140129308</v>
      </c>
      <c r="R120" s="87">
        <f>IF(R26=0,0,1000000*R26/TrRoad_act!R63)</f>
        <v>773.98648051196187</v>
      </c>
      <c r="S120" s="87">
        <f>IF(S26=0,0,1000000*S26/TrRoad_act!S63)</f>
        <v>778.10901165448945</v>
      </c>
      <c r="T120" s="87">
        <f>IF(T26=0,0,1000000*T26/TrRoad_act!T63)</f>
        <v>721.5783101586361</v>
      </c>
      <c r="U120" s="87">
        <f>IF(U26=0,0,1000000*U26/TrRoad_act!U63)</f>
        <v>710.49263375003056</v>
      </c>
      <c r="V120" s="87">
        <f>IF(V26=0,0,1000000*V26/TrRoad_act!V63)</f>
        <v>566.79282360435343</v>
      </c>
      <c r="W120" s="87">
        <f>IF(W26=0,0,1000000*W26/TrRoad_act!W63)</f>
        <v>598.3909349309896</v>
      </c>
      <c r="X120" s="87">
        <f>IF(X26=0,0,1000000*X26/TrRoad_act!X63)</f>
        <v>648.60197764060786</v>
      </c>
      <c r="Y120" s="87">
        <f>IF(Y26=0,0,1000000*Y26/TrRoad_act!Y63)</f>
        <v>638.25780302909573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1074.9126298929814</v>
      </c>
      <c r="C121" s="87">
        <f>IF(C27=0,0,1000000*C27/TrRoad_act!C64)</f>
        <v>1046.1774534829638</v>
      </c>
      <c r="D121" s="87">
        <f>IF(D27=0,0,1000000*D27/TrRoad_act!D64)</f>
        <v>1024.4044343535375</v>
      </c>
      <c r="E121" s="87">
        <f>IF(E27=0,0,1000000*E27/TrRoad_act!E64)</f>
        <v>1010.7607767516441</v>
      </c>
      <c r="F121" s="87">
        <f>IF(F27=0,0,1000000*F27/TrRoad_act!F64)</f>
        <v>1051.0069069445201</v>
      </c>
      <c r="G121" s="87">
        <f>IF(G27=0,0,1000000*G27/TrRoad_act!G64)</f>
        <v>992.24233306780513</v>
      </c>
      <c r="H121" s="87">
        <f>IF(H27=0,0,1000000*H27/TrRoad_act!H64)</f>
        <v>998.06111682457527</v>
      </c>
      <c r="I121" s="87">
        <f>IF(I27=0,0,1000000*I27/TrRoad_act!I64)</f>
        <v>968.72106402009888</v>
      </c>
      <c r="J121" s="87">
        <f>IF(J27=0,0,1000000*J27/TrRoad_act!J64)</f>
        <v>933.291373821349</v>
      </c>
      <c r="K121" s="87">
        <f>IF(K27=0,0,1000000*K27/TrRoad_act!K64)</f>
        <v>850.02393404480722</v>
      </c>
      <c r="L121" s="87">
        <f>IF(L27=0,0,1000000*L27/TrRoad_act!L64)</f>
        <v>878.63435726312684</v>
      </c>
      <c r="M121" s="87">
        <f>IF(M27=0,0,1000000*M27/TrRoad_act!M64)</f>
        <v>846.84026535057126</v>
      </c>
      <c r="N121" s="87">
        <f>IF(N27=0,0,1000000*N27/TrRoad_act!N64)</f>
        <v>789.51150425318201</v>
      </c>
      <c r="O121" s="87">
        <f>IF(O27=0,0,1000000*O27/TrRoad_act!O64)</f>
        <v>789.8806025962449</v>
      </c>
      <c r="P121" s="87">
        <f>IF(P27=0,0,1000000*P27/TrRoad_act!P64)</f>
        <v>812.78833034531453</v>
      </c>
      <c r="Q121" s="87">
        <f>IF(Q27=0,0,1000000*Q27/TrRoad_act!Q64)</f>
        <v>806.84518309980115</v>
      </c>
      <c r="R121" s="87">
        <f>IF(R27=0,0,1000000*R27/TrRoad_act!R64)</f>
        <v>812.89190337440687</v>
      </c>
      <c r="S121" s="87">
        <f>IF(S27=0,0,1000000*S27/TrRoad_act!S64)</f>
        <v>740.36127341781878</v>
      </c>
      <c r="T121" s="87">
        <f>IF(T27=0,0,1000000*T27/TrRoad_act!T64)</f>
        <v>675.08512563045269</v>
      </c>
      <c r="U121" s="87">
        <f>IF(U27=0,0,1000000*U27/TrRoad_act!U64)</f>
        <v>795.82885479927597</v>
      </c>
      <c r="V121" s="87">
        <f>IF(V27=0,0,1000000*V27/TrRoad_act!V64)</f>
        <v>632.31380152781912</v>
      </c>
      <c r="W121" s="87">
        <f>IF(W27=0,0,1000000*W27/TrRoad_act!W64)</f>
        <v>661.943865542617</v>
      </c>
      <c r="X121" s="87">
        <f>IF(X27=0,0,1000000*X27/TrRoad_act!X64)</f>
        <v>552.95009559466178</v>
      </c>
      <c r="Y121" s="87">
        <f>IF(Y27=0,0,1000000*Y27/TrRoad_act!Y64)</f>
        <v>539.58690563676032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313.00087728403309</v>
      </c>
      <c r="O122" s="87">
        <f>IF(O29=0,0,1000000*O29/TrRoad_act!O65)</f>
        <v>376.16992803682581</v>
      </c>
      <c r="P122" s="87">
        <f>IF(P29=0,0,1000000*P29/TrRoad_act!P65)</f>
        <v>425.99970741276604</v>
      </c>
      <c r="Q122" s="87">
        <f>IF(Q29=0,0,1000000*Q29/TrRoad_act!Q65)</f>
        <v>448.56939005906207</v>
      </c>
      <c r="R122" s="87">
        <f>IF(R29=0,0,1000000*R29/TrRoad_act!R65)</f>
        <v>418.27193202469113</v>
      </c>
      <c r="S122" s="87">
        <f>IF(S29=0,0,1000000*S29/TrRoad_act!S65)</f>
        <v>437.36844836179324</v>
      </c>
      <c r="T122" s="87">
        <f>IF(T29=0,0,1000000*T29/TrRoad_act!T65)</f>
        <v>449.82745301151164</v>
      </c>
      <c r="U122" s="87">
        <f>IF(U29=0,0,1000000*U29/TrRoad_act!U65)</f>
        <v>435.47163976723618</v>
      </c>
      <c r="V122" s="87">
        <f>IF(V29=0,0,1000000*V29/TrRoad_act!V65)</f>
        <v>303.78221414066405</v>
      </c>
      <c r="W122" s="87">
        <f>IF(W29=0,0,1000000*W29/TrRoad_act!W65)</f>
        <v>301.51095405654723</v>
      </c>
      <c r="X122" s="87">
        <f>IF(X29=0,0,1000000*X29/TrRoad_act!X65)</f>
        <v>307.54135926763536</v>
      </c>
      <c r="Y122" s="87">
        <f>IF(Y29=0,0,1000000*Y29/TrRoad_act!Y65)</f>
        <v>300.52868822260092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195.63154969379741</v>
      </c>
      <c r="M123" s="87">
        <f>IF(M32=0,0,1000000*M32/TrRoad_act!M66)</f>
        <v>196.4386716889031</v>
      </c>
      <c r="N123" s="87">
        <f>IF(N32=0,0,1000000*N32/TrRoad_act!N66)</f>
        <v>196.47219959588136</v>
      </c>
      <c r="O123" s="87">
        <f>IF(O32=0,0,1000000*O32/TrRoad_act!O66)</f>
        <v>195.96588935964536</v>
      </c>
      <c r="P123" s="87">
        <f>IF(P32=0,0,1000000*P32/TrRoad_act!P66)</f>
        <v>194.85535031891416</v>
      </c>
      <c r="Q123" s="87">
        <f>IF(Q32=0,0,1000000*Q32/TrRoad_act!Q66)</f>
        <v>190.97583766035231</v>
      </c>
      <c r="R123" s="87">
        <f>IF(R32=0,0,1000000*R32/TrRoad_act!R66)</f>
        <v>188.46509245225394</v>
      </c>
      <c r="S123" s="87">
        <f>IF(S32=0,0,1000000*S32/TrRoad_act!S66)</f>
        <v>186.20143708994158</v>
      </c>
      <c r="T123" s="87">
        <f>IF(T32=0,0,1000000*T32/TrRoad_act!T66)</f>
        <v>184.79349756320485</v>
      </c>
      <c r="U123" s="87">
        <f>IF(U32=0,0,1000000*U32/TrRoad_act!U66)</f>
        <v>202.89657527361211</v>
      </c>
      <c r="V123" s="87">
        <f>IF(V32=0,0,1000000*V32/TrRoad_act!V66)</f>
        <v>177.55172469584221</v>
      </c>
      <c r="W123" s="87">
        <f>IF(W32=0,0,1000000*W32/TrRoad_act!W66)</f>
        <v>214.20401495582004</v>
      </c>
      <c r="X123" s="87">
        <f>IF(X32=0,0,1000000*X32/TrRoad_act!X66)</f>
        <v>216.61313415590021</v>
      </c>
      <c r="Y123" s="87">
        <f>IF(Y32=0,0,1000000*Y32/TrRoad_act!Y66)</f>
        <v>218.7843119687586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24102.62328441186</v>
      </c>
      <c r="C124" s="116">
        <f>IF(C33=0,0,1000000*C33/TrRoad_act!C67)</f>
        <v>23729.45198296948</v>
      </c>
      <c r="D124" s="116">
        <f>IF(D33=0,0,1000000*D33/TrRoad_act!D67)</f>
        <v>23410.56459107354</v>
      </c>
      <c r="E124" s="116">
        <f>IF(E33=0,0,1000000*E33/TrRoad_act!E67)</f>
        <v>23155.623240529934</v>
      </c>
      <c r="F124" s="116">
        <f>IF(F33=0,0,1000000*F33/TrRoad_act!F67)</f>
        <v>23305.545453812003</v>
      </c>
      <c r="G124" s="116">
        <f>IF(G33=0,0,1000000*G33/TrRoad_act!G67)</f>
        <v>22942.967286919953</v>
      </c>
      <c r="H124" s="116">
        <f>IF(H33=0,0,1000000*H33/TrRoad_act!H67)</f>
        <v>22735.865619417022</v>
      </c>
      <c r="I124" s="116">
        <f>IF(I33=0,0,1000000*I33/TrRoad_act!I67)</f>
        <v>22596.936169278226</v>
      </c>
      <c r="J124" s="116">
        <f>IF(J33=0,0,1000000*J33/TrRoad_act!J67)</f>
        <v>22518.545567574827</v>
      </c>
      <c r="K124" s="116">
        <f>IF(K33=0,0,1000000*K33/TrRoad_act!K67)</f>
        <v>22431.73589696682</v>
      </c>
      <c r="L124" s="116">
        <f>IF(L33=0,0,1000000*L33/TrRoad_act!L67)</f>
        <v>22849.798498120213</v>
      </c>
      <c r="M124" s="116">
        <f>IF(M33=0,0,1000000*M33/TrRoad_act!M67)</f>
        <v>23221.716675911644</v>
      </c>
      <c r="N124" s="116">
        <f>IF(N33=0,0,1000000*N33/TrRoad_act!N67)</f>
        <v>22913.910139641906</v>
      </c>
      <c r="O124" s="116">
        <f>IF(O33=0,0,1000000*O33/TrRoad_act!O67)</f>
        <v>23313.165920772222</v>
      </c>
      <c r="P124" s="116">
        <f>IF(P33=0,0,1000000*P33/TrRoad_act!P67)</f>
        <v>23589.936421905601</v>
      </c>
      <c r="Q124" s="116">
        <f>IF(Q33=0,0,1000000*Q33/TrRoad_act!Q67)</f>
        <v>24260.761369386142</v>
      </c>
      <c r="R124" s="116">
        <f>IF(R33=0,0,1000000*R33/TrRoad_act!R67)</f>
        <v>24077.630909861949</v>
      </c>
      <c r="S124" s="116">
        <f>IF(S33=0,0,1000000*S33/TrRoad_act!S67)</f>
        <v>23971.798772762788</v>
      </c>
      <c r="T124" s="116">
        <f>IF(T33=0,0,1000000*T33/TrRoad_act!T67)</f>
        <v>23204.328163588336</v>
      </c>
      <c r="U124" s="116">
        <f>IF(U33=0,0,1000000*U33/TrRoad_act!U67)</f>
        <v>24111.974727541739</v>
      </c>
      <c r="V124" s="116">
        <f>IF(V33=0,0,1000000*V33/TrRoad_act!V67)</f>
        <v>23543.304224279891</v>
      </c>
      <c r="W124" s="116">
        <f>IF(W33=0,0,1000000*W33/TrRoad_act!W67)</f>
        <v>24243.354112480796</v>
      </c>
      <c r="X124" s="116">
        <f>IF(X33=0,0,1000000*X33/TrRoad_act!X67)</f>
        <v>23195.908013906988</v>
      </c>
      <c r="Y124" s="116">
        <f>IF(Y33=0,0,1000000*Y33/TrRoad_act!Y67)</f>
        <v>22492.669521112341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1776.8697188207343</v>
      </c>
      <c r="C125" s="101">
        <f>IF(C34=0,0,1000000*C34/TrRoad_act!C68)</f>
        <v>1749.4357792277813</v>
      </c>
      <c r="D125" s="101">
        <f>IF(D34=0,0,1000000*D34/TrRoad_act!D68)</f>
        <v>1707.4165079968282</v>
      </c>
      <c r="E125" s="101">
        <f>IF(E34=0,0,1000000*E34/TrRoad_act!E68)</f>
        <v>1676.4940345166328</v>
      </c>
      <c r="F125" s="101">
        <f>IF(F34=0,0,1000000*F34/TrRoad_act!F68)</f>
        <v>1666.1274597262268</v>
      </c>
      <c r="G125" s="101">
        <f>IF(G34=0,0,1000000*G34/TrRoad_act!G68)</f>
        <v>1626.1716568587256</v>
      </c>
      <c r="H125" s="101">
        <f>IF(H34=0,0,1000000*H34/TrRoad_act!H68)</f>
        <v>1601.2664630993336</v>
      </c>
      <c r="I125" s="101">
        <f>IF(I34=0,0,1000000*I34/TrRoad_act!I68)</f>
        <v>1555.1384693864095</v>
      </c>
      <c r="J125" s="101">
        <f>IF(J34=0,0,1000000*J34/TrRoad_act!J68)</f>
        <v>1547.9016312058566</v>
      </c>
      <c r="K125" s="101">
        <f>IF(K34=0,0,1000000*K34/TrRoad_act!K68)</f>
        <v>1572.5425775949036</v>
      </c>
      <c r="L125" s="101">
        <f>IF(L34=0,0,1000000*L34/TrRoad_act!L68)</f>
        <v>1624.1722195691382</v>
      </c>
      <c r="M125" s="101">
        <f>IF(M34=0,0,1000000*M34/TrRoad_act!M68)</f>
        <v>1660.5465158693673</v>
      </c>
      <c r="N125" s="101">
        <f>IF(N34=0,0,1000000*N34/TrRoad_act!N68)</f>
        <v>1652.4699446869699</v>
      </c>
      <c r="O125" s="101">
        <f>IF(O34=0,0,1000000*O34/TrRoad_act!O68)</f>
        <v>1518.3218109241761</v>
      </c>
      <c r="P125" s="101">
        <f>IF(P34=0,0,1000000*P34/TrRoad_act!P68)</f>
        <v>1476.8632642114051</v>
      </c>
      <c r="Q125" s="101">
        <f>IF(Q34=0,0,1000000*Q34/TrRoad_act!Q68)</f>
        <v>1519.5802310445131</v>
      </c>
      <c r="R125" s="101">
        <f>IF(R34=0,0,1000000*R34/TrRoad_act!R68)</f>
        <v>1488.2852056012105</v>
      </c>
      <c r="S125" s="101">
        <f>IF(S34=0,0,1000000*S34/TrRoad_act!S68)</f>
        <v>1438.3784225649385</v>
      </c>
      <c r="T125" s="101">
        <f>IF(T34=0,0,1000000*T34/TrRoad_act!T68)</f>
        <v>1399.323121526824</v>
      </c>
      <c r="U125" s="101">
        <f>IF(U34=0,0,1000000*U34/TrRoad_act!U68)</f>
        <v>1339.5459483547529</v>
      </c>
      <c r="V125" s="101">
        <f>IF(V34=0,0,1000000*V34/TrRoad_act!V68)</f>
        <v>1306.4011228081208</v>
      </c>
      <c r="W125" s="101">
        <f>IF(W34=0,0,1000000*W34/TrRoad_act!W68)</f>
        <v>1276.8133200813668</v>
      </c>
      <c r="X125" s="101">
        <f>IF(X34=0,0,1000000*X34/TrRoad_act!X68)</f>
        <v>1247.7820888451274</v>
      </c>
      <c r="Y125" s="101">
        <f>IF(Y34=0,0,1000000*Y34/TrRoad_act!Y68)</f>
        <v>1214.1140267667436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24548.453199851625</v>
      </c>
      <c r="C126" s="101">
        <f>IF(C36=0,0,1000000*C36/TrRoad_act!C69)</f>
        <v>24140.716908473572</v>
      </c>
      <c r="D126" s="101">
        <f>IF(D36=0,0,1000000*D36/TrRoad_act!D69)</f>
        <v>23784.269187533671</v>
      </c>
      <c r="E126" s="101">
        <f>IF(E36=0,0,1000000*E36/TrRoad_act!E69)</f>
        <v>23569.089450519907</v>
      </c>
      <c r="F126" s="101">
        <f>IF(F36=0,0,1000000*F36/TrRoad_act!F69)</f>
        <v>23697.443051689072</v>
      </c>
      <c r="G126" s="101">
        <f>IF(G36=0,0,1000000*G36/TrRoad_act!G69)</f>
        <v>23413.011622301554</v>
      </c>
      <c r="H126" s="101">
        <f>IF(H36=0,0,1000000*H36/TrRoad_act!H69)</f>
        <v>23331.915441250483</v>
      </c>
      <c r="I126" s="101">
        <f>IF(I36=0,0,1000000*I36/TrRoad_act!I69)</f>
        <v>23159.130435469571</v>
      </c>
      <c r="J126" s="101">
        <f>IF(J36=0,0,1000000*J36/TrRoad_act!J69)</f>
        <v>22937.136315557589</v>
      </c>
      <c r="K126" s="101">
        <f>IF(K36=0,0,1000000*K36/TrRoad_act!K69)</f>
        <v>23005.420320793804</v>
      </c>
      <c r="L126" s="101">
        <f>IF(L36=0,0,1000000*L36/TrRoad_act!L69)</f>
        <v>23452.292057384002</v>
      </c>
      <c r="M126" s="101">
        <f>IF(M36=0,0,1000000*M36/TrRoad_act!M69)</f>
        <v>23511.733154808917</v>
      </c>
      <c r="N126" s="101">
        <f>IF(N36=0,0,1000000*N36/TrRoad_act!N69)</f>
        <v>22993.774509301515</v>
      </c>
      <c r="O126" s="101">
        <f>IF(O36=0,0,1000000*O36/TrRoad_act!O69)</f>
        <v>23505.869627197182</v>
      </c>
      <c r="P126" s="101">
        <f>IF(P36=0,0,1000000*P36/TrRoad_act!P69)</f>
        <v>23856.524240530551</v>
      </c>
      <c r="Q126" s="101">
        <f>IF(Q36=0,0,1000000*Q36/TrRoad_act!Q69)</f>
        <v>24467.209385327031</v>
      </c>
      <c r="R126" s="101">
        <f>IF(R36=0,0,1000000*R36/TrRoad_act!R69)</f>
        <v>24700.066102100671</v>
      </c>
      <c r="S126" s="101">
        <f>IF(S36=0,0,1000000*S36/TrRoad_act!S69)</f>
        <v>24544.324969971</v>
      </c>
      <c r="T126" s="101">
        <f>IF(T36=0,0,1000000*T36/TrRoad_act!T69)</f>
        <v>24280.737436895248</v>
      </c>
      <c r="U126" s="101">
        <f>IF(U36=0,0,1000000*U36/TrRoad_act!U69)</f>
        <v>24820.231044460525</v>
      </c>
      <c r="V126" s="101">
        <f>IF(V36=0,0,1000000*V36/TrRoad_act!V69)</f>
        <v>24703.634065139926</v>
      </c>
      <c r="W126" s="101">
        <f>IF(W36=0,0,1000000*W36/TrRoad_act!W69)</f>
        <v>24360.559666312027</v>
      </c>
      <c r="X126" s="101">
        <f>IF(X36=0,0,1000000*X36/TrRoad_act!X69)</f>
        <v>24346.910967874941</v>
      </c>
      <c r="Y126" s="101">
        <f>IF(Y36=0,0,1000000*Y36/TrRoad_act!Y69)</f>
        <v>24007.834806924264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12978.142578229712</v>
      </c>
      <c r="C127" s="101">
        <f>IF(C38=0,0,1000000*C38/TrRoad_act!C70)</f>
        <v>12842.266380646084</v>
      </c>
      <c r="D127" s="101">
        <f>IF(D38=0,0,1000000*D38/TrRoad_act!D70)</f>
        <v>12776.727843003362</v>
      </c>
      <c r="E127" s="101">
        <f>IF(E38=0,0,1000000*E38/TrRoad_act!E70)</f>
        <v>12608.313585076659</v>
      </c>
      <c r="F127" s="101">
        <f>IF(F38=0,0,1000000*F38/TrRoad_act!F70)</f>
        <v>12486.758200413407</v>
      </c>
      <c r="G127" s="101">
        <f>IF(G38=0,0,1000000*G38/TrRoad_act!G70)</f>
        <v>12334.382701237406</v>
      </c>
      <c r="H127" s="101">
        <f>IF(H38=0,0,1000000*H38/TrRoad_act!H70)</f>
        <v>12375.70430448457</v>
      </c>
      <c r="I127" s="101">
        <f>IF(I38=0,0,1000000*I38/TrRoad_act!I70)</f>
        <v>12299.746540440749</v>
      </c>
      <c r="J127" s="101">
        <f>IF(J38=0,0,1000000*J38/TrRoad_act!J70)</f>
        <v>12180.387166434357</v>
      </c>
      <c r="K127" s="101">
        <f>IF(K38=0,0,1000000*K38/TrRoad_act!K70)</f>
        <v>12274.745498275128</v>
      </c>
      <c r="L127" s="101">
        <f>IF(L38=0,0,1000000*L38/TrRoad_act!L70)</f>
        <v>12536.463468234555</v>
      </c>
      <c r="M127" s="101">
        <f>IF(M38=0,0,1000000*M38/TrRoad_act!M70)</f>
        <v>12635.234464551499</v>
      </c>
      <c r="N127" s="101">
        <f>IF(N38=0,0,1000000*N38/TrRoad_act!N70)</f>
        <v>12352.037115303665</v>
      </c>
      <c r="O127" s="101">
        <f>IF(O38=0,0,1000000*O38/TrRoad_act!O70)</f>
        <v>12557.308718386419</v>
      </c>
      <c r="P127" s="101">
        <f>IF(P38=0,0,1000000*P38/TrRoad_act!P70)</f>
        <v>12741.13749590614</v>
      </c>
      <c r="Q127" s="101">
        <f>IF(Q38=0,0,1000000*Q38/TrRoad_act!Q70)</f>
        <v>13601.999809334664</v>
      </c>
      <c r="R127" s="101">
        <f>IF(R38=0,0,1000000*R38/TrRoad_act!R70)</f>
        <v>13458.707155775219</v>
      </c>
      <c r="S127" s="101">
        <f>IF(S38=0,0,1000000*S38/TrRoad_act!S70)</f>
        <v>13327.109823603663</v>
      </c>
      <c r="T127" s="101">
        <f>IF(T38=0,0,1000000*T38/TrRoad_act!T70)</f>
        <v>13236.454679491642</v>
      </c>
      <c r="U127" s="101">
        <f>IF(U38=0,0,1000000*U38/TrRoad_act!U70)</f>
        <v>13401.322477650179</v>
      </c>
      <c r="V127" s="101">
        <f>IF(V38=0,0,1000000*V38/TrRoad_act!V70)</f>
        <v>13384.044033848106</v>
      </c>
      <c r="W127" s="101">
        <f>IF(W38=0,0,1000000*W38/TrRoad_act!W70)</f>
        <v>13391.197305493972</v>
      </c>
      <c r="X127" s="101">
        <f>IF(X38=0,0,1000000*X38/TrRoad_act!X70)</f>
        <v>13428.977962364952</v>
      </c>
      <c r="Y127" s="101">
        <f>IF(Y38=0,0,1000000*Y38/TrRoad_act!Y70)</f>
        <v>13428.563471680513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2284.366412628267</v>
      </c>
      <c r="C128" s="101">
        <f>IF(C39=0,0,1000000*C39/TrRoad_act!C71)</f>
        <v>2116.7206103819767</v>
      </c>
      <c r="D128" s="101">
        <f>IF(D39=0,0,1000000*D39/TrRoad_act!D71)</f>
        <v>1982.9469245518778</v>
      </c>
      <c r="E128" s="101">
        <f>IF(E39=0,0,1000000*E39/TrRoad_act!E71)</f>
        <v>1926.5698938564371</v>
      </c>
      <c r="F128" s="101">
        <f>IF(F39=0,0,1000000*F39/TrRoad_act!F71)</f>
        <v>1990.8122238880521</v>
      </c>
      <c r="G128" s="101">
        <f>IF(G39=0,0,1000000*G39/TrRoad_act!G71)</f>
        <v>2162.5456298552263</v>
      </c>
      <c r="H128" s="101">
        <f>IF(H39=0,0,1000000*H39/TrRoad_act!H71)</f>
        <v>2282.693446813641</v>
      </c>
      <c r="I128" s="101">
        <f>IF(I39=0,0,1000000*I39/TrRoad_act!I71)</f>
        <v>7114.7976952979207</v>
      </c>
      <c r="J128" s="101">
        <f>IF(J39=0,0,1000000*J39/TrRoad_act!J71)</f>
        <v>14246.653876880782</v>
      </c>
      <c r="K128" s="101">
        <f>IF(K39=0,0,1000000*K39/TrRoad_act!K71)</f>
        <v>10822.148081751009</v>
      </c>
      <c r="L128" s="101">
        <f>IF(L39=0,0,1000000*L39/TrRoad_act!L71)</f>
        <v>11336.448145617394</v>
      </c>
      <c r="M128" s="101">
        <f>IF(M39=0,0,1000000*M39/TrRoad_act!M71)</f>
        <v>20252.20581934811</v>
      </c>
      <c r="N128" s="101">
        <f>IF(N39=0,0,1000000*N39/TrRoad_act!N71)</f>
        <v>25358.731704602513</v>
      </c>
      <c r="O128" s="101">
        <f>IF(O39=0,0,1000000*O39/TrRoad_act!O71)</f>
        <v>27414.639642882245</v>
      </c>
      <c r="P128" s="101">
        <f>IF(P39=0,0,1000000*P39/TrRoad_act!P71)</f>
        <v>23527.200123077957</v>
      </c>
      <c r="Q128" s="101">
        <f>IF(Q39=0,0,1000000*Q39/TrRoad_act!Q71)</f>
        <v>25757.474170869496</v>
      </c>
      <c r="R128" s="101">
        <f>IF(R39=0,0,1000000*R39/TrRoad_act!R71)</f>
        <v>14573.56425871771</v>
      </c>
      <c r="S128" s="101">
        <f>IF(S39=0,0,1000000*S39/TrRoad_act!S71)</f>
        <v>16829.480958232132</v>
      </c>
      <c r="T128" s="101">
        <f>IF(T39=0,0,1000000*T39/TrRoad_act!T71)</f>
        <v>15018.919460721901</v>
      </c>
      <c r="U128" s="101">
        <f>IF(U39=0,0,1000000*U39/TrRoad_act!U71)</f>
        <v>17692.8066012911</v>
      </c>
      <c r="V128" s="101">
        <f>IF(V39=0,0,1000000*V39/TrRoad_act!V71)</f>
        <v>8816.0157787062162</v>
      </c>
      <c r="W128" s="101">
        <f>IF(W39=0,0,1000000*W39/TrRoad_act!W71)</f>
        <v>29305.035951794194</v>
      </c>
      <c r="X128" s="101">
        <f>IF(X39=0,0,1000000*X39/TrRoad_act!X71)</f>
        <v>10632.918611554325</v>
      </c>
      <c r="Y128" s="101">
        <f>IF(Y39=0,0,1000000*Y39/TrRoad_act!Y71)</f>
        <v>6716.2066050455796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11684.754433339182</v>
      </c>
      <c r="P129" s="101">
        <f>IF(P41=0,0,1000000*P41/TrRoad_act!P72)</f>
        <v>11693.079351150242</v>
      </c>
      <c r="Q129" s="101">
        <f>IF(Q41=0,0,1000000*Q41/TrRoad_act!Q72)</f>
        <v>11697.177674474329</v>
      </c>
      <c r="R129" s="101">
        <f>IF(R41=0,0,1000000*R41/TrRoad_act!R72)</f>
        <v>11685.731208952879</v>
      </c>
      <c r="S129" s="101">
        <f>IF(S41=0,0,1000000*S41/TrRoad_act!S72)</f>
        <v>11631.820211686332</v>
      </c>
      <c r="T129" s="101">
        <f>IF(T41=0,0,1000000*T41/TrRoad_act!T72)</f>
        <v>11474.60832134641</v>
      </c>
      <c r="U129" s="101">
        <f>IF(U41=0,0,1000000*U41/TrRoad_act!U72)</f>
        <v>11292.299630314543</v>
      </c>
      <c r="V129" s="101">
        <f>IF(V41=0,0,1000000*V41/TrRoad_act!V72)</f>
        <v>11116.94230648667</v>
      </c>
      <c r="W129" s="101">
        <f>IF(W41=0,0,1000000*W41/TrRoad_act!W72)</f>
        <v>10468.350636695304</v>
      </c>
      <c r="X129" s="101">
        <f>IF(X41=0,0,1000000*X41/TrRoad_act!X72)</f>
        <v>10234.287270836239</v>
      </c>
      <c r="Y129" s="101">
        <f>IF(Y41=0,0,1000000*Y41/TrRoad_act!Y72)</f>
        <v>9696.0509803134137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2765.0748427480562</v>
      </c>
      <c r="C131" s="152">
        <f>IF(C43=0,0,1000000*C43/TrRoad_act!C74)</f>
        <v>2346.0213205319742</v>
      </c>
      <c r="D131" s="152">
        <f>IF(D43=0,0,1000000*D43/TrRoad_act!D74)</f>
        <v>2160.3852673250699</v>
      </c>
      <c r="E131" s="152">
        <f>IF(E43=0,0,1000000*E43/TrRoad_act!E74)</f>
        <v>2144.8939934446944</v>
      </c>
      <c r="F131" s="152">
        <f>IF(F43=0,0,1000000*F43/TrRoad_act!F74)</f>
        <v>2212.3471080262175</v>
      </c>
      <c r="G131" s="152">
        <f>IF(G43=0,0,1000000*G43/TrRoad_act!G74)</f>
        <v>2257.2407670916859</v>
      </c>
      <c r="H131" s="152">
        <f>IF(H43=0,0,1000000*H43/TrRoad_act!H74)</f>
        <v>1865.2906622140918</v>
      </c>
      <c r="I131" s="152">
        <f>IF(I43=0,0,1000000*I43/TrRoad_act!I74)</f>
        <v>1915.8333452185341</v>
      </c>
      <c r="J131" s="152">
        <f>IF(J43=0,0,1000000*J43/TrRoad_act!J74)</f>
        <v>1823.1211861448767</v>
      </c>
      <c r="K131" s="152">
        <f>IF(K43=0,0,1000000*K43/TrRoad_act!K74)</f>
        <v>1743.3906311853725</v>
      </c>
      <c r="L131" s="152">
        <f>IF(L43=0,0,1000000*L43/TrRoad_act!L74)</f>
        <v>1829.8264086925074</v>
      </c>
      <c r="M131" s="152">
        <f>IF(M43=0,0,1000000*M43/TrRoad_act!M74)</f>
        <v>1838.627209227265</v>
      </c>
      <c r="N131" s="152">
        <f>IF(N43=0,0,1000000*N43/TrRoad_act!N74)</f>
        <v>1607.7394802149793</v>
      </c>
      <c r="O131" s="152">
        <f>IF(O43=0,0,1000000*O43/TrRoad_act!O74)</f>
        <v>1405.6360416802329</v>
      </c>
      <c r="P131" s="152">
        <f>IF(P43=0,0,1000000*P43/TrRoad_act!P74)</f>
        <v>1426.9195787936728</v>
      </c>
      <c r="Q131" s="152">
        <f>IF(Q43=0,0,1000000*Q43/TrRoad_act!Q74)</f>
        <v>1129.6136061506118</v>
      </c>
      <c r="R131" s="152">
        <f>IF(R43=0,0,1000000*R43/TrRoad_act!R74)</f>
        <v>1029.1583118471394</v>
      </c>
      <c r="S131" s="152">
        <f>IF(S43=0,0,1000000*S43/TrRoad_act!S74)</f>
        <v>1015.3228979357469</v>
      </c>
      <c r="T131" s="152">
        <f>IF(T43=0,0,1000000*T43/TrRoad_act!T74)</f>
        <v>1031.0396537372296</v>
      </c>
      <c r="U131" s="152">
        <f>IF(U43=0,0,1000000*U43/TrRoad_act!U74)</f>
        <v>1037.732100492294</v>
      </c>
      <c r="V131" s="152">
        <f>IF(V43=0,0,1000000*V43/TrRoad_act!V74)</f>
        <v>988.47917242253754</v>
      </c>
      <c r="W131" s="152">
        <f>IF(W43=0,0,1000000*W43/TrRoad_act!W74)</f>
        <v>1174.3386679817233</v>
      </c>
      <c r="X131" s="152">
        <f>IF(X43=0,0,1000000*X43/TrRoad_act!X74)</f>
        <v>1016.7465015062376</v>
      </c>
      <c r="Y131" s="152">
        <f>IF(Y43=0,0,1000000*Y43/TrRoad_act!Y74)</f>
        <v>905.94800404807108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1165.5054835166245</v>
      </c>
      <c r="C132" s="87">
        <f>IF(C44=0,0,1000000*C44/TrRoad_act!C75)</f>
        <v>1122.2374019684187</v>
      </c>
      <c r="D132" s="87">
        <f>IF(D44=0,0,1000000*D44/TrRoad_act!D75)</f>
        <v>1075.5894809946026</v>
      </c>
      <c r="E132" s="87">
        <f>IF(E44=0,0,1000000*E44/TrRoad_act!E75)</f>
        <v>1039.2830032237857</v>
      </c>
      <c r="F132" s="87">
        <f>IF(F44=0,0,1000000*F44/TrRoad_act!F75)</f>
        <v>1016.9134755256348</v>
      </c>
      <c r="G132" s="87">
        <f>IF(G44=0,0,1000000*G44/TrRoad_act!G75)</f>
        <v>988.07939053948371</v>
      </c>
      <c r="H132" s="87">
        <f>IF(H44=0,0,1000000*H44/TrRoad_act!H75)</f>
        <v>947.89968799109226</v>
      </c>
      <c r="I132" s="87">
        <f>IF(I44=0,0,1000000*I44/TrRoad_act!I75)</f>
        <v>933.72908460512315</v>
      </c>
      <c r="J132" s="87">
        <f>IF(J44=0,0,1000000*J44/TrRoad_act!J75)</f>
        <v>916.38892543007546</v>
      </c>
      <c r="K132" s="87">
        <f>IF(K44=0,0,1000000*K44/TrRoad_act!K75)</f>
        <v>899.4351233359157</v>
      </c>
      <c r="L132" s="87">
        <f>IF(L44=0,0,1000000*L44/TrRoad_act!L75)</f>
        <v>907.85048168009848</v>
      </c>
      <c r="M132" s="87">
        <f>IF(M44=0,0,1000000*M44/TrRoad_act!M75)</f>
        <v>900.18514716069626</v>
      </c>
      <c r="N132" s="87">
        <f>IF(N44=0,0,1000000*N44/TrRoad_act!N75)</f>
        <v>867.93985127182123</v>
      </c>
      <c r="O132" s="87">
        <f>IF(O44=0,0,1000000*O44/TrRoad_act!O75)</f>
        <v>839.4849267216199</v>
      </c>
      <c r="P132" s="87">
        <f>IF(P44=0,0,1000000*P44/TrRoad_act!P75)</f>
        <v>821.13219776069775</v>
      </c>
      <c r="Q132" s="87">
        <f>IF(Q44=0,0,1000000*Q44/TrRoad_act!Q75)</f>
        <v>784.09104123649468</v>
      </c>
      <c r="R132" s="87">
        <f>IF(R44=0,0,1000000*R44/TrRoad_act!R75)</f>
        <v>778.83828494581064</v>
      </c>
      <c r="S132" s="87">
        <f>IF(S44=0,0,1000000*S44/TrRoad_act!S75)</f>
        <v>766.2100462066162</v>
      </c>
      <c r="T132" s="87">
        <f>IF(T44=0,0,1000000*T44/TrRoad_act!T75)</f>
        <v>755.78925942121714</v>
      </c>
      <c r="U132" s="87">
        <f>IF(U44=0,0,1000000*U44/TrRoad_act!U75)</f>
        <v>750.45000857294008</v>
      </c>
      <c r="V132" s="87">
        <f>IF(V44=0,0,1000000*V44/TrRoad_act!V75)</f>
        <v>743.10933138028554</v>
      </c>
      <c r="W132" s="87">
        <f>IF(W44=0,0,1000000*W44/TrRoad_act!W75)</f>
        <v>746.87203252983011</v>
      </c>
      <c r="X132" s="87">
        <f>IF(X44=0,0,1000000*X44/TrRoad_act!X75)</f>
        <v>734.63696184016032</v>
      </c>
      <c r="Y132" s="87">
        <f>IF(Y44=0,0,1000000*Y44/TrRoad_act!Y75)</f>
        <v>722.13832450215546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2942.0131450216977</v>
      </c>
      <c r="C133" s="87">
        <f>IF(C46=0,0,1000000*C46/TrRoad_act!C76)</f>
        <v>2478.8497887721833</v>
      </c>
      <c r="D133" s="87">
        <f>IF(D46=0,0,1000000*D46/TrRoad_act!D76)</f>
        <v>2276.2745639148861</v>
      </c>
      <c r="E133" s="87">
        <f>IF(E46=0,0,1000000*E46/TrRoad_act!E76)</f>
        <v>2261.5797744362453</v>
      </c>
      <c r="F133" s="87">
        <f>IF(F46=0,0,1000000*F46/TrRoad_act!F76)</f>
        <v>2337.1990632774996</v>
      </c>
      <c r="G133" s="87">
        <f>IF(G46=0,0,1000000*G46/TrRoad_act!G76)</f>
        <v>2388.4607261962569</v>
      </c>
      <c r="H133" s="87">
        <f>IF(H46=0,0,1000000*H46/TrRoad_act!H76)</f>
        <v>1958.6662115837182</v>
      </c>
      <c r="I133" s="87">
        <f>IF(I46=0,0,1000000*I46/TrRoad_act!I76)</f>
        <v>2000.7058621161746</v>
      </c>
      <c r="J133" s="87">
        <f>IF(J46=0,0,1000000*J46/TrRoad_act!J76)</f>
        <v>1899.3059437280517</v>
      </c>
      <c r="K133" s="87">
        <f>IF(K46=0,0,1000000*K46/TrRoad_act!K76)</f>
        <v>1814.7723000515919</v>
      </c>
      <c r="L133" s="87">
        <f>IF(L46=0,0,1000000*L46/TrRoad_act!L76)</f>
        <v>1909.3492390031961</v>
      </c>
      <c r="M133" s="87">
        <f>IF(M46=0,0,1000000*M46/TrRoad_act!M76)</f>
        <v>1921.0658286539528</v>
      </c>
      <c r="N133" s="87">
        <f>IF(N46=0,0,1000000*N46/TrRoad_act!N76)</f>
        <v>1672.590554399663</v>
      </c>
      <c r="O133" s="87">
        <f>IF(O46=0,0,1000000*O46/TrRoad_act!O76)</f>
        <v>1453.5788153055428</v>
      </c>
      <c r="P133" s="87">
        <f>IF(P46=0,0,1000000*P46/TrRoad_act!P76)</f>
        <v>1478.2859674162041</v>
      </c>
      <c r="Q133" s="87">
        <f>IF(Q46=0,0,1000000*Q46/TrRoad_act!Q76)</f>
        <v>1155.6109724230823</v>
      </c>
      <c r="R133" s="87">
        <f>IF(R46=0,0,1000000*R46/TrRoad_act!R76)</f>
        <v>1046.1830951856609</v>
      </c>
      <c r="S133" s="87">
        <f>IF(S46=0,0,1000000*S46/TrRoad_act!S76)</f>
        <v>1033.3959886809935</v>
      </c>
      <c r="T133" s="87">
        <f>IF(T46=0,0,1000000*T46/TrRoad_act!T76)</f>
        <v>1052.4207917222939</v>
      </c>
      <c r="U133" s="87">
        <f>IF(U46=0,0,1000000*U46/TrRoad_act!U76)</f>
        <v>1056.4659659430263</v>
      </c>
      <c r="V133" s="87">
        <f>IF(V46=0,0,1000000*V46/TrRoad_act!V76)</f>
        <v>1003.8490360397014</v>
      </c>
      <c r="W133" s="87">
        <f>IF(W46=0,0,1000000*W46/TrRoad_act!W76)</f>
        <v>1202.4784295891766</v>
      </c>
      <c r="X133" s="87">
        <f>IF(X46=0,0,1000000*X46/TrRoad_act!X76)</f>
        <v>1037.6118538887401</v>
      </c>
      <c r="Y133" s="87">
        <f>IF(Y46=0,0,1000000*Y46/TrRoad_act!Y76)</f>
        <v>918.90137766848602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1391.2808790274544</v>
      </c>
      <c r="C134" s="87">
        <f>IF(C48=0,0,1000000*C48/TrRoad_act!C77)</f>
        <v>1288.1888325823852</v>
      </c>
      <c r="D134" s="87">
        <f>IF(D48=0,0,1000000*D48/TrRoad_act!D77)</f>
        <v>1197.5153801539013</v>
      </c>
      <c r="E134" s="87">
        <f>IF(E48=0,0,1000000*E48/TrRoad_act!E77)</f>
        <v>1127.5983406520907</v>
      </c>
      <c r="F134" s="87">
        <f>IF(F48=0,0,1000000*F48/TrRoad_act!F77)</f>
        <v>1076.5794403042164</v>
      </c>
      <c r="G134" s="87">
        <f>IF(G48=0,0,1000000*G48/TrRoad_act!G77)</f>
        <v>1023.588705897326</v>
      </c>
      <c r="H134" s="87">
        <f>IF(H48=0,0,1000000*H48/TrRoad_act!H77)</f>
        <v>930.27458960391562</v>
      </c>
      <c r="I134" s="87">
        <f>IF(I48=0,0,1000000*I48/TrRoad_act!I77)</f>
        <v>933.47470194478012</v>
      </c>
      <c r="J134" s="87">
        <f>IF(J48=0,0,1000000*J48/TrRoad_act!J77)</f>
        <v>898.32348459080708</v>
      </c>
      <c r="K134" s="87">
        <f>IF(K48=0,0,1000000*K48/TrRoad_act!K77)</f>
        <v>854.0580495137782</v>
      </c>
      <c r="L134" s="87">
        <f>IF(L48=0,0,1000000*L48/TrRoad_act!L77)</f>
        <v>862.61632955617074</v>
      </c>
      <c r="M134" s="87">
        <f>IF(M48=0,0,1000000*M48/TrRoad_act!M77)</f>
        <v>861.22941344266144</v>
      </c>
      <c r="N134" s="87">
        <f>IF(N48=0,0,1000000*N48/TrRoad_act!N77)</f>
        <v>788.23237818597784</v>
      </c>
      <c r="O134" s="87">
        <f>IF(O48=0,0,1000000*O48/TrRoad_act!O77)</f>
        <v>753.71775342975593</v>
      </c>
      <c r="P134" s="87">
        <f>IF(P48=0,0,1000000*P48/TrRoad_act!P77)</f>
        <v>747.81587541520514</v>
      </c>
      <c r="Q134" s="87">
        <f>IF(Q48=0,0,1000000*Q48/TrRoad_act!Q77)</f>
        <v>692.96549394191345</v>
      </c>
      <c r="R134" s="87">
        <f>IF(R48=0,0,1000000*R48/TrRoad_act!R77)</f>
        <v>675.12490892672815</v>
      </c>
      <c r="S134" s="87">
        <f>IF(S48=0,0,1000000*S48/TrRoad_act!S77)</f>
        <v>666.26993389115489</v>
      </c>
      <c r="T134" s="87">
        <f>IF(T48=0,0,1000000*T48/TrRoad_act!T77)</f>
        <v>664.02783063178401</v>
      </c>
      <c r="U134" s="87">
        <f>IF(U48=0,0,1000000*U48/TrRoad_act!U77)</f>
        <v>659.34282781859542</v>
      </c>
      <c r="V134" s="87">
        <f>IF(V48=0,0,1000000*V48/TrRoad_act!V77)</f>
        <v>640.55659697437352</v>
      </c>
      <c r="W134" s="87">
        <f>IF(W48=0,0,1000000*W48/TrRoad_act!W77)</f>
        <v>690.01405913413475</v>
      </c>
      <c r="X134" s="87">
        <f>IF(X48=0,0,1000000*X48/TrRoad_act!X77)</f>
        <v>628.69758661275364</v>
      </c>
      <c r="Y134" s="87">
        <f>IF(Y48=0,0,1000000*Y48/TrRoad_act!Y77)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2021.0957536253347</v>
      </c>
      <c r="C135" s="87">
        <f>IF(C49=0,0,1000000*C49/TrRoad_act!C78)</f>
        <v>1836.4162179998216</v>
      </c>
      <c r="D135" s="87">
        <f>IF(D49=0,0,1000000*D49/TrRoad_act!D78)</f>
        <v>1692.8383547326241</v>
      </c>
      <c r="E135" s="87">
        <f>IF(E49=0,0,1000000*E49/TrRoad_act!E78)</f>
        <v>1586.5157370602813</v>
      </c>
      <c r="F135" s="87">
        <f>IF(F49=0,0,1000000*F49/TrRoad_act!F78)</f>
        <v>1519.7158789646573</v>
      </c>
      <c r="G135" s="87">
        <f>IF(G49=0,0,1000000*G49/TrRoad_act!G78)</f>
        <v>1458.9481855170957</v>
      </c>
      <c r="H135" s="87">
        <f>IF(H49=0,0,1000000*H49/TrRoad_act!H78)</f>
        <v>1377.9592462910848</v>
      </c>
      <c r="I135" s="87">
        <f>IF(I49=0,0,1000000*I49/TrRoad_act!I78)</f>
        <v>1374.6613870690069</v>
      </c>
      <c r="J135" s="87">
        <f>IF(J49=0,0,1000000*J49/TrRoad_act!J78)</f>
        <v>1324.1200550026999</v>
      </c>
      <c r="K135" s="87">
        <f>IF(K49=0,0,1000000*K49/TrRoad_act!K78)</f>
        <v>1194.6153481728541</v>
      </c>
      <c r="L135" s="87">
        <f>IF(L49=0,0,1000000*L49/TrRoad_act!L78)</f>
        <v>1245.8238413069282</v>
      </c>
      <c r="M135" s="87">
        <f>IF(M49=0,0,1000000*M49/TrRoad_act!M78)</f>
        <v>1212.6407534651094</v>
      </c>
      <c r="N135" s="87">
        <f>IF(N49=0,0,1000000*N49/TrRoad_act!N78)</f>
        <v>1156.4493823033031</v>
      </c>
      <c r="O135" s="87">
        <f>IF(O49=0,0,1000000*O49/TrRoad_act!O78)</f>
        <v>1145.6114144215665</v>
      </c>
      <c r="P135" s="87">
        <f>IF(P49=0,0,1000000*P49/TrRoad_act!P78)</f>
        <v>1125.4051298870315</v>
      </c>
      <c r="Q135" s="87">
        <f>IF(Q49=0,0,1000000*Q49/TrRoad_act!Q78)</f>
        <v>1091.1283980699034</v>
      </c>
      <c r="R135" s="87">
        <f>IF(R49=0,0,1000000*R49/TrRoad_act!R78)</f>
        <v>1061.5843025321722</v>
      </c>
      <c r="S135" s="87">
        <f>IF(S49=0,0,1000000*S49/TrRoad_act!S78)</f>
        <v>973.1323967459266</v>
      </c>
      <c r="T135" s="87">
        <f>IF(T49=0,0,1000000*T49/TrRoad_act!T78)</f>
        <v>901.23984207101125</v>
      </c>
      <c r="U135" s="87">
        <f>IF(U49=0,0,1000000*U49/TrRoad_act!U78)</f>
        <v>1068.8164573251504</v>
      </c>
      <c r="V135" s="87">
        <f>IF(V49=0,0,1000000*V49/TrRoad_act!V78)</f>
        <v>1065.5870974768075</v>
      </c>
      <c r="W135" s="87">
        <f>IF(W49=0,0,1000000*W49/TrRoad_act!W78)</f>
        <v>1220.0971296449181</v>
      </c>
      <c r="X135" s="87">
        <f>IF(X49=0,0,1000000*X49/TrRoad_act!X78)</f>
        <v>1047.4321464520717</v>
      </c>
      <c r="Y135" s="87">
        <f>IF(Y49=0,0,1000000*Y49/TrRoad_act!Y78)</f>
        <v>1049.8760208269366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161.41249700032404</v>
      </c>
      <c r="N136" s="87">
        <f>IF(N51=0,0,1000000*N51/TrRoad_act!N79)</f>
        <v>162.03226498141808</v>
      </c>
      <c r="O136" s="87">
        <f>IF(O51=0,0,1000000*O51/TrRoad_act!O79)</f>
        <v>157.88020174467167</v>
      </c>
      <c r="P136" s="87">
        <f>IF(P51=0,0,1000000*P51/TrRoad_act!P79)</f>
        <v>162.17925569935088</v>
      </c>
      <c r="Q136" s="87">
        <f>IF(Q51=0,0,1000000*Q51/TrRoad_act!Q79)</f>
        <v>172.28787449032583</v>
      </c>
      <c r="R136" s="87">
        <f>IF(R51=0,0,1000000*R51/TrRoad_act!R79)</f>
        <v>177.55786901275147</v>
      </c>
      <c r="S136" s="87">
        <f>IF(S51=0,0,1000000*S51/TrRoad_act!S79)</f>
        <v>184.44962363277739</v>
      </c>
      <c r="T136" s="87">
        <f>IF(T51=0,0,1000000*T51/TrRoad_act!T79)</f>
        <v>201.8225848579886</v>
      </c>
      <c r="U136" s="87">
        <f>IF(U51=0,0,1000000*U51/TrRoad_act!U79)</f>
        <v>217.71516862899475</v>
      </c>
      <c r="V136" s="87">
        <f>IF(V51=0,0,1000000*V51/TrRoad_act!V79)</f>
        <v>223.19888210275676</v>
      </c>
      <c r="W136" s="87">
        <f>IF(W51=0,0,1000000*W51/TrRoad_act!W79)</f>
        <v>254.84648054259441</v>
      </c>
      <c r="X136" s="87">
        <f>IF(X51=0,0,1000000*X51/TrRoad_act!X79)</f>
        <v>266.50750503828522</v>
      </c>
      <c r="Y136" s="87">
        <f>IF(Y51=0,0,1000000*Y51/TrRoad_act!Y79)</f>
        <v>271.1735826301308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2747.7701370021741</v>
      </c>
      <c r="C137" s="116">
        <f>IF(C52=0,0,1000000*C52/TrRoad_act!C80)</f>
        <v>4079.2556593766935</v>
      </c>
      <c r="D137" s="116">
        <f>IF(D52=0,0,1000000*D52/TrRoad_act!D80)</f>
        <v>4087.9770876478574</v>
      </c>
      <c r="E137" s="116">
        <f>IF(E52=0,0,1000000*E52/TrRoad_act!E80)</f>
        <v>3979.0119154807485</v>
      </c>
      <c r="F137" s="116">
        <f>IF(F52=0,0,1000000*F52/TrRoad_act!F80)</f>
        <v>4245.4450050124915</v>
      </c>
      <c r="G137" s="116">
        <f>IF(G52=0,0,1000000*G52/TrRoad_act!G80)</f>
        <v>4466.3355856078524</v>
      </c>
      <c r="H137" s="116">
        <f>IF(H52=0,0,1000000*H52/TrRoad_act!H80)</f>
        <v>5011.3627041432246</v>
      </c>
      <c r="I137" s="116">
        <f>IF(I52=0,0,1000000*I52/TrRoad_act!I80)</f>
        <v>4922.881113272455</v>
      </c>
      <c r="J137" s="116">
        <f>IF(J52=0,0,1000000*J52/TrRoad_act!J80)</f>
        <v>3815.90415270534</v>
      </c>
      <c r="K137" s="116">
        <f>IF(K52=0,0,1000000*K52/TrRoad_act!K80)</f>
        <v>2858.572403327028</v>
      </c>
      <c r="L137" s="116">
        <f>IF(L52=0,0,1000000*L52/TrRoad_act!L80)</f>
        <v>2736.6565514511603</v>
      </c>
      <c r="M137" s="116">
        <f>IF(M52=0,0,1000000*M52/TrRoad_act!M80)</f>
        <v>2995.3643344321713</v>
      </c>
      <c r="N137" s="116">
        <f>IF(N52=0,0,1000000*N52/TrRoad_act!N80)</f>
        <v>3677.3027561315107</v>
      </c>
      <c r="O137" s="116">
        <f>IF(O52=0,0,1000000*O52/TrRoad_act!O80)</f>
        <v>3074.2093855431567</v>
      </c>
      <c r="P137" s="116">
        <f>IF(P52=0,0,1000000*P52/TrRoad_act!P80)</f>
        <v>3043.9219594892425</v>
      </c>
      <c r="Q137" s="116">
        <f>IF(Q52=0,0,1000000*Q52/TrRoad_act!Q80)</f>
        <v>3330.2552013349332</v>
      </c>
      <c r="R137" s="116">
        <f>IF(R52=0,0,1000000*R52/TrRoad_act!R80)</f>
        <v>3089.9084463230988</v>
      </c>
      <c r="S137" s="116">
        <f>IF(S52=0,0,1000000*S52/TrRoad_act!S80)</f>
        <v>1971.3691729239144</v>
      </c>
      <c r="T137" s="116">
        <f>IF(T52=0,0,1000000*T52/TrRoad_act!T80)</f>
        <v>3344.2483483624069</v>
      </c>
      <c r="U137" s="116">
        <f>IF(U52=0,0,1000000*U52/TrRoad_act!U80)</f>
        <v>3397.1132668180089</v>
      </c>
      <c r="V137" s="116">
        <f>IF(V52=0,0,1000000*V52/TrRoad_act!V80)</f>
        <v>2855.5526565402511</v>
      </c>
      <c r="W137" s="116">
        <f>IF(W52=0,0,1000000*W52/TrRoad_act!W80)</f>
        <v>5031.6681041131551</v>
      </c>
      <c r="X137" s="116">
        <f>IF(X52=0,0,1000000*X52/TrRoad_act!X80)</f>
        <v>6911.2904648922658</v>
      </c>
      <c r="Y137" s="116">
        <f>IF(Y52=0,0,1000000*Y52/TrRoad_act!Y80)</f>
        <v>6953.0904367910052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2395.4742993032978</v>
      </c>
      <c r="C138" s="101">
        <f>IF(C53=0,0,1000000*C53/TrRoad_act!C81)</f>
        <v>3508.2064346162638</v>
      </c>
      <c r="D138" s="101">
        <f>IF(D53=0,0,1000000*D53/TrRoad_act!D81)</f>
        <v>3492.2355507669495</v>
      </c>
      <c r="E138" s="101">
        <f>IF(E53=0,0,1000000*E53/TrRoad_act!E81)</f>
        <v>3372.6735494933296</v>
      </c>
      <c r="F138" s="101">
        <f>IF(F53=0,0,1000000*F53/TrRoad_act!F81)</f>
        <v>3622.8307382480075</v>
      </c>
      <c r="G138" s="101">
        <f>IF(G53=0,0,1000000*G53/TrRoad_act!G81)</f>
        <v>3813.6421356052838</v>
      </c>
      <c r="H138" s="101">
        <f>IF(H53=0,0,1000000*H53/TrRoad_act!H81)</f>
        <v>4105.0138545140126</v>
      </c>
      <c r="I138" s="101">
        <f>IF(I53=0,0,1000000*I53/TrRoad_act!I81)</f>
        <v>4057.5692743503441</v>
      </c>
      <c r="J138" s="101">
        <f>IF(J53=0,0,1000000*J53/TrRoad_act!J81)</f>
        <v>3097.1159085080531</v>
      </c>
      <c r="K138" s="101">
        <f>IF(K53=0,0,1000000*K53/TrRoad_act!K81)</f>
        <v>2370.5332082629561</v>
      </c>
      <c r="L138" s="101">
        <f>IF(L53=0,0,1000000*L53/TrRoad_act!L81)</f>
        <v>2251.0237955391594</v>
      </c>
      <c r="M138" s="101">
        <f>IF(M53=0,0,1000000*M53/TrRoad_act!M81)</f>
        <v>2443.6442255082579</v>
      </c>
      <c r="N138" s="101">
        <f>IF(N53=0,0,1000000*N53/TrRoad_act!N81)</f>
        <v>2961.5642378548664</v>
      </c>
      <c r="O138" s="101">
        <f>IF(O53=0,0,1000000*O53/TrRoad_act!O81)</f>
        <v>2450.5680413761365</v>
      </c>
      <c r="P138" s="101">
        <f>IF(P53=0,0,1000000*P53/TrRoad_act!P81)</f>
        <v>2372.2370101685206</v>
      </c>
      <c r="Q138" s="101">
        <f>IF(Q53=0,0,1000000*Q53/TrRoad_act!Q81)</f>
        <v>2595.306374393881</v>
      </c>
      <c r="R138" s="101">
        <f>IF(R53=0,0,1000000*R53/TrRoad_act!R81)</f>
        <v>2372.2228015766577</v>
      </c>
      <c r="S138" s="101">
        <f>IF(S53=0,0,1000000*S53/TrRoad_act!S81)</f>
        <v>1488.6447987337763</v>
      </c>
      <c r="T138" s="101">
        <f>IF(T53=0,0,1000000*T53/TrRoad_act!T81)</f>
        <v>2548.2172803734675</v>
      </c>
      <c r="U138" s="101">
        <f>IF(U53=0,0,1000000*U53/TrRoad_act!U81)</f>
        <v>2590.4488376197423</v>
      </c>
      <c r="V138" s="101">
        <f>IF(V53=0,0,1000000*V53/TrRoad_act!V81)</f>
        <v>2164.4901335573245</v>
      </c>
      <c r="W138" s="101">
        <f>IF(W53=0,0,1000000*W53/TrRoad_act!W81)</f>
        <v>3778.8018571643242</v>
      </c>
      <c r="X138" s="101">
        <f>IF(X53=0,0,1000000*X53/TrRoad_act!X81)</f>
        <v>5197.4442606462108</v>
      </c>
      <c r="Y138" s="101">
        <f>IF(Y53=0,0,1000000*Y53/TrRoad_act!Y81)</f>
        <v>5288.7001119949819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19198.676358775327</v>
      </c>
      <c r="C139" s="88">
        <f>IF(C55=0,0,1000000*C55/TrRoad_act!C82)</f>
        <v>28907.415589763321</v>
      </c>
      <c r="D139" s="88">
        <f>IF(D55=0,0,1000000*D55/TrRoad_act!D82)</f>
        <v>28788.070210381145</v>
      </c>
      <c r="E139" s="88">
        <f>IF(E55=0,0,1000000*E55/TrRoad_act!E82)</f>
        <v>28624.536645501154</v>
      </c>
      <c r="F139" s="88">
        <f>IF(F55=0,0,1000000*F55/TrRoad_act!F82)</f>
        <v>25490.288683956653</v>
      </c>
      <c r="G139" s="88">
        <f>IF(G55=0,0,1000000*G55/TrRoad_act!G82)</f>
        <v>26001.907854527839</v>
      </c>
      <c r="H139" s="88">
        <f>IF(H55=0,0,1000000*H55/TrRoad_act!H82)</f>
        <v>33417.916459754459</v>
      </c>
      <c r="I139" s="88">
        <f>IF(I55=0,0,1000000*I55/TrRoad_act!I82)</f>
        <v>32417.361791432129</v>
      </c>
      <c r="J139" s="88">
        <f>IF(J55=0,0,1000000*J55/TrRoad_act!J82)</f>
        <v>25450.033996237682</v>
      </c>
      <c r="K139" s="88">
        <f>IF(K55=0,0,1000000*K55/TrRoad_act!K82)</f>
        <v>19630.173727165096</v>
      </c>
      <c r="L139" s="88">
        <f>IF(L55=0,0,1000000*L55/TrRoad_act!L82)</f>
        <v>17976.895476994861</v>
      </c>
      <c r="M139" s="88">
        <f>IF(M55=0,0,1000000*M55/TrRoad_act!M82)</f>
        <v>23098.879633183176</v>
      </c>
      <c r="N139" s="88">
        <f>IF(N55=0,0,1000000*N55/TrRoad_act!N82)</f>
        <v>30961.23401623977</v>
      </c>
      <c r="O139" s="88">
        <f>IF(O55=0,0,1000000*O55/TrRoad_act!O82)</f>
        <v>24576.896517906469</v>
      </c>
      <c r="P139" s="88">
        <f>IF(P55=0,0,1000000*P55/TrRoad_act!P82)</f>
        <v>25254.627065774617</v>
      </c>
      <c r="Q139" s="88">
        <f>IF(Q55=0,0,1000000*Q55/TrRoad_act!Q82)</f>
        <v>28056.765964304643</v>
      </c>
      <c r="R139" s="88">
        <f>IF(R55=0,0,1000000*R55/TrRoad_act!R82)</f>
        <v>24229.923023361549</v>
      </c>
      <c r="S139" s="88">
        <f>IF(S55=0,0,1000000*S55/TrRoad_act!S82)</f>
        <v>14095.547644892358</v>
      </c>
      <c r="T139" s="88">
        <f>IF(T55=0,0,1000000*T55/TrRoad_act!T82)</f>
        <v>24113.58641017324</v>
      </c>
      <c r="U139" s="88">
        <f>IF(U55=0,0,1000000*U55/TrRoad_act!U82)</f>
        <v>23492.22388918413</v>
      </c>
      <c r="V139" s="88">
        <f>IF(V55=0,0,1000000*V55/TrRoad_act!V82)</f>
        <v>19462.211294948007</v>
      </c>
      <c r="W139" s="88">
        <f>IF(W55=0,0,1000000*W55/TrRoad_act!W82)</f>
        <v>32093.115182653964</v>
      </c>
      <c r="X139" s="88">
        <f>IF(X55=0,0,1000000*X55/TrRoad_act!X82)</f>
        <v>43421.61115704097</v>
      </c>
      <c r="Y139" s="88">
        <f>IF(Y55=0,0,1000000*Y55/TrRoad_act!Y82)</f>
        <v>45127.223721340684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0.73373492075110125</v>
      </c>
      <c r="C142" s="46">
        <f t="shared" si="42"/>
        <v>0.72496644208166938</v>
      </c>
      <c r="D142" s="46">
        <f t="shared" si="42"/>
        <v>0.73034831348089468</v>
      </c>
      <c r="E142" s="46">
        <f t="shared" si="42"/>
        <v>0.72444887762958543</v>
      </c>
      <c r="F142" s="46">
        <f t="shared" si="42"/>
        <v>0.71582653623997328</v>
      </c>
      <c r="G142" s="46">
        <f t="shared" si="42"/>
        <v>0.69371728264717669</v>
      </c>
      <c r="H142" s="46">
        <f t="shared" si="42"/>
        <v>0.70907648061842865</v>
      </c>
      <c r="I142" s="46">
        <f t="shared" si="42"/>
        <v>0.70223940422723019</v>
      </c>
      <c r="J142" s="46">
        <f t="shared" si="42"/>
        <v>0.7217268714810382</v>
      </c>
      <c r="K142" s="46">
        <f t="shared" si="42"/>
        <v>0.74372223521024472</v>
      </c>
      <c r="L142" s="46">
        <f t="shared" ref="L142" si="43">IF(L18=0,0,L18/L$17)</f>
        <v>0.73191446064549481</v>
      </c>
      <c r="M142" s="46">
        <f t="shared" ref="M142:V142" si="44">IF(M18=0,0,M18/M$17)</f>
        <v>0.72142559221969382</v>
      </c>
      <c r="N142" s="46">
        <f t="shared" si="44"/>
        <v>0.71356380513293205</v>
      </c>
      <c r="O142" s="46">
        <f t="shared" si="44"/>
        <v>0.75082525392918942</v>
      </c>
      <c r="P142" s="46">
        <f t="shared" si="44"/>
        <v>0.76002793192338636</v>
      </c>
      <c r="Q142" s="46">
        <f t="shared" si="44"/>
        <v>0.78134314910657565</v>
      </c>
      <c r="R142" s="46">
        <f t="shared" si="44"/>
        <v>0.7987416860399994</v>
      </c>
      <c r="S142" s="46">
        <f t="shared" si="44"/>
        <v>0.82056667824374163</v>
      </c>
      <c r="T142" s="46">
        <f t="shared" si="44"/>
        <v>0.79048559275193242</v>
      </c>
      <c r="U142" s="46">
        <f t="shared" si="44"/>
        <v>0.78893380005605485</v>
      </c>
      <c r="V142" s="46">
        <f t="shared" si="44"/>
        <v>0.76480865071543036</v>
      </c>
      <c r="W142" s="46">
        <f t="shared" ref="W142:Y142" si="45">IF(W18=0,0,W18/W$17)</f>
        <v>0.72916616565082348</v>
      </c>
      <c r="X142" s="46">
        <f t="shared" si="45"/>
        <v>0.71727203894455827</v>
      </c>
      <c r="Y142" s="46">
        <f t="shared" si="45"/>
        <v>0.72866565976877473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3.889611923035291E-2</v>
      </c>
      <c r="C143" s="154">
        <f t="shared" si="46"/>
        <v>3.8568958245296409E-2</v>
      </c>
      <c r="D143" s="154">
        <f t="shared" si="46"/>
        <v>3.7161359596443004E-2</v>
      </c>
      <c r="E143" s="154">
        <f t="shared" si="46"/>
        <v>3.7359985712006286E-2</v>
      </c>
      <c r="F143" s="154">
        <f t="shared" si="46"/>
        <v>3.7547237859794635E-2</v>
      </c>
      <c r="G143" s="154">
        <f t="shared" si="46"/>
        <v>3.7777118491266734E-2</v>
      </c>
      <c r="H143" s="154">
        <f t="shared" si="46"/>
        <v>3.517775490621966E-2</v>
      </c>
      <c r="I143" s="154">
        <f t="shared" si="46"/>
        <v>3.0729219619714726E-2</v>
      </c>
      <c r="J143" s="154">
        <f t="shared" si="46"/>
        <v>3.3312796221691934E-2</v>
      </c>
      <c r="K143" s="154">
        <f t="shared" si="46"/>
        <v>3.1493219312059909E-2</v>
      </c>
      <c r="L143" s="154">
        <f t="shared" ref="L143" si="47">IF(L19=0,0,L19/L$17)</f>
        <v>3.2253014625194532E-2</v>
      </c>
      <c r="M143" s="154">
        <f t="shared" ref="M143:V143" si="48">IF(M19=0,0,M19/M$17)</f>
        <v>3.2923734803867399E-2</v>
      </c>
      <c r="N143" s="154">
        <f t="shared" si="48"/>
        <v>3.3351653990310592E-2</v>
      </c>
      <c r="O143" s="154">
        <f t="shared" si="48"/>
        <v>3.2785112516236566E-2</v>
      </c>
      <c r="P143" s="154">
        <f t="shared" si="48"/>
        <v>3.1533047249239297E-2</v>
      </c>
      <c r="Q143" s="154">
        <f t="shared" si="48"/>
        <v>3.1728805824393316E-2</v>
      </c>
      <c r="R143" s="154">
        <f t="shared" si="48"/>
        <v>3.2816878845819734E-2</v>
      </c>
      <c r="S143" s="154">
        <f t="shared" si="48"/>
        <v>3.1951821677210467E-2</v>
      </c>
      <c r="T143" s="154">
        <f t="shared" si="48"/>
        <v>2.9216315921392597E-2</v>
      </c>
      <c r="U143" s="154">
        <f t="shared" si="48"/>
        <v>3.1218188879502475E-2</v>
      </c>
      <c r="V143" s="154">
        <f t="shared" si="48"/>
        <v>3.3389811285210895E-2</v>
      </c>
      <c r="W143" s="154">
        <f t="shared" ref="W143:Y143" si="49">IF(W19=0,0,W19/W$17)</f>
        <v>2.9461861397977889E-2</v>
      </c>
      <c r="X143" s="154">
        <f t="shared" si="49"/>
        <v>2.8311035076068688E-2</v>
      </c>
      <c r="Y143" s="154">
        <f t="shared" si="49"/>
        <v>3.0255696429241065E-2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0.63721949425625068</v>
      </c>
      <c r="C144" s="156">
        <f t="shared" si="50"/>
        <v>0.62963952780362731</v>
      </c>
      <c r="D144" s="156">
        <f t="shared" si="50"/>
        <v>0.63706471157441535</v>
      </c>
      <c r="E144" s="156">
        <f t="shared" si="50"/>
        <v>0.63112730320197796</v>
      </c>
      <c r="F144" s="156">
        <f t="shared" si="50"/>
        <v>0.62315957364637342</v>
      </c>
      <c r="G144" s="156">
        <f t="shared" si="50"/>
        <v>0.60007311548291098</v>
      </c>
      <c r="H144" s="156">
        <f t="shared" si="50"/>
        <v>0.61797564246643966</v>
      </c>
      <c r="I144" s="156">
        <f t="shared" si="50"/>
        <v>0.61588179723503178</v>
      </c>
      <c r="J144" s="156">
        <f t="shared" si="50"/>
        <v>0.62982005109981598</v>
      </c>
      <c r="K144" s="156">
        <f t="shared" si="50"/>
        <v>0.65193908738871753</v>
      </c>
      <c r="L144" s="156">
        <f t="shared" ref="L144" si="51">IF(L21=0,0,L21/L$17)</f>
        <v>0.63749629222650495</v>
      </c>
      <c r="M144" s="156">
        <f t="shared" ref="M144:V144" si="52">IF(M21=0,0,M21/M$17)</f>
        <v>0.62440008868305819</v>
      </c>
      <c r="N144" s="156">
        <f t="shared" si="52"/>
        <v>0.61459461838765028</v>
      </c>
      <c r="O144" s="156">
        <f t="shared" si="52"/>
        <v>0.65073615167134058</v>
      </c>
      <c r="P144" s="156">
        <f t="shared" si="52"/>
        <v>0.6636191746076231</v>
      </c>
      <c r="Q144" s="156">
        <f t="shared" si="52"/>
        <v>0.68175901100338443</v>
      </c>
      <c r="R144" s="156">
        <f t="shared" si="52"/>
        <v>0.69738875143976309</v>
      </c>
      <c r="S144" s="156">
        <f t="shared" si="52"/>
        <v>0.71662388163008039</v>
      </c>
      <c r="T144" s="156">
        <f t="shared" si="52"/>
        <v>0.69338920586536978</v>
      </c>
      <c r="U144" s="156">
        <f t="shared" si="52"/>
        <v>0.68781994522740331</v>
      </c>
      <c r="V144" s="156">
        <f t="shared" si="52"/>
        <v>0.64783422290249038</v>
      </c>
      <c r="W144" s="156">
        <f t="shared" ref="W144:Y144" si="53">IF(W21=0,0,W21/W$17)</f>
        <v>0.62843286863836667</v>
      </c>
      <c r="X144" s="156">
        <f t="shared" si="53"/>
        <v>0.62401457448823905</v>
      </c>
      <c r="Y144" s="156">
        <f t="shared" si="53"/>
        <v>0.63598756175640525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0.42908151626218732</v>
      </c>
      <c r="C145" s="103">
        <f t="shared" si="54"/>
        <v>0.41154702512886271</v>
      </c>
      <c r="D145" s="103">
        <f t="shared" si="54"/>
        <v>0.39459856523893755</v>
      </c>
      <c r="E145" s="103">
        <f t="shared" si="54"/>
        <v>0.37728397151532139</v>
      </c>
      <c r="F145" s="103">
        <f t="shared" si="54"/>
        <v>0.34279138644838386</v>
      </c>
      <c r="G145" s="103">
        <f t="shared" si="54"/>
        <v>0.32013438413584933</v>
      </c>
      <c r="H145" s="103">
        <f t="shared" si="54"/>
        <v>0.2979011241927948</v>
      </c>
      <c r="I145" s="103">
        <f t="shared" si="54"/>
        <v>0.28013520625832428</v>
      </c>
      <c r="J145" s="103">
        <f t="shared" si="54"/>
        <v>0.26742603813155319</v>
      </c>
      <c r="K145" s="103">
        <f t="shared" si="54"/>
        <v>0.26695847014893087</v>
      </c>
      <c r="L145" s="103">
        <f t="shared" ref="L145" si="55">IF(L22=0,0,L22/L$17)</f>
        <v>0.25270864407949212</v>
      </c>
      <c r="M145" s="103">
        <f t="shared" ref="M145:V145" si="56">IF(M22=0,0,M22/M$17)</f>
        <v>0.2420025612538293</v>
      </c>
      <c r="N145" s="103">
        <f t="shared" si="56"/>
        <v>0.22527983135989268</v>
      </c>
      <c r="O145" s="103">
        <f t="shared" si="56"/>
        <v>0.21946962406355436</v>
      </c>
      <c r="P145" s="103">
        <f t="shared" si="56"/>
        <v>0.21124661929287514</v>
      </c>
      <c r="Q145" s="103">
        <f t="shared" si="56"/>
        <v>0.20768246026444306</v>
      </c>
      <c r="R145" s="103">
        <f t="shared" si="56"/>
        <v>0.19526052197059379</v>
      </c>
      <c r="S145" s="103">
        <f t="shared" si="56"/>
        <v>0.19895832832011198</v>
      </c>
      <c r="T145" s="103">
        <f t="shared" si="56"/>
        <v>0.19999060614060832</v>
      </c>
      <c r="U145" s="103">
        <f t="shared" si="56"/>
        <v>0.1976930823331518</v>
      </c>
      <c r="V145" s="103">
        <f t="shared" si="56"/>
        <v>0.18678487600556204</v>
      </c>
      <c r="W145" s="103">
        <f t="shared" ref="W145:Y145" si="57">IF(W22=0,0,W22/W$17)</f>
        <v>0.19138187473612717</v>
      </c>
      <c r="X145" s="103">
        <f t="shared" si="57"/>
        <v>0.20770079900207511</v>
      </c>
      <c r="Y145" s="103">
        <f t="shared" si="57"/>
        <v>0.2136334685852497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0.15766084450774148</v>
      </c>
      <c r="C146" s="103">
        <f t="shared" si="58"/>
        <v>0.16843417801819707</v>
      </c>
      <c r="D146" s="103">
        <f t="shared" si="58"/>
        <v>0.19612805487746701</v>
      </c>
      <c r="E146" s="103">
        <f t="shared" si="58"/>
        <v>0.21064127624292667</v>
      </c>
      <c r="F146" s="103">
        <f t="shared" si="58"/>
        <v>0.24135616132480189</v>
      </c>
      <c r="G146" s="103">
        <f t="shared" si="58"/>
        <v>0.24214685985669837</v>
      </c>
      <c r="H146" s="103">
        <f t="shared" si="58"/>
        <v>0.28242827908255086</v>
      </c>
      <c r="I146" s="103">
        <f t="shared" si="58"/>
        <v>0.2985767803278031</v>
      </c>
      <c r="J146" s="103">
        <f t="shared" si="58"/>
        <v>0.32097847294702037</v>
      </c>
      <c r="K146" s="103">
        <f t="shared" si="58"/>
        <v>0.33819468555944959</v>
      </c>
      <c r="L146" s="103">
        <f t="shared" ref="L146" si="59">IF(L24=0,0,L24/L$17)</f>
        <v>0.33210730258348659</v>
      </c>
      <c r="M146" s="103">
        <f t="shared" ref="M146:V146" si="60">IF(M24=0,0,M24/M$17)</f>
        <v>0.32814108438992484</v>
      </c>
      <c r="N146" s="103">
        <f t="shared" si="60"/>
        <v>0.32922758535225111</v>
      </c>
      <c r="O146" s="103">
        <f t="shared" si="60"/>
        <v>0.36215370340777031</v>
      </c>
      <c r="P146" s="103">
        <f t="shared" si="60"/>
        <v>0.38309477006665971</v>
      </c>
      <c r="Q146" s="103">
        <f t="shared" si="60"/>
        <v>0.39939626258715072</v>
      </c>
      <c r="R146" s="103">
        <f t="shared" si="60"/>
        <v>0.42695673148375107</v>
      </c>
      <c r="S146" s="103">
        <f t="shared" si="60"/>
        <v>0.43862605994335302</v>
      </c>
      <c r="T146" s="103">
        <f t="shared" si="60"/>
        <v>0.42026277094707487</v>
      </c>
      <c r="U146" s="103">
        <f t="shared" si="60"/>
        <v>0.41245465431928774</v>
      </c>
      <c r="V146" s="103">
        <f t="shared" si="60"/>
        <v>0.38489026354509498</v>
      </c>
      <c r="W146" s="103">
        <f t="shared" ref="W146:Y146" si="61">IF(W24=0,0,W24/W$17)</f>
        <v>0.36932962823459081</v>
      </c>
      <c r="X146" s="103">
        <f t="shared" si="61"/>
        <v>0.34974352505767736</v>
      </c>
      <c r="Y146" s="103">
        <f t="shared" si="61"/>
        <v>0.35543811079163712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4.205419287078465E-2</v>
      </c>
      <c r="C147" s="103">
        <f t="shared" si="62"/>
        <v>4.0329381350933634E-2</v>
      </c>
      <c r="D147" s="103">
        <f t="shared" si="62"/>
        <v>3.736805355869037E-2</v>
      </c>
      <c r="E147" s="103">
        <f t="shared" si="62"/>
        <v>3.4263734874544684E-2</v>
      </c>
      <c r="F147" s="103">
        <f t="shared" si="62"/>
        <v>3.0554442837578317E-2</v>
      </c>
      <c r="G147" s="103">
        <f t="shared" si="62"/>
        <v>2.8709274047154169E-2</v>
      </c>
      <c r="H147" s="103">
        <f t="shared" si="62"/>
        <v>2.730022892310726E-2</v>
      </c>
      <c r="I147" s="103">
        <f t="shared" si="62"/>
        <v>2.5940867461667887E-2</v>
      </c>
      <c r="J147" s="103">
        <f t="shared" si="62"/>
        <v>2.8825001984879309E-2</v>
      </c>
      <c r="K147" s="103">
        <f t="shared" si="62"/>
        <v>3.2449107595258167E-2</v>
      </c>
      <c r="L147" s="103">
        <f t="shared" ref="L147" si="63">IF(L26=0,0,L26/L$17)</f>
        <v>3.6411264577607627E-2</v>
      </c>
      <c r="M147" s="103">
        <f t="shared" ref="M147:V147" si="64">IF(M26=0,0,M26/M$17)</f>
        <v>3.8041774337767439E-2</v>
      </c>
      <c r="N147" s="103">
        <f t="shared" si="64"/>
        <v>4.3102638706313798E-2</v>
      </c>
      <c r="O147" s="103">
        <f t="shared" si="64"/>
        <v>5.0285922081194784E-2</v>
      </c>
      <c r="P147" s="103">
        <f t="shared" si="64"/>
        <v>4.9023247638533857E-2</v>
      </c>
      <c r="Q147" s="103">
        <f t="shared" si="64"/>
        <v>5.2958000784183813E-2</v>
      </c>
      <c r="R147" s="103">
        <f t="shared" si="64"/>
        <v>5.2182361671661216E-2</v>
      </c>
      <c r="S147" s="103">
        <f t="shared" si="64"/>
        <v>5.6748762872882608E-2</v>
      </c>
      <c r="T147" s="103">
        <f t="shared" si="64"/>
        <v>5.2996369988688688E-2</v>
      </c>
      <c r="U147" s="103">
        <f t="shared" si="64"/>
        <v>5.3693864534704379E-2</v>
      </c>
      <c r="V147" s="103">
        <f t="shared" si="64"/>
        <v>5.1931921645227808E-2</v>
      </c>
      <c r="W147" s="103">
        <f t="shared" ref="W147:Y147" si="65">IF(W26=0,0,W26/W$17)</f>
        <v>4.5974478686441202E-2</v>
      </c>
      <c r="X147" s="103">
        <f t="shared" si="65"/>
        <v>4.8188243079105353E-2</v>
      </c>
      <c r="Y147" s="103">
        <f t="shared" si="65"/>
        <v>4.8248692758914934E-2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8.4229406155371771E-3</v>
      </c>
      <c r="C148" s="103">
        <f t="shared" si="66"/>
        <v>9.3289433056339601E-3</v>
      </c>
      <c r="D148" s="103">
        <f t="shared" si="66"/>
        <v>8.9700378993205019E-3</v>
      </c>
      <c r="E148" s="103">
        <f t="shared" si="66"/>
        <v>8.9383205691851309E-3</v>
      </c>
      <c r="F148" s="103">
        <f t="shared" si="66"/>
        <v>8.4575830356093586E-3</v>
      </c>
      <c r="G148" s="103">
        <f t="shared" si="66"/>
        <v>9.0825974432091165E-3</v>
      </c>
      <c r="H148" s="103">
        <f t="shared" si="66"/>
        <v>1.0346010267986774E-2</v>
      </c>
      <c r="I148" s="103">
        <f t="shared" si="66"/>
        <v>1.1228943187236426E-2</v>
      </c>
      <c r="J148" s="103">
        <f t="shared" si="66"/>
        <v>1.259053803636309E-2</v>
      </c>
      <c r="K148" s="103">
        <f t="shared" si="66"/>
        <v>1.4336824085078879E-2</v>
      </c>
      <c r="L148" s="103">
        <f t="shared" ref="L148" si="67">IF(L27=0,0,L27/L$17)</f>
        <v>1.6248933542994975E-2</v>
      </c>
      <c r="M148" s="103">
        <f t="shared" ref="M148:V148" si="68">IF(M27=0,0,M27/M$17)</f>
        <v>1.6165513055898119E-2</v>
      </c>
      <c r="N148" s="103">
        <f t="shared" si="68"/>
        <v>1.6929154223305067E-2</v>
      </c>
      <c r="O148" s="103">
        <f t="shared" si="68"/>
        <v>1.8606249671201669E-2</v>
      </c>
      <c r="P148" s="103">
        <f t="shared" si="68"/>
        <v>1.9767741120663311E-2</v>
      </c>
      <c r="Q148" s="103">
        <f t="shared" si="68"/>
        <v>2.1199330192440462E-2</v>
      </c>
      <c r="R148" s="103">
        <f t="shared" si="68"/>
        <v>2.246695098567169E-2</v>
      </c>
      <c r="S148" s="103">
        <f t="shared" si="68"/>
        <v>2.1670702489789213E-2</v>
      </c>
      <c r="T148" s="103">
        <f t="shared" si="68"/>
        <v>1.9446853600692302E-2</v>
      </c>
      <c r="U148" s="103">
        <f t="shared" si="68"/>
        <v>2.3168843064990886E-2</v>
      </c>
      <c r="V148" s="103">
        <f t="shared" si="68"/>
        <v>2.2980241498658297E-2</v>
      </c>
      <c r="W148" s="103">
        <f t="shared" ref="W148:Y148" si="69">IF(W27=0,0,W27/W$17)</f>
        <v>1.9678751906683216E-2</v>
      </c>
      <c r="X148" s="103">
        <f t="shared" si="69"/>
        <v>1.5789362726903181E-2</v>
      </c>
      <c r="Y148" s="103">
        <f t="shared" si="69"/>
        <v>1.5588677228759923E-2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0</v>
      </c>
      <c r="N149" s="103">
        <f t="shared" si="72"/>
        <v>1.3143437665052541E-6</v>
      </c>
      <c r="O149" s="103">
        <f t="shared" si="72"/>
        <v>1.6091712225910058E-4</v>
      </c>
      <c r="P149" s="103">
        <f t="shared" si="72"/>
        <v>4.241125666228536E-4</v>
      </c>
      <c r="Q149" s="103">
        <f t="shared" si="72"/>
        <v>4.5249063429529912E-4</v>
      </c>
      <c r="R149" s="103">
        <f t="shared" si="72"/>
        <v>4.4427366358205613E-4</v>
      </c>
      <c r="S149" s="103">
        <f t="shared" si="72"/>
        <v>5.2934466643944861E-4</v>
      </c>
      <c r="T149" s="103">
        <f t="shared" si="72"/>
        <v>5.7879976168709378E-4</v>
      </c>
      <c r="U149" s="103">
        <f t="shared" si="72"/>
        <v>6.2447125890863165E-4</v>
      </c>
      <c r="V149" s="103">
        <f t="shared" si="72"/>
        <v>8.410726107985078E-4</v>
      </c>
      <c r="W149" s="103">
        <f t="shared" ref="W149:Y149" si="73">IF(W29=0,0,W29/W$17)</f>
        <v>1.2645937428898662E-3</v>
      </c>
      <c r="X149" s="103">
        <f t="shared" si="73"/>
        <v>1.7576485528368036E-3</v>
      </c>
      <c r="Y149" s="103">
        <f t="shared" si="73"/>
        <v>2.2351480444457146E-3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0</v>
      </c>
      <c r="J150" s="103">
        <f t="shared" si="74"/>
        <v>0</v>
      </c>
      <c r="K150" s="103">
        <f t="shared" si="74"/>
        <v>0</v>
      </c>
      <c r="L150" s="103">
        <f t="shared" ref="L150" si="75">IF(L32=0,0,L32/L$17)</f>
        <v>2.0147442923683755E-5</v>
      </c>
      <c r="M150" s="103">
        <f t="shared" ref="M150:V150" si="76">IF(M32=0,0,M32/M$17)</f>
        <v>4.9155645638498678E-5</v>
      </c>
      <c r="N150" s="103">
        <f t="shared" si="76"/>
        <v>5.4094402121074178E-5</v>
      </c>
      <c r="O150" s="103">
        <f t="shared" si="76"/>
        <v>5.9735325360243491E-5</v>
      </c>
      <c r="P150" s="103">
        <f t="shared" si="76"/>
        <v>6.2683922268316183E-5</v>
      </c>
      <c r="Q150" s="103">
        <f t="shared" si="76"/>
        <v>7.0466540871145193E-5</v>
      </c>
      <c r="R150" s="103">
        <f t="shared" si="76"/>
        <v>7.7911664503273214E-5</v>
      </c>
      <c r="S150" s="103">
        <f t="shared" si="76"/>
        <v>9.0683337504128756E-5</v>
      </c>
      <c r="T150" s="103">
        <f t="shared" si="76"/>
        <v>1.1380542661851266E-4</v>
      </c>
      <c r="U150" s="103">
        <f t="shared" si="76"/>
        <v>1.8502971635979773E-4</v>
      </c>
      <c r="V150" s="103">
        <f t="shared" si="76"/>
        <v>4.0584759714887612E-4</v>
      </c>
      <c r="W150" s="103">
        <f t="shared" ref="W150:Y150" si="77">IF(W32=0,0,W32/W$17)</f>
        <v>8.0354133163440848E-4</v>
      </c>
      <c r="X150" s="103">
        <f t="shared" si="77"/>
        <v>8.3499606964137379E-4</v>
      </c>
      <c r="Y150" s="103">
        <f t="shared" si="77"/>
        <v>8.4346434739792763E-4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5.7619307264497606E-2</v>
      </c>
      <c r="C151" s="156">
        <f t="shared" si="78"/>
        <v>5.675795603274577E-2</v>
      </c>
      <c r="D151" s="156">
        <f t="shared" si="78"/>
        <v>5.612224231003634E-2</v>
      </c>
      <c r="E151" s="156">
        <f t="shared" si="78"/>
        <v>5.5961588715601265E-2</v>
      </c>
      <c r="F151" s="156">
        <f t="shared" si="78"/>
        <v>5.5119724733805199E-2</v>
      </c>
      <c r="G151" s="156">
        <f t="shared" si="78"/>
        <v>5.5867048672999013E-2</v>
      </c>
      <c r="H151" s="156">
        <f t="shared" si="78"/>
        <v>5.5923083245769348E-2</v>
      </c>
      <c r="I151" s="156">
        <f t="shared" si="78"/>
        <v>5.5628387372483573E-2</v>
      </c>
      <c r="J151" s="156">
        <f t="shared" si="78"/>
        <v>5.8594024159530217E-2</v>
      </c>
      <c r="K151" s="156">
        <f t="shared" si="78"/>
        <v>6.028992850946728E-2</v>
      </c>
      <c r="L151" s="156">
        <f t="shared" ref="L151" si="79">IF(L33=0,0,L33/L$17)</f>
        <v>6.2165153793795308E-2</v>
      </c>
      <c r="M151" s="156">
        <f t="shared" ref="M151:V151" si="80">IF(M33=0,0,M33/M$17)</f>
        <v>6.410176873276828E-2</v>
      </c>
      <c r="N151" s="156">
        <f t="shared" si="80"/>
        <v>6.561753275497112E-2</v>
      </c>
      <c r="O151" s="156">
        <f t="shared" si="80"/>
        <v>6.7303989741612405E-2</v>
      </c>
      <c r="P151" s="156">
        <f t="shared" si="80"/>
        <v>6.4875710066524012E-2</v>
      </c>
      <c r="Q151" s="156">
        <f t="shared" si="80"/>
        <v>6.7855332278797975E-2</v>
      </c>
      <c r="R151" s="156">
        <f t="shared" si="80"/>
        <v>6.8536055754416569E-2</v>
      </c>
      <c r="S151" s="156">
        <f t="shared" si="80"/>
        <v>7.1990974936450777E-2</v>
      </c>
      <c r="T151" s="156">
        <f t="shared" si="80"/>
        <v>6.7880070965170083E-2</v>
      </c>
      <c r="U151" s="156">
        <f t="shared" si="80"/>
        <v>6.9895665949149047E-2</v>
      </c>
      <c r="V151" s="156">
        <f t="shared" si="80"/>
        <v>8.3584616527728889E-2</v>
      </c>
      <c r="W151" s="156">
        <f t="shared" ref="W151:Y151" si="81">IF(W33=0,0,W33/W$17)</f>
        <v>7.1271435614478948E-2</v>
      </c>
      <c r="X151" s="156">
        <f t="shared" si="81"/>
        <v>6.4946429380250553E-2</v>
      </c>
      <c r="Y151" s="156">
        <f t="shared" si="81"/>
        <v>6.242240158312843E-2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4.8852441294380459E-5</v>
      </c>
      <c r="C152" s="103">
        <f t="shared" si="82"/>
        <v>4.3028109601655959E-5</v>
      </c>
      <c r="D152" s="103">
        <f t="shared" si="82"/>
        <v>3.9764470270053666E-5</v>
      </c>
      <c r="E152" s="103">
        <f t="shared" si="82"/>
        <v>3.1818707431313608E-5</v>
      </c>
      <c r="F152" s="103">
        <f t="shared" si="82"/>
        <v>2.6857497856988973E-5</v>
      </c>
      <c r="G152" s="103">
        <f t="shared" si="82"/>
        <v>2.5787275737597793E-5</v>
      </c>
      <c r="H152" s="103">
        <f t="shared" si="82"/>
        <v>2.4099147481413645E-5</v>
      </c>
      <c r="I152" s="103">
        <f t="shared" si="82"/>
        <v>2.2274923149092478E-5</v>
      </c>
      <c r="J152" s="103">
        <f t="shared" si="82"/>
        <v>2.3440572496568624E-5</v>
      </c>
      <c r="K152" s="103">
        <f t="shared" si="82"/>
        <v>2.5699666430817983E-5</v>
      </c>
      <c r="L152" s="103">
        <f t="shared" ref="L152" si="83">IF(L34=0,0,L34/L$17)</f>
        <v>2.6401185694056991E-5</v>
      </c>
      <c r="M152" s="103">
        <f t="shared" ref="M152:V152" si="84">IF(M34=0,0,M34/M$17)</f>
        <v>2.6066333888970634E-5</v>
      </c>
      <c r="N152" s="103">
        <f t="shared" si="84"/>
        <v>2.7263878411809355E-5</v>
      </c>
      <c r="O152" s="103">
        <f t="shared" si="84"/>
        <v>4.7409745759647998E-5</v>
      </c>
      <c r="P152" s="103">
        <f t="shared" si="84"/>
        <v>2.6454229247918023E-5</v>
      </c>
      <c r="Q152" s="103">
        <f t="shared" si="84"/>
        <v>2.671707450123024E-5</v>
      </c>
      <c r="R152" s="103">
        <f t="shared" si="84"/>
        <v>2.6181218984040247E-5</v>
      </c>
      <c r="S152" s="103">
        <f t="shared" si="84"/>
        <v>2.5805349995815103E-5</v>
      </c>
      <c r="T152" s="103">
        <f t="shared" si="84"/>
        <v>2.3456064327249006E-5</v>
      </c>
      <c r="U152" s="103">
        <f t="shared" si="84"/>
        <v>4.0776142126527226E-5</v>
      </c>
      <c r="V152" s="103">
        <f t="shared" si="84"/>
        <v>4.8446626624176548E-5</v>
      </c>
      <c r="W152" s="103">
        <f t="shared" ref="W152:Y152" si="85">IF(W34=0,0,W34/W$17)</f>
        <v>3.791337297663663E-5</v>
      </c>
      <c r="X152" s="103">
        <f t="shared" si="85"/>
        <v>3.5098052649411044E-5</v>
      </c>
      <c r="Y152" s="103">
        <f t="shared" si="85"/>
        <v>3.3723269996489022E-5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5.7502319551743938E-2</v>
      </c>
      <c r="C153" s="103">
        <f t="shared" si="86"/>
        <v>5.6647967212937023E-2</v>
      </c>
      <c r="D153" s="103">
        <f t="shared" si="86"/>
        <v>5.6024057404430658E-2</v>
      </c>
      <c r="E153" s="103">
        <f t="shared" si="86"/>
        <v>5.5850512447196861E-2</v>
      </c>
      <c r="F153" s="103">
        <f t="shared" si="86"/>
        <v>5.4999578975765955E-2</v>
      </c>
      <c r="G153" s="103">
        <f t="shared" si="86"/>
        <v>5.5700992647604641E-2</v>
      </c>
      <c r="H153" s="103">
        <f t="shared" si="86"/>
        <v>5.5709885546332535E-2</v>
      </c>
      <c r="I153" s="103">
        <f t="shared" si="86"/>
        <v>5.5077059634693122E-2</v>
      </c>
      <c r="J153" s="103">
        <f t="shared" si="86"/>
        <v>5.7364300763329198E-2</v>
      </c>
      <c r="K153" s="103">
        <f t="shared" si="86"/>
        <v>5.9171490835578516E-2</v>
      </c>
      <c r="L153" s="103">
        <f t="shared" ref="L153" si="87">IF(L36=0,0,L36/L$17)</f>
        <v>6.0907412771583291E-2</v>
      </c>
      <c r="M153" s="103">
        <f t="shared" ref="M153:V153" si="88">IF(M36=0,0,M36/M$17)</f>
        <v>6.1908882532929498E-2</v>
      </c>
      <c r="N153" s="103">
        <f t="shared" si="88"/>
        <v>6.2685266780026103E-2</v>
      </c>
      <c r="O153" s="103">
        <f t="shared" si="88"/>
        <v>6.3830617995486463E-2</v>
      </c>
      <c r="P153" s="103">
        <f t="shared" si="88"/>
        <v>6.2102542901461416E-2</v>
      </c>
      <c r="Q153" s="103">
        <f t="shared" si="88"/>
        <v>6.4927988340057183E-2</v>
      </c>
      <c r="R153" s="103">
        <f t="shared" si="88"/>
        <v>6.6681865678806171E-2</v>
      </c>
      <c r="S153" s="103">
        <f t="shared" si="88"/>
        <v>6.9501549837416479E-2</v>
      </c>
      <c r="T153" s="103">
        <f t="shared" si="88"/>
        <v>6.3553352744675828E-2</v>
      </c>
      <c r="U153" s="103">
        <f t="shared" si="88"/>
        <v>6.7027672221564347E-2</v>
      </c>
      <c r="V153" s="103">
        <f t="shared" si="88"/>
        <v>8.1575930075803688E-2</v>
      </c>
      <c r="W153" s="103">
        <f t="shared" ref="W153:Y153" si="89">IF(W36=0,0,W36/W$17)</f>
        <v>6.645193661911547E-2</v>
      </c>
      <c r="X153" s="103">
        <f t="shared" si="89"/>
        <v>6.29007074751224E-2</v>
      </c>
      <c r="Y153" s="103">
        <f t="shared" si="89"/>
        <v>6.0796457547114977E-2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2.5335983512077922E-5</v>
      </c>
      <c r="C154" s="103">
        <f t="shared" si="90"/>
        <v>2.7689109161508553E-5</v>
      </c>
      <c r="D154" s="103">
        <f t="shared" si="90"/>
        <v>2.571511023424618E-5</v>
      </c>
      <c r="E154" s="103">
        <f t="shared" si="90"/>
        <v>2.9583438631311863E-5</v>
      </c>
      <c r="F154" s="103">
        <f t="shared" si="90"/>
        <v>4.4517560255451076E-5</v>
      </c>
      <c r="G154" s="103">
        <f t="shared" si="90"/>
        <v>6.4880105540314758E-5</v>
      </c>
      <c r="H154" s="103">
        <f t="shared" si="90"/>
        <v>7.2538096009926791E-5</v>
      </c>
      <c r="I154" s="103">
        <f t="shared" si="90"/>
        <v>8.6360101554718431E-5</v>
      </c>
      <c r="J154" s="103">
        <f t="shared" si="90"/>
        <v>1.078141336649607E-4</v>
      </c>
      <c r="K154" s="103">
        <f t="shared" si="90"/>
        <v>1.5324315273915686E-4</v>
      </c>
      <c r="L154" s="103">
        <f t="shared" ref="L154" si="91">IF(L38=0,0,L38/L$17)</f>
        <v>1.5993926783779735E-4</v>
      </c>
      <c r="M154" s="103">
        <f t="shared" ref="M154:V154" si="92">IF(M38=0,0,M38/M$17)</f>
        <v>1.5548507472649411E-4</v>
      </c>
      <c r="N154" s="103">
        <f t="shared" si="92"/>
        <v>1.5450131517962703E-4</v>
      </c>
      <c r="O154" s="103">
        <f t="shared" si="92"/>
        <v>1.5324890456904313E-4</v>
      </c>
      <c r="P154" s="103">
        <f t="shared" si="92"/>
        <v>1.4124668137163602E-4</v>
      </c>
      <c r="Q154" s="103">
        <f t="shared" si="92"/>
        <v>1.4486503534532954E-4</v>
      </c>
      <c r="R154" s="103">
        <f t="shared" si="92"/>
        <v>1.3838172714717367E-4</v>
      </c>
      <c r="S154" s="103">
        <f t="shared" si="92"/>
        <v>1.3554394038778033E-4</v>
      </c>
      <c r="T154" s="103">
        <f t="shared" si="92"/>
        <v>1.2263648799621028E-4</v>
      </c>
      <c r="U154" s="103">
        <f t="shared" si="92"/>
        <v>1.2007745098293234E-4</v>
      </c>
      <c r="V154" s="103">
        <f t="shared" si="92"/>
        <v>1.4726404515731504E-4</v>
      </c>
      <c r="W154" s="103">
        <f t="shared" ref="W154:Y154" si="93">IF(W38=0,0,W38/W$17)</f>
        <v>1.1097738534957379E-4</v>
      </c>
      <c r="X154" s="103">
        <f t="shared" si="93"/>
        <v>8.9339814836272708E-5</v>
      </c>
      <c r="Y154" s="103">
        <f t="shared" si="93"/>
        <v>7.2968298757553388E-5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4.2799287947199092E-5</v>
      </c>
      <c r="C155" s="103">
        <f t="shared" si="94"/>
        <v>3.9271601045575808E-5</v>
      </c>
      <c r="D155" s="103">
        <f t="shared" si="94"/>
        <v>3.2705325101374897E-5</v>
      </c>
      <c r="E155" s="103">
        <f t="shared" si="94"/>
        <v>4.9674122341776906E-5</v>
      </c>
      <c r="F155" s="103">
        <f t="shared" si="94"/>
        <v>4.8770699926801361E-5</v>
      </c>
      <c r="G155" s="103">
        <f t="shared" si="94"/>
        <v>7.5388644116467199E-5</v>
      </c>
      <c r="H155" s="103">
        <f t="shared" si="94"/>
        <v>1.1656045594547869E-4</v>
      </c>
      <c r="I155" s="103">
        <f t="shared" si="94"/>
        <v>4.4269271308663494E-4</v>
      </c>
      <c r="J155" s="103">
        <f t="shared" si="94"/>
        <v>1.0984686900394813E-3</v>
      </c>
      <c r="K155" s="103">
        <f t="shared" si="94"/>
        <v>9.3949485471878536E-4</v>
      </c>
      <c r="L155" s="103">
        <f t="shared" ref="L155" si="95">IF(L39=0,0,L39/L$17)</f>
        <v>1.0714005686801604E-3</v>
      </c>
      <c r="M155" s="103">
        <f t="shared" ref="M155:V155" si="96">IF(M39=0,0,M39/M$17)</f>
        <v>2.0113347912233174E-3</v>
      </c>
      <c r="N155" s="103">
        <f t="shared" si="96"/>
        <v>2.7505007813535733E-3</v>
      </c>
      <c r="O155" s="103">
        <f t="shared" si="96"/>
        <v>3.0970409227802807E-3</v>
      </c>
      <c r="P155" s="103">
        <f t="shared" si="96"/>
        <v>2.4372909316744155E-3</v>
      </c>
      <c r="Q155" s="103">
        <f t="shared" si="96"/>
        <v>2.5838578926473915E-3</v>
      </c>
      <c r="R155" s="103">
        <f t="shared" si="96"/>
        <v>1.5134749640373223E-3</v>
      </c>
      <c r="S155" s="103">
        <f t="shared" si="96"/>
        <v>2.1384988109982941E-3</v>
      </c>
      <c r="T155" s="103">
        <f t="shared" si="96"/>
        <v>4.0106649397785681E-3</v>
      </c>
      <c r="U155" s="103">
        <f t="shared" si="96"/>
        <v>2.5241978778500328E-3</v>
      </c>
      <c r="V155" s="103">
        <f t="shared" si="96"/>
        <v>1.5716321240466153E-3</v>
      </c>
      <c r="W155" s="103">
        <f t="shared" ref="W155:Y155" si="97">IF(W39=0,0,W39/W$17)</f>
        <v>4.4324327921507114E-3</v>
      </c>
      <c r="X155" s="103">
        <f t="shared" si="97"/>
        <v>1.671037048041804E-3</v>
      </c>
      <c r="Y155" s="103">
        <f t="shared" si="97"/>
        <v>1.1577332267543156E-3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0</v>
      </c>
      <c r="C156" s="103">
        <f t="shared" si="98"/>
        <v>0</v>
      </c>
      <c r="D156" s="103">
        <f t="shared" si="98"/>
        <v>0</v>
      </c>
      <c r="E156" s="103">
        <f t="shared" si="98"/>
        <v>0</v>
      </c>
      <c r="F156" s="103">
        <f t="shared" si="98"/>
        <v>0</v>
      </c>
      <c r="G156" s="103">
        <f t="shared" si="98"/>
        <v>0</v>
      </c>
      <c r="H156" s="103">
        <f t="shared" si="98"/>
        <v>0</v>
      </c>
      <c r="I156" s="103">
        <f t="shared" si="98"/>
        <v>0</v>
      </c>
      <c r="J156" s="103">
        <f t="shared" si="98"/>
        <v>0</v>
      </c>
      <c r="K156" s="103">
        <f t="shared" si="98"/>
        <v>0</v>
      </c>
      <c r="L156" s="103">
        <f t="shared" ref="L156" si="99">IF(L41=0,0,L41/L$17)</f>
        <v>0</v>
      </c>
      <c r="M156" s="103">
        <f t="shared" ref="M156:V156" si="100">IF(M41=0,0,M41/M$17)</f>
        <v>0</v>
      </c>
      <c r="N156" s="103">
        <f t="shared" si="100"/>
        <v>0</v>
      </c>
      <c r="O156" s="103">
        <f t="shared" si="100"/>
        <v>1.7567217301696746E-4</v>
      </c>
      <c r="P156" s="103">
        <f t="shared" si="100"/>
        <v>1.6817532276860886E-4</v>
      </c>
      <c r="Q156" s="103">
        <f t="shared" si="100"/>
        <v>1.7190393624684532E-4</v>
      </c>
      <c r="R156" s="103">
        <f t="shared" si="100"/>
        <v>1.7615216544185556E-4</v>
      </c>
      <c r="S156" s="103">
        <f t="shared" si="100"/>
        <v>1.8957699765239272E-4</v>
      </c>
      <c r="T156" s="103">
        <f t="shared" si="100"/>
        <v>1.6996072839222198E-4</v>
      </c>
      <c r="U156" s="103">
        <f t="shared" si="100"/>
        <v>1.8294225662520599E-4</v>
      </c>
      <c r="V156" s="103">
        <f t="shared" si="100"/>
        <v>2.4134365609709889E-4</v>
      </c>
      <c r="W156" s="103">
        <f t="shared" ref="W156:Y156" si="101">IF(W41=0,0,W41/W$17)</f>
        <v>2.3817544488656504E-4</v>
      </c>
      <c r="X156" s="103">
        <f t="shared" si="101"/>
        <v>2.502469896006668E-4</v>
      </c>
      <c r="Y156" s="103">
        <f t="shared" si="101"/>
        <v>3.615192405050823E-4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0.2662650792488987</v>
      </c>
      <c r="C157" s="46">
        <f t="shared" si="102"/>
        <v>0.27503355791833056</v>
      </c>
      <c r="D157" s="46">
        <f t="shared" si="102"/>
        <v>0.26965168651910515</v>
      </c>
      <c r="E157" s="46">
        <f t="shared" si="102"/>
        <v>0.27555112237041457</v>
      </c>
      <c r="F157" s="46">
        <f t="shared" si="102"/>
        <v>0.28417346376002667</v>
      </c>
      <c r="G157" s="46">
        <f t="shared" si="102"/>
        <v>0.3062827173528232</v>
      </c>
      <c r="H157" s="46">
        <f t="shared" si="102"/>
        <v>0.29092351938157129</v>
      </c>
      <c r="I157" s="46">
        <f t="shared" si="102"/>
        <v>0.29776059577276986</v>
      </c>
      <c r="J157" s="46">
        <f t="shared" si="102"/>
        <v>0.27827312851896191</v>
      </c>
      <c r="K157" s="46">
        <f t="shared" si="102"/>
        <v>0.25627776478975511</v>
      </c>
      <c r="L157" s="46">
        <f t="shared" ref="L157" si="103">IF(L42=0,0,L42/L$17)</f>
        <v>0.26808553935450508</v>
      </c>
      <c r="M157" s="46">
        <f t="shared" ref="M157:V157" si="104">IF(M42=0,0,M42/M$17)</f>
        <v>0.27857440778030607</v>
      </c>
      <c r="N157" s="46">
        <f t="shared" si="104"/>
        <v>0.28643619486706806</v>
      </c>
      <c r="O157" s="46">
        <f t="shared" si="104"/>
        <v>0.24917474607081061</v>
      </c>
      <c r="P157" s="46">
        <f t="shared" si="104"/>
        <v>0.23997206807661364</v>
      </c>
      <c r="Q157" s="46">
        <f t="shared" si="104"/>
        <v>0.21865685089342429</v>
      </c>
      <c r="R157" s="46">
        <f t="shared" si="104"/>
        <v>0.20125831396000071</v>
      </c>
      <c r="S157" s="46">
        <f t="shared" si="104"/>
        <v>0.17943332175625834</v>
      </c>
      <c r="T157" s="46">
        <f t="shared" si="104"/>
        <v>0.20951440724806766</v>
      </c>
      <c r="U157" s="46">
        <f t="shared" si="104"/>
        <v>0.21106619994394518</v>
      </c>
      <c r="V157" s="46">
        <f t="shared" si="104"/>
        <v>0.23519134928456972</v>
      </c>
      <c r="W157" s="46">
        <f t="shared" ref="W157:Y157" si="105">IF(W42=0,0,W42/W$17)</f>
        <v>0.27083383434917646</v>
      </c>
      <c r="X157" s="46">
        <f t="shared" si="105"/>
        <v>0.28272796105544168</v>
      </c>
      <c r="Y157" s="46">
        <f t="shared" si="105"/>
        <v>0.27133434023122532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0.19771429805393806</v>
      </c>
      <c r="C158" s="154">
        <f t="shared" si="106"/>
        <v>0.17515772875943614</v>
      </c>
      <c r="D158" s="154">
        <f t="shared" si="106"/>
        <v>0.17094724528710886</v>
      </c>
      <c r="E158" s="154">
        <f t="shared" si="106"/>
        <v>0.17949603757634519</v>
      </c>
      <c r="F158" s="154">
        <f t="shared" si="106"/>
        <v>0.18435816886687265</v>
      </c>
      <c r="G158" s="154">
        <f t="shared" si="106"/>
        <v>0.19979920859671424</v>
      </c>
      <c r="H158" s="154">
        <f t="shared" si="106"/>
        <v>0.17090632655633503</v>
      </c>
      <c r="I158" s="154">
        <f t="shared" si="106"/>
        <v>0.17968209374879232</v>
      </c>
      <c r="J158" s="154">
        <f t="shared" si="106"/>
        <v>0.18283432938381422</v>
      </c>
      <c r="K158" s="154">
        <f t="shared" si="106"/>
        <v>0.18271916608257985</v>
      </c>
      <c r="L158" s="154">
        <f t="shared" ref="L158" si="107">IF(L43=0,0,L43/L$17)</f>
        <v>0.19740102832525191</v>
      </c>
      <c r="M158" s="154">
        <f t="shared" ref="M158:V158" si="108">IF(M43=0,0,M43/M$17)</f>
        <v>0.20101690269025882</v>
      </c>
      <c r="N158" s="154">
        <f t="shared" si="108"/>
        <v>0.18741063236809291</v>
      </c>
      <c r="O158" s="154">
        <f t="shared" si="108"/>
        <v>0.16662036595710444</v>
      </c>
      <c r="P158" s="154">
        <f t="shared" si="108"/>
        <v>0.16275052072607757</v>
      </c>
      <c r="Q158" s="154">
        <f t="shared" si="108"/>
        <v>0.13254805088847155</v>
      </c>
      <c r="R158" s="154">
        <f t="shared" si="108"/>
        <v>0.12555227192068311</v>
      </c>
      <c r="S158" s="154">
        <f t="shared" si="108"/>
        <v>0.13114589064364651</v>
      </c>
      <c r="T158" s="154">
        <f t="shared" si="108"/>
        <v>0.13023723277295574</v>
      </c>
      <c r="U158" s="154">
        <f t="shared" si="108"/>
        <v>0.13149206515568665</v>
      </c>
      <c r="V158" s="154">
        <f t="shared" si="108"/>
        <v>0.15717922078815177</v>
      </c>
      <c r="W158" s="154">
        <f t="shared" ref="W158:Y158" si="109">IF(W43=0,0,W43/W$17)</f>
        <v>0.15624537541350611</v>
      </c>
      <c r="X158" s="154">
        <f t="shared" si="109"/>
        <v>0.1308893784989569</v>
      </c>
      <c r="Y158" s="154">
        <f t="shared" si="109"/>
        <v>0.11854457592938976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7.9764911498073649E-3</v>
      </c>
      <c r="C159" s="103">
        <f t="shared" si="110"/>
        <v>7.8573711450513357E-3</v>
      </c>
      <c r="D159" s="103">
        <f t="shared" si="110"/>
        <v>7.8198875692658629E-3</v>
      </c>
      <c r="E159" s="103">
        <f t="shared" si="110"/>
        <v>7.8295034789343521E-3</v>
      </c>
      <c r="F159" s="103">
        <f t="shared" si="110"/>
        <v>7.4743438042529217E-3</v>
      </c>
      <c r="G159" s="103">
        <f t="shared" si="110"/>
        <v>7.5581630775537305E-3</v>
      </c>
      <c r="H159" s="103">
        <f t="shared" si="110"/>
        <v>7.3538019237102993E-3</v>
      </c>
      <c r="I159" s="103">
        <f t="shared" si="110"/>
        <v>6.3224476984863288E-3</v>
      </c>
      <c r="J159" s="103">
        <f t="shared" si="110"/>
        <v>6.2684797473674314E-3</v>
      </c>
      <c r="K159" s="103">
        <f t="shared" si="110"/>
        <v>6.0482296014254576E-3</v>
      </c>
      <c r="L159" s="103">
        <f t="shared" ref="L159" si="111">IF(L44=0,0,L44/L$17)</f>
        <v>5.9261949412066483E-3</v>
      </c>
      <c r="M159" s="103">
        <f t="shared" ref="M159:V159" si="112">IF(M44=0,0,M44/M$17)</f>
        <v>5.9858756028253312E-3</v>
      </c>
      <c r="N159" s="103">
        <f t="shared" si="112"/>
        <v>5.65043785213349E-3</v>
      </c>
      <c r="O159" s="103">
        <f t="shared" si="112"/>
        <v>5.4457887057354822E-3</v>
      </c>
      <c r="P159" s="103">
        <f t="shared" si="112"/>
        <v>4.9689043209270797E-3</v>
      </c>
      <c r="Q159" s="103">
        <f t="shared" si="112"/>
        <v>4.649871058412915E-3</v>
      </c>
      <c r="R159" s="103">
        <f t="shared" si="112"/>
        <v>4.5576006368967751E-3</v>
      </c>
      <c r="S159" s="103">
        <f t="shared" si="112"/>
        <v>4.4665410410234287E-3</v>
      </c>
      <c r="T159" s="103">
        <f t="shared" si="112"/>
        <v>4.1590975957140905E-3</v>
      </c>
      <c r="U159" s="103">
        <f t="shared" si="112"/>
        <v>4.1451380648838462E-3</v>
      </c>
      <c r="V159" s="103">
        <f t="shared" si="112"/>
        <v>5.1436983683138902E-3</v>
      </c>
      <c r="W159" s="103">
        <f t="shared" ref="W159:Y159" si="113">IF(W44=0,0,W44/W$17)</f>
        <v>4.3341687049866101E-3</v>
      </c>
      <c r="X159" s="103">
        <f t="shared" si="113"/>
        <v>4.3910411101493576E-3</v>
      </c>
      <c r="Y159" s="103">
        <f t="shared" si="113"/>
        <v>4.567995493272135E-3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0.18906149738101738</v>
      </c>
      <c r="C160" s="103">
        <f t="shared" si="114"/>
        <v>0.16658599867394208</v>
      </c>
      <c r="D160" s="103">
        <f t="shared" si="114"/>
        <v>0.16235355394033185</v>
      </c>
      <c r="E160" s="103">
        <f t="shared" si="114"/>
        <v>0.17081725351019239</v>
      </c>
      <c r="F160" s="103">
        <f t="shared" si="114"/>
        <v>0.17598929527395468</v>
      </c>
      <c r="G160" s="103">
        <f t="shared" si="114"/>
        <v>0.19123583012059145</v>
      </c>
      <c r="H160" s="103">
        <f t="shared" si="114"/>
        <v>0.16248006122236086</v>
      </c>
      <c r="I160" s="103">
        <f t="shared" si="114"/>
        <v>0.17230307013721399</v>
      </c>
      <c r="J160" s="103">
        <f t="shared" si="114"/>
        <v>0.1751554955135724</v>
      </c>
      <c r="K160" s="103">
        <f t="shared" si="114"/>
        <v>0.17479760463089095</v>
      </c>
      <c r="L160" s="103">
        <f t="shared" ref="L160" si="115">IF(L46=0,0,L46/L$17)</f>
        <v>0.18859563774927093</v>
      </c>
      <c r="M160" s="103">
        <f t="shared" ref="M160:V160" si="116">IF(M46=0,0,M46/M$17)</f>
        <v>0.19213425872295609</v>
      </c>
      <c r="N160" s="103">
        <f t="shared" si="116"/>
        <v>0.17798339137413935</v>
      </c>
      <c r="O160" s="103">
        <f t="shared" si="116"/>
        <v>0.15722119718791447</v>
      </c>
      <c r="P160" s="103">
        <f t="shared" si="116"/>
        <v>0.15385959807326058</v>
      </c>
      <c r="Q160" s="103">
        <f t="shared" si="116"/>
        <v>0.12391558104387414</v>
      </c>
      <c r="R160" s="103">
        <f t="shared" si="116"/>
        <v>0.1169316536223574</v>
      </c>
      <c r="S160" s="103">
        <f t="shared" si="116"/>
        <v>0.12274240188782673</v>
      </c>
      <c r="T160" s="103">
        <f t="shared" si="116"/>
        <v>0.12244359821289238</v>
      </c>
      <c r="U160" s="103">
        <f t="shared" si="116"/>
        <v>0.1230695061406443</v>
      </c>
      <c r="V160" s="103">
        <f t="shared" si="116"/>
        <v>0.14669993160769362</v>
      </c>
      <c r="W160" s="103">
        <f t="shared" ref="W160:Y160" si="117">IF(W46=0,0,W46/W$17)</f>
        <v>0.14684937273416329</v>
      </c>
      <c r="X160" s="103">
        <f t="shared" si="117"/>
        <v>0.12236536278086778</v>
      </c>
      <c r="Y160" s="103">
        <f t="shared" si="117"/>
        <v>0.1097300235313067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2.8164077606451858E-4</v>
      </c>
      <c r="C161" s="103">
        <f t="shared" si="118"/>
        <v>2.9406720435451792E-4</v>
      </c>
      <c r="D161" s="103">
        <f t="shared" si="118"/>
        <v>3.1291675166092962E-4</v>
      </c>
      <c r="E161" s="103">
        <f t="shared" si="118"/>
        <v>3.365666849299571E-4</v>
      </c>
      <c r="F161" s="103">
        <f t="shared" si="118"/>
        <v>3.4560260085588981E-4</v>
      </c>
      <c r="G161" s="103">
        <f t="shared" si="118"/>
        <v>3.7694542363158473E-4</v>
      </c>
      <c r="H161" s="103">
        <f t="shared" si="118"/>
        <v>3.8301869150090422E-4</v>
      </c>
      <c r="I161" s="103">
        <f t="shared" si="118"/>
        <v>3.6946608075251892E-4</v>
      </c>
      <c r="J161" s="103">
        <f t="shared" si="118"/>
        <v>4.4727011868949675E-4</v>
      </c>
      <c r="K161" s="103">
        <f t="shared" si="118"/>
        <v>5.8377363016527434E-4</v>
      </c>
      <c r="L161" s="103">
        <f t="shared" ref="L161" si="119">IF(L48=0,0,L48/L$17)</f>
        <v>7.4603637195298897E-4</v>
      </c>
      <c r="M161" s="103">
        <f t="shared" ref="M161:V161" si="120">IF(M48=0,0,M48/M$17)</f>
        <v>8.232648724084006E-4</v>
      </c>
      <c r="N161" s="103">
        <f t="shared" si="120"/>
        <v>9.1553365870729428E-4</v>
      </c>
      <c r="O161" s="103">
        <f t="shared" si="120"/>
        <v>9.5405845399864568E-4</v>
      </c>
      <c r="P161" s="103">
        <f t="shared" si="120"/>
        <v>9.6563315340499165E-4</v>
      </c>
      <c r="Q161" s="103">
        <f t="shared" si="120"/>
        <v>9.5873455908351336E-4</v>
      </c>
      <c r="R161" s="103">
        <f t="shared" si="120"/>
        <v>9.3029715407605667E-4</v>
      </c>
      <c r="S161" s="103">
        <f t="shared" si="120"/>
        <v>9.7808491694039486E-4</v>
      </c>
      <c r="T161" s="103">
        <f t="shared" si="120"/>
        <v>9.2575243735835554E-4</v>
      </c>
      <c r="U161" s="103">
        <f t="shared" si="120"/>
        <v>9.7719231588050989E-4</v>
      </c>
      <c r="V161" s="103">
        <f t="shared" si="120"/>
        <v>1.2200661389089699E-3</v>
      </c>
      <c r="W161" s="103">
        <f t="shared" ref="W161:Y161" si="121">IF(W48=0,0,W48/W$17)</f>
        <v>1.186722127730731E-3</v>
      </c>
      <c r="X161" s="103">
        <f t="shared" si="121"/>
        <v>9.4115306307900233E-4</v>
      </c>
      <c r="Y161" s="103">
        <f t="shared" si="121"/>
        <v>9.7479567714305808E-4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3.9466874704880919E-4</v>
      </c>
      <c r="C162" s="103">
        <f t="shared" si="122"/>
        <v>4.2029173608820042E-4</v>
      </c>
      <c r="D162" s="103">
        <f t="shared" si="122"/>
        <v>4.608870258502262E-4</v>
      </c>
      <c r="E162" s="103">
        <f t="shared" si="122"/>
        <v>5.1271390228853093E-4</v>
      </c>
      <c r="F162" s="103">
        <f t="shared" si="122"/>
        <v>5.4892718780916595E-4</v>
      </c>
      <c r="G162" s="103">
        <f t="shared" si="122"/>
        <v>6.2826997493745898E-4</v>
      </c>
      <c r="H162" s="103">
        <f t="shared" si="122"/>
        <v>6.894447187629477E-4</v>
      </c>
      <c r="I162" s="103">
        <f t="shared" si="122"/>
        <v>6.8710983233946817E-4</v>
      </c>
      <c r="J162" s="103">
        <f t="shared" si="122"/>
        <v>9.6308400418485722E-4</v>
      </c>
      <c r="K162" s="103">
        <f t="shared" si="122"/>
        <v>1.289558220098164E-3</v>
      </c>
      <c r="L162" s="103">
        <f t="shared" ref="L162" si="123">IF(L49=0,0,L49/L$17)</f>
        <v>2.1331592628213362E-3</v>
      </c>
      <c r="M162" s="103">
        <f t="shared" ref="M162:V162" si="124">IF(M49=0,0,M49/M$17)</f>
        <v>2.0734944429138639E-3</v>
      </c>
      <c r="N162" s="103">
        <f t="shared" si="124"/>
        <v>2.8593633953164135E-3</v>
      </c>
      <c r="O162" s="103">
        <f t="shared" si="124"/>
        <v>2.998418288767595E-3</v>
      </c>
      <c r="P162" s="103">
        <f t="shared" si="124"/>
        <v>2.95486642674297E-3</v>
      </c>
      <c r="Q162" s="103">
        <f t="shared" si="124"/>
        <v>3.0188156530667532E-3</v>
      </c>
      <c r="R162" s="103">
        <f t="shared" si="124"/>
        <v>3.1232153274988292E-3</v>
      </c>
      <c r="S162" s="103">
        <f t="shared" si="124"/>
        <v>2.9468089273209743E-3</v>
      </c>
      <c r="T162" s="103">
        <f t="shared" si="124"/>
        <v>2.690854424686744E-3</v>
      </c>
      <c r="U162" s="103">
        <f t="shared" si="124"/>
        <v>3.2657915876297527E-3</v>
      </c>
      <c r="V162" s="103">
        <f t="shared" si="124"/>
        <v>4.0633069069991893E-3</v>
      </c>
      <c r="W162" s="103">
        <f t="shared" ref="W162:Y162" si="125">IF(W49=0,0,W49/W$17)</f>
        <v>3.8015347872398359E-3</v>
      </c>
      <c r="X162" s="103">
        <f t="shared" si="125"/>
        <v>3.0909076454386768E-3</v>
      </c>
      <c r="Y162" s="103">
        <f t="shared" si="125"/>
        <v>3.1185087182717579E-3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0</v>
      </c>
      <c r="C163" s="103">
        <f t="shared" si="126"/>
        <v>0</v>
      </c>
      <c r="D163" s="103">
        <f t="shared" si="126"/>
        <v>0</v>
      </c>
      <c r="E163" s="103">
        <f t="shared" si="126"/>
        <v>0</v>
      </c>
      <c r="F163" s="103">
        <f t="shared" si="126"/>
        <v>0</v>
      </c>
      <c r="G163" s="103">
        <f t="shared" si="126"/>
        <v>0</v>
      </c>
      <c r="H163" s="103">
        <f t="shared" si="126"/>
        <v>0</v>
      </c>
      <c r="I163" s="103">
        <f t="shared" si="126"/>
        <v>0</v>
      </c>
      <c r="J163" s="103">
        <f t="shared" si="126"/>
        <v>0</v>
      </c>
      <c r="K163" s="103">
        <f t="shared" si="126"/>
        <v>0</v>
      </c>
      <c r="L163" s="103">
        <f t="shared" ref="L163" si="127">IF(L51=0,0,L51/L$17)</f>
        <v>0</v>
      </c>
      <c r="M163" s="103">
        <f t="shared" ref="M163:V163" si="128">IF(M51=0,0,M51/M$17)</f>
        <v>9.0491551177658646E-9</v>
      </c>
      <c r="N163" s="103">
        <f t="shared" si="128"/>
        <v>1.9060877963367911E-6</v>
      </c>
      <c r="O163" s="103">
        <f t="shared" si="128"/>
        <v>9.0332068826542844E-7</v>
      </c>
      <c r="P163" s="103">
        <f t="shared" si="128"/>
        <v>1.5187517419505009E-6</v>
      </c>
      <c r="Q163" s="103">
        <f t="shared" si="128"/>
        <v>5.0485740342171766E-6</v>
      </c>
      <c r="R163" s="103">
        <f t="shared" si="128"/>
        <v>9.5051798540489052E-6</v>
      </c>
      <c r="S163" s="103">
        <f t="shared" si="128"/>
        <v>1.205387053498226E-5</v>
      </c>
      <c r="T163" s="103">
        <f t="shared" si="128"/>
        <v>1.7930102304150695E-5</v>
      </c>
      <c r="U163" s="103">
        <f t="shared" si="128"/>
        <v>3.4437046648237725E-5</v>
      </c>
      <c r="V163" s="103">
        <f t="shared" si="128"/>
        <v>5.2217766236094646E-5</v>
      </c>
      <c r="W163" s="103">
        <f t="shared" ref="W163:Y163" si="129">IF(W51=0,0,W51/W$17)</f>
        <v>7.3577059385641902E-5</v>
      </c>
      <c r="X163" s="103">
        <f t="shared" si="129"/>
        <v>1.0091389942207336E-4</v>
      </c>
      <c r="Y163" s="103">
        <f t="shared" si="129"/>
        <v>1.532525093961184E-4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6.8550781194960636E-2</v>
      </c>
      <c r="C164" s="156">
        <f t="shared" si="130"/>
        <v>9.9875829158894411E-2</v>
      </c>
      <c r="D164" s="156">
        <f t="shared" si="130"/>
        <v>9.8704441231996315E-2</v>
      </c>
      <c r="E164" s="156">
        <f t="shared" si="130"/>
        <v>9.6055084794069323E-2</v>
      </c>
      <c r="F164" s="156">
        <f t="shared" si="130"/>
        <v>9.9815294893154008E-2</v>
      </c>
      <c r="G164" s="156">
        <f t="shared" si="130"/>
        <v>0.10648350875610899</v>
      </c>
      <c r="H164" s="156">
        <f t="shared" si="130"/>
        <v>0.12001719282523625</v>
      </c>
      <c r="I164" s="156">
        <f t="shared" si="130"/>
        <v>0.11807850202397756</v>
      </c>
      <c r="J164" s="156">
        <f t="shared" si="130"/>
        <v>9.5438799135147676E-2</v>
      </c>
      <c r="K164" s="156">
        <f t="shared" si="130"/>
        <v>7.3558598707175252E-2</v>
      </c>
      <c r="L164" s="156">
        <f t="shared" ref="L164" si="131">IF(L52=0,0,L52/L$17)</f>
        <v>7.0684511029253147E-2</v>
      </c>
      <c r="M164" s="156">
        <f t="shared" ref="M164:V164" si="132">IF(M52=0,0,M52/M$17)</f>
        <v>7.7557505090047274E-2</v>
      </c>
      <c r="N164" s="156">
        <f t="shared" si="132"/>
        <v>9.9025562498975164E-2</v>
      </c>
      <c r="O164" s="156">
        <f t="shared" si="132"/>
        <v>8.2554380113706166E-2</v>
      </c>
      <c r="P164" s="156">
        <f t="shared" si="132"/>
        <v>7.7221547350536088E-2</v>
      </c>
      <c r="Q164" s="156">
        <f t="shared" si="132"/>
        <v>8.6108800004952774E-2</v>
      </c>
      <c r="R164" s="156">
        <f t="shared" si="132"/>
        <v>7.570604203931762E-2</v>
      </c>
      <c r="S164" s="156">
        <f t="shared" si="132"/>
        <v>4.8287431112611842E-2</v>
      </c>
      <c r="T164" s="156">
        <f t="shared" si="132"/>
        <v>7.9277174475111914E-2</v>
      </c>
      <c r="U164" s="156">
        <f t="shared" si="132"/>
        <v>7.9574134788258533E-2</v>
      </c>
      <c r="V164" s="156">
        <f t="shared" si="132"/>
        <v>7.8012128496417948E-2</v>
      </c>
      <c r="W164" s="156">
        <f t="shared" ref="W164:Y164" si="133">IF(W52=0,0,W52/W$17)</f>
        <v>0.11458845893567036</v>
      </c>
      <c r="X164" s="156">
        <f t="shared" si="133"/>
        <v>0.1518385825564848</v>
      </c>
      <c r="Y164" s="156">
        <f t="shared" si="133"/>
        <v>0.15278976430183555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5.8508814911257957E-2</v>
      </c>
      <c r="C165" s="104">
        <f t="shared" si="134"/>
        <v>8.3963194525463442E-2</v>
      </c>
      <c r="D165" s="104">
        <f t="shared" si="134"/>
        <v>8.2334404193215915E-2</v>
      </c>
      <c r="E165" s="104">
        <f t="shared" si="134"/>
        <v>7.9462837637614137E-2</v>
      </c>
      <c r="F165" s="104">
        <f t="shared" si="134"/>
        <v>8.2751744603784816E-2</v>
      </c>
      <c r="G165" s="104">
        <f t="shared" si="134"/>
        <v>8.8247822442886092E-2</v>
      </c>
      <c r="H165" s="104">
        <f t="shared" si="134"/>
        <v>9.5271275375759218E-2</v>
      </c>
      <c r="I165" s="104">
        <f t="shared" si="134"/>
        <v>9.4353910072141681E-2</v>
      </c>
      <c r="J165" s="104">
        <f t="shared" si="134"/>
        <v>7.4970459519239488E-2</v>
      </c>
      <c r="K165" s="104">
        <f t="shared" si="134"/>
        <v>5.9275206887861809E-2</v>
      </c>
      <c r="L165" s="104">
        <f t="shared" ref="L165" si="135">IF(L53=0,0,L53/L$17)</f>
        <v>5.6345741021460935E-2</v>
      </c>
      <c r="M165" s="104">
        <f t="shared" ref="M165:V165" si="136">IF(M53=0,0,M53/M$17)</f>
        <v>6.1582030980980869E-2</v>
      </c>
      <c r="N165" s="104">
        <f t="shared" si="136"/>
        <v>7.7712901689652461E-2</v>
      </c>
      <c r="O165" s="104">
        <f t="shared" si="136"/>
        <v>6.395239635100998E-2</v>
      </c>
      <c r="P165" s="104">
        <f t="shared" si="136"/>
        <v>5.8414952083576131E-2</v>
      </c>
      <c r="Q165" s="104">
        <f t="shared" si="136"/>
        <v>6.5168570552313079E-2</v>
      </c>
      <c r="R165" s="104">
        <f t="shared" si="136"/>
        <v>5.6213577237916909E-2</v>
      </c>
      <c r="S165" s="104">
        <f t="shared" si="136"/>
        <v>3.506720398193771E-2</v>
      </c>
      <c r="T165" s="104">
        <f t="shared" si="136"/>
        <v>5.8177071673994607E-2</v>
      </c>
      <c r="U165" s="104">
        <f t="shared" si="136"/>
        <v>5.8337007690812827E-2</v>
      </c>
      <c r="V165" s="104">
        <f t="shared" si="136"/>
        <v>5.6770266302110246E-2</v>
      </c>
      <c r="W165" s="104">
        <f t="shared" ref="W165:Y165" si="137">IF(W53=0,0,W53/W$17)</f>
        <v>8.2248501614087935E-2</v>
      </c>
      <c r="X165" s="104">
        <f t="shared" si="137"/>
        <v>0.109066268459924</v>
      </c>
      <c r="Y165" s="104">
        <f t="shared" si="137"/>
        <v>0.11136052625166598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1.0041966283702681E-2</v>
      </c>
      <c r="C166" s="105">
        <f t="shared" si="138"/>
        <v>1.5912634633430959E-2</v>
      </c>
      <c r="D166" s="105">
        <f t="shared" si="138"/>
        <v>1.6370037038780396E-2</v>
      </c>
      <c r="E166" s="105">
        <f t="shared" si="138"/>
        <v>1.659224715645518E-2</v>
      </c>
      <c r="F166" s="105">
        <f t="shared" si="138"/>
        <v>1.7063550289369182E-2</v>
      </c>
      <c r="G166" s="105">
        <f t="shared" si="138"/>
        <v>1.823568631322289E-2</v>
      </c>
      <c r="H166" s="105">
        <f t="shared" si="138"/>
        <v>2.4745917449477028E-2</v>
      </c>
      <c r="I166" s="105">
        <f t="shared" si="138"/>
        <v>2.372459195183587E-2</v>
      </c>
      <c r="J166" s="105">
        <f t="shared" si="138"/>
        <v>2.0468339615908184E-2</v>
      </c>
      <c r="K166" s="105">
        <f t="shared" si="138"/>
        <v>1.428339181931345E-2</v>
      </c>
      <c r="L166" s="105">
        <f t="shared" ref="L166" si="139">IF(L55=0,0,L55/L$17)</f>
        <v>1.4338770007792209E-2</v>
      </c>
      <c r="M166" s="105">
        <f t="shared" ref="M166:V166" si="140">IF(M55=0,0,M55/M$17)</f>
        <v>1.5975474109066409E-2</v>
      </c>
      <c r="N166" s="105">
        <f t="shared" si="140"/>
        <v>2.1312660809322707E-2</v>
      </c>
      <c r="O166" s="105">
        <f t="shared" si="140"/>
        <v>1.860198376269619E-2</v>
      </c>
      <c r="P166" s="105">
        <f t="shared" si="140"/>
        <v>1.880659526695995E-2</v>
      </c>
      <c r="Q166" s="105">
        <f t="shared" si="140"/>
        <v>2.0940229452639701E-2</v>
      </c>
      <c r="R166" s="105">
        <f t="shared" si="140"/>
        <v>1.9492464801400711E-2</v>
      </c>
      <c r="S166" s="105">
        <f t="shared" si="140"/>
        <v>1.3220227130674136E-2</v>
      </c>
      <c r="T166" s="105">
        <f t="shared" si="140"/>
        <v>2.1100102801117303E-2</v>
      </c>
      <c r="U166" s="105">
        <f t="shared" si="140"/>
        <v>2.1237127097445702E-2</v>
      </c>
      <c r="V166" s="105">
        <f t="shared" si="140"/>
        <v>2.1241862194307709E-2</v>
      </c>
      <c r="W166" s="105">
        <f t="shared" ref="W166:Y166" si="141">IF(W55=0,0,W55/W$17)</f>
        <v>3.2339957321582423E-2</v>
      </c>
      <c r="X166" s="105">
        <f t="shared" si="141"/>
        <v>4.2772314096560793E-2</v>
      </c>
      <c r="Y166" s="105">
        <f t="shared" si="141"/>
        <v>4.1429238050169577E-2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109927.61445564</v>
      </c>
      <c r="C4" s="146">
        <f t="shared" si="0"/>
        <v>112113.12032280001</v>
      </c>
      <c r="D4" s="146">
        <f t="shared" si="0"/>
        <v>114374.98143971997</v>
      </c>
      <c r="E4" s="146">
        <f t="shared" si="0"/>
        <v>114857.87605308001</v>
      </c>
      <c r="F4" s="146">
        <f t="shared" si="0"/>
        <v>117155.20451904001</v>
      </c>
      <c r="G4" s="146">
        <f t="shared" si="0"/>
        <v>116115.91610112</v>
      </c>
      <c r="H4" s="146">
        <f t="shared" si="0"/>
        <v>117215.89815780001</v>
      </c>
      <c r="I4" s="146">
        <f t="shared" si="0"/>
        <v>117740.21845751999</v>
      </c>
      <c r="J4" s="146">
        <f t="shared" si="0"/>
        <v>110882.23367039998</v>
      </c>
      <c r="K4" s="146">
        <f t="shared" si="0"/>
        <v>105811.64054783998</v>
      </c>
      <c r="L4" s="146">
        <f t="shared" ref="L4" si="1">L5+L9+L10+L15</f>
        <v>103278.89876724001</v>
      </c>
      <c r="M4" s="146">
        <f t="shared" ref="M4:V4" si="2">M5+M9+M10+M15</f>
        <v>103148.90283132</v>
      </c>
      <c r="N4" s="146">
        <f t="shared" si="2"/>
        <v>96907.48935803998</v>
      </c>
      <c r="O4" s="146">
        <f t="shared" si="2"/>
        <v>94949.631237959999</v>
      </c>
      <c r="P4" s="146">
        <f t="shared" si="2"/>
        <v>99856.686602519985</v>
      </c>
      <c r="Q4" s="146">
        <f t="shared" si="2"/>
        <v>97467.749103600014</v>
      </c>
      <c r="R4" s="146">
        <f t="shared" si="2"/>
        <v>96001.9059672</v>
      </c>
      <c r="S4" s="146">
        <f t="shared" si="2"/>
        <v>91911.841688452027</v>
      </c>
      <c r="T4" s="146">
        <f t="shared" si="2"/>
        <v>94874.35822526722</v>
      </c>
      <c r="U4" s="146">
        <f t="shared" si="2"/>
        <v>95708.286107246153</v>
      </c>
      <c r="V4" s="146">
        <f t="shared" si="2"/>
        <v>77268.77631706043</v>
      </c>
      <c r="W4" s="146">
        <f t="shared" ref="W4:Y4" si="3">W5+W9+W10+W15</f>
        <v>94017.735498024238</v>
      </c>
      <c r="X4" s="146">
        <f t="shared" si="3"/>
        <v>98853.98841169168</v>
      </c>
      <c r="Y4" s="146">
        <f t="shared" si="3"/>
        <v>99402.310005592328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109160.06547563999</v>
      </c>
      <c r="C5" s="101">
        <f t="shared" si="4"/>
        <v>111249.3878928</v>
      </c>
      <c r="D5" s="101">
        <f t="shared" si="4"/>
        <v>113524.57836971997</v>
      </c>
      <c r="E5" s="101">
        <f t="shared" si="4"/>
        <v>114001.91908308001</v>
      </c>
      <c r="F5" s="101">
        <f t="shared" si="4"/>
        <v>116319.99893904002</v>
      </c>
      <c r="G5" s="101">
        <f t="shared" si="4"/>
        <v>115224.46466112</v>
      </c>
      <c r="H5" s="101">
        <f t="shared" si="4"/>
        <v>116192.5163478</v>
      </c>
      <c r="I5" s="101">
        <f t="shared" si="4"/>
        <v>116603.28463751999</v>
      </c>
      <c r="J5" s="101">
        <f t="shared" si="4"/>
        <v>109591.40633039997</v>
      </c>
      <c r="K5" s="101">
        <f t="shared" si="4"/>
        <v>104399.78867783998</v>
      </c>
      <c r="L5" s="101">
        <f t="shared" ref="L5" si="5">SUM(L6:L8)</f>
        <v>101645.79971724001</v>
      </c>
      <c r="M5" s="101">
        <f t="shared" ref="M5:V5" si="6">SUM(M6:M8)</f>
        <v>101452.13589131999</v>
      </c>
      <c r="N5" s="101">
        <f t="shared" si="6"/>
        <v>95129.938418039979</v>
      </c>
      <c r="O5" s="101">
        <f t="shared" si="6"/>
        <v>93043.280307959998</v>
      </c>
      <c r="P5" s="101">
        <f t="shared" si="6"/>
        <v>97831.078292519989</v>
      </c>
      <c r="Q5" s="101">
        <f t="shared" si="6"/>
        <v>95351.713203600011</v>
      </c>
      <c r="R5" s="101">
        <f t="shared" si="6"/>
        <v>93903.036667199995</v>
      </c>
      <c r="S5" s="101">
        <f t="shared" si="6"/>
        <v>89922.478044240008</v>
      </c>
      <c r="T5" s="101">
        <f t="shared" si="6"/>
        <v>92860.02497591998</v>
      </c>
      <c r="U5" s="101">
        <f t="shared" si="6"/>
        <v>93455.285108759999</v>
      </c>
      <c r="V5" s="101">
        <f t="shared" si="6"/>
        <v>75457.213765919994</v>
      </c>
      <c r="W5" s="101">
        <f t="shared" ref="W5:Y5" si="7">SUM(W6:W8)</f>
        <v>91878.657544079993</v>
      </c>
      <c r="X5" s="101">
        <f t="shared" si="7"/>
        <v>97205.261066280014</v>
      </c>
      <c r="Y5" s="101">
        <f t="shared" si="7"/>
        <v>97795.372796999989</v>
      </c>
      <c r="DA5" s="175"/>
    </row>
    <row r="6" spans="1:105" ht="11.45" customHeight="1" x14ac:dyDescent="0.25">
      <c r="A6" s="128" t="s">
        <v>52</v>
      </c>
      <c r="B6" s="101">
        <v>4127.4971999999998</v>
      </c>
      <c r="C6" s="101">
        <v>4034.61397476</v>
      </c>
      <c r="D6" s="101">
        <v>3811.1137495200001</v>
      </c>
      <c r="E6" s="101">
        <v>3509.2433242799998</v>
      </c>
      <c r="F6" s="101">
        <v>3210.2755495199985</v>
      </c>
      <c r="G6" s="101">
        <v>2986.7753242800013</v>
      </c>
      <c r="H6" s="101">
        <v>2864.8662757200018</v>
      </c>
      <c r="I6" s="101">
        <v>2731.3466252400012</v>
      </c>
      <c r="J6" s="101">
        <v>2911.3077747600009</v>
      </c>
      <c r="K6" s="101">
        <v>3181.2494990400005</v>
      </c>
      <c r="L6" s="101">
        <v>3523.7563495199993</v>
      </c>
      <c r="M6" s="101">
        <v>3677.5940990399995</v>
      </c>
      <c r="N6" s="101">
        <v>3918.5100000000016</v>
      </c>
      <c r="O6" s="101">
        <v>4461.2960990399997</v>
      </c>
      <c r="P6" s="101">
        <v>4539.66629904</v>
      </c>
      <c r="Q6" s="101">
        <v>4800.9002990400013</v>
      </c>
      <c r="R6" s="101">
        <v>4638.3548252400005</v>
      </c>
      <c r="S6" s="101">
        <v>4839.7139924399999</v>
      </c>
      <c r="T6" s="101">
        <v>4684.7963242800006</v>
      </c>
      <c r="U6" s="101">
        <v>4798.0471694399985</v>
      </c>
      <c r="V6" s="101">
        <v>3800.8415743200007</v>
      </c>
      <c r="W6" s="101">
        <v>4083.86521584</v>
      </c>
      <c r="X6" s="101">
        <v>4456.3038037200013</v>
      </c>
      <c r="Y6" s="101">
        <v>4505.8887428400003</v>
      </c>
      <c r="DA6" s="175" t="s">
        <v>741</v>
      </c>
    </row>
    <row r="7" spans="1:105" ht="11.45" customHeight="1" x14ac:dyDescent="0.25">
      <c r="A7" s="128" t="s">
        <v>53</v>
      </c>
      <c r="B7" s="101">
        <v>50936.885944559988</v>
      </c>
      <c r="C7" s="101">
        <v>49924.551489120007</v>
      </c>
      <c r="D7" s="101">
        <v>48799.396689119989</v>
      </c>
      <c r="E7" s="101">
        <v>47021.71322772</v>
      </c>
      <c r="F7" s="101">
        <v>44189.006289120007</v>
      </c>
      <c r="G7" s="101">
        <v>41127.609516840006</v>
      </c>
      <c r="H7" s="101">
        <v>38593.724483160011</v>
      </c>
      <c r="I7" s="101">
        <v>36047.642372279988</v>
      </c>
      <c r="J7" s="101">
        <v>33208.837144559991</v>
      </c>
      <c r="K7" s="101">
        <v>31790.959227719988</v>
      </c>
      <c r="L7" s="101">
        <v>29815.077627720002</v>
      </c>
      <c r="M7" s="101">
        <v>28747.857572279998</v>
      </c>
      <c r="N7" s="101">
        <v>25445.573889119998</v>
      </c>
      <c r="O7" s="101">
        <v>24369.206399999995</v>
      </c>
      <c r="P7" s="101">
        <v>24646.683544560001</v>
      </c>
      <c r="Q7" s="101">
        <v>23768.513944559996</v>
      </c>
      <c r="R7" s="101">
        <v>22195.126910880001</v>
      </c>
      <c r="S7" s="101">
        <v>21565.442634120001</v>
      </c>
      <c r="T7" s="101">
        <v>22166.958373559999</v>
      </c>
      <c r="U7" s="101">
        <v>22375.029683159999</v>
      </c>
      <c r="V7" s="101">
        <v>17637.917414039999</v>
      </c>
      <c r="W7" s="101">
        <v>21368.836177920002</v>
      </c>
      <c r="X7" s="101">
        <v>23917.086270000003</v>
      </c>
      <c r="Y7" s="101">
        <v>24826.973759279997</v>
      </c>
      <c r="DA7" s="175" t="s">
        <v>742</v>
      </c>
    </row>
    <row r="8" spans="1:105" ht="11.45" customHeight="1" x14ac:dyDescent="0.25">
      <c r="A8" s="128" t="s">
        <v>54</v>
      </c>
      <c r="B8" s="101">
        <v>54095.682331080003</v>
      </c>
      <c r="C8" s="101">
        <v>57290.222428919988</v>
      </c>
      <c r="D8" s="101">
        <v>60914.067931079982</v>
      </c>
      <c r="E8" s="101">
        <v>63470.962531080004</v>
      </c>
      <c r="F8" s="101">
        <v>68920.717100400012</v>
      </c>
      <c r="G8" s="101">
        <v>71110.079819999999</v>
      </c>
      <c r="H8" s="101">
        <v>74733.925588919985</v>
      </c>
      <c r="I8" s="101">
        <v>77824.295639999997</v>
      </c>
      <c r="J8" s="101">
        <v>73471.261411079977</v>
      </c>
      <c r="K8" s="101">
        <v>69427.579951079999</v>
      </c>
      <c r="L8" s="101">
        <v>68306.96574</v>
      </c>
      <c r="M8" s="101">
        <v>69026.684219999996</v>
      </c>
      <c r="N8" s="101">
        <v>65765.854528919983</v>
      </c>
      <c r="O8" s="101">
        <v>64212.77780892</v>
      </c>
      <c r="P8" s="101">
        <v>68644.728448919996</v>
      </c>
      <c r="Q8" s="101">
        <v>66782.298960000015</v>
      </c>
      <c r="R8" s="101">
        <v>67069.554931079998</v>
      </c>
      <c r="S8" s="101">
        <v>63517.321417680003</v>
      </c>
      <c r="T8" s="101">
        <v>66008.270278079988</v>
      </c>
      <c r="U8" s="101">
        <v>66282.208256160011</v>
      </c>
      <c r="V8" s="101">
        <v>54018.454777559986</v>
      </c>
      <c r="W8" s="101">
        <v>66425.956150319995</v>
      </c>
      <c r="X8" s="101">
        <v>68831.870992560012</v>
      </c>
      <c r="Y8" s="101">
        <v>68462.51029487999</v>
      </c>
      <c r="DA8" s="175" t="s">
        <v>743</v>
      </c>
    </row>
    <row r="9" spans="1:105" ht="11.45" customHeight="1" x14ac:dyDescent="0.25">
      <c r="A9" s="92" t="s">
        <v>55</v>
      </c>
      <c r="B9" s="101">
        <v>767.54898000000014</v>
      </c>
      <c r="C9" s="101">
        <v>863.73243000000025</v>
      </c>
      <c r="D9" s="101">
        <v>850.40307000000018</v>
      </c>
      <c r="E9" s="101">
        <v>855.95697000000007</v>
      </c>
      <c r="F9" s="101">
        <v>835.20558000000005</v>
      </c>
      <c r="G9" s="101">
        <v>891.45144000000005</v>
      </c>
      <c r="H9" s="101">
        <v>1023.38181</v>
      </c>
      <c r="I9" s="101">
        <v>1136.9338200000002</v>
      </c>
      <c r="J9" s="101">
        <v>1290.82734</v>
      </c>
      <c r="K9" s="101">
        <v>1411.8518700000002</v>
      </c>
      <c r="L9" s="101">
        <v>1633.09905</v>
      </c>
      <c r="M9" s="101">
        <v>1696.76694</v>
      </c>
      <c r="N9" s="101">
        <v>1777.5509400000001</v>
      </c>
      <c r="O9" s="101">
        <v>1906.3509300000001</v>
      </c>
      <c r="P9" s="101">
        <v>2025.6083100000003</v>
      </c>
      <c r="Q9" s="101">
        <v>2116.0358999999999</v>
      </c>
      <c r="R9" s="101">
        <v>2098.8692999999998</v>
      </c>
      <c r="S9" s="101">
        <v>1989.3636442120185</v>
      </c>
      <c r="T9" s="101">
        <v>2014.3332493472444</v>
      </c>
      <c r="U9" s="101">
        <v>2253.0009984861481</v>
      </c>
      <c r="V9" s="101">
        <v>1811.5625511404319</v>
      </c>
      <c r="W9" s="101">
        <v>2139.0779539442428</v>
      </c>
      <c r="X9" s="101">
        <v>1648.7273454116614</v>
      </c>
      <c r="Y9" s="101">
        <v>1606.9372085923433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109927.61445564</v>
      </c>
      <c r="C17" s="79">
        <f t="shared" si="12"/>
        <v>112113.12032279998</v>
      </c>
      <c r="D17" s="79">
        <f t="shared" si="12"/>
        <v>114374.98143971997</v>
      </c>
      <c r="E17" s="79">
        <f t="shared" si="12"/>
        <v>114857.87605307999</v>
      </c>
      <c r="F17" s="79">
        <f t="shared" si="12"/>
        <v>117155.20451903999</v>
      </c>
      <c r="G17" s="79">
        <f t="shared" si="12"/>
        <v>116115.91610112</v>
      </c>
      <c r="H17" s="79">
        <f t="shared" si="12"/>
        <v>117215.89815779999</v>
      </c>
      <c r="I17" s="79">
        <f t="shared" si="12"/>
        <v>117740.21845751998</v>
      </c>
      <c r="J17" s="79">
        <f t="shared" si="12"/>
        <v>110882.23367039996</v>
      </c>
      <c r="K17" s="79">
        <f t="shared" si="12"/>
        <v>105811.64054783998</v>
      </c>
      <c r="L17" s="79">
        <f t="shared" ref="L17" si="13">SUM(L18,L33)</f>
        <v>103278.89876724</v>
      </c>
      <c r="M17" s="79">
        <f t="shared" ref="M17:V17" si="14">SUM(M18,M33)</f>
        <v>103148.90283131998</v>
      </c>
      <c r="N17" s="79">
        <f t="shared" si="14"/>
        <v>96907.48935803998</v>
      </c>
      <c r="O17" s="79">
        <f t="shared" si="14"/>
        <v>94949.631237959999</v>
      </c>
      <c r="P17" s="79">
        <f t="shared" si="14"/>
        <v>99856.68660252</v>
      </c>
      <c r="Q17" s="79">
        <f t="shared" si="14"/>
        <v>97467.749103600014</v>
      </c>
      <c r="R17" s="79">
        <f t="shared" si="14"/>
        <v>96001.9059672</v>
      </c>
      <c r="S17" s="79">
        <f t="shared" si="14"/>
        <v>91911.841688452012</v>
      </c>
      <c r="T17" s="79">
        <f t="shared" si="14"/>
        <v>94874.358225267235</v>
      </c>
      <c r="U17" s="79">
        <f t="shared" si="14"/>
        <v>95708.286107246153</v>
      </c>
      <c r="V17" s="79">
        <f t="shared" si="14"/>
        <v>77268.77631706043</v>
      </c>
      <c r="W17" s="79">
        <f t="shared" ref="W17:Y17" si="15">SUM(W18,W33)</f>
        <v>94017.735498024238</v>
      </c>
      <c r="X17" s="79">
        <f t="shared" si="15"/>
        <v>98853.98841169168</v>
      </c>
      <c r="Y17" s="79">
        <f t="shared" si="15"/>
        <v>99402.310005592328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79536.035401104076</v>
      </c>
      <c r="C18" s="32">
        <f t="shared" si="16"/>
        <v>80133.836604194687</v>
      </c>
      <c r="D18" s="32">
        <f t="shared" si="16"/>
        <v>82448.338697785992</v>
      </c>
      <c r="E18" s="32">
        <f t="shared" si="16"/>
        <v>82148.087350289192</v>
      </c>
      <c r="F18" s="32">
        <f t="shared" si="16"/>
        <v>82994.528808227653</v>
      </c>
      <c r="G18" s="32">
        <f t="shared" si="16"/>
        <v>79622.209539700416</v>
      </c>
      <c r="H18" s="32">
        <f t="shared" si="16"/>
        <v>82262.521401701277</v>
      </c>
      <c r="I18" s="32">
        <f t="shared" si="16"/>
        <v>81831.011902786078</v>
      </c>
      <c r="J18" s="32">
        <f t="shared" si="16"/>
        <v>79438.955139634694</v>
      </c>
      <c r="K18" s="32">
        <f t="shared" si="16"/>
        <v>78311.299505818766</v>
      </c>
      <c r="L18" s="32">
        <f t="shared" ref="L18" si="17">SUM(L19,L20,L27)</f>
        <v>75270.735859235327</v>
      </c>
      <c r="M18" s="32">
        <f t="shared" ref="M18:V18" si="18">SUM(M19,M20,M27)</f>
        <v>74068.058351287837</v>
      </c>
      <c r="N18" s="32">
        <f t="shared" si="18"/>
        <v>68822.321827516775</v>
      </c>
      <c r="O18" s="32">
        <f t="shared" si="18"/>
        <v>70994.341902034575</v>
      </c>
      <c r="P18" s="32">
        <f t="shared" si="18"/>
        <v>75582.164137744054</v>
      </c>
      <c r="Q18" s="32">
        <f t="shared" si="18"/>
        <v>75892.940994304372</v>
      </c>
      <c r="R18" s="32">
        <f t="shared" si="18"/>
        <v>76418.455440895064</v>
      </c>
      <c r="S18" s="32">
        <f t="shared" si="18"/>
        <v>75207.107545125968</v>
      </c>
      <c r="T18" s="32">
        <f t="shared" si="18"/>
        <v>74769.472590249541</v>
      </c>
      <c r="U18" s="32">
        <f t="shared" si="18"/>
        <v>75280.655989526276</v>
      </c>
      <c r="V18" s="32">
        <f t="shared" si="18"/>
        <v>58960.803042964333</v>
      </c>
      <c r="W18" s="32">
        <f t="shared" ref="W18:Y18" si="19">SUM(W19,W20,W27)</f>
        <v>68306.289815882134</v>
      </c>
      <c r="X18" s="32">
        <f t="shared" si="19"/>
        <v>70606.920024806561</v>
      </c>
      <c r="Y18" s="32">
        <f t="shared" si="19"/>
        <v>72127.861589993583</v>
      </c>
      <c r="DA18" s="173" t="s">
        <v>403</v>
      </c>
    </row>
    <row r="19" spans="1:105" ht="11.45" customHeight="1" x14ac:dyDescent="0.25">
      <c r="A19" s="136" t="s">
        <v>173</v>
      </c>
      <c r="B19" s="141">
        <v>4162.2579605207748</v>
      </c>
      <c r="C19" s="141">
        <v>4204.0809342829207</v>
      </c>
      <c r="D19" s="141">
        <v>4125.0481640171211</v>
      </c>
      <c r="E19" s="141">
        <v>4157.8901375610612</v>
      </c>
      <c r="F19" s="141">
        <v>4277.9906042777875</v>
      </c>
      <c r="G19" s="141">
        <v>4250.8944100694471</v>
      </c>
      <c r="H19" s="141">
        <v>3987.7031678089661</v>
      </c>
      <c r="I19" s="141">
        <v>3492.0680077165653</v>
      </c>
      <c r="J19" s="141">
        <v>3603.1544323105977</v>
      </c>
      <c r="K19" s="141">
        <v>3287.7353809461247</v>
      </c>
      <c r="L19" s="141">
        <v>3305.5311618705541</v>
      </c>
      <c r="M19" s="141">
        <v>3369.0210547555566</v>
      </c>
      <c r="N19" s="141">
        <v>3210.8180222287606</v>
      </c>
      <c r="O19" s="141">
        <v>3098.20209501298</v>
      </c>
      <c r="P19" s="141">
        <v>3132.4485648003806</v>
      </c>
      <c r="Q19" s="141">
        <v>3085.1659305541743</v>
      </c>
      <c r="R19" s="141">
        <v>3126.0314918890081</v>
      </c>
      <c r="S19" s="141">
        <v>2922.1017370447385</v>
      </c>
      <c r="T19" s="141">
        <v>2769.5972205662993</v>
      </c>
      <c r="U19" s="141">
        <v>2990.5779177183185</v>
      </c>
      <c r="V19" s="141">
        <v>2606.6090075874067</v>
      </c>
      <c r="W19" s="141">
        <v>2785.0649355320702</v>
      </c>
      <c r="X19" s="141">
        <v>2803.2662916633531</v>
      </c>
      <c r="Y19" s="141">
        <v>3007.3064914098918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68782.871050569331</v>
      </c>
      <c r="C20" s="130">
        <f t="shared" si="20"/>
        <v>69316.442503078273</v>
      </c>
      <c r="D20" s="130">
        <f t="shared" si="20"/>
        <v>71663.716498285881</v>
      </c>
      <c r="E20" s="130">
        <f t="shared" si="20"/>
        <v>71332.905727246092</v>
      </c>
      <c r="F20" s="130">
        <f t="shared" si="20"/>
        <v>72079.277163342835</v>
      </c>
      <c r="G20" s="130">
        <f t="shared" si="20"/>
        <v>68704.260170455265</v>
      </c>
      <c r="H20" s="130">
        <f t="shared" si="20"/>
        <v>71545.58699003527</v>
      </c>
      <c r="I20" s="130">
        <f t="shared" si="20"/>
        <v>71631.320241187437</v>
      </c>
      <c r="J20" s="130">
        <f t="shared" si="20"/>
        <v>69231.145507345514</v>
      </c>
      <c r="K20" s="130">
        <f t="shared" si="20"/>
        <v>68564.04756142931</v>
      </c>
      <c r="L20" s="130">
        <f t="shared" ref="L20" si="21">SUM(L21:L26)</f>
        <v>65479.355449770977</v>
      </c>
      <c r="M20" s="130">
        <f t="shared" ref="M20:V20" si="22">SUM(M21:M26)</f>
        <v>64035.857076967637</v>
      </c>
      <c r="N20" s="130">
        <f t="shared" si="22"/>
        <v>59215.276161423179</v>
      </c>
      <c r="O20" s="130">
        <f t="shared" si="22"/>
        <v>61482.857091025158</v>
      </c>
      <c r="P20" s="130">
        <f t="shared" si="22"/>
        <v>65934.437393711705</v>
      </c>
      <c r="Q20" s="130">
        <f t="shared" si="22"/>
        <v>66158.346994402935</v>
      </c>
      <c r="R20" s="130">
        <f t="shared" si="22"/>
        <v>66643.878356115427</v>
      </c>
      <c r="S20" s="130">
        <f t="shared" si="22"/>
        <v>65612.264403243084</v>
      </c>
      <c r="T20" s="130">
        <f t="shared" si="22"/>
        <v>65558.700952422005</v>
      </c>
      <c r="U20" s="130">
        <f t="shared" si="22"/>
        <v>65566.192135658639</v>
      </c>
      <c r="V20" s="130">
        <f t="shared" si="22"/>
        <v>49864.915750480388</v>
      </c>
      <c r="W20" s="130">
        <f t="shared" ref="W20:Y20" si="23">SUM(W21:W26)</f>
        <v>58837.322439515148</v>
      </c>
      <c r="X20" s="130">
        <f t="shared" si="23"/>
        <v>61354.492999604532</v>
      </c>
      <c r="Y20" s="130">
        <f t="shared" si="23"/>
        <v>62884.650370247567</v>
      </c>
      <c r="DA20" s="176" t="s">
        <v>405</v>
      </c>
    </row>
    <row r="21" spans="1:105" ht="11.45" customHeight="1" x14ac:dyDescent="0.25">
      <c r="A21" s="111" t="s">
        <v>110</v>
      </c>
      <c r="B21" s="96">
        <v>45915.839217731889</v>
      </c>
      <c r="C21" s="96">
        <v>44859.313826971353</v>
      </c>
      <c r="D21" s="96">
        <v>43801.89812050022</v>
      </c>
      <c r="E21" s="96">
        <v>41988.91606426103</v>
      </c>
      <c r="F21" s="96">
        <v>39056.357112857499</v>
      </c>
      <c r="G21" s="96">
        <v>36023.326244660726</v>
      </c>
      <c r="H21" s="96">
        <v>33769.672334246214</v>
      </c>
      <c r="I21" s="96">
        <v>31834.560191114193</v>
      </c>
      <c r="J21" s="96">
        <v>28925.140603523592</v>
      </c>
      <c r="K21" s="96">
        <v>27869.135856040943</v>
      </c>
      <c r="L21" s="96">
        <v>25899.479710225001</v>
      </c>
      <c r="M21" s="96">
        <v>24763.646318556519</v>
      </c>
      <c r="N21" s="96">
        <v>21688.05609416384</v>
      </c>
      <c r="O21" s="96">
        <v>20739.939468826586</v>
      </c>
      <c r="P21" s="96">
        <v>20984.942057538145</v>
      </c>
      <c r="Q21" s="96">
        <v>20194.105455079236</v>
      </c>
      <c r="R21" s="96">
        <v>18599.896220188966</v>
      </c>
      <c r="S21" s="96">
        <v>18195.409409109889</v>
      </c>
      <c r="T21" s="96">
        <v>18958.35971916054</v>
      </c>
      <c r="U21" s="96">
        <v>18938.208388487892</v>
      </c>
      <c r="V21" s="96">
        <v>14581.548129109759</v>
      </c>
      <c r="W21" s="96">
        <v>18091.557129535675</v>
      </c>
      <c r="X21" s="96">
        <v>20565.855223224615</v>
      </c>
      <c r="Y21" s="96">
        <v>21234.391955291976</v>
      </c>
      <c r="DA21" s="171" t="s">
        <v>751</v>
      </c>
    </row>
    <row r="22" spans="1:105" ht="11.45" customHeight="1" x14ac:dyDescent="0.25">
      <c r="A22" s="111" t="s">
        <v>111</v>
      </c>
      <c r="B22" s="96">
        <v>18039.792661389874</v>
      </c>
      <c r="C22" s="96">
        <v>19631.268110450401</v>
      </c>
      <c r="D22" s="96">
        <v>23278.882244271037</v>
      </c>
      <c r="E22" s="96">
        <v>25066.561238855895</v>
      </c>
      <c r="F22" s="96">
        <v>29073.039197786395</v>
      </c>
      <c r="G22" s="96">
        <v>28912.073703463248</v>
      </c>
      <c r="H22" s="96">
        <v>34008.652033061851</v>
      </c>
      <c r="I22" s="96">
        <v>36079.580697043537</v>
      </c>
      <c r="J22" s="96">
        <v>36340.493467035274</v>
      </c>
      <c r="K22" s="96">
        <v>36362.435789223207</v>
      </c>
      <c r="L22" s="96">
        <v>34777.588153642057</v>
      </c>
      <c r="M22" s="96">
        <v>34332.360614096637</v>
      </c>
      <c r="N22" s="96">
        <v>32368.40732474075</v>
      </c>
      <c r="O22" s="96">
        <v>34929.852841601169</v>
      </c>
      <c r="P22" s="96">
        <v>38885.515478281552</v>
      </c>
      <c r="Q22" s="96">
        <v>39553.132232868033</v>
      </c>
      <c r="R22" s="96">
        <v>41726.340039518102</v>
      </c>
      <c r="S22" s="96">
        <v>41021.934939712934</v>
      </c>
      <c r="T22" s="96">
        <v>40465.828635899183</v>
      </c>
      <c r="U22" s="96">
        <v>40078.235688961198</v>
      </c>
      <c r="V22" s="96">
        <v>30080.774653401873</v>
      </c>
      <c r="W22" s="96">
        <v>35187.021205163241</v>
      </c>
      <c r="X22" s="96">
        <v>35049.232090711448</v>
      </c>
      <c r="Y22" s="96">
        <v>35851.239992782488</v>
      </c>
      <c r="DA22" s="171" t="s">
        <v>752</v>
      </c>
    </row>
    <row r="23" spans="1:105" ht="11.45" customHeight="1" x14ac:dyDescent="0.25">
      <c r="A23" s="111" t="s">
        <v>112</v>
      </c>
      <c r="B23" s="96">
        <v>4097.5866539344979</v>
      </c>
      <c r="C23" s="96">
        <v>4002.6797511794803</v>
      </c>
      <c r="D23" s="96">
        <v>3776.8873376649371</v>
      </c>
      <c r="E23" s="96">
        <v>3472.1392485124375</v>
      </c>
      <c r="F23" s="96">
        <v>3169.8033924356159</v>
      </c>
      <c r="G23" s="96">
        <v>2941.5065828827032</v>
      </c>
      <c r="H23" s="96">
        <v>2817.8451144089081</v>
      </c>
      <c r="I23" s="96">
        <v>2684.1808960190206</v>
      </c>
      <c r="J23" s="96">
        <v>2856.3038143741269</v>
      </c>
      <c r="K23" s="96">
        <v>3110.5984569152497</v>
      </c>
      <c r="L23" s="96">
        <v>3438.2077560381367</v>
      </c>
      <c r="M23" s="96">
        <v>3585.3491818846533</v>
      </c>
      <c r="N23" s="96">
        <v>3823.5883573599945</v>
      </c>
      <c r="O23" s="96">
        <v>4365.1739823124162</v>
      </c>
      <c r="P23" s="96">
        <v>4439.4298676505596</v>
      </c>
      <c r="Q23" s="96">
        <v>4702.8959561088232</v>
      </c>
      <c r="R23" s="96">
        <v>4545.2690978271994</v>
      </c>
      <c r="S23" s="96">
        <v>4746.5680819092722</v>
      </c>
      <c r="T23" s="96">
        <v>4593.918158059877</v>
      </c>
      <c r="U23" s="96">
        <v>4701.959505511848</v>
      </c>
      <c r="V23" s="96">
        <v>3703.3354137069655</v>
      </c>
      <c r="W23" s="96">
        <v>3971.7563580735346</v>
      </c>
      <c r="X23" s="96">
        <v>4363.0021525851525</v>
      </c>
      <c r="Y23" s="96">
        <v>4410.1190219133932</v>
      </c>
      <c r="DA23" s="171" t="s">
        <v>753</v>
      </c>
    </row>
    <row r="24" spans="1:105" ht="11.45" customHeight="1" x14ac:dyDescent="0.25">
      <c r="A24" s="111" t="s">
        <v>113</v>
      </c>
      <c r="B24" s="96">
        <v>729.65251751307142</v>
      </c>
      <c r="C24" s="96">
        <v>823.18081447703923</v>
      </c>
      <c r="D24" s="96">
        <v>806.04879584968774</v>
      </c>
      <c r="E24" s="96">
        <v>805.28917561672631</v>
      </c>
      <c r="F24" s="96">
        <v>780.07746026333791</v>
      </c>
      <c r="G24" s="96">
        <v>827.35363944858284</v>
      </c>
      <c r="H24" s="96">
        <v>949.41750831830086</v>
      </c>
      <c r="I24" s="96">
        <v>1032.9984570106774</v>
      </c>
      <c r="J24" s="96">
        <v>1109.2076224125192</v>
      </c>
      <c r="K24" s="96">
        <v>1221.8774592499117</v>
      </c>
      <c r="L24" s="96">
        <v>1364.0798298657801</v>
      </c>
      <c r="M24" s="96">
        <v>1354.50096242983</v>
      </c>
      <c r="N24" s="96">
        <v>1335.1262006633883</v>
      </c>
      <c r="O24" s="96">
        <v>1435.9347174266968</v>
      </c>
      <c r="P24" s="96">
        <v>1591.4889607856392</v>
      </c>
      <c r="Q24" s="96">
        <v>1673.7011225507185</v>
      </c>
      <c r="R24" s="96">
        <v>1739.8102788530146</v>
      </c>
      <c r="S24" s="96">
        <v>1611.2606965754348</v>
      </c>
      <c r="T24" s="96">
        <v>1498.0834125036949</v>
      </c>
      <c r="U24" s="96">
        <v>1802.5390527835941</v>
      </c>
      <c r="V24" s="96">
        <v>1454.8272680620801</v>
      </c>
      <c r="W24" s="96">
        <v>1508.0717730039191</v>
      </c>
      <c r="X24" s="96">
        <v>1266.7006318366352</v>
      </c>
      <c r="Y24" s="96">
        <v>1261.0182428875337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9.8184495204104424E-2</v>
      </c>
      <c r="O25" s="96">
        <v>11.956080858290722</v>
      </c>
      <c r="P25" s="96">
        <v>33.06102945581712</v>
      </c>
      <c r="Q25" s="96">
        <v>34.512227796120982</v>
      </c>
      <c r="R25" s="96">
        <v>32.562719728144451</v>
      </c>
      <c r="S25" s="96">
        <v>37.09127593555715</v>
      </c>
      <c r="T25" s="96">
        <v>42.511026798713168</v>
      </c>
      <c r="U25" s="96">
        <v>45.249499914110793</v>
      </c>
      <c r="V25" s="96">
        <v>44.430286199704184</v>
      </c>
      <c r="W25" s="96">
        <v>78.915973738776998</v>
      </c>
      <c r="X25" s="96">
        <v>109.70290124668291</v>
      </c>
      <c r="Y25" s="96">
        <v>127.88115737217701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6590.9063900139799</v>
      </c>
      <c r="C27" s="130">
        <f t="shared" si="24"/>
        <v>6613.3131668335009</v>
      </c>
      <c r="D27" s="130">
        <f t="shared" si="24"/>
        <v>6659.5740354829913</v>
      </c>
      <c r="E27" s="130">
        <f t="shared" si="24"/>
        <v>6657.2914854820401</v>
      </c>
      <c r="F27" s="130">
        <f t="shared" si="24"/>
        <v>6637.2610406070371</v>
      </c>
      <c r="G27" s="130">
        <f t="shared" si="24"/>
        <v>6667.0549591757026</v>
      </c>
      <c r="H27" s="130">
        <f t="shared" si="24"/>
        <v>6729.2312438570316</v>
      </c>
      <c r="I27" s="130">
        <f t="shared" si="24"/>
        <v>6707.6236538820849</v>
      </c>
      <c r="J27" s="130">
        <f t="shared" si="24"/>
        <v>6604.6551999785897</v>
      </c>
      <c r="K27" s="130">
        <f t="shared" si="24"/>
        <v>6459.5165634433333</v>
      </c>
      <c r="L27" s="130">
        <f t="shared" ref="L27" si="25">SUM(L28:L32)</f>
        <v>6485.849247593801</v>
      </c>
      <c r="M27" s="130">
        <f t="shared" ref="M27:V27" si="26">SUM(M28:M32)</f>
        <v>6663.1802195646505</v>
      </c>
      <c r="N27" s="130">
        <f t="shared" si="26"/>
        <v>6396.2276438648405</v>
      </c>
      <c r="O27" s="130">
        <f t="shared" si="26"/>
        <v>6413.2827159964372</v>
      </c>
      <c r="P27" s="130">
        <f t="shared" si="26"/>
        <v>6515.2781792319793</v>
      </c>
      <c r="Q27" s="130">
        <f t="shared" si="26"/>
        <v>6649.4280693472683</v>
      </c>
      <c r="R27" s="130">
        <f t="shared" si="26"/>
        <v>6648.5455928906276</v>
      </c>
      <c r="S27" s="130">
        <f t="shared" si="26"/>
        <v>6672.7414048381497</v>
      </c>
      <c r="T27" s="130">
        <f t="shared" si="26"/>
        <v>6441.174417261238</v>
      </c>
      <c r="U27" s="130">
        <f t="shared" si="26"/>
        <v>6723.8859361493169</v>
      </c>
      <c r="V27" s="130">
        <f t="shared" si="26"/>
        <v>6489.2782848965353</v>
      </c>
      <c r="W27" s="130">
        <f t="shared" ref="W27:Y27" si="27">SUM(W28:W32)</f>
        <v>6683.9024408349205</v>
      </c>
      <c r="X27" s="130">
        <f t="shared" si="27"/>
        <v>6449.1607335386752</v>
      </c>
      <c r="Y27" s="130">
        <f t="shared" si="27"/>
        <v>6235.9047283361269</v>
      </c>
      <c r="DA27" s="176" t="s">
        <v>406</v>
      </c>
    </row>
    <row r="28" spans="1:105" ht="11.45" customHeight="1" x14ac:dyDescent="0.25">
      <c r="A28" s="111" t="s">
        <v>110</v>
      </c>
      <c r="B28" s="97">
        <v>5.2276799509019813</v>
      </c>
      <c r="C28" s="97">
        <v>4.6901358876245558</v>
      </c>
      <c r="D28" s="97">
        <v>4.4140030629099716</v>
      </c>
      <c r="E28" s="97">
        <v>3.5411868419447283</v>
      </c>
      <c r="F28" s="97">
        <v>3.0600419640891814</v>
      </c>
      <c r="G28" s="97">
        <v>2.9017296888119062</v>
      </c>
      <c r="H28" s="97">
        <v>2.7318470723706558</v>
      </c>
      <c r="I28" s="97">
        <v>2.5313218970711073</v>
      </c>
      <c r="J28" s="97">
        <v>2.5353621510737132</v>
      </c>
      <c r="K28" s="97">
        <v>2.6829172897785636</v>
      </c>
      <c r="L28" s="97">
        <v>2.7057917852387448</v>
      </c>
      <c r="M28" s="97">
        <v>2.6673167007138807</v>
      </c>
      <c r="N28" s="97">
        <v>2.6247379571017158</v>
      </c>
      <c r="O28" s="97">
        <v>4.4802339343453701</v>
      </c>
      <c r="P28" s="97">
        <v>2.6279259275375026</v>
      </c>
      <c r="Q28" s="97">
        <v>2.5978477876372854</v>
      </c>
      <c r="R28" s="97">
        <v>2.4939396407765781</v>
      </c>
      <c r="S28" s="97">
        <v>2.3599861945149043</v>
      </c>
      <c r="T28" s="97">
        <v>2.2235469639964331</v>
      </c>
      <c r="U28" s="97">
        <v>3.9061916975396112</v>
      </c>
      <c r="V28" s="97">
        <v>3.782034353747167</v>
      </c>
      <c r="W28" s="97">
        <v>3.5839964162015603</v>
      </c>
      <c r="X28" s="97">
        <v>3.4752946203047155</v>
      </c>
      <c r="Y28" s="97">
        <v>3.3519707275352841</v>
      </c>
      <c r="DA28" s="175" t="s">
        <v>757</v>
      </c>
    </row>
    <row r="29" spans="1:105" ht="11.45" customHeight="1" x14ac:dyDescent="0.25">
      <c r="A29" s="111" t="s">
        <v>111</v>
      </c>
      <c r="B29" s="97">
        <v>6579.5025106028188</v>
      </c>
      <c r="C29" s="97">
        <v>6602.4095902259569</v>
      </c>
      <c r="D29" s="97">
        <v>6649.6220338228522</v>
      </c>
      <c r="E29" s="97">
        <v>6646.2770993876129</v>
      </c>
      <c r="F29" s="97">
        <v>6625.0843013381873</v>
      </c>
      <c r="G29" s="97">
        <v>6650.638400748443</v>
      </c>
      <c r="H29" s="97">
        <v>6708.3158899720083</v>
      </c>
      <c r="I29" s="97">
        <v>6655.4311941609067</v>
      </c>
      <c r="J29" s="97">
        <v>6494.6629535336369</v>
      </c>
      <c r="K29" s="97">
        <v>6362.0737638206037</v>
      </c>
      <c r="L29" s="97">
        <v>6378.0979833814899</v>
      </c>
      <c r="M29" s="97">
        <v>6477.3299700887574</v>
      </c>
      <c r="N29" s="97">
        <v>6162.9776442487628</v>
      </c>
      <c r="O29" s="97">
        <v>6156.485692099548</v>
      </c>
      <c r="P29" s="97">
        <v>6303.6344579050865</v>
      </c>
      <c r="Q29" s="97">
        <v>6429.9683021395813</v>
      </c>
      <c r="R29" s="97">
        <v>6516.7966602002825</v>
      </c>
      <c r="S29" s="97">
        <v>6500.0425556291002</v>
      </c>
      <c r="T29" s="97">
        <v>6119.3597415431605</v>
      </c>
      <c r="U29" s="97">
        <v>6513.0816608478526</v>
      </c>
      <c r="V29" s="97">
        <v>6375.4981670624056</v>
      </c>
      <c r="W29" s="97">
        <v>6331.0536826354264</v>
      </c>
      <c r="X29" s="97">
        <v>6303.5376983803835</v>
      </c>
      <c r="Y29" s="97">
        <v>6132.2304053949929</v>
      </c>
      <c r="DA29" s="175" t="s">
        <v>758</v>
      </c>
    </row>
    <row r="30" spans="1:105" ht="11.45" customHeight="1" x14ac:dyDescent="0.25">
      <c r="A30" s="111" t="s">
        <v>112</v>
      </c>
      <c r="B30" s="97">
        <v>2.4686334659276499</v>
      </c>
      <c r="C30" s="97">
        <v>2.7481362931048974</v>
      </c>
      <c r="D30" s="97">
        <v>2.5990937440142732</v>
      </c>
      <c r="E30" s="97">
        <v>2.9978581947891616</v>
      </c>
      <c r="F30" s="97">
        <v>4.6183762626865832</v>
      </c>
      <c r="G30" s="97">
        <v>6.6475124808625434</v>
      </c>
      <c r="H30" s="97">
        <v>7.4871577094025312</v>
      </c>
      <c r="I30" s="97">
        <v>8.9359438389626469</v>
      </c>
      <c r="J30" s="97">
        <v>10.683431050315628</v>
      </c>
      <c r="K30" s="97">
        <v>14.690016144324007</v>
      </c>
      <c r="L30" s="97">
        <v>15.102590848029996</v>
      </c>
      <c r="M30" s="97">
        <v>14.654108415559934</v>
      </c>
      <c r="N30" s="97">
        <v>13.705644193683534</v>
      </c>
      <c r="O30" s="97">
        <v>13.303089679105893</v>
      </c>
      <c r="P30" s="97">
        <v>12.79096686150343</v>
      </c>
      <c r="Q30" s="97">
        <v>12.86463195020348</v>
      </c>
      <c r="R30" s="97">
        <v>12.053540084361233</v>
      </c>
      <c r="S30" s="97">
        <v>11.337137737821678</v>
      </c>
      <c r="T30" s="97">
        <v>10.630576946434788</v>
      </c>
      <c r="U30" s="97">
        <v>10.515155072921036</v>
      </c>
      <c r="V30" s="97">
        <v>10.501597790324444</v>
      </c>
      <c r="W30" s="97">
        <v>9.5873873605126914</v>
      </c>
      <c r="X30" s="97">
        <v>8.0888984435963263</v>
      </c>
      <c r="Y30" s="97">
        <v>6.6695875876945223</v>
      </c>
      <c r="DA30" s="175" t="s">
        <v>759</v>
      </c>
    </row>
    <row r="31" spans="1:105" ht="11.45" customHeight="1" x14ac:dyDescent="0.25">
      <c r="A31" s="111" t="s">
        <v>113</v>
      </c>
      <c r="B31" s="97">
        <v>3.7075659943316661</v>
      </c>
      <c r="C31" s="97">
        <v>3.4653044268144555</v>
      </c>
      <c r="D31" s="97">
        <v>2.9389048532150333</v>
      </c>
      <c r="E31" s="97">
        <v>4.4753410576927593</v>
      </c>
      <c r="F31" s="97">
        <v>4.4983210420733952</v>
      </c>
      <c r="G31" s="97">
        <v>6.8673162575853528</v>
      </c>
      <c r="H31" s="97">
        <v>10.696349103250563</v>
      </c>
      <c r="I31" s="97">
        <v>40.725193985143989</v>
      </c>
      <c r="J31" s="97">
        <v>96.773453243563196</v>
      </c>
      <c r="K31" s="97">
        <v>80.069866188627259</v>
      </c>
      <c r="L31" s="97">
        <v>89.94288157904279</v>
      </c>
      <c r="M31" s="97">
        <v>168.52882435961919</v>
      </c>
      <c r="N31" s="97">
        <v>216.91961746529259</v>
      </c>
      <c r="O31" s="97">
        <v>239.01370028343837</v>
      </c>
      <c r="P31" s="97">
        <v>196.22482853785061</v>
      </c>
      <c r="Q31" s="97">
        <v>203.9972874698465</v>
      </c>
      <c r="R31" s="97">
        <v>117.20145296520781</v>
      </c>
      <c r="S31" s="97">
        <v>159.00172527671327</v>
      </c>
      <c r="T31" s="97">
        <v>308.96055180764608</v>
      </c>
      <c r="U31" s="97">
        <v>196.38292853100415</v>
      </c>
      <c r="V31" s="97">
        <v>99.496485690058392</v>
      </c>
      <c r="W31" s="97">
        <v>339.67737442278019</v>
      </c>
      <c r="X31" s="97">
        <v>134.05884209439114</v>
      </c>
      <c r="Y31" s="97">
        <v>93.652764625903941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30391.579054535912</v>
      </c>
      <c r="C33" s="32">
        <f t="shared" si="28"/>
        <v>31979.2837186053</v>
      </c>
      <c r="D33" s="32">
        <f t="shared" si="28"/>
        <v>31926.642741933974</v>
      </c>
      <c r="E33" s="32">
        <f t="shared" si="28"/>
        <v>32709.788702790807</v>
      </c>
      <c r="F33" s="32">
        <f t="shared" si="28"/>
        <v>34160.675710812342</v>
      </c>
      <c r="G33" s="32">
        <f t="shared" si="28"/>
        <v>36493.706561419589</v>
      </c>
      <c r="H33" s="32">
        <f t="shared" si="28"/>
        <v>34953.376756098725</v>
      </c>
      <c r="I33" s="32">
        <f t="shared" si="28"/>
        <v>35909.206554733901</v>
      </c>
      <c r="J33" s="32">
        <f t="shared" si="28"/>
        <v>31443.278530765263</v>
      </c>
      <c r="K33" s="32">
        <f t="shared" si="28"/>
        <v>27500.341042021217</v>
      </c>
      <c r="L33" s="32">
        <f t="shared" ref="L33" si="29">L34+L40</f>
        <v>28008.16290800467</v>
      </c>
      <c r="M33" s="32">
        <f t="shared" ref="M33:V33" si="30">M34+M40</f>
        <v>29080.844480032149</v>
      </c>
      <c r="N33" s="32">
        <f t="shared" si="30"/>
        <v>28085.167530523198</v>
      </c>
      <c r="O33" s="32">
        <f t="shared" si="30"/>
        <v>23955.289335925423</v>
      </c>
      <c r="P33" s="32">
        <f t="shared" si="30"/>
        <v>24274.522464775946</v>
      </c>
      <c r="Q33" s="32">
        <f t="shared" si="30"/>
        <v>21574.808109295634</v>
      </c>
      <c r="R33" s="32">
        <f t="shared" si="30"/>
        <v>19583.450526304932</v>
      </c>
      <c r="S33" s="32">
        <f t="shared" si="30"/>
        <v>16704.734143326044</v>
      </c>
      <c r="T33" s="32">
        <f t="shared" si="30"/>
        <v>20104.885635017687</v>
      </c>
      <c r="U33" s="32">
        <f t="shared" si="30"/>
        <v>20427.630117719877</v>
      </c>
      <c r="V33" s="32">
        <f t="shared" si="30"/>
        <v>18307.973274096097</v>
      </c>
      <c r="W33" s="32">
        <f t="shared" ref="W33:Y33" si="31">W34+W40</f>
        <v>25711.445682142104</v>
      </c>
      <c r="X33" s="32">
        <f t="shared" si="31"/>
        <v>28247.068386885112</v>
      </c>
      <c r="Y33" s="32">
        <f t="shared" si="31"/>
        <v>27274.448415598737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22547.894825934229</v>
      </c>
      <c r="C34" s="141">
        <f t="shared" si="32"/>
        <v>20338.598894175135</v>
      </c>
      <c r="D34" s="141">
        <f t="shared" si="32"/>
        <v>20211.189458813707</v>
      </c>
      <c r="E34" s="141">
        <f t="shared" si="32"/>
        <v>21279.119898272078</v>
      </c>
      <c r="F34" s="141">
        <f t="shared" si="32"/>
        <v>22137.224703642754</v>
      </c>
      <c r="G34" s="141">
        <f t="shared" si="32"/>
        <v>23779.69054988867</v>
      </c>
      <c r="H34" s="141">
        <f t="shared" si="32"/>
        <v>20501.484891596974</v>
      </c>
      <c r="I34" s="141">
        <f t="shared" si="32"/>
        <v>21640.773364172735</v>
      </c>
      <c r="J34" s="141">
        <f t="shared" si="32"/>
        <v>20637.902629294789</v>
      </c>
      <c r="K34" s="141">
        <f t="shared" si="32"/>
        <v>19591.376364441407</v>
      </c>
      <c r="L34" s="141">
        <f t="shared" ref="L34" si="33">SUM(L35:L39)</f>
        <v>20606.227466374407</v>
      </c>
      <c r="M34" s="141">
        <f t="shared" ref="M34:V34" si="34">SUM(M35:M39)</f>
        <v>20966.248777907094</v>
      </c>
      <c r="N34" s="141">
        <f t="shared" si="34"/>
        <v>18349.34986172443</v>
      </c>
      <c r="O34" s="141">
        <f t="shared" si="34"/>
        <v>15992.89016212895</v>
      </c>
      <c r="P34" s="141">
        <f t="shared" si="34"/>
        <v>16436.253949041246</v>
      </c>
      <c r="Q34" s="141">
        <f t="shared" si="34"/>
        <v>13047.255219973586</v>
      </c>
      <c r="R34" s="141">
        <f t="shared" si="34"/>
        <v>12184.724097514943</v>
      </c>
      <c r="S34" s="141">
        <f t="shared" si="34"/>
        <v>12188.714603211962</v>
      </c>
      <c r="T34" s="141">
        <f t="shared" si="34"/>
        <v>12471.526749054989</v>
      </c>
      <c r="U34" s="141">
        <f t="shared" si="34"/>
        <v>12695.408174310338</v>
      </c>
      <c r="V34" s="141">
        <f t="shared" si="34"/>
        <v>12211.001020449996</v>
      </c>
      <c r="W34" s="141">
        <f t="shared" ref="W34:Y34" si="35">SUM(W35:W39)</f>
        <v>14794.296809711686</v>
      </c>
      <c r="X34" s="141">
        <f t="shared" si="35"/>
        <v>13030.701709419833</v>
      </c>
      <c r="Y34" s="141">
        <f t="shared" si="35"/>
        <v>11863.319608319869</v>
      </c>
      <c r="DA34" s="174" t="s">
        <v>412</v>
      </c>
    </row>
    <row r="35" spans="1:105" ht="11.45" customHeight="1" x14ac:dyDescent="0.25">
      <c r="A35" s="111" t="s">
        <v>110</v>
      </c>
      <c r="B35" s="96">
        <v>853.56108635642886</v>
      </c>
      <c r="C35" s="96">
        <v>856.46659197811107</v>
      </c>
      <c r="D35" s="96">
        <v>868.03640153973413</v>
      </c>
      <c r="E35" s="96">
        <v>871.36583905596353</v>
      </c>
      <c r="F35" s="96">
        <v>851.59853002062573</v>
      </c>
      <c r="G35" s="96">
        <v>850.48713242101758</v>
      </c>
      <c r="H35" s="96">
        <v>833.61713403246233</v>
      </c>
      <c r="I35" s="96">
        <v>718.48285155216388</v>
      </c>
      <c r="J35" s="96">
        <v>678.00674657472598</v>
      </c>
      <c r="K35" s="96">
        <v>631.40507344314176</v>
      </c>
      <c r="L35" s="96">
        <v>607.36096383920778</v>
      </c>
      <c r="M35" s="96">
        <v>612.522882267211</v>
      </c>
      <c r="N35" s="96">
        <v>543.97685027508965</v>
      </c>
      <c r="O35" s="96">
        <v>514.62852136779759</v>
      </c>
      <c r="P35" s="96">
        <v>493.60396683812183</v>
      </c>
      <c r="Q35" s="96">
        <v>452.1324833428302</v>
      </c>
      <c r="R35" s="96">
        <v>434.1425394331049</v>
      </c>
      <c r="S35" s="96">
        <v>408.48022583530036</v>
      </c>
      <c r="T35" s="96">
        <v>394.26686007044884</v>
      </c>
      <c r="U35" s="96">
        <v>397.08768534213681</v>
      </c>
      <c r="V35" s="96">
        <v>401.54795678938638</v>
      </c>
      <c r="W35" s="96">
        <v>409.71414269728172</v>
      </c>
      <c r="X35" s="96">
        <v>434.78655924504625</v>
      </c>
      <c r="Y35" s="96">
        <v>454.042184478416</v>
      </c>
      <c r="DA35" s="171" t="s">
        <v>762</v>
      </c>
    </row>
    <row r="36" spans="1:105" ht="11.45" customHeight="1" x14ac:dyDescent="0.25">
      <c r="A36" s="111" t="s">
        <v>111</v>
      </c>
      <c r="B36" s="96">
        <v>21632.70293048563</v>
      </c>
      <c r="C36" s="96">
        <v>19415.859903813463</v>
      </c>
      <c r="D36" s="96">
        <v>19270.110369865826</v>
      </c>
      <c r="E36" s="96">
        <v>20327.455388317761</v>
      </c>
      <c r="F36" s="96">
        <v>21199.142594105841</v>
      </c>
      <c r="G36" s="96">
        <v>22833.351704257384</v>
      </c>
      <c r="H36" s="96">
        <v>19565.065801384375</v>
      </c>
      <c r="I36" s="96">
        <v>20820.850558234379</v>
      </c>
      <c r="J36" s="96">
        <v>19830.729089040589</v>
      </c>
      <c r="K36" s="96">
        <v>18794.105720456377</v>
      </c>
      <c r="L36" s="96">
        <v>19749.344161346191</v>
      </c>
      <c r="M36" s="96">
        <v>20102.397933689546</v>
      </c>
      <c r="N36" s="96">
        <v>17498.6518911317</v>
      </c>
      <c r="O36" s="96">
        <v>15164.040101422808</v>
      </c>
      <c r="P36" s="96">
        <v>15617.309996998674</v>
      </c>
      <c r="Q36" s="96">
        <v>12271.645535670346</v>
      </c>
      <c r="R36" s="96">
        <v>11427.691802571619</v>
      </c>
      <c r="S36" s="96">
        <v>11479.324382223884</v>
      </c>
      <c r="T36" s="96">
        <v>11789.723014674948</v>
      </c>
      <c r="U36" s="96">
        <v>11958.668962941421</v>
      </c>
      <c r="V36" s="96">
        <v>11465.209703449606</v>
      </c>
      <c r="W36" s="96">
        <v>13990.732390090909</v>
      </c>
      <c r="X36" s="96">
        <v>12262.734526002896</v>
      </c>
      <c r="Y36" s="96">
        <v>11067.911089423635</v>
      </c>
      <c r="DA36" s="171" t="s">
        <v>763</v>
      </c>
    </row>
    <row r="37" spans="1:105" ht="11.45" customHeight="1" x14ac:dyDescent="0.25">
      <c r="A37" s="111" t="s">
        <v>112</v>
      </c>
      <c r="B37" s="96">
        <v>27.441912599574607</v>
      </c>
      <c r="C37" s="96">
        <v>29.186087287414786</v>
      </c>
      <c r="D37" s="96">
        <v>31.62731811104878</v>
      </c>
      <c r="E37" s="96">
        <v>34.106217572772778</v>
      </c>
      <c r="F37" s="96">
        <v>35.853780821695985</v>
      </c>
      <c r="G37" s="96">
        <v>38.621228916435292</v>
      </c>
      <c r="H37" s="96">
        <v>39.534003601691161</v>
      </c>
      <c r="I37" s="96">
        <v>38.229785382017795</v>
      </c>
      <c r="J37" s="96">
        <v>44.320529335558589</v>
      </c>
      <c r="K37" s="96">
        <v>55.961025980427074</v>
      </c>
      <c r="L37" s="96">
        <v>70.446002633832506</v>
      </c>
      <c r="M37" s="96">
        <v>77.590808739786524</v>
      </c>
      <c r="N37" s="96">
        <v>81.215998446323141</v>
      </c>
      <c r="O37" s="96">
        <v>82.819027048477352</v>
      </c>
      <c r="P37" s="96">
        <v>87.445464527937631</v>
      </c>
      <c r="Q37" s="96">
        <v>85.139710980974499</v>
      </c>
      <c r="R37" s="96">
        <v>81.032187328440571</v>
      </c>
      <c r="S37" s="96">
        <v>81.80877279290614</v>
      </c>
      <c r="T37" s="96">
        <v>80.247589273688803</v>
      </c>
      <c r="U37" s="96">
        <v>85.572508855229813</v>
      </c>
      <c r="V37" s="96">
        <v>87.004562822710668</v>
      </c>
      <c r="W37" s="96">
        <v>102.5214704059527</v>
      </c>
      <c r="X37" s="96">
        <v>85.212752691253172</v>
      </c>
      <c r="Y37" s="96">
        <v>89.100133338912599</v>
      </c>
      <c r="DA37" s="171" t="s">
        <v>764</v>
      </c>
    </row>
    <row r="38" spans="1:105" ht="11.45" customHeight="1" x14ac:dyDescent="0.25">
      <c r="A38" s="111" t="s">
        <v>113</v>
      </c>
      <c r="B38" s="96">
        <v>34.188896492597166</v>
      </c>
      <c r="C38" s="96">
        <v>37.086311096146424</v>
      </c>
      <c r="D38" s="96">
        <v>41.415369297097442</v>
      </c>
      <c r="E38" s="96">
        <v>46.19245332558112</v>
      </c>
      <c r="F38" s="96">
        <v>50.629798694588722</v>
      </c>
      <c r="G38" s="96">
        <v>57.230484293831843</v>
      </c>
      <c r="H38" s="96">
        <v>63.2679525784486</v>
      </c>
      <c r="I38" s="96">
        <v>63.210169004178731</v>
      </c>
      <c r="J38" s="96">
        <v>84.846264343917767</v>
      </c>
      <c r="K38" s="96">
        <v>109.90454456146126</v>
      </c>
      <c r="L38" s="96">
        <v>179.07633855517707</v>
      </c>
      <c r="M38" s="96">
        <v>173.73715321055093</v>
      </c>
      <c r="N38" s="96">
        <v>225.50512187131932</v>
      </c>
      <c r="O38" s="96">
        <v>231.40251228986477</v>
      </c>
      <c r="P38" s="96">
        <v>237.89452067651044</v>
      </c>
      <c r="Q38" s="96">
        <v>238.33748997943468</v>
      </c>
      <c r="R38" s="96">
        <v>241.85756818177765</v>
      </c>
      <c r="S38" s="96">
        <v>219.10122235987041</v>
      </c>
      <c r="T38" s="96">
        <v>207.28928503590305</v>
      </c>
      <c r="U38" s="96">
        <v>254.07901717154991</v>
      </c>
      <c r="V38" s="96">
        <v>257.23879738829328</v>
      </c>
      <c r="W38" s="96">
        <v>291.32880651754357</v>
      </c>
      <c r="X38" s="96">
        <v>247.96787148063507</v>
      </c>
      <c r="Y38" s="96">
        <v>252.2662010789056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7843.6842286016818</v>
      </c>
      <c r="C40" s="130">
        <f t="shared" si="36"/>
        <v>11640.684824430167</v>
      </c>
      <c r="D40" s="130">
        <f t="shared" si="36"/>
        <v>11715.453283120269</v>
      </c>
      <c r="E40" s="130">
        <f t="shared" si="36"/>
        <v>11430.668804518729</v>
      </c>
      <c r="F40" s="130">
        <f t="shared" si="36"/>
        <v>12023.451007169588</v>
      </c>
      <c r="G40" s="130">
        <f t="shared" si="36"/>
        <v>12714.016011530923</v>
      </c>
      <c r="H40" s="130">
        <f t="shared" si="36"/>
        <v>14451.891864501751</v>
      </c>
      <c r="I40" s="130">
        <f t="shared" si="36"/>
        <v>14268.433190561165</v>
      </c>
      <c r="J40" s="130">
        <f t="shared" si="36"/>
        <v>10805.375901470474</v>
      </c>
      <c r="K40" s="130">
        <f t="shared" si="36"/>
        <v>7908.9646775798101</v>
      </c>
      <c r="L40" s="130">
        <f t="shared" ref="L40" si="37">SUM(L41:L42)</f>
        <v>7401.935441630264</v>
      </c>
      <c r="M40" s="130">
        <f t="shared" ref="M40:V40" si="38">SUM(M41:M42)</f>
        <v>8114.5957021250542</v>
      </c>
      <c r="N40" s="130">
        <f t="shared" si="38"/>
        <v>9735.8176687987689</v>
      </c>
      <c r="O40" s="130">
        <f t="shared" si="38"/>
        <v>7962.3991737964716</v>
      </c>
      <c r="P40" s="130">
        <f t="shared" si="38"/>
        <v>7838.2685157346996</v>
      </c>
      <c r="Q40" s="130">
        <f t="shared" si="38"/>
        <v>8527.5528893220489</v>
      </c>
      <c r="R40" s="130">
        <f t="shared" si="38"/>
        <v>7398.7264287899889</v>
      </c>
      <c r="S40" s="130">
        <f t="shared" si="38"/>
        <v>4516.0195401140827</v>
      </c>
      <c r="T40" s="130">
        <f t="shared" si="38"/>
        <v>7633.3588859626961</v>
      </c>
      <c r="U40" s="130">
        <f t="shared" si="38"/>
        <v>7732.2219434095368</v>
      </c>
      <c r="V40" s="130">
        <f t="shared" si="38"/>
        <v>6096.9722536461013</v>
      </c>
      <c r="W40" s="130">
        <f t="shared" ref="W40:Y40" si="39">SUM(W41:W42)</f>
        <v>10917.14887243042</v>
      </c>
      <c r="X40" s="130">
        <f t="shared" si="39"/>
        <v>15216.366677465281</v>
      </c>
      <c r="Y40" s="130">
        <f t="shared" si="39"/>
        <v>15411.12880727887</v>
      </c>
      <c r="DA40" s="176" t="s">
        <v>413</v>
      </c>
    </row>
    <row r="41" spans="1:105" ht="11.45" customHeight="1" x14ac:dyDescent="0.25">
      <c r="A41" s="128" t="s">
        <v>27</v>
      </c>
      <c r="B41" s="97">
        <v>6694.6672343297205</v>
      </c>
      <c r="C41" s="97">
        <v>9786.0422542104061</v>
      </c>
      <c r="D41" s="97">
        <v>9772.4565772272472</v>
      </c>
      <c r="E41" s="97">
        <v>9456.1717503048239</v>
      </c>
      <c r="F41" s="97">
        <v>9968.0269247960532</v>
      </c>
      <c r="G41" s="97">
        <v>10536.694748586815</v>
      </c>
      <c r="H41" s="97">
        <v>11472.10776316481</v>
      </c>
      <c r="I41" s="97">
        <v>11401.588257439002</v>
      </c>
      <c r="J41" s="97">
        <v>8487.9944420112133</v>
      </c>
      <c r="K41" s="97">
        <v>6373.2252350071612</v>
      </c>
      <c r="L41" s="97">
        <v>5900.409175626417</v>
      </c>
      <c r="M41" s="97">
        <v>6443.13252916288</v>
      </c>
      <c r="N41" s="97">
        <v>7640.4377038663151</v>
      </c>
      <c r="O41" s="97">
        <v>6168.2312575810083</v>
      </c>
      <c r="P41" s="97">
        <v>5929.3305492364925</v>
      </c>
      <c r="Q41" s="97">
        <v>6453.793713004954</v>
      </c>
      <c r="R41" s="97">
        <v>5493.7342960156684</v>
      </c>
      <c r="S41" s="97">
        <v>3279.614896685508</v>
      </c>
      <c r="T41" s="97">
        <v>5601.6939297122763</v>
      </c>
      <c r="U41" s="97">
        <v>5668.6094316957833</v>
      </c>
      <c r="V41" s="97">
        <v>4436.8323893631405</v>
      </c>
      <c r="W41" s="97">
        <v>7836.0346669765486</v>
      </c>
      <c r="X41" s="97">
        <v>10929.97777697044</v>
      </c>
      <c r="Y41" s="97">
        <v>11232.371631390537</v>
      </c>
      <c r="DA41" s="175" t="s">
        <v>767</v>
      </c>
    </row>
    <row r="42" spans="1:105" ht="11.45" customHeight="1" x14ac:dyDescent="0.25">
      <c r="A42" s="138" t="s">
        <v>116</v>
      </c>
      <c r="B42" s="98">
        <v>1149.0169942719613</v>
      </c>
      <c r="C42" s="98">
        <v>1854.6425702197607</v>
      </c>
      <c r="D42" s="98">
        <v>1942.996705893022</v>
      </c>
      <c r="E42" s="98">
        <v>1974.497054213906</v>
      </c>
      <c r="F42" s="98">
        <v>2055.424082373534</v>
      </c>
      <c r="G42" s="98">
        <v>2177.3212629441068</v>
      </c>
      <c r="H42" s="98">
        <v>2979.7841013369411</v>
      </c>
      <c r="I42" s="98">
        <v>2866.8449331221641</v>
      </c>
      <c r="J42" s="98">
        <v>2317.3814594592604</v>
      </c>
      <c r="K42" s="98">
        <v>1535.7394425726491</v>
      </c>
      <c r="L42" s="98">
        <v>1501.5262660038468</v>
      </c>
      <c r="M42" s="98">
        <v>1671.4631729621738</v>
      </c>
      <c r="N42" s="98">
        <v>2095.3799649324533</v>
      </c>
      <c r="O42" s="98">
        <v>1794.1679162154637</v>
      </c>
      <c r="P42" s="98">
        <v>1908.9379664982071</v>
      </c>
      <c r="Q42" s="98">
        <v>2073.7591763170954</v>
      </c>
      <c r="R42" s="98">
        <v>1904.9921327743202</v>
      </c>
      <c r="S42" s="98">
        <v>1236.4046434285751</v>
      </c>
      <c r="T42" s="98">
        <v>2031.6649562504199</v>
      </c>
      <c r="U42" s="98">
        <v>2063.6125117137535</v>
      </c>
      <c r="V42" s="98">
        <v>1660.1398642829606</v>
      </c>
      <c r="W42" s="98">
        <v>3081.1142054538709</v>
      </c>
      <c r="X42" s="98">
        <v>4286.3889004948423</v>
      </c>
      <c r="Y42" s="98">
        <v>4178.7571758883323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2.980571426344512</v>
      </c>
      <c r="C47" s="145">
        <f>IF(C4=0,0,C4/TrRoad_ene!C4)</f>
        <v>2.984274242762829</v>
      </c>
      <c r="D47" s="145">
        <f>IF(D4=0,0,D4/TrRoad_ene!D4)</f>
        <v>2.989572278825114</v>
      </c>
      <c r="E47" s="145">
        <f>IF(E4=0,0,E4/TrRoad_ene!E4)</f>
        <v>2.9944007487258228</v>
      </c>
      <c r="F47" s="145">
        <f>IF(F4=0,0,F4/TrRoad_ene!F4)</f>
        <v>2.9834255460907766</v>
      </c>
      <c r="G47" s="145">
        <f>IF(G4=0,0,G4/TrRoad_ene!G4)</f>
        <v>2.9940270099515001</v>
      </c>
      <c r="H47" s="145">
        <f>IF(H4=0,0,H4/TrRoad_ene!H4)</f>
        <v>3.0001796791671165</v>
      </c>
      <c r="I47" s="145">
        <f>IF(I4=0,0,I4/TrRoad_ene!I4)</f>
        <v>3.0061394693664516</v>
      </c>
      <c r="J47" s="145">
        <f>IF(J4=0,0,J4/TrRoad_ene!J4)</f>
        <v>2.9562318164705728</v>
      </c>
      <c r="K47" s="145">
        <f>IF(K4=0,0,K4/TrRoad_ene!K4)</f>
        <v>2.9161095013055669</v>
      </c>
      <c r="L47" s="145">
        <f>IF(L4=0,0,L4/TrRoad_ene!L4)</f>
        <v>2.8895274197721004</v>
      </c>
      <c r="M47" s="145">
        <f>IF(M4=0,0,M4/TrRoad_ene!M4)</f>
        <v>2.8913821398416868</v>
      </c>
      <c r="N47" s="145">
        <f>IF(N4=0,0,N4/TrRoad_ene!N4)</f>
        <v>2.8860353379865504</v>
      </c>
      <c r="O47" s="145">
        <f>IF(O4=0,0,O4/TrRoad_ene!O4)</f>
        <v>2.8896797675804611</v>
      </c>
      <c r="P47" s="145">
        <f>IF(P4=0,0,P4/TrRoad_ene!P4)</f>
        <v>2.9131550831654662</v>
      </c>
      <c r="Q47" s="145">
        <f>IF(Q4=0,0,Q4/TrRoad_ene!Q4)</f>
        <v>2.8996042146374426</v>
      </c>
      <c r="R47" s="145">
        <f>IF(R4=0,0,R4/TrRoad_ene!R4)</f>
        <v>2.9117598974298633</v>
      </c>
      <c r="S47" s="145">
        <f>IF(S4=0,0,S4/TrRoad_ene!S4)</f>
        <v>2.9030848337074904</v>
      </c>
      <c r="T47" s="145">
        <f>IF(T4=0,0,T4/TrRoad_ene!T4)</f>
        <v>2.8915006578455746</v>
      </c>
      <c r="U47" s="145">
        <f>IF(U4=0,0,U4/TrRoad_ene!U4)</f>
        <v>2.8873996011949639</v>
      </c>
      <c r="V47" s="145">
        <f>IF(V4=0,0,V4/TrRoad_ene!V4)</f>
        <v>2.8625755281173739</v>
      </c>
      <c r="W47" s="145">
        <f>IF(W4=0,0,W4/TrRoad_ene!W4)</f>
        <v>2.8751173490541557</v>
      </c>
      <c r="X47" s="145">
        <f>IF(X4=0,0,X4/TrRoad_ene!X4)</f>
        <v>2.8844395128201699</v>
      </c>
      <c r="Y47" s="145">
        <f>IF(Y4=0,0,Y4/TrRoad_ene!Y4)</f>
        <v>2.8730507164009902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2.9014524000000006</v>
      </c>
      <c r="I48" s="97">
        <f>IF(I7=0,0,(I7+I12)/(TrRoad_ene!I7+TrRoad_ene!I12))</f>
        <v>2.9014524000000002</v>
      </c>
      <c r="J48" s="97">
        <f>IF(J7=0,0,(J7+J12)/(TrRoad_ene!J7+TrRoad_ene!J12))</f>
        <v>2.8836882583134686</v>
      </c>
      <c r="K48" s="97">
        <f>IF(K7=0,0,(K7+K12)/(TrRoad_ene!K7+TrRoad_ene!K12))</f>
        <v>2.8770683389721281</v>
      </c>
      <c r="L48" s="97">
        <f>IF(L7=0,0,(L7+L12)/(TrRoad_ene!L7+TrRoad_ene!L12))</f>
        <v>2.8673860210307147</v>
      </c>
      <c r="M48" s="97">
        <f>IF(M7=0,0,(M7+M12)/(TrRoad_ene!M7+TrRoad_ene!M12))</f>
        <v>2.8683722446012925</v>
      </c>
      <c r="N48" s="97">
        <f>IF(N7=0,0,(N7+N12)/(TrRoad_ene!N7+TrRoad_ene!N12))</f>
        <v>2.8670985282521895</v>
      </c>
      <c r="O48" s="97">
        <f>IF(O7=0,0,(O7+O12)/(TrRoad_ene!O7+TrRoad_ene!O12))</f>
        <v>2.8760040919252972</v>
      </c>
      <c r="P48" s="97">
        <f>IF(P7=0,0,(P7+P12)/(TrRoad_ene!P7+TrRoad_ene!P12))</f>
        <v>2.8980405686069077</v>
      </c>
      <c r="Q48" s="97">
        <f>IF(Q7=0,0,(Q7+Q12)/(TrRoad_ene!Q7+TrRoad_ene!Q12))</f>
        <v>2.8926946047092432</v>
      </c>
      <c r="R48" s="97">
        <f>IF(R7=0,0,(R7+R12)/(TrRoad_ene!R7+TrRoad_ene!R12))</f>
        <v>2.889161241535299</v>
      </c>
      <c r="S48" s="97">
        <f>IF(S7=0,0,(S7+S12)/(TrRoad_ene!S7+TrRoad_ene!S12))</f>
        <v>2.8886037268441438</v>
      </c>
      <c r="T48" s="97">
        <f>IF(T7=0,0,(T7+T12)/(TrRoad_ene!T7+TrRoad_ene!T12))</f>
        <v>2.8891201750461457</v>
      </c>
      <c r="U48" s="97">
        <f>IF(U7=0,0,(U7+U12)/(TrRoad_ene!U7+TrRoad_ene!U12))</f>
        <v>2.8900461057944837</v>
      </c>
      <c r="V48" s="97">
        <f>IF(V7=0,0,(V7+V12)/(TrRoad_ene!V7+TrRoad_ene!V12))</f>
        <v>2.8921102651290767</v>
      </c>
      <c r="W48" s="97">
        <f>IF(W7=0,0,(W7+W12)/(TrRoad_ene!W7+TrRoad_ene!W12))</f>
        <v>2.8908192105254482</v>
      </c>
      <c r="X48" s="97">
        <f>IF(X7=0,0,(X7+X12)/(TrRoad_ene!X7+TrRoad_ene!X12))</f>
        <v>2.8891882959241255</v>
      </c>
      <c r="Y48" s="97">
        <f>IF(Y7=0,0,(Y7+Y12)/(TrRoad_ene!Y7+TrRoad_ene!Y12))</f>
        <v>2.8728791211768279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3.0675076995871602</v>
      </c>
      <c r="G49" s="97">
        <f>IF(G8=0,0,(G8+G13+G14)/(TrRoad_ene!G8+TrRoad_ene!G13+TrRoad_ene!G14))</f>
        <v>3.0786786631943972</v>
      </c>
      <c r="H49" s="97">
        <f>IF(H8=0,0,(H8+H13+H14)/(TrRoad_ene!H8+TrRoad_ene!H13+TrRoad_ene!H14))</f>
        <v>3.0820663532930688</v>
      </c>
      <c r="I49" s="97">
        <f>IF(I8=0,0,(I8+I13+I14)/(TrRoad_ene!I8+TrRoad_ene!I13+TrRoad_ene!I14))</f>
        <v>3.0852455856923338</v>
      </c>
      <c r="J49" s="97">
        <f>IF(J8=0,0,(J8+J13+J14)/(TrRoad_ene!J8+TrRoad_ene!J13+TrRoad_ene!J14))</f>
        <v>3.0185017674872454</v>
      </c>
      <c r="K49" s="97">
        <f>IF(K8=0,0,(K8+K13+K14)/(TrRoad_ene!K8+TrRoad_ene!K13+TrRoad_ene!K14))</f>
        <v>2.9631700034236874</v>
      </c>
      <c r="L49" s="97">
        <f>IF(L8=0,0,(L8+L13+L14)/(TrRoad_ene!L8+TrRoad_ene!L13+TrRoad_ene!L14))</f>
        <v>2.9297884081262424</v>
      </c>
      <c r="M49" s="97">
        <f>IF(M8=0,0,(M8+M13+M14)/(TrRoad_ene!M8+TrRoad_ene!M13+TrRoad_ene!M14))</f>
        <v>2.9328100631145375</v>
      </c>
      <c r="N49" s="97">
        <f>IF(N8=0,0,(N8+N13+N14)/(TrRoad_ene!N8+TrRoad_ene!N13+TrRoad_ene!N14))</f>
        <v>2.9279888339043496</v>
      </c>
      <c r="O49" s="97">
        <f>IF(O8=0,0,(O8+O13+O14)/(TrRoad_ene!O8+TrRoad_ene!O13+TrRoad_ene!O14))</f>
        <v>2.9353524859564586</v>
      </c>
      <c r="P49" s="97">
        <f>IF(P8=0,0,(P8+P13+P14)/(TrRoad_ene!P8+TrRoad_ene!P13+TrRoad_ene!P14))</f>
        <v>2.9612023888046384</v>
      </c>
      <c r="Q49" s="97">
        <f>IF(Q8=0,0,(Q8+Q13+Q14)/(TrRoad_ene!Q8+TrRoad_ene!Q13+TrRoad_ene!Q14))</f>
        <v>2.9461487488944949</v>
      </c>
      <c r="R49" s="97">
        <f>IF(R8=0,0,(R8+R13+R14)/(TrRoad_ene!R8+TrRoad_ene!R13+TrRoad_ene!R14))</f>
        <v>2.9641633473565911</v>
      </c>
      <c r="S49" s="97">
        <f>IF(S8=0,0,(S8+S13+S14)/(TrRoad_ene!S8+TrRoad_ene!S13+TrRoad_ene!S14))</f>
        <v>2.9539964519385991</v>
      </c>
      <c r="T49" s="97">
        <f>IF(T8=0,0,(T8+T13+T14)/(TrRoad_ene!T8+TrRoad_ene!T13+TrRoad_ene!T14))</f>
        <v>2.9345530346667035</v>
      </c>
      <c r="U49" s="97">
        <f>IF(U8=0,0,(U8+U13+U14)/(TrRoad_ene!U8+TrRoad_ene!U13+TrRoad_ene!U14))</f>
        <v>2.9314989241780185</v>
      </c>
      <c r="V49" s="97">
        <f>IF(V8=0,0,(V8+V13+V14)/(TrRoad_ene!V8+TrRoad_ene!V13+TrRoad_ene!V14))</f>
        <v>2.8953762715121427</v>
      </c>
      <c r="W49" s="97">
        <f>IF(W8=0,0,(W8+W13+W14)/(TrRoad_ene!W8+TrRoad_ene!W13+TrRoad_ene!W14))</f>
        <v>2.9134940972320793</v>
      </c>
      <c r="X49" s="97">
        <f>IF(X8=0,0,(X8+X13+X14)/(TrRoad_ene!X8+TrRoad_ene!X13+TrRoad_ene!X14))</f>
        <v>2.9241258776845931</v>
      </c>
      <c r="Y49" s="97">
        <f>IF(Y8=0,0,(Y8+Y13+Y14)/(TrRoad_ene!Y8+TrRoad_ene!Y13+TrRoad_ene!Y14))</f>
        <v>2.9153251870433046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2.6418708000000009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X50" s="97">
        <f>IF(X6=0,0,X6/TrRoad_ene!X6)</f>
        <v>2.6418708000000004</v>
      </c>
      <c r="Y50" s="97">
        <f>IF(Y6=0,0,Y6/TrRoad_ene!Y6)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2.3487140527430315</v>
      </c>
      <c r="M51" s="97">
        <f>IF(M9=0,0,(M9+M11)/(TrRoad_ene!M9+TrRoad_ene!M11))</f>
        <v>2.3487170825270556</v>
      </c>
      <c r="N51" s="97">
        <f>IF(N9=0,0,(N9+N11)/(TrRoad_ene!N9+TrRoad_ene!N11))</f>
        <v>2.3487206144258583</v>
      </c>
      <c r="O51" s="97">
        <f>IF(O9=0,0,(O9+O11)/(TrRoad_ene!O9+TrRoad_ene!O11))</f>
        <v>2.3487256265249705</v>
      </c>
      <c r="P51" s="97">
        <f>IF(P9=0,0,(P9+P11)/(TrRoad_ene!P9+TrRoad_ene!P11))</f>
        <v>2.3487296989898736</v>
      </c>
      <c r="Q51" s="97">
        <f>IF(Q9=0,0,(Q9+Q11)/(TrRoad_ene!Q9+TrRoad_ene!Q11))</f>
        <v>2.3487324809706789</v>
      </c>
      <c r="R51" s="97">
        <f>IF(R9=0,0,(R9+R11)/(TrRoad_ene!R9+TrRoad_ene!R11))</f>
        <v>2.3487319712785166</v>
      </c>
      <c r="S51" s="97">
        <f>IF(S9=0,0,(S9+S11)/(TrRoad_ene!S9+TrRoad_ene!S11))</f>
        <v>2.3484487235282239</v>
      </c>
      <c r="T51" s="97">
        <f>IF(T9=0,0,(T9+T11)/(TrRoad_ene!T9+TrRoad_ene!T11))</f>
        <v>2.347799981510442</v>
      </c>
      <c r="U51" s="97">
        <f>IF(U9=0,0,(U9+U11)/(TrRoad_ene!U9+TrRoad_ene!U11))</f>
        <v>2.3471329364468905</v>
      </c>
      <c r="V51" s="97">
        <f>IF(V9=0,0,(V9+V11)/(TrRoad_ene!V9+TrRoad_ene!V11))</f>
        <v>2.3453613492898366</v>
      </c>
      <c r="W51" s="97">
        <f>IF(W9=0,0,(W9+W11)/(TrRoad_ene!W9+TrRoad_ene!W11))</f>
        <v>2.3435285537117228</v>
      </c>
      <c r="X51" s="97">
        <f>IF(X9=0,0,(X9+X11)/(TrRoad_ene!X9+TrRoad_ene!X11))</f>
        <v>2.3408663852949072</v>
      </c>
      <c r="Y51" s="97">
        <f>IF(Y9=0,0,(Y9+Y11)/(TrRoad_ene!Y9+TrRoad_ene!Y11))</f>
        <v>2.338077593620282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238.17644060105783</v>
      </c>
      <c r="C54" s="62">
        <f>IF(TrRoad_act!C30=0,0,C17/TrRoad_act!C30*1000
)</f>
        <v>236.37315644250441</v>
      </c>
      <c r="D54" s="62">
        <f>IF(TrRoad_act!D30=0,0,D17/TrRoad_act!D30*1000
)</f>
        <v>238.53917858192466</v>
      </c>
      <c r="E54" s="62">
        <f>IF(TrRoad_act!E30=0,0,E17/TrRoad_act!E30*1000
)</f>
        <v>235.60414797221804</v>
      </c>
      <c r="F54" s="62">
        <f>IF(TrRoad_act!F30=0,0,F17/TrRoad_act!F30*1000
)</f>
        <v>235.23096220764762</v>
      </c>
      <c r="G54" s="62">
        <f>IF(TrRoad_act!G30=0,0,G17/TrRoad_act!G30*1000
)</f>
        <v>241.09386640282176</v>
      </c>
      <c r="H54" s="62">
        <f>IF(TrRoad_act!H30=0,0,H17/TrRoad_act!H30*1000
)</f>
        <v>249.08934099406278</v>
      </c>
      <c r="I54" s="62">
        <f>IF(TrRoad_act!I30=0,0,I17/TrRoad_act!I30*1000
)</f>
        <v>248.80155248634225</v>
      </c>
      <c r="J54" s="62">
        <f>IF(TrRoad_act!J30=0,0,J17/TrRoad_act!J30*1000
)</f>
        <v>233.90009782518391</v>
      </c>
      <c r="K54" s="62">
        <f>IF(TrRoad_act!K30=0,0,K17/TrRoad_act!K30*1000
)</f>
        <v>214.35926420219491</v>
      </c>
      <c r="L54" s="62">
        <f>IF(TrRoad_act!L30=0,0,L17/TrRoad_act!L30*1000
)</f>
        <v>210.58499032584754</v>
      </c>
      <c r="M54" s="62">
        <f>IF(TrRoad_act!M30=0,0,M17/TrRoad_act!M30*1000
)</f>
        <v>211.72186458442053</v>
      </c>
      <c r="N54" s="62">
        <f>IF(TrRoad_act!N30=0,0,N17/TrRoad_act!N30*1000
)</f>
        <v>210.84899966686862</v>
      </c>
      <c r="O54" s="62">
        <f>IF(TrRoad_act!O30=0,0,O17/TrRoad_act!O30*1000
)</f>
        <v>208.4933746758839</v>
      </c>
      <c r="P54" s="62">
        <f>IF(TrRoad_act!P30=0,0,P17/TrRoad_act!P30*1000
)</f>
        <v>205.85401016786952</v>
      </c>
      <c r="Q54" s="62">
        <f>IF(TrRoad_act!Q30=0,0,Q17/TrRoad_act!Q30*1000
)</f>
        <v>205.31115676813587</v>
      </c>
      <c r="R54" s="62">
        <f>IF(TrRoad_act!R30=0,0,R17/TrRoad_act!R30*1000
)</f>
        <v>199.30462087184372</v>
      </c>
      <c r="S54" s="62">
        <f>IF(TrRoad_act!S30=0,0,S17/TrRoad_act!S30*1000
)</f>
        <v>186.68817427042583</v>
      </c>
      <c r="T54" s="62">
        <f>IF(TrRoad_act!T30=0,0,T17/TrRoad_act!T30*1000
)</f>
        <v>198.42505804172828</v>
      </c>
      <c r="U54" s="62">
        <f>IF(TrRoad_act!U30=0,0,U17/TrRoad_act!U30*1000
)</f>
        <v>197.85462523398334</v>
      </c>
      <c r="V54" s="62">
        <f>IF(TrRoad_act!V30=0,0,V17/TrRoad_act!V30*1000
)</f>
        <v>194.33811509915748</v>
      </c>
      <c r="W54" s="62">
        <f>IF(TrRoad_act!W30=0,0,W17/TrRoad_act!W30*1000
)</f>
        <v>226.90374642393604</v>
      </c>
      <c r="X54" s="62">
        <f>IF(TrRoad_act!X30=0,0,X17/TrRoad_act!X30*1000
)</f>
        <v>232.89083549090708</v>
      </c>
      <c r="Y54" s="62">
        <f>IF(TrRoad_act!Y30=0,0,Y17/TrRoad_act!Y30*1000
)</f>
        <v>219.09353464418572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203.34480925090824</v>
      </c>
      <c r="C55" s="29">
        <f>IF(TrRoad_act!C31=0,0,C18/TrRoad_act!C31*1000
)</f>
        <v>196.76236636918185</v>
      </c>
      <c r="D55" s="29">
        <f>IF(TrRoad_act!D31=0,0,D18/TrRoad_act!D31*1000
)</f>
        <v>201.19256862962422</v>
      </c>
      <c r="E55" s="29">
        <f>IF(TrRoad_act!E31=0,0,E18/TrRoad_act!E31*1000
)</f>
        <v>199.21229159510474</v>
      </c>
      <c r="F55" s="29">
        <f>IF(TrRoad_act!F31=0,0,F18/TrRoad_act!F31*1000
)</f>
        <v>199.68904201136462</v>
      </c>
      <c r="G55" s="29">
        <f>IF(TrRoad_act!G31=0,0,G18/TrRoad_act!G31*1000
)</f>
        <v>203.52709485179014</v>
      </c>
      <c r="H55" s="29">
        <f>IF(TrRoad_act!H31=0,0,H18/TrRoad_act!H31*1000
)</f>
        <v>210.78404751687006</v>
      </c>
      <c r="I55" s="29">
        <f>IF(TrRoad_act!I31=0,0,I18/TrRoad_act!I31*1000
)</f>
        <v>211.42675458910068</v>
      </c>
      <c r="J55" s="29">
        <f>IF(TrRoad_act!J31=0,0,J18/TrRoad_act!J31*1000
)</f>
        <v>204.5341759625102</v>
      </c>
      <c r="K55" s="29">
        <f>IF(TrRoad_act!K31=0,0,K18/TrRoad_act!K31*1000
)</f>
        <v>191.53038741043903</v>
      </c>
      <c r="L55" s="29">
        <f>IF(TrRoad_act!L31=0,0,L18/TrRoad_act!L31*1000
)</f>
        <v>188.7620577226441</v>
      </c>
      <c r="M55" s="29">
        <f>IF(TrRoad_act!M31=0,0,M18/TrRoad_act!M31*1000
)</f>
        <v>187.95871140437771</v>
      </c>
      <c r="N55" s="29">
        <f>IF(TrRoad_act!N31=0,0,N18/TrRoad_act!N31*1000
)</f>
        <v>182.52523752149236</v>
      </c>
      <c r="O55" s="29">
        <f>IF(TrRoad_act!O31=0,0,O18/TrRoad_act!O31*1000
)</f>
        <v>186.42668930710198</v>
      </c>
      <c r="P55" s="29">
        <f>IF(TrRoad_act!P31=0,0,P18/TrRoad_act!P31*1000
)</f>
        <v>185.14635225753528</v>
      </c>
      <c r="Q55" s="29">
        <f>IF(TrRoad_act!Q31=0,0,Q18/TrRoad_act!Q31*1000
)</f>
        <v>184.84211277615253</v>
      </c>
      <c r="R55" s="29">
        <f>IF(TrRoad_act!R31=0,0,R18/TrRoad_act!R31*1000
)</f>
        <v>181.55616297275074</v>
      </c>
      <c r="S55" s="29">
        <f>IF(TrRoad_act!S31=0,0,S18/TrRoad_act!S31*1000
)</f>
        <v>174.96036113095096</v>
      </c>
      <c r="T55" s="29">
        <f>IF(TrRoad_act!T31=0,0,T18/TrRoad_act!T31*1000
)</f>
        <v>180.83644896839655</v>
      </c>
      <c r="U55" s="29">
        <f>IF(TrRoad_act!U31=0,0,U18/TrRoad_act!U31*1000
)</f>
        <v>180.39872422909309</v>
      </c>
      <c r="V55" s="29">
        <f>IF(TrRoad_act!V31=0,0,V18/TrRoad_act!V31*1000
)</f>
        <v>177.03626963386549</v>
      </c>
      <c r="W55" s="29">
        <f>IF(TrRoad_act!W31=0,0,W18/TrRoad_act!W31*1000
)</f>
        <v>202.2027971887282</v>
      </c>
      <c r="X55" s="29">
        <f>IF(TrRoad_act!X31=0,0,X18/TrRoad_act!X31*1000
)</f>
        <v>198.82334748276762</v>
      </c>
      <c r="Y55" s="29">
        <f>IF(TrRoad_act!Y31=0,0,Y18/TrRoad_act!Y31*1000
)</f>
        <v>185.21406227590452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116.29751050557566</v>
      </c>
      <c r="C56" s="152">
        <f>IF(TrRoad_act!C32=0,0,C19/TrRoad_act!C32*1000
)</f>
        <v>114.56640111857946</v>
      </c>
      <c r="D56" s="152">
        <f>IF(TrRoad_act!D32=0,0,D19/TrRoad_act!D32*1000
)</f>
        <v>113.17800349915871</v>
      </c>
      <c r="E56" s="152">
        <f>IF(TrRoad_act!E32=0,0,E19/TrRoad_act!E32*1000
)</f>
        <v>111.60834536688756</v>
      </c>
      <c r="F56" s="152">
        <f>IF(TrRoad_act!F32=0,0,F19/TrRoad_act!F32*1000
)</f>
        <v>110.33458960273161</v>
      </c>
      <c r="G56" s="152">
        <f>IF(TrRoad_act!G32=0,0,G19/TrRoad_act!G32*1000
)</f>
        <v>109.09606992058082</v>
      </c>
      <c r="H56" s="152">
        <f>IF(TrRoad_act!H32=0,0,H19/TrRoad_act!H32*1000
)</f>
        <v>107.64477850726264</v>
      </c>
      <c r="I56" s="152">
        <f>IF(TrRoad_act!I32=0,0,I19/TrRoad_act!I32*1000
)</f>
        <v>106.00895598755939</v>
      </c>
      <c r="J56" s="152">
        <f>IF(TrRoad_act!J32=0,0,J19/TrRoad_act!J32*1000
)</f>
        <v>103.68140323895274</v>
      </c>
      <c r="K56" s="152">
        <f>IF(TrRoad_act!K32=0,0,K19/TrRoad_act!K32*1000
)</f>
        <v>101.27978658897817</v>
      </c>
      <c r="L56" s="152">
        <f>IF(TrRoad_act!L32=0,0,L19/TrRoad_act!L32*1000
)</f>
        <v>99.690305864966348</v>
      </c>
      <c r="M56" s="152">
        <f>IF(TrRoad_act!M32=0,0,M19/TrRoad_act!M32*1000
)</f>
        <v>98.374194958844768</v>
      </c>
      <c r="N56" s="152">
        <f>IF(TrRoad_act!N32=0,0,N19/TrRoad_act!N32*1000
)</f>
        <v>96.140911525848438</v>
      </c>
      <c r="O56" s="152">
        <f>IF(TrRoad_act!O32=0,0,O19/TrRoad_act!O32*1000
)</f>
        <v>95.655997252554258</v>
      </c>
      <c r="P56" s="152">
        <f>IF(TrRoad_act!P32=0,0,P19/TrRoad_act!P32*1000
)</f>
        <v>94.578761014504238</v>
      </c>
      <c r="Q56" s="152">
        <f>IF(TrRoad_act!Q32=0,0,Q19/TrRoad_act!Q32*1000
)</f>
        <v>93.916771097539552</v>
      </c>
      <c r="R56" s="152">
        <f>IF(TrRoad_act!R32=0,0,R19/TrRoad_act!R32*1000
)</f>
        <v>93.378679909843981</v>
      </c>
      <c r="S56" s="152">
        <f>IF(TrRoad_act!S32=0,0,S19/TrRoad_act!S32*1000
)</f>
        <v>92.558045039401364</v>
      </c>
      <c r="T56" s="152">
        <f>IF(TrRoad_act!T32=0,0,T19/TrRoad_act!T32*1000
)</f>
        <v>92.201333539397922</v>
      </c>
      <c r="U56" s="152">
        <f>IF(TrRoad_act!U32=0,0,U19/TrRoad_act!U32*1000
)</f>
        <v>91.870667468271719</v>
      </c>
      <c r="V56" s="152">
        <f>IF(TrRoad_act!V32=0,0,V19/TrRoad_act!V32*1000
)</f>
        <v>91.688788440423849</v>
      </c>
      <c r="W56" s="152">
        <f>IF(TrRoad_act!W32=0,0,W19/TrRoad_act!W32*1000
)</f>
        <v>90.862936059933929</v>
      </c>
      <c r="X56" s="152">
        <f>IF(TrRoad_act!X32=0,0,X19/TrRoad_act!X32*1000
)</f>
        <v>90.53335363933698</v>
      </c>
      <c r="Y56" s="152">
        <f>IF(TrRoad_act!Y32=0,0,Y19/TrRoad_act!Y32*1000
)</f>
        <v>89.981288284941613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195.66885254930676</v>
      </c>
      <c r="C57" s="116">
        <f>IF(TrRoad_act!C33=0,0,C20/TrRoad_act!C33*1000
)</f>
        <v>189.05069826289892</v>
      </c>
      <c r="D57" s="116">
        <f>IF(TrRoad_act!D33=0,0,D20/TrRoad_act!D33*1000
)</f>
        <v>194.01301677194886</v>
      </c>
      <c r="E57" s="116">
        <f>IF(TrRoad_act!E33=0,0,E20/TrRoad_act!E33*1000
)</f>
        <v>192.22698402727667</v>
      </c>
      <c r="F57" s="116">
        <f>IF(TrRoad_act!F33=0,0,F20/TrRoad_act!F33*1000
)</f>
        <v>193.36515577177704</v>
      </c>
      <c r="G57" s="116">
        <f>IF(TrRoad_act!G33=0,0,G20/TrRoad_act!G33*1000
)</f>
        <v>197.36217016969249</v>
      </c>
      <c r="H57" s="116">
        <f>IF(TrRoad_act!H33=0,0,H20/TrRoad_act!H33*1000
)</f>
        <v>205.00207349761445</v>
      </c>
      <c r="I57" s="116">
        <f>IF(TrRoad_act!I33=0,0,I20/TrRoad_act!I33*1000
)</f>
        <v>204.7294196778202</v>
      </c>
      <c r="J57" s="116">
        <f>IF(TrRoad_act!J33=0,0,J20/TrRoad_act!J33*1000
)</f>
        <v>198.13686566495514</v>
      </c>
      <c r="K57" s="116">
        <f>IF(TrRoad_act!K33=0,0,K20/TrRoad_act!K33*1000
)</f>
        <v>184.23465643888457</v>
      </c>
      <c r="L57" s="116">
        <f>IF(TrRoad_act!L33=0,0,L20/TrRoad_act!L33*1000
)</f>
        <v>181.24524763922622</v>
      </c>
      <c r="M57" s="116">
        <f>IF(TrRoad_act!M33=0,0,M20/TrRoad_act!M33*1000
)</f>
        <v>180.17978314427384</v>
      </c>
      <c r="N57" s="116">
        <f>IF(TrRoad_act!N33=0,0,N20/TrRoad_act!N33*1000
)</f>
        <v>174.45274807619703</v>
      </c>
      <c r="O57" s="116">
        <f>IF(TrRoad_act!O33=0,0,O20/TrRoad_act!O33*1000
)</f>
        <v>178.62984352805933</v>
      </c>
      <c r="P57" s="116">
        <f>IF(TrRoad_act!P33=0,0,P20/TrRoad_act!P33*1000
)</f>
        <v>177.79787355452183</v>
      </c>
      <c r="Q57" s="116">
        <f>IF(TrRoad_act!Q33=0,0,Q20/TrRoad_act!Q33*1000
)</f>
        <v>177.17132822738043</v>
      </c>
      <c r="R57" s="116">
        <f>IF(TrRoad_act!R33=0,0,R20/TrRoad_act!R33*1000
)</f>
        <v>173.94972814096812</v>
      </c>
      <c r="S57" s="116">
        <f>IF(TrRoad_act!S33=0,0,S20/TrRoad_act!S33*1000
)</f>
        <v>166.54695464911066</v>
      </c>
      <c r="T57" s="116">
        <f>IF(TrRoad_act!T33=0,0,T20/TrRoad_act!T33*1000
)</f>
        <v>172.93765977193561</v>
      </c>
      <c r="U57" s="116">
        <f>IF(TrRoad_act!U33=0,0,U20/TrRoad_act!U33*1000
)</f>
        <v>172.38132595424142</v>
      </c>
      <c r="V57" s="116">
        <f>IF(TrRoad_act!V33=0,0,V20/TrRoad_act!V33*1000
)</f>
        <v>166.08028401662685</v>
      </c>
      <c r="W57" s="116">
        <f>IF(TrRoad_act!W33=0,0,W20/TrRoad_act!W33*1000
)</f>
        <v>194.3244575199987</v>
      </c>
      <c r="X57" s="116">
        <f>IF(TrRoad_act!X33=0,0,X20/TrRoad_act!X33*1000
)</f>
        <v>191.86784704712596</v>
      </c>
      <c r="Y57" s="116">
        <f>IF(TrRoad_act!Y33=0,0,Y20/TrRoad_act!Y33*1000
)</f>
        <v>178.8398292959902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188.90721563963274</v>
      </c>
      <c r="C58" s="87">
        <f>IF(TrRoad_act!C34=0,0,C21/TrRoad_act!C34*1000
)</f>
        <v>184.14083671713013</v>
      </c>
      <c r="D58" s="87">
        <f>IF(TrRoad_act!D34=0,0,D21/TrRoad_act!D34*1000
)</f>
        <v>189.99256414828926</v>
      </c>
      <c r="E58" s="87">
        <f>IF(TrRoad_act!E34=0,0,E21/TrRoad_act!E34*1000
)</f>
        <v>187.94388720655562</v>
      </c>
      <c r="F58" s="87">
        <f>IF(TrRoad_act!F34=0,0,F21/TrRoad_act!F34*1000
)</f>
        <v>194.11016655044224</v>
      </c>
      <c r="G58" s="87">
        <f>IF(TrRoad_act!G34=0,0,G21/TrRoad_act!G34*1000
)</f>
        <v>202.40374099923696</v>
      </c>
      <c r="H58" s="87">
        <f>IF(TrRoad_act!H34=0,0,H21/TrRoad_act!H34*1000
)</f>
        <v>221.58239743868856</v>
      </c>
      <c r="I58" s="87">
        <f>IF(TrRoad_act!I34=0,0,I21/TrRoad_act!I34*1000
)</f>
        <v>216.40866109290806</v>
      </c>
      <c r="J58" s="87">
        <f>IF(TrRoad_act!J34=0,0,J21/TrRoad_act!J34*1000
)</f>
        <v>197.44841492533035</v>
      </c>
      <c r="K58" s="87">
        <f>IF(TrRoad_act!K34=0,0,K21/TrRoad_act!K34*1000
)</f>
        <v>175.78226476364665</v>
      </c>
      <c r="L58" s="87">
        <f>IF(TrRoad_act!L34=0,0,L21/TrRoad_act!L34*1000
)</f>
        <v>170.72441639131551</v>
      </c>
      <c r="M58" s="87">
        <f>IF(TrRoad_act!M34=0,0,M21/TrRoad_act!M34*1000
)</f>
        <v>167.82476784336214</v>
      </c>
      <c r="N58" s="87">
        <f>IF(TrRoad_act!N34=0,0,N21/TrRoad_act!N34*1000
)</f>
        <v>167.3165815423678</v>
      </c>
      <c r="O58" s="87">
        <f>IF(TrRoad_act!O34=0,0,O21/TrRoad_act!O34*1000
)</f>
        <v>167.45587424577326</v>
      </c>
      <c r="P58" s="87">
        <f>IF(TrRoad_act!P34=0,0,P21/TrRoad_act!P34*1000
)</f>
        <v>167.52060060985025</v>
      </c>
      <c r="Q58" s="87">
        <f>IF(TrRoad_act!Q34=0,0,Q21/TrRoad_act!Q34*1000
)</f>
        <v>167.48794792002954</v>
      </c>
      <c r="R58" s="87">
        <f>IF(TrRoad_act!R34=0,0,R21/TrRoad_act!R34*1000
)</f>
        <v>156.83180462619202</v>
      </c>
      <c r="S58" s="87">
        <f>IF(TrRoad_act!S34=0,0,S21/TrRoad_act!S34*1000
)</f>
        <v>155.71089812381493</v>
      </c>
      <c r="T58" s="87">
        <f>IF(TrRoad_act!T34=0,0,T21/TrRoad_act!T34*1000
)</f>
        <v>173.52953522514187</v>
      </c>
      <c r="U58" s="87">
        <f>IF(TrRoad_act!U34=0,0,U21/TrRoad_act!U34*1000
)</f>
        <v>171.19648957759748</v>
      </c>
      <c r="V58" s="87">
        <f>IF(TrRoad_act!V34=0,0,V21/TrRoad_act!V34*1000
)</f>
        <v>169.98013071740974</v>
      </c>
      <c r="W58" s="87">
        <f>IF(TrRoad_act!W34=0,0,W21/TrRoad_act!W34*1000
)</f>
        <v>206.43210794631713</v>
      </c>
      <c r="X58" s="87">
        <f>IF(TrRoad_act!X34=0,0,X21/TrRoad_act!X34*1000
)</f>
        <v>218.16938269243735</v>
      </c>
      <c r="Y58" s="87">
        <f>IF(TrRoad_act!Y34=0,0,Y21/TrRoad_act!Y34*1000
)</f>
        <v>198.47578636633179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220.00139699947493</v>
      </c>
      <c r="C59" s="87">
        <f>IF(TrRoad_act!C35=0,0,C22/TrRoad_act!C35*1000
)</f>
        <v>203.29640729557619</v>
      </c>
      <c r="D59" s="87">
        <f>IF(TrRoad_act!D35=0,0,D22/TrRoad_act!D35*1000
)</f>
        <v>204.7726262555623</v>
      </c>
      <c r="E59" s="87">
        <f>IF(TrRoad_act!E35=0,0,E22/TrRoad_act!E35*1000
)</f>
        <v>202.12020549881296</v>
      </c>
      <c r="F59" s="87">
        <f>IF(TrRoad_act!F35=0,0,F22/TrRoad_act!F35*1000
)</f>
        <v>196.00548307498033</v>
      </c>
      <c r="G59" s="87">
        <f>IF(TrRoad_act!G35=0,0,G22/TrRoad_act!G35*1000
)</f>
        <v>196.15532518755302</v>
      </c>
      <c r="H59" s="87">
        <f>IF(TrRoad_act!H35=0,0,H22/TrRoad_act!H35*1000
)</f>
        <v>196.11265541754912</v>
      </c>
      <c r="I59" s="87">
        <f>IF(TrRoad_act!I35=0,0,I22/TrRoad_act!I35*1000
)</f>
        <v>200.90305059100814</v>
      </c>
      <c r="J59" s="87">
        <f>IF(TrRoad_act!J35=0,0,J22/TrRoad_act!J35*1000
)</f>
        <v>201.02393834895059</v>
      </c>
      <c r="K59" s="87">
        <f>IF(TrRoad_act!K35=0,0,K22/TrRoad_act!K35*1000
)</f>
        <v>194.3072452496254</v>
      </c>
      <c r="L59" s="87">
        <f>IF(TrRoad_act!L35=0,0,L22/TrRoad_act!L35*1000
)</f>
        <v>192.42726306602151</v>
      </c>
      <c r="M59" s="87">
        <f>IF(TrRoad_act!M35=0,0,M22/TrRoad_act!M35*1000
)</f>
        <v>191.69911717741803</v>
      </c>
      <c r="N59" s="87">
        <f>IF(TrRoad_act!N35=0,0,N22/TrRoad_act!N35*1000
)</f>
        <v>180.32022945804084</v>
      </c>
      <c r="O59" s="87">
        <f>IF(TrRoad_act!O35=0,0,O22/TrRoad_act!O35*1000
)</f>
        <v>187.78334369637844</v>
      </c>
      <c r="P59" s="87">
        <f>IF(TrRoad_act!P35=0,0,P22/TrRoad_act!P35*1000
)</f>
        <v>185.98378457240338</v>
      </c>
      <c r="Q59" s="87">
        <f>IF(TrRoad_act!Q35=0,0,Q22/TrRoad_act!Q35*1000
)</f>
        <v>185.43304623214965</v>
      </c>
      <c r="R59" s="87">
        <f>IF(TrRoad_act!R35=0,0,R22/TrRoad_act!R35*1000
)</f>
        <v>186.31491270156982</v>
      </c>
      <c r="S59" s="87">
        <f>IF(TrRoad_act!S35=0,0,S22/TrRoad_act!S35*1000
)</f>
        <v>175.12571839245209</v>
      </c>
      <c r="T59" s="87">
        <f>IF(TrRoad_act!T35=0,0,T22/TrRoad_act!T35*1000
)</f>
        <v>178.2226598137639</v>
      </c>
      <c r="U59" s="87">
        <f>IF(TrRoad_act!U35=0,0,U22/TrRoad_act!U35*1000
)</f>
        <v>177.92030063842509</v>
      </c>
      <c r="V59" s="87">
        <f>IF(TrRoad_act!V35=0,0,V22/TrRoad_act!V35*1000
)</f>
        <v>168.73285737754711</v>
      </c>
      <c r="W59" s="87">
        <f>IF(TrRoad_act!W35=0,0,W22/TrRoad_act!W35*1000
)</f>
        <v>198.84830327513447</v>
      </c>
      <c r="X59" s="87">
        <f>IF(TrRoad_act!X35=0,0,X22/TrRoad_act!X35*1000
)</f>
        <v>189.82244327579838</v>
      </c>
      <c r="Y59" s="87">
        <f>IF(TrRoad_act!Y35=0,0,Y22/TrRoad_act!Y35*1000
)</f>
        <v>177.81418654524688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181.13873578591776</v>
      </c>
      <c r="C60" s="87">
        <f>IF(TrRoad_act!C36=0,0,C23/TrRoad_act!C36*1000
)</f>
        <v>181.59788492967272</v>
      </c>
      <c r="D60" s="87">
        <f>IF(TrRoad_act!D36=0,0,D23/TrRoad_act!D36*1000
)</f>
        <v>182.06815286013617</v>
      </c>
      <c r="E60" s="87">
        <f>IF(TrRoad_act!E36=0,0,E23/TrRoad_act!E36*1000
)</f>
        <v>180.29158902854113</v>
      </c>
      <c r="F60" s="87">
        <f>IF(TrRoad_act!F36=0,0,F23/TrRoad_act!F36*1000
)</f>
        <v>166.24087612405643</v>
      </c>
      <c r="G60" s="87">
        <f>IF(TrRoad_act!G36=0,0,G23/TrRoad_act!G36*1000
)</f>
        <v>159.11971931931549</v>
      </c>
      <c r="H60" s="87">
        <f>IF(TrRoad_act!H36=0,0,H23/TrRoad_act!H36*1000
)</f>
        <v>153.05648282576178</v>
      </c>
      <c r="I60" s="87">
        <f>IF(TrRoad_act!I36=0,0,I23/TrRoad_act!I36*1000
)</f>
        <v>150.06647737812165</v>
      </c>
      <c r="J60" s="87">
        <f>IF(TrRoad_act!J36=0,0,J23/TrRoad_act!J36*1000
)</f>
        <v>175.23374823771428</v>
      </c>
      <c r="K60" s="87">
        <f>IF(TrRoad_act!K36=0,0,K23/TrRoad_act!K36*1000
)</f>
        <v>163.81117504945243</v>
      </c>
      <c r="L60" s="87">
        <f>IF(TrRoad_act!L36=0,0,L23/TrRoad_act!L36*1000
)</f>
        <v>162.18445199859735</v>
      </c>
      <c r="M60" s="87">
        <f>IF(TrRoad_act!M36=0,0,M23/TrRoad_act!M36*1000
)</f>
        <v>170.86980776567094</v>
      </c>
      <c r="N60" s="87">
        <f>IF(TrRoad_act!N36=0,0,N23/TrRoad_act!N36*1000
)</f>
        <v>169.81956197921156</v>
      </c>
      <c r="O60" s="87">
        <f>IF(TrRoad_act!O36=0,0,O23/TrRoad_act!O36*1000
)</f>
        <v>169.77595948870041</v>
      </c>
      <c r="P60" s="87">
        <f>IF(TrRoad_act!P36=0,0,P23/TrRoad_act!P36*1000
)</f>
        <v>168.37740511836142</v>
      </c>
      <c r="Q60" s="87">
        <f>IF(TrRoad_act!Q36=0,0,Q23/TrRoad_act!Q36*1000
)</f>
        <v>162.91604184292092</v>
      </c>
      <c r="R60" s="87">
        <f>IF(TrRoad_act!R36=0,0,R23/TrRoad_act!R36*1000
)</f>
        <v>155.93596075477922</v>
      </c>
      <c r="S60" s="87">
        <f>IF(TrRoad_act!S36=0,0,S23/TrRoad_act!S36*1000
)</f>
        <v>154.93432469645177</v>
      </c>
      <c r="T60" s="87">
        <f>IF(TrRoad_act!T36=0,0,T23/TrRoad_act!T36*1000
)</f>
        <v>149.68438531888182</v>
      </c>
      <c r="U60" s="87">
        <f>IF(TrRoad_act!U36=0,0,U23/TrRoad_act!U36*1000
)</f>
        <v>147.23063919860374</v>
      </c>
      <c r="V60" s="87">
        <f>IF(TrRoad_act!V36=0,0,V23/TrRoad_act!V36*1000
)</f>
        <v>145.97929463015839</v>
      </c>
      <c r="W60" s="87">
        <f>IF(TrRoad_act!W36=0,0,W23/TrRoad_act!W36*1000
)</f>
        <v>151.21872062029553</v>
      </c>
      <c r="X60" s="87">
        <f>IF(TrRoad_act!X36=0,0,X23/TrRoad_act!X36*1000
)</f>
        <v>150.47118125473469</v>
      </c>
      <c r="Y60" s="87">
        <f>IF(TrRoad_act!Y36=0,0,Y23/TrRoad_act!Y36*1000
)</f>
        <v>145.05199403353524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189.67482886880552</v>
      </c>
      <c r="C61" s="87">
        <f>IF(TrRoad_act!C37=0,0,C24/TrRoad_act!C37*1000
)</f>
        <v>185.61190606075954</v>
      </c>
      <c r="D61" s="87">
        <f>IF(TrRoad_act!D37=0,0,D24/TrRoad_act!D37*1000
)</f>
        <v>183.0050827456277</v>
      </c>
      <c r="E61" s="87">
        <f>IF(TrRoad_act!E37=0,0,E24/TrRoad_act!E37*1000
)</f>
        <v>183.09033477625442</v>
      </c>
      <c r="F61" s="87">
        <f>IF(TrRoad_act!F37=0,0,F24/TrRoad_act!F37*1000
)</f>
        <v>187.51385167340206</v>
      </c>
      <c r="G61" s="87">
        <f>IF(TrRoad_act!G37=0,0,G24/TrRoad_act!G37*1000
)</f>
        <v>194.43618723951954</v>
      </c>
      <c r="H61" s="87">
        <f>IF(TrRoad_act!H37=0,0,H24/TrRoad_act!H37*1000
)</f>
        <v>198.92836339714711</v>
      </c>
      <c r="I61" s="87">
        <f>IF(TrRoad_act!I37=0,0,I24/TrRoad_act!I37*1000
)</f>
        <v>194.70914243735643</v>
      </c>
      <c r="J61" s="87">
        <f>IF(TrRoad_act!J37=0,0,J24/TrRoad_act!J37*1000
)</f>
        <v>189.96069591414508</v>
      </c>
      <c r="K61" s="87">
        <f>IF(TrRoad_act!K37=0,0,K24/TrRoad_act!K37*1000
)</f>
        <v>163.24797559417374</v>
      </c>
      <c r="L61" s="87">
        <f>IF(TrRoad_act!L37=0,0,L24/TrRoad_act!L37*1000
)</f>
        <v>179.75122646636851</v>
      </c>
      <c r="M61" s="87">
        <f>IF(TrRoad_act!M37=0,0,M24/TrRoad_act!M37*1000
)</f>
        <v>177.33054800996049</v>
      </c>
      <c r="N61" s="87">
        <f>IF(TrRoad_act!N37=0,0,N24/TrRoad_act!N37*1000
)</f>
        <v>174.35089365749471</v>
      </c>
      <c r="O61" s="87">
        <f>IF(TrRoad_act!O37=0,0,O24/TrRoad_act!O37*1000
)</f>
        <v>171.65315750720697</v>
      </c>
      <c r="P61" s="87">
        <f>IF(TrRoad_act!P37=0,0,P24/TrRoad_act!P37*1000
)</f>
        <v>164.50512777121452</v>
      </c>
      <c r="Q61" s="87">
        <f>IF(TrRoad_act!Q37=0,0,Q24/TrRoad_act!Q37*1000
)</f>
        <v>164.20055629189602</v>
      </c>
      <c r="R61" s="87">
        <f>IF(TrRoad_act!R37=0,0,R24/TrRoad_act!R37*1000
)</f>
        <v>159.41258704361695</v>
      </c>
      <c r="S61" s="87">
        <f>IF(TrRoad_act!S37=0,0,S24/TrRoad_act!S37*1000
)</f>
        <v>138.34337047379893</v>
      </c>
      <c r="T61" s="87">
        <f>IF(TrRoad_act!T37=0,0,T24/TrRoad_act!T37*1000
)</f>
        <v>131.09182321360919</v>
      </c>
      <c r="U61" s="87">
        <f>IF(TrRoad_act!U37=0,0,U24/TrRoad_act!U37*1000
)</f>
        <v>154.33304644477204</v>
      </c>
      <c r="V61" s="87">
        <f>IF(TrRoad_act!V37=0,0,V24/TrRoad_act!V37*1000
)</f>
        <v>152.29031494285709</v>
      </c>
      <c r="W61" s="87">
        <f>IF(TrRoad_act!W37=0,0,W24/TrRoad_act!W37*1000
)</f>
        <v>163.49208592062945</v>
      </c>
      <c r="X61" s="87">
        <f>IF(TrRoad_act!X37=0,0,X24/TrRoad_act!X37*1000
)</f>
        <v>148.46529537695284</v>
      </c>
      <c r="Y61" s="87">
        <f>IF(TrRoad_act!Y37=0,0,Y24/TrRoad_act!Y37*1000
)</f>
        <v>146.45273067208572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98.054244914367402</v>
      </c>
      <c r="O62" s="87">
        <f>IF(TrRoad_act!O38=0,0,O25/TrRoad_act!O38*1000
)</f>
        <v>111.97395210525545</v>
      </c>
      <c r="P62" s="87">
        <f>IF(TrRoad_act!P38=0,0,P25/TrRoad_act!P38*1000
)</f>
        <v>112.83800073864307</v>
      </c>
      <c r="Q62" s="87">
        <f>IF(TrRoad_act!Q38=0,0,Q25/TrRoad_act!Q38*1000
)</f>
        <v>113.2402294360685</v>
      </c>
      <c r="R62" s="87">
        <f>IF(TrRoad_act!R38=0,0,R25/TrRoad_act!R38*1000
)</f>
        <v>104.93402645475851</v>
      </c>
      <c r="S62" s="87">
        <f>IF(TrRoad_act!S38=0,0,S25/TrRoad_act!S38*1000
)</f>
        <v>104.10173609019517</v>
      </c>
      <c r="T62" s="87">
        <f>IF(TrRoad_act!T38=0,0,T25/TrRoad_act!T38*1000
)</f>
        <v>112.56544119284986</v>
      </c>
      <c r="U62" s="87">
        <f>IF(TrRoad_act!U38=0,0,U25/TrRoad_act!U38*1000
)</f>
        <v>106.31035637557146</v>
      </c>
      <c r="V62" s="87">
        <f>IF(TrRoad_act!V38=0,0,V25/TrRoad_act!V38*1000
)</f>
        <v>82.51752596224533</v>
      </c>
      <c r="W62" s="87">
        <f>IF(TrRoad_act!W38=0,0,W25/TrRoad_act!W38*1000
)</f>
        <v>81.964077259111448</v>
      </c>
      <c r="X62" s="87">
        <f>IF(TrRoad_act!X38=0,0,X25/TrRoad_act!X38*1000
)</f>
        <v>74.80528203778151</v>
      </c>
      <c r="Y62" s="87">
        <f>IF(TrRoad_act!Y38=0,0,Y25/TrRoad_act!Y38*1000
)</f>
        <v>60.866591660417249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1724.4284218000123</v>
      </c>
      <c r="C64" s="116">
        <f>IF(TrRoad_act!C40=0,0,C27/TrRoad_act!C40*1000
)</f>
        <v>1690.902350363858</v>
      </c>
      <c r="D64" s="116">
        <f>IF(TrRoad_act!D40=0,0,D27/TrRoad_act!D40*1000
)</f>
        <v>1675.4160347254863</v>
      </c>
      <c r="E64" s="116">
        <f>IF(TrRoad_act!E40=0,0,E27/TrRoad_act!E40*1000
)</f>
        <v>1654.6395128267566</v>
      </c>
      <c r="F64" s="116">
        <f>IF(TrRoad_act!F40=0,0,F27/TrRoad_act!F40*1000
)</f>
        <v>1625.3990167125808</v>
      </c>
      <c r="G64" s="116">
        <f>IF(TrRoad_act!G40=0,0,G27/TrRoad_act!G40*1000
)</f>
        <v>1612.5254046535258</v>
      </c>
      <c r="H64" s="116">
        <f>IF(TrRoad_act!H40=0,0,H27/TrRoad_act!H40*1000
)</f>
        <v>1592.7763056159636</v>
      </c>
      <c r="I64" s="116">
        <f>IF(TrRoad_act!I40=0,0,I27/TrRoad_act!I40*1000
)</f>
        <v>1590.3303323830235</v>
      </c>
      <c r="J64" s="116">
        <f>IF(TrRoad_act!J40=0,0,J27/TrRoad_act!J40*1000
)</f>
        <v>1562.5880479788163</v>
      </c>
      <c r="K64" s="116">
        <f>IF(TrRoad_act!K40=0,0,K27/TrRoad_act!K40*1000
)</f>
        <v>1518.6645360170069</v>
      </c>
      <c r="L64" s="116">
        <f>IF(TrRoad_act!L40=0,0,L27/TrRoad_act!L40*1000
)</f>
        <v>1498.9251785518377</v>
      </c>
      <c r="M64" s="116">
        <f>IF(TrRoad_act!M40=0,0,M27/TrRoad_act!M40*1000
)</f>
        <v>1507.9201086607902</v>
      </c>
      <c r="N64" s="116">
        <f>IF(TrRoad_act!N40=0,0,N27/TrRoad_act!N40*1000
)</f>
        <v>1513.9000340508496</v>
      </c>
      <c r="O64" s="116">
        <f>IF(TrRoad_act!O40=0,0,O27/TrRoad_act!O40*1000
)</f>
        <v>1513.9949754476954</v>
      </c>
      <c r="P64" s="116">
        <f>IF(TrRoad_act!P40=0,0,P27/TrRoad_act!P40*1000
)</f>
        <v>1525.8262714828993</v>
      </c>
      <c r="Q64" s="116">
        <f>IF(TrRoad_act!Q40=0,0,Q27/TrRoad_act!Q40*1000
)</f>
        <v>1539.9323921600901</v>
      </c>
      <c r="R64" s="116">
        <f>IF(TrRoad_act!R40=0,0,R27/TrRoad_act!R40*1000
)</f>
        <v>1542.7071872282966</v>
      </c>
      <c r="S64" s="116">
        <f>IF(TrRoad_act!S40=0,0,S27/TrRoad_act!S40*1000
)</f>
        <v>1542.7474126055429</v>
      </c>
      <c r="T64" s="116">
        <f>IF(TrRoad_act!T40=0,0,T27/TrRoad_act!T40*1000
)</f>
        <v>1485.0309948954825</v>
      </c>
      <c r="U64" s="116">
        <f>IF(TrRoad_act!U40=0,0,U27/TrRoad_act!U40*1000
)</f>
        <v>1530.2754273835112</v>
      </c>
      <c r="V64" s="116">
        <f>IF(TrRoad_act!V40=0,0,V27/TrRoad_act!V40*1000
)</f>
        <v>1485.3296951589718</v>
      </c>
      <c r="W64" s="116">
        <f>IF(TrRoad_act!W40=0,0,W27/TrRoad_act!W40*1000
)</f>
        <v>1525.7444955374322</v>
      </c>
      <c r="X64" s="116">
        <f>IF(TrRoad_act!X40=0,0,X27/TrRoad_act!X40*1000
)</f>
        <v>1470.6551233459666</v>
      </c>
      <c r="Y64" s="116">
        <f>IF(TrRoad_act!Y40=0,0,Y27/TrRoad_act!Y40*1000
)</f>
        <v>1422.8364206139934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491.09439592283616</v>
      </c>
      <c r="C65" s="101">
        <f>IF(TrRoad_act!C41=0,0,C28/TrRoad_act!C41*1000
)</f>
        <v>491.09439592283616</v>
      </c>
      <c r="D65" s="101">
        <f>IF(TrRoad_act!D41=0,0,D28/TrRoad_act!D41*1000
)</f>
        <v>491.09439592283604</v>
      </c>
      <c r="E65" s="101">
        <f>IF(TrRoad_act!E41=0,0,E28/TrRoad_act!E41*1000
)</f>
        <v>491.0943959228361</v>
      </c>
      <c r="F65" s="101">
        <f>IF(TrRoad_act!F41=0,0,F28/TrRoad_act!F41*1000
)</f>
        <v>491.0943959228361</v>
      </c>
      <c r="G65" s="101">
        <f>IF(TrRoad_act!G41=0,0,G28/TrRoad_act!G41*1000
)</f>
        <v>491.09439592283604</v>
      </c>
      <c r="H65" s="101">
        <f>IF(TrRoad_act!H41=0,0,H28/TrRoad_act!H41*1000
)</f>
        <v>491.09439592283621</v>
      </c>
      <c r="I65" s="101">
        <f>IF(TrRoad_act!I41=0,0,I28/TrRoad_act!I41*1000
)</f>
        <v>489.04770272696055</v>
      </c>
      <c r="J65" s="101">
        <f>IF(TrRoad_act!J41=0,0,J28/TrRoad_act!J41*1000
)</f>
        <v>479.12545106552193</v>
      </c>
      <c r="K65" s="101">
        <f>IF(TrRoad_act!K41=0,0,K28/TrRoad_act!K41*1000
)</f>
        <v>472.40288075300731</v>
      </c>
      <c r="L65" s="101">
        <f>IF(TrRoad_act!L41=0,0,L28/TrRoad_act!L41*1000
)</f>
        <v>466.61414814155569</v>
      </c>
      <c r="M65" s="101">
        <f>IF(TrRoad_act!M41=0,0,M28/TrRoad_act!M41*1000
)</f>
        <v>463.59613733904155</v>
      </c>
      <c r="N65" s="101">
        <f>IF(TrRoad_act!N41=0,0,N28/TrRoad_act!N41*1000
)</f>
        <v>461.98674128276355</v>
      </c>
      <c r="O65" s="101">
        <f>IF(TrRoad_act!O41=0,0,O28/TrRoad_act!O41*1000
)</f>
        <v>410.25992743808189</v>
      </c>
      <c r="P65" s="101">
        <f>IF(TrRoad_act!P41=0,0,P28/TrRoad_act!P41*1000
)</f>
        <v>388.22289320681131</v>
      </c>
      <c r="Q65" s="101">
        <f>IF(TrRoad_act!Q41=0,0,Q28/TrRoad_act!Q41*1000
)</f>
        <v>385.09306837283151</v>
      </c>
      <c r="R65" s="101">
        <f>IF(TrRoad_act!R41=0,0,R28/TrRoad_act!R41*1000
)</f>
        <v>384.45196727729603</v>
      </c>
      <c r="S65" s="101">
        <f>IF(TrRoad_act!S41=0,0,S28/TrRoad_act!S41*1000
)</f>
        <v>382.83978033395385</v>
      </c>
      <c r="T65" s="101">
        <f>IF(TrRoad_act!T41=0,0,T28/TrRoad_act!T41*1000
)</f>
        <v>382.77851322304559</v>
      </c>
      <c r="U65" s="101">
        <f>IF(TrRoad_act!U41=0,0,U28/TrRoad_act!U41*1000
)</f>
        <v>369.38761205572797</v>
      </c>
      <c r="V65" s="101">
        <f>IF(TrRoad_act!V41=0,0,V28/TrRoad_act!V41*1000
)</f>
        <v>369.11919529166295</v>
      </c>
      <c r="W65" s="101">
        <f>IF(TrRoad_act!W41=0,0,W28/TrRoad_act!W41*1000
)</f>
        <v>367.9048113782473</v>
      </c>
      <c r="X65" s="101">
        <f>IF(TrRoad_act!X41=0,0,X28/TrRoad_act!X41*1000
)</f>
        <v>365.56870165298164</v>
      </c>
      <c r="Y65" s="101">
        <f>IF(TrRoad_act!Y41=0,0,Y28/TrRoad_act!Y41*1000
)</f>
        <v>361.37259599899591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1744.5458300573703</v>
      </c>
      <c r="C66" s="101">
        <f>IF(TrRoad_act!C42=0,0,C29/TrRoad_act!C42*1000
)</f>
        <v>1708.9701600175583</v>
      </c>
      <c r="D66" s="101">
        <f>IF(TrRoad_act!D42=0,0,D29/TrRoad_act!D42*1000
)</f>
        <v>1690.607341653759</v>
      </c>
      <c r="E66" s="101">
        <f>IF(TrRoad_act!E42=0,0,E29/TrRoad_act!E42*1000
)</f>
        <v>1676.1986750407279</v>
      </c>
      <c r="F66" s="101">
        <f>IF(TrRoad_act!F42=0,0,F29/TrRoad_act!F42*1000
)</f>
        <v>1646.305681710272</v>
      </c>
      <c r="G66" s="101">
        <f>IF(TrRoad_act!G42=0,0,G29/TrRoad_act!G42*1000
)</f>
        <v>1643.5072427355742</v>
      </c>
      <c r="H66" s="101">
        <f>IF(TrRoad_act!H42=0,0,H29/TrRoad_act!H42*1000
)</f>
        <v>1638.7412041279601</v>
      </c>
      <c r="I66" s="101">
        <f>IF(TrRoad_act!I42=0,0,I29/TrRoad_act!I42*1000
)</f>
        <v>1636.5555818466639</v>
      </c>
      <c r="J66" s="101">
        <f>IF(TrRoad_act!J42=0,0,J29/TrRoad_act!J42*1000
)</f>
        <v>1597.7902542965332</v>
      </c>
      <c r="K66" s="101">
        <f>IF(TrRoad_act!K42=0,0,K29/TrRoad_act!K42*1000
)</f>
        <v>1564.9858692475698</v>
      </c>
      <c r="L66" s="101">
        <f>IF(TrRoad_act!L42=0,0,L29/TrRoad_act!L42*1000
)</f>
        <v>1545.3471359927407</v>
      </c>
      <c r="M66" s="101">
        <f>IF(TrRoad_act!M42=0,0,M29/TrRoad_act!M42*1000
)</f>
        <v>1546.7498453905455</v>
      </c>
      <c r="N66" s="101">
        <f>IF(TrRoad_act!N42=0,0,N29/TrRoad_act!N42*1000
)</f>
        <v>1544.8685022947736</v>
      </c>
      <c r="O66" s="101">
        <f>IF(TrRoad_act!O42=0,0,O29/TrRoad_act!O42*1000
)</f>
        <v>1552.7490491515357</v>
      </c>
      <c r="P66" s="101">
        <f>IF(TrRoad_act!P42=0,0,P29/TrRoad_act!P42*1000
)</f>
        <v>1571.9546122406362</v>
      </c>
      <c r="Q66" s="101">
        <f>IF(TrRoad_act!Q42=0,0,Q29/TrRoad_act!Q42*1000
)</f>
        <v>1573.9606889602469</v>
      </c>
      <c r="R66" s="101">
        <f>IF(TrRoad_act!R42=0,0,R29/TrRoad_act!R42*1000
)</f>
        <v>1591.6780260723347</v>
      </c>
      <c r="S66" s="101">
        <f>IF(TrRoad_act!S42=0,0,S29/TrRoad_act!S42*1000
)</f>
        <v>1592.6723972326722</v>
      </c>
      <c r="T66" s="101">
        <f>IF(TrRoad_act!T42=0,0,T29/TrRoad_act!T42*1000
)</f>
        <v>1586.2133633822223</v>
      </c>
      <c r="U66" s="101">
        <f>IF(TrRoad_act!U42=0,0,U29/TrRoad_act!U42*1000
)</f>
        <v>1585.4530384898726</v>
      </c>
      <c r="V66" s="101">
        <f>IF(TrRoad_act!V42=0,0,V29/TrRoad_act!V42*1000
)</f>
        <v>1563.4580588864646</v>
      </c>
      <c r="W66" s="101">
        <f>IF(TrRoad_act!W42=0,0,W29/TrRoad_act!W42*1000
)</f>
        <v>1562.6029005772266</v>
      </c>
      <c r="X66" s="101">
        <f>IF(TrRoad_act!X42=0,0,X29/TrRoad_act!X42*1000
)</f>
        <v>1554.3622617518076</v>
      </c>
      <c r="Y66" s="101">
        <f>IF(TrRoad_act!Y42=0,0,Y29/TrRoad_act!Y42*1000
)</f>
        <v>1531.3033786291373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1244.3441090091496</v>
      </c>
      <c r="C67" s="101">
        <f>IF(TrRoad_act!C43=0,0,C30/TrRoad_act!C43*1000
)</f>
        <v>1226.1032374410154</v>
      </c>
      <c r="D67" s="101">
        <f>IF(TrRoad_act!D43=0,0,D30/TrRoad_act!D43*1000
)</f>
        <v>1225.3590586951773</v>
      </c>
      <c r="E67" s="101">
        <f>IF(TrRoad_act!E43=0,0,E30/TrRoad_act!E43*1000
)</f>
        <v>1207.3634245602157</v>
      </c>
      <c r="F67" s="101">
        <f>IF(TrRoad_act!F43=0,0,F30/TrRoad_act!F43*1000
)</f>
        <v>1179.5716715671103</v>
      </c>
      <c r="G67" s="101">
        <f>IF(TrRoad_act!G43=0,0,G30/TrRoad_act!G43*1000
)</f>
        <v>1170.3983865384926</v>
      </c>
      <c r="H67" s="101">
        <f>IF(TrRoad_act!H43=0,0,H30/TrRoad_act!H43*1000
)</f>
        <v>1169.2000546026154</v>
      </c>
      <c r="I67" s="101">
        <f>IF(TrRoad_act!I43=0,0,I30/TrRoad_act!I43*1000
)</f>
        <v>1168.1421137158245</v>
      </c>
      <c r="J67" s="101">
        <f>IF(TrRoad_act!J43=0,0,J30/TrRoad_act!J43*1000
)</f>
        <v>1169.0293162362589</v>
      </c>
      <c r="K67" s="101">
        <f>IF(TrRoad_act!K43=0,0,K30/TrRoad_act!K43*1000
)</f>
        <v>1169.3731080905443</v>
      </c>
      <c r="L67" s="101">
        <f>IF(TrRoad_act!L43=0,0,L30/TrRoad_act!L43*1000
)</f>
        <v>1169.4166810645754</v>
      </c>
      <c r="M67" s="101">
        <f>IF(TrRoad_act!M43=0,0,M30/TrRoad_act!M43*1000
)</f>
        <v>1168.3287528964986</v>
      </c>
      <c r="N67" s="101">
        <f>IF(TrRoad_act!N43=0,0,N30/TrRoad_act!N43*1000
)</f>
        <v>1167.6006956559831</v>
      </c>
      <c r="O67" s="101">
        <f>IF(TrRoad_act!O43=0,0,O30/TrRoad_act!O43*1000
)</f>
        <v>1167.0210685810664</v>
      </c>
      <c r="P67" s="101">
        <f>IF(TrRoad_act!P43=0,0,P30/TrRoad_act!P43*1000
)</f>
        <v>1166.5272185230083</v>
      </c>
      <c r="Q67" s="101">
        <f>IF(TrRoad_act!Q43=0,0,Q30/TrRoad_act!Q43*1000
)</f>
        <v>1165.9771940289395</v>
      </c>
      <c r="R67" s="101">
        <f>IF(TrRoad_act!R43=0,0,R30/TrRoad_act!R43*1000
)</f>
        <v>1165.5373039750939</v>
      </c>
      <c r="S67" s="101">
        <f>IF(TrRoad_act!S43=0,0,S30/TrRoad_act!S43*1000
)</f>
        <v>1165.6191546728849</v>
      </c>
      <c r="T67" s="101">
        <f>IF(TrRoad_act!T43=0,0,T30/TrRoad_act!T43*1000
)</f>
        <v>1165.8064507718964</v>
      </c>
      <c r="U67" s="101">
        <f>IF(TrRoad_act!U43=0,0,U30/TrRoad_act!U43*1000
)</f>
        <v>1165.6938812042772</v>
      </c>
      <c r="V67" s="101">
        <f>IF(TrRoad_act!V43=0,0,V30/TrRoad_act!V43*1000
)</f>
        <v>1168.1687649978328</v>
      </c>
      <c r="W67" s="101">
        <f>IF(TrRoad_act!W43=0,0,W30/TrRoad_act!W43*1000
)</f>
        <v>1168.626175862936</v>
      </c>
      <c r="X67" s="101">
        <f>IF(TrRoad_act!X43=0,0,X30/TrRoad_act!X43*1000
)</f>
        <v>1168.8761185275725</v>
      </c>
      <c r="Y67" s="101">
        <f>IF(TrRoad_act!Y43=0,0,Y30/TrRoad_act!Y43*1000
)</f>
        <v>1170.3213562610279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97.611814502499698</v>
      </c>
      <c r="C68" s="101">
        <f>IF(TrRoad_act!C44=0,0,C31/TrRoad_act!C44*1000
)</f>
        <v>96.424263870778745</v>
      </c>
      <c r="D68" s="101">
        <f>IF(TrRoad_act!D44=0,0,D31/TrRoad_act!D44*1000
)</f>
        <v>96.374728918950495</v>
      </c>
      <c r="E68" s="101">
        <f>IF(TrRoad_act!E44=0,0,E31/TrRoad_act!E44*1000
)</f>
        <v>92.035783214337542</v>
      </c>
      <c r="F68" s="101">
        <f>IF(TrRoad_act!F44=0,0,F31/TrRoad_act!F44*1000
)</f>
        <v>91.603308219283434</v>
      </c>
      <c r="G68" s="101">
        <f>IF(TrRoad_act!G44=0,0,G31/TrRoad_act!G44*1000
)</f>
        <v>89.956036497672201</v>
      </c>
      <c r="H68" s="101">
        <f>IF(TrRoad_act!H44=0,0,H31/TrRoad_act!H44*1000
)</f>
        <v>89.660097173199858</v>
      </c>
      <c r="I68" s="101">
        <f>IF(TrRoad_act!I44=0,0,I31/TrRoad_act!I44*1000
)</f>
        <v>294.6866257447781</v>
      </c>
      <c r="J68" s="101">
        <f>IF(TrRoad_act!J44=0,0,J31/TrRoad_act!J44*1000
)</f>
        <v>655.94619723884227</v>
      </c>
      <c r="K68" s="101">
        <f>IF(TrRoad_act!K44=0,0,K31/TrRoad_act!K44*1000
)</f>
        <v>471.22700073166379</v>
      </c>
      <c r="L68" s="101">
        <f>IF(TrRoad_act!L44=0,0,L31/TrRoad_act!L44*1000
)</f>
        <v>496.93528353199235</v>
      </c>
      <c r="M68" s="101">
        <f>IF(TrRoad_act!M44=0,0,M31/TrRoad_act!M44*1000
)</f>
        <v>792.00102664466556</v>
      </c>
      <c r="N68" s="101">
        <f>IF(TrRoad_act!N44=0,0,N31/TrRoad_act!N44*1000
)</f>
        <v>993.86581016601963</v>
      </c>
      <c r="O68" s="101">
        <f>IF(TrRoad_act!O44=0,0,O31/TrRoad_act!O44*1000
)</f>
        <v>1056.3554037612671</v>
      </c>
      <c r="P68" s="101">
        <f>IF(TrRoad_act!P44=0,0,P31/TrRoad_act!P44*1000
)</f>
        <v>893.10612000523042</v>
      </c>
      <c r="Q68" s="101">
        <f>IF(TrRoad_act!Q44=0,0,Q31/TrRoad_act!Q44*1000
)</f>
        <v>1060.0010691626205</v>
      </c>
      <c r="R68" s="101">
        <f>IF(TrRoad_act!R44=0,0,R31/TrRoad_act!R44*1000
)</f>
        <v>666.49507481079377</v>
      </c>
      <c r="S68" s="101">
        <f>IF(TrRoad_act!S44=0,0,S31/TrRoad_act!S44*1000
)</f>
        <v>777.22609502423177</v>
      </c>
      <c r="T68" s="101">
        <f>IF(TrRoad_act!T44=0,0,T31/TrRoad_act!T44*1000
)</f>
        <v>698.27972237122231</v>
      </c>
      <c r="U68" s="101">
        <f>IF(TrRoad_act!U44=0,0,U31/TrRoad_act!U44*1000
)</f>
        <v>812.16851124537357</v>
      </c>
      <c r="V68" s="101">
        <f>IF(TrRoad_act!V44=0,0,V31/TrRoad_act!V44*1000
)</f>
        <v>405.76560015949207</v>
      </c>
      <c r="W68" s="101">
        <f>IF(TrRoad_act!W44=0,0,W31/TrRoad_act!W44*1000
)</f>
        <v>1225.0417608609469</v>
      </c>
      <c r="X68" s="101">
        <f>IF(TrRoad_act!X44=0,0,X31/TrRoad_act!X44*1000
)</f>
        <v>487.11276385622153</v>
      </c>
      <c r="Y68" s="101">
        <f>IF(TrRoad_act!Y44=0,0,Y31/TrRoad_act!Y44*1000
)</f>
        <v>307.70419113275079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431.69967997330906</v>
      </c>
      <c r="C70" s="29">
        <f>IF(TrRoad_act!C46=0,0,C33/TrRoad_act!C46*1000
)</f>
        <v>476.99214761044681</v>
      </c>
      <c r="D70" s="29">
        <f>IF(TrRoad_act!D46=0,0,D33/TrRoad_act!D46*1000
)</f>
        <v>458.1712341318036</v>
      </c>
      <c r="E70" s="29">
        <f>IF(TrRoad_act!E46=0,0,E33/TrRoad_act!E46*1000
)</f>
        <v>435.3232960395431</v>
      </c>
      <c r="F70" s="29">
        <f>IF(TrRoad_act!F46=0,0,F33/TrRoad_act!F46*1000
)</f>
        <v>414.44830416749767</v>
      </c>
      <c r="G70" s="29">
        <f>IF(TrRoad_act!G46=0,0,G33/TrRoad_act!G46*1000
)</f>
        <v>403.64967770358965</v>
      </c>
      <c r="H70" s="29">
        <f>IF(TrRoad_act!H46=0,0,H33/TrRoad_act!H46*1000
)</f>
        <v>435.2386193806168</v>
      </c>
      <c r="I70" s="29">
        <f>IF(TrRoad_act!I46=0,0,I33/TrRoad_act!I46*1000
)</f>
        <v>416.64034354062051</v>
      </c>
      <c r="J70" s="29">
        <f>IF(TrRoad_act!J46=0,0,J33/TrRoad_act!J46*1000
)</f>
        <v>367.03452397726534</v>
      </c>
      <c r="K70" s="29">
        <f>IF(TrRoad_act!K46=0,0,K33/TrRoad_act!K46*1000
)</f>
        <v>324.49997535104472</v>
      </c>
      <c r="L70" s="29">
        <f>IF(TrRoad_act!L46=0,0,L33/TrRoad_act!L46*1000
)</f>
        <v>305.50515696125166</v>
      </c>
      <c r="M70" s="29">
        <f>IF(TrRoad_act!M46=0,0,M33/TrRoad_act!M46*1000
)</f>
        <v>312.27744329178017</v>
      </c>
      <c r="N70" s="29">
        <f>IF(TrRoad_act!N46=0,0,N33/TrRoad_act!N46*1000
)</f>
        <v>340.22154855798931</v>
      </c>
      <c r="O70" s="29">
        <f>IF(TrRoad_act!O46=0,0,O33/TrRoad_act!O46*1000
)</f>
        <v>321.151007481205</v>
      </c>
      <c r="P70" s="29">
        <f>IF(TrRoad_act!P46=0,0,P33/TrRoad_act!P46*1000
)</f>
        <v>315.84552279936389</v>
      </c>
      <c r="Q70" s="29">
        <f>IF(TrRoad_act!Q46=0,0,Q33/TrRoad_act!Q46*1000
)</f>
        <v>336.32156102863689</v>
      </c>
      <c r="R70" s="29">
        <f>IF(TrRoad_act!R46=0,0,R33/TrRoad_act!R46*1000
)</f>
        <v>322.22225932327103</v>
      </c>
      <c r="S70" s="29">
        <f>IF(TrRoad_act!S46=0,0,S33/TrRoad_act!S46*1000
)</f>
        <v>267.37895318808864</v>
      </c>
      <c r="T70" s="29">
        <f>IF(TrRoad_act!T46=0,0,T33/TrRoad_act!T46*1000
)</f>
        <v>310.87289013543733</v>
      </c>
      <c r="U70" s="29">
        <f>IF(TrRoad_act!U46=0,0,U33/TrRoad_act!U46*1000
)</f>
        <v>307.51138822270633</v>
      </c>
      <c r="V70" s="29">
        <f>IF(TrRoad_act!V46=0,0,V33/TrRoad_act!V46*1000
)</f>
        <v>283.59804207216689</v>
      </c>
      <c r="W70" s="29">
        <f>IF(TrRoad_act!W46=0,0,W33/TrRoad_act!W46*1000
)</f>
        <v>335.92196682638041</v>
      </c>
      <c r="X70" s="29">
        <f>IF(TrRoad_act!X46=0,0,X33/TrRoad_act!X46*1000
)</f>
        <v>407.36443881443074</v>
      </c>
      <c r="Y70" s="29">
        <f>IF(TrRoad_act!Y46=0,0,Y33/TrRoad_act!Y46*1000
)</f>
        <v>424.3839852449741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382.98494333947565</v>
      </c>
      <c r="C71" s="152">
        <f>IF(TrRoad_act!C47=0,0,C34/TrRoad_act!C47*1000
)</f>
        <v>364.7536195388642</v>
      </c>
      <c r="D71" s="152">
        <f>IF(TrRoad_act!D47=0,0,D34/TrRoad_act!D47*1000
)</f>
        <v>346.48213387085053</v>
      </c>
      <c r="E71" s="152">
        <f>IF(TrRoad_act!E47=0,0,E34/TrRoad_act!E47*1000
)</f>
        <v>332.32449252043966</v>
      </c>
      <c r="F71" s="152">
        <f>IF(TrRoad_act!F47=0,0,F34/TrRoad_act!F47*1000
)</f>
        <v>319.55552205479495</v>
      </c>
      <c r="G71" s="152">
        <f>IF(TrRoad_act!G47=0,0,G34/TrRoad_act!G47*1000
)</f>
        <v>309.42831550667404</v>
      </c>
      <c r="H71" s="152">
        <f>IF(TrRoad_act!H47=0,0,H34/TrRoad_act!H47*1000
)</f>
        <v>299.91152138011216</v>
      </c>
      <c r="I71" s="152">
        <f>IF(TrRoad_act!I47=0,0,I34/TrRoad_act!I47*1000
)</f>
        <v>292.32805386678461</v>
      </c>
      <c r="J71" s="152">
        <f>IF(TrRoad_act!J47=0,0,J34/TrRoad_act!J47*1000
)</f>
        <v>280.06251888337039</v>
      </c>
      <c r="K71" s="152">
        <f>IF(TrRoad_act!K47=0,0,K34/TrRoad_act!K47*1000
)</f>
        <v>267.79315166882321</v>
      </c>
      <c r="L71" s="152">
        <f>IF(TrRoad_act!L47=0,0,L34/TrRoad_act!L47*1000
)</f>
        <v>258.53788978746832</v>
      </c>
      <c r="M71" s="152">
        <f>IF(TrRoad_act!M47=0,0,M34/TrRoad_act!M47*1000
)</f>
        <v>252.86788449145737</v>
      </c>
      <c r="N71" s="152">
        <f>IF(TrRoad_act!N47=0,0,N34/TrRoad_act!N47*1000
)</f>
        <v>250.07988401357335</v>
      </c>
      <c r="O71" s="152">
        <f>IF(TrRoad_act!O47=0,0,O34/TrRoad_act!O47*1000
)</f>
        <v>245.48928350649601</v>
      </c>
      <c r="P71" s="152">
        <f>IF(TrRoad_act!P47=0,0,P34/TrRoad_act!P47*1000
)</f>
        <v>242.31199411164729</v>
      </c>
      <c r="Q71" s="152">
        <f>IF(TrRoad_act!Q47=0,0,Q34/TrRoad_act!Q47*1000
)</f>
        <v>236.35088674833128</v>
      </c>
      <c r="R71" s="152">
        <f>IF(TrRoad_act!R47=0,0,R34/TrRoad_act!R47*1000
)</f>
        <v>235.10524735287555</v>
      </c>
      <c r="S71" s="152">
        <f>IF(TrRoad_act!S47=0,0,S34/TrRoad_act!S47*1000
)</f>
        <v>229.89803280486689</v>
      </c>
      <c r="T71" s="152">
        <f>IF(TrRoad_act!T47=0,0,T34/TrRoad_act!T47*1000
)</f>
        <v>226.15921829546804</v>
      </c>
      <c r="U71" s="152">
        <f>IF(TrRoad_act!U47=0,0,U34/TrRoad_act!U47*1000
)</f>
        <v>225.1004475935917</v>
      </c>
      <c r="V71" s="152">
        <f>IF(TrRoad_act!V47=0,0,V34/TrRoad_act!V47*1000
)</f>
        <v>222.5569357096185</v>
      </c>
      <c r="W71" s="152">
        <f>IF(TrRoad_act!W47=0,0,W34/TrRoad_act!W47*1000
)</f>
        <v>224.20022384669508</v>
      </c>
      <c r="X71" s="152">
        <f>IF(TrRoad_act!X47=0,0,X34/TrRoad_act!X47*1000
)</f>
        <v>223.24872606080694</v>
      </c>
      <c r="Y71" s="152">
        <f>IF(TrRoad_act!Y47=0,0,Y34/TrRoad_act!Y47*1000
)</f>
        <v>222.12855110323332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320.81639272069549</v>
      </c>
      <c r="C72" s="87">
        <f>IF(TrRoad_act!C48=0,0,C35/TrRoad_act!C48*1000
)</f>
        <v>309.13911543603228</v>
      </c>
      <c r="D72" s="87">
        <f>IF(TrRoad_act!D48=0,0,D35/TrRoad_act!D48*1000
)</f>
        <v>296.51233058432899</v>
      </c>
      <c r="E72" s="87">
        <f>IF(TrRoad_act!E48=0,0,E35/TrRoad_act!E48*1000
)</f>
        <v>286.71936612320496</v>
      </c>
      <c r="F72" s="87">
        <f>IF(TrRoad_act!F48=0,0,F35/TrRoad_act!F48*1000
)</f>
        <v>280.75932943294339</v>
      </c>
      <c r="G72" s="87">
        <f>IF(TrRoad_act!G48=0,0,G35/TrRoad_act!G48*1000
)</f>
        <v>273.00400982244162</v>
      </c>
      <c r="H72" s="87">
        <f>IF(TrRoad_act!H48=0,0,H35/TrRoad_act!H48*1000
)</f>
        <v>266.53084821269925</v>
      </c>
      <c r="I72" s="87">
        <f>IF(TrRoad_act!I48=0,0,I35/TrRoad_act!I48*1000
)</f>
        <v>261.37522343897325</v>
      </c>
      <c r="J72" s="87">
        <f>IF(TrRoad_act!J48=0,0,J35/TrRoad_act!J48*1000
)</f>
        <v>255.44330773624264</v>
      </c>
      <c r="K72" s="87">
        <f>IF(TrRoad_act!K48=0,0,K35/TrRoad_act!K48*1000
)</f>
        <v>250.57288804641558</v>
      </c>
      <c r="L72" s="87">
        <f>IF(TrRoad_act!L48=0,0,L35/TrRoad_act!L48*1000
)</f>
        <v>249.17923480969137</v>
      </c>
      <c r="M72" s="87">
        <f>IF(TrRoad_act!M48=0,0,M35/TrRoad_act!M48*1000
)</f>
        <v>246.5799561193426</v>
      </c>
      <c r="N72" s="87">
        <f>IF(TrRoad_act!N48=0,0,N35/TrRoad_act!N48*1000
)</f>
        <v>240.68623472072301</v>
      </c>
      <c r="O72" s="87">
        <f>IF(TrRoad_act!O48=0,0,O35/TrRoad_act!O48*1000
)</f>
        <v>236.33696698790612</v>
      </c>
      <c r="P72" s="87">
        <f>IF(TrRoad_act!P48=0,0,P35/TrRoad_act!P48*1000
)</f>
        <v>232.23758347945358</v>
      </c>
      <c r="Q72" s="87">
        <f>IF(TrRoad_act!Q48=0,0,Q35/TrRoad_act!Q48*1000
)</f>
        <v>226.3315950389154</v>
      </c>
      <c r="R72" s="87">
        <f>IF(TrRoad_act!R48=0,0,R35/TrRoad_act!R48*1000
)</f>
        <v>224.83180061707714</v>
      </c>
      <c r="S72" s="87">
        <f>IF(TrRoad_act!S48=0,0,S35/TrRoad_act!S48*1000
)</f>
        <v>221.00601442015954</v>
      </c>
      <c r="T72" s="87">
        <f>IF(TrRoad_act!T48=0,0,T35/TrRoad_act!T48*1000
)</f>
        <v>217.41553961112342</v>
      </c>
      <c r="U72" s="87">
        <f>IF(TrRoad_act!U48=0,0,U35/TrRoad_act!U48*1000
)</f>
        <v>216.08464649823438</v>
      </c>
      <c r="V72" s="87">
        <f>IF(TrRoad_act!V48=0,0,V35/TrRoad_act!V48*1000
)</f>
        <v>215.25346306998216</v>
      </c>
      <c r="W72" s="87">
        <f>IF(TrRoad_act!W48=0,0,W35/TrRoad_act!W48*1000
)</f>
        <v>212.3592143975207</v>
      </c>
      <c r="X72" s="87">
        <f>IF(TrRoad_act!X48=0,0,X35/TrRoad_act!X48*1000
)</f>
        <v>207.2481644370053</v>
      </c>
      <c r="Y72" s="87">
        <f>IF(TrRoad_act!Y48=0,0,Y35/TrRoad_act!Y48*1000
)</f>
        <v>203.16191221147818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386.05465362338992</v>
      </c>
      <c r="C73" s="87">
        <f>IF(TrRoad_act!C49=0,0,C36/TrRoad_act!C49*1000
)</f>
        <v>367.86013532551681</v>
      </c>
      <c r="D73" s="87">
        <f>IF(TrRoad_act!D49=0,0,D36/TrRoad_act!D49*1000
)</f>
        <v>349.37028269819137</v>
      </c>
      <c r="E73" s="87">
        <f>IF(TrRoad_act!E49=0,0,E36/TrRoad_act!E49*1000
)</f>
        <v>334.87464681476808</v>
      </c>
      <c r="F73" s="87">
        <f>IF(TrRoad_act!F49=0,0,F36/TrRoad_act!F49*1000
)</f>
        <v>321.611686544853</v>
      </c>
      <c r="G73" s="87">
        <f>IF(TrRoad_act!G49=0,0,G36/TrRoad_act!G49*1000
)</f>
        <v>311.26271184152284</v>
      </c>
      <c r="H73" s="87">
        <f>IF(TrRoad_act!H49=0,0,H36/TrRoad_act!H49*1000
)</f>
        <v>301.87054896115978</v>
      </c>
      <c r="I73" s="87">
        <f>IF(TrRoad_act!I49=0,0,I36/TrRoad_act!I49*1000
)</f>
        <v>293.81768933286327</v>
      </c>
      <c r="J73" s="87">
        <f>IF(TrRoad_act!J49=0,0,J36/TrRoad_act!J49*1000
)</f>
        <v>281.34026846746616</v>
      </c>
      <c r="K73" s="87">
        <f>IF(TrRoad_act!K49=0,0,K36/TrRoad_act!K49*1000
)</f>
        <v>268.97568779427718</v>
      </c>
      <c r="L73" s="87">
        <f>IF(TrRoad_act!L49=0,0,L36/TrRoad_act!L49*1000
)</f>
        <v>259.46207913794836</v>
      </c>
      <c r="M73" s="87">
        <f>IF(TrRoad_act!M49=0,0,M36/TrRoad_act!M49*1000
)</f>
        <v>253.67558725436535</v>
      </c>
      <c r="N73" s="87">
        <f>IF(TrRoad_act!N49=0,0,N36/TrRoad_act!N49*1000
)</f>
        <v>251.35719691055192</v>
      </c>
      <c r="O73" s="87">
        <f>IF(TrRoad_act!O49=0,0,O36/TrRoad_act!O49*1000
)</f>
        <v>246.76747759776973</v>
      </c>
      <c r="P73" s="87">
        <f>IF(TrRoad_act!P49=0,0,P36/TrRoad_act!P49*1000
)</f>
        <v>243.65155684756348</v>
      </c>
      <c r="Q73" s="87">
        <f>IF(TrRoad_act!Q49=0,0,Q36/TrRoad_act!Q49*1000
)</f>
        <v>237.77210081259472</v>
      </c>
      <c r="R73" s="87">
        <f>IF(TrRoad_act!R49=0,0,R36/TrRoad_act!R49*1000
)</f>
        <v>236.80530763711889</v>
      </c>
      <c r="S73" s="87">
        <f>IF(TrRoad_act!S49=0,0,S36/TrRoad_act!S49*1000
)</f>
        <v>231.76118126485815</v>
      </c>
      <c r="T73" s="87">
        <f>IF(TrRoad_act!T49=0,0,T36/TrRoad_act!T49*1000
)</f>
        <v>228.24601004821079</v>
      </c>
      <c r="U73" s="87">
        <f>IF(TrRoad_act!U49=0,0,U36/TrRoad_act!U49*1000
)</f>
        <v>226.53780867296567</v>
      </c>
      <c r="V73" s="87">
        <f>IF(TrRoad_act!V49=0,0,V36/TrRoad_act!V49*1000
)</f>
        <v>223.89645070985384</v>
      </c>
      <c r="W73" s="87">
        <f>IF(TrRoad_act!W49=0,0,W36/TrRoad_act!W49*1000
)</f>
        <v>225.20036022603571</v>
      </c>
      <c r="X73" s="87">
        <f>IF(TrRoad_act!X49=0,0,X36/TrRoad_act!X49*1000
)</f>
        <v>225.02855595779175</v>
      </c>
      <c r="Y73" s="87">
        <f>IF(TrRoad_act!Y49=0,0,Y36/TrRoad_act!Y49*1000
)</f>
        <v>224.47416240492095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350.19666704315517</v>
      </c>
      <c r="C74" s="87">
        <f>IF(TrRoad_act!C50=0,0,C37/TrRoad_act!C50*1000
)</f>
        <v>324.98079354551339</v>
      </c>
      <c r="D74" s="87">
        <f>IF(TrRoad_act!D50=0,0,D37/TrRoad_act!D50*1000
)</f>
        <v>302.78910050463867</v>
      </c>
      <c r="E74" s="87">
        <f>IF(TrRoad_act!E50=0,0,E37/TrRoad_act!E50*1000
)</f>
        <v>285.75546107553805</v>
      </c>
      <c r="F74" s="87">
        <f>IF(TrRoad_act!F50=0,0,F37/TrRoad_act!F50*1000
)</f>
        <v>273.44322377834095</v>
      </c>
      <c r="G74" s="87">
        <f>IF(TrRoad_act!G50=0,0,G37/TrRoad_act!G50*1000
)</f>
        <v>260.57187743525992</v>
      </c>
      <c r="H74" s="87">
        <f>IF(TrRoad_act!H50=0,0,H37/TrRoad_act!H50*1000
)</f>
        <v>249.59562189668227</v>
      </c>
      <c r="I74" s="87">
        <f>IF(TrRoad_act!I50=0,0,I37/TrRoad_act!I50*1000
)</f>
        <v>247.11758156835418</v>
      </c>
      <c r="J74" s="87">
        <f>IF(TrRoad_act!J50=0,0,J37/TrRoad_act!J50*1000
)</f>
        <v>239.1931672457921</v>
      </c>
      <c r="K74" s="87">
        <f>IF(TrRoad_act!K50=0,0,K37/TrRoad_act!K50*1000
)</f>
        <v>228.58430921075421</v>
      </c>
      <c r="L74" s="87">
        <f>IF(TrRoad_act!L50=0,0,L37/TrRoad_act!L50*1000
)</f>
        <v>223.03272707484425</v>
      </c>
      <c r="M74" s="87">
        <f>IF(TrRoad_act!M50=0,0,M37/TrRoad_act!M50*1000
)</f>
        <v>221.10927239784672</v>
      </c>
      <c r="N74" s="87">
        <f>IF(TrRoad_act!N50=0,0,N37/TrRoad_act!N50*1000
)</f>
        <v>210.24619245544082</v>
      </c>
      <c r="O74" s="87">
        <f>IF(TrRoad_act!O50=0,0,O37/TrRoad_act!O50*1000
)</f>
        <v>208.40750932398279</v>
      </c>
      <c r="P74" s="87">
        <f>IF(TrRoad_act!P50=0,0,P37/TrRoad_act!P50*1000
)</f>
        <v>204.90682147198464</v>
      </c>
      <c r="Q74" s="87">
        <f>IF(TrRoad_act!Q50=0,0,Q37/TrRoad_act!Q50*1000
)</f>
        <v>202.98165144126327</v>
      </c>
      <c r="R74" s="87">
        <f>IF(TrRoad_act!R50=0,0,R37/TrRoad_act!R50*1000
)</f>
        <v>198.52581330776357</v>
      </c>
      <c r="S74" s="87">
        <f>IF(TrRoad_act!S50=0,0,S37/TrRoad_act!S50*1000
)</f>
        <v>195.55634789041042</v>
      </c>
      <c r="T74" s="87">
        <f>IF(TrRoad_act!T50=0,0,T37/TrRoad_act!T50*1000
)</f>
        <v>193.23060353828561</v>
      </c>
      <c r="U74" s="87">
        <f>IF(TrRoad_act!U50=0,0,U37/TrRoad_act!U50*1000
)</f>
        <v>192.2295962428594</v>
      </c>
      <c r="V74" s="87">
        <f>IF(TrRoad_act!V50=0,0,V37/TrRoad_act!V50*1000
)</f>
        <v>193.01307610126875</v>
      </c>
      <c r="W74" s="87">
        <f>IF(TrRoad_act!W50=0,0,W37/TrRoad_act!W50*1000
)</f>
        <v>196.90255419634465</v>
      </c>
      <c r="X74" s="87">
        <f>IF(TrRoad_act!X50=0,0,X37/TrRoad_act!X50*1000
)</f>
        <v>202.17286303483519</v>
      </c>
      <c r="Y74" s="87">
        <f>IF(TrRoad_act!Y50=0,0,Y37/TrRoad_act!Y50*1000
)</f>
        <v>206.57619206039786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342.53062475792234</v>
      </c>
      <c r="C75" s="87">
        <f>IF(TrRoad_act!C51=0,0,C38/TrRoad_act!C51*1000
)</f>
        <v>311.70058586378161</v>
      </c>
      <c r="D75" s="87">
        <f>IF(TrRoad_act!D51=0,0,D38/TrRoad_act!D51*1000
)</f>
        <v>287.76367510639625</v>
      </c>
      <c r="E75" s="87">
        <f>IF(TrRoad_act!E51=0,0,E38/TrRoad_act!E51*1000
)</f>
        <v>270.09643212351489</v>
      </c>
      <c r="F75" s="87">
        <f>IF(TrRoad_act!F51=0,0,F38/TrRoad_act!F51*1000
)</f>
        <v>259.11398067162594</v>
      </c>
      <c r="G75" s="87">
        <f>IF(TrRoad_act!G51=0,0,G38/TrRoad_act!G51*1000
)</f>
        <v>249.12785869860454</v>
      </c>
      <c r="H75" s="87">
        <f>IF(TrRoad_act!H51=0,0,H38/TrRoad_act!H51*1000
)</f>
        <v>243.68827421497289</v>
      </c>
      <c r="I75" s="87">
        <f>IF(TrRoad_act!I51=0,0,I38/TrRoad_act!I51*1000
)</f>
        <v>240.94107922827058</v>
      </c>
      <c r="J75" s="87">
        <f>IF(TrRoad_act!J51=0,0,J38/TrRoad_act!J51*1000
)</f>
        <v>232.98024441847977</v>
      </c>
      <c r="K75" s="87">
        <f>IF(TrRoad_act!K51=0,0,K38/TrRoad_act!K51*1000
)</f>
        <v>210.91873739061003</v>
      </c>
      <c r="L75" s="87">
        <f>IF(TrRoad_act!L51=0,0,L38/TrRoad_act!L51*1000
)</f>
        <v>214.94303455967653</v>
      </c>
      <c r="M75" s="87">
        <f>IF(TrRoad_act!M51=0,0,M38/TrRoad_act!M51*1000
)</f>
        <v>208.23684709081854</v>
      </c>
      <c r="N75" s="87">
        <f>IF(TrRoad_act!N51=0,0,N38/TrRoad_act!N51*1000
)</f>
        <v>203.70884190831285</v>
      </c>
      <c r="O75" s="87">
        <f>IF(TrRoad_act!O51=0,0,O38/TrRoad_act!O51*1000
)</f>
        <v>206.70072967857971</v>
      </c>
      <c r="P75" s="87">
        <f>IF(TrRoad_act!P51=0,0,P38/TrRoad_act!P51*1000
)</f>
        <v>201.83000586120116</v>
      </c>
      <c r="Q75" s="87">
        <f>IF(TrRoad_act!Q51=0,0,Q38/TrRoad_act!Q51*1000
)</f>
        <v>204.58580932111428</v>
      </c>
      <c r="R75" s="87">
        <f>IF(TrRoad_act!R51=0,0,R38/TrRoad_act!R51*1000
)</f>
        <v>199.56260362053527</v>
      </c>
      <c r="S75" s="87">
        <f>IF(TrRoad_act!S51=0,0,S38/TrRoad_act!S51*1000
)</f>
        <v>182.68524011608741</v>
      </c>
      <c r="T75" s="87">
        <f>IF(TrRoad_act!T51=0,0,T38/TrRoad_act!T51*1000
)</f>
        <v>168.17594460989935</v>
      </c>
      <c r="U75" s="87">
        <f>IF(TrRoad_act!U51=0,0,U38/TrRoad_act!U51*1000
)</f>
        <v>199.64086552379354</v>
      </c>
      <c r="V75" s="87">
        <f>IF(TrRoad_act!V51=0,0,V38/TrRoad_act!V51*1000
)</f>
        <v>200.99153562364307</v>
      </c>
      <c r="W75" s="87">
        <f>IF(TrRoad_act!W51=0,0,W38/TrRoad_act!W51*1000
)</f>
        <v>221.76167680028851</v>
      </c>
      <c r="X75" s="87">
        <f>IF(TrRoad_act!X51=0,0,X38/TrRoad_act!X51*1000
)</f>
        <v>202.92406573728181</v>
      </c>
      <c r="Y75" s="87">
        <f>IF(TrRoad_act!Y51=0,0,Y38/TrRoad_act!Y51*1000
)</f>
        <v>204.33977750614096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680.53770842333279</v>
      </c>
      <c r="C77" s="116">
        <f>IF(TrRoad_act!C53=0,0,C40/TrRoad_act!C53*1000
)</f>
        <v>1031.6280959131241</v>
      </c>
      <c r="D77" s="116">
        <f>IF(TrRoad_act!D53=0,0,D40/TrRoad_act!D53*1000
)</f>
        <v>1032.1789238749545</v>
      </c>
      <c r="E77" s="116">
        <f>IF(TrRoad_act!E53=0,0,E40/TrRoad_act!E53*1000
)</f>
        <v>1029.0556362021778</v>
      </c>
      <c r="F77" s="116">
        <f>IF(TrRoad_act!F53=0,0,F40/TrRoad_act!F53*1000
)</f>
        <v>914.37221462618493</v>
      </c>
      <c r="G77" s="116">
        <f>IF(TrRoad_act!G53=0,0,G40/TrRoad_act!G53*1000
)</f>
        <v>937.68430272099556</v>
      </c>
      <c r="H77" s="116">
        <f>IF(TrRoad_act!H53=0,0,H40/TrRoad_act!H53*1000
)</f>
        <v>1209.3539110148163</v>
      </c>
      <c r="I77" s="116">
        <f>IF(TrRoad_act!I53=0,0,I40/TrRoad_act!I53*1000
)</f>
        <v>1173.5382822559698</v>
      </c>
      <c r="J77" s="116">
        <f>IF(TrRoad_act!J53=0,0,J40/TrRoad_act!J53*1000
)</f>
        <v>902.0937142676629</v>
      </c>
      <c r="K77" s="116">
        <f>IF(TrRoad_act!K53=0,0,K40/TrRoad_act!K53*1000
)</f>
        <v>682.50132870754032</v>
      </c>
      <c r="L77" s="116">
        <f>IF(TrRoad_act!L53=0,0,L40/TrRoad_act!L53*1000
)</f>
        <v>618.10178041179893</v>
      </c>
      <c r="M77" s="116">
        <f>IF(TrRoad_act!M53=0,0,M40/TrRoad_act!M53*1000
)</f>
        <v>794.6776883302955</v>
      </c>
      <c r="N77" s="116">
        <f>IF(TrRoad_act!N53=0,0,N40/TrRoad_act!N53*1000
)</f>
        <v>1061.0447884857349</v>
      </c>
      <c r="O77" s="116">
        <f>IF(TrRoad_act!O53=0,0,O40/TrRoad_act!O53*1000
)</f>
        <v>843.0297386902181</v>
      </c>
      <c r="P77" s="116">
        <f>IF(TrRoad_act!P53=0,0,P40/TrRoad_act!P53*1000
)</f>
        <v>868.53265327920781</v>
      </c>
      <c r="Q77" s="116">
        <f>IF(TrRoad_act!Q53=0,0,Q40/TrRoad_act!Q53*1000
)</f>
        <v>953.1781167054661</v>
      </c>
      <c r="R77" s="116">
        <f>IF(TrRoad_act!R53=0,0,R40/TrRoad_act!R53*1000
)</f>
        <v>826.71582067218731</v>
      </c>
      <c r="S77" s="116">
        <f>IF(TrRoad_act!S53=0,0,S40/TrRoad_act!S53*1000
)</f>
        <v>477.4835045959461</v>
      </c>
      <c r="T77" s="116">
        <f>IF(TrRoad_act!T53=0,0,T40/TrRoad_act!T53*1000
)</f>
        <v>801.194727109121</v>
      </c>
      <c r="U77" s="116">
        <f>IF(TrRoad_act!U53=0,0,U40/TrRoad_act!U53*1000
)</f>
        <v>770.90952011266222</v>
      </c>
      <c r="V77" s="116">
        <f>IF(TrRoad_act!V53=0,0,V40/TrRoad_act!V53*1000
)</f>
        <v>629.25444198273237</v>
      </c>
      <c r="W77" s="116">
        <f>IF(TrRoad_act!W53=0,0,W40/TrRoad_act!W53*1000
)</f>
        <v>1034.5115193297015</v>
      </c>
      <c r="X77" s="116">
        <f>IF(TrRoad_act!X53=0,0,X40/TrRoad_act!X53*1000
)</f>
        <v>1386.7744118638025</v>
      </c>
      <c r="Y77" s="116">
        <f>IF(TrRoad_act!Y53=0,0,Y40/TrRoad_act!Y53*1000
)</f>
        <v>1418.9582167532931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677.18665125730536</v>
      </c>
      <c r="C78" s="101">
        <f>IF(TrRoad_act!C54=0,0,C41/TrRoad_act!C54*1000
)</f>
        <v>1027.2981581157262</v>
      </c>
      <c r="D78" s="101">
        <f>IF(TrRoad_act!D54=0,0,D41/TrRoad_act!D54*1000
)</f>
        <v>1028.5713690377063</v>
      </c>
      <c r="E78" s="101">
        <f>IF(TrRoad_act!E54=0,0,E41/TrRoad_act!E54*1000
)</f>
        <v>1025.8376817427668</v>
      </c>
      <c r="F78" s="101">
        <f>IF(TrRoad_act!F54=0,0,F41/TrRoad_act!F54*1000
)</f>
        <v>913.24112916134243</v>
      </c>
      <c r="G78" s="101">
        <f>IF(TrRoad_act!G54=0,0,G41/TrRoad_act!G54*1000
)</f>
        <v>936.84491407369205</v>
      </c>
      <c r="H78" s="101">
        <f>IF(TrRoad_act!H54=0,0,H41/TrRoad_act!H54*1000
)</f>
        <v>1208.7354086149835</v>
      </c>
      <c r="I78" s="101">
        <f>IF(TrRoad_act!I54=0,0,I41/TrRoad_act!I54*1000
)</f>
        <v>1172.7615981731128</v>
      </c>
      <c r="J78" s="101">
        <f>IF(TrRoad_act!J54=0,0,J41/TrRoad_act!J54*1000
)</f>
        <v>901.6352710868083</v>
      </c>
      <c r="K78" s="101">
        <f>IF(TrRoad_act!K54=0,0,K41/TrRoad_act!K54*1000
)</f>
        <v>682.06605682867735</v>
      </c>
      <c r="L78" s="101">
        <f>IF(TrRoad_act!L54=0,0,L41/TrRoad_act!L54*1000
)</f>
        <v>617.71452843660143</v>
      </c>
      <c r="M78" s="101">
        <f>IF(TrRoad_act!M54=0,0,M41/TrRoad_act!M54*1000
)</f>
        <v>794.07598338216417</v>
      </c>
      <c r="N78" s="101">
        <f>IF(TrRoad_act!N54=0,0,N41/TrRoad_act!N54*1000
)</f>
        <v>1059.5531415706996</v>
      </c>
      <c r="O78" s="101">
        <f>IF(TrRoad_act!O54=0,0,O41/TrRoad_act!O54*1000
)</f>
        <v>841.39015926626769</v>
      </c>
      <c r="P78" s="101">
        <f>IF(TrRoad_act!P54=0,0,P41/TrRoad_act!P54*1000
)</f>
        <v>864.96433978650509</v>
      </c>
      <c r="Q78" s="101">
        <f>IF(TrRoad_act!Q54=0,0,Q41/TrRoad_act!Q54*1000
)</f>
        <v>947.13732213163405</v>
      </c>
      <c r="R78" s="101">
        <f>IF(TrRoad_act!R54=0,0,R41/TrRoad_act!R54*1000
)</f>
        <v>820.57271038322153</v>
      </c>
      <c r="S78" s="101">
        <f>IF(TrRoad_act!S54=0,0,S41/TrRoad_act!S54*1000
)</f>
        <v>472.97590087763314</v>
      </c>
      <c r="T78" s="101">
        <f>IF(TrRoad_act!T54=0,0,T41/TrRoad_act!T54*1000
)</f>
        <v>790.41822064516384</v>
      </c>
      <c r="U78" s="101">
        <f>IF(TrRoad_act!U54=0,0,U41/TrRoad_act!U54*1000
)</f>
        <v>757.53166266147048</v>
      </c>
      <c r="V78" s="101">
        <f>IF(TrRoad_act!V54=0,0,V41/TrRoad_act!V54*1000
)</f>
        <v>617.51320659194721</v>
      </c>
      <c r="W78" s="101">
        <f>IF(TrRoad_act!W54=0,0,W41/TrRoad_act!W54*1000
)</f>
        <v>1010.8403853168921</v>
      </c>
      <c r="X78" s="101">
        <f>IF(TrRoad_act!X54=0,0,X41/TrRoad_act!X54*1000
)</f>
        <v>1348.8803871369171</v>
      </c>
      <c r="Y78" s="101">
        <f>IF(TrRoad_act!Y54=0,0,Y41/TrRoad_act!Y54*1000
)</f>
        <v>1376.347461265842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700.74154548008164</v>
      </c>
      <c r="C79" s="88">
        <f>IF(TrRoad_act!C55=0,0,C42/TrRoad_act!C55*1000
)</f>
        <v>1055.0932193191588</v>
      </c>
      <c r="D79" s="88">
        <f>IF(TrRoad_act!D55=0,0,D42/TrRoad_act!D55*1000
)</f>
        <v>1050.71401477426</v>
      </c>
      <c r="E79" s="88">
        <f>IF(TrRoad_act!E55=0,0,E42/TrRoad_act!E55*1000
)</f>
        <v>1044.7510556343616</v>
      </c>
      <c r="F79" s="88">
        <f>IF(TrRoad_act!F55=0,0,F42/TrRoad_act!F55*1000
)</f>
        <v>919.89753130435531</v>
      </c>
      <c r="G79" s="88">
        <f>IF(TrRoad_act!G55=0,0,G42/TrRoad_act!G55*1000
)</f>
        <v>941.76769460510809</v>
      </c>
      <c r="H79" s="88">
        <f>IF(TrRoad_act!H55=0,0,H42/TrRoad_act!H55*1000
)</f>
        <v>1211.7410537398021</v>
      </c>
      <c r="I79" s="88">
        <f>IF(TrRoad_act!I55=0,0,I42/TrRoad_act!I55*1000
)</f>
        <v>1176.6374027968568</v>
      </c>
      <c r="J79" s="88">
        <f>IF(TrRoad_act!J55=0,0,J42/TrRoad_act!J55*1000
)</f>
        <v>903.7768665250095</v>
      </c>
      <c r="K79" s="88">
        <f>IF(TrRoad_act!K55=0,0,K42/TrRoad_act!K55*1000
)</f>
        <v>684.31363289320018</v>
      </c>
      <c r="L79" s="88">
        <f>IF(TrRoad_act!L55=0,0,L42/TrRoad_act!L55*1000
)</f>
        <v>619.628243218129</v>
      </c>
      <c r="M79" s="88">
        <f>IF(TrRoad_act!M55=0,0,M42/TrRoad_act!M55*1000
)</f>
        <v>797.00568950789591</v>
      </c>
      <c r="N79" s="88">
        <f>IF(TrRoad_act!N55=0,0,N42/TrRoad_act!N55*1000
)</f>
        <v>1066.5195798769405</v>
      </c>
      <c r="O79" s="88">
        <f>IF(TrRoad_act!O55=0,0,O42/TrRoad_act!O55*1000
)</f>
        <v>848.7155804336096</v>
      </c>
      <c r="P79" s="88">
        <f>IF(TrRoad_act!P55=0,0,P42/TrRoad_act!P55*1000
)</f>
        <v>879.80633396822464</v>
      </c>
      <c r="Q79" s="88">
        <f>IF(TrRoad_act!Q55=0,0,Q42/TrRoad_act!Q55*1000
)</f>
        <v>972.48085560146808</v>
      </c>
      <c r="R79" s="88">
        <f>IF(TrRoad_act!R55=0,0,R42/TrRoad_act!R55*1000
)</f>
        <v>844.95817639413713</v>
      </c>
      <c r="S79" s="88">
        <f>IF(TrRoad_act!S55=0,0,S42/TrRoad_act!S55*1000
)</f>
        <v>489.86711336258617</v>
      </c>
      <c r="T79" s="88">
        <f>IF(TrRoad_act!T55=0,0,T42/TrRoad_act!T55*1000
)</f>
        <v>832.48914789238574</v>
      </c>
      <c r="U79" s="88">
        <f>IF(TrRoad_act!U55=0,0,U42/TrRoad_act!U55*1000
)</f>
        <v>810.21322447374382</v>
      </c>
      <c r="V79" s="88">
        <f>IF(TrRoad_act!V55=0,0,V42/TrRoad_act!V55*1000
)</f>
        <v>662.94215468897698</v>
      </c>
      <c r="W79" s="88">
        <f>IF(TrRoad_act!W55=0,0,W42/TrRoad_act!W55*1000
)</f>
        <v>1100.0245049301229</v>
      </c>
      <c r="X79" s="88">
        <f>IF(TrRoad_act!X55=0,0,X42/TrRoad_act!X55*1000
)</f>
        <v>1493.7813757099166</v>
      </c>
      <c r="Y79" s="88">
        <f>IF(TrRoad_act!Y55=0,0,Y42/TrRoad_act!Y55*1000
)</f>
        <v>1547.7591005469624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93.233378274594799</v>
      </c>
      <c r="C82" s="29">
        <f>IF(TrRoad_act!C4=0,0,C18/TrRoad_act!C4*1000)</f>
        <v>93.142387224341505</v>
      </c>
      <c r="D82" s="29">
        <f>IF(TrRoad_act!D4=0,0,D18/TrRoad_act!D4*1000)</f>
        <v>95.354625727902373</v>
      </c>
      <c r="E82" s="29">
        <f>IF(TrRoad_act!E4=0,0,E18/TrRoad_act!E4*1000)</f>
        <v>94.417795001549834</v>
      </c>
      <c r="F82" s="29">
        <f>IF(TrRoad_act!F4=0,0,F18/TrRoad_act!F4*1000)</f>
        <v>94.60355895752177</v>
      </c>
      <c r="G82" s="29">
        <f>IF(TrRoad_act!G4=0,0,G18/TrRoad_act!G4*1000)</f>
        <v>96.170879503420807</v>
      </c>
      <c r="H82" s="29">
        <f>IF(TrRoad_act!H4=0,0,H18/TrRoad_act!H4*1000)</f>
        <v>99.437528735485742</v>
      </c>
      <c r="I82" s="29">
        <f>IF(TrRoad_act!I4=0,0,I18/TrRoad_act!I4*1000)</f>
        <v>99.583295927853982</v>
      </c>
      <c r="J82" s="29">
        <f>IF(TrRoad_act!J4=0,0,J18/TrRoad_act!J4*1000)</f>
        <v>96.47836170084625</v>
      </c>
      <c r="K82" s="29">
        <f>IF(TrRoad_act!K4=0,0,K18/TrRoad_act!K4*1000)</f>
        <v>90.879179906124534</v>
      </c>
      <c r="L82" s="29">
        <f>IF(TrRoad_act!L4=0,0,L18/TrRoad_act!L4*1000)</f>
        <v>89.520173204155839</v>
      </c>
      <c r="M82" s="29">
        <f>IF(TrRoad_act!M4=0,0,M18/TrRoad_act!M4*1000)</f>
        <v>91.305782076982084</v>
      </c>
      <c r="N82" s="29">
        <f>IF(TrRoad_act!N4=0,0,N18/TrRoad_act!N4*1000)</f>
        <v>95.232313421713215</v>
      </c>
      <c r="O82" s="29">
        <f>IF(TrRoad_act!O4=0,0,O18/TrRoad_act!O4*1000)</f>
        <v>92.970140740555181</v>
      </c>
      <c r="P82" s="29">
        <f>IF(TrRoad_act!P4=0,0,P18/TrRoad_act!P4*1000)</f>
        <v>96.071064131611166</v>
      </c>
      <c r="Q82" s="29">
        <f>IF(TrRoad_act!Q4=0,0,Q18/TrRoad_act!Q4*1000)</f>
        <v>92.787037308309039</v>
      </c>
      <c r="R82" s="29">
        <f>IF(TrRoad_act!R4=0,0,R18/TrRoad_act!R4*1000)</f>
        <v>90.257097942710416</v>
      </c>
      <c r="S82" s="29">
        <f>IF(TrRoad_act!S4=0,0,S18/TrRoad_act!S4*1000)</f>
        <v>84.967457927438147</v>
      </c>
      <c r="T82" s="29">
        <f>IF(TrRoad_act!T4=0,0,T18/TrRoad_act!T4*1000)</f>
        <v>86.78479803698589</v>
      </c>
      <c r="U82" s="29">
        <f>IF(TrRoad_act!U4=0,0,U18/TrRoad_act!U4*1000)</f>
        <v>85.992657741801509</v>
      </c>
      <c r="V82" s="29">
        <f>IF(TrRoad_act!V4=0,0,V18/TrRoad_act!V4*1000)</f>
        <v>106.58155663367532</v>
      </c>
      <c r="W82" s="29">
        <f>IF(TrRoad_act!W4=0,0,W18/TrRoad_act!W4*1000)</f>
        <v>98.407349715868662</v>
      </c>
      <c r="X82" s="29">
        <f>IF(TrRoad_act!X4=0,0,X18/TrRoad_act!X4*1000)</f>
        <v>97.355554403552105</v>
      </c>
      <c r="Y82" s="29">
        <f>IF(TrRoad_act!Y4=0,0,Y18/TrRoad_act!Y4*1000)</f>
        <v>90.750289724434381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91.01130456823067</v>
      </c>
      <c r="C83" s="152">
        <f>IF(TrRoad_act!C5=0,0,C19/TrRoad_act!C5*1000)</f>
        <v>88.626420192225837</v>
      </c>
      <c r="D83" s="152">
        <f>IF(TrRoad_act!D5=0,0,D19/TrRoad_act!D5*1000)</f>
        <v>88.103144335701657</v>
      </c>
      <c r="E83" s="152">
        <f>IF(TrRoad_act!E5=0,0,E19/TrRoad_act!E5*1000)</f>
        <v>87.22073977740142</v>
      </c>
      <c r="F83" s="152">
        <f>IF(TrRoad_act!F5=0,0,F19/TrRoad_act!F5*1000)</f>
        <v>85.401409042100866</v>
      </c>
      <c r="G83" s="152">
        <f>IF(TrRoad_act!G5=0,0,G19/TrRoad_act!G5*1000)</f>
        <v>85.092233216833151</v>
      </c>
      <c r="H83" s="152">
        <f>IF(TrRoad_act!H5=0,0,H19/TrRoad_act!H5*1000)</f>
        <v>83.121450651382261</v>
      </c>
      <c r="I83" s="152">
        <f>IF(TrRoad_act!I5=0,0,I19/TrRoad_act!I5*1000)</f>
        <v>83.102293256364902</v>
      </c>
      <c r="J83" s="152">
        <f>IF(TrRoad_act!J5=0,0,J19/TrRoad_act!J5*1000)</f>
        <v>80.807717719584375</v>
      </c>
      <c r="K83" s="152">
        <f>IF(TrRoad_act!K5=0,0,K19/TrRoad_act!K5*1000)</f>
        <v>82.009243921779401</v>
      </c>
      <c r="L83" s="152">
        <f>IF(TrRoad_act!L5=0,0,L19/TrRoad_act!L5*1000)</f>
        <v>82.195885197851581</v>
      </c>
      <c r="M83" s="152">
        <f>IF(TrRoad_act!M5=0,0,M19/TrRoad_act!M5*1000)</f>
        <v>77.561360033252726</v>
      </c>
      <c r="N83" s="152">
        <f>IF(TrRoad_act!N5=0,0,N19/TrRoad_act!N5*1000)</f>
        <v>75.551766186311426</v>
      </c>
      <c r="O83" s="152">
        <f>IF(TrRoad_act!O5=0,0,O19/TrRoad_act!O5*1000)</f>
        <v>74.678513574376083</v>
      </c>
      <c r="P83" s="152">
        <f>IF(TrRoad_act!P5=0,0,P19/TrRoad_act!P5*1000)</f>
        <v>76.390321333915267</v>
      </c>
      <c r="Q83" s="152">
        <f>IF(TrRoad_act!Q5=0,0,Q19/TrRoad_act!Q5*1000)</f>
        <v>78.970916872105775</v>
      </c>
      <c r="R83" s="152">
        <f>IF(TrRoad_act!R5=0,0,R19/TrRoad_act!R5*1000)</f>
        <v>78.503464915261233</v>
      </c>
      <c r="S83" s="152">
        <f>IF(TrRoad_act!S5=0,0,S19/TrRoad_act!S5*1000)</f>
        <v>77.859656881664677</v>
      </c>
      <c r="T83" s="152">
        <f>IF(TrRoad_act!T5=0,0,T19/TrRoad_act!T5*1000)</f>
        <v>77.598569326243776</v>
      </c>
      <c r="U83" s="152">
        <f>IF(TrRoad_act!U5=0,0,U19/TrRoad_act!U5*1000)</f>
        <v>77.257539037525646</v>
      </c>
      <c r="V83" s="152">
        <f>IF(TrRoad_act!V5=0,0,V19/TrRoad_act!V5*1000)</f>
        <v>77.21014349965094</v>
      </c>
      <c r="W83" s="152">
        <f>IF(TrRoad_act!W5=0,0,W19/TrRoad_act!W5*1000)</f>
        <v>76.456550623248049</v>
      </c>
      <c r="X83" s="152">
        <f>IF(TrRoad_act!X5=0,0,X19/TrRoad_act!X5*1000)</f>
        <v>76.181948221831746</v>
      </c>
      <c r="Y83" s="152">
        <f>IF(TrRoad_act!Y5=0,0,Y19/TrRoad_act!Y5*1000)</f>
        <v>75.629185570047653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96.343863833576819</v>
      </c>
      <c r="C84" s="116">
        <f>IF(TrRoad_act!C6=0,0,C20/TrRoad_act!C6*1000)</f>
        <v>96.634280705199956</v>
      </c>
      <c r="D84" s="116">
        <f>IF(TrRoad_act!D6=0,0,D20/TrRoad_act!D6*1000)</f>
        <v>99.438620966651982</v>
      </c>
      <c r="E84" s="116">
        <f>IF(TrRoad_act!E6=0,0,E20/TrRoad_act!E6*1000)</f>
        <v>98.518099203711103</v>
      </c>
      <c r="F84" s="116">
        <f>IF(TrRoad_act!F6=0,0,F20/TrRoad_act!F6*1000)</f>
        <v>99.086916994961911</v>
      </c>
      <c r="G84" s="116">
        <f>IF(TrRoad_act!G6=0,0,G20/TrRoad_act!G6*1000)</f>
        <v>101.4812990136914</v>
      </c>
      <c r="H84" s="116">
        <f>IF(TrRoad_act!H6=0,0,H20/TrRoad_act!H6*1000)</f>
        <v>105.79675860442477</v>
      </c>
      <c r="I84" s="116">
        <f>IF(TrRoad_act!I6=0,0,I20/TrRoad_act!I6*1000)</f>
        <v>105.79822088747082</v>
      </c>
      <c r="J84" s="116">
        <f>IF(TrRoad_act!J6=0,0,J20/TrRoad_act!J6*1000)</f>
        <v>102.35857807369388</v>
      </c>
      <c r="K84" s="116">
        <f>IF(TrRoad_act!K6=0,0,K20/TrRoad_act!K6*1000)</f>
        <v>95.239484216722744</v>
      </c>
      <c r="L84" s="116">
        <f>IF(TrRoad_act!L6=0,0,L20/TrRoad_act!L6*1000)</f>
        <v>93.757578788028155</v>
      </c>
      <c r="M84" s="116">
        <f>IF(TrRoad_act!M6=0,0,M20/TrRoad_act!M6*1000)</f>
        <v>96.247049691231453</v>
      </c>
      <c r="N84" s="116">
        <f>IF(TrRoad_act!N6=0,0,N20/TrRoad_act!N6*1000)</f>
        <v>102.33031057778066</v>
      </c>
      <c r="O84" s="116">
        <f>IF(TrRoad_act!O6=0,0,O20/TrRoad_act!O6*1000)</f>
        <v>99.107073690172868</v>
      </c>
      <c r="P84" s="116">
        <f>IF(TrRoad_act!P6=0,0,P20/TrRoad_act!P6*1000)</f>
        <v>102.55465282416429</v>
      </c>
      <c r="Q84" s="116">
        <f>IF(TrRoad_act!Q6=0,0,Q20/TrRoad_act!Q6*1000)</f>
        <v>97.81673245272853</v>
      </c>
      <c r="R84" s="116">
        <f>IF(TrRoad_act!R6=0,0,R20/TrRoad_act!R6*1000)</f>
        <v>94.591775019963947</v>
      </c>
      <c r="S84" s="116">
        <f>IF(TrRoad_act!S6=0,0,S20/TrRoad_act!S6*1000)</f>
        <v>88.079730015267558</v>
      </c>
      <c r="T84" s="116">
        <f>IF(TrRoad_act!T6=0,0,T20/TrRoad_act!T6*1000)</f>
        <v>90.68923099710608</v>
      </c>
      <c r="U84" s="116">
        <f>IF(TrRoad_act!U6=0,0,U20/TrRoad_act!U6*1000)</f>
        <v>89.518836823307979</v>
      </c>
      <c r="V84" s="116">
        <f>IF(TrRoad_act!V6=0,0,V20/TrRoad_act!V6*1000)</f>
        <v>108.28852322236351</v>
      </c>
      <c r="W84" s="116">
        <f>IF(TrRoad_act!W6=0,0,W20/TrRoad_act!W6*1000)</f>
        <v>101.37007868343002</v>
      </c>
      <c r="X84" s="116">
        <f>IF(TrRoad_act!X6=0,0,X20/TrRoad_act!X6*1000)</f>
        <v>101.77203572227893</v>
      </c>
      <c r="Y84" s="116">
        <f>IF(TrRoad_act!Y6=0,0,Y20/TrRoad_act!Y6*1000)</f>
        <v>93.274374242049817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93.595733458486606</v>
      </c>
      <c r="C85" s="87">
        <f>IF(TrRoad_act!C7=0,0,C21/TrRoad_act!C7*1000)</f>
        <v>94.825322812101248</v>
      </c>
      <c r="D85" s="87">
        <f>IF(TrRoad_act!D7=0,0,D21/TrRoad_act!D7*1000)</f>
        <v>98.272533775160028</v>
      </c>
      <c r="E85" s="87">
        <f>IF(TrRoad_act!E7=0,0,E21/TrRoad_act!E7*1000)</f>
        <v>97.310881973156995</v>
      </c>
      <c r="F85" s="87">
        <f>IF(TrRoad_act!F7=0,0,F21/TrRoad_act!F7*1000)</f>
        <v>100.72470708403124</v>
      </c>
      <c r="G85" s="87">
        <f>IF(TrRoad_act!G7=0,0,G21/TrRoad_act!G7*1000)</f>
        <v>105.4796037864447</v>
      </c>
      <c r="H85" s="87">
        <f>IF(TrRoad_act!H7=0,0,H21/TrRoad_act!H7*1000)</f>
        <v>116.20604948524799</v>
      </c>
      <c r="I85" s="87">
        <f>IF(TrRoad_act!I7=0,0,I21/TrRoad_act!I7*1000)</f>
        <v>113.71331440539761</v>
      </c>
      <c r="J85" s="87">
        <f>IF(TrRoad_act!J7=0,0,J21/TrRoad_act!J7*1000)</f>
        <v>103.73702222458476</v>
      </c>
      <c r="K85" s="87">
        <f>IF(TrRoad_act!K7=0,0,K21/TrRoad_act!K7*1000)</f>
        <v>92.35569988071876</v>
      </c>
      <c r="L85" s="87">
        <f>IF(TrRoad_act!L7=0,0,L21/TrRoad_act!L7*1000)</f>
        <v>89.737752965045587</v>
      </c>
      <c r="M85" s="87">
        <f>IF(TrRoad_act!M7=0,0,M21/TrRoad_act!M7*1000)</f>
        <v>91.100723022868877</v>
      </c>
      <c r="N85" s="87">
        <f>IF(TrRoad_act!N7=0,0,N21/TrRoad_act!N7*1000)</f>
        <v>99.814776799456695</v>
      </c>
      <c r="O85" s="87">
        <f>IF(TrRoad_act!O7=0,0,O21/TrRoad_act!O7*1000)</f>
        <v>94.515280275534437</v>
      </c>
      <c r="P85" s="87">
        <f>IF(TrRoad_act!P7=0,0,P21/TrRoad_act!P7*1000)</f>
        <v>98.386728946234868</v>
      </c>
      <c r="Q85" s="87">
        <f>IF(TrRoad_act!Q7=0,0,Q21/TrRoad_act!Q7*1000)</f>
        <v>94.171352664458269</v>
      </c>
      <c r="R85" s="87">
        <f>IF(TrRoad_act!R7=0,0,R21/TrRoad_act!R7*1000)</f>
        <v>86.895425128329876</v>
      </c>
      <c r="S85" s="87">
        <f>IF(TrRoad_act!S7=0,0,S21/TrRoad_act!S7*1000)</f>
        <v>83.934122575769123</v>
      </c>
      <c r="T85" s="87">
        <f>IF(TrRoad_act!T7=0,0,T21/TrRoad_act!T7*1000)</f>
        <v>92.760424740632132</v>
      </c>
      <c r="U85" s="87">
        <f>IF(TrRoad_act!U7=0,0,U21/TrRoad_act!U7*1000)</f>
        <v>90.593331007699206</v>
      </c>
      <c r="V85" s="87">
        <f>IF(TrRoad_act!V7=0,0,V21/TrRoad_act!V7*1000)</f>
        <v>112.92777841632186</v>
      </c>
      <c r="W85" s="87">
        <f>IF(TrRoad_act!W7=0,0,W21/TrRoad_act!W7*1000)</f>
        <v>109.64667234503497</v>
      </c>
      <c r="X85" s="87">
        <f>IF(TrRoad_act!X7=0,0,X21/TrRoad_act!X7*1000)</f>
        <v>117.79404663903418</v>
      </c>
      <c r="Y85" s="87">
        <f>IF(TrRoad_act!Y7=0,0,Y21/TrRoad_act!Y7*1000)</f>
        <v>105.36365401039613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105.36509754210483</v>
      </c>
      <c r="C86" s="87">
        <f>IF(TrRoad_act!C8=0,0,C22/TrRoad_act!C8*1000)</f>
        <v>101.19702639274566</v>
      </c>
      <c r="D86" s="87">
        <f>IF(TrRoad_act!D8=0,0,D22/TrRoad_act!D8*1000)</f>
        <v>102.38380831757131</v>
      </c>
      <c r="E86" s="87">
        <f>IF(TrRoad_act!E8=0,0,E22/TrRoad_act!E8*1000)</f>
        <v>101.15952111095537</v>
      </c>
      <c r="F86" s="87">
        <f>IF(TrRoad_act!F8=0,0,F22/TrRoad_act!F8*1000)</f>
        <v>98.314999479594377</v>
      </c>
      <c r="G86" s="87">
        <f>IF(TrRoad_act!G8=0,0,G22/TrRoad_act!G8*1000)</f>
        <v>98.81295502517662</v>
      </c>
      <c r="H86" s="87">
        <f>IF(TrRoad_act!H8=0,0,H22/TrRoad_act!H8*1000)</f>
        <v>99.417521148037778</v>
      </c>
      <c r="I86" s="87">
        <f>IF(TrRoad_act!I8=0,0,I22/TrRoad_act!I8*1000)</f>
        <v>102.04389828356651</v>
      </c>
      <c r="J86" s="87">
        <f>IF(TrRoad_act!J8=0,0,J22/TrRoad_act!J8*1000)</f>
        <v>102.09200493300328</v>
      </c>
      <c r="K86" s="87">
        <f>IF(TrRoad_act!K8=0,0,K22/TrRoad_act!K8*1000)</f>
        <v>98.682802092962874</v>
      </c>
      <c r="L86" s="87">
        <f>IF(TrRoad_act!L8=0,0,L22/TrRoad_act!L8*1000)</f>
        <v>97.770984092442376</v>
      </c>
      <c r="M86" s="87">
        <f>IF(TrRoad_act!M8=0,0,M22/TrRoad_act!M8*1000)</f>
        <v>100.58881951276405</v>
      </c>
      <c r="N86" s="87">
        <f>IF(TrRoad_act!N8=0,0,N22/TrRoad_act!N8*1000)</f>
        <v>103.98342982907849</v>
      </c>
      <c r="O86" s="87">
        <f>IF(TrRoad_act!O8=0,0,O22/TrRoad_act!O8*1000)</f>
        <v>102.45249458557443</v>
      </c>
      <c r="P86" s="87">
        <f>IF(TrRoad_act!P8=0,0,P22/TrRoad_act!P8*1000)</f>
        <v>105.58621242805893</v>
      </c>
      <c r="Q86" s="87">
        <f>IF(TrRoad_act!Q8=0,0,Q22/TrRoad_act!Q8*1000)</f>
        <v>100.78275120351049</v>
      </c>
      <c r="R86" s="87">
        <f>IF(TrRoad_act!R8=0,0,R22/TrRoad_act!R8*1000)</f>
        <v>99.787058253721824</v>
      </c>
      <c r="S86" s="87">
        <f>IF(TrRoad_act!S8=0,0,S22/TrRoad_act!S8*1000)</f>
        <v>91.250090703455299</v>
      </c>
      <c r="T86" s="87">
        <f>IF(TrRoad_act!T8=0,0,T22/TrRoad_act!T8*1000)</f>
        <v>92.090763938891726</v>
      </c>
      <c r="U86" s="87">
        <f>IF(TrRoad_act!U8=0,0,U22/TrRoad_act!U8*1000)</f>
        <v>91.010333732782385</v>
      </c>
      <c r="V86" s="87">
        <f>IF(TrRoad_act!V8=0,0,V22/TrRoad_act!V8*1000)</f>
        <v>108.35928146879627</v>
      </c>
      <c r="W86" s="87">
        <f>IF(TrRoad_act!W8=0,0,W22/TrRoad_act!W8*1000)</f>
        <v>102.09487177251491</v>
      </c>
      <c r="X86" s="87">
        <f>IF(TrRoad_act!X8=0,0,X22/TrRoad_act!X8*1000)</f>
        <v>99.069718209582732</v>
      </c>
      <c r="Y86" s="87">
        <f>IF(TrRoad_act!Y8=0,0,Y22/TrRoad_act!Y8*1000)</f>
        <v>91.24593576723295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91.947930615821889</v>
      </c>
      <c r="C87" s="87">
        <f>IF(TrRoad_act!C9=0,0,C23/TrRoad_act!C9*1000)</f>
        <v>95.695603201552913</v>
      </c>
      <c r="D87" s="87">
        <f>IF(TrRoad_act!D9=0,0,D23/TrRoad_act!D9*1000)</f>
        <v>96.202526110131558</v>
      </c>
      <c r="E87" s="87">
        <f>IF(TrRoad_act!E9=0,0,E23/TrRoad_act!E9*1000)</f>
        <v>95.258865334234187</v>
      </c>
      <c r="F87" s="87">
        <f>IF(TrRoad_act!F9=0,0,F23/TrRoad_act!F9*1000)</f>
        <v>87.822173939326376</v>
      </c>
      <c r="G87" s="87">
        <f>IF(TrRoad_act!G9=0,0,G23/TrRoad_act!G9*1000)</f>
        <v>84.347919639228763</v>
      </c>
      <c r="H87" s="87">
        <f>IF(TrRoad_act!H9=0,0,H23/TrRoad_act!H9*1000)</f>
        <v>81.431812839576708</v>
      </c>
      <c r="I87" s="87">
        <f>IF(TrRoad_act!I9=0,0,I23/TrRoad_act!I9*1000)</f>
        <v>79.948452729240586</v>
      </c>
      <c r="J87" s="87">
        <f>IF(TrRoad_act!J9=0,0,J23/TrRoad_act!J9*1000)</f>
        <v>93.326498503898222</v>
      </c>
      <c r="K87" s="87">
        <f>IF(TrRoad_act!K9=0,0,K23/TrRoad_act!K9*1000)</f>
        <v>87.300654022173632</v>
      </c>
      <c r="L87" s="87">
        <f>IF(TrRoad_act!L9=0,0,L23/TrRoad_act!L9*1000)</f>
        <v>86.492258784767913</v>
      </c>
      <c r="M87" s="87">
        <f>IF(TrRoad_act!M9=0,0,M23/TrRoad_act!M9*1000)</f>
        <v>94.096823405835949</v>
      </c>
      <c r="N87" s="87">
        <f>IF(TrRoad_act!N9=0,0,N23/TrRoad_act!N9*1000)</f>
        <v>102.69338259893266</v>
      </c>
      <c r="O87" s="87">
        <f>IF(TrRoad_act!O9=0,0,O23/TrRoad_act!O9*1000)</f>
        <v>97.108018975502645</v>
      </c>
      <c r="P87" s="87">
        <f>IF(TrRoad_act!P9=0,0,P23/TrRoad_act!P9*1000)</f>
        <v>100.12462078095345</v>
      </c>
      <c r="Q87" s="87">
        <f>IF(TrRoad_act!Q9=0,0,Q23/TrRoad_act!Q9*1000)</f>
        <v>92.728199242485033</v>
      </c>
      <c r="R87" s="87">
        <f>IF(TrRoad_act!R9=0,0,R23/TrRoad_act!R9*1000)</f>
        <v>87.418664385872631</v>
      </c>
      <c r="S87" s="87">
        <f>IF(TrRoad_act!S9=0,0,S23/TrRoad_act!S9*1000)</f>
        <v>84.472468997704183</v>
      </c>
      <c r="T87" s="87">
        <f>IF(TrRoad_act!T9=0,0,T23/TrRoad_act!T9*1000)</f>
        <v>80.922800788540428</v>
      </c>
      <c r="U87" s="87">
        <f>IF(TrRoad_act!U9=0,0,U23/TrRoad_act!U9*1000)</f>
        <v>78.822585597413664</v>
      </c>
      <c r="V87" s="87">
        <f>IF(TrRoad_act!V9=0,0,V23/TrRoad_act!V9*1000)</f>
        <v>98.125950996306514</v>
      </c>
      <c r="W87" s="87">
        <f>IF(TrRoad_act!W9=0,0,W23/TrRoad_act!W9*1000)</f>
        <v>81.323515582362958</v>
      </c>
      <c r="X87" s="87">
        <f>IF(TrRoad_act!X9=0,0,X23/TrRoad_act!X9*1000)</f>
        <v>82.282571424348447</v>
      </c>
      <c r="Y87" s="87">
        <f>IF(TrRoad_act!Y9=0,0,Y23/TrRoad_act!Y9*1000)</f>
        <v>77.992001663530004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96.28094139405313</v>
      </c>
      <c r="C88" s="87">
        <f>IF(TrRoad_act!C10=0,0,C24/TrRoad_act!C10*1000)</f>
        <v>97.810849056711916</v>
      </c>
      <c r="D88" s="87">
        <f>IF(TrRoad_act!D10=0,0,D24/TrRoad_act!D10*1000)</f>
        <v>96.697588098493696</v>
      </c>
      <c r="E88" s="87">
        <f>IF(TrRoad_act!E10=0,0,E24/TrRoad_act!E10*1000)</f>
        <v>96.737610658532034</v>
      </c>
      <c r="F88" s="87">
        <f>IF(TrRoad_act!F10=0,0,F24/TrRoad_act!F10*1000)</f>
        <v>99.060318266161502</v>
      </c>
      <c r="G88" s="87">
        <f>IF(TrRoad_act!G10=0,0,G24/TrRoad_act!G10*1000)</f>
        <v>103.06885888433193</v>
      </c>
      <c r="H88" s="87">
        <f>IF(TrRoad_act!H10=0,0,H24/TrRoad_act!H10*1000)</f>
        <v>105.83738079935304</v>
      </c>
      <c r="I88" s="87">
        <f>IF(TrRoad_act!I10=0,0,I24/TrRoad_act!I10*1000)</f>
        <v>103.73199226154054</v>
      </c>
      <c r="J88" s="87">
        <f>IF(TrRoad_act!J10=0,0,J24/TrRoad_act!J10*1000)</f>
        <v>101.16981906351404</v>
      </c>
      <c r="K88" s="87">
        <f>IF(TrRoad_act!K10=0,0,K24/TrRoad_act!K10*1000)</f>
        <v>87.000505508032759</v>
      </c>
      <c r="L88" s="87">
        <f>IF(TrRoad_act!L10=0,0,L24/TrRoad_act!L10*1000)</f>
        <v>95.860542763636971</v>
      </c>
      <c r="M88" s="87">
        <f>IF(TrRoad_act!M10=0,0,M24/TrRoad_act!M10*1000)</f>
        <v>97.654708451692642</v>
      </c>
      <c r="N88" s="87">
        <f>IF(TrRoad_act!N10=0,0,N24/TrRoad_act!N10*1000)</f>
        <v>105.43357208180012</v>
      </c>
      <c r="O88" s="87">
        <f>IF(TrRoad_act!O10=0,0,O24/TrRoad_act!O10*1000)</f>
        <v>98.181733895747541</v>
      </c>
      <c r="P88" s="87">
        <f>IF(TrRoad_act!P10=0,0,P24/TrRoad_act!P10*1000)</f>
        <v>97.82199412704334</v>
      </c>
      <c r="Q88" s="87">
        <f>IF(TrRoad_act!Q10=0,0,Q24/TrRoad_act!Q10*1000)</f>
        <v>93.459316389740906</v>
      </c>
      <c r="R88" s="87">
        <f>IF(TrRoad_act!R10=0,0,R24/TrRoad_act!R10*1000)</f>
        <v>89.367682593526126</v>
      </c>
      <c r="S88" s="87">
        <f>IF(TrRoad_act!S10=0,0,S24/TrRoad_act!S10*1000)</f>
        <v>75.426837121351682</v>
      </c>
      <c r="T88" s="87">
        <f>IF(TrRoad_act!T10=0,0,T24/TrRoad_act!T10*1000)</f>
        <v>70.871236651183807</v>
      </c>
      <c r="U88" s="87">
        <f>IF(TrRoad_act!U10=0,0,U24/TrRoad_act!U10*1000)</f>
        <v>82.624987775085501</v>
      </c>
      <c r="V88" s="87">
        <f>IF(TrRoad_act!V10=0,0,V24/TrRoad_act!V10*1000)</f>
        <v>102.36816131462265</v>
      </c>
      <c r="W88" s="87">
        <f>IF(TrRoad_act!W10=0,0,W24/TrRoad_act!W10*1000)</f>
        <v>87.923976227417356</v>
      </c>
      <c r="X88" s="87">
        <f>IF(TrRoad_act!X10=0,0,X24/TrRoad_act!X10*1000)</f>
        <v>81.185687312511362</v>
      </c>
      <c r="Y88" s="87">
        <f>IF(TrRoad_act!Y10=0,0,Y24/TrRoad_act!Y10*1000)</f>
        <v>78.745154041557555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59.295419038197956</v>
      </c>
      <c r="O89" s="87">
        <f>IF(TrRoad_act!O11=0,0,O25/TrRoad_act!O11*1000)</f>
        <v>64.04657466549537</v>
      </c>
      <c r="P89" s="87">
        <f>IF(TrRoad_act!P11=0,0,P25/TrRoad_act!P11*1000)</f>
        <v>67.098444863761358</v>
      </c>
      <c r="Q89" s="87">
        <f>IF(TrRoad_act!Q11=0,0,Q25/TrRoad_act!Q11*1000)</f>
        <v>64.453828110658549</v>
      </c>
      <c r="R89" s="87">
        <f>IF(TrRoad_act!R11=0,0,R25/TrRoad_act!R11*1000)</f>
        <v>58.826664464730712</v>
      </c>
      <c r="S89" s="87">
        <f>IF(TrRoad_act!S11=0,0,S25/TrRoad_act!S11*1000)</f>
        <v>56.757795225266719</v>
      </c>
      <c r="T89" s="87">
        <f>IF(TrRoad_act!T11=0,0,T25/TrRoad_act!T11*1000)</f>
        <v>60.855450980524495</v>
      </c>
      <c r="U89" s="87">
        <f>IF(TrRoad_act!U11=0,0,U25/TrRoad_act!U11*1000)</f>
        <v>56.915172079104167</v>
      </c>
      <c r="V89" s="87">
        <f>IF(TrRoad_act!V11=0,0,V25/TrRoad_act!V11*1000)</f>
        <v>55.46752866166355</v>
      </c>
      <c r="W89" s="87">
        <f>IF(TrRoad_act!W11=0,0,W25/TrRoad_act!W11*1000)</f>
        <v>44.079244202260099</v>
      </c>
      <c r="X89" s="87">
        <f>IF(TrRoad_act!X11=0,0,X25/TrRoad_act!X11*1000)</f>
        <v>40.905978878255205</v>
      </c>
      <c r="Y89" s="87">
        <f>IF(TrRoad_act!Y11=0,0,Y25/TrRoad_act!Y11*1000)</f>
        <v>32.726935949154601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70.550587020198677</v>
      </c>
      <c r="C91" s="116">
        <f>IF(TrRoad_act!C13=0,0,C27/TrRoad_act!C13*1000)</f>
        <v>69.181257891013033</v>
      </c>
      <c r="D91" s="116">
        <f>IF(TrRoad_act!D13=0,0,D27/TrRoad_act!D13*1000)</f>
        <v>68.552220734595252</v>
      </c>
      <c r="E91" s="116">
        <f>IF(TrRoad_act!E13=0,0,E27/TrRoad_act!E13*1000)</f>
        <v>67.711139103144262</v>
      </c>
      <c r="F91" s="116">
        <f>IF(TrRoad_act!F13=0,0,F27/TrRoad_act!F13*1000)</f>
        <v>66.532287897023238</v>
      </c>
      <c r="G91" s="116">
        <f>IF(TrRoad_act!G13=0,0,G27/TrRoad_act!G13*1000)</f>
        <v>66.040523002314941</v>
      </c>
      <c r="H91" s="116">
        <f>IF(TrRoad_act!H13=0,0,H27/TrRoad_act!H13*1000)</f>
        <v>65.301276517550221</v>
      </c>
      <c r="I91" s="116">
        <f>IF(TrRoad_act!I13=0,0,I27/TrRoad_act!I13*1000)</f>
        <v>65.340148785587772</v>
      </c>
      <c r="J91" s="116">
        <f>IF(TrRoad_act!J13=0,0,J27/TrRoad_act!J13*1000)</f>
        <v>64.474659794007991</v>
      </c>
      <c r="K91" s="116">
        <f>IF(TrRoad_act!K13=0,0,K27/TrRoad_act!K13*1000)</f>
        <v>63.511656769938185</v>
      </c>
      <c r="L91" s="116">
        <f>IF(TrRoad_act!L13=0,0,L27/TrRoad_act!L13*1000)</f>
        <v>63.450525319107015</v>
      </c>
      <c r="M91" s="116">
        <f>IF(TrRoad_act!M13=0,0,M27/TrRoad_act!M13*1000)</f>
        <v>65.042171523609497</v>
      </c>
      <c r="N91" s="116">
        <f>IF(TrRoad_act!N13=0,0,N27/TrRoad_act!N13*1000)</f>
        <v>63.009571714327762</v>
      </c>
      <c r="O91" s="116">
        <f>IF(TrRoad_act!O13=0,0,O27/TrRoad_act!O13*1000)</f>
        <v>63.017418846383372</v>
      </c>
      <c r="P91" s="116">
        <f>IF(TrRoad_act!P13=0,0,P27/TrRoad_act!P13*1000)</f>
        <v>63.374493504581238</v>
      </c>
      <c r="Q91" s="116">
        <f>IF(TrRoad_act!Q13=0,0,Q27/TrRoad_act!Q13*1000)</f>
        <v>64.866773350118208</v>
      </c>
      <c r="R91" s="116">
        <f>IF(TrRoad_act!R13=0,0,R27/TrRoad_act!R13*1000)</f>
        <v>64.982412722631821</v>
      </c>
      <c r="S91" s="116">
        <f>IF(TrRoad_act!S13=0,0,S27/TrRoad_act!S13*1000)</f>
        <v>64.986427651595278</v>
      </c>
      <c r="T91" s="116">
        <f>IF(TrRoad_act!T13=0,0,T27/TrRoad_act!T13*1000)</f>
        <v>62.556931163611303</v>
      </c>
      <c r="U91" s="116">
        <f>IF(TrRoad_act!U13=0,0,U27/TrRoad_act!U13*1000)</f>
        <v>64.471114419465508</v>
      </c>
      <c r="V91" s="116">
        <f>IF(TrRoad_act!V13=0,0,V27/TrRoad_act!V13*1000)</f>
        <v>110.06798658168726</v>
      </c>
      <c r="W91" s="116">
        <f>IF(TrRoad_act!W13=0,0,W27/TrRoad_act!W13*1000)</f>
        <v>86.500613961885861</v>
      </c>
      <c r="X91" s="116">
        <f>IF(TrRoad_act!X13=0,0,X27/TrRoad_act!X13*1000)</f>
        <v>75.350345646504536</v>
      </c>
      <c r="Y91" s="116">
        <f>IF(TrRoad_act!Y13=0,0,Y27/TrRoad_act!Y13*1000)</f>
        <v>77.137896962384531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52.238871407693949</v>
      </c>
      <c r="C92" s="101">
        <f>IF(TrRoad_act!C14=0,0,C28/TrRoad_act!C14*1000)</f>
        <v>52.240611599617921</v>
      </c>
      <c r="D92" s="101">
        <f>IF(TrRoad_act!D14=0,0,D28/TrRoad_act!D14*1000)</f>
        <v>52.244092157376691</v>
      </c>
      <c r="E92" s="101">
        <f>IF(TrRoad_act!E14=0,0,E28/TrRoad_act!E14*1000)</f>
        <v>52.251053968591592</v>
      </c>
      <c r="F92" s="101">
        <f>IF(TrRoad_act!F14=0,0,F28/TrRoad_act!F14*1000)</f>
        <v>52.264980374243294</v>
      </c>
      <c r="G92" s="101">
        <f>IF(TrRoad_act!G14=0,0,G28/TrRoad_act!G14*1000)</f>
        <v>52.292844321896531</v>
      </c>
      <c r="H92" s="101">
        <f>IF(TrRoad_act!H14=0,0,H28/TrRoad_act!H14*1000)</f>
        <v>52.34861679031183</v>
      </c>
      <c r="I92" s="101">
        <f>IF(TrRoad_act!I14=0,0,I28/TrRoad_act!I14*1000)</f>
        <v>52.241705652449895</v>
      </c>
      <c r="J92" s="101">
        <f>IF(TrRoad_act!J14=0,0,J28/TrRoad_act!J14*1000)</f>
        <v>51.400477105754248</v>
      </c>
      <c r="K92" s="101">
        <f>IF(TrRoad_act!K14=0,0,K28/TrRoad_act!K14*1000)</f>
        <v>51.366204425455493</v>
      </c>
      <c r="L92" s="101">
        <f>IF(TrRoad_act!L14=0,0,L28/TrRoad_act!L14*1000)</f>
        <v>51.355447513888116</v>
      </c>
      <c r="M92" s="101">
        <f>IF(TrRoad_act!M14=0,0,M28/TrRoad_act!M14*1000)</f>
        <v>51.991201791252657</v>
      </c>
      <c r="N92" s="101">
        <f>IF(TrRoad_act!N14=0,0,N28/TrRoad_act!N14*1000)</f>
        <v>49.993344166119847</v>
      </c>
      <c r="O92" s="101">
        <f>IF(TrRoad_act!O14=0,0,O28/TrRoad_act!O14*1000)</f>
        <v>44.398533328407758</v>
      </c>
      <c r="P92" s="101">
        <f>IF(TrRoad_act!P14=0,0,P28/TrRoad_act!P14*1000)</f>
        <v>41.924114938641885</v>
      </c>
      <c r="Q92" s="101">
        <f>IF(TrRoad_act!Q14=0,0,Q28/TrRoad_act!Q14*1000)</f>
        <v>42.175446643788398</v>
      </c>
      <c r="R92" s="101">
        <f>IF(TrRoad_act!R14=0,0,R28/TrRoad_act!R14*1000)</f>
        <v>42.104427335797638</v>
      </c>
      <c r="S92" s="101">
        <f>IF(TrRoad_act!S14=0,0,S28/TrRoad_act!S14*1000)</f>
        <v>41.929360994031128</v>
      </c>
      <c r="T92" s="101">
        <f>IF(TrRoad_act!T14=0,0,T28/TrRoad_act!T14*1000)</f>
        <v>41.923816998278198</v>
      </c>
      <c r="U92" s="101">
        <f>IF(TrRoad_act!U14=0,0,U28/TrRoad_act!U14*1000)</f>
        <v>40.46236350472676</v>
      </c>
      <c r="V92" s="101">
        <f>IF(TrRoad_act!V14=0,0,V28/TrRoad_act!V14*1000)</f>
        <v>56.62183848806005</v>
      </c>
      <c r="W92" s="101">
        <f>IF(TrRoad_act!W14=0,0,W28/TrRoad_act!W14*1000)</f>
        <v>54.230822793566844</v>
      </c>
      <c r="X92" s="101">
        <f>IF(TrRoad_act!X14=0,0,X28/TrRoad_act!X14*1000)</f>
        <v>48.698632149395934</v>
      </c>
      <c r="Y92" s="101">
        <f>IF(TrRoad_act!Y14=0,0,Y28/TrRoad_act!Y14*1000)</f>
        <v>50.937940824036765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71.251179502614676</v>
      </c>
      <c r="C93" s="101">
        <f>IF(TrRoad_act!C15=0,0,C29/TrRoad_act!C15*1000)</f>
        <v>69.815313944696598</v>
      </c>
      <c r="D93" s="101">
        <f>IF(TrRoad_act!D15=0,0,D29/TrRoad_act!D15*1000)</f>
        <v>69.077455651900664</v>
      </c>
      <c r="E93" s="101">
        <f>IF(TrRoad_act!E15=0,0,E29/TrRoad_act!E15*1000)</f>
        <v>68.517679034201578</v>
      </c>
      <c r="F93" s="101">
        <f>IF(TrRoad_act!F15=0,0,F29/TrRoad_act!F15*1000)</f>
        <v>67.324741562556596</v>
      </c>
      <c r="G93" s="101">
        <f>IF(TrRoad_act!G15=0,0,G29/TrRoad_act!G15*1000)</f>
        <v>67.250147656657049</v>
      </c>
      <c r="H93" s="101">
        <f>IF(TrRoad_act!H15=0,0,H29/TrRoad_act!H15*1000)</f>
        <v>67.131297817503196</v>
      </c>
      <c r="I93" s="101">
        <f>IF(TrRoad_act!I15=0,0,I29/TrRoad_act!I15*1000)</f>
        <v>67.188551563311336</v>
      </c>
      <c r="J93" s="101">
        <f>IF(TrRoad_act!J15=0,0,J29/TrRoad_act!J15*1000)</f>
        <v>65.876337563926697</v>
      </c>
      <c r="K93" s="101">
        <f>IF(TrRoad_act!K15=0,0,K29/TrRoad_act!K15*1000)</f>
        <v>65.395042952388152</v>
      </c>
      <c r="L93" s="101">
        <f>IF(TrRoad_act!L15=0,0,L29/TrRoad_act!L15*1000)</f>
        <v>65.361622352726286</v>
      </c>
      <c r="M93" s="101">
        <f>IF(TrRoad_act!M15=0,0,M29/TrRoad_act!M15*1000)</f>
        <v>66.663556622764077</v>
      </c>
      <c r="N93" s="101">
        <f>IF(TrRoad_act!N15=0,0,N29/TrRoad_act!N15*1000)</f>
        <v>64.245265321640687</v>
      </c>
      <c r="O93" s="101">
        <f>IF(TrRoad_act!O15=0,0,O29/TrRoad_act!O15*1000)</f>
        <v>64.527853849128121</v>
      </c>
      <c r="P93" s="101">
        <f>IF(TrRoad_act!P15=0,0,P29/TrRoad_act!P15*1000)</f>
        <v>65.22667985679368</v>
      </c>
      <c r="Q93" s="101">
        <f>IF(TrRoad_act!Q15=0,0,Q29/TrRoad_act!Q15*1000)</f>
        <v>66.23637129505363</v>
      </c>
      <c r="R93" s="101">
        <f>IF(TrRoad_act!R15=0,0,R29/TrRoad_act!R15*1000)</f>
        <v>66.983038982330768</v>
      </c>
      <c r="S93" s="101">
        <f>IF(TrRoad_act!S15=0,0,S29/TrRoad_act!S15*1000)</f>
        <v>67.030585359603933</v>
      </c>
      <c r="T93" s="101">
        <f>IF(TrRoad_act!T15=0,0,T29/TrRoad_act!T15*1000)</f>
        <v>66.764139797908086</v>
      </c>
      <c r="U93" s="101">
        <f>IF(TrRoad_act!U15=0,0,U29/TrRoad_act!U15*1000)</f>
        <v>66.696750253950214</v>
      </c>
      <c r="V93" s="101">
        <f>IF(TrRoad_act!V15=0,0,V29/TrRoad_act!V15*1000)</f>
        <v>115.71695186551166</v>
      </c>
      <c r="W93" s="101">
        <f>IF(TrRoad_act!W15=0,0,W29/TrRoad_act!W15*1000)</f>
        <v>88.46893017183659</v>
      </c>
      <c r="X93" s="101">
        <f>IF(TrRoad_act!X15=0,0,X29/TrRoad_act!X15*1000)</f>
        <v>79.532824159629357</v>
      </c>
      <c r="Y93" s="101">
        <f>IF(TrRoad_act!Y15=0,0,Y29/TrRoad_act!Y15*1000)</f>
        <v>82.910131308266614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50.821815022833974</v>
      </c>
      <c r="C94" s="101">
        <f>IF(TrRoad_act!C16=0,0,C30/TrRoad_act!C16*1000)</f>
        <v>50.089103047693882</v>
      </c>
      <c r="D94" s="101">
        <f>IF(TrRoad_act!D16=0,0,D30/TrRoad_act!D16*1000)</f>
        <v>50.067620049414352</v>
      </c>
      <c r="E94" s="101">
        <f>IF(TrRoad_act!E16=0,0,E30/TrRoad_act!E16*1000)</f>
        <v>49.35318279000623</v>
      </c>
      <c r="F94" s="101">
        <f>IF(TrRoad_act!F16=0,0,F30/TrRoad_act!F16*1000)</f>
        <v>48.237917675330266</v>
      </c>
      <c r="G94" s="101">
        <f>IF(TrRoad_act!G16=0,0,G30/TrRoad_act!G16*1000)</f>
        <v>47.891157559377099</v>
      </c>
      <c r="H94" s="101">
        <f>IF(TrRoad_act!H16=0,0,H30/TrRoad_act!H16*1000)</f>
        <v>47.896468872604451</v>
      </c>
      <c r="I94" s="101">
        <f>IF(TrRoad_act!I16=0,0,I30/TrRoad_act!I16*1000)</f>
        <v>47.957904706242267</v>
      </c>
      <c r="J94" s="101">
        <f>IF(TrRoad_act!J16=0,0,J30/TrRoad_act!J16*1000)</f>
        <v>48.1986729180623</v>
      </c>
      <c r="K94" s="101">
        <f>IF(TrRoad_act!K16=0,0,K30/TrRoad_act!K16*1000)</f>
        <v>48.86383074354238</v>
      </c>
      <c r="L94" s="101">
        <f>IF(TrRoad_act!L16=0,0,L30/TrRoad_act!L16*1000)</f>
        <v>49.46136029923079</v>
      </c>
      <c r="M94" s="101">
        <f>IF(TrRoad_act!M16=0,0,M30/TrRoad_act!M16*1000)</f>
        <v>50.353940687192093</v>
      </c>
      <c r="N94" s="101">
        <f>IF(TrRoad_act!N16=0,0,N30/TrRoad_act!N16*1000)</f>
        <v>48.556117475840544</v>
      </c>
      <c r="O94" s="101">
        <f>IF(TrRoad_act!O16=0,0,O30/TrRoad_act!O16*1000)</f>
        <v>48.498091171526575</v>
      </c>
      <c r="P94" s="101">
        <f>IF(TrRoad_act!P16=0,0,P30/TrRoad_act!P16*1000)</f>
        <v>48.403876825922339</v>
      </c>
      <c r="Q94" s="101">
        <f>IF(TrRoad_act!Q16=0,0,Q30/TrRoad_act!Q16*1000)</f>
        <v>49.067361648202009</v>
      </c>
      <c r="R94" s="101">
        <f>IF(TrRoad_act!R16=0,0,R30/TrRoad_act!R16*1000)</f>
        <v>49.049637796517793</v>
      </c>
      <c r="S94" s="101">
        <f>IF(TrRoad_act!S16=0,0,S30/TrRoad_act!S16*1000)</f>
        <v>49.057253946164749</v>
      </c>
      <c r="T94" s="101">
        <f>IF(TrRoad_act!T16=0,0,T30/TrRoad_act!T16*1000)</f>
        <v>49.069101706894799</v>
      </c>
      <c r="U94" s="101">
        <f>IF(TrRoad_act!U16=0,0,U30/TrRoad_act!U16*1000)</f>
        <v>49.038345368648542</v>
      </c>
      <c r="V94" s="101">
        <f>IF(TrRoad_act!V16=0,0,V30/TrRoad_act!V16*1000)</f>
        <v>86.46022065108987</v>
      </c>
      <c r="W94" s="101">
        <f>IF(TrRoad_act!W16=0,0,W30/TrRoad_act!W16*1000)</f>
        <v>66.163391550858634</v>
      </c>
      <c r="X94" s="101">
        <f>IF(TrRoad_act!X16=0,0,X30/TrRoad_act!X16*1000)</f>
        <v>59.808463629624256</v>
      </c>
      <c r="Y94" s="101">
        <f>IF(TrRoad_act!Y16=0,0,Y30/TrRoad_act!Y16*1000)</f>
        <v>63.365299570706647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3.9866862749400029</v>
      </c>
      <c r="C95" s="101">
        <f>IF(TrRoad_act!C17=0,0,C31/TrRoad_act!C17*1000)</f>
        <v>3.9391502622582486</v>
      </c>
      <c r="D95" s="101">
        <f>IF(TrRoad_act!D17=0,0,D31/TrRoad_act!D17*1000)</f>
        <v>3.9378280803811792</v>
      </c>
      <c r="E95" s="101">
        <f>IF(TrRoad_act!E17=0,0,E31/TrRoad_act!E17*1000)</f>
        <v>3.7621305563841441</v>
      </c>
      <c r="F95" s="101">
        <f>IF(TrRoad_act!F17=0,0,F31/TrRoad_act!F17*1000)</f>
        <v>3.7460655822627555</v>
      </c>
      <c r="G95" s="101">
        <f>IF(TrRoad_act!G17=0,0,G31/TrRoad_act!G17*1000)</f>
        <v>3.680882310568196</v>
      </c>
      <c r="H95" s="101">
        <f>IF(TrRoad_act!H17=0,0,H31/TrRoad_act!H17*1000)</f>
        <v>3.6729403462356385</v>
      </c>
      <c r="I95" s="101">
        <f>IF(TrRoad_act!I17=0,0,I31/TrRoad_act!I17*1000)</f>
        <v>12.098316591563441</v>
      </c>
      <c r="J95" s="101">
        <f>IF(TrRoad_act!J17=0,0,J31/TrRoad_act!J17*1000)</f>
        <v>27.044434021851551</v>
      </c>
      <c r="K95" s="101">
        <f>IF(TrRoad_act!K17=0,0,K31/TrRoad_act!K17*1000)</f>
        <v>19.690855079725544</v>
      </c>
      <c r="L95" s="101">
        <f>IF(TrRoad_act!L17=0,0,L31/TrRoad_act!L17*1000)</f>
        <v>21.018252520393983</v>
      </c>
      <c r="M95" s="101">
        <f>IF(TrRoad_act!M17=0,0,M31/TrRoad_act!M17*1000)</f>
        <v>34.134546993720797</v>
      </c>
      <c r="N95" s="101">
        <f>IF(TrRoad_act!N17=0,0,N31/TrRoad_act!N17*1000)</f>
        <v>41.331137616811844</v>
      </c>
      <c r="O95" s="101">
        <f>IF(TrRoad_act!O17=0,0,O31/TrRoad_act!O17*1000)</f>
        <v>43.899139493204402</v>
      </c>
      <c r="P95" s="101">
        <f>IF(TrRoad_act!P17=0,0,P31/TrRoad_act!P17*1000)</f>
        <v>37.058542603014224</v>
      </c>
      <c r="Q95" s="101">
        <f>IF(TrRoad_act!Q17=0,0,Q31/TrRoad_act!Q17*1000)</f>
        <v>44.607609886743788</v>
      </c>
      <c r="R95" s="101">
        <f>IF(TrRoad_act!R17=0,0,R31/TrRoad_act!R17*1000)</f>
        <v>28.048301758457519</v>
      </c>
      <c r="S95" s="101">
        <f>IF(TrRoad_act!S17=0,0,S31/TrRoad_act!S17*1000)</f>
        <v>32.711008363525032</v>
      </c>
      <c r="T95" s="101">
        <f>IF(TrRoad_act!T17=0,0,T31/TrRoad_act!T17*1000)</f>
        <v>29.390778112618207</v>
      </c>
      <c r="U95" s="101">
        <f>IF(TrRoad_act!U17=0,0,U31/TrRoad_act!U17*1000)</f>
        <v>34.166259765253372</v>
      </c>
      <c r="V95" s="101">
        <f>IF(TrRoad_act!V17=0,0,V31/TrRoad_act!V17*1000)</f>
        <v>30.032118965684454</v>
      </c>
      <c r="W95" s="101">
        <f>IF(TrRoad_act!W17=0,0,W31/TrRoad_act!W17*1000)</f>
        <v>69.357438130414238</v>
      </c>
      <c r="X95" s="101">
        <f>IF(TrRoad_act!X17=0,0,X31/TrRoad_act!X17*1000)</f>
        <v>24.924340192115366</v>
      </c>
      <c r="Y95" s="101">
        <f>IF(TrRoad_act!Y17=0,0,Y31/TrRoad_act!Y17*1000)</f>
        <v>16.660183244524127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157.46800863912151</v>
      </c>
      <c r="C97" s="29">
        <f>IF(TrRoad_act!C19=0,0,C33/TrRoad_act!C19*1000)</f>
        <v>167.59892586517171</v>
      </c>
      <c r="D97" s="29">
        <f>IF(TrRoad_act!D19=0,0,D33/TrRoad_act!D19*1000)</f>
        <v>161.08502616417209</v>
      </c>
      <c r="E97" s="29">
        <f>IF(TrRoad_act!E19=0,0,E33/TrRoad_act!E19*1000)</f>
        <v>178.96203154098026</v>
      </c>
      <c r="F97" s="29">
        <f>IF(TrRoad_act!F19=0,0,F33/TrRoad_act!F19*1000)</f>
        <v>168.30202854953194</v>
      </c>
      <c r="G97" s="29">
        <f>IF(TrRoad_act!G19=0,0,G33/TrRoad_act!G19*1000)</f>
        <v>166.78448841045707</v>
      </c>
      <c r="H97" s="29">
        <f>IF(TrRoad_act!H19=0,0,H33/TrRoad_act!H19*1000)</f>
        <v>171.5913275232227</v>
      </c>
      <c r="I97" s="29">
        <f>IF(TrRoad_act!I19=0,0,I33/TrRoad_act!I19*1000)</f>
        <v>178.26143391034819</v>
      </c>
      <c r="J97" s="29">
        <f>IF(TrRoad_act!J19=0,0,J33/TrRoad_act!J19*1000)</f>
        <v>155.53293120434265</v>
      </c>
      <c r="K97" s="29">
        <f>IF(TrRoad_act!K19=0,0,K33/TrRoad_act!K19*1000)</f>
        <v>143.9565585924548</v>
      </c>
      <c r="L97" s="29">
        <f>IF(TrRoad_act!L19=0,0,L33/TrRoad_act!L19*1000)</f>
        <v>140.54213607739445</v>
      </c>
      <c r="M97" s="29">
        <f>IF(TrRoad_act!M19=0,0,M33/TrRoad_act!M19*1000)</f>
        <v>167.57352307555749</v>
      </c>
      <c r="N97" s="29">
        <f>IF(TrRoad_act!N19=0,0,N33/TrRoad_act!N19*1000)</f>
        <v>182.17688794631945</v>
      </c>
      <c r="O97" s="29">
        <f>IF(TrRoad_act!O19=0,0,O33/TrRoad_act!O19*1000)</f>
        <v>154.41292747798272</v>
      </c>
      <c r="P97" s="29">
        <f>IF(TrRoad_act!P19=0,0,P33/TrRoad_act!P19*1000)</f>
        <v>165.33054225903064</v>
      </c>
      <c r="Q97" s="29">
        <f>IF(TrRoad_act!Q19=0,0,Q33/TrRoad_act!Q19*1000)</f>
        <v>148.10348832909219</v>
      </c>
      <c r="R97" s="29">
        <f>IF(TrRoad_act!R19=0,0,R33/TrRoad_act!R19*1000)</f>
        <v>137.08025073216746</v>
      </c>
      <c r="S97" s="29">
        <f>IF(TrRoad_act!S19=0,0,S33/TrRoad_act!S19*1000)</f>
        <v>108.82905036468067</v>
      </c>
      <c r="T97" s="29">
        <f>IF(TrRoad_act!T19=0,0,T33/TrRoad_act!T19*1000)</f>
        <v>127.1760011330646</v>
      </c>
      <c r="U97" s="29">
        <f>IF(TrRoad_act!U19=0,0,U33/TrRoad_act!U19*1000)</f>
        <v>119.89986744399131</v>
      </c>
      <c r="V97" s="29">
        <f>IF(TrRoad_act!V19=0,0,V33/TrRoad_act!V19*1000)</f>
        <v>111.15178359953664</v>
      </c>
      <c r="W97" s="29">
        <f>IF(TrRoad_act!W19=0,0,W33/TrRoad_act!W19*1000)</f>
        <v>141.52207569521084</v>
      </c>
      <c r="X97" s="29">
        <f>IF(TrRoad_act!X19=0,0,X33/TrRoad_act!X19*1000)</f>
        <v>152.74021280928696</v>
      </c>
      <c r="Y97" s="29">
        <f>IF(TrRoad_act!Y19=0,0,Y33/TrRoad_act!Y19*1000)</f>
        <v>153.35362333146938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1982.4958839554922</v>
      </c>
      <c r="C98" s="152">
        <f>IF(TrRoad_act!C20=0,0,C34/TrRoad_act!C20*1000)</f>
        <v>1845.7007968656899</v>
      </c>
      <c r="D98" s="152">
        <f>IF(TrRoad_act!D20=0,0,D34/TrRoad_act!D20*1000)</f>
        <v>1742.3004886414128</v>
      </c>
      <c r="E98" s="152">
        <f>IF(TrRoad_act!E20=0,0,E34/TrRoad_act!E20*1000)</f>
        <v>1681.9051404029026</v>
      </c>
      <c r="F98" s="152">
        <f>IF(TrRoad_act!F20=0,0,F34/TrRoad_act!F20*1000)</f>
        <v>1635.6616746140023</v>
      </c>
      <c r="G98" s="152">
        <f>IF(TrRoad_act!G20=0,0,G34/TrRoad_act!G20*1000)</f>
        <v>1600.8284883405581</v>
      </c>
      <c r="H98" s="152">
        <f>IF(TrRoad_act!H20=0,0,H34/TrRoad_act!H20*1000)</f>
        <v>1504.0879199311742</v>
      </c>
      <c r="I98" s="152">
        <f>IF(TrRoad_act!I20=0,0,I34/TrRoad_act!I20*1000)</f>
        <v>1477.8111452680957</v>
      </c>
      <c r="J98" s="152">
        <f>IF(TrRoad_act!J20=0,0,J34/TrRoad_act!J20*1000)</f>
        <v>1407.6683911396744</v>
      </c>
      <c r="K98" s="152">
        <f>IF(TrRoad_act!K20=0,0,K34/TrRoad_act!K20*1000)</f>
        <v>1341.3922381569744</v>
      </c>
      <c r="L98" s="152">
        <f>IF(TrRoad_act!L20=0,0,L34/TrRoad_act!L20*1000)</f>
        <v>1314.1914186618878</v>
      </c>
      <c r="M98" s="152">
        <f>IF(TrRoad_act!M20=0,0,M34/TrRoad_act!M20*1000)</f>
        <v>1292.620501760832</v>
      </c>
      <c r="N98" s="152">
        <f>IF(TrRoad_act!N20=0,0,N34/TrRoad_act!N20*1000)</f>
        <v>1247.9309945138816</v>
      </c>
      <c r="O98" s="152">
        <f>IF(TrRoad_act!O20=0,0,O34/TrRoad_act!O20*1000)</f>
        <v>1198.4355259871265</v>
      </c>
      <c r="P98" s="152">
        <f>IF(TrRoad_act!P20=0,0,P34/TrRoad_act!P20*1000)</f>
        <v>1191.2786385469549</v>
      </c>
      <c r="Q98" s="152">
        <f>IF(TrRoad_act!Q20=0,0,Q34/TrRoad_act!Q20*1000)</f>
        <v>1114.785102079466</v>
      </c>
      <c r="R98" s="152">
        <f>IF(TrRoad_act!R20=0,0,R34/TrRoad_act!R20*1000)</f>
        <v>1091.2278826217455</v>
      </c>
      <c r="S98" s="152">
        <f>IF(TrRoad_act!S20=0,0,S34/TrRoad_act!S20*1000)</f>
        <v>1067.466161181545</v>
      </c>
      <c r="T98" s="152">
        <f>IF(TrRoad_act!T20=0,0,T34/TrRoad_act!T20*1000)</f>
        <v>1054.9329825422481</v>
      </c>
      <c r="U98" s="152">
        <f>IF(TrRoad_act!U20=0,0,U34/TrRoad_act!U20*1000)</f>
        <v>1052.2146912006945</v>
      </c>
      <c r="V98" s="152">
        <f>IF(TrRoad_act!V20=0,0,V34/TrRoad_act!V20*1000)</f>
        <v>1030.6845841124436</v>
      </c>
      <c r="W98" s="152">
        <f>IF(TrRoad_act!W20=0,0,W34/TrRoad_act!W20*1000)</f>
        <v>1072.9846146762334</v>
      </c>
      <c r="X98" s="152">
        <f>IF(TrRoad_act!X20=0,0,X34/TrRoad_act!X20*1000)</f>
        <v>1041.2587691102801</v>
      </c>
      <c r="Y98" s="152">
        <f>IF(TrRoad_act!Y20=0,0,Y34/TrRoad_act!Y20*1000)</f>
        <v>1014.8868368604815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1928.3614634210314</v>
      </c>
      <c r="C99" s="87">
        <f>IF(TrRoad_act!C21=0,0,C35/TrRoad_act!C21*1000)</f>
        <v>1857.8919557889035</v>
      </c>
      <c r="D99" s="87">
        <f>IF(TrRoad_act!D21=0,0,D35/TrRoad_act!D21*1000)</f>
        <v>1781.738049711201</v>
      </c>
      <c r="E99" s="87">
        <f>IF(TrRoad_act!E21=0,0,E35/TrRoad_act!E21*1000)</f>
        <v>1722.6328543101254</v>
      </c>
      <c r="F99" s="87">
        <f>IF(TrRoad_act!F21=0,0,F35/TrRoad_act!F21*1000)</f>
        <v>1686.570486600117</v>
      </c>
      <c r="G99" s="87">
        <f>IF(TrRoad_act!G21=0,0,G35/TrRoad_act!G21*1000)</f>
        <v>1639.7359847143857</v>
      </c>
      <c r="H99" s="87">
        <f>IF(TrRoad_act!H21=0,0,H35/TrRoad_act!H21*1000)</f>
        <v>1595.2575174101642</v>
      </c>
      <c r="I99" s="87">
        <f>IF(TrRoad_act!I21=0,0,I35/TrRoad_act!I21*1000)</f>
        <v>1565.7991381677662</v>
      </c>
      <c r="J99" s="87">
        <f>IF(TrRoad_act!J21=0,0,J35/TrRoad_act!J21*1000)</f>
        <v>1529.6726448867014</v>
      </c>
      <c r="K99" s="87">
        <f>IF(TrRoad_act!K21=0,0,K35/TrRoad_act!K21*1000)</f>
        <v>1499.9905246938226</v>
      </c>
      <c r="L99" s="87">
        <f>IF(TrRoad_act!L21=0,0,L35/TrRoad_act!L21*1000)</f>
        <v>1495.0882395399985</v>
      </c>
      <c r="M99" s="87">
        <f>IF(TrRoad_act!M21=0,0,M35/TrRoad_act!M21*1000)</f>
        <v>1480.1881951262494</v>
      </c>
      <c r="N99" s="87">
        <f>IF(TrRoad_act!N21=0,0,N35/TrRoad_act!N21*1000)</f>
        <v>1441.1351149132067</v>
      </c>
      <c r="O99" s="87">
        <f>IF(TrRoad_act!O21=0,0,O35/TrRoad_act!O21*1000)</f>
        <v>1411.7020822020745</v>
      </c>
      <c r="P99" s="87">
        <f>IF(TrRoad_act!P21=0,0,P35/TrRoad_act!P21*1000)</f>
        <v>1388.0552728131049</v>
      </c>
      <c r="Q99" s="87">
        <f>IF(TrRoad_act!Q21=0,0,Q35/TrRoad_act!Q21*1000)</f>
        <v>1346.7507043613457</v>
      </c>
      <c r="R99" s="87">
        <f>IF(TrRoad_act!R21=0,0,R35/TrRoad_act!R21*1000)</f>
        <v>1337.4798688134845</v>
      </c>
      <c r="S99" s="87">
        <f>IF(TrRoad_act!S21=0,0,S35/TrRoad_act!S21*1000)</f>
        <v>1314.8847383143218</v>
      </c>
      <c r="T99" s="87">
        <f>IF(TrRoad_act!T21=0,0,T35/TrRoad_act!T21*1000)</f>
        <v>1294.2643193702554</v>
      </c>
      <c r="U99" s="87">
        <f>IF(TrRoad_act!U21=0,0,U35/TrRoad_act!U21*1000)</f>
        <v>1286.1797991875064</v>
      </c>
      <c r="V99" s="87">
        <f>IF(TrRoad_act!V21=0,0,V35/TrRoad_act!V21*1000)</f>
        <v>1279.8847923896515</v>
      </c>
      <c r="W99" s="87">
        <f>IF(TrRoad_act!W21=0,0,W35/TrRoad_act!W21*1000)</f>
        <v>1267.2653561423767</v>
      </c>
      <c r="X99" s="87">
        <f>IF(TrRoad_act!X21=0,0,X35/TrRoad_act!X21*1000)</f>
        <v>1238.5670646075587</v>
      </c>
      <c r="Y99" s="87">
        <f>IF(TrRoad_act!Y21=0,0,Y35/TrRoad_act!Y21*1000)</f>
        <v>1213.4409068250875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1984.3532667249196</v>
      </c>
      <c r="C100" s="87">
        <f>IF(TrRoad_act!C22=0,0,C36/TrRoad_act!C22*1000)</f>
        <v>1844.8763275884501</v>
      </c>
      <c r="D100" s="87">
        <f>IF(TrRoad_act!D22=0,0,D36/TrRoad_act!D22*1000)</f>
        <v>1740.3826024517764</v>
      </c>
      <c r="E100" s="87">
        <f>IF(TrRoad_act!E22=0,0,E36/TrRoad_act!E22*1000)</f>
        <v>1680.1932371173136</v>
      </c>
      <c r="F100" s="87">
        <f>IF(TrRoad_act!F22=0,0,F36/TrRoad_act!F22*1000)</f>
        <v>1633.7766344211745</v>
      </c>
      <c r="G100" s="87">
        <f>IF(TrRoad_act!G22=0,0,G36/TrRoad_act!G22*1000)</f>
        <v>1599.6652890917344</v>
      </c>
      <c r="H100" s="87">
        <f>IF(TrRoad_act!H22=0,0,H36/TrRoad_act!H22*1000)</f>
        <v>1500.5415627705836</v>
      </c>
      <c r="I100" s="87">
        <f>IF(TrRoad_act!I22=0,0,I36/TrRoad_act!I22*1000)</f>
        <v>1474.9860010753223</v>
      </c>
      <c r="J100" s="87">
        <f>IF(TrRoad_act!J22=0,0,J36/TrRoad_act!J22*1000)</f>
        <v>1403.7628372129507</v>
      </c>
      <c r="K100" s="87">
        <f>IF(TrRoad_act!K22=0,0,K36/TrRoad_act!K22*1000)</f>
        <v>1336.9559977772374</v>
      </c>
      <c r="L100" s="87">
        <f>IF(TrRoad_act!L22=0,0,L36/TrRoad_act!L22*1000)</f>
        <v>1309.2855998185503</v>
      </c>
      <c r="M100" s="87">
        <f>IF(TrRoad_act!M22=0,0,M36/TrRoad_act!M22*1000)</f>
        <v>1287.7131388916562</v>
      </c>
      <c r="N100" s="87">
        <f>IF(TrRoad_act!N22=0,0,N36/TrRoad_act!N22*1000)</f>
        <v>1242.9561894184069</v>
      </c>
      <c r="O100" s="87">
        <f>IF(TrRoad_act!O22=0,0,O36/TrRoad_act!O22*1000)</f>
        <v>1191.4643627333821</v>
      </c>
      <c r="P100" s="87">
        <f>IF(TrRoad_act!P22=0,0,P36/TrRoad_act!P22*1000)</f>
        <v>1185.4728500115116</v>
      </c>
      <c r="Q100" s="87">
        <f>IF(TrRoad_act!Q22=0,0,Q36/TrRoad_act!Q22*1000)</f>
        <v>1105.5361084066196</v>
      </c>
      <c r="R100" s="87">
        <f>IF(TrRoad_act!R22=0,0,R36/TrRoad_act!R22*1000)</f>
        <v>1081.5486571271056</v>
      </c>
      <c r="S100" s="87">
        <f>IF(TrRoad_act!S22=0,0,S36/TrRoad_act!S22*1000)</f>
        <v>1059.7388484262776</v>
      </c>
      <c r="T100" s="87">
        <f>IF(TrRoad_act!T22=0,0,T36/TrRoad_act!T22*1000)</f>
        <v>1049.3002646589182</v>
      </c>
      <c r="U100" s="87">
        <f>IF(TrRoad_act!U22=0,0,U36/TrRoad_act!U22*1000)</f>
        <v>1043.5963623326195</v>
      </c>
      <c r="V100" s="87">
        <f>IF(TrRoad_act!V22=0,0,V36/TrRoad_act!V22*1000)</f>
        <v>1020.8064397159311</v>
      </c>
      <c r="W100" s="87">
        <f>IF(TrRoad_act!W22=0,0,W36/TrRoad_act!W22*1000)</f>
        <v>1064.5951972069624</v>
      </c>
      <c r="X100" s="87">
        <f>IF(TrRoad_act!X22=0,0,X36/TrRoad_act!X22*1000)</f>
        <v>1033.7779266084767</v>
      </c>
      <c r="Y100" s="87">
        <f>IF(TrRoad_act!Y22=0,0,Y36/TrRoad_act!Y22*1000)</f>
        <v>1006.3642944214592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2147.9473494971567</v>
      </c>
      <c r="C101" s="87">
        <f>IF(TrRoad_act!C23=0,0,C37/TrRoad_act!C23*1000)</f>
        <v>1992.3843582556576</v>
      </c>
      <c r="D101" s="87">
        <f>IF(TrRoad_act!D23=0,0,D37/TrRoad_act!D23*1000)</f>
        <v>1855.4936479653925</v>
      </c>
      <c r="E101" s="87">
        <f>IF(TrRoad_act!E23=0,0,E37/TrRoad_act!E23*1000)</f>
        <v>1750.3204965532982</v>
      </c>
      <c r="F101" s="87">
        <f>IF(TrRoad_act!F23=0,0,F37/TrRoad_act!F23*1000)</f>
        <v>1674.1486249547004</v>
      </c>
      <c r="G101" s="87">
        <f>IF(TrRoad_act!G23=0,0,G37/TrRoad_act!G23*1000)</f>
        <v>1594.6236190675857</v>
      </c>
      <c r="H101" s="87">
        <f>IF(TrRoad_act!H23=0,0,H37/TrRoad_act!H23*1000)</f>
        <v>1511.4815974821117</v>
      </c>
      <c r="I101" s="87">
        <f>IF(TrRoad_act!I23=0,0,I37/TrRoad_act!I23*1000)</f>
        <v>1500.4947777965021</v>
      </c>
      <c r="J101" s="87">
        <f>IF(TrRoad_act!J23=0,0,J37/TrRoad_act!J23*1000)</f>
        <v>1450.6967162457913</v>
      </c>
      <c r="K101" s="87">
        <f>IF(TrRoad_act!K23=0,0,K37/TrRoad_act!K23*1000)</f>
        <v>1384.9231417287688</v>
      </c>
      <c r="L101" s="87">
        <f>IF(TrRoad_act!L23=0,0,L37/TrRoad_act!L23*1000)</f>
        <v>1360.6595446024826</v>
      </c>
      <c r="M101" s="87">
        <f>IF(TrRoad_act!M23=0,0,M37/TrRoad_act!M23*1000)</f>
        <v>1350.8290659238787</v>
      </c>
      <c r="N101" s="87">
        <f>IF(TrRoad_act!N23=0,0,N37/TrRoad_act!N23*1000)</f>
        <v>1274.6895556606435</v>
      </c>
      <c r="O101" s="87">
        <f>IF(TrRoad_act!O23=0,0,O37/TrRoad_act!O23*1000)</f>
        <v>1254.4793055478199</v>
      </c>
      <c r="P101" s="87">
        <f>IF(TrRoad_act!P23=0,0,P37/TrRoad_act!P23*1000)</f>
        <v>1235.6490256892369</v>
      </c>
      <c r="Q101" s="87">
        <f>IF(TrRoad_act!Q23=0,0,Q37/TrRoad_act!Q23*1000)</f>
        <v>1207.8105224502485</v>
      </c>
      <c r="R101" s="87">
        <f>IF(TrRoad_act!R23=0,0,R37/TrRoad_act!R23*1000)</f>
        <v>1180.3790020089878</v>
      </c>
      <c r="S101" s="87">
        <f>IF(TrRoad_act!S23=0,0,S37/TrRoad_act!S23*1000)</f>
        <v>1163.1578050624612</v>
      </c>
      <c r="T101" s="87">
        <f>IF(TrRoad_act!T23=0,0,T37/TrRoad_act!T23*1000)</f>
        <v>1151.3014359981498</v>
      </c>
      <c r="U101" s="87">
        <f>IF(TrRoad_act!U23=0,0,U37/TrRoad_act!U23*1000)</f>
        <v>1144.9051844506039</v>
      </c>
      <c r="V101" s="87">
        <f>IF(TrRoad_act!V23=0,0,V37/TrRoad_act!V23*1000)</f>
        <v>1142.0153704779905</v>
      </c>
      <c r="W101" s="87">
        <f>IF(TrRoad_act!W23=0,0,W37/TrRoad_act!W23*1000)</f>
        <v>1177.7787910458792</v>
      </c>
      <c r="X101" s="87">
        <f>IF(TrRoad_act!X23=0,0,X37/TrRoad_act!X23*1000)</f>
        <v>1180.7493343042238</v>
      </c>
      <c r="Y101" s="87">
        <f>IF(TrRoad_act!Y23=0,0,Y37/TrRoad_act!Y23*1000)</f>
        <v>1197.3818831556282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2079.7980403158599</v>
      </c>
      <c r="C102" s="87">
        <f>IF(TrRoad_act!C24=0,0,C38/TrRoad_act!C24*1000)</f>
        <v>1892.0324477507447</v>
      </c>
      <c r="D102" s="87">
        <f>IF(TrRoad_act!D24=0,0,D38/TrRoad_act!D24*1000)</f>
        <v>1746.2086552680746</v>
      </c>
      <c r="E102" s="87">
        <f>IF(TrRoad_act!E24=0,0,E38/TrRoad_act!E24*1000)</f>
        <v>1638.5066794183315</v>
      </c>
      <c r="F102" s="87">
        <f>IF(TrRoad_act!F24=0,0,F38/TrRoad_act!F24*1000)</f>
        <v>1571.4096603083428</v>
      </c>
      <c r="G102" s="87">
        <f>IF(TrRoad_act!G24=0,0,G38/TrRoad_act!G24*1000)</f>
        <v>1510.3933720755329</v>
      </c>
      <c r="H102" s="87">
        <f>IF(TrRoad_act!H24=0,0,H38/TrRoad_act!H24*1000)</f>
        <v>1467.0983947612044</v>
      </c>
      <c r="I102" s="87">
        <f>IF(TrRoad_act!I24=0,0,I38/TrRoad_act!I24*1000)</f>
        <v>1453.1554974267283</v>
      </c>
      <c r="J102" s="87">
        <f>IF(TrRoad_act!J24=0,0,J38/TrRoad_act!J24*1000)</f>
        <v>1404.0578801861116</v>
      </c>
      <c r="K102" s="87">
        <f>IF(TrRoad_act!K24=0,0,K38/TrRoad_act!K24*1000)</f>
        <v>1270.2289591539995</v>
      </c>
      <c r="L102" s="87">
        <f>IF(TrRoad_act!L24=0,0,L38/TrRoad_act!L24*1000)</f>
        <v>1300.4429469588242</v>
      </c>
      <c r="M102" s="87">
        <f>IF(TrRoad_act!M24=0,0,M38/TrRoad_act!M24*1000)</f>
        <v>1261.0545773006791</v>
      </c>
      <c r="N102" s="87">
        <f>IF(TrRoad_act!N24=0,0,N38/TrRoad_act!N24*1000)</f>
        <v>1227.367862477123</v>
      </c>
      <c r="O102" s="87">
        <f>IF(TrRoad_act!O24=0,0,O38/TrRoad_act!O24*1000)</f>
        <v>1239.4322078344003</v>
      </c>
      <c r="P102" s="87">
        <f>IF(TrRoad_act!P24=0,0,P38/TrRoad_act!P24*1000)</f>
        <v>1211.6919378093853</v>
      </c>
      <c r="Q102" s="87">
        <f>IF(TrRoad_act!Q24=0,0,Q38/TrRoad_act!Q24*1000)</f>
        <v>1217.3558126437131</v>
      </c>
      <c r="R102" s="87">
        <f>IF(TrRoad_act!R24=0,0,R38/TrRoad_act!R24*1000)</f>
        <v>1186.8509032813904</v>
      </c>
      <c r="S102" s="87">
        <f>IF(TrRoad_act!S24=0,0,S38/TrRoad_act!S24*1000)</f>
        <v>1086.7474177996999</v>
      </c>
      <c r="T102" s="87">
        <f>IF(TrRoad_act!T24=0,0,T38/TrRoad_act!T24*1000)</f>
        <v>1001.5823024596142</v>
      </c>
      <c r="U102" s="87">
        <f>IF(TrRoad_act!U24=0,0,U38/TrRoad_act!U24*1000)</f>
        <v>1188.6745524709465</v>
      </c>
      <c r="V102" s="87">
        <f>IF(TrRoad_act!V24=0,0,V38/TrRoad_act!V24*1000)</f>
        <v>1194.2003774566385</v>
      </c>
      <c r="W102" s="87">
        <f>IF(TrRoad_act!W24=0,0,W38/TrRoad_act!W24*1000)</f>
        <v>1327.2030602321715</v>
      </c>
      <c r="X102" s="87">
        <f>IF(TrRoad_act!X24=0,0,X38/TrRoad_act!X24*1000)</f>
        <v>1198.7885740384265</v>
      </c>
      <c r="Y102" s="87">
        <f>IF(TrRoad_act!Y24=0,0,Y38/TrRoad_act!Y24*1000)</f>
        <v>1205.7491550995537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43.185406622075703</v>
      </c>
      <c r="C104" s="116">
        <f>IF(TrRoad_act!C26=0,0,C40/TrRoad_act!C26*1000)</f>
        <v>64.746382888321932</v>
      </c>
      <c r="D104" s="116">
        <f>IF(TrRoad_act!D26=0,0,D40/TrRoad_act!D26*1000)</f>
        <v>62.78473216983771</v>
      </c>
      <c r="E104" s="116">
        <f>IF(TrRoad_act!E26=0,0,E40/TrRoad_act!E26*1000)</f>
        <v>67.190525634672781</v>
      </c>
      <c r="F104" s="116">
        <f>IF(TrRoad_act!F26=0,0,F40/TrRoad_act!F26*1000)</f>
        <v>63.468940631149636</v>
      </c>
      <c r="G104" s="116">
        <f>IF(TrRoad_act!G26=0,0,G40/TrRoad_act!G26*1000)</f>
        <v>62.337987548753652</v>
      </c>
      <c r="H104" s="116">
        <f>IF(TrRoad_act!H26=0,0,H40/TrRoad_act!H26*1000)</f>
        <v>76.034259220323733</v>
      </c>
      <c r="I104" s="116">
        <f>IF(TrRoad_act!I26=0,0,I40/TrRoad_act!I26*1000)</f>
        <v>76.384517638949305</v>
      </c>
      <c r="J104" s="116">
        <f>IF(TrRoad_act!J26=0,0,J40/TrRoad_act!J26*1000)</f>
        <v>57.627530895956873</v>
      </c>
      <c r="K104" s="116">
        <f>IF(TrRoad_act!K26=0,0,K40/TrRoad_act!K26*1000)</f>
        <v>44.828548051263382</v>
      </c>
      <c r="L104" s="116">
        <f>IF(TrRoad_act!L26=0,0,L40/TrRoad_act!L26*1000)</f>
        <v>40.3140566161264</v>
      </c>
      <c r="M104" s="116">
        <f>IF(TrRoad_act!M26=0,0,M40/TrRoad_act!M26*1000)</f>
        <v>51.57991250685771</v>
      </c>
      <c r="N104" s="116">
        <f>IF(TrRoad_act!N26=0,0,N40/TrRoad_act!N26*1000)</f>
        <v>69.810597078090751</v>
      </c>
      <c r="O104" s="116">
        <f>IF(TrRoad_act!O26=0,0,O40/TrRoad_act!O26*1000)</f>
        <v>56.155076897959447</v>
      </c>
      <c r="P104" s="116">
        <f>IF(TrRoad_act!P26=0,0,P40/TrRoad_act!P26*1000)</f>
        <v>58.922373078708368</v>
      </c>
      <c r="Q104" s="116">
        <f>IF(TrRoad_act!Q26=0,0,Q40/TrRoad_act!Q26*1000)</f>
        <v>63.652686584405828</v>
      </c>
      <c r="R104" s="116">
        <f>IF(TrRoad_act!R26=0,0,R40/TrRoad_act!R26*1000)</f>
        <v>56.18070846863337</v>
      </c>
      <c r="S104" s="116">
        <f>IF(TrRoad_act!S26=0,0,S40/TrRoad_act!S26*1000)</f>
        <v>31.78576030644307</v>
      </c>
      <c r="T104" s="116">
        <f>IF(TrRoad_act!T26=0,0,T40/TrRoad_act!T26*1000)</f>
        <v>52.188554240335669</v>
      </c>
      <c r="U104" s="116">
        <f>IF(TrRoad_act!U26=0,0,U40/TrRoad_act!U26*1000)</f>
        <v>48.843209355300381</v>
      </c>
      <c r="V104" s="116">
        <f>IF(TrRoad_act!V26=0,0,V40/TrRoad_act!V26*1000)</f>
        <v>39.884945138463614</v>
      </c>
      <c r="W104" s="116">
        <f>IF(TrRoad_act!W26=0,0,W40/TrRoad_act!W26*1000)</f>
        <v>65.025605291741144</v>
      </c>
      <c r="X104" s="116">
        <f>IF(TrRoad_act!X26=0,0,X40/TrRoad_act!X26*1000)</f>
        <v>88.251237827557432</v>
      </c>
      <c r="Y104" s="116">
        <f>IF(TrRoad_act!Y26=0,0,Y40/TrRoad_act!Y26*1000)</f>
        <v>92.746496276442983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42.304374308560632</v>
      </c>
      <c r="C105" s="101">
        <f>IF(TrRoad_act!C27=0,0,C41/TrRoad_act!C27*1000)</f>
        <v>63.238161501595528</v>
      </c>
      <c r="D105" s="101">
        <f>IF(TrRoad_act!D27=0,0,D41/TrRoad_act!D27*1000)</f>
        <v>61.04656724195879</v>
      </c>
      <c r="E105" s="101">
        <f>IF(TrRoad_act!E27=0,0,E41/TrRoad_act!E27*1000)</f>
        <v>66.042097932065204</v>
      </c>
      <c r="F105" s="101">
        <f>IF(TrRoad_act!F27=0,0,F41/TrRoad_act!F27*1000)</f>
        <v>63.020173765243243</v>
      </c>
      <c r="G105" s="101">
        <f>IF(TrRoad_act!G27=0,0,G41/TrRoad_act!G27*1000)</f>
        <v>61.407302118382013</v>
      </c>
      <c r="H105" s="101">
        <f>IF(TrRoad_act!H27=0,0,H41/TrRoad_act!H27*1000)</f>
        <v>73.811212888305022</v>
      </c>
      <c r="I105" s="101">
        <f>IF(TrRoad_act!I27=0,0,I41/TrRoad_act!I27*1000)</f>
        <v>74.810625942804108</v>
      </c>
      <c r="J105" s="101">
        <f>IF(TrRoad_act!J27=0,0,J41/TrRoad_act!J27*1000)</f>
        <v>55.907171126978213</v>
      </c>
      <c r="K105" s="101">
        <f>IF(TrRoad_act!K27=0,0,K41/TrRoad_act!K27*1000)</f>
        <v>43.769145216723857</v>
      </c>
      <c r="L105" s="101">
        <f>IF(TrRoad_act!L27=0,0,L41/TrRoad_act!L27*1000)</f>
        <v>39.534259592265336</v>
      </c>
      <c r="M105" s="101">
        <f>IF(TrRoad_act!M27=0,0,M41/TrRoad_act!M27*1000)</f>
        <v>50.462735482670716</v>
      </c>
      <c r="N105" s="101">
        <f>IF(TrRoad_act!N27=0,0,N41/TrRoad_act!N27*1000)</f>
        <v>68.349400222447684</v>
      </c>
      <c r="O105" s="101">
        <f>IF(TrRoad_act!O27=0,0,O41/TrRoad_act!O27*1000)</f>
        <v>55.085789306372035</v>
      </c>
      <c r="P105" s="101">
        <f>IF(TrRoad_act!P27=0,0,P41/TrRoad_act!P27*1000)</f>
        <v>57.93133969610939</v>
      </c>
      <c r="Q105" s="101">
        <f>IF(TrRoad_act!Q27=0,0,Q41/TrRoad_act!Q27*1000)</f>
        <v>61.99371506382996</v>
      </c>
      <c r="R105" s="101">
        <f>IF(TrRoad_act!R27=0,0,R41/TrRoad_act!R27*1000)</f>
        <v>54.782855308187592</v>
      </c>
      <c r="S105" s="101">
        <f>IF(TrRoad_act!S27=0,0,S41/TrRoad_act!S27*1000)</f>
        <v>30.73361599727777</v>
      </c>
      <c r="T105" s="101">
        <f>IF(TrRoad_act!T27=0,0,T41/TrRoad_act!T27*1000)</f>
        <v>50.131052431178141</v>
      </c>
      <c r="U105" s="101">
        <f>IF(TrRoad_act!U27=0,0,U41/TrRoad_act!U27*1000)</f>
        <v>46.277762706613416</v>
      </c>
      <c r="V105" s="101">
        <f>IF(TrRoad_act!V27=0,0,V41/TrRoad_act!V27*1000)</f>
        <v>37.552220373616308</v>
      </c>
      <c r="W105" s="101">
        <f>IF(TrRoad_act!W27=0,0,W41/TrRoad_act!W27*1000)</f>
        <v>60.958518417205752</v>
      </c>
      <c r="X105" s="101">
        <f>IF(TrRoad_act!X27=0,0,X41/TrRoad_act!X27*1000)</f>
        <v>82.635712437497176</v>
      </c>
      <c r="Y105" s="101">
        <f>IF(TrRoad_act!Y27=0,0,Y41/TrRoad_act!Y27*1000)</f>
        <v>87.20446901432814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49.149246396255243</v>
      </c>
      <c r="C106" s="88">
        <f>IF(TrRoad_act!C28=0,0,C42/TrRoad_act!C28*1000)</f>
        <v>74.067314474646352</v>
      </c>
      <c r="D106" s="88">
        <f>IF(TrRoad_act!D28=0,0,D42/TrRoad_act!D28*1000)</f>
        <v>73.27868441840468</v>
      </c>
      <c r="E106" s="88">
        <f>IF(TrRoad_act!E28=0,0,E42/TrRoad_act!E28*1000)</f>
        <v>73.294505307082275</v>
      </c>
      <c r="F106" s="88">
        <f>IF(TrRoad_act!F28=0,0,F42/TrRoad_act!F28*1000)</f>
        <v>65.739188561809101</v>
      </c>
      <c r="G106" s="88">
        <f>IF(TrRoad_act!G28=0,0,G42/TrRoad_act!G28*1000)</f>
        <v>67.271986280435087</v>
      </c>
      <c r="H106" s="88">
        <f>IF(TrRoad_act!H28=0,0,H42/TrRoad_act!H28*1000)</f>
        <v>86.007100273066953</v>
      </c>
      <c r="I106" s="88">
        <f>IF(TrRoad_act!I28=0,0,I42/TrRoad_act!I28*1000)</f>
        <v>83.359231728981939</v>
      </c>
      <c r="J106" s="88">
        <f>IF(TrRoad_act!J28=0,0,J42/TrRoad_act!J28*1000)</f>
        <v>64.94773762785826</v>
      </c>
      <c r="K106" s="88">
        <f>IF(TrRoad_act!K28=0,0,K42/TrRoad_act!K28*1000)</f>
        <v>49.834220958663757</v>
      </c>
      <c r="L106" s="88">
        <f>IF(TrRoad_act!L28=0,0,L42/TrRoad_act!L28*1000)</f>
        <v>43.701343228419937</v>
      </c>
      <c r="M106" s="88">
        <f>IF(TrRoad_act!M28=0,0,M42/TrRoad_act!M28*1000)</f>
        <v>56.392429352299509</v>
      </c>
      <c r="N106" s="88">
        <f>IF(TrRoad_act!N28=0,0,N42/TrRoad_act!N28*1000)</f>
        <v>75.712573664386369</v>
      </c>
      <c r="O106" s="88">
        <f>IF(TrRoad_act!O28=0,0,O42/TrRoad_act!O28*1000)</f>
        <v>60.170547742913868</v>
      </c>
      <c r="P106" s="88">
        <f>IF(TrRoad_act!P28=0,0,P42/TrRoad_act!P28*1000)</f>
        <v>62.228969308490662</v>
      </c>
      <c r="Q106" s="88">
        <f>IF(TrRoad_act!Q28=0,0,Q42/TrRoad_act!Q28*1000)</f>
        <v>69.435360762481835</v>
      </c>
      <c r="R106" s="88">
        <f>IF(TrRoad_act!R28=0,0,R42/TrRoad_act!R28*1000)</f>
        <v>60.643156278397981</v>
      </c>
      <c r="S106" s="88">
        <f>IF(TrRoad_act!S28=0,0,S42/TrRoad_act!S28*1000)</f>
        <v>34.960446822999117</v>
      </c>
      <c r="T106" s="88">
        <f>IF(TrRoad_act!T28=0,0,T42/TrRoad_act!T28*1000)</f>
        <v>58.847901640899664</v>
      </c>
      <c r="U106" s="88">
        <f>IF(TrRoad_act!U28=0,0,U42/TrRoad_act!U28*1000)</f>
        <v>57.617056949792094</v>
      </c>
      <c r="V106" s="88">
        <f>IF(TrRoad_act!V28=0,0,V42/TrRoad_act!V28*1000)</f>
        <v>47.824730339727502</v>
      </c>
      <c r="W106" s="88">
        <f>IF(TrRoad_act!W28=0,0,W42/TrRoad_act!W28*1000)</f>
        <v>78.314165301422648</v>
      </c>
      <c r="X106" s="88">
        <f>IF(TrRoad_act!X28=0,0,X42/TrRoad_act!X28*1000)</f>
        <v>106.74873986389507</v>
      </c>
      <c r="Y106" s="88">
        <f>IF(TrRoad_act!Y28=0,0,Y42/TrRoad_act!Y28*1000)</f>
        <v>111.85409609166017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465.43034772500909</v>
      </c>
      <c r="C110" s="152">
        <f>IF(C19=0,0,1000000*C19/TrRoad_act!C59)</f>
        <v>450.911972746191</v>
      </c>
      <c r="D110" s="152">
        <f>IF(D19=0,0,1000000*D19/TrRoad_act!D59)</f>
        <v>423.4781951330985</v>
      </c>
      <c r="E110" s="152">
        <f>IF(E19=0,0,1000000*E19/TrRoad_act!E59)</f>
        <v>415.50775655569356</v>
      </c>
      <c r="F110" s="152">
        <f>IF(F19=0,0,1000000*F19/TrRoad_act!F59)</f>
        <v>423.31124163731249</v>
      </c>
      <c r="G110" s="152">
        <f>IF(G19=0,0,1000000*G19/TrRoad_act!G59)</f>
        <v>418.80774365979147</v>
      </c>
      <c r="H110" s="152">
        <f>IF(H19=0,0,1000000*H19/TrRoad_act!H59)</f>
        <v>395.35661013072291</v>
      </c>
      <c r="I110" s="152">
        <f>IF(I19=0,0,1000000*I19/TrRoad_act!I59)</f>
        <v>349.99498948798345</v>
      </c>
      <c r="J110" s="152">
        <f>IF(J19=0,0,1000000*J19/TrRoad_act!J59)</f>
        <v>367.61581542483702</v>
      </c>
      <c r="K110" s="152">
        <f>IF(K19=0,0,1000000*K19/TrRoad_act!K59)</f>
        <v>341.61189380398571</v>
      </c>
      <c r="L110" s="152">
        <f>IF(L19=0,0,1000000*L19/TrRoad_act!L59)</f>
        <v>338.73877249835539</v>
      </c>
      <c r="M110" s="152">
        <f>IF(M19=0,0,1000000*M19/TrRoad_act!M59)</f>
        <v>347.89018208777998</v>
      </c>
      <c r="N110" s="152">
        <f>IF(N19=0,0,1000000*N19/TrRoad_act!N59)</f>
        <v>353.10581614282785</v>
      </c>
      <c r="O110" s="152">
        <f>IF(O19=0,0,1000000*O19/TrRoad_act!O59)</f>
        <v>334.3418793960289</v>
      </c>
      <c r="P110" s="152">
        <f>IF(P19=0,0,1000000*P19/TrRoad_act!P59)</f>
        <v>332.41108107486906</v>
      </c>
      <c r="Q110" s="152">
        <f>IF(Q19=0,0,1000000*Q19/TrRoad_act!Q59)</f>
        <v>322.09337643071188</v>
      </c>
      <c r="R110" s="152">
        <f>IF(R19=0,0,1000000*R19/TrRoad_act!R59)</f>
        <v>322.38472071554742</v>
      </c>
      <c r="S110" s="152">
        <f>IF(S19=0,0,1000000*S19/TrRoad_act!S59)</f>
        <v>297.22573916254612</v>
      </c>
      <c r="T110" s="152">
        <f>IF(T19=0,0,1000000*T19/TrRoad_act!T59)</f>
        <v>277.8582600981353</v>
      </c>
      <c r="U110" s="152">
        <f>IF(U19=0,0,1000000*U19/TrRoad_act!U59)</f>
        <v>295.09009882999339</v>
      </c>
      <c r="V110" s="152">
        <f>IF(V19=0,0,1000000*V19/TrRoad_act!V59)</f>
        <v>254.45686080697539</v>
      </c>
      <c r="W110" s="152">
        <f>IF(W19=0,0,1000000*W19/TrRoad_act!W59)</f>
        <v>269.29092716029817</v>
      </c>
      <c r="X110" s="152">
        <f>IF(X19=0,0,1000000*X19/TrRoad_act!X59)</f>
        <v>272.22528631323917</v>
      </c>
      <c r="Y110" s="152">
        <f>IF(Y19=0,0,1000000*Y19/TrRoad_act!Y59)</f>
        <v>286.16736309899102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2097.9982019389763</v>
      </c>
      <c r="C111" s="116">
        <f>IF(C20=0,0,1000000*C20/TrRoad_act!C60)</f>
        <v>2085.3949427804168</v>
      </c>
      <c r="D111" s="116">
        <f>IF(D20=0,0,1000000*D20/TrRoad_act!D60)</f>
        <v>2126.1412359308697</v>
      </c>
      <c r="E111" s="116">
        <f>IF(E20=0,0,1000000*E20/TrRoad_act!E60)</f>
        <v>2079.0704088384173</v>
      </c>
      <c r="F111" s="116">
        <f>IF(F20=0,0,1000000*F20/TrRoad_act!F60)</f>
        <v>2121.6635905967337</v>
      </c>
      <c r="G111" s="116">
        <f>IF(G20=0,0,1000000*G20/TrRoad_act!G60)</f>
        <v>1981.8346026611841</v>
      </c>
      <c r="H111" s="116">
        <f>IF(H20=0,0,1000000*H20/TrRoad_act!H60)</f>
        <v>2026.9594296975738</v>
      </c>
      <c r="I111" s="116">
        <f>IF(I20=0,0,1000000*I20/TrRoad_act!I60)</f>
        <v>2007.6042668494238</v>
      </c>
      <c r="J111" s="116">
        <f>IF(J20=0,0,1000000*J20/TrRoad_act!J60)</f>
        <v>1917.4946823804326</v>
      </c>
      <c r="K111" s="116">
        <f>IF(K20=0,0,1000000*K20/TrRoad_act!K60)</f>
        <v>1885.0777400590925</v>
      </c>
      <c r="L111" s="116">
        <f>IF(L20=0,0,1000000*L20/TrRoad_act!L60)</f>
        <v>1744.7847117455913</v>
      </c>
      <c r="M111" s="116">
        <f>IF(M20=0,0,1000000*M20/TrRoad_act!M60)</f>
        <v>1696.5864474394468</v>
      </c>
      <c r="N111" s="116">
        <f>IF(N20=0,0,1000000*N20/TrRoad_act!N60)</f>
        <v>1561.2586130219984</v>
      </c>
      <c r="O111" s="116">
        <f>IF(O20=0,0,1000000*O20/TrRoad_act!O60)</f>
        <v>1622.9649825683277</v>
      </c>
      <c r="P111" s="116">
        <f>IF(P20=0,0,1000000*P20/TrRoad_act!P60)</f>
        <v>1729.6431357479562</v>
      </c>
      <c r="Q111" s="116">
        <f>IF(Q20=0,0,1000000*Q20/TrRoad_act!Q60)</f>
        <v>1718.2342083007675</v>
      </c>
      <c r="R111" s="116">
        <f>IF(R20=0,0,1000000*R20/TrRoad_act!R60)</f>
        <v>1714.2618013166696</v>
      </c>
      <c r="S111" s="116">
        <f>IF(S20=0,0,1000000*S20/TrRoad_act!S60)</f>
        <v>1680.5305714547537</v>
      </c>
      <c r="T111" s="116">
        <f>IF(T20=0,0,1000000*T20/TrRoad_act!T60)</f>
        <v>1680.2095268030766</v>
      </c>
      <c r="U111" s="116">
        <f>IF(U20=0,0,1000000*U20/TrRoad_act!U60)</f>
        <v>1658.0049937665972</v>
      </c>
      <c r="V111" s="116">
        <f>IF(V20=0,0,1000000*V20/TrRoad_act!V60)</f>
        <v>1255.4779681933728</v>
      </c>
      <c r="W111" s="116">
        <f>IF(W20=0,0,1000000*W20/TrRoad_act!W60)</f>
        <v>1477.4811466186065</v>
      </c>
      <c r="X111" s="116">
        <f>IF(X20=0,0,1000000*X20/TrRoad_act!X60)</f>
        <v>1525.7354569353606</v>
      </c>
      <c r="Y111" s="116">
        <f>IF(Y20=0,0,1000000*Y20/TrRoad_act!Y60)</f>
        <v>1536.9497350301417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1752.2255688726123</v>
      </c>
      <c r="C112" s="87">
        <f>IF(C21=0,0,1000000*C21/TrRoad_act!C61)</f>
        <v>1731.689881753085</v>
      </c>
      <c r="D112" s="87">
        <f>IF(D21=0,0,1000000*D21/TrRoad_act!D61)</f>
        <v>1710.5552077295399</v>
      </c>
      <c r="E112" s="87">
        <f>IF(E21=0,0,1000000*E21/TrRoad_act!E61)</f>
        <v>1665.1226930182816</v>
      </c>
      <c r="F112" s="87">
        <f>IF(F21=0,0,1000000*F21/TrRoad_act!F61)</f>
        <v>1640.1742389027622</v>
      </c>
      <c r="G112" s="87">
        <f>IF(G21=0,0,1000000*G21/TrRoad_act!G61)</f>
        <v>1554.0347007228281</v>
      </c>
      <c r="H112" s="87">
        <f>IF(H21=0,0,1000000*H21/TrRoad_act!H61)</f>
        <v>1496.2989762081374</v>
      </c>
      <c r="I112" s="87">
        <f>IF(I21=0,0,1000000*I21/TrRoad_act!I61)</f>
        <v>1455.2316467824558</v>
      </c>
      <c r="J112" s="87">
        <f>IF(J21=0,0,1000000*J21/TrRoad_act!J61)</f>
        <v>1343.5497085904128</v>
      </c>
      <c r="K112" s="87">
        <f>IF(K21=0,0,1000000*K21/TrRoad_act!K61)</f>
        <v>1332.0116928176317</v>
      </c>
      <c r="L112" s="87">
        <f>IF(L21=0,0,1000000*L21/TrRoad_act!L61)</f>
        <v>1238.2128238123055</v>
      </c>
      <c r="M112" s="87">
        <f>IF(M21=0,0,1000000*M21/TrRoad_act!M61)</f>
        <v>1205.2335800546139</v>
      </c>
      <c r="N112" s="87">
        <f>IF(N21=0,0,1000000*N21/TrRoad_act!N61)</f>
        <v>1071.0384405983282</v>
      </c>
      <c r="O112" s="87">
        <f>IF(O21=0,0,1000000*O21/TrRoad_act!O61)</f>
        <v>1045.5427168373997</v>
      </c>
      <c r="P112" s="87">
        <f>IF(P21=0,0,1000000*P21/TrRoad_act!P61)</f>
        <v>1074.4700729452832</v>
      </c>
      <c r="Q112" s="87">
        <f>IF(Q21=0,0,1000000*Q21/TrRoad_act!Q61)</f>
        <v>1051.9616792416723</v>
      </c>
      <c r="R112" s="87">
        <f>IF(R21=0,0,1000000*R21/TrRoad_act!R61)</f>
        <v>971.11041196398855</v>
      </c>
      <c r="S112" s="87">
        <f>IF(S21=0,0,1000000*S21/TrRoad_act!S61)</f>
        <v>961.16923562272882</v>
      </c>
      <c r="T112" s="87">
        <f>IF(T21=0,0,1000000*T21/TrRoad_act!T61)</f>
        <v>1035.7176340917238</v>
      </c>
      <c r="U112" s="87">
        <f>IF(U21=0,0,1000000*U21/TrRoad_act!U61)</f>
        <v>1023.3558151663949</v>
      </c>
      <c r="V112" s="87">
        <f>IF(V21=0,0,1000000*V21/TrRoad_act!V61)</f>
        <v>785.18415347340647</v>
      </c>
      <c r="W112" s="87">
        <f>IF(W21=0,0,1000000*W21/TrRoad_act!W61)</f>
        <v>975.58350696860282</v>
      </c>
      <c r="X112" s="87">
        <f>IF(X21=0,0,1000000*X21/TrRoad_act!X61)</f>
        <v>1099.6800886522178</v>
      </c>
      <c r="Y112" s="87">
        <f>IF(Y21=0,0,1000000*Y21/TrRoad_act!Y61)</f>
        <v>1113.3221343582086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3758.5226963813957</v>
      </c>
      <c r="C113" s="87">
        <f>IF(C22=0,0,1000000*C22/TrRoad_act!C62)</f>
        <v>3565.389822032686</v>
      </c>
      <c r="D113" s="87">
        <f>IF(D22=0,0,1000000*D22/TrRoad_act!D62)</f>
        <v>3656.6547705961057</v>
      </c>
      <c r="E113" s="87">
        <f>IF(E22=0,0,1000000*E22/TrRoad_act!E62)</f>
        <v>3413.161884614658</v>
      </c>
      <c r="F113" s="87">
        <f>IF(F22=0,0,1000000*F22/TrRoad_act!F62)</f>
        <v>3432.6026559435195</v>
      </c>
      <c r="G113" s="87">
        <f>IF(G22=0,0,1000000*G22/TrRoad_act!G62)</f>
        <v>2990.6977149504969</v>
      </c>
      <c r="H113" s="87">
        <f>IF(H22=0,0,1000000*H22/TrRoad_act!H62)</f>
        <v>3137.3153417536996</v>
      </c>
      <c r="I113" s="87">
        <f>IF(I22=0,0,1000000*I22/TrRoad_act!I62)</f>
        <v>3032.6727804740954</v>
      </c>
      <c r="J113" s="87">
        <f>IF(J22=0,0,1000000*J22/TrRoad_act!J62)</f>
        <v>2854.9029398843904</v>
      </c>
      <c r="K113" s="87">
        <f>IF(K22=0,0,1000000*K22/TrRoad_act!K62)</f>
        <v>2721.0448912566549</v>
      </c>
      <c r="L113" s="87">
        <f>IF(L22=0,0,1000000*L22/TrRoad_act!L62)</f>
        <v>2450.1420450806718</v>
      </c>
      <c r="M113" s="87">
        <f>IF(M22=0,0,1000000*M22/TrRoad_act!M62)</f>
        <v>2330.5799543783946</v>
      </c>
      <c r="N113" s="87">
        <f>IF(N22=0,0,1000000*N22/TrRoad_act!N62)</f>
        <v>2146.1664527626704</v>
      </c>
      <c r="O113" s="87">
        <f>IF(O22=0,0,1000000*O22/TrRoad_act!O62)</f>
        <v>2282.2925396228147</v>
      </c>
      <c r="P113" s="87">
        <f>IF(P22=0,0,1000000*P22/TrRoad_act!P62)</f>
        <v>2481.6956536458811</v>
      </c>
      <c r="Q113" s="87">
        <f>IF(Q22=0,0,1000000*Q22/TrRoad_act!Q62)</f>
        <v>2435.4645151591526</v>
      </c>
      <c r="R113" s="87">
        <f>IF(R22=0,0,1000000*R22/TrRoad_act!R62)</f>
        <v>2522.7313643410907</v>
      </c>
      <c r="S113" s="87">
        <f>IF(S22=0,0,1000000*S22/TrRoad_act!S62)</f>
        <v>2438.4966930986925</v>
      </c>
      <c r="T113" s="87">
        <f>IF(T22=0,0,1000000*T22/TrRoad_act!T62)</f>
        <v>2339.5850867614276</v>
      </c>
      <c r="U113" s="87">
        <f>IF(U22=0,0,1000000*U22/TrRoad_act!U62)</f>
        <v>2291.2997775181007</v>
      </c>
      <c r="V113" s="87">
        <f>IF(V22=0,0,1000000*V22/TrRoad_act!V62)</f>
        <v>1713.3806027413996</v>
      </c>
      <c r="W113" s="87">
        <f>IF(W22=0,0,1000000*W22/TrRoad_act!W62)</f>
        <v>2006.7847044831076</v>
      </c>
      <c r="X113" s="87">
        <f>IF(X22=0,0,1000000*X22/TrRoad_act!X62)</f>
        <v>1984.8270994076108</v>
      </c>
      <c r="Y113" s="87">
        <f>IF(Y22=0,0,1000000*Y22/TrRoad_act!Y62)</f>
        <v>2009.986568191523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2746.3717519668216</v>
      </c>
      <c r="C114" s="87">
        <f>IF(C23=0,0,1000000*C23/TrRoad_act!C63)</f>
        <v>2680.9643343466041</v>
      </c>
      <c r="D114" s="87">
        <f>IF(D23=0,0,1000000*D23/TrRoad_act!D63)</f>
        <v>2701.6361499749191</v>
      </c>
      <c r="E114" s="87">
        <f>IF(E23=0,0,1000000*E23/TrRoad_act!E63)</f>
        <v>2462.5101053279695</v>
      </c>
      <c r="F114" s="87">
        <f>IF(F23=0,0,1000000*F23/TrRoad_act!F63)</f>
        <v>2305.3115581349934</v>
      </c>
      <c r="G114" s="87">
        <f>IF(G23=0,0,1000000*G23/TrRoad_act!G63)</f>
        <v>2009.0199657703811</v>
      </c>
      <c r="H114" s="87">
        <f>IF(H23=0,0,1000000*H23/TrRoad_act!H63)</f>
        <v>1899.9044024572736</v>
      </c>
      <c r="I114" s="87">
        <f>IF(I23=0,0,1000000*I23/TrRoad_act!I63)</f>
        <v>1847.2074885445211</v>
      </c>
      <c r="J114" s="87">
        <f>IF(J23=0,0,1000000*J23/TrRoad_act!J63)</f>
        <v>2130.0551282365054</v>
      </c>
      <c r="K114" s="87">
        <f>IF(K23=0,0,1000000*K23/TrRoad_act!K63)</f>
        <v>2110.3110291148237</v>
      </c>
      <c r="L114" s="87">
        <f>IF(L23=0,0,1000000*L23/TrRoad_act!L63)</f>
        <v>1961.3278699590057</v>
      </c>
      <c r="M114" s="87">
        <f>IF(M23=0,0,1000000*M23/TrRoad_act!M63)</f>
        <v>2018.7776925026201</v>
      </c>
      <c r="N114" s="87">
        <f>IF(N23=0,0,1000000*N23/TrRoad_act!N63)</f>
        <v>2047.9851940867673</v>
      </c>
      <c r="O114" s="87">
        <f>IF(O23=0,0,1000000*O23/TrRoad_act!O63)</f>
        <v>2245.7810233728978</v>
      </c>
      <c r="P114" s="87">
        <f>IF(P23=0,0,1000000*P23/TrRoad_act!P63)</f>
        <v>2174.0596805340642</v>
      </c>
      <c r="Q114" s="87">
        <f>IF(Q23=0,0,1000000*Q23/TrRoad_act!Q63)</f>
        <v>2200.619704151567</v>
      </c>
      <c r="R114" s="87">
        <f>IF(R23=0,0,1000000*R23/TrRoad_act!R63)</f>
        <v>2044.7722824593213</v>
      </c>
      <c r="S114" s="87">
        <f>IF(S23=0,0,1000000*S23/TrRoad_act!S63)</f>
        <v>2055.6634771068557</v>
      </c>
      <c r="T114" s="87">
        <f>IF(T23=0,0,1000000*T23/TrRoad_act!T63)</f>
        <v>1906.3166675214443</v>
      </c>
      <c r="U114" s="87">
        <f>IF(U23=0,0,1000000*U23/TrRoad_act!U63)</f>
        <v>1877.0297427193004</v>
      </c>
      <c r="V114" s="87">
        <f>IF(V23=0,0,1000000*V23/TrRoad_act!V63)</f>
        <v>1497.3934103298923</v>
      </c>
      <c r="W114" s="87">
        <f>IF(W23=0,0,1000000*W23/TrRoad_act!W63)</f>
        <v>1580.8715379788816</v>
      </c>
      <c r="X114" s="87">
        <f>IF(X23=0,0,1000000*X23/TrRoad_act!X63)</f>
        <v>1713.5226255509751</v>
      </c>
      <c r="Y114" s="87">
        <f>IF(Y23=0,0,1000000*Y23/TrRoad_act!Y63)</f>
        <v>1686.1946526947199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2524.74919554696</v>
      </c>
      <c r="C115" s="87">
        <f>IF(C24=0,0,1000000*C24/TrRoad_act!C64)</f>
        <v>2457.2561626180277</v>
      </c>
      <c r="D115" s="87">
        <f>IF(D24=0,0,1000000*D24/TrRoad_act!D64)</f>
        <v>2406.1158085065304</v>
      </c>
      <c r="E115" s="87">
        <f>IF(E24=0,0,1000000*E24/TrRoad_act!E64)</f>
        <v>2374.0696564782234</v>
      </c>
      <c r="F115" s="87">
        <f>IF(F24=0,0,1000000*F24/TrRoad_act!F64)</f>
        <v>2468.5995577953731</v>
      </c>
      <c r="G115" s="87">
        <f>IF(G24=0,0,1000000*G24/TrRoad_act!G64)</f>
        <v>2330.5736322495291</v>
      </c>
      <c r="H115" s="87">
        <f>IF(H24=0,0,1000000*H24/TrRoad_act!H64)</f>
        <v>2344.2407612797551</v>
      </c>
      <c r="I115" s="87">
        <f>IF(I24=0,0,1000000*I24/TrRoad_act!I64)</f>
        <v>2275.326997820875</v>
      </c>
      <c r="J115" s="87">
        <f>IF(J24=0,0,1000000*J24/TrRoad_act!J64)</f>
        <v>2192.109925716441</v>
      </c>
      <c r="K115" s="87">
        <f>IF(K24=0,0,1000000*K24/TrRoad_act!K64)</f>
        <v>1996.5317961599865</v>
      </c>
      <c r="L115" s="87">
        <f>IF(L24=0,0,1000000*L24/TrRoad_act!L64)</f>
        <v>2063.6608621267474</v>
      </c>
      <c r="M115" s="87">
        <f>IF(M24=0,0,1000000*M24/TrRoad_act!M64)</f>
        <v>1988.9881974006316</v>
      </c>
      <c r="N115" s="87">
        <f>IF(N24=0,0,1000000*N24/TrRoad_act!N64)</f>
        <v>1854.3419453658171</v>
      </c>
      <c r="O115" s="87">
        <f>IF(O24=0,0,1000000*O24/TrRoad_act!O64)</f>
        <v>1855.2128132127866</v>
      </c>
      <c r="P115" s="87">
        <f>IF(P24=0,0,1000000*P24/TrRoad_act!P64)</f>
        <v>1909.0200904744324</v>
      </c>
      <c r="Q115" s="87">
        <f>IF(Q24=0,0,1000000*Q24/TrRoad_act!Q64)</f>
        <v>1895.0634886612377</v>
      </c>
      <c r="R115" s="87">
        <f>IF(R24=0,0,1000000*R24/TrRoad_act!R64)</f>
        <v>1909.2652026489163</v>
      </c>
      <c r="S115" s="87">
        <f>IF(S24=0,0,1000000*S24/TrRoad_act!S64)</f>
        <v>1738.7004875078071</v>
      </c>
      <c r="T115" s="87">
        <f>IF(T24=0,0,1000000*T24/TrRoad_act!T64)</f>
        <v>1584.9648454731512</v>
      </c>
      <c r="U115" s="87">
        <f>IF(U24=0,0,1000000*U24/TrRoad_act!U64)</f>
        <v>1867.9161168741907</v>
      </c>
      <c r="V115" s="87">
        <f>IF(V24=0,0,1000000*V24/TrRoad_act!V64)</f>
        <v>1483.0043507258717</v>
      </c>
      <c r="W115" s="87">
        <f>IF(W24=0,0,1000000*W24/TrRoad_act!W64)</f>
        <v>1551.2843498534364</v>
      </c>
      <c r="X115" s="87">
        <f>IF(X24=0,0,1000000*X24/TrRoad_act!X64)</f>
        <v>1294.3822915231494</v>
      </c>
      <c r="Y115" s="87">
        <f>IF(Y24=0,0,1000000*Y24/TrRoad_act!Y64)</f>
        <v>1261.5960538802108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696.34393761776187</v>
      </c>
      <c r="O116" s="87">
        <f>IF(O25=0,0,1000000*O25/TrRoad_act!O65)</f>
        <v>850.60336214361996</v>
      </c>
      <c r="P116" s="87">
        <f>IF(P25=0,0,1000000*P25/TrRoad_act!P65)</f>
        <v>968.79298645657627</v>
      </c>
      <c r="Q116" s="87">
        <f>IF(Q25=0,0,1000000*Q25/TrRoad_act!Q65)</f>
        <v>1017.819623573227</v>
      </c>
      <c r="R116" s="87">
        <f>IF(R25=0,0,1000000*R25/TrRoad_act!R65)</f>
        <v>929.83208818230878</v>
      </c>
      <c r="S116" s="87">
        <f>IF(S25=0,0,1000000*S25/TrRoad_act!S65)</f>
        <v>967.98569694548644</v>
      </c>
      <c r="T116" s="87">
        <f>IF(T25=0,0,1000000*T25/TrRoad_act!T65)</f>
        <v>1006.9169520527054</v>
      </c>
      <c r="U116" s="87">
        <f>IF(U25=0,0,1000000*U25/TrRoad_act!U65)</f>
        <v>951.95968935499116</v>
      </c>
      <c r="V116" s="87">
        <f>IF(V25=0,0,1000000*V25/TrRoad_act!V65)</f>
        <v>594.51235314186567</v>
      </c>
      <c r="W116" s="87">
        <f>IF(W25=0,0,1000000*W25/TrRoad_act!W65)</f>
        <v>575.39061580419536</v>
      </c>
      <c r="X116" s="87">
        <f>IF(X25=0,0,1000000*X25/TrRoad_act!X65)</f>
        <v>560.08874004647498</v>
      </c>
      <c r="Y116" s="87">
        <f>IF(Y25=0,0,1000000*Y25/TrRoad_act!Y65)</f>
        <v>496.97325265108435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74753.951433785274</v>
      </c>
      <c r="C118" s="116">
        <f>IF(C27=0,0,1000000*C27/TrRoad_act!C67)</f>
        <v>73597.377716324656</v>
      </c>
      <c r="D118" s="116">
        <f>IF(D27=0,0,1000000*D27/TrRoad_act!D67)</f>
        <v>72610.820745376943</v>
      </c>
      <c r="E118" s="116">
        <f>IF(E27=0,0,1000000*E27/TrRoad_act!E67)</f>
        <v>71814.667430578309</v>
      </c>
      <c r="F118" s="116">
        <f>IF(F27=0,0,1000000*F27/TrRoad_act!F67)</f>
        <v>71465.222135441974</v>
      </c>
      <c r="G118" s="116">
        <f>IF(G27=0,0,1000000*G27/TrRoad_act!G67)</f>
        <v>70597.911403112157</v>
      </c>
      <c r="H118" s="116">
        <f>IF(H27=0,0,1000000*H27/TrRoad_act!H67)</f>
        <v>70023.946595251065</v>
      </c>
      <c r="I118" s="116">
        <f>IF(I27=0,0,1000000*I27/TrRoad_act!I67)</f>
        <v>69567.446809053043</v>
      </c>
      <c r="J118" s="116">
        <f>IF(J27=0,0,1000000*J27/TrRoad_act!J67)</f>
        <v>67672.727645097591</v>
      </c>
      <c r="K118" s="116">
        <f>IF(K27=0,0,1000000*K27/TrRoad_act!K67)</f>
        <v>66235.147896346883</v>
      </c>
      <c r="L118" s="116">
        <f>IF(L27=0,0,1000000*L27/TrRoad_act!L67)</f>
        <v>66698.709881570539</v>
      </c>
      <c r="M118" s="116">
        <f>IF(M27=0,0,1000000*M27/TrRoad_act!M67)</f>
        <v>67662.299009562135</v>
      </c>
      <c r="N118" s="116">
        <f>IF(N27=0,0,1000000*N27/TrRoad_act!N67)</f>
        <v>66519.277464379134</v>
      </c>
      <c r="O118" s="116">
        <f>IF(O27=0,0,1000000*O27/TrRoad_act!O67)</f>
        <v>67607.871768885059</v>
      </c>
      <c r="P118" s="116">
        <f>IF(P27=0,0,1000000*P27/TrRoad_act!P67)</f>
        <v>69113.687206101473</v>
      </c>
      <c r="Q118" s="116">
        <f>IF(Q27=0,0,1000000*Q27/TrRoad_act!Q67)</f>
        <v>70726.557919367639</v>
      </c>
      <c r="R118" s="116">
        <f>IF(R27=0,0,1000000*R27/TrRoad_act!R67)</f>
        <v>70843.009439531888</v>
      </c>
      <c r="S118" s="116">
        <f>IF(S27=0,0,1000000*S27/TrRoad_act!S67)</f>
        <v>70180.284022277556</v>
      </c>
      <c r="T118" s="116">
        <f>IF(T27=0,0,1000000*T27/TrRoad_act!T67)</f>
        <v>67106.751305022073</v>
      </c>
      <c r="U118" s="116">
        <f>IF(U27=0,0,1000000*U27/TrRoad_act!U67)</f>
        <v>69977.790064622488</v>
      </c>
      <c r="V118" s="116">
        <f>IF(V27=0,0,1000000*V27/TrRoad_act!V67)</f>
        <v>67715.856924132429</v>
      </c>
      <c r="W118" s="116">
        <f>IF(W27=0,0,1000000*W27/TrRoad_act!W67)</f>
        <v>69526.935744220784</v>
      </c>
      <c r="X118" s="116">
        <f>IF(X27=0,0,1000000*X27/TrRoad_act!X67)</f>
        <v>67208.861610290813</v>
      </c>
      <c r="Y118" s="116">
        <f>IF(Y27=0,0,1000000*Y27/TrRoad_act!Y67)</f>
        <v>64945.16370197387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5155.5029101597447</v>
      </c>
      <c r="C119" s="101">
        <f>IF(C28=0,0,1000000*C28/TrRoad_act!C68)</f>
        <v>5075.904640286316</v>
      </c>
      <c r="D119" s="101">
        <f>IF(D28=0,0,1000000*D28/TrRoad_act!D68)</f>
        <v>4953.9877249270166</v>
      </c>
      <c r="E119" s="101">
        <f>IF(E28=0,0,1000000*E28/TrRoad_act!E68)</f>
        <v>4864.2676400339678</v>
      </c>
      <c r="F119" s="101">
        <f>IF(F28=0,0,1000000*F28/TrRoad_act!F68)</f>
        <v>4834.1895167285647</v>
      </c>
      <c r="G119" s="101">
        <f>IF(G28=0,0,1000000*G28/TrRoad_act!G68)</f>
        <v>4718.259656604725</v>
      </c>
      <c r="H119" s="101">
        <f>IF(H28=0,0,1000000*H28/TrRoad_act!H68)</f>
        <v>4645.9984223990741</v>
      </c>
      <c r="I119" s="101">
        <f>IF(I28=0,0,1000000*I28/TrRoad_act!I68)</f>
        <v>4512.1602443335241</v>
      </c>
      <c r="J119" s="101">
        <f>IF(J28=0,0,1000000*J28/TrRoad_act!J68)</f>
        <v>4463.6657589325941</v>
      </c>
      <c r="K119" s="101">
        <f>IF(K28=0,0,1000000*K28/TrRoad_act!K68)</f>
        <v>4524.3124616839186</v>
      </c>
      <c r="L119" s="101">
        <f>IF(L28=0,0,1000000*L28/TrRoad_act!L68)</f>
        <v>4657.1287181389753</v>
      </c>
      <c r="M119" s="101">
        <f>IF(M28=0,0,1000000*M28/TrRoad_act!M68)</f>
        <v>4763.0655369890728</v>
      </c>
      <c r="N119" s="101">
        <f>IF(N28=0,0,1000000*N28/TrRoad_act!N68)</f>
        <v>4737.7941463929883</v>
      </c>
      <c r="O119" s="101">
        <f>IF(O28=0,0,1000000*O28/TrRoad_act!O68)</f>
        <v>4366.6997410773592</v>
      </c>
      <c r="P119" s="101">
        <f>IF(P28=0,0,1000000*P28/TrRoad_act!P68)</f>
        <v>4280.0096539698743</v>
      </c>
      <c r="Q119" s="101">
        <f>IF(Q28=0,0,1000000*Q28/TrRoad_act!Q68)</f>
        <v>4395.6815357652886</v>
      </c>
      <c r="R119" s="101">
        <f>IF(R28=0,0,1000000*R28/TrRoad_act!R68)</f>
        <v>4299.8959323734107</v>
      </c>
      <c r="S119" s="101">
        <f>IF(S28=0,0,1000000*S28/TrRoad_act!S68)</f>
        <v>4154.905272033282</v>
      </c>
      <c r="T119" s="101">
        <f>IF(T28=0,0,1000000*T28/TrRoad_act!T68)</f>
        <v>4042.8126618116967</v>
      </c>
      <c r="U119" s="101">
        <f>IF(U28=0,0,1000000*U28/TrRoad_act!U68)</f>
        <v>3871.3495515754325</v>
      </c>
      <c r="V119" s="101">
        <f>IF(V28=0,0,1000000*V28/TrRoad_act!V68)</f>
        <v>3778.2560976495174</v>
      </c>
      <c r="W119" s="101">
        <f>IF(W28=0,0,1000000*W28/TrRoad_act!W68)</f>
        <v>3691.0364739459942</v>
      </c>
      <c r="X119" s="101">
        <f>IF(X28=0,0,1000000*X28/TrRoad_act!X68)</f>
        <v>3605.0774069550989</v>
      </c>
      <c r="Y119" s="101">
        <f>IF(Y28=0,0,1000000*Y28/TrRoad_act!Y68)</f>
        <v>3488.0028382261021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76159.582718139834</v>
      </c>
      <c r="C120" s="101">
        <f>IF(C29=0,0,1000000*C29/TrRoad_act!C69)</f>
        <v>74894.613982326293</v>
      </c>
      <c r="D120" s="101">
        <f>IF(D29=0,0,1000000*D29/TrRoad_act!D69)</f>
        <v>73788.763871665185</v>
      </c>
      <c r="E120" s="101">
        <f>IF(E29=0,0,1000000*E29/TrRoad_act!E69)</f>
        <v>73121.186210174637</v>
      </c>
      <c r="F120" s="101">
        <f>IF(F29=0,0,1000000*F29/TrRoad_act!F69)</f>
        <v>72692.08902158447</v>
      </c>
      <c r="G120" s="101">
        <f>IF(G29=0,0,1000000*G29/TrRoad_act!G69)</f>
        <v>72081.13932270222</v>
      </c>
      <c r="H120" s="101">
        <f>IF(H29=0,0,1000000*H29/TrRoad_act!H69)</f>
        <v>71910.511539357132</v>
      </c>
      <c r="I120" s="101">
        <f>IF(I29=0,0,1000000*I29/TrRoad_act!I69)</f>
        <v>71451.604944505467</v>
      </c>
      <c r="J120" s="101">
        <f>IF(J29=0,0,1000000*J29/TrRoad_act!J69)</f>
        <v>69235.786509606492</v>
      </c>
      <c r="K120" s="101">
        <f>IF(K29=0,0,1000000*K29/TrRoad_act!K69)</f>
        <v>68168.971410729937</v>
      </c>
      <c r="L120" s="101">
        <f>IF(L29=0,0,1000000*L29/TrRoad_act!L69)</f>
        <v>68710.253413714803</v>
      </c>
      <c r="M120" s="101">
        <f>IF(M29=0,0,1000000*M29/TrRoad_act!M69)</f>
        <v>68955.447597687307</v>
      </c>
      <c r="N120" s="101">
        <f>IF(N29=0,0,1000000*N29/TrRoad_act!N69)</f>
        <v>67325.515012549295</v>
      </c>
      <c r="O120" s="101">
        <f>IF(O29=0,0,1000000*O29/TrRoad_act!O69)</f>
        <v>68998.012844761659</v>
      </c>
      <c r="P120" s="101">
        <f>IF(P29=0,0,1000000*P29/TrRoad_act!P69)</f>
        <v>70643.996569634837</v>
      </c>
      <c r="Q120" s="101">
        <f>IF(Q29=0,0,1000000*Q29/TrRoad_act!Q69)</f>
        <v>72084.038319520871</v>
      </c>
      <c r="R120" s="101">
        <f>IF(R29=0,0,1000000*R29/TrRoad_act!R69)</f>
        <v>73215.030617131779</v>
      </c>
      <c r="S120" s="101">
        <f>IF(S29=0,0,1000000*S29/TrRoad_act!S69)</f>
        <v>72503.848876522286</v>
      </c>
      <c r="T120" s="101">
        <f>IF(T29=0,0,1000000*T29/TrRoad_act!T69)</f>
        <v>71253.111729386379</v>
      </c>
      <c r="U120" s="101">
        <f>IF(U29=0,0,1000000*U29/TrRoad_act!U69)</f>
        <v>72760.480604685887</v>
      </c>
      <c r="V120" s="101">
        <f>IF(V29=0,0,1000000*V29/TrRoad_act!V69)</f>
        <v>71526.31589232519</v>
      </c>
      <c r="W120" s="101">
        <f>IF(W29=0,0,1000000*W29/TrRoad_act!W69)</f>
        <v>70974.346793069955</v>
      </c>
      <c r="X120" s="101">
        <f>IF(X29=0,0,1000000*X29/TrRoad_act!X69)</f>
        <v>71193.432402845952</v>
      </c>
      <c r="Y120" s="101">
        <f>IF(Y29=0,0,1000000*Y29/TrRoad_act!Y69)</f>
        <v>69990.645499001228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34286.575915661801</v>
      </c>
      <c r="C121" s="101">
        <f>IF(C30=0,0,1000000*C30/TrRoad_act!C70)</f>
        <v>33927.60855685058</v>
      </c>
      <c r="D121" s="101">
        <f>IF(D30=0,0,1000000*D30/TrRoad_act!D70)</f>
        <v>33754.464207977573</v>
      </c>
      <c r="E121" s="101">
        <f>IF(E30=0,0,1000000*E30/TrRoad_act!E70)</f>
        <v>33309.535497657351</v>
      </c>
      <c r="F121" s="101">
        <f>IF(F30=0,0,1000000*F30/TrRoad_act!F70)</f>
        <v>32988.40187633274</v>
      </c>
      <c r="G121" s="101">
        <f>IF(G30=0,0,1000000*G30/TrRoad_act!G70)</f>
        <v>32585.845494424229</v>
      </c>
      <c r="H121" s="101">
        <f>IF(H30=0,0,1000000*H30/TrRoad_act!H70)</f>
        <v>32695.011831452102</v>
      </c>
      <c r="I121" s="101">
        <f>IF(I30=0,0,1000000*I30/TrRoad_act!I70)</f>
        <v>32494.34123259144</v>
      </c>
      <c r="J121" s="101">
        <f>IF(J30=0,0,1000000*J30/TrRoad_act!J70)</f>
        <v>32179.009187697673</v>
      </c>
      <c r="K121" s="101">
        <f>IF(K30=0,0,1000000*K30/TrRoad_act!K70)</f>
        <v>32428.291709324516</v>
      </c>
      <c r="L121" s="101">
        <f>IF(L30=0,0,1000000*L30/TrRoad_act!L70)</f>
        <v>33119.716771995605</v>
      </c>
      <c r="M121" s="101">
        <f>IF(M30=0,0,1000000*M30/TrRoad_act!M70)</f>
        <v>33380.656983052242</v>
      </c>
      <c r="N121" s="101">
        <f>IF(N30=0,0,1000000*N30/TrRoad_act!N70)</f>
        <v>32632.486175436989</v>
      </c>
      <c r="O121" s="101">
        <f>IF(O30=0,0,1000000*O30/TrRoad_act!O70)</f>
        <v>33174.787229690504</v>
      </c>
      <c r="P121" s="101">
        <f>IF(P30=0,0,1000000*P30/TrRoad_act!P70)</f>
        <v>33660.439109219551</v>
      </c>
      <c r="Q121" s="101">
        <f>IF(Q30=0,0,1000000*Q30/TrRoad_act!Q70)</f>
        <v>35934.726117886814</v>
      </c>
      <c r="R121" s="101">
        <f>IF(R30=0,0,1000000*R30/TrRoad_act!R70)</f>
        <v>35556.165440593606</v>
      </c>
      <c r="S121" s="101">
        <f>IF(S30=0,0,1000000*S30/TrRoad_act!S70)</f>
        <v>35208.502291371668</v>
      </c>
      <c r="T121" s="101">
        <f>IF(T30=0,0,1000000*T30/TrRoad_act!T70)</f>
        <v>34969.003113272331</v>
      </c>
      <c r="U121" s="101">
        <f>IF(U30=0,0,1000000*U30/TrRoad_act!U70)</f>
        <v>35404.562535087665</v>
      </c>
      <c r="V121" s="101">
        <f>IF(V30=0,0,1000000*V30/TrRoad_act!V70)</f>
        <v>35358.915118937519</v>
      </c>
      <c r="W121" s="101">
        <f>IF(W30=0,0,1000000*W30/TrRoad_act!W70)</f>
        <v>35377.813138423211</v>
      </c>
      <c r="X121" s="101">
        <f>IF(X30=0,0,1000000*X30/TrRoad_act!X70)</f>
        <v>35477.624752615462</v>
      </c>
      <c r="Y121" s="101">
        <f>IF(Y30=0,0,1000000*Y30/TrRoad_act!Y70)</f>
        <v>35476.52972177937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5365.5079512759285</v>
      </c>
      <c r="C122" s="101">
        <f>IF(C31=0,0,1000000*C31/TrRoad_act!C71)</f>
        <v>4971.7423627180133</v>
      </c>
      <c r="D122" s="101">
        <f>IF(D31=0,0,1000000*D31/TrRoad_act!D71)</f>
        <v>4657.5354250634437</v>
      </c>
      <c r="E122" s="101">
        <f>IF(E31=0,0,1000000*E31/TrRoad_act!E71)</f>
        <v>4525.1173485265517</v>
      </c>
      <c r="F122" s="101">
        <f>IF(F31=0,0,1000000*F31/TrRoad_act!F71)</f>
        <v>4676.0093992446937</v>
      </c>
      <c r="G122" s="101">
        <f>IF(G31=0,0,1000000*G31/TrRoad_act!G71)</f>
        <v>5079.3759301666814</v>
      </c>
      <c r="H122" s="101">
        <f>IF(H31=0,0,1000000*H31/TrRoad_act!H71)</f>
        <v>5361.5784978699567</v>
      </c>
      <c r="I122" s="101">
        <f>IF(I31=0,0,1000000*I31/TrRoad_act!I71)</f>
        <v>16711.199829767742</v>
      </c>
      <c r="J122" s="101">
        <f>IF(J31=0,0,1000000*J31/TrRoad_act!J71)</f>
        <v>33462.466543417424</v>
      </c>
      <c r="K122" s="101">
        <f>IF(K31=0,0,1000000*K31/TrRoad_act!K71)</f>
        <v>25419.00513924675</v>
      </c>
      <c r="L122" s="101">
        <f>IF(L31=0,0,1000000*L31/TrRoad_act!L71)</f>
        <v>26626.07506780426</v>
      </c>
      <c r="M122" s="101">
        <f>IF(M31=0,0,1000000*M31/TrRoad_act!M71)</f>
        <v>47566.701766756763</v>
      </c>
      <c r="N122" s="101">
        <f>IF(N31=0,0,1000000*N31/TrRoad_act!N71)</f>
        <v>59560.575910294509</v>
      </c>
      <c r="O122" s="101">
        <f>IF(O31=0,0,1000000*O31/TrRoad_act!O71)</f>
        <v>64389.466671184899</v>
      </c>
      <c r="P122" s="101">
        <f>IF(P31=0,0,1000000*P31/TrRoad_act!P71)</f>
        <v>55259.0336631514</v>
      </c>
      <c r="Q122" s="101">
        <f>IF(Q31=0,0,1000000*Q31/TrRoad_act!Q71)</f>
        <v>60497.416212884484</v>
      </c>
      <c r="R122" s="101">
        <f>IF(R31=0,0,1000000*R31/TrRoad_act!R71)</f>
        <v>34229.396309932185</v>
      </c>
      <c r="S122" s="101">
        <f>IF(S31=0,0,1000000*S31/TrRoad_act!S71)</f>
        <v>39523.173074002807</v>
      </c>
      <c r="T122" s="101">
        <f>IF(T31=0,0,1000000*T31/TrRoad_act!T71)</f>
        <v>35261.418832189695</v>
      </c>
      <c r="U122" s="101">
        <f>IF(U31=0,0,1000000*U31/TrRoad_act!U71)</f>
        <v>41527.369112075314</v>
      </c>
      <c r="V122" s="101">
        <f>IF(V31=0,0,1000000*V31/TrRoad_act!V71)</f>
        <v>20676.742662106899</v>
      </c>
      <c r="W122" s="101">
        <f>IF(W31=0,0,1000000*W31/TrRoad_act!W71)</f>
        <v>68677.188520578289</v>
      </c>
      <c r="X122" s="101">
        <f>IF(X31=0,0,1000000*X31/TrRoad_act!X71)</f>
        <v>24890.241755364117</v>
      </c>
      <c r="Y122" s="101">
        <f>IF(Y31=0,0,1000000*Y31/TrRoad_act!Y71)</f>
        <v>15703.012177381612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8550.0281460345504</v>
      </c>
      <c r="C125" s="152">
        <f>IF(C34=0,0,1000000*C34/TrRoad_act!C74)</f>
        <v>7251.1346790243224</v>
      </c>
      <c r="D125" s="152">
        <f>IF(D34=0,0,1000000*D34/TrRoad_act!D74)</f>
        <v>6676.3484402225195</v>
      </c>
      <c r="E125" s="152">
        <f>IF(E34=0,0,1000000*E34/TrRoad_act!E74)</f>
        <v>6629.0877892860035</v>
      </c>
      <c r="F125" s="152">
        <f>IF(F34=0,0,1000000*F34/TrRoad_act!F74)</f>
        <v>6764.9979933621225</v>
      </c>
      <c r="G125" s="152">
        <f>IF(G34=0,0,1000000*G34/TrRoad_act!G74)</f>
        <v>6927.1450468924495</v>
      </c>
      <c r="H125" s="152">
        <f>IF(H34=0,0,1000000*H34/TrRoad_act!H74)</f>
        <v>5727.0956904902105</v>
      </c>
      <c r="I125" s="152">
        <f>IF(I34=0,0,1000000*I34/TrRoad_act!I74)</f>
        <v>5891.2844675935776</v>
      </c>
      <c r="J125" s="152">
        <f>IF(J34=0,0,1000000*J34/TrRoad_act!J74)</f>
        <v>5486.5567372126279</v>
      </c>
      <c r="K125" s="152">
        <f>IF(K34=0,0,1000000*K34/TrRoad_act!K74)</f>
        <v>5151.6450354256303</v>
      </c>
      <c r="L125" s="152">
        <f>IF(L34=0,0,1000000*L34/TrRoad_act!L74)</f>
        <v>5344.0952668930404</v>
      </c>
      <c r="M125" s="152">
        <f>IF(M34=0,0,1000000*M34/TrRoad_act!M74)</f>
        <v>5375.5477214335033</v>
      </c>
      <c r="N125" s="152">
        <f>IF(N34=0,0,1000000*N34/TrRoad_act!N74)</f>
        <v>4687.9873825373388</v>
      </c>
      <c r="O125" s="152">
        <f>IF(O34=0,0,1000000*O34/TrRoad_act!O74)</f>
        <v>4106.0874035805982</v>
      </c>
      <c r="P125" s="152">
        <f>IF(P34=0,0,1000000*P34/TrRoad_act!P74)</f>
        <v>4204.0358092173892</v>
      </c>
      <c r="Q125" s="152">
        <f>IF(Q34=0,0,1000000*Q34/TrRoad_act!Q74)</f>
        <v>3307.9086855493551</v>
      </c>
      <c r="R125" s="152">
        <f>IF(R34=0,0,1000000*R34/TrRoad_act!R74)</f>
        <v>3029.3469434141834</v>
      </c>
      <c r="S125" s="152">
        <f>IF(S34=0,0,1000000*S34/TrRoad_act!S74)</f>
        <v>2980.5448451095108</v>
      </c>
      <c r="T125" s="152">
        <f>IF(T34=0,0,1000000*T34/TrRoad_act!T74)</f>
        <v>3009.0837506339508</v>
      </c>
      <c r="U125" s="152">
        <f>IF(U34=0,0,1000000*U34/TrRoad_act!U74)</f>
        <v>3022.6629755357494</v>
      </c>
      <c r="V125" s="152">
        <f>IF(V34=0,0,1000000*V34/TrRoad_act!V74)</f>
        <v>2844.9627134129564</v>
      </c>
      <c r="W125" s="152">
        <f>IF(W34=0,0,1000000*W34/TrRoad_act!W74)</f>
        <v>3400.371015397825</v>
      </c>
      <c r="X125" s="152">
        <f>IF(X34=0,0,1000000*X34/TrRoad_act!X74)</f>
        <v>2953.5431791151163</v>
      </c>
      <c r="Y125" s="152">
        <f>IF(Y34=0,0,1000000*Y34/TrRoad_act!Y74)</f>
        <v>2620.4424808866966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3381.6586823624707</v>
      </c>
      <c r="C126" s="87">
        <f>IF(C35=0,0,1000000*C35/TrRoad_act!C75)</f>
        <v>3256.1184033110335</v>
      </c>
      <c r="D126" s="87">
        <f>IF(D35=0,0,1000000*D35/TrRoad_act!D75)</f>
        <v>3120.771681046544</v>
      </c>
      <c r="E126" s="87">
        <f>IF(E35=0,0,1000000*E35/TrRoad_act!E75)</f>
        <v>3015.4301639828614</v>
      </c>
      <c r="F126" s="87">
        <f>IF(F35=0,0,1000000*F35/TrRoad_act!F75)</f>
        <v>2950.5260441561941</v>
      </c>
      <c r="G126" s="87">
        <f>IF(G35=0,0,1000000*G35/TrRoad_act!G75)</f>
        <v>2866.8653190713221</v>
      </c>
      <c r="H126" s="87">
        <f>IF(H35=0,0,1000000*H35/TrRoad_act!H75)</f>
        <v>2750.285824681006</v>
      </c>
      <c r="I126" s="87">
        <f>IF(I35=0,0,1000000*I35/TrRoad_act!I75)</f>
        <v>2709.1704934773375</v>
      </c>
      <c r="J126" s="87">
        <f>IF(J35=0,0,1000000*J35/TrRoad_act!J75)</f>
        <v>2642.5799843112054</v>
      </c>
      <c r="K126" s="87">
        <f>IF(K35=0,0,1000000*K35/TrRoad_act!K75)</f>
        <v>2587.7363163092546</v>
      </c>
      <c r="L126" s="87">
        <f>IF(L35=0,0,1000000*L35/TrRoad_act!L75)</f>
        <v>2603.1577803555151</v>
      </c>
      <c r="M126" s="87">
        <f>IF(M35=0,0,1000000*M35/TrRoad_act!M75)</f>
        <v>2582.0660911180707</v>
      </c>
      <c r="N126" s="87">
        <f>IF(N35=0,0,1000000*N35/TrRoad_act!N75)</f>
        <v>2488.469070192863</v>
      </c>
      <c r="O126" s="87">
        <f>IF(O35=0,0,1000000*O35/TrRoad_act!O75)</f>
        <v>2414.3620843609879</v>
      </c>
      <c r="P126" s="87">
        <f>IF(P35=0,0,1000000*P35/TrRoad_act!P75)</f>
        <v>2379.6744212998519</v>
      </c>
      <c r="Q126" s="87">
        <f>IF(Q35=0,0,1000000*Q35/TrRoad_act!Q75)</f>
        <v>2268.1359245856606</v>
      </c>
      <c r="R126" s="87">
        <f>IF(R35=0,0,1000000*R35/TrRoad_act!R75)</f>
        <v>2250.1893862892612</v>
      </c>
      <c r="S126" s="87">
        <f>IF(S35=0,0,1000000*S35/TrRoad_act!S75)</f>
        <v>2213.2771950178553</v>
      </c>
      <c r="T126" s="87">
        <f>IF(T35=0,0,1000000*T35/TrRoad_act!T75)</f>
        <v>2183.5659974770233</v>
      </c>
      <c r="U126" s="87">
        <f>IF(U35=0,0,1000000*U35/TrRoad_act!U75)</f>
        <v>2168.8351248696626</v>
      </c>
      <c r="V126" s="87">
        <f>IF(V35=0,0,1000000*V35/TrRoad_act!V75)</f>
        <v>2149.1541253981291</v>
      </c>
      <c r="W126" s="87">
        <f>IF(W35=0,0,1000000*W35/TrRoad_act!W75)</f>
        <v>2159.0720194414207</v>
      </c>
      <c r="X126" s="87">
        <f>IF(X35=0,0,1000000*X35/TrRoad_act!X75)</f>
        <v>2122.5045119018496</v>
      </c>
      <c r="Y126" s="87">
        <f>IF(Y35=0,0,1000000*Y35/TrRoad_act!Y75)</f>
        <v>2074.6161150638595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9127.3568909624428</v>
      </c>
      <c r="C127" s="87">
        <f>IF(C36=0,0,1000000*C36/TrRoad_act!C76)</f>
        <v>7690.4301870628515</v>
      </c>
      <c r="D127" s="87">
        <f>IF(D36=0,0,1000000*D36/TrRoad_act!D76)</f>
        <v>7061.9570010513444</v>
      </c>
      <c r="E127" s="87">
        <f>IF(E36=0,0,1000000*E36/TrRoad_act!E76)</f>
        <v>7016.3676099107679</v>
      </c>
      <c r="F127" s="87">
        <f>IF(F36=0,0,1000000*F36/TrRoad_act!F76)</f>
        <v>7169.3761220716269</v>
      </c>
      <c r="G127" s="87">
        <f>IF(G36=0,0,1000000*G36/TrRoad_act!G76)</f>
        <v>7353.3030756182116</v>
      </c>
      <c r="H127" s="87">
        <f>IF(H36=0,0,1000000*H36/TrRoad_act!H76)</f>
        <v>6036.7392280541826</v>
      </c>
      <c r="I127" s="87">
        <f>IF(I36=0,0,1000000*I36/TrRoad_act!I76)</f>
        <v>6172.6689293627023</v>
      </c>
      <c r="J127" s="87">
        <f>IF(J36=0,0,1000000*J36/TrRoad_act!J76)</f>
        <v>5733.0583481421554</v>
      </c>
      <c r="K127" s="87">
        <f>IF(K36=0,0,1000000*K36/TrRoad_act!K76)</f>
        <v>5377.4788425570878</v>
      </c>
      <c r="L127" s="87">
        <f>IF(L36=0,0,1000000*L36/TrRoad_act!L76)</f>
        <v>5593.9892674962257</v>
      </c>
      <c r="M127" s="87">
        <f>IF(M36=0,0,1000000*M36/TrRoad_act!M76)</f>
        <v>5634.121194181781</v>
      </c>
      <c r="N127" s="87">
        <f>IF(N36=0,0,1000000*N36/TrRoad_act!N76)</f>
        <v>4897.3264669760983</v>
      </c>
      <c r="O127" s="87">
        <f>IF(O36=0,0,1000000*O36/TrRoad_act!O76)</f>
        <v>4266.7661890407671</v>
      </c>
      <c r="P127" s="87">
        <f>IF(P36=0,0,1000000*P36/TrRoad_act!P76)</f>
        <v>4377.5039380492408</v>
      </c>
      <c r="Q127" s="87">
        <f>IF(Q36=0,0,1000000*Q36/TrRoad_act!Q76)</f>
        <v>3404.6018206130143</v>
      </c>
      <c r="R127" s="87">
        <f>IF(R36=0,0,1000000*R36/TrRoad_act!R76)</f>
        <v>3101.0575853734081</v>
      </c>
      <c r="S127" s="87">
        <f>IF(S36=0,0,1000000*S36/TrRoad_act!S76)</f>
        <v>3052.6480840112358</v>
      </c>
      <c r="T127" s="87">
        <f>IF(T36=0,0,1000000*T36/TrRoad_act!T76)</f>
        <v>3088.3846280949924</v>
      </c>
      <c r="U127" s="87">
        <f>IF(U36=0,0,1000000*U36/TrRoad_act!U76)</f>
        <v>3097.0288425926728</v>
      </c>
      <c r="V127" s="87">
        <f>IF(V36=0,0,1000000*V36/TrRoad_act!V76)</f>
        <v>2906.5206791296887</v>
      </c>
      <c r="W127" s="87">
        <f>IF(W36=0,0,1000000*W36/TrRoad_act!W76)</f>
        <v>3503.4138066569662</v>
      </c>
      <c r="X127" s="87">
        <f>IF(X36=0,0,1000000*X36/TrRoad_act!X76)</f>
        <v>3034.1076729483502</v>
      </c>
      <c r="Y127" s="87">
        <f>IF(Y36=0,0,1000000*Y36/TrRoad_act!Y76)</f>
        <v>2678.8963307257295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3675.5843289009654</v>
      </c>
      <c r="C128" s="87">
        <f>IF(C37=0,0,1000000*C37/TrRoad_act!C77)</f>
        <v>3403.2284616854927</v>
      </c>
      <c r="D128" s="87">
        <f>IF(D37=0,0,1000000*D37/TrRoad_act!D77)</f>
        <v>3163.680915379492</v>
      </c>
      <c r="E128" s="87">
        <f>IF(E37=0,0,1000000*E37/TrRoad_act!E77)</f>
        <v>2978.9691302972119</v>
      </c>
      <c r="F128" s="87">
        <f>IF(F37=0,0,1000000*F37/TrRoad_act!F77)</f>
        <v>2844.1837872200526</v>
      </c>
      <c r="G128" s="87">
        <f>IF(G37=0,0,1000000*G37/TrRoad_act!G77)</f>
        <v>2704.1891133199338</v>
      </c>
      <c r="H128" s="87">
        <f>IF(H37=0,0,1000000*H37/TrRoad_act!H77)</f>
        <v>2457.6652742565689</v>
      </c>
      <c r="I128" s="87">
        <f>IF(I37=0,0,1000000*I37/TrRoad_act!I77)</f>
        <v>2466.1195576066179</v>
      </c>
      <c r="J128" s="87">
        <f>IF(J37=0,0,1000000*J37/TrRoad_act!J77)</f>
        <v>2373.2545828947036</v>
      </c>
      <c r="K128" s="87">
        <f>IF(K37=0,0,1000000*K37/TrRoad_act!K77)</f>
        <v>2256.3110225154051</v>
      </c>
      <c r="L128" s="87">
        <f>IF(L37=0,0,1000000*L37/TrRoad_act!L77)</f>
        <v>2278.9208926576248</v>
      </c>
      <c r="M128" s="87">
        <f>IF(M37=0,0,1000000*M37/TrRoad_act!M77)</f>
        <v>2275.2568394752952</v>
      </c>
      <c r="N128" s="87">
        <f>IF(N37=0,0,1000000*N37/TrRoad_act!N77)</f>
        <v>2082.4081035440922</v>
      </c>
      <c r="O128" s="87">
        <f>IF(O37=0,0,1000000*O37/TrRoad_act!O77)</f>
        <v>1991.2249242276723</v>
      </c>
      <c r="P128" s="87">
        <f>IF(P37=0,0,1000000*P37/TrRoad_act!P77)</f>
        <v>1975.632925035869</v>
      </c>
      <c r="Q128" s="87">
        <f>IF(Q37=0,0,1000000*Q37/TrRoad_act!Q77)</f>
        <v>1830.7253038527178</v>
      </c>
      <c r="R128" s="87">
        <f>IF(R37=0,0,1000000*R37/TrRoad_act!R77)</f>
        <v>1783.5927832461828</v>
      </c>
      <c r="S128" s="87">
        <f>IF(S37=0,0,1000000*S37/TrRoad_act!S77)</f>
        <v>1760.1990832649726</v>
      </c>
      <c r="T128" s="87">
        <f>IF(T37=0,0,1000000*T37/TrRoad_act!T77)</f>
        <v>1754.2757361334559</v>
      </c>
      <c r="U128" s="87">
        <f>IF(U37=0,0,1000000*U37/TrRoad_act!U77)</f>
        <v>1741.8985640033752</v>
      </c>
      <c r="V128" s="87">
        <f>IF(V37=0,0,1000000*V37/TrRoad_act!V77)</f>
        <v>1692.2677692939658</v>
      </c>
      <c r="W128" s="87">
        <f>IF(W37=0,0,1000000*W37/TrRoad_act!W77)</f>
        <v>1822.9279944159441</v>
      </c>
      <c r="X128" s="87">
        <f>IF(X37=0,0,1000000*X37/TrRoad_act!X77)</f>
        <v>1660.9377961027049</v>
      </c>
      <c r="Y128" s="87">
        <f>IF(Y37=0,0,1000000*Y37/TrRoad_act!Y77)</f>
        <v>1634.1751799958295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4747.1391964172681</v>
      </c>
      <c r="C129" s="87">
        <f>IF(C38=0,0,1000000*C38/TrRoad_act!C78)</f>
        <v>4313.3648634736483</v>
      </c>
      <c r="D129" s="87">
        <f>IF(D38=0,0,1000000*D38/TrRoad_act!D78)</f>
        <v>3976.1299248365444</v>
      </c>
      <c r="E129" s="87">
        <f>IF(E38=0,0,1000000*E38/TrRoad_act!E78)</f>
        <v>3726.3999133253565</v>
      </c>
      <c r="F129" s="87">
        <f>IF(F38=0,0,1000000*F38/TrRoad_act!F78)</f>
        <v>3569.5007539896164</v>
      </c>
      <c r="G129" s="87">
        <f>IF(G38=0,0,1000000*G38/TrRoad_act!G78)</f>
        <v>3426.7699116119898</v>
      </c>
      <c r="H129" s="87">
        <f>IF(H38=0,0,1000000*H38/TrRoad_act!H78)</f>
        <v>3236.5435123004195</v>
      </c>
      <c r="I129" s="87">
        <f>IF(I38=0,0,1000000*I38/TrRoad_act!I78)</f>
        <v>3228.7975177084709</v>
      </c>
      <c r="J129" s="87">
        <f>IF(J38=0,0,1000000*J38/TrRoad_act!J78)</f>
        <v>3110.0862997660561</v>
      </c>
      <c r="K129" s="87">
        <f>IF(K38=0,0,1000000*K38/TrRoad_act!K78)</f>
        <v>2805.9063177885896</v>
      </c>
      <c r="L129" s="87">
        <f>IF(L38=0,0,1000000*L38/TrRoad_act!L78)</f>
        <v>2926.0839633198866</v>
      </c>
      <c r="M129" s="87">
        <f>IF(M38=0,0,1000000*M38/TrRoad_act!M78)</f>
        <v>2848.1500526319824</v>
      </c>
      <c r="N129" s="87">
        <f>IF(N38=0,0,1000000*N38/TrRoad_act!N78)</f>
        <v>2716.1765037558184</v>
      </c>
      <c r="O129" s="87">
        <f>IF(O38=0,0,1000000*O38/TrRoad_act!O78)</f>
        <v>2690.7268870914509</v>
      </c>
      <c r="P129" s="87">
        <f>IF(P38=0,0,1000000*P38/TrRoad_act!P78)</f>
        <v>2643.272451961227</v>
      </c>
      <c r="Q129" s="87">
        <f>IF(Q38=0,0,1000000*Q38/TrRoad_act!Q78)</f>
        <v>2562.7687094562866</v>
      </c>
      <c r="R129" s="87">
        <f>IF(R38=0,0,1000000*R38/TrRoad_act!R78)</f>
        <v>2493.3769915647181</v>
      </c>
      <c r="S129" s="87">
        <f>IF(S38=0,0,1000000*S38/TrRoad_act!S78)</f>
        <v>2285.3515349619324</v>
      </c>
      <c r="T129" s="87">
        <f>IF(T38=0,0,1000000*T38/TrRoad_act!T78)</f>
        <v>2115.9308845507935</v>
      </c>
      <c r="U129" s="87">
        <f>IF(U38=0,0,1000000*U38/TrRoad_act!U78)</f>
        <v>2508.6543100043436</v>
      </c>
      <c r="V129" s="87">
        <f>IF(V38=0,0,1000000*V38/TrRoad_act!V78)</f>
        <v>2499.1867927240455</v>
      </c>
      <c r="W129" s="87">
        <f>IF(W38=0,0,1000000*W38/TrRoad_act!W78)</f>
        <v>2859.3324616245795</v>
      </c>
      <c r="X129" s="87">
        <f>IF(X38=0,0,1000000*X38/TrRoad_act!X78)</f>
        <v>2451.8987025069468</v>
      </c>
      <c r="Y129" s="87">
        <f>IF(Y38=0,0,1000000*Y38/TrRoad_act!Y78)</f>
        <v>2454.691600374681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8524.73373111412</v>
      </c>
      <c r="C131" s="116">
        <f>IF(C40=0,0,1000000*C40/TrRoad_act!C80)</f>
        <v>12655.559447656649</v>
      </c>
      <c r="D131" s="116">
        <f>IF(D40=0,0,1000000*D40/TrRoad_act!D80)</f>
        <v>12682.616970687961</v>
      </c>
      <c r="E131" s="116">
        <f>IF(E40=0,0,1000000*E40/TrRoad_act!E80)</f>
        <v>12344.561372011485</v>
      </c>
      <c r="F131" s="116">
        <f>IF(F40=0,0,1000000*F40/TrRoad_act!F80)</f>
        <v>13022.935241049669</v>
      </c>
      <c r="G131" s="116">
        <f>IF(G40=0,0,1000000*G40/TrRoad_act!G80)</f>
        <v>13750.412070076747</v>
      </c>
      <c r="H131" s="116">
        <f>IF(H40=0,0,1000000*H40/TrRoad_act!H80)</f>
        <v>15445.352374587599</v>
      </c>
      <c r="I131" s="116">
        <f>IF(I40=0,0,1000000*I40/TrRoad_act!I80)</f>
        <v>15188.297223612002</v>
      </c>
      <c r="J131" s="116">
        <f>IF(J40=0,0,1000000*J40/TrRoad_act!J80)</f>
        <v>11518.313429502992</v>
      </c>
      <c r="K131" s="116">
        <f>IF(K40=0,0,1000000*K40/TrRoad_act!K80)</f>
        <v>8470.4359981534071</v>
      </c>
      <c r="L131" s="116">
        <f>IF(L40=0,0,1000000*L40/TrRoad_act!L80)</f>
        <v>8017.8246414643481</v>
      </c>
      <c r="M131" s="116">
        <f>IF(M40=0,0,1000000*M40/TrRoad_act!M80)</f>
        <v>8784.8346627170522</v>
      </c>
      <c r="N131" s="116">
        <f>IF(N40=0,0,1000000*N40/TrRoad_act!N80)</f>
        <v>10767.101408838753</v>
      </c>
      <c r="O131" s="116">
        <f>IF(O40=0,0,1000000*O40/TrRoad_act!O80)</f>
        <v>9023.8881622047829</v>
      </c>
      <c r="P131" s="116">
        <f>IF(P40=0,0,1000000*P40/TrRoad_act!P80)</f>
        <v>9013.6689777744414</v>
      </c>
      <c r="Q131" s="116">
        <f>IF(Q40=0,0,1000000*Q40/TrRoad_act!Q80)</f>
        <v>9811.4271949122976</v>
      </c>
      <c r="R131" s="116">
        <f>IF(R40=0,0,1000000*R40/TrRoad_act!R80)</f>
        <v>9158.9933632784796</v>
      </c>
      <c r="S131" s="116">
        <f>IF(S40=0,0,1000000*S40/TrRoad_act!S80)</f>
        <v>5823.4175422783728</v>
      </c>
      <c r="T131" s="116">
        <f>IF(T40=0,0,1000000*T40/TrRoad_act!T80)</f>
        <v>9813.874139366013</v>
      </c>
      <c r="U131" s="116">
        <f>IF(U40=0,0,1000000*U40/TrRoad_act!U80)</f>
        <v>9958.6338869878655</v>
      </c>
      <c r="V131" s="116">
        <f>IF(V40=0,0,1000000*V40/TrRoad_act!V80)</f>
        <v>8267.8994038001056</v>
      </c>
      <c r="W131" s="116">
        <f>IF(W40=0,0,1000000*W40/TrRoad_act!W80)</f>
        <v>14659.735320564601</v>
      </c>
      <c r="X131" s="116">
        <f>IF(X40=0,0,1000000*X40/TrRoad_act!X80)</f>
        <v>20209.483296586252</v>
      </c>
      <c r="Y131" s="116">
        <f>IF(Y40=0,0,1000000*Y40/TrRoad_act!Y80)</f>
        <v>20270.519678166751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7431.7645010753786</v>
      </c>
      <c r="C132" s="101">
        <f>IF(C41=0,0,1000000*C41/TrRoad_act!C81)</f>
        <v>10883.925597034466</v>
      </c>
      <c r="D132" s="101">
        <f>IF(D41=0,0,1000000*D41/TrRoad_act!D81)</f>
        <v>10834.37722672774</v>
      </c>
      <c r="E132" s="101">
        <f>IF(E41=0,0,1000000*E41/TrRoad_act!E81)</f>
        <v>10463.445826210836</v>
      </c>
      <c r="F132" s="101">
        <f>IF(F41=0,0,1000000*F41/TrRoad_act!F81)</f>
        <v>11113.061183876798</v>
      </c>
      <c r="G132" s="101">
        <f>IF(G41=0,0,1000000*G41/TrRoad_act!G81)</f>
        <v>11740.978671947101</v>
      </c>
      <c r="H132" s="101">
        <f>IF(H41=0,0,1000000*H41/TrRoad_act!H81)</f>
        <v>12651.925080799529</v>
      </c>
      <c r="I132" s="101">
        <f>IF(I41=0,0,1000000*I41/TrRoad_act!I81)</f>
        <v>12518.597692330244</v>
      </c>
      <c r="J132" s="101">
        <f>IF(J41=0,0,1000000*J41/TrRoad_act!J81)</f>
        <v>9348.6498439444258</v>
      </c>
      <c r="K132" s="101">
        <f>IF(K41=0,0,1000000*K41/TrRoad_act!K81)</f>
        <v>7024.2928948445087</v>
      </c>
      <c r="L132" s="101">
        <f>IF(L41=0,0,1000000*L41/TrRoad_act!L81)</f>
        <v>6595.0234225869672</v>
      </c>
      <c r="M132" s="101">
        <f>IF(M41=0,0,1000000*M41/TrRoad_act!M81)</f>
        <v>7166.7443752423496</v>
      </c>
      <c r="N132" s="101">
        <f>IF(N41=0,0,1000000*N41/TrRoad_act!N81)</f>
        <v>8671.427019329496</v>
      </c>
      <c r="O132" s="101">
        <f>IF(O41=0,0,1000000*O41/TrRoad_act!O81)</f>
        <v>7193.2809922588922</v>
      </c>
      <c r="P132" s="101">
        <f>IF(P41=0,0,1000000*P41/TrRoad_act!P81)</f>
        <v>7024.6739013217975</v>
      </c>
      <c r="Q132" s="101">
        <f>IF(Q41=0,0,1000000*Q41/TrRoad_act!Q81)</f>
        <v>7646.1586279184394</v>
      </c>
      <c r="R132" s="101">
        <f>IF(R41=0,0,1000000*R41/TrRoad_act!R81)</f>
        <v>7031.6558801970968</v>
      </c>
      <c r="S132" s="101">
        <f>IF(S41=0,0,1000000*S41/TrRoad_act!S81)</f>
        <v>4397.4514536564247</v>
      </c>
      <c r="T132" s="101">
        <f>IF(T41=0,0,1000000*T41/TrRoad_act!T81)</f>
        <v>7477.8787531100925</v>
      </c>
      <c r="U132" s="101">
        <f>IF(U41=0,0,1000000*U41/TrRoad_act!U81)</f>
        <v>7593.8979806204725</v>
      </c>
      <c r="V132" s="101">
        <f>IF(V41=0,0,1000000*V41/TrRoad_act!V81)</f>
        <v>6267.0133726240247</v>
      </c>
      <c r="W132" s="101">
        <f>IF(W41=0,0,1000000*W41/TrRoad_act!W81)</f>
        <v>11009.516905457875</v>
      </c>
      <c r="X132" s="101">
        <f>IF(X41=0,0,1000000*X41/TrRoad_act!X81)</f>
        <v>15197.981260378852</v>
      </c>
      <c r="Y132" s="101">
        <f>IF(Y41=0,0,1000000*Y41/TrRoad_act!Y81)</f>
        <v>15418.280643217715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59562.334470580128</v>
      </c>
      <c r="C133" s="88">
        <f>IF(C42=0,0,1000000*C42/TrRoad_act!C82)</f>
        <v>89682.909585094807</v>
      </c>
      <c r="D133" s="88">
        <f>IF(D42=0,0,1000000*D42/TrRoad_act!D82)</f>
        <v>89312.650236406436</v>
      </c>
      <c r="E133" s="88">
        <f>IF(E42=0,0,1000000*E42/TrRoad_act!E82)</f>
        <v>88805.30063029172</v>
      </c>
      <c r="F133" s="88">
        <f>IF(F42=0,0,1000000*F42/TrRoad_act!F82)</f>
        <v>78191.656802736485</v>
      </c>
      <c r="G133" s="88">
        <f>IF(G42=0,0,1000000*G42/TrRoad_act!G82)</f>
        <v>80051.518914081666</v>
      </c>
      <c r="H133" s="88">
        <f>IF(H42=0,0,1000000*H42/TrRoad_act!H82)</f>
        <v>102996.23591776783</v>
      </c>
      <c r="I133" s="88">
        <f>IF(I42=0,0,1000000*I42/TrRoad_act!I82)</f>
        <v>100015.52236680729</v>
      </c>
      <c r="J133" s="88">
        <f>IF(J42=0,0,1000000*J42/TrRoad_act!J82)</f>
        <v>76820.972600253939</v>
      </c>
      <c r="K133" s="88">
        <f>IF(K42=0,0,1000000*K42/TrRoad_act!K82)</f>
        <v>58167.541950331375</v>
      </c>
      <c r="L133" s="88">
        <f>IF(L42=0,0,1000000*L42/TrRoad_act!L82)</f>
        <v>52668.499982596615</v>
      </c>
      <c r="M133" s="88">
        <f>IF(M42=0,0,1000000*M42/TrRoad_act!M82)</f>
        <v>67744.626634871063</v>
      </c>
      <c r="N133" s="88">
        <f>IF(N42=0,0,1000000*N42/TrRoad_act!N82)</f>
        <v>90654.147483449575</v>
      </c>
      <c r="O133" s="88">
        <f>IF(O42=0,0,1000000*O42/TrRoad_act!O82)</f>
        <v>72141.854290931384</v>
      </c>
      <c r="P133" s="88">
        <f>IF(P42=0,0,1000000*P42/TrRoad_act!P82)</f>
        <v>74784.061995542084</v>
      </c>
      <c r="Q133" s="88">
        <f>IF(Q42=0,0,1000000*Q42/TrRoad_act!Q82)</f>
        <v>82659.405943761769</v>
      </c>
      <c r="R133" s="88">
        <f>IF(R42=0,0,1000000*R42/TrRoad_act!R82)</f>
        <v>71821.449735119895</v>
      </c>
      <c r="S133" s="88">
        <f>IF(S42=0,0,1000000*S42/TrRoad_act!S82)</f>
        <v>41638.197731143497</v>
      </c>
      <c r="T133" s="88">
        <f>IF(T42=0,0,1000000*T42/TrRoad_act!T82)</f>
        <v>70762.598176671658</v>
      </c>
      <c r="U133" s="88">
        <f>IF(U42=0,0,1000000*U42/TrRoad_act!U82)</f>
        <v>68867.429057692425</v>
      </c>
      <c r="V133" s="88">
        <f>IF(V42=0,0,1000000*V42/TrRoad_act!V82)</f>
        <v>56350.424774548068</v>
      </c>
      <c r="W133" s="88">
        <f>IF(W42=0,0,1000000*W42/TrRoad_act!W82)</f>
        <v>93503.101646451527</v>
      </c>
      <c r="X133" s="88">
        <f>IF(X42=0,0,1000000*X42/TrRoad_act!X82)</f>
        <v>126970.25683506153</v>
      </c>
      <c r="Y133" s="88">
        <f>IF(Y42=0,0,1000000*Y42/TrRoad_act!Y82)</f>
        <v>131560.53193616259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0.72353098714063258</v>
      </c>
      <c r="C136" s="46">
        <f t="shared" si="40"/>
        <v>0.71475877554268907</v>
      </c>
      <c r="D136" s="46">
        <f t="shared" si="40"/>
        <v>0.7208599088712373</v>
      </c>
      <c r="E136" s="46">
        <f t="shared" si="40"/>
        <v>0.71521510037609937</v>
      </c>
      <c r="F136" s="46">
        <f t="shared" si="40"/>
        <v>0.70841520996823859</v>
      </c>
      <c r="G136" s="46">
        <f t="shared" si="40"/>
        <v>0.68571314091309499</v>
      </c>
      <c r="H136" s="46">
        <f t="shared" si="40"/>
        <v>0.70180344726750887</v>
      </c>
      <c r="I136" s="46">
        <f t="shared" si="40"/>
        <v>0.69501325014366488</v>
      </c>
      <c r="J136" s="46">
        <f t="shared" si="40"/>
        <v>0.71642636074385779</v>
      </c>
      <c r="K136" s="46">
        <f t="shared" si="40"/>
        <v>0.74010098605750607</v>
      </c>
      <c r="L136" s="46">
        <f t="shared" si="41"/>
        <v>0.72881040326420632</v>
      </c>
      <c r="M136" s="46">
        <f t="shared" si="40"/>
        <v>0.71806927963559419</v>
      </c>
      <c r="N136" s="46">
        <f t="shared" si="40"/>
        <v>0.71018578938973298</v>
      </c>
      <c r="O136" s="46">
        <f t="shared" si="40"/>
        <v>0.74770529360046301</v>
      </c>
      <c r="P136" s="46">
        <f t="shared" si="40"/>
        <v>0.75690638964017709</v>
      </c>
      <c r="Q136" s="46">
        <f t="shared" si="40"/>
        <v>0.77864669793119534</v>
      </c>
      <c r="R136" s="46">
        <f t="shared" si="40"/>
        <v>0.79600977367057879</v>
      </c>
      <c r="S136" s="46">
        <f t="shared" si="40"/>
        <v>0.81825264474681003</v>
      </c>
      <c r="T136" s="46">
        <f t="shared" si="40"/>
        <v>0.78808936354245296</v>
      </c>
      <c r="U136" s="46">
        <f t="shared" si="40"/>
        <v>0.78656362005239921</v>
      </c>
      <c r="V136" s="46">
        <f t="shared" si="40"/>
        <v>0.76306117235541338</v>
      </c>
      <c r="W136" s="46">
        <f t="shared" si="42"/>
        <v>0.72652558003077594</v>
      </c>
      <c r="X136" s="46">
        <f t="shared" si="42"/>
        <v>0.7142546412063201</v>
      </c>
      <c r="Y136" s="46">
        <f t="shared" si="42"/>
        <v>0.72561554742476009</v>
      </c>
      <c r="DA136" s="211"/>
    </row>
    <row r="137" spans="1:105" ht="11.45" customHeight="1" x14ac:dyDescent="0.25">
      <c r="A137" s="153" t="s">
        <v>173</v>
      </c>
      <c r="B137" s="154">
        <f t="shared" si="40"/>
        <v>3.7863624905645571E-2</v>
      </c>
      <c r="C137" s="154">
        <f t="shared" si="40"/>
        <v>3.7498563256275319E-2</v>
      </c>
      <c r="D137" s="154">
        <f t="shared" si="40"/>
        <v>3.6066000729286944E-2</v>
      </c>
      <c r="E137" s="154">
        <f t="shared" si="40"/>
        <v>3.6200304937203866E-2</v>
      </c>
      <c r="F137" s="154">
        <f t="shared" si="40"/>
        <v>3.6515583083485896E-2</v>
      </c>
      <c r="G137" s="154">
        <f t="shared" si="40"/>
        <v>3.6609058885325757E-2</v>
      </c>
      <c r="H137" s="154">
        <f t="shared" si="40"/>
        <v>3.402015622864217E-2</v>
      </c>
      <c r="I137" s="154">
        <f t="shared" si="40"/>
        <v>2.9659092309026792E-2</v>
      </c>
      <c r="J137" s="154">
        <f t="shared" si="40"/>
        <v>3.2495326916132106E-2</v>
      </c>
      <c r="K137" s="154">
        <f t="shared" si="40"/>
        <v>3.1071584978021965E-2</v>
      </c>
      <c r="L137" s="154">
        <f t="shared" si="41"/>
        <v>3.2005871492881047E-2</v>
      </c>
      <c r="M137" s="154">
        <f t="shared" si="40"/>
        <v>3.2661724577574394E-2</v>
      </c>
      <c r="N137" s="154">
        <f t="shared" si="40"/>
        <v>3.3132816085719524E-2</v>
      </c>
      <c r="O137" s="154">
        <f t="shared" si="40"/>
        <v>3.2629953951567821E-2</v>
      </c>
      <c r="P137" s="154">
        <f t="shared" si="40"/>
        <v>3.1369442261479259E-2</v>
      </c>
      <c r="Q137" s="154">
        <f t="shared" si="40"/>
        <v>3.1653197687728507E-2</v>
      </c>
      <c r="R137" s="154">
        <f t="shared" si="40"/>
        <v>3.2562181556656258E-2</v>
      </c>
      <c r="S137" s="154">
        <f t="shared" si="40"/>
        <v>3.1792440270641181E-2</v>
      </c>
      <c r="T137" s="154">
        <f t="shared" si="40"/>
        <v>2.9192263034762658E-2</v>
      </c>
      <c r="U137" s="154">
        <f t="shared" si="40"/>
        <v>3.1246802542960795E-2</v>
      </c>
      <c r="V137" s="154">
        <f t="shared" si="40"/>
        <v>3.373431199287525E-2</v>
      </c>
      <c r="W137" s="154">
        <f t="shared" si="42"/>
        <v>2.9622761288380508E-2</v>
      </c>
      <c r="X137" s="154">
        <f t="shared" si="42"/>
        <v>2.8357644812354425E-2</v>
      </c>
      <c r="Y137" s="154">
        <f t="shared" si="42"/>
        <v>3.0253889383865445E-2</v>
      </c>
      <c r="DA137" s="212"/>
    </row>
    <row r="138" spans="1:105" ht="11.45" customHeight="1" x14ac:dyDescent="0.25">
      <c r="A138" s="155" t="s">
        <v>20</v>
      </c>
      <c r="B138" s="156">
        <f t="shared" si="40"/>
        <v>0.62571057682986342</v>
      </c>
      <c r="C138" s="156">
        <f t="shared" si="40"/>
        <v>0.61827235120653112</v>
      </c>
      <c r="D138" s="156">
        <f t="shared" si="40"/>
        <v>0.62656811477652941</v>
      </c>
      <c r="E138" s="156">
        <f t="shared" si="40"/>
        <v>0.62105367240362841</v>
      </c>
      <c r="F138" s="156">
        <f t="shared" si="40"/>
        <v>0.61524605295387069</v>
      </c>
      <c r="G138" s="156">
        <f t="shared" si="40"/>
        <v>0.59168684601879973</v>
      </c>
      <c r="H138" s="156">
        <f t="shared" si="40"/>
        <v>0.610374429701662</v>
      </c>
      <c r="I138" s="156">
        <f t="shared" si="40"/>
        <v>0.60838446861750661</v>
      </c>
      <c r="J138" s="156">
        <f t="shared" si="40"/>
        <v>0.62436644010199793</v>
      </c>
      <c r="K138" s="156">
        <f t="shared" si="40"/>
        <v>0.64798208596368811</v>
      </c>
      <c r="L138" s="156">
        <f t="shared" si="41"/>
        <v>0.63400516689611519</v>
      </c>
      <c r="M138" s="156">
        <f t="shared" si="40"/>
        <v>0.62080987115961728</v>
      </c>
      <c r="N138" s="156">
        <f t="shared" si="40"/>
        <v>0.61104953346426116</v>
      </c>
      <c r="O138" s="156">
        <f t="shared" si="40"/>
        <v>0.64753128884659505</v>
      </c>
      <c r="P138" s="156">
        <f t="shared" si="40"/>
        <v>0.66029065891364924</v>
      </c>
      <c r="Q138" s="156">
        <f t="shared" si="40"/>
        <v>0.67877167168477626</v>
      </c>
      <c r="R138" s="156">
        <f t="shared" si="40"/>
        <v>0.69419328381756262</v>
      </c>
      <c r="S138" s="156">
        <f t="shared" si="40"/>
        <v>0.71386083879860651</v>
      </c>
      <c r="T138" s="156">
        <f t="shared" si="40"/>
        <v>0.69100547480659746</v>
      </c>
      <c r="U138" s="156">
        <f t="shared" si="40"/>
        <v>0.68506285926161381</v>
      </c>
      <c r="V138" s="156">
        <f t="shared" si="40"/>
        <v>0.64534367084923727</v>
      </c>
      <c r="W138" s="156">
        <f t="shared" si="42"/>
        <v>0.62581088693368503</v>
      </c>
      <c r="X138" s="156">
        <f t="shared" si="42"/>
        <v>0.62065773961577453</v>
      </c>
      <c r="Y138" s="156">
        <f t="shared" si="42"/>
        <v>0.63262765590366765</v>
      </c>
      <c r="DA138" s="213"/>
    </row>
    <row r="139" spans="1:105" ht="11.45" customHeight="1" x14ac:dyDescent="0.25">
      <c r="A139" s="157" t="s">
        <v>110</v>
      </c>
      <c r="B139" s="103">
        <f t="shared" si="40"/>
        <v>0.41769158227535891</v>
      </c>
      <c r="C139" s="103">
        <f t="shared" si="40"/>
        <v>0.40012545987312514</v>
      </c>
      <c r="D139" s="103">
        <f t="shared" si="40"/>
        <v>0.38296747740750903</v>
      </c>
      <c r="E139" s="103">
        <f t="shared" si="40"/>
        <v>0.36557280621188248</v>
      </c>
      <c r="F139" s="103">
        <f t="shared" si="40"/>
        <v>0.33337278760424238</v>
      </c>
      <c r="G139" s="103">
        <f t="shared" si="40"/>
        <v>0.3102359043810124</v>
      </c>
      <c r="H139" s="103">
        <f t="shared" si="40"/>
        <v>0.28809805551107359</v>
      </c>
      <c r="I139" s="103">
        <f t="shared" si="40"/>
        <v>0.27037965962837013</v>
      </c>
      <c r="J139" s="103">
        <f t="shared" si="40"/>
        <v>0.2608636176062637</v>
      </c>
      <c r="K139" s="103">
        <f t="shared" si="40"/>
        <v>0.26338440375509192</v>
      </c>
      <c r="L139" s="103">
        <f t="shared" si="41"/>
        <v>0.25077222955867051</v>
      </c>
      <c r="M139" s="103">
        <f t="shared" si="40"/>
        <v>0.24007668175639887</v>
      </c>
      <c r="N139" s="103">
        <f t="shared" si="40"/>
        <v>0.2238016508098141</v>
      </c>
      <c r="O139" s="103">
        <f t="shared" si="40"/>
        <v>0.21843096385333771</v>
      </c>
      <c r="P139" s="103">
        <f t="shared" si="40"/>
        <v>0.21015059453223001</v>
      </c>
      <c r="Q139" s="103">
        <f t="shared" si="40"/>
        <v>0.20718756348435421</v>
      </c>
      <c r="R139" s="103">
        <f t="shared" si="40"/>
        <v>0.19374507237954008</v>
      </c>
      <c r="S139" s="103">
        <f t="shared" si="40"/>
        <v>0.19796588856075545</v>
      </c>
      <c r="T139" s="103">
        <f t="shared" si="40"/>
        <v>0.19982596007813089</v>
      </c>
      <c r="U139" s="103">
        <f t="shared" si="40"/>
        <v>0.19787428193277473</v>
      </c>
      <c r="V139" s="103">
        <f t="shared" si="40"/>
        <v>0.18871203640234496</v>
      </c>
      <c r="W139" s="103">
        <f t="shared" si="42"/>
        <v>0.19242706744320454</v>
      </c>
      <c r="X139" s="103">
        <f t="shared" si="42"/>
        <v>0.20804274621247598</v>
      </c>
      <c r="Y139" s="103">
        <f t="shared" si="42"/>
        <v>0.21362070915753709</v>
      </c>
      <c r="DA139" s="191"/>
    </row>
    <row r="140" spans="1:105" ht="11.45" customHeight="1" x14ac:dyDescent="0.25">
      <c r="A140" s="157" t="s">
        <v>111</v>
      </c>
      <c r="B140" s="103">
        <f t="shared" si="40"/>
        <v>0.16410610519224558</v>
      </c>
      <c r="C140" s="103">
        <f t="shared" si="40"/>
        <v>0.17510232570396198</v>
      </c>
      <c r="D140" s="103">
        <f t="shared" si="40"/>
        <v>0.20353124390704191</v>
      </c>
      <c r="E140" s="103">
        <f t="shared" si="40"/>
        <v>0.21823981167187637</v>
      </c>
      <c r="F140" s="103">
        <f t="shared" si="40"/>
        <v>0.24815832396981954</v>
      </c>
      <c r="G140" s="103">
        <f t="shared" si="40"/>
        <v>0.24899320157182461</v>
      </c>
      <c r="H140" s="103">
        <f t="shared" si="40"/>
        <v>0.29013685487678692</v>
      </c>
      <c r="I140" s="103">
        <f t="shared" si="40"/>
        <v>0.30643378422183626</v>
      </c>
      <c r="J140" s="103">
        <f t="shared" si="40"/>
        <v>0.32773955091000639</v>
      </c>
      <c r="K140" s="103">
        <f t="shared" si="40"/>
        <v>0.34365250931709046</v>
      </c>
      <c r="L140" s="103">
        <f t="shared" si="41"/>
        <v>0.33673469187564076</v>
      </c>
      <c r="M140" s="103">
        <f t="shared" si="40"/>
        <v>0.33284271254189246</v>
      </c>
      <c r="N140" s="103">
        <f t="shared" si="40"/>
        <v>0.33401347552355393</v>
      </c>
      <c r="O140" s="103">
        <f t="shared" si="40"/>
        <v>0.36787770933055008</v>
      </c>
      <c r="P140" s="103">
        <f t="shared" si="40"/>
        <v>0.38941323612173839</v>
      </c>
      <c r="Q140" s="103">
        <f t="shared" si="40"/>
        <v>0.40580738343332812</v>
      </c>
      <c r="R140" s="103">
        <f t="shared" si="40"/>
        <v>0.43464074613033538</v>
      </c>
      <c r="S140" s="103">
        <f t="shared" si="40"/>
        <v>0.44631827832111659</v>
      </c>
      <c r="T140" s="103">
        <f t="shared" si="40"/>
        <v>0.42652018303847877</v>
      </c>
      <c r="U140" s="103">
        <f t="shared" si="40"/>
        <v>0.4187540840931101</v>
      </c>
      <c r="V140" s="103">
        <f t="shared" si="40"/>
        <v>0.38930051810281147</v>
      </c>
      <c r="W140" s="103">
        <f t="shared" si="42"/>
        <v>0.37425939923752671</v>
      </c>
      <c r="X140" s="103">
        <f t="shared" si="42"/>
        <v>0.35455556881270051</v>
      </c>
      <c r="Y140" s="103">
        <f t="shared" si="42"/>
        <v>0.36066807693669811</v>
      </c>
      <c r="DA140" s="191"/>
    </row>
    <row r="141" spans="1:105" ht="11.45" customHeight="1" x14ac:dyDescent="0.25">
      <c r="A141" s="157" t="s">
        <v>112</v>
      </c>
      <c r="B141" s="103">
        <f t="shared" si="40"/>
        <v>3.7275316800293445E-2</v>
      </c>
      <c r="C141" s="103">
        <f t="shared" si="40"/>
        <v>3.5702152786889048E-2</v>
      </c>
      <c r="D141" s="103">
        <f t="shared" si="40"/>
        <v>3.3021971152454373E-2</v>
      </c>
      <c r="E141" s="103">
        <f t="shared" si="40"/>
        <v>3.0229875110243516E-2</v>
      </c>
      <c r="F141" s="103">
        <f t="shared" si="40"/>
        <v>2.7056445383273276E-2</v>
      </c>
      <c r="G141" s="103">
        <f t="shared" si="40"/>
        <v>2.5332501190629894E-2</v>
      </c>
      <c r="H141" s="103">
        <f t="shared" si="40"/>
        <v>2.4039786058845276E-2</v>
      </c>
      <c r="I141" s="103">
        <f t="shared" si="40"/>
        <v>2.279748527040026E-2</v>
      </c>
      <c r="J141" s="103">
        <f t="shared" si="40"/>
        <v>2.5759796856767488E-2</v>
      </c>
      <c r="K141" s="103">
        <f t="shared" si="40"/>
        <v>2.939750712502065E-2</v>
      </c>
      <c r="L141" s="103">
        <f t="shared" si="41"/>
        <v>3.329051526572565E-2</v>
      </c>
      <c r="M141" s="103">
        <f t="shared" si="40"/>
        <v>3.4758965761834577E-2</v>
      </c>
      <c r="N141" s="103">
        <f t="shared" si="40"/>
        <v>3.945606663312827E-2</v>
      </c>
      <c r="O141" s="103">
        <f t="shared" si="40"/>
        <v>4.5973574888064014E-2</v>
      </c>
      <c r="P141" s="103">
        <f t="shared" si="40"/>
        <v>4.4458012965338321E-2</v>
      </c>
      <c r="Q141" s="103">
        <f t="shared" si="40"/>
        <v>4.8250790639579051E-2</v>
      </c>
      <c r="R141" s="103">
        <f t="shared" si="40"/>
        <v>4.7345613110849442E-2</v>
      </c>
      <c r="S141" s="103">
        <f t="shared" si="40"/>
        <v>5.1642617476847279E-2</v>
      </c>
      <c r="T141" s="103">
        <f t="shared" si="40"/>
        <v>4.8421072289650653E-2</v>
      </c>
      <c r="U141" s="103">
        <f t="shared" si="40"/>
        <v>4.9128029523410915E-2</v>
      </c>
      <c r="V141" s="103">
        <f t="shared" si="40"/>
        <v>4.7927967676243549E-2</v>
      </c>
      <c r="W141" s="103">
        <f t="shared" si="42"/>
        <v>4.2244756662502256E-2</v>
      </c>
      <c r="X141" s="103">
        <f t="shared" si="42"/>
        <v>4.4135823174021073E-2</v>
      </c>
      <c r="Y141" s="103">
        <f t="shared" si="42"/>
        <v>4.4366363534864353E-2</v>
      </c>
      <c r="DA141" s="191"/>
    </row>
    <row r="142" spans="1:105" ht="11.45" customHeight="1" x14ac:dyDescent="0.25">
      <c r="A142" s="157" t="s">
        <v>113</v>
      </c>
      <c r="B142" s="103">
        <f t="shared" si="40"/>
        <v>6.637572561965439E-3</v>
      </c>
      <c r="C142" s="103">
        <f t="shared" si="40"/>
        <v>7.342412842554988E-3</v>
      </c>
      <c r="D142" s="103">
        <f t="shared" si="40"/>
        <v>7.0474223095241036E-3</v>
      </c>
      <c r="E142" s="103">
        <f t="shared" si="40"/>
        <v>7.0111794096259705E-3</v>
      </c>
      <c r="F142" s="103">
        <f t="shared" si="40"/>
        <v>6.6584959965356062E-3</v>
      </c>
      <c r="G142" s="103">
        <f t="shared" si="40"/>
        <v>7.125238875332807E-3</v>
      </c>
      <c r="H142" s="103">
        <f t="shared" si="40"/>
        <v>8.0997332549562779E-3</v>
      </c>
      <c r="I142" s="103">
        <f t="shared" si="40"/>
        <v>8.7735394968999278E-3</v>
      </c>
      <c r="J142" s="103">
        <f t="shared" si="40"/>
        <v>1.0003474728960321E-2</v>
      </c>
      <c r="K142" s="103">
        <f t="shared" si="40"/>
        <v>1.1547665766485036E-2</v>
      </c>
      <c r="L142" s="103">
        <f t="shared" si="41"/>
        <v>1.3207730196078208E-2</v>
      </c>
      <c r="M142" s="103">
        <f t="shared" si="40"/>
        <v>1.313151109949132E-2</v>
      </c>
      <c r="N142" s="103">
        <f t="shared" si="40"/>
        <v>1.3777327320188373E-2</v>
      </c>
      <c r="O142" s="103">
        <f t="shared" si="40"/>
        <v>1.5123120529325691E-2</v>
      </c>
      <c r="P142" s="103">
        <f t="shared" si="40"/>
        <v>1.5937730510932818E-2</v>
      </c>
      <c r="Q142" s="103">
        <f t="shared" si="40"/>
        <v>1.7171845435475432E-2</v>
      </c>
      <c r="R142" s="103">
        <f t="shared" si="40"/>
        <v>1.8122663933853957E-2</v>
      </c>
      <c r="S142" s="103">
        <f t="shared" si="40"/>
        <v>1.7530501695712151E-2</v>
      </c>
      <c r="T142" s="103">
        <f t="shared" si="40"/>
        <v>1.5790182305599202E-2</v>
      </c>
      <c r="U142" s="103">
        <f t="shared" si="40"/>
        <v>1.8833678107700671E-2</v>
      </c>
      <c r="V142" s="103">
        <f t="shared" si="40"/>
        <v>1.8828139093240225E-2</v>
      </c>
      <c r="W142" s="103">
        <f t="shared" si="42"/>
        <v>1.6040290324112423E-2</v>
      </c>
      <c r="X142" s="103">
        <f t="shared" si="42"/>
        <v>1.2813854576724593E-2</v>
      </c>
      <c r="Y142" s="103">
        <f t="shared" si="42"/>
        <v>1.2686005413924379E-2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1.013177576413587E-6</v>
      </c>
      <c r="O143" s="103">
        <f t="shared" si="40"/>
        <v>1.2592024531750672E-4</v>
      </c>
      <c r="P143" s="103">
        <f t="shared" si="40"/>
        <v>3.3108478340981509E-4</v>
      </c>
      <c r="Q143" s="103">
        <f t="shared" si="40"/>
        <v>3.5408869203942925E-4</v>
      </c>
      <c r="R143" s="103">
        <f t="shared" si="40"/>
        <v>3.3918826298375601E-4</v>
      </c>
      <c r="S143" s="103">
        <f t="shared" si="40"/>
        <v>4.0355274417504543E-4</v>
      </c>
      <c r="T143" s="103">
        <f t="shared" si="40"/>
        <v>4.4807709473803324E-4</v>
      </c>
      <c r="U143" s="103">
        <f t="shared" si="40"/>
        <v>4.7278560461741373E-4</v>
      </c>
      <c r="V143" s="103">
        <f t="shared" si="40"/>
        <v>5.7500957459700672E-4</v>
      </c>
      <c r="W143" s="103">
        <f t="shared" si="42"/>
        <v>8.3937326633904514E-4</v>
      </c>
      <c r="X143" s="103">
        <f t="shared" si="42"/>
        <v>1.1097468398524233E-3</v>
      </c>
      <c r="Y143" s="103">
        <f t="shared" si="42"/>
        <v>1.2865008606438068E-3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5.995678540512369E-2</v>
      </c>
      <c r="C145" s="156">
        <f t="shared" si="40"/>
        <v>5.8987861079882714E-2</v>
      </c>
      <c r="D145" s="156">
        <f t="shared" si="40"/>
        <v>5.8225793365420955E-2</v>
      </c>
      <c r="E145" s="156">
        <f t="shared" si="40"/>
        <v>5.7961123035267202E-2</v>
      </c>
      <c r="F145" s="156">
        <f t="shared" si="40"/>
        <v>5.665357393088203E-2</v>
      </c>
      <c r="G145" s="156">
        <f t="shared" si="40"/>
        <v>5.7417236008969447E-2</v>
      </c>
      <c r="H145" s="156">
        <f t="shared" si="40"/>
        <v>5.7408861337204561E-2</v>
      </c>
      <c r="I145" s="156">
        <f t="shared" si="40"/>
        <v>5.6969689217131518E-2</v>
      </c>
      <c r="J145" s="156">
        <f t="shared" si="40"/>
        <v>5.9564593725727803E-2</v>
      </c>
      <c r="K145" s="156">
        <f t="shared" si="40"/>
        <v>6.1047315115796079E-2</v>
      </c>
      <c r="L145" s="156">
        <f t="shared" si="41"/>
        <v>6.2799364875210192E-2</v>
      </c>
      <c r="M145" s="156">
        <f t="shared" si="40"/>
        <v>6.4597683898402578E-2</v>
      </c>
      <c r="N145" s="156">
        <f t="shared" si="40"/>
        <v>6.6003439839752431E-2</v>
      </c>
      <c r="O145" s="156">
        <f t="shared" si="40"/>
        <v>6.7544050802300165E-2</v>
      </c>
      <c r="P145" s="156">
        <f t="shared" si="40"/>
        <v>6.5246288465048652E-2</v>
      </c>
      <c r="Q145" s="156">
        <f t="shared" si="40"/>
        <v>6.8221828558690592E-2</v>
      </c>
      <c r="R145" s="156">
        <f t="shared" si="40"/>
        <v>6.9254308296359965E-2</v>
      </c>
      <c r="S145" s="156">
        <f t="shared" si="40"/>
        <v>7.259936567756238E-2</v>
      </c>
      <c r="T145" s="156">
        <f t="shared" si="40"/>
        <v>6.7891625701092792E-2</v>
      </c>
      <c r="U145" s="156">
        <f t="shared" si="40"/>
        <v>7.0253958247824544E-2</v>
      </c>
      <c r="V145" s="156">
        <f t="shared" si="40"/>
        <v>8.3983189513300804E-2</v>
      </c>
      <c r="W145" s="156">
        <f t="shared" si="42"/>
        <v>7.1091931808710512E-2</v>
      </c>
      <c r="X145" s="156">
        <f t="shared" si="42"/>
        <v>6.5239256778191049E-2</v>
      </c>
      <c r="Y145" s="156">
        <f t="shared" si="42"/>
        <v>6.2734002137226977E-2</v>
      </c>
      <c r="DA145" s="213"/>
    </row>
    <row r="146" spans="1:105" ht="11.45" customHeight="1" x14ac:dyDescent="0.25">
      <c r="A146" s="157" t="s">
        <v>110</v>
      </c>
      <c r="B146" s="103">
        <f t="shared" si="40"/>
        <v>4.7555657209422572E-5</v>
      </c>
      <c r="C146" s="103">
        <f t="shared" si="40"/>
        <v>4.183396086132073E-5</v>
      </c>
      <c r="D146" s="103">
        <f t="shared" si="40"/>
        <v>3.8592382768921558E-5</v>
      </c>
      <c r="E146" s="103">
        <f t="shared" si="40"/>
        <v>3.0831031912066851E-5</v>
      </c>
      <c r="F146" s="103">
        <f t="shared" si="40"/>
        <v>2.6119556332573046E-5</v>
      </c>
      <c r="G146" s="103">
        <f t="shared" si="40"/>
        <v>2.4989939245580455E-5</v>
      </c>
      <c r="H146" s="103">
        <f t="shared" si="40"/>
        <v>2.3306113891589614E-5</v>
      </c>
      <c r="I146" s="103">
        <f t="shared" si="40"/>
        <v>2.1499211826113557E-5</v>
      </c>
      <c r="J146" s="103">
        <f t="shared" si="40"/>
        <v>2.2865359644631047E-5</v>
      </c>
      <c r="K146" s="103">
        <f t="shared" si="40"/>
        <v>2.5355596755590917E-5</v>
      </c>
      <c r="L146" s="103">
        <f t="shared" si="41"/>
        <v>2.6198883000648533E-5</v>
      </c>
      <c r="M146" s="103">
        <f t="shared" si="40"/>
        <v>2.5858895514145794E-5</v>
      </c>
      <c r="N146" s="103">
        <f t="shared" si="40"/>
        <v>2.708498563412584E-5</v>
      </c>
      <c r="O146" s="103">
        <f t="shared" si="40"/>
        <v>4.7185374771147224E-5</v>
      </c>
      <c r="P146" s="103">
        <f t="shared" si="40"/>
        <v>2.6316975026399324E-5</v>
      </c>
      <c r="Q146" s="103">
        <f t="shared" si="40"/>
        <v>2.665340906637735E-5</v>
      </c>
      <c r="R146" s="103">
        <f t="shared" si="40"/>
        <v>2.5978022161650178E-5</v>
      </c>
      <c r="S146" s="103">
        <f t="shared" si="40"/>
        <v>2.5676628290339412E-5</v>
      </c>
      <c r="T146" s="103">
        <f t="shared" si="40"/>
        <v>2.343675367707785E-5</v>
      </c>
      <c r="U146" s="103">
        <f t="shared" si="40"/>
        <v>4.0813516325666084E-5</v>
      </c>
      <c r="V146" s="103">
        <f t="shared" si="40"/>
        <v>4.894647662372931E-5</v>
      </c>
      <c r="W146" s="103">
        <f t="shared" si="42"/>
        <v>3.812042905752476E-5</v>
      </c>
      <c r="X146" s="103">
        <f t="shared" si="42"/>
        <v>3.5155836159400574E-5</v>
      </c>
      <c r="Y146" s="103">
        <f t="shared" si="42"/>
        <v>3.3721255847542213E-5</v>
      </c>
      <c r="DA146" s="191"/>
    </row>
    <row r="147" spans="1:105" ht="11.45" customHeight="1" x14ac:dyDescent="0.25">
      <c r="A147" s="157" t="s">
        <v>111</v>
      </c>
      <c r="B147" s="103">
        <f t="shared" si="40"/>
        <v>5.985304550803202E-2</v>
      </c>
      <c r="C147" s="103">
        <f t="shared" si="40"/>
        <v>5.8890605945281609E-2</v>
      </c>
      <c r="D147" s="103">
        <f t="shared" si="40"/>
        <v>5.8138781314928209E-2</v>
      </c>
      <c r="E147" s="103">
        <f t="shared" si="40"/>
        <v>5.7865227251077907E-2</v>
      </c>
      <c r="F147" s="103">
        <f t="shared" si="40"/>
        <v>5.6549637112036984E-2</v>
      </c>
      <c r="G147" s="103">
        <f t="shared" si="40"/>
        <v>5.7275855232082985E-2</v>
      </c>
      <c r="H147" s="103">
        <f t="shared" si="40"/>
        <v>5.72304268909073E-2</v>
      </c>
      <c r="I147" s="103">
        <f t="shared" si="40"/>
        <v>5.6526404327694957E-2</v>
      </c>
      <c r="J147" s="103">
        <f t="shared" si="40"/>
        <v>5.8572620144352203E-2</v>
      </c>
      <c r="K147" s="103">
        <f t="shared" si="40"/>
        <v>6.0126406989636998E-2</v>
      </c>
      <c r="L147" s="103">
        <f t="shared" si="41"/>
        <v>6.1756061107466211E-2</v>
      </c>
      <c r="M147" s="103">
        <f t="shared" si="40"/>
        <v>6.2795917283591213E-2</v>
      </c>
      <c r="N147" s="103">
        <f t="shared" si="40"/>
        <v>6.3596505131596912E-2</v>
      </c>
      <c r="O147" s="103">
        <f t="shared" si="40"/>
        <v>6.4839490283752049E-2</v>
      </c>
      <c r="P147" s="103">
        <f t="shared" si="40"/>
        <v>6.3126813760572012E-2</v>
      </c>
      <c r="Q147" s="103">
        <f t="shared" si="40"/>
        <v>6.597021436603677E-2</v>
      </c>
      <c r="R147" s="103">
        <f t="shared" ref="R147:V147" si="43">IF(R29=0,0,R29/R$17)</f>
        <v>6.7881950827380563E-2</v>
      </c>
      <c r="S147" s="103">
        <f t="shared" si="43"/>
        <v>7.0720403771930715E-2</v>
      </c>
      <c r="T147" s="103">
        <f t="shared" si="43"/>
        <v>6.4499616714281324E-2</v>
      </c>
      <c r="U147" s="103">
        <f t="shared" si="43"/>
        <v>6.8051387458235357E-2</v>
      </c>
      <c r="V147" s="103">
        <f t="shared" si="43"/>
        <v>8.2510665639397976E-2</v>
      </c>
      <c r="W147" s="103">
        <f t="shared" ref="W147:Y147" si="44">IF(W29=0,0,W29/W$17)</f>
        <v>6.7338929714686357E-2</v>
      </c>
      <c r="X147" s="103">
        <f t="shared" si="44"/>
        <v>6.3766144387906662E-2</v>
      </c>
      <c r="Y147" s="103">
        <f t="shared" si="44"/>
        <v>6.169102513865117E-2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2.2456900189750212E-5</v>
      </c>
      <c r="C148" s="103">
        <f t="shared" si="45"/>
        <v>2.4512173822228551E-5</v>
      </c>
      <c r="D148" s="103">
        <f t="shared" si="45"/>
        <v>2.2724320575160887E-5</v>
      </c>
      <c r="E148" s="103">
        <f t="shared" si="45"/>
        <v>2.6100588812940809E-5</v>
      </c>
      <c r="F148" s="103">
        <f t="shared" si="45"/>
        <v>3.9421008069137956E-5</v>
      </c>
      <c r="G148" s="103">
        <f t="shared" si="45"/>
        <v>5.7248934548072899E-5</v>
      </c>
      <c r="H148" s="103">
        <f t="shared" si="45"/>
        <v>6.3874933580452262E-5</v>
      </c>
      <c r="I148" s="103">
        <f t="shared" si="45"/>
        <v>7.58954243165999E-5</v>
      </c>
      <c r="J148" s="103">
        <f t="shared" si="45"/>
        <v>9.634934918494136E-5</v>
      </c>
      <c r="K148" s="103">
        <f t="shared" si="45"/>
        <v>1.3883175866347426E-4</v>
      </c>
      <c r="L148" s="103">
        <f t="shared" ref="L148:L150" si="46">IF(L30=0,0,L30/L$17)</f>
        <v>1.4623113751499961E-4</v>
      </c>
      <c r="M148" s="103">
        <f t="shared" ref="M148:V148" si="47">IF(M30=0,0,M30/M$17)</f>
        <v>1.4206751611816837E-4</v>
      </c>
      <c r="N148" s="103">
        <f t="shared" si="47"/>
        <v>1.4143018547354864E-4</v>
      </c>
      <c r="O148" s="103">
        <f t="shared" si="47"/>
        <v>1.4010680721619737E-4</v>
      </c>
      <c r="P148" s="103">
        <f t="shared" si="47"/>
        <v>1.2809324339408469E-4</v>
      </c>
      <c r="Q148" s="103">
        <f t="shared" si="47"/>
        <v>1.3198860206086691E-4</v>
      </c>
      <c r="R148" s="103">
        <f t="shared" si="47"/>
        <v>1.2555521646080071E-4</v>
      </c>
      <c r="S148" s="103">
        <f t="shared" si="47"/>
        <v>1.2334795527490881E-4</v>
      </c>
      <c r="T148" s="103">
        <f t="shared" si="47"/>
        <v>1.1204899980660549E-4</v>
      </c>
      <c r="U148" s="103">
        <f t="shared" si="47"/>
        <v>1.0986671583626786E-4</v>
      </c>
      <c r="V148" s="103">
        <f t="shared" si="47"/>
        <v>1.359099793069424E-4</v>
      </c>
      <c r="W148" s="103">
        <f t="shared" ref="W148:Y148" si="48">IF(W30=0,0,W30/W$17)</f>
        <v>1.0197424251634064E-4</v>
      </c>
      <c r="X148" s="103">
        <f t="shared" si="48"/>
        <v>8.1826728223740884E-5</v>
      </c>
      <c r="Y148" s="103">
        <f t="shared" si="48"/>
        <v>6.7096907378905922E-5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3.3727339692501115E-5</v>
      </c>
      <c r="C149" s="103">
        <f t="shared" si="49"/>
        <v>3.0908999917556757E-5</v>
      </c>
      <c r="D149" s="103">
        <f t="shared" si="49"/>
        <v>2.5695347148658988E-5</v>
      </c>
      <c r="E149" s="103">
        <f t="shared" si="49"/>
        <v>3.8964163464284692E-5</v>
      </c>
      <c r="F149" s="103">
        <f t="shared" si="49"/>
        <v>3.8396254443329751E-5</v>
      </c>
      <c r="G149" s="103">
        <f t="shared" si="49"/>
        <v>5.914190309281049E-5</v>
      </c>
      <c r="H149" s="103">
        <f t="shared" si="49"/>
        <v>9.1253398825224015E-5</v>
      </c>
      <c r="I149" s="103">
        <f t="shared" si="49"/>
        <v>3.4589025329384294E-4</v>
      </c>
      <c r="J149" s="103">
        <f t="shared" si="49"/>
        <v>8.727588725460253E-4</v>
      </c>
      <c r="K149" s="103">
        <f t="shared" si="49"/>
        <v>7.5672077074001847E-4</v>
      </c>
      <c r="L149" s="103">
        <f t="shared" si="46"/>
        <v>8.7087374722834103E-4</v>
      </c>
      <c r="M149" s="103">
        <f t="shared" ref="M149:V149" si="50">IF(M31=0,0,M31/M$17)</f>
        <v>1.6338402031790429E-3</v>
      </c>
      <c r="N149" s="103">
        <f t="shared" si="50"/>
        <v>2.2384195370478426E-3</v>
      </c>
      <c r="O149" s="103">
        <f t="shared" si="50"/>
        <v>2.5172683365607728E-3</v>
      </c>
      <c r="P149" s="103">
        <f t="shared" si="50"/>
        <v>1.9650644860561462E-3</v>
      </c>
      <c r="Q149" s="103">
        <f t="shared" si="50"/>
        <v>2.092972181526574E-3</v>
      </c>
      <c r="R149" s="103">
        <f t="shared" si="50"/>
        <v>1.2208242303569561E-3</v>
      </c>
      <c r="S149" s="103">
        <f t="shared" si="50"/>
        <v>1.7299373220664184E-3</v>
      </c>
      <c r="T149" s="103">
        <f t="shared" si="50"/>
        <v>3.256523233327788E-3</v>
      </c>
      <c r="U149" s="103">
        <f t="shared" si="50"/>
        <v>2.0518905574272513E-3</v>
      </c>
      <c r="V149" s="103">
        <f t="shared" si="50"/>
        <v>1.2876674179721705E-3</v>
      </c>
      <c r="W149" s="103">
        <f t="shared" ref="W149:Y149" si="51">IF(W31=0,0,W31/W$17)</f>
        <v>3.6129074224502933E-3</v>
      </c>
      <c r="X149" s="103">
        <f t="shared" si="51"/>
        <v>1.3561298259012452E-3</v>
      </c>
      <c r="Y149" s="103">
        <f t="shared" si="51"/>
        <v>9.4215883534935036E-4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0.27646901285936737</v>
      </c>
      <c r="C151" s="46">
        <f t="shared" si="55"/>
        <v>0.28524122445731098</v>
      </c>
      <c r="D151" s="46">
        <f t="shared" si="55"/>
        <v>0.2791400911287627</v>
      </c>
      <c r="E151" s="46">
        <f t="shared" si="55"/>
        <v>0.28478489962390063</v>
      </c>
      <c r="F151" s="46">
        <f t="shared" si="55"/>
        <v>0.29158479003176141</v>
      </c>
      <c r="G151" s="46">
        <f t="shared" si="55"/>
        <v>0.31428685908690501</v>
      </c>
      <c r="H151" s="46">
        <f t="shared" si="55"/>
        <v>0.29819655273249118</v>
      </c>
      <c r="I151" s="46">
        <f t="shared" si="55"/>
        <v>0.30498674985633517</v>
      </c>
      <c r="J151" s="46">
        <f t="shared" si="55"/>
        <v>0.28357363925614221</v>
      </c>
      <c r="K151" s="46">
        <f t="shared" si="55"/>
        <v>0.25989901394249393</v>
      </c>
      <c r="L151" s="46">
        <f t="shared" ref="L151" si="56">IF(L33=0,0,L33/L$17)</f>
        <v>0.27118959673579363</v>
      </c>
      <c r="M151" s="46">
        <f t="shared" ref="M151:V151" si="57">IF(M33=0,0,M33/M$17)</f>
        <v>0.28193072036440586</v>
      </c>
      <c r="N151" s="46">
        <f t="shared" si="57"/>
        <v>0.28981421061026691</v>
      </c>
      <c r="O151" s="46">
        <f t="shared" si="57"/>
        <v>0.25229470639953699</v>
      </c>
      <c r="P151" s="46">
        <f t="shared" si="57"/>
        <v>0.24309361035982291</v>
      </c>
      <c r="Q151" s="46">
        <f t="shared" si="57"/>
        <v>0.22135330206880463</v>
      </c>
      <c r="R151" s="46">
        <f t="shared" si="57"/>
        <v>0.20399022632942113</v>
      </c>
      <c r="S151" s="46">
        <f t="shared" si="57"/>
        <v>0.18174735525318997</v>
      </c>
      <c r="T151" s="46">
        <f t="shared" si="57"/>
        <v>0.21191063645754699</v>
      </c>
      <c r="U151" s="46">
        <f t="shared" si="57"/>
        <v>0.21343637994760084</v>
      </c>
      <c r="V151" s="46">
        <f t="shared" si="57"/>
        <v>0.23693882764458662</v>
      </c>
      <c r="W151" s="46">
        <f t="shared" ref="W151:Y151" si="58">IF(W33=0,0,W33/W$17)</f>
        <v>0.27347441996922406</v>
      </c>
      <c r="X151" s="46">
        <f t="shared" si="58"/>
        <v>0.2857453587936799</v>
      </c>
      <c r="Y151" s="46">
        <f t="shared" si="58"/>
        <v>0.27438445257523986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0.20511583861426527</v>
      </c>
      <c r="C152" s="154">
        <f t="shared" si="59"/>
        <v>0.18141140693984376</v>
      </c>
      <c r="D152" s="154">
        <f t="shared" si="59"/>
        <v>0.17670988186752873</v>
      </c>
      <c r="E152" s="154">
        <f t="shared" si="59"/>
        <v>0.1852647866171426</v>
      </c>
      <c r="F152" s="154">
        <f t="shared" si="59"/>
        <v>0.18895639160482217</v>
      </c>
      <c r="G152" s="154">
        <f t="shared" si="59"/>
        <v>0.20479268775849843</v>
      </c>
      <c r="H152" s="154">
        <f t="shared" si="59"/>
        <v>0.17490361984853953</v>
      </c>
      <c r="I152" s="154">
        <f t="shared" si="59"/>
        <v>0.18380102948408072</v>
      </c>
      <c r="J152" s="154">
        <f t="shared" si="59"/>
        <v>0.18612452099983337</v>
      </c>
      <c r="K152" s="154">
        <f t="shared" si="59"/>
        <v>0.18515331832118864</v>
      </c>
      <c r="L152" s="154">
        <f t="shared" ref="L152" si="60">IF(L34=0,0,L34/L$17)</f>
        <v>0.19952020899075165</v>
      </c>
      <c r="M152" s="154">
        <f t="shared" ref="M152:V152" si="61">IF(M34=0,0,M34/M$17)</f>
        <v>0.20326196597741159</v>
      </c>
      <c r="N152" s="154">
        <f t="shared" si="61"/>
        <v>0.18934914095163344</v>
      </c>
      <c r="O152" s="154">
        <f t="shared" si="61"/>
        <v>0.16843551632178574</v>
      </c>
      <c r="P152" s="154">
        <f t="shared" si="61"/>
        <v>0.16459843109421235</v>
      </c>
      <c r="Q152" s="154">
        <f t="shared" si="61"/>
        <v>0.13386228101056741</v>
      </c>
      <c r="R152" s="154">
        <f t="shared" si="61"/>
        <v>0.12692168946810259</v>
      </c>
      <c r="S152" s="154">
        <f t="shared" si="61"/>
        <v>0.13261310381014133</v>
      </c>
      <c r="T152" s="154">
        <f t="shared" si="61"/>
        <v>0.13145308155279339</v>
      </c>
      <c r="U152" s="154">
        <f t="shared" si="61"/>
        <v>0.13264690750061564</v>
      </c>
      <c r="V152" s="154">
        <f t="shared" si="61"/>
        <v>0.15803279930749839</v>
      </c>
      <c r="W152" s="154">
        <f t="shared" ref="W152:Y152" si="62">IF(W34=0,0,W34/W$17)</f>
        <v>0.15735644696550455</v>
      </c>
      <c r="X152" s="154">
        <f t="shared" si="62"/>
        <v>0.13181766278515336</v>
      </c>
      <c r="Y152" s="154">
        <f t="shared" si="62"/>
        <v>0.11934651828164199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7.7647558403159331E-3</v>
      </c>
      <c r="C153" s="103">
        <f t="shared" si="63"/>
        <v>7.639307420149781E-3</v>
      </c>
      <c r="D153" s="103">
        <f t="shared" si="63"/>
        <v>7.5893905346530949E-3</v>
      </c>
      <c r="E153" s="103">
        <f t="shared" si="63"/>
        <v>7.5864700706573555E-3</v>
      </c>
      <c r="F153" s="103">
        <f t="shared" si="63"/>
        <v>7.2689773665345313E-3</v>
      </c>
      <c r="G153" s="103">
        <f t="shared" si="63"/>
        <v>7.3244664554027849E-3</v>
      </c>
      <c r="H153" s="103">
        <f t="shared" si="63"/>
        <v>7.1118094655574695E-3</v>
      </c>
      <c r="I153" s="103">
        <f t="shared" si="63"/>
        <v>6.1022721119834552E-3</v>
      </c>
      <c r="J153" s="103">
        <f t="shared" si="63"/>
        <v>6.1146562810965458E-3</v>
      </c>
      <c r="K153" s="103">
        <f t="shared" si="63"/>
        <v>5.9672553055036357E-3</v>
      </c>
      <c r="L153" s="103">
        <f t="shared" ref="L153" si="64">IF(L35=0,0,L35/L$17)</f>
        <v>5.8807846625864909E-3</v>
      </c>
      <c r="M153" s="103">
        <f t="shared" ref="M153:V153" si="65">IF(M35=0,0,M35/M$17)</f>
        <v>5.9382394330347197E-3</v>
      </c>
      <c r="N153" s="103">
        <f t="shared" si="65"/>
        <v>5.6133623301835994E-3</v>
      </c>
      <c r="O153" s="103">
        <f t="shared" si="65"/>
        <v>5.4200160090990832E-3</v>
      </c>
      <c r="P153" s="103">
        <f t="shared" si="65"/>
        <v>4.943123827079449E-3</v>
      </c>
      <c r="Q153" s="103">
        <f t="shared" si="65"/>
        <v>4.6387906512773925E-3</v>
      </c>
      <c r="R153" s="103">
        <f t="shared" si="65"/>
        <v>4.5222283355648586E-3</v>
      </c>
      <c r="S153" s="103">
        <f t="shared" si="65"/>
        <v>4.4442611347066787E-3</v>
      </c>
      <c r="T153" s="103">
        <f t="shared" si="65"/>
        <v>4.1556735396756179E-3</v>
      </c>
      <c r="U153" s="103">
        <f t="shared" si="65"/>
        <v>4.1489373751524422E-3</v>
      </c>
      <c r="V153" s="103">
        <f t="shared" si="65"/>
        <v>5.196768681073668E-3</v>
      </c>
      <c r="W153" s="103">
        <f t="shared" ref="W153:Y153" si="66">IF(W35=0,0,W35/W$17)</f>
        <v>4.3578388750481209E-3</v>
      </c>
      <c r="X153" s="103">
        <f t="shared" si="66"/>
        <v>4.3982702795391012E-3</v>
      </c>
      <c r="Y153" s="103">
        <f t="shared" si="66"/>
        <v>4.5677226661319219E-3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0.19679043375598088</v>
      </c>
      <c r="C154" s="103">
        <f t="shared" si="67"/>
        <v>0.1731809787107044</v>
      </c>
      <c r="D154" s="103">
        <f t="shared" si="67"/>
        <v>0.16848186663988154</v>
      </c>
      <c r="E154" s="103">
        <f t="shared" si="67"/>
        <v>0.17697920322785446</v>
      </c>
      <c r="F154" s="103">
        <f t="shared" si="67"/>
        <v>0.18094921758820001</v>
      </c>
      <c r="G154" s="103">
        <f t="shared" si="67"/>
        <v>0.19664273831653595</v>
      </c>
      <c r="H154" s="103">
        <f t="shared" si="67"/>
        <v>0.16691477955528886</v>
      </c>
      <c r="I154" s="103">
        <f t="shared" si="67"/>
        <v>0.17683719998996286</v>
      </c>
      <c r="J154" s="103">
        <f t="shared" si="67"/>
        <v>0.17884496400016522</v>
      </c>
      <c r="K154" s="103">
        <f t="shared" si="67"/>
        <v>0.17761850797464113</v>
      </c>
      <c r="L154" s="103">
        <f t="shared" ref="L154" si="68">IF(L36=0,0,L36/L$17)</f>
        <v>0.19122341927614231</v>
      </c>
      <c r="M154" s="103">
        <f t="shared" ref="M154:V154" si="69">IF(M36=0,0,M36/M$17)</f>
        <v>0.19488717167029027</v>
      </c>
      <c r="N154" s="103">
        <f t="shared" si="69"/>
        <v>0.18057068661102316</v>
      </c>
      <c r="O154" s="103">
        <f t="shared" si="69"/>
        <v>0.15970615055280343</v>
      </c>
      <c r="P154" s="103">
        <f t="shared" si="69"/>
        <v>0.15639723816556669</v>
      </c>
      <c r="Q154" s="103">
        <f t="shared" si="69"/>
        <v>0.12590467768601715</v>
      </c>
      <c r="R154" s="103">
        <f t="shared" si="69"/>
        <v>0.11903609295502948</v>
      </c>
      <c r="S154" s="103">
        <f t="shared" si="69"/>
        <v>0.12489494467029234</v>
      </c>
      <c r="T154" s="103">
        <f t="shared" si="69"/>
        <v>0.12426669581976758</v>
      </c>
      <c r="U154" s="103">
        <f t="shared" si="69"/>
        <v>0.12494914964354399</v>
      </c>
      <c r="V154" s="103">
        <f t="shared" si="69"/>
        <v>0.14838088876163766</v>
      </c>
      <c r="W154" s="103">
        <f t="shared" ref="W154:Y154" si="70">IF(W36=0,0,W36/W$17)</f>
        <v>0.14880950190918948</v>
      </c>
      <c r="X154" s="103">
        <f t="shared" si="70"/>
        <v>0.12404896072511482</v>
      </c>
      <c r="Y154" s="103">
        <f t="shared" si="70"/>
        <v>0.11134460646639861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2.4963620592938885E-4</v>
      </c>
      <c r="C155" s="103">
        <f t="shared" si="71"/>
        <v>2.6032713391065375E-4</v>
      </c>
      <c r="D155" s="103">
        <f t="shared" si="71"/>
        <v>2.7652304475098513E-4</v>
      </c>
      <c r="E155" s="103">
        <f t="shared" si="71"/>
        <v>2.9694278481182308E-4</v>
      </c>
      <c r="F155" s="103">
        <f t="shared" si="71"/>
        <v>3.0603660305905618E-4</v>
      </c>
      <c r="G155" s="103">
        <f t="shared" si="71"/>
        <v>3.3260925989510206E-4</v>
      </c>
      <c r="H155" s="103">
        <f t="shared" si="71"/>
        <v>3.3727509854055083E-4</v>
      </c>
      <c r="I155" s="103">
        <f t="shared" si="71"/>
        <v>3.246960629329127E-4</v>
      </c>
      <c r="J155" s="103">
        <f t="shared" si="71"/>
        <v>3.9970812156708894E-4</v>
      </c>
      <c r="K155" s="103">
        <f t="shared" si="71"/>
        <v>5.2887400375505706E-4</v>
      </c>
      <c r="L155" s="103">
        <f t="shared" ref="L155" si="72">IF(L37=0,0,L37/L$17)</f>
        <v>6.8209482744967004E-4</v>
      </c>
      <c r="M155" s="103">
        <f t="shared" ref="M155:V155" si="73">IF(M37=0,0,M37/M$17)</f>
        <v>7.522213674601197E-4</v>
      </c>
      <c r="N155" s="103">
        <f t="shared" si="73"/>
        <v>8.3807762417884794E-4</v>
      </c>
      <c r="O155" s="103">
        <f t="shared" si="73"/>
        <v>8.7224169244974441E-4</v>
      </c>
      <c r="P155" s="103">
        <f t="shared" si="73"/>
        <v>8.7570965453735413E-4</v>
      </c>
      <c r="Q155" s="103">
        <f t="shared" si="73"/>
        <v>8.7351674542599888E-4</v>
      </c>
      <c r="R155" s="103">
        <f t="shared" si="73"/>
        <v>8.4406852668243921E-4</v>
      </c>
      <c r="S155" s="103">
        <f t="shared" si="73"/>
        <v>8.9007870248328138E-4</v>
      </c>
      <c r="T155" s="103">
        <f t="shared" si="73"/>
        <v>8.4583011442513256E-4</v>
      </c>
      <c r="U155" s="103">
        <f t="shared" si="73"/>
        <v>8.9409718150569876E-4</v>
      </c>
      <c r="V155" s="103">
        <f t="shared" si="73"/>
        <v>1.1259989735789388E-3</v>
      </c>
      <c r="W155" s="103">
        <f t="shared" ref="W155:Y155" si="74">IF(W37=0,0,W37/W$17)</f>
        <v>1.0904481996176899E-3</v>
      </c>
      <c r="X155" s="103">
        <f t="shared" si="74"/>
        <v>8.6200621806347744E-4</v>
      </c>
      <c r="Y155" s="103">
        <f t="shared" si="74"/>
        <v>8.9635878013196943E-4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3.1101281203908685E-4</v>
      </c>
      <c r="C156" s="103">
        <f t="shared" si="75"/>
        <v>3.3079367507894019E-4</v>
      </c>
      <c r="D156" s="103">
        <f t="shared" si="75"/>
        <v>3.6210164824310761E-4</v>
      </c>
      <c r="E156" s="103">
        <f t="shared" si="75"/>
        <v>4.0217053381897739E-4</v>
      </c>
      <c r="F156" s="103">
        <f t="shared" si="75"/>
        <v>4.3216004702855857E-4</v>
      </c>
      <c r="G156" s="103">
        <f t="shared" si="75"/>
        <v>4.9287372666458962E-4</v>
      </c>
      <c r="H156" s="103">
        <f t="shared" si="75"/>
        <v>5.3975572915267135E-4</v>
      </c>
      <c r="I156" s="103">
        <f t="shared" si="75"/>
        <v>5.3686131920151496E-4</v>
      </c>
      <c r="J156" s="103">
        <f t="shared" si="75"/>
        <v>7.6519259700454155E-4</v>
      </c>
      <c r="K156" s="103">
        <f t="shared" si="75"/>
        <v>1.0386810372888112E-3</v>
      </c>
      <c r="L156" s="103">
        <f t="shared" ref="L156" si="76">IF(L38=0,0,L38/L$17)</f>
        <v>1.733910224573192E-3</v>
      </c>
      <c r="M156" s="103">
        <f t="shared" ref="M156:V156" si="77">IF(M38=0,0,M38/M$17)</f>
        <v>1.684333506626477E-3</v>
      </c>
      <c r="N156" s="103">
        <f t="shared" si="77"/>
        <v>2.3270143862478485E-3</v>
      </c>
      <c r="O156" s="103">
        <f t="shared" si="77"/>
        <v>2.4371080674334641E-3</v>
      </c>
      <c r="P156" s="103">
        <f t="shared" si="77"/>
        <v>2.3823594470288273E-3</v>
      </c>
      <c r="Q156" s="103">
        <f t="shared" si="77"/>
        <v>2.4452959278468819E-3</v>
      </c>
      <c r="R156" s="103">
        <f t="shared" si="77"/>
        <v>2.5192996508257939E-3</v>
      </c>
      <c r="S156" s="103">
        <f t="shared" si="77"/>
        <v>2.3838193026590035E-3</v>
      </c>
      <c r="T156" s="103">
        <f t="shared" si="77"/>
        <v>2.1848820789250631E-3</v>
      </c>
      <c r="U156" s="103">
        <f t="shared" si="77"/>
        <v>2.6547233004135195E-3</v>
      </c>
      <c r="V156" s="103">
        <f t="shared" si="77"/>
        <v>3.3291428912081357E-3</v>
      </c>
      <c r="W156" s="103">
        <f t="shared" ref="W156:Y156" si="78">IF(W38=0,0,W38/W$17)</f>
        <v>3.0986579816492791E-3</v>
      </c>
      <c r="X156" s="103">
        <f t="shared" si="78"/>
        <v>2.5084255624359549E-3</v>
      </c>
      <c r="Y156" s="103">
        <f t="shared" si="78"/>
        <v>2.5378303689794855E-3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7.1353174245102069E-2</v>
      </c>
      <c r="C158" s="156">
        <f t="shared" si="83"/>
        <v>0.10382981751746721</v>
      </c>
      <c r="D158" s="156">
        <f t="shared" si="83"/>
        <v>0.10243020926123399</v>
      </c>
      <c r="E158" s="156">
        <f t="shared" si="83"/>
        <v>9.9520113006758046E-2</v>
      </c>
      <c r="F158" s="156">
        <f t="shared" si="83"/>
        <v>0.10262839842693923</v>
      </c>
      <c r="G158" s="156">
        <f t="shared" si="83"/>
        <v>0.10949417132840662</v>
      </c>
      <c r="H158" s="156">
        <f t="shared" si="83"/>
        <v>0.12329293288395168</v>
      </c>
      <c r="I158" s="156">
        <f t="shared" si="83"/>
        <v>0.12118572037225442</v>
      </c>
      <c r="J158" s="156">
        <f t="shared" si="83"/>
        <v>9.7449118256308823E-2</v>
      </c>
      <c r="K158" s="156">
        <f t="shared" si="83"/>
        <v>7.4745695621305272E-2</v>
      </c>
      <c r="L158" s="156">
        <f t="shared" ref="L158" si="84">IF(L40=0,0,L40/L$17)</f>
        <v>7.1669387745042001E-2</v>
      </c>
      <c r="M158" s="156">
        <f t="shared" ref="M158:V158" si="85">IF(M40=0,0,M40/M$17)</f>
        <v>7.8668754386994319E-2</v>
      </c>
      <c r="N158" s="156">
        <f t="shared" si="85"/>
        <v>0.10046506965863347</v>
      </c>
      <c r="O158" s="156">
        <f t="shared" si="85"/>
        <v>8.3859190077751208E-2</v>
      </c>
      <c r="P158" s="156">
        <f t="shared" si="85"/>
        <v>7.849517926561056E-2</v>
      </c>
      <c r="Q158" s="156">
        <f t="shared" si="85"/>
        <v>8.7491021058237195E-2</v>
      </c>
      <c r="R158" s="156">
        <f t="shared" si="85"/>
        <v>7.7068536861318537E-2</v>
      </c>
      <c r="S158" s="156">
        <f t="shared" si="85"/>
        <v>4.9134251443048657E-2</v>
      </c>
      <c r="T158" s="156">
        <f t="shared" si="85"/>
        <v>8.0457554904753564E-2</v>
      </c>
      <c r="U158" s="156">
        <f t="shared" si="85"/>
        <v>8.0789472446985172E-2</v>
      </c>
      <c r="V158" s="156">
        <f t="shared" si="85"/>
        <v>7.8906028337088222E-2</v>
      </c>
      <c r="W158" s="156">
        <f t="shared" ref="W158:Y158" si="86">IF(W40=0,0,W40/W$17)</f>
        <v>0.11611797300371951</v>
      </c>
      <c r="X158" s="156">
        <f t="shared" si="86"/>
        <v>0.15392769600852652</v>
      </c>
      <c r="Y158" s="156">
        <f t="shared" si="86"/>
        <v>0.15503793429359788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6.0900686942781564E-2</v>
      </c>
      <c r="C159" s="103">
        <f t="shared" si="87"/>
        <v>8.7287216929063202E-2</v>
      </c>
      <c r="D159" s="103">
        <f t="shared" si="87"/>
        <v>8.5442257163361457E-2</v>
      </c>
      <c r="E159" s="103">
        <f t="shared" si="87"/>
        <v>8.2329327994318677E-2</v>
      </c>
      <c r="F159" s="103">
        <f t="shared" si="87"/>
        <v>8.5083944547901455E-2</v>
      </c>
      <c r="G159" s="103">
        <f t="shared" si="87"/>
        <v>9.0742898151971632E-2</v>
      </c>
      <c r="H159" s="103">
        <f t="shared" si="87"/>
        <v>9.7871602260989135E-2</v>
      </c>
      <c r="I159" s="103">
        <f t="shared" si="87"/>
        <v>9.6836819285778988E-2</v>
      </c>
      <c r="J159" s="103">
        <f t="shared" si="87"/>
        <v>7.6549634337652106E-2</v>
      </c>
      <c r="K159" s="103">
        <f t="shared" si="87"/>
        <v>6.0231796823201823E-2</v>
      </c>
      <c r="L159" s="103">
        <f t="shared" ref="L159" si="88">IF(L41=0,0,L41/L$17)</f>
        <v>5.71308296859767E-2</v>
      </c>
      <c r="M159" s="103">
        <f t="shared" ref="M159:V159" si="89">IF(M41=0,0,M41/M$17)</f>
        <v>6.2464382580000616E-2</v>
      </c>
      <c r="N159" s="103">
        <f t="shared" si="89"/>
        <v>7.8842592605381762E-2</v>
      </c>
      <c r="O159" s="103">
        <f t="shared" si="89"/>
        <v>6.4963193402219399E-2</v>
      </c>
      <c r="P159" s="103">
        <f t="shared" si="89"/>
        <v>5.9378402698641704E-2</v>
      </c>
      <c r="Q159" s="103">
        <f t="shared" si="89"/>
        <v>6.6214658411215738E-2</v>
      </c>
      <c r="R159" s="103">
        <f t="shared" si="89"/>
        <v>5.7225262776477138E-2</v>
      </c>
      <c r="S159" s="103">
        <f t="shared" si="89"/>
        <v>3.5682180189601898E-2</v>
      </c>
      <c r="T159" s="103">
        <f t="shared" si="89"/>
        <v>5.9043286663523542E-2</v>
      </c>
      <c r="U159" s="103">
        <f t="shared" si="89"/>
        <v>5.9227990200804652E-2</v>
      </c>
      <c r="V159" s="103">
        <f t="shared" si="89"/>
        <v>5.7420766845812175E-2</v>
      </c>
      <c r="W159" s="103">
        <f t="shared" ref="W159:Y159" si="90">IF(W41=0,0,W41/W$17)</f>
        <v>8.3346345510961831E-2</v>
      </c>
      <c r="X159" s="103">
        <f t="shared" si="90"/>
        <v>0.11056688710880305</v>
      </c>
      <c r="Y159" s="103">
        <f t="shared" si="90"/>
        <v>0.11299910063215442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1.0452487302320507E-2</v>
      </c>
      <c r="C160" s="105">
        <f t="shared" si="91"/>
        <v>1.6542600588404011E-2</v>
      </c>
      <c r="D160" s="105">
        <f t="shared" si="91"/>
        <v>1.6987952097872527E-2</v>
      </c>
      <c r="E160" s="105">
        <f t="shared" si="91"/>
        <v>1.7190785012439369E-2</v>
      </c>
      <c r="F160" s="105">
        <f t="shared" si="91"/>
        <v>1.7544453879037764E-2</v>
      </c>
      <c r="G160" s="105">
        <f t="shared" si="91"/>
        <v>1.8751273176434987E-2</v>
      </c>
      <c r="H160" s="105">
        <f t="shared" si="91"/>
        <v>2.5421330622962555E-2</v>
      </c>
      <c r="I160" s="105">
        <f t="shared" si="91"/>
        <v>2.4348901086475441E-2</v>
      </c>
      <c r="J160" s="105">
        <f t="shared" si="91"/>
        <v>2.0899483918656717E-2</v>
      </c>
      <c r="K160" s="105">
        <f t="shared" si="91"/>
        <v>1.451389879810345E-2</v>
      </c>
      <c r="L160" s="105">
        <f t="shared" ref="L160" si="92">IF(L42=0,0,L42/L$17)</f>
        <v>1.4538558059065305E-2</v>
      </c>
      <c r="M160" s="105">
        <f t="shared" ref="M160:V160" si="93">IF(M42=0,0,M42/M$17)</f>
        <v>1.6204371806993696E-2</v>
      </c>
      <c r="N160" s="105">
        <f t="shared" si="93"/>
        <v>2.1622477053251706E-2</v>
      </c>
      <c r="O160" s="105">
        <f t="shared" si="93"/>
        <v>1.8895996675531813E-2</v>
      </c>
      <c r="P160" s="105">
        <f t="shared" si="93"/>
        <v>1.9116776566968856E-2</v>
      </c>
      <c r="Q160" s="105">
        <f t="shared" si="93"/>
        <v>2.1276362647021468E-2</v>
      </c>
      <c r="R160" s="105">
        <f t="shared" si="93"/>
        <v>1.9843274084841395E-2</v>
      </c>
      <c r="S160" s="105">
        <f t="shared" si="93"/>
        <v>1.3452071253446763E-2</v>
      </c>
      <c r="T160" s="105">
        <f t="shared" si="93"/>
        <v>2.1414268241230015E-2</v>
      </c>
      <c r="U160" s="105">
        <f t="shared" si="93"/>
        <v>2.156148224618052E-2</v>
      </c>
      <c r="V160" s="105">
        <f t="shared" si="93"/>
        <v>2.1485261491276039E-2</v>
      </c>
      <c r="W160" s="105">
        <f t="shared" ref="W160:Y160" si="94">IF(W42=0,0,W42/W$17)</f>
        <v>3.277162749275768E-2</v>
      </c>
      <c r="X160" s="105">
        <f t="shared" si="94"/>
        <v>4.3360808899723477E-2</v>
      </c>
      <c r="Y160" s="105">
        <f t="shared" si="94"/>
        <v>4.2038833661443453E-2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45373265</v>
      </c>
      <c r="C3" s="54">
        <f>TrRoad_act!C57</f>
        <v>46377058</v>
      </c>
      <c r="D3" s="54">
        <f>TrRoad_act!D57</f>
        <v>47489614</v>
      </c>
      <c r="E3" s="54">
        <f>TrRoad_act!E57</f>
        <v>48545400</v>
      </c>
      <c r="F3" s="54">
        <f>TrRoad_act!F57</f>
        <v>48367461</v>
      </c>
      <c r="G3" s="54">
        <f>TrRoad_act!G57</f>
        <v>49268882</v>
      </c>
      <c r="H3" s="54">
        <f>TrRoad_act!H57</f>
        <v>49994858</v>
      </c>
      <c r="I3" s="54">
        <f>TrRoad_act!I57</f>
        <v>50366689</v>
      </c>
      <c r="J3" s="54">
        <f>TrRoad_act!J57</f>
        <v>50703654</v>
      </c>
      <c r="K3" s="54">
        <f>TrRoad_act!K57</f>
        <v>50830357</v>
      </c>
      <c r="L3" s="54">
        <f>TrRoad_act!L57</f>
        <v>52163278</v>
      </c>
      <c r="M3" s="54">
        <f>TrRoad_act!M57</f>
        <v>52350573</v>
      </c>
      <c r="N3" s="54">
        <f>TrRoad_act!N57</f>
        <v>51935482</v>
      </c>
      <c r="O3" s="54">
        <f>TrRoad_act!O57</f>
        <v>52021766</v>
      </c>
      <c r="P3" s="54">
        <f>TrRoad_act!P57</f>
        <v>52417177</v>
      </c>
      <c r="Q3" s="54">
        <f>TrRoad_act!Q57</f>
        <v>52989589</v>
      </c>
      <c r="R3" s="54">
        <f>TrRoad_act!R57</f>
        <v>53496612</v>
      </c>
      <c r="S3" s="54">
        <f>TrRoad_act!S57</f>
        <v>53833841</v>
      </c>
      <c r="T3" s="54">
        <f>TrRoad_act!T57</f>
        <v>54004255</v>
      </c>
      <c r="U3" s="54">
        <f>TrRoad_act!U57</f>
        <v>54752283</v>
      </c>
      <c r="V3" s="54">
        <f>TrRoad_act!V57</f>
        <v>55087095</v>
      </c>
      <c r="W3" s="54">
        <f>TrRoad_act!W57</f>
        <v>55356565</v>
      </c>
      <c r="X3" s="54">
        <f>TrRoad_act!X57</f>
        <v>55771435</v>
      </c>
      <c r="Y3" s="54">
        <f>TrRoad_act!Y57</f>
        <v>56807648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41815984</v>
      </c>
      <c r="C4" s="28">
        <f>TrRoad_act!C58</f>
        <v>42652365</v>
      </c>
      <c r="D4" s="28">
        <f>TrRoad_act!D58</f>
        <v>43538591</v>
      </c>
      <c r="E4" s="28">
        <f>TrRoad_act!E58</f>
        <v>44409470</v>
      </c>
      <c r="F4" s="28">
        <f>TrRoad_act!F58</f>
        <v>44171891</v>
      </c>
      <c r="G4" s="28">
        <f>TrRoad_act!G58</f>
        <v>44911427</v>
      </c>
      <c r="H4" s="28">
        <f>TrRoad_act!H58</f>
        <v>45479444</v>
      </c>
      <c r="I4" s="28">
        <f>TrRoad_act!I58</f>
        <v>45753899</v>
      </c>
      <c r="J4" s="28">
        <f>TrRoad_act!J58</f>
        <v>46004010</v>
      </c>
      <c r="K4" s="28">
        <f>TrRoad_act!K58</f>
        <v>46093707</v>
      </c>
      <c r="L4" s="28">
        <f>TrRoad_act!L58</f>
        <v>47384206</v>
      </c>
      <c r="M4" s="28">
        <f>TrRoad_act!M58</f>
        <v>47526568</v>
      </c>
      <c r="N4" s="28">
        <f>TrRoad_act!N58</f>
        <v>47117142</v>
      </c>
      <c r="O4" s="28">
        <f>TrRoad_act!O58</f>
        <v>47244475</v>
      </c>
      <c r="P4" s="28">
        <f>TrRoad_act!P58</f>
        <v>47637942</v>
      </c>
      <c r="Q4" s="28">
        <f>TrRoad_act!Q58</f>
        <v>48176183</v>
      </c>
      <c r="R4" s="28">
        <f>TrRoad_act!R58</f>
        <v>48666574</v>
      </c>
      <c r="S4" s="28">
        <f>TrRoad_act!S58</f>
        <v>48968923</v>
      </c>
      <c r="T4" s="28">
        <f>TrRoad_act!T58</f>
        <v>49081816</v>
      </c>
      <c r="U4" s="28">
        <f>TrRoad_act!U58</f>
        <v>49775775</v>
      </c>
      <c r="V4" s="28">
        <f>TrRoad_act!V58</f>
        <v>50057520</v>
      </c>
      <c r="W4" s="28">
        <f>TrRoad_act!W58</f>
        <v>50261073</v>
      </c>
      <c r="X4" s="28">
        <f>TrRoad_act!X58</f>
        <v>50606615</v>
      </c>
      <c r="Y4" s="28">
        <f>TrRoad_act!Y58</f>
        <v>51520155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8942816</v>
      </c>
      <c r="C5" s="137">
        <f>TrRoad_act!C59</f>
        <v>9323507</v>
      </c>
      <c r="D5" s="137">
        <f>TrRoad_act!D59</f>
        <v>9740875</v>
      </c>
      <c r="E5" s="137">
        <f>TrRoad_act!E59</f>
        <v>10006769</v>
      </c>
      <c r="F5" s="137">
        <f>TrRoad_act!F59</f>
        <v>10106017</v>
      </c>
      <c r="G5" s="137">
        <f>TrRoad_act!G59</f>
        <v>10149990</v>
      </c>
      <c r="H5" s="137">
        <f>TrRoad_act!H59</f>
        <v>10086345</v>
      </c>
      <c r="I5" s="137">
        <f>TrRoad_act!I59</f>
        <v>9977480</v>
      </c>
      <c r="J5" s="137">
        <f>TrRoad_act!J59</f>
        <v>9801413</v>
      </c>
      <c r="K5" s="137">
        <f>TrRoad_act!K59</f>
        <v>9624183</v>
      </c>
      <c r="L5" s="137">
        <f>TrRoad_act!L59</f>
        <v>9758349</v>
      </c>
      <c r="M5" s="137">
        <f>TrRoad_act!M59</f>
        <v>9684151</v>
      </c>
      <c r="N5" s="137">
        <f>TrRoad_act!N59</f>
        <v>9093076</v>
      </c>
      <c r="O5" s="137">
        <f>TrRoad_act!O59</f>
        <v>9266569</v>
      </c>
      <c r="P5" s="137">
        <f>TrRoad_act!P59</f>
        <v>9423418</v>
      </c>
      <c r="Q5" s="137">
        <f>TrRoad_act!Q59</f>
        <v>9578483</v>
      </c>
      <c r="R5" s="137">
        <f>TrRoad_act!R59</f>
        <v>9696587</v>
      </c>
      <c r="S5" s="137">
        <f>TrRoad_act!S59</f>
        <v>9831254</v>
      </c>
      <c r="T5" s="137">
        <f>TrRoad_act!T59</f>
        <v>9967662</v>
      </c>
      <c r="U5" s="137">
        <f>TrRoad_act!U59</f>
        <v>10134457</v>
      </c>
      <c r="V5" s="137">
        <f>TrRoad_act!V59</f>
        <v>10243815</v>
      </c>
      <c r="W5" s="137">
        <f>TrRoad_act!W59</f>
        <v>10342216</v>
      </c>
      <c r="X5" s="137">
        <f>TrRoad_act!X59</f>
        <v>10297597</v>
      </c>
      <c r="Y5" s="137">
        <f>TrRoad_act!Y59</f>
        <v>10508908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32785000</v>
      </c>
      <c r="C6" s="110">
        <f>TrRoad_act!C60</f>
        <v>33239000</v>
      </c>
      <c r="D6" s="110">
        <f>TrRoad_act!D60</f>
        <v>33706000</v>
      </c>
      <c r="E6" s="110">
        <f>TrRoad_act!E60</f>
        <v>34310000</v>
      </c>
      <c r="F6" s="110">
        <f>TrRoad_act!F60</f>
        <v>33973000</v>
      </c>
      <c r="G6" s="110">
        <f>TrRoad_act!G60</f>
        <v>34667000</v>
      </c>
      <c r="H6" s="110">
        <f>TrRoad_act!H60</f>
        <v>35297000</v>
      </c>
      <c r="I6" s="110">
        <f>TrRoad_act!I60</f>
        <v>35680000</v>
      </c>
      <c r="J6" s="110">
        <f>TrRoad_act!J60</f>
        <v>36105000</v>
      </c>
      <c r="K6" s="110">
        <f>TrRoad_act!K60</f>
        <v>36372000</v>
      </c>
      <c r="L6" s="110">
        <f>TrRoad_act!L60</f>
        <v>37528616</v>
      </c>
      <c r="M6" s="110">
        <f>TrRoad_act!M60</f>
        <v>37743940</v>
      </c>
      <c r="N6" s="110">
        <f>TrRoad_act!N60</f>
        <v>37927910</v>
      </c>
      <c r="O6" s="110">
        <f>TrRoad_act!O60</f>
        <v>37883046</v>
      </c>
      <c r="P6" s="110">
        <f>TrRoad_act!P60</f>
        <v>38120255</v>
      </c>
      <c r="Q6" s="110">
        <f>TrRoad_act!Q60</f>
        <v>38503684</v>
      </c>
      <c r="R6" s="110">
        <f>TrRoad_act!R60</f>
        <v>38876138</v>
      </c>
      <c r="S6" s="110">
        <f>TrRoad_act!S60</f>
        <v>39042589</v>
      </c>
      <c r="T6" s="110">
        <f>TrRoad_act!T60</f>
        <v>39018170</v>
      </c>
      <c r="U6" s="110">
        <f>TrRoad_act!U60</f>
        <v>39545232</v>
      </c>
      <c r="V6" s="110">
        <f>TrRoad_act!V60</f>
        <v>39717874</v>
      </c>
      <c r="W6" s="110">
        <f>TrRoad_act!W60</f>
        <v>39822723</v>
      </c>
      <c r="X6" s="110">
        <f>TrRoad_act!X60</f>
        <v>40213061</v>
      </c>
      <c r="Y6" s="110">
        <f>TrRoad_act!Y60</f>
        <v>40915229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26204297</v>
      </c>
      <c r="C7" s="84">
        <f>TrRoad_act!C61</f>
        <v>25904935</v>
      </c>
      <c r="D7" s="84">
        <f>TrRoad_act!D61</f>
        <v>25606831</v>
      </c>
      <c r="E7" s="84">
        <f>TrRoad_act!E61</f>
        <v>25216710</v>
      </c>
      <c r="F7" s="84">
        <f>TrRoad_act!F61</f>
        <v>23812322</v>
      </c>
      <c r="G7" s="84">
        <f>TrRoad_act!G61</f>
        <v>23180516</v>
      </c>
      <c r="H7" s="84">
        <f>TrRoad_act!H61</f>
        <v>22568800</v>
      </c>
      <c r="I7" s="84">
        <f>TrRoad_act!I61</f>
        <v>21875940</v>
      </c>
      <c r="J7" s="84">
        <f>TrRoad_act!J61</f>
        <v>21528895</v>
      </c>
      <c r="K7" s="84">
        <f>TrRoad_act!K61</f>
        <v>20922591</v>
      </c>
      <c r="L7" s="84">
        <f>TrRoad_act!L61</f>
        <v>20916824</v>
      </c>
      <c r="M7" s="84">
        <f>TrRoad_act!M61</f>
        <v>20546761</v>
      </c>
      <c r="N7" s="84">
        <f>TrRoad_act!N61</f>
        <v>20249559</v>
      </c>
      <c r="O7" s="84">
        <f>TrRoad_act!O61</f>
        <v>19836530</v>
      </c>
      <c r="P7" s="84">
        <f>TrRoad_act!P61</f>
        <v>19530504</v>
      </c>
      <c r="Q7" s="84">
        <f>TrRoad_act!Q61</f>
        <v>19196617</v>
      </c>
      <c r="R7" s="84">
        <f>TrRoad_act!R61</f>
        <v>19153225</v>
      </c>
      <c r="S7" s="84">
        <f>TrRoad_act!S61</f>
        <v>18930495</v>
      </c>
      <c r="T7" s="84">
        <f>TrRoad_act!T61</f>
        <v>18304564</v>
      </c>
      <c r="U7" s="84">
        <f>TrRoad_act!U61</f>
        <v>18505986</v>
      </c>
      <c r="V7" s="84">
        <f>TrRoad_act!V61</f>
        <v>18570864</v>
      </c>
      <c r="W7" s="84">
        <f>TrRoad_act!W61</f>
        <v>18544345</v>
      </c>
      <c r="X7" s="84">
        <f>TrRoad_act!X61</f>
        <v>18701671</v>
      </c>
      <c r="Y7" s="84">
        <f>TrRoad_act!Y61</f>
        <v>19072999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4799703</v>
      </c>
      <c r="C8" s="84">
        <f>TrRoad_act!C62</f>
        <v>5506065</v>
      </c>
      <c r="D8" s="84">
        <f>TrRoad_act!D62</f>
        <v>6366169</v>
      </c>
      <c r="E8" s="84">
        <f>TrRoad_act!E62</f>
        <v>7344088</v>
      </c>
      <c r="F8" s="84">
        <f>TrRoad_act!F62</f>
        <v>8469678</v>
      </c>
      <c r="G8" s="84">
        <f>TrRoad_act!G62</f>
        <v>9667334</v>
      </c>
      <c r="H8" s="84">
        <f>TrRoad_act!H62</f>
        <v>10840049</v>
      </c>
      <c r="I8" s="84">
        <f>TrRoad_act!I62</f>
        <v>11896958</v>
      </c>
      <c r="J8" s="84">
        <f>TrRoad_act!J62</f>
        <v>12729152</v>
      </c>
      <c r="K8" s="84">
        <f>TrRoad_act!K62</f>
        <v>13363409</v>
      </c>
      <c r="L8" s="84">
        <f>TrRoad_act!L62</f>
        <v>14194111</v>
      </c>
      <c r="M8" s="84">
        <f>TrRoad_act!M62</f>
        <v>14731252</v>
      </c>
      <c r="N8" s="84">
        <f>TrRoad_act!N62</f>
        <v>15081965</v>
      </c>
      <c r="O8" s="84">
        <f>TrRoad_act!O62</f>
        <v>15304722</v>
      </c>
      <c r="P8" s="84">
        <f>TrRoad_act!P62</f>
        <v>15668930</v>
      </c>
      <c r="Q8" s="84">
        <f>TrRoad_act!Q62</f>
        <v>16240488</v>
      </c>
      <c r="R8" s="84">
        <f>TrRoad_act!R62</f>
        <v>16540144</v>
      </c>
      <c r="S8" s="84">
        <f>TrRoad_act!S62</f>
        <v>16822633</v>
      </c>
      <c r="T8" s="84">
        <f>TrRoad_act!T62</f>
        <v>17296156</v>
      </c>
      <c r="U8" s="84">
        <f>TrRoad_act!U62</f>
        <v>17491485</v>
      </c>
      <c r="V8" s="84">
        <f>TrRoad_act!V62</f>
        <v>17556388</v>
      </c>
      <c r="W8" s="84">
        <f>TrRoad_act!W62</f>
        <v>17534029</v>
      </c>
      <c r="X8" s="84">
        <f>TrRoad_act!X62</f>
        <v>17658582</v>
      </c>
      <c r="Y8" s="84">
        <f>TrRoad_act!Y62</f>
        <v>17836557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1492000</v>
      </c>
      <c r="C9" s="84">
        <f>TrRoad_act!C63</f>
        <v>1493000</v>
      </c>
      <c r="D9" s="84">
        <f>TrRoad_act!D63</f>
        <v>1398000</v>
      </c>
      <c r="E9" s="84">
        <f>TrRoad_act!E63</f>
        <v>1410000</v>
      </c>
      <c r="F9" s="84">
        <f>TrRoad_act!F63</f>
        <v>1375000</v>
      </c>
      <c r="G9" s="84">
        <f>TrRoad_act!G63</f>
        <v>1464150</v>
      </c>
      <c r="H9" s="84">
        <f>TrRoad_act!H63</f>
        <v>1483151</v>
      </c>
      <c r="I9" s="84">
        <f>TrRoad_act!I63</f>
        <v>1453102</v>
      </c>
      <c r="J9" s="84">
        <f>TrRoad_act!J63</f>
        <v>1340953</v>
      </c>
      <c r="K9" s="84">
        <f>TrRoad_act!K63</f>
        <v>1474000</v>
      </c>
      <c r="L9" s="84">
        <f>TrRoad_act!L63</f>
        <v>1753000</v>
      </c>
      <c r="M9" s="84">
        <f>TrRoad_act!M63</f>
        <v>1776000</v>
      </c>
      <c r="N9" s="84">
        <f>TrRoad_act!N63</f>
        <v>1867000</v>
      </c>
      <c r="O9" s="84">
        <f>TrRoad_act!O63</f>
        <v>1943722</v>
      </c>
      <c r="P9" s="84">
        <f>TrRoad_act!P63</f>
        <v>2042000</v>
      </c>
      <c r="Q9" s="84">
        <f>TrRoad_act!Q63</f>
        <v>2137078</v>
      </c>
      <c r="R9" s="84">
        <f>TrRoad_act!R63</f>
        <v>2222873</v>
      </c>
      <c r="S9" s="84">
        <f>TrRoad_act!S63</f>
        <v>2309020</v>
      </c>
      <c r="T9" s="84">
        <f>TrRoad_act!T63</f>
        <v>2409840</v>
      </c>
      <c r="U9" s="84">
        <f>TrRoad_act!U63</f>
        <v>2505000</v>
      </c>
      <c r="V9" s="84">
        <f>TrRoad_act!V63</f>
        <v>2473188</v>
      </c>
      <c r="W9" s="84">
        <f>TrRoad_act!W63</f>
        <v>2512384</v>
      </c>
      <c r="X9" s="84">
        <f>TrRoad_act!X63</f>
        <v>2546218</v>
      </c>
      <c r="Y9" s="84">
        <f>TrRoad_act!Y63</f>
        <v>2615427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289000</v>
      </c>
      <c r="C10" s="84">
        <f>TrRoad_act!C64</f>
        <v>335000</v>
      </c>
      <c r="D10" s="84">
        <f>TrRoad_act!D64</f>
        <v>335000</v>
      </c>
      <c r="E10" s="84">
        <f>TrRoad_act!E64</f>
        <v>339202</v>
      </c>
      <c r="F10" s="84">
        <f>TrRoad_act!F64</f>
        <v>316000</v>
      </c>
      <c r="G10" s="84">
        <f>TrRoad_act!G64</f>
        <v>355000</v>
      </c>
      <c r="H10" s="84">
        <f>TrRoad_act!H64</f>
        <v>405000</v>
      </c>
      <c r="I10" s="84">
        <f>TrRoad_act!I64</f>
        <v>454000</v>
      </c>
      <c r="J10" s="84">
        <f>TrRoad_act!J64</f>
        <v>506000</v>
      </c>
      <c r="K10" s="84">
        <f>TrRoad_act!K64</f>
        <v>612000</v>
      </c>
      <c r="L10" s="84">
        <f>TrRoad_act!L64</f>
        <v>661000</v>
      </c>
      <c r="M10" s="84">
        <f>TrRoad_act!M64</f>
        <v>681000</v>
      </c>
      <c r="N10" s="84">
        <f>TrRoad_act!N64</f>
        <v>720000</v>
      </c>
      <c r="O10" s="84">
        <f>TrRoad_act!O64</f>
        <v>774000</v>
      </c>
      <c r="P10" s="84">
        <f>TrRoad_act!P64</f>
        <v>833668</v>
      </c>
      <c r="Q10" s="84">
        <f>TrRoad_act!Q64</f>
        <v>883190</v>
      </c>
      <c r="R10" s="84">
        <f>TrRoad_act!R64</f>
        <v>911246</v>
      </c>
      <c r="S10" s="84">
        <f>TrRoad_act!S64</f>
        <v>926704</v>
      </c>
      <c r="T10" s="84">
        <f>TrRoad_act!T64</f>
        <v>945184</v>
      </c>
      <c r="U10" s="84">
        <f>TrRoad_act!U64</f>
        <v>965000</v>
      </c>
      <c r="V10" s="84">
        <f>TrRoad_act!V64</f>
        <v>981000</v>
      </c>
      <c r="W10" s="84">
        <f>TrRoad_act!W64</f>
        <v>972144</v>
      </c>
      <c r="X10" s="84">
        <f>TrRoad_act!X64</f>
        <v>978614</v>
      </c>
      <c r="Y10" s="84">
        <f>TrRoad_act!Y64</f>
        <v>999542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141</v>
      </c>
      <c r="O11" s="84">
        <f>TrRoad_act!O65</f>
        <v>14056</v>
      </c>
      <c r="P11" s="84">
        <f>TrRoad_act!P65</f>
        <v>34126</v>
      </c>
      <c r="Q11" s="84">
        <f>TrRoad_act!Q65</f>
        <v>33908</v>
      </c>
      <c r="R11" s="84">
        <f>TrRoad_act!R65</f>
        <v>35020</v>
      </c>
      <c r="S11" s="84">
        <f>TrRoad_act!S65</f>
        <v>38318</v>
      </c>
      <c r="T11" s="84">
        <f>TrRoad_act!T65</f>
        <v>42219</v>
      </c>
      <c r="U11" s="84">
        <f>TrRoad_act!U65</f>
        <v>47533</v>
      </c>
      <c r="V11" s="84">
        <f>TrRoad_act!V65</f>
        <v>74734</v>
      </c>
      <c r="W11" s="84">
        <f>TrRoad_act!W65</f>
        <v>137152</v>
      </c>
      <c r="X11" s="84">
        <f>TrRoad_act!X65</f>
        <v>195867</v>
      </c>
      <c r="Y11" s="84">
        <f>TrRoad_act!Y65</f>
        <v>257320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3681</v>
      </c>
      <c r="M12" s="84">
        <f>TrRoad_act!M66</f>
        <v>8927</v>
      </c>
      <c r="N12" s="84">
        <f>TrRoad_act!N66</f>
        <v>9245</v>
      </c>
      <c r="O12" s="84">
        <f>TrRoad_act!O66</f>
        <v>10016</v>
      </c>
      <c r="P12" s="84">
        <f>TrRoad_act!P66</f>
        <v>11027</v>
      </c>
      <c r="Q12" s="84">
        <f>TrRoad_act!Q66</f>
        <v>12403</v>
      </c>
      <c r="R12" s="84">
        <f>TrRoad_act!R66</f>
        <v>13630</v>
      </c>
      <c r="S12" s="84">
        <f>TrRoad_act!S66</f>
        <v>15419</v>
      </c>
      <c r="T12" s="84">
        <f>TrRoad_act!T66</f>
        <v>20207</v>
      </c>
      <c r="U12" s="84">
        <f>TrRoad_act!U66</f>
        <v>30228</v>
      </c>
      <c r="V12" s="84">
        <f>TrRoad_act!V66</f>
        <v>61700</v>
      </c>
      <c r="W12" s="84">
        <f>TrRoad_act!W66</f>
        <v>122669</v>
      </c>
      <c r="X12" s="84">
        <f>TrRoad_act!X66</f>
        <v>132109</v>
      </c>
      <c r="Y12" s="84">
        <f>TrRoad_act!Y66</f>
        <v>133384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88168</v>
      </c>
      <c r="C13" s="110">
        <f>TrRoad_act!C67</f>
        <v>89858</v>
      </c>
      <c r="D13" s="110">
        <f>TrRoad_act!D67</f>
        <v>91716</v>
      </c>
      <c r="E13" s="110">
        <f>TrRoad_act!E67</f>
        <v>92701</v>
      </c>
      <c r="F13" s="110">
        <f>TrRoad_act!F67</f>
        <v>92874</v>
      </c>
      <c r="G13" s="110">
        <f>TrRoad_act!G67</f>
        <v>94437</v>
      </c>
      <c r="H13" s="110">
        <f>TrRoad_act!H67</f>
        <v>96099</v>
      </c>
      <c r="I13" s="110">
        <f>TrRoad_act!I67</f>
        <v>96419</v>
      </c>
      <c r="J13" s="110">
        <f>TrRoad_act!J67</f>
        <v>97597</v>
      </c>
      <c r="K13" s="110">
        <f>TrRoad_act!K67</f>
        <v>97524</v>
      </c>
      <c r="L13" s="110">
        <f>TrRoad_act!L67</f>
        <v>97241</v>
      </c>
      <c r="M13" s="110">
        <f>TrRoad_act!M67</f>
        <v>98477</v>
      </c>
      <c r="N13" s="110">
        <f>TrRoad_act!N67</f>
        <v>96156</v>
      </c>
      <c r="O13" s="110">
        <f>TrRoad_act!O67</f>
        <v>94860</v>
      </c>
      <c r="P13" s="110">
        <f>TrRoad_act!P67</f>
        <v>94269</v>
      </c>
      <c r="Q13" s="110">
        <f>TrRoad_act!Q67</f>
        <v>94016</v>
      </c>
      <c r="R13" s="110">
        <f>TrRoad_act!R67</f>
        <v>93849</v>
      </c>
      <c r="S13" s="110">
        <f>TrRoad_act!S67</f>
        <v>95080</v>
      </c>
      <c r="T13" s="110">
        <f>TrRoad_act!T67</f>
        <v>95984</v>
      </c>
      <c r="U13" s="110">
        <f>TrRoad_act!U67</f>
        <v>96086</v>
      </c>
      <c r="V13" s="110">
        <f>TrRoad_act!V67</f>
        <v>95831</v>
      </c>
      <c r="W13" s="110">
        <f>TrRoad_act!W67</f>
        <v>96134</v>
      </c>
      <c r="X13" s="110">
        <f>TrRoad_act!X67</f>
        <v>95957</v>
      </c>
      <c r="Y13" s="110">
        <f>TrRoad_act!Y67</f>
        <v>96018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1014</v>
      </c>
      <c r="C14" s="102">
        <f>TrRoad_act!C68</f>
        <v>924</v>
      </c>
      <c r="D14" s="102">
        <f>TrRoad_act!D68</f>
        <v>891</v>
      </c>
      <c r="E14" s="102">
        <f>TrRoad_act!E68</f>
        <v>728</v>
      </c>
      <c r="F14" s="102">
        <f>TrRoad_act!F68</f>
        <v>633</v>
      </c>
      <c r="G14" s="102">
        <f>TrRoad_act!G68</f>
        <v>615</v>
      </c>
      <c r="H14" s="102">
        <f>TrRoad_act!H68</f>
        <v>588</v>
      </c>
      <c r="I14" s="102">
        <f>TrRoad_act!I68</f>
        <v>561</v>
      </c>
      <c r="J14" s="102">
        <f>TrRoad_act!J68</f>
        <v>568</v>
      </c>
      <c r="K14" s="102">
        <f>TrRoad_act!K68</f>
        <v>593</v>
      </c>
      <c r="L14" s="102">
        <f>TrRoad_act!L68</f>
        <v>581</v>
      </c>
      <c r="M14" s="102">
        <f>TrRoad_act!M68</f>
        <v>560</v>
      </c>
      <c r="N14" s="102">
        <f>TrRoad_act!N68</f>
        <v>554</v>
      </c>
      <c r="O14" s="102">
        <f>TrRoad_act!O68</f>
        <v>1026</v>
      </c>
      <c r="P14" s="102">
        <f>TrRoad_act!P68</f>
        <v>614</v>
      </c>
      <c r="Q14" s="102">
        <f>TrRoad_act!Q68</f>
        <v>591</v>
      </c>
      <c r="R14" s="102">
        <f>TrRoad_act!R68</f>
        <v>580</v>
      </c>
      <c r="S14" s="102">
        <f>TrRoad_act!S68</f>
        <v>568</v>
      </c>
      <c r="T14" s="102">
        <f>TrRoad_act!T68</f>
        <v>550</v>
      </c>
      <c r="U14" s="102">
        <f>TrRoad_act!U68</f>
        <v>1009</v>
      </c>
      <c r="V14" s="102">
        <f>TrRoad_act!V68</f>
        <v>1001</v>
      </c>
      <c r="W14" s="102">
        <f>TrRoad_act!W68</f>
        <v>971</v>
      </c>
      <c r="X14" s="102">
        <f>TrRoad_act!X68</f>
        <v>964</v>
      </c>
      <c r="Y14" s="102">
        <f>TrRoad_act!Y68</f>
        <v>961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86391</v>
      </c>
      <c r="C15" s="102">
        <f>TrRoad_act!C69</f>
        <v>88156</v>
      </c>
      <c r="D15" s="102">
        <f>TrRoad_act!D69</f>
        <v>90117</v>
      </c>
      <c r="E15" s="102">
        <f>TrRoad_act!E69</f>
        <v>90894</v>
      </c>
      <c r="F15" s="102">
        <f>TrRoad_act!F69</f>
        <v>91139</v>
      </c>
      <c r="G15" s="102">
        <f>TrRoad_act!G69</f>
        <v>92266</v>
      </c>
      <c r="H15" s="102">
        <f>TrRoad_act!H69</f>
        <v>93287</v>
      </c>
      <c r="I15" s="102">
        <f>TrRoad_act!I69</f>
        <v>93146</v>
      </c>
      <c r="J15" s="102">
        <f>TrRoad_act!J69</f>
        <v>93805</v>
      </c>
      <c r="K15" s="102">
        <f>TrRoad_act!K69</f>
        <v>93328</v>
      </c>
      <c r="L15" s="102">
        <f>TrRoad_act!L69</f>
        <v>92826</v>
      </c>
      <c r="M15" s="102">
        <f>TrRoad_act!M69</f>
        <v>93935</v>
      </c>
      <c r="N15" s="102">
        <f>TrRoad_act!N69</f>
        <v>91540</v>
      </c>
      <c r="O15" s="102">
        <f>TrRoad_act!O69</f>
        <v>89227</v>
      </c>
      <c r="P15" s="102">
        <f>TrRoad_act!P69</f>
        <v>89231</v>
      </c>
      <c r="Q15" s="102">
        <f>TrRoad_act!Q69</f>
        <v>89201</v>
      </c>
      <c r="R15" s="102">
        <f>TrRoad_act!R69</f>
        <v>89009</v>
      </c>
      <c r="S15" s="102">
        <f>TrRoad_act!S69</f>
        <v>89651</v>
      </c>
      <c r="T15" s="102">
        <f>TrRoad_act!T69</f>
        <v>85882</v>
      </c>
      <c r="U15" s="102">
        <f>TrRoad_act!U69</f>
        <v>89514</v>
      </c>
      <c r="V15" s="102">
        <f>TrRoad_act!V69</f>
        <v>89135</v>
      </c>
      <c r="W15" s="102">
        <f>TrRoad_act!W69</f>
        <v>89202</v>
      </c>
      <c r="X15" s="102">
        <f>TrRoad_act!X69</f>
        <v>88541</v>
      </c>
      <c r="Y15" s="102">
        <f>TrRoad_act!Y69</f>
        <v>87615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72</v>
      </c>
      <c r="C16" s="102">
        <f>TrRoad_act!C70</f>
        <v>81</v>
      </c>
      <c r="D16" s="102">
        <f>TrRoad_act!D70</f>
        <v>77</v>
      </c>
      <c r="E16" s="102">
        <f>TrRoad_act!E70</f>
        <v>90</v>
      </c>
      <c r="F16" s="102">
        <f>TrRoad_act!F70</f>
        <v>140</v>
      </c>
      <c r="G16" s="102">
        <f>TrRoad_act!G70</f>
        <v>204</v>
      </c>
      <c r="H16" s="102">
        <f>TrRoad_act!H70</f>
        <v>229</v>
      </c>
      <c r="I16" s="102">
        <f>TrRoad_act!I70</f>
        <v>275</v>
      </c>
      <c r="J16" s="102">
        <f>TrRoad_act!J70</f>
        <v>332</v>
      </c>
      <c r="K16" s="102">
        <f>TrRoad_act!K70</f>
        <v>453</v>
      </c>
      <c r="L16" s="102">
        <f>TrRoad_act!L70</f>
        <v>456</v>
      </c>
      <c r="M16" s="102">
        <f>TrRoad_act!M70</f>
        <v>439</v>
      </c>
      <c r="N16" s="102">
        <f>TrRoad_act!N70</f>
        <v>420</v>
      </c>
      <c r="O16" s="102">
        <f>TrRoad_act!O70</f>
        <v>401</v>
      </c>
      <c r="P16" s="102">
        <f>TrRoad_act!P70</f>
        <v>380</v>
      </c>
      <c r="Q16" s="102">
        <f>TrRoad_act!Q70</f>
        <v>358</v>
      </c>
      <c r="R16" s="102">
        <f>TrRoad_act!R70</f>
        <v>339</v>
      </c>
      <c r="S16" s="102">
        <f>TrRoad_act!S70</f>
        <v>322</v>
      </c>
      <c r="T16" s="102">
        <f>TrRoad_act!T70</f>
        <v>304</v>
      </c>
      <c r="U16" s="102">
        <f>TrRoad_act!U70</f>
        <v>297</v>
      </c>
      <c r="V16" s="102">
        <f>TrRoad_act!V70</f>
        <v>297</v>
      </c>
      <c r="W16" s="102">
        <f>TrRoad_act!W70</f>
        <v>271</v>
      </c>
      <c r="X16" s="102">
        <f>TrRoad_act!X70</f>
        <v>228</v>
      </c>
      <c r="Y16" s="102">
        <f>TrRoad_act!Y70</f>
        <v>188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691</v>
      </c>
      <c r="C17" s="102">
        <f>TrRoad_act!C71</f>
        <v>697</v>
      </c>
      <c r="D17" s="102">
        <f>TrRoad_act!D71</f>
        <v>631</v>
      </c>
      <c r="E17" s="102">
        <f>TrRoad_act!E71</f>
        <v>989</v>
      </c>
      <c r="F17" s="102">
        <f>TrRoad_act!F71</f>
        <v>962</v>
      </c>
      <c r="G17" s="102">
        <f>TrRoad_act!G71</f>
        <v>1352</v>
      </c>
      <c r="H17" s="102">
        <f>TrRoad_act!H71</f>
        <v>1995</v>
      </c>
      <c r="I17" s="102">
        <f>TrRoad_act!I71</f>
        <v>2437</v>
      </c>
      <c r="J17" s="102">
        <f>TrRoad_act!J71</f>
        <v>2892</v>
      </c>
      <c r="K17" s="102">
        <f>TrRoad_act!K71</f>
        <v>3150</v>
      </c>
      <c r="L17" s="102">
        <f>TrRoad_act!L71</f>
        <v>3378</v>
      </c>
      <c r="M17" s="102">
        <f>TrRoad_act!M71</f>
        <v>3543</v>
      </c>
      <c r="N17" s="102">
        <f>TrRoad_act!N71</f>
        <v>3642</v>
      </c>
      <c r="O17" s="102">
        <f>TrRoad_act!O71</f>
        <v>3712</v>
      </c>
      <c r="P17" s="102">
        <f>TrRoad_act!P71</f>
        <v>3551</v>
      </c>
      <c r="Q17" s="102">
        <f>TrRoad_act!Q71</f>
        <v>3372</v>
      </c>
      <c r="R17" s="102">
        <f>TrRoad_act!R71</f>
        <v>3424</v>
      </c>
      <c r="S17" s="102">
        <f>TrRoad_act!S71</f>
        <v>4023</v>
      </c>
      <c r="T17" s="102">
        <f>TrRoad_act!T71</f>
        <v>8762</v>
      </c>
      <c r="U17" s="102">
        <f>TrRoad_act!U71</f>
        <v>4729</v>
      </c>
      <c r="V17" s="102">
        <f>TrRoad_act!V71</f>
        <v>4812</v>
      </c>
      <c r="W17" s="102">
        <f>TrRoad_act!W71</f>
        <v>4946</v>
      </c>
      <c r="X17" s="102">
        <f>TrRoad_act!X71</f>
        <v>5386</v>
      </c>
      <c r="Y17" s="102">
        <f>TrRoad_act!Y71</f>
        <v>5964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494</v>
      </c>
      <c r="P18" s="102">
        <f>TrRoad_act!P72</f>
        <v>493</v>
      </c>
      <c r="Q18" s="102">
        <f>TrRoad_act!Q72</f>
        <v>494</v>
      </c>
      <c r="R18" s="102">
        <f>TrRoad_act!R72</f>
        <v>497</v>
      </c>
      <c r="S18" s="102">
        <f>TrRoad_act!S72</f>
        <v>516</v>
      </c>
      <c r="T18" s="102">
        <f>TrRoad_act!T72</f>
        <v>486</v>
      </c>
      <c r="U18" s="102">
        <f>TrRoad_act!U72</f>
        <v>537</v>
      </c>
      <c r="V18" s="102">
        <f>TrRoad_act!V72</f>
        <v>586</v>
      </c>
      <c r="W18" s="102">
        <f>TrRoad_act!W72</f>
        <v>744</v>
      </c>
      <c r="X18" s="102">
        <f>TrRoad_act!X72</f>
        <v>838</v>
      </c>
      <c r="Y18" s="102">
        <f>TrRoad_act!Y72</f>
        <v>1290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3557281</v>
      </c>
      <c r="C19" s="28">
        <f>TrRoad_act!C73</f>
        <v>3724693</v>
      </c>
      <c r="D19" s="28">
        <f>TrRoad_act!D73</f>
        <v>3951023</v>
      </c>
      <c r="E19" s="28">
        <f>TrRoad_act!E73</f>
        <v>4135930</v>
      </c>
      <c r="F19" s="28">
        <f>TrRoad_act!F73</f>
        <v>4195570</v>
      </c>
      <c r="G19" s="28">
        <f>TrRoad_act!G73</f>
        <v>4357455</v>
      </c>
      <c r="H19" s="28">
        <f>TrRoad_act!H73</f>
        <v>4515414</v>
      </c>
      <c r="I19" s="28">
        <f>TrRoad_act!I73</f>
        <v>4612790</v>
      </c>
      <c r="J19" s="28">
        <f>TrRoad_act!J73</f>
        <v>4699644</v>
      </c>
      <c r="K19" s="28">
        <f>TrRoad_act!K73</f>
        <v>4736650</v>
      </c>
      <c r="L19" s="28">
        <f>TrRoad_act!L73</f>
        <v>4779072</v>
      </c>
      <c r="M19" s="28">
        <f>TrRoad_act!M73</f>
        <v>4824005</v>
      </c>
      <c r="N19" s="28">
        <f>TrRoad_act!N73</f>
        <v>4818340</v>
      </c>
      <c r="O19" s="28">
        <f>TrRoad_act!O73</f>
        <v>4777291</v>
      </c>
      <c r="P19" s="28">
        <f>TrRoad_act!P73</f>
        <v>4779235</v>
      </c>
      <c r="Q19" s="28">
        <f>TrRoad_act!Q73</f>
        <v>4813406</v>
      </c>
      <c r="R19" s="28">
        <f>TrRoad_act!R73</f>
        <v>4830038</v>
      </c>
      <c r="S19" s="28">
        <f>TrRoad_act!S73</f>
        <v>4864918</v>
      </c>
      <c r="T19" s="28">
        <f>TrRoad_act!T73</f>
        <v>4922439</v>
      </c>
      <c r="U19" s="28">
        <f>TrRoad_act!U73</f>
        <v>4976508</v>
      </c>
      <c r="V19" s="28">
        <f>TrRoad_act!V73</f>
        <v>5029575</v>
      </c>
      <c r="W19" s="28">
        <f>TrRoad_act!W73</f>
        <v>5095492</v>
      </c>
      <c r="X19" s="28">
        <f>TrRoad_act!X73</f>
        <v>5164820</v>
      </c>
      <c r="Y19" s="28">
        <f>TrRoad_act!Y73</f>
        <v>5287493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2637172</v>
      </c>
      <c r="C20" s="137">
        <f>TrRoad_act!C74</f>
        <v>2804885</v>
      </c>
      <c r="D20" s="137">
        <f>TrRoad_act!D74</f>
        <v>3027282</v>
      </c>
      <c r="E20" s="137">
        <f>TrRoad_act!E74</f>
        <v>3209962</v>
      </c>
      <c r="F20" s="137">
        <f>TrRoad_act!F74</f>
        <v>3272318</v>
      </c>
      <c r="G20" s="137">
        <f>TrRoad_act!G74</f>
        <v>3432827</v>
      </c>
      <c r="H20" s="137">
        <f>TrRoad_act!H74</f>
        <v>3579735</v>
      </c>
      <c r="I20" s="137">
        <f>TrRoad_act!I74</f>
        <v>3673354</v>
      </c>
      <c r="J20" s="137">
        <f>TrRoad_act!J74</f>
        <v>3761540</v>
      </c>
      <c r="K20" s="137">
        <f>TrRoad_act!K74</f>
        <v>3802936</v>
      </c>
      <c r="L20" s="137">
        <f>TrRoad_act!L74</f>
        <v>3855887</v>
      </c>
      <c r="M20" s="137">
        <f>TrRoad_act!M74</f>
        <v>3900300</v>
      </c>
      <c r="N20" s="137">
        <f>TrRoad_act!N74</f>
        <v>3914121</v>
      </c>
      <c r="O20" s="137">
        <f>TrRoad_act!O74</f>
        <v>3894922</v>
      </c>
      <c r="P20" s="137">
        <f>TrRoad_act!P74</f>
        <v>3909637</v>
      </c>
      <c r="Q20" s="137">
        <f>TrRoad_act!Q74</f>
        <v>3944261</v>
      </c>
      <c r="R20" s="137">
        <f>TrRoad_act!R74</f>
        <v>4022228</v>
      </c>
      <c r="S20" s="137">
        <f>TrRoad_act!S74</f>
        <v>4089425</v>
      </c>
      <c r="T20" s="137">
        <f>TrRoad_act!T74</f>
        <v>4144626</v>
      </c>
      <c r="U20" s="137">
        <f>TrRoad_act!U74</f>
        <v>4200074</v>
      </c>
      <c r="V20" s="137">
        <f>TrRoad_act!V74</f>
        <v>4292148</v>
      </c>
      <c r="W20" s="137">
        <f>TrRoad_act!W74</f>
        <v>4350789</v>
      </c>
      <c r="X20" s="137">
        <f>TrRoad_act!X74</f>
        <v>4411888</v>
      </c>
      <c r="Y20" s="137">
        <f>TrRoad_act!Y74</f>
        <v>4527220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252409</v>
      </c>
      <c r="C21" s="84">
        <f>TrRoad_act!C75</f>
        <v>263033</v>
      </c>
      <c r="D21" s="84">
        <f>TrRoad_act!D75</f>
        <v>278148</v>
      </c>
      <c r="E21" s="84">
        <f>TrRoad_act!E75</f>
        <v>288969</v>
      </c>
      <c r="F21" s="84">
        <f>TrRoad_act!F75</f>
        <v>288626</v>
      </c>
      <c r="G21" s="84">
        <f>TrRoad_act!G75</f>
        <v>296661</v>
      </c>
      <c r="H21" s="84">
        <f>TrRoad_act!H75</f>
        <v>303102</v>
      </c>
      <c r="I21" s="84">
        <f>TrRoad_act!I75</f>
        <v>265204</v>
      </c>
      <c r="J21" s="84">
        <f>TrRoad_act!J75</f>
        <v>256570</v>
      </c>
      <c r="K21" s="84">
        <f>TrRoad_act!K75</f>
        <v>243999</v>
      </c>
      <c r="L21" s="84">
        <f>TrRoad_act!L75</f>
        <v>233317</v>
      </c>
      <c r="M21" s="84">
        <f>TrRoad_act!M75</f>
        <v>237222</v>
      </c>
      <c r="N21" s="84">
        <f>TrRoad_act!N75</f>
        <v>218599</v>
      </c>
      <c r="O21" s="84">
        <f>TrRoad_act!O75</f>
        <v>213153</v>
      </c>
      <c r="P21" s="84">
        <f>TrRoad_act!P75</f>
        <v>207425</v>
      </c>
      <c r="Q21" s="84">
        <f>TrRoad_act!Q75</f>
        <v>199341</v>
      </c>
      <c r="R21" s="84">
        <f>TrRoad_act!R75</f>
        <v>192936</v>
      </c>
      <c r="S21" s="84">
        <f>TrRoad_act!S75</f>
        <v>184559</v>
      </c>
      <c r="T21" s="84">
        <f>TrRoad_act!T75</f>
        <v>180561</v>
      </c>
      <c r="U21" s="84">
        <f>TrRoad_act!U75</f>
        <v>183088</v>
      </c>
      <c r="V21" s="84">
        <f>TrRoad_act!V75</f>
        <v>186840</v>
      </c>
      <c r="W21" s="84">
        <f>TrRoad_act!W75</f>
        <v>189764</v>
      </c>
      <c r="X21" s="84">
        <f>TrRoad_act!X75</f>
        <v>204846</v>
      </c>
      <c r="Y21" s="84">
        <f>TrRoad_act!Y75</f>
        <v>218856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2370095</v>
      </c>
      <c r="C22" s="84">
        <f>TrRoad_act!C76</f>
        <v>2524678</v>
      </c>
      <c r="D22" s="84">
        <f>TrRoad_act!D76</f>
        <v>2728721</v>
      </c>
      <c r="E22" s="84">
        <f>TrRoad_act!E76</f>
        <v>2897148</v>
      </c>
      <c r="F22" s="84">
        <f>TrRoad_act!F76</f>
        <v>2956902</v>
      </c>
      <c r="G22" s="84">
        <f>TrRoad_act!G76</f>
        <v>3105183</v>
      </c>
      <c r="H22" s="84">
        <f>TrRoad_act!H76</f>
        <v>3240999</v>
      </c>
      <c r="I22" s="84">
        <f>TrRoad_act!I76</f>
        <v>3373071</v>
      </c>
      <c r="J22" s="84">
        <f>TrRoad_act!J76</f>
        <v>3459014</v>
      </c>
      <c r="K22" s="84">
        <f>TrRoad_act!K76</f>
        <v>3494966</v>
      </c>
      <c r="L22" s="84">
        <f>TrRoad_act!L76</f>
        <v>3530458</v>
      </c>
      <c r="M22" s="84">
        <f>TrRoad_act!M76</f>
        <v>3567974</v>
      </c>
      <c r="N22" s="84">
        <f>TrRoad_act!N76</f>
        <v>3573103</v>
      </c>
      <c r="O22" s="84">
        <f>TrRoad_act!O76</f>
        <v>3553989</v>
      </c>
      <c r="P22" s="84">
        <f>TrRoad_act!P76</f>
        <v>3567629</v>
      </c>
      <c r="Q22" s="84">
        <f>TrRoad_act!Q76</f>
        <v>3604429</v>
      </c>
      <c r="R22" s="84">
        <f>TrRoad_act!R76</f>
        <v>3685095</v>
      </c>
      <c r="S22" s="84">
        <f>TrRoad_act!S76</f>
        <v>3760448</v>
      </c>
      <c r="T22" s="84">
        <f>TrRoad_act!T76</f>
        <v>3817440</v>
      </c>
      <c r="U22" s="84">
        <f>TrRoad_act!U76</f>
        <v>3861336</v>
      </c>
      <c r="V22" s="84">
        <f>TrRoad_act!V76</f>
        <v>3944651</v>
      </c>
      <c r="W22" s="84">
        <f>TrRoad_act!W76</f>
        <v>3993457</v>
      </c>
      <c r="X22" s="84">
        <f>TrRoad_act!X76</f>
        <v>4041628</v>
      </c>
      <c r="Y22" s="84">
        <f>TrRoad_act!Y76</f>
        <v>4131519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7466</v>
      </c>
      <c r="C23" s="84">
        <f>TrRoad_act!C77</f>
        <v>8576</v>
      </c>
      <c r="D23" s="84">
        <f>TrRoad_act!D77</f>
        <v>9997</v>
      </c>
      <c r="E23" s="84">
        <f>TrRoad_act!E77</f>
        <v>11449</v>
      </c>
      <c r="F23" s="84">
        <f>TrRoad_act!F77</f>
        <v>12606</v>
      </c>
      <c r="G23" s="84">
        <f>TrRoad_act!G77</f>
        <v>14282</v>
      </c>
      <c r="H23" s="84">
        <f>TrRoad_act!H77</f>
        <v>16086</v>
      </c>
      <c r="I23" s="84">
        <f>TrRoad_act!I77</f>
        <v>15502</v>
      </c>
      <c r="J23" s="84">
        <f>TrRoad_act!J77</f>
        <v>18675</v>
      </c>
      <c r="K23" s="84">
        <f>TrRoad_act!K77</f>
        <v>24802</v>
      </c>
      <c r="L23" s="84">
        <f>TrRoad_act!L77</f>
        <v>30912</v>
      </c>
      <c r="M23" s="84">
        <f>TrRoad_act!M77</f>
        <v>34102</v>
      </c>
      <c r="N23" s="84">
        <f>TrRoad_act!N77</f>
        <v>39001</v>
      </c>
      <c r="O23" s="84">
        <f>TrRoad_act!O77</f>
        <v>41592</v>
      </c>
      <c r="P23" s="84">
        <f>TrRoad_act!P77</f>
        <v>44262</v>
      </c>
      <c r="Q23" s="84">
        <f>TrRoad_act!Q77</f>
        <v>46506</v>
      </c>
      <c r="R23" s="84">
        <f>TrRoad_act!R77</f>
        <v>45432</v>
      </c>
      <c r="S23" s="84">
        <f>TrRoad_act!S77</f>
        <v>46477</v>
      </c>
      <c r="T23" s="84">
        <f>TrRoad_act!T77</f>
        <v>45744</v>
      </c>
      <c r="U23" s="84">
        <f>TrRoad_act!U77</f>
        <v>49126</v>
      </c>
      <c r="V23" s="84">
        <f>TrRoad_act!V77</f>
        <v>51413</v>
      </c>
      <c r="W23" s="84">
        <f>TrRoad_act!W77</f>
        <v>56240</v>
      </c>
      <c r="X23" s="84">
        <f>TrRoad_act!X77</f>
        <v>51304</v>
      </c>
      <c r="Y23" s="84">
        <f>TrRoad_act!Y77</f>
        <v>54523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7202</v>
      </c>
      <c r="C24" s="84">
        <f>TrRoad_act!C78</f>
        <v>8598</v>
      </c>
      <c r="D24" s="84">
        <f>TrRoad_act!D78</f>
        <v>10416</v>
      </c>
      <c r="E24" s="84">
        <f>TrRoad_act!E78</f>
        <v>12396</v>
      </c>
      <c r="F24" s="84">
        <f>TrRoad_act!F78</f>
        <v>14184</v>
      </c>
      <c r="G24" s="84">
        <f>TrRoad_act!G78</f>
        <v>16701</v>
      </c>
      <c r="H24" s="84">
        <f>TrRoad_act!H78</f>
        <v>19548</v>
      </c>
      <c r="I24" s="84">
        <f>TrRoad_act!I78</f>
        <v>19577</v>
      </c>
      <c r="J24" s="84">
        <f>TrRoad_act!J78</f>
        <v>27281</v>
      </c>
      <c r="K24" s="84">
        <f>TrRoad_act!K78</f>
        <v>39169</v>
      </c>
      <c r="L24" s="84">
        <f>TrRoad_act!L78</f>
        <v>61200</v>
      </c>
      <c r="M24" s="84">
        <f>TrRoad_act!M78</f>
        <v>61000</v>
      </c>
      <c r="N24" s="84">
        <f>TrRoad_act!N78</f>
        <v>83023</v>
      </c>
      <c r="O24" s="84">
        <f>TrRoad_act!O78</f>
        <v>86000</v>
      </c>
      <c r="P24" s="84">
        <f>TrRoad_act!P78</f>
        <v>90000</v>
      </c>
      <c r="Q24" s="84">
        <f>TrRoad_act!Q78</f>
        <v>93000</v>
      </c>
      <c r="R24" s="84">
        <f>TrRoad_act!R78</f>
        <v>97000</v>
      </c>
      <c r="S24" s="84">
        <f>TrRoad_act!S78</f>
        <v>95872</v>
      </c>
      <c r="T24" s="84">
        <f>TrRoad_act!T78</f>
        <v>97966</v>
      </c>
      <c r="U24" s="84">
        <f>TrRoad_act!U78</f>
        <v>101281</v>
      </c>
      <c r="V24" s="84">
        <f>TrRoad_act!V78</f>
        <v>102929</v>
      </c>
      <c r="W24" s="84">
        <f>TrRoad_act!W78</f>
        <v>101887</v>
      </c>
      <c r="X24" s="84">
        <f>TrRoad_act!X78</f>
        <v>101133</v>
      </c>
      <c r="Y24" s="84">
        <f>TrRoad_act!Y78</f>
        <v>102769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2</v>
      </c>
      <c r="N25" s="84">
        <f>TrRoad_act!N79</f>
        <v>395</v>
      </c>
      <c r="O25" s="84">
        <f>TrRoad_act!O79</f>
        <v>188</v>
      </c>
      <c r="P25" s="84">
        <f>TrRoad_act!P79</f>
        <v>321</v>
      </c>
      <c r="Q25" s="84">
        <f>TrRoad_act!Q79</f>
        <v>985</v>
      </c>
      <c r="R25" s="84">
        <f>TrRoad_act!R79</f>
        <v>1765</v>
      </c>
      <c r="S25" s="84">
        <f>TrRoad_act!S79</f>
        <v>2069</v>
      </c>
      <c r="T25" s="84">
        <f>TrRoad_act!T79</f>
        <v>2915</v>
      </c>
      <c r="U25" s="84">
        <f>TrRoad_act!U79</f>
        <v>5243</v>
      </c>
      <c r="V25" s="84">
        <f>TrRoad_act!V79</f>
        <v>6315</v>
      </c>
      <c r="W25" s="84">
        <f>TrRoad_act!W79</f>
        <v>9441</v>
      </c>
      <c r="X25" s="84">
        <f>TrRoad_act!X79</f>
        <v>12977</v>
      </c>
      <c r="Y25" s="84">
        <f>TrRoad_act!Y79</f>
        <v>19553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920109</v>
      </c>
      <c r="C26" s="110">
        <f>TrRoad_act!C80</f>
        <v>919808</v>
      </c>
      <c r="D26" s="110">
        <f>TrRoad_act!D80</f>
        <v>923741</v>
      </c>
      <c r="E26" s="110">
        <f>TrRoad_act!E80</f>
        <v>925968</v>
      </c>
      <c r="F26" s="110">
        <f>TrRoad_act!F80</f>
        <v>923252</v>
      </c>
      <c r="G26" s="110">
        <f>TrRoad_act!G80</f>
        <v>924628</v>
      </c>
      <c r="H26" s="110">
        <f>TrRoad_act!H80</f>
        <v>935679</v>
      </c>
      <c r="I26" s="110">
        <f>TrRoad_act!I80</f>
        <v>939436</v>
      </c>
      <c r="J26" s="110">
        <f>TrRoad_act!J80</f>
        <v>938104</v>
      </c>
      <c r="K26" s="110">
        <f>TrRoad_act!K80</f>
        <v>933714</v>
      </c>
      <c r="L26" s="110">
        <f>TrRoad_act!L80</f>
        <v>923185</v>
      </c>
      <c r="M26" s="110">
        <f>TrRoad_act!M80</f>
        <v>923705</v>
      </c>
      <c r="N26" s="110">
        <f>TrRoad_act!N80</f>
        <v>904219</v>
      </c>
      <c r="O26" s="110">
        <f>TrRoad_act!O80</f>
        <v>882369</v>
      </c>
      <c r="P26" s="110">
        <f>TrRoad_act!P80</f>
        <v>869598</v>
      </c>
      <c r="Q26" s="110">
        <f>TrRoad_act!Q80</f>
        <v>869145</v>
      </c>
      <c r="R26" s="110">
        <f>TrRoad_act!R80</f>
        <v>807810</v>
      </c>
      <c r="S26" s="110">
        <f>TrRoad_act!S80</f>
        <v>775493</v>
      </c>
      <c r="T26" s="110">
        <f>TrRoad_act!T80</f>
        <v>777813</v>
      </c>
      <c r="U26" s="110">
        <f>TrRoad_act!U80</f>
        <v>776434</v>
      </c>
      <c r="V26" s="110">
        <f>TrRoad_act!V80</f>
        <v>737427</v>
      </c>
      <c r="W26" s="110">
        <f>TrRoad_act!W80</f>
        <v>744703</v>
      </c>
      <c r="X26" s="110">
        <f>TrRoad_act!X80</f>
        <v>752932</v>
      </c>
      <c r="Y26" s="110">
        <f>TrRoad_act!Y80</f>
        <v>760273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900818</v>
      </c>
      <c r="C27" s="102">
        <f>TrRoad_act!C81</f>
        <v>899128</v>
      </c>
      <c r="D27" s="102">
        <f>TrRoad_act!D81</f>
        <v>901986</v>
      </c>
      <c r="E27" s="102">
        <f>TrRoad_act!E81</f>
        <v>903734</v>
      </c>
      <c r="F27" s="102">
        <f>TrRoad_act!F81</f>
        <v>896965</v>
      </c>
      <c r="G27" s="102">
        <f>TrRoad_act!G81</f>
        <v>897429</v>
      </c>
      <c r="H27" s="102">
        <f>TrRoad_act!H81</f>
        <v>906748</v>
      </c>
      <c r="I27" s="102">
        <f>TrRoad_act!I81</f>
        <v>910772</v>
      </c>
      <c r="J27" s="102">
        <f>TrRoad_act!J81</f>
        <v>907938</v>
      </c>
      <c r="K27" s="102">
        <f>TrRoad_act!K81</f>
        <v>907312</v>
      </c>
      <c r="L27" s="102">
        <f>TrRoad_act!L81</f>
        <v>894676</v>
      </c>
      <c r="M27" s="102">
        <f>TrRoad_act!M81</f>
        <v>899032</v>
      </c>
      <c r="N27" s="102">
        <f>TrRoad_act!N81</f>
        <v>881105</v>
      </c>
      <c r="O27" s="102">
        <f>TrRoad_act!O81</f>
        <v>857499</v>
      </c>
      <c r="P27" s="102">
        <f>TrRoad_act!P81</f>
        <v>844072</v>
      </c>
      <c r="Q27" s="102">
        <f>TrRoad_act!Q81</f>
        <v>844057</v>
      </c>
      <c r="R27" s="102">
        <f>TrRoad_act!R81</f>
        <v>781286</v>
      </c>
      <c r="S27" s="102">
        <f>TrRoad_act!S81</f>
        <v>745799</v>
      </c>
      <c r="T27" s="102">
        <f>TrRoad_act!T81</f>
        <v>749102</v>
      </c>
      <c r="U27" s="102">
        <f>TrRoad_act!U81</f>
        <v>746469</v>
      </c>
      <c r="V27" s="102">
        <f>TrRoad_act!V81</f>
        <v>707966</v>
      </c>
      <c r="W27" s="102">
        <f>TrRoad_act!W81</f>
        <v>711751</v>
      </c>
      <c r="X27" s="102">
        <f>TrRoad_act!X81</f>
        <v>719173</v>
      </c>
      <c r="Y27" s="102">
        <f>TrRoad_act!Y81</f>
        <v>728510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19291</v>
      </c>
      <c r="C28" s="86">
        <f>TrRoad_act!C82</f>
        <v>20680</v>
      </c>
      <c r="D28" s="86">
        <f>TrRoad_act!D82</f>
        <v>21755</v>
      </c>
      <c r="E28" s="86">
        <f>TrRoad_act!E82</f>
        <v>22234</v>
      </c>
      <c r="F28" s="86">
        <f>TrRoad_act!F82</f>
        <v>26287</v>
      </c>
      <c r="G28" s="86">
        <f>TrRoad_act!G82</f>
        <v>27199</v>
      </c>
      <c r="H28" s="86">
        <f>TrRoad_act!H82</f>
        <v>28931</v>
      </c>
      <c r="I28" s="86">
        <f>TrRoad_act!I82</f>
        <v>28664</v>
      </c>
      <c r="J28" s="86">
        <f>TrRoad_act!J82</f>
        <v>30166</v>
      </c>
      <c r="K28" s="86">
        <f>TrRoad_act!K82</f>
        <v>26402</v>
      </c>
      <c r="L28" s="86">
        <f>TrRoad_act!L82</f>
        <v>28509</v>
      </c>
      <c r="M28" s="86">
        <f>TrRoad_act!M82</f>
        <v>24673</v>
      </c>
      <c r="N28" s="86">
        <f>TrRoad_act!N82</f>
        <v>23114</v>
      </c>
      <c r="O28" s="86">
        <f>TrRoad_act!O82</f>
        <v>24870</v>
      </c>
      <c r="P28" s="86">
        <f>TrRoad_act!P82</f>
        <v>25526</v>
      </c>
      <c r="Q28" s="86">
        <f>TrRoad_act!Q82</f>
        <v>25088</v>
      </c>
      <c r="R28" s="86">
        <f>TrRoad_act!R82</f>
        <v>26524</v>
      </c>
      <c r="S28" s="86">
        <f>TrRoad_act!S82</f>
        <v>29694</v>
      </c>
      <c r="T28" s="86">
        <f>TrRoad_act!T82</f>
        <v>28711</v>
      </c>
      <c r="U28" s="86">
        <f>TrRoad_act!U82</f>
        <v>29965</v>
      </c>
      <c r="V28" s="86">
        <f>TrRoad_act!V82</f>
        <v>29461</v>
      </c>
      <c r="W28" s="86">
        <f>TrRoad_act!W82</f>
        <v>32952</v>
      </c>
      <c r="X28" s="86">
        <f>TrRoad_act!X82</f>
        <v>33759</v>
      </c>
      <c r="Y28" s="86">
        <f>TrRoad_act!Y82</f>
        <v>31763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3826176</v>
      </c>
      <c r="C30" s="54">
        <f>TrRoad_act!C111</f>
        <v>4172131</v>
      </c>
      <c r="D30" s="54">
        <f>TrRoad_act!D111</f>
        <v>4023393</v>
      </c>
      <c r="E30" s="54">
        <f>TrRoad_act!E111</f>
        <v>4395960</v>
      </c>
      <c r="F30" s="54">
        <f>TrRoad_act!F111</f>
        <v>4352838</v>
      </c>
      <c r="G30" s="54">
        <f>TrRoad_act!G111</f>
        <v>4299573</v>
      </c>
      <c r="H30" s="54">
        <f>TrRoad_act!H111</f>
        <v>4397456</v>
      </c>
      <c r="I30" s="54">
        <f>TrRoad_act!I111</f>
        <v>4300415</v>
      </c>
      <c r="J30" s="54">
        <f>TrRoad_act!J111</f>
        <v>3900179</v>
      </c>
      <c r="K30" s="54">
        <f>TrRoad_act!K111</f>
        <v>3929100</v>
      </c>
      <c r="L30" s="54">
        <f>TrRoad_act!L111</f>
        <v>3565550</v>
      </c>
      <c r="M30" s="54">
        <f>TrRoad_act!M111</f>
        <v>3245949</v>
      </c>
      <c r="N30" s="54">
        <f>TrRoad_act!N111</f>
        <v>2771063</v>
      </c>
      <c r="O30" s="54">
        <f>TrRoad_act!O111</f>
        <v>2989063</v>
      </c>
      <c r="P30" s="54">
        <f>TrRoad_act!P111</f>
        <v>3062886</v>
      </c>
      <c r="Q30" s="54">
        <f>TrRoad_act!Q111</f>
        <v>3123956</v>
      </c>
      <c r="R30" s="54">
        <f>TrRoad_act!R111</f>
        <v>2874254</v>
      </c>
      <c r="S30" s="54">
        <f>TrRoad_act!S111</f>
        <v>3091396</v>
      </c>
      <c r="T30" s="54">
        <f>TrRoad_act!T111</f>
        <v>3138729</v>
      </c>
      <c r="U30" s="54">
        <f>TrRoad_act!U111</f>
        <v>3164681</v>
      </c>
      <c r="V30" s="54">
        <f>TrRoad_act!V111</f>
        <v>2475794</v>
      </c>
      <c r="W30" s="54">
        <f>TrRoad_act!W111</f>
        <v>3233066</v>
      </c>
      <c r="X30" s="54">
        <f>TrRoad_act!X111</f>
        <v>2413557</v>
      </c>
      <c r="Y30" s="54">
        <f>TrRoad_act!Y111</f>
        <v>2843144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3824247</v>
      </c>
      <c r="C31" s="28">
        <f>TrRoad_act!C112</f>
        <v>3851450</v>
      </c>
      <c r="D31" s="28">
        <f>TrRoad_act!D112</f>
        <v>3624280</v>
      </c>
      <c r="E31" s="28">
        <f>TrRoad_act!E112</f>
        <v>4014228</v>
      </c>
      <c r="F31" s="28">
        <f>TrRoad_act!F112</f>
        <v>4066513</v>
      </c>
      <c r="G31" s="28">
        <f>TrRoad_act!G112</f>
        <v>3895408</v>
      </c>
      <c r="H31" s="28">
        <f>TrRoad_act!H112</f>
        <v>3985593</v>
      </c>
      <c r="I31" s="28">
        <f>TrRoad_act!I112</f>
        <v>3907776</v>
      </c>
      <c r="J31" s="28">
        <f>TrRoad_act!J112</f>
        <v>3549094</v>
      </c>
      <c r="K31" s="28">
        <f>TrRoad_act!K112</f>
        <v>3588900</v>
      </c>
      <c r="L31" s="28">
        <f>TrRoad_act!L112</f>
        <v>3206268</v>
      </c>
      <c r="M31" s="28">
        <f>TrRoad_act!M112</f>
        <v>2886992</v>
      </c>
      <c r="N31" s="28">
        <f>TrRoad_act!N112</f>
        <v>2435790</v>
      </c>
      <c r="O31" s="28">
        <f>TrRoad_act!O112</f>
        <v>2689091</v>
      </c>
      <c r="P31" s="28">
        <f>TrRoad_act!P112</f>
        <v>2724431</v>
      </c>
      <c r="Q31" s="28">
        <f>TrRoad_act!Q112</f>
        <v>2757894</v>
      </c>
      <c r="R31" s="28">
        <f>TrRoad_act!R112</f>
        <v>2504364</v>
      </c>
      <c r="S31" s="28">
        <f>TrRoad_act!S112</f>
        <v>2708686</v>
      </c>
      <c r="T31" s="28">
        <f>TrRoad_act!T112</f>
        <v>2748860</v>
      </c>
      <c r="U31" s="28">
        <f>TrRoad_act!U112</f>
        <v>2770117</v>
      </c>
      <c r="V31" s="28">
        <f>TrRoad_act!V112</f>
        <v>2160739</v>
      </c>
      <c r="W31" s="28">
        <f>TrRoad_act!W112</f>
        <v>2831769</v>
      </c>
      <c r="X31" s="28">
        <f>TrRoad_act!X112</f>
        <v>1987989</v>
      </c>
      <c r="Y31" s="28">
        <f>TrRoad_act!Y112</f>
        <v>2365642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839390</v>
      </c>
      <c r="C32" s="137">
        <f>TrRoad_act!C113</f>
        <v>829787</v>
      </c>
      <c r="D32" s="137">
        <f>TrRoad_act!D113</f>
        <v>757902</v>
      </c>
      <c r="E32" s="137">
        <f>TrRoad_act!E113</f>
        <v>820302</v>
      </c>
      <c r="F32" s="137">
        <f>TrRoad_act!F113</f>
        <v>674382</v>
      </c>
      <c r="G32" s="137">
        <f>TrRoad_act!G113</f>
        <v>672765</v>
      </c>
      <c r="H32" s="137">
        <f>TrRoad_act!H113</f>
        <v>711979</v>
      </c>
      <c r="I32" s="137">
        <f>TrRoad_act!I113</f>
        <v>697534</v>
      </c>
      <c r="J32" s="137">
        <f>TrRoad_act!J113</f>
        <v>653198</v>
      </c>
      <c r="K32" s="137">
        <f>TrRoad_act!K113</f>
        <v>712994</v>
      </c>
      <c r="L32" s="137">
        <f>TrRoad_act!L113</f>
        <v>512702</v>
      </c>
      <c r="M32" s="137">
        <f>TrRoad_act!M113</f>
        <v>410030</v>
      </c>
      <c r="N32" s="137">
        <f>TrRoad_act!N113</f>
        <v>330066</v>
      </c>
      <c r="O32" s="137">
        <f>TrRoad_act!O113</f>
        <v>654931</v>
      </c>
      <c r="P32" s="137">
        <f>TrRoad_act!P113</f>
        <v>664723</v>
      </c>
      <c r="Q32" s="137">
        <f>TrRoad_act!Q113</f>
        <v>475317</v>
      </c>
      <c r="R32" s="137">
        <f>TrRoad_act!R113</f>
        <v>404139</v>
      </c>
      <c r="S32" s="137">
        <f>TrRoad_act!S113</f>
        <v>433475</v>
      </c>
      <c r="T32" s="137">
        <f>TrRoad_act!T113</f>
        <v>439493</v>
      </c>
      <c r="U32" s="137">
        <f>TrRoad_act!U113</f>
        <v>491386</v>
      </c>
      <c r="V32" s="137">
        <f>TrRoad_act!V113</f>
        <v>403490</v>
      </c>
      <c r="W32" s="137">
        <f>TrRoad_act!W113</f>
        <v>1028582</v>
      </c>
      <c r="X32" s="137">
        <f>TrRoad_act!X113</f>
        <v>320244</v>
      </c>
      <c r="Y32" s="137">
        <f>TrRoad_act!Y113</f>
        <v>365775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2979534</v>
      </c>
      <c r="C33" s="110">
        <f>TrRoad_act!C114</f>
        <v>3012300</v>
      </c>
      <c r="D33" s="110">
        <f>TrRoad_act!D114</f>
        <v>2856676</v>
      </c>
      <c r="E33" s="110">
        <f>TrRoad_act!E114</f>
        <v>3184841</v>
      </c>
      <c r="F33" s="110">
        <f>TrRoad_act!F114</f>
        <v>3383888</v>
      </c>
      <c r="G33" s="110">
        <f>TrRoad_act!G114</f>
        <v>3213139</v>
      </c>
      <c r="H33" s="110">
        <f>TrRoad_act!H114</f>
        <v>3264134</v>
      </c>
      <c r="I33" s="110">
        <f>TrRoad_act!I114</f>
        <v>3202283</v>
      </c>
      <c r="J33" s="110">
        <f>TrRoad_act!J114</f>
        <v>2887318</v>
      </c>
      <c r="K33" s="110">
        <f>TrRoad_act!K114</f>
        <v>2868854</v>
      </c>
      <c r="L33" s="110">
        <f>TrRoad_act!L114</f>
        <v>2686945</v>
      </c>
      <c r="M33" s="110">
        <f>TrRoad_act!M114</f>
        <v>2469026</v>
      </c>
      <c r="N33" s="110">
        <f>TrRoad_act!N114</f>
        <v>2101544</v>
      </c>
      <c r="O33" s="110">
        <f>TrRoad_act!O114</f>
        <v>2029096</v>
      </c>
      <c r="P33" s="110">
        <f>TrRoad_act!P114</f>
        <v>2053607</v>
      </c>
      <c r="Q33" s="110">
        <f>TrRoad_act!Q114</f>
        <v>2276555</v>
      </c>
      <c r="R33" s="110">
        <f>TrRoad_act!R114</f>
        <v>2095079</v>
      </c>
      <c r="S33" s="110">
        <f>TrRoad_act!S114</f>
        <v>2268467</v>
      </c>
      <c r="T33" s="110">
        <f>TrRoad_act!T114</f>
        <v>2302229</v>
      </c>
      <c r="U33" s="110">
        <f>TrRoad_act!U114</f>
        <v>2268747</v>
      </c>
      <c r="V33" s="110">
        <f>TrRoad_act!V114</f>
        <v>1751263</v>
      </c>
      <c r="W33" s="110">
        <f>TrRoad_act!W114</f>
        <v>1796268</v>
      </c>
      <c r="X33" s="110">
        <f>TrRoad_act!X114</f>
        <v>1660407</v>
      </c>
      <c r="Y33" s="110">
        <f>TrRoad_act!Y114</f>
        <v>1992283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1887051</v>
      </c>
      <c r="C34" s="84">
        <f>TrRoad_act!C115</f>
        <v>1741451</v>
      </c>
      <c r="D34" s="84">
        <f>TrRoad_act!D115</f>
        <v>1800395</v>
      </c>
      <c r="E34" s="84">
        <f>TrRoad_act!E115</f>
        <v>1800633</v>
      </c>
      <c r="F34" s="84">
        <f>TrRoad_act!F115</f>
        <v>1607297</v>
      </c>
      <c r="G34" s="84">
        <f>TrRoad_act!G115</f>
        <v>1435577</v>
      </c>
      <c r="H34" s="84">
        <f>TrRoad_act!H115</f>
        <v>1466449</v>
      </c>
      <c r="I34" s="84">
        <f>TrRoad_act!I115</f>
        <v>1476218</v>
      </c>
      <c r="J34" s="84">
        <f>TrRoad_act!J115</f>
        <v>1370819</v>
      </c>
      <c r="K34" s="84">
        <f>TrRoad_act!K115</f>
        <v>1225405</v>
      </c>
      <c r="L34" s="84">
        <f>TrRoad_act!L115</f>
        <v>1133337</v>
      </c>
      <c r="M34" s="84">
        <f>TrRoad_act!M115</f>
        <v>1104026</v>
      </c>
      <c r="N34" s="84">
        <f>TrRoad_act!N115</f>
        <v>876808</v>
      </c>
      <c r="O34" s="84">
        <f>TrRoad_act!O115</f>
        <v>816482</v>
      </c>
      <c r="P34" s="84">
        <f>TrRoad_act!P115</f>
        <v>848907</v>
      </c>
      <c r="Q34" s="84">
        <f>TrRoad_act!Q115</f>
        <v>968990</v>
      </c>
      <c r="R34" s="84">
        <f>TrRoad_act!R115</f>
        <v>679684</v>
      </c>
      <c r="S34" s="84">
        <f>TrRoad_act!S115</f>
        <v>759053</v>
      </c>
      <c r="T34" s="84">
        <f>TrRoad_act!T115</f>
        <v>847008</v>
      </c>
      <c r="U34" s="84">
        <f>TrRoad_act!U115</f>
        <v>1050589</v>
      </c>
      <c r="V34" s="84">
        <f>TrRoad_act!V115</f>
        <v>816317</v>
      </c>
      <c r="W34" s="84">
        <f>TrRoad_act!W115</f>
        <v>857020</v>
      </c>
      <c r="X34" s="84">
        <f>TrRoad_act!X115</f>
        <v>809045</v>
      </c>
      <c r="Y34" s="84">
        <f>TrRoad_act!Y115</f>
        <v>1034823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1092483</v>
      </c>
      <c r="C35" s="84">
        <f>TrRoad_act!C116</f>
        <v>1223849</v>
      </c>
      <c r="D35" s="84">
        <f>TrRoad_act!D116</f>
        <v>1056281</v>
      </c>
      <c r="E35" s="84">
        <f>TrRoad_act!E116</f>
        <v>1368006</v>
      </c>
      <c r="F35" s="84">
        <f>TrRoad_act!F116</f>
        <v>1776591</v>
      </c>
      <c r="G35" s="84">
        <f>TrRoad_act!G116</f>
        <v>1649412</v>
      </c>
      <c r="H35" s="84">
        <f>TrRoad_act!H116</f>
        <v>1728684</v>
      </c>
      <c r="I35" s="84">
        <f>TrRoad_act!I116</f>
        <v>1644781</v>
      </c>
      <c r="J35" s="84">
        <f>TrRoad_act!J116</f>
        <v>1375629</v>
      </c>
      <c r="K35" s="84">
        <f>TrRoad_act!K116</f>
        <v>1181913</v>
      </c>
      <c r="L35" s="84">
        <f>TrRoad_act!L116</f>
        <v>1184555</v>
      </c>
      <c r="M35" s="84">
        <f>TrRoad_act!M116</f>
        <v>1264602</v>
      </c>
      <c r="N35" s="84">
        <f>TrRoad_act!N116</f>
        <v>1042193</v>
      </c>
      <c r="O35" s="84">
        <f>TrRoad_act!O116</f>
        <v>1009340</v>
      </c>
      <c r="P35" s="84">
        <f>TrRoad_act!P116</f>
        <v>985732</v>
      </c>
      <c r="Q35" s="84">
        <f>TrRoad_act!Q116</f>
        <v>1121390</v>
      </c>
      <c r="R35" s="84">
        <f>TrRoad_act!R116</f>
        <v>1266962</v>
      </c>
      <c r="S35" s="84">
        <f>TrRoad_act!S116</f>
        <v>1342046</v>
      </c>
      <c r="T35" s="84">
        <f>TrRoad_act!T116</f>
        <v>1218304</v>
      </c>
      <c r="U35" s="84">
        <f>TrRoad_act!U116</f>
        <v>1025532</v>
      </c>
      <c r="V35" s="84">
        <f>TrRoad_act!V116</f>
        <v>746633</v>
      </c>
      <c r="W35" s="84">
        <f>TrRoad_act!W116</f>
        <v>665326</v>
      </c>
      <c r="X35" s="84">
        <f>TrRoad_act!X116</f>
        <v>602016</v>
      </c>
      <c r="Y35" s="84">
        <f>TrRoad_act!Y116</f>
        <v>649928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1000</v>
      </c>
      <c r="D36" s="84">
        <f>TrRoad_act!D117</f>
        <v>0</v>
      </c>
      <c r="E36" s="84">
        <f>TrRoad_act!E117</f>
        <v>12000</v>
      </c>
      <c r="F36" s="84">
        <f>TrRoad_act!F117</f>
        <v>0</v>
      </c>
      <c r="G36" s="84">
        <f>TrRoad_act!G117</f>
        <v>89150</v>
      </c>
      <c r="H36" s="84">
        <f>TrRoad_act!H117</f>
        <v>19001</v>
      </c>
      <c r="I36" s="84">
        <f>TrRoad_act!I117</f>
        <v>21660</v>
      </c>
      <c r="J36" s="84">
        <f>TrRoad_act!J117</f>
        <v>62069</v>
      </c>
      <c r="K36" s="84">
        <f>TrRoad_act!K117</f>
        <v>333715</v>
      </c>
      <c r="L36" s="84">
        <f>TrRoad_act!L117</f>
        <v>299600</v>
      </c>
      <c r="M36" s="84">
        <f>TrRoad_act!M117</f>
        <v>56658</v>
      </c>
      <c r="N36" s="84">
        <f>TrRoad_act!N117</f>
        <v>128126</v>
      </c>
      <c r="O36" s="84">
        <f>TrRoad_act!O117</f>
        <v>116100</v>
      </c>
      <c r="P36" s="84">
        <f>TrRoad_act!P117</f>
        <v>124635</v>
      </c>
      <c r="Q36" s="84">
        <f>TrRoad_act!Q117</f>
        <v>120728</v>
      </c>
      <c r="R36" s="84">
        <f>TrRoad_act!R117</f>
        <v>101753</v>
      </c>
      <c r="S36" s="84">
        <f>TrRoad_act!S117</f>
        <v>128765</v>
      </c>
      <c r="T36" s="84">
        <f>TrRoad_act!T117</f>
        <v>187503</v>
      </c>
      <c r="U36" s="84">
        <f>TrRoad_act!U117</f>
        <v>137096</v>
      </c>
      <c r="V36" s="84">
        <f>TrRoad_act!V117</f>
        <v>94989</v>
      </c>
      <c r="W36" s="84">
        <f>TrRoad_act!W117</f>
        <v>108090</v>
      </c>
      <c r="X36" s="84">
        <f>TrRoad_act!X117</f>
        <v>118415</v>
      </c>
      <c r="Y36" s="84">
        <f>TrRoad_act!Y117</f>
        <v>141624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46000</v>
      </c>
      <c r="D37" s="84">
        <f>TrRoad_act!D118</f>
        <v>0</v>
      </c>
      <c r="E37" s="84">
        <f>TrRoad_act!E118</f>
        <v>4202</v>
      </c>
      <c r="F37" s="84">
        <f>TrRoad_act!F118</f>
        <v>0</v>
      </c>
      <c r="G37" s="84">
        <f>TrRoad_act!G118</f>
        <v>39000</v>
      </c>
      <c r="H37" s="84">
        <f>TrRoad_act!H118</f>
        <v>50000</v>
      </c>
      <c r="I37" s="84">
        <f>TrRoad_act!I118</f>
        <v>59624</v>
      </c>
      <c r="J37" s="84">
        <f>TrRoad_act!J118</f>
        <v>78801</v>
      </c>
      <c r="K37" s="84">
        <f>TrRoad_act!K118</f>
        <v>127821</v>
      </c>
      <c r="L37" s="84">
        <f>TrRoad_act!L118</f>
        <v>65772</v>
      </c>
      <c r="M37" s="84">
        <f>TrRoad_act!M118</f>
        <v>38303</v>
      </c>
      <c r="N37" s="84">
        <f>TrRoad_act!N118</f>
        <v>53658</v>
      </c>
      <c r="O37" s="84">
        <f>TrRoad_act!O118</f>
        <v>72387</v>
      </c>
      <c r="P37" s="84">
        <f>TrRoad_act!P118</f>
        <v>72387</v>
      </c>
      <c r="Q37" s="84">
        <f>TrRoad_act!Q118</f>
        <v>62939</v>
      </c>
      <c r="R37" s="84">
        <f>TrRoad_act!R118</f>
        <v>43787</v>
      </c>
      <c r="S37" s="84">
        <f>TrRoad_act!S118</f>
        <v>32752</v>
      </c>
      <c r="T37" s="84">
        <f>TrRoad_act!T118</f>
        <v>39605</v>
      </c>
      <c r="U37" s="84">
        <f>TrRoad_act!U118</f>
        <v>38638</v>
      </c>
      <c r="V37" s="84">
        <f>TrRoad_act!V118</f>
        <v>32455</v>
      </c>
      <c r="W37" s="84">
        <f>TrRoad_act!W118</f>
        <v>31695</v>
      </c>
      <c r="X37" s="84">
        <f>TrRoad_act!X118</f>
        <v>18034</v>
      </c>
      <c r="Y37" s="84">
        <f>TrRoad_act!Y118</f>
        <v>32825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141</v>
      </c>
      <c r="O38" s="84">
        <f>TrRoad_act!O119</f>
        <v>13922</v>
      </c>
      <c r="P38" s="84">
        <f>TrRoad_act!P119</f>
        <v>20791</v>
      </c>
      <c r="Q38" s="84">
        <f>TrRoad_act!Q119</f>
        <v>932</v>
      </c>
      <c r="R38" s="84">
        <f>TrRoad_act!R119</f>
        <v>1396</v>
      </c>
      <c r="S38" s="84">
        <f>TrRoad_act!S119</f>
        <v>3742</v>
      </c>
      <c r="T38" s="84">
        <f>TrRoad_act!T119</f>
        <v>4611</v>
      </c>
      <c r="U38" s="84">
        <f>TrRoad_act!U119</f>
        <v>6234</v>
      </c>
      <c r="V38" s="84">
        <f>TrRoad_act!V119</f>
        <v>28388</v>
      </c>
      <c r="W38" s="84">
        <f>TrRoad_act!W119</f>
        <v>64959</v>
      </c>
      <c r="X38" s="84">
        <f>TrRoad_act!X119</f>
        <v>63490</v>
      </c>
      <c r="Y38" s="84">
        <f>TrRoad_act!Y119</f>
        <v>66789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3681</v>
      </c>
      <c r="M39" s="84">
        <f>TrRoad_act!M120</f>
        <v>5437</v>
      </c>
      <c r="N39" s="84">
        <f>TrRoad_act!N120</f>
        <v>618</v>
      </c>
      <c r="O39" s="84">
        <f>TrRoad_act!O120</f>
        <v>865</v>
      </c>
      <c r="P39" s="84">
        <f>TrRoad_act!P120</f>
        <v>1155</v>
      </c>
      <c r="Q39" s="84">
        <f>TrRoad_act!Q120</f>
        <v>1576</v>
      </c>
      <c r="R39" s="84">
        <f>TrRoad_act!R120</f>
        <v>1497</v>
      </c>
      <c r="S39" s="84">
        <f>TrRoad_act!S120</f>
        <v>2109</v>
      </c>
      <c r="T39" s="84">
        <f>TrRoad_act!T120</f>
        <v>5198</v>
      </c>
      <c r="U39" s="84">
        <f>TrRoad_act!U120</f>
        <v>10658</v>
      </c>
      <c r="V39" s="84">
        <f>TrRoad_act!V120</f>
        <v>32481</v>
      </c>
      <c r="W39" s="84">
        <f>TrRoad_act!W120</f>
        <v>69178</v>
      </c>
      <c r="X39" s="84">
        <f>TrRoad_act!X120</f>
        <v>49407</v>
      </c>
      <c r="Y39" s="84">
        <f>TrRoad_act!Y120</f>
        <v>66294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5323</v>
      </c>
      <c r="C40" s="110">
        <f>TrRoad_act!C121</f>
        <v>9363</v>
      </c>
      <c r="D40" s="110">
        <f>TrRoad_act!D121</f>
        <v>9702</v>
      </c>
      <c r="E40" s="110">
        <f>TrRoad_act!E121</f>
        <v>9085</v>
      </c>
      <c r="F40" s="110">
        <f>TrRoad_act!F121</f>
        <v>8243</v>
      </c>
      <c r="G40" s="110">
        <f>TrRoad_act!G121</f>
        <v>9504</v>
      </c>
      <c r="H40" s="110">
        <f>TrRoad_act!H121</f>
        <v>9480</v>
      </c>
      <c r="I40" s="110">
        <f>TrRoad_act!I121</f>
        <v>7959</v>
      </c>
      <c r="J40" s="110">
        <f>TrRoad_act!J121</f>
        <v>8578</v>
      </c>
      <c r="K40" s="110">
        <f>TrRoad_act!K121</f>
        <v>7052</v>
      </c>
      <c r="L40" s="110">
        <f>TrRoad_act!L121</f>
        <v>6621</v>
      </c>
      <c r="M40" s="110">
        <f>TrRoad_act!M121</f>
        <v>7936</v>
      </c>
      <c r="N40" s="110">
        <f>TrRoad_act!N121</f>
        <v>4180</v>
      </c>
      <c r="O40" s="110">
        <f>TrRoad_act!O121</f>
        <v>5064</v>
      </c>
      <c r="P40" s="110">
        <f>TrRoad_act!P121</f>
        <v>6101</v>
      </c>
      <c r="Q40" s="110">
        <f>TrRoad_act!Q121</f>
        <v>6022</v>
      </c>
      <c r="R40" s="110">
        <f>TrRoad_act!R121</f>
        <v>5146</v>
      </c>
      <c r="S40" s="110">
        <f>TrRoad_act!S121</f>
        <v>6744</v>
      </c>
      <c r="T40" s="110">
        <f>TrRoad_act!T121</f>
        <v>7138</v>
      </c>
      <c r="U40" s="110">
        <f>TrRoad_act!U121</f>
        <v>9984</v>
      </c>
      <c r="V40" s="110">
        <f>TrRoad_act!V121</f>
        <v>5986</v>
      </c>
      <c r="W40" s="110">
        <f>TrRoad_act!W121</f>
        <v>6919</v>
      </c>
      <c r="X40" s="110">
        <f>TrRoad_act!X121</f>
        <v>7338</v>
      </c>
      <c r="Y40" s="110">
        <f>TrRoad_act!Y121</f>
        <v>7584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10</v>
      </c>
      <c r="J41" s="102">
        <f>TrRoad_act!J122</f>
        <v>34</v>
      </c>
      <c r="K41" s="102">
        <f>TrRoad_act!K122</f>
        <v>25</v>
      </c>
      <c r="L41" s="102">
        <f>TrRoad_act!L122</f>
        <v>15</v>
      </c>
      <c r="M41" s="102">
        <f>TrRoad_act!M122</f>
        <v>9</v>
      </c>
      <c r="N41" s="102">
        <f>TrRoad_act!N122</f>
        <v>4</v>
      </c>
      <c r="O41" s="102">
        <f>TrRoad_act!O122</f>
        <v>472</v>
      </c>
      <c r="P41" s="102">
        <f>TrRoad_act!P122</f>
        <v>3</v>
      </c>
      <c r="Q41" s="102">
        <f>TrRoad_act!Q122</f>
        <v>1</v>
      </c>
      <c r="R41" s="102">
        <f>TrRoad_act!R122</f>
        <v>0</v>
      </c>
      <c r="S41" s="102">
        <f>TrRoad_act!S122</f>
        <v>2</v>
      </c>
      <c r="T41" s="102">
        <f>TrRoad_act!T122</f>
        <v>0</v>
      </c>
      <c r="U41" s="102">
        <f>TrRoad_act!U122</f>
        <v>480</v>
      </c>
      <c r="V41" s="102">
        <f>TrRoad_act!V122</f>
        <v>17</v>
      </c>
      <c r="W41" s="102">
        <f>TrRoad_act!W122</f>
        <v>1</v>
      </c>
      <c r="X41" s="102">
        <f>TrRoad_act!X122</f>
        <v>42</v>
      </c>
      <c r="Y41" s="102">
        <f>TrRoad_act!Y122</f>
        <v>48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5323</v>
      </c>
      <c r="C42" s="102">
        <f>TrRoad_act!C123</f>
        <v>9284</v>
      </c>
      <c r="D42" s="102">
        <f>TrRoad_act!D123</f>
        <v>9702</v>
      </c>
      <c r="E42" s="102">
        <f>TrRoad_act!E123</f>
        <v>8648</v>
      </c>
      <c r="F42" s="102">
        <f>TrRoad_act!F123</f>
        <v>8154</v>
      </c>
      <c r="G42" s="102">
        <f>TrRoad_act!G123</f>
        <v>8982</v>
      </c>
      <c r="H42" s="102">
        <f>TrRoad_act!H123</f>
        <v>8744</v>
      </c>
      <c r="I42" s="102">
        <f>TrRoad_act!I123</f>
        <v>7390</v>
      </c>
      <c r="J42" s="102">
        <f>TrRoad_act!J123</f>
        <v>7954</v>
      </c>
      <c r="K42" s="102">
        <f>TrRoad_act!K123</f>
        <v>6560</v>
      </c>
      <c r="L42" s="102">
        <f>TrRoad_act!L123</f>
        <v>6277</v>
      </c>
      <c r="M42" s="102">
        <f>TrRoad_act!M123</f>
        <v>7650</v>
      </c>
      <c r="N42" s="102">
        <f>TrRoad_act!N123</f>
        <v>3949</v>
      </c>
      <c r="O42" s="102">
        <f>TrRoad_act!O123</f>
        <v>3883</v>
      </c>
      <c r="P42" s="102">
        <f>TrRoad_act!P123</f>
        <v>6098</v>
      </c>
      <c r="Q42" s="102">
        <f>TrRoad_act!Q123</f>
        <v>6015</v>
      </c>
      <c r="R42" s="102">
        <f>TrRoad_act!R123</f>
        <v>4898</v>
      </c>
      <c r="S42" s="102">
        <f>TrRoad_act!S123</f>
        <v>6063</v>
      </c>
      <c r="T42" s="102">
        <f>TrRoad_act!T123</f>
        <v>2284</v>
      </c>
      <c r="U42" s="102">
        <f>TrRoad_act!U123</f>
        <v>9239</v>
      </c>
      <c r="V42" s="102">
        <f>TrRoad_act!V123</f>
        <v>5741</v>
      </c>
      <c r="W42" s="102">
        <f>TrRoad_act!W123</f>
        <v>6324</v>
      </c>
      <c r="X42" s="102">
        <f>TrRoad_act!X123</f>
        <v>6638</v>
      </c>
      <c r="Y42" s="102">
        <f>TrRoad_act!Y123</f>
        <v>6107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9</v>
      </c>
      <c r="D43" s="102">
        <f>TrRoad_act!D124</f>
        <v>0</v>
      </c>
      <c r="E43" s="102">
        <f>TrRoad_act!E124</f>
        <v>13</v>
      </c>
      <c r="F43" s="102">
        <f>TrRoad_act!F124</f>
        <v>50</v>
      </c>
      <c r="G43" s="102">
        <f>TrRoad_act!G124</f>
        <v>64</v>
      </c>
      <c r="H43" s="102">
        <f>TrRoad_act!H124</f>
        <v>25</v>
      </c>
      <c r="I43" s="102">
        <f>TrRoad_act!I124</f>
        <v>46</v>
      </c>
      <c r="J43" s="102">
        <f>TrRoad_act!J124</f>
        <v>57</v>
      </c>
      <c r="K43" s="102">
        <f>TrRoad_act!K124</f>
        <v>121</v>
      </c>
      <c r="L43" s="102">
        <f>TrRoad_act!L124</f>
        <v>3</v>
      </c>
      <c r="M43" s="102">
        <f>TrRoad_act!M124</f>
        <v>0</v>
      </c>
      <c r="N43" s="102">
        <f>TrRoad_act!N124</f>
        <v>0</v>
      </c>
      <c r="O43" s="102">
        <f>TrRoad_act!O124</f>
        <v>1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6</v>
      </c>
      <c r="W43" s="102">
        <f>TrRoad_act!W124</f>
        <v>0</v>
      </c>
      <c r="X43" s="102">
        <f>TrRoad_act!X124</f>
        <v>0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70</v>
      </c>
      <c r="D44" s="102">
        <f>TrRoad_act!D125</f>
        <v>0</v>
      </c>
      <c r="E44" s="102">
        <f>TrRoad_act!E125</f>
        <v>424</v>
      </c>
      <c r="F44" s="102">
        <f>TrRoad_act!F125</f>
        <v>39</v>
      </c>
      <c r="G44" s="102">
        <f>TrRoad_act!G125</f>
        <v>458</v>
      </c>
      <c r="H44" s="102">
        <f>TrRoad_act!H125</f>
        <v>711</v>
      </c>
      <c r="I44" s="102">
        <f>TrRoad_act!I125</f>
        <v>513</v>
      </c>
      <c r="J44" s="102">
        <f>TrRoad_act!J125</f>
        <v>533</v>
      </c>
      <c r="K44" s="102">
        <f>TrRoad_act!K125</f>
        <v>346</v>
      </c>
      <c r="L44" s="102">
        <f>TrRoad_act!L125</f>
        <v>326</v>
      </c>
      <c r="M44" s="102">
        <f>TrRoad_act!M125</f>
        <v>277</v>
      </c>
      <c r="N44" s="102">
        <f>TrRoad_act!N125</f>
        <v>227</v>
      </c>
      <c r="O44" s="102">
        <f>TrRoad_act!O125</f>
        <v>214</v>
      </c>
      <c r="P44" s="102">
        <f>TrRoad_act!P125</f>
        <v>0</v>
      </c>
      <c r="Q44" s="102">
        <f>TrRoad_act!Q125</f>
        <v>0</v>
      </c>
      <c r="R44" s="102">
        <f>TrRoad_act!R125</f>
        <v>238</v>
      </c>
      <c r="S44" s="102">
        <f>TrRoad_act!S125</f>
        <v>650</v>
      </c>
      <c r="T44" s="102">
        <f>TrRoad_act!T125</f>
        <v>4794</v>
      </c>
      <c r="U44" s="102">
        <f>TrRoad_act!U125</f>
        <v>198</v>
      </c>
      <c r="V44" s="102">
        <f>TrRoad_act!V125</f>
        <v>168</v>
      </c>
      <c r="W44" s="102">
        <f>TrRoad_act!W125</f>
        <v>330</v>
      </c>
      <c r="X44" s="102">
        <f>TrRoad_act!X125</f>
        <v>535</v>
      </c>
      <c r="Y44" s="102">
        <f>TrRoad_act!Y125</f>
        <v>959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494</v>
      </c>
      <c r="P45" s="102">
        <f>TrRoad_act!P126</f>
        <v>0</v>
      </c>
      <c r="Q45" s="102">
        <f>TrRoad_act!Q126</f>
        <v>6</v>
      </c>
      <c r="R45" s="102">
        <f>TrRoad_act!R126</f>
        <v>10</v>
      </c>
      <c r="S45" s="102">
        <f>TrRoad_act!S126</f>
        <v>29</v>
      </c>
      <c r="T45" s="102">
        <f>TrRoad_act!T126</f>
        <v>60</v>
      </c>
      <c r="U45" s="102">
        <f>TrRoad_act!U126</f>
        <v>67</v>
      </c>
      <c r="V45" s="102">
        <f>TrRoad_act!V126</f>
        <v>54</v>
      </c>
      <c r="W45" s="102">
        <f>TrRoad_act!W126</f>
        <v>264</v>
      </c>
      <c r="X45" s="102">
        <f>TrRoad_act!X126</f>
        <v>123</v>
      </c>
      <c r="Y45" s="102">
        <f>TrRoad_act!Y126</f>
        <v>470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1929</v>
      </c>
      <c r="C46" s="28">
        <f>TrRoad_act!C127</f>
        <v>320681</v>
      </c>
      <c r="D46" s="28">
        <f>TrRoad_act!D127</f>
        <v>399113</v>
      </c>
      <c r="E46" s="28">
        <f>TrRoad_act!E127</f>
        <v>381732</v>
      </c>
      <c r="F46" s="28">
        <f>TrRoad_act!F127</f>
        <v>286325</v>
      </c>
      <c r="G46" s="28">
        <f>TrRoad_act!G127</f>
        <v>404165</v>
      </c>
      <c r="H46" s="28">
        <f>TrRoad_act!H127</f>
        <v>411863</v>
      </c>
      <c r="I46" s="28">
        <f>TrRoad_act!I127</f>
        <v>392639</v>
      </c>
      <c r="J46" s="28">
        <f>TrRoad_act!J127</f>
        <v>351085</v>
      </c>
      <c r="K46" s="28">
        <f>TrRoad_act!K127</f>
        <v>340200</v>
      </c>
      <c r="L46" s="28">
        <f>TrRoad_act!L127</f>
        <v>359282</v>
      </c>
      <c r="M46" s="28">
        <f>TrRoad_act!M127</f>
        <v>358957</v>
      </c>
      <c r="N46" s="28">
        <f>TrRoad_act!N127</f>
        <v>335273</v>
      </c>
      <c r="O46" s="28">
        <f>TrRoad_act!O127</f>
        <v>299972</v>
      </c>
      <c r="P46" s="28">
        <f>TrRoad_act!P127</f>
        <v>338455</v>
      </c>
      <c r="Q46" s="28">
        <f>TrRoad_act!Q127</f>
        <v>366062</v>
      </c>
      <c r="R46" s="28">
        <f>TrRoad_act!R127</f>
        <v>369890</v>
      </c>
      <c r="S46" s="28">
        <f>TrRoad_act!S127</f>
        <v>382710</v>
      </c>
      <c r="T46" s="28">
        <f>TrRoad_act!T127</f>
        <v>389869</v>
      </c>
      <c r="U46" s="28">
        <f>TrRoad_act!U127</f>
        <v>394564</v>
      </c>
      <c r="V46" s="28">
        <f>TrRoad_act!V127</f>
        <v>315055</v>
      </c>
      <c r="W46" s="28">
        <f>TrRoad_act!W127</f>
        <v>401297</v>
      </c>
      <c r="X46" s="28">
        <f>TrRoad_act!X127</f>
        <v>425568</v>
      </c>
      <c r="Y46" s="28">
        <f>TrRoad_act!Y127</f>
        <v>477502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0</v>
      </c>
      <c r="C47" s="137">
        <f>TrRoad_act!C128</f>
        <v>283279</v>
      </c>
      <c r="D47" s="137">
        <f>TrRoad_act!D128</f>
        <v>355254</v>
      </c>
      <c r="E47" s="137">
        <f>TrRoad_act!E128</f>
        <v>333021</v>
      </c>
      <c r="F47" s="137">
        <f>TrRoad_act!F128</f>
        <v>230112</v>
      </c>
      <c r="G47" s="137">
        <f>TrRoad_act!G128</f>
        <v>344874</v>
      </c>
      <c r="H47" s="137">
        <f>TrRoad_act!H128</f>
        <v>346717</v>
      </c>
      <c r="I47" s="137">
        <f>TrRoad_act!I128</f>
        <v>325776</v>
      </c>
      <c r="J47" s="137">
        <f>TrRoad_act!J128</f>
        <v>281914</v>
      </c>
      <c r="K47" s="137">
        <f>TrRoad_act!K128</f>
        <v>276348</v>
      </c>
      <c r="L47" s="137">
        <f>TrRoad_act!L128</f>
        <v>291635</v>
      </c>
      <c r="M47" s="137">
        <f>TrRoad_act!M128</f>
        <v>291286</v>
      </c>
      <c r="N47" s="137">
        <f>TrRoad_act!N128</f>
        <v>281734</v>
      </c>
      <c r="O47" s="137">
        <f>TrRoad_act!O128</f>
        <v>245162</v>
      </c>
      <c r="P47" s="137">
        <f>TrRoad_act!P128</f>
        <v>276099</v>
      </c>
      <c r="Q47" s="137">
        <f>TrRoad_act!Q128</f>
        <v>298438</v>
      </c>
      <c r="R47" s="137">
        <f>TrRoad_act!R128</f>
        <v>357925</v>
      </c>
      <c r="S47" s="137">
        <f>TrRoad_act!S128</f>
        <v>347665</v>
      </c>
      <c r="T47" s="137">
        <f>TrRoad_act!T128</f>
        <v>322975</v>
      </c>
      <c r="U47" s="137">
        <f>TrRoad_act!U128</f>
        <v>332515</v>
      </c>
      <c r="V47" s="137">
        <f>TrRoad_act!V128</f>
        <v>305763</v>
      </c>
      <c r="W47" s="137">
        <f>TrRoad_act!W128</f>
        <v>342996</v>
      </c>
      <c r="X47" s="137">
        <f>TrRoad_act!X128</f>
        <v>351945</v>
      </c>
      <c r="Y47" s="137">
        <f>TrRoad_act!Y128</f>
        <v>409843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21685</v>
      </c>
      <c r="D48" s="84">
        <f>TrRoad_act!D129</f>
        <v>27816</v>
      </c>
      <c r="E48" s="84">
        <f>TrRoad_act!E129</f>
        <v>25147</v>
      </c>
      <c r="F48" s="84">
        <f>TrRoad_act!F129</f>
        <v>15564</v>
      </c>
      <c r="G48" s="84">
        <f>TrRoad_act!G129</f>
        <v>25404</v>
      </c>
      <c r="H48" s="84">
        <f>TrRoad_act!H129</f>
        <v>25117</v>
      </c>
      <c r="I48" s="84">
        <f>TrRoad_act!I129</f>
        <v>0</v>
      </c>
      <c r="J48" s="84">
        <f>TrRoad_act!J129</f>
        <v>9568</v>
      </c>
      <c r="K48" s="84">
        <f>TrRoad_act!K129</f>
        <v>6139</v>
      </c>
      <c r="L48" s="84">
        <f>TrRoad_act!L129</f>
        <v>5125</v>
      </c>
      <c r="M48" s="84">
        <f>TrRoad_act!M129</f>
        <v>16429</v>
      </c>
      <c r="N48" s="84">
        <f>TrRoad_act!N129</f>
        <v>6319</v>
      </c>
      <c r="O48" s="84">
        <f>TrRoad_act!O129</f>
        <v>12099</v>
      </c>
      <c r="P48" s="84">
        <f>TrRoad_act!P129</f>
        <v>14099</v>
      </c>
      <c r="Q48" s="84">
        <f>TrRoad_act!Q129</f>
        <v>11445</v>
      </c>
      <c r="R48" s="84">
        <f>TrRoad_act!R129</f>
        <v>11900</v>
      </c>
      <c r="S48" s="84">
        <f>TrRoad_act!S129</f>
        <v>9326</v>
      </c>
      <c r="T48" s="84">
        <f>TrRoad_act!T129</f>
        <v>12210</v>
      </c>
      <c r="U48" s="84">
        <f>TrRoad_act!U129</f>
        <v>18058</v>
      </c>
      <c r="V48" s="84">
        <f>TrRoad_act!V129</f>
        <v>15595</v>
      </c>
      <c r="W48" s="84">
        <f>TrRoad_act!W129</f>
        <v>29117</v>
      </c>
      <c r="X48" s="84">
        <f>TrRoad_act!X129</f>
        <v>38972</v>
      </c>
      <c r="Y48" s="84">
        <f>TrRoad_act!Y129</f>
        <v>36610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258445</v>
      </c>
      <c r="D49" s="84">
        <f>TrRoad_act!D130</f>
        <v>323456</v>
      </c>
      <c r="E49" s="84">
        <f>TrRoad_act!E130</f>
        <v>303587</v>
      </c>
      <c r="F49" s="84">
        <f>TrRoad_act!F130</f>
        <v>210623</v>
      </c>
      <c r="G49" s="84">
        <f>TrRoad_act!G130</f>
        <v>314162</v>
      </c>
      <c r="H49" s="84">
        <f>TrRoad_act!H130</f>
        <v>315687</v>
      </c>
      <c r="I49" s="84">
        <f>TrRoad_act!I130</f>
        <v>324905</v>
      </c>
      <c r="J49" s="84">
        <f>TrRoad_act!J130</f>
        <v>261469</v>
      </c>
      <c r="K49" s="84">
        <f>TrRoad_act!K130</f>
        <v>251841</v>
      </c>
      <c r="L49" s="84">
        <f>TrRoad_act!L130</f>
        <v>258097</v>
      </c>
      <c r="M49" s="84">
        <f>TrRoad_act!M130</f>
        <v>266609</v>
      </c>
      <c r="N49" s="84">
        <f>TrRoad_act!N130</f>
        <v>242967</v>
      </c>
      <c r="O49" s="84">
        <f>TrRoad_act!O130</f>
        <v>222185</v>
      </c>
      <c r="P49" s="84">
        <f>TrRoad_act!P130</f>
        <v>251871</v>
      </c>
      <c r="Q49" s="84">
        <f>TrRoad_act!Q130</f>
        <v>277151</v>
      </c>
      <c r="R49" s="84">
        <f>TrRoad_act!R130</f>
        <v>334990</v>
      </c>
      <c r="S49" s="84">
        <f>TrRoad_act!S130</f>
        <v>330580</v>
      </c>
      <c r="T49" s="84">
        <f>TrRoad_act!T130</f>
        <v>301693</v>
      </c>
      <c r="U49" s="84">
        <f>TrRoad_act!U130</f>
        <v>301776</v>
      </c>
      <c r="V49" s="84">
        <f>TrRoad_act!V130</f>
        <v>281355</v>
      </c>
      <c r="W49" s="84">
        <f>TrRoad_act!W130</f>
        <v>300997</v>
      </c>
      <c r="X49" s="84">
        <f>TrRoad_act!X130</f>
        <v>302029</v>
      </c>
      <c r="Y49" s="84">
        <f>TrRoad_act!Y130</f>
        <v>357300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1437</v>
      </c>
      <c r="D50" s="84">
        <f>TrRoad_act!D131</f>
        <v>1799</v>
      </c>
      <c r="E50" s="84">
        <f>TrRoad_act!E131</f>
        <v>1885</v>
      </c>
      <c r="F50" s="84">
        <f>TrRoad_act!F131</f>
        <v>1651</v>
      </c>
      <c r="G50" s="84">
        <f>TrRoad_act!G131</f>
        <v>2233</v>
      </c>
      <c r="H50" s="84">
        <f>TrRoad_act!H131</f>
        <v>2429</v>
      </c>
      <c r="I50" s="84">
        <f>TrRoad_act!I131</f>
        <v>113</v>
      </c>
      <c r="J50" s="84">
        <f>TrRoad_act!J131</f>
        <v>3173</v>
      </c>
      <c r="K50" s="84">
        <f>TrRoad_act!K131</f>
        <v>6127</v>
      </c>
      <c r="L50" s="84">
        <f>TrRoad_act!L131</f>
        <v>6110</v>
      </c>
      <c r="M50" s="84">
        <f>TrRoad_act!M131</f>
        <v>3190</v>
      </c>
      <c r="N50" s="84">
        <f>TrRoad_act!N131</f>
        <v>9619</v>
      </c>
      <c r="O50" s="84">
        <f>TrRoad_act!O131</f>
        <v>3902</v>
      </c>
      <c r="P50" s="84">
        <f>TrRoad_act!P131</f>
        <v>4162</v>
      </c>
      <c r="Q50" s="84">
        <f>TrRoad_act!Q131</f>
        <v>3932</v>
      </c>
      <c r="R50" s="84">
        <f>TrRoad_act!R131</f>
        <v>3052</v>
      </c>
      <c r="S50" s="84">
        <f>TrRoad_act!S131</f>
        <v>3201</v>
      </c>
      <c r="T50" s="84">
        <f>TrRoad_act!T131</f>
        <v>3252</v>
      </c>
      <c r="U50" s="84">
        <f>TrRoad_act!U131</f>
        <v>4017</v>
      </c>
      <c r="V50" s="84">
        <f>TrRoad_act!V131</f>
        <v>2951</v>
      </c>
      <c r="W50" s="84">
        <f>TrRoad_act!W131</f>
        <v>5548</v>
      </c>
      <c r="X50" s="84">
        <f>TrRoad_act!X131</f>
        <v>4847</v>
      </c>
      <c r="Y50" s="84">
        <f>TrRoad_act!Y131</f>
        <v>5999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1712</v>
      </c>
      <c r="D51" s="84">
        <f>TrRoad_act!D132</f>
        <v>2183</v>
      </c>
      <c r="E51" s="84">
        <f>TrRoad_act!E132</f>
        <v>2402</v>
      </c>
      <c r="F51" s="84">
        <f>TrRoad_act!F132</f>
        <v>2274</v>
      </c>
      <c r="G51" s="84">
        <f>TrRoad_act!G132</f>
        <v>3075</v>
      </c>
      <c r="H51" s="84">
        <f>TrRoad_act!H132</f>
        <v>3484</v>
      </c>
      <c r="I51" s="84">
        <f>TrRoad_act!I132</f>
        <v>758</v>
      </c>
      <c r="J51" s="84">
        <f>TrRoad_act!J132</f>
        <v>7704</v>
      </c>
      <c r="K51" s="84">
        <f>TrRoad_act!K132</f>
        <v>12241</v>
      </c>
      <c r="L51" s="84">
        <f>TrRoad_act!L132</f>
        <v>22303</v>
      </c>
      <c r="M51" s="84">
        <f>TrRoad_act!M132</f>
        <v>5056</v>
      </c>
      <c r="N51" s="84">
        <f>TrRoad_act!N132</f>
        <v>22434</v>
      </c>
      <c r="O51" s="84">
        <f>TrRoad_act!O132</f>
        <v>6788</v>
      </c>
      <c r="P51" s="84">
        <f>TrRoad_act!P132</f>
        <v>5646</v>
      </c>
      <c r="Q51" s="84">
        <f>TrRoad_act!Q132</f>
        <v>5244</v>
      </c>
      <c r="R51" s="84">
        <f>TrRoad_act!R132</f>
        <v>7199</v>
      </c>
      <c r="S51" s="84">
        <f>TrRoad_act!S132</f>
        <v>4019</v>
      </c>
      <c r="T51" s="84">
        <f>TrRoad_act!T132</f>
        <v>4963</v>
      </c>
      <c r="U51" s="84">
        <f>TrRoad_act!U132</f>
        <v>6320</v>
      </c>
      <c r="V51" s="84">
        <f>TrRoad_act!V132</f>
        <v>4751</v>
      </c>
      <c r="W51" s="84">
        <f>TrRoad_act!W132</f>
        <v>3772</v>
      </c>
      <c r="X51" s="84">
        <f>TrRoad_act!X132</f>
        <v>1959</v>
      </c>
      <c r="Y51" s="84">
        <f>TrRoad_act!Y132</f>
        <v>3294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2</v>
      </c>
      <c r="N52" s="84">
        <f>TrRoad_act!N133</f>
        <v>395</v>
      </c>
      <c r="O52" s="84">
        <f>TrRoad_act!O133</f>
        <v>188</v>
      </c>
      <c r="P52" s="84">
        <f>TrRoad_act!P133</f>
        <v>321</v>
      </c>
      <c r="Q52" s="84">
        <f>TrRoad_act!Q133</f>
        <v>666</v>
      </c>
      <c r="R52" s="84">
        <f>TrRoad_act!R133</f>
        <v>784</v>
      </c>
      <c r="S52" s="84">
        <f>TrRoad_act!S133</f>
        <v>539</v>
      </c>
      <c r="T52" s="84">
        <f>TrRoad_act!T133</f>
        <v>857</v>
      </c>
      <c r="U52" s="84">
        <f>TrRoad_act!U133</f>
        <v>2344</v>
      </c>
      <c r="V52" s="84">
        <f>TrRoad_act!V133</f>
        <v>1111</v>
      </c>
      <c r="W52" s="84">
        <f>TrRoad_act!W133</f>
        <v>3562</v>
      </c>
      <c r="X52" s="84">
        <f>TrRoad_act!X133</f>
        <v>4138</v>
      </c>
      <c r="Y52" s="84">
        <f>TrRoad_act!Y133</f>
        <v>6640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1929</v>
      </c>
      <c r="C53" s="110">
        <f>TrRoad_act!C134</f>
        <v>37402</v>
      </c>
      <c r="D53" s="110">
        <f>TrRoad_act!D134</f>
        <v>43859</v>
      </c>
      <c r="E53" s="110">
        <f>TrRoad_act!E134</f>
        <v>48711</v>
      </c>
      <c r="F53" s="110">
        <f>TrRoad_act!F134</f>
        <v>56213</v>
      </c>
      <c r="G53" s="110">
        <f>TrRoad_act!G134</f>
        <v>59291</v>
      </c>
      <c r="H53" s="110">
        <f>TrRoad_act!H134</f>
        <v>65146</v>
      </c>
      <c r="I53" s="110">
        <f>TrRoad_act!I134</f>
        <v>66863</v>
      </c>
      <c r="J53" s="110">
        <f>TrRoad_act!J134</f>
        <v>69171</v>
      </c>
      <c r="K53" s="110">
        <f>TrRoad_act!K134</f>
        <v>63852</v>
      </c>
      <c r="L53" s="110">
        <f>TrRoad_act!L134</f>
        <v>67647</v>
      </c>
      <c r="M53" s="110">
        <f>TrRoad_act!M134</f>
        <v>67671</v>
      </c>
      <c r="N53" s="110">
        <f>TrRoad_act!N134</f>
        <v>53539</v>
      </c>
      <c r="O53" s="110">
        <f>TrRoad_act!O134</f>
        <v>54810</v>
      </c>
      <c r="P53" s="110">
        <f>TrRoad_act!P134</f>
        <v>62356</v>
      </c>
      <c r="Q53" s="110">
        <f>TrRoad_act!Q134</f>
        <v>67624</v>
      </c>
      <c r="R53" s="110">
        <f>TrRoad_act!R134</f>
        <v>11965</v>
      </c>
      <c r="S53" s="110">
        <f>TrRoad_act!S134</f>
        <v>35045</v>
      </c>
      <c r="T53" s="110">
        <f>TrRoad_act!T134</f>
        <v>66894</v>
      </c>
      <c r="U53" s="110">
        <f>TrRoad_act!U134</f>
        <v>62049</v>
      </c>
      <c r="V53" s="110">
        <f>TrRoad_act!V134</f>
        <v>9292</v>
      </c>
      <c r="W53" s="110">
        <f>TrRoad_act!W134</f>
        <v>58301</v>
      </c>
      <c r="X53" s="110">
        <f>TrRoad_act!X134</f>
        <v>73623</v>
      </c>
      <c r="Y53" s="110">
        <f>TrRoad_act!Y134</f>
        <v>67659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35170</v>
      </c>
      <c r="D54" s="102">
        <f>TrRoad_act!D135</f>
        <v>41760</v>
      </c>
      <c r="E54" s="102">
        <f>TrRoad_act!E135</f>
        <v>47024</v>
      </c>
      <c r="F54" s="102">
        <f>TrRoad_act!F135</f>
        <v>50775</v>
      </c>
      <c r="G54" s="102">
        <f>TrRoad_act!G135</f>
        <v>56790</v>
      </c>
      <c r="H54" s="102">
        <f>TrRoad_act!H135</f>
        <v>61635</v>
      </c>
      <c r="I54" s="102">
        <f>TrRoad_act!I135</f>
        <v>65166</v>
      </c>
      <c r="J54" s="102">
        <f>TrRoad_act!J135</f>
        <v>65551</v>
      </c>
      <c r="K54" s="102">
        <f>TrRoad_act!K135</f>
        <v>63852</v>
      </c>
      <c r="L54" s="102">
        <f>TrRoad_act!L135</f>
        <v>63395</v>
      </c>
      <c r="M54" s="102">
        <f>TrRoad_act!M135</f>
        <v>67671</v>
      </c>
      <c r="N54" s="102">
        <f>TrRoad_act!N135</f>
        <v>53101</v>
      </c>
      <c r="O54" s="102">
        <f>TrRoad_act!O135</f>
        <v>51063</v>
      </c>
      <c r="P54" s="102">
        <f>TrRoad_act!P135</f>
        <v>59725</v>
      </c>
      <c r="Q54" s="102">
        <f>TrRoad_act!Q135</f>
        <v>66025</v>
      </c>
      <c r="R54" s="102">
        <f>TrRoad_act!R135</f>
        <v>8441</v>
      </c>
      <c r="S54" s="102">
        <f>TrRoad_act!S135</f>
        <v>29734</v>
      </c>
      <c r="T54" s="102">
        <f>TrRoad_act!T135</f>
        <v>65664</v>
      </c>
      <c r="U54" s="102">
        <f>TrRoad_act!U135</f>
        <v>58506</v>
      </c>
      <c r="V54" s="102">
        <f>TrRoad_act!V135</f>
        <v>7465</v>
      </c>
      <c r="W54" s="102">
        <f>TrRoad_act!W135</f>
        <v>52451</v>
      </c>
      <c r="X54" s="102">
        <f>TrRoad_act!X135</f>
        <v>70411</v>
      </c>
      <c r="Y54" s="102">
        <f>TrRoad_act!Y135</f>
        <v>67205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1929</v>
      </c>
      <c r="C55" s="86">
        <f>TrRoad_act!C136</f>
        <v>2232</v>
      </c>
      <c r="D55" s="86">
        <f>TrRoad_act!D136</f>
        <v>2099</v>
      </c>
      <c r="E55" s="86">
        <f>TrRoad_act!E136</f>
        <v>1687</v>
      </c>
      <c r="F55" s="86">
        <f>TrRoad_act!F136</f>
        <v>5438</v>
      </c>
      <c r="G55" s="86">
        <f>TrRoad_act!G136</f>
        <v>2501</v>
      </c>
      <c r="H55" s="86">
        <f>TrRoad_act!H136</f>
        <v>3511</v>
      </c>
      <c r="I55" s="86">
        <f>TrRoad_act!I136</f>
        <v>1697</v>
      </c>
      <c r="J55" s="86">
        <f>TrRoad_act!J136</f>
        <v>3620</v>
      </c>
      <c r="K55" s="86">
        <f>TrRoad_act!K136</f>
        <v>0</v>
      </c>
      <c r="L55" s="86">
        <f>TrRoad_act!L136</f>
        <v>4252</v>
      </c>
      <c r="M55" s="86">
        <f>TrRoad_act!M136</f>
        <v>0</v>
      </c>
      <c r="N55" s="86">
        <f>TrRoad_act!N136</f>
        <v>438</v>
      </c>
      <c r="O55" s="86">
        <f>TrRoad_act!O136</f>
        <v>3747</v>
      </c>
      <c r="P55" s="86">
        <f>TrRoad_act!P136</f>
        <v>2631</v>
      </c>
      <c r="Q55" s="86">
        <f>TrRoad_act!Q136</f>
        <v>1599</v>
      </c>
      <c r="R55" s="86">
        <f>TrRoad_act!R136</f>
        <v>3524</v>
      </c>
      <c r="S55" s="86">
        <f>TrRoad_act!S136</f>
        <v>5311</v>
      </c>
      <c r="T55" s="86">
        <f>TrRoad_act!T136</f>
        <v>1230</v>
      </c>
      <c r="U55" s="86">
        <f>TrRoad_act!U136</f>
        <v>3543</v>
      </c>
      <c r="V55" s="86">
        <f>TrRoad_act!V136</f>
        <v>1827</v>
      </c>
      <c r="W55" s="86">
        <f>TrRoad_act!W136</f>
        <v>5850</v>
      </c>
      <c r="X55" s="86">
        <f>TrRoad_act!X136</f>
        <v>3212</v>
      </c>
      <c r="Y55" s="86">
        <f>TrRoad_act!Y136</f>
        <v>454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866860</v>
      </c>
      <c r="C59" s="54">
        <f t="shared" si="0"/>
        <v>969204</v>
      </c>
      <c r="D59" s="54">
        <f t="shared" si="0"/>
        <v>1066371</v>
      </c>
      <c r="E59" s="54">
        <f t="shared" si="0"/>
        <v>1234027</v>
      </c>
      <c r="F59" s="54">
        <f t="shared" si="0"/>
        <v>1536667</v>
      </c>
      <c r="G59" s="54">
        <f t="shared" si="0"/>
        <v>2122604</v>
      </c>
      <c r="H59" s="54">
        <f t="shared" si="0"/>
        <v>2503408</v>
      </c>
      <c r="I59" s="54">
        <f t="shared" si="0"/>
        <v>2671024</v>
      </c>
      <c r="J59" s="54">
        <f t="shared" si="0"/>
        <v>2607462</v>
      </c>
      <c r="K59" s="54">
        <f t="shared" si="0"/>
        <v>2838210</v>
      </c>
      <c r="L59" s="54">
        <f t="shared" ref="L59" si="1">L60+L75</f>
        <v>2701311</v>
      </c>
      <c r="M59" s="54">
        <f t="shared" ref="M59:V59" si="2">M60+M75</f>
        <v>2556059</v>
      </c>
      <c r="N59" s="54">
        <f t="shared" si="2"/>
        <v>2293001</v>
      </c>
      <c r="O59" s="54">
        <f t="shared" si="2"/>
        <v>2579163</v>
      </c>
      <c r="P59" s="54">
        <f t="shared" si="2"/>
        <v>2732371</v>
      </c>
      <c r="Q59" s="54">
        <f t="shared" si="2"/>
        <v>2864859</v>
      </c>
      <c r="R59" s="54">
        <f t="shared" si="2"/>
        <v>2702194</v>
      </c>
      <c r="S59" s="54">
        <f t="shared" si="2"/>
        <v>2960235</v>
      </c>
      <c r="T59" s="54">
        <f t="shared" si="2"/>
        <v>3048088</v>
      </c>
      <c r="U59" s="54">
        <f t="shared" si="2"/>
        <v>3103689</v>
      </c>
      <c r="V59" s="54">
        <f t="shared" si="2"/>
        <v>2424359</v>
      </c>
      <c r="W59" s="54">
        <f t="shared" ref="W59:Y59" si="3">W60+W75</f>
        <v>3171805</v>
      </c>
      <c r="X59" s="54">
        <f t="shared" si="3"/>
        <v>2411533</v>
      </c>
      <c r="Y59" s="54">
        <f t="shared" si="3"/>
        <v>2843144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864818</v>
      </c>
      <c r="C60" s="28">
        <f t="shared" si="4"/>
        <v>966225</v>
      </c>
      <c r="D60" s="28">
        <f t="shared" si="4"/>
        <v>1061636</v>
      </c>
      <c r="E60" s="28">
        <f t="shared" si="4"/>
        <v>1227069</v>
      </c>
      <c r="F60" s="28">
        <f t="shared" si="4"/>
        <v>1526949</v>
      </c>
      <c r="G60" s="28">
        <f t="shared" si="4"/>
        <v>2088569</v>
      </c>
      <c r="H60" s="28">
        <f t="shared" si="4"/>
        <v>2396900</v>
      </c>
      <c r="I60" s="28">
        <f t="shared" si="4"/>
        <v>2531371</v>
      </c>
      <c r="J60" s="28">
        <f t="shared" si="4"/>
        <v>2458527</v>
      </c>
      <c r="K60" s="28">
        <f t="shared" si="4"/>
        <v>2666303</v>
      </c>
      <c r="L60" s="28">
        <f t="shared" ref="L60" si="5">L61+L62+L69</f>
        <v>2486331</v>
      </c>
      <c r="M60" s="28">
        <f t="shared" ref="M60:V60" si="6">M61+M62+M69</f>
        <v>2316656</v>
      </c>
      <c r="N60" s="28">
        <f t="shared" si="6"/>
        <v>2045102</v>
      </c>
      <c r="O60" s="28">
        <f t="shared" si="6"/>
        <v>2340124</v>
      </c>
      <c r="P60" s="28">
        <f t="shared" si="6"/>
        <v>2445020</v>
      </c>
      <c r="Q60" s="28">
        <f t="shared" si="6"/>
        <v>2538022</v>
      </c>
      <c r="R60" s="28">
        <f t="shared" si="6"/>
        <v>2354162</v>
      </c>
      <c r="S60" s="28">
        <f t="shared" si="6"/>
        <v>2592197</v>
      </c>
      <c r="T60" s="28">
        <f t="shared" si="6"/>
        <v>2667382</v>
      </c>
      <c r="U60" s="28">
        <f t="shared" si="6"/>
        <v>2713574</v>
      </c>
      <c r="V60" s="28">
        <f t="shared" si="6"/>
        <v>2109922</v>
      </c>
      <c r="W60" s="28">
        <f t="shared" ref="W60:Y60" si="7">W61+W62+W69</f>
        <v>2771418</v>
      </c>
      <c r="X60" s="28">
        <f t="shared" si="7"/>
        <v>1986236</v>
      </c>
      <c r="Y60" s="28">
        <f t="shared" si="7"/>
        <v>2365642</v>
      </c>
      <c r="DA60" s="173" t="s">
        <v>839</v>
      </c>
    </row>
    <row r="61" spans="1:105" ht="11.45" customHeight="1" x14ac:dyDescent="0.25">
      <c r="A61" s="136" t="s">
        <v>173</v>
      </c>
      <c r="B61" s="137">
        <v>244412</v>
      </c>
      <c r="C61" s="137">
        <v>292291</v>
      </c>
      <c r="D61" s="137">
        <v>313617</v>
      </c>
      <c r="E61" s="137">
        <v>389841</v>
      </c>
      <c r="F61" s="137">
        <v>361231</v>
      </c>
      <c r="G61" s="137">
        <v>399729</v>
      </c>
      <c r="H61" s="137">
        <v>462789</v>
      </c>
      <c r="I61" s="137">
        <v>486740</v>
      </c>
      <c r="J61" s="137">
        <v>481820</v>
      </c>
      <c r="K61" s="137">
        <v>552565</v>
      </c>
      <c r="L61" s="137">
        <v>415109</v>
      </c>
      <c r="M61" s="137">
        <v>345010</v>
      </c>
      <c r="N61" s="137">
        <v>287226</v>
      </c>
      <c r="O61" s="137">
        <v>586768</v>
      </c>
      <c r="P61" s="137">
        <v>610587</v>
      </c>
      <c r="Q61" s="137">
        <v>445911</v>
      </c>
      <c r="R61" s="137">
        <v>385836</v>
      </c>
      <c r="S61" s="137">
        <v>419767</v>
      </c>
      <c r="T61" s="137">
        <v>430371</v>
      </c>
      <c r="U61" s="137">
        <v>485221</v>
      </c>
      <c r="V61" s="137">
        <v>400754</v>
      </c>
      <c r="W61" s="137">
        <v>1025528</v>
      </c>
      <c r="X61" s="137">
        <v>320010</v>
      </c>
      <c r="Y61" s="137">
        <v>365775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620401</v>
      </c>
      <c r="C62" s="110">
        <f t="shared" si="8"/>
        <v>673933</v>
      </c>
      <c r="D62" s="110">
        <f t="shared" si="8"/>
        <v>748019</v>
      </c>
      <c r="E62" s="110">
        <f t="shared" si="8"/>
        <v>837225</v>
      </c>
      <c r="F62" s="110">
        <f t="shared" si="8"/>
        <v>1165342</v>
      </c>
      <c r="G62" s="110">
        <f t="shared" si="8"/>
        <v>1686568</v>
      </c>
      <c r="H62" s="110">
        <f t="shared" si="8"/>
        <v>1931321</v>
      </c>
      <c r="I62" s="110">
        <f t="shared" si="8"/>
        <v>2041732</v>
      </c>
      <c r="J62" s="110">
        <f t="shared" si="8"/>
        <v>1972990</v>
      </c>
      <c r="K62" s="110">
        <f t="shared" si="8"/>
        <v>2110139</v>
      </c>
      <c r="L62" s="110">
        <f t="shared" ref="L62" si="9">SUM(L63:L68)</f>
        <v>2067391</v>
      </c>
      <c r="M62" s="110">
        <f t="shared" ref="M62:V62" si="10">SUM(M63:M68)</f>
        <v>1966451</v>
      </c>
      <c r="N62" s="110">
        <f t="shared" si="10"/>
        <v>1754942</v>
      </c>
      <c r="O62" s="110">
        <f t="shared" si="10"/>
        <v>1749652</v>
      </c>
      <c r="P62" s="110">
        <f t="shared" si="10"/>
        <v>1829242</v>
      </c>
      <c r="Q62" s="110">
        <f t="shared" si="10"/>
        <v>2086732</v>
      </c>
      <c r="R62" s="110">
        <f t="shared" si="10"/>
        <v>1963771</v>
      </c>
      <c r="S62" s="110">
        <f t="shared" si="10"/>
        <v>2166607</v>
      </c>
      <c r="T62" s="110">
        <f t="shared" si="10"/>
        <v>2230951</v>
      </c>
      <c r="U62" s="110">
        <f t="shared" si="10"/>
        <v>2218474</v>
      </c>
      <c r="V62" s="110">
        <f t="shared" si="10"/>
        <v>1703200</v>
      </c>
      <c r="W62" s="110">
        <f t="shared" ref="W62:Y62" si="11">SUM(W63:W68)</f>
        <v>1738975</v>
      </c>
      <c r="X62" s="110">
        <f t="shared" si="11"/>
        <v>1658888</v>
      </c>
      <c r="Y62" s="110">
        <f t="shared" si="11"/>
        <v>1992283</v>
      </c>
      <c r="DA62" s="176" t="s">
        <v>841</v>
      </c>
    </row>
    <row r="63" spans="1:105" ht="11.45" customHeight="1" x14ac:dyDescent="0.25">
      <c r="A63" s="111" t="s">
        <v>110</v>
      </c>
      <c r="B63" s="84">
        <v>102393</v>
      </c>
      <c r="C63" s="84">
        <v>647986</v>
      </c>
      <c r="D63" s="84">
        <v>748019</v>
      </c>
      <c r="E63" s="84">
        <v>827345</v>
      </c>
      <c r="F63" s="84">
        <v>810106</v>
      </c>
      <c r="G63" s="84">
        <v>787699</v>
      </c>
      <c r="H63" s="84">
        <v>869694</v>
      </c>
      <c r="I63" s="84">
        <v>939850</v>
      </c>
      <c r="J63" s="84">
        <v>930882</v>
      </c>
      <c r="K63" s="84">
        <v>882156</v>
      </c>
      <c r="L63" s="84">
        <v>859924</v>
      </c>
      <c r="M63" s="84">
        <v>878074</v>
      </c>
      <c r="N63" s="84">
        <v>727188</v>
      </c>
      <c r="O63" s="84">
        <v>702650</v>
      </c>
      <c r="P63" s="84">
        <v>754527</v>
      </c>
      <c r="Q63" s="84">
        <v>885592</v>
      </c>
      <c r="R63" s="84">
        <v>636060</v>
      </c>
      <c r="S63" s="84">
        <v>724453</v>
      </c>
      <c r="T63" s="84">
        <v>821359</v>
      </c>
      <c r="U63" s="84">
        <v>1031408</v>
      </c>
      <c r="V63" s="84">
        <v>808606</v>
      </c>
      <c r="W63" s="84">
        <v>853820</v>
      </c>
      <c r="X63" s="84">
        <v>808385</v>
      </c>
      <c r="Y63" s="84">
        <v>1034823</v>
      </c>
      <c r="DA63" s="171" t="s">
        <v>842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355236</v>
      </c>
      <c r="G64" s="84">
        <v>810675</v>
      </c>
      <c r="H64" s="84">
        <v>1010828</v>
      </c>
      <c r="I64" s="84">
        <v>1039235</v>
      </c>
      <c r="J64" s="84">
        <v>929588</v>
      </c>
      <c r="K64" s="84">
        <v>848282</v>
      </c>
      <c r="L64" s="84">
        <v>897213</v>
      </c>
      <c r="M64" s="84">
        <v>1004854</v>
      </c>
      <c r="N64" s="84">
        <v>863988</v>
      </c>
      <c r="O64" s="84">
        <v>868494</v>
      </c>
      <c r="P64" s="84">
        <v>876113</v>
      </c>
      <c r="Q64" s="84">
        <v>1024851</v>
      </c>
      <c r="R64" s="84">
        <v>1185551</v>
      </c>
      <c r="S64" s="84">
        <v>1280663</v>
      </c>
      <c r="T64" s="84">
        <v>1181117</v>
      </c>
      <c r="U64" s="84">
        <v>1006487</v>
      </c>
      <c r="V64" s="84">
        <v>739309</v>
      </c>
      <c r="W64" s="84">
        <v>662665</v>
      </c>
      <c r="X64" s="84">
        <v>601480</v>
      </c>
      <c r="Y64" s="84">
        <v>649928</v>
      </c>
      <c r="DA64" s="171" t="s">
        <v>843</v>
      </c>
    </row>
    <row r="65" spans="1:105" ht="11.45" customHeight="1" x14ac:dyDescent="0.25">
      <c r="A65" s="111" t="s">
        <v>112</v>
      </c>
      <c r="B65" s="84">
        <v>433040</v>
      </c>
      <c r="C65" s="84">
        <v>522</v>
      </c>
      <c r="D65" s="84">
        <v>0</v>
      </c>
      <c r="E65" s="84">
        <v>7224</v>
      </c>
      <c r="F65" s="84">
        <v>0</v>
      </c>
      <c r="G65" s="84">
        <v>60583</v>
      </c>
      <c r="H65" s="84">
        <v>13614</v>
      </c>
      <c r="I65" s="84">
        <v>16283</v>
      </c>
      <c r="J65" s="84">
        <v>48734</v>
      </c>
      <c r="K65" s="84">
        <v>272451</v>
      </c>
      <c r="L65" s="84">
        <v>253279</v>
      </c>
      <c r="M65" s="84">
        <v>49400</v>
      </c>
      <c r="N65" s="84">
        <v>114783</v>
      </c>
      <c r="O65" s="84">
        <v>106491</v>
      </c>
      <c r="P65" s="84">
        <v>116660</v>
      </c>
      <c r="Q65" s="84">
        <v>114959</v>
      </c>
      <c r="R65" s="84">
        <v>98276</v>
      </c>
      <c r="S65" s="84">
        <v>125793</v>
      </c>
      <c r="T65" s="84">
        <v>184793</v>
      </c>
      <c r="U65" s="84">
        <v>135982</v>
      </c>
      <c r="V65" s="84">
        <v>94619</v>
      </c>
      <c r="W65" s="84">
        <v>107936</v>
      </c>
      <c r="X65" s="84">
        <v>118381</v>
      </c>
      <c r="Y65" s="84">
        <v>141624</v>
      </c>
      <c r="DA65" s="171" t="s">
        <v>844</v>
      </c>
    </row>
    <row r="66" spans="1:105" ht="11.45" customHeight="1" x14ac:dyDescent="0.25">
      <c r="A66" s="111" t="s">
        <v>113</v>
      </c>
      <c r="B66" s="84">
        <v>84968</v>
      </c>
      <c r="C66" s="84">
        <v>25425</v>
      </c>
      <c r="D66" s="84">
        <v>0</v>
      </c>
      <c r="E66" s="84">
        <v>2656</v>
      </c>
      <c r="F66" s="84">
        <v>0</v>
      </c>
      <c r="G66" s="84">
        <v>27611</v>
      </c>
      <c r="H66" s="84">
        <v>37185</v>
      </c>
      <c r="I66" s="84">
        <v>46364</v>
      </c>
      <c r="J66" s="84">
        <v>63786</v>
      </c>
      <c r="K66" s="84">
        <v>107250</v>
      </c>
      <c r="L66" s="84">
        <v>56975</v>
      </c>
      <c r="M66" s="84">
        <v>34123</v>
      </c>
      <c r="N66" s="84">
        <v>48983</v>
      </c>
      <c r="O66" s="84">
        <v>67479</v>
      </c>
      <c r="P66" s="84">
        <v>68684</v>
      </c>
      <c r="Q66" s="84">
        <v>60602</v>
      </c>
      <c r="R66" s="84">
        <v>42665</v>
      </c>
      <c r="S66" s="84">
        <v>32209</v>
      </c>
      <c r="T66" s="84">
        <v>39218</v>
      </c>
      <c r="U66" s="84">
        <v>38442</v>
      </c>
      <c r="V66" s="84">
        <v>32386</v>
      </c>
      <c r="W66" s="84">
        <v>31674</v>
      </c>
      <c r="X66" s="84">
        <v>18032</v>
      </c>
      <c r="Y66" s="84">
        <v>32825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4538</v>
      </c>
      <c r="P67" s="84">
        <v>13258</v>
      </c>
      <c r="Q67" s="84">
        <v>728</v>
      </c>
      <c r="R67" s="84">
        <v>1219</v>
      </c>
      <c r="S67" s="84">
        <v>3489</v>
      </c>
      <c r="T67" s="84">
        <v>4464</v>
      </c>
      <c r="U67" s="84">
        <v>6155</v>
      </c>
      <c r="V67" s="84">
        <v>28280</v>
      </c>
      <c r="W67" s="84">
        <v>64913</v>
      </c>
      <c r="X67" s="84">
        <v>63487</v>
      </c>
      <c r="Y67" s="84">
        <v>66789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17967</v>
      </c>
      <c r="X68" s="84">
        <v>49123</v>
      </c>
      <c r="Y68" s="84">
        <v>66294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5</v>
      </c>
      <c r="C69" s="110">
        <f t="shared" si="12"/>
        <v>1</v>
      </c>
      <c r="D69" s="110">
        <f t="shared" si="12"/>
        <v>0</v>
      </c>
      <c r="E69" s="110">
        <f t="shared" si="12"/>
        <v>3</v>
      </c>
      <c r="F69" s="110">
        <f t="shared" si="12"/>
        <v>376</v>
      </c>
      <c r="G69" s="110">
        <f t="shared" si="12"/>
        <v>2272</v>
      </c>
      <c r="H69" s="110">
        <f t="shared" si="12"/>
        <v>2790</v>
      </c>
      <c r="I69" s="110">
        <f t="shared" si="12"/>
        <v>2899</v>
      </c>
      <c r="J69" s="110">
        <f t="shared" si="12"/>
        <v>3717</v>
      </c>
      <c r="K69" s="110">
        <f t="shared" si="12"/>
        <v>3599</v>
      </c>
      <c r="L69" s="110">
        <f t="shared" ref="L69" si="13">SUM(L70:L74)</f>
        <v>3831</v>
      </c>
      <c r="M69" s="110">
        <f t="shared" ref="M69:V69" si="14">SUM(M70:M74)</f>
        <v>5195</v>
      </c>
      <c r="N69" s="110">
        <f t="shared" si="14"/>
        <v>2934</v>
      </c>
      <c r="O69" s="110">
        <f t="shared" si="14"/>
        <v>3704</v>
      </c>
      <c r="P69" s="110">
        <f t="shared" si="14"/>
        <v>5191</v>
      </c>
      <c r="Q69" s="110">
        <f t="shared" si="14"/>
        <v>5379</v>
      </c>
      <c r="R69" s="110">
        <f t="shared" si="14"/>
        <v>4555</v>
      </c>
      <c r="S69" s="110">
        <f t="shared" si="14"/>
        <v>5823</v>
      </c>
      <c r="T69" s="110">
        <f t="shared" si="14"/>
        <v>6060</v>
      </c>
      <c r="U69" s="110">
        <f t="shared" si="14"/>
        <v>9879</v>
      </c>
      <c r="V69" s="110">
        <f t="shared" si="14"/>
        <v>5968</v>
      </c>
      <c r="W69" s="110">
        <f t="shared" ref="W69:Y69" si="15">SUM(W70:W74)</f>
        <v>6915</v>
      </c>
      <c r="X69" s="110">
        <f t="shared" si="15"/>
        <v>7338</v>
      </c>
      <c r="Y69" s="110">
        <f t="shared" si="15"/>
        <v>7584</v>
      </c>
      <c r="DA69" s="176" t="s">
        <v>848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369</v>
      </c>
      <c r="P70" s="102">
        <v>3</v>
      </c>
      <c r="Q70" s="102">
        <v>1</v>
      </c>
      <c r="R70" s="102">
        <v>0</v>
      </c>
      <c r="S70" s="102">
        <v>2</v>
      </c>
      <c r="T70" s="102">
        <v>0</v>
      </c>
      <c r="U70" s="102">
        <v>478</v>
      </c>
      <c r="V70" s="102">
        <v>17</v>
      </c>
      <c r="W70" s="102">
        <v>1</v>
      </c>
      <c r="X70" s="102">
        <v>42</v>
      </c>
      <c r="Y70" s="102">
        <v>48</v>
      </c>
      <c r="DA70" s="175" t="s">
        <v>849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361</v>
      </c>
      <c r="G71" s="102">
        <v>2250</v>
      </c>
      <c r="H71" s="102">
        <v>2780</v>
      </c>
      <c r="I71" s="102">
        <v>2878</v>
      </c>
      <c r="J71" s="102">
        <v>3687</v>
      </c>
      <c r="K71" s="102">
        <v>3527</v>
      </c>
      <c r="L71" s="102">
        <v>3829</v>
      </c>
      <c r="M71" s="102">
        <v>5195</v>
      </c>
      <c r="N71" s="102">
        <v>2934</v>
      </c>
      <c r="O71" s="102">
        <v>3108</v>
      </c>
      <c r="P71" s="102">
        <v>5188</v>
      </c>
      <c r="Q71" s="102">
        <v>5373</v>
      </c>
      <c r="R71" s="102">
        <v>4547</v>
      </c>
      <c r="S71" s="102">
        <v>5795</v>
      </c>
      <c r="T71" s="102">
        <v>2229</v>
      </c>
      <c r="U71" s="102">
        <v>9141</v>
      </c>
      <c r="V71" s="102">
        <v>5725</v>
      </c>
      <c r="W71" s="102">
        <v>6323</v>
      </c>
      <c r="X71" s="102">
        <v>6638</v>
      </c>
      <c r="Y71" s="102">
        <v>6107</v>
      </c>
      <c r="DA71" s="175" t="s">
        <v>850</v>
      </c>
    </row>
    <row r="72" spans="1:105" ht="11.45" customHeight="1" x14ac:dyDescent="0.25">
      <c r="A72" s="111" t="s">
        <v>112</v>
      </c>
      <c r="B72" s="102">
        <v>5</v>
      </c>
      <c r="C72" s="102">
        <v>1</v>
      </c>
      <c r="D72" s="102">
        <v>0</v>
      </c>
      <c r="E72" s="102">
        <v>3</v>
      </c>
      <c r="F72" s="102">
        <v>15</v>
      </c>
      <c r="G72" s="102">
        <v>22</v>
      </c>
      <c r="H72" s="102">
        <v>10</v>
      </c>
      <c r="I72" s="102">
        <v>21</v>
      </c>
      <c r="J72" s="102">
        <v>30</v>
      </c>
      <c r="K72" s="102">
        <v>72</v>
      </c>
      <c r="L72" s="102">
        <v>2</v>
      </c>
      <c r="M72" s="102">
        <v>0</v>
      </c>
      <c r="N72" s="102">
        <v>0</v>
      </c>
      <c r="O72" s="102">
        <v>1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6</v>
      </c>
      <c r="W72" s="102">
        <v>0</v>
      </c>
      <c r="X72" s="102">
        <v>0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3776</v>
      </c>
      <c r="U73" s="102">
        <v>196</v>
      </c>
      <c r="V73" s="102">
        <v>168</v>
      </c>
      <c r="W73" s="102">
        <v>330</v>
      </c>
      <c r="X73" s="102">
        <v>535</v>
      </c>
      <c r="Y73" s="102">
        <v>959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226</v>
      </c>
      <c r="P74" s="102">
        <v>0</v>
      </c>
      <c r="Q74" s="102">
        <v>5</v>
      </c>
      <c r="R74" s="102">
        <v>8</v>
      </c>
      <c r="S74" s="102">
        <v>26</v>
      </c>
      <c r="T74" s="102">
        <v>55</v>
      </c>
      <c r="U74" s="102">
        <v>64</v>
      </c>
      <c r="V74" s="102">
        <v>52</v>
      </c>
      <c r="W74" s="102">
        <v>261</v>
      </c>
      <c r="X74" s="102">
        <v>123</v>
      </c>
      <c r="Y74" s="102">
        <v>470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2042</v>
      </c>
      <c r="C75" s="28">
        <f t="shared" si="16"/>
        <v>2979</v>
      </c>
      <c r="D75" s="28">
        <f t="shared" si="16"/>
        <v>4735</v>
      </c>
      <c r="E75" s="28">
        <f t="shared" si="16"/>
        <v>6958</v>
      </c>
      <c r="F75" s="28">
        <f t="shared" si="16"/>
        <v>9718</v>
      </c>
      <c r="G75" s="28">
        <f t="shared" si="16"/>
        <v>34035</v>
      </c>
      <c r="H75" s="28">
        <f t="shared" si="16"/>
        <v>106508</v>
      </c>
      <c r="I75" s="28">
        <f t="shared" si="16"/>
        <v>139653</v>
      </c>
      <c r="J75" s="28">
        <f t="shared" si="16"/>
        <v>148935</v>
      </c>
      <c r="K75" s="28">
        <f t="shared" si="16"/>
        <v>171907</v>
      </c>
      <c r="L75" s="28">
        <f t="shared" ref="L75" si="17">L76+L82</f>
        <v>214980</v>
      </c>
      <c r="M75" s="28">
        <f t="shared" ref="M75:V75" si="18">M76+M82</f>
        <v>239403</v>
      </c>
      <c r="N75" s="28">
        <f t="shared" si="18"/>
        <v>247899</v>
      </c>
      <c r="O75" s="28">
        <f t="shared" si="18"/>
        <v>239039</v>
      </c>
      <c r="P75" s="28">
        <f t="shared" si="18"/>
        <v>287351</v>
      </c>
      <c r="Q75" s="28">
        <f t="shared" si="18"/>
        <v>326837</v>
      </c>
      <c r="R75" s="28">
        <f t="shared" si="18"/>
        <v>348032</v>
      </c>
      <c r="S75" s="28">
        <f t="shared" si="18"/>
        <v>368038</v>
      </c>
      <c r="T75" s="28">
        <f t="shared" si="18"/>
        <v>380706</v>
      </c>
      <c r="U75" s="28">
        <f t="shared" si="18"/>
        <v>390115</v>
      </c>
      <c r="V75" s="28">
        <f t="shared" si="18"/>
        <v>314437</v>
      </c>
      <c r="W75" s="28">
        <f t="shared" ref="W75:Y75" si="19">W76+W82</f>
        <v>400387</v>
      </c>
      <c r="X75" s="28">
        <f t="shared" si="19"/>
        <v>425297</v>
      </c>
      <c r="Y75" s="28">
        <f t="shared" si="19"/>
        <v>477502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145</v>
      </c>
      <c r="G76" s="137">
        <f t="shared" si="20"/>
        <v>20695</v>
      </c>
      <c r="H76" s="137">
        <f t="shared" si="20"/>
        <v>88846</v>
      </c>
      <c r="I76" s="137">
        <f t="shared" si="20"/>
        <v>117315</v>
      </c>
      <c r="J76" s="137">
        <f t="shared" si="20"/>
        <v>120965</v>
      </c>
      <c r="K76" s="137">
        <f t="shared" si="20"/>
        <v>142224</v>
      </c>
      <c r="L76" s="137">
        <f t="shared" ref="L76" si="21">SUM(L77:L81)</f>
        <v>178937</v>
      </c>
      <c r="M76" s="137">
        <f t="shared" ref="M76:V76" si="22">SUM(M77:M81)</f>
        <v>199373</v>
      </c>
      <c r="N76" s="137">
        <f t="shared" si="22"/>
        <v>212914</v>
      </c>
      <c r="O76" s="137">
        <f t="shared" si="22"/>
        <v>200065</v>
      </c>
      <c r="P76" s="137">
        <f t="shared" si="22"/>
        <v>239616</v>
      </c>
      <c r="Q76" s="137">
        <f t="shared" si="22"/>
        <v>271630</v>
      </c>
      <c r="R76" s="137">
        <f t="shared" si="22"/>
        <v>338020</v>
      </c>
      <c r="S76" s="137">
        <f t="shared" si="22"/>
        <v>336973</v>
      </c>
      <c r="T76" s="137">
        <f t="shared" si="22"/>
        <v>318350</v>
      </c>
      <c r="U76" s="137">
        <f t="shared" si="22"/>
        <v>330916</v>
      </c>
      <c r="V76" s="137">
        <f t="shared" si="22"/>
        <v>305495</v>
      </c>
      <c r="W76" s="137">
        <f t="shared" ref="W76:Y76" si="23">SUM(W77:W81)</f>
        <v>342963</v>
      </c>
      <c r="X76" s="137">
        <f t="shared" si="23"/>
        <v>351935</v>
      </c>
      <c r="Y76" s="137">
        <f t="shared" si="23"/>
        <v>409843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111</v>
      </c>
      <c r="L77" s="84">
        <v>2639</v>
      </c>
      <c r="M77" s="84">
        <v>10026</v>
      </c>
      <c r="N77" s="84">
        <v>4405</v>
      </c>
      <c r="O77" s="84">
        <v>9361</v>
      </c>
      <c r="P77" s="84">
        <v>11822</v>
      </c>
      <c r="Q77" s="84">
        <v>10201</v>
      </c>
      <c r="R77" s="84">
        <v>11094</v>
      </c>
      <c r="S77" s="84">
        <v>8973</v>
      </c>
      <c r="T77" s="84">
        <v>11996</v>
      </c>
      <c r="U77" s="84">
        <v>17953</v>
      </c>
      <c r="V77" s="84">
        <v>15577</v>
      </c>
      <c r="W77" s="84">
        <v>29117</v>
      </c>
      <c r="X77" s="84">
        <v>38971</v>
      </c>
      <c r="Y77" s="84">
        <v>36610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19434</v>
      </c>
      <c r="H78" s="84">
        <v>87215</v>
      </c>
      <c r="I78" s="84">
        <v>116917</v>
      </c>
      <c r="J78" s="84">
        <v>116497</v>
      </c>
      <c r="K78" s="84">
        <v>133644</v>
      </c>
      <c r="L78" s="84">
        <v>158119</v>
      </c>
      <c r="M78" s="84">
        <v>183753</v>
      </c>
      <c r="N78" s="84">
        <v>184316</v>
      </c>
      <c r="O78" s="84">
        <v>182082</v>
      </c>
      <c r="P78" s="84">
        <v>219415</v>
      </c>
      <c r="Q78" s="84">
        <v>253101</v>
      </c>
      <c r="R78" s="84">
        <v>316873</v>
      </c>
      <c r="S78" s="84">
        <v>320643</v>
      </c>
      <c r="T78" s="84">
        <v>297545</v>
      </c>
      <c r="U78" s="84">
        <v>300486</v>
      </c>
      <c r="V78" s="84">
        <v>281159</v>
      </c>
      <c r="W78" s="84">
        <v>300993</v>
      </c>
      <c r="X78" s="84">
        <v>302027</v>
      </c>
      <c r="Y78" s="84">
        <v>357300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703</v>
      </c>
      <c r="L79" s="84">
        <v>2858</v>
      </c>
      <c r="M79" s="84">
        <v>1868</v>
      </c>
      <c r="N79" s="84">
        <v>6614</v>
      </c>
      <c r="O79" s="84">
        <v>3012</v>
      </c>
      <c r="P79" s="84">
        <v>3496</v>
      </c>
      <c r="Q79" s="84">
        <v>3514</v>
      </c>
      <c r="R79" s="84">
        <v>2851</v>
      </c>
      <c r="S79" s="84">
        <v>3083</v>
      </c>
      <c r="T79" s="84">
        <v>3195</v>
      </c>
      <c r="U79" s="84">
        <v>3989</v>
      </c>
      <c r="V79" s="84">
        <v>2946</v>
      </c>
      <c r="W79" s="84">
        <v>5548</v>
      </c>
      <c r="X79" s="84">
        <v>4847</v>
      </c>
      <c r="Y79" s="84">
        <v>5999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145</v>
      </c>
      <c r="G80" s="84">
        <v>1261</v>
      </c>
      <c r="H80" s="84">
        <v>1631</v>
      </c>
      <c r="I80" s="84">
        <v>398</v>
      </c>
      <c r="J80" s="84">
        <v>4468</v>
      </c>
      <c r="K80" s="84">
        <v>7766</v>
      </c>
      <c r="L80" s="84">
        <v>15321</v>
      </c>
      <c r="M80" s="84">
        <v>3726</v>
      </c>
      <c r="N80" s="84">
        <v>17579</v>
      </c>
      <c r="O80" s="84">
        <v>5610</v>
      </c>
      <c r="P80" s="84">
        <v>4883</v>
      </c>
      <c r="Q80" s="84">
        <v>4713</v>
      </c>
      <c r="R80" s="84">
        <v>6677</v>
      </c>
      <c r="S80" s="84">
        <v>3824</v>
      </c>
      <c r="T80" s="84">
        <v>4815</v>
      </c>
      <c r="U80" s="84">
        <v>6218</v>
      </c>
      <c r="V80" s="84">
        <v>4718</v>
      </c>
      <c r="W80" s="84">
        <v>3764</v>
      </c>
      <c r="X80" s="84">
        <v>1958</v>
      </c>
      <c r="Y80" s="84">
        <v>3294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101</v>
      </c>
      <c r="R81" s="84">
        <v>525</v>
      </c>
      <c r="S81" s="84">
        <v>450</v>
      </c>
      <c r="T81" s="84">
        <v>799</v>
      </c>
      <c r="U81" s="84">
        <v>2270</v>
      </c>
      <c r="V81" s="84">
        <v>1095</v>
      </c>
      <c r="W81" s="84">
        <v>3541</v>
      </c>
      <c r="X81" s="84">
        <v>4132</v>
      </c>
      <c r="Y81" s="84">
        <v>6640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2042</v>
      </c>
      <c r="C82" s="110">
        <f t="shared" si="24"/>
        <v>2979</v>
      </c>
      <c r="D82" s="110">
        <f t="shared" si="24"/>
        <v>4735</v>
      </c>
      <c r="E82" s="110">
        <f t="shared" si="24"/>
        <v>6958</v>
      </c>
      <c r="F82" s="110">
        <f t="shared" si="24"/>
        <v>9573</v>
      </c>
      <c r="G82" s="110">
        <f t="shared" si="24"/>
        <v>13340</v>
      </c>
      <c r="H82" s="110">
        <f t="shared" si="24"/>
        <v>17662</v>
      </c>
      <c r="I82" s="110">
        <f t="shared" si="24"/>
        <v>22338</v>
      </c>
      <c r="J82" s="110">
        <f t="shared" si="24"/>
        <v>27970</v>
      </c>
      <c r="K82" s="110">
        <f t="shared" si="24"/>
        <v>29683</v>
      </c>
      <c r="L82" s="110">
        <f t="shared" ref="L82" si="25">SUM(L83:L84)</f>
        <v>36043</v>
      </c>
      <c r="M82" s="110">
        <f t="shared" ref="M82:V82" si="26">SUM(M83:M84)</f>
        <v>40030</v>
      </c>
      <c r="N82" s="110">
        <f t="shared" si="26"/>
        <v>34985</v>
      </c>
      <c r="O82" s="110">
        <f t="shared" si="26"/>
        <v>38974</v>
      </c>
      <c r="P82" s="110">
        <f t="shared" si="26"/>
        <v>47735</v>
      </c>
      <c r="Q82" s="110">
        <f t="shared" si="26"/>
        <v>55207</v>
      </c>
      <c r="R82" s="110">
        <f t="shared" si="26"/>
        <v>10012</v>
      </c>
      <c r="S82" s="110">
        <f t="shared" si="26"/>
        <v>31065</v>
      </c>
      <c r="T82" s="110">
        <f t="shared" si="26"/>
        <v>62356</v>
      </c>
      <c r="U82" s="110">
        <f t="shared" si="26"/>
        <v>59199</v>
      </c>
      <c r="V82" s="110">
        <f t="shared" si="26"/>
        <v>8942</v>
      </c>
      <c r="W82" s="110">
        <f t="shared" ref="W82:Y82" si="27">SUM(W83:W84)</f>
        <v>57424</v>
      </c>
      <c r="X82" s="110">
        <f t="shared" si="27"/>
        <v>73362</v>
      </c>
      <c r="Y82" s="110">
        <f t="shared" si="27"/>
        <v>67659</v>
      </c>
      <c r="DA82" s="176" t="s">
        <v>861</v>
      </c>
    </row>
    <row r="83" spans="1:105" ht="11.45" customHeight="1" x14ac:dyDescent="0.25">
      <c r="A83" s="128" t="s">
        <v>27</v>
      </c>
      <c r="B83" s="102">
        <v>2042</v>
      </c>
      <c r="C83" s="102">
        <v>2979</v>
      </c>
      <c r="D83" s="102">
        <v>4735</v>
      </c>
      <c r="E83" s="102">
        <v>6958</v>
      </c>
      <c r="F83" s="102">
        <v>9573</v>
      </c>
      <c r="G83" s="102">
        <v>13340</v>
      </c>
      <c r="H83" s="102">
        <v>17662</v>
      </c>
      <c r="I83" s="102">
        <v>22338</v>
      </c>
      <c r="J83" s="102">
        <v>26392</v>
      </c>
      <c r="K83" s="102">
        <v>29683</v>
      </c>
      <c r="L83" s="102">
        <v>33491</v>
      </c>
      <c r="M83" s="102">
        <v>40030</v>
      </c>
      <c r="N83" s="102">
        <v>34691</v>
      </c>
      <c r="O83" s="102">
        <v>36377</v>
      </c>
      <c r="P83" s="102">
        <v>45846</v>
      </c>
      <c r="Q83" s="102">
        <v>54015</v>
      </c>
      <c r="R83" s="102">
        <v>7285</v>
      </c>
      <c r="S83" s="102">
        <v>26814</v>
      </c>
      <c r="T83" s="102">
        <v>61335</v>
      </c>
      <c r="U83" s="102">
        <v>56147</v>
      </c>
      <c r="V83" s="102">
        <v>7306</v>
      </c>
      <c r="W83" s="102">
        <v>51994</v>
      </c>
      <c r="X83" s="102">
        <v>70272</v>
      </c>
      <c r="Y83" s="102">
        <v>67205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1578</v>
      </c>
      <c r="K84" s="86">
        <v>0</v>
      </c>
      <c r="L84" s="86">
        <v>2552</v>
      </c>
      <c r="M84" s="86">
        <v>0</v>
      </c>
      <c r="N84" s="86">
        <v>294</v>
      </c>
      <c r="O84" s="86">
        <v>2597</v>
      </c>
      <c r="P84" s="86">
        <v>1889</v>
      </c>
      <c r="Q84" s="86">
        <v>1192</v>
      </c>
      <c r="R84" s="86">
        <v>2727</v>
      </c>
      <c r="S84" s="86">
        <v>4251</v>
      </c>
      <c r="T84" s="86">
        <v>1021</v>
      </c>
      <c r="U84" s="86">
        <v>3052</v>
      </c>
      <c r="V84" s="86">
        <v>1636</v>
      </c>
      <c r="W84" s="86">
        <v>5430</v>
      </c>
      <c r="X84" s="86">
        <v>3090</v>
      </c>
      <c r="Y84" s="86">
        <v>454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3.7372974731773136</v>
      </c>
      <c r="C90" s="141">
        <v>3.6806526575659975</v>
      </c>
      <c r="D90" s="141">
        <v>3.6340096567878915</v>
      </c>
      <c r="E90" s="141">
        <v>3.5799684607321307</v>
      </c>
      <c r="F90" s="141">
        <v>3.5346076064837542</v>
      </c>
      <c r="G90" s="141">
        <v>3.4886575455836333</v>
      </c>
      <c r="H90" s="141">
        <v>3.4333378502239214</v>
      </c>
      <c r="I90" s="141">
        <v>3.370029176032046</v>
      </c>
      <c r="J90" s="141">
        <v>3.3029676469136793</v>
      </c>
      <c r="K90" s="141">
        <v>3.2165146069440147</v>
      </c>
      <c r="L90" s="141">
        <v>3.1642610085051306</v>
      </c>
      <c r="M90" s="141">
        <v>3.1082903907713013</v>
      </c>
      <c r="N90" s="141">
        <v>3.0202373207503497</v>
      </c>
      <c r="O90" s="141">
        <v>2.9752819753861743</v>
      </c>
      <c r="P90" s="141">
        <v>2.8922812966349483</v>
      </c>
      <c r="Q90" s="141">
        <v>2.8603673061756885</v>
      </c>
      <c r="R90" s="141">
        <v>2.8327071071863412</v>
      </c>
      <c r="S90" s="141">
        <v>2.7887480990244304</v>
      </c>
      <c r="T90" s="141">
        <v>2.7602866955868031</v>
      </c>
      <c r="U90" s="141">
        <v>2.7285708028177611</v>
      </c>
      <c r="V90" s="141">
        <v>2.7023928882748032</v>
      </c>
      <c r="W90" s="141">
        <v>2.6221636749330006</v>
      </c>
      <c r="X90" s="141">
        <v>2.5943259305529058</v>
      </c>
      <c r="Y90" s="141">
        <v>2.5819270015463553</v>
      </c>
      <c r="DA90" s="174" t="s">
        <v>864</v>
      </c>
    </row>
    <row r="91" spans="1:105" ht="11.45" customHeight="1" x14ac:dyDescent="0.25">
      <c r="A91" s="109" t="s">
        <v>20</v>
      </c>
      <c r="B91" s="130">
        <v>7.4520783740518599</v>
      </c>
      <c r="C91" s="130">
        <v>7.2771245906558581</v>
      </c>
      <c r="D91" s="130">
        <v>7.2040057116211873</v>
      </c>
      <c r="E91" s="130">
        <v>7.1163352975290985</v>
      </c>
      <c r="F91" s="130">
        <v>7.0063189316713039</v>
      </c>
      <c r="G91" s="130">
        <v>6.9178989444320065</v>
      </c>
      <c r="H91" s="130">
        <v>6.8292402909174541</v>
      </c>
      <c r="I91" s="130">
        <v>6.7378019416360768</v>
      </c>
      <c r="J91" s="130">
        <v>6.6545341291277236</v>
      </c>
      <c r="K91" s="130">
        <v>6.5637029739912203</v>
      </c>
      <c r="L91" s="130">
        <v>6.4837449137193701</v>
      </c>
      <c r="M91" s="130">
        <v>6.3948115566248616</v>
      </c>
      <c r="N91" s="130">
        <v>6.3475162575559372</v>
      </c>
      <c r="O91" s="130">
        <v>6.2730612639440917</v>
      </c>
      <c r="P91" s="130">
        <v>6.1923717329964534</v>
      </c>
      <c r="Q91" s="130">
        <v>6.0957687421185778</v>
      </c>
      <c r="R91" s="130">
        <v>6.003798255442705</v>
      </c>
      <c r="S91" s="130">
        <v>5.9004419857733321</v>
      </c>
      <c r="T91" s="130">
        <v>5.8122057957890032</v>
      </c>
      <c r="U91" s="130">
        <v>5.7420937779498953</v>
      </c>
      <c r="V91" s="130">
        <v>5.6832630519462661</v>
      </c>
      <c r="W91" s="130">
        <v>5.6016609422300663</v>
      </c>
      <c r="X91" s="130">
        <v>5.5424519216927486</v>
      </c>
      <c r="Y91" s="130">
        <v>5.4796434417448268</v>
      </c>
      <c r="DA91" s="176" t="s">
        <v>865</v>
      </c>
    </row>
    <row r="92" spans="1:105" ht="11.45" customHeight="1" x14ac:dyDescent="0.25">
      <c r="A92" s="111" t="s">
        <v>110</v>
      </c>
      <c r="B92" s="96">
        <v>7.4096270936039161</v>
      </c>
      <c r="C92" s="96">
        <v>7.2285262374447443</v>
      </c>
      <c r="D92" s="96">
        <v>7.1422351411824145</v>
      </c>
      <c r="E92" s="96">
        <v>7.0528986829995288</v>
      </c>
      <c r="F92" s="96">
        <v>6.9625440387876143</v>
      </c>
      <c r="G92" s="96">
        <v>6.8825938300993306</v>
      </c>
      <c r="H92" s="96">
        <v>6.7967790438245501</v>
      </c>
      <c r="I92" s="96">
        <v>6.7000446413083257</v>
      </c>
      <c r="J92" s="96">
        <v>6.6109423771058378</v>
      </c>
      <c r="K92" s="96">
        <v>6.5120610725429557</v>
      </c>
      <c r="L92" s="96">
        <v>6.4263519703686089</v>
      </c>
      <c r="M92" s="96">
        <v>6.3217369941592745</v>
      </c>
      <c r="N92" s="96">
        <v>6.275132087442282</v>
      </c>
      <c r="O92" s="96">
        <v>6.1973167976430537</v>
      </c>
      <c r="P92" s="96">
        <v>6.1108031198321049</v>
      </c>
      <c r="Q92" s="96">
        <v>6.0012623057117249</v>
      </c>
      <c r="R92" s="96">
        <v>5.9231195217067096</v>
      </c>
      <c r="S92" s="96">
        <v>5.8260164321032821</v>
      </c>
      <c r="T92" s="96">
        <v>5.7285280864607442</v>
      </c>
      <c r="U92" s="96">
        <v>5.6531724808818096</v>
      </c>
      <c r="V92" s="96">
        <v>5.5799606698657547</v>
      </c>
      <c r="W92" s="96">
        <v>5.487677542189263</v>
      </c>
      <c r="X92" s="96">
        <v>5.403483469643783</v>
      </c>
      <c r="Y92" s="96">
        <v>5.3084831770972896</v>
      </c>
      <c r="DA92" s="171" t="s">
        <v>866</v>
      </c>
    </row>
    <row r="93" spans="1:105" ht="11.45" customHeight="1" x14ac:dyDescent="0.25">
      <c r="A93" s="111" t="s">
        <v>111</v>
      </c>
      <c r="B93" s="96">
        <v>7.8019806449702438</v>
      </c>
      <c r="C93" s="96">
        <v>7.2687615354491646</v>
      </c>
      <c r="D93" s="96">
        <v>7.1533692883293147</v>
      </c>
      <c r="E93" s="96">
        <v>7.0180323009835872</v>
      </c>
      <c r="F93" s="96">
        <v>6.8490123447682025</v>
      </c>
      <c r="G93" s="96">
        <v>6.7451612115528485</v>
      </c>
      <c r="H93" s="96">
        <v>6.657314524260709</v>
      </c>
      <c r="I93" s="96">
        <v>6.5917389104446009</v>
      </c>
      <c r="J93" s="96">
        <v>6.5373446519724183</v>
      </c>
      <c r="K93" s="96">
        <v>6.4903509089658957</v>
      </c>
      <c r="L93" s="96">
        <v>6.4361330176950604</v>
      </c>
      <c r="M93" s="96">
        <v>6.3613377835055145</v>
      </c>
      <c r="N93" s="96">
        <v>6.2996125731949881</v>
      </c>
      <c r="O93" s="96">
        <v>6.228433737837145</v>
      </c>
      <c r="P93" s="96">
        <v>6.1470392698634138</v>
      </c>
      <c r="Q93" s="96">
        <v>6.0454820996850058</v>
      </c>
      <c r="R93" s="96">
        <v>5.9107033574493091</v>
      </c>
      <c r="S93" s="96">
        <v>5.7770180798800617</v>
      </c>
      <c r="T93" s="96">
        <v>5.6829463149110246</v>
      </c>
      <c r="U93" s="96">
        <v>5.5974174384237569</v>
      </c>
      <c r="V93" s="96">
        <v>5.5432392346727131</v>
      </c>
      <c r="W93" s="96">
        <v>5.4726870125250846</v>
      </c>
      <c r="X93" s="96">
        <v>5.4266671362020249</v>
      </c>
      <c r="Y93" s="96">
        <v>5.3834129169322091</v>
      </c>
      <c r="DA93" s="171" t="s">
        <v>867</v>
      </c>
    </row>
    <row r="94" spans="1:105" ht="11.45" customHeight="1" x14ac:dyDescent="0.25">
      <c r="A94" s="111" t="s">
        <v>112</v>
      </c>
      <c r="B94" s="96">
        <v>6.8184247654409837</v>
      </c>
      <c r="C94" s="96">
        <v>6.8177029671114528</v>
      </c>
      <c r="D94" s="96">
        <v>6.81766006745646</v>
      </c>
      <c r="E94" s="96">
        <v>6.8063655485027468</v>
      </c>
      <c r="F94" s="96">
        <v>6.8060954412219061</v>
      </c>
      <c r="G94" s="96">
        <v>6.7063458882935656</v>
      </c>
      <c r="H94" s="96">
        <v>6.6875975407350978</v>
      </c>
      <c r="I94" s="96">
        <v>6.6603218815577403</v>
      </c>
      <c r="J94" s="96">
        <v>6.5730856026347881</v>
      </c>
      <c r="K94" s="96">
        <v>6.2031118601414263</v>
      </c>
      <c r="L94" s="96">
        <v>5.9879373757852212</v>
      </c>
      <c r="M94" s="96">
        <v>5.9480355987338935</v>
      </c>
      <c r="N94" s="96">
        <v>5.8569094273003186</v>
      </c>
      <c r="O94" s="96">
        <v>5.7809641619631638</v>
      </c>
      <c r="P94" s="96">
        <v>5.7130671725637896</v>
      </c>
      <c r="Q94" s="96">
        <v>5.653888455286606</v>
      </c>
      <c r="R94" s="96">
        <v>5.6059200520524337</v>
      </c>
      <c r="S94" s="96">
        <v>5.5555072964635777</v>
      </c>
      <c r="T94" s="96">
        <v>5.5139773923949562</v>
      </c>
      <c r="U94" s="96">
        <v>5.492276206864469</v>
      </c>
      <c r="V94" s="96">
        <v>5.4355495243666256</v>
      </c>
      <c r="W94" s="96">
        <v>5.3777319112950162</v>
      </c>
      <c r="X94" s="96">
        <v>5.317841489117578</v>
      </c>
      <c r="Y94" s="96">
        <v>5.2689305240227791</v>
      </c>
      <c r="DA94" s="171" t="s">
        <v>868</v>
      </c>
    </row>
    <row r="95" spans="1:105" ht="11.45" customHeight="1" x14ac:dyDescent="0.25">
      <c r="A95" s="111" t="s">
        <v>113</v>
      </c>
      <c r="B95" s="96">
        <v>8.7613869052001512</v>
      </c>
      <c r="C95" s="96">
        <v>8.5642943654342467</v>
      </c>
      <c r="D95" s="96">
        <v>8.5642943654342467</v>
      </c>
      <c r="E95" s="96">
        <v>8.5427348571518511</v>
      </c>
      <c r="F95" s="96">
        <v>8.5304672769919918</v>
      </c>
      <c r="G95" s="96">
        <v>8.3774790452752903</v>
      </c>
      <c r="H95" s="96">
        <v>8.2149966898840052</v>
      </c>
      <c r="I95" s="96">
        <v>8.0248990768196808</v>
      </c>
      <c r="J95" s="96">
        <v>7.8080240504983083</v>
      </c>
      <c r="K95" s="96">
        <v>7.4961772160158171</v>
      </c>
      <c r="L95" s="96">
        <v>7.3480005126666983</v>
      </c>
      <c r="M95" s="96">
        <v>7.2395045257237687</v>
      </c>
      <c r="N95" s="96">
        <v>7.1042246888238934</v>
      </c>
      <c r="O95" s="96">
        <v>6.8712250394209944</v>
      </c>
      <c r="P95" s="96">
        <v>6.6687186303063184</v>
      </c>
      <c r="Q95" s="96">
        <v>6.5254484667543124</v>
      </c>
      <c r="R95" s="96">
        <v>6.4331933066891507</v>
      </c>
      <c r="S95" s="96">
        <v>6.3704759456279332</v>
      </c>
      <c r="T95" s="96">
        <v>6.2929924889570259</v>
      </c>
      <c r="U95" s="96">
        <v>6.1980617952022543</v>
      </c>
      <c r="V95" s="96">
        <v>6.1115579854611735</v>
      </c>
      <c r="W95" s="96">
        <v>6.004138568133615</v>
      </c>
      <c r="X95" s="96">
        <v>5.9534947738658675</v>
      </c>
      <c r="Y95" s="96">
        <v>5.8715128638009366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4.5018593793819148</v>
      </c>
      <c r="O96" s="96">
        <v>5.0019260748622445</v>
      </c>
      <c r="P96" s="96">
        <v>4.9732777329238571</v>
      </c>
      <c r="Q96" s="96">
        <v>4.9314208883670192</v>
      </c>
      <c r="R96" s="96">
        <v>4.8575290773251858</v>
      </c>
      <c r="S96" s="96">
        <v>4.804518137999815</v>
      </c>
      <c r="T96" s="96">
        <v>4.6655687223990201</v>
      </c>
      <c r="U96" s="96">
        <v>4.515468418772187</v>
      </c>
      <c r="V96" s="96">
        <v>3.8861087202123974</v>
      </c>
      <c r="W96" s="96">
        <v>3.4475434807905758</v>
      </c>
      <c r="X96" s="96">
        <v>3.1816547645795139</v>
      </c>
      <c r="Y96" s="96">
        <v>3.003423990820433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1.3047135028115466</v>
      </c>
      <c r="M97" s="96">
        <v>1.3047135028115466</v>
      </c>
      <c r="N97" s="96">
        <v>1.297642729207364</v>
      </c>
      <c r="O97" s="96">
        <v>1.2918917927009232</v>
      </c>
      <c r="P97" s="96">
        <v>1.2806886573425018</v>
      </c>
      <c r="Q97" s="96">
        <v>1.2511529802691741</v>
      </c>
      <c r="R97" s="96">
        <v>1.2323337763475601</v>
      </c>
      <c r="S97" s="96">
        <v>1.2134727164649737</v>
      </c>
      <c r="T97" s="96">
        <v>1.1986484619398863</v>
      </c>
      <c r="U97" s="96">
        <v>1.3059861183798154</v>
      </c>
      <c r="V97" s="96">
        <v>1.3778343613145665</v>
      </c>
      <c r="W97" s="96">
        <v>1.3804994627523686</v>
      </c>
      <c r="X97" s="96">
        <v>1.3899803766968131</v>
      </c>
      <c r="Y97" s="96">
        <v>1.3953669910750677</v>
      </c>
      <c r="DA97" s="171" t="s">
        <v>871</v>
      </c>
    </row>
    <row r="98" spans="1:105" ht="11.45" customHeight="1" x14ac:dyDescent="0.25">
      <c r="A98" s="109" t="s">
        <v>21</v>
      </c>
      <c r="B98" s="130">
        <v>50.635374079191784</v>
      </c>
      <c r="C98" s="130">
        <v>49.919999904383587</v>
      </c>
      <c r="D98" s="130">
        <v>49.472048979783239</v>
      </c>
      <c r="E98" s="130">
        <v>49.049059786282051</v>
      </c>
      <c r="F98" s="130">
        <v>48.660058507335926</v>
      </c>
      <c r="G98" s="130">
        <v>48.18645293009029</v>
      </c>
      <c r="H98" s="130">
        <v>47.702726198409593</v>
      </c>
      <c r="I98" s="130">
        <v>47.358040628098799</v>
      </c>
      <c r="J98" s="130">
        <v>46.881742879358853</v>
      </c>
      <c r="K98" s="130">
        <v>46.416304211222609</v>
      </c>
      <c r="L98" s="130">
        <v>46.018080487294057</v>
      </c>
      <c r="M98" s="130">
        <v>45.613689496273309</v>
      </c>
      <c r="N98" s="130">
        <v>45.320014274059233</v>
      </c>
      <c r="O98" s="130">
        <v>44.886236321293261</v>
      </c>
      <c r="P98" s="130">
        <v>44.704289691358738</v>
      </c>
      <c r="Q98" s="130">
        <v>44.513967524914463</v>
      </c>
      <c r="R98" s="130">
        <v>44.320740731772446</v>
      </c>
      <c r="S98" s="130">
        <v>44.060566827566696</v>
      </c>
      <c r="T98" s="130">
        <v>43.453685669060235</v>
      </c>
      <c r="U98" s="130">
        <v>43.027929375489691</v>
      </c>
      <c r="V98" s="130">
        <v>42.541487609492989</v>
      </c>
      <c r="W98" s="130">
        <v>42.00760956668929</v>
      </c>
      <c r="X98" s="130">
        <v>41.203727107440415</v>
      </c>
      <c r="Y98" s="130">
        <v>40.242730174808841</v>
      </c>
      <c r="DA98" s="176" t="s">
        <v>872</v>
      </c>
    </row>
    <row r="99" spans="1:105" ht="11.45" customHeight="1" x14ac:dyDescent="0.25">
      <c r="A99" s="111" t="s">
        <v>110</v>
      </c>
      <c r="B99" s="97">
        <v>15.387102364188721</v>
      </c>
      <c r="C99" s="97">
        <v>15.387102364188722</v>
      </c>
      <c r="D99" s="97">
        <v>15.387102364188724</v>
      </c>
      <c r="E99" s="97">
        <v>15.387102364188719</v>
      </c>
      <c r="F99" s="97">
        <v>15.387102364188717</v>
      </c>
      <c r="G99" s="97">
        <v>15.387102364188719</v>
      </c>
      <c r="H99" s="97">
        <v>15.387102364188719</v>
      </c>
      <c r="I99" s="97">
        <v>15.303400895303763</v>
      </c>
      <c r="J99" s="97">
        <v>15.006131436974709</v>
      </c>
      <c r="K99" s="97">
        <v>14.770865789149425</v>
      </c>
      <c r="L99" s="97">
        <v>14.59269227818516</v>
      </c>
      <c r="M99" s="97">
        <v>14.455770834025783</v>
      </c>
      <c r="N99" s="97">
        <v>14.393638911374124</v>
      </c>
      <c r="O99" s="97">
        <v>11.960158673971284</v>
      </c>
      <c r="P99" s="97">
        <v>10.84011909558528</v>
      </c>
      <c r="Q99" s="97">
        <v>10.73206226819379</v>
      </c>
      <c r="R99" s="97">
        <v>10.722874016037823</v>
      </c>
      <c r="S99" s="97">
        <v>10.652562526062667</v>
      </c>
      <c r="T99" s="97">
        <v>10.64552654635775</v>
      </c>
      <c r="U99" s="97">
        <v>9.8478543885414691</v>
      </c>
      <c r="V99" s="97">
        <v>9.8178271735615361</v>
      </c>
      <c r="W99" s="97">
        <v>9.7630174144351667</v>
      </c>
      <c r="X99" s="97">
        <v>9.6544595400733204</v>
      </c>
      <c r="Y99" s="97">
        <v>9.5573320906584929</v>
      </c>
      <c r="DA99" s="175" t="s">
        <v>873</v>
      </c>
    </row>
    <row r="100" spans="1:105" ht="11.45" customHeight="1" x14ac:dyDescent="0.25">
      <c r="A100" s="111" t="s">
        <v>111</v>
      </c>
      <c r="B100" s="97">
        <v>51.119815112901769</v>
      </c>
      <c r="C100" s="97">
        <v>50.052353311806151</v>
      </c>
      <c r="D100" s="97">
        <v>49.458400709162248</v>
      </c>
      <c r="E100" s="97">
        <v>48.956103517141578</v>
      </c>
      <c r="F100" s="97">
        <v>48.520757729295028</v>
      </c>
      <c r="G100" s="97">
        <v>48.106032077902157</v>
      </c>
      <c r="H100" s="97">
        <v>47.725042756926868</v>
      </c>
      <c r="I100" s="97">
        <v>47.40549632327324</v>
      </c>
      <c r="J100" s="97">
        <v>47.053308503275268</v>
      </c>
      <c r="K100" s="97">
        <v>46.691609452504579</v>
      </c>
      <c r="L100" s="97">
        <v>46.336401237341505</v>
      </c>
      <c r="M100" s="97">
        <v>45.942199352591373</v>
      </c>
      <c r="N100" s="97">
        <v>45.685713428346901</v>
      </c>
      <c r="O100" s="97">
        <v>45.545125629088552</v>
      </c>
      <c r="P100" s="97">
        <v>45.218094232731644</v>
      </c>
      <c r="Q100" s="97">
        <v>44.978697998533669</v>
      </c>
      <c r="R100" s="97">
        <v>44.761120892591599</v>
      </c>
      <c r="S100" s="97">
        <v>44.490035450184855</v>
      </c>
      <c r="T100" s="97">
        <v>44.275796466479569</v>
      </c>
      <c r="U100" s="97">
        <v>43.584722429362664</v>
      </c>
      <c r="V100" s="97">
        <v>43.028002615790498</v>
      </c>
      <c r="W100" s="97">
        <v>42.386511542922392</v>
      </c>
      <c r="X100" s="97">
        <v>41.503584288770632</v>
      </c>
      <c r="Y100" s="97">
        <v>40.573926054169867</v>
      </c>
      <c r="DA100" s="175" t="s">
        <v>874</v>
      </c>
    </row>
    <row r="101" spans="1:105" ht="11.45" customHeight="1" x14ac:dyDescent="0.25">
      <c r="A101" s="111" t="s">
        <v>112</v>
      </c>
      <c r="B101" s="97">
        <v>42.818971967672425</v>
      </c>
      <c r="C101" s="97">
        <v>42.16891503202644</v>
      </c>
      <c r="D101" s="97">
        <v>42.142394448660376</v>
      </c>
      <c r="E101" s="97">
        <v>41.413164400866016</v>
      </c>
      <c r="F101" s="97">
        <v>40.138514893299735</v>
      </c>
      <c r="G101" s="97">
        <v>39.554754058040707</v>
      </c>
      <c r="H101" s="97">
        <v>39.406022237536888</v>
      </c>
      <c r="I101" s="97">
        <v>39.146237905333869</v>
      </c>
      <c r="J101" s="97">
        <v>38.901609293597332</v>
      </c>
      <c r="K101" s="97">
        <v>38.437100653786992</v>
      </c>
      <c r="L101" s="97">
        <v>38.426158971114482</v>
      </c>
      <c r="M101" s="97">
        <v>38.351634859516942</v>
      </c>
      <c r="N101" s="97">
        <v>38.295976539819065</v>
      </c>
      <c r="O101" s="97">
        <v>38.22909803551569</v>
      </c>
      <c r="P101" s="97">
        <v>38.175076450534668</v>
      </c>
      <c r="Q101" s="97">
        <v>38.126031551284491</v>
      </c>
      <c r="R101" s="97">
        <v>38.085300689557926</v>
      </c>
      <c r="S101" s="97">
        <v>38.074028379166144</v>
      </c>
      <c r="T101" s="97">
        <v>38.059755138737586</v>
      </c>
      <c r="U101" s="97">
        <v>38.051840198243191</v>
      </c>
      <c r="V101" s="97">
        <v>37.944176948218171</v>
      </c>
      <c r="W101" s="97">
        <v>37.919923085315155</v>
      </c>
      <c r="X101" s="97">
        <v>37.851871949167219</v>
      </c>
      <c r="Y101" s="97">
        <v>37.779853780671097</v>
      </c>
      <c r="DA101" s="175" t="s">
        <v>875</v>
      </c>
    </row>
    <row r="102" spans="1:105" ht="11.45" customHeight="1" x14ac:dyDescent="0.25">
      <c r="A102" s="111" t="s">
        <v>113</v>
      </c>
      <c r="B102" s="97">
        <v>42.608142715665714</v>
      </c>
      <c r="C102" s="97">
        <v>42.05518534468748</v>
      </c>
      <c r="D102" s="97">
        <v>42.01012423319299</v>
      </c>
      <c r="E102" s="97">
        <v>40.190247722373357</v>
      </c>
      <c r="F102" s="97">
        <v>40.007725360993042</v>
      </c>
      <c r="G102" s="97">
        <v>39.380042684482717</v>
      </c>
      <c r="H102" s="97">
        <v>38.94812233460042</v>
      </c>
      <c r="I102" s="97">
        <v>38.707289374999206</v>
      </c>
      <c r="J102" s="97">
        <v>38.498443180927126</v>
      </c>
      <c r="K102" s="97">
        <v>38.302204968870605</v>
      </c>
      <c r="L102" s="97">
        <v>38.102404378931723</v>
      </c>
      <c r="M102" s="97">
        <v>37.974631773407978</v>
      </c>
      <c r="N102" s="97">
        <v>37.829908490827385</v>
      </c>
      <c r="O102" s="97">
        <v>37.70130345220371</v>
      </c>
      <c r="P102" s="97">
        <v>37.67244559966452</v>
      </c>
      <c r="Q102" s="97">
        <v>37.639800535971247</v>
      </c>
      <c r="R102" s="97">
        <v>37.45100510037549</v>
      </c>
      <c r="S102" s="97">
        <v>37.111637670377903</v>
      </c>
      <c r="T102" s="97">
        <v>36.244905702407564</v>
      </c>
      <c r="U102" s="97">
        <v>35.70056443207708</v>
      </c>
      <c r="V102" s="97">
        <v>35.693803871623885</v>
      </c>
      <c r="W102" s="97">
        <v>35.674106329614659</v>
      </c>
      <c r="X102" s="97">
        <v>35.636455333440033</v>
      </c>
      <c r="Y102" s="97">
        <v>35.562444316687404</v>
      </c>
      <c r="DA102" s="175" t="s">
        <v>876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20.404212682088357</v>
      </c>
      <c r="P103" s="97">
        <v>20.40421268208836</v>
      </c>
      <c r="Q103" s="97">
        <v>20.388434866564847</v>
      </c>
      <c r="R103" s="97">
        <v>20.348378044344123</v>
      </c>
      <c r="S103" s="97">
        <v>20.196656287455227</v>
      </c>
      <c r="T103" s="97">
        <v>19.758762298892009</v>
      </c>
      <c r="U103" s="97">
        <v>19.30478208482679</v>
      </c>
      <c r="V103" s="97">
        <v>18.950671146385954</v>
      </c>
      <c r="W103" s="97">
        <v>17.415064320256782</v>
      </c>
      <c r="X103" s="97">
        <v>16.916481654332554</v>
      </c>
      <c r="Y103" s="97">
        <v>15.871609460145331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11.199354908302428</v>
      </c>
      <c r="C105" s="141">
        <v>10.808831591613735</v>
      </c>
      <c r="D105" s="141">
        <v>10.386359761738335</v>
      </c>
      <c r="E105" s="141">
        <v>10.033856058143801</v>
      </c>
      <c r="F105" s="141">
        <v>9.7880726999287813</v>
      </c>
      <c r="G105" s="141">
        <v>9.4765270539065973</v>
      </c>
      <c r="H105" s="141">
        <v>9.1932198566660759</v>
      </c>
      <c r="I105" s="141">
        <v>8.9372927477121351</v>
      </c>
      <c r="J105" s="141">
        <v>8.7280364059987825</v>
      </c>
      <c r="K105" s="141">
        <v>8.4579338447013761</v>
      </c>
      <c r="L105" s="141">
        <v>8.2041572429357288</v>
      </c>
      <c r="M105" s="141">
        <v>7.9555092554877147</v>
      </c>
      <c r="N105" s="141">
        <v>7.849005136385693</v>
      </c>
      <c r="O105" s="141">
        <v>7.6046939649614913</v>
      </c>
      <c r="P105" s="141">
        <v>7.3461502143902004</v>
      </c>
      <c r="Q105" s="141">
        <v>7.1129475929746322</v>
      </c>
      <c r="R105" s="141">
        <v>6.991437241101699</v>
      </c>
      <c r="S105" s="141">
        <v>6.7680500310324314</v>
      </c>
      <c r="T105" s="141">
        <v>6.6339189891549388</v>
      </c>
      <c r="U105" s="141">
        <v>6.5140323823678505</v>
      </c>
      <c r="V105" s="141">
        <v>6.4588622940710536</v>
      </c>
      <c r="W105" s="141">
        <v>6.3597075689509142</v>
      </c>
      <c r="X105" s="141">
        <v>6.2408559485546045</v>
      </c>
      <c r="Y105" s="141">
        <v>6.1376913884078199</v>
      </c>
      <c r="DA105" s="174" t="s">
        <v>878</v>
      </c>
    </row>
    <row r="106" spans="1:105" ht="11.45" customHeight="1" x14ac:dyDescent="0.25">
      <c r="A106" s="111" t="s">
        <v>110</v>
      </c>
      <c r="B106" s="96">
        <v>10.051905938830455</v>
      </c>
      <c r="C106" s="96">
        <v>9.6855822894762138</v>
      </c>
      <c r="D106" s="96">
        <v>9.2887397500073092</v>
      </c>
      <c r="E106" s="96">
        <v>8.9801865506309806</v>
      </c>
      <c r="F106" s="96">
        <v>8.7918209585435658</v>
      </c>
      <c r="G106" s="96">
        <v>8.5453987899774386</v>
      </c>
      <c r="H106" s="96">
        <v>8.3359950347095708</v>
      </c>
      <c r="I106" s="96">
        <v>8.172996823804878</v>
      </c>
      <c r="J106" s="96">
        <v>8.0289941237121383</v>
      </c>
      <c r="K106" s="96">
        <v>7.8861890876968177</v>
      </c>
      <c r="L106" s="96">
        <v>7.8621196370519053</v>
      </c>
      <c r="M106" s="96">
        <v>7.7529519224773527</v>
      </c>
      <c r="N106" s="96">
        <v>7.5456232767761797</v>
      </c>
      <c r="O106" s="96">
        <v>7.3475990694988687</v>
      </c>
      <c r="P106" s="96">
        <v>7.1156830281676875</v>
      </c>
      <c r="Q106" s="96">
        <v>6.8956791965640427</v>
      </c>
      <c r="R106" s="96">
        <v>6.8011163110012127</v>
      </c>
      <c r="S106" s="96">
        <v>6.623280651211747</v>
      </c>
      <c r="T106" s="96">
        <v>6.4323986217556612</v>
      </c>
      <c r="U106" s="96">
        <v>6.2826624911031512</v>
      </c>
      <c r="V106" s="96">
        <v>6.1756931285599554</v>
      </c>
      <c r="W106" s="96">
        <v>5.9389513508331655</v>
      </c>
      <c r="X106" s="96">
        <v>5.6507362138791413</v>
      </c>
      <c r="Y106" s="96">
        <v>5.4558897070063557</v>
      </c>
      <c r="DA106" s="171" t="s">
        <v>879</v>
      </c>
    </row>
    <row r="107" spans="1:105" ht="11.45" customHeight="1" x14ac:dyDescent="0.25">
      <c r="A107" s="111" t="s">
        <v>111</v>
      </c>
      <c r="B107" s="96">
        <v>11.31242422909235</v>
      </c>
      <c r="C107" s="96">
        <v>10.778326987442373</v>
      </c>
      <c r="D107" s="96">
        <v>10.234105340532802</v>
      </c>
      <c r="E107" s="96">
        <v>9.8059558270077005</v>
      </c>
      <c r="F107" s="96">
        <v>9.5212670751078434</v>
      </c>
      <c r="G107" s="96">
        <v>9.1748232314657052</v>
      </c>
      <c r="H107" s="96">
        <v>8.8775376537299255</v>
      </c>
      <c r="I107" s="96">
        <v>8.6162205283725495</v>
      </c>
      <c r="J107" s="96">
        <v>8.4158995048109269</v>
      </c>
      <c r="K107" s="96">
        <v>8.1751084258708531</v>
      </c>
      <c r="L107" s="96">
        <v>7.958189482349959</v>
      </c>
      <c r="M107" s="96">
        <v>7.7487961895307222</v>
      </c>
      <c r="N107" s="96">
        <v>7.6514351452864897</v>
      </c>
      <c r="O107" s="96">
        <v>7.4481073317062556</v>
      </c>
      <c r="P107" s="96">
        <v>7.2342215250861788</v>
      </c>
      <c r="Q107" s="96">
        <v>7.0294890882876588</v>
      </c>
      <c r="R107" s="96">
        <v>6.8814241678709021</v>
      </c>
      <c r="S107" s="96">
        <v>6.6736518276864505</v>
      </c>
      <c r="T107" s="96">
        <v>6.5381103777134442</v>
      </c>
      <c r="U107" s="96">
        <v>6.4155495292612281</v>
      </c>
      <c r="V107" s="96">
        <v>6.3578441429980215</v>
      </c>
      <c r="W107" s="96">
        <v>6.2723338892246998</v>
      </c>
      <c r="X107" s="96">
        <v>6.1690067400265747</v>
      </c>
      <c r="Y107" s="96">
        <v>6.0893144150376743</v>
      </c>
      <c r="DA107" s="171" t="s">
        <v>880</v>
      </c>
    </row>
    <row r="108" spans="1:105" ht="11.45" customHeight="1" x14ac:dyDescent="0.25">
      <c r="A108" s="111" t="s">
        <v>112</v>
      </c>
      <c r="B108" s="96">
        <v>12.050574403597647</v>
      </c>
      <c r="C108" s="96">
        <v>11.18165909178837</v>
      </c>
      <c r="D108" s="96">
        <v>10.415304345212416</v>
      </c>
      <c r="E108" s="96">
        <v>9.8254018948990094</v>
      </c>
      <c r="F108" s="96">
        <v>9.3976671515435655</v>
      </c>
      <c r="G108" s="96">
        <v>8.9483389098894008</v>
      </c>
      <c r="H108" s="96">
        <v>8.5592522751784603</v>
      </c>
      <c r="I108" s="96">
        <v>8.4723553210846863</v>
      </c>
      <c r="J108" s="96">
        <v>8.1704762972906178</v>
      </c>
      <c r="K108" s="96">
        <v>7.7576278246812516</v>
      </c>
      <c r="L108" s="96">
        <v>7.5435489249322529</v>
      </c>
      <c r="M108" s="96">
        <v>7.4615535450104993</v>
      </c>
      <c r="N108" s="96">
        <v>6.9988478824928455</v>
      </c>
      <c r="O108" s="96">
        <v>6.8995627563390576</v>
      </c>
      <c r="P108" s="96">
        <v>6.7378980530671768</v>
      </c>
      <c r="Q108" s="96">
        <v>6.6213413487100139</v>
      </c>
      <c r="R108" s="96">
        <v>6.4048295108443156</v>
      </c>
      <c r="S108" s="96">
        <v>6.2431757047953305</v>
      </c>
      <c r="T108" s="96">
        <v>6.0868722591410318</v>
      </c>
      <c r="U108" s="96">
        <v>5.9922880068842765</v>
      </c>
      <c r="V108" s="96">
        <v>5.9701613949355936</v>
      </c>
      <c r="W108" s="96">
        <v>6.0036312083730845</v>
      </c>
      <c r="X108" s="96">
        <v>6.0111307913857965</v>
      </c>
      <c r="Y108" s="96">
        <v>6.0561935705223817</v>
      </c>
      <c r="DA108" s="171" t="s">
        <v>881</v>
      </c>
    </row>
    <row r="109" spans="1:105" ht="11.45" customHeight="1" x14ac:dyDescent="0.25">
      <c r="A109" s="111" t="s">
        <v>113</v>
      </c>
      <c r="B109" s="96">
        <v>13.321850093805011</v>
      </c>
      <c r="C109" s="96">
        <v>12.104918714246482</v>
      </c>
      <c r="D109" s="96">
        <v>11.151551031108799</v>
      </c>
      <c r="E109" s="96">
        <v>10.460661178841407</v>
      </c>
      <c r="F109" s="96">
        <v>10.007949161493183</v>
      </c>
      <c r="G109" s="96">
        <v>9.6014587939351017</v>
      </c>
      <c r="H109" s="96">
        <v>9.2690422216341783</v>
      </c>
      <c r="I109" s="96">
        <v>9.1480384720451209</v>
      </c>
      <c r="J109" s="96">
        <v>8.7352513272561652</v>
      </c>
      <c r="K109" s="96">
        <v>8.2696079994271621</v>
      </c>
      <c r="L109" s="96">
        <v>7.8263346323086811</v>
      </c>
      <c r="M109" s="96">
        <v>7.5206155631935125</v>
      </c>
      <c r="N109" s="96">
        <v>7.2608377829156865</v>
      </c>
      <c r="O109" s="96">
        <v>7.2064144504104251</v>
      </c>
      <c r="P109" s="96">
        <v>7.1160002959130324</v>
      </c>
      <c r="Q109" s="96">
        <v>7.0543470022048815</v>
      </c>
      <c r="R109" s="96">
        <v>6.9437077041181343</v>
      </c>
      <c r="S109" s="96">
        <v>6.8627129230116442</v>
      </c>
      <c r="T109" s="96">
        <v>6.830646874100669</v>
      </c>
      <c r="U109" s="96">
        <v>6.8166851004023039</v>
      </c>
      <c r="V109" s="96">
        <v>6.8271286227769217</v>
      </c>
      <c r="W109" s="96">
        <v>6.8655242711673843</v>
      </c>
      <c r="X109" s="96">
        <v>6.8471869360323678</v>
      </c>
      <c r="Y109" s="96">
        <v>6.8742293307386735</v>
      </c>
      <c r="DA109" s="171" t="s">
        <v>882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1.3566283477464831</v>
      </c>
      <c r="N110" s="96">
        <v>1.3327601031814273</v>
      </c>
      <c r="O110" s="96">
        <v>1.2702870179721593</v>
      </c>
      <c r="P110" s="96">
        <v>1.2811433794849654</v>
      </c>
      <c r="Q110" s="96">
        <v>1.3295305535255104</v>
      </c>
      <c r="R110" s="96">
        <v>1.3458416292689057</v>
      </c>
      <c r="S110" s="96">
        <v>1.3748581841591296</v>
      </c>
      <c r="T110" s="96">
        <v>1.480700160201383</v>
      </c>
      <c r="U110" s="96">
        <v>1.5675182884388257</v>
      </c>
      <c r="V110" s="96">
        <v>1.6662238292326381</v>
      </c>
      <c r="W110" s="96">
        <v>1.8283931993516751</v>
      </c>
      <c r="X110" s="96">
        <v>1.9194797665454646</v>
      </c>
      <c r="Y110" s="96">
        <v>1.9454533271025072</v>
      </c>
      <c r="DA110" s="171" t="s">
        <v>883</v>
      </c>
    </row>
    <row r="111" spans="1:105" ht="11.45" customHeight="1" x14ac:dyDescent="0.25">
      <c r="A111" s="109" t="s">
        <v>154</v>
      </c>
      <c r="B111" s="130">
        <v>35.533098971160932</v>
      </c>
      <c r="C111" s="130">
        <v>35.445135256597204</v>
      </c>
      <c r="D111" s="130">
        <v>35.332243170527171</v>
      </c>
      <c r="E111" s="130">
        <v>35.192844777926574</v>
      </c>
      <c r="F111" s="130">
        <v>35.011454311204496</v>
      </c>
      <c r="G111" s="130">
        <v>34.797668950255307</v>
      </c>
      <c r="H111" s="130">
        <v>34.54406342283422</v>
      </c>
      <c r="I111" s="130">
        <v>34.246861982631927</v>
      </c>
      <c r="J111" s="130">
        <v>33.898585463488239</v>
      </c>
      <c r="K111" s="130">
        <v>33.531600613171406</v>
      </c>
      <c r="L111" s="130">
        <v>33.090639565497817</v>
      </c>
      <c r="M111" s="130">
        <v>32.624442939140039</v>
      </c>
      <c r="N111" s="130">
        <v>32.163937525848553</v>
      </c>
      <c r="O111" s="130">
        <v>31.64243040481632</v>
      </c>
      <c r="P111" s="130">
        <v>31.036442915044358</v>
      </c>
      <c r="Q111" s="130">
        <v>30.38182681332729</v>
      </c>
      <c r="R111" s="130">
        <v>30.019238696159203</v>
      </c>
      <c r="S111" s="130">
        <v>29.474047094705249</v>
      </c>
      <c r="T111" s="130">
        <v>28.59376062630648</v>
      </c>
      <c r="U111" s="130">
        <v>27.722706693144264</v>
      </c>
      <c r="V111" s="130">
        <v>27.435195303606175</v>
      </c>
      <c r="W111" s="130">
        <v>26.707351015607735</v>
      </c>
      <c r="X111" s="130">
        <v>25.811230458466945</v>
      </c>
      <c r="Y111" s="130">
        <v>25.014965354706611</v>
      </c>
      <c r="DA111" s="176" t="s">
        <v>884</v>
      </c>
    </row>
    <row r="112" spans="1:105" ht="11.45" customHeight="1" x14ac:dyDescent="0.25">
      <c r="A112" s="128" t="s">
        <v>27</v>
      </c>
      <c r="B112" s="97">
        <v>35.507204638976816</v>
      </c>
      <c r="C112" s="97">
        <v>35.423771767957206</v>
      </c>
      <c r="D112" s="97">
        <v>35.314839274534627</v>
      </c>
      <c r="E112" s="97">
        <v>35.178006859619721</v>
      </c>
      <c r="F112" s="97">
        <v>35.007761241955762</v>
      </c>
      <c r="G112" s="97">
        <v>34.796460632756521</v>
      </c>
      <c r="H112" s="97">
        <v>34.54724472966172</v>
      </c>
      <c r="I112" s="97">
        <v>34.248360711495458</v>
      </c>
      <c r="J112" s="97">
        <v>33.903078622600979</v>
      </c>
      <c r="K112" s="97">
        <v>33.531522300270545</v>
      </c>
      <c r="L112" s="97">
        <v>33.095161689120388</v>
      </c>
      <c r="M112" s="97">
        <v>32.624121496024379</v>
      </c>
      <c r="N112" s="97">
        <v>32.15809746391929</v>
      </c>
      <c r="O112" s="97">
        <v>31.640903042640126</v>
      </c>
      <c r="P112" s="97">
        <v>31.028826129307671</v>
      </c>
      <c r="Q112" s="97">
        <v>30.363945179920769</v>
      </c>
      <c r="R112" s="97">
        <v>30.007358466312617</v>
      </c>
      <c r="S112" s="97">
        <v>29.469990878988252</v>
      </c>
      <c r="T112" s="97">
        <v>28.566794052254387</v>
      </c>
      <c r="U112" s="97">
        <v>27.684388896388157</v>
      </c>
      <c r="V112" s="97">
        <v>27.400035895520801</v>
      </c>
      <c r="W112" s="97">
        <v>26.671353023807594</v>
      </c>
      <c r="X112" s="97">
        <v>25.753889277064303</v>
      </c>
      <c r="Y112" s="97">
        <v>24.936452325149524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36.373980073517281</v>
      </c>
      <c r="D113" s="98">
        <v>36.053827658264851</v>
      </c>
      <c r="E113" s="98">
        <v>35.795954036860095</v>
      </c>
      <c r="F113" s="98">
        <v>35.137469218142847</v>
      </c>
      <c r="G113" s="98">
        <v>34.837537297055384</v>
      </c>
      <c r="H113" s="98">
        <v>34.444355718184624</v>
      </c>
      <c r="I113" s="98">
        <v>34.199241263803671</v>
      </c>
      <c r="J113" s="98">
        <v>33.763350102535348</v>
      </c>
      <c r="K113" s="98">
        <v>33.534291857573606</v>
      </c>
      <c r="L113" s="98">
        <v>32.948725241103745</v>
      </c>
      <c r="M113" s="98">
        <v>32.636155647248387</v>
      </c>
      <c r="N113" s="98">
        <v>32.386560514780918</v>
      </c>
      <c r="O113" s="98">
        <v>31.695092710354096</v>
      </c>
      <c r="P113" s="98">
        <v>31.288308290361094</v>
      </c>
      <c r="Q113" s="98">
        <v>30.983433870414739</v>
      </c>
      <c r="R113" s="98">
        <v>30.3691805320783</v>
      </c>
      <c r="S113" s="98">
        <v>29.575923622809231</v>
      </c>
      <c r="T113" s="98">
        <v>29.29734860845873</v>
      </c>
      <c r="U113" s="98">
        <v>28.6772552473487</v>
      </c>
      <c r="V113" s="98">
        <v>28.280097564377023</v>
      </c>
      <c r="W113" s="98">
        <v>27.48489431075657</v>
      </c>
      <c r="X113" s="98">
        <v>27.032778177679067</v>
      </c>
      <c r="Y113" s="98">
        <v>26.815724954323453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1.0725000000065619</v>
      </c>
      <c r="C117" s="150">
        <f>IF(TrRoad_act!C59=0,0,TrRoad_ene!C62/TrRoad_tech!C90)</f>
        <v>1.0727956048507719</v>
      </c>
      <c r="D117" s="150">
        <f>IF(TrRoad_act!D59=0,0,TrRoad_ene!D62/TrRoad_tech!D90)</f>
        <v>1.0733973070934804</v>
      </c>
      <c r="E117" s="150">
        <f>IF(TrRoad_act!E59=0,0,TrRoad_ene!E62/TrRoad_tech!E90)</f>
        <v>1.0744891117182567</v>
      </c>
      <c r="F117" s="150">
        <f>IF(TrRoad_act!F59=0,0,TrRoad_ene!F62/TrRoad_tech!F90)</f>
        <v>1.0758581796924922</v>
      </c>
      <c r="G117" s="150">
        <f>IF(TrRoad_act!G59=0,0,TrRoad_ene!G62/TrRoad_tech!G90)</f>
        <v>1.0777928929645491</v>
      </c>
      <c r="H117" s="150">
        <f>IF(TrRoad_act!H59=0,0,TrRoad_ene!H62/TrRoad_tech!H90)</f>
        <v>1.0805900817529799</v>
      </c>
      <c r="I117" s="150">
        <f>IF(TrRoad_act!I59=0,0,TrRoad_ene!I62/TrRoad_tech!I90)</f>
        <v>1.0841601661873304</v>
      </c>
      <c r="J117" s="150">
        <f>IF(TrRoad_act!J59=0,0,TrRoad_ene!J62/TrRoad_tech!J90)</f>
        <v>1.0885496375846491</v>
      </c>
      <c r="K117" s="150">
        <f>IF(TrRoad_act!K59=0,0,TrRoad_ene!K62/TrRoad_tech!K90)</f>
        <v>1.0944276880371229</v>
      </c>
      <c r="L117" s="150">
        <f>IF(TrRoad_act!L59=0,0,TrRoad_ene!L62/TrRoad_tech!L90)</f>
        <v>1.0987388101556672</v>
      </c>
      <c r="M117" s="150">
        <f>IF(TrRoad_act!M59=0,0,TrRoad_ene!M62/TrRoad_tech!M90)</f>
        <v>1.1033774249790849</v>
      </c>
      <c r="N117" s="150">
        <f>IF(TrRoad_act!N59=0,0,TrRoad_ene!N62/TrRoad_tech!N90)</f>
        <v>1.1102596275818202</v>
      </c>
      <c r="O117" s="150">
        <f>IF(TrRoad_act!O59=0,0,TrRoad_ene!O62/TrRoad_tech!O90)</f>
        <v>1.1178784211801767</v>
      </c>
      <c r="P117" s="150">
        <f>IF(TrRoad_act!P59=0,0,TrRoad_ene!P62/TrRoad_tech!P90)</f>
        <v>1.1283624641314518</v>
      </c>
      <c r="Q117" s="150">
        <f>IF(TrRoad_act!Q59=0,0,TrRoad_ene!Q62/TrRoad_tech!Q90)</f>
        <v>1.1350598502024971</v>
      </c>
      <c r="R117" s="150">
        <f>IF(TrRoad_act!R59=0,0,TrRoad_ene!R62/TrRoad_tech!R90)</f>
        <v>1.1409701372832297</v>
      </c>
      <c r="S117" s="150">
        <f>IF(TrRoad_act!S59=0,0,TrRoad_ene!S62/TrRoad_tech!S90)</f>
        <v>1.1489917718248803</v>
      </c>
      <c r="T117" s="150">
        <f>IF(TrRoad_act!T59=0,0,TrRoad_ene!T62/TrRoad_tech!T90)</f>
        <v>1.1561585714695053</v>
      </c>
      <c r="U117" s="150">
        <f>IF(TrRoad_act!U59=0,0,TrRoad_ene!U62/TrRoad_tech!U90)</f>
        <v>1.1650293669664535</v>
      </c>
      <c r="V117" s="150">
        <f>IF(TrRoad_act!V59=0,0,TrRoad_ene!V62/TrRoad_tech!V90)</f>
        <v>1.1731482519541241</v>
      </c>
      <c r="W117" s="150">
        <f>IF(TrRoad_act!W59=0,0,TrRoad_ene!W62/TrRoad_tech!W90)</f>
        <v>1.1986876675949583</v>
      </c>
      <c r="X117" s="150">
        <f>IF(TrRoad_act!X59=0,0,TrRoad_ene!X62/TrRoad_tech!X90)</f>
        <v>1.2078367096451443</v>
      </c>
      <c r="Y117" s="150">
        <f>IF(TrRoad_act!Y59=0,0,TrRoad_ene!Y62/TrRoad_tech!Y90)</f>
        <v>1.2130840550925199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0.89714018066876655</v>
      </c>
      <c r="C118" s="151">
        <f>IF(TrRoad_act!C60=0,0,TrRoad_ene!C63/TrRoad_tech!C91)</f>
        <v>0.88652687097622807</v>
      </c>
      <c r="D118" s="151">
        <f>IF(TrRoad_act!D60=0,0,TrRoad_ene!D63/TrRoad_tech!D91)</f>
        <v>0.91593155485376521</v>
      </c>
      <c r="E118" s="151">
        <f>IF(TrRoad_act!E60=0,0,TrRoad_ene!E63/TrRoad_tech!E91)</f>
        <v>0.91671821633254702</v>
      </c>
      <c r="F118" s="151">
        <f>IF(TrRoad_act!F60=0,0,TrRoad_ene!F63/TrRoad_tech!F91)</f>
        <v>0.93696538282884412</v>
      </c>
      <c r="G118" s="151">
        <f>IF(TrRoad_act!G60=0,0,TrRoad_ene!G63/TrRoad_tech!G91)</f>
        <v>0.96637623186746224</v>
      </c>
      <c r="H118" s="151">
        <f>IF(TrRoad_act!H60=0,0,TrRoad_ene!H63/TrRoad_tech!H91)</f>
        <v>1.0130097395116355</v>
      </c>
      <c r="I118" s="151">
        <f>IF(TrRoad_act!I60=0,0,TrRoad_ene!I63/TrRoad_tech!I91)</f>
        <v>1.0232273475785711</v>
      </c>
      <c r="J118" s="151">
        <f>IF(TrRoad_act!J60=0,0,TrRoad_ene!J63/TrRoad_tech!J91)</f>
        <v>1.015982146500815</v>
      </c>
      <c r="K118" s="151">
        <f>IF(TrRoad_act!K60=0,0,TrRoad_ene!K63/TrRoad_tech!K91)</f>
        <v>0.96841743953276971</v>
      </c>
      <c r="L118" s="151">
        <f>IF(TrRoad_act!L60=0,0,TrRoad_ene!L63/TrRoad_tech!L91)</f>
        <v>0.97274443200539684</v>
      </c>
      <c r="M118" s="151">
        <f>IF(TrRoad_act!M60=0,0,TrRoad_ene!M63/TrRoad_tech!M91)</f>
        <v>0.98011527343580895</v>
      </c>
      <c r="N118" s="151">
        <f>IF(TrRoad_act!N60=0,0,TrRoad_ene!N63/TrRoad_tech!N91)</f>
        <v>0.95782172854288061</v>
      </c>
      <c r="O118" s="151">
        <f>IF(TrRoad_act!O60=0,0,TrRoad_ene!O63/TrRoad_tech!O91)</f>
        <v>0.99030494539327962</v>
      </c>
      <c r="P118" s="151">
        <f>IF(TrRoad_act!P60=0,0,TrRoad_ene!P63/TrRoad_tech!P91)</f>
        <v>0.99058035431326374</v>
      </c>
      <c r="Q118" s="151">
        <f>IF(TrRoad_act!Q60=0,0,TrRoad_ene!Q63/TrRoad_tech!Q91)</f>
        <v>1.00677729805867</v>
      </c>
      <c r="R118" s="151">
        <f>IF(TrRoad_act!R60=0,0,TrRoad_ene!R63/TrRoad_tech!R91)</f>
        <v>0.99962390700008552</v>
      </c>
      <c r="S118" s="151">
        <f>IF(TrRoad_act!S60=0,0,TrRoad_ene!S63/TrRoad_tech!S91)</f>
        <v>0.97604567955424493</v>
      </c>
      <c r="T118" s="151">
        <f>IF(TrRoad_act!T60=0,0,TrRoad_ene!T63/TrRoad_tech!T91)</f>
        <v>1.0325732915134034</v>
      </c>
      <c r="U118" s="151">
        <f>IF(TrRoad_act!U60=0,0,TrRoad_ene!U63/TrRoad_tech!U91)</f>
        <v>1.0438963672140393</v>
      </c>
      <c r="V118" s="151">
        <f>IF(TrRoad_act!V60=0,0,TrRoad_ene!V63/TrRoad_tech!V91)</f>
        <v>1.0247931130514842</v>
      </c>
      <c r="W118" s="151">
        <f>IF(TrRoad_act!W60=0,0,TrRoad_ene!W63/TrRoad_tech!W91)</f>
        <v>1.2116323158019036</v>
      </c>
      <c r="X118" s="151">
        <f>IF(TrRoad_act!X60=0,0,TrRoad_ene!X63/TrRoad_tech!X91)</f>
        <v>1.2066502007006155</v>
      </c>
      <c r="Y118" s="151">
        <f>IF(TrRoad_act!Y60=0,0,TrRoad_ene!Y63/TrRoad_tech!Y91)</f>
        <v>1.1420078854948315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0.87869214706171161</v>
      </c>
      <c r="C119" s="91">
        <f>IF(TrRoad_act!C61=0,0,TrRoad_ene!C64/TrRoad_tech!C92)</f>
        <v>0.87798056079710851</v>
      </c>
      <c r="D119" s="91">
        <f>IF(TrRoad_act!D61=0,0,TrRoad_ene!D64/TrRoad_tech!D92)</f>
        <v>0.91682618767282154</v>
      </c>
      <c r="E119" s="91">
        <f>IF(TrRoad_act!E61=0,0,TrRoad_ene!E64/TrRoad_tech!E92)</f>
        <v>0.91842798789423652</v>
      </c>
      <c r="F119" s="91">
        <f>IF(TrRoad_act!F61=0,0,TrRoad_ene!F64/TrRoad_tech!F92)</f>
        <v>0.96087053717121995</v>
      </c>
      <c r="G119" s="91">
        <f>IF(TrRoad_act!G61=0,0,TrRoad_ene!G64/TrRoad_tech!G92)</f>
        <v>1.0135634574712127</v>
      </c>
      <c r="H119" s="91">
        <f>IF(TrRoad_act!H61=0,0,TrRoad_ene!H64/TrRoad_tech!H92)</f>
        <v>1.1236127410104135</v>
      </c>
      <c r="I119" s="91">
        <f>IF(TrRoad_act!I61=0,0,TrRoad_ene!I64/TrRoad_tech!I92)</f>
        <v>1.1132212596285425</v>
      </c>
      <c r="J119" s="91">
        <f>IF(TrRoad_act!J61=0,0,TrRoad_ene!J64/TrRoad_tech!J92)</f>
        <v>1.035719065547176</v>
      </c>
      <c r="K119" s="91">
        <f>IF(TrRoad_act!K61=0,0,TrRoad_ene!K64/TrRoad_tech!K92)</f>
        <v>0.93822372950707755</v>
      </c>
      <c r="L119" s="91">
        <f>IF(TrRoad_act!L61=0,0,TrRoad_ene!L64/TrRoad_tech!L92)</f>
        <v>0.92649902157997088</v>
      </c>
      <c r="M119" s="91">
        <f>IF(TrRoad_act!M61=0,0,TrRoad_ene!M64/TrRoad_tech!M92)</f>
        <v>0.92551640233145471</v>
      </c>
      <c r="N119" s="91">
        <f>IF(TrRoad_act!N61=0,0,TrRoad_ene!N64/TrRoad_tech!N92)</f>
        <v>0.92997975256302334</v>
      </c>
      <c r="O119" s="91">
        <f>IF(TrRoad_act!O61=0,0,TrRoad_ene!O64/TrRoad_tech!O92)</f>
        <v>0.93952251060572278</v>
      </c>
      <c r="P119" s="91">
        <f>IF(TrRoad_act!P61=0,0,TrRoad_ene!P64/TrRoad_tech!P92)</f>
        <v>0.94594409179530881</v>
      </c>
      <c r="Q119" s="91">
        <f>IF(TrRoad_act!Q61=0,0,TrRoad_ene!Q64/TrRoad_tech!Q92)</f>
        <v>0.96480238083734116</v>
      </c>
      <c r="R119" s="91">
        <f>IF(TrRoad_act!R61=0,0,TrRoad_ene!R64/TrRoad_tech!R92)</f>
        <v>0.91645651602301337</v>
      </c>
      <c r="S119" s="91">
        <f>IF(TrRoad_act!S61=0,0,TrRoad_ene!S64/TrRoad_tech!S92)</f>
        <v>0.925250518694688</v>
      </c>
      <c r="T119" s="91">
        <f>IF(TrRoad_act!T61=0,0,TrRoad_ene!T64/TrRoad_tech!T92)</f>
        <v>1.0484911035601676</v>
      </c>
      <c r="U119" s="91">
        <f>IF(TrRoad_act!U61=0,0,TrRoad_ene!U64/TrRoad_tech!U92)</f>
        <v>1.0478469357138112</v>
      </c>
      <c r="V119" s="91">
        <f>IF(TrRoad_act!V61=0,0,TrRoad_ene!V64/TrRoad_tech!V92)</f>
        <v>1.053300218104005</v>
      </c>
      <c r="W119" s="91">
        <f>IF(TrRoad_act!W61=0,0,TrRoad_ene!W64/TrRoad_tech!W92)</f>
        <v>1.301270939506046</v>
      </c>
      <c r="X119" s="91">
        <f>IF(TrRoad_act!X61=0,0,TrRoad_ene!X64/TrRoad_tech!X92)</f>
        <v>1.3974752618211255</v>
      </c>
      <c r="Y119" s="91">
        <f>IF(TrRoad_act!Y61=0,0,TrRoad_ene!Y64/TrRoad_tech!Y92)</f>
        <v>1.3014267611213544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0.90890846151412674</v>
      </c>
      <c r="C120" s="91">
        <f>IF(TrRoad_act!C62=0,0,TrRoad_ene!C65/TrRoad_tech!C93)</f>
        <v>0.90150649289630469</v>
      </c>
      <c r="D120" s="91">
        <f>IF(TrRoad_act!D62=0,0,TrRoad_ene!D65/TrRoad_tech!D93)</f>
        <v>0.92270065937288503</v>
      </c>
      <c r="E120" s="91">
        <f>IF(TrRoad_act!E62=0,0,TrRoad_ene!E65/TrRoad_tech!E93)</f>
        <v>0.92831195812969913</v>
      </c>
      <c r="F120" s="91">
        <f>IF(TrRoad_act!F62=0,0,TrRoad_ene!F65/TrRoad_tech!F93)</f>
        <v>0.93294192495204498</v>
      </c>
      <c r="G120" s="91">
        <f>IF(TrRoad_act!G62=0,0,TrRoad_ene!G65/TrRoad_tech!G93)</f>
        <v>0.9445901380581343</v>
      </c>
      <c r="H120" s="91">
        <f>IF(TrRoad_act!H62=0,0,TrRoad_ene!H65/TrRoad_tech!H93)</f>
        <v>0.95579457286983516</v>
      </c>
      <c r="I120" s="91">
        <f>IF(TrRoad_act!I62=0,0,TrRoad_ene!I65/TrRoad_tech!I93)</f>
        <v>0.9878631706923694</v>
      </c>
      <c r="J120" s="91">
        <f>IF(TrRoad_act!J62=0,0,TrRoad_ene!J65/TrRoad_tech!J93)</f>
        <v>1.0187203011751378</v>
      </c>
      <c r="K120" s="91">
        <f>IF(TrRoad_act!K62=0,0,TrRoad_ene!K65/TrRoad_tech!K93)</f>
        <v>1.0103323244700455</v>
      </c>
      <c r="L120" s="91">
        <f>IF(TrRoad_act!L62=0,0,TrRoad_ene!L65/TrRoad_tech!L93)</f>
        <v>1.0204819683515478</v>
      </c>
      <c r="M120" s="91">
        <f>IF(TrRoad_act!M62=0,0,TrRoad_ene!M65/TrRoad_tech!M93)</f>
        <v>1.0275139294482931</v>
      </c>
      <c r="N120" s="91">
        <f>IF(TrRoad_act!N62=0,0,TrRoad_ene!N65/TrRoad_tech!N93)</f>
        <v>0.97760000258407953</v>
      </c>
      <c r="O120" s="91">
        <f>IF(TrRoad_act!O62=0,0,TrRoad_ene!O65/TrRoad_tech!O93)</f>
        <v>1.0271123691327391</v>
      </c>
      <c r="P120" s="91">
        <f>IF(TrRoad_act!P62=0,0,TrRoad_ene!P65/TrRoad_tech!P93)</f>
        <v>1.0217414266193909</v>
      </c>
      <c r="Q120" s="91">
        <f>IF(TrRoad_act!Q62=0,0,TrRoad_ene!Q65/TrRoad_tech!Q93)</f>
        <v>1.0411217585600345</v>
      </c>
      <c r="R120" s="91">
        <f>IF(TrRoad_act!R62=0,0,TrRoad_ene!R65/TrRoad_tech!R93)</f>
        <v>1.0634236650820237</v>
      </c>
      <c r="S120" s="91">
        <f>IF(TrRoad_act!S62=0,0,TrRoad_ene!S65/TrRoad_tech!S93)</f>
        <v>1.0262099797087307</v>
      </c>
      <c r="T120" s="91">
        <f>IF(TrRoad_act!T62=0,0,TrRoad_ene!T65/TrRoad_tech!T93)</f>
        <v>1.0686793182198147</v>
      </c>
      <c r="U120" s="91">
        <f>IF(TrRoad_act!U62=0,0,TrRoad_ene!U65/TrRoad_tech!U93)</f>
        <v>1.0842965304799852</v>
      </c>
      <c r="V120" s="91">
        <f>IF(TrRoad_act!V62=0,0,TrRoad_ene!V65/TrRoad_tech!V93)</f>
        <v>1.0513105628128971</v>
      </c>
      <c r="W120" s="91">
        <f>IF(TrRoad_act!W62=0,0,TrRoad_ene!W65/TrRoad_tech!W93)</f>
        <v>1.2471168177860157</v>
      </c>
      <c r="X120" s="91">
        <f>IF(TrRoad_act!X62=0,0,TrRoad_ene!X65/TrRoad_tech!X93)</f>
        <v>1.1962399756658075</v>
      </c>
      <c r="Y120" s="91">
        <f>IF(TrRoad_act!Y62=0,0,TrRoad_ene!Y65/TrRoad_tech!Y93)</f>
        <v>1.1329786091056098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1.0055778644727498</v>
      </c>
      <c r="C121" s="91">
        <f>IF(TrRoad_act!C63=0,0,TrRoad_ene!C66/TrRoad_tech!C94)</f>
        <v>1.0082335274791572</v>
      </c>
      <c r="D121" s="91">
        <f>IF(TrRoad_act!D63=0,0,TrRoad_ene!D66/TrRoad_tech!D94)</f>
        <v>1.0108508210594263</v>
      </c>
      <c r="E121" s="91">
        <f>IF(TrRoad_act!E63=0,0,TrRoad_ene!E66/TrRoad_tech!E94)</f>
        <v>1.0026482998889248</v>
      </c>
      <c r="F121" s="91">
        <f>IF(TrRoad_act!F63=0,0,TrRoad_ene!F66/TrRoad_tech!F94)</f>
        <v>0.92454533035911612</v>
      </c>
      <c r="G121" s="91">
        <f>IF(TrRoad_act!G63=0,0,TrRoad_ene!G66/TrRoad_tech!G94)</f>
        <v>0.89810368913240524</v>
      </c>
      <c r="H121" s="91">
        <f>IF(TrRoad_act!H63=0,0,TrRoad_ene!H66/TrRoad_tech!H94)</f>
        <v>0.86630341231938268</v>
      </c>
      <c r="I121" s="91">
        <f>IF(TrRoad_act!I63=0,0,TrRoad_ene!I66/TrRoad_tech!I94)</f>
        <v>0.85285832883356183</v>
      </c>
      <c r="J121" s="91">
        <f>IF(TrRoad_act!J63=0,0,TrRoad_ene!J66/TrRoad_tech!J94)</f>
        <v>1.0091062304744722</v>
      </c>
      <c r="K121" s="91">
        <f>IF(TrRoad_act!K63=0,0,TrRoad_ene!K66/TrRoad_tech!K94)</f>
        <v>0.99959100188687278</v>
      </c>
      <c r="L121" s="91">
        <f>IF(TrRoad_act!L63=0,0,TrRoad_ene!L66/TrRoad_tech!L94)</f>
        <v>1.0252278456660919</v>
      </c>
      <c r="M121" s="91">
        <f>IF(TrRoad_act!M63=0,0,TrRoad_ene!M66/TrRoad_tech!M94)</f>
        <v>1.0873771361039306</v>
      </c>
      <c r="N121" s="91">
        <f>IF(TrRoad_act!N63=0,0,TrRoad_ene!N66/TrRoad_tech!N94)</f>
        <v>1.0975078457765741</v>
      </c>
      <c r="O121" s="91">
        <f>IF(TrRoad_act!O63=0,0,TrRoad_ene!O66/TrRoad_tech!O94)</f>
        <v>1.1116404510550086</v>
      </c>
      <c r="P121" s="91">
        <f>IF(TrRoad_act!P63=0,0,TrRoad_ene!P66/TrRoad_tech!P94)</f>
        <v>1.1155856189871936</v>
      </c>
      <c r="Q121" s="91">
        <f>IF(TrRoad_act!Q63=0,0,TrRoad_ene!Q66/TrRoad_tech!Q94)</f>
        <v>1.0906993120606912</v>
      </c>
      <c r="R121" s="91">
        <f>IF(TrRoad_act!R63=0,0,TrRoad_ene!R66/TrRoad_tech!R94)</f>
        <v>1.0529016488975524</v>
      </c>
      <c r="S121" s="91">
        <f>IF(TrRoad_act!S63=0,0,TrRoad_ene!S66/TrRoad_tech!S94)</f>
        <v>1.0556315131662031</v>
      </c>
      <c r="T121" s="91">
        <f>IF(TrRoad_act!T63=0,0,TrRoad_ene!T66/TrRoad_tech!T94)</f>
        <v>1.0275428517558065</v>
      </c>
      <c r="U121" s="91">
        <f>IF(TrRoad_act!U63=0,0,TrRoad_ene!U66/TrRoad_tech!U94)</f>
        <v>1.0146920389856766</v>
      </c>
      <c r="V121" s="91">
        <f>IF(TrRoad_act!V63=0,0,TrRoad_ene!V66/TrRoad_tech!V94)</f>
        <v>1.0165675186911667</v>
      </c>
      <c r="W121" s="91">
        <f>IF(TrRoad_act!W63=0,0,TrRoad_ene!W66/TrRoad_tech!W94)</f>
        <v>1.0643754196430708</v>
      </c>
      <c r="X121" s="91">
        <f>IF(TrRoad_act!X63=0,0,TrRoad_ene!X66/TrRoad_tech!X94)</f>
        <v>1.0710416694189928</v>
      </c>
      <c r="Y121" s="91">
        <f>IF(TrRoad_act!Y63=0,0,TrRoad_ene!Y66/TrRoad_tech!Y94)</f>
        <v>1.0420526363591578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0.92170462096487016</v>
      </c>
      <c r="C122" s="91">
        <f>IF(TrRoad_act!C64=0,0,TrRoad_ene!C67/TrRoad_tech!C95)</f>
        <v>0.92271837172413695</v>
      </c>
      <c r="D122" s="91">
        <f>IF(TrRoad_act!D64=0,0,TrRoad_ene!D67/TrRoad_tech!D95)</f>
        <v>0.90975926896095782</v>
      </c>
      <c r="E122" s="91">
        <f>IF(TrRoad_act!E64=0,0,TrRoad_ene!E67/TrRoad_tech!E95)</f>
        <v>0.91248012713049798</v>
      </c>
      <c r="F122" s="91">
        <f>IF(TrRoad_act!F64=0,0,TrRoad_ene!F67/TrRoad_tech!F95)</f>
        <v>0.93586985059320638</v>
      </c>
      <c r="G122" s="91">
        <f>IF(TrRoad_act!G64=0,0,TrRoad_ene!G67/TrRoad_tech!G95)</f>
        <v>0.98814043090118142</v>
      </c>
      <c r="H122" s="91">
        <f>IF(TrRoad_act!H64=0,0,TrRoad_ene!H67/TrRoad_tech!H95)</f>
        <v>1.0309657557641296</v>
      </c>
      <c r="I122" s="91">
        <f>IF(TrRoad_act!I64=0,0,TrRoad_ene!I67/TrRoad_tech!I95)</f>
        <v>1.0330032501332476</v>
      </c>
      <c r="J122" s="91">
        <f>IF(TrRoad_act!J64=0,0,TrRoad_ene!J67/TrRoad_tech!J95)</f>
        <v>1.0358038783186019</v>
      </c>
      <c r="K122" s="91">
        <f>IF(TrRoad_act!K64=0,0,TrRoad_ene!K67/TrRoad_tech!K95)</f>
        <v>0.92717749693183915</v>
      </c>
      <c r="L122" s="91">
        <f>IF(TrRoad_act!L64=0,0,TrRoad_ene!L67/TrRoad_tech!L95)</f>
        <v>1.0415318090817434</v>
      </c>
      <c r="M122" s="91">
        <f>IF(TrRoad_act!M64=0,0,TrRoad_ene!M67/TrRoad_tech!M95)</f>
        <v>1.0429032137646774</v>
      </c>
      <c r="N122" s="91">
        <f>IF(TrRoad_act!N64=0,0,TrRoad_ene!N67/TrRoad_tech!N95)</f>
        <v>1.044903369298148</v>
      </c>
      <c r="O122" s="91">
        <f>IF(TrRoad_act!O64=0,0,TrRoad_ene!O67/TrRoad_tech!O95)</f>
        <v>1.0636171659300129</v>
      </c>
      <c r="P122" s="91">
        <f>IF(TrRoad_act!P64=0,0,TrRoad_ene!P67/TrRoad_tech!P95)</f>
        <v>1.0502773667879268</v>
      </c>
      <c r="Q122" s="91">
        <f>IF(TrRoad_act!Q64=0,0,TrRoad_ene!Q67/TrRoad_tech!Q95)</f>
        <v>1.0713483524985254</v>
      </c>
      <c r="R122" s="91">
        <f>IF(TrRoad_act!R64=0,0,TrRoad_ene!R67/TrRoad_tech!R95)</f>
        <v>1.0550245094278543</v>
      </c>
      <c r="S122" s="91">
        <f>IF(TrRoad_act!S64=0,0,TrRoad_ene!S67/TrRoad_tech!S95)</f>
        <v>0.92470965013625317</v>
      </c>
      <c r="T122" s="91">
        <f>IF(TrRoad_act!T64=0,0,TrRoad_ene!T67/TrRoad_tech!T95)</f>
        <v>0.88727306001993111</v>
      </c>
      <c r="U122" s="91">
        <f>IF(TrRoad_act!U64=0,0,TrRoad_ene!U67/TrRoad_tech!U95)</f>
        <v>1.0608777460275824</v>
      </c>
      <c r="V122" s="91">
        <f>IF(TrRoad_act!V64=0,0,TrRoad_ene!V67/TrRoad_tech!V95)</f>
        <v>1.0624550969794984</v>
      </c>
      <c r="W122" s="91">
        <f>IF(TrRoad_act!W64=0,0,TrRoad_ene!W67/TrRoad_tech!W95)</f>
        <v>1.1619188002509013</v>
      </c>
      <c r="X122" s="91">
        <f>IF(TrRoad_act!X64=0,0,TrRoad_ene!X67/TrRoad_tech!X95)</f>
        <v>1.0653108363749648</v>
      </c>
      <c r="Y122" s="91">
        <f>IF(TrRoad_act!Y64=0,0,TrRoad_ene!Y67/TrRoad_tech!Y95)</f>
        <v>1.0668135839741768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0.97903051934693186</v>
      </c>
      <c r="O123" s="91">
        <f>IF(TrRoad_act!O65=0,0,TrRoad_ene!O68/TrRoad_tech!O96)</f>
        <v>0.99000347041907533</v>
      </c>
      <c r="P123" s="91">
        <f>IF(TrRoad_act!P65=0,0,TrRoad_ene!P68/TrRoad_tech!P96)</f>
        <v>0.99767935250006368</v>
      </c>
      <c r="Q123" s="91">
        <f>IF(TrRoad_act!Q65=0,0,TrRoad_ene!Q68/TrRoad_tech!Q96)</f>
        <v>1.0120162471204852</v>
      </c>
      <c r="R123" s="91">
        <f>IF(TrRoad_act!R65=0,0,TrRoad_ene!R68/TrRoad_tech!R96)</f>
        <v>0.97175128049901383</v>
      </c>
      <c r="S123" s="91">
        <f>IF(TrRoad_act!S65=0,0,TrRoad_ene!S68/TrRoad_tech!S96)</f>
        <v>0.97900891087705921</v>
      </c>
      <c r="T123" s="91">
        <f>IF(TrRoad_act!T65=0,0,TrRoad_ene!T68/TrRoad_tech!T96)</f>
        <v>1.0778362640807644</v>
      </c>
      <c r="U123" s="91">
        <f>IF(TrRoad_act!U65=0,0,TrRoad_ene!U68/TrRoad_tech!U96)</f>
        <v>1.0769959816546</v>
      </c>
      <c r="V123" s="91">
        <f>IF(TrRoad_act!V65=0,0,TrRoad_ene!V68/TrRoad_tech!V96)</f>
        <v>1.0850074296517229</v>
      </c>
      <c r="W123" s="91">
        <f>IF(TrRoad_act!W65=0,0,TrRoad_ene!W68/TrRoad_tech!W96)</f>
        <v>1.2458166249979088</v>
      </c>
      <c r="X123" s="91">
        <f>IF(TrRoad_act!X65=0,0,TrRoad_ene!X68/TrRoad_tech!X96)</f>
        <v>1.2909989798266814</v>
      </c>
      <c r="Y123" s="91">
        <f>IF(TrRoad_act!Y65=0,0,TrRoad_ene!Y68/TrRoad_tech!Y96)</f>
        <v>1.2255054813756092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1.0555555555604399</v>
      </c>
      <c r="M124" s="91">
        <f>IF(TrRoad_act!M66=0,0,TrRoad_ene!M69/TrRoad_tech!M97)</f>
        <v>1.0585300191854017</v>
      </c>
      <c r="N124" s="91">
        <f>IF(TrRoad_act!N66=0,0,TrRoad_ene!N69/TrRoad_tech!N97)</f>
        <v>1.0590676476987504</v>
      </c>
      <c r="O124" s="91">
        <f>IF(TrRoad_act!O66=0,0,TrRoad_ene!O69/TrRoad_tech!O97)</f>
        <v>1.0601631257046464</v>
      </c>
      <c r="P124" s="91">
        <f>IF(TrRoad_act!P66=0,0,TrRoad_ene!P69/TrRoad_tech!P97)</f>
        <v>1.0620248601406541</v>
      </c>
      <c r="Q124" s="91">
        <f>IF(TrRoad_act!Q66=0,0,TrRoad_ene!Q69/TrRoad_tech!Q97)</f>
        <v>1.0647146371011875</v>
      </c>
      <c r="R124" s="91">
        <f>IF(TrRoad_act!R66=0,0,TrRoad_ene!R69/TrRoad_tech!R97)</f>
        <v>1.0675221130808592</v>
      </c>
      <c r="S124" s="91">
        <f>IF(TrRoad_act!S66=0,0,TrRoad_ene!S69/TrRoad_tech!S97)</f>
        <v>1.0712602820039163</v>
      </c>
      <c r="T124" s="91">
        <f>IF(TrRoad_act!T66=0,0,TrRoad_ene!T69/TrRoad_tech!T97)</f>
        <v>1.0781209570777819</v>
      </c>
      <c r="U124" s="91">
        <f>IF(TrRoad_act!U66=0,0,TrRoad_ene!U69/TrRoad_tech!U97)</f>
        <v>1.0865306529221561</v>
      </c>
      <c r="V124" s="91">
        <f>IF(TrRoad_act!V66=0,0,TrRoad_ene!V69/TrRoad_tech!V97)</f>
        <v>1.0934590938908368</v>
      </c>
      <c r="W124" s="91">
        <f>IF(TrRoad_act!W66=0,0,TrRoad_ene!W69/TrRoad_tech!W97)</f>
        <v>1.0979926230761861</v>
      </c>
      <c r="X124" s="91">
        <f>IF(TrRoad_act!X66=0,0,TrRoad_ene!X69/TrRoad_tech!X97)</f>
        <v>1.0992207215087768</v>
      </c>
      <c r="Y124" s="91">
        <f>IF(TrRoad_act!Y66=0,0,TrRoad_ene!Y69/TrRoad_tech!Y97)</f>
        <v>1.1000552153896404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1.0980479572542439</v>
      </c>
      <c r="C125" s="151">
        <f>IF(TrRoad_act!C67=0,0,TrRoad_ene!C70/TrRoad_tech!C98)</f>
        <v>1.0921173833955724</v>
      </c>
      <c r="D125" s="151">
        <f>IF(TrRoad_act!D67=0,0,TrRoad_ene!D70/TrRoad_tech!D98)</f>
        <v>1.0918759787227725</v>
      </c>
      <c r="E125" s="151">
        <f>IF(TrRoad_act!E67=0,0,TrRoad_ene!E70/TrRoad_tech!E98)</f>
        <v>1.0877172730723623</v>
      </c>
      <c r="F125" s="151">
        <f>IF(TrRoad_act!F67=0,0,TrRoad_ene!F70/TrRoad_tech!F98)</f>
        <v>1.0893110013740299</v>
      </c>
      <c r="G125" s="151">
        <f>IF(TrRoad_act!G67=0,0,TrRoad_ene!G70/TrRoad_tech!G98)</f>
        <v>1.0875252271323685</v>
      </c>
      <c r="H125" s="151">
        <f>IF(TrRoad_act!H67=0,0,TrRoad_ene!H70/TrRoad_tech!H98)</f>
        <v>1.084117852949426</v>
      </c>
      <c r="I125" s="151">
        <f>IF(TrRoad_act!I67=0,0,TrRoad_ene!I70/TrRoad_tech!I98)</f>
        <v>1.0907798604325245</v>
      </c>
      <c r="J125" s="151">
        <f>IF(TrRoad_act!J67=0,0,TrRoad_ene!J70/TrRoad_tech!J98)</f>
        <v>1.1090915705934867</v>
      </c>
      <c r="K125" s="151">
        <f>IF(TrRoad_act!K67=0,0,TrRoad_ene!K70/TrRoad_tech!K98)</f>
        <v>1.1080660947055876</v>
      </c>
      <c r="L125" s="151">
        <f>IF(TrRoad_act!L67=0,0,TrRoad_ene!L70/TrRoad_tech!L98)</f>
        <v>1.1158771803971157</v>
      </c>
      <c r="M125" s="151">
        <f>IF(TrRoad_act!M67=0,0,TrRoad_ene!M70/TrRoad_tech!M98)</f>
        <v>1.1345684506403588</v>
      </c>
      <c r="N125" s="151">
        <f>IF(TrRoad_act!N67=0,0,TrRoad_ene!N70/TrRoad_tech!N98)</f>
        <v>1.150691335998383</v>
      </c>
      <c r="O125" s="151">
        <f>IF(TrRoad_act!O67=0,0,TrRoad_ene!O70/TrRoad_tech!O98)</f>
        <v>1.1630951153263669</v>
      </c>
      <c r="P125" s="151">
        <f>IF(TrRoad_act!P67=0,0,TrRoad_ene!P70/TrRoad_tech!P98)</f>
        <v>1.1649803411324231</v>
      </c>
      <c r="Q125" s="151">
        <f>IF(TrRoad_act!Q67=0,0,TrRoad_ene!Q70/TrRoad_tech!Q98)</f>
        <v>1.1866625953850769</v>
      </c>
      <c r="R125" s="151">
        <f>IF(TrRoad_act!R67=0,0,TrRoad_ene!R70/TrRoad_tech!R98)</f>
        <v>1.1830231510137719</v>
      </c>
      <c r="S125" s="151">
        <f>IF(TrRoad_act!S67=0,0,TrRoad_ene!S70/TrRoad_tech!S98)</f>
        <v>1.1959974363177897</v>
      </c>
      <c r="T125" s="151">
        <f>IF(TrRoad_act!T67=0,0,TrRoad_ene!T70/TrRoad_tech!T98)</f>
        <v>1.1817121033454336</v>
      </c>
      <c r="U125" s="151">
        <f>IF(TrRoad_act!U67=0,0,TrRoad_ene!U70/TrRoad_tech!U98)</f>
        <v>1.2254390460516706</v>
      </c>
      <c r="V125" s="151">
        <f>IF(TrRoad_act!V67=0,0,TrRoad_ene!V70/TrRoad_tech!V98)</f>
        <v>1.2139120628925126</v>
      </c>
      <c r="W125" s="151">
        <f>IF(TrRoad_act!W67=0,0,TrRoad_ene!W70/TrRoad_tech!W98)</f>
        <v>1.2664657779571034</v>
      </c>
      <c r="X125" s="151">
        <f>IF(TrRoad_act!X67=0,0,TrRoad_ene!X70/TrRoad_tech!X98)</f>
        <v>1.2318538255421616</v>
      </c>
      <c r="Y125" s="151">
        <f>IF(TrRoad_act!Y67=0,0,TrRoad_ene!Y70/TrRoad_tech!Y98)</f>
        <v>1.2245082715193394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</v>
      </c>
      <c r="C126" s="93">
        <f>IF(TrRoad_act!C68=0,0,TrRoad_ene!C71/TrRoad_tech!C99)</f>
        <v>1.1000000000067303</v>
      </c>
      <c r="D126" s="93">
        <f>IF(TrRoad_act!D68=0,0,TrRoad_ene!D71/TrRoad_tech!D99)</f>
        <v>1.1000000000067296</v>
      </c>
      <c r="E126" s="93">
        <f>IF(TrRoad_act!E68=0,0,TrRoad_ene!E71/TrRoad_tech!E99)</f>
        <v>1.1000000000067303</v>
      </c>
      <c r="F126" s="93">
        <f>IF(TrRoad_act!F68=0,0,TrRoad_ene!F71/TrRoad_tech!F99)</f>
        <v>1.1000000000067303</v>
      </c>
      <c r="G126" s="93">
        <f>IF(TrRoad_act!G68=0,0,TrRoad_ene!G71/TrRoad_tech!G99)</f>
        <v>1.10000000000673</v>
      </c>
      <c r="H126" s="93">
        <f>IF(TrRoad_act!H68=0,0,TrRoad_ene!H71/TrRoad_tech!H99)</f>
        <v>1.1000000000067303</v>
      </c>
      <c r="I126" s="93">
        <f>IF(TrRoad_act!I68=0,0,TrRoad_ene!I71/TrRoad_tech!I99)</f>
        <v>1.101406962877596</v>
      </c>
      <c r="J126" s="93">
        <f>IF(TrRoad_act!J68=0,0,TrRoad_ene!J71/TrRoad_tech!J99)</f>
        <v>1.1072155741458174</v>
      </c>
      <c r="K126" s="93">
        <f>IF(TrRoad_act!K68=0,0,TrRoad_ene!K71/TrRoad_tech!K99)</f>
        <v>1.1116201421452281</v>
      </c>
      <c r="L126" s="93">
        <f>IF(TrRoad_act!L68=0,0,TrRoad_ene!L71/TrRoad_tech!L99)</f>
        <v>1.1151577700605437</v>
      </c>
      <c r="M126" s="93">
        <f>IF(TrRoad_act!M68=0,0,TrRoad_ene!M71/TrRoad_tech!M99)</f>
        <v>1.1180546766761934</v>
      </c>
      <c r="N126" s="93">
        <f>IF(TrRoad_act!N68=0,0,TrRoad_ene!N71/TrRoad_tech!N99)</f>
        <v>1.1194798746410959</v>
      </c>
      <c r="O126" s="93">
        <f>IF(TrRoad_act!O68=0,0,TrRoad_ene!O71/TrRoad_tech!O99)</f>
        <v>1.1927039507765236</v>
      </c>
      <c r="P126" s="93">
        <f>IF(TrRoad_act!P68=0,0,TrRoad_ene!P71/TrRoad_tech!P99)</f>
        <v>1.2357841692697185</v>
      </c>
      <c r="Q126" s="93">
        <f>IF(TrRoad_act!Q68=0,0,TrRoad_ene!Q71/TrRoad_tech!Q99)</f>
        <v>1.2404519097489102</v>
      </c>
      <c r="R126" s="93">
        <f>IF(TrRoad_act!R68=0,0,TrRoad_ene!R71/TrRoad_tech!R99)</f>
        <v>1.2409637744860889</v>
      </c>
      <c r="S126" s="93">
        <f>IF(TrRoad_act!S68=0,0,TrRoad_ene!S71/TrRoad_tech!S99)</f>
        <v>1.2441564607184072</v>
      </c>
      <c r="T126" s="93">
        <f>IF(TrRoad_act!T68=0,0,TrRoad_ene!T71/TrRoad_tech!T99)</f>
        <v>1.2445570146346239</v>
      </c>
      <c r="U126" s="93">
        <f>IF(TrRoad_act!U68=0,0,TrRoad_ene!U71/TrRoad_tech!U99)</f>
        <v>1.2978841744701919</v>
      </c>
      <c r="V126" s="93">
        <f>IF(TrRoad_act!V68=0,0,TrRoad_ene!V71/TrRoad_tech!V99)</f>
        <v>1.299979191351613</v>
      </c>
      <c r="W126" s="93">
        <f>IF(TrRoad_act!W68=0,0,TrRoad_ene!W71/TrRoad_tech!W99)</f>
        <v>1.3035583366136432</v>
      </c>
      <c r="X126" s="93">
        <f>IF(TrRoad_act!X68=0,0,TrRoad_ene!X71/TrRoad_tech!X99)</f>
        <v>1.3105849987076417</v>
      </c>
      <c r="Y126" s="93">
        <f>IF(TrRoad_act!Y68=0,0,TrRoad_ene!Y71/TrRoad_tech!Y99)</f>
        <v>1.3161372645220673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</v>
      </c>
      <c r="C127" s="93">
        <f>IF(TrRoad_act!C69=0,0,TrRoad_ene!C72/TrRoad_tech!C100)</f>
        <v>1.1005494337065087</v>
      </c>
      <c r="D127" s="93">
        <f>IF(TrRoad_act!D69=0,0,TrRoad_ene!D72/TrRoad_tech!D100)</f>
        <v>1.1017987067289012</v>
      </c>
      <c r="E127" s="93">
        <f>IF(TrRoad_act!E69=0,0,TrRoad_ene!E72/TrRoad_tech!E100)</f>
        <v>1.1036166021661693</v>
      </c>
      <c r="F127" s="93">
        <f>IF(TrRoad_act!F69=0,0,TrRoad_ene!F72/TrRoad_tech!F100)</f>
        <v>1.1061072554609519</v>
      </c>
      <c r="G127" s="93">
        <f>IF(TrRoad_act!G69=0,0,TrRoad_ene!G72/TrRoad_tech!G100)</f>
        <v>1.1097054627552727</v>
      </c>
      <c r="H127" s="93">
        <f>IF(TrRoad_act!H69=0,0,TrRoad_ene!H72/TrRoad_tech!H100)</f>
        <v>1.1140945844645487</v>
      </c>
      <c r="I127" s="93">
        <f>IF(TrRoad_act!I69=0,0,TrRoad_ene!I72/TrRoad_tech!I100)</f>
        <v>1.1189542295350892</v>
      </c>
      <c r="J127" s="93">
        <f>IF(TrRoad_act!J69=0,0,TrRoad_ene!J72/TrRoad_tech!J100)</f>
        <v>1.1249628156332379</v>
      </c>
      <c r="K127" s="93">
        <f>IF(TrRoad_act!K69=0,0,TrRoad_ene!K72/TrRoad_tech!K100)</f>
        <v>1.1311364766905851</v>
      </c>
      <c r="L127" s="93">
        <f>IF(TrRoad_act!L69=0,0,TrRoad_ene!L72/TrRoad_tech!L100)</f>
        <v>1.1383281988300331</v>
      </c>
      <c r="M127" s="93">
        <f>IF(TrRoad_act!M69=0,0,TrRoad_ene!M72/TrRoad_tech!M100)</f>
        <v>1.147953671857348</v>
      </c>
      <c r="N127" s="93">
        <f>IF(TrRoad_act!N69=0,0,TrRoad_ene!N72/TrRoad_tech!N100)</f>
        <v>1.154892846203061</v>
      </c>
      <c r="O127" s="93">
        <f>IF(TrRoad_act!O69=0,0,TrRoad_ene!O72/TrRoad_tech!O100)</f>
        <v>1.1614462270587609</v>
      </c>
      <c r="P127" s="93">
        <f>IF(TrRoad_act!P69=0,0,TrRoad_ene!P72/TrRoad_tech!P100)</f>
        <v>1.1739771842911437</v>
      </c>
      <c r="Q127" s="93">
        <f>IF(TrRoad_act!Q69=0,0,TrRoad_ene!Q72/TrRoad_tech!Q100)</f>
        <v>1.187769943528356</v>
      </c>
      <c r="R127" s="93">
        <f>IF(TrRoad_act!R69=0,0,TrRoad_ene!R72/TrRoad_tech!R100)</f>
        <v>1.1996433043755574</v>
      </c>
      <c r="S127" s="93">
        <f>IF(TrRoad_act!S69=0,0,TrRoad_ene!S72/TrRoad_tech!S100)</f>
        <v>1.2118635752997111</v>
      </c>
      <c r="T127" s="93">
        <f>IF(TrRoad_act!T69=0,0,TrRoad_ene!T72/TrRoad_tech!T100)</f>
        <v>1.2208245646940661</v>
      </c>
      <c r="U127" s="93">
        <f>IF(TrRoad_act!U69=0,0,TrRoad_ene!U72/TrRoad_tech!U100)</f>
        <v>1.2408787832600825</v>
      </c>
      <c r="V127" s="93">
        <f>IF(TrRoad_act!V69=0,0,TrRoad_ene!V72/TrRoad_tech!V100)</f>
        <v>1.2549604467701458</v>
      </c>
      <c r="W127" s="93">
        <f>IF(TrRoad_act!W69=0,0,TrRoad_ene!W72/TrRoad_tech!W100)</f>
        <v>1.2653387508781189</v>
      </c>
      <c r="X127" s="93">
        <f>IF(TrRoad_act!X69=0,0,TrRoad_ene!X72/TrRoad_tech!X100)</f>
        <v>1.2807683147325677</v>
      </c>
      <c r="Y127" s="93">
        <f>IF(TrRoad_act!Y69=0,0,TrRoad_ene!Y72/TrRoad_tech!Y100)</f>
        <v>1.294574960299909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1.1000000000067303</v>
      </c>
      <c r="C128" s="93">
        <f>IF(TrRoad_act!C70=0,0,TrRoad_ene!C73/TrRoad_tech!C101)</f>
        <v>1.1005836006121001</v>
      </c>
      <c r="D128" s="93">
        <f>IF(TrRoad_act!D70=0,0,TrRoad_ene!D73/TrRoad_tech!D101)</f>
        <v>1.1006077922035127</v>
      </c>
      <c r="E128" s="93">
        <f>IF(TrRoad_act!E70=0,0,TrRoad_ene!E73/TrRoad_tech!E101)</f>
        <v>1.1035398590579231</v>
      </c>
      <c r="F128" s="93">
        <f>IF(TrRoad_act!F70=0,0,TrRoad_ene!F73/TrRoad_tech!F101)</f>
        <v>1.1123756141524292</v>
      </c>
      <c r="G128" s="93">
        <f>IF(TrRoad_act!G70=0,0,TrRoad_ene!G73/TrRoad_tech!G101)</f>
        <v>1.1200139995921401</v>
      </c>
      <c r="H128" s="93">
        <f>IF(TrRoad_act!H70=0,0,TrRoad_ene!H73/TrRoad_tech!H101)</f>
        <v>1.1230902426699678</v>
      </c>
      <c r="I128" s="93">
        <f>IF(TrRoad_act!I70=0,0,TrRoad_ene!I73/TrRoad_tech!I101)</f>
        <v>1.1295203907804581</v>
      </c>
      <c r="J128" s="93">
        <f>IF(TrRoad_act!J70=0,0,TrRoad_ene!J73/TrRoad_tech!J101)</f>
        <v>1.1374865230086297</v>
      </c>
      <c r="K128" s="93">
        <f>IF(TrRoad_act!K70=0,0,TrRoad_ene!K73/TrRoad_tech!K101)</f>
        <v>1.1515714957431753</v>
      </c>
      <c r="L128" s="93">
        <f>IF(TrRoad_act!L70=0,0,TrRoad_ene!L73/TrRoad_tech!L101)</f>
        <v>1.1519423226208345</v>
      </c>
      <c r="M128" s="93">
        <f>IF(TrRoad_act!M70=0,0,TrRoad_ene!M73/TrRoad_tech!M101)</f>
        <v>1.1531069994296042</v>
      </c>
      <c r="N128" s="93">
        <f>IF(TrRoad_act!N70=0,0,TrRoad_ene!N73/TrRoad_tech!N101)</f>
        <v>1.1540632774628095</v>
      </c>
      <c r="O128" s="93">
        <f>IF(TrRoad_act!O70=0,0,TrRoad_ene!O73/TrRoad_tech!O101)</f>
        <v>1.155508302461719</v>
      </c>
      <c r="P128" s="93">
        <f>IF(TrRoad_act!P70=0,0,TrRoad_ene!P73/TrRoad_tech!P101)</f>
        <v>1.1566537931616241</v>
      </c>
      <c r="Q128" s="93">
        <f>IF(TrRoad_act!Q70=0,0,TrRoad_ene!Q73/TrRoad_tech!Q101)</f>
        <v>1.1575956289523726</v>
      </c>
      <c r="R128" s="93">
        <f>IF(TrRoad_act!R70=0,0,TrRoad_ene!R73/TrRoad_tech!R101)</f>
        <v>1.1583964409244396</v>
      </c>
      <c r="S128" s="93">
        <f>IF(TrRoad_act!S70=0,0,TrRoad_ene!S73/TrRoad_tech!S101)</f>
        <v>1.1588207725395037</v>
      </c>
      <c r="T128" s="93">
        <f>IF(TrRoad_act!T70=0,0,TrRoad_ene!T73/TrRoad_tech!T101)</f>
        <v>1.1594416292087983</v>
      </c>
      <c r="U128" s="93">
        <f>IF(TrRoad_act!U70=0,0,TrRoad_ene!U73/TrRoad_tech!U101)</f>
        <v>1.1595708196024224</v>
      </c>
      <c r="V128" s="93">
        <f>IF(TrRoad_act!V70=0,0,TrRoad_ene!V73/TrRoad_tech!V101)</f>
        <v>1.1653298686684792</v>
      </c>
      <c r="W128" s="93">
        <f>IF(TrRoad_act!W70=0,0,TrRoad_ene!W73/TrRoad_tech!W101)</f>
        <v>1.1665318133729181</v>
      </c>
      <c r="X128" s="93">
        <f>IF(TrRoad_act!X70=0,0,TrRoad_ene!X73/TrRoad_tech!X101)</f>
        <v>1.168878979617852</v>
      </c>
      <c r="Y128" s="93">
        <f>IF(TrRoad_act!Y70=0,0,TrRoad_ene!Y73/TrRoad_tech!Y101)</f>
        <v>1.1725551614166934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9.7535947094386274E-2</v>
      </c>
      <c r="C129" s="93">
        <f>IF(TrRoad_act!C71=0,0,TrRoad_ene!C74/TrRoad_tech!C102)</f>
        <v>9.7616156506596316E-2</v>
      </c>
      <c r="D129" s="93">
        <f>IF(TrRoad_act!D71=0,0,TrRoad_ene!D74/TrRoad_tech!D102)</f>
        <v>9.7670661002477441E-2</v>
      </c>
      <c r="E129" s="93">
        <f>IF(TrRoad_act!E71=0,0,TrRoad_ene!E74/TrRoad_tech!E102)</f>
        <v>9.7496932662366559E-2</v>
      </c>
      <c r="F129" s="93">
        <f>IF(TrRoad_act!F71=0,0,TrRoad_ene!F74/TrRoad_tech!F102)</f>
        <v>9.7481504046130499E-2</v>
      </c>
      <c r="G129" s="93">
        <f>IF(TrRoad_act!G71=0,0,TrRoad_ene!G74/TrRoad_tech!G102)</f>
        <v>9.7254353829362913E-2</v>
      </c>
      <c r="H129" s="93">
        <f>IF(TrRoad_act!H71=0,0,TrRoad_ene!H74/TrRoad_tech!H102)</f>
        <v>9.8009371229344541E-2</v>
      </c>
      <c r="I129" s="93">
        <f>IF(TrRoad_act!I71=0,0,TrRoad_ene!I74/TrRoad_tech!I102)</f>
        <v>0.3241325082648493</v>
      </c>
      <c r="J129" s="93">
        <f>IF(TrRoad_act!J71=0,0,TrRoad_ene!J74/TrRoad_tech!J102)</f>
        <v>0.72540404713350648</v>
      </c>
      <c r="K129" s="93">
        <f>IF(TrRoad_act!K71=0,0,TrRoad_ene!K74/TrRoad_tech!K102)</f>
        <v>0.52379495877132665</v>
      </c>
      <c r="L129" s="93">
        <f>IF(TrRoad_act!L71=0,0,TrRoad_ene!L74/TrRoad_tech!L102)</f>
        <v>0.55528674356723662</v>
      </c>
      <c r="M129" s="93">
        <f>IF(TrRoad_act!M71=0,0,TrRoad_ene!M74/TrRoad_tech!M102)</f>
        <v>0.88797648823681652</v>
      </c>
      <c r="N129" s="93">
        <f>IF(TrRoad_act!N71=0,0,TrRoad_ene!N74/TrRoad_tech!N102)</f>
        <v>1.1185646764157462</v>
      </c>
      <c r="O129" s="93">
        <f>IF(TrRoad_act!O71=0,0,TrRoad_ene!O74/TrRoad_tech!O102)</f>
        <v>1.1929477065403098</v>
      </c>
      <c r="P129" s="93">
        <f>IF(TrRoad_act!P71=0,0,TrRoad_ene!P74/TrRoad_tech!P102)</f>
        <v>1.0093602825379788</v>
      </c>
      <c r="Q129" s="93">
        <f>IF(TrRoad_act!Q71=0,0,TrRoad_ene!Q74/TrRoad_tech!Q102)</f>
        <v>1.1990172638295771</v>
      </c>
      <c r="R129" s="93">
        <f>IF(TrRoad_act!R71=0,0,TrRoad_ene!R74/TrRoad_tech!R102)</f>
        <v>0.75770474557318679</v>
      </c>
      <c r="S129" s="93">
        <f>IF(TrRoad_act!S71=0,0,TrRoad_ene!S74/TrRoad_tech!S102)</f>
        <v>0.89177680424855565</v>
      </c>
      <c r="T129" s="93">
        <f>IF(TrRoad_act!T71=0,0,TrRoad_ene!T74/TrRoad_tech!T102)</f>
        <v>0.82058081966936003</v>
      </c>
      <c r="U129" s="93">
        <f>IF(TrRoad_act!U71=0,0,TrRoad_ene!U74/TrRoad_tech!U102)</f>
        <v>0.96924457112591333</v>
      </c>
      <c r="V129" s="93">
        <f>IF(TrRoad_act!V71=0,0,TrRoad_ene!V74/TrRoad_tech!V102)</f>
        <v>0.48469956389679064</v>
      </c>
      <c r="W129" s="93">
        <f>IF(TrRoad_act!W71=0,0,TrRoad_ene!W74/TrRoad_tech!W102)</f>
        <v>1.4653033482063664</v>
      </c>
      <c r="X129" s="93">
        <f>IF(TrRoad_act!X71=0,0,TrRoad_ene!X74/TrRoad_tech!X102)</f>
        <v>0.58392676883554995</v>
      </c>
      <c r="Y129" s="93">
        <f>IF(TrRoad_act!Y71=0,0,TrRoad_ene!Y74/TrRoad_tech!Y102)</f>
        <v>0.37006915457643341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1.2560000000062248</v>
      </c>
      <c r="P130" s="93">
        <f>IF(TrRoad_act!P72=0,0,TrRoad_ene!P75/TrRoad_tech!P103)</f>
        <v>1.2560000000062246</v>
      </c>
      <c r="Q130" s="93">
        <f>IF(TrRoad_act!Q72=0,0,TrRoad_ene!Q75/TrRoad_tech!Q103)</f>
        <v>1.2565410702324074</v>
      </c>
      <c r="R130" s="93">
        <f>IF(TrRoad_act!R72=0,0,TrRoad_ene!R75/TrRoad_tech!R103)</f>
        <v>1.2577923616830946</v>
      </c>
      <c r="S130" s="93">
        <f>IF(TrRoad_act!S72=0,0,TrRoad_ene!S75/TrRoad_tech!S103)</f>
        <v>1.2619894506166383</v>
      </c>
      <c r="T130" s="93">
        <f>IF(TrRoad_act!T72=0,0,TrRoad_ene!T75/TrRoad_tech!T103)</f>
        <v>1.2729464423036185</v>
      </c>
      <c r="U130" s="93">
        <f>IF(TrRoad_act!U72=0,0,TrRoad_ene!U75/TrRoad_tech!U103)</f>
        <v>1.282943361486901</v>
      </c>
      <c r="V130" s="93">
        <f>IF(TrRoad_act!V72=0,0,TrRoad_ene!V75/TrRoad_tech!V103)</f>
        <v>1.2897599142954572</v>
      </c>
      <c r="W130" s="93">
        <f>IF(TrRoad_act!W72=0,0,TrRoad_ene!W75/TrRoad_tech!W103)</f>
        <v>1.3185929822281619</v>
      </c>
      <c r="X130" s="93">
        <f>IF(TrRoad_act!X72=0,0,TrRoad_ene!X75/TrRoad_tech!X103)</f>
        <v>1.3269400472101021</v>
      </c>
      <c r="Y130" s="93">
        <f>IF(TrRoad_act!Y72=0,0,TrRoad_ene!Y75/TrRoad_tech!Y103)</f>
        <v>1.3399970884558836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1.1059310191034546</v>
      </c>
      <c r="C132" s="150">
        <f>IF(TrRoad_act!C74=0,0,TrRoad_ene!C77/TrRoad_tech!C105)</f>
        <v>1.0918094348982357</v>
      </c>
      <c r="D132" s="150">
        <f>IF(TrRoad_act!D74=0,0,TrRoad_ene!D77/TrRoad_tech!D105)</f>
        <v>1.0794678104370896</v>
      </c>
      <c r="E132" s="150">
        <f>IF(TrRoad_act!E74=0,0,TrRoad_ene!E77/TrRoad_tech!E105)</f>
        <v>1.0716341534315199</v>
      </c>
      <c r="F132" s="150">
        <f>IF(TrRoad_act!F74=0,0,TrRoad_ene!F77/TrRoad_tech!F105)</f>
        <v>1.0676643343530277</v>
      </c>
      <c r="G132" s="150">
        <f>IF(TrRoad_act!G74=0,0,TrRoad_ene!G77/TrRoad_tech!G105)</f>
        <v>1.0639824149702071</v>
      </c>
      <c r="H132" s="150">
        <f>IF(TrRoad_act!H74=0,0,TrRoad_ene!H77/TrRoad_tech!H105)</f>
        <v>1.0625211412306899</v>
      </c>
      <c r="I132" s="150">
        <f>IF(TrRoad_act!I74=0,0,TrRoad_ene!I77/TrRoad_tech!I105)</f>
        <v>1.0636830672528641</v>
      </c>
      <c r="J132" s="150">
        <f>IF(TrRoad_act!J74=0,0,TrRoad_ene!J77/TrRoad_tech!J105)</f>
        <v>1.066237873105091</v>
      </c>
      <c r="K132" s="150">
        <f>IF(TrRoad_act!K74=0,0,TrRoad_ene!K77/TrRoad_tech!K105)</f>
        <v>1.071479729266458</v>
      </c>
      <c r="L132" s="150">
        <f>IF(TrRoad_act!L74=0,0,TrRoad_ene!L77/TrRoad_tech!L105)</f>
        <v>1.079011128458389</v>
      </c>
      <c r="M132" s="150">
        <f>IF(TrRoad_act!M74=0,0,TrRoad_ene!M77/TrRoad_tech!M105)</f>
        <v>1.0871679756540209</v>
      </c>
      <c r="N132" s="150">
        <f>IF(TrRoad_act!N74=0,0,TrRoad_ene!N77/TrRoad_tech!N105)</f>
        <v>1.0926809923747258</v>
      </c>
      <c r="O132" s="150">
        <f>IF(TrRoad_act!O74=0,0,TrRoad_ene!O77/TrRoad_tech!O105)</f>
        <v>1.1050845101989049</v>
      </c>
      <c r="P132" s="150">
        <f>IF(TrRoad_act!P74=0,0,TrRoad_ene!P77/TrRoad_tech!P105)</f>
        <v>1.1195621240963092</v>
      </c>
      <c r="Q132" s="150">
        <f>IF(TrRoad_act!Q74=0,0,TrRoad_ene!Q77/TrRoad_tech!Q105)</f>
        <v>1.1347077721082168</v>
      </c>
      <c r="R132" s="150">
        <f>IF(TrRoad_act!R74=0,0,TrRoad_ene!R77/TrRoad_tech!R105)</f>
        <v>1.142428502671643</v>
      </c>
      <c r="S132" s="150">
        <f>IF(TrRoad_act!S74=0,0,TrRoad_ene!S77/TrRoad_tech!S105)</f>
        <v>1.1571248348028806</v>
      </c>
      <c r="T132" s="150">
        <f>IF(TrRoad_act!T74=0,0,TrRoad_ene!T77/TrRoad_tech!T105)</f>
        <v>1.1681139856112068</v>
      </c>
      <c r="U132" s="150">
        <f>IF(TrRoad_act!U74=0,0,TrRoad_ene!U77/TrRoad_tech!U105)</f>
        <v>1.1863749554243708</v>
      </c>
      <c r="V132" s="150">
        <f>IF(TrRoad_act!V74=0,0,TrRoad_ene!V77/TrRoad_tech!V105)</f>
        <v>1.1972257579568866</v>
      </c>
      <c r="W132" s="150">
        <f>IF(TrRoad_act!W74=0,0,TrRoad_ene!W77/TrRoad_tech!W105)</f>
        <v>1.2174915372631963</v>
      </c>
      <c r="X132" s="150">
        <f>IF(TrRoad_act!X74=0,0,TrRoad_ene!X77/TrRoad_tech!X105)</f>
        <v>1.2314426568517431</v>
      </c>
      <c r="Y132" s="150">
        <f>IF(TrRoad_act!Y74=0,0,TrRoad_ene!Y77/TrRoad_tech!Y105)</f>
        <v>1.2512035769502712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1.1000508844018146</v>
      </c>
      <c r="D133" s="91">
        <f>IF(TrRoad_act!D75=0,0,TrRoad_ene!D78/TrRoad_tech!D106)</f>
        <v>1.1001971439285945</v>
      </c>
      <c r="E133" s="91">
        <f>IF(TrRoad_act!E75=0,0,TrRoad_ene!E78/TrRoad_tech!E106)</f>
        <v>1.1004142839646802</v>
      </c>
      <c r="F133" s="91">
        <f>IF(TrRoad_act!F75=0,0,TrRoad_ene!F78/TrRoad_tech!F106)</f>
        <v>1.1006263628277531</v>
      </c>
      <c r="G133" s="91">
        <f>IF(TrRoad_act!G75=0,0,TrRoad_ene!G78/TrRoad_tech!G106)</f>
        <v>1.1010860005498071</v>
      </c>
      <c r="H133" s="91">
        <f>IF(TrRoad_act!H75=0,0,TrRoad_ene!H78/TrRoad_tech!H106)</f>
        <v>1.101982211386987</v>
      </c>
      <c r="I133" s="91">
        <f>IF(TrRoad_act!I75=0,0,TrRoad_ene!I78/TrRoad_tech!I106)</f>
        <v>1.1022183496084974</v>
      </c>
      <c r="J133" s="91">
        <f>IF(TrRoad_act!J75=0,0,TrRoad_ene!J78/TrRoad_tech!J106)</f>
        <v>1.1032783096962755</v>
      </c>
      <c r="K133" s="91">
        <f>IF(TrRoad_act!K75=0,0,TrRoad_ene!K78/TrRoad_tech!K106)</f>
        <v>1.104375376270279</v>
      </c>
      <c r="L133" s="91">
        <f>IF(TrRoad_act!L75=0,0,TrRoad_ene!L78/TrRoad_tech!L106)</f>
        <v>1.1053149294013631</v>
      </c>
      <c r="M133" s="91">
        <f>IF(TrRoad_act!M75=0,0,TrRoad_ene!M78/TrRoad_tech!M106)</f>
        <v>1.1088049821319221</v>
      </c>
      <c r="N133" s="91">
        <f>IF(TrRoad_act!N75=0,0,TrRoad_ene!N78/TrRoad_tech!N106)</f>
        <v>1.1125345739280095</v>
      </c>
      <c r="O133" s="91">
        <f>IF(TrRoad_act!O75=0,0,TrRoad_ene!O78/TrRoad_tech!O106)</f>
        <v>1.1183988392005026</v>
      </c>
      <c r="P133" s="91">
        <f>IF(TrRoad_act!P75=0,0,TrRoad_ene!P78/TrRoad_tech!P106)</f>
        <v>1.1261894359062703</v>
      </c>
      <c r="Q133" s="91">
        <f>IF(TrRoad_act!Q75=0,0,TrRoad_ene!Q78/TrRoad_tech!Q106)</f>
        <v>1.1346594895049473</v>
      </c>
      <c r="R133" s="91">
        <f>IF(TrRoad_act!R75=0,0,TrRoad_ene!R78/TrRoad_tech!R106)</f>
        <v>1.1442100458217679</v>
      </c>
      <c r="S133" s="91">
        <f>IF(TrRoad_act!S75=0,0,TrRoad_ene!S78/TrRoad_tech!S106)</f>
        <v>1.1551621953685771</v>
      </c>
      <c r="T133" s="91">
        <f>IF(TrRoad_act!T75=0,0,TrRoad_ene!T78/TrRoad_tech!T106)</f>
        <v>1.1699088451956123</v>
      </c>
      <c r="U133" s="91">
        <f>IF(TrRoad_act!U75=0,0,TrRoad_ene!U78/TrRoad_tech!U106)</f>
        <v>1.1900779511154662</v>
      </c>
      <c r="V133" s="91">
        <f>IF(TrRoad_act!V75=0,0,TrRoad_ene!V78/TrRoad_tech!V106)</f>
        <v>1.205173552829931</v>
      </c>
      <c r="W133" s="91">
        <f>IF(TrRoad_act!W75=0,0,TrRoad_ene!W78/TrRoad_tech!W106)</f>
        <v>1.2369165777799398</v>
      </c>
      <c r="X133" s="91">
        <f>IF(TrRoad_act!X75=0,0,TrRoad_ene!X78/TrRoad_tech!X106)</f>
        <v>1.2694330811367314</v>
      </c>
      <c r="Y133" s="91">
        <f>IF(TrRoad_act!Y75=0,0,TrRoad_ene!Y78/TrRoad_tech!Y106)</f>
        <v>1.2961622135277855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1.1000000000067305</v>
      </c>
      <c r="C134" s="91">
        <f>IF(TrRoad_act!C76=0,0,TrRoad_ene!C79/TrRoad_tech!C107)</f>
        <v>1.1000969178964604</v>
      </c>
      <c r="D134" s="91">
        <f>IF(TrRoad_act!D76=0,0,TrRoad_ene!D79/TrRoad_tech!D107)</f>
        <v>1.1003621796870975</v>
      </c>
      <c r="E134" s="91">
        <f>IF(TrRoad_act!E76=0,0,TrRoad_ene!E79/TrRoad_tech!E107)</f>
        <v>1.1007581573554079</v>
      </c>
      <c r="F134" s="91">
        <f>IF(TrRoad_act!F76=0,0,TrRoad_ene!F79/TrRoad_tech!F107)</f>
        <v>1.1011624986106361</v>
      </c>
      <c r="G134" s="91">
        <f>IF(TrRoad_act!G76=0,0,TrRoad_ene!G79/TrRoad_tech!G107)</f>
        <v>1.1019579678419307</v>
      </c>
      <c r="H134" s="91">
        <f>IF(TrRoad_act!H76=0,0,TrRoad_ene!H79/TrRoad_tech!H107)</f>
        <v>1.1032812491451574</v>
      </c>
      <c r="I134" s="91">
        <f>IF(TrRoad_act!I76=0,0,TrRoad_ene!I79/TrRoad_tech!I107)</f>
        <v>1.1052776632643642</v>
      </c>
      <c r="J134" s="91">
        <f>IF(TrRoad_act!J76=0,0,TrRoad_ene!J79/TrRoad_tech!J107)</f>
        <v>1.1074902771695654</v>
      </c>
      <c r="K134" s="91">
        <f>IF(TrRoad_act!K76=0,0,TrRoad_ene!K79/TrRoad_tech!K107)</f>
        <v>1.1103577718726916</v>
      </c>
      <c r="L134" s="91">
        <f>IF(TrRoad_act!L76=0,0,TrRoad_ene!L79/TrRoad_tech!L107)</f>
        <v>1.1128160022160987</v>
      </c>
      <c r="M134" s="91">
        <f>IF(TrRoad_act!M76=0,0,TrRoad_ene!M79/TrRoad_tech!M107)</f>
        <v>1.116247498153224</v>
      </c>
      <c r="N134" s="91">
        <f>IF(TrRoad_act!N76=0,0,TrRoad_ene!N79/TrRoad_tech!N107)</f>
        <v>1.1219642190803554</v>
      </c>
      <c r="O134" s="91">
        <f>IF(TrRoad_act!O76=0,0,TrRoad_ene!O79/TrRoad_tech!O107)</f>
        <v>1.1287083432114176</v>
      </c>
      <c r="P134" s="91">
        <f>IF(TrRoad_act!P76=0,0,TrRoad_ene!P79/TrRoad_tech!P107)</f>
        <v>1.1373897133533526</v>
      </c>
      <c r="Q134" s="91">
        <f>IF(TrRoad_act!Q76=0,0,TrRoad_ene!Q79/TrRoad_tech!Q107)</f>
        <v>1.1481072610093721</v>
      </c>
      <c r="R134" s="91">
        <f>IF(TrRoad_act!R76=0,0,TrRoad_ene!R79/TrRoad_tech!R107)</f>
        <v>1.1609431971773849</v>
      </c>
      <c r="S134" s="91">
        <f>IF(TrRoad_act!S76=0,0,TrRoad_ene!S79/TrRoad_tech!S107)</f>
        <v>1.1756205829517183</v>
      </c>
      <c r="T134" s="91">
        <f>IF(TrRoad_act!T76=0,0,TrRoad_ene!T79/TrRoad_tech!T107)</f>
        <v>1.1896219902325746</v>
      </c>
      <c r="U134" s="91">
        <f>IF(TrRoad_act!U76=0,0,TrRoad_ene!U79/TrRoad_tech!U107)</f>
        <v>1.2045285381063744</v>
      </c>
      <c r="V134" s="91">
        <f>IF(TrRoad_act!V76=0,0,TrRoad_ene!V79/TrRoad_tech!V107)</f>
        <v>1.216276514193025</v>
      </c>
      <c r="W134" s="91">
        <f>IF(TrRoad_act!W76=0,0,TrRoad_ene!W79/TrRoad_tech!W107)</f>
        <v>1.2323264488646284</v>
      </c>
      <c r="X134" s="91">
        <f>IF(TrRoad_act!X76=0,0,TrRoad_ene!X79/TrRoad_tech!X107)</f>
        <v>1.2474591254667482</v>
      </c>
      <c r="Y134" s="91">
        <f>IF(TrRoad_act!Y76=0,0,TrRoad_ene!Y79/TrRoad_tech!Y107)</f>
        <v>1.2644770634954667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1.1000000000067303</v>
      </c>
      <c r="C135" s="91">
        <f>IF(TrRoad_act!C77=0,0,TrRoad_ene!C80/TrRoad_tech!C108)</f>
        <v>1.100119525382016</v>
      </c>
      <c r="D135" s="91">
        <f>IF(TrRoad_act!D77=0,0,TrRoad_ene!D80/TrRoad_tech!D108)</f>
        <v>1.1004154975948963</v>
      </c>
      <c r="E135" s="91">
        <f>IF(TrRoad_act!E77=0,0,TrRoad_ene!E80/TrRoad_tech!E108)</f>
        <v>1.1008613909799629</v>
      </c>
      <c r="F135" s="91">
        <f>IF(TrRoad_act!F77=0,0,TrRoad_ene!F80/TrRoad_tech!F108)</f>
        <v>1.101375805263801</v>
      </c>
      <c r="G135" s="91">
        <f>IF(TrRoad_act!G77=0,0,TrRoad_ene!G80/TrRoad_tech!G108)</f>
        <v>1.1022333395974022</v>
      </c>
      <c r="H135" s="91">
        <f>IF(TrRoad_act!H77=0,0,TrRoad_ene!H80/TrRoad_tech!H108)</f>
        <v>1.1037978950340481</v>
      </c>
      <c r="I135" s="91">
        <f>IF(TrRoad_act!I77=0,0,TrRoad_ene!I80/TrRoad_tech!I108)</f>
        <v>1.1040478822155906</v>
      </c>
      <c r="J135" s="91">
        <f>IF(TrRoad_act!J77=0,0,TrRoad_ene!J80/TrRoad_tech!J108)</f>
        <v>1.1081277234974232</v>
      </c>
      <c r="K135" s="91">
        <f>IF(TrRoad_act!K77=0,0,TrRoad_ene!K80/TrRoad_tech!K108)</f>
        <v>1.1153364631501415</v>
      </c>
      <c r="L135" s="91">
        <f>IF(TrRoad_act!L77=0,0,TrRoad_ene!L80/TrRoad_tech!L108)</f>
        <v>1.1191319860111013</v>
      </c>
      <c r="M135" s="91">
        <f>IF(TrRoad_act!M77=0,0,TrRoad_ene!M80/TrRoad_tech!M108)</f>
        <v>1.121672625023787</v>
      </c>
      <c r="N135" s="91">
        <f>IF(TrRoad_act!N77=0,0,TrRoad_ene!N80/TrRoad_tech!N108)</f>
        <v>1.1370773544121402</v>
      </c>
      <c r="O135" s="91">
        <f>IF(TrRoad_act!O77=0,0,TrRoad_ene!O80/TrRoad_tech!O108)</f>
        <v>1.1433526940685039</v>
      </c>
      <c r="P135" s="91">
        <f>IF(TrRoad_act!P77=0,0,TrRoad_ene!P80/TrRoad_tech!P108)</f>
        <v>1.1511194873561454</v>
      </c>
      <c r="Q135" s="91">
        <f>IF(TrRoad_act!Q77=0,0,TrRoad_ene!Q80/TrRoad_tech!Q108)</f>
        <v>1.1603773133293043</v>
      </c>
      <c r="R135" s="91">
        <f>IF(TrRoad_act!R77=0,0,TrRoad_ene!R80/TrRoad_tech!R108)</f>
        <v>1.1732696467307107</v>
      </c>
      <c r="S135" s="91">
        <f>IF(TrRoad_act!S77=0,0,TrRoad_ene!S80/TrRoad_tech!S108)</f>
        <v>1.1856453042021384</v>
      </c>
      <c r="T135" s="91">
        <f>IF(TrRoad_act!T77=0,0,TrRoad_ene!T80/TrRoad_tech!T108)</f>
        <v>1.2016282999580794</v>
      </c>
      <c r="U135" s="91">
        <f>IF(TrRoad_act!U77=0,0,TrRoad_ene!U80/TrRoad_tech!U108)</f>
        <v>1.214272054971856</v>
      </c>
      <c r="V135" s="91">
        <f>IF(TrRoad_act!V77=0,0,TrRoad_ene!V80/TrRoad_tech!V108)</f>
        <v>1.2237398021041113</v>
      </c>
      <c r="W135" s="91">
        <f>IF(TrRoad_act!W77=0,0,TrRoad_ene!W80/TrRoad_tech!W108)</f>
        <v>1.2414400972434174</v>
      </c>
      <c r="X135" s="91">
        <f>IF(TrRoad_act!X77=0,0,TrRoad_ene!X80/TrRoad_tech!X108)</f>
        <v>1.2730782809932726</v>
      </c>
      <c r="Y135" s="91">
        <f>IF(TrRoad_act!Y77=0,0,TrRoad_ene!Y80/TrRoad_tech!Y108)</f>
        <v>1.2911269460047148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1.0946865637309244</v>
      </c>
      <c r="C136" s="91">
        <f>IF(TrRoad_act!C78=0,0,TrRoad_ene!C81/TrRoad_tech!C109)</f>
        <v>1.0963031560377665</v>
      </c>
      <c r="D136" s="91">
        <f>IF(TrRoad_act!D78=0,0,TrRoad_ene!D81/TrRoad_tech!D109)</f>
        <v>1.098640534819014</v>
      </c>
      <c r="E136" s="91">
        <f>IF(TrRoad_act!E78=0,0,TrRoad_ene!E81/TrRoad_tech!E109)</f>
        <v>1.0992959680576342</v>
      </c>
      <c r="F136" s="91">
        <f>IF(TrRoad_act!F78=0,0,TrRoad_ene!F81/TrRoad_tech!F109)</f>
        <v>1.1023022121208537</v>
      </c>
      <c r="G136" s="91">
        <f>IF(TrRoad_act!G78=0,0,TrRoad_ene!G81/TrRoad_tech!G109)</f>
        <v>1.1046889147928292</v>
      </c>
      <c r="H136" s="91">
        <f>IF(TrRoad_act!H78=0,0,TrRoad_ene!H81/TrRoad_tech!H109)</f>
        <v>1.1193211117024198</v>
      </c>
      <c r="I136" s="91">
        <f>IF(TrRoad_act!I78=0,0,TrRoad_ene!I81/TrRoad_tech!I109)</f>
        <v>1.1213412336340118</v>
      </c>
      <c r="J136" s="91">
        <f>IF(TrRoad_act!J78=0,0,TrRoad_ene!J81/TrRoad_tech!J109)</f>
        <v>1.1355300063922174</v>
      </c>
      <c r="K136" s="91">
        <f>IF(TrRoad_act!K78=0,0,TrRoad_ene!K81/TrRoad_tech!K109)</f>
        <v>1.0858883223690792</v>
      </c>
      <c r="L136" s="91">
        <f>IF(TrRoad_act!L78=0,0,TrRoad_ene!L81/TrRoad_tech!L109)</f>
        <v>1.1693238733995412</v>
      </c>
      <c r="M136" s="91">
        <f>IF(TrRoad_act!M78=0,0,TrRoad_ene!M81/TrRoad_tech!M109)</f>
        <v>1.1788905433005461</v>
      </c>
      <c r="N136" s="91">
        <f>IF(TrRoad_act!N78=0,0,TrRoad_ene!N81/TrRoad_tech!N109)</f>
        <v>1.1945154906706643</v>
      </c>
      <c r="O136" s="91">
        <f>IF(TrRoad_act!O78=0,0,TrRoad_ene!O81/TrRoad_tech!O109)</f>
        <v>1.2212103828840604</v>
      </c>
      <c r="P136" s="91">
        <f>IF(TrRoad_act!P78=0,0,TrRoad_ene!P81/TrRoad_tech!P109)</f>
        <v>1.2075822922903863</v>
      </c>
      <c r="Q136" s="91">
        <f>IF(TrRoad_act!Q78=0,0,TrRoad_ene!Q81/TrRoad_tech!Q109)</f>
        <v>1.2347673407213104</v>
      </c>
      <c r="R136" s="91">
        <f>IF(TrRoad_act!R78=0,0,TrRoad_ene!R81/TrRoad_tech!R109)</f>
        <v>1.2236417064031495</v>
      </c>
      <c r="S136" s="91">
        <f>IF(TrRoad_act!S78=0,0,TrRoad_ene!S81/TrRoad_tech!S109)</f>
        <v>1.133513106392978</v>
      </c>
      <c r="T136" s="91">
        <f>IF(TrRoad_act!T78=0,0,TrRoad_ene!T81/TrRoad_tech!T109)</f>
        <v>1.0486750773983884</v>
      </c>
      <c r="U136" s="91">
        <f>IF(TrRoad_act!U78=0,0,TrRoad_ene!U81/TrRoad_tech!U109)</f>
        <v>1.247781447872826</v>
      </c>
      <c r="V136" s="91">
        <f>IF(TrRoad_act!V78=0,0,TrRoad_ene!V81/TrRoad_tech!V109)</f>
        <v>1.2552491022628713</v>
      </c>
      <c r="W136" s="91">
        <f>IF(TrRoad_act!W78=0,0,TrRoad_ene!W81/TrRoad_tech!W109)</f>
        <v>1.3782961422213931</v>
      </c>
      <c r="X136" s="91">
        <f>IF(TrRoad_act!X78=0,0,TrRoad_ene!X81/TrRoad_tech!X109)</f>
        <v>1.2660321812621276</v>
      </c>
      <c r="Y136" s="91">
        <f>IF(TrRoad_act!Y78=0,0,TrRoad_ene!Y81/TrRoad_tech!Y109)</f>
        <v>1.271364204685814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1.2173333333398659</v>
      </c>
      <c r="N137" s="91">
        <f>IF(TrRoad_act!N79=0,0,TrRoad_ene!N82/TrRoad_tech!N110)</f>
        <v>1.2360000000066977</v>
      </c>
      <c r="O137" s="91">
        <f>IF(TrRoad_act!O79=0,0,TrRoad_ene!O82/TrRoad_tech!O110)</f>
        <v>1.2560000000062244</v>
      </c>
      <c r="P137" s="91">
        <f>IF(TrRoad_act!P79=0,0,TrRoad_ene!P82/TrRoad_tech!P110)</f>
        <v>1.2773333333398114</v>
      </c>
      <c r="Q137" s="91">
        <f>IF(TrRoad_act!Q79=0,0,TrRoad_ene!Q82/TrRoad_tech!Q110)</f>
        <v>1.2931011492848214</v>
      </c>
      <c r="R137" s="91">
        <f>IF(TrRoad_act!R79=0,0,TrRoad_ene!R82/TrRoad_tech!R110)</f>
        <v>1.30431347011952</v>
      </c>
      <c r="S137" s="91">
        <f>IF(TrRoad_act!S79=0,0,TrRoad_ene!S82/TrRoad_tech!S110)</f>
        <v>1.3136198456355124</v>
      </c>
      <c r="T137" s="91">
        <f>IF(TrRoad_act!T79=0,0,TrRoad_ene!T82/TrRoad_tech!T110)</f>
        <v>1.3232841483152515</v>
      </c>
      <c r="U137" s="91">
        <f>IF(TrRoad_act!U79=0,0,TrRoad_ene!U82/TrRoad_tech!U110)</f>
        <v>1.3354933312952779</v>
      </c>
      <c r="V137" s="91">
        <f>IF(TrRoad_act!V79=0,0,TrRoad_ene!V82/TrRoad_tech!V110)</f>
        <v>1.3398723598933904</v>
      </c>
      <c r="W137" s="91">
        <f>IF(TrRoad_act!W79=0,0,TrRoad_ene!W82/TrRoad_tech!W110)</f>
        <v>1.3488740216584905</v>
      </c>
      <c r="X137" s="91">
        <f>IF(TrRoad_act!X79=0,0,TrRoad_ene!X82/TrRoad_tech!X110)</f>
        <v>1.3542054814619191</v>
      </c>
      <c r="Y137" s="91">
        <f>IF(TrRoad_act!Y79=0,0,TrRoad_ene!Y82/TrRoad_tech!Y110)</f>
        <v>1.3575442290973678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0.61733185175317817</v>
      </c>
      <c r="C138" s="151">
        <f>IF(TrRoad_act!C80=0,0,TrRoad_ene!C83/TrRoad_tech!C111)</f>
        <v>0.938136644028851</v>
      </c>
      <c r="D138" s="151">
        <f>IF(TrRoad_act!D80=0,0,TrRoad_ene!D83/TrRoad_tech!D111)</f>
        <v>0.94163664805570435</v>
      </c>
      <c r="E138" s="151">
        <f>IF(TrRoad_act!E80=0,0,TrRoad_ene!E83/TrRoad_tech!E111)</f>
        <v>0.94250585799748021</v>
      </c>
      <c r="F138" s="151">
        <f>IF(TrRoad_act!F80=0,0,TrRoad_ene!F83/TrRoad_tech!F111)</f>
        <v>0.85138737938440234</v>
      </c>
      <c r="G138" s="151">
        <f>IF(TrRoad_act!G80=0,0,TrRoad_ene!G83/TrRoad_tech!G111)</f>
        <v>0.87527017861105916</v>
      </c>
      <c r="H138" s="151">
        <f>IF(TrRoad_act!H80=0,0,TrRoad_ene!H83/TrRoad_tech!H111)</f>
        <v>1.1358945262939173</v>
      </c>
      <c r="I138" s="151">
        <f>IF(TrRoad_act!I80=0,0,TrRoad_ene!I83/TrRoad_tech!I111)</f>
        <v>1.1106743394888174</v>
      </c>
      <c r="J138" s="151">
        <f>IF(TrRoad_act!J80=0,0,TrRoad_ene!J83/TrRoad_tech!J111)</f>
        <v>0.88161434089082513</v>
      </c>
      <c r="K138" s="151">
        <f>IF(TrRoad_act!K80=0,0,TrRoad_ene!K83/TrRoad_tech!K111)</f>
        <v>0.68689862632418175</v>
      </c>
      <c r="L138" s="151">
        <f>IF(TrRoad_act!L80=0,0,TrRoad_ene!L83/TrRoad_tech!L111)</f>
        <v>0.63755635207460593</v>
      </c>
      <c r="M138" s="151">
        <f>IF(TrRoad_act!M80=0,0,TrRoad_ene!M83/TrRoad_tech!M111)</f>
        <v>0.83054654728781963</v>
      </c>
      <c r="N138" s="151">
        <f>IF(TrRoad_act!N80=0,0,TrRoad_ene!N83/TrRoad_tech!N111)</f>
        <v>1.1266657456290248</v>
      </c>
      <c r="O138" s="151">
        <f>IF(TrRoad_act!O80=0,0,TrRoad_ene!O83/TrRoad_tech!O111)</f>
        <v>0.90763827422185028</v>
      </c>
      <c r="P138" s="151">
        <f>IF(TrRoad_act!P80=0,0,TrRoad_ene!P83/TrRoad_tech!P111)</f>
        <v>0.94503113880106682</v>
      </c>
      <c r="Q138" s="151">
        <f>IF(TrRoad_act!Q80=0,0,TrRoad_ene!Q83/TrRoad_tech!Q111)</f>
        <v>1.0648918643706218</v>
      </c>
      <c r="R138" s="151">
        <f>IF(TrRoad_act!R80=0,0,TrRoad_ene!R83/TrRoad_tech!R111)</f>
        <v>0.92908284637034277</v>
      </c>
      <c r="S138" s="151">
        <f>IF(TrRoad_act!S80=0,0,TrRoad_ene!S83/TrRoad_tech!S111)</f>
        <v>0.54841412293075564</v>
      </c>
      <c r="T138" s="151">
        <f>IF(TrRoad_act!T80=0,0,TrRoad_ene!T83/TrRoad_tech!T111)</f>
        <v>0.95482733276399701</v>
      </c>
      <c r="U138" s="151">
        <f>IF(TrRoad_act!U80=0,0,TrRoad_ene!U83/TrRoad_tech!U111)</f>
        <v>0.94858890262031204</v>
      </c>
      <c r="V138" s="151">
        <f>IF(TrRoad_act!V80=0,0,TrRoad_ene!V83/TrRoad_tech!V111)</f>
        <v>0.79216057257876149</v>
      </c>
      <c r="W138" s="151">
        <f>IF(TrRoad_act!W80=0,0,TrRoad_ene!W83/TrRoad_tech!W111)</f>
        <v>1.3295062214795081</v>
      </c>
      <c r="X138" s="151">
        <f>IF(TrRoad_act!X80=0,0,TrRoad_ene!X83/TrRoad_tech!X111)</f>
        <v>1.8373887248173955</v>
      </c>
      <c r="Y138" s="151">
        <f>IF(TrRoad_act!Y80=0,0,TrRoad_ene!Y83/TrRoad_tech!Y111)</f>
        <v>1.945730545187272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0.61474001316441029</v>
      </c>
      <c r="C139" s="93">
        <f>IF(TrRoad_act!C81=0,0,TrRoad_ene!C84/TrRoad_tech!C112)</f>
        <v>0.93476250746976419</v>
      </c>
      <c r="D139" s="93">
        <f>IF(TrRoad_act!D81=0,0,TrRoad_ene!D84/TrRoad_tech!D112)</f>
        <v>0.9388079827558331</v>
      </c>
      <c r="E139" s="93">
        <f>IF(TrRoad_act!E81=0,0,TrRoad_ene!E84/TrRoad_tech!E112)</f>
        <v>0.93995485428462744</v>
      </c>
      <c r="F139" s="93">
        <f>IF(TrRoad_act!F81=0,0,TrRoad_ene!F84/TrRoad_tech!F112)</f>
        <v>0.85042391084233471</v>
      </c>
      <c r="G139" s="93">
        <f>IF(TrRoad_act!G81=0,0,TrRoad_ene!G84/TrRoad_tech!G112)</f>
        <v>0.8745170281451492</v>
      </c>
      <c r="H139" s="93">
        <f>IF(TrRoad_act!H81=0,0,TrRoad_ene!H84/TrRoad_tech!H112)</f>
        <v>1.1352090472465737</v>
      </c>
      <c r="I139" s="93">
        <f>IF(TrRoad_act!I81=0,0,TrRoad_ene!I84/TrRoad_tech!I112)</f>
        <v>1.1098906891060814</v>
      </c>
      <c r="J139" s="93">
        <f>IF(TrRoad_act!J81=0,0,TrRoad_ene!J84/TrRoad_tech!J112)</f>
        <v>0.88104952475107889</v>
      </c>
      <c r="K139" s="93">
        <f>IF(TrRoad_act!K81=0,0,TrRoad_ene!K84/TrRoad_tech!K112)</f>
        <v>0.68646215325511606</v>
      </c>
      <c r="L139" s="93">
        <f>IF(TrRoad_act!L81=0,0,TrRoad_ene!L84/TrRoad_tech!L112)</f>
        <v>0.63706985032301378</v>
      </c>
      <c r="M139" s="93">
        <f>IF(TrRoad_act!M81=0,0,TrRoad_ene!M84/TrRoad_tech!M112)</f>
        <v>0.8299258606870481</v>
      </c>
      <c r="N139" s="93">
        <f>IF(TrRoad_act!N81=0,0,TrRoad_ene!N84/TrRoad_tech!N112)</f>
        <v>1.1252861670690228</v>
      </c>
      <c r="O139" s="93">
        <f>IF(TrRoad_act!O81=0,0,TrRoad_ene!O84/TrRoad_tech!O112)</f>
        <v>0.90591676797724852</v>
      </c>
      <c r="P139" s="93">
        <f>IF(TrRoad_act!P81=0,0,TrRoad_ene!P84/TrRoad_tech!P112)</f>
        <v>0.94137956391213462</v>
      </c>
      <c r="Q139" s="93">
        <f>IF(TrRoad_act!Q81=0,0,TrRoad_ene!Q84/TrRoad_tech!Q112)</f>
        <v>1.0587662317359463</v>
      </c>
      <c r="R139" s="93">
        <f>IF(TrRoad_act!R81=0,0,TrRoad_ene!R84/TrRoad_tech!R112)</f>
        <v>0.9225441737580734</v>
      </c>
      <c r="S139" s="93">
        <f>IF(TrRoad_act!S81=0,0,TrRoad_ene!S84/TrRoad_tech!S112)</f>
        <v>0.54331168099595251</v>
      </c>
      <c r="T139" s="93">
        <f>IF(TrRoad_act!T81=0,0,TrRoad_ene!T84/TrRoad_tech!T112)</f>
        <v>0.94287360132948761</v>
      </c>
      <c r="U139" s="93">
        <f>IF(TrRoad_act!U81=0,0,TrRoad_ene!U84/TrRoad_tech!U112)</f>
        <v>0.93341786625366452</v>
      </c>
      <c r="V139" s="93">
        <f>IF(TrRoad_act!V81=0,0,TrRoad_ene!V84/TrRoad_tech!V112)</f>
        <v>0.77837720229529217</v>
      </c>
      <c r="W139" s="93">
        <f>IF(TrRoad_act!W81=0,0,TrRoad_ene!W84/TrRoad_tech!W112)</f>
        <v>1.3008385369979871</v>
      </c>
      <c r="X139" s="93">
        <f>IF(TrRoad_act!X81=0,0,TrRoad_ene!X84/TrRoad_tech!X112)</f>
        <v>1.7911606993616236</v>
      </c>
      <c r="Y139" s="93">
        <f>IF(TrRoad_act!Y81=0,0,TrRoad_ene!Y84/TrRoad_tech!Y112)</f>
        <v>1.8932432378807145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0.61474001316441051</v>
      </c>
      <c r="C140" s="94">
        <f>IF(TrRoad_act!C82=0,0,TrRoad_ene!C85/TrRoad_tech!C113)</f>
        <v>0.93497410745518172</v>
      </c>
      <c r="D140" s="94">
        <f>IF(TrRoad_act!D82=0,0,TrRoad_ene!D85/TrRoad_tech!D113)</f>
        <v>0.93936142783675025</v>
      </c>
      <c r="E140" s="94">
        <f>IF(TrRoad_act!E82=0,0,TrRoad_ene!E85/TrRoad_tech!E113)</f>
        <v>0.94075915510175045</v>
      </c>
      <c r="F140" s="94">
        <f>IF(TrRoad_act!F82=0,0,TrRoad_ene!F85/TrRoad_tech!F113)</f>
        <v>0.85346027965880045</v>
      </c>
      <c r="G140" s="94">
        <f>IF(TrRoad_act!G82=0,0,TrRoad_ene!G85/TrRoad_tech!G113)</f>
        <v>0.87807574387437826</v>
      </c>
      <c r="H140" s="94">
        <f>IF(TrRoad_act!H82=0,0,TrRoad_ene!H85/TrRoad_tech!H113)</f>
        <v>1.141431285608054</v>
      </c>
      <c r="I140" s="94">
        <f>IF(TrRoad_act!I82=0,0,TrRoad_ene!I85/TrRoad_tech!I113)</f>
        <v>1.1151580889639299</v>
      </c>
      <c r="J140" s="94">
        <f>IF(TrRoad_act!J82=0,0,TrRoad_ene!J85/TrRoad_tech!J113)</f>
        <v>0.88679707941800834</v>
      </c>
      <c r="K140" s="94">
        <f>IF(TrRoad_act!K82=0,0,TrRoad_ene!K85/TrRoad_tech!K113)</f>
        <v>0.68866733462850271</v>
      </c>
      <c r="L140" s="94">
        <f>IF(TrRoad_act!L82=0,0,TrRoad_ene!L85/TrRoad_tech!L113)</f>
        <v>0.64188367724931228</v>
      </c>
      <c r="M140" s="94">
        <f>IF(TrRoad_act!M82=0,0,TrRoad_ene!M85/TrRoad_tech!M113)</f>
        <v>0.83268067999642903</v>
      </c>
      <c r="N140" s="94">
        <f>IF(TrRoad_act!N82=0,0,TrRoad_ene!N85/TrRoad_tech!N113)</f>
        <v>1.1246945451853751</v>
      </c>
      <c r="O140" s="94">
        <f>IF(TrRoad_act!O82=0,0,TrRoad_ene!O85/TrRoad_tech!O113)</f>
        <v>0.9122416321230109</v>
      </c>
      <c r="P140" s="94">
        <f>IF(TrRoad_act!P82=0,0,TrRoad_ene!P85/TrRoad_tech!P113)</f>
        <v>0.94959170234226564</v>
      </c>
      <c r="Q140" s="94">
        <f>IF(TrRoad_act!Q82=0,0,TrRoad_ene!Q85/TrRoad_tech!Q113)</f>
        <v>1.0653611158400897</v>
      </c>
      <c r="R140" s="94">
        <f>IF(TrRoad_act!R82=0,0,TrRoad_ene!R85/TrRoad_tech!R113)</f>
        <v>0.93864205127764599</v>
      </c>
      <c r="S140" s="94">
        <f>IF(TrRoad_act!S82=0,0,TrRoad_ene!S85/TrRoad_tech!S113)</f>
        <v>0.56069928103293298</v>
      </c>
      <c r="T140" s="94">
        <f>IF(TrRoad_act!T82=0,0,TrRoad_ene!T85/TrRoad_tech!T113)</f>
        <v>0.96829636032310573</v>
      </c>
      <c r="U140" s="94">
        <f>IF(TrRoad_act!U82=0,0,TrRoad_ene!U85/TrRoad_tech!U113)</f>
        <v>0.96376689980539332</v>
      </c>
      <c r="V140" s="94">
        <f>IF(TrRoad_act!V82=0,0,TrRoad_ene!V85/TrRoad_tech!V113)</f>
        <v>0.80963583334256572</v>
      </c>
      <c r="W140" s="94">
        <f>IF(TrRoad_act!W82=0,0,TrRoad_ene!W85/TrRoad_tech!W113)</f>
        <v>1.3737071100818645</v>
      </c>
      <c r="X140" s="94">
        <f>IF(TrRoad_act!X82=0,0,TrRoad_ene!X85/TrRoad_tech!X113)</f>
        <v>1.8897323401322326</v>
      </c>
      <c r="Y140" s="94">
        <f>IF(TrRoad_act!Y82=0,0,TrRoad_ene!Y85/TrRoad_tech!Y113)</f>
        <v>1.9798250688626415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3.1346167469587494</v>
      </c>
      <c r="C144" s="141">
        <v>3.1346167469587494</v>
      </c>
      <c r="D144" s="141">
        <v>3.1346167469587494</v>
      </c>
      <c r="E144" s="141">
        <v>3.0863918739286142</v>
      </c>
      <c r="F144" s="141">
        <v>3.0863918739286142</v>
      </c>
      <c r="G144" s="141">
        <v>3.0863918739286142</v>
      </c>
      <c r="H144" s="141">
        <v>3.0381670008984796</v>
      </c>
      <c r="I144" s="141">
        <v>2.9417172548382102</v>
      </c>
      <c r="J144" s="141">
        <v>2.893492381808076</v>
      </c>
      <c r="K144" s="141">
        <v>2.7342262765649741</v>
      </c>
      <c r="L144" s="141">
        <v>2.6347809722699203</v>
      </c>
      <c r="M144" s="141">
        <v>2.5550924843793101</v>
      </c>
      <c r="N144" s="141">
        <v>2.4966821362003042</v>
      </c>
      <c r="O144" s="141">
        <v>2.4292984230773405</v>
      </c>
      <c r="P144" s="141">
        <v>2.3782163510742294</v>
      </c>
      <c r="Q144" s="141">
        <v>2.3487842177585558</v>
      </c>
      <c r="R144" s="141">
        <v>2.3099974011983981</v>
      </c>
      <c r="S144" s="141">
        <v>2.2789679479502722</v>
      </c>
      <c r="T144" s="141">
        <v>2.2541443853517715</v>
      </c>
      <c r="U144" s="141">
        <v>2.2342855352729707</v>
      </c>
      <c r="V144" s="141">
        <v>2.2183984552099303</v>
      </c>
      <c r="W144" s="141">
        <v>2.2056887911594978</v>
      </c>
      <c r="X144" s="141">
        <v>2.1955210599191517</v>
      </c>
      <c r="Y144" s="141">
        <v>2.187386874926875</v>
      </c>
      <c r="DA144" s="174" t="s">
        <v>887</v>
      </c>
    </row>
    <row r="145" spans="1:105" ht="11.45" customHeight="1" x14ac:dyDescent="0.25">
      <c r="A145" s="109" t="s">
        <v>20</v>
      </c>
      <c r="B145" s="130">
        <v>6.5624661355706229</v>
      </c>
      <c r="C145" s="130">
        <v>6.5639337270056579</v>
      </c>
      <c r="D145" s="130">
        <v>6.5323953112641719</v>
      </c>
      <c r="E145" s="130">
        <v>6.4324939600647868</v>
      </c>
      <c r="F145" s="130">
        <v>6.3388841685730561</v>
      </c>
      <c r="G145" s="130">
        <v>6.3430237779054108</v>
      </c>
      <c r="H145" s="130">
        <v>6.3018430630571682</v>
      </c>
      <c r="I145" s="130">
        <v>6.2107559691791545</v>
      </c>
      <c r="J145" s="130">
        <v>6.1430597696979259</v>
      </c>
      <c r="K145" s="130">
        <v>5.8296751645190472</v>
      </c>
      <c r="L145" s="130">
        <v>5.5985314225872731</v>
      </c>
      <c r="M145" s="130">
        <v>5.4375940020232312</v>
      </c>
      <c r="N145" s="130">
        <v>5.3285811445457734</v>
      </c>
      <c r="O145" s="130">
        <v>5.1536876474972422</v>
      </c>
      <c r="P145" s="130">
        <v>5.0300333684227327</v>
      </c>
      <c r="Q145" s="130">
        <v>4.8838730817737206</v>
      </c>
      <c r="R145" s="130">
        <v>4.8046712981730435</v>
      </c>
      <c r="S145" s="130">
        <v>4.7759863210171831</v>
      </c>
      <c r="T145" s="130">
        <v>4.913853063090988</v>
      </c>
      <c r="U145" s="130">
        <v>4.8813494058128741</v>
      </c>
      <c r="V145" s="130">
        <v>4.5899298855149002</v>
      </c>
      <c r="W145" s="130">
        <v>4.3037501484369258</v>
      </c>
      <c r="X145" s="130">
        <v>4.2597554081686786</v>
      </c>
      <c r="Y145" s="130">
        <v>4.2957831124320469</v>
      </c>
      <c r="DA145" s="176" t="s">
        <v>888</v>
      </c>
    </row>
    <row r="146" spans="1:105" ht="11.45" customHeight="1" x14ac:dyDescent="0.25">
      <c r="A146" s="111" t="s">
        <v>110</v>
      </c>
      <c r="B146" s="96">
        <v>6.4069509577265888</v>
      </c>
      <c r="C146" s="96">
        <v>6.4069509577265888</v>
      </c>
      <c r="D146" s="96">
        <v>6.4069509577265888</v>
      </c>
      <c r="E146" s="96">
        <v>6.3083824814538705</v>
      </c>
      <c r="F146" s="96">
        <v>6.3083824814538705</v>
      </c>
      <c r="G146" s="96">
        <v>6.3083824814538705</v>
      </c>
      <c r="H146" s="96">
        <v>6.2098140051811512</v>
      </c>
      <c r="I146" s="96">
        <v>6.0126770526357207</v>
      </c>
      <c r="J146" s="96">
        <v>5.9141085763630041</v>
      </c>
      <c r="K146" s="96">
        <v>5.5885791072466624</v>
      </c>
      <c r="L146" s="96">
        <v>5.3853194302183161</v>
      </c>
      <c r="M146" s="96">
        <v>5.2224309235722473</v>
      </c>
      <c r="N146" s="96">
        <v>5.1036228454718398</v>
      </c>
      <c r="O146" s="96">
        <v>5.0129445736709393</v>
      </c>
      <c r="P146" s="96">
        <v>4.9311591891780822</v>
      </c>
      <c r="Q146" s="96">
        <v>4.805610666565606</v>
      </c>
      <c r="R146" s="96">
        <v>4.8395289873308469</v>
      </c>
      <c r="S146" s="96">
        <v>4.7341508744517178</v>
      </c>
      <c r="T146" s="96">
        <v>4.8178827645839508</v>
      </c>
      <c r="U146" s="96">
        <v>4.8942878323805559</v>
      </c>
      <c r="V146" s="96">
        <v>4.6489442698370098</v>
      </c>
      <c r="W146" s="96">
        <v>4.4158997402555844</v>
      </c>
      <c r="X146" s="96">
        <v>4.3339397655013743</v>
      </c>
      <c r="Y146" s="96">
        <v>4.3447455264446901</v>
      </c>
      <c r="DA146" s="171" t="s">
        <v>889</v>
      </c>
    </row>
    <row r="147" spans="1:105" ht="11.45" customHeight="1" x14ac:dyDescent="0.25">
      <c r="A147" s="111" t="s">
        <v>111</v>
      </c>
      <c r="B147" s="96">
        <v>6.7462109407105979</v>
      </c>
      <c r="C147" s="96">
        <v>6.7462109407105979</v>
      </c>
      <c r="D147" s="96">
        <v>6.7462109407105979</v>
      </c>
      <c r="E147" s="96">
        <v>6.597565614898329</v>
      </c>
      <c r="F147" s="96">
        <v>6.3664793045394132</v>
      </c>
      <c r="G147" s="96">
        <v>6.3779135603711259</v>
      </c>
      <c r="H147" s="96">
        <v>6.3531012252163093</v>
      </c>
      <c r="I147" s="96">
        <v>6.3593900659237512</v>
      </c>
      <c r="J147" s="96">
        <v>6.3380080075184484</v>
      </c>
      <c r="K147" s="96">
        <v>6.0889375919176825</v>
      </c>
      <c r="L147" s="96">
        <v>5.8550529938038913</v>
      </c>
      <c r="M147" s="96">
        <v>5.6294141470450487</v>
      </c>
      <c r="N147" s="96">
        <v>5.5161017807562418</v>
      </c>
      <c r="O147" s="96">
        <v>5.2722329889738591</v>
      </c>
      <c r="P147" s="96">
        <v>5.1069485741883822</v>
      </c>
      <c r="Q147" s="96">
        <v>4.918793028959608</v>
      </c>
      <c r="R147" s="96">
        <v>4.7605609520215042</v>
      </c>
      <c r="S147" s="96">
        <v>4.7590771667100027</v>
      </c>
      <c r="T147" s="96">
        <v>4.9209600601993646</v>
      </c>
      <c r="U147" s="96">
        <v>4.8469759996350747</v>
      </c>
      <c r="V147" s="96">
        <v>4.6869533292982979</v>
      </c>
      <c r="W147" s="96">
        <v>4.5217745416789112</v>
      </c>
      <c r="X147" s="96">
        <v>4.4616615978559606</v>
      </c>
      <c r="Y147" s="96">
        <v>4.569096147272524</v>
      </c>
      <c r="DA147" s="171" t="s">
        <v>890</v>
      </c>
    </row>
    <row r="148" spans="1:105" ht="11.45" customHeight="1" x14ac:dyDescent="0.25">
      <c r="A148" s="111" t="s">
        <v>112</v>
      </c>
      <c r="B148" s="96">
        <v>0</v>
      </c>
      <c r="C148" s="96">
        <v>6.0578719037924831</v>
      </c>
      <c r="D148" s="96">
        <v>0</v>
      </c>
      <c r="E148" s="96">
        <v>5.9243933703190903</v>
      </c>
      <c r="F148" s="96">
        <v>0</v>
      </c>
      <c r="G148" s="96">
        <v>5.7271531681634054</v>
      </c>
      <c r="H148" s="96">
        <v>5.7659708475451499</v>
      </c>
      <c r="I148" s="96">
        <v>5.7105196893767198</v>
      </c>
      <c r="J148" s="96">
        <v>5.6913193157155471</v>
      </c>
      <c r="K148" s="96">
        <v>5.4676624087503951</v>
      </c>
      <c r="L148" s="96">
        <v>5.2576418582376228</v>
      </c>
      <c r="M148" s="96">
        <v>5.3017688184672203</v>
      </c>
      <c r="N148" s="96">
        <v>5.0953743046806208</v>
      </c>
      <c r="O148" s="96">
        <v>5.0704743289214536</v>
      </c>
      <c r="P148" s="96">
        <v>5.0658709151688708</v>
      </c>
      <c r="Q148" s="96">
        <v>5.0528933349459653</v>
      </c>
      <c r="R148" s="96">
        <v>4.9806494331511759</v>
      </c>
      <c r="S148" s="96">
        <v>5.1008251219567597</v>
      </c>
      <c r="T148" s="96">
        <v>5.3473132960284948</v>
      </c>
      <c r="U148" s="96">
        <v>5.3646407270257068</v>
      </c>
      <c r="V148" s="96">
        <v>4.8516909970433097</v>
      </c>
      <c r="W148" s="96">
        <v>4.646448098098948</v>
      </c>
      <c r="X148" s="96">
        <v>4.691773537705477</v>
      </c>
      <c r="Y148" s="96">
        <v>4.784712797837634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7.6683701759500158</v>
      </c>
      <c r="D149" s="96">
        <v>0</v>
      </c>
      <c r="E149" s="96">
        <v>7.326691223354409</v>
      </c>
      <c r="F149" s="96">
        <v>0</v>
      </c>
      <c r="G149" s="96">
        <v>7.5503952501661669</v>
      </c>
      <c r="H149" s="96">
        <v>7.4324203243823206</v>
      </c>
      <c r="I149" s="96">
        <v>7.1964704728146272</v>
      </c>
      <c r="J149" s="96">
        <v>7.07849554703078</v>
      </c>
      <c r="K149" s="96">
        <v>6.6888748852159496</v>
      </c>
      <c r="L149" s="96">
        <v>6.4455968492856126</v>
      </c>
      <c r="M149" s="96">
        <v>6.0938232357431286</v>
      </c>
      <c r="N149" s="96">
        <v>5.9688974863765765</v>
      </c>
      <c r="O149" s="96">
        <v>5.2967961797286769</v>
      </c>
      <c r="P149" s="96">
        <v>5.1636117624289373</v>
      </c>
      <c r="Q149" s="96">
        <v>5.2576536073679199</v>
      </c>
      <c r="R149" s="96">
        <v>5.3073642715076108</v>
      </c>
      <c r="S149" s="96">
        <v>5.4416517833151392</v>
      </c>
      <c r="T149" s="96">
        <v>5.328020932563593</v>
      </c>
      <c r="U149" s="96">
        <v>4.8557771144183555</v>
      </c>
      <c r="V149" s="96">
        <v>4.6240828582466662</v>
      </c>
      <c r="W149" s="96">
        <v>4.4841955024653064</v>
      </c>
      <c r="X149" s="96">
        <v>4.4668916982072808</v>
      </c>
      <c r="Y149" s="96">
        <v>4.4628473147155674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4.5018593793819148</v>
      </c>
      <c r="O150" s="96">
        <v>5.0065654239311073</v>
      </c>
      <c r="P150" s="96">
        <v>4.9535125253184971</v>
      </c>
      <c r="Q150" s="96">
        <v>3.5386365501116268</v>
      </c>
      <c r="R150" s="96">
        <v>3.23502520351078</v>
      </c>
      <c r="S150" s="96">
        <v>4.3822586836438218</v>
      </c>
      <c r="T150" s="96">
        <v>3.7042878930369572</v>
      </c>
      <c r="U150" s="96">
        <v>3.7051001073124672</v>
      </c>
      <c r="V150" s="96">
        <v>3.0371771862621006</v>
      </c>
      <c r="W150" s="96">
        <v>3.0534420726341214</v>
      </c>
      <c r="X150" s="96">
        <v>2.7599449619580625</v>
      </c>
      <c r="Y150" s="96">
        <v>2.6361452291922811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1.3047135028115466</v>
      </c>
      <c r="M151" s="96">
        <v>1.3047135028115466</v>
      </c>
      <c r="N151" s="96">
        <v>1.2037833190025795</v>
      </c>
      <c r="O151" s="96">
        <v>1.2366194374867603</v>
      </c>
      <c r="P151" s="96">
        <v>1.1964370685121342</v>
      </c>
      <c r="Q151" s="96">
        <v>1.0764675994684592</v>
      </c>
      <c r="R151" s="96">
        <v>1.1088959739459285</v>
      </c>
      <c r="S151" s="96">
        <v>1.121064328639424</v>
      </c>
      <c r="T151" s="96">
        <v>1.1678392240955597</v>
      </c>
      <c r="U151" s="96">
        <v>1.4774793273529176</v>
      </c>
      <c r="V151" s="96">
        <v>1.4339720210527953</v>
      </c>
      <c r="W151" s="96">
        <v>1.3734194765850782</v>
      </c>
      <c r="X151" s="96">
        <v>1.4010674185567884</v>
      </c>
      <c r="Y151" s="96">
        <v>1.3968219411987042</v>
      </c>
      <c r="DA151" s="171" t="s">
        <v>894</v>
      </c>
    </row>
    <row r="152" spans="1:105" ht="11.45" customHeight="1" x14ac:dyDescent="0.25">
      <c r="A152" s="109" t="s">
        <v>21</v>
      </c>
      <c r="B152" s="130">
        <v>46.472559193547056</v>
      </c>
      <c r="C152" s="130">
        <v>46.407207415692909</v>
      </c>
      <c r="D152" s="130">
        <v>46.472559193547056</v>
      </c>
      <c r="E152" s="130">
        <v>45.92061696299637</v>
      </c>
      <c r="F152" s="130">
        <v>46.208429835094414</v>
      </c>
      <c r="G152" s="130">
        <v>45.867975728819466</v>
      </c>
      <c r="H152" s="130">
        <v>45.512135525694923</v>
      </c>
      <c r="I152" s="130">
        <v>45.156954702397869</v>
      </c>
      <c r="J152" s="130">
        <v>44.890777942121112</v>
      </c>
      <c r="K152" s="130">
        <v>44.277457585372574</v>
      </c>
      <c r="L152" s="130">
        <v>44.027396986982794</v>
      </c>
      <c r="M152" s="130">
        <v>43.832445932478286</v>
      </c>
      <c r="N152" s="130">
        <v>43.441367281344839</v>
      </c>
      <c r="O152" s="130">
        <v>37.911863895329169</v>
      </c>
      <c r="P152" s="130">
        <v>43.319030001429788</v>
      </c>
      <c r="Q152" s="130">
        <v>43.170563810430259</v>
      </c>
      <c r="R152" s="130">
        <v>42.37082918434735</v>
      </c>
      <c r="S152" s="130">
        <v>41.271744632751421</v>
      </c>
      <c r="T152" s="130">
        <v>37.239542397606321</v>
      </c>
      <c r="U152" s="130">
        <v>38.077591119746607</v>
      </c>
      <c r="V152" s="130">
        <v>38.056543192714052</v>
      </c>
      <c r="W152" s="130">
        <v>36.05237257825587</v>
      </c>
      <c r="X152" s="130">
        <v>34.878780512358809</v>
      </c>
      <c r="Y152" s="130">
        <v>32.5769398376355</v>
      </c>
      <c r="DA152" s="176" t="s">
        <v>895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12.636242503600561</v>
      </c>
      <c r="J153" s="97">
        <v>12.429090987148093</v>
      </c>
      <c r="K153" s="97">
        <v>11.744958232667416</v>
      </c>
      <c r="L153" s="97">
        <v>11.317787681571824</v>
      </c>
      <c r="M153" s="97">
        <v>10.975483180323499</v>
      </c>
      <c r="N153" s="97">
        <v>10.72457962285354</v>
      </c>
      <c r="O153" s="97">
        <v>10.43513068332191</v>
      </c>
      <c r="P153" s="97">
        <v>10.181311973558454</v>
      </c>
      <c r="Q153" s="97">
        <v>9.9581580037552815</v>
      </c>
      <c r="R153" s="97">
        <v>0</v>
      </c>
      <c r="S153" s="97">
        <v>9.5600604048001383</v>
      </c>
      <c r="T153" s="97">
        <v>0</v>
      </c>
      <c r="U153" s="97">
        <v>9.2141994060245338</v>
      </c>
      <c r="V153" s="97">
        <v>9.0572202583496644</v>
      </c>
      <c r="W153" s="97">
        <v>8.9093087149750598</v>
      </c>
      <c r="X153" s="97">
        <v>8.7694764633511486</v>
      </c>
      <c r="Y153" s="97">
        <v>8.6368593671704943</v>
      </c>
      <c r="DA153" s="175" t="s">
        <v>896</v>
      </c>
    </row>
    <row r="154" spans="1:105" ht="11.45" customHeight="1" x14ac:dyDescent="0.25">
      <c r="A154" s="111" t="s">
        <v>111</v>
      </c>
      <c r="B154" s="97">
        <v>46.472559193547056</v>
      </c>
      <c r="C154" s="97">
        <v>46.472559193547056</v>
      </c>
      <c r="D154" s="97">
        <v>46.472559193547056</v>
      </c>
      <c r="E154" s="97">
        <v>46.291732114972945</v>
      </c>
      <c r="F154" s="97">
        <v>46.291732114972945</v>
      </c>
      <c r="G154" s="97">
        <v>46.291732114972945</v>
      </c>
      <c r="H154" s="97">
        <v>46.108760841791231</v>
      </c>
      <c r="I154" s="97">
        <v>45.733892867467731</v>
      </c>
      <c r="J154" s="97">
        <v>45.54412567714629</v>
      </c>
      <c r="K154" s="97">
        <v>44.890419513548004</v>
      </c>
      <c r="L154" s="97">
        <v>44.470800921299947</v>
      </c>
      <c r="M154" s="97">
        <v>44.126743564114385</v>
      </c>
      <c r="N154" s="97">
        <v>43.870155926746143</v>
      </c>
      <c r="O154" s="97">
        <v>43.568034140680417</v>
      </c>
      <c r="P154" s="97">
        <v>43.335332584913488</v>
      </c>
      <c r="Q154" s="97">
        <v>43.199999999908329</v>
      </c>
      <c r="R154" s="97">
        <v>42.733933565121575</v>
      </c>
      <c r="S154" s="97">
        <v>41.980224233727462</v>
      </c>
      <c r="T154" s="97">
        <v>40.982752309840521</v>
      </c>
      <c r="U154" s="97">
        <v>39.784465158098456</v>
      </c>
      <c r="V154" s="97">
        <v>38.426104421806798</v>
      </c>
      <c r="W154" s="97">
        <v>36.945332706399689</v>
      </c>
      <c r="X154" s="97">
        <v>35.376197921134931</v>
      </c>
      <c r="Y154" s="97">
        <v>33.748870533957295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38.727132661289211</v>
      </c>
      <c r="D155" s="97">
        <v>0</v>
      </c>
      <c r="E155" s="97">
        <v>38.576443429144121</v>
      </c>
      <c r="F155" s="97">
        <v>38.576443429144121</v>
      </c>
      <c r="G155" s="97">
        <v>38.576443429144121</v>
      </c>
      <c r="H155" s="97">
        <v>38.42396736815936</v>
      </c>
      <c r="I155" s="97">
        <v>38.111577389556437</v>
      </c>
      <c r="J155" s="97">
        <v>37.953438064288576</v>
      </c>
      <c r="K155" s="97">
        <v>37.408682927956669</v>
      </c>
      <c r="L155" s="97">
        <v>37.059000767749957</v>
      </c>
      <c r="M155" s="97">
        <v>0</v>
      </c>
      <c r="N155" s="97">
        <v>0</v>
      </c>
      <c r="O155" s="97">
        <v>36.30669511723368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34.692813887300666</v>
      </c>
      <c r="W155" s="97">
        <v>0</v>
      </c>
      <c r="X155" s="97">
        <v>0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38.727132661289211</v>
      </c>
      <c r="D156" s="97">
        <v>0</v>
      </c>
      <c r="E156" s="97">
        <v>38.576443429144121</v>
      </c>
      <c r="F156" s="97">
        <v>38.576443429144121</v>
      </c>
      <c r="G156" s="97">
        <v>38.576443429144121</v>
      </c>
      <c r="H156" s="97">
        <v>38.42396736815936</v>
      </c>
      <c r="I156" s="97">
        <v>38.111577389556437</v>
      </c>
      <c r="J156" s="97">
        <v>37.953438064288576</v>
      </c>
      <c r="K156" s="97">
        <v>37.408682927956669</v>
      </c>
      <c r="L156" s="97">
        <v>37.059000767749957</v>
      </c>
      <c r="M156" s="97">
        <v>36.77228630342865</v>
      </c>
      <c r="N156" s="97">
        <v>36.558463272288456</v>
      </c>
      <c r="O156" s="97">
        <v>36.30669511723368</v>
      </c>
      <c r="P156" s="97">
        <v>0</v>
      </c>
      <c r="Q156" s="97">
        <v>0</v>
      </c>
      <c r="R156" s="97">
        <v>35.896570327953945</v>
      </c>
      <c r="S156" s="97">
        <v>35.798820560212292</v>
      </c>
      <c r="T156" s="97">
        <v>35.70455821479726</v>
      </c>
      <c r="U156" s="97">
        <v>35.612471867069345</v>
      </c>
      <c r="V156" s="97">
        <v>35.521776764417531</v>
      </c>
      <c r="W156" s="97">
        <v>35.432003138045779</v>
      </c>
      <c r="X156" s="97">
        <v>35.342869655115607</v>
      </c>
      <c r="Y156" s="97">
        <v>35.254207732759227</v>
      </c>
      <c r="DA156" s="175" t="s">
        <v>899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20.40421268208836</v>
      </c>
      <c r="P157" s="97">
        <v>0</v>
      </c>
      <c r="Q157" s="97">
        <v>19.196184826441502</v>
      </c>
      <c r="R157" s="97">
        <v>18.609664263294004</v>
      </c>
      <c r="S157" s="97">
        <v>18.006647904773533</v>
      </c>
      <c r="T157" s="97">
        <v>17.393254611668333</v>
      </c>
      <c r="U157" s="97">
        <v>16.774791034432237</v>
      </c>
      <c r="V157" s="97">
        <v>16.155813738066566</v>
      </c>
      <c r="W157" s="97">
        <v>15.540195035646276</v>
      </c>
      <c r="X157" s="97">
        <v>14.931189611769819</v>
      </c>
      <c r="Y157" s="97">
        <v>14.331499813638612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0</v>
      </c>
      <c r="C159" s="141">
        <v>7.3325936477351563</v>
      </c>
      <c r="D159" s="141">
        <v>7.3499110660780707</v>
      </c>
      <c r="E159" s="141">
        <v>7.3322058471298872</v>
      </c>
      <c r="F159" s="141">
        <v>7.3005380786655723</v>
      </c>
      <c r="G159" s="141">
        <v>7.325154913208789</v>
      </c>
      <c r="H159" s="141">
        <v>7.3455214311555066</v>
      </c>
      <c r="I159" s="141">
        <v>7.3560867347383212</v>
      </c>
      <c r="J159" s="141">
        <v>7.234409450414292</v>
      </c>
      <c r="K159" s="141">
        <v>6.9821777781039378</v>
      </c>
      <c r="L159" s="141">
        <v>7.0626427423862133</v>
      </c>
      <c r="M159" s="141">
        <v>7.0193756423272653</v>
      </c>
      <c r="N159" s="141">
        <v>6.6496705928711721</v>
      </c>
      <c r="O159" s="141">
        <v>6.6026214273710933</v>
      </c>
      <c r="P159" s="141">
        <v>6.3102291380391211</v>
      </c>
      <c r="Q159" s="141">
        <v>6.1192941283138671</v>
      </c>
      <c r="R159" s="141">
        <v>5.8238955481325245</v>
      </c>
      <c r="S159" s="141">
        <v>5.7057083467851735</v>
      </c>
      <c r="T159" s="141">
        <v>5.667712408303677</v>
      </c>
      <c r="U159" s="141">
        <v>5.6475009059270755</v>
      </c>
      <c r="V159" s="141">
        <v>5.9131686362855103</v>
      </c>
      <c r="W159" s="141">
        <v>5.8189472557485216</v>
      </c>
      <c r="X159" s="141">
        <v>5.5244595596654493</v>
      </c>
      <c r="Y159" s="141">
        <v>5.7314298658531815</v>
      </c>
      <c r="DA159" s="174" t="s">
        <v>901</v>
      </c>
    </row>
    <row r="160" spans="1:105" ht="11.45" customHeight="1" x14ac:dyDescent="0.25">
      <c r="A160" s="111" t="s">
        <v>110</v>
      </c>
      <c r="B160" s="96">
        <v>0</v>
      </c>
      <c r="C160" s="96">
        <v>7.1780559906131813</v>
      </c>
      <c r="D160" s="96">
        <v>7.1780559906131813</v>
      </c>
      <c r="E160" s="96">
        <v>7.0676243599883639</v>
      </c>
      <c r="F160" s="96">
        <v>7.0676243599883639</v>
      </c>
      <c r="G160" s="96">
        <v>7.0676243599883639</v>
      </c>
      <c r="H160" s="96">
        <v>6.9571927293635438</v>
      </c>
      <c r="I160" s="96">
        <v>0</v>
      </c>
      <c r="J160" s="96">
        <v>6.6258978374890916</v>
      </c>
      <c r="K160" s="96">
        <v>6.261189449469712</v>
      </c>
      <c r="L160" s="96">
        <v>6.0334665666241385</v>
      </c>
      <c r="M160" s="96">
        <v>5.8509854296745987</v>
      </c>
      <c r="N160" s="96">
        <v>5.7172297639885823</v>
      </c>
      <c r="O160" s="96">
        <v>5.5538031673770112</v>
      </c>
      <c r="P160" s="96">
        <v>5.7190365152811315</v>
      </c>
      <c r="Q160" s="96">
        <v>5.5705091742841422</v>
      </c>
      <c r="R160" s="96">
        <v>5.6411053993893265</v>
      </c>
      <c r="S160" s="96">
        <v>5.3217844390487388</v>
      </c>
      <c r="T160" s="96">
        <v>5.3601530280861622</v>
      </c>
      <c r="U160" s="96">
        <v>5.242429669602461</v>
      </c>
      <c r="V160" s="96">
        <v>5.4173921713826108</v>
      </c>
      <c r="W160" s="96">
        <v>4.7777624913399368</v>
      </c>
      <c r="X160" s="96">
        <v>4.6340012283305727</v>
      </c>
      <c r="Y160" s="96">
        <v>4.8038367918188243</v>
      </c>
      <c r="DA160" s="171" t="s">
        <v>902</v>
      </c>
    </row>
    <row r="161" spans="1:105" ht="11.45" customHeight="1" x14ac:dyDescent="0.25">
      <c r="A161" s="111" t="s">
        <v>111</v>
      </c>
      <c r="B161" s="96">
        <v>0</v>
      </c>
      <c r="C161" s="96">
        <v>7.4650902850022804</v>
      </c>
      <c r="D161" s="96">
        <v>7.4650902850022804</v>
      </c>
      <c r="E161" s="96">
        <v>7.3006052448242649</v>
      </c>
      <c r="F161" s="96">
        <v>7.0448942708244404</v>
      </c>
      <c r="G161" s="96">
        <v>7.0575469662227475</v>
      </c>
      <c r="H161" s="96">
        <v>7.0300906172084181</v>
      </c>
      <c r="I161" s="96">
        <v>7.0370495996774887</v>
      </c>
      <c r="J161" s="96">
        <v>7.01338905928265</v>
      </c>
      <c r="K161" s="96">
        <v>6.7377775855052073</v>
      </c>
      <c r="L161" s="96">
        <v>6.4789701369188126</v>
      </c>
      <c r="M161" s="96">
        <v>6.2292871107486505</v>
      </c>
      <c r="N161" s="96">
        <v>6.1039001265307968</v>
      </c>
      <c r="O161" s="96">
        <v>5.9282326749879086</v>
      </c>
      <c r="P161" s="96">
        <v>5.7259486503572443</v>
      </c>
      <c r="Q161" s="96">
        <v>5.6483522540256601</v>
      </c>
      <c r="R161" s="96">
        <v>5.4459107217969693</v>
      </c>
      <c r="S161" s="96">
        <v>5.3256881047384219</v>
      </c>
      <c r="T161" s="96">
        <v>5.4335371937776893</v>
      </c>
      <c r="U161" s="96">
        <v>5.6184170494408363</v>
      </c>
      <c r="V161" s="96">
        <v>6.2828433819380356</v>
      </c>
      <c r="W161" s="96">
        <v>6.3332346200488745</v>
      </c>
      <c r="X161" s="96">
        <v>6.0963217667724381</v>
      </c>
      <c r="Y161" s="96">
        <v>6.3683484526699319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7.2323904632247755</v>
      </c>
      <c r="D162" s="96">
        <v>7.2323904632247755</v>
      </c>
      <c r="E162" s="96">
        <v>7.0730327072554164</v>
      </c>
      <c r="F162" s="96">
        <v>6.825292688167667</v>
      </c>
      <c r="G162" s="96">
        <v>6.8375509770883864</v>
      </c>
      <c r="H162" s="96">
        <v>6.8109504901304234</v>
      </c>
      <c r="I162" s="96">
        <v>6.8176925490368179</v>
      </c>
      <c r="J162" s="96">
        <v>6.7947695487550703</v>
      </c>
      <c r="K162" s="96">
        <v>6.5277493630102317</v>
      </c>
      <c r="L162" s="96">
        <v>6.2770093918235048</v>
      </c>
      <c r="M162" s="96">
        <v>6.3296918208025419</v>
      </c>
      <c r="N162" s="96">
        <v>6.0832809133289611</v>
      </c>
      <c r="O162" s="96">
        <v>5.0621046927589282</v>
      </c>
      <c r="P162" s="96">
        <v>4.8954896658168083</v>
      </c>
      <c r="Q162" s="96">
        <v>5.2640895739303772</v>
      </c>
      <c r="R162" s="96">
        <v>4.6003345181991637</v>
      </c>
      <c r="S162" s="96">
        <v>4.810395888561092</v>
      </c>
      <c r="T162" s="96">
        <v>5.0587115040931847</v>
      </c>
      <c r="U162" s="96">
        <v>5.1976894296359708</v>
      </c>
      <c r="V162" s="96">
        <v>5.8663339494012954</v>
      </c>
      <c r="W162" s="96">
        <v>6.4074508866355115</v>
      </c>
      <c r="X162" s="96">
        <v>6.975552788812549</v>
      </c>
      <c r="Y162" s="96">
        <v>6.510740361995782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8.5446318554800165</v>
      </c>
      <c r="D163" s="96">
        <v>8.5446318554800165</v>
      </c>
      <c r="E163" s="96">
        <v>8.4131759807803252</v>
      </c>
      <c r="F163" s="96">
        <v>8.4131759807803252</v>
      </c>
      <c r="G163" s="96">
        <v>8.4131759807803252</v>
      </c>
      <c r="H163" s="96">
        <v>8.2817201060806305</v>
      </c>
      <c r="I163" s="96">
        <v>8.0188083566812463</v>
      </c>
      <c r="J163" s="96">
        <v>7.8873524819815541</v>
      </c>
      <c r="K163" s="96">
        <v>7.4532100185755352</v>
      </c>
      <c r="L163" s="96">
        <v>7.1821326960346417</v>
      </c>
      <c r="M163" s="96">
        <v>6.790162048396982</v>
      </c>
      <c r="N163" s="96">
        <v>6.6509610822054173</v>
      </c>
      <c r="O163" s="96">
        <v>7.0826364327454883</v>
      </c>
      <c r="P163" s="96">
        <v>6.0038114635780104</v>
      </c>
      <c r="Q163" s="96">
        <v>6.2936919120367554</v>
      </c>
      <c r="R163" s="96">
        <v>6.0941416317833754</v>
      </c>
      <c r="S163" s="96">
        <v>6.1785907978115642</v>
      </c>
      <c r="T163" s="96">
        <v>6.3847486563987577</v>
      </c>
      <c r="U163" s="96">
        <v>6.7171594637145731</v>
      </c>
      <c r="V163" s="96">
        <v>7.0982110798542353</v>
      </c>
      <c r="W163" s="96">
        <v>7.8081759261159078</v>
      </c>
      <c r="X163" s="96">
        <v>6.3194720985773163</v>
      </c>
      <c r="Y163" s="96">
        <v>7.5083268771214327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1.3566283477464831</v>
      </c>
      <c r="N164" s="96">
        <v>1.3327601031814273</v>
      </c>
      <c r="O164" s="96">
        <v>1.270287017972159</v>
      </c>
      <c r="P164" s="96">
        <v>1.2811433794849654</v>
      </c>
      <c r="Q164" s="96">
        <v>1.3518700131017518</v>
      </c>
      <c r="R164" s="96">
        <v>1.3650567288132038</v>
      </c>
      <c r="S164" s="96">
        <v>1.4364948962652071</v>
      </c>
      <c r="T164" s="96">
        <v>1.7148132489006491</v>
      </c>
      <c r="U164" s="96">
        <v>1.6651486683014343</v>
      </c>
      <c r="V164" s="96">
        <v>2.0840556186517447</v>
      </c>
      <c r="W164" s="96">
        <v>2.040914671105944</v>
      </c>
      <c r="X164" s="96">
        <v>2.0491539499398383</v>
      </c>
      <c r="Y164" s="96">
        <v>1.9911554392728943</v>
      </c>
      <c r="DA164" s="171" t="s">
        <v>906</v>
      </c>
    </row>
    <row r="165" spans="1:105" ht="11.45" customHeight="1" x14ac:dyDescent="0.25">
      <c r="A165" s="109" t="s">
        <v>154</v>
      </c>
      <c r="B165" s="130">
        <v>33.546147315091126</v>
      </c>
      <c r="C165" s="130">
        <v>33.375887887289473</v>
      </c>
      <c r="D165" s="130">
        <v>33.151576348730622</v>
      </c>
      <c r="E165" s="130">
        <v>32.870293240725609</v>
      </c>
      <c r="F165" s="130">
        <v>32.55330906731578</v>
      </c>
      <c r="G165" s="130">
        <v>32.150830287558797</v>
      </c>
      <c r="H165" s="130">
        <v>31.717418725777566</v>
      </c>
      <c r="I165" s="130">
        <v>31.208742298354856</v>
      </c>
      <c r="J165" s="130">
        <v>30.68749126124299</v>
      </c>
      <c r="K165" s="130">
        <v>30.045703004756639</v>
      </c>
      <c r="L165" s="130">
        <v>29.47632175408549</v>
      </c>
      <c r="M165" s="130">
        <v>28.707672302185937</v>
      </c>
      <c r="N165" s="130">
        <v>27.98384601243739</v>
      </c>
      <c r="O165" s="130">
        <v>27.318043387906702</v>
      </c>
      <c r="P165" s="130">
        <v>26.45726678392532</v>
      </c>
      <c r="Q165" s="130">
        <v>25.562220284836545</v>
      </c>
      <c r="R165" s="130">
        <v>24.912809144914061</v>
      </c>
      <c r="S165" s="130">
        <v>23.490660353779766</v>
      </c>
      <c r="T165" s="130">
        <v>21.911109291584115</v>
      </c>
      <c r="U165" s="130">
        <v>20.75462858120682</v>
      </c>
      <c r="V165" s="130">
        <v>21.477006863115587</v>
      </c>
      <c r="W165" s="130">
        <v>20.673366031617391</v>
      </c>
      <c r="X165" s="130">
        <v>20.303995989595407</v>
      </c>
      <c r="Y165" s="130">
        <v>19.936319976915545</v>
      </c>
      <c r="DA165" s="176" t="s">
        <v>907</v>
      </c>
    </row>
    <row r="166" spans="1:105" ht="11.45" customHeight="1" x14ac:dyDescent="0.25">
      <c r="A166" s="128" t="s">
        <v>27</v>
      </c>
      <c r="B166" s="97">
        <v>0</v>
      </c>
      <c r="C166" s="97">
        <v>33.374226804057258</v>
      </c>
      <c r="D166" s="97">
        <v>33.146996534370786</v>
      </c>
      <c r="E166" s="97">
        <v>32.864052552933678</v>
      </c>
      <c r="F166" s="97">
        <v>32.526113825731919</v>
      </c>
      <c r="G166" s="97">
        <v>32.134033000352971</v>
      </c>
      <c r="H166" s="97">
        <v>31.688791088899176</v>
      </c>
      <c r="I166" s="97">
        <v>31.191491425388975</v>
      </c>
      <c r="J166" s="97">
        <v>30.643352965867241</v>
      </c>
      <c r="K166" s="97">
        <v>30.045703004756639</v>
      </c>
      <c r="L166" s="97">
        <v>29.399969387674155</v>
      </c>
      <c r="M166" s="97">
        <v>28.707672302185937</v>
      </c>
      <c r="N166" s="97">
        <v>27.970415731130668</v>
      </c>
      <c r="O166" s="97">
        <v>27.18987865413046</v>
      </c>
      <c r="P166" s="97">
        <v>26.36780608089612</v>
      </c>
      <c r="Q166" s="97">
        <v>25.505999999945875</v>
      </c>
      <c r="R166" s="97">
        <v>23.998332034175618</v>
      </c>
      <c r="S166" s="97">
        <v>22.942964458136437</v>
      </c>
      <c r="T166" s="97">
        <v>21.834828503295299</v>
      </c>
      <c r="U166" s="97">
        <v>20.48044011404502</v>
      </c>
      <c r="V166" s="97">
        <v>20.644307591787609</v>
      </c>
      <c r="W166" s="97">
        <v>20.218863781860396</v>
      </c>
      <c r="X166" s="97">
        <v>20.1074704961325</v>
      </c>
      <c r="Y166" s="97">
        <v>19.906395791171175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0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24.748425433669372</v>
      </c>
      <c r="X167" s="98">
        <v>24.612077098006637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108.43590723064253</v>
      </c>
      <c r="C171" s="152">
        <v>106.79238486861242</v>
      </c>
      <c r="D171" s="152">
        <v>105.43906040310405</v>
      </c>
      <c r="E171" s="152">
        <v>103.87108082315547</v>
      </c>
      <c r="F171" s="152">
        <v>102.55495722890545</v>
      </c>
      <c r="G171" s="152">
        <v>101.22173808411743</v>
      </c>
      <c r="H171" s="152">
        <v>99.61666345543037</v>
      </c>
      <c r="I171" s="152">
        <v>97.779792408682013</v>
      </c>
      <c r="J171" s="152">
        <v>95.834034062600466</v>
      </c>
      <c r="K171" s="152">
        <v>93.325640259527702</v>
      </c>
      <c r="L171" s="152">
        <v>91.809526973536322</v>
      </c>
      <c r="M171" s="152">
        <v>90.18556614200331</v>
      </c>
      <c r="N171" s="152">
        <v>87.63074822860672</v>
      </c>
      <c r="O171" s="152">
        <v>86.326390281609562</v>
      </c>
      <c r="P171" s="152">
        <v>83.918165095965833</v>
      </c>
      <c r="Q171" s="152">
        <v>82.992195853849879</v>
      </c>
      <c r="R171" s="152">
        <v>82.189648346428683</v>
      </c>
      <c r="S171" s="152">
        <v>80.914198649098708</v>
      </c>
      <c r="T171" s="152">
        <v>80.088404575984001</v>
      </c>
      <c r="U171" s="152">
        <v>79.168183044055212</v>
      </c>
      <c r="V171" s="152">
        <v>78.408643314278578</v>
      </c>
      <c r="W171" s="152">
        <v>76.080830878271755</v>
      </c>
      <c r="X171" s="152">
        <v>75.273131975849623</v>
      </c>
      <c r="Y171" s="152">
        <v>74.913382952614782</v>
      </c>
      <c r="DA171" s="174" t="s">
        <v>910</v>
      </c>
    </row>
    <row r="172" spans="1:105" ht="11.45" customHeight="1" x14ac:dyDescent="0.25">
      <c r="A172" s="109" t="s">
        <v>20</v>
      </c>
      <c r="B172" s="116">
        <v>221.74165097515623</v>
      </c>
      <c r="C172" s="116">
        <v>216.52575934225692</v>
      </c>
      <c r="D172" s="116">
        <v>214.54924731854035</v>
      </c>
      <c r="E172" s="116">
        <v>212.65451045803459</v>
      </c>
      <c r="F172" s="116">
        <v>210.70957952223836</v>
      </c>
      <c r="G172" s="116">
        <v>206.89325176505122</v>
      </c>
      <c r="H172" s="116">
        <v>204.69847897006818</v>
      </c>
      <c r="I172" s="116">
        <v>201.70331088385436</v>
      </c>
      <c r="J172" s="116">
        <v>198.151340562277</v>
      </c>
      <c r="K172" s="116">
        <v>192.4054916792133</v>
      </c>
      <c r="L172" s="116">
        <v>191.29811041157032</v>
      </c>
      <c r="M172" s="116">
        <v>191.27306582205549</v>
      </c>
      <c r="N172" s="116">
        <v>188.74060259816295</v>
      </c>
      <c r="O172" s="116">
        <v>185.97912872520234</v>
      </c>
      <c r="P172" s="116">
        <v>183.12795493715046</v>
      </c>
      <c r="Q172" s="116">
        <v>181.02917163830895</v>
      </c>
      <c r="R172" s="116">
        <v>179.82112006265359</v>
      </c>
      <c r="S172" s="116">
        <v>176.62176312163322</v>
      </c>
      <c r="T172" s="116">
        <v>172.71896625885469</v>
      </c>
      <c r="U172" s="116">
        <v>169.89547206035576</v>
      </c>
      <c r="V172" s="116">
        <v>166.68248031486982</v>
      </c>
      <c r="W172" s="116">
        <v>161.50244406050641</v>
      </c>
      <c r="X172" s="116">
        <v>159.90649738376123</v>
      </c>
      <c r="Y172" s="116">
        <v>157.59477879780317</v>
      </c>
      <c r="DA172" s="176" t="s">
        <v>911</v>
      </c>
    </row>
    <row r="173" spans="1:105" ht="11.45" customHeight="1" x14ac:dyDescent="0.25">
      <c r="A173" s="111" t="s">
        <v>110</v>
      </c>
      <c r="B173" s="87">
        <v>214.9868031384211</v>
      </c>
      <c r="C173" s="87">
        <v>209.73224800097023</v>
      </c>
      <c r="D173" s="87">
        <v>207.22855291748056</v>
      </c>
      <c r="E173" s="87">
        <v>204.63649810745821</v>
      </c>
      <c r="F173" s="87">
        <v>202.01490111446014</v>
      </c>
      <c r="G173" s="87">
        <v>199.69518386566892</v>
      </c>
      <c r="H173" s="87">
        <v>197.2053086897445</v>
      </c>
      <c r="I173" s="87">
        <v>194.39860604631178</v>
      </c>
      <c r="J173" s="87">
        <v>191.81334626315439</v>
      </c>
      <c r="K173" s="87">
        <v>188.94435227876335</v>
      </c>
      <c r="L173" s="87">
        <v>186.45754347670731</v>
      </c>
      <c r="M173" s="87">
        <v>183.42218973872215</v>
      </c>
      <c r="N173" s="87">
        <v>182.06997055426419</v>
      </c>
      <c r="O173" s="87">
        <v>179.81219696081752</v>
      </c>
      <c r="P173" s="87">
        <v>177.30204377964347</v>
      </c>
      <c r="Q173" s="87">
        <v>174.12376919936818</v>
      </c>
      <c r="R173" s="87">
        <v>171.85649351742782</v>
      </c>
      <c r="S173" s="87">
        <v>169.03909359365505</v>
      </c>
      <c r="T173" s="87">
        <v>166.21051564928933</v>
      </c>
      <c r="U173" s="87">
        <v>164.02410862268479</v>
      </c>
      <c r="V173" s="87">
        <v>161.89990277487601</v>
      </c>
      <c r="W173" s="87">
        <v>159.22235175211136</v>
      </c>
      <c r="X173" s="87">
        <v>156.77950081358281</v>
      </c>
      <c r="Y173" s="87">
        <v>154.02311254548556</v>
      </c>
      <c r="DA173" s="171" t="s">
        <v>912</v>
      </c>
    </row>
    <row r="174" spans="1:105" ht="11.45" customHeight="1" x14ac:dyDescent="0.25">
      <c r="A174" s="111" t="s">
        <v>111</v>
      </c>
      <c r="B174" s="87">
        <v>242.05011430191811</v>
      </c>
      <c r="C174" s="87">
        <v>225.50742440294357</v>
      </c>
      <c r="D174" s="87">
        <v>221.92747363455487</v>
      </c>
      <c r="E174" s="87">
        <v>217.7287534957874</v>
      </c>
      <c r="F174" s="87">
        <v>212.48504659840955</v>
      </c>
      <c r="G174" s="87">
        <v>209.26314951752337</v>
      </c>
      <c r="H174" s="87">
        <v>206.5377773757948</v>
      </c>
      <c r="I174" s="87">
        <v>204.5033472045485</v>
      </c>
      <c r="J174" s="87">
        <v>202.81580950358691</v>
      </c>
      <c r="K174" s="87">
        <v>201.35786678572885</v>
      </c>
      <c r="L174" s="87">
        <v>199.67580073397892</v>
      </c>
      <c r="M174" s="87">
        <v>197.35533932697837</v>
      </c>
      <c r="N174" s="87">
        <v>195.44036479796506</v>
      </c>
      <c r="O174" s="87">
        <v>193.23209922820232</v>
      </c>
      <c r="P174" s="87">
        <v>190.70690195162524</v>
      </c>
      <c r="Q174" s="87">
        <v>187.55617321126238</v>
      </c>
      <c r="R174" s="87">
        <v>183.37477217373859</v>
      </c>
      <c r="S174" s="87">
        <v>179.22729498959808</v>
      </c>
      <c r="T174" s="87">
        <v>176.30879486770684</v>
      </c>
      <c r="U174" s="87">
        <v>173.65533092413708</v>
      </c>
      <c r="V174" s="87">
        <v>171.97449614546238</v>
      </c>
      <c r="W174" s="87">
        <v>169.7856707417366</v>
      </c>
      <c r="X174" s="87">
        <v>168.35794144695322</v>
      </c>
      <c r="Y174" s="87">
        <v>167.01601441653327</v>
      </c>
      <c r="DA174" s="171" t="s">
        <v>913</v>
      </c>
    </row>
    <row r="175" spans="1:105" ht="11.45" customHeight="1" x14ac:dyDescent="0.25">
      <c r="A175" s="111" t="s">
        <v>112</v>
      </c>
      <c r="B175" s="87">
        <v>180.13397289815384</v>
      </c>
      <c r="C175" s="87">
        <v>180.1149039188511</v>
      </c>
      <c r="D175" s="87">
        <v>180.11377056539254</v>
      </c>
      <c r="E175" s="87">
        <v>179.81538396715391</v>
      </c>
      <c r="F175" s="87">
        <v>179.80824808177275</v>
      </c>
      <c r="G175" s="87">
        <v>177.17299376982834</v>
      </c>
      <c r="H175" s="87">
        <v>176.67768665019869</v>
      </c>
      <c r="I175" s="87">
        <v>175.95709897488456</v>
      </c>
      <c r="J175" s="87">
        <v>173.65242919501253</v>
      </c>
      <c r="K175" s="87">
        <v>163.87820092441322</v>
      </c>
      <c r="L175" s="87">
        <v>158.19356905315607</v>
      </c>
      <c r="M175" s="87">
        <v>157.13941565655594</v>
      </c>
      <c r="N175" s="87">
        <v>154.73197994229437</v>
      </c>
      <c r="O175" s="87">
        <v>152.72560415336957</v>
      </c>
      <c r="P175" s="87">
        <v>150.93185341634839</v>
      </c>
      <c r="Q175" s="87">
        <v>149.3684281647879</v>
      </c>
      <c r="R175" s="87">
        <v>148.10116492651807</v>
      </c>
      <c r="S175" s="87">
        <v>146.76932505714069</v>
      </c>
      <c r="T175" s="87">
        <v>145.67215864828381</v>
      </c>
      <c r="U175" s="87">
        <v>145.09884136450003</v>
      </c>
      <c r="V175" s="87">
        <v>143.6001957037808</v>
      </c>
      <c r="W175" s="87">
        <v>142.07272906678497</v>
      </c>
      <c r="X175" s="87">
        <v>140.49050149128249</v>
      </c>
      <c r="Y175" s="87">
        <v>139.19833698644479</v>
      </c>
      <c r="DA175" s="171" t="s">
        <v>914</v>
      </c>
    </row>
    <row r="176" spans="1:105" ht="11.45" customHeight="1" x14ac:dyDescent="0.25">
      <c r="A176" s="111" t="s">
        <v>113</v>
      </c>
      <c r="B176" s="87">
        <v>205.7870000372221</v>
      </c>
      <c r="C176" s="87">
        <v>201.15770071201257</v>
      </c>
      <c r="D176" s="87">
        <v>201.1577007120126</v>
      </c>
      <c r="E176" s="87">
        <v>200.65131210257013</v>
      </c>
      <c r="F176" s="87">
        <v>200.36317181768953</v>
      </c>
      <c r="G176" s="87">
        <v>196.76979218651573</v>
      </c>
      <c r="H176" s="87">
        <v>192.95341507216767</v>
      </c>
      <c r="I176" s="87">
        <v>188.4884122215887</v>
      </c>
      <c r="J176" s="87">
        <v>183.39446288085364</v>
      </c>
      <c r="K176" s="87">
        <v>176.0698206485643</v>
      </c>
      <c r="L176" s="87">
        <v>172.58945394548877</v>
      </c>
      <c r="M176" s="87">
        <v>170.04110584596458</v>
      </c>
      <c r="N176" s="87">
        <v>166.86366007141177</v>
      </c>
      <c r="O176" s="87">
        <v>161.39097642221827</v>
      </c>
      <c r="P176" s="87">
        <v>156.63451641526603</v>
      </c>
      <c r="Q176" s="87">
        <v>153.26939426380503</v>
      </c>
      <c r="R176" s="87">
        <v>151.10250986146283</v>
      </c>
      <c r="S176" s="87">
        <v>149.62940774615973</v>
      </c>
      <c r="T176" s="87">
        <v>147.80948034501324</v>
      </c>
      <c r="U176" s="87">
        <v>145.57975314649721</v>
      </c>
      <c r="V176" s="87">
        <v>143.54795616149687</v>
      </c>
      <c r="W176" s="87">
        <v>141.02489447311683</v>
      </c>
      <c r="X176" s="87">
        <v>139.83537566683324</v>
      </c>
      <c r="Y176" s="87">
        <v>137.9097888262875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103.73084794382929</v>
      </c>
      <c r="O177" s="87">
        <v>116.45333931420609</v>
      </c>
      <c r="P177" s="87">
        <v>115.46130308352201</v>
      </c>
      <c r="Q177" s="87">
        <v>114.04294891840033</v>
      </c>
      <c r="R177" s="87">
        <v>111.57701053113539</v>
      </c>
      <c r="S177" s="87">
        <v>109.77501746906785</v>
      </c>
      <c r="T177" s="87">
        <v>104.91134010204027</v>
      </c>
      <c r="U177" s="87">
        <v>99.221836183026028</v>
      </c>
      <c r="V177" s="87">
        <v>76.357725040693111</v>
      </c>
      <c r="W177" s="87">
        <v>61.264318855329137</v>
      </c>
      <c r="X177" s="87">
        <v>52.090913138331132</v>
      </c>
      <c r="Y177" s="87">
        <v>45.829308653961803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1570.9213648831731</v>
      </c>
      <c r="C179" s="116">
        <v>1546.1958850442575</v>
      </c>
      <c r="D179" s="116">
        <v>1534.8301482940037</v>
      </c>
      <c r="E179" s="116">
        <v>1506.9432927341732</v>
      </c>
      <c r="F179" s="116">
        <v>1507.0555032158636</v>
      </c>
      <c r="G179" s="116">
        <v>1478.9706311789594</v>
      </c>
      <c r="H179" s="116">
        <v>1456.6859700853036</v>
      </c>
      <c r="I179" s="116">
        <v>1448.7322972776687</v>
      </c>
      <c r="J179" s="116">
        <v>1434.5909382817576</v>
      </c>
      <c r="K179" s="116">
        <v>1422.3411636735693</v>
      </c>
      <c r="L179" s="116">
        <v>1413.1658749882076</v>
      </c>
      <c r="M179" s="116">
        <v>1405.0357394473604</v>
      </c>
      <c r="N179" s="116">
        <v>1390.3859934200204</v>
      </c>
      <c r="O179" s="116">
        <v>1303.4033370190377</v>
      </c>
      <c r="P179" s="116">
        <v>1386.9039049095375</v>
      </c>
      <c r="Q179" s="116">
        <v>1380.3944353062382</v>
      </c>
      <c r="R179" s="116">
        <v>1360.7539762442407</v>
      </c>
      <c r="S179" s="116">
        <v>1336.6128672700506</v>
      </c>
      <c r="T179" s="116">
        <v>1131.9490301197541</v>
      </c>
      <c r="U179" s="116">
        <v>1323.9396140917197</v>
      </c>
      <c r="V179" s="116">
        <v>1306.1253305057098</v>
      </c>
      <c r="W179" s="116">
        <v>1266.9751885707992</v>
      </c>
      <c r="X179" s="116">
        <v>1246.0795462594435</v>
      </c>
      <c r="Y179" s="116">
        <v>1172.822515823306</v>
      </c>
      <c r="DA179" s="176" t="s">
        <v>918</v>
      </c>
    </row>
    <row r="180" spans="1:105" ht="11.45" customHeight="1" x14ac:dyDescent="0.25">
      <c r="A180" s="111" t="s">
        <v>110</v>
      </c>
      <c r="B180" s="101">
        <v>446.44945083621036</v>
      </c>
      <c r="C180" s="101">
        <v>446.44945083621042</v>
      </c>
      <c r="D180" s="101">
        <v>446.44945083621053</v>
      </c>
      <c r="E180" s="101">
        <v>446.44945083621036</v>
      </c>
      <c r="F180" s="101">
        <v>446.4494508362103</v>
      </c>
      <c r="G180" s="101">
        <v>446.44945083621036</v>
      </c>
      <c r="H180" s="101">
        <v>446.4494508362103</v>
      </c>
      <c r="I180" s="101">
        <v>444.02089255841258</v>
      </c>
      <c r="J180" s="101">
        <v>435.39576072525728</v>
      </c>
      <c r="K180" s="101">
        <v>428.56963994005491</v>
      </c>
      <c r="L180" s="101">
        <v>423.40002033001809</v>
      </c>
      <c r="M180" s="101">
        <v>419.42730980234114</v>
      </c>
      <c r="N180" s="101">
        <v>417.62458164139844</v>
      </c>
      <c r="O180" s="101">
        <v>347.01831088974802</v>
      </c>
      <c r="P180" s="101">
        <v>314.52089566171747</v>
      </c>
      <c r="Q180" s="101">
        <v>311.38567825000314</v>
      </c>
      <c r="R180" s="101">
        <v>311.11908548730582</v>
      </c>
      <c r="S180" s="101">
        <v>309.07903107394594</v>
      </c>
      <c r="T180" s="101">
        <v>308.87488547193408</v>
      </c>
      <c r="U180" s="101">
        <v>285.73080750484183</v>
      </c>
      <c r="V180" s="101">
        <v>284.85958215515342</v>
      </c>
      <c r="W180" s="101">
        <v>283.26930308354713</v>
      </c>
      <c r="X180" s="101">
        <v>280.11954803248631</v>
      </c>
      <c r="Y180" s="101">
        <v>277.30144132038106</v>
      </c>
      <c r="DA180" s="175" t="s">
        <v>919</v>
      </c>
    </row>
    <row r="181" spans="1:105" ht="11.45" customHeight="1" x14ac:dyDescent="0.25">
      <c r="A181" s="111" t="s">
        <v>111</v>
      </c>
      <c r="B181" s="101">
        <v>1585.950754587906</v>
      </c>
      <c r="C181" s="101">
        <v>1552.8336189878969</v>
      </c>
      <c r="D181" s="101">
        <v>1534.4067217803831</v>
      </c>
      <c r="E181" s="101">
        <v>1518.8233592632616</v>
      </c>
      <c r="F181" s="101">
        <v>1505.3171096961021</v>
      </c>
      <c r="G181" s="101">
        <v>1492.4505831188674</v>
      </c>
      <c r="H181" s="101">
        <v>1480.6306987989376</v>
      </c>
      <c r="I181" s="101">
        <v>1470.7170301665381</v>
      </c>
      <c r="J181" s="101">
        <v>1459.7906890276104</v>
      </c>
      <c r="K181" s="101">
        <v>1448.5692696770791</v>
      </c>
      <c r="L181" s="101">
        <v>1437.5492232307154</v>
      </c>
      <c r="M181" s="101">
        <v>1425.3194298482731</v>
      </c>
      <c r="N181" s="101">
        <v>1417.3621623151589</v>
      </c>
      <c r="O181" s="101">
        <v>1413.0005400004616</v>
      </c>
      <c r="P181" s="101">
        <v>1402.8546564779822</v>
      </c>
      <c r="Q181" s="101">
        <v>1395.4275827017325</v>
      </c>
      <c r="R181" s="101">
        <v>1388.6774296624897</v>
      </c>
      <c r="S181" s="101">
        <v>1380.2672239331996</v>
      </c>
      <c r="T181" s="101">
        <v>1373.6206334257979</v>
      </c>
      <c r="U181" s="101">
        <v>1352.1806225763642</v>
      </c>
      <c r="V181" s="101">
        <v>1334.9088424167762</v>
      </c>
      <c r="W181" s="101">
        <v>1315.0071027717943</v>
      </c>
      <c r="X181" s="101">
        <v>1287.6150016486663</v>
      </c>
      <c r="Y181" s="101">
        <v>1258.7731098026643</v>
      </c>
      <c r="DA181" s="175" t="s">
        <v>920</v>
      </c>
    </row>
    <row r="182" spans="1:105" ht="11.45" customHeight="1" x14ac:dyDescent="0.25">
      <c r="A182" s="111" t="s">
        <v>112</v>
      </c>
      <c r="B182" s="101">
        <v>1131.2219172741234</v>
      </c>
      <c r="C182" s="101">
        <v>1114.0482529079175</v>
      </c>
      <c r="D182" s="101">
        <v>1113.3476133599797</v>
      </c>
      <c r="E182" s="101">
        <v>1094.0822976624745</v>
      </c>
      <c r="F182" s="101">
        <v>1060.4077045197371</v>
      </c>
      <c r="G182" s="101">
        <v>1044.9854974711927</v>
      </c>
      <c r="H182" s="101">
        <v>1041.0561949349935</v>
      </c>
      <c r="I182" s="101">
        <v>1034.1930285195474</v>
      </c>
      <c r="J182" s="101">
        <v>1027.7302566576343</v>
      </c>
      <c r="K182" s="101">
        <v>1015.4585385390077</v>
      </c>
      <c r="L182" s="101">
        <v>1015.1694734194542</v>
      </c>
      <c r="M182" s="101">
        <v>1013.2006426761993</v>
      </c>
      <c r="N182" s="101">
        <v>1011.7302217803303</v>
      </c>
      <c r="O182" s="101">
        <v>1009.9633781036628</v>
      </c>
      <c r="P182" s="101">
        <v>1008.5361976243519</v>
      </c>
      <c r="Q182" s="101">
        <v>1007.2404947521721</v>
      </c>
      <c r="R182" s="101">
        <v>1006.1644380096297</v>
      </c>
      <c r="S182" s="101">
        <v>1005.8666381329037</v>
      </c>
      <c r="T182" s="101">
        <v>1005.4895575618078</v>
      </c>
      <c r="U182" s="101">
        <v>1005.2804550600491</v>
      </c>
      <c r="V182" s="101">
        <v>1002.4361310953072</v>
      </c>
      <c r="W182" s="101">
        <v>1001.7953753734004</v>
      </c>
      <c r="X182" s="101">
        <v>999.99755227843968</v>
      </c>
      <c r="Y182" s="101">
        <v>998.09492531424587</v>
      </c>
      <c r="DA182" s="175" t="s">
        <v>921</v>
      </c>
    </row>
    <row r="183" spans="1:105" ht="11.45" customHeight="1" x14ac:dyDescent="0.25">
      <c r="A183" s="111" t="s">
        <v>113</v>
      </c>
      <c r="B183" s="101">
        <v>1000.7778404821352</v>
      </c>
      <c r="C183" s="101">
        <v>987.79000650638159</v>
      </c>
      <c r="D183" s="101">
        <v>986.73161346277698</v>
      </c>
      <c r="E183" s="101">
        <v>943.98644861022399</v>
      </c>
      <c r="F183" s="101">
        <v>939.6993728772859</v>
      </c>
      <c r="G183" s="101">
        <v>924.95639481091064</v>
      </c>
      <c r="H183" s="101">
        <v>914.81147209273342</v>
      </c>
      <c r="I183" s="101">
        <v>909.15480006093412</v>
      </c>
      <c r="J183" s="101">
        <v>904.24943151457103</v>
      </c>
      <c r="K183" s="101">
        <v>899.64019859417465</v>
      </c>
      <c r="L183" s="101">
        <v>894.9472927273207</v>
      </c>
      <c r="M183" s="101">
        <v>891.9461764129544</v>
      </c>
      <c r="N183" s="101">
        <v>888.54692347731225</v>
      </c>
      <c r="O183" s="101">
        <v>885.52625501758132</v>
      </c>
      <c r="P183" s="101">
        <v>884.8484432777492</v>
      </c>
      <c r="Q183" s="101">
        <v>884.08167771926492</v>
      </c>
      <c r="R183" s="101">
        <v>879.64726034535443</v>
      </c>
      <c r="S183" s="101">
        <v>871.67621579667741</v>
      </c>
      <c r="T183" s="101">
        <v>851.31846040305243</v>
      </c>
      <c r="U183" s="101">
        <v>838.53300095127611</v>
      </c>
      <c r="V183" s="101">
        <v>838.37420925890058</v>
      </c>
      <c r="W183" s="101">
        <v>837.91155441645992</v>
      </c>
      <c r="X183" s="101">
        <v>837.02720977616229</v>
      </c>
      <c r="Y183" s="101">
        <v>835.28884286324944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350.1167386813795</v>
      </c>
      <c r="C186" s="152">
        <v>338.18359629454551</v>
      </c>
      <c r="D186" s="152">
        <v>324.13816932935907</v>
      </c>
      <c r="E186" s="152">
        <v>307.14384650832324</v>
      </c>
      <c r="F186" s="152">
        <v>291.16385915402373</v>
      </c>
      <c r="G186" s="152">
        <v>281.36995158106021</v>
      </c>
      <c r="H186" s="152">
        <v>270.86072315792728</v>
      </c>
      <c r="I186" s="152">
        <v>265.14598354185154</v>
      </c>
      <c r="J186" s="152">
        <v>259.88724587617634</v>
      </c>
      <c r="K186" s="152">
        <v>249.67374306873026</v>
      </c>
      <c r="L186" s="152">
        <v>229.23649470049571</v>
      </c>
      <c r="M186" s="152">
        <v>216.54143628238049</v>
      </c>
      <c r="N186" s="152">
        <v>218.31718061248031</v>
      </c>
      <c r="O186" s="152">
        <v>208.89457351537308</v>
      </c>
      <c r="P186" s="152">
        <v>204.149558508409</v>
      </c>
      <c r="Q186" s="152">
        <v>201.51542381616801</v>
      </c>
      <c r="R186" s="152">
        <v>201.06230076886163</v>
      </c>
      <c r="S186" s="152">
        <v>194.64808555499354</v>
      </c>
      <c r="T186" s="152">
        <v>195.46110038050693</v>
      </c>
      <c r="U186" s="152">
        <v>197.36599453684977</v>
      </c>
      <c r="V186" s="152">
        <v>209.13264894300093</v>
      </c>
      <c r="W186" s="152">
        <v>206.50640950762289</v>
      </c>
      <c r="X186" s="152">
        <v>203.97616603678568</v>
      </c>
      <c r="Y186" s="152">
        <v>201.99964568508474</v>
      </c>
      <c r="DA186" s="174" t="s">
        <v>924</v>
      </c>
    </row>
    <row r="187" spans="1:105" ht="11.45" customHeight="1" x14ac:dyDescent="0.25">
      <c r="A187" s="111" t="s">
        <v>110</v>
      </c>
      <c r="B187" s="87">
        <v>291.6512661079388</v>
      </c>
      <c r="C187" s="87">
        <v>281.02255979198259</v>
      </c>
      <c r="D187" s="87">
        <v>269.50836240634112</v>
      </c>
      <c r="E187" s="87">
        <v>260.55583819775978</v>
      </c>
      <c r="F187" s="87">
        <v>255.09050020536529</v>
      </c>
      <c r="G187" s="87">
        <v>247.94067828137133</v>
      </c>
      <c r="H187" s="87">
        <v>241.8649279984617</v>
      </c>
      <c r="I187" s="87">
        <v>237.13561249621043</v>
      </c>
      <c r="J187" s="87">
        <v>232.95744269830482</v>
      </c>
      <c r="K187" s="87">
        <v>228.81402255351745</v>
      </c>
      <c r="L187" s="87">
        <v>228.11565890011377</v>
      </c>
      <c r="M187" s="87">
        <v>224.94820962556531</v>
      </c>
      <c r="N187" s="87">
        <v>218.93266765898113</v>
      </c>
      <c r="O187" s="87">
        <v>213.1870895443526</v>
      </c>
      <c r="P187" s="87">
        <v>206.45815599716406</v>
      </c>
      <c r="Q187" s="87">
        <v>200.07484954500814</v>
      </c>
      <c r="R187" s="87">
        <v>197.33115243233613</v>
      </c>
      <c r="S187" s="87">
        <v>192.1713354133189</v>
      </c>
      <c r="T187" s="87">
        <v>186.63298418849658</v>
      </c>
      <c r="U187" s="87">
        <v>182.28846163201217</v>
      </c>
      <c r="V187" s="87">
        <v>179.18479649523795</v>
      </c>
      <c r="W187" s="87">
        <v>172.3158465035813</v>
      </c>
      <c r="X187" s="87">
        <v>163.95342149526547</v>
      </c>
      <c r="Y187" s="87">
        <v>158.30004284528889</v>
      </c>
      <c r="DA187" s="171" t="s">
        <v>925</v>
      </c>
    </row>
    <row r="188" spans="1:105" ht="11.45" customHeight="1" x14ac:dyDescent="0.25">
      <c r="A188" s="111" t="s">
        <v>111</v>
      </c>
      <c r="B188" s="87">
        <v>350.95877601911616</v>
      </c>
      <c r="C188" s="87">
        <v>334.38884278388582</v>
      </c>
      <c r="D188" s="87">
        <v>317.50480809649366</v>
      </c>
      <c r="E188" s="87">
        <v>304.22181709678239</v>
      </c>
      <c r="F188" s="87">
        <v>295.38957973635587</v>
      </c>
      <c r="G188" s="87">
        <v>284.64144079975955</v>
      </c>
      <c r="H188" s="87">
        <v>275.41839714639616</v>
      </c>
      <c r="I188" s="87">
        <v>267.31124552168933</v>
      </c>
      <c r="J188" s="87">
        <v>261.09644842636112</v>
      </c>
      <c r="K188" s="87">
        <v>253.62610072460143</v>
      </c>
      <c r="L188" s="87">
        <v>246.89636664004783</v>
      </c>
      <c r="M188" s="87">
        <v>240.40010975768482</v>
      </c>
      <c r="N188" s="87">
        <v>237.37956241717541</v>
      </c>
      <c r="O188" s="87">
        <v>231.07148210303322</v>
      </c>
      <c r="P188" s="87">
        <v>224.43584862792036</v>
      </c>
      <c r="Q188" s="87">
        <v>218.08419101898494</v>
      </c>
      <c r="R188" s="87">
        <v>213.49059709177044</v>
      </c>
      <c r="S188" s="87">
        <v>207.04462894868809</v>
      </c>
      <c r="T188" s="87">
        <v>202.8395655229329</v>
      </c>
      <c r="U188" s="87">
        <v>199.03721471911186</v>
      </c>
      <c r="V188" s="87">
        <v>197.24695196706949</v>
      </c>
      <c r="W188" s="87">
        <v>194.59406577807829</v>
      </c>
      <c r="X188" s="87">
        <v>191.38842487585163</v>
      </c>
      <c r="Y188" s="87">
        <v>188.91603520323886</v>
      </c>
      <c r="DA188" s="171" t="s">
        <v>926</v>
      </c>
    </row>
    <row r="189" spans="1:105" ht="11.45" customHeight="1" x14ac:dyDescent="0.25">
      <c r="A189" s="111" t="s">
        <v>112</v>
      </c>
      <c r="B189" s="87">
        <v>318.3606064009204</v>
      </c>
      <c r="C189" s="87">
        <v>295.40498650150221</v>
      </c>
      <c r="D189" s="87">
        <v>275.15888422729813</v>
      </c>
      <c r="E189" s="87">
        <v>259.57442364398361</v>
      </c>
      <c r="F189" s="87">
        <v>248.27422435782125</v>
      </c>
      <c r="G189" s="87">
        <v>236.40355274540642</v>
      </c>
      <c r="H189" s="87">
        <v>226.1243865562754</v>
      </c>
      <c r="I189" s="87">
        <v>223.82868129998261</v>
      </c>
      <c r="J189" s="87">
        <v>215.85342751904204</v>
      </c>
      <c r="K189" s="87">
        <v>204.94650427292919</v>
      </c>
      <c r="L189" s="87">
        <v>199.29081633149914</v>
      </c>
      <c r="M189" s="87">
        <v>197.12460433199726</v>
      </c>
      <c r="N189" s="87">
        <v>184.90051854399681</v>
      </c>
      <c r="O189" s="87">
        <v>182.27753378739672</v>
      </c>
      <c r="P189" s="87">
        <v>178.0065611977503</v>
      </c>
      <c r="Q189" s="87">
        <v>174.92728365989606</v>
      </c>
      <c r="R189" s="87">
        <v>169.20732063677883</v>
      </c>
      <c r="S189" s="87">
        <v>164.93663593768204</v>
      </c>
      <c r="T189" s="87">
        <v>160.80730084754725</v>
      </c>
      <c r="U189" s="87">
        <v>158.30850710577772</v>
      </c>
      <c r="V189" s="87">
        <v>157.72395060567615</v>
      </c>
      <c r="W189" s="87">
        <v>158.60817983369571</v>
      </c>
      <c r="X189" s="87">
        <v>158.8063091274303</v>
      </c>
      <c r="Y189" s="87">
        <v>159.99680953110825</v>
      </c>
      <c r="DA189" s="171" t="s">
        <v>927</v>
      </c>
    </row>
    <row r="190" spans="1:105" ht="11.45" customHeight="1" x14ac:dyDescent="0.25">
      <c r="A190" s="111" t="s">
        <v>113</v>
      </c>
      <c r="B190" s="87">
        <v>312.90292226708732</v>
      </c>
      <c r="C190" s="87">
        <v>284.3197013044483</v>
      </c>
      <c r="D190" s="87">
        <v>261.92705073802989</v>
      </c>
      <c r="E190" s="87">
        <v>245.69946581424571</v>
      </c>
      <c r="F190" s="87">
        <v>235.06618949179551</v>
      </c>
      <c r="G190" s="87">
        <v>225.51856487609041</v>
      </c>
      <c r="H190" s="87">
        <v>217.71078171154812</v>
      </c>
      <c r="I190" s="87">
        <v>214.86865193339528</v>
      </c>
      <c r="J190" s="87">
        <v>205.17312894152383</v>
      </c>
      <c r="K190" s="87">
        <v>194.23612267092923</v>
      </c>
      <c r="L190" s="87">
        <v>183.82454087426541</v>
      </c>
      <c r="M190" s="87">
        <v>176.64382727627998</v>
      </c>
      <c r="N190" s="87">
        <v>170.54218028155896</v>
      </c>
      <c r="O190" s="87">
        <v>169.26388787768866</v>
      </c>
      <c r="P190" s="87">
        <v>167.14024491838993</v>
      </c>
      <c r="Q190" s="87">
        <v>165.69213556174415</v>
      </c>
      <c r="R190" s="87">
        <v>163.09344548152615</v>
      </c>
      <c r="S190" s="87">
        <v>161.19104427462548</v>
      </c>
      <c r="T190" s="87">
        <v>160.43787858523905</v>
      </c>
      <c r="U190" s="87">
        <v>160.10994517062412</v>
      </c>
      <c r="V190" s="87">
        <v>160.35524208109598</v>
      </c>
      <c r="W190" s="87">
        <v>161.25707707391743</v>
      </c>
      <c r="X190" s="87">
        <v>160.82637069980763</v>
      </c>
      <c r="Y190" s="87">
        <v>161.46154106046475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1102.3855427039034</v>
      </c>
      <c r="C192" s="116">
        <v>1099.6565398860998</v>
      </c>
      <c r="D192" s="116">
        <v>1096.154154584151</v>
      </c>
      <c r="E192" s="116">
        <v>1091.8294326452124</v>
      </c>
      <c r="F192" s="116">
        <v>1086.2019407042187</v>
      </c>
      <c r="G192" s="116">
        <v>1079.5694234744833</v>
      </c>
      <c r="H192" s="116">
        <v>1071.7015179139323</v>
      </c>
      <c r="I192" s="116">
        <v>1062.4810845592258</v>
      </c>
      <c r="J192" s="116">
        <v>1051.6760883533263</v>
      </c>
      <c r="K192" s="116">
        <v>1040.2906813639452</v>
      </c>
      <c r="L192" s="116">
        <v>1026.6102229202424</v>
      </c>
      <c r="M192" s="116">
        <v>1012.1468511391531</v>
      </c>
      <c r="N192" s="116">
        <v>997.86004462218045</v>
      </c>
      <c r="O192" s="116">
        <v>981.68070965593756</v>
      </c>
      <c r="P192" s="116">
        <v>962.88043984760407</v>
      </c>
      <c r="Q192" s="116">
        <v>942.57150684010696</v>
      </c>
      <c r="R192" s="116">
        <v>931.32250492651792</v>
      </c>
      <c r="S192" s="116">
        <v>914.40837818698947</v>
      </c>
      <c r="T192" s="116">
        <v>887.09820529752994</v>
      </c>
      <c r="U192" s="116">
        <v>860.07446431696587</v>
      </c>
      <c r="V192" s="116">
        <v>851.15465691579504</v>
      </c>
      <c r="W192" s="116">
        <v>828.57387889020515</v>
      </c>
      <c r="X192" s="116">
        <v>800.77246625480484</v>
      </c>
      <c r="Y192" s="116">
        <v>776.0689879779045</v>
      </c>
      <c r="DA192" s="176" t="s">
        <v>930</v>
      </c>
    </row>
    <row r="193" spans="1:105" ht="11.45" customHeight="1" x14ac:dyDescent="0.25">
      <c r="A193" s="128" t="s">
        <v>27</v>
      </c>
      <c r="B193" s="101">
        <v>1030.2246411705041</v>
      </c>
      <c r="C193" s="101">
        <v>1027.8038761319169</v>
      </c>
      <c r="D193" s="101">
        <v>1024.6432516871278</v>
      </c>
      <c r="E193" s="101">
        <v>1020.6731243006012</v>
      </c>
      <c r="F193" s="101">
        <v>1015.7335287409953</v>
      </c>
      <c r="G193" s="101">
        <v>1009.6027421441693</v>
      </c>
      <c r="H193" s="101">
        <v>1002.3718613426436</v>
      </c>
      <c r="I193" s="101">
        <v>993.69988382434212</v>
      </c>
      <c r="J193" s="101">
        <v>983.68168836934319</v>
      </c>
      <c r="K193" s="101">
        <v>972.90115853773511</v>
      </c>
      <c r="L193" s="101">
        <v>960.24036311286397</v>
      </c>
      <c r="M193" s="101">
        <v>946.5733561253154</v>
      </c>
      <c r="N193" s="101">
        <v>933.05189066122546</v>
      </c>
      <c r="O193" s="101">
        <v>918.04574071235515</v>
      </c>
      <c r="P193" s="101">
        <v>900.28662042062456</v>
      </c>
      <c r="Q193" s="101">
        <v>880.99541615749547</v>
      </c>
      <c r="R193" s="101">
        <v>870.64922239743066</v>
      </c>
      <c r="S193" s="101">
        <v>855.05775763818576</v>
      </c>
      <c r="T193" s="101">
        <v>828.85193163219219</v>
      </c>
      <c r="U193" s="101">
        <v>803.2493660595876</v>
      </c>
      <c r="V193" s="101">
        <v>794.99899909144983</v>
      </c>
      <c r="W193" s="101">
        <v>773.85661242173808</v>
      </c>
      <c r="X193" s="101">
        <v>747.23683852272495</v>
      </c>
      <c r="Y193" s="101">
        <v>723.51929446290671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1055.3737178185891</v>
      </c>
      <c r="D194" s="88">
        <v>1046.0846478825893</v>
      </c>
      <c r="E194" s="88">
        <v>1038.6025675053743</v>
      </c>
      <c r="F194" s="88">
        <v>1019.4969439290669</v>
      </c>
      <c r="G194" s="88">
        <v>1010.7945620063086</v>
      </c>
      <c r="H194" s="88">
        <v>999.38658564980506</v>
      </c>
      <c r="I194" s="88">
        <v>992.27470643042204</v>
      </c>
      <c r="J194" s="88">
        <v>979.62753187041437</v>
      </c>
      <c r="K194" s="88">
        <v>972.98151592457418</v>
      </c>
      <c r="L194" s="88">
        <v>955.99157927741055</v>
      </c>
      <c r="M194" s="88">
        <v>946.92252129482381</v>
      </c>
      <c r="N194" s="88">
        <v>939.68063733356348</v>
      </c>
      <c r="O194" s="88">
        <v>919.61802812679389</v>
      </c>
      <c r="P194" s="88">
        <v>907.81537181008093</v>
      </c>
      <c r="Q194" s="88">
        <v>898.96958563556132</v>
      </c>
      <c r="R194" s="88">
        <v>881.1473174083186</v>
      </c>
      <c r="S194" s="88">
        <v>858.1313457761654</v>
      </c>
      <c r="T194" s="88">
        <v>850.04862433649259</v>
      </c>
      <c r="U194" s="88">
        <v>832.056910628325</v>
      </c>
      <c r="V194" s="88">
        <v>820.53356950395869</v>
      </c>
      <c r="W194" s="88">
        <v>797.46112561690984</v>
      </c>
      <c r="X194" s="88">
        <v>784.34319122294562</v>
      </c>
      <c r="Y194" s="88">
        <v>778.04549526461665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1.0725000000065619</v>
      </c>
      <c r="C198" s="150">
        <f>IF(TrRoad_act!C59=0,0,TrRoad_emi!C56/TrRoad_tech!C171)</f>
        <v>1.0727956048507719</v>
      </c>
      <c r="D198" s="150">
        <f>IF(TrRoad_act!D59=0,0,TrRoad_emi!D56/TrRoad_tech!D171)</f>
        <v>1.0733973070934804</v>
      </c>
      <c r="E198" s="150">
        <f>IF(TrRoad_act!E59=0,0,TrRoad_emi!E56/TrRoad_tech!E171)</f>
        <v>1.0744891117182567</v>
      </c>
      <c r="F198" s="150">
        <f>IF(TrRoad_act!F59=0,0,TrRoad_emi!F56/TrRoad_tech!F171)</f>
        <v>1.0758581796924922</v>
      </c>
      <c r="G198" s="150">
        <f>IF(TrRoad_act!G59=0,0,TrRoad_emi!G56/TrRoad_tech!G171)</f>
        <v>1.0777928929645493</v>
      </c>
      <c r="H198" s="150">
        <f>IF(TrRoad_act!H59=0,0,TrRoad_emi!H56/TrRoad_tech!H171)</f>
        <v>1.0805900817529805</v>
      </c>
      <c r="I198" s="150">
        <f>IF(TrRoad_act!I59=0,0,TrRoad_emi!I56/TrRoad_tech!I171)</f>
        <v>1.0841601661873308</v>
      </c>
      <c r="J198" s="150">
        <f>IF(TrRoad_act!J59=0,0,TrRoad_emi!J56/TrRoad_tech!J171)</f>
        <v>1.0818849926658229</v>
      </c>
      <c r="K198" s="150">
        <f>IF(TrRoad_act!K59=0,0,TrRoad_emi!K56/TrRoad_tech!K171)</f>
        <v>1.0852300215388924</v>
      </c>
      <c r="L198" s="150">
        <f>IF(TrRoad_act!L59=0,0,TrRoad_emi!L56/TrRoad_tech!L171)</f>
        <v>1.0858383563363923</v>
      </c>
      <c r="M198" s="150">
        <f>IF(TrRoad_act!M59=0,0,TrRoad_emi!M56/TrRoad_tech!M171)</f>
        <v>1.0907975540559107</v>
      </c>
      <c r="N198" s="150">
        <f>IF(TrRoad_act!N59=0,0,TrRoad_emi!N56/TrRoad_tech!N171)</f>
        <v>1.0971138951711428</v>
      </c>
      <c r="O198" s="150">
        <f>IF(TrRoad_act!O59=0,0,TrRoad_emi!O56/TrRoad_tech!O171)</f>
        <v>1.1080736370478381</v>
      </c>
      <c r="P198" s="150">
        <f>IF(TrRoad_act!P59=0,0,TrRoad_emi!P56/TrRoad_tech!P171)</f>
        <v>1.1270356174535909</v>
      </c>
      <c r="Q198" s="150">
        <f>IF(TrRoad_act!Q59=0,0,TrRoad_emi!Q56/TrRoad_tech!Q171)</f>
        <v>1.1316337654558264</v>
      </c>
      <c r="R198" s="150">
        <f>IF(TrRoad_act!R59=0,0,TrRoad_emi!R56/TrRoad_tech!R171)</f>
        <v>1.1361367494389758</v>
      </c>
      <c r="S198" s="150">
        <f>IF(TrRoad_act!S59=0,0,TrRoad_emi!S56/TrRoad_tech!S171)</f>
        <v>1.1439036236495232</v>
      </c>
      <c r="T198" s="150">
        <f>IF(TrRoad_act!T59=0,0,TrRoad_emi!T56/TrRoad_tech!T171)</f>
        <v>1.1512444782430615</v>
      </c>
      <c r="U198" s="150">
        <f>IF(TrRoad_act!U59=0,0,TrRoad_emi!U56/TrRoad_tech!U171)</f>
        <v>1.1604493615465177</v>
      </c>
      <c r="V198" s="150">
        <f>IF(TrRoad_act!V59=0,0,TrRoad_emi!V56/TrRoad_tech!V171)</f>
        <v>1.1693709336726517</v>
      </c>
      <c r="W198" s="150">
        <f>IF(TrRoad_act!W59=0,0,TrRoad_emi!W56/TrRoad_tech!W171)</f>
        <v>1.1942947390429177</v>
      </c>
      <c r="X198" s="150">
        <f>IF(TrRoad_act!X59=0,0,TrRoad_emi!X56/TrRoad_tech!X171)</f>
        <v>1.2027313234207313</v>
      </c>
      <c r="Y198" s="150">
        <f>IF(TrRoad_act!Y59=0,0,TrRoad_emi!Y56/TrRoad_tech!Y171)</f>
        <v>1.201137697143617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0.88241812798277286</v>
      </c>
      <c r="C199" s="151">
        <f>IF(TrRoad_act!C60=0,0,TrRoad_emi!C57/TrRoad_tech!C172)</f>
        <v>0.87310950363218054</v>
      </c>
      <c r="D199" s="151">
        <f>IF(TrRoad_act!D60=0,0,TrRoad_emi!D57/TrRoad_tech!D172)</f>
        <v>0.9042819734711004</v>
      </c>
      <c r="E199" s="151">
        <f>IF(TrRoad_act!E60=0,0,TrRoad_emi!E57/TrRoad_tech!E172)</f>
        <v>0.90394030962823568</v>
      </c>
      <c r="F199" s="151">
        <f>IF(TrRoad_act!F60=0,0,TrRoad_emi!F57/TrRoad_tech!F172)</f>
        <v>0.91768564205866687</v>
      </c>
      <c r="G199" s="151">
        <f>IF(TrRoad_act!G60=0,0,TrRoad_emi!G57/TrRoad_tech!G172)</f>
        <v>0.95393237085285765</v>
      </c>
      <c r="H199" s="151">
        <f>IF(TrRoad_act!H60=0,0,TrRoad_emi!H57/TrRoad_tech!H172)</f>
        <v>1.0014831303538443</v>
      </c>
      <c r="I199" s="151">
        <f>IF(TrRoad_act!I60=0,0,TrRoad_emi!I57/TrRoad_tech!I172)</f>
        <v>1.0150027720452659</v>
      </c>
      <c r="J199" s="151">
        <f>IF(TrRoad_act!J60=0,0,TrRoad_emi!J57/TrRoad_tech!J172)</f>
        <v>0.99992695029324163</v>
      </c>
      <c r="K199" s="151">
        <f>IF(TrRoad_act!K60=0,0,TrRoad_emi!K57/TrRoad_tech!K172)</f>
        <v>0.95753325350010543</v>
      </c>
      <c r="L199" s="151">
        <f>IF(TrRoad_act!L60=0,0,TrRoad_emi!L57/TrRoad_tech!L172)</f>
        <v>0.94744923119880398</v>
      </c>
      <c r="M199" s="151">
        <f>IF(TrRoad_act!M60=0,0,TrRoad_emi!M57/TrRoad_tech!M172)</f>
        <v>0.94200290234223616</v>
      </c>
      <c r="N199" s="151">
        <f>IF(TrRoad_act!N60=0,0,TrRoad_emi!N57/TrRoad_tech!N172)</f>
        <v>0.92429898853091297</v>
      </c>
      <c r="O199" s="151">
        <f>IF(TrRoad_act!O60=0,0,TrRoad_emi!O57/TrRoad_tech!O172)</f>
        <v>0.96048327977704362</v>
      </c>
      <c r="P199" s="151">
        <f>IF(TrRoad_act!P60=0,0,TrRoad_emi!P57/TrRoad_tech!P172)</f>
        <v>0.9708942231978841</v>
      </c>
      <c r="Q199" s="151">
        <f>IF(TrRoad_act!Q60=0,0,TrRoad_emi!Q57/TrRoad_tech!Q172)</f>
        <v>0.9786893826226174</v>
      </c>
      <c r="R199" s="151">
        <f>IF(TrRoad_act!R60=0,0,TrRoad_emi!R57/TrRoad_tech!R172)</f>
        <v>0.96734870787347027</v>
      </c>
      <c r="S199" s="151">
        <f>IF(TrRoad_act!S60=0,0,TrRoad_emi!S57/TrRoad_tech!S172)</f>
        <v>0.94295828388042757</v>
      </c>
      <c r="T199" s="151">
        <f>IF(TrRoad_act!T60=0,0,TrRoad_emi!T57/TrRoad_tech!T172)</f>
        <v>1.0012661812296466</v>
      </c>
      <c r="U199" s="151">
        <f>IF(TrRoad_act!U60=0,0,TrRoad_emi!U57/TrRoad_tech!U172)</f>
        <v>1.0146316665402511</v>
      </c>
      <c r="V199" s="151">
        <f>IF(TrRoad_act!V60=0,0,TrRoad_emi!V57/TrRoad_tech!V172)</f>
        <v>0.99638716500315205</v>
      </c>
      <c r="W199" s="151">
        <f>IF(TrRoad_act!W60=0,0,TrRoad_emi!W57/TrRoad_tech!W172)</f>
        <v>1.203229205913414</v>
      </c>
      <c r="X199" s="151">
        <f>IF(TrRoad_act!X60=0,0,TrRoad_emi!X57/TrRoad_tech!X172)</f>
        <v>1.1998752407581059</v>
      </c>
      <c r="Y199" s="151">
        <f>IF(TrRoad_act!Y60=0,0,TrRoad_emi!Y57/TrRoad_tech!Y172)</f>
        <v>1.13480808603085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0.8786921470617115</v>
      </c>
      <c r="C200" s="91">
        <f>IF(TrRoad_act!C61=0,0,TrRoad_emi!C58/TrRoad_tech!C173)</f>
        <v>0.87798056079710873</v>
      </c>
      <c r="D200" s="91">
        <f>IF(TrRoad_act!D61=0,0,TrRoad_emi!D58/TrRoad_tech!D173)</f>
        <v>0.91682618767282154</v>
      </c>
      <c r="E200" s="91">
        <f>IF(TrRoad_act!E61=0,0,TrRoad_emi!E58/TrRoad_tech!E173)</f>
        <v>0.91842798789423663</v>
      </c>
      <c r="F200" s="91">
        <f>IF(TrRoad_act!F61=0,0,TrRoad_emi!F58/TrRoad_tech!F173)</f>
        <v>0.96087053717122017</v>
      </c>
      <c r="G200" s="91">
        <f>IF(TrRoad_act!G61=0,0,TrRoad_emi!G58/TrRoad_tech!G173)</f>
        <v>1.0135634574712129</v>
      </c>
      <c r="H200" s="91">
        <f>IF(TrRoad_act!H61=0,0,TrRoad_emi!H58/TrRoad_tech!H173)</f>
        <v>1.1236127410104135</v>
      </c>
      <c r="I200" s="91">
        <f>IF(TrRoad_act!I61=0,0,TrRoad_emi!I58/TrRoad_tech!I173)</f>
        <v>1.1132212596285429</v>
      </c>
      <c r="J200" s="91">
        <f>IF(TrRoad_act!J61=0,0,TrRoad_emi!J58/TrRoad_tech!J173)</f>
        <v>1.029377875794133</v>
      </c>
      <c r="K200" s="91">
        <f>IF(TrRoad_act!K61=0,0,TrRoad_emi!K58/TrRoad_tech!K173)</f>
        <v>0.93033881480777092</v>
      </c>
      <c r="L200" s="91">
        <f>IF(TrRoad_act!L61=0,0,TrRoad_emi!L58/TrRoad_tech!L173)</f>
        <v>0.91562086042736468</v>
      </c>
      <c r="M200" s="91">
        <f>IF(TrRoad_act!M61=0,0,TrRoad_emi!M58/TrRoad_tech!M173)</f>
        <v>0.91496436762870437</v>
      </c>
      <c r="N200" s="91">
        <f>IF(TrRoad_act!N61=0,0,TrRoad_emi!N58/TrRoad_tech!N173)</f>
        <v>0.91896857583387548</v>
      </c>
      <c r="O200" s="91">
        <f>IF(TrRoad_act!O61=0,0,TrRoad_emi!O58/TrRoad_tech!O173)</f>
        <v>0.93128206582261608</v>
      </c>
      <c r="P200" s="91">
        <f>IF(TrRoad_act!P61=0,0,TrRoad_emi!P58/TrRoad_tech!P173)</f>
        <v>0.94483175173124401</v>
      </c>
      <c r="Q200" s="91">
        <f>IF(TrRoad_act!Q61=0,0,TrRoad_emi!Q58/TrRoad_tech!Q173)</f>
        <v>0.96189020425039873</v>
      </c>
      <c r="R200" s="91">
        <f>IF(TrRoad_act!R61=0,0,TrRoad_emi!R58/TrRoad_tech!R173)</f>
        <v>0.91257421477814482</v>
      </c>
      <c r="S200" s="91">
        <f>IF(TrRoad_act!S61=0,0,TrRoad_emi!S58/TrRoad_tech!S173)</f>
        <v>0.92115317713499378</v>
      </c>
      <c r="T200" s="91">
        <f>IF(TrRoad_act!T61=0,0,TrRoad_emi!T58/TrRoad_tech!T173)</f>
        <v>1.0440346361195096</v>
      </c>
      <c r="U200" s="91">
        <f>IF(TrRoad_act!U61=0,0,TrRoad_emi!U58/TrRoad_tech!U173)</f>
        <v>1.0437276020893476</v>
      </c>
      <c r="V200" s="91">
        <f>IF(TrRoad_act!V61=0,0,TrRoad_emi!V58/TrRoad_tech!V173)</f>
        <v>1.0499087881094615</v>
      </c>
      <c r="W200" s="91">
        <f>IF(TrRoad_act!W61=0,0,TrRoad_emi!W58/TrRoad_tech!W173)</f>
        <v>1.2965020656628992</v>
      </c>
      <c r="X200" s="91">
        <f>IF(TrRoad_act!X61=0,0,TrRoad_emi!X58/TrRoad_tech!X173)</f>
        <v>1.39156829534653</v>
      </c>
      <c r="Y200" s="91">
        <f>IF(TrRoad_act!Y61=0,0,TrRoad_emi!Y58/TrRoad_tech!Y173)</f>
        <v>1.2886104110363217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0.90890846151412685</v>
      </c>
      <c r="C201" s="91">
        <f>IF(TrRoad_act!C62=0,0,TrRoad_emi!C59/TrRoad_tech!C174)</f>
        <v>0.90150649289630458</v>
      </c>
      <c r="D201" s="91">
        <f>IF(TrRoad_act!D62=0,0,TrRoad_emi!D59/TrRoad_tech!D174)</f>
        <v>0.92270065937288481</v>
      </c>
      <c r="E201" s="91">
        <f>IF(TrRoad_act!E62=0,0,TrRoad_emi!E59/TrRoad_tech!E174)</f>
        <v>0.92831195812969902</v>
      </c>
      <c r="F201" s="91">
        <f>IF(TrRoad_act!F62=0,0,TrRoad_emi!F59/TrRoad_tech!F174)</f>
        <v>0.92244365527248084</v>
      </c>
      <c r="G201" s="91">
        <f>IF(TrRoad_act!G62=0,0,TrRoad_emi!G59/TrRoad_tech!G174)</f>
        <v>0.9373620039639482</v>
      </c>
      <c r="H201" s="91">
        <f>IF(TrRoad_act!H62=0,0,TrRoad_emi!H59/TrRoad_tech!H174)</f>
        <v>0.94952438197648847</v>
      </c>
      <c r="I201" s="91">
        <f>IF(TrRoad_act!I62=0,0,TrRoad_emi!I59/TrRoad_tech!I174)</f>
        <v>0.9823949257420258</v>
      </c>
      <c r="J201" s="91">
        <f>IF(TrRoad_act!J62=0,0,TrRoad_emi!J59/TrRoad_tech!J174)</f>
        <v>0.99116503215887308</v>
      </c>
      <c r="K201" s="91">
        <f>IF(TrRoad_act!K62=0,0,TrRoad_emi!K59/TrRoad_tech!K174)</f>
        <v>0.9649846234038314</v>
      </c>
      <c r="L201" s="91">
        <f>IF(TrRoad_act!L62=0,0,TrRoad_emi!L59/TrRoad_tech!L174)</f>
        <v>0.96369846700845652</v>
      </c>
      <c r="M201" s="91">
        <f>IF(TrRoad_act!M62=0,0,TrRoad_emi!M59/TrRoad_tech!M174)</f>
        <v>0.97133990816337068</v>
      </c>
      <c r="N201" s="91">
        <f>IF(TrRoad_act!N62=0,0,TrRoad_emi!N59/TrRoad_tech!N174)</f>
        <v>0.92263555506788708</v>
      </c>
      <c r="O201" s="91">
        <f>IF(TrRoad_act!O62=0,0,TrRoad_emi!O59/TrRoad_tech!O174)</f>
        <v>0.97180201657184795</v>
      </c>
      <c r="P201" s="91">
        <f>IF(TrRoad_act!P62=0,0,TrRoad_emi!P59/TrRoad_tech!P174)</f>
        <v>0.97523363165733812</v>
      </c>
      <c r="Q201" s="91">
        <f>IF(TrRoad_act!Q62=0,0,TrRoad_emi!Q59/TrRoad_tech!Q174)</f>
        <v>0.98868004746118787</v>
      </c>
      <c r="R201" s="91">
        <f>IF(TrRoad_act!R62=0,0,TrRoad_emi!R59/TrRoad_tech!R174)</f>
        <v>1.016033506097805</v>
      </c>
      <c r="S201" s="91">
        <f>IF(TrRoad_act!S62=0,0,TrRoad_emi!S59/TrRoad_tech!S174)</f>
        <v>0.97711522345196344</v>
      </c>
      <c r="T201" s="91">
        <f>IF(TrRoad_act!T62=0,0,TrRoad_emi!T59/TrRoad_tech!T174)</f>
        <v>1.010855187045508</v>
      </c>
      <c r="U201" s="91">
        <f>IF(TrRoad_act!U62=0,0,TrRoad_emi!U59/TrRoad_tech!U174)</f>
        <v>1.0245599699795638</v>
      </c>
      <c r="V201" s="91">
        <f>IF(TrRoad_act!V62=0,0,TrRoad_emi!V59/TrRoad_tech!V174)</f>
        <v>0.98115046800210781</v>
      </c>
      <c r="W201" s="91">
        <f>IF(TrRoad_act!W62=0,0,TrRoad_emi!W59/TrRoad_tech!W174)</f>
        <v>1.1711724694223782</v>
      </c>
      <c r="X201" s="91">
        <f>IF(TrRoad_act!X62=0,0,TrRoad_emi!X59/TrRoad_tech!X174)</f>
        <v>1.1274932542199576</v>
      </c>
      <c r="Y201" s="91">
        <f>IF(TrRoad_act!Y62=0,0,TrRoad_emi!Y59/TrRoad_tech!Y174)</f>
        <v>1.0646535134156854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1.00557786447275</v>
      </c>
      <c r="C202" s="91">
        <f>IF(TrRoad_act!C63=0,0,TrRoad_emi!C60/TrRoad_tech!C175)</f>
        <v>1.0082335274791572</v>
      </c>
      <c r="D202" s="91">
        <f>IF(TrRoad_act!D63=0,0,TrRoad_emi!D60/TrRoad_tech!D175)</f>
        <v>1.0108508210594263</v>
      </c>
      <c r="E202" s="91">
        <f>IF(TrRoad_act!E63=0,0,TrRoad_emi!E60/TrRoad_tech!E175)</f>
        <v>1.002648299888925</v>
      </c>
      <c r="F202" s="91">
        <f>IF(TrRoad_act!F63=0,0,TrRoad_emi!F60/TrRoad_tech!F175)</f>
        <v>0.92454533035911579</v>
      </c>
      <c r="G202" s="91">
        <f>IF(TrRoad_act!G63=0,0,TrRoad_emi!G60/TrRoad_tech!G175)</f>
        <v>0.89810368913240535</v>
      </c>
      <c r="H202" s="91">
        <f>IF(TrRoad_act!H63=0,0,TrRoad_emi!H60/TrRoad_tech!H175)</f>
        <v>0.86630341231938268</v>
      </c>
      <c r="I202" s="91">
        <f>IF(TrRoad_act!I63=0,0,TrRoad_emi!I60/TrRoad_tech!I175)</f>
        <v>0.85285832883356161</v>
      </c>
      <c r="J202" s="91">
        <f>IF(TrRoad_act!J63=0,0,TrRoad_emi!J60/TrRoad_tech!J175)</f>
        <v>1.0091062304744722</v>
      </c>
      <c r="K202" s="91">
        <f>IF(TrRoad_act!K63=0,0,TrRoad_emi!K60/TrRoad_tech!K175)</f>
        <v>0.99959100188687267</v>
      </c>
      <c r="L202" s="91">
        <f>IF(TrRoad_act!L63=0,0,TrRoad_emi!L60/TrRoad_tech!L175)</f>
        <v>1.0252278456660919</v>
      </c>
      <c r="M202" s="91">
        <f>IF(TrRoad_act!M63=0,0,TrRoad_emi!M60/TrRoad_tech!M175)</f>
        <v>1.0873771361039306</v>
      </c>
      <c r="N202" s="91">
        <f>IF(TrRoad_act!N63=0,0,TrRoad_emi!N60/TrRoad_tech!N175)</f>
        <v>1.0975078457765741</v>
      </c>
      <c r="O202" s="91">
        <f>IF(TrRoad_act!O63=0,0,TrRoad_emi!O60/TrRoad_tech!O175)</f>
        <v>1.1116404510550084</v>
      </c>
      <c r="P202" s="91">
        <f>IF(TrRoad_act!P63=0,0,TrRoad_emi!P60/TrRoad_tech!P175)</f>
        <v>1.1155856189871938</v>
      </c>
      <c r="Q202" s="91">
        <f>IF(TrRoad_act!Q63=0,0,TrRoad_emi!Q60/TrRoad_tech!Q175)</f>
        <v>1.0906993120606912</v>
      </c>
      <c r="R202" s="91">
        <f>IF(TrRoad_act!R63=0,0,TrRoad_emi!R60/TrRoad_tech!R175)</f>
        <v>1.0529016488975522</v>
      </c>
      <c r="S202" s="91">
        <f>IF(TrRoad_act!S63=0,0,TrRoad_emi!S60/TrRoad_tech!S175)</f>
        <v>1.0556315131662031</v>
      </c>
      <c r="T202" s="91">
        <f>IF(TrRoad_act!T63=0,0,TrRoad_emi!T60/TrRoad_tech!T175)</f>
        <v>1.0275428517558065</v>
      </c>
      <c r="U202" s="91">
        <f>IF(TrRoad_act!U63=0,0,TrRoad_emi!U60/TrRoad_tech!U175)</f>
        <v>1.0146920389856764</v>
      </c>
      <c r="V202" s="91">
        <f>IF(TrRoad_act!V63=0,0,TrRoad_emi!V60/TrRoad_tech!V175)</f>
        <v>1.0165675186911667</v>
      </c>
      <c r="W202" s="91">
        <f>IF(TrRoad_act!W63=0,0,TrRoad_emi!W60/TrRoad_tech!W175)</f>
        <v>1.0643754196430706</v>
      </c>
      <c r="X202" s="91">
        <f>IF(TrRoad_act!X63=0,0,TrRoad_emi!X60/TrRoad_tech!X175)</f>
        <v>1.0710416694189928</v>
      </c>
      <c r="Y202" s="91">
        <f>IF(TrRoad_act!Y63=0,0,TrRoad_emi!Y60/TrRoad_tech!Y175)</f>
        <v>1.0420526363591576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0.92170462096487016</v>
      </c>
      <c r="C203" s="91">
        <f>IF(TrRoad_act!C64=0,0,TrRoad_emi!C61/TrRoad_tech!C176)</f>
        <v>0.92271837172413718</v>
      </c>
      <c r="D203" s="91">
        <f>IF(TrRoad_act!D64=0,0,TrRoad_emi!D61/TrRoad_tech!D176)</f>
        <v>0.90975926896095771</v>
      </c>
      <c r="E203" s="91">
        <f>IF(TrRoad_act!E64=0,0,TrRoad_emi!E61/TrRoad_tech!E176)</f>
        <v>0.91248012713049798</v>
      </c>
      <c r="F203" s="91">
        <f>IF(TrRoad_act!F64=0,0,TrRoad_emi!F61/TrRoad_tech!F176)</f>
        <v>0.93586985059320649</v>
      </c>
      <c r="G203" s="91">
        <f>IF(TrRoad_act!G64=0,0,TrRoad_emi!G61/TrRoad_tech!G176)</f>
        <v>0.9881404309011812</v>
      </c>
      <c r="H203" s="91">
        <f>IF(TrRoad_act!H64=0,0,TrRoad_emi!H61/TrRoad_tech!H176)</f>
        <v>1.0309657557641294</v>
      </c>
      <c r="I203" s="91">
        <f>IF(TrRoad_act!I64=0,0,TrRoad_emi!I61/TrRoad_tech!I176)</f>
        <v>1.0330032501332473</v>
      </c>
      <c r="J203" s="91">
        <f>IF(TrRoad_act!J64=0,0,TrRoad_emi!J61/TrRoad_tech!J176)</f>
        <v>1.0358038783186019</v>
      </c>
      <c r="K203" s="91">
        <f>IF(TrRoad_act!K64=0,0,TrRoad_emi!K61/TrRoad_tech!K176)</f>
        <v>0.92717749693183937</v>
      </c>
      <c r="L203" s="91">
        <f>IF(TrRoad_act!L64=0,0,TrRoad_emi!L61/TrRoad_tech!L176)</f>
        <v>1.0414960031285674</v>
      </c>
      <c r="M203" s="91">
        <f>IF(TrRoad_act!M64=0,0,TrRoad_emi!M61/TrRoad_tech!M176)</f>
        <v>1.0428687059386641</v>
      </c>
      <c r="N203" s="91">
        <f>IF(TrRoad_act!N64=0,0,TrRoad_emi!N61/TrRoad_tech!N176)</f>
        <v>1.0448703665188614</v>
      </c>
      <c r="O203" s="91">
        <f>IF(TrRoad_act!O64=0,0,TrRoad_emi!O61/TrRoad_tech!O176)</f>
        <v>1.0635858417396373</v>
      </c>
      <c r="P203" s="91">
        <f>IF(TrRoad_act!P64=0,0,TrRoad_emi!P61/TrRoad_tech!P176)</f>
        <v>1.0502482564895346</v>
      </c>
      <c r="Q203" s="91">
        <f>IF(TrRoad_act!Q64=0,0,TrRoad_emi!Q61/TrRoad_tech!Q176)</f>
        <v>1.0713199271165412</v>
      </c>
      <c r="R203" s="91">
        <f>IF(TrRoad_act!R64=0,0,TrRoad_emi!R61/TrRoad_tech!R176)</f>
        <v>1.0549962882136978</v>
      </c>
      <c r="S203" s="91">
        <f>IF(TrRoad_act!S64=0,0,TrRoad_emi!S61/TrRoad_tech!S176)</f>
        <v>0.92457340142983713</v>
      </c>
      <c r="T203" s="91">
        <f>IF(TrRoad_act!T64=0,0,TrRoad_emi!T61/TrRoad_tech!T176)</f>
        <v>0.88689726063320085</v>
      </c>
      <c r="U203" s="91">
        <f>IF(TrRoad_act!U64=0,0,TrRoad_emi!U61/TrRoad_tech!U176)</f>
        <v>1.0601271338155545</v>
      </c>
      <c r="V203" s="91">
        <f>IF(TrRoad_act!V64=0,0,TrRoad_emi!V61/TrRoad_tech!V176)</f>
        <v>1.0609020080475735</v>
      </c>
      <c r="W203" s="91">
        <f>IF(TrRoad_act!W64=0,0,TrRoad_emi!W61/TrRoad_tech!W176)</f>
        <v>1.1593136554468082</v>
      </c>
      <c r="X203" s="91">
        <f>IF(TrRoad_act!X64=0,0,TrRoad_emi!X61/TrRoad_tech!X176)</f>
        <v>1.0617148534050562</v>
      </c>
      <c r="Y203" s="91">
        <f>IF(TrRoad_act!Y64=0,0,TrRoad_emi!Y61/TrRoad_tech!Y176)</f>
        <v>1.0619458699669173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0.94527565192047991</v>
      </c>
      <c r="O204" s="91">
        <f>IF(TrRoad_act!O65=0,0,TrRoad_emi!O62/TrRoad_tech!O177)</f>
        <v>0.96153491831724403</v>
      </c>
      <c r="P204" s="91">
        <f>IF(TrRoad_act!P65=0,0,TrRoad_emi!P62/TrRoad_tech!P177)</f>
        <v>0.97727981345419856</v>
      </c>
      <c r="Q204" s="91">
        <f>IF(TrRoad_act!Q65=0,0,TrRoad_emi!Q62/TrRoad_tech!Q177)</f>
        <v>0.99296125284425796</v>
      </c>
      <c r="R204" s="91">
        <f>IF(TrRoad_act!R65=0,0,TrRoad_emi!R62/TrRoad_tech!R177)</f>
        <v>0.94046278848344689</v>
      </c>
      <c r="S204" s="91">
        <f>IF(TrRoad_act!S65=0,0,TrRoad_emi!S62/TrRoad_tech!S177)</f>
        <v>0.94831901183280365</v>
      </c>
      <c r="T204" s="91">
        <f>IF(TrRoad_act!T65=0,0,TrRoad_emi!T62/TrRoad_tech!T177)</f>
        <v>1.0729578049748003</v>
      </c>
      <c r="U204" s="91">
        <f>IF(TrRoad_act!U65=0,0,TrRoad_emi!U62/TrRoad_tech!U177)</f>
        <v>1.0714411309569987</v>
      </c>
      <c r="V204" s="91">
        <f>IF(TrRoad_act!V65=0,0,TrRoad_emi!V62/TrRoad_tech!V177)</f>
        <v>1.0806703043898898</v>
      </c>
      <c r="W204" s="91">
        <f>IF(TrRoad_act!W65=0,0,TrRoad_emi!W62/TrRoad_tech!W177)</f>
        <v>1.3378762514713198</v>
      </c>
      <c r="X204" s="91">
        <f>IF(TrRoad_act!X65=0,0,TrRoad_emi!X62/TrRoad_tech!X177)</f>
        <v>1.4360524231765865</v>
      </c>
      <c r="Y204" s="91">
        <f>IF(TrRoad_act!Y65=0,0,TrRoad_emi!Y62/TrRoad_tech!Y177)</f>
        <v>1.328114986852535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1.0977178491224195</v>
      </c>
      <c r="C206" s="151">
        <f>IF(TrRoad_act!C67=0,0,TrRoad_emi!C64/TrRoad_tech!C179)</f>
        <v>1.0935887016123178</v>
      </c>
      <c r="D206" s="151">
        <f>IF(TrRoad_act!D67=0,0,TrRoad_emi!D64/TrRoad_tech!D179)</f>
        <v>1.0915970321457047</v>
      </c>
      <c r="E206" s="151">
        <f>IF(TrRoad_act!E67=0,0,TrRoad_emi!E64/TrRoad_tech!E179)</f>
        <v>1.0980104698064688</v>
      </c>
      <c r="F206" s="151">
        <f>IF(TrRoad_act!F67=0,0,TrRoad_emi!F64/TrRoad_tech!F179)</f>
        <v>1.0785263138910195</v>
      </c>
      <c r="G206" s="151">
        <f>IF(TrRoad_act!G67=0,0,TrRoad_emi!G64/TrRoad_tech!G179)</f>
        <v>1.0903025189676034</v>
      </c>
      <c r="H206" s="151">
        <f>IF(TrRoad_act!H67=0,0,TrRoad_emi!H64/TrRoad_tech!H179)</f>
        <v>1.0934246215899852</v>
      </c>
      <c r="I206" s="151">
        <f>IF(TrRoad_act!I67=0,0,TrRoad_emi!I64/TrRoad_tech!I179)</f>
        <v>1.0977392685808367</v>
      </c>
      <c r="J206" s="151">
        <f>IF(TrRoad_act!J67=0,0,TrRoad_emi!J64/TrRoad_tech!J179)</f>
        <v>1.0892220257924978</v>
      </c>
      <c r="K206" s="151">
        <f>IF(TrRoad_act!K67=0,0,TrRoad_emi!K64/TrRoad_tech!K179)</f>
        <v>1.0677217075646304</v>
      </c>
      <c r="L206" s="151">
        <f>IF(TrRoad_act!L67=0,0,TrRoad_emi!L64/TrRoad_tech!L179)</f>
        <v>1.0606859428758466</v>
      </c>
      <c r="M206" s="151">
        <f>IF(TrRoad_act!M67=0,0,TrRoad_emi!M64/TrRoad_tech!M179)</f>
        <v>1.0732254463889275</v>
      </c>
      <c r="N206" s="151">
        <f>IF(TrRoad_act!N67=0,0,TrRoad_emi!N64/TrRoad_tech!N179)</f>
        <v>1.0888343533488956</v>
      </c>
      <c r="O206" s="151">
        <f>IF(TrRoad_act!O67=0,0,TrRoad_emi!O64/TrRoad_tech!O179)</f>
        <v>1.1615705840605668</v>
      </c>
      <c r="P206" s="151">
        <f>IF(TrRoad_act!P67=0,0,TrRoad_emi!P64/TrRoad_tech!P179)</f>
        <v>1.1001672618280092</v>
      </c>
      <c r="Q206" s="151">
        <f>IF(TrRoad_act!Q67=0,0,TrRoad_emi!Q64/TrRoad_tech!Q179)</f>
        <v>1.1155741813885671</v>
      </c>
      <c r="R206" s="151">
        <f>IF(TrRoad_act!R67=0,0,TrRoad_emi!R64/TrRoad_tech!R179)</f>
        <v>1.133714994892947</v>
      </c>
      <c r="S206" s="151">
        <f>IF(TrRoad_act!S67=0,0,TrRoad_emi!S64/TrRoad_tech!S179)</f>
        <v>1.1542215778279237</v>
      </c>
      <c r="T206" s="151">
        <f>IF(TrRoad_act!T67=0,0,TrRoad_emi!T64/TrRoad_tech!T179)</f>
        <v>1.3119239076854674</v>
      </c>
      <c r="U206" s="151">
        <f>IF(TrRoad_act!U67=0,0,TrRoad_emi!U64/TrRoad_tech!U179)</f>
        <v>1.1558498673924391</v>
      </c>
      <c r="V206" s="151">
        <f>IF(TrRoad_act!V67=0,0,TrRoad_emi!V64/TrRoad_tech!V179)</f>
        <v>1.1372030389946401</v>
      </c>
      <c r="W206" s="151">
        <f>IF(TrRoad_act!W67=0,0,TrRoad_emi!W64/TrRoad_tech!W179)</f>
        <v>1.2042418109691126</v>
      </c>
      <c r="X206" s="151">
        <f>IF(TrRoad_act!X67=0,0,TrRoad_emi!X64/TrRoad_tech!X179)</f>
        <v>1.1802257149318176</v>
      </c>
      <c r="Y206" s="151">
        <f>IF(TrRoad_act!Y67=0,0,TrRoad_emi!Y64/TrRoad_tech!Y179)</f>
        <v>1.2131728385306286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1.1000000000067303</v>
      </c>
      <c r="C207" s="93">
        <f>IF(TrRoad_act!C68=0,0,TrRoad_emi!C65/TrRoad_tech!C180)</f>
        <v>1.1000000000067303</v>
      </c>
      <c r="D207" s="93">
        <f>IF(TrRoad_act!D68=0,0,TrRoad_emi!D65/TrRoad_tech!D180)</f>
        <v>1.1000000000067296</v>
      </c>
      <c r="E207" s="93">
        <f>IF(TrRoad_act!E68=0,0,TrRoad_emi!E65/TrRoad_tech!E180)</f>
        <v>1.1000000000067303</v>
      </c>
      <c r="F207" s="93">
        <f>IF(TrRoad_act!F68=0,0,TrRoad_emi!F65/TrRoad_tech!F180)</f>
        <v>1.1000000000067303</v>
      </c>
      <c r="G207" s="93">
        <f>IF(TrRoad_act!G68=0,0,TrRoad_emi!G65/TrRoad_tech!G180)</f>
        <v>1.10000000000673</v>
      </c>
      <c r="H207" s="93">
        <f>IF(TrRoad_act!H68=0,0,TrRoad_emi!H65/TrRoad_tech!H180)</f>
        <v>1.1000000000067307</v>
      </c>
      <c r="I207" s="93">
        <f>IF(TrRoad_act!I68=0,0,TrRoad_emi!I65/TrRoad_tech!I180)</f>
        <v>1.101406962877596</v>
      </c>
      <c r="J207" s="93">
        <f>IF(TrRoad_act!J68=0,0,TrRoad_emi!J65/TrRoad_tech!J180)</f>
        <v>1.1004366470344642</v>
      </c>
      <c r="K207" s="93">
        <f>IF(TrRoad_act!K68=0,0,TrRoad_emi!K65/TrRoad_tech!K180)</f>
        <v>1.1022779887513345</v>
      </c>
      <c r="L207" s="93">
        <f>IF(TrRoad_act!L68=0,0,TrRoad_emi!L65/TrRoad_tech!L180)</f>
        <v>1.1020645388204149</v>
      </c>
      <c r="M207" s="93">
        <f>IF(TrRoad_act!M68=0,0,TrRoad_emi!M65/TrRoad_tech!M180)</f>
        <v>1.1053074668826772</v>
      </c>
      <c r="N207" s="93">
        <f>IF(TrRoad_act!N68=0,0,TrRoad_emi!N65/TrRoad_tech!N180)</f>
        <v>1.1062249723591644</v>
      </c>
      <c r="O207" s="93">
        <f>IF(TrRoad_act!O68=0,0,TrRoad_emi!O65/TrRoad_tech!O180)</f>
        <v>1.1822428804583356</v>
      </c>
      <c r="P207" s="93">
        <f>IF(TrRoad_act!P68=0,0,TrRoad_emi!P65/TrRoad_tech!P180)</f>
        <v>1.2343310049083795</v>
      </c>
      <c r="Q207" s="93">
        <f>IF(TrRoad_act!Q68=0,0,TrRoad_emi!Q65/TrRoad_tech!Q180)</f>
        <v>1.2367077077438697</v>
      </c>
      <c r="R207" s="93">
        <f>IF(TrRoad_act!R68=0,0,TrRoad_emi!R65/TrRoad_tech!R180)</f>
        <v>1.2357067927064935</v>
      </c>
      <c r="S207" s="93">
        <f>IF(TrRoad_act!S68=0,0,TrRoad_emi!S65/TrRoad_tech!S180)</f>
        <v>1.2386468891264284</v>
      </c>
      <c r="T207" s="93">
        <f>IF(TrRoad_act!T68=0,0,TrRoad_emi!T65/TrRoad_tech!T180)</f>
        <v>1.2392671959657489</v>
      </c>
      <c r="U207" s="93">
        <f>IF(TrRoad_act!U68=0,0,TrRoad_emi!U65/TrRoad_tech!U180)</f>
        <v>1.2927818854446367</v>
      </c>
      <c r="V207" s="93">
        <f>IF(TrRoad_act!V68=0,0,TrRoad_emi!V65/TrRoad_tech!V180)</f>
        <v>1.2957935011314317</v>
      </c>
      <c r="W207" s="93">
        <f>IF(TrRoad_act!W68=0,0,TrRoad_emi!W65/TrRoad_tech!W180)</f>
        <v>1.2987810799595814</v>
      </c>
      <c r="X207" s="93">
        <f>IF(TrRoad_act!X68=0,0,TrRoad_emi!X65/TrRoad_tech!X180)</f>
        <v>1.3050453073363717</v>
      </c>
      <c r="Y207" s="93">
        <f>IF(TrRoad_act!Y68=0,0,TrRoad_emi!Y65/TrRoad_tech!Y180)</f>
        <v>1.3031760465373239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1.1000000000067303</v>
      </c>
      <c r="C208" s="93">
        <f>IF(TrRoad_act!C69=0,0,TrRoad_emi!C66/TrRoad_tech!C181)</f>
        <v>1.1005494337065087</v>
      </c>
      <c r="D208" s="93">
        <f>IF(TrRoad_act!D69=0,0,TrRoad_emi!D66/TrRoad_tech!D181)</f>
        <v>1.1017987067289012</v>
      </c>
      <c r="E208" s="93">
        <f>IF(TrRoad_act!E69=0,0,TrRoad_emi!E66/TrRoad_tech!E181)</f>
        <v>1.1036166021661693</v>
      </c>
      <c r="F208" s="93">
        <f>IF(TrRoad_act!F69=0,0,TrRoad_emi!F66/TrRoad_tech!F181)</f>
        <v>1.0936603796675326</v>
      </c>
      <c r="G208" s="93">
        <f>IF(TrRoad_act!G69=0,0,TrRoad_emi!G66/TrRoad_tech!G181)</f>
        <v>1.1012138434098329</v>
      </c>
      <c r="H208" s="93">
        <f>IF(TrRoad_act!H69=0,0,TrRoad_emi!H66/TrRoad_tech!H181)</f>
        <v>1.1067859159325004</v>
      </c>
      <c r="I208" s="93">
        <f>IF(TrRoad_act!I69=0,0,TrRoad_emi!I66/TrRoad_tech!I181)</f>
        <v>1.1127603395340755</v>
      </c>
      <c r="J208" s="93">
        <f>IF(TrRoad_act!J69=0,0,TrRoad_emi!J66/TrRoad_tech!J181)</f>
        <v>1.0945338028980351</v>
      </c>
      <c r="K208" s="93">
        <f>IF(TrRoad_act!K69=0,0,TrRoad_emi!K66/TrRoad_tech!K181)</f>
        <v>1.0803666086306267</v>
      </c>
      <c r="L208" s="93">
        <f>IF(TrRoad_act!L69=0,0,TrRoad_emi!L66/TrRoad_tech!L181)</f>
        <v>1.0749872846230355</v>
      </c>
      <c r="M208" s="93">
        <f>IF(TrRoad_act!M69=0,0,TrRoad_emi!M66/TrRoad_tech!M181)</f>
        <v>1.0851952292232476</v>
      </c>
      <c r="N208" s="93">
        <f>IF(TrRoad_act!N69=0,0,TrRoad_emi!N66/TrRoad_tech!N181)</f>
        <v>1.0899603103354631</v>
      </c>
      <c r="O208" s="93">
        <f>IF(TrRoad_act!O69=0,0,TrRoad_emi!O66/TrRoad_tech!O181)</f>
        <v>1.098901950278822</v>
      </c>
      <c r="P208" s="93">
        <f>IF(TrRoad_act!P69=0,0,TrRoad_emi!P66/TrRoad_tech!P181)</f>
        <v>1.1205398969749281</v>
      </c>
      <c r="Q208" s="93">
        <f>IF(TrRoad_act!Q69=0,0,TrRoad_emi!Q66/TrRoad_tech!Q181)</f>
        <v>1.1279415058665034</v>
      </c>
      <c r="R208" s="93">
        <f>IF(TrRoad_act!R69=0,0,TrRoad_emi!R66/TrRoad_tech!R181)</f>
        <v>1.1461826858230015</v>
      </c>
      <c r="S208" s="93">
        <f>IF(TrRoad_act!S69=0,0,TrRoad_emi!S66/TrRoad_tech!S181)</f>
        <v>1.153886993486815</v>
      </c>
      <c r="T208" s="93">
        <f>IF(TrRoad_act!T69=0,0,TrRoad_emi!T66/TrRoad_tech!T181)</f>
        <v>1.1547681541636572</v>
      </c>
      <c r="U208" s="93">
        <f>IF(TrRoad_act!U69=0,0,TrRoad_emi!U66/TrRoad_tech!U181)</f>
        <v>1.1725157216563606</v>
      </c>
      <c r="V208" s="93">
        <f>IF(TrRoad_act!V69=0,0,TrRoad_emi!V66/TrRoad_tech!V181)</f>
        <v>1.1712096056356276</v>
      </c>
      <c r="W208" s="93">
        <f>IF(TrRoad_act!W69=0,0,TrRoad_emi!W66/TrRoad_tech!W181)</f>
        <v>1.1882847608074099</v>
      </c>
      <c r="X208" s="93">
        <f>IF(TrRoad_act!X69=0,0,TrRoad_emi!X66/TrRoad_tech!X181)</f>
        <v>1.2071638337248303</v>
      </c>
      <c r="Y208" s="93">
        <f>IF(TrRoad_act!Y69=0,0,TrRoad_emi!Y66/TrRoad_tech!Y181)</f>
        <v>1.2165046795996437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1.1000000000067307</v>
      </c>
      <c r="C209" s="93">
        <f>IF(TrRoad_act!C70=0,0,TrRoad_emi!C67/TrRoad_tech!C182)</f>
        <v>1.1005836006121001</v>
      </c>
      <c r="D209" s="93">
        <f>IF(TrRoad_act!D70=0,0,TrRoad_emi!D67/TrRoad_tech!D182)</f>
        <v>1.1006077922035127</v>
      </c>
      <c r="E209" s="93">
        <f>IF(TrRoad_act!E70=0,0,TrRoad_emi!E67/TrRoad_tech!E182)</f>
        <v>1.1035398590579231</v>
      </c>
      <c r="F209" s="93">
        <f>IF(TrRoad_act!F70=0,0,TrRoad_emi!F67/TrRoad_tech!F182)</f>
        <v>1.1123756141524292</v>
      </c>
      <c r="G209" s="93">
        <f>IF(TrRoad_act!G70=0,0,TrRoad_emi!G67/TrRoad_tech!G182)</f>
        <v>1.1200139995921399</v>
      </c>
      <c r="H209" s="93">
        <f>IF(TrRoad_act!H70=0,0,TrRoad_emi!H67/TrRoad_tech!H182)</f>
        <v>1.123090242669968</v>
      </c>
      <c r="I209" s="93">
        <f>IF(TrRoad_act!I70=0,0,TrRoad_emi!I67/TrRoad_tech!I182)</f>
        <v>1.1295203907804581</v>
      </c>
      <c r="J209" s="93">
        <f>IF(TrRoad_act!J70=0,0,TrRoad_emi!J67/TrRoad_tech!J182)</f>
        <v>1.1374865230086295</v>
      </c>
      <c r="K209" s="93">
        <f>IF(TrRoad_act!K70=0,0,TrRoad_emi!K67/TrRoad_tech!K182)</f>
        <v>1.1515714957431757</v>
      </c>
      <c r="L209" s="93">
        <f>IF(TrRoad_act!L70=0,0,TrRoad_emi!L67/TrRoad_tech!L182)</f>
        <v>1.1519423226208343</v>
      </c>
      <c r="M209" s="93">
        <f>IF(TrRoad_act!M70=0,0,TrRoad_emi!M67/TrRoad_tech!M182)</f>
        <v>1.1531069994296039</v>
      </c>
      <c r="N209" s="93">
        <f>IF(TrRoad_act!N70=0,0,TrRoad_emi!N67/TrRoad_tech!N182)</f>
        <v>1.1540632774628095</v>
      </c>
      <c r="O209" s="93">
        <f>IF(TrRoad_act!O70=0,0,TrRoad_emi!O67/TrRoad_tech!O182)</f>
        <v>1.1555083024617188</v>
      </c>
      <c r="P209" s="93">
        <f>IF(TrRoad_act!P70=0,0,TrRoad_emi!P67/TrRoad_tech!P182)</f>
        <v>1.1566537931616245</v>
      </c>
      <c r="Q209" s="93">
        <f>IF(TrRoad_act!Q70=0,0,TrRoad_emi!Q67/TrRoad_tech!Q182)</f>
        <v>1.1575956289523723</v>
      </c>
      <c r="R209" s="93">
        <f>IF(TrRoad_act!R70=0,0,TrRoad_emi!R67/TrRoad_tech!R182)</f>
        <v>1.1583964409244394</v>
      </c>
      <c r="S209" s="93">
        <f>IF(TrRoad_act!S70=0,0,TrRoad_emi!S67/TrRoad_tech!S182)</f>
        <v>1.1588207725395037</v>
      </c>
      <c r="T209" s="93">
        <f>IF(TrRoad_act!T70=0,0,TrRoad_emi!T67/TrRoad_tech!T182)</f>
        <v>1.1594416292087983</v>
      </c>
      <c r="U209" s="93">
        <f>IF(TrRoad_act!U70=0,0,TrRoad_emi!U67/TrRoad_tech!U182)</f>
        <v>1.1595708196024224</v>
      </c>
      <c r="V209" s="93">
        <f>IF(TrRoad_act!V70=0,0,TrRoad_emi!V67/TrRoad_tech!V182)</f>
        <v>1.1653298686684792</v>
      </c>
      <c r="W209" s="93">
        <f>IF(TrRoad_act!W70=0,0,TrRoad_emi!W67/TrRoad_tech!W182)</f>
        <v>1.1665318133729181</v>
      </c>
      <c r="X209" s="93">
        <f>IF(TrRoad_act!X70=0,0,TrRoad_emi!X67/TrRoad_tech!X182)</f>
        <v>1.1688789796178523</v>
      </c>
      <c r="Y209" s="93">
        <f>IF(TrRoad_act!Y70=0,0,TrRoad_emi!Y67/TrRoad_tech!Y182)</f>
        <v>1.1725551614166931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9.7535947094386288E-2</v>
      </c>
      <c r="C210" s="93">
        <f>IF(TrRoad_act!C71=0,0,TrRoad_emi!C68/TrRoad_tech!C183)</f>
        <v>9.7616156506596316E-2</v>
      </c>
      <c r="D210" s="93">
        <f>IF(TrRoad_act!D71=0,0,TrRoad_emi!D68/TrRoad_tech!D183)</f>
        <v>9.7670661002477441E-2</v>
      </c>
      <c r="E210" s="93">
        <f>IF(TrRoad_act!E71=0,0,TrRoad_emi!E68/TrRoad_tech!E183)</f>
        <v>9.7496932662366545E-2</v>
      </c>
      <c r="F210" s="93">
        <f>IF(TrRoad_act!F71=0,0,TrRoad_emi!F68/TrRoad_tech!F183)</f>
        <v>9.7481504046130499E-2</v>
      </c>
      <c r="G210" s="93">
        <f>IF(TrRoad_act!G71=0,0,TrRoad_emi!G68/TrRoad_tech!G183)</f>
        <v>9.7254353829362913E-2</v>
      </c>
      <c r="H210" s="93">
        <f>IF(TrRoad_act!H71=0,0,TrRoad_emi!H68/TrRoad_tech!H183)</f>
        <v>9.8009371229344527E-2</v>
      </c>
      <c r="I210" s="93">
        <f>IF(TrRoad_act!I71=0,0,TrRoad_emi!I68/TrRoad_tech!I183)</f>
        <v>0.32413250826484924</v>
      </c>
      <c r="J210" s="93">
        <f>IF(TrRoad_act!J71=0,0,TrRoad_emi!J68/TrRoad_tech!J183)</f>
        <v>0.72540404713350648</v>
      </c>
      <c r="K210" s="93">
        <f>IF(TrRoad_act!K71=0,0,TrRoad_emi!K68/TrRoad_tech!K183)</f>
        <v>0.52379495877132665</v>
      </c>
      <c r="L210" s="93">
        <f>IF(TrRoad_act!L71=0,0,TrRoad_emi!L68/TrRoad_tech!L183)</f>
        <v>0.55526765382752252</v>
      </c>
      <c r="M210" s="93">
        <f>IF(TrRoad_act!M71=0,0,TrRoad_emi!M68/TrRoad_tech!M183)</f>
        <v>0.88794710666261534</v>
      </c>
      <c r="N210" s="93">
        <f>IF(TrRoad_act!N71=0,0,TrRoad_emi!N68/TrRoad_tech!N183)</f>
        <v>1.1185293470788733</v>
      </c>
      <c r="O210" s="93">
        <f>IF(TrRoad_act!O71=0,0,TrRoad_emi!O68/TrRoad_tech!O183)</f>
        <v>1.1929125734846722</v>
      </c>
      <c r="P210" s="93">
        <f>IF(TrRoad_act!P71=0,0,TrRoad_emi!P68/TrRoad_tech!P183)</f>
        <v>1.0093323063290842</v>
      </c>
      <c r="Q210" s="93">
        <f>IF(TrRoad_act!Q71=0,0,TrRoad_emi!Q68/TrRoad_tech!Q183)</f>
        <v>1.1989854510922437</v>
      </c>
      <c r="R210" s="93">
        <f>IF(TrRoad_act!R71=0,0,TrRoad_emi!R68/TrRoad_tech!R183)</f>
        <v>0.75768447746784784</v>
      </c>
      <c r="S210" s="93">
        <f>IF(TrRoad_act!S71=0,0,TrRoad_emi!S68/TrRoad_tech!S183)</f>
        <v>0.89164540793840297</v>
      </c>
      <c r="T210" s="93">
        <f>IF(TrRoad_act!T71=0,0,TrRoad_emi!T68/TrRoad_tech!T183)</f>
        <v>0.82023326739634572</v>
      </c>
      <c r="U210" s="93">
        <f>IF(TrRoad_act!U71=0,0,TrRoad_emi!U68/TrRoad_tech!U183)</f>
        <v>0.96855879294435254</v>
      </c>
      <c r="V210" s="93">
        <f>IF(TrRoad_act!V71=0,0,TrRoad_emi!V68/TrRoad_tech!V183)</f>
        <v>0.48399103369147956</v>
      </c>
      <c r="W210" s="93">
        <f>IF(TrRoad_act!W71=0,0,TrRoad_emi!W68/TrRoad_tech!W183)</f>
        <v>1.4620179831677973</v>
      </c>
      <c r="X210" s="93">
        <f>IF(TrRoad_act!X71=0,0,TrRoad_emi!X68/TrRoad_tech!X183)</f>
        <v>0.58195570964351939</v>
      </c>
      <c r="Y210" s="93">
        <f>IF(TrRoad_act!Y71=0,0,TrRoad_emi!Y68/TrRoad_tech!Y183)</f>
        <v>0.36838058326983669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1.0938778442352839</v>
      </c>
      <c r="C213" s="150">
        <f>IF(TrRoad_act!C74=0,0,TrRoad_emi!C71/TrRoad_tech!C186)</f>
        <v>1.0785668599407086</v>
      </c>
      <c r="D213" s="150">
        <f>IF(TrRoad_act!D74=0,0,TrRoad_emi!D71/TrRoad_tech!D186)</f>
        <v>1.0689334569505378</v>
      </c>
      <c r="E213" s="150">
        <f>IF(TrRoad_act!E74=0,0,TrRoad_emi!E71/TrRoad_tech!E186)</f>
        <v>1.0819832345605338</v>
      </c>
      <c r="F213" s="150">
        <f>IF(TrRoad_act!F74=0,0,TrRoad_emi!F71/TrRoad_tech!F186)</f>
        <v>1.0975109444670199</v>
      </c>
      <c r="G213" s="150">
        <f>IF(TrRoad_act!G74=0,0,TrRoad_emi!G71/TrRoad_tech!G186)</f>
        <v>1.0997205414720004</v>
      </c>
      <c r="H213" s="150">
        <f>IF(TrRoad_act!H74=0,0,TrRoad_emi!H71/TrRoad_tech!H186)</f>
        <v>1.1072536390048942</v>
      </c>
      <c r="I213" s="150">
        <f>IF(TrRoad_act!I74=0,0,TrRoad_emi!I71/TrRoad_tech!I186)</f>
        <v>1.1025173753787696</v>
      </c>
      <c r="J213" s="150">
        <f>IF(TrRoad_act!J74=0,0,TrRoad_emi!J71/TrRoad_tech!J186)</f>
        <v>1.0776308700304846</v>
      </c>
      <c r="K213" s="150">
        <f>IF(TrRoad_act!K74=0,0,TrRoad_emi!K71/TrRoad_tech!K186)</f>
        <v>1.072572343320479</v>
      </c>
      <c r="L213" s="150">
        <f>IF(TrRoad_act!L74=0,0,TrRoad_emi!L71/TrRoad_tech!L186)</f>
        <v>1.1278216853091203</v>
      </c>
      <c r="M213" s="150">
        <f>IF(TrRoad_act!M74=0,0,TrRoad_emi!M71/TrRoad_tech!M186)</f>
        <v>1.1677574917426217</v>
      </c>
      <c r="N213" s="150">
        <f>IF(TrRoad_act!N74=0,0,TrRoad_emi!N71/TrRoad_tech!N186)</f>
        <v>1.1454887943861496</v>
      </c>
      <c r="O213" s="150">
        <f>IF(TrRoad_act!O74=0,0,TrRoad_emi!O71/TrRoad_tech!O186)</f>
        <v>1.1751826740890894</v>
      </c>
      <c r="P213" s="150">
        <f>IF(TrRoad_act!P74=0,0,TrRoad_emi!P71/TrRoad_tech!P186)</f>
        <v>1.1869337160563409</v>
      </c>
      <c r="Q213" s="150">
        <f>IF(TrRoad_act!Q74=0,0,TrRoad_emi!Q71/TrRoad_tech!Q186)</f>
        <v>1.1728674772008609</v>
      </c>
      <c r="R213" s="150">
        <f>IF(TrRoad_act!R74=0,0,TrRoad_emi!R71/TrRoad_tech!R186)</f>
        <v>1.1693154134506261</v>
      </c>
      <c r="S213" s="150">
        <f>IF(TrRoad_act!S74=0,0,TrRoad_emi!S71/TrRoad_tech!S186)</f>
        <v>1.1810957819048995</v>
      </c>
      <c r="T213" s="150">
        <f>IF(TrRoad_act!T74=0,0,TrRoad_emi!T71/TrRoad_tech!T186)</f>
        <v>1.1570548710469788</v>
      </c>
      <c r="U213" s="150">
        <f>IF(TrRoad_act!U74=0,0,TrRoad_emi!U71/TrRoad_tech!U186)</f>
        <v>1.1405229564587616</v>
      </c>
      <c r="V213" s="150">
        <f>IF(TrRoad_act!V74=0,0,TrRoad_emi!V71/TrRoad_tech!V186)</f>
        <v>1.064190296610628</v>
      </c>
      <c r="W213" s="150">
        <f>IF(TrRoad_act!W74=0,0,TrRoad_emi!W71/TrRoad_tech!W186)</f>
        <v>1.0856816714854511</v>
      </c>
      <c r="X213" s="150">
        <f>IF(TrRoad_act!X74=0,0,TrRoad_emi!X71/TrRoad_tech!X186)</f>
        <v>1.0944843723582176</v>
      </c>
      <c r="Y213" s="150">
        <f>IF(TrRoad_act!Y74=0,0,TrRoad_emi!Y71/TrRoad_tech!Y186)</f>
        <v>1.0996482214108896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</v>
      </c>
      <c r="C214" s="91">
        <f>IF(TrRoad_act!C75=0,0,TrRoad_emi!C72/TrRoad_tech!C187)</f>
        <v>1.1000508844018146</v>
      </c>
      <c r="D214" s="91">
        <f>IF(TrRoad_act!D75=0,0,TrRoad_emi!D72/TrRoad_tech!D187)</f>
        <v>1.1001971439285942</v>
      </c>
      <c r="E214" s="91">
        <f>IF(TrRoad_act!E75=0,0,TrRoad_emi!E72/TrRoad_tech!E187)</f>
        <v>1.1004142839646804</v>
      </c>
      <c r="F214" s="91">
        <f>IF(TrRoad_act!F75=0,0,TrRoad_emi!F72/TrRoad_tech!F187)</f>
        <v>1.1006263628277531</v>
      </c>
      <c r="G214" s="91">
        <f>IF(TrRoad_act!G75=0,0,TrRoad_emi!G72/TrRoad_tech!G187)</f>
        <v>1.1010860005498073</v>
      </c>
      <c r="H214" s="91">
        <f>IF(TrRoad_act!H75=0,0,TrRoad_emi!H72/TrRoad_tech!H187)</f>
        <v>1.1019822113869873</v>
      </c>
      <c r="I214" s="91">
        <f>IF(TrRoad_act!I75=0,0,TrRoad_emi!I72/TrRoad_tech!I187)</f>
        <v>1.1022183496084974</v>
      </c>
      <c r="J214" s="91">
        <f>IF(TrRoad_act!J75=0,0,TrRoad_emi!J72/TrRoad_tech!J187)</f>
        <v>1.0965234884856565</v>
      </c>
      <c r="K214" s="91">
        <f>IF(TrRoad_act!K75=0,0,TrRoad_emi!K72/TrRoad_tech!K187)</f>
        <v>1.0950941085256649</v>
      </c>
      <c r="L214" s="91">
        <f>IF(TrRoad_act!L75=0,0,TrRoad_emi!L72/TrRoad_tech!L187)</f>
        <v>1.0923372643997264</v>
      </c>
      <c r="M214" s="91">
        <f>IF(TrRoad_act!M75=0,0,TrRoad_emi!M72/TrRoad_tech!M187)</f>
        <v>1.09616323032659</v>
      </c>
      <c r="N214" s="91">
        <f>IF(TrRoad_act!N75=0,0,TrRoad_emi!N72/TrRoad_tech!N187)</f>
        <v>1.0993619056230848</v>
      </c>
      <c r="O214" s="91">
        <f>IF(TrRoad_act!O75=0,0,TrRoad_emi!O72/TrRoad_tech!O187)</f>
        <v>1.1085894905410645</v>
      </c>
      <c r="P214" s="91">
        <f>IF(TrRoad_act!P75=0,0,TrRoad_emi!P72/TrRoad_tech!P187)</f>
        <v>1.1248651445024223</v>
      </c>
      <c r="Q214" s="91">
        <f>IF(TrRoad_act!Q75=0,0,TrRoad_emi!Q72/TrRoad_tech!Q187)</f>
        <v>1.1312346132140942</v>
      </c>
      <c r="R214" s="91">
        <f>IF(TrRoad_act!R75=0,0,TrRoad_emi!R72/TrRoad_tech!R187)</f>
        <v>1.1393629330481452</v>
      </c>
      <c r="S214" s="91">
        <f>IF(TrRoad_act!S75=0,0,TrRoad_emi!S72/TrRoad_tech!S187)</f>
        <v>1.1500467223419326</v>
      </c>
      <c r="T214" s="91">
        <f>IF(TrRoad_act!T75=0,0,TrRoad_emi!T72/TrRoad_tech!T187)</f>
        <v>1.164936308319096</v>
      </c>
      <c r="U214" s="91">
        <f>IF(TrRoad_act!U75=0,0,TrRoad_emi!U72/TrRoad_tech!U187)</f>
        <v>1.1853994737990985</v>
      </c>
      <c r="V214" s="91">
        <f>IF(TrRoad_act!V75=0,0,TrRoad_emi!V72/TrRoad_tech!V187)</f>
        <v>1.2012931190604823</v>
      </c>
      <c r="W214" s="91">
        <f>IF(TrRoad_act!W75=0,0,TrRoad_emi!W72/TrRoad_tech!W187)</f>
        <v>1.2323835486198722</v>
      </c>
      <c r="X214" s="91">
        <f>IF(TrRoad_act!X75=0,0,TrRoad_emi!X72/TrRoad_tech!X187)</f>
        <v>1.264067334166552</v>
      </c>
      <c r="Y214" s="91">
        <f>IF(TrRoad_act!Y75=0,0,TrRoad_emi!Y72/TrRoad_tech!Y187)</f>
        <v>1.2833977083002692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1.1000000000067305</v>
      </c>
      <c r="C215" s="91">
        <f>IF(TrRoad_act!C76=0,0,TrRoad_emi!C73/TrRoad_tech!C188)</f>
        <v>1.1000969178964604</v>
      </c>
      <c r="D215" s="91">
        <f>IF(TrRoad_act!D76=0,0,TrRoad_emi!D73/TrRoad_tech!D188)</f>
        <v>1.1003621796870975</v>
      </c>
      <c r="E215" s="91">
        <f>IF(TrRoad_act!E76=0,0,TrRoad_emi!E73/TrRoad_tech!E188)</f>
        <v>1.1007581573554077</v>
      </c>
      <c r="F215" s="91">
        <f>IF(TrRoad_act!F76=0,0,TrRoad_emi!F73/TrRoad_tech!F188)</f>
        <v>1.0887712654992812</v>
      </c>
      <c r="G215" s="91">
        <f>IF(TrRoad_act!G76=0,0,TrRoad_emi!G73/TrRoad_tech!G188)</f>
        <v>1.093525633396758</v>
      </c>
      <c r="H215" s="91">
        <f>IF(TrRoad_act!H76=0,0,TrRoad_emi!H73/TrRoad_tech!H188)</f>
        <v>1.0960435181122024</v>
      </c>
      <c r="I215" s="91">
        <f>IF(TrRoad_act!I76=0,0,TrRoad_emi!I73/TrRoad_tech!I188)</f>
        <v>1.0991594789042396</v>
      </c>
      <c r="J215" s="91">
        <f>IF(TrRoad_act!J76=0,0,TrRoad_emi!J73/TrRoad_tech!J188)</f>
        <v>1.0775338774736898</v>
      </c>
      <c r="K215" s="91">
        <f>IF(TrRoad_act!K76=0,0,TrRoad_emi!K73/TrRoad_tech!K188)</f>
        <v>1.0605205340689403</v>
      </c>
      <c r="L215" s="91">
        <f>IF(TrRoad_act!L76=0,0,TrRoad_emi!L73/TrRoad_tech!L188)</f>
        <v>1.0508946837448612</v>
      </c>
      <c r="M215" s="91">
        <f>IF(TrRoad_act!M76=0,0,TrRoad_emi!M73/TrRoad_tech!M188)</f>
        <v>1.0552224269367505</v>
      </c>
      <c r="N215" s="91">
        <f>IF(TrRoad_act!N76=0,0,TrRoad_emi!N73/TrRoad_tech!N188)</f>
        <v>1.0588830577959023</v>
      </c>
      <c r="O215" s="91">
        <f>IF(TrRoad_act!O76=0,0,TrRoad_emi!O73/TrRoad_tech!O188)</f>
        <v>1.0679270126797289</v>
      </c>
      <c r="P215" s="91">
        <f>IF(TrRoad_act!P76=0,0,TrRoad_emi!P73/TrRoad_tech!P188)</f>
        <v>1.0856178205804357</v>
      </c>
      <c r="Q215" s="91">
        <f>IF(TrRoad_act!Q76=0,0,TrRoad_emi!Q73/TrRoad_tech!Q188)</f>
        <v>1.0902766482137896</v>
      </c>
      <c r="R215" s="91">
        <f>IF(TrRoad_act!R76=0,0,TrRoad_emi!R73/TrRoad_tech!R188)</f>
        <v>1.1092072009865916</v>
      </c>
      <c r="S215" s="91">
        <f>IF(TrRoad_act!S76=0,0,TrRoad_emi!S73/TrRoad_tech!S188)</f>
        <v>1.1193778966480485</v>
      </c>
      <c r="T215" s="91">
        <f>IF(TrRoad_act!T76=0,0,TrRoad_emi!T73/TrRoad_tech!T188)</f>
        <v>1.1252538894952693</v>
      </c>
      <c r="U215" s="91">
        <f>IF(TrRoad_act!U76=0,0,TrRoad_emi!U73/TrRoad_tech!U188)</f>
        <v>1.1381681008381452</v>
      </c>
      <c r="V215" s="91">
        <f>IF(TrRoad_act!V76=0,0,TrRoad_emi!V73/TrRoad_tech!V188)</f>
        <v>1.1351072778414011</v>
      </c>
      <c r="W215" s="91">
        <f>IF(TrRoad_act!W76=0,0,TrRoad_emi!W73/TrRoad_tech!W188)</f>
        <v>1.1572827738892197</v>
      </c>
      <c r="X215" s="91">
        <f>IF(TrRoad_act!X76=0,0,TrRoad_emi!X73/TrRoad_tech!X188)</f>
        <v>1.1757688904319137</v>
      </c>
      <c r="Y215" s="91">
        <f>IF(TrRoad_act!Y76=0,0,TrRoad_emi!Y73/TrRoad_tech!Y188)</f>
        <v>1.1882218582632653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1.1000000000067305</v>
      </c>
      <c r="C216" s="91">
        <f>IF(TrRoad_act!C77=0,0,TrRoad_emi!C74/TrRoad_tech!C189)</f>
        <v>1.1001195253820157</v>
      </c>
      <c r="D216" s="91">
        <f>IF(TrRoad_act!D77=0,0,TrRoad_emi!D74/TrRoad_tech!D189)</f>
        <v>1.1004154975948961</v>
      </c>
      <c r="E216" s="91">
        <f>IF(TrRoad_act!E77=0,0,TrRoad_emi!E74/TrRoad_tech!E189)</f>
        <v>1.1008613909799632</v>
      </c>
      <c r="F216" s="91">
        <f>IF(TrRoad_act!F77=0,0,TrRoad_emi!F74/TrRoad_tech!F189)</f>
        <v>1.101375805263801</v>
      </c>
      <c r="G216" s="91">
        <f>IF(TrRoad_act!G77=0,0,TrRoad_emi!G74/TrRoad_tech!G189)</f>
        <v>1.1022333395974022</v>
      </c>
      <c r="H216" s="91">
        <f>IF(TrRoad_act!H77=0,0,TrRoad_emi!H74/TrRoad_tech!H189)</f>
        <v>1.1037978950340486</v>
      </c>
      <c r="I216" s="91">
        <f>IF(TrRoad_act!I77=0,0,TrRoad_emi!I74/TrRoad_tech!I189)</f>
        <v>1.1040478822155908</v>
      </c>
      <c r="J216" s="91">
        <f>IF(TrRoad_act!J77=0,0,TrRoad_emi!J74/TrRoad_tech!J189)</f>
        <v>1.1081277234974232</v>
      </c>
      <c r="K216" s="91">
        <f>IF(TrRoad_act!K77=0,0,TrRoad_emi!K74/TrRoad_tech!K189)</f>
        <v>1.1153364631501415</v>
      </c>
      <c r="L216" s="91">
        <f>IF(TrRoad_act!L77=0,0,TrRoad_emi!L74/TrRoad_tech!L189)</f>
        <v>1.1191319860111013</v>
      </c>
      <c r="M216" s="91">
        <f>IF(TrRoad_act!M77=0,0,TrRoad_emi!M74/TrRoad_tech!M189)</f>
        <v>1.121672625023787</v>
      </c>
      <c r="N216" s="91">
        <f>IF(TrRoad_act!N77=0,0,TrRoad_emi!N74/TrRoad_tech!N189)</f>
        <v>1.1370773544121404</v>
      </c>
      <c r="O216" s="91">
        <f>IF(TrRoad_act!O77=0,0,TrRoad_emi!O74/TrRoad_tech!O189)</f>
        <v>1.1433526940685039</v>
      </c>
      <c r="P216" s="91">
        <f>IF(TrRoad_act!P77=0,0,TrRoad_emi!P74/TrRoad_tech!P189)</f>
        <v>1.1511194873561454</v>
      </c>
      <c r="Q216" s="91">
        <f>IF(TrRoad_act!Q77=0,0,TrRoad_emi!Q74/TrRoad_tech!Q189)</f>
        <v>1.160377313329304</v>
      </c>
      <c r="R216" s="91">
        <f>IF(TrRoad_act!R77=0,0,TrRoad_emi!R74/TrRoad_tech!R189)</f>
        <v>1.1732696467307107</v>
      </c>
      <c r="S216" s="91">
        <f>IF(TrRoad_act!S77=0,0,TrRoad_emi!S74/TrRoad_tech!S189)</f>
        <v>1.1856453042021387</v>
      </c>
      <c r="T216" s="91">
        <f>IF(TrRoad_act!T77=0,0,TrRoad_emi!T74/TrRoad_tech!T189)</f>
        <v>1.2016282999580792</v>
      </c>
      <c r="U216" s="91">
        <f>IF(TrRoad_act!U77=0,0,TrRoad_emi!U74/TrRoad_tech!U189)</f>
        <v>1.2142720549718562</v>
      </c>
      <c r="V216" s="91">
        <f>IF(TrRoad_act!V77=0,0,TrRoad_emi!V74/TrRoad_tech!V189)</f>
        <v>1.2237398021041113</v>
      </c>
      <c r="W216" s="91">
        <f>IF(TrRoad_act!W77=0,0,TrRoad_emi!W74/TrRoad_tech!W189)</f>
        <v>1.2414400972434174</v>
      </c>
      <c r="X216" s="91">
        <f>IF(TrRoad_act!X77=0,0,TrRoad_emi!X74/TrRoad_tech!X189)</f>
        <v>1.2730782809932724</v>
      </c>
      <c r="Y216" s="91">
        <f>IF(TrRoad_act!Y77=0,0,TrRoad_emi!Y74/TrRoad_tech!Y189)</f>
        <v>1.2911269460047148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1.0946865637309242</v>
      </c>
      <c r="C217" s="91">
        <f>IF(TrRoad_act!C78=0,0,TrRoad_emi!C75/TrRoad_tech!C190)</f>
        <v>1.0963031560377661</v>
      </c>
      <c r="D217" s="91">
        <f>IF(TrRoad_act!D78=0,0,TrRoad_emi!D75/TrRoad_tech!D190)</f>
        <v>1.0986405348190142</v>
      </c>
      <c r="E217" s="91">
        <f>IF(TrRoad_act!E78=0,0,TrRoad_emi!E75/TrRoad_tech!E190)</f>
        <v>1.0992959680576344</v>
      </c>
      <c r="F217" s="91">
        <f>IF(TrRoad_act!F78=0,0,TrRoad_emi!F75/TrRoad_tech!F190)</f>
        <v>1.1023022121208537</v>
      </c>
      <c r="G217" s="91">
        <f>IF(TrRoad_act!G78=0,0,TrRoad_emi!G75/TrRoad_tech!G190)</f>
        <v>1.1046889147928292</v>
      </c>
      <c r="H217" s="91">
        <f>IF(TrRoad_act!H78=0,0,TrRoad_emi!H75/TrRoad_tech!H190)</f>
        <v>1.1193211117024198</v>
      </c>
      <c r="I217" s="91">
        <f>IF(TrRoad_act!I78=0,0,TrRoad_emi!I75/TrRoad_tech!I190)</f>
        <v>1.1213412336340118</v>
      </c>
      <c r="J217" s="91">
        <f>IF(TrRoad_act!J78=0,0,TrRoad_emi!J75/TrRoad_tech!J190)</f>
        <v>1.1355300063922174</v>
      </c>
      <c r="K217" s="91">
        <f>IF(TrRoad_act!K78=0,0,TrRoad_emi!K75/TrRoad_tech!K190)</f>
        <v>1.0858883223690794</v>
      </c>
      <c r="L217" s="91">
        <f>IF(TrRoad_act!L78=0,0,TrRoad_emi!L75/TrRoad_tech!L190)</f>
        <v>1.1692836741895956</v>
      </c>
      <c r="M217" s="91">
        <f>IF(TrRoad_act!M78=0,0,TrRoad_emi!M75/TrRoad_tech!M190)</f>
        <v>1.1788515358938949</v>
      </c>
      <c r="N217" s="91">
        <f>IF(TrRoad_act!N78=0,0,TrRoad_emi!N75/TrRoad_tech!N190)</f>
        <v>1.1944777624632037</v>
      </c>
      <c r="O217" s="91">
        <f>IF(TrRoad_act!O78=0,0,TrRoad_emi!O75/TrRoad_tech!O190)</f>
        <v>1.2211744174749382</v>
      </c>
      <c r="P217" s="91">
        <f>IF(TrRoad_act!P78=0,0,TrRoad_emi!P75/TrRoad_tech!P190)</f>
        <v>1.207548822007227</v>
      </c>
      <c r="Q217" s="91">
        <f>IF(TrRoad_act!Q78=0,0,TrRoad_emi!Q75/TrRoad_tech!Q190)</f>
        <v>1.2347345794506743</v>
      </c>
      <c r="R217" s="91">
        <f>IF(TrRoad_act!R78=0,0,TrRoad_emi!R75/TrRoad_tech!R190)</f>
        <v>1.2236089747894869</v>
      </c>
      <c r="S217" s="91">
        <f>IF(TrRoad_act!S78=0,0,TrRoad_emi!S75/TrRoad_tech!S190)</f>
        <v>1.1333460921367424</v>
      </c>
      <c r="T217" s="91">
        <f>IF(TrRoad_act!T78=0,0,TrRoad_emi!T75/TrRoad_tech!T190)</f>
        <v>1.0482309171181738</v>
      </c>
      <c r="U217" s="91">
        <f>IF(TrRoad_act!U78=0,0,TrRoad_emi!U75/TrRoad_tech!U190)</f>
        <v>1.2468985940320108</v>
      </c>
      <c r="V217" s="91">
        <f>IF(TrRoad_act!V78=0,0,TrRoad_emi!V75/TrRoad_tech!V190)</f>
        <v>1.2534141884927978</v>
      </c>
      <c r="W217" s="91">
        <f>IF(TrRoad_act!W78=0,0,TrRoad_emi!W75/TrRoad_tech!W190)</f>
        <v>1.3752058565382332</v>
      </c>
      <c r="X217" s="91">
        <f>IF(TrRoad_act!X78=0,0,TrRoad_emi!X75/TrRoad_tech!X190)</f>
        <v>1.2617586584481977</v>
      </c>
      <c r="Y217" s="91">
        <f>IF(TrRoad_act!Y78=0,0,TrRoad_emi!Y75/TrRoad_tech!Y190)</f>
        <v>1.2655631561798297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0.61733185175317806</v>
      </c>
      <c r="C219" s="151">
        <f>IF(TrRoad_act!C80=0,0,TrRoad_emi!C77/TrRoad_tech!C192)</f>
        <v>0.938136644028851</v>
      </c>
      <c r="D219" s="151">
        <f>IF(TrRoad_act!D80=0,0,TrRoad_emi!D77/TrRoad_tech!D192)</f>
        <v>0.94163664805570457</v>
      </c>
      <c r="E219" s="151">
        <f>IF(TrRoad_act!E80=0,0,TrRoad_emi!E77/TrRoad_tech!E192)</f>
        <v>0.9425058579974801</v>
      </c>
      <c r="F219" s="151">
        <f>IF(TrRoad_act!F80=0,0,TrRoad_emi!F77/TrRoad_tech!F192)</f>
        <v>0.8418068320089438</v>
      </c>
      <c r="G219" s="151">
        <f>IF(TrRoad_act!G80=0,0,TrRoad_emi!G77/TrRoad_tech!G192)</f>
        <v>0.8685724904130343</v>
      </c>
      <c r="H219" s="151">
        <f>IF(TrRoad_act!H80=0,0,TrRoad_emi!H77/TrRoad_tech!H192)</f>
        <v>1.1284428460723135</v>
      </c>
      <c r="I219" s="151">
        <f>IF(TrRoad_act!I80=0,0,TrRoad_emi!I77/TrRoad_tech!I192)</f>
        <v>1.1045262822187714</v>
      </c>
      <c r="J219" s="151">
        <f>IF(TrRoad_act!J80=0,0,TrRoad_emi!J77/TrRoad_tech!J192)</f>
        <v>0.85776763801878031</v>
      </c>
      <c r="K219" s="151">
        <f>IF(TrRoad_act!K80=0,0,TrRoad_emi!K77/TrRoad_tech!K192)</f>
        <v>0.65606790576331964</v>
      </c>
      <c r="L219" s="151">
        <f>IF(TrRoad_act!L80=0,0,TrRoad_emi!L77/TrRoad_tech!L192)</f>
        <v>0.60208028968733485</v>
      </c>
      <c r="M219" s="151">
        <f>IF(TrRoad_act!M80=0,0,TrRoad_emi!M77/TrRoad_tech!M192)</f>
        <v>0.78514070111061451</v>
      </c>
      <c r="N219" s="151">
        <f>IF(TrRoad_act!N80=0,0,TrRoad_emi!N77/TrRoad_tech!N192)</f>
        <v>1.0633202463652887</v>
      </c>
      <c r="O219" s="151">
        <f>IF(TrRoad_act!O80=0,0,TrRoad_emi!O77/TrRoad_tech!O192)</f>
        <v>0.85876164255655563</v>
      </c>
      <c r="P219" s="151">
        <f>IF(TrRoad_act!P80=0,0,TrRoad_emi!P77/TrRoad_tech!P192)</f>
        <v>0.90201505538597426</v>
      </c>
      <c r="Q219" s="151">
        <f>IF(TrRoad_act!Q80=0,0,TrRoad_emi!Q77/TrRoad_tech!Q192)</f>
        <v>1.0112528437242039</v>
      </c>
      <c r="R219" s="151">
        <f>IF(TrRoad_act!R80=0,0,TrRoad_emi!R77/TrRoad_tech!R192)</f>
        <v>0.88767941964144403</v>
      </c>
      <c r="S219" s="151">
        <f>IF(TrRoad_act!S80=0,0,TrRoad_emi!S77/TrRoad_tech!S192)</f>
        <v>0.52217752591315869</v>
      </c>
      <c r="T219" s="151">
        <f>IF(TrRoad_act!T80=0,0,TrRoad_emi!T77/TrRoad_tech!T192)</f>
        <v>0.90316350808127588</v>
      </c>
      <c r="U219" s="151">
        <f>IF(TrRoad_act!U80=0,0,TrRoad_emi!U77/TrRoad_tech!U192)</f>
        <v>0.89632880883736665</v>
      </c>
      <c r="V219" s="151">
        <f>IF(TrRoad_act!V80=0,0,TrRoad_emi!V77/TrRoad_tech!V192)</f>
        <v>0.73929507037283904</v>
      </c>
      <c r="W219" s="151">
        <f>IF(TrRoad_act!W80=0,0,TrRoad_emi!W77/TrRoad_tech!W192)</f>
        <v>1.2485446931000648</v>
      </c>
      <c r="X219" s="151">
        <f>IF(TrRoad_act!X80=0,0,TrRoad_emi!X77/TrRoad_tech!X192)</f>
        <v>1.7317958225383494</v>
      </c>
      <c r="Y219" s="151">
        <f>IF(TrRoad_act!Y80=0,0,TrRoad_emi!Y77/TrRoad_tech!Y192)</f>
        <v>1.8283918552788407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0.65731940801562494</v>
      </c>
      <c r="C220" s="93">
        <f>IF(TrRoad_act!C81=0,0,TrRoad_emi!C78/TrRoad_tech!C193)</f>
        <v>0.99950796253260499</v>
      </c>
      <c r="D220" s="93">
        <f>IF(TrRoad_act!D81=0,0,TrRoad_emi!D78/TrRoad_tech!D193)</f>
        <v>1.0038336438990942</v>
      </c>
      <c r="E220" s="93">
        <f>IF(TrRoad_act!E81=0,0,TrRoad_emi!E78/TrRoad_tech!E193)</f>
        <v>1.0050599524168959</v>
      </c>
      <c r="F220" s="93">
        <f>IF(TrRoad_act!F81=0,0,TrRoad_emi!F78/TrRoad_tech!F193)</f>
        <v>0.899095189161775</v>
      </c>
      <c r="G220" s="93">
        <f>IF(TrRoad_act!G81=0,0,TrRoad_emi!G78/TrRoad_tech!G193)</f>
        <v>0.92793420121269088</v>
      </c>
      <c r="H220" s="93">
        <f>IF(TrRoad_act!H81=0,0,TrRoad_emi!H78/TrRoad_tech!H193)</f>
        <v>1.2058752397497701</v>
      </c>
      <c r="I220" s="93">
        <f>IF(TrRoad_act!I81=0,0,TrRoad_emi!I78/TrRoad_tech!I193)</f>
        <v>1.1801969762335442</v>
      </c>
      <c r="J220" s="93">
        <f>IF(TrRoad_act!J81=0,0,TrRoad_emi!J78/TrRoad_tech!J193)</f>
        <v>0.91659251335811298</v>
      </c>
      <c r="K220" s="93">
        <f>IF(TrRoad_act!K81=0,0,TrRoad_emi!K78/TrRoad_tech!K193)</f>
        <v>0.70106408122056174</v>
      </c>
      <c r="L220" s="93">
        <f>IF(TrRoad_act!L81=0,0,TrRoad_emi!L78/TrRoad_tech!L193)</f>
        <v>0.64329156757597883</v>
      </c>
      <c r="M220" s="93">
        <f>IF(TrRoad_act!M81=0,0,TrRoad_emi!M78/TrRoad_tech!M193)</f>
        <v>0.83889534629689877</v>
      </c>
      <c r="N220" s="93">
        <f>IF(TrRoad_act!N81=0,0,TrRoad_emi!N78/TrRoad_tech!N193)</f>
        <v>1.1355779374926582</v>
      </c>
      <c r="O220" s="93">
        <f>IF(TrRoad_act!O81=0,0,TrRoad_emi!O78/TrRoad_tech!O193)</f>
        <v>0.91650134841145625</v>
      </c>
      <c r="P220" s="93">
        <f>IF(TrRoad_act!P81=0,0,TrRoad_emi!P78/TrRoad_tech!P193)</f>
        <v>0.96076551641118857</v>
      </c>
      <c r="Q220" s="93">
        <f>IF(TrRoad_act!Q81=0,0,TrRoad_emi!Q78/TrRoad_tech!Q193)</f>
        <v>1.0750763338390792</v>
      </c>
      <c r="R220" s="93">
        <f>IF(TrRoad_act!R81=0,0,TrRoad_emi!R78/TrRoad_tech!R193)</f>
        <v>0.94248371132025155</v>
      </c>
      <c r="S220" s="93">
        <f>IF(TrRoad_act!S81=0,0,TrRoad_emi!S78/TrRoad_tech!S193)</f>
        <v>0.55315082127793636</v>
      </c>
      <c r="T220" s="93">
        <f>IF(TrRoad_act!T81=0,0,TrRoad_emi!T78/TrRoad_tech!T193)</f>
        <v>0.95363018469252536</v>
      </c>
      <c r="U220" s="93">
        <f>IF(TrRoad_act!U81=0,0,TrRoad_emi!U78/TrRoad_tech!U193)</f>
        <v>0.94308404671093682</v>
      </c>
      <c r="V220" s="93">
        <f>IF(TrRoad_act!V81=0,0,TrRoad_emi!V78/TrRoad_tech!V193)</f>
        <v>0.77674714974190029</v>
      </c>
      <c r="W220" s="93">
        <f>IF(TrRoad_act!W81=0,0,TrRoad_emi!W78/TrRoad_tech!W193)</f>
        <v>1.3062373172124582</v>
      </c>
      <c r="X220" s="93">
        <f>IF(TrRoad_act!X81=0,0,TrRoad_emi!X78/TrRoad_tech!X193)</f>
        <v>1.805157772739941</v>
      </c>
      <c r="Y220" s="93">
        <f>IF(TrRoad_act!Y81=0,0,TrRoad_emi!Y78/TrRoad_tech!Y193)</f>
        <v>1.9022954492009119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0.65731940801562516</v>
      </c>
      <c r="C221" s="94">
        <f>IF(TrRoad_act!C82=0,0,TrRoad_emi!C79/TrRoad_tech!C194)</f>
        <v>0.99973421879406854</v>
      </c>
      <c r="D221" s="94">
        <f>IF(TrRoad_act!D82=0,0,TrRoad_emi!D79/TrRoad_tech!D194)</f>
        <v>1.0044254228384302</v>
      </c>
      <c r="E221" s="94">
        <f>IF(TrRoad_act!E82=0,0,TrRoad_emi!E79/TrRoad_tech!E194)</f>
        <v>1.0059199623815251</v>
      </c>
      <c r="F221" s="94">
        <f>IF(TrRoad_act!F82=0,0,TrRoad_emi!F79/TrRoad_tech!F194)</f>
        <v>0.90230533478515129</v>
      </c>
      <c r="G221" s="94">
        <f>IF(TrRoad_act!G82=0,0,TrRoad_emi!G79/TrRoad_tech!G194)</f>
        <v>0.9317102901066362</v>
      </c>
      <c r="H221" s="94">
        <f>IF(TrRoad_act!H82=0,0,TrRoad_emi!H79/TrRoad_tech!H194)</f>
        <v>1.212484809321233</v>
      </c>
      <c r="I221" s="94">
        <f>IF(TrRoad_act!I82=0,0,TrRoad_emi!I79/TrRoad_tech!I194)</f>
        <v>1.1857980407760824</v>
      </c>
      <c r="J221" s="94">
        <f>IF(TrRoad_act!J82=0,0,TrRoad_emi!J79/TrRoad_tech!J194)</f>
        <v>0.92257193384450686</v>
      </c>
      <c r="K221" s="94">
        <f>IF(TrRoad_act!K82=0,0,TrRoad_emi!K79/TrRoad_tech!K194)</f>
        <v>0.70331616962212506</v>
      </c>
      <c r="L221" s="94">
        <f>IF(TrRoad_act!L82=0,0,TrRoad_emi!L79/TrRoad_tech!L194)</f>
        <v>0.64815240703948152</v>
      </c>
      <c r="M221" s="94">
        <f>IF(TrRoad_act!M82=0,0,TrRoad_emi!M79/TrRoad_tech!M194)</f>
        <v>0.84167993852133616</v>
      </c>
      <c r="N221" s="94">
        <f>IF(TrRoad_act!N82=0,0,TrRoad_emi!N79/TrRoad_tech!N194)</f>
        <v>1.1349809046861867</v>
      </c>
      <c r="O221" s="94">
        <f>IF(TrRoad_act!O82=0,0,TrRoad_emi!O79/TrRoad_tech!O194)</f>
        <v>0.92290011121507887</v>
      </c>
      <c r="P221" s="94">
        <f>IF(TrRoad_act!P82=0,0,TrRoad_emi!P79/TrRoad_tech!P194)</f>
        <v>0.96914676848221959</v>
      </c>
      <c r="Q221" s="94">
        <f>IF(TrRoad_act!Q82=0,0,TrRoad_emi!Q79/TrRoad_tech!Q194)</f>
        <v>1.0817728109387985</v>
      </c>
      <c r="R221" s="94">
        <f>IF(TrRoad_act!R82=0,0,TrRoad_emi!R79/TrRoad_tech!R194)</f>
        <v>0.95892952256766428</v>
      </c>
      <c r="S221" s="94">
        <f>IF(TrRoad_act!S82=0,0,TrRoad_emi!S79/TrRoad_tech!S194)</f>
        <v>0.57085330325453798</v>
      </c>
      <c r="T221" s="94">
        <f>IF(TrRoad_act!T82=0,0,TrRoad_emi!T79/TrRoad_tech!T194)</f>
        <v>0.97934297410596605</v>
      </c>
      <c r="U221" s="94">
        <f>IF(TrRoad_act!U82=0,0,TrRoad_emi!U79/TrRoad_tech!U194)</f>
        <v>0.97374736526365002</v>
      </c>
      <c r="V221" s="94">
        <f>IF(TrRoad_act!V82=0,0,TrRoad_emi!V79/TrRoad_tech!V194)</f>
        <v>0.80794031996734605</v>
      </c>
      <c r="W221" s="94">
        <f>IF(TrRoad_act!W82=0,0,TrRoad_emi!W79/TrRoad_tech!W194)</f>
        <v>1.3794083116956357</v>
      </c>
      <c r="X221" s="94">
        <f>IF(TrRoad_act!X82=0,0,TrRoad_emi!X79/TrRoad_tech!X194)</f>
        <v>1.9044997042440275</v>
      </c>
      <c r="Y221" s="94">
        <f>IF(TrRoad_act!Y82=0,0,TrRoad_emi!Y79/TrRoad_tech!Y194)</f>
        <v>1.989291256060242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90.949412835436561</v>
      </c>
      <c r="C225" s="152">
        <v>90.949412835436561</v>
      </c>
      <c r="D225" s="152">
        <v>90.949412835436561</v>
      </c>
      <c r="E225" s="152">
        <v>89.550191099506762</v>
      </c>
      <c r="F225" s="152">
        <v>89.550191099506762</v>
      </c>
      <c r="G225" s="152">
        <v>89.550191099506762</v>
      </c>
      <c r="H225" s="152">
        <v>88.150969363576962</v>
      </c>
      <c r="I225" s="152">
        <v>85.352525891717363</v>
      </c>
      <c r="J225" s="152">
        <v>83.953304155787578</v>
      </c>
      <c r="K225" s="152">
        <v>79.332273922825095</v>
      </c>
      <c r="L225" s="152">
        <v>76.446915754668936</v>
      </c>
      <c r="M225" s="152">
        <v>74.13479221024312</v>
      </c>
      <c r="N225" s="152">
        <v>72.440043761154996</v>
      </c>
      <c r="O225" s="152">
        <v>70.484937399539646</v>
      </c>
      <c r="P225" s="152">
        <v>69.002815395435661</v>
      </c>
      <c r="Q225" s="152">
        <v>68.148856056976854</v>
      </c>
      <c r="R225" s="152">
        <v>67.023475037008566</v>
      </c>
      <c r="S225" s="152">
        <v>66.123170221033917</v>
      </c>
      <c r="T225" s="152">
        <v>65.402926368254228</v>
      </c>
      <c r="U225" s="152">
        <v>64.826731286030466</v>
      </c>
      <c r="V225" s="152">
        <v>64.365775220251436</v>
      </c>
      <c r="W225" s="152">
        <v>63.997010367628242</v>
      </c>
      <c r="X225" s="152">
        <v>63.701998485529671</v>
      </c>
      <c r="Y225" s="152">
        <v>63.465988979850827</v>
      </c>
      <c r="DA225" s="174" t="s">
        <v>933</v>
      </c>
    </row>
    <row r="226" spans="1:105" ht="11.45" customHeight="1" x14ac:dyDescent="0.25">
      <c r="A226" s="109" t="s">
        <v>20</v>
      </c>
      <c r="B226" s="116">
        <v>195.27063489252785</v>
      </c>
      <c r="C226" s="116">
        <v>195.3052633367183</v>
      </c>
      <c r="D226" s="116">
        <v>194.54738840059753</v>
      </c>
      <c r="E226" s="116">
        <v>192.21956202327863</v>
      </c>
      <c r="F226" s="116">
        <v>190.63699937530387</v>
      </c>
      <c r="G226" s="116">
        <v>189.70048940800754</v>
      </c>
      <c r="H226" s="116">
        <v>188.89036477915167</v>
      </c>
      <c r="I226" s="116">
        <v>185.92562573469004</v>
      </c>
      <c r="J226" s="116">
        <v>182.92122407063144</v>
      </c>
      <c r="K226" s="116">
        <v>170.88852448137706</v>
      </c>
      <c r="L226" s="116">
        <v>165.18053940625782</v>
      </c>
      <c r="M226" s="116">
        <v>162.64205227206773</v>
      </c>
      <c r="N226" s="116">
        <v>158.44301541056987</v>
      </c>
      <c r="O226" s="116">
        <v>152.7927590811932</v>
      </c>
      <c r="P226" s="116">
        <v>148.75394497338212</v>
      </c>
      <c r="Q226" s="116">
        <v>145.03888447593167</v>
      </c>
      <c r="R226" s="116">
        <v>143.90579723213114</v>
      </c>
      <c r="S226" s="116">
        <v>142.9627012174241</v>
      </c>
      <c r="T226" s="116">
        <v>146.02298184621824</v>
      </c>
      <c r="U226" s="116">
        <v>144.42800721520223</v>
      </c>
      <c r="V226" s="116">
        <v>134.61648542327643</v>
      </c>
      <c r="W226" s="116">
        <v>124.08215612593278</v>
      </c>
      <c r="X226" s="116">
        <v>122.89913862234283</v>
      </c>
      <c r="Y226" s="116">
        <v>123.54690529854967</v>
      </c>
      <c r="DA226" s="176" t="s">
        <v>934</v>
      </c>
    </row>
    <row r="227" spans="1:105" ht="11.45" customHeight="1" x14ac:dyDescent="0.25">
      <c r="A227" s="111" t="s">
        <v>110</v>
      </c>
      <c r="B227" s="87">
        <v>185.8946323297811</v>
      </c>
      <c r="C227" s="87">
        <v>185.8946323297811</v>
      </c>
      <c r="D227" s="87">
        <v>185.8946323297811</v>
      </c>
      <c r="E227" s="87">
        <v>183.03471490932287</v>
      </c>
      <c r="F227" s="87">
        <v>183.03471490932287</v>
      </c>
      <c r="G227" s="87">
        <v>183.03471490932287</v>
      </c>
      <c r="H227" s="87">
        <v>180.17479748886467</v>
      </c>
      <c r="I227" s="87">
        <v>174.45496264794838</v>
      </c>
      <c r="J227" s="87">
        <v>171.59504522749023</v>
      </c>
      <c r="K227" s="87">
        <v>162.14996263310687</v>
      </c>
      <c r="L227" s="87">
        <v>156.25247985573569</v>
      </c>
      <c r="M227" s="87">
        <v>151.52634737032915</v>
      </c>
      <c r="N227" s="87">
        <v>148.079187536891</v>
      </c>
      <c r="O227" s="87">
        <v>145.44820064344523</v>
      </c>
      <c r="P227" s="87">
        <v>143.07523664222799</v>
      </c>
      <c r="Q227" s="87">
        <v>139.43250601972377</v>
      </c>
      <c r="R227" s="87">
        <v>140.41662995160655</v>
      </c>
      <c r="S227" s="87">
        <v>137.35913416640037</v>
      </c>
      <c r="T227" s="87">
        <v>139.7885751022074</v>
      </c>
      <c r="U227" s="87">
        <v>142.00543177551361</v>
      </c>
      <c r="V227" s="87">
        <v>134.8869050918484</v>
      </c>
      <c r="W227" s="87">
        <v>128.12522899523941</v>
      </c>
      <c r="X227" s="87">
        <v>125.747199340694</v>
      </c>
      <c r="Y227" s="87">
        <v>126.0607233509221</v>
      </c>
      <c r="DA227" s="171" t="s">
        <v>935</v>
      </c>
    </row>
    <row r="228" spans="1:105" ht="11.45" customHeight="1" x14ac:dyDescent="0.25">
      <c r="A228" s="111" t="s">
        <v>111</v>
      </c>
      <c r="B228" s="87">
        <v>209.29571651226246</v>
      </c>
      <c r="C228" s="87">
        <v>209.29571651226246</v>
      </c>
      <c r="D228" s="87">
        <v>209.29571651226246</v>
      </c>
      <c r="E228" s="87">
        <v>204.68411597894138</v>
      </c>
      <c r="F228" s="87">
        <v>197.51485084214002</v>
      </c>
      <c r="G228" s="87">
        <v>197.86958934470317</v>
      </c>
      <c r="H228" s="87">
        <v>197.0998067941411</v>
      </c>
      <c r="I228" s="87">
        <v>197.29491297055088</v>
      </c>
      <c r="J228" s="87">
        <v>196.63155197075778</v>
      </c>
      <c r="K228" s="87">
        <v>188.90434457192148</v>
      </c>
      <c r="L228" s="87">
        <v>181.64826482973479</v>
      </c>
      <c r="M228" s="87">
        <v>174.64800282778523</v>
      </c>
      <c r="N228" s="87">
        <v>171.13257867331643</v>
      </c>
      <c r="O228" s="87">
        <v>163.56674742972695</v>
      </c>
      <c r="P228" s="87">
        <v>158.4389326719523</v>
      </c>
      <c r="Q228" s="87">
        <v>152.60155966353233</v>
      </c>
      <c r="R228" s="87">
        <v>147.69253796097414</v>
      </c>
      <c r="S228" s="87">
        <v>147.64650472651849</v>
      </c>
      <c r="T228" s="87">
        <v>152.66879004811639</v>
      </c>
      <c r="U228" s="87">
        <v>150.3734946441665</v>
      </c>
      <c r="V228" s="87">
        <v>145.40892123537631</v>
      </c>
      <c r="W228" s="87">
        <v>140.28438347466039</v>
      </c>
      <c r="X228" s="87">
        <v>138.41942820426371</v>
      </c>
      <c r="Y228" s="87">
        <v>141.75249786305849</v>
      </c>
      <c r="DA228" s="171" t="s">
        <v>936</v>
      </c>
    </row>
    <row r="229" spans="1:105" ht="11.45" customHeight="1" x14ac:dyDescent="0.25">
      <c r="A229" s="111" t="s">
        <v>112</v>
      </c>
      <c r="B229" s="87">
        <v>0</v>
      </c>
      <c r="C229" s="87">
        <v>160.04114892769772</v>
      </c>
      <c r="D229" s="87">
        <v>0</v>
      </c>
      <c r="E229" s="87">
        <v>156.51481852759593</v>
      </c>
      <c r="F229" s="87">
        <v>0</v>
      </c>
      <c r="G229" s="87">
        <v>151.30398722098391</v>
      </c>
      <c r="H229" s="87">
        <v>152.32950015780787</v>
      </c>
      <c r="I229" s="87">
        <v>150.8645522018943</v>
      </c>
      <c r="J229" s="87">
        <v>150.35730313664888</v>
      </c>
      <c r="K229" s="87">
        <v>144.44857661935336</v>
      </c>
      <c r="L229" s="87">
        <v>138.90010502135718</v>
      </c>
      <c r="M229" s="87">
        <v>140.06588229859054</v>
      </c>
      <c r="N229" s="87">
        <v>134.61320590606039</v>
      </c>
      <c r="O229" s="87">
        <v>133.95538071727188</v>
      </c>
      <c r="P229" s="87">
        <v>133.83376447353919</v>
      </c>
      <c r="Q229" s="87">
        <v>133.49091357108367</v>
      </c>
      <c r="R229" s="87">
        <v>131.58232302478646</v>
      </c>
      <c r="S229" s="87">
        <v>134.75720945604004</v>
      </c>
      <c r="T229" s="87">
        <v>141.2691085522944</v>
      </c>
      <c r="U229" s="87">
        <v>141.7268768921999</v>
      </c>
      <c r="V229" s="87">
        <v>128.17540775711609</v>
      </c>
      <c r="W229" s="87">
        <v>122.7531555408315</v>
      </c>
      <c r="X229" s="87">
        <v>123.950595094768</v>
      </c>
      <c r="Y229" s="87">
        <v>126.4059302699355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180.11427993746483</v>
      </c>
      <c r="D230" s="87">
        <v>0</v>
      </c>
      <c r="E230" s="87">
        <v>172.08894246620477</v>
      </c>
      <c r="F230" s="87">
        <v>0</v>
      </c>
      <c r="G230" s="87">
        <v>177.34329101534996</v>
      </c>
      <c r="H230" s="87">
        <v>174.57230209323509</v>
      </c>
      <c r="I230" s="87">
        <v>169.03032424900539</v>
      </c>
      <c r="J230" s="87">
        <v>166.25933532689052</v>
      </c>
      <c r="K230" s="87">
        <v>157.10794548245821</v>
      </c>
      <c r="L230" s="87">
        <v>151.39384362498433</v>
      </c>
      <c r="M230" s="87">
        <v>143.13140328232637</v>
      </c>
      <c r="N230" s="87">
        <v>140.19715377734374</v>
      </c>
      <c r="O230" s="87">
        <v>124.41087323606584</v>
      </c>
      <c r="P230" s="87">
        <v>121.28264456811924</v>
      </c>
      <c r="Q230" s="87">
        <v>123.49149453187013</v>
      </c>
      <c r="R230" s="87">
        <v>124.65909602622867</v>
      </c>
      <c r="S230" s="87">
        <v>127.81323412061326</v>
      </c>
      <c r="T230" s="87">
        <v>125.14427860696522</v>
      </c>
      <c r="U230" s="87">
        <v>114.0522403630484</v>
      </c>
      <c r="V230" s="87">
        <v>108.61021772218911</v>
      </c>
      <c r="W230" s="87">
        <v>105.324550783739</v>
      </c>
      <c r="X230" s="87">
        <v>104.9181199291243</v>
      </c>
      <c r="Y230" s="87">
        <v>104.8231256599789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103.73084794382927</v>
      </c>
      <c r="O231" s="87">
        <v>116.57291265021928</v>
      </c>
      <c r="P231" s="87">
        <v>114.78951251058578</v>
      </c>
      <c r="Q231" s="87">
        <v>70.717232846340067</v>
      </c>
      <c r="R231" s="87">
        <v>62.249150942029893</v>
      </c>
      <c r="S231" s="87">
        <v>95.338020963972326</v>
      </c>
      <c r="T231" s="87">
        <v>72.562057422812842</v>
      </c>
      <c r="U231" s="87">
        <v>69.216303317535548</v>
      </c>
      <c r="V231" s="87">
        <v>48.298537960190238</v>
      </c>
      <c r="W231" s="87">
        <v>48.298537960190238</v>
      </c>
      <c r="X231" s="87">
        <v>38.227021407305891</v>
      </c>
      <c r="Y231" s="87">
        <v>33.20925914835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1441.7734132617325</v>
      </c>
      <c r="C233" s="116">
        <v>1437.3924935893037</v>
      </c>
      <c r="D233" s="116">
        <v>1441.7734132617325</v>
      </c>
      <c r="E233" s="116">
        <v>1410.82756799257</v>
      </c>
      <c r="F233" s="116">
        <v>1431.1258681993675</v>
      </c>
      <c r="G233" s="116">
        <v>1407.8103883880585</v>
      </c>
      <c r="H233" s="116">
        <v>1389.7924620314689</v>
      </c>
      <c r="I233" s="116">
        <v>1381.3987626264429</v>
      </c>
      <c r="J233" s="116">
        <v>1373.6670032491393</v>
      </c>
      <c r="K233" s="116">
        <v>1356.8001937400932</v>
      </c>
      <c r="L233" s="116">
        <v>1352.0341206700612</v>
      </c>
      <c r="M233" s="116">
        <v>1350.1682008765752</v>
      </c>
      <c r="N233" s="116">
        <v>1332.7504320220212</v>
      </c>
      <c r="O233" s="116">
        <v>1100.8820066819069</v>
      </c>
      <c r="P233" s="116">
        <v>1343.92766959654</v>
      </c>
      <c r="Q233" s="116">
        <v>1338.7349941250898</v>
      </c>
      <c r="R233" s="116">
        <v>1300.8869738504577</v>
      </c>
      <c r="S233" s="116">
        <v>1252.0116944184517</v>
      </c>
      <c r="T233" s="116">
        <v>970.073383880709</v>
      </c>
      <c r="U233" s="116">
        <v>1171.6211313049243</v>
      </c>
      <c r="V233" s="116">
        <v>1168.4268192914956</v>
      </c>
      <c r="W233" s="116">
        <v>1087.3615998845416</v>
      </c>
      <c r="X233" s="116">
        <v>1054.8010591758973</v>
      </c>
      <c r="Y233" s="116">
        <v>949.41293426749064</v>
      </c>
      <c r="DA233" s="176" t="s">
        <v>941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366.63456139053858</v>
      </c>
      <c r="J234" s="101">
        <v>360.62415874479211</v>
      </c>
      <c r="K234" s="101">
        <v>340.77437252072633</v>
      </c>
      <c r="L234" s="101">
        <v>328.38022231387009</v>
      </c>
      <c r="M234" s="101">
        <v>318.44842014709252</v>
      </c>
      <c r="N234" s="101">
        <v>311.16857285719499</v>
      </c>
      <c r="O234" s="101">
        <v>302.77034965437997</v>
      </c>
      <c r="P234" s="101">
        <v>295.4059206082992</v>
      </c>
      <c r="Q234" s="101">
        <v>288.93121439574969</v>
      </c>
      <c r="R234" s="101">
        <v>0</v>
      </c>
      <c r="S234" s="101">
        <v>277.3806020565234</v>
      </c>
      <c r="T234" s="101">
        <v>0</v>
      </c>
      <c r="U234" s="101">
        <v>267.34560980688462</v>
      </c>
      <c r="V234" s="101">
        <v>262.79093455917257</v>
      </c>
      <c r="W234" s="101">
        <v>258.49935153405306</v>
      </c>
      <c r="X234" s="101">
        <v>254.44218531333701</v>
      </c>
      <c r="Y234" s="101">
        <v>250.59436339339314</v>
      </c>
      <c r="DA234" s="175" t="s">
        <v>942</v>
      </c>
    </row>
    <row r="235" spans="1:105" ht="11.45" customHeight="1" x14ac:dyDescent="0.25">
      <c r="A235" s="111" t="s">
        <v>111</v>
      </c>
      <c r="B235" s="101">
        <v>1441.7734132617325</v>
      </c>
      <c r="C235" s="101">
        <v>1441.7734132617325</v>
      </c>
      <c r="D235" s="101">
        <v>1441.7734132617325</v>
      </c>
      <c r="E235" s="101">
        <v>1436.1633999805583</v>
      </c>
      <c r="F235" s="101">
        <v>1436.1633999805583</v>
      </c>
      <c r="G235" s="101">
        <v>1436.1633999805583</v>
      </c>
      <c r="H235" s="101">
        <v>1430.4868648027696</v>
      </c>
      <c r="I235" s="101">
        <v>1418.8568902921782</v>
      </c>
      <c r="J235" s="101">
        <v>1412.9695173034138</v>
      </c>
      <c r="K235" s="101">
        <v>1392.6888143871818</v>
      </c>
      <c r="L235" s="101">
        <v>1379.6704882929828</v>
      </c>
      <c r="M235" s="101">
        <v>1368.9963881608746</v>
      </c>
      <c r="N235" s="101">
        <v>1361.0359650606867</v>
      </c>
      <c r="O235" s="101">
        <v>1351.6628819708878</v>
      </c>
      <c r="P235" s="101">
        <v>1344.4435051568819</v>
      </c>
      <c r="Q235" s="101">
        <v>1340.2449215971562</v>
      </c>
      <c r="R235" s="101">
        <v>1325.7855889038422</v>
      </c>
      <c r="S235" s="101">
        <v>1302.4023689093167</v>
      </c>
      <c r="T235" s="101">
        <v>1271.4566124179266</v>
      </c>
      <c r="U235" s="101">
        <v>1234.2807265442964</v>
      </c>
      <c r="V235" s="101">
        <v>1192.1386876897654</v>
      </c>
      <c r="W235" s="101">
        <v>1146.1989476058927</v>
      </c>
      <c r="X235" s="101">
        <v>1097.5178150304992</v>
      </c>
      <c r="Y235" s="101">
        <v>1047.0313042331516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1023.1208094558629</v>
      </c>
      <c r="D236" s="101">
        <v>0</v>
      </c>
      <c r="E236" s="101">
        <v>1019.1397946330774</v>
      </c>
      <c r="F236" s="101">
        <v>1019.1397946330774</v>
      </c>
      <c r="G236" s="101">
        <v>1019.1397946330774</v>
      </c>
      <c r="H236" s="101">
        <v>1015.1115741009306</v>
      </c>
      <c r="I236" s="101">
        <v>1006.8586344740939</v>
      </c>
      <c r="J236" s="101">
        <v>1002.6807978165253</v>
      </c>
      <c r="K236" s="101">
        <v>988.2890709382724</v>
      </c>
      <c r="L236" s="101">
        <v>979.05092005496215</v>
      </c>
      <c r="M236" s="101">
        <v>0</v>
      </c>
      <c r="N236" s="101">
        <v>0</v>
      </c>
      <c r="O236" s="101">
        <v>959.17597674722242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916.53931978694141</v>
      </c>
      <c r="W236" s="101">
        <v>0</v>
      </c>
      <c r="X236" s="101">
        <v>0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909.62087813746257</v>
      </c>
      <c r="D237" s="101">
        <v>0</v>
      </c>
      <c r="E237" s="101">
        <v>906.08149728867886</v>
      </c>
      <c r="F237" s="101">
        <v>906.08149728867886</v>
      </c>
      <c r="G237" s="101">
        <v>906.08149728867886</v>
      </c>
      <c r="H237" s="101">
        <v>902.50014749702405</v>
      </c>
      <c r="I237" s="101">
        <v>895.16274792387753</v>
      </c>
      <c r="J237" s="101">
        <v>891.44837967523085</v>
      </c>
      <c r="K237" s="101">
        <v>878.65319936033416</v>
      </c>
      <c r="L237" s="101">
        <v>870.43988296487123</v>
      </c>
      <c r="M237" s="101">
        <v>863.70554853604438</v>
      </c>
      <c r="N237" s="101">
        <v>858.68328429942119</v>
      </c>
      <c r="O237" s="101">
        <v>852.76976696543875</v>
      </c>
      <c r="P237" s="101">
        <v>0</v>
      </c>
      <c r="Q237" s="101">
        <v>0</v>
      </c>
      <c r="R237" s="101">
        <v>843.13677724132526</v>
      </c>
      <c r="S237" s="101">
        <v>840.84083577959734</v>
      </c>
      <c r="T237" s="101">
        <v>838.62680671213093</v>
      </c>
      <c r="U237" s="101">
        <v>836.46388736518782</v>
      </c>
      <c r="V237" s="101">
        <v>834.33364551024738</v>
      </c>
      <c r="W237" s="101">
        <v>832.2250472422561</v>
      </c>
      <c r="X237" s="101">
        <v>830.1314846301334</v>
      </c>
      <c r="Y237" s="101">
        <v>828.04899800824671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0</v>
      </c>
      <c r="C240" s="152">
        <v>229.42006903702639</v>
      </c>
      <c r="D240" s="152">
        <v>229.3764872721307</v>
      </c>
      <c r="E240" s="152">
        <v>224.44431076430106</v>
      </c>
      <c r="F240" s="152">
        <v>217.16765966609913</v>
      </c>
      <c r="G240" s="152">
        <v>217.49301949216348</v>
      </c>
      <c r="H240" s="152">
        <v>216.42180626977495</v>
      </c>
      <c r="I240" s="152">
        <v>218.23575744463037</v>
      </c>
      <c r="J240" s="152">
        <v>215.41279849801478</v>
      </c>
      <c r="K240" s="152">
        <v>206.11020287450239</v>
      </c>
      <c r="L240" s="152">
        <v>197.34086240004495</v>
      </c>
      <c r="M240" s="152">
        <v>191.06076488398477</v>
      </c>
      <c r="N240" s="152">
        <v>184.95813298777509</v>
      </c>
      <c r="O240" s="152">
        <v>181.36848024509987</v>
      </c>
      <c r="P240" s="152">
        <v>175.36130558480829</v>
      </c>
      <c r="Q240" s="152">
        <v>173.36443627686873</v>
      </c>
      <c r="R240" s="152">
        <v>167.48571115837365</v>
      </c>
      <c r="S240" s="152">
        <v>164.09530091305547</v>
      </c>
      <c r="T240" s="152">
        <v>166.99288999132153</v>
      </c>
      <c r="U240" s="152">
        <v>171.11131285793383</v>
      </c>
      <c r="V240" s="152">
        <v>191.46353711368616</v>
      </c>
      <c r="W240" s="152">
        <v>188.94735203950341</v>
      </c>
      <c r="X240" s="152">
        <v>180.5614629940001</v>
      </c>
      <c r="Y240" s="152">
        <v>188.62903474714892</v>
      </c>
      <c r="DA240" s="174" t="s">
        <v>947</v>
      </c>
    </row>
    <row r="241" spans="1:105" ht="11.45" customHeight="1" x14ac:dyDescent="0.25">
      <c r="A241" s="111" t="s">
        <v>110</v>
      </c>
      <c r="B241" s="87">
        <v>0</v>
      </c>
      <c r="C241" s="87">
        <v>208.26787781298995</v>
      </c>
      <c r="D241" s="87">
        <v>208.26787781298995</v>
      </c>
      <c r="E241" s="87">
        <v>205.06375661586702</v>
      </c>
      <c r="F241" s="87">
        <v>205.06375661586702</v>
      </c>
      <c r="G241" s="87">
        <v>205.06375661586702</v>
      </c>
      <c r="H241" s="87">
        <v>201.85963541874406</v>
      </c>
      <c r="I241" s="87">
        <v>0</v>
      </c>
      <c r="J241" s="87">
        <v>192.24727182737536</v>
      </c>
      <c r="K241" s="87">
        <v>181.66543155018576</v>
      </c>
      <c r="L241" s="87">
        <v>175.05816050051365</v>
      </c>
      <c r="M241" s="87">
        <v>169.76355717294396</v>
      </c>
      <c r="N241" s="87">
        <v>165.88270020076106</v>
      </c>
      <c r="O241" s="87">
        <v>161.14095529113632</v>
      </c>
      <c r="P241" s="87">
        <v>165.93512222950076</v>
      </c>
      <c r="Q241" s="87">
        <v>161.62567212948744</v>
      </c>
      <c r="R241" s="87">
        <v>163.6739879971112</v>
      </c>
      <c r="S241" s="87">
        <v>154.40904232960619</v>
      </c>
      <c r="T241" s="87">
        <v>155.52228867707865</v>
      </c>
      <c r="U241" s="87">
        <v>152.10660146699269</v>
      </c>
      <c r="V241" s="87">
        <v>157.1830551739929</v>
      </c>
      <c r="W241" s="87">
        <v>138.62450447128239</v>
      </c>
      <c r="X241" s="87">
        <v>134.45333985542689</v>
      </c>
      <c r="Y241" s="87">
        <v>139.38103788831029</v>
      </c>
      <c r="DA241" s="171" t="s">
        <v>948</v>
      </c>
    </row>
    <row r="242" spans="1:105" ht="11.45" customHeight="1" x14ac:dyDescent="0.25">
      <c r="A242" s="111" t="s">
        <v>111</v>
      </c>
      <c r="B242" s="87">
        <v>0</v>
      </c>
      <c r="C242" s="87">
        <v>231.59836443888435</v>
      </c>
      <c r="D242" s="87">
        <v>231.59836443888435</v>
      </c>
      <c r="E242" s="87">
        <v>226.49534962921402</v>
      </c>
      <c r="F242" s="87">
        <v>218.56212429818038</v>
      </c>
      <c r="G242" s="87">
        <v>218.9546638989242</v>
      </c>
      <c r="H242" s="87">
        <v>218.10285296531001</v>
      </c>
      <c r="I242" s="87">
        <v>218.31874974571917</v>
      </c>
      <c r="J242" s="87">
        <v>217.58470069232811</v>
      </c>
      <c r="K242" s="87">
        <v>209.03407851489965</v>
      </c>
      <c r="L242" s="87">
        <v>201.00478757415499</v>
      </c>
      <c r="M242" s="87">
        <v>193.25857442984298</v>
      </c>
      <c r="N242" s="87">
        <v>189.36854505871526</v>
      </c>
      <c r="O242" s="87">
        <v>183.91860501656777</v>
      </c>
      <c r="P242" s="87">
        <v>177.64290740702944</v>
      </c>
      <c r="Q242" s="87">
        <v>175.23554221911584</v>
      </c>
      <c r="R242" s="87">
        <v>168.95495806424489</v>
      </c>
      <c r="S242" s="87">
        <v>165.22514899076853</v>
      </c>
      <c r="T242" s="87">
        <v>168.57107940475146</v>
      </c>
      <c r="U242" s="87">
        <v>174.30682680425781</v>
      </c>
      <c r="V242" s="87">
        <v>194.92011425580142</v>
      </c>
      <c r="W242" s="87">
        <v>196.48346150050489</v>
      </c>
      <c r="X242" s="87">
        <v>189.13343260084031</v>
      </c>
      <c r="Y242" s="87">
        <v>197.5728396451411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191.07041178992012</v>
      </c>
      <c r="D243" s="87">
        <v>191.07041178992014</v>
      </c>
      <c r="E243" s="87">
        <v>186.86038576743033</v>
      </c>
      <c r="F243" s="87">
        <v>180.3154145432367</v>
      </c>
      <c r="G243" s="87">
        <v>180.63926269881279</v>
      </c>
      <c r="H243" s="87">
        <v>179.93651220121257</v>
      </c>
      <c r="I243" s="87">
        <v>180.11462868677941</v>
      </c>
      <c r="J243" s="87">
        <v>179.50903263585198</v>
      </c>
      <c r="K243" s="87">
        <v>172.45470431855333</v>
      </c>
      <c r="L243" s="87">
        <v>165.8304782358428</v>
      </c>
      <c r="M243" s="87">
        <v>167.2222799437707</v>
      </c>
      <c r="N243" s="87">
        <v>160.71242213121116</v>
      </c>
      <c r="O243" s="87">
        <v>133.73426574342784</v>
      </c>
      <c r="P243" s="87">
        <v>129.33251199823187</v>
      </c>
      <c r="Q243" s="87">
        <v>139.07044533951105</v>
      </c>
      <c r="R243" s="87">
        <v>121.5348943386244</v>
      </c>
      <c r="S243" s="87">
        <v>127.08444434429603</v>
      </c>
      <c r="T243" s="87">
        <v>133.64462208287867</v>
      </c>
      <c r="U243" s="87">
        <v>137.31623931623929</v>
      </c>
      <c r="V243" s="87">
        <v>154.98096363971962</v>
      </c>
      <c r="W243" s="87">
        <v>169.27657399836471</v>
      </c>
      <c r="X243" s="87">
        <v>184.28509226622441</v>
      </c>
      <c r="Y243" s="87">
        <v>172.0053484873809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200.6958687006582</v>
      </c>
      <c r="D244" s="87">
        <v>200.6958687006582</v>
      </c>
      <c r="E244" s="87">
        <v>197.60823995141729</v>
      </c>
      <c r="F244" s="87">
        <v>197.60823995141729</v>
      </c>
      <c r="G244" s="87">
        <v>197.60823995141729</v>
      </c>
      <c r="H244" s="87">
        <v>194.52061120217638</v>
      </c>
      <c r="I244" s="87">
        <v>188.3453537036946</v>
      </c>
      <c r="J244" s="87">
        <v>185.25772495445369</v>
      </c>
      <c r="K244" s="87">
        <v>175.06060934938122</v>
      </c>
      <c r="L244" s="87">
        <v>168.69355929356146</v>
      </c>
      <c r="M244" s="87">
        <v>159.48697310432183</v>
      </c>
      <c r="N244" s="87">
        <v>156.21742804886458</v>
      </c>
      <c r="O244" s="87">
        <v>166.35659623523154</v>
      </c>
      <c r="P244" s="87">
        <v>141.01721145832423</v>
      </c>
      <c r="Q244" s="87">
        <v>147.82590835793991</v>
      </c>
      <c r="R244" s="87">
        <v>143.13888175196308</v>
      </c>
      <c r="S244" s="87">
        <v>145.12241937227654</v>
      </c>
      <c r="T244" s="87">
        <v>149.96464443456389</v>
      </c>
      <c r="U244" s="87">
        <v>157.77229219143581</v>
      </c>
      <c r="V244" s="87">
        <v>166.72241273664014</v>
      </c>
      <c r="W244" s="87">
        <v>183.39803012746231</v>
      </c>
      <c r="X244" s="87">
        <v>148.43143203883491</v>
      </c>
      <c r="Y244" s="87">
        <v>176.35519125683061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1040.7419809790824</v>
      </c>
      <c r="C246" s="116">
        <v>1035.4598204821914</v>
      </c>
      <c r="D246" s="116">
        <v>1028.5007371393724</v>
      </c>
      <c r="E246" s="116">
        <v>1019.7741571154006</v>
      </c>
      <c r="F246" s="116">
        <v>1009.9399805265094</v>
      </c>
      <c r="G246" s="116">
        <v>997.45340319731827</v>
      </c>
      <c r="H246" s="116">
        <v>984.0071614232437</v>
      </c>
      <c r="I246" s="116">
        <v>968.22588830771326</v>
      </c>
      <c r="J246" s="116">
        <v>952.05449813715973</v>
      </c>
      <c r="K246" s="116">
        <v>932.14353861173493</v>
      </c>
      <c r="L246" s="116">
        <v>914.47894764723799</v>
      </c>
      <c r="M246" s="116">
        <v>890.63222254540926</v>
      </c>
      <c r="N246" s="116">
        <v>868.17609965290796</v>
      </c>
      <c r="O246" s="116">
        <v>847.5201138585744</v>
      </c>
      <c r="P246" s="116">
        <v>820.81521867065442</v>
      </c>
      <c r="Q246" s="116">
        <v>793.04712781418266</v>
      </c>
      <c r="R246" s="116">
        <v>772.899674519933</v>
      </c>
      <c r="S246" s="116">
        <v>728.77866305981001</v>
      </c>
      <c r="T246" s="116">
        <v>679.77437395065238</v>
      </c>
      <c r="U246" s="116">
        <v>643.89549897353356</v>
      </c>
      <c r="V246" s="116">
        <v>666.30669859858824</v>
      </c>
      <c r="W246" s="116">
        <v>641.37439435771182</v>
      </c>
      <c r="X246" s="116">
        <v>629.91498873245405</v>
      </c>
      <c r="Y246" s="116">
        <v>618.50813899198351</v>
      </c>
      <c r="DA246" s="176" t="s">
        <v>953</v>
      </c>
    </row>
    <row r="247" spans="1:105" ht="11.45" customHeight="1" x14ac:dyDescent="0.25">
      <c r="A247" s="128" t="s">
        <v>27</v>
      </c>
      <c r="B247" s="101">
        <v>0</v>
      </c>
      <c r="C247" s="101">
        <v>968.33730458776267</v>
      </c>
      <c r="D247" s="101">
        <v>961.74432647441813</v>
      </c>
      <c r="E247" s="101">
        <v>953.53484153435568</v>
      </c>
      <c r="F247" s="101">
        <v>943.72971022343063</v>
      </c>
      <c r="G247" s="101">
        <v>932.35367170553332</v>
      </c>
      <c r="H247" s="101">
        <v>919.43518957985134</v>
      </c>
      <c r="I247" s="101">
        <v>905.00627655774269</v>
      </c>
      <c r="J247" s="101">
        <v>889.10230006862639</v>
      </c>
      <c r="K247" s="101">
        <v>871.76177092838373</v>
      </c>
      <c r="L247" s="101">
        <v>853.02611739793701</v>
      </c>
      <c r="M247" s="101">
        <v>832.93944699590929</v>
      </c>
      <c r="N247" s="101">
        <v>811.54829852086834</v>
      </c>
      <c r="O247" s="101">
        <v>788.90138676735603</v>
      </c>
      <c r="P247" s="101">
        <v>765.04934236150643</v>
      </c>
      <c r="Q247" s="101">
        <v>740.04444914242958</v>
      </c>
      <c r="R247" s="101">
        <v>696.30018076555734</v>
      </c>
      <c r="S247" s="101">
        <v>665.67919290174666</v>
      </c>
      <c r="T247" s="101">
        <v>633.52715564474556</v>
      </c>
      <c r="U247" s="101">
        <v>594.23022121952192</v>
      </c>
      <c r="V247" s="101">
        <v>598.98475808530384</v>
      </c>
      <c r="W247" s="101">
        <v>586.64070845151923</v>
      </c>
      <c r="X247" s="101">
        <v>583.40868528932833</v>
      </c>
      <c r="Y247" s="101">
        <v>577.57459843643505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0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718.06378370741038</v>
      </c>
      <c r="X248" s="88">
        <v>714.10770164996393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55180.7</v>
      </c>
      <c r="C4" s="28">
        <f t="shared" ref="C4:V4" si="1">SUM(C5,C6,C9)</f>
        <v>55665</v>
      </c>
      <c r="D4" s="28">
        <f t="shared" si="1"/>
        <v>55189</v>
      </c>
      <c r="E4" s="28">
        <f t="shared" si="1"/>
        <v>54682</v>
      </c>
      <c r="F4" s="28">
        <f t="shared" si="1"/>
        <v>55259</v>
      </c>
      <c r="G4" s="28">
        <f t="shared" si="1"/>
        <v>56123</v>
      </c>
      <c r="H4" s="28">
        <f t="shared" si="1"/>
        <v>56464</v>
      </c>
      <c r="I4" s="28">
        <f t="shared" si="1"/>
        <v>56505</v>
      </c>
      <c r="J4" s="28">
        <f t="shared" si="1"/>
        <v>56408</v>
      </c>
      <c r="K4" s="28">
        <f t="shared" si="1"/>
        <v>55072</v>
      </c>
      <c r="L4" s="28">
        <f t="shared" si="1"/>
        <v>54255</v>
      </c>
      <c r="M4" s="28">
        <f t="shared" si="1"/>
        <v>53940</v>
      </c>
      <c r="N4" s="28">
        <f t="shared" si="1"/>
        <v>53297</v>
      </c>
      <c r="O4" s="28">
        <f t="shared" si="1"/>
        <v>55323</v>
      </c>
      <c r="P4" s="28">
        <f t="shared" si="1"/>
        <v>56611</v>
      </c>
      <c r="Q4" s="28">
        <f t="shared" si="1"/>
        <v>59035</v>
      </c>
      <c r="R4" s="28">
        <f t="shared" si="1"/>
        <v>59127.064999999995</v>
      </c>
      <c r="S4" s="28">
        <f t="shared" si="1"/>
        <v>60510</v>
      </c>
      <c r="T4" s="28">
        <f t="shared" si="1"/>
        <v>62772</v>
      </c>
      <c r="U4" s="28">
        <f t="shared" si="1"/>
        <v>64200</v>
      </c>
      <c r="V4" s="28">
        <f t="shared" si="1"/>
        <v>26662</v>
      </c>
      <c r="W4" s="28">
        <f t="shared" ref="W4:Y4" si="2">SUM(W5,W6,W9)</f>
        <v>32732</v>
      </c>
      <c r="X4" s="28">
        <f t="shared" si="2"/>
        <v>52785</v>
      </c>
      <c r="Y4" s="28">
        <f t="shared" si="2"/>
        <v>60490</v>
      </c>
      <c r="DA4" s="173" t="s">
        <v>376</v>
      </c>
    </row>
    <row r="5" spans="1:105" ht="11.45" customHeight="1" x14ac:dyDescent="0.25">
      <c r="A5" s="107" t="s">
        <v>23</v>
      </c>
      <c r="B5" s="108">
        <v>5608.7</v>
      </c>
      <c r="C5" s="108">
        <v>5589</v>
      </c>
      <c r="D5" s="108">
        <v>5885</v>
      </c>
      <c r="E5" s="108">
        <v>5984.9999999999991</v>
      </c>
      <c r="F5" s="108">
        <v>6005</v>
      </c>
      <c r="G5" s="108">
        <v>6035</v>
      </c>
      <c r="H5" s="108">
        <v>6279</v>
      </c>
      <c r="I5" s="108">
        <v>6725</v>
      </c>
      <c r="J5" s="108">
        <v>6884</v>
      </c>
      <c r="K5" s="108">
        <v>6948</v>
      </c>
      <c r="L5" s="108">
        <v>7083</v>
      </c>
      <c r="M5" s="108">
        <v>7095.0000000000009</v>
      </c>
      <c r="N5" s="108">
        <v>6538</v>
      </c>
      <c r="O5" s="108">
        <v>6584</v>
      </c>
      <c r="P5" s="108">
        <v>6654</v>
      </c>
      <c r="Q5" s="108">
        <v>6828</v>
      </c>
      <c r="R5" s="108">
        <v>6949</v>
      </c>
      <c r="S5" s="108">
        <v>7279</v>
      </c>
      <c r="T5" s="108">
        <v>7279</v>
      </c>
      <c r="U5" s="108">
        <v>7614</v>
      </c>
      <c r="V5" s="108">
        <v>4393</v>
      </c>
      <c r="W5" s="108">
        <v>5039</v>
      </c>
      <c r="X5" s="108">
        <v>6287</v>
      </c>
      <c r="Y5" s="108">
        <v>5699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44486</v>
      </c>
      <c r="C6" s="110">
        <f t="shared" ref="C6:V6" si="4">SUM(C7:C8)</f>
        <v>43313</v>
      </c>
      <c r="D6" s="110">
        <f t="shared" si="4"/>
        <v>42226</v>
      </c>
      <c r="E6" s="110">
        <f t="shared" si="4"/>
        <v>41266</v>
      </c>
      <c r="F6" s="110">
        <f t="shared" si="4"/>
        <v>41329</v>
      </c>
      <c r="G6" s="110">
        <f t="shared" si="4"/>
        <v>41538</v>
      </c>
      <c r="H6" s="110">
        <f t="shared" si="4"/>
        <v>41273</v>
      </c>
      <c r="I6" s="110">
        <f t="shared" si="4"/>
        <v>40962</v>
      </c>
      <c r="J6" s="110">
        <f t="shared" si="4"/>
        <v>40646</v>
      </c>
      <c r="K6" s="110">
        <f t="shared" si="4"/>
        <v>37378</v>
      </c>
      <c r="L6" s="110">
        <f t="shared" si="4"/>
        <v>35834</v>
      </c>
      <c r="M6" s="110">
        <f t="shared" si="4"/>
        <v>34562</v>
      </c>
      <c r="N6" s="110">
        <f t="shared" si="4"/>
        <v>33965</v>
      </c>
      <c r="O6" s="110">
        <f t="shared" si="4"/>
        <v>35403.240766483461</v>
      </c>
      <c r="P6" s="110">
        <f t="shared" si="4"/>
        <v>36287.976753138435</v>
      </c>
      <c r="Q6" s="110">
        <f t="shared" si="4"/>
        <v>37922.341260506</v>
      </c>
      <c r="R6" s="110">
        <f t="shared" si="4"/>
        <v>37901.323332941247</v>
      </c>
      <c r="S6" s="110">
        <f t="shared" si="4"/>
        <v>38666.158707414615</v>
      </c>
      <c r="T6" s="110">
        <f t="shared" si="4"/>
        <v>40309.239825488141</v>
      </c>
      <c r="U6" s="110">
        <f t="shared" si="4"/>
        <v>41103.177783956031</v>
      </c>
      <c r="V6" s="110">
        <f t="shared" si="4"/>
        <v>16175.85031758592</v>
      </c>
      <c r="W6" s="110">
        <f t="shared" ref="W6:Y6" si="5">SUM(W7:W8)</f>
        <v>20115.758356679999</v>
      </c>
      <c r="X6" s="110">
        <f t="shared" si="5"/>
        <v>33775.413717145362</v>
      </c>
      <c r="Y6" s="110">
        <f t="shared" si="5"/>
        <v>39799.318099189462</v>
      </c>
      <c r="DA6" s="176" t="s">
        <v>378</v>
      </c>
    </row>
    <row r="7" spans="1:105" ht="11.45" customHeight="1" x14ac:dyDescent="0.25">
      <c r="A7" s="111" t="s">
        <v>90</v>
      </c>
      <c r="B7" s="84">
        <v>8086.4876853177884</v>
      </c>
      <c r="C7" s="84">
        <v>7308.4517512573766</v>
      </c>
      <c r="D7" s="84">
        <v>8037.4930798777013</v>
      </c>
      <c r="E7" s="84">
        <v>7384.7667645710007</v>
      </c>
      <c r="F7" s="84">
        <v>6525.753876470967</v>
      </c>
      <c r="G7" s="84">
        <v>5442.5580560480257</v>
      </c>
      <c r="H7" s="84">
        <v>5658.3323938979393</v>
      </c>
      <c r="I7" s="84">
        <v>4819.6523177811387</v>
      </c>
      <c r="J7" s="84">
        <v>2842.6215437425208</v>
      </c>
      <c r="K7" s="84">
        <v>2698.88259665742</v>
      </c>
      <c r="L7" s="84">
        <v>2894.3784126678797</v>
      </c>
      <c r="M7" s="84">
        <v>2711.173675792204</v>
      </c>
      <c r="N7" s="84">
        <v>3395.3566247915169</v>
      </c>
      <c r="O7" s="84">
        <v>2412.1573336648748</v>
      </c>
      <c r="P7" s="84">
        <v>1234.8550429592242</v>
      </c>
      <c r="Q7" s="84">
        <v>1522.5548581981179</v>
      </c>
      <c r="R7" s="84">
        <v>985.66008848641434</v>
      </c>
      <c r="S7" s="84">
        <v>2435.1958858960984</v>
      </c>
      <c r="T7" s="84">
        <v>3184.1016071653044</v>
      </c>
      <c r="U7" s="84">
        <v>3313.970622905942</v>
      </c>
      <c r="V7" s="84">
        <v>1418.0444254552083</v>
      </c>
      <c r="W7" s="84">
        <v>1517.9272273222373</v>
      </c>
      <c r="X7" s="84">
        <v>694.54198950163277</v>
      </c>
      <c r="Y7" s="84">
        <v>745.84167327658588</v>
      </c>
      <c r="DA7" s="171" t="s">
        <v>1031</v>
      </c>
    </row>
    <row r="8" spans="1:105" ht="11.45" customHeight="1" x14ac:dyDescent="0.25">
      <c r="A8" s="111" t="s">
        <v>93</v>
      </c>
      <c r="B8" s="84">
        <v>36399.512314682215</v>
      </c>
      <c r="C8" s="84">
        <v>36004.54824874262</v>
      </c>
      <c r="D8" s="84">
        <v>34188.506920122301</v>
      </c>
      <c r="E8" s="84">
        <v>33881.233235428997</v>
      </c>
      <c r="F8" s="84">
        <v>34803.246123529032</v>
      </c>
      <c r="G8" s="84">
        <v>36095.441943951977</v>
      </c>
      <c r="H8" s="84">
        <v>35614.667606102063</v>
      </c>
      <c r="I8" s="84">
        <v>36142.34768221886</v>
      </c>
      <c r="J8" s="84">
        <v>37803.37845625748</v>
      </c>
      <c r="K8" s="84">
        <v>34679.117403342578</v>
      </c>
      <c r="L8" s="84">
        <v>32939.62158733212</v>
      </c>
      <c r="M8" s="84">
        <v>31850.826324207796</v>
      </c>
      <c r="N8" s="84">
        <v>30569.643375208485</v>
      </c>
      <c r="O8" s="84">
        <v>32991.083432818588</v>
      </c>
      <c r="P8" s="84">
        <v>35053.121710179214</v>
      </c>
      <c r="Q8" s="84">
        <v>36399.78640230788</v>
      </c>
      <c r="R8" s="84">
        <v>36915.66324445483</v>
      </c>
      <c r="S8" s="84">
        <v>36230.962821518515</v>
      </c>
      <c r="T8" s="84">
        <v>37125.138218322834</v>
      </c>
      <c r="U8" s="84">
        <v>37789.207161050086</v>
      </c>
      <c r="V8" s="84">
        <v>14757.805892130713</v>
      </c>
      <c r="W8" s="84">
        <v>18597.831129357761</v>
      </c>
      <c r="X8" s="84">
        <v>33080.871727643731</v>
      </c>
      <c r="Y8" s="84">
        <v>39053.476425912879</v>
      </c>
      <c r="DA8" s="171" t="s">
        <v>1032</v>
      </c>
    </row>
    <row r="9" spans="1:105" ht="11.45" customHeight="1" x14ac:dyDescent="0.25">
      <c r="A9" s="112" t="s">
        <v>25</v>
      </c>
      <c r="B9" s="113">
        <v>5086</v>
      </c>
      <c r="C9" s="113">
        <v>6763</v>
      </c>
      <c r="D9" s="113">
        <v>7078</v>
      </c>
      <c r="E9" s="113">
        <v>7431</v>
      </c>
      <c r="F9" s="113">
        <v>7925</v>
      </c>
      <c r="G9" s="113">
        <v>8550</v>
      </c>
      <c r="H9" s="113">
        <v>8912</v>
      </c>
      <c r="I9" s="113">
        <v>8818</v>
      </c>
      <c r="J9" s="113">
        <v>8878</v>
      </c>
      <c r="K9" s="113">
        <v>10746</v>
      </c>
      <c r="L9" s="113">
        <v>11338</v>
      </c>
      <c r="M9" s="113">
        <v>12283</v>
      </c>
      <c r="N9" s="113">
        <v>12794</v>
      </c>
      <c r="O9" s="113">
        <v>13335.759233516541</v>
      </c>
      <c r="P9" s="113">
        <v>13669.023246861565</v>
      </c>
      <c r="Q9" s="113">
        <v>14284.658739494</v>
      </c>
      <c r="R9" s="113">
        <v>14276.741667058748</v>
      </c>
      <c r="S9" s="113">
        <v>14564.841292585385</v>
      </c>
      <c r="T9" s="113">
        <v>15183.760174511857</v>
      </c>
      <c r="U9" s="113">
        <v>15482.822216043967</v>
      </c>
      <c r="V9" s="113">
        <v>6093.1496824140795</v>
      </c>
      <c r="W9" s="113">
        <v>7577.2416433200015</v>
      </c>
      <c r="X9" s="113">
        <v>12722.586282854636</v>
      </c>
      <c r="Y9" s="113">
        <v>14991.681900810538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22817</v>
      </c>
      <c r="C10" s="28">
        <f t="shared" ref="C10:V10" si="7">SUM(C11:C12)</f>
        <v>21762</v>
      </c>
      <c r="D10" s="28">
        <f t="shared" si="7"/>
        <v>20679</v>
      </c>
      <c r="E10" s="28">
        <f t="shared" si="7"/>
        <v>20299</v>
      </c>
      <c r="F10" s="28">
        <f t="shared" si="7"/>
        <v>22183</v>
      </c>
      <c r="G10" s="28">
        <f t="shared" si="7"/>
        <v>22761</v>
      </c>
      <c r="H10" s="28">
        <f t="shared" si="7"/>
        <v>24151</v>
      </c>
      <c r="I10" s="28">
        <f t="shared" si="7"/>
        <v>25285</v>
      </c>
      <c r="J10" s="28">
        <f t="shared" si="7"/>
        <v>23831</v>
      </c>
      <c r="K10" s="28">
        <f t="shared" si="7"/>
        <v>17791</v>
      </c>
      <c r="L10" s="28">
        <f t="shared" si="7"/>
        <v>18616</v>
      </c>
      <c r="M10" s="28">
        <f t="shared" si="7"/>
        <v>19787</v>
      </c>
      <c r="N10" s="28">
        <f t="shared" si="7"/>
        <v>20244</v>
      </c>
      <c r="O10" s="28">
        <f t="shared" si="7"/>
        <v>19037</v>
      </c>
      <c r="P10" s="28">
        <f t="shared" si="7"/>
        <v>20157</v>
      </c>
      <c r="Q10" s="28">
        <f t="shared" si="7"/>
        <v>20781</v>
      </c>
      <c r="R10" s="28">
        <f t="shared" si="7"/>
        <v>22712</v>
      </c>
      <c r="S10" s="28">
        <f t="shared" si="7"/>
        <v>22335</v>
      </c>
      <c r="T10" s="28">
        <f t="shared" si="7"/>
        <v>22070</v>
      </c>
      <c r="U10" s="28">
        <f t="shared" si="7"/>
        <v>21309</v>
      </c>
      <c r="V10" s="28">
        <f t="shared" si="7"/>
        <v>20750</v>
      </c>
      <c r="W10" s="28">
        <f t="shared" ref="W10:Y10" si="8">SUM(W11:W12)</f>
        <v>24262</v>
      </c>
      <c r="X10" s="28">
        <f t="shared" si="8"/>
        <v>24330</v>
      </c>
      <c r="Y10" s="28">
        <f t="shared" si="8"/>
        <v>22693</v>
      </c>
      <c r="DA10" s="173" t="s">
        <v>384</v>
      </c>
    </row>
    <row r="11" spans="1:105" ht="11.45" customHeight="1" x14ac:dyDescent="0.25">
      <c r="A11" s="83" t="s">
        <v>90</v>
      </c>
      <c r="B11" s="84">
        <v>1085.2038747739316</v>
      </c>
      <c r="C11" s="84">
        <v>840.49472165385259</v>
      </c>
      <c r="D11" s="84">
        <v>807.29152298700922</v>
      </c>
      <c r="E11" s="84">
        <v>889.52227126601872</v>
      </c>
      <c r="F11" s="84">
        <v>1075.6942726033446</v>
      </c>
      <c r="G11" s="84">
        <v>690.40917196667556</v>
      </c>
      <c r="H11" s="84">
        <v>2938.1222078694909</v>
      </c>
      <c r="I11" s="84">
        <v>3665.6018372279877</v>
      </c>
      <c r="J11" s="84">
        <v>3675.1373466079676</v>
      </c>
      <c r="K11" s="84">
        <v>2142.8411880094627</v>
      </c>
      <c r="L11" s="84">
        <v>1952.5694066834633</v>
      </c>
      <c r="M11" s="84">
        <v>1043.6741963707916</v>
      </c>
      <c r="N11" s="84">
        <v>1034.7954479022826</v>
      </c>
      <c r="O11" s="84">
        <v>679.78096516999028</v>
      </c>
      <c r="P11" s="84">
        <v>361.3230637762947</v>
      </c>
      <c r="Q11" s="84">
        <v>439.58648294460346</v>
      </c>
      <c r="R11" s="84">
        <v>312.82755932188252</v>
      </c>
      <c r="S11" s="84">
        <v>694.68173176145467</v>
      </c>
      <c r="T11" s="84">
        <v>867.98105204154899</v>
      </c>
      <c r="U11" s="84">
        <v>841.07321154911904</v>
      </c>
      <c r="V11" s="84">
        <v>969.70617049046939</v>
      </c>
      <c r="W11" s="84">
        <v>899.02553825918403</v>
      </c>
      <c r="X11" s="84">
        <v>264.499588279085</v>
      </c>
      <c r="Y11" s="84">
        <v>235.06914615358622</v>
      </c>
      <c r="DA11" s="171" t="s">
        <v>1033</v>
      </c>
    </row>
    <row r="12" spans="1:105" ht="11.45" customHeight="1" x14ac:dyDescent="0.25">
      <c r="A12" s="85" t="s">
        <v>93</v>
      </c>
      <c r="B12" s="86">
        <v>21731.796125226068</v>
      </c>
      <c r="C12" s="86">
        <v>20921.505278346147</v>
      </c>
      <c r="D12" s="86">
        <v>19871.708477012991</v>
      </c>
      <c r="E12" s="86">
        <v>19409.477728733982</v>
      </c>
      <c r="F12" s="86">
        <v>21107.305727396655</v>
      </c>
      <c r="G12" s="86">
        <v>22070.590828033324</v>
      </c>
      <c r="H12" s="86">
        <v>21212.877792130508</v>
      </c>
      <c r="I12" s="86">
        <v>21619.398162772013</v>
      </c>
      <c r="J12" s="86">
        <v>20155.862653392032</v>
      </c>
      <c r="K12" s="86">
        <v>15648.158811990537</v>
      </c>
      <c r="L12" s="86">
        <v>16663.430593316538</v>
      </c>
      <c r="M12" s="86">
        <v>18743.32580362921</v>
      </c>
      <c r="N12" s="86">
        <v>19209.204552097719</v>
      </c>
      <c r="O12" s="86">
        <v>18357.21903483001</v>
      </c>
      <c r="P12" s="86">
        <v>19795.676936223706</v>
      </c>
      <c r="Q12" s="86">
        <v>20341.413517055396</v>
      </c>
      <c r="R12" s="86">
        <v>22399.172440678118</v>
      </c>
      <c r="S12" s="86">
        <v>21640.318268238545</v>
      </c>
      <c r="T12" s="86">
        <v>21202.018947958451</v>
      </c>
      <c r="U12" s="86">
        <v>20467.926788450881</v>
      </c>
      <c r="V12" s="86">
        <v>19780.29382950953</v>
      </c>
      <c r="W12" s="86">
        <v>23362.974461740814</v>
      </c>
      <c r="X12" s="86">
        <v>24065.500411720914</v>
      </c>
      <c r="Y12" s="86">
        <v>22457.930853846414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357.47457456211856</v>
      </c>
      <c r="C14" s="62">
        <f t="shared" ref="C14:V14" si="10">C15+C21</f>
        <v>346.96500296753993</v>
      </c>
      <c r="D14" s="62">
        <f t="shared" si="10"/>
        <v>357.03315489913342</v>
      </c>
      <c r="E14" s="62">
        <f t="shared" si="10"/>
        <v>375.07804187872773</v>
      </c>
      <c r="F14" s="62">
        <f t="shared" si="10"/>
        <v>367.6317936142683</v>
      </c>
      <c r="G14" s="62">
        <f t="shared" si="10"/>
        <v>373.31279738076131</v>
      </c>
      <c r="H14" s="62">
        <f t="shared" si="10"/>
        <v>372.46972230030536</v>
      </c>
      <c r="I14" s="62">
        <f t="shared" si="10"/>
        <v>381.6649051620289</v>
      </c>
      <c r="J14" s="62">
        <f t="shared" si="10"/>
        <v>381.05539353194132</v>
      </c>
      <c r="K14" s="62">
        <f t="shared" si="10"/>
        <v>373.43639742666011</v>
      </c>
      <c r="L14" s="62">
        <f t="shared" si="10"/>
        <v>390.64861751292921</v>
      </c>
      <c r="M14" s="62">
        <f t="shared" si="10"/>
        <v>390.64337890475349</v>
      </c>
      <c r="N14" s="62">
        <f t="shared" si="10"/>
        <v>405.60710999743435</v>
      </c>
      <c r="O14" s="62">
        <f t="shared" si="10"/>
        <v>417.98459825756311</v>
      </c>
      <c r="P14" s="62">
        <f t="shared" si="10"/>
        <v>411.32073072059399</v>
      </c>
      <c r="Q14" s="62">
        <f t="shared" si="10"/>
        <v>431.70631170971677</v>
      </c>
      <c r="R14" s="62">
        <f t="shared" si="10"/>
        <v>459.52611734487328</v>
      </c>
      <c r="S14" s="62">
        <f t="shared" si="10"/>
        <v>480.2199593497275</v>
      </c>
      <c r="T14" s="62">
        <f t="shared" si="10"/>
        <v>502.76634810257292</v>
      </c>
      <c r="U14" s="62">
        <f t="shared" si="10"/>
        <v>493.66410284668683</v>
      </c>
      <c r="V14" s="62">
        <f t="shared" si="10"/>
        <v>415.22822948240639</v>
      </c>
      <c r="W14" s="62">
        <f t="shared" ref="W14:Y14" si="11">W15+W21</f>
        <v>454.3998557043501</v>
      </c>
      <c r="X14" s="62">
        <f t="shared" si="11"/>
        <v>488.08134223965635</v>
      </c>
      <c r="Y14" s="62">
        <f t="shared" si="11"/>
        <v>505.1579613149583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323.40388386856955</v>
      </c>
      <c r="C15" s="29">
        <f t="shared" ref="C15:V15" si="13">SUM(C16,C17,C20)</f>
        <v>314.85748628785677</v>
      </c>
      <c r="D15" s="29">
        <f t="shared" si="13"/>
        <v>326.15863759528622</v>
      </c>
      <c r="E15" s="29">
        <f t="shared" si="13"/>
        <v>342.4801432830908</v>
      </c>
      <c r="F15" s="29">
        <f t="shared" si="13"/>
        <v>330.29790282220563</v>
      </c>
      <c r="G15" s="29">
        <f t="shared" si="13"/>
        <v>334.95238094964196</v>
      </c>
      <c r="H15" s="29">
        <f t="shared" si="13"/>
        <v>332.72794012736296</v>
      </c>
      <c r="I15" s="29">
        <f t="shared" si="13"/>
        <v>340.3430302436762</v>
      </c>
      <c r="J15" s="29">
        <f t="shared" si="13"/>
        <v>341.95492109823635</v>
      </c>
      <c r="K15" s="29">
        <f t="shared" si="13"/>
        <v>344.5184045986619</v>
      </c>
      <c r="L15" s="29">
        <f t="shared" si="13"/>
        <v>360.66209606935666</v>
      </c>
      <c r="M15" s="29">
        <f t="shared" si="13"/>
        <v>356.17825248206617</v>
      </c>
      <c r="N15" s="29">
        <f t="shared" si="13"/>
        <v>369.44876727411116</v>
      </c>
      <c r="O15" s="29">
        <f t="shared" si="13"/>
        <v>381.38029098141868</v>
      </c>
      <c r="P15" s="29">
        <f t="shared" si="13"/>
        <v>374.06556650025794</v>
      </c>
      <c r="Q15" s="29">
        <f t="shared" si="13"/>
        <v>393.38929495756844</v>
      </c>
      <c r="R15" s="29">
        <f t="shared" si="13"/>
        <v>415.86847268120056</v>
      </c>
      <c r="S15" s="29">
        <f t="shared" si="13"/>
        <v>435.56610626656033</v>
      </c>
      <c r="T15" s="29">
        <f t="shared" si="13"/>
        <v>457.90185490050777</v>
      </c>
      <c r="U15" s="29">
        <f t="shared" si="13"/>
        <v>446.23668884060322</v>
      </c>
      <c r="V15" s="29">
        <f t="shared" si="13"/>
        <v>369.01519256946108</v>
      </c>
      <c r="W15" s="29">
        <f t="shared" ref="W15:Y15" si="14">SUM(W16,W17,W20)</f>
        <v>391.12576687916533</v>
      </c>
      <c r="X15" s="29">
        <f t="shared" si="14"/>
        <v>426.71968023704142</v>
      </c>
      <c r="Y15" s="29">
        <f t="shared" si="14"/>
        <v>425.79229700183674</v>
      </c>
      <c r="DA15" s="173" t="s">
        <v>1036</v>
      </c>
    </row>
    <row r="16" spans="1:105" ht="11.45" customHeight="1" x14ac:dyDescent="0.25">
      <c r="A16" s="107" t="s">
        <v>23</v>
      </c>
      <c r="B16" s="115">
        <v>63.151598021172461</v>
      </c>
      <c r="C16" s="115">
        <v>63.145651954394673</v>
      </c>
      <c r="D16" s="115">
        <v>66.489919798105674</v>
      </c>
      <c r="E16" s="115">
        <v>68.407257058658388</v>
      </c>
      <c r="F16" s="115">
        <v>70.661073430840844</v>
      </c>
      <c r="G16" s="115">
        <v>71.540660579156935</v>
      </c>
      <c r="H16" s="115">
        <v>74.718056725042516</v>
      </c>
      <c r="I16" s="115">
        <v>80.784143637951715</v>
      </c>
      <c r="J16" s="115">
        <v>82.719304077766878</v>
      </c>
      <c r="K16" s="115">
        <v>84.097460820799213</v>
      </c>
      <c r="L16" s="115">
        <v>86.235923354672778</v>
      </c>
      <c r="M16" s="115">
        <v>86.120063575099834</v>
      </c>
      <c r="N16" s="115">
        <v>79.009928198673421</v>
      </c>
      <c r="O16" s="115">
        <v>79.679202694472764</v>
      </c>
      <c r="P16" s="115">
        <v>79.99669962485055</v>
      </c>
      <c r="Q16" s="115">
        <v>81.574298452382862</v>
      </c>
      <c r="R16" s="115">
        <v>83.493989846328958</v>
      </c>
      <c r="S16" s="115">
        <v>87.151419233148729</v>
      </c>
      <c r="T16" s="115">
        <v>86.88523114491619</v>
      </c>
      <c r="U16" s="115">
        <v>90.757276612040641</v>
      </c>
      <c r="V16" s="115">
        <v>74.494090881828285</v>
      </c>
      <c r="W16" s="115">
        <v>79.69869562014226</v>
      </c>
      <c r="X16" s="115">
        <v>103.03595972237869</v>
      </c>
      <c r="Y16" s="115">
        <v>64.672023527065178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245.54772225773758</v>
      </c>
      <c r="C17" s="116">
        <f t="shared" ref="C17:V17" si="16">SUM(C18:C19)</f>
        <v>232.15875459361405</v>
      </c>
      <c r="D17" s="116">
        <f t="shared" si="16"/>
        <v>239.20491498797688</v>
      </c>
      <c r="E17" s="116">
        <f t="shared" si="16"/>
        <v>252.58849534068099</v>
      </c>
      <c r="F17" s="116">
        <f t="shared" si="16"/>
        <v>236.72419344011595</v>
      </c>
      <c r="G17" s="116">
        <f t="shared" si="16"/>
        <v>238.69209420226073</v>
      </c>
      <c r="H17" s="116">
        <f t="shared" si="16"/>
        <v>232.65488340232042</v>
      </c>
      <c r="I17" s="116">
        <f t="shared" si="16"/>
        <v>234.52088660572446</v>
      </c>
      <c r="J17" s="116">
        <f t="shared" si="16"/>
        <v>233.46524665009912</v>
      </c>
      <c r="K17" s="116">
        <f t="shared" si="16"/>
        <v>229.22055566821615</v>
      </c>
      <c r="L17" s="116">
        <f t="shared" si="16"/>
        <v>240.7852203337315</v>
      </c>
      <c r="M17" s="116">
        <f t="shared" si="16"/>
        <v>234.45533176410919</v>
      </c>
      <c r="N17" s="116">
        <f t="shared" si="16"/>
        <v>253.35502955162823</v>
      </c>
      <c r="O17" s="116">
        <f t="shared" si="16"/>
        <v>264.61727876313643</v>
      </c>
      <c r="P17" s="116">
        <f t="shared" si="16"/>
        <v>256.98505735159785</v>
      </c>
      <c r="Q17" s="116">
        <f t="shared" si="16"/>
        <v>274.73118698137608</v>
      </c>
      <c r="R17" s="116">
        <f t="shared" si="16"/>
        <v>295.29067331106211</v>
      </c>
      <c r="S17" s="116">
        <f t="shared" si="16"/>
        <v>311.34230608103064</v>
      </c>
      <c r="T17" s="116">
        <f t="shared" si="16"/>
        <v>333.94424280321061</v>
      </c>
      <c r="U17" s="116">
        <f t="shared" si="16"/>
        <v>315.42998089597432</v>
      </c>
      <c r="V17" s="116">
        <f t="shared" si="16"/>
        <v>257.84964156009352</v>
      </c>
      <c r="W17" s="116">
        <f t="shared" ref="W17:Y17" si="17">SUM(W18:W19)</f>
        <v>271.52526540267553</v>
      </c>
      <c r="X17" s="116">
        <f t="shared" si="17"/>
        <v>286.40576101167142</v>
      </c>
      <c r="Y17" s="116">
        <f t="shared" si="17"/>
        <v>324.80964208958977</v>
      </c>
      <c r="DA17" s="176" t="s">
        <v>1038</v>
      </c>
    </row>
    <row r="18" spans="1:105" ht="11.45" customHeight="1" x14ac:dyDescent="0.25">
      <c r="A18" s="111" t="s">
        <v>92</v>
      </c>
      <c r="B18" s="87">
        <v>48.493615713651394</v>
      </c>
      <c r="C18" s="87">
        <v>44.461518299214674</v>
      </c>
      <c r="D18" s="87">
        <v>47.144222683005609</v>
      </c>
      <c r="E18" s="87">
        <v>52.124561963325661</v>
      </c>
      <c r="F18" s="87">
        <v>46.456125723441382</v>
      </c>
      <c r="G18" s="87">
        <v>41.129304049039462</v>
      </c>
      <c r="H18" s="87">
        <v>42.801479282991444</v>
      </c>
      <c r="I18" s="87">
        <v>38.141601801250872</v>
      </c>
      <c r="J18" s="87">
        <v>22.597374174362315</v>
      </c>
      <c r="K18" s="87">
        <v>22.701043091231835</v>
      </c>
      <c r="L18" s="87">
        <v>24.865272550843788</v>
      </c>
      <c r="M18" s="87">
        <v>19.598530813446132</v>
      </c>
      <c r="N18" s="87">
        <v>25.584823473754302</v>
      </c>
      <c r="O18" s="87">
        <v>18.642908482356525</v>
      </c>
      <c r="P18" s="87">
        <v>9.0604131211749408</v>
      </c>
      <c r="Q18" s="87">
        <v>11.203810851939627</v>
      </c>
      <c r="R18" s="87">
        <v>7.8684869497716319</v>
      </c>
      <c r="S18" s="87">
        <v>17.591617720929779</v>
      </c>
      <c r="T18" s="87">
        <v>23.983455109380451</v>
      </c>
      <c r="U18" s="87">
        <v>23.472535323761253</v>
      </c>
      <c r="V18" s="87">
        <v>23.390442869440243</v>
      </c>
      <c r="W18" s="87">
        <v>19.774028668482007</v>
      </c>
      <c r="X18" s="87">
        <v>5.9311523248196956</v>
      </c>
      <c r="Y18" s="87">
        <v>6.3839495426606332</v>
      </c>
      <c r="DA18" s="171" t="s">
        <v>1039</v>
      </c>
    </row>
    <row r="19" spans="1:105" ht="11.45" customHeight="1" x14ac:dyDescent="0.25">
      <c r="A19" s="111" t="s">
        <v>93</v>
      </c>
      <c r="B19" s="87">
        <v>197.05410654408618</v>
      </c>
      <c r="C19" s="87">
        <v>187.69723629439937</v>
      </c>
      <c r="D19" s="87">
        <v>192.06069230497127</v>
      </c>
      <c r="E19" s="87">
        <v>200.46393337735532</v>
      </c>
      <c r="F19" s="87">
        <v>190.26806771667458</v>
      </c>
      <c r="G19" s="87">
        <v>197.56279015322127</v>
      </c>
      <c r="H19" s="87">
        <v>189.85340411932899</v>
      </c>
      <c r="I19" s="87">
        <v>196.37928480447357</v>
      </c>
      <c r="J19" s="87">
        <v>210.86787247573682</v>
      </c>
      <c r="K19" s="87">
        <v>206.51951257698431</v>
      </c>
      <c r="L19" s="87">
        <v>215.9199477828877</v>
      </c>
      <c r="M19" s="87">
        <v>214.85680095066306</v>
      </c>
      <c r="N19" s="87">
        <v>227.77020607787392</v>
      </c>
      <c r="O19" s="87">
        <v>245.97437028077988</v>
      </c>
      <c r="P19" s="87">
        <v>247.92464423042293</v>
      </c>
      <c r="Q19" s="87">
        <v>263.52737612943645</v>
      </c>
      <c r="R19" s="87">
        <v>287.42218636129047</v>
      </c>
      <c r="S19" s="87">
        <v>293.75068836010087</v>
      </c>
      <c r="T19" s="87">
        <v>309.96078769383018</v>
      </c>
      <c r="U19" s="87">
        <v>291.95744557221309</v>
      </c>
      <c r="V19" s="87">
        <v>234.45919869065327</v>
      </c>
      <c r="W19" s="87">
        <v>251.7512367341935</v>
      </c>
      <c r="X19" s="87">
        <v>280.4746086868517</v>
      </c>
      <c r="Y19" s="87">
        <v>318.42569254692916</v>
      </c>
      <c r="DA19" s="171" t="s">
        <v>1040</v>
      </c>
    </row>
    <row r="20" spans="1:105" ht="11.45" customHeight="1" x14ac:dyDescent="0.25">
      <c r="A20" s="112" t="s">
        <v>25</v>
      </c>
      <c r="B20" s="117">
        <v>14.704563589659505</v>
      </c>
      <c r="C20" s="117">
        <v>19.553079739848059</v>
      </c>
      <c r="D20" s="117">
        <v>20.463802809203692</v>
      </c>
      <c r="E20" s="117">
        <v>21.484390883751431</v>
      </c>
      <c r="F20" s="117">
        <v>22.912635951248834</v>
      </c>
      <c r="G20" s="117">
        <v>24.719626168224295</v>
      </c>
      <c r="H20" s="117">
        <v>25.355</v>
      </c>
      <c r="I20" s="117">
        <v>25.037999999999997</v>
      </c>
      <c r="J20" s="117">
        <v>25.770370370370369</v>
      </c>
      <c r="K20" s="117">
        <v>31.200388109646571</v>
      </c>
      <c r="L20" s="117">
        <v>33.640952380952378</v>
      </c>
      <c r="M20" s="117">
        <v>35.602857142857147</v>
      </c>
      <c r="N20" s="117">
        <v>37.083809523809528</v>
      </c>
      <c r="O20" s="117">
        <v>37.083809523809521</v>
      </c>
      <c r="P20" s="117">
        <v>37.083809523809521</v>
      </c>
      <c r="Q20" s="117">
        <v>37.083809523809521</v>
      </c>
      <c r="R20" s="117">
        <v>37.083809523809521</v>
      </c>
      <c r="S20" s="117">
        <v>37.072380952380954</v>
      </c>
      <c r="T20" s="117">
        <v>37.072380952380946</v>
      </c>
      <c r="U20" s="117">
        <v>40.049431332588256</v>
      </c>
      <c r="V20" s="117">
        <v>36.671460127539277</v>
      </c>
      <c r="W20" s="117">
        <v>39.901805856347565</v>
      </c>
      <c r="X20" s="117">
        <v>37.277959502991258</v>
      </c>
      <c r="Y20" s="117">
        <v>36.310631385181786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34.070690693549004</v>
      </c>
      <c r="C21" s="29">
        <f t="shared" ref="C21:V21" si="19">SUM(C22:C23)</f>
        <v>32.107516679683172</v>
      </c>
      <c r="D21" s="29">
        <f t="shared" si="19"/>
        <v>30.874517303847202</v>
      </c>
      <c r="E21" s="29">
        <f t="shared" si="19"/>
        <v>32.597898595636927</v>
      </c>
      <c r="F21" s="29">
        <f t="shared" si="19"/>
        <v>37.333890792062647</v>
      </c>
      <c r="G21" s="29">
        <f t="shared" si="19"/>
        <v>38.360416431119361</v>
      </c>
      <c r="H21" s="29">
        <f t="shared" si="19"/>
        <v>39.741782172942386</v>
      </c>
      <c r="I21" s="29">
        <f t="shared" si="19"/>
        <v>41.321874918352727</v>
      </c>
      <c r="J21" s="29">
        <f t="shared" si="19"/>
        <v>39.100472433704958</v>
      </c>
      <c r="K21" s="29">
        <f t="shared" si="19"/>
        <v>28.917992827998194</v>
      </c>
      <c r="L21" s="29">
        <f t="shared" si="19"/>
        <v>29.986521443572531</v>
      </c>
      <c r="M21" s="29">
        <f t="shared" si="19"/>
        <v>34.46512642268732</v>
      </c>
      <c r="N21" s="29">
        <f t="shared" si="19"/>
        <v>36.158342723323209</v>
      </c>
      <c r="O21" s="29">
        <f t="shared" si="19"/>
        <v>36.604307276144439</v>
      </c>
      <c r="P21" s="29">
        <f t="shared" si="19"/>
        <v>37.25516422033602</v>
      </c>
      <c r="Q21" s="29">
        <f t="shared" si="19"/>
        <v>38.317016752148319</v>
      </c>
      <c r="R21" s="29">
        <f t="shared" si="19"/>
        <v>43.65764466367272</v>
      </c>
      <c r="S21" s="29">
        <f t="shared" si="19"/>
        <v>44.653853083167164</v>
      </c>
      <c r="T21" s="29">
        <f t="shared" si="19"/>
        <v>44.864493202065148</v>
      </c>
      <c r="U21" s="29">
        <f t="shared" si="19"/>
        <v>47.427414006083623</v>
      </c>
      <c r="V21" s="29">
        <f t="shared" si="19"/>
        <v>46.21303691294532</v>
      </c>
      <c r="W21" s="29">
        <f t="shared" ref="W21:Y21" si="20">SUM(W22:W23)</f>
        <v>63.274088825184755</v>
      </c>
      <c r="X21" s="29">
        <f t="shared" si="20"/>
        <v>61.361662002614914</v>
      </c>
      <c r="Y21" s="29">
        <f t="shared" si="20"/>
        <v>79.36566431312157</v>
      </c>
      <c r="DA21" s="173" t="s">
        <v>1042</v>
      </c>
    </row>
    <row r="22" spans="1:105" ht="11.45" customHeight="1" x14ac:dyDescent="0.25">
      <c r="A22" s="83" t="s">
        <v>92</v>
      </c>
      <c r="B22" s="87">
        <v>1.3659112727848979</v>
      </c>
      <c r="C22" s="87">
        <v>1.0634531930302202</v>
      </c>
      <c r="D22" s="87">
        <v>1.0217897564137626</v>
      </c>
      <c r="E22" s="87">
        <v>1.1200614488362899</v>
      </c>
      <c r="F22" s="87">
        <v>1.4006724805341237</v>
      </c>
      <c r="G22" s="87">
        <v>0.90706390263180758</v>
      </c>
      <c r="H22" s="87">
        <v>3.9080731454674078</v>
      </c>
      <c r="I22" s="87">
        <v>4.9368291490283962</v>
      </c>
      <c r="J22" s="87">
        <v>5.1959626668840642</v>
      </c>
      <c r="K22" s="87">
        <v>2.8623492782893329</v>
      </c>
      <c r="L22" s="87">
        <v>2.6275837734764109</v>
      </c>
      <c r="M22" s="87">
        <v>1.6432789611673493</v>
      </c>
      <c r="N22" s="87">
        <v>1.6728614159418489</v>
      </c>
      <c r="O22" s="87">
        <v>1.1826507770999779</v>
      </c>
      <c r="P22" s="87">
        <v>0.60145279431474064</v>
      </c>
      <c r="Q22" s="87">
        <v>0.73925790700100147</v>
      </c>
      <c r="R22" s="87">
        <v>0.54486686039364429</v>
      </c>
      <c r="S22" s="87">
        <v>1.2417371743383563</v>
      </c>
      <c r="T22" s="87">
        <v>1.5918922878640274</v>
      </c>
      <c r="U22" s="87">
        <v>1.6880877700401047</v>
      </c>
      <c r="V22" s="87">
        <v>1.9523611404404191</v>
      </c>
      <c r="W22" s="87">
        <v>1.9840842471271602</v>
      </c>
      <c r="X22" s="87">
        <v>0.5759517350382154</v>
      </c>
      <c r="Y22" s="87">
        <v>0.5580788134206851</v>
      </c>
      <c r="DA22" s="171" t="s">
        <v>1043</v>
      </c>
    </row>
    <row r="23" spans="1:105" ht="11.45" customHeight="1" x14ac:dyDescent="0.25">
      <c r="A23" s="85" t="s">
        <v>93</v>
      </c>
      <c r="B23" s="88">
        <v>32.704779420764105</v>
      </c>
      <c r="C23" s="88">
        <v>31.044063486652956</v>
      </c>
      <c r="D23" s="88">
        <v>29.852727547433439</v>
      </c>
      <c r="E23" s="88">
        <v>31.477837146800638</v>
      </c>
      <c r="F23" s="88">
        <v>35.93321831152852</v>
      </c>
      <c r="G23" s="88">
        <v>37.453352528487557</v>
      </c>
      <c r="H23" s="88">
        <v>35.833709027474981</v>
      </c>
      <c r="I23" s="88">
        <v>36.385045769324329</v>
      </c>
      <c r="J23" s="88">
        <v>33.904509766820894</v>
      </c>
      <c r="K23" s="88">
        <v>26.055643549708861</v>
      </c>
      <c r="L23" s="88">
        <v>27.358937670096122</v>
      </c>
      <c r="M23" s="88">
        <v>32.821847461519972</v>
      </c>
      <c r="N23" s="88">
        <v>34.485481307381363</v>
      </c>
      <c r="O23" s="88">
        <v>35.42165649904446</v>
      </c>
      <c r="P23" s="88">
        <v>36.653711426021282</v>
      </c>
      <c r="Q23" s="88">
        <v>37.577758845147315</v>
      </c>
      <c r="R23" s="88">
        <v>43.112777803279073</v>
      </c>
      <c r="S23" s="88">
        <v>43.41211590882881</v>
      </c>
      <c r="T23" s="88">
        <v>43.272600914201121</v>
      </c>
      <c r="U23" s="88">
        <v>45.739326236043517</v>
      </c>
      <c r="V23" s="88">
        <v>44.260675772504904</v>
      </c>
      <c r="W23" s="88">
        <v>61.290004578057598</v>
      </c>
      <c r="X23" s="88">
        <v>60.785710267576697</v>
      </c>
      <c r="Y23" s="88">
        <v>78.807585499700892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2414.1205160000004</v>
      </c>
      <c r="C25" s="62">
        <f t="shared" ref="C25:V25" si="22">C26+C32</f>
        <v>2326.5946220000001</v>
      </c>
      <c r="D25" s="62">
        <f t="shared" si="22"/>
        <v>2399.355654</v>
      </c>
      <c r="E25" s="62">
        <f t="shared" si="22"/>
        <v>2516.5400439999999</v>
      </c>
      <c r="F25" s="62">
        <f t="shared" si="22"/>
        <v>2463.5816070000001</v>
      </c>
      <c r="G25" s="62">
        <f t="shared" si="22"/>
        <v>2498.8135100000004</v>
      </c>
      <c r="H25" s="62">
        <f t="shared" si="22"/>
        <v>2485.3409760000004</v>
      </c>
      <c r="I25" s="62">
        <f t="shared" si="22"/>
        <v>2560.1232599999998</v>
      </c>
      <c r="J25" s="62">
        <f t="shared" si="22"/>
        <v>2632.4976130000005</v>
      </c>
      <c r="K25" s="62">
        <f t="shared" si="22"/>
        <v>2578.7395299999998</v>
      </c>
      <c r="L25" s="62">
        <f t="shared" si="22"/>
        <v>2625.3870900000002</v>
      </c>
      <c r="M25" s="62">
        <f t="shared" si="22"/>
        <v>2615.8853979999999</v>
      </c>
      <c r="N25" s="62">
        <f t="shared" si="22"/>
        <v>2692.616524</v>
      </c>
      <c r="O25" s="62">
        <f t="shared" si="22"/>
        <v>2784.5037260000004</v>
      </c>
      <c r="P25" s="62">
        <f t="shared" si="22"/>
        <v>2773.5401299999999</v>
      </c>
      <c r="Q25" s="62">
        <f t="shared" si="22"/>
        <v>2864.6221699999996</v>
      </c>
      <c r="R25" s="62">
        <f t="shared" si="22"/>
        <v>3046.1292919999996</v>
      </c>
      <c r="S25" s="62">
        <f t="shared" si="22"/>
        <v>3187.1778729999996</v>
      </c>
      <c r="T25" s="62">
        <f t="shared" si="22"/>
        <v>3334.0570290000001</v>
      </c>
      <c r="U25" s="62">
        <f t="shared" si="22"/>
        <v>3264.0953699999995</v>
      </c>
      <c r="V25" s="62">
        <f t="shared" si="22"/>
        <v>3063.4242519999998</v>
      </c>
      <c r="W25" s="62">
        <f t="shared" ref="W25:Y25" si="23">W26+W32</f>
        <v>2952.2267200000001</v>
      </c>
      <c r="X25" s="62">
        <f t="shared" si="23"/>
        <v>3311.769045</v>
      </c>
      <c r="Y25" s="62">
        <f t="shared" si="23"/>
        <v>3561.1953919999996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2243.7670610000005</v>
      </c>
      <c r="C26" s="29">
        <f t="shared" ref="C26:V26" si="25">SUM(C27,C28,C31)</f>
        <v>2165.2277020000001</v>
      </c>
      <c r="D26" s="29">
        <f t="shared" si="25"/>
        <v>2244.628369</v>
      </c>
      <c r="E26" s="29">
        <f t="shared" si="25"/>
        <v>2353.5505499999999</v>
      </c>
      <c r="F26" s="29">
        <f t="shared" si="25"/>
        <v>2276.9121519999999</v>
      </c>
      <c r="G26" s="29">
        <f t="shared" si="25"/>
        <v>2305.2263390000003</v>
      </c>
      <c r="H26" s="29">
        <f t="shared" si="25"/>
        <v>2286.6320640000004</v>
      </c>
      <c r="I26" s="29">
        <f t="shared" si="25"/>
        <v>2353.5138849999998</v>
      </c>
      <c r="J26" s="29">
        <f t="shared" si="25"/>
        <v>2436.9952500000004</v>
      </c>
      <c r="K26" s="29">
        <f t="shared" si="25"/>
        <v>2400.2725109999997</v>
      </c>
      <c r="L26" s="29">
        <f t="shared" si="25"/>
        <v>2463.9554150000004</v>
      </c>
      <c r="M26" s="29">
        <f t="shared" si="25"/>
        <v>2427.8452109999998</v>
      </c>
      <c r="N26" s="29">
        <f t="shared" si="25"/>
        <v>2496.9411230000001</v>
      </c>
      <c r="O26" s="29">
        <f t="shared" si="25"/>
        <v>2584.8304040000003</v>
      </c>
      <c r="P26" s="29">
        <f t="shared" si="25"/>
        <v>2568.3894879999998</v>
      </c>
      <c r="Q26" s="29">
        <f t="shared" si="25"/>
        <v>2655.5342459999997</v>
      </c>
      <c r="R26" s="29">
        <f t="shared" si="25"/>
        <v>2810.0492279999999</v>
      </c>
      <c r="S26" s="29">
        <f t="shared" si="25"/>
        <v>2950.2840739999997</v>
      </c>
      <c r="T26" s="29">
        <f t="shared" si="25"/>
        <v>3098.54376</v>
      </c>
      <c r="U26" s="29">
        <f t="shared" si="25"/>
        <v>3016.9314289999998</v>
      </c>
      <c r="V26" s="29">
        <f t="shared" si="25"/>
        <v>2824.336519</v>
      </c>
      <c r="W26" s="29">
        <f t="shared" ref="W26:Y26" si="26">SUM(W27,W28,W31)</f>
        <v>2628.6752980000001</v>
      </c>
      <c r="X26" s="29">
        <f t="shared" si="26"/>
        <v>2991.4220489999998</v>
      </c>
      <c r="Y26" s="29">
        <f t="shared" si="26"/>
        <v>3151.4219749999997</v>
      </c>
      <c r="DA26" s="173" t="s">
        <v>1046</v>
      </c>
    </row>
    <row r="27" spans="1:105" ht="11.45" customHeight="1" x14ac:dyDescent="0.25">
      <c r="A27" s="107" t="s">
        <v>23</v>
      </c>
      <c r="B27" s="115">
        <v>574.10543700000005</v>
      </c>
      <c r="C27" s="115">
        <v>574.05138199999999</v>
      </c>
      <c r="D27" s="115">
        <v>604.45381699999996</v>
      </c>
      <c r="E27" s="115">
        <v>621.88415599999996</v>
      </c>
      <c r="F27" s="115">
        <v>642.37339499999996</v>
      </c>
      <c r="G27" s="115">
        <v>650.369642</v>
      </c>
      <c r="H27" s="115">
        <v>679.25506199999995</v>
      </c>
      <c r="I27" s="115">
        <v>734.40130599999998</v>
      </c>
      <c r="J27" s="115">
        <v>751.99367399999994</v>
      </c>
      <c r="K27" s="115">
        <v>764.52237200000002</v>
      </c>
      <c r="L27" s="115">
        <v>783.96294</v>
      </c>
      <c r="M27" s="115">
        <v>782.90966900000001</v>
      </c>
      <c r="N27" s="115">
        <v>725.49912600000005</v>
      </c>
      <c r="O27" s="115">
        <v>724.35638900000004</v>
      </c>
      <c r="P27" s="115">
        <v>727.24272399999995</v>
      </c>
      <c r="Q27" s="115">
        <v>741.58453199999997</v>
      </c>
      <c r="R27" s="115">
        <v>759.03627200000005</v>
      </c>
      <c r="S27" s="115">
        <v>792.28562999999997</v>
      </c>
      <c r="T27" s="115">
        <v>789.86573799999996</v>
      </c>
      <c r="U27" s="115">
        <v>825.06615199999999</v>
      </c>
      <c r="V27" s="115">
        <v>767.65560900000003</v>
      </c>
      <c r="W27" s="115">
        <v>724.53359699999999</v>
      </c>
      <c r="X27" s="115">
        <v>936.69054300000005</v>
      </c>
      <c r="Y27" s="115">
        <v>879.28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1636.9848160000001</v>
      </c>
      <c r="C28" s="116">
        <f t="shared" ref="C28:V28" si="28">SUM(C29:C30)</f>
        <v>1547.7250310000002</v>
      </c>
      <c r="D28" s="116">
        <f t="shared" si="28"/>
        <v>1594.6994340000001</v>
      </c>
      <c r="E28" s="116">
        <f t="shared" si="28"/>
        <v>1683.923303</v>
      </c>
      <c r="F28" s="116">
        <f t="shared" si="28"/>
        <v>1583.6217880000002</v>
      </c>
      <c r="G28" s="116">
        <f t="shared" si="28"/>
        <v>1599.9241940000002</v>
      </c>
      <c r="H28" s="116">
        <f t="shared" si="28"/>
        <v>1551.0325570000002</v>
      </c>
      <c r="I28" s="116">
        <f t="shared" si="28"/>
        <v>1563.4725790000002</v>
      </c>
      <c r="J28" s="116">
        <f t="shared" si="28"/>
        <v>1627.7340860000002</v>
      </c>
      <c r="K28" s="116">
        <f t="shared" si="28"/>
        <v>1566.415943</v>
      </c>
      <c r="L28" s="116">
        <f t="shared" si="28"/>
        <v>1605.2348030000001</v>
      </c>
      <c r="M28" s="116">
        <f t="shared" si="28"/>
        <v>1565.8180810000001</v>
      </c>
      <c r="N28" s="116">
        <f t="shared" si="28"/>
        <v>1689.033531</v>
      </c>
      <c r="O28" s="116">
        <f t="shared" si="28"/>
        <v>1778.0655490000001</v>
      </c>
      <c r="P28" s="116">
        <f t="shared" si="28"/>
        <v>1758.738298</v>
      </c>
      <c r="Q28" s="116">
        <f t="shared" si="28"/>
        <v>1831.541248</v>
      </c>
      <c r="R28" s="116">
        <f t="shared" si="28"/>
        <v>1968.6044900000002</v>
      </c>
      <c r="S28" s="116">
        <f t="shared" si="28"/>
        <v>2075.6153749999999</v>
      </c>
      <c r="T28" s="116">
        <f t="shared" si="28"/>
        <v>2226.2949530000001</v>
      </c>
      <c r="U28" s="116">
        <f t="shared" si="28"/>
        <v>2102.86654</v>
      </c>
      <c r="V28" s="116">
        <f t="shared" si="28"/>
        <v>1970.9498530000001</v>
      </c>
      <c r="W28" s="116">
        <f t="shared" ref="W28:Y28" si="29">SUM(W29:W30)</f>
        <v>1815.4710210000001</v>
      </c>
      <c r="X28" s="116">
        <f t="shared" si="29"/>
        <v>1969.3285060000001</v>
      </c>
      <c r="Y28" s="116">
        <f t="shared" si="29"/>
        <v>2190.0066550000001</v>
      </c>
      <c r="DA28" s="176" t="s">
        <v>1048</v>
      </c>
    </row>
    <row r="29" spans="1:105" ht="11.45" customHeight="1" x14ac:dyDescent="0.25">
      <c r="A29" s="111" t="s">
        <v>92</v>
      </c>
      <c r="B29" s="87">
        <v>323.290772</v>
      </c>
      <c r="C29" s="87">
        <v>296.410122</v>
      </c>
      <c r="D29" s="87">
        <v>314.29481800000002</v>
      </c>
      <c r="E29" s="87">
        <v>347.49707999999998</v>
      </c>
      <c r="F29" s="87">
        <v>315.168003</v>
      </c>
      <c r="G29" s="87">
        <v>282.83892600000001</v>
      </c>
      <c r="H29" s="87">
        <v>285.34319599999998</v>
      </c>
      <c r="I29" s="87">
        <v>254.27734599999999</v>
      </c>
      <c r="J29" s="87">
        <v>221.94826900000001</v>
      </c>
      <c r="K29" s="87">
        <v>189.619192</v>
      </c>
      <c r="L29" s="87">
        <v>165.768484</v>
      </c>
      <c r="M29" s="87">
        <v>133.43940699999999</v>
      </c>
      <c r="N29" s="87">
        <v>170.56549000000001</v>
      </c>
      <c r="O29" s="87">
        <v>138.236413</v>
      </c>
      <c r="P29" s="87">
        <v>105.907336</v>
      </c>
      <c r="Q29" s="87">
        <v>74.692072999999993</v>
      </c>
      <c r="R29" s="87">
        <v>52.456579999999995</v>
      </c>
      <c r="S29" s="87">
        <v>117.277452</v>
      </c>
      <c r="T29" s="87">
        <v>159.889701</v>
      </c>
      <c r="U29" s="87">
        <v>156.48356899999999</v>
      </c>
      <c r="V29" s="87">
        <v>155.936286</v>
      </c>
      <c r="W29" s="87">
        <v>131.82685799999999</v>
      </c>
      <c r="X29" s="87">
        <v>99.497781000000003</v>
      </c>
      <c r="Y29" s="87">
        <v>67.168703999999991</v>
      </c>
      <c r="DA29" s="171" t="s">
        <v>1049</v>
      </c>
    </row>
    <row r="30" spans="1:105" ht="11.45" customHeight="1" x14ac:dyDescent="0.25">
      <c r="A30" s="111" t="s">
        <v>93</v>
      </c>
      <c r="B30" s="87">
        <v>1313.6940440000001</v>
      </c>
      <c r="C30" s="87">
        <v>1251.3149090000002</v>
      </c>
      <c r="D30" s="87">
        <v>1280.404616</v>
      </c>
      <c r="E30" s="87">
        <v>1336.4262230000002</v>
      </c>
      <c r="F30" s="87">
        <v>1268.4537850000002</v>
      </c>
      <c r="G30" s="87">
        <v>1317.085268</v>
      </c>
      <c r="H30" s="87">
        <v>1265.6893610000002</v>
      </c>
      <c r="I30" s="87">
        <v>1309.1952330000001</v>
      </c>
      <c r="J30" s="87">
        <v>1405.7858170000002</v>
      </c>
      <c r="K30" s="87">
        <v>1376.7967510000001</v>
      </c>
      <c r="L30" s="87">
        <v>1439.4663190000001</v>
      </c>
      <c r="M30" s="87">
        <v>1432.378674</v>
      </c>
      <c r="N30" s="87">
        <v>1518.4680410000001</v>
      </c>
      <c r="O30" s="87">
        <v>1639.8291360000001</v>
      </c>
      <c r="P30" s="87">
        <v>1652.830962</v>
      </c>
      <c r="Q30" s="87">
        <v>1756.8491750000001</v>
      </c>
      <c r="R30" s="87">
        <v>1916.1479100000001</v>
      </c>
      <c r="S30" s="87">
        <v>1958.337923</v>
      </c>
      <c r="T30" s="87">
        <v>2066.405252</v>
      </c>
      <c r="U30" s="87">
        <v>1946.382971</v>
      </c>
      <c r="V30" s="87">
        <v>1815.0135670000002</v>
      </c>
      <c r="W30" s="87">
        <v>1683.6441630000002</v>
      </c>
      <c r="X30" s="87">
        <v>1869.830725</v>
      </c>
      <c r="Y30" s="87">
        <v>2122.837951</v>
      </c>
      <c r="DA30" s="171" t="s">
        <v>1050</v>
      </c>
    </row>
    <row r="31" spans="1:105" ht="11.45" customHeight="1" x14ac:dyDescent="0.25">
      <c r="A31" s="112" t="s">
        <v>25</v>
      </c>
      <c r="B31" s="117">
        <v>32.676807999999994</v>
      </c>
      <c r="C31" s="117">
        <v>43.451288999999996</v>
      </c>
      <c r="D31" s="117">
        <v>45.475117999999995</v>
      </c>
      <c r="E31" s="117">
        <v>47.743091</v>
      </c>
      <c r="F31" s="117">
        <v>50.916968999999995</v>
      </c>
      <c r="G31" s="117">
        <v>54.932502999999997</v>
      </c>
      <c r="H31" s="117">
        <v>56.344445</v>
      </c>
      <c r="I31" s="117">
        <v>55.64</v>
      </c>
      <c r="J31" s="117">
        <v>57.267489999999995</v>
      </c>
      <c r="K31" s="117">
        <v>69.334195999999991</v>
      </c>
      <c r="L31" s="117">
        <v>74.757671999999999</v>
      </c>
      <c r="M31" s="117">
        <v>79.117460999999992</v>
      </c>
      <c r="N31" s="117">
        <v>82.408466000000004</v>
      </c>
      <c r="O31" s="117">
        <v>82.408466000000004</v>
      </c>
      <c r="P31" s="117">
        <v>82.408466000000004</v>
      </c>
      <c r="Q31" s="117">
        <v>82.408466000000004</v>
      </c>
      <c r="R31" s="117">
        <v>82.408466000000004</v>
      </c>
      <c r="S31" s="117">
        <v>82.383068999999992</v>
      </c>
      <c r="T31" s="117">
        <v>82.383068999999992</v>
      </c>
      <c r="U31" s="117">
        <v>88.998736999999991</v>
      </c>
      <c r="V31" s="117">
        <v>85.731056999999993</v>
      </c>
      <c r="W31" s="117">
        <v>88.670680000000004</v>
      </c>
      <c r="X31" s="117">
        <v>85.402999999999992</v>
      </c>
      <c r="Y31" s="117">
        <v>82.135319999999993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170.353455</v>
      </c>
      <c r="C32" s="29">
        <f t="shared" ref="C32:V32" si="31">SUM(C33:C34)</f>
        <v>161.36691999999999</v>
      </c>
      <c r="D32" s="29">
        <f t="shared" si="31"/>
        <v>154.72728499999999</v>
      </c>
      <c r="E32" s="29">
        <f t="shared" si="31"/>
        <v>162.98949400000001</v>
      </c>
      <c r="F32" s="29">
        <f t="shared" si="31"/>
        <v>186.669455</v>
      </c>
      <c r="G32" s="29">
        <f t="shared" si="31"/>
        <v>193.58717100000001</v>
      </c>
      <c r="H32" s="29">
        <f t="shared" si="31"/>
        <v>198.708912</v>
      </c>
      <c r="I32" s="29">
        <f t="shared" si="31"/>
        <v>206.609375</v>
      </c>
      <c r="J32" s="29">
        <f t="shared" si="31"/>
        <v>195.502363</v>
      </c>
      <c r="K32" s="29">
        <f t="shared" si="31"/>
        <v>178.46701900000002</v>
      </c>
      <c r="L32" s="29">
        <f t="shared" si="31"/>
        <v>161.43167499999998</v>
      </c>
      <c r="M32" s="29">
        <f t="shared" si="31"/>
        <v>188.040187</v>
      </c>
      <c r="N32" s="29">
        <f t="shared" si="31"/>
        <v>195.67540099999999</v>
      </c>
      <c r="O32" s="29">
        <f t="shared" si="31"/>
        <v>199.67332200000001</v>
      </c>
      <c r="P32" s="29">
        <f t="shared" si="31"/>
        <v>205.15064199999998</v>
      </c>
      <c r="Q32" s="29">
        <f t="shared" si="31"/>
        <v>209.08792399999999</v>
      </c>
      <c r="R32" s="29">
        <f t="shared" si="31"/>
        <v>236.08006399999999</v>
      </c>
      <c r="S32" s="29">
        <f t="shared" si="31"/>
        <v>236.893799</v>
      </c>
      <c r="T32" s="29">
        <f t="shared" si="31"/>
        <v>235.51326899999998</v>
      </c>
      <c r="U32" s="29">
        <f t="shared" si="31"/>
        <v>247.16394099999999</v>
      </c>
      <c r="V32" s="29">
        <f t="shared" si="31"/>
        <v>239.08773300000001</v>
      </c>
      <c r="W32" s="29">
        <f t="shared" ref="W32:Y32" si="32">SUM(W33:W34)</f>
        <v>323.551422</v>
      </c>
      <c r="X32" s="29">
        <f t="shared" si="32"/>
        <v>320.34699600000005</v>
      </c>
      <c r="Y32" s="29">
        <f t="shared" si="32"/>
        <v>409.77341699999999</v>
      </c>
      <c r="DA32" s="173" t="s">
        <v>1052</v>
      </c>
    </row>
    <row r="33" spans="1:105" ht="11.45" customHeight="1" x14ac:dyDescent="0.25">
      <c r="A33" s="83" t="s">
        <v>92</v>
      </c>
      <c r="B33" s="87">
        <v>6.8295570000000003</v>
      </c>
      <c r="C33" s="87">
        <v>6.1466020000000006</v>
      </c>
      <c r="D33" s="87">
        <v>5.4636469999999999</v>
      </c>
      <c r="E33" s="87">
        <v>5.6003080000000001</v>
      </c>
      <c r="F33" s="87">
        <v>7.0033630000000002</v>
      </c>
      <c r="G33" s="87">
        <v>6.3204080000000005</v>
      </c>
      <c r="H33" s="87">
        <v>19.540366000000002</v>
      </c>
      <c r="I33" s="87">
        <v>24.684146000000002</v>
      </c>
      <c r="J33" s="87">
        <v>25.979814000000001</v>
      </c>
      <c r="K33" s="87">
        <v>25.296859000000001</v>
      </c>
      <c r="L33" s="87">
        <v>24.613904000000002</v>
      </c>
      <c r="M33" s="87">
        <v>23.930949000000002</v>
      </c>
      <c r="N33" s="87">
        <v>23.247994000000002</v>
      </c>
      <c r="O33" s="87">
        <v>22.565039000000002</v>
      </c>
      <c r="P33" s="87">
        <v>21.882084000000003</v>
      </c>
      <c r="Q33" s="87">
        <v>21.199129000000003</v>
      </c>
      <c r="R33" s="87">
        <v>20.516173999999999</v>
      </c>
      <c r="S33" s="87">
        <v>19.833219</v>
      </c>
      <c r="T33" s="87">
        <v>19.150264</v>
      </c>
      <c r="U33" s="87">
        <v>18.467309</v>
      </c>
      <c r="V33" s="87">
        <v>17.784354</v>
      </c>
      <c r="W33" s="87">
        <v>17.101399000000001</v>
      </c>
      <c r="X33" s="87">
        <v>16.418444000000001</v>
      </c>
      <c r="Y33" s="87">
        <v>15.735488999999999</v>
      </c>
      <c r="DA33" s="171" t="s">
        <v>1053</v>
      </c>
    </row>
    <row r="34" spans="1:105" ht="11.45" customHeight="1" x14ac:dyDescent="0.25">
      <c r="A34" s="85" t="s">
        <v>93</v>
      </c>
      <c r="B34" s="88">
        <v>163.523898</v>
      </c>
      <c r="C34" s="88">
        <v>155.22031799999999</v>
      </c>
      <c r="D34" s="88">
        <v>149.26363799999999</v>
      </c>
      <c r="E34" s="88">
        <v>157.389186</v>
      </c>
      <c r="F34" s="88">
        <v>179.66609199999999</v>
      </c>
      <c r="G34" s="88">
        <v>187.266763</v>
      </c>
      <c r="H34" s="88">
        <v>179.16854599999999</v>
      </c>
      <c r="I34" s="88">
        <v>181.925229</v>
      </c>
      <c r="J34" s="88">
        <v>169.522549</v>
      </c>
      <c r="K34" s="88">
        <v>153.17016000000001</v>
      </c>
      <c r="L34" s="88">
        <v>136.81777099999999</v>
      </c>
      <c r="M34" s="88">
        <v>164.109238</v>
      </c>
      <c r="N34" s="88">
        <v>172.42740699999999</v>
      </c>
      <c r="O34" s="88">
        <v>177.108283</v>
      </c>
      <c r="P34" s="88">
        <v>183.26855799999998</v>
      </c>
      <c r="Q34" s="88">
        <v>187.88879499999999</v>
      </c>
      <c r="R34" s="88">
        <v>215.56388999999999</v>
      </c>
      <c r="S34" s="88">
        <v>217.06057999999999</v>
      </c>
      <c r="T34" s="88">
        <v>216.36300499999999</v>
      </c>
      <c r="U34" s="88">
        <v>228.69663199999999</v>
      </c>
      <c r="V34" s="88">
        <v>221.30337900000001</v>
      </c>
      <c r="W34" s="88">
        <v>306.45002299999999</v>
      </c>
      <c r="X34" s="88">
        <v>303.92855200000002</v>
      </c>
      <c r="Y34" s="88">
        <v>394.03792800000002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31.096938999999928</v>
      </c>
      <c r="D36" s="54">
        <f t="shared" ref="D36:V36" si="34">D37+D43</f>
        <v>145.40937299999982</v>
      </c>
      <c r="E36" s="54">
        <f t="shared" si="34"/>
        <v>188.6129720000001</v>
      </c>
      <c r="F36" s="54">
        <f t="shared" si="34"/>
        <v>73.139466999999982</v>
      </c>
      <c r="G36" s="54">
        <f t="shared" si="34"/>
        <v>129.54631399999991</v>
      </c>
      <c r="H36" s="54">
        <f t="shared" si="34"/>
        <v>76.52430599999991</v>
      </c>
      <c r="I36" s="54">
        <f t="shared" si="34"/>
        <v>167.39637799999997</v>
      </c>
      <c r="J36" s="54">
        <f t="shared" si="34"/>
        <v>173.48034299999995</v>
      </c>
      <c r="K36" s="54">
        <f t="shared" si="34"/>
        <v>51.734705999999946</v>
      </c>
      <c r="L36" s="54">
        <f t="shared" si="34"/>
        <v>143.66197999999997</v>
      </c>
      <c r="M36" s="54">
        <f t="shared" si="34"/>
        <v>84.812718999999916</v>
      </c>
      <c r="N36" s="54">
        <f t="shared" si="34"/>
        <v>186.87229400000004</v>
      </c>
      <c r="O36" s="54">
        <f t="shared" si="34"/>
        <v>186.20161299999995</v>
      </c>
      <c r="P36" s="54">
        <f t="shared" si="34"/>
        <v>83.350814999999812</v>
      </c>
      <c r="Q36" s="54">
        <f t="shared" si="34"/>
        <v>184.28263700000005</v>
      </c>
      <c r="R36" s="54">
        <f t="shared" si="34"/>
        <v>265.72794900000014</v>
      </c>
      <c r="S36" s="54">
        <f t="shared" si="34"/>
        <v>212.9142529999998</v>
      </c>
      <c r="T36" s="54">
        <f t="shared" si="34"/>
        <v>218.74482799999996</v>
      </c>
      <c r="U36" s="54">
        <f t="shared" si="34"/>
        <v>86.174439000000007</v>
      </c>
      <c r="V36" s="54">
        <f t="shared" si="34"/>
        <v>9.3330550000000017</v>
      </c>
      <c r="W36" s="54">
        <f t="shared" ref="W36:Y36" si="35">W37+W43</f>
        <v>94.501744000000002</v>
      </c>
      <c r="X36" s="54">
        <f t="shared" si="35"/>
        <v>455.88294999999994</v>
      </c>
      <c r="Y36" s="54">
        <f t="shared" si="35"/>
        <v>384.04246799999993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31.096938999999928</v>
      </c>
      <c r="D37" s="28">
        <f t="shared" ref="D37:V37" si="37">SUM(D38,D39,D42)</f>
        <v>145.40937299999982</v>
      </c>
      <c r="E37" s="28">
        <f t="shared" si="37"/>
        <v>174.93088700000007</v>
      </c>
      <c r="F37" s="28">
        <f t="shared" si="37"/>
        <v>44.039629999999981</v>
      </c>
      <c r="G37" s="28">
        <f t="shared" si="37"/>
        <v>116.7716319999999</v>
      </c>
      <c r="H37" s="28">
        <f t="shared" si="37"/>
        <v>63.058482999999903</v>
      </c>
      <c r="I37" s="28">
        <f t="shared" si="37"/>
        <v>154.07603899999995</v>
      </c>
      <c r="J37" s="28">
        <f t="shared" si="37"/>
        <v>171.93880999999996</v>
      </c>
      <c r="K37" s="28">
        <f t="shared" si="37"/>
        <v>51.734705999999946</v>
      </c>
      <c r="L37" s="28">
        <f t="shared" si="37"/>
        <v>143.66197999999997</v>
      </c>
      <c r="M37" s="28">
        <f t="shared" si="37"/>
        <v>52.347240999999897</v>
      </c>
      <c r="N37" s="28">
        <f t="shared" si="37"/>
        <v>173.38011400000005</v>
      </c>
      <c r="O37" s="28">
        <f t="shared" si="37"/>
        <v>176.34672599999993</v>
      </c>
      <c r="P37" s="28">
        <f t="shared" si="37"/>
        <v>72.016528999999821</v>
      </c>
      <c r="Q37" s="28">
        <f t="shared" si="37"/>
        <v>174.48838900000004</v>
      </c>
      <c r="R37" s="28">
        <f t="shared" si="37"/>
        <v>232.87884300000013</v>
      </c>
      <c r="S37" s="28">
        <f t="shared" si="37"/>
        <v>206.2435519999998</v>
      </c>
      <c r="T37" s="28">
        <f t="shared" si="37"/>
        <v>214.26839199999995</v>
      </c>
      <c r="U37" s="28">
        <f t="shared" si="37"/>
        <v>68.666800999999992</v>
      </c>
      <c r="V37" s="28">
        <f t="shared" si="37"/>
        <v>9.3330550000000017</v>
      </c>
      <c r="W37" s="28">
        <f t="shared" ref="W37:Y37" si="38">SUM(W38,W39,W42)</f>
        <v>4.1810890000000143</v>
      </c>
      <c r="X37" s="28">
        <f t="shared" si="38"/>
        <v>453.23040999999989</v>
      </c>
      <c r="Y37" s="28">
        <f t="shared" si="38"/>
        <v>288.75908099999992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19.080991999999924</v>
      </c>
      <c r="D38" s="108">
        <v>49.537481999999954</v>
      </c>
      <c r="E38" s="108">
        <v>36.56538599999999</v>
      </c>
      <c r="F38" s="108">
        <v>39.624285999999984</v>
      </c>
      <c r="G38" s="108">
        <v>27.131294000000025</v>
      </c>
      <c r="H38" s="108">
        <v>48.02046699999994</v>
      </c>
      <c r="I38" s="108">
        <v>74.28129100000001</v>
      </c>
      <c r="J38" s="108">
        <v>36.727414999999951</v>
      </c>
      <c r="K38" s="108">
        <v>31.663745000000063</v>
      </c>
      <c r="L38" s="108">
        <v>38.575614999999971</v>
      </c>
      <c r="M38" s="108">
        <v>18.081775999999991</v>
      </c>
      <c r="N38" s="108">
        <v>0</v>
      </c>
      <c r="O38" s="108">
        <v>17.992309999999975</v>
      </c>
      <c r="P38" s="108">
        <v>22.021381999999903</v>
      </c>
      <c r="Q38" s="108">
        <v>33.476855</v>
      </c>
      <c r="R38" s="108">
        <v>36.586787000000072</v>
      </c>
      <c r="S38" s="108">
        <v>52.384404999999902</v>
      </c>
      <c r="T38" s="108">
        <v>16.715154999999982</v>
      </c>
      <c r="U38" s="108">
        <v>54.335461000000009</v>
      </c>
      <c r="V38" s="108">
        <v>0</v>
      </c>
      <c r="W38" s="108">
        <v>0</v>
      </c>
      <c r="X38" s="108">
        <v>231.29199300000005</v>
      </c>
      <c r="Y38" s="108">
        <v>0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92.606595999999854</v>
      </c>
      <c r="E39" s="110">
        <f t="shared" si="40"/>
        <v>134.85606200000007</v>
      </c>
      <c r="F39" s="110">
        <f t="shared" si="40"/>
        <v>0</v>
      </c>
      <c r="G39" s="110">
        <f t="shared" si="40"/>
        <v>84.383337999999867</v>
      </c>
      <c r="H39" s="110">
        <f t="shared" si="40"/>
        <v>12.384607999999957</v>
      </c>
      <c r="I39" s="110">
        <f t="shared" si="40"/>
        <v>79.257726999999932</v>
      </c>
      <c r="J39" s="110">
        <f t="shared" si="40"/>
        <v>132.34243900000001</v>
      </c>
      <c r="K39" s="110">
        <f t="shared" si="40"/>
        <v>6.7627889999998843</v>
      </c>
      <c r="L39" s="110">
        <f t="shared" si="40"/>
        <v>98.421423000000004</v>
      </c>
      <c r="M39" s="110">
        <f t="shared" si="40"/>
        <v>28.664209999999912</v>
      </c>
      <c r="N39" s="110">
        <f t="shared" si="40"/>
        <v>168.84764300000003</v>
      </c>
      <c r="O39" s="110">
        <f t="shared" si="40"/>
        <v>157.11294999999996</v>
      </c>
      <c r="P39" s="110">
        <f t="shared" si="40"/>
        <v>48.753680999999915</v>
      </c>
      <c r="Q39" s="110">
        <f t="shared" si="40"/>
        <v>139.77006800000004</v>
      </c>
      <c r="R39" s="110">
        <f t="shared" si="40"/>
        <v>195.05059000000006</v>
      </c>
      <c r="S39" s="110">
        <f t="shared" si="40"/>
        <v>152.64307799999989</v>
      </c>
      <c r="T39" s="110">
        <f t="shared" si="40"/>
        <v>196.31177099999996</v>
      </c>
      <c r="U39" s="110">
        <f t="shared" si="40"/>
        <v>6.474205999999981</v>
      </c>
      <c r="V39" s="110">
        <f t="shared" si="40"/>
        <v>9.3330550000000017</v>
      </c>
      <c r="W39" s="110">
        <f t="shared" ref="W39:Y39" si="41">SUM(W40:W41)</f>
        <v>0</v>
      </c>
      <c r="X39" s="110">
        <f t="shared" si="41"/>
        <v>221.93841699999984</v>
      </c>
      <c r="Y39" s="110">
        <f t="shared" si="41"/>
        <v>288.75908099999992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27.765034000000014</v>
      </c>
      <c r="E40" s="84">
        <v>43.082599999999957</v>
      </c>
      <c r="F40" s="84">
        <v>0</v>
      </c>
      <c r="G40" s="84">
        <v>0</v>
      </c>
      <c r="H40" s="84">
        <v>12.384607999999957</v>
      </c>
      <c r="I40" s="84">
        <v>0</v>
      </c>
      <c r="J40" s="84">
        <v>0</v>
      </c>
      <c r="K40" s="84">
        <v>0</v>
      </c>
      <c r="L40" s="84">
        <v>0</v>
      </c>
      <c r="M40" s="84">
        <v>0</v>
      </c>
      <c r="N40" s="84">
        <v>47.006421000000017</v>
      </c>
      <c r="O40" s="84">
        <v>0</v>
      </c>
      <c r="P40" s="84">
        <v>0</v>
      </c>
      <c r="Q40" s="84">
        <v>0</v>
      </c>
      <c r="R40" s="84">
        <v>0</v>
      </c>
      <c r="S40" s="84">
        <v>74.701210000000003</v>
      </c>
      <c r="T40" s="84">
        <v>52.492587</v>
      </c>
      <c r="U40" s="84">
        <v>6.474205999999981</v>
      </c>
      <c r="V40" s="84">
        <v>9.3330550000000017</v>
      </c>
      <c r="W40" s="84">
        <v>0</v>
      </c>
      <c r="X40" s="84">
        <v>0</v>
      </c>
      <c r="Y40" s="84">
        <v>0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64.84156199999984</v>
      </c>
      <c r="E41" s="84">
        <v>91.773462000000109</v>
      </c>
      <c r="F41" s="84">
        <v>0</v>
      </c>
      <c r="G41" s="84">
        <v>84.383337999999867</v>
      </c>
      <c r="H41" s="84">
        <v>0</v>
      </c>
      <c r="I41" s="84">
        <v>79.257726999999932</v>
      </c>
      <c r="J41" s="84">
        <v>132.34243900000001</v>
      </c>
      <c r="K41" s="84">
        <v>6.7627889999998843</v>
      </c>
      <c r="L41" s="84">
        <v>98.421423000000004</v>
      </c>
      <c r="M41" s="84">
        <v>28.664209999999912</v>
      </c>
      <c r="N41" s="84">
        <v>121.84122200000002</v>
      </c>
      <c r="O41" s="84">
        <v>157.11294999999996</v>
      </c>
      <c r="P41" s="84">
        <v>48.753680999999915</v>
      </c>
      <c r="Q41" s="84">
        <v>139.77006800000004</v>
      </c>
      <c r="R41" s="84">
        <v>195.05059000000006</v>
      </c>
      <c r="S41" s="84">
        <v>77.941867999999886</v>
      </c>
      <c r="T41" s="84">
        <v>143.81918399999995</v>
      </c>
      <c r="U41" s="84">
        <v>0</v>
      </c>
      <c r="V41" s="84">
        <v>0</v>
      </c>
      <c r="W41" s="84">
        <v>0</v>
      </c>
      <c r="X41" s="84">
        <v>221.93841699999984</v>
      </c>
      <c r="Y41" s="84">
        <v>288.75908099999992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12.015947000000004</v>
      </c>
      <c r="D42" s="113">
        <v>3.2652950000000018</v>
      </c>
      <c r="E42" s="113">
        <v>3.5094390000000075</v>
      </c>
      <c r="F42" s="113">
        <v>4.4153439999999975</v>
      </c>
      <c r="G42" s="113">
        <v>5.257000000000005</v>
      </c>
      <c r="H42" s="113">
        <v>2.653408000000006</v>
      </c>
      <c r="I42" s="113">
        <v>0.53702100000000286</v>
      </c>
      <c r="J42" s="113">
        <v>2.8689559999999972</v>
      </c>
      <c r="K42" s="113">
        <v>13.308171999999999</v>
      </c>
      <c r="L42" s="113">
        <v>6.6649420000000106</v>
      </c>
      <c r="M42" s="113">
        <v>5.6012549999999948</v>
      </c>
      <c r="N42" s="113">
        <v>4.5324710000000152</v>
      </c>
      <c r="O42" s="113">
        <v>1.2414660000000026</v>
      </c>
      <c r="P42" s="113">
        <v>1.2414660000000026</v>
      </c>
      <c r="Q42" s="113">
        <v>1.2414660000000026</v>
      </c>
      <c r="R42" s="113">
        <v>1.2414660000000026</v>
      </c>
      <c r="S42" s="113">
        <v>1.2160689999999903</v>
      </c>
      <c r="T42" s="113">
        <v>1.2414660000000026</v>
      </c>
      <c r="U42" s="113">
        <v>7.8571340000000021</v>
      </c>
      <c r="V42" s="113">
        <v>0</v>
      </c>
      <c r="W42" s="113">
        <v>4.1810890000000143</v>
      </c>
      <c r="X42" s="113">
        <v>0</v>
      </c>
      <c r="Y42" s="113">
        <v>0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0</v>
      </c>
      <c r="E43" s="28">
        <f t="shared" si="43"/>
        <v>13.682085000000017</v>
      </c>
      <c r="F43" s="28">
        <f t="shared" si="43"/>
        <v>29.099837000000004</v>
      </c>
      <c r="G43" s="28">
        <f t="shared" si="43"/>
        <v>12.774682000000013</v>
      </c>
      <c r="H43" s="28">
        <f t="shared" si="43"/>
        <v>13.465823</v>
      </c>
      <c r="I43" s="28">
        <f t="shared" si="43"/>
        <v>13.320339000000015</v>
      </c>
      <c r="J43" s="28">
        <f t="shared" si="43"/>
        <v>1.5415329999999976</v>
      </c>
      <c r="K43" s="28">
        <f t="shared" si="43"/>
        <v>0</v>
      </c>
      <c r="L43" s="28">
        <f t="shared" si="43"/>
        <v>0</v>
      </c>
      <c r="M43" s="28">
        <f t="shared" si="43"/>
        <v>32.465478000000019</v>
      </c>
      <c r="N43" s="28">
        <f t="shared" si="43"/>
        <v>13.492179999999991</v>
      </c>
      <c r="O43" s="28">
        <f t="shared" si="43"/>
        <v>9.8548870000000193</v>
      </c>
      <c r="P43" s="28">
        <f t="shared" si="43"/>
        <v>11.334285999999992</v>
      </c>
      <c r="Q43" s="28">
        <f t="shared" si="43"/>
        <v>9.7942480000000103</v>
      </c>
      <c r="R43" s="28">
        <f t="shared" si="43"/>
        <v>32.849106000000006</v>
      </c>
      <c r="S43" s="28">
        <f t="shared" si="43"/>
        <v>6.6707010000000082</v>
      </c>
      <c r="T43" s="28">
        <f t="shared" si="43"/>
        <v>4.4764360000000067</v>
      </c>
      <c r="U43" s="28">
        <f t="shared" si="43"/>
        <v>17.507638000000014</v>
      </c>
      <c r="V43" s="28">
        <f t="shared" si="43"/>
        <v>0</v>
      </c>
      <c r="W43" s="28">
        <f t="shared" ref="W43:Y43" si="44">SUM(W44:W45)</f>
        <v>90.320654999999988</v>
      </c>
      <c r="X43" s="28">
        <f t="shared" si="44"/>
        <v>2.6525400000000445</v>
      </c>
      <c r="Y43" s="28">
        <f t="shared" si="44"/>
        <v>95.283387000000005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0.38252600000000037</v>
      </c>
      <c r="F44" s="84">
        <v>1.6489200000000004</v>
      </c>
      <c r="G44" s="84">
        <v>0</v>
      </c>
      <c r="H44" s="84">
        <v>13.465823</v>
      </c>
      <c r="I44" s="84">
        <v>5.389644999999998</v>
      </c>
      <c r="J44" s="84">
        <v>1.5415329999999976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4">
        <v>0</v>
      </c>
      <c r="X44" s="84">
        <v>0</v>
      </c>
      <c r="Y44" s="84">
        <v>0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13.299559000000016</v>
      </c>
      <c r="F45" s="86">
        <v>27.450917000000004</v>
      </c>
      <c r="G45" s="86">
        <v>12.774682000000013</v>
      </c>
      <c r="H45" s="86">
        <v>0</v>
      </c>
      <c r="I45" s="86">
        <v>7.9306940000000168</v>
      </c>
      <c r="J45" s="86">
        <v>0</v>
      </c>
      <c r="K45" s="86">
        <v>0</v>
      </c>
      <c r="L45" s="86">
        <v>0</v>
      </c>
      <c r="M45" s="86">
        <v>32.465478000000019</v>
      </c>
      <c r="N45" s="86">
        <v>13.492179999999991</v>
      </c>
      <c r="O45" s="86">
        <v>9.8548870000000193</v>
      </c>
      <c r="P45" s="86">
        <v>11.334285999999992</v>
      </c>
      <c r="Q45" s="86">
        <v>9.7942480000000103</v>
      </c>
      <c r="R45" s="86">
        <v>32.849106000000006</v>
      </c>
      <c r="S45" s="86">
        <v>6.6707010000000082</v>
      </c>
      <c r="T45" s="86">
        <v>4.4764360000000067</v>
      </c>
      <c r="U45" s="86">
        <v>17.507638000000014</v>
      </c>
      <c r="V45" s="86">
        <v>0</v>
      </c>
      <c r="W45" s="86">
        <v>90.320654999999988</v>
      </c>
      <c r="X45" s="86">
        <v>2.6525400000000445</v>
      </c>
      <c r="Y45" s="86">
        <v>95.283387000000005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170.62472886820765</v>
      </c>
      <c r="C50" s="29">
        <f t="shared" si="45"/>
        <v>176.79427177128821</v>
      </c>
      <c r="D50" s="29">
        <f t="shared" si="45"/>
        <v>169.20907079726413</v>
      </c>
      <c r="E50" s="29">
        <f t="shared" si="45"/>
        <v>159.66473114559633</v>
      </c>
      <c r="F50" s="29">
        <f t="shared" si="45"/>
        <v>167.30048700837523</v>
      </c>
      <c r="G50" s="29">
        <f t="shared" si="45"/>
        <v>167.55516064964993</v>
      </c>
      <c r="H50" s="29">
        <f t="shared" si="45"/>
        <v>169.70020605539312</v>
      </c>
      <c r="I50" s="29">
        <f t="shared" si="45"/>
        <v>166.02367311457496</v>
      </c>
      <c r="J50" s="29">
        <f t="shared" si="45"/>
        <v>164.95741549452708</v>
      </c>
      <c r="K50" s="29">
        <f t="shared" ref="K50:V50" si="46">IF(K4=0,0,K4/K15)</f>
        <v>159.85212767995588</v>
      </c>
      <c r="L50" s="29">
        <f t="shared" si="46"/>
        <v>150.43166606996749</v>
      </c>
      <c r="M50" s="29">
        <f t="shared" si="46"/>
        <v>151.44102601468043</v>
      </c>
      <c r="N50" s="29">
        <f t="shared" si="46"/>
        <v>144.26086841008862</v>
      </c>
      <c r="O50" s="29">
        <f t="shared" si="46"/>
        <v>145.05993442302818</v>
      </c>
      <c r="P50" s="29">
        <f t="shared" si="46"/>
        <v>151.33977855713957</v>
      </c>
      <c r="Q50" s="29">
        <f t="shared" si="46"/>
        <v>150.06763213108684</v>
      </c>
      <c r="R50" s="29">
        <f t="shared" si="46"/>
        <v>142.17732019644117</v>
      </c>
      <c r="S50" s="29">
        <f t="shared" si="46"/>
        <v>138.92265520533576</v>
      </c>
      <c r="T50" s="29">
        <f t="shared" si="46"/>
        <v>137.08614483258427</v>
      </c>
      <c r="U50" s="29">
        <f t="shared" si="46"/>
        <v>143.8698377016068</v>
      </c>
      <c r="V50" s="29">
        <f t="shared" si="46"/>
        <v>72.251767777776024</v>
      </c>
      <c r="W50" s="29">
        <f t="shared" ref="W50:Y50" si="47">IF(W4=0,0,W4/W15)</f>
        <v>83.686636810384954</v>
      </c>
      <c r="X50" s="29">
        <f t="shared" si="47"/>
        <v>123.69947402162961</v>
      </c>
      <c r="Y50" s="29">
        <f t="shared" si="47"/>
        <v>142.06457097963673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88.813271172007461</v>
      </c>
      <c r="C51" s="115">
        <f t="shared" si="48"/>
        <v>88.509657070870247</v>
      </c>
      <c r="D51" s="115">
        <f t="shared" si="48"/>
        <v>88.509657070870247</v>
      </c>
      <c r="E51" s="115">
        <f t="shared" si="48"/>
        <v>87.490717466831541</v>
      </c>
      <c r="F51" s="115">
        <f t="shared" si="48"/>
        <v>84.983141472898268</v>
      </c>
      <c r="G51" s="115">
        <f t="shared" si="48"/>
        <v>84.357621961325179</v>
      </c>
      <c r="H51" s="115">
        <f t="shared" si="48"/>
        <v>84.035911467910665</v>
      </c>
      <c r="I51" s="115">
        <f t="shared" si="48"/>
        <v>83.246534494928426</v>
      </c>
      <c r="J51" s="115">
        <f t="shared" si="48"/>
        <v>83.221203040201431</v>
      </c>
      <c r="K51" s="115">
        <f t="shared" ref="K51:V51" si="49">IF(K5=0,0,K5/K16)</f>
        <v>82.618427859615011</v>
      </c>
      <c r="L51" s="115">
        <f t="shared" si="49"/>
        <v>82.135144200507952</v>
      </c>
      <c r="M51" s="115">
        <f t="shared" si="49"/>
        <v>82.384983306624036</v>
      </c>
      <c r="N51" s="115">
        <f t="shared" si="49"/>
        <v>82.749094310780208</v>
      </c>
      <c r="O51" s="115">
        <f t="shared" si="49"/>
        <v>82.631348926094645</v>
      </c>
      <c r="P51" s="115">
        <f t="shared" si="49"/>
        <v>83.178431500353682</v>
      </c>
      <c r="Q51" s="115">
        <f t="shared" si="49"/>
        <v>83.702834465511089</v>
      </c>
      <c r="R51" s="115">
        <f t="shared" si="49"/>
        <v>83.227547429337889</v>
      </c>
      <c r="S51" s="115">
        <f t="shared" si="49"/>
        <v>83.521301936886587</v>
      </c>
      <c r="T51" s="115">
        <f t="shared" si="49"/>
        <v>83.77718404016592</v>
      </c>
      <c r="U51" s="115">
        <f t="shared" si="49"/>
        <v>83.894099561267154</v>
      </c>
      <c r="V51" s="115">
        <f t="shared" si="49"/>
        <v>58.971120366697519</v>
      </c>
      <c r="W51" s="115">
        <f t="shared" ref="W51:Y51" si="50">IF(W5=0,0,W5/W16)</f>
        <v>63.225626979100682</v>
      </c>
      <c r="X51" s="115">
        <f t="shared" si="50"/>
        <v>61.017532295906861</v>
      </c>
      <c r="Y51" s="115">
        <f t="shared" si="50"/>
        <v>88.12156616090688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181.17048527660768</v>
      </c>
      <c r="C52" s="116">
        <f t="shared" si="51"/>
        <v>186.56630061536092</v>
      </c>
      <c r="D52" s="116">
        <f t="shared" si="51"/>
        <v>176.52647313757078</v>
      </c>
      <c r="E52" s="116">
        <f t="shared" si="51"/>
        <v>163.37244475185662</v>
      </c>
      <c r="F52" s="116">
        <f t="shared" si="51"/>
        <v>174.5871404160259</v>
      </c>
      <c r="G52" s="116">
        <f t="shared" si="51"/>
        <v>174.02335900074641</v>
      </c>
      <c r="H52" s="116">
        <f t="shared" si="51"/>
        <v>177.40010180069299</v>
      </c>
      <c r="I52" s="116">
        <f t="shared" si="51"/>
        <v>174.66248142266809</v>
      </c>
      <c r="J52" s="116">
        <f t="shared" si="51"/>
        <v>174.09871740318289</v>
      </c>
      <c r="K52" s="116">
        <f t="shared" ref="K52:V52" si="52">IF(K6=0,0,K6/K17)</f>
        <v>163.06565478404369</v>
      </c>
      <c r="L52" s="116">
        <f t="shared" si="52"/>
        <v>148.82142662383347</v>
      </c>
      <c r="M52" s="116">
        <f t="shared" si="52"/>
        <v>147.41400735033662</v>
      </c>
      <c r="N52" s="116">
        <f t="shared" si="52"/>
        <v>134.06088704893332</v>
      </c>
      <c r="O52" s="116">
        <f t="shared" si="52"/>
        <v>133.79035916310485</v>
      </c>
      <c r="P52" s="116">
        <f t="shared" si="52"/>
        <v>141.2065632418873</v>
      </c>
      <c r="Q52" s="116">
        <f t="shared" si="52"/>
        <v>138.03435160448944</v>
      </c>
      <c r="R52" s="116">
        <f t="shared" si="52"/>
        <v>128.35259206786941</v>
      </c>
      <c r="S52" s="116">
        <f t="shared" si="52"/>
        <v>124.1917913248554</v>
      </c>
      <c r="T52" s="116">
        <f t="shared" si="52"/>
        <v>120.7064972497277</v>
      </c>
      <c r="U52" s="116">
        <f t="shared" si="52"/>
        <v>130.30840526700425</v>
      </c>
      <c r="V52" s="116">
        <f t="shared" si="52"/>
        <v>62.733654465119876</v>
      </c>
      <c r="W52" s="116">
        <f t="shared" ref="W52:Y52" si="53">IF(W6=0,0,W6/W17)</f>
        <v>74.084296821690117</v>
      </c>
      <c r="X52" s="116">
        <f t="shared" si="53"/>
        <v>117.92854165307439</v>
      </c>
      <c r="Y52" s="116">
        <f t="shared" si="53"/>
        <v>122.53120887406391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166.75365543100489</v>
      </c>
      <c r="C53" s="87">
        <f t="shared" si="54"/>
        <v>164.37701704366822</v>
      </c>
      <c r="D53" s="87">
        <f t="shared" si="54"/>
        <v>170.48733911514952</v>
      </c>
      <c r="E53" s="87">
        <f t="shared" si="54"/>
        <v>141.67537311424988</v>
      </c>
      <c r="F53" s="87">
        <f t="shared" si="54"/>
        <v>140.47133235602823</v>
      </c>
      <c r="G53" s="87">
        <f t="shared" si="54"/>
        <v>132.32798808262675</v>
      </c>
      <c r="H53" s="87">
        <f t="shared" si="54"/>
        <v>132.19945872633568</v>
      </c>
      <c r="I53" s="87">
        <f t="shared" si="54"/>
        <v>126.36208470990529</v>
      </c>
      <c r="J53" s="87">
        <f t="shared" si="54"/>
        <v>125.79432998757865</v>
      </c>
      <c r="K53" s="87">
        <f t="shared" ref="K53:V53" si="55">IF(K7=0,0,K7/K18)</f>
        <v>118.88804341769873</v>
      </c>
      <c r="L53" s="87">
        <f t="shared" si="55"/>
        <v>116.4024406629583</v>
      </c>
      <c r="M53" s="87">
        <f t="shared" si="55"/>
        <v>138.33555696593982</v>
      </c>
      <c r="N53" s="87">
        <f t="shared" si="55"/>
        <v>132.70979290807216</v>
      </c>
      <c r="O53" s="87">
        <f t="shared" si="55"/>
        <v>129.38739338594715</v>
      </c>
      <c r="P53" s="87">
        <f t="shared" si="55"/>
        <v>136.29125145223952</v>
      </c>
      <c r="Q53" s="87">
        <f t="shared" si="55"/>
        <v>135.89615875517302</v>
      </c>
      <c r="R53" s="87">
        <f t="shared" si="55"/>
        <v>125.26678823747955</v>
      </c>
      <c r="S53" s="87">
        <f t="shared" si="55"/>
        <v>138.42933177196107</v>
      </c>
      <c r="T53" s="87">
        <f t="shared" si="55"/>
        <v>132.76242278869708</v>
      </c>
      <c r="U53" s="87">
        <f t="shared" si="55"/>
        <v>141.18503081135887</v>
      </c>
      <c r="V53" s="87">
        <f t="shared" si="55"/>
        <v>60.624949829739734</v>
      </c>
      <c r="W53" s="87">
        <f t="shared" ref="W53:Y53" si="56">IF(W7=0,0,W7/W18)</f>
        <v>76.763680925661575</v>
      </c>
      <c r="X53" s="87">
        <f t="shared" si="56"/>
        <v>117.10068321719363</v>
      </c>
      <c r="Y53" s="87">
        <f t="shared" si="56"/>
        <v>116.83075943700865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184.71836468192907</v>
      </c>
      <c r="C54" s="87">
        <f t="shared" si="57"/>
        <v>191.82247410542692</v>
      </c>
      <c r="D54" s="87">
        <f t="shared" si="57"/>
        <v>178.00887058052831</v>
      </c>
      <c r="E54" s="87">
        <f t="shared" si="57"/>
        <v>169.01410974337526</v>
      </c>
      <c r="F54" s="87">
        <f t="shared" si="57"/>
        <v>182.91690529676288</v>
      </c>
      <c r="G54" s="87">
        <f t="shared" si="57"/>
        <v>182.70364533704901</v>
      </c>
      <c r="H54" s="87">
        <f t="shared" si="57"/>
        <v>187.59035568157154</v>
      </c>
      <c r="I54" s="87">
        <f t="shared" si="57"/>
        <v>184.04358544336407</v>
      </c>
      <c r="J54" s="87">
        <f t="shared" si="57"/>
        <v>179.27519262379462</v>
      </c>
      <c r="K54" s="87">
        <f t="shared" ref="K54:V54" si="58">IF(K8=0,0,K8/K19)</f>
        <v>167.9217472993756</v>
      </c>
      <c r="L54" s="87">
        <f t="shared" si="58"/>
        <v>152.55478674186065</v>
      </c>
      <c r="M54" s="87">
        <f t="shared" si="58"/>
        <v>148.24211373938127</v>
      </c>
      <c r="N54" s="87">
        <f t="shared" si="58"/>
        <v>134.21265187228579</v>
      </c>
      <c r="O54" s="87">
        <f t="shared" si="58"/>
        <v>134.12406908556875</v>
      </c>
      <c r="P54" s="87">
        <f t="shared" si="58"/>
        <v>141.38619344997664</v>
      </c>
      <c r="Q54" s="87">
        <f t="shared" si="58"/>
        <v>138.12525642280687</v>
      </c>
      <c r="R54" s="87">
        <f t="shared" si="58"/>
        <v>128.43706921793344</v>
      </c>
      <c r="S54" s="87">
        <f t="shared" si="58"/>
        <v>123.33915887578782</v>
      </c>
      <c r="T54" s="87">
        <f t="shared" si="58"/>
        <v>119.77366070896011</v>
      </c>
      <c r="U54" s="87">
        <f t="shared" si="58"/>
        <v>129.43395598966924</v>
      </c>
      <c r="V54" s="87">
        <f t="shared" si="58"/>
        <v>62.944025973586314</v>
      </c>
      <c r="W54" s="87">
        <f t="shared" ref="W54:Y54" si="59">IF(W8=0,0,W8/W19)</f>
        <v>73.873842172993605</v>
      </c>
      <c r="X54" s="87">
        <f t="shared" si="59"/>
        <v>117.94604824488172</v>
      </c>
      <c r="Y54" s="87">
        <f t="shared" si="59"/>
        <v>122.64549419220381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345.87901701323256</v>
      </c>
      <c r="C55" s="117">
        <f t="shared" si="60"/>
        <v>345.87901701323256</v>
      </c>
      <c r="D55" s="117">
        <f t="shared" si="60"/>
        <v>345.87901701323256</v>
      </c>
      <c r="E55" s="117">
        <f t="shared" si="60"/>
        <v>345.87901701323256</v>
      </c>
      <c r="F55" s="117">
        <f t="shared" si="60"/>
        <v>345.87901701323256</v>
      </c>
      <c r="G55" s="117">
        <f t="shared" si="60"/>
        <v>345.87901701323256</v>
      </c>
      <c r="H55" s="117">
        <f t="shared" si="60"/>
        <v>351.48885821337012</v>
      </c>
      <c r="I55" s="117">
        <f t="shared" si="60"/>
        <v>352.18467928748305</v>
      </c>
      <c r="J55" s="117">
        <f t="shared" si="60"/>
        <v>344.50416786432885</v>
      </c>
      <c r="K55" s="117">
        <f t="shared" ref="K55:V55" si="61">IF(K9=0,0,K9/K20)</f>
        <v>344.4187925559022</v>
      </c>
      <c r="L55" s="117">
        <f t="shared" si="61"/>
        <v>337.02969736432357</v>
      </c>
      <c r="M55" s="117">
        <f t="shared" si="61"/>
        <v>345.00040125190588</v>
      </c>
      <c r="N55" s="117">
        <f t="shared" si="61"/>
        <v>345.00231136678821</v>
      </c>
      <c r="O55" s="117">
        <f t="shared" si="61"/>
        <v>359.61136152838793</v>
      </c>
      <c r="P55" s="117">
        <f t="shared" si="61"/>
        <v>368.59814087022045</v>
      </c>
      <c r="Q55" s="117">
        <f t="shared" si="61"/>
        <v>385.19933423567471</v>
      </c>
      <c r="R55" s="117">
        <f t="shared" si="61"/>
        <v>384.98584288899497</v>
      </c>
      <c r="S55" s="117">
        <f t="shared" si="61"/>
        <v>392.87579913720015</v>
      </c>
      <c r="T55" s="117">
        <f t="shared" si="61"/>
        <v>409.57067726551543</v>
      </c>
      <c r="U55" s="117">
        <f t="shared" si="61"/>
        <v>386.59281045635174</v>
      </c>
      <c r="V55" s="117">
        <f t="shared" si="61"/>
        <v>166.15508794094316</v>
      </c>
      <c r="W55" s="117">
        <f t="shared" ref="W55:Y55" si="62">IF(W9=0,0,W9/W20)</f>
        <v>189.89721093323942</v>
      </c>
      <c r="X55" s="117">
        <f t="shared" si="62"/>
        <v>341.28977155613228</v>
      </c>
      <c r="Y55" s="117">
        <f t="shared" si="62"/>
        <v>412.87307129912864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669.69584518344402</v>
      </c>
      <c r="C56" s="29">
        <f t="shared" si="63"/>
        <v>677.78521201455749</v>
      </c>
      <c r="D56" s="29">
        <f t="shared" si="63"/>
        <v>669.77565338076511</v>
      </c>
      <c r="E56" s="29">
        <f t="shared" si="63"/>
        <v>622.70885162876493</v>
      </c>
      <c r="F56" s="29">
        <f t="shared" si="63"/>
        <v>594.17862776617449</v>
      </c>
      <c r="G56" s="29">
        <f t="shared" si="63"/>
        <v>593.34600918293086</v>
      </c>
      <c r="H56" s="29">
        <f t="shared" si="63"/>
        <v>607.69796117605563</v>
      </c>
      <c r="I56" s="29">
        <f t="shared" si="63"/>
        <v>611.90350268375414</v>
      </c>
      <c r="J56" s="29">
        <f t="shared" si="63"/>
        <v>609.48112686887805</v>
      </c>
      <c r="K56" s="29">
        <f t="shared" ref="K56:V56" si="64">IF(K10=0,0,K10/K21)</f>
        <v>615.22250544217854</v>
      </c>
      <c r="L56" s="29">
        <f t="shared" si="64"/>
        <v>620.8122551003745</v>
      </c>
      <c r="M56" s="29">
        <f t="shared" si="64"/>
        <v>574.11656517165227</v>
      </c>
      <c r="N56" s="29">
        <f t="shared" si="64"/>
        <v>559.87079261080225</v>
      </c>
      <c r="O56" s="29">
        <f t="shared" si="64"/>
        <v>520.07540687449887</v>
      </c>
      <c r="P56" s="29">
        <f t="shared" si="64"/>
        <v>541.05250699706073</v>
      </c>
      <c r="Q56" s="29">
        <f t="shared" si="64"/>
        <v>542.34389212554947</v>
      </c>
      <c r="R56" s="29">
        <f t="shared" si="64"/>
        <v>520.22962243995096</v>
      </c>
      <c r="S56" s="29">
        <f t="shared" si="64"/>
        <v>500.18080093561872</v>
      </c>
      <c r="T56" s="29">
        <f t="shared" si="64"/>
        <v>491.9257618847704</v>
      </c>
      <c r="U56" s="29">
        <f t="shared" si="64"/>
        <v>449.29710899410719</v>
      </c>
      <c r="V56" s="29">
        <f t="shared" si="64"/>
        <v>449.00749628482981</v>
      </c>
      <c r="W56" s="29">
        <f t="shared" ref="W56:Y56" si="65">IF(W10=0,0,W10/W21)</f>
        <v>383.44289819852901</v>
      </c>
      <c r="X56" s="29">
        <f t="shared" si="65"/>
        <v>396.50164623903413</v>
      </c>
      <c r="Y56" s="29">
        <f t="shared" si="65"/>
        <v>285.92969259942492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794.49075236150293</v>
      </c>
      <c r="C57" s="87">
        <f t="shared" si="66"/>
        <v>790.34481927590411</v>
      </c>
      <c r="D57" s="87">
        <f t="shared" si="66"/>
        <v>790.07596026447675</v>
      </c>
      <c r="E57" s="87">
        <f t="shared" si="66"/>
        <v>794.17274131718898</v>
      </c>
      <c r="F57" s="87">
        <f t="shared" si="66"/>
        <v>767.98415586286535</v>
      </c>
      <c r="G57" s="87">
        <f t="shared" si="66"/>
        <v>761.1472245378551</v>
      </c>
      <c r="H57" s="87">
        <f t="shared" si="66"/>
        <v>751.8083972602027</v>
      </c>
      <c r="I57" s="87">
        <f t="shared" si="66"/>
        <v>742.50125466655152</v>
      </c>
      <c r="J57" s="87">
        <f t="shared" si="66"/>
        <v>707.30634190870524</v>
      </c>
      <c r="K57" s="87">
        <f t="shared" ref="K57:V57" si="67">IF(K11=0,0,K11/K22)</f>
        <v>748.63022631889282</v>
      </c>
      <c r="L57" s="87">
        <f t="shared" si="67"/>
        <v>743.10453063124476</v>
      </c>
      <c r="M57" s="87">
        <f t="shared" si="67"/>
        <v>635.11687366178433</v>
      </c>
      <c r="N57" s="87">
        <f t="shared" si="67"/>
        <v>618.57810697347907</v>
      </c>
      <c r="O57" s="87">
        <f t="shared" si="67"/>
        <v>574.79433348609177</v>
      </c>
      <c r="P57" s="87">
        <f t="shared" si="67"/>
        <v>600.7504947881481</v>
      </c>
      <c r="Q57" s="87">
        <f t="shared" si="67"/>
        <v>594.63210170846094</v>
      </c>
      <c r="R57" s="87">
        <f t="shared" si="67"/>
        <v>574.13577896052857</v>
      </c>
      <c r="S57" s="87">
        <f t="shared" si="67"/>
        <v>559.44345238082042</v>
      </c>
      <c r="T57" s="87">
        <f t="shared" si="67"/>
        <v>545.25111947504342</v>
      </c>
      <c r="U57" s="87">
        <f t="shared" si="67"/>
        <v>498.24021385400908</v>
      </c>
      <c r="V57" s="87">
        <f t="shared" si="67"/>
        <v>496.68381038956778</v>
      </c>
      <c r="W57" s="87">
        <f t="shared" ref="W57:Y57" si="68">IF(W11=0,0,W11/W22)</f>
        <v>453.11863120778327</v>
      </c>
      <c r="X57" s="87">
        <f t="shared" si="68"/>
        <v>459.23915527667435</v>
      </c>
      <c r="Y57" s="87">
        <f t="shared" si="68"/>
        <v>421.21137821512116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664.48380053676976</v>
      </c>
      <c r="C58" s="88">
        <f t="shared" si="69"/>
        <v>673.92934199290994</v>
      </c>
      <c r="D58" s="88">
        <f t="shared" si="69"/>
        <v>665.65805236518304</v>
      </c>
      <c r="E58" s="88">
        <f t="shared" si="69"/>
        <v>616.60773064602802</v>
      </c>
      <c r="F58" s="88">
        <f t="shared" si="69"/>
        <v>587.4037094146048</v>
      </c>
      <c r="G58" s="88">
        <f t="shared" si="69"/>
        <v>589.28211596668461</v>
      </c>
      <c r="H58" s="88">
        <f t="shared" si="69"/>
        <v>591.98108060390393</v>
      </c>
      <c r="I58" s="88">
        <f t="shared" si="69"/>
        <v>594.18361872720232</v>
      </c>
      <c r="J58" s="88">
        <f t="shared" si="69"/>
        <v>594.48913410087562</v>
      </c>
      <c r="K58" s="88">
        <f t="shared" ref="K58:V58" si="70">IF(K12=0,0,K12/K23)</f>
        <v>600.56696669713938</v>
      </c>
      <c r="L58" s="88">
        <f t="shared" si="70"/>
        <v>609.06716460449445</v>
      </c>
      <c r="M58" s="88">
        <f t="shared" si="70"/>
        <v>571.06248591288806</v>
      </c>
      <c r="N58" s="88">
        <f t="shared" si="70"/>
        <v>557.02295064056796</v>
      </c>
      <c r="O58" s="88">
        <f t="shared" si="70"/>
        <v>518.24846292338748</v>
      </c>
      <c r="P58" s="88">
        <f t="shared" si="70"/>
        <v>540.07291938710239</v>
      </c>
      <c r="Q58" s="88">
        <f t="shared" si="70"/>
        <v>541.31523917856612</v>
      </c>
      <c r="R58" s="88">
        <f t="shared" si="70"/>
        <v>519.54834696303146</v>
      </c>
      <c r="S58" s="88">
        <f t="shared" si="70"/>
        <v>498.48568343653369</v>
      </c>
      <c r="T58" s="88">
        <f t="shared" si="70"/>
        <v>489.96405346646065</v>
      </c>
      <c r="U58" s="88">
        <f t="shared" si="70"/>
        <v>447.49078031503092</v>
      </c>
      <c r="V58" s="88">
        <f t="shared" si="70"/>
        <v>446.90446958329568</v>
      </c>
      <c r="W58" s="88">
        <f t="shared" ref="W58:Y58" si="71">IF(W12=0,0,W12/W23)</f>
        <v>381.18735057339154</v>
      </c>
      <c r="X58" s="88">
        <f t="shared" si="71"/>
        <v>395.90720098170067</v>
      </c>
      <c r="Y58" s="88">
        <f t="shared" si="71"/>
        <v>284.97169037023286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343.96455042709971</v>
      </c>
      <c r="C61" s="29">
        <f t="shared" ref="C61" si="73">IF(C26=0,0,(C62*C27+C64*C29+C65*C30+C66*C31)/(C27+C29+C30+C31))</f>
        <v>346.02609409991743</v>
      </c>
      <c r="D61" s="29">
        <f t="shared" ref="D61" si="74">IF(D26=0,0,(D62*D27+D64*D29+D65*D30+D66*D31)/(D27+D29+D30+D31))</f>
        <v>346.40541057868103</v>
      </c>
      <c r="E61" s="29">
        <f t="shared" ref="E61" si="75">IF(E26=0,0,(E62*E27+E64*E29+E65*E30+E66*E31)/(E27+E29+E30+E31))</f>
        <v>346.00712116423426</v>
      </c>
      <c r="F61" s="29">
        <f t="shared" ref="F61" si="76">IF(F26=0,0,(F62*F27+F64*F29+F65*F30+F66*F31)/(F27+F29+F30+F31))</f>
        <v>347.93693384442878</v>
      </c>
      <c r="G61" s="29">
        <f t="shared" ref="G61" si="77">IF(G26=0,0,(G62*G27+G64*G29+G65*G30+G66*G31)/(G27+G29+G30+G31))</f>
        <v>348.28935752499223</v>
      </c>
      <c r="H61" s="29">
        <f t="shared" ref="H61" si="78">IF(H26=0,0,(H62*H27+H64*H29+H65*H30+H66*H31)/(H27+H29+H30+H31))</f>
        <v>349.67817727583474</v>
      </c>
      <c r="I61" s="29">
        <f t="shared" ref="I61" si="79">IF(I26=0,0,(I62*I27+I64*I29+I65*I30+I66*I31)/(I27+I29+I30+I31))</f>
        <v>350.63746721001399</v>
      </c>
      <c r="J61" s="29">
        <f t="shared" ref="J61" si="80">IF(J26=0,0,(J62*J27+J64*J29+J65*J30+J66*J31)/(J27+J29+J30+J31))</f>
        <v>350.32574294923222</v>
      </c>
      <c r="K61" s="29">
        <f t="shared" ref="K61" si="81">IF(K26=0,0,(K62*K27+K64*K29+K65*K30+K66*K31)/(K27+K29+K30+K31))</f>
        <v>352.41381819916194</v>
      </c>
      <c r="L61" s="29">
        <f t="shared" ref="L61" si="82">IF(L26=0,0,(L62*L27+L64*L29+L65*L30+L66*L31)/(L27+L29+L30+L31))</f>
        <v>352.73552597135767</v>
      </c>
      <c r="M61" s="29">
        <f t="shared" ref="M61" si="83">IF(M26=0,0,(M62*M27+M64*M29+M65*M30+M66*M31)/(M27+M29+M30+M31))</f>
        <v>353.61868532235684</v>
      </c>
      <c r="N61" s="29">
        <f t="shared" ref="N61" si="84">IF(N26=0,0,(N62*N27+N64*N29+N65*N30+N66*N31)/(N27+N29+N30+N31))</f>
        <v>351.16531711669035</v>
      </c>
      <c r="O61" s="29">
        <f t="shared" ref="O61" si="85">IF(O26=0,0,(O62*O27+O64*O29+O65*O30+O66*O31)/(O27+O29+O30+O31))</f>
        <v>350.07026799116835</v>
      </c>
      <c r="P61" s="29">
        <f t="shared" ref="P61" si="86">IF(P26=0,0,(P62*P27+P64*P29+P65*P30+P66*P31)/(P27+P29+P30+P31))</f>
        <v>350.35265878646209</v>
      </c>
      <c r="Q61" s="29">
        <f t="shared" ref="Q61" si="87">IF(Q26=0,0,(Q62*Q27+Q64*Q29+Q65*Q30+Q66*Q31)/(Q27+Q29+Q30+Q31))</f>
        <v>349.78865534088089</v>
      </c>
      <c r="R61" s="29">
        <f t="shared" ref="R61" si="88">IF(R26=0,0,(R62*R27+R64*R29+R65*R30+R66*R31)/(R27+R29+R30+R31))</f>
        <v>348.64751720285523</v>
      </c>
      <c r="S61" s="29">
        <f t="shared" ref="S61" si="89">IF(S26=0,0,(S62*S27+S64*S29+S65*S30+S66*S31)/(S27+S29+S30+S31))</f>
        <v>348.18534923223797</v>
      </c>
      <c r="T61" s="29">
        <f t="shared" ref="T61" si="90">IF(T26=0,0,(T62*T27+T64*T29+T65*T30+T66*T31)/(T27+T29+T30+T31))</f>
        <v>346.77425333505693</v>
      </c>
      <c r="U61" s="29">
        <f t="shared" ref="U61" si="91">IF(U26=0,0,(U62*U27+U64*U29+U65*U30+U66*U31)/(U27+U29+U30+U31))</f>
        <v>348.9582282846111</v>
      </c>
      <c r="V61" s="29">
        <f t="shared" ref="V61" si="92">IF(V26=0,0,(V62*V27+V64*V29+V65*V30+V66*V31)/(V27+V29+V30+V31))</f>
        <v>349.02908412239378</v>
      </c>
      <c r="W61" s="29">
        <f t="shared" ref="W61:Y61" si="93">IF(W26=0,0,(W62*W27+W64*W29+W65*W30+W66*W31)/(W27+W29+W30+W31))</f>
        <v>350.1458498964447</v>
      </c>
      <c r="X61" s="29">
        <f t="shared" si="93"/>
        <v>351.90187204507032</v>
      </c>
      <c r="Y61" s="29">
        <f t="shared" si="93"/>
        <v>348.57595000428341</v>
      </c>
      <c r="DA61" s="173" t="s">
        <v>1074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320.00000000000006</v>
      </c>
      <c r="F63" s="116">
        <f t="shared" ref="F63" si="98">IF(F28=0,0,(F64*F29+F65*F30)/(F29+F30))</f>
        <v>320</v>
      </c>
      <c r="G63" s="116">
        <f t="shared" ref="G63" si="99">IF(G28=0,0,(G64*G29+G65*G30)/(G29+G30))</f>
        <v>319.99999999999994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320.00000000000006</v>
      </c>
      <c r="O63" s="116">
        <f t="shared" ref="O63" si="107">IF(O28=0,0,(O64*O29+O65*O30)/(O29+O30))</f>
        <v>319.99999999999994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320.00000000000006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320.00000000000006</v>
      </c>
      <c r="W63" s="116">
        <f t="shared" ref="W63:Y63" si="115">IF(W28=0,0,(W64*W29+W65*W30)/(W29+W30))</f>
        <v>320</v>
      </c>
      <c r="X63" s="116">
        <f t="shared" si="115"/>
        <v>320</v>
      </c>
      <c r="Y63" s="116">
        <f t="shared" si="115"/>
        <v>320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X66" s="117">
        <v>560</v>
      </c>
      <c r="Y66" s="117">
        <v>560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2099.9999999999995</v>
      </c>
      <c r="E67" s="29">
        <f t="shared" ref="E67" si="119">IF(E32=0,0,(E68*E33+E69*E34)/(E33+E34))</f>
        <v>2100</v>
      </c>
      <c r="F67" s="29">
        <f t="shared" ref="F67" si="120">IF(F32=0,0,(F68*F33+F69*F34)/(F33+F34))</f>
        <v>2099.9999999999995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2099.9999999999995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:Y67" si="137">IF(W32=0,0,(W68*W33+W69*W34)/(W33+W34))</f>
        <v>2100</v>
      </c>
      <c r="X67" s="29">
        <f t="shared" si="137"/>
        <v>2099.9999999999995</v>
      </c>
      <c r="Y67" s="29">
        <f t="shared" si="137"/>
        <v>2100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X69" s="88">
        <v>2100</v>
      </c>
      <c r="Y69" s="88">
        <v>2100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0.49605323762679454</v>
      </c>
      <c r="C72" s="30">
        <f t="shared" ref="C72:J72" si="138">IF(C50=0,0,C50/C61)</f>
        <v>0.51092757102947739</v>
      </c>
      <c r="D72" s="30">
        <f t="shared" si="138"/>
        <v>0.48847121214011963</v>
      </c>
      <c r="E72" s="30">
        <f t="shared" si="138"/>
        <v>0.46144926326475966</v>
      </c>
      <c r="F72" s="30">
        <f t="shared" si="138"/>
        <v>0.48083566512998999</v>
      </c>
      <c r="G72" s="30">
        <f t="shared" si="138"/>
        <v>0.48108033458250776</v>
      </c>
      <c r="H72" s="30">
        <f t="shared" si="138"/>
        <v>0.48530396542741477</v>
      </c>
      <c r="I72" s="30">
        <f t="shared" si="138"/>
        <v>0.473490966141206</v>
      </c>
      <c r="J72" s="30">
        <f t="shared" si="138"/>
        <v>0.47086866670381128</v>
      </c>
      <c r="K72" s="30">
        <f t="shared" ref="K72:V72" si="139">IF(K50=0,0,K50/K61)</f>
        <v>0.45359211082244683</v>
      </c>
      <c r="L72" s="30">
        <f t="shared" si="139"/>
        <v>0.42647154877783028</v>
      </c>
      <c r="M72" s="30">
        <f t="shared" si="139"/>
        <v>0.4282608139799729</v>
      </c>
      <c r="N72" s="30">
        <f t="shared" si="139"/>
        <v>0.41080613995302817</v>
      </c>
      <c r="O72" s="30">
        <f t="shared" si="139"/>
        <v>0.41437376346021987</v>
      </c>
      <c r="P72" s="30">
        <f t="shared" si="139"/>
        <v>0.43196412175476107</v>
      </c>
      <c r="Q72" s="30">
        <f t="shared" si="139"/>
        <v>0.42902372572615555</v>
      </c>
      <c r="R72" s="30">
        <f t="shared" si="139"/>
        <v>0.40779673791199689</v>
      </c>
      <c r="S72" s="30">
        <f t="shared" si="139"/>
        <v>0.39899052476408192</v>
      </c>
      <c r="T72" s="30">
        <f t="shared" si="139"/>
        <v>0.39531811694258107</v>
      </c>
      <c r="U72" s="30">
        <f t="shared" si="139"/>
        <v>0.41228383812249941</v>
      </c>
      <c r="V72" s="30">
        <f t="shared" si="139"/>
        <v>0.20700787144844224</v>
      </c>
      <c r="W72" s="30">
        <f t="shared" ref="W72:Y72" si="140">IF(W50=0,0,W50/W61)</f>
        <v>0.23900507984068695</v>
      </c>
      <c r="X72" s="30">
        <f t="shared" si="140"/>
        <v>0.35151695358354512</v>
      </c>
      <c r="Y72" s="30">
        <f t="shared" si="140"/>
        <v>0.40755700724014665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0.22203317793001864</v>
      </c>
      <c r="C73" s="118">
        <f t="shared" si="141"/>
        <v>0.22127414267717563</v>
      </c>
      <c r="D73" s="118">
        <f t="shared" si="141"/>
        <v>0.22127414267717563</v>
      </c>
      <c r="E73" s="118">
        <f t="shared" si="141"/>
        <v>0.21872679366707884</v>
      </c>
      <c r="F73" s="118">
        <f t="shared" si="141"/>
        <v>0.21245785368224568</v>
      </c>
      <c r="G73" s="118">
        <f t="shared" si="141"/>
        <v>0.21089405490331295</v>
      </c>
      <c r="H73" s="118">
        <f t="shared" si="141"/>
        <v>0.21008977866977666</v>
      </c>
      <c r="I73" s="118">
        <f t="shared" si="141"/>
        <v>0.20811633623732106</v>
      </c>
      <c r="J73" s="118">
        <f t="shared" si="141"/>
        <v>0.20805300760050358</v>
      </c>
      <c r="K73" s="118">
        <f t="shared" ref="K73:V73" si="142">IF(K51=0,0,K51/K62)</f>
        <v>0.20654606964903752</v>
      </c>
      <c r="L73" s="118">
        <f t="shared" si="142"/>
        <v>0.20533786050126987</v>
      </c>
      <c r="M73" s="118">
        <f t="shared" si="142"/>
        <v>0.20596245826656009</v>
      </c>
      <c r="N73" s="118">
        <f t="shared" si="142"/>
        <v>0.20687273577695053</v>
      </c>
      <c r="O73" s="118">
        <f t="shared" si="142"/>
        <v>0.20657837231523662</v>
      </c>
      <c r="P73" s="118">
        <f t="shared" si="142"/>
        <v>0.20794607875088419</v>
      </c>
      <c r="Q73" s="118">
        <f t="shared" si="142"/>
        <v>0.20925708616377772</v>
      </c>
      <c r="R73" s="118">
        <f t="shared" si="142"/>
        <v>0.20806886857334472</v>
      </c>
      <c r="S73" s="118">
        <f t="shared" si="142"/>
        <v>0.20880325484221646</v>
      </c>
      <c r="T73" s="118">
        <f t="shared" si="142"/>
        <v>0.2094429601004148</v>
      </c>
      <c r="U73" s="118">
        <f t="shared" si="142"/>
        <v>0.20973524890316789</v>
      </c>
      <c r="V73" s="118">
        <f t="shared" si="142"/>
        <v>0.14742780091674379</v>
      </c>
      <c r="W73" s="118">
        <f t="shared" ref="W73:Y73" si="143">IF(W51=0,0,W51/W62)</f>
        <v>0.1580640674477517</v>
      </c>
      <c r="X73" s="118">
        <f t="shared" si="143"/>
        <v>0.15254383073976716</v>
      </c>
      <c r="Y73" s="118">
        <f t="shared" si="143"/>
        <v>0.22030391540226721</v>
      </c>
      <c r="DA73" s="203"/>
    </row>
    <row r="74" spans="1:105" ht="11.45" customHeight="1" x14ac:dyDescent="0.25">
      <c r="A74" s="109" t="s">
        <v>24</v>
      </c>
      <c r="B74" s="119">
        <f t="shared" si="141"/>
        <v>0.56615776648939897</v>
      </c>
      <c r="C74" s="119">
        <f t="shared" si="141"/>
        <v>0.58301968942300286</v>
      </c>
      <c r="D74" s="119">
        <f t="shared" si="141"/>
        <v>0.55164522855490872</v>
      </c>
      <c r="E74" s="119">
        <f t="shared" si="141"/>
        <v>0.51053888984955187</v>
      </c>
      <c r="F74" s="119">
        <f t="shared" si="141"/>
        <v>0.54558481380008095</v>
      </c>
      <c r="G74" s="119">
        <f t="shared" si="141"/>
        <v>0.5438229968773326</v>
      </c>
      <c r="H74" s="119">
        <f t="shared" si="141"/>
        <v>0.55437531812716556</v>
      </c>
      <c r="I74" s="119">
        <f t="shared" si="141"/>
        <v>0.54582025444583782</v>
      </c>
      <c r="J74" s="119">
        <f t="shared" si="141"/>
        <v>0.54405849188494648</v>
      </c>
      <c r="K74" s="119">
        <f t="shared" ref="K74:V74" si="144">IF(K52=0,0,K52/K63)</f>
        <v>0.50958017120013654</v>
      </c>
      <c r="L74" s="119">
        <f t="shared" si="144"/>
        <v>0.46506695819947963</v>
      </c>
      <c r="M74" s="119">
        <f t="shared" si="144"/>
        <v>0.46066877296980191</v>
      </c>
      <c r="N74" s="119">
        <f t="shared" si="144"/>
        <v>0.41894027202791656</v>
      </c>
      <c r="O74" s="119">
        <f t="shared" si="144"/>
        <v>0.41809487238470272</v>
      </c>
      <c r="P74" s="119">
        <f t="shared" si="144"/>
        <v>0.4412705101308978</v>
      </c>
      <c r="Q74" s="119">
        <f t="shared" si="144"/>
        <v>0.43135734876402942</v>
      </c>
      <c r="R74" s="119">
        <f t="shared" si="144"/>
        <v>0.40110185021209188</v>
      </c>
      <c r="S74" s="119">
        <f t="shared" si="144"/>
        <v>0.38809934789017314</v>
      </c>
      <c r="T74" s="119">
        <f t="shared" si="144"/>
        <v>0.3772078039053991</v>
      </c>
      <c r="U74" s="119">
        <f t="shared" si="144"/>
        <v>0.40721376645938828</v>
      </c>
      <c r="V74" s="119">
        <f t="shared" si="144"/>
        <v>0.19604267020349958</v>
      </c>
      <c r="W74" s="119">
        <f t="shared" ref="W74:Y74" si="145">IF(W52=0,0,W52/W63)</f>
        <v>0.23151342756778162</v>
      </c>
      <c r="X74" s="119">
        <f t="shared" si="145"/>
        <v>0.36852669266585747</v>
      </c>
      <c r="Y74" s="119">
        <f t="shared" si="145"/>
        <v>0.38291002773144972</v>
      </c>
      <c r="DA74" s="176"/>
    </row>
    <row r="75" spans="1:105" ht="11.45" customHeight="1" x14ac:dyDescent="0.25">
      <c r="A75" s="111" t="s">
        <v>92</v>
      </c>
      <c r="B75" s="120">
        <f t="shared" si="141"/>
        <v>0.52110517322189032</v>
      </c>
      <c r="C75" s="120">
        <f t="shared" si="141"/>
        <v>0.51367817826146323</v>
      </c>
      <c r="D75" s="120">
        <f t="shared" si="141"/>
        <v>0.53277293473484222</v>
      </c>
      <c r="E75" s="120">
        <f t="shared" si="141"/>
        <v>0.44273554098203088</v>
      </c>
      <c r="F75" s="120">
        <f t="shared" si="141"/>
        <v>0.43897291361258822</v>
      </c>
      <c r="G75" s="120">
        <f t="shared" si="141"/>
        <v>0.4135249627582086</v>
      </c>
      <c r="H75" s="120">
        <f t="shared" si="141"/>
        <v>0.413123308519799</v>
      </c>
      <c r="I75" s="120">
        <f t="shared" si="141"/>
        <v>0.39488151471845401</v>
      </c>
      <c r="J75" s="120">
        <f t="shared" si="141"/>
        <v>0.39310728121118327</v>
      </c>
      <c r="K75" s="120">
        <f t="shared" ref="K75:V75" si="146">IF(K53=0,0,K53/K64)</f>
        <v>0.37152513568030854</v>
      </c>
      <c r="L75" s="120">
        <f t="shared" si="146"/>
        <v>0.36375762707174469</v>
      </c>
      <c r="M75" s="120">
        <f t="shared" si="146"/>
        <v>0.43229861551856191</v>
      </c>
      <c r="N75" s="120">
        <f t="shared" si="146"/>
        <v>0.41471810283772548</v>
      </c>
      <c r="O75" s="120">
        <f t="shared" si="146"/>
        <v>0.40433560433108484</v>
      </c>
      <c r="P75" s="120">
        <f t="shared" si="146"/>
        <v>0.4259101607882485</v>
      </c>
      <c r="Q75" s="120">
        <f t="shared" si="146"/>
        <v>0.42467549610991567</v>
      </c>
      <c r="R75" s="120">
        <f t="shared" si="146"/>
        <v>0.39145871324212356</v>
      </c>
      <c r="S75" s="120">
        <f t="shared" si="146"/>
        <v>0.43259166178737835</v>
      </c>
      <c r="T75" s="120">
        <f t="shared" si="146"/>
        <v>0.41488257121467836</v>
      </c>
      <c r="U75" s="120">
        <f t="shared" si="146"/>
        <v>0.44120322128549649</v>
      </c>
      <c r="V75" s="120">
        <f t="shared" si="146"/>
        <v>0.18945296821793667</v>
      </c>
      <c r="W75" s="120">
        <f t="shared" ref="W75:Y75" si="147">IF(W53=0,0,W53/W64)</f>
        <v>0.23988650289269242</v>
      </c>
      <c r="X75" s="120">
        <f t="shared" si="147"/>
        <v>0.36593963505373012</v>
      </c>
      <c r="Y75" s="120">
        <f t="shared" si="147"/>
        <v>0.36509612324065205</v>
      </c>
      <c r="DA75" s="171"/>
    </row>
    <row r="76" spans="1:105" ht="11.45" customHeight="1" x14ac:dyDescent="0.25">
      <c r="A76" s="111" t="s">
        <v>93</v>
      </c>
      <c r="B76" s="120">
        <f t="shared" si="141"/>
        <v>0.57724488963102838</v>
      </c>
      <c r="C76" s="120">
        <f t="shared" si="141"/>
        <v>0.59944523157945917</v>
      </c>
      <c r="D76" s="120">
        <f t="shared" si="141"/>
        <v>0.55627772056415092</v>
      </c>
      <c r="E76" s="120">
        <f t="shared" si="141"/>
        <v>0.5281690929480477</v>
      </c>
      <c r="F76" s="120">
        <f t="shared" si="141"/>
        <v>0.57161532905238399</v>
      </c>
      <c r="G76" s="120">
        <f t="shared" si="141"/>
        <v>0.57094889167827811</v>
      </c>
      <c r="H76" s="120">
        <f t="shared" si="141"/>
        <v>0.58621986150491101</v>
      </c>
      <c r="I76" s="120">
        <f t="shared" si="141"/>
        <v>0.57513620451051273</v>
      </c>
      <c r="J76" s="120">
        <f t="shared" si="141"/>
        <v>0.5602349769493582</v>
      </c>
      <c r="K76" s="120">
        <f t="shared" ref="K76:V76" si="148">IF(K54=0,0,K54/K65)</f>
        <v>0.52475546031054876</v>
      </c>
      <c r="L76" s="120">
        <f t="shared" si="148"/>
        <v>0.47673370856831454</v>
      </c>
      <c r="M76" s="120">
        <f t="shared" si="148"/>
        <v>0.46325660543556646</v>
      </c>
      <c r="N76" s="120">
        <f t="shared" si="148"/>
        <v>0.4194145371008931</v>
      </c>
      <c r="O76" s="120">
        <f t="shared" si="148"/>
        <v>0.41913771589240234</v>
      </c>
      <c r="P76" s="120">
        <f t="shared" si="148"/>
        <v>0.44183185453117702</v>
      </c>
      <c r="Q76" s="120">
        <f t="shared" si="148"/>
        <v>0.43164142632127145</v>
      </c>
      <c r="R76" s="120">
        <f t="shared" si="148"/>
        <v>0.40136584130604203</v>
      </c>
      <c r="S76" s="120">
        <f t="shared" si="148"/>
        <v>0.38543487148683692</v>
      </c>
      <c r="T76" s="120">
        <f t="shared" si="148"/>
        <v>0.37429268971550034</v>
      </c>
      <c r="U76" s="120">
        <f t="shared" si="148"/>
        <v>0.4044811124677164</v>
      </c>
      <c r="V76" s="120">
        <f t="shared" si="148"/>
        <v>0.19670008116745724</v>
      </c>
      <c r="W76" s="120">
        <f t="shared" ref="W76:Y76" si="149">IF(W54=0,0,W54/W65)</f>
        <v>0.23085575679060502</v>
      </c>
      <c r="X76" s="120">
        <f t="shared" si="149"/>
        <v>0.36858140076525536</v>
      </c>
      <c r="Y76" s="120">
        <f t="shared" si="149"/>
        <v>0.38326716935063693</v>
      </c>
      <c r="DA76" s="171"/>
    </row>
    <row r="77" spans="1:105" ht="11.45" customHeight="1" x14ac:dyDescent="0.25">
      <c r="A77" s="112" t="s">
        <v>25</v>
      </c>
      <c r="B77" s="121">
        <f t="shared" si="141"/>
        <v>0.61764110180934384</v>
      </c>
      <c r="C77" s="121">
        <f t="shared" si="141"/>
        <v>0.61764110180934384</v>
      </c>
      <c r="D77" s="121">
        <f t="shared" si="141"/>
        <v>0.61764110180934384</v>
      </c>
      <c r="E77" s="121">
        <f t="shared" si="141"/>
        <v>0.61764110180934384</v>
      </c>
      <c r="F77" s="121">
        <f t="shared" si="141"/>
        <v>0.61764110180934384</v>
      </c>
      <c r="G77" s="121">
        <f t="shared" si="141"/>
        <v>0.61764110180934384</v>
      </c>
      <c r="H77" s="121">
        <f t="shared" si="141"/>
        <v>0.62765867538101805</v>
      </c>
      <c r="I77" s="121">
        <f t="shared" si="141"/>
        <v>0.62890121301336255</v>
      </c>
      <c r="J77" s="121">
        <f t="shared" si="141"/>
        <v>0.61518601404344442</v>
      </c>
      <c r="K77" s="121">
        <f t="shared" ref="K77:V77" si="150">IF(K55=0,0,K55/K66)</f>
        <v>0.61503355813553962</v>
      </c>
      <c r="L77" s="121">
        <f t="shared" si="150"/>
        <v>0.60183874529343495</v>
      </c>
      <c r="M77" s="121">
        <f t="shared" si="150"/>
        <v>0.61607214509268904</v>
      </c>
      <c r="N77" s="121">
        <f t="shared" si="150"/>
        <v>0.61607555601212183</v>
      </c>
      <c r="O77" s="121">
        <f t="shared" si="150"/>
        <v>0.64216314558640697</v>
      </c>
      <c r="P77" s="121">
        <f t="shared" si="150"/>
        <v>0.65821096583967942</v>
      </c>
      <c r="Q77" s="121">
        <f t="shared" si="150"/>
        <v>0.68785595399227628</v>
      </c>
      <c r="R77" s="121">
        <f t="shared" si="150"/>
        <v>0.6874747194446339</v>
      </c>
      <c r="S77" s="121">
        <f t="shared" si="150"/>
        <v>0.70156392703071457</v>
      </c>
      <c r="T77" s="121">
        <f t="shared" si="150"/>
        <v>0.73137620940270609</v>
      </c>
      <c r="U77" s="121">
        <f t="shared" si="150"/>
        <v>0.69034430438634242</v>
      </c>
      <c r="V77" s="121">
        <f t="shared" si="150"/>
        <v>0.29670551418025565</v>
      </c>
      <c r="W77" s="121">
        <f t="shared" ref="W77:Y77" si="151">IF(W55=0,0,W55/W66)</f>
        <v>0.33910216238078467</v>
      </c>
      <c r="X77" s="121">
        <f t="shared" si="151"/>
        <v>0.60944602063595055</v>
      </c>
      <c r="Y77" s="121">
        <f t="shared" si="151"/>
        <v>0.73727334160558688</v>
      </c>
      <c r="DA77" s="204"/>
    </row>
    <row r="78" spans="1:105" ht="11.45" customHeight="1" x14ac:dyDescent="0.25">
      <c r="A78" s="27" t="s">
        <v>34</v>
      </c>
      <c r="B78" s="30">
        <f t="shared" si="141"/>
        <v>0.31890278342068762</v>
      </c>
      <c r="C78" s="30">
        <f t="shared" si="141"/>
        <v>0.32275486286407501</v>
      </c>
      <c r="D78" s="30">
        <f t="shared" si="141"/>
        <v>0.31894078732417391</v>
      </c>
      <c r="E78" s="30">
        <f t="shared" si="141"/>
        <v>0.29652802458512617</v>
      </c>
      <c r="F78" s="30">
        <f t="shared" si="141"/>
        <v>0.28294220369817841</v>
      </c>
      <c r="G78" s="30">
        <f t="shared" si="141"/>
        <v>0.2825457186585385</v>
      </c>
      <c r="H78" s="30">
        <f t="shared" si="141"/>
        <v>0.28937998151240746</v>
      </c>
      <c r="I78" s="30">
        <f t="shared" si="141"/>
        <v>0.2913826203255972</v>
      </c>
      <c r="J78" s="30">
        <f t="shared" si="141"/>
        <v>0.29022910803279905</v>
      </c>
      <c r="K78" s="30">
        <f t="shared" ref="K78:V78" si="152">IF(K56=0,0,K56/K67)</f>
        <v>0.29296309782960883</v>
      </c>
      <c r="L78" s="30">
        <f t="shared" si="152"/>
        <v>0.29562488338113069</v>
      </c>
      <c r="M78" s="30">
        <f t="shared" si="152"/>
        <v>0.27338884055792967</v>
      </c>
      <c r="N78" s="30">
        <f t="shared" si="152"/>
        <v>0.26660513933847724</v>
      </c>
      <c r="O78" s="30">
        <f t="shared" si="152"/>
        <v>0.24765495565452333</v>
      </c>
      <c r="P78" s="30">
        <f t="shared" si="152"/>
        <v>0.25764405095098131</v>
      </c>
      <c r="Q78" s="30">
        <f t="shared" si="152"/>
        <v>0.25825899625026166</v>
      </c>
      <c r="R78" s="30">
        <f t="shared" si="152"/>
        <v>0.24772839163807189</v>
      </c>
      <c r="S78" s="30">
        <f t="shared" si="152"/>
        <v>0.23818133377886605</v>
      </c>
      <c r="T78" s="30">
        <f t="shared" si="152"/>
        <v>0.23425036280227163</v>
      </c>
      <c r="U78" s="30">
        <f t="shared" si="152"/>
        <v>0.2139510042829082</v>
      </c>
      <c r="V78" s="30">
        <f t="shared" si="152"/>
        <v>0.21381309346896657</v>
      </c>
      <c r="W78" s="30">
        <f t="shared" ref="W78:Y78" si="153">IF(W56=0,0,W56/W67)</f>
        <v>0.18259185628501381</v>
      </c>
      <c r="X78" s="30">
        <f t="shared" si="153"/>
        <v>0.18881030773287344</v>
      </c>
      <c r="Y78" s="30">
        <f t="shared" si="153"/>
        <v>0.13615699647591664</v>
      </c>
      <c r="DA78" s="173"/>
    </row>
    <row r="79" spans="1:105" ht="11.45" customHeight="1" x14ac:dyDescent="0.25">
      <c r="A79" s="83" t="s">
        <v>92</v>
      </c>
      <c r="B79" s="120">
        <f t="shared" si="141"/>
        <v>0.37832892969595378</v>
      </c>
      <c r="C79" s="120">
        <f t="shared" si="141"/>
        <v>0.37635467584566862</v>
      </c>
      <c r="D79" s="120">
        <f t="shared" si="141"/>
        <v>0.37622664774498893</v>
      </c>
      <c r="E79" s="120">
        <f t="shared" si="141"/>
        <v>0.37817749586532806</v>
      </c>
      <c r="F79" s="120">
        <f t="shared" si="141"/>
        <v>0.36570674088707872</v>
      </c>
      <c r="G79" s="120">
        <f t="shared" si="141"/>
        <v>0.3624510593037405</v>
      </c>
      <c r="H79" s="120">
        <f t="shared" si="141"/>
        <v>0.35800399869533461</v>
      </c>
      <c r="I79" s="120">
        <f t="shared" si="141"/>
        <v>0.35357202603169119</v>
      </c>
      <c r="J79" s="120">
        <f t="shared" si="141"/>
        <v>0.33681254376605013</v>
      </c>
      <c r="K79" s="120">
        <f t="shared" ref="K79:V79" si="154">IF(K57=0,0,K57/K68)</f>
        <v>0.35649058396137756</v>
      </c>
      <c r="L79" s="120">
        <f t="shared" si="154"/>
        <v>0.35385930030059276</v>
      </c>
      <c r="M79" s="120">
        <f t="shared" si="154"/>
        <v>0.3024366065056116</v>
      </c>
      <c r="N79" s="120">
        <f t="shared" si="154"/>
        <v>0.29456100332070434</v>
      </c>
      <c r="O79" s="120">
        <f t="shared" si="154"/>
        <v>0.27371158737432943</v>
      </c>
      <c r="P79" s="120">
        <f t="shared" si="154"/>
        <v>0.28607166418483243</v>
      </c>
      <c r="Q79" s="120">
        <f t="shared" si="154"/>
        <v>0.28315814367069569</v>
      </c>
      <c r="R79" s="120">
        <f t="shared" si="154"/>
        <v>0.27339798998120407</v>
      </c>
      <c r="S79" s="120">
        <f t="shared" si="154"/>
        <v>0.26640164399086685</v>
      </c>
      <c r="T79" s="120">
        <f t="shared" si="154"/>
        <v>0.25964339022621113</v>
      </c>
      <c r="U79" s="120">
        <f t="shared" si="154"/>
        <v>0.23725724469238527</v>
      </c>
      <c r="V79" s="120">
        <f t="shared" si="154"/>
        <v>0.23651610018550848</v>
      </c>
      <c r="W79" s="120">
        <f t="shared" ref="W79:Y79" si="155">IF(W57=0,0,W57/W68)</f>
        <v>0.21577077676561107</v>
      </c>
      <c r="X79" s="120">
        <f t="shared" si="155"/>
        <v>0.21868531203651159</v>
      </c>
      <c r="Y79" s="120">
        <f t="shared" si="155"/>
        <v>0.20057684676910531</v>
      </c>
      <c r="DA79" s="171"/>
    </row>
    <row r="80" spans="1:105" ht="11.45" customHeight="1" x14ac:dyDescent="0.25">
      <c r="A80" s="85" t="s">
        <v>93</v>
      </c>
      <c r="B80" s="122">
        <f t="shared" si="141"/>
        <v>0.31642085739846182</v>
      </c>
      <c r="C80" s="122">
        <f t="shared" si="141"/>
        <v>0.32091873428233808</v>
      </c>
      <c r="D80" s="122">
        <f t="shared" si="141"/>
        <v>0.31698002493580146</v>
      </c>
      <c r="E80" s="122">
        <f t="shared" si="141"/>
        <v>0.29362272887906093</v>
      </c>
      <c r="F80" s="122">
        <f t="shared" si="141"/>
        <v>0.27971605210219275</v>
      </c>
      <c r="G80" s="122">
        <f t="shared" si="141"/>
        <v>0.28061053141270698</v>
      </c>
      <c r="H80" s="122">
        <f t="shared" si="141"/>
        <v>0.28189575266852568</v>
      </c>
      <c r="I80" s="122">
        <f t="shared" si="141"/>
        <v>0.28294458034628683</v>
      </c>
      <c r="J80" s="122">
        <f t="shared" si="141"/>
        <v>0.2830900638575598</v>
      </c>
      <c r="K80" s="122">
        <f t="shared" ref="K80:V80" si="156">IF(K58=0,0,K58/K69)</f>
        <v>0.28598426985578068</v>
      </c>
      <c r="L80" s="122">
        <f t="shared" si="156"/>
        <v>0.29003198314499734</v>
      </c>
      <c r="M80" s="122">
        <f t="shared" si="156"/>
        <v>0.27193451710137528</v>
      </c>
      <c r="N80" s="122">
        <f t="shared" si="156"/>
        <v>0.26524902411455614</v>
      </c>
      <c r="O80" s="122">
        <f t="shared" si="156"/>
        <v>0.24678498234447022</v>
      </c>
      <c r="P80" s="122">
        <f t="shared" si="156"/>
        <v>0.25717758066052493</v>
      </c>
      <c r="Q80" s="122">
        <f t="shared" si="156"/>
        <v>0.25776916151360291</v>
      </c>
      <c r="R80" s="122">
        <f t="shared" si="156"/>
        <v>0.2474039747443007</v>
      </c>
      <c r="S80" s="122">
        <f t="shared" si="156"/>
        <v>0.23737413496977794</v>
      </c>
      <c r="T80" s="122">
        <f t="shared" si="156"/>
        <v>0.23331621593640983</v>
      </c>
      <c r="U80" s="122">
        <f t="shared" si="156"/>
        <v>0.21309084776906234</v>
      </c>
      <c r="V80" s="122">
        <f t="shared" si="156"/>
        <v>0.21281165218252177</v>
      </c>
      <c r="W80" s="122">
        <f t="shared" ref="W80:Y80" si="157">IF(W58=0,0,W58/W69)</f>
        <v>0.18151778598732932</v>
      </c>
      <c r="X80" s="122">
        <f t="shared" si="157"/>
        <v>0.18852723856271461</v>
      </c>
      <c r="Y80" s="122">
        <f t="shared" si="157"/>
        <v>0.13570080493820613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148076.52401480958</v>
      </c>
      <c r="C82" s="54">
        <f t="shared" si="158"/>
        <v>149129.97721505948</v>
      </c>
      <c r="D82" s="54">
        <f t="shared" si="158"/>
        <v>148803.76500412449</v>
      </c>
      <c r="E82" s="54">
        <f t="shared" si="158"/>
        <v>149045.13153804111</v>
      </c>
      <c r="F82" s="54">
        <f t="shared" si="158"/>
        <v>149226.55396098204</v>
      </c>
      <c r="G82" s="54">
        <f t="shared" si="158"/>
        <v>149396.02170662238</v>
      </c>
      <c r="H82" s="54">
        <f t="shared" si="158"/>
        <v>149866.64843862667</v>
      </c>
      <c r="I82" s="54">
        <f t="shared" si="158"/>
        <v>149080.67557732706</v>
      </c>
      <c r="J82" s="54">
        <f t="shared" si="158"/>
        <v>144750.51815818733</v>
      </c>
      <c r="K82" s="54">
        <f t="shared" ref="K82:V82" si="159">IF(K14=0,0,K14/K25*1000000)</f>
        <v>144813.53897214276</v>
      </c>
      <c r="L82" s="54">
        <f t="shared" si="159"/>
        <v>148796.57898863559</v>
      </c>
      <c r="M82" s="54">
        <f t="shared" si="159"/>
        <v>149335.05084107415</v>
      </c>
      <c r="N82" s="54">
        <f t="shared" si="159"/>
        <v>150636.79004498094</v>
      </c>
      <c r="O82" s="54">
        <f t="shared" si="159"/>
        <v>150110.98543509835</v>
      </c>
      <c r="P82" s="54">
        <f t="shared" si="159"/>
        <v>148301.7052003477</v>
      </c>
      <c r="Q82" s="54">
        <f t="shared" si="159"/>
        <v>150702.70565898638</v>
      </c>
      <c r="R82" s="54">
        <f t="shared" si="159"/>
        <v>150855.74947580832</v>
      </c>
      <c r="S82" s="54">
        <f t="shared" si="159"/>
        <v>150672.46902593176</v>
      </c>
      <c r="T82" s="54">
        <f t="shared" si="159"/>
        <v>150797.16505430324</v>
      </c>
      <c r="U82" s="54">
        <f t="shared" si="159"/>
        <v>151240.71048410787</v>
      </c>
      <c r="V82" s="54">
        <f t="shared" si="159"/>
        <v>135543.82133369832</v>
      </c>
      <c r="W82" s="54">
        <f t="shared" ref="W82:Y82" si="160">IF(W14=0,0,W14/W25*1000000)</f>
        <v>153917.66920406104</v>
      </c>
      <c r="X82" s="54">
        <f t="shared" si="160"/>
        <v>147377.83209144537</v>
      </c>
      <c r="Y82" s="54">
        <f t="shared" si="160"/>
        <v>141850.67251568497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144134.33974043417</v>
      </c>
      <c r="C83" s="28">
        <f t="shared" si="161"/>
        <v>145415.41566137638</v>
      </c>
      <c r="D83" s="28">
        <f t="shared" si="161"/>
        <v>145306.2975144489</v>
      </c>
      <c r="E83" s="28">
        <f t="shared" si="161"/>
        <v>145516.37451895428</v>
      </c>
      <c r="F83" s="28">
        <f t="shared" si="161"/>
        <v>145063.96416395676</v>
      </c>
      <c r="G83" s="28">
        <f t="shared" si="161"/>
        <v>145301.29874142565</v>
      </c>
      <c r="H83" s="28">
        <f t="shared" si="161"/>
        <v>145510.04744738984</v>
      </c>
      <c r="I83" s="28">
        <f t="shared" si="161"/>
        <v>144610.58947339767</v>
      </c>
      <c r="J83" s="28">
        <f t="shared" si="161"/>
        <v>140318.25507178821</v>
      </c>
      <c r="K83" s="28">
        <f t="shared" ref="K83:V83" si="162">IF(K15=0,0,K15/K26*1000000)</f>
        <v>143533.03761127061</v>
      </c>
      <c r="L83" s="28">
        <f t="shared" si="162"/>
        <v>146375.25252028825</v>
      </c>
      <c r="M83" s="28">
        <f t="shared" si="162"/>
        <v>146705.50283366736</v>
      </c>
      <c r="N83" s="28">
        <f t="shared" si="162"/>
        <v>147960.54415180985</v>
      </c>
      <c r="O83" s="28">
        <f t="shared" si="162"/>
        <v>147545.57606225781</v>
      </c>
      <c r="P83" s="28">
        <f t="shared" si="162"/>
        <v>145642.07190847138</v>
      </c>
      <c r="Q83" s="28">
        <f t="shared" si="162"/>
        <v>148139.41697424019</v>
      </c>
      <c r="R83" s="28">
        <f t="shared" si="162"/>
        <v>147993.30507714528</v>
      </c>
      <c r="S83" s="28">
        <f t="shared" si="162"/>
        <v>147635.31081805934</v>
      </c>
      <c r="T83" s="28">
        <f t="shared" si="162"/>
        <v>147779.69600161715</v>
      </c>
      <c r="U83" s="28">
        <f t="shared" si="162"/>
        <v>147910.78264198868</v>
      </c>
      <c r="V83" s="28">
        <f t="shared" si="162"/>
        <v>130655.53275504033</v>
      </c>
      <c r="W83" s="28">
        <f t="shared" ref="W83:Y83" si="163">IF(W15=0,0,W15/W26*1000000)</f>
        <v>148791.96649991319</v>
      </c>
      <c r="X83" s="28">
        <f t="shared" si="163"/>
        <v>142647.76860212328</v>
      </c>
      <c r="Y83" s="28">
        <f t="shared" si="163"/>
        <v>135111.165810106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109999.99991495021</v>
      </c>
      <c r="C84" s="108">
        <f t="shared" si="161"/>
        <v>109999.99988571524</v>
      </c>
      <c r="D84" s="108">
        <f t="shared" si="161"/>
        <v>109999.99988105903</v>
      </c>
      <c r="E84" s="108">
        <f t="shared" si="161"/>
        <v>109999.99983704102</v>
      </c>
      <c r="F84" s="108">
        <f t="shared" si="161"/>
        <v>109999.99997017442</v>
      </c>
      <c r="G84" s="108">
        <f t="shared" si="161"/>
        <v>109999.99993720022</v>
      </c>
      <c r="H84" s="108">
        <f t="shared" si="161"/>
        <v>109999.9998602035</v>
      </c>
      <c r="I84" s="108">
        <f t="shared" si="161"/>
        <v>109999.99996997787</v>
      </c>
      <c r="J84" s="108">
        <f t="shared" si="161"/>
        <v>109999.9999172425</v>
      </c>
      <c r="K84" s="108">
        <f t="shared" ref="K84:V84" si="164">IF(K16=0,0,K16/K27*1000000)</f>
        <v>109999.99987024475</v>
      </c>
      <c r="L84" s="108">
        <f t="shared" si="164"/>
        <v>109999.99994218194</v>
      </c>
      <c r="M84" s="108">
        <f t="shared" si="164"/>
        <v>109999.99998096822</v>
      </c>
      <c r="N84" s="108">
        <f t="shared" si="164"/>
        <v>108904.23622463939</v>
      </c>
      <c r="O84" s="108">
        <f t="shared" si="164"/>
        <v>109999.99986812122</v>
      </c>
      <c r="P84" s="108">
        <f t="shared" si="164"/>
        <v>109999.99997916866</v>
      </c>
      <c r="Q84" s="108">
        <f t="shared" si="164"/>
        <v>109999.99990882073</v>
      </c>
      <c r="R84" s="108">
        <f t="shared" si="164"/>
        <v>109999.99990294133</v>
      </c>
      <c r="S84" s="108">
        <f t="shared" si="164"/>
        <v>109999.99991562226</v>
      </c>
      <c r="T84" s="108">
        <f t="shared" si="164"/>
        <v>109999.99995558258</v>
      </c>
      <c r="U84" s="108">
        <f t="shared" si="164"/>
        <v>109999.99986915066</v>
      </c>
      <c r="V84" s="108">
        <f t="shared" si="164"/>
        <v>97041.029868679412</v>
      </c>
      <c r="W84" s="108">
        <f t="shared" ref="W84:Y84" si="165">IF(W16=0,0,W16/W27*1000000)</f>
        <v>109999.99993118644</v>
      </c>
      <c r="X84" s="108">
        <f t="shared" si="165"/>
        <v>109999.99999186357</v>
      </c>
      <c r="Y84" s="108">
        <f t="shared" si="165"/>
        <v>73551.114010400765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149999.99991309483</v>
      </c>
      <c r="C85" s="110">
        <f t="shared" si="161"/>
        <v>149999.99996356847</v>
      </c>
      <c r="D85" s="110">
        <f t="shared" si="161"/>
        <v>149999.99992975281</v>
      </c>
      <c r="E85" s="110">
        <f t="shared" si="161"/>
        <v>149999.99993508076</v>
      </c>
      <c r="F85" s="110">
        <f t="shared" si="161"/>
        <v>149482.78385275407</v>
      </c>
      <c r="G85" s="110">
        <f t="shared" si="161"/>
        <v>149189.62729446712</v>
      </c>
      <c r="H85" s="110">
        <f t="shared" si="161"/>
        <v>149999.99990478627</v>
      </c>
      <c r="I85" s="110">
        <f t="shared" si="161"/>
        <v>149999.99984376089</v>
      </c>
      <c r="J85" s="110">
        <f t="shared" si="161"/>
        <v>143429.59864151859</v>
      </c>
      <c r="K85" s="110">
        <f t="shared" ref="K85:V85" si="166">IF(K17=0,0,K17/K28*1000000)</f>
        <v>146334.41180968378</v>
      </c>
      <c r="L85" s="110">
        <f t="shared" si="166"/>
        <v>149999.99992756915</v>
      </c>
      <c r="M85" s="110">
        <f t="shared" si="166"/>
        <v>149733.44260680379</v>
      </c>
      <c r="N85" s="110">
        <f t="shared" si="166"/>
        <v>149999.99994175855</v>
      </c>
      <c r="O85" s="110">
        <f t="shared" si="166"/>
        <v>148823.12910902497</v>
      </c>
      <c r="P85" s="110">
        <f t="shared" si="166"/>
        <v>146118.98634597077</v>
      </c>
      <c r="Q85" s="110">
        <f t="shared" si="166"/>
        <v>149999.99988063393</v>
      </c>
      <c r="R85" s="110">
        <f t="shared" si="166"/>
        <v>149999.99990402444</v>
      </c>
      <c r="S85" s="110">
        <f t="shared" si="166"/>
        <v>149999.99991859315</v>
      </c>
      <c r="T85" s="110">
        <f t="shared" si="166"/>
        <v>149999.99993406559</v>
      </c>
      <c r="U85" s="110">
        <f t="shared" si="166"/>
        <v>149999.99995053149</v>
      </c>
      <c r="V85" s="110">
        <f t="shared" si="166"/>
        <v>130825.06445692584</v>
      </c>
      <c r="W85" s="110">
        <f t="shared" ref="W85:Y85" si="167">IF(W17=0,0,W17/W28*1000000)</f>
        <v>149561.88353428722</v>
      </c>
      <c r="X85" s="110">
        <f t="shared" si="167"/>
        <v>145433.20737960792</v>
      </c>
      <c r="Y85" s="110">
        <f t="shared" si="167"/>
        <v>148314.45436387943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149999.99973290728</v>
      </c>
      <c r="C86" s="84">
        <f t="shared" si="161"/>
        <v>149999.99999735053</v>
      </c>
      <c r="D86" s="84">
        <f t="shared" si="161"/>
        <v>149999.99994592849</v>
      </c>
      <c r="E86" s="84">
        <f t="shared" si="161"/>
        <v>149999.99989446145</v>
      </c>
      <c r="F86" s="84">
        <f t="shared" si="161"/>
        <v>147401.14885152661</v>
      </c>
      <c r="G86" s="84">
        <f t="shared" si="161"/>
        <v>145415.99570718021</v>
      </c>
      <c r="H86" s="84">
        <f t="shared" si="161"/>
        <v>149999.99958993748</v>
      </c>
      <c r="I86" s="84">
        <f t="shared" si="161"/>
        <v>149999.99961164795</v>
      </c>
      <c r="J86" s="84">
        <f t="shared" si="161"/>
        <v>101813.69864327401</v>
      </c>
      <c r="K86" s="84">
        <f t="shared" ref="K86:V86" si="168">IF(K18=0,0,K18/K29*1000000)</f>
        <v>119719.1215287524</v>
      </c>
      <c r="L86" s="84">
        <f t="shared" si="168"/>
        <v>149999.99970346468</v>
      </c>
      <c r="M86" s="84">
        <f t="shared" si="168"/>
        <v>146872.13660538924</v>
      </c>
      <c r="N86" s="84">
        <f t="shared" si="168"/>
        <v>149999.9998461254</v>
      </c>
      <c r="O86" s="84">
        <f t="shared" si="168"/>
        <v>134862.50169379413</v>
      </c>
      <c r="P86" s="84">
        <f t="shared" si="168"/>
        <v>85550.382658807895</v>
      </c>
      <c r="Q86" s="84">
        <f t="shared" si="168"/>
        <v>149999.99868713817</v>
      </c>
      <c r="R86" s="84">
        <f t="shared" si="168"/>
        <v>149999.99904247725</v>
      </c>
      <c r="S86" s="84">
        <f t="shared" si="168"/>
        <v>149999.99932578497</v>
      </c>
      <c r="T86" s="84">
        <f t="shared" si="168"/>
        <v>149999.99974595269</v>
      </c>
      <c r="U86" s="84">
        <f t="shared" si="168"/>
        <v>149999.99983232268</v>
      </c>
      <c r="V86" s="84">
        <f t="shared" si="168"/>
        <v>149999.99980402409</v>
      </c>
      <c r="W86" s="84">
        <f t="shared" ref="W86:Y86" si="169">IF(W18=0,0,W18/W29*1000000)</f>
        <v>149999.99976091375</v>
      </c>
      <c r="X86" s="84">
        <f t="shared" si="169"/>
        <v>59610.900516662732</v>
      </c>
      <c r="Y86" s="84">
        <f t="shared" si="169"/>
        <v>95043.51226816338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149999.99995743771</v>
      </c>
      <c r="C87" s="84">
        <f t="shared" si="161"/>
        <v>149999.99995556622</v>
      </c>
      <c r="D87" s="84">
        <f t="shared" si="161"/>
        <v>149999.99992578226</v>
      </c>
      <c r="E87" s="84">
        <f t="shared" si="161"/>
        <v>149999.99994564257</v>
      </c>
      <c r="F87" s="84">
        <f t="shared" si="161"/>
        <v>149999.99997372751</v>
      </c>
      <c r="G87" s="84">
        <f t="shared" si="161"/>
        <v>149999.99996448314</v>
      </c>
      <c r="H87" s="84">
        <f t="shared" si="161"/>
        <v>149999.99997576734</v>
      </c>
      <c r="I87" s="84">
        <f t="shared" si="161"/>
        <v>149999.99988884284</v>
      </c>
      <c r="J87" s="84">
        <f t="shared" si="161"/>
        <v>149999.99994717317</v>
      </c>
      <c r="K87" s="84">
        <f t="shared" ref="K87:V87" si="170">IF(K19=0,0,K19/K30*1000000)</f>
        <v>149999.99994696697</v>
      </c>
      <c r="L87" s="84">
        <f t="shared" si="170"/>
        <v>149999.99995337694</v>
      </c>
      <c r="M87" s="84">
        <f t="shared" si="170"/>
        <v>149999.99989574202</v>
      </c>
      <c r="N87" s="84">
        <f t="shared" si="170"/>
        <v>149999.99995250074</v>
      </c>
      <c r="O87" s="84">
        <f t="shared" si="170"/>
        <v>149999.99992729723</v>
      </c>
      <c r="P87" s="84">
        <f t="shared" si="170"/>
        <v>149999.99995790431</v>
      </c>
      <c r="Q87" s="84">
        <f t="shared" si="170"/>
        <v>149999.99993137512</v>
      </c>
      <c r="R87" s="84">
        <f t="shared" si="170"/>
        <v>149999.99992761022</v>
      </c>
      <c r="S87" s="84">
        <f t="shared" si="170"/>
        <v>149999.99995409415</v>
      </c>
      <c r="T87" s="84">
        <f t="shared" si="170"/>
        <v>149999.999948621</v>
      </c>
      <c r="U87" s="84">
        <f t="shared" si="170"/>
        <v>149999.99996003514</v>
      </c>
      <c r="V87" s="84">
        <f t="shared" si="170"/>
        <v>129177.65627404441</v>
      </c>
      <c r="W87" s="84">
        <f t="shared" ref="W87:Y87" si="171">IF(W19=0,0,W19/W30*1000000)</f>
        <v>149527.57967907583</v>
      </c>
      <c r="X87" s="84">
        <f t="shared" si="171"/>
        <v>149999.9999662278</v>
      </c>
      <c r="Y87" s="84">
        <f t="shared" si="171"/>
        <v>149999.99995144666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449999.9996835526</v>
      </c>
      <c r="C88" s="113">
        <f t="shared" si="161"/>
        <v>449999.99286207737</v>
      </c>
      <c r="D88" s="113">
        <f t="shared" si="161"/>
        <v>449999.99360537546</v>
      </c>
      <c r="E88" s="113">
        <f t="shared" si="161"/>
        <v>449999.99861239467</v>
      </c>
      <c r="F88" s="113">
        <f t="shared" si="161"/>
        <v>449999.99806054513</v>
      </c>
      <c r="G88" s="113">
        <f t="shared" si="161"/>
        <v>449999.99669092626</v>
      </c>
      <c r="H88" s="113">
        <f t="shared" si="161"/>
        <v>449999.99556300533</v>
      </c>
      <c r="I88" s="113">
        <f t="shared" si="161"/>
        <v>449999.99999999994</v>
      </c>
      <c r="J88" s="113">
        <f t="shared" si="161"/>
        <v>449999.9977364185</v>
      </c>
      <c r="K88" s="113">
        <f t="shared" ref="K88:V88" si="172">IF(K20=0,0,K20/K31*1000000)</f>
        <v>449999.99869684182</v>
      </c>
      <c r="L88" s="113">
        <f t="shared" si="172"/>
        <v>449999.99974520848</v>
      </c>
      <c r="M88" s="113">
        <f t="shared" si="172"/>
        <v>449999.99611788796</v>
      </c>
      <c r="N88" s="113">
        <f t="shared" si="172"/>
        <v>449999.99786198576</v>
      </c>
      <c r="O88" s="113">
        <f t="shared" si="172"/>
        <v>449999.9978619857</v>
      </c>
      <c r="P88" s="113">
        <f t="shared" si="172"/>
        <v>449999.9978619857</v>
      </c>
      <c r="Q88" s="113">
        <f t="shared" si="172"/>
        <v>449999.9978619857</v>
      </c>
      <c r="R88" s="113">
        <f t="shared" si="172"/>
        <v>449999.9978619857</v>
      </c>
      <c r="S88" s="113">
        <f t="shared" si="172"/>
        <v>449999.99881505943</v>
      </c>
      <c r="T88" s="113">
        <f t="shared" si="172"/>
        <v>449999.99881505931</v>
      </c>
      <c r="U88" s="113">
        <f t="shared" si="172"/>
        <v>449999.99643352535</v>
      </c>
      <c r="V88" s="113">
        <f t="shared" si="172"/>
        <v>427750.00578307669</v>
      </c>
      <c r="W88" s="113">
        <f t="shared" ref="W88:Y88" si="173">IF(W20=0,0,W20/W31*1000000)</f>
        <v>449999.99837993307</v>
      </c>
      <c r="X88" s="113">
        <f t="shared" si="173"/>
        <v>436494.73089928058</v>
      </c>
      <c r="Y88" s="113">
        <f t="shared" si="173"/>
        <v>442083.03303842718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199999.99820108729</v>
      </c>
      <c r="C89" s="28">
        <f t="shared" si="161"/>
        <v>198972.11076274602</v>
      </c>
      <c r="D89" s="28">
        <f t="shared" si="161"/>
        <v>199541.51786381571</v>
      </c>
      <c r="E89" s="28">
        <f t="shared" si="161"/>
        <v>199999.99874615797</v>
      </c>
      <c r="F89" s="28">
        <f t="shared" si="161"/>
        <v>199999.99888606655</v>
      </c>
      <c r="G89" s="28">
        <f t="shared" si="161"/>
        <v>198155.77774582678</v>
      </c>
      <c r="H89" s="28">
        <f t="shared" si="161"/>
        <v>199999.99885733551</v>
      </c>
      <c r="I89" s="28">
        <f t="shared" si="161"/>
        <v>199999.99960482301</v>
      </c>
      <c r="J89" s="28">
        <f t="shared" si="161"/>
        <v>199999.99914939626</v>
      </c>
      <c r="K89" s="28">
        <f t="shared" ref="K89:V89" si="174">IF(K21=0,0,K21/K32*1000000)</f>
        <v>162035.50095717231</v>
      </c>
      <c r="L89" s="28">
        <f t="shared" si="174"/>
        <v>185753.64124526698</v>
      </c>
      <c r="M89" s="28">
        <f t="shared" si="174"/>
        <v>183285.96122214728</v>
      </c>
      <c r="N89" s="28">
        <f t="shared" si="174"/>
        <v>184787.36999406078</v>
      </c>
      <c r="O89" s="28">
        <f t="shared" si="174"/>
        <v>183320.97102157911</v>
      </c>
      <c r="P89" s="28">
        <f t="shared" si="174"/>
        <v>181599.06231410196</v>
      </c>
      <c r="Q89" s="28">
        <f t="shared" si="174"/>
        <v>183257.91379586476</v>
      </c>
      <c r="R89" s="28">
        <f t="shared" si="174"/>
        <v>184927.28239718167</v>
      </c>
      <c r="S89" s="28">
        <f t="shared" si="174"/>
        <v>188497.3489034517</v>
      </c>
      <c r="T89" s="28">
        <f t="shared" si="174"/>
        <v>190496.66879731158</v>
      </c>
      <c r="U89" s="28">
        <f t="shared" si="174"/>
        <v>191886.46132683093</v>
      </c>
      <c r="V89" s="28">
        <f t="shared" si="174"/>
        <v>193289.03383322188</v>
      </c>
      <c r="W89" s="28">
        <f t="shared" ref="W89:Y89" si="175">IF(W21=0,0,W21/W32*1000000)</f>
        <v>195561.15202357154</v>
      </c>
      <c r="X89" s="28">
        <f t="shared" si="175"/>
        <v>191547.48684646602</v>
      </c>
      <c r="Y89" s="28">
        <f t="shared" si="175"/>
        <v>193681.82761626426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199999.9813728618</v>
      </c>
      <c r="C90" s="84">
        <f t="shared" si="161"/>
        <v>173014.81257940893</v>
      </c>
      <c r="D90" s="84">
        <f t="shared" si="161"/>
        <v>187016.06388805181</v>
      </c>
      <c r="E90" s="84">
        <f t="shared" si="161"/>
        <v>199999.9730079649</v>
      </c>
      <c r="F90" s="84">
        <f t="shared" si="161"/>
        <v>199999.98294164156</v>
      </c>
      <c r="G90" s="84">
        <f t="shared" si="161"/>
        <v>143513.5046078999</v>
      </c>
      <c r="H90" s="84">
        <f t="shared" si="161"/>
        <v>199999.99720923381</v>
      </c>
      <c r="I90" s="84">
        <f t="shared" si="161"/>
        <v>199999.99793504688</v>
      </c>
      <c r="J90" s="84">
        <f t="shared" si="161"/>
        <v>199999.99487617824</v>
      </c>
      <c r="K90" s="84">
        <f t="shared" ref="K90:V90" si="176">IF(K22=0,0,K22/K33*1000000)</f>
        <v>113150.38275263079</v>
      </c>
      <c r="L90" s="84">
        <f t="shared" si="176"/>
        <v>106752.01193099684</v>
      </c>
      <c r="M90" s="84">
        <f t="shared" si="176"/>
        <v>68667.521758846633</v>
      </c>
      <c r="N90" s="84">
        <f t="shared" si="176"/>
        <v>71957.237082126259</v>
      </c>
      <c r="O90" s="84">
        <f t="shared" si="176"/>
        <v>52410.757060955126</v>
      </c>
      <c r="P90" s="84">
        <f t="shared" si="176"/>
        <v>27486.083789585147</v>
      </c>
      <c r="Q90" s="84">
        <f t="shared" si="176"/>
        <v>34872.088707087983</v>
      </c>
      <c r="R90" s="84">
        <f t="shared" si="176"/>
        <v>26557.917689411501</v>
      </c>
      <c r="S90" s="84">
        <f t="shared" si="176"/>
        <v>62608.957947691517</v>
      </c>
      <c r="T90" s="84">
        <f t="shared" si="176"/>
        <v>83126.388642163234</v>
      </c>
      <c r="U90" s="84">
        <f t="shared" si="176"/>
        <v>91409.51559537476</v>
      </c>
      <c r="V90" s="84">
        <f t="shared" si="176"/>
        <v>109779.70526454991</v>
      </c>
      <c r="W90" s="84">
        <f t="shared" ref="W90:Y90" si="177">IF(W22=0,0,W22/W33*1000000)</f>
        <v>116018.82671278297</v>
      </c>
      <c r="X90" s="84">
        <f t="shared" si="177"/>
        <v>35079.556566883883</v>
      </c>
      <c r="Y90" s="84">
        <f t="shared" si="177"/>
        <v>35466.251695176754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199999.99890391622</v>
      </c>
      <c r="C91" s="86">
        <f t="shared" si="161"/>
        <v>199999.99926976673</v>
      </c>
      <c r="D91" s="86">
        <f t="shared" si="161"/>
        <v>199999.99964782744</v>
      </c>
      <c r="E91" s="86">
        <f t="shared" si="161"/>
        <v>199999.99966198846</v>
      </c>
      <c r="F91" s="86">
        <f t="shared" si="161"/>
        <v>199999.99950757832</v>
      </c>
      <c r="G91" s="86">
        <f t="shared" si="161"/>
        <v>199999.99961812529</v>
      </c>
      <c r="H91" s="86">
        <f t="shared" si="161"/>
        <v>199999.99903707978</v>
      </c>
      <c r="I91" s="86">
        <f t="shared" si="161"/>
        <v>199999.99983138309</v>
      </c>
      <c r="J91" s="86">
        <f t="shared" si="161"/>
        <v>199999.9998042791</v>
      </c>
      <c r="K91" s="86">
        <f t="shared" ref="K91:V91" si="178">IF(K23=0,0,K23/K34*1000000)</f>
        <v>170109.13581149789</v>
      </c>
      <c r="L91" s="86">
        <f t="shared" si="178"/>
        <v>199966.25781965212</v>
      </c>
      <c r="M91" s="86">
        <f t="shared" si="178"/>
        <v>199999.99915617163</v>
      </c>
      <c r="N91" s="86">
        <f t="shared" si="178"/>
        <v>199999.99946285432</v>
      </c>
      <c r="O91" s="86">
        <f t="shared" si="178"/>
        <v>199999.99942997843</v>
      </c>
      <c r="P91" s="86">
        <f t="shared" si="178"/>
        <v>199999.99905068977</v>
      </c>
      <c r="Q91" s="86">
        <f t="shared" si="178"/>
        <v>199999.99917582801</v>
      </c>
      <c r="R91" s="86">
        <f t="shared" si="178"/>
        <v>199999.99908741246</v>
      </c>
      <c r="S91" s="86">
        <f t="shared" si="178"/>
        <v>199999.99957997352</v>
      </c>
      <c r="T91" s="86">
        <f t="shared" si="178"/>
        <v>199999.99960344943</v>
      </c>
      <c r="U91" s="86">
        <f t="shared" si="178"/>
        <v>199999.9992830831</v>
      </c>
      <c r="V91" s="86">
        <f t="shared" si="178"/>
        <v>199999.99987575834</v>
      </c>
      <c r="W91" s="86">
        <f t="shared" ref="W91:Y91" si="179">IF(W23=0,0,W23/W34*1000000)</f>
        <v>199999.99992839812</v>
      </c>
      <c r="X91" s="86">
        <f t="shared" si="179"/>
        <v>199999.99956429462</v>
      </c>
      <c r="Y91" s="86">
        <f t="shared" si="179"/>
        <v>199999.99974545825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24592882.638809707</v>
      </c>
      <c r="C94" s="28">
        <f t="shared" si="180"/>
        <v>25708612.516172212</v>
      </c>
      <c r="D94" s="28">
        <f t="shared" si="180"/>
        <v>24587143.58341071</v>
      </c>
      <c r="E94" s="28">
        <f t="shared" si="180"/>
        <v>23233832.814850736</v>
      </c>
      <c r="F94" s="28">
        <f t="shared" si="180"/>
        <v>24269271.851995461</v>
      </c>
      <c r="G94" s="28">
        <f t="shared" si="180"/>
        <v>24345982.453222349</v>
      </c>
      <c r="H94" s="28">
        <f t="shared" si="180"/>
        <v>24693085.034952082</v>
      </c>
      <c r="I94" s="28">
        <f t="shared" si="180"/>
        <v>24008781.235637367</v>
      </c>
      <c r="J94" s="28">
        <f t="shared" si="180"/>
        <v>23146536.703344002</v>
      </c>
      <c r="K94" s="28">
        <f t="shared" ref="K94:V94" si="181">IF(K4=0,0,K4/K26*1000000)</f>
        <v>22944061.454528738</v>
      </c>
      <c r="L94" s="28">
        <f t="shared" si="181"/>
        <v>22019473.108039167</v>
      </c>
      <c r="M94" s="28">
        <f t="shared" si="181"/>
        <v>22217231.871130191</v>
      </c>
      <c r="N94" s="28">
        <f t="shared" si="181"/>
        <v>21344916.589769345</v>
      </c>
      <c r="O94" s="28">
        <f t="shared" si="181"/>
        <v>21402951.587999038</v>
      </c>
      <c r="P94" s="28">
        <f t="shared" si="181"/>
        <v>22041438.911231056</v>
      </c>
      <c r="Q94" s="28">
        <f t="shared" si="181"/>
        <v>22230931.530603956</v>
      </c>
      <c r="R94" s="28">
        <f t="shared" si="181"/>
        <v>21041291.522882886</v>
      </c>
      <c r="S94" s="28">
        <f t="shared" si="181"/>
        <v>20509889.380909838</v>
      </c>
      <c r="T94" s="28">
        <f t="shared" si="181"/>
        <v>20258548.809392966</v>
      </c>
      <c r="U94" s="28">
        <f t="shared" si="181"/>
        <v>21279900.29302055</v>
      </c>
      <c r="V94" s="28">
        <f t="shared" si="181"/>
        <v>9440093.211498782</v>
      </c>
      <c r="W94" s="28">
        <f t="shared" ref="W94:Y94" si="182">IF(W4=0,0,W4/W26*1000000)</f>
        <v>12451899.260781199</v>
      </c>
      <c r="X94" s="28">
        <f t="shared" si="182"/>
        <v>17645453.946441781</v>
      </c>
      <c r="Y94" s="28">
        <f t="shared" si="182"/>
        <v>19194509.805371273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9769459.8213672731</v>
      </c>
      <c r="C95" s="108">
        <f t="shared" si="180"/>
        <v>9736062.2676804215</v>
      </c>
      <c r="D95" s="108">
        <f t="shared" si="180"/>
        <v>9736062.2672683038</v>
      </c>
      <c r="E95" s="108">
        <f t="shared" si="180"/>
        <v>9623978.9070940726</v>
      </c>
      <c r="F95" s="108">
        <f t="shared" si="180"/>
        <v>9348145.5594841372</v>
      </c>
      <c r="G95" s="108">
        <f t="shared" si="180"/>
        <v>9279338.4104481321</v>
      </c>
      <c r="H95" s="108">
        <f t="shared" si="180"/>
        <v>9243950.2497222461</v>
      </c>
      <c r="I95" s="108">
        <f t="shared" si="180"/>
        <v>9157118.7919428889</v>
      </c>
      <c r="J95" s="108">
        <f t="shared" si="180"/>
        <v>9154332.3275349792</v>
      </c>
      <c r="K95" s="108">
        <f t="shared" ref="K95:V95" si="183">IF(K5=0,0,K5/K27*1000000)</f>
        <v>9088027.0538374763</v>
      </c>
      <c r="L95" s="108">
        <f t="shared" si="183"/>
        <v>9034865.8573069796</v>
      </c>
      <c r="M95" s="108">
        <f t="shared" si="183"/>
        <v>9062348.1621607114</v>
      </c>
      <c r="N95" s="108">
        <f t="shared" si="183"/>
        <v>9011726.9141961727</v>
      </c>
      <c r="O95" s="108">
        <f t="shared" si="183"/>
        <v>9089448.3709730897</v>
      </c>
      <c r="P95" s="108">
        <f t="shared" si="183"/>
        <v>9149627.4633061849</v>
      </c>
      <c r="Q95" s="108">
        <f t="shared" si="183"/>
        <v>9207311.783574257</v>
      </c>
      <c r="R95" s="108">
        <f t="shared" si="183"/>
        <v>9155030.2091492135</v>
      </c>
      <c r="S95" s="108">
        <f t="shared" si="183"/>
        <v>9187343.206010187</v>
      </c>
      <c r="T95" s="108">
        <f t="shared" si="183"/>
        <v>9215490.240697084</v>
      </c>
      <c r="U95" s="108">
        <f t="shared" si="183"/>
        <v>9228350.9407618996</v>
      </c>
      <c r="V95" s="108">
        <f t="shared" si="183"/>
        <v>5722618.2528941827</v>
      </c>
      <c r="W95" s="108">
        <f t="shared" ref="W95:Y95" si="184">IF(W5=0,0,W5/W27*1000000)</f>
        <v>6954818.9633502942</v>
      </c>
      <c r="X95" s="108">
        <f t="shared" si="184"/>
        <v>6711928.5520532895</v>
      </c>
      <c r="Y95" s="108">
        <f t="shared" si="184"/>
        <v>6481439.3594759349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27175572.775746502</v>
      </c>
      <c r="C96" s="110">
        <f t="shared" si="180"/>
        <v>27984945.08550724</v>
      </c>
      <c r="D96" s="110">
        <f t="shared" si="180"/>
        <v>26478970.958235126</v>
      </c>
      <c r="E96" s="110">
        <f t="shared" si="180"/>
        <v>24505866.702172481</v>
      </c>
      <c r="F96" s="110">
        <f t="shared" si="180"/>
        <v>26097771.774279222</v>
      </c>
      <c r="G96" s="110">
        <f t="shared" si="180"/>
        <v>25962480.069852605</v>
      </c>
      <c r="H96" s="110">
        <f t="shared" si="180"/>
        <v>26610015.253213022</v>
      </c>
      <c r="I96" s="110">
        <f t="shared" si="180"/>
        <v>26199372.186111104</v>
      </c>
      <c r="J96" s="110">
        <f t="shared" si="180"/>
        <v>24970909.16114169</v>
      </c>
      <c r="K96" s="110">
        <f t="shared" ref="K96:V96" si="185">IF(K6=0,0,K6/K28*1000000)</f>
        <v>23862116.679183982</v>
      </c>
      <c r="L96" s="110">
        <f t="shared" si="185"/>
        <v>22323213.98279576</v>
      </c>
      <c r="M96" s="110">
        <f t="shared" si="185"/>
        <v>22072806.809030581</v>
      </c>
      <c r="N96" s="110">
        <f t="shared" si="185"/>
        <v>20109133.049532097</v>
      </c>
      <c r="O96" s="110">
        <f t="shared" si="185"/>
        <v>19911099.895273581</v>
      </c>
      <c r="P96" s="110">
        <f t="shared" si="185"/>
        <v>20632959.886302784</v>
      </c>
      <c r="Q96" s="110">
        <f t="shared" si="185"/>
        <v>20705152.724196795</v>
      </c>
      <c r="R96" s="110">
        <f t="shared" si="185"/>
        <v>19252888.797861699</v>
      </c>
      <c r="S96" s="110">
        <f t="shared" si="185"/>
        <v>18628768.688618243</v>
      </c>
      <c r="T96" s="110">
        <f t="shared" si="185"/>
        <v>18105974.579500448</v>
      </c>
      <c r="U96" s="110">
        <f t="shared" si="185"/>
        <v>19546260.783604473</v>
      </c>
      <c r="V96" s="110">
        <f t="shared" si="185"/>
        <v>8207134.3890178204</v>
      </c>
      <c r="W96" s="110">
        <f t="shared" ref="W96:Y96" si="186">IF(W6=0,0,W6/W28*1000000)</f>
        <v>11080186.972965181</v>
      </c>
      <c r="X96" s="110">
        <f t="shared" si="186"/>
        <v>17150726.054206297</v>
      </c>
      <c r="Y96" s="110">
        <f t="shared" si="186"/>
        <v>18173149.386703331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25013048.270112049</v>
      </c>
      <c r="C97" s="84">
        <f t="shared" si="180"/>
        <v>24656552.556114722</v>
      </c>
      <c r="D97" s="84">
        <f t="shared" si="180"/>
        <v>25573100.858053919</v>
      </c>
      <c r="E97" s="84">
        <f t="shared" si="180"/>
        <v>21251305.952185269</v>
      </c>
      <c r="F97" s="84">
        <f t="shared" si="180"/>
        <v>20705635.769983184</v>
      </c>
      <c r="G97" s="84">
        <f t="shared" si="180"/>
        <v>19242606.146963045</v>
      </c>
      <c r="H97" s="84">
        <f t="shared" si="180"/>
        <v>19829918.754740309</v>
      </c>
      <c r="I97" s="84">
        <f t="shared" si="180"/>
        <v>18954312.657412816</v>
      </c>
      <c r="J97" s="84">
        <f t="shared" si="180"/>
        <v>12807586.004387898</v>
      </c>
      <c r="K97" s="84">
        <f t="shared" ref="K97:V97" si="187">IF(K7=0,0,K7/K29*1000000)</f>
        <v>14233172.118239064</v>
      </c>
      <c r="L97" s="84">
        <f t="shared" si="187"/>
        <v>17460366.064926308</v>
      </c>
      <c r="M97" s="84">
        <f t="shared" si="187"/>
        <v>20317638.820084117</v>
      </c>
      <c r="N97" s="84">
        <f t="shared" si="187"/>
        <v>19906468.915790156</v>
      </c>
      <c r="O97" s="84">
        <f t="shared" si="187"/>
        <v>17449507.559667908</v>
      </c>
      <c r="P97" s="84">
        <f t="shared" si="187"/>
        <v>11659768.714786898</v>
      </c>
      <c r="Q97" s="84">
        <f t="shared" si="187"/>
        <v>20384423.634863071</v>
      </c>
      <c r="R97" s="84">
        <f t="shared" si="187"/>
        <v>18790018.115676135</v>
      </c>
      <c r="S97" s="84">
        <f t="shared" si="187"/>
        <v>20764399.67246303</v>
      </c>
      <c r="T97" s="84">
        <f t="shared" si="187"/>
        <v>19914363.384576626</v>
      </c>
      <c r="U97" s="84">
        <f t="shared" si="187"/>
        <v>21177754.598030306</v>
      </c>
      <c r="V97" s="84">
        <f t="shared" si="187"/>
        <v>9093742.4625799302</v>
      </c>
      <c r="W97" s="84">
        <f t="shared" ref="W97:Y97" si="188">IF(W7=0,0,W7/W29*1000000)</f>
        <v>11514552.120496092</v>
      </c>
      <c r="X97" s="84">
        <f t="shared" si="188"/>
        <v>6980477.177693367</v>
      </c>
      <c r="Y97" s="84">
        <f t="shared" si="188"/>
        <v>11104005.717850177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27707754.694427323</v>
      </c>
      <c r="C98" s="84">
        <f t="shared" si="180"/>
        <v>28773371.10729064</v>
      </c>
      <c r="D98" s="84">
        <f t="shared" si="180"/>
        <v>26701330.573867831</v>
      </c>
      <c r="E98" s="84">
        <f t="shared" si="180"/>
        <v>25352116.452319112</v>
      </c>
      <c r="F98" s="84">
        <f t="shared" si="180"/>
        <v>27437535.789708752</v>
      </c>
      <c r="G98" s="84">
        <f t="shared" si="180"/>
        <v>27405546.794068288</v>
      </c>
      <c r="H98" s="84">
        <f t="shared" si="180"/>
        <v>28138553.347689915</v>
      </c>
      <c r="I98" s="84">
        <f t="shared" si="180"/>
        <v>27606537.796046846</v>
      </c>
      <c r="J98" s="84">
        <f t="shared" si="180"/>
        <v>26891278.884098653</v>
      </c>
      <c r="K98" s="84">
        <f t="shared" ref="K98:V98" si="189">IF(K8=0,0,K8/K30*1000000)</f>
        <v>25188262.086000938</v>
      </c>
      <c r="L98" s="84">
        <f t="shared" si="189"/>
        <v>22883218.004166525</v>
      </c>
      <c r="M98" s="84">
        <f t="shared" si="189"/>
        <v>22236317.045451764</v>
      </c>
      <c r="N98" s="84">
        <f t="shared" si="189"/>
        <v>20131897.774467867</v>
      </c>
      <c r="O98" s="84">
        <f t="shared" si="189"/>
        <v>20118610.353084117</v>
      </c>
      <c r="P98" s="84">
        <f t="shared" si="189"/>
        <v>21207929.011544745</v>
      </c>
      <c r="Q98" s="84">
        <f t="shared" si="189"/>
        <v>20718788.453942198</v>
      </c>
      <c r="R98" s="84">
        <f t="shared" si="189"/>
        <v>19265560.373392485</v>
      </c>
      <c r="S98" s="84">
        <f t="shared" si="189"/>
        <v>18500873.825706188</v>
      </c>
      <c r="T98" s="84">
        <f t="shared" si="189"/>
        <v>17966049.100190166</v>
      </c>
      <c r="U98" s="84">
        <f t="shared" si="189"/>
        <v>19415093.393277582</v>
      </c>
      <c r="V98" s="84">
        <f t="shared" si="189"/>
        <v>8130961.7517204555</v>
      </c>
      <c r="W98" s="84">
        <f t="shared" ref="W98:Y98" si="190">IF(W8=0,0,W8/W30*1000000)</f>
        <v>11046176.821721775</v>
      </c>
      <c r="X98" s="84">
        <f t="shared" si="190"/>
        <v>17691907.232748959</v>
      </c>
      <c r="Y98" s="84">
        <f t="shared" si="190"/>
        <v>18396824.122875728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155645557.54650211</v>
      </c>
      <c r="C99" s="113">
        <f t="shared" si="180"/>
        <v>155645555.18709698</v>
      </c>
      <c r="D99" s="113">
        <f t="shared" si="180"/>
        <v>155645555.44418821</v>
      </c>
      <c r="E99" s="113">
        <f t="shared" si="180"/>
        <v>155645557.17601106</v>
      </c>
      <c r="F99" s="113">
        <f t="shared" si="180"/>
        <v>155645556.98513791</v>
      </c>
      <c r="G99" s="113">
        <f t="shared" si="180"/>
        <v>155645556.51141548</v>
      </c>
      <c r="H99" s="113">
        <f t="shared" si="180"/>
        <v>158169984.63646236</v>
      </c>
      <c r="I99" s="113">
        <f t="shared" si="180"/>
        <v>158483105.67936736</v>
      </c>
      <c r="J99" s="113">
        <f t="shared" si="180"/>
        <v>155026874.75913474</v>
      </c>
      <c r="K99" s="113">
        <f t="shared" ref="K99:V99" si="191">IF(K9=0,0,K9/K31*1000000)</f>
        <v>154988456.20132384</v>
      </c>
      <c r="L99" s="113">
        <f t="shared" si="191"/>
        <v>151663363.72807327</v>
      </c>
      <c r="M99" s="113">
        <f t="shared" si="191"/>
        <v>155250179.22402745</v>
      </c>
      <c r="N99" s="113">
        <f t="shared" si="191"/>
        <v>155251039.37743485</v>
      </c>
      <c r="O99" s="113">
        <f t="shared" si="191"/>
        <v>161825111.91892034</v>
      </c>
      <c r="P99" s="113">
        <f t="shared" si="191"/>
        <v>165869162.60353109</v>
      </c>
      <c r="Q99" s="113">
        <f t="shared" si="191"/>
        <v>173339699.5824919</v>
      </c>
      <c r="R99" s="113">
        <f t="shared" si="191"/>
        <v>173243628.47694248</v>
      </c>
      <c r="S99" s="113">
        <f t="shared" si="191"/>
        <v>176794109.14620557</v>
      </c>
      <c r="T99" s="113">
        <f t="shared" si="191"/>
        <v>184306804.28416497</v>
      </c>
      <c r="U99" s="113">
        <f t="shared" si="191"/>
        <v>173966763.32658485</v>
      </c>
      <c r="V99" s="113">
        <f t="shared" si="191"/>
        <v>71072839.82762605</v>
      </c>
      <c r="W99" s="113">
        <f t="shared" ref="W99:Y99" si="192">IF(W9=0,0,W9/W31*1000000)</f>
        <v>85453744.612311542</v>
      </c>
      <c r="X99" s="113">
        <f t="shared" si="192"/>
        <v>148971186.99407092</v>
      </c>
      <c r="Y99" s="113">
        <f t="shared" si="192"/>
        <v>182524179.6198096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133939167.83196442</v>
      </c>
      <c r="C100" s="28">
        <f t="shared" si="180"/>
        <v>134860354.27831182</v>
      </c>
      <c r="D100" s="28">
        <f t="shared" si="180"/>
        <v>133648050.5038268</v>
      </c>
      <c r="E100" s="28">
        <f t="shared" si="180"/>
        <v>124541769.54497448</v>
      </c>
      <c r="F100" s="28">
        <f t="shared" si="180"/>
        <v>118835724.89135943</v>
      </c>
      <c r="G100" s="28">
        <f t="shared" si="180"/>
        <v>117574939.92202613</v>
      </c>
      <c r="H100" s="28">
        <f t="shared" si="180"/>
        <v>121539591.54081625</v>
      </c>
      <c r="I100" s="28">
        <f t="shared" si="180"/>
        <v>122380700.29494064</v>
      </c>
      <c r="J100" s="28">
        <f t="shared" si="180"/>
        <v>121896224.85534868</v>
      </c>
      <c r="K100" s="28">
        <f t="shared" ref="K100:V100" si="193">IF(K10=0,0,K10/K32*1000000)</f>
        <v>99687886.869450077</v>
      </c>
      <c r="L100" s="28">
        <f t="shared" si="193"/>
        <v>115318136.91458012</v>
      </c>
      <c r="M100" s="28">
        <f t="shared" si="193"/>
        <v>105227506.50104384</v>
      </c>
      <c r="N100" s="28">
        <f t="shared" si="193"/>
        <v>103457051.30304039</v>
      </c>
      <c r="O100" s="28">
        <f t="shared" si="193"/>
        <v>95340728.592675984</v>
      </c>
      <c r="P100" s="28">
        <f t="shared" si="193"/>
        <v>98254627.933360308</v>
      </c>
      <c r="Q100" s="28">
        <f t="shared" si="193"/>
        <v>99388810.230857715</v>
      </c>
      <c r="R100" s="28">
        <f t="shared" si="193"/>
        <v>96204650.30033201</v>
      </c>
      <c r="S100" s="28">
        <f t="shared" si="193"/>
        <v>94282754.948769256</v>
      </c>
      <c r="T100" s="28">
        <f t="shared" si="193"/>
        <v>93710218.934628278</v>
      </c>
      <c r="U100" s="28">
        <f t="shared" si="193"/>
        <v>86214032.329254687</v>
      </c>
      <c r="V100" s="28">
        <f t="shared" si="193"/>
        <v>86788225.140768722</v>
      </c>
      <c r="W100" s="28">
        <f t="shared" ref="W100:Y100" si="194">IF(W10=0,0,W10/W32*1000000)</f>
        <v>74986534.906961411</v>
      </c>
      <c r="X100" s="28">
        <f t="shared" si="194"/>
        <v>75948893.867573515</v>
      </c>
      <c r="Y100" s="28">
        <f t="shared" si="194"/>
        <v>55379385.43241325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158898135.67321151</v>
      </c>
      <c r="C101" s="84">
        <f t="shared" si="180"/>
        <v>136741360.78012741</v>
      </c>
      <c r="D101" s="84">
        <f t="shared" si="180"/>
        <v>147756896.26123527</v>
      </c>
      <c r="E101" s="84">
        <f t="shared" si="180"/>
        <v>158834526.82709926</v>
      </c>
      <c r="F101" s="84">
        <f t="shared" si="180"/>
        <v>153596818.07202408</v>
      </c>
      <c r="G101" s="84">
        <f t="shared" si="180"/>
        <v>109234905.7160037</v>
      </c>
      <c r="H101" s="84">
        <f t="shared" si="180"/>
        <v>150361677.35391909</v>
      </c>
      <c r="I101" s="84">
        <f t="shared" si="180"/>
        <v>148500249.40008</v>
      </c>
      <c r="J101" s="84">
        <f t="shared" si="180"/>
        <v>141461264.75762942</v>
      </c>
      <c r="K101" s="84">
        <f t="shared" ref="K101:V101" si="195">IF(K11=0,0,K11/K33*1000000)</f>
        <v>84707796.648171321</v>
      </c>
      <c r="L101" s="84">
        <f t="shared" si="195"/>
        <v>79327903.71992445</v>
      </c>
      <c r="M101" s="84">
        <f t="shared" si="195"/>
        <v>43611901.741581231</v>
      </c>
      <c r="N101" s="84">
        <f t="shared" si="195"/>
        <v>44511171.497303486</v>
      </c>
      <c r="O101" s="84">
        <f t="shared" si="195"/>
        <v>30125406.172353182</v>
      </c>
      <c r="P101" s="84">
        <f t="shared" si="195"/>
        <v>16512278.436381774</v>
      </c>
      <c r="Q101" s="84">
        <f t="shared" si="195"/>
        <v>20736063.398859613</v>
      </c>
      <c r="R101" s="84">
        <f t="shared" si="195"/>
        <v>15247850.760179872</v>
      </c>
      <c r="S101" s="84">
        <f t="shared" si="195"/>
        <v>35026171.584222138</v>
      </c>
      <c r="T101" s="84">
        <f t="shared" si="195"/>
        <v>45324756.465057038</v>
      </c>
      <c r="U101" s="84">
        <f t="shared" si="195"/>
        <v>45543896.598530896</v>
      </c>
      <c r="V101" s="84">
        <f t="shared" si="195"/>
        <v>54525802.314240336</v>
      </c>
      <c r="W101" s="84">
        <f t="shared" ref="W101:Y101" si="196">IF(W11=0,0,W11/W33*1000000)</f>
        <v>52570291.954429224</v>
      </c>
      <c r="X101" s="84">
        <f t="shared" si="196"/>
        <v>16109905.925256072</v>
      </c>
      <c r="Y101" s="84">
        <f t="shared" si="196"/>
        <v>14938788.756649775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132896759.37902401</v>
      </c>
      <c r="C102" s="86">
        <f t="shared" si="180"/>
        <v>134785867.90645632</v>
      </c>
      <c r="D102" s="86">
        <f t="shared" si="180"/>
        <v>133131610.2386101</v>
      </c>
      <c r="E102" s="86">
        <f t="shared" si="180"/>
        <v>123321545.92078507</v>
      </c>
      <c r="F102" s="86">
        <f t="shared" si="180"/>
        <v>117480741.59367064</v>
      </c>
      <c r="G102" s="86">
        <f t="shared" si="180"/>
        <v>117856422.96830498</v>
      </c>
      <c r="H102" s="86">
        <f t="shared" si="180"/>
        <v>118396215.55075024</v>
      </c>
      <c r="I102" s="86">
        <f t="shared" si="180"/>
        <v>118836723.64525105</v>
      </c>
      <c r="J102" s="86">
        <f t="shared" si="180"/>
        <v>118897826.70382117</v>
      </c>
      <c r="K102" s="86">
        <f t="shared" ref="K102:V102" si="197">IF(K12=0,0,K12/K34*1000000)</f>
        <v>102161927.70178302</v>
      </c>
      <c r="L102" s="86">
        <f t="shared" si="197"/>
        <v>121792881.66678682</v>
      </c>
      <c r="M102" s="86">
        <f t="shared" si="197"/>
        <v>114212496.7006989</v>
      </c>
      <c r="N102" s="86">
        <f t="shared" si="197"/>
        <v>111404589.82891113</v>
      </c>
      <c r="O102" s="86">
        <f t="shared" si="197"/>
        <v>103649692.28926469</v>
      </c>
      <c r="P102" s="86">
        <f t="shared" si="197"/>
        <v>108014583.36472374</v>
      </c>
      <c r="Q102" s="86">
        <f t="shared" si="197"/>
        <v>108263047.38957636</v>
      </c>
      <c r="R102" s="86">
        <f t="shared" si="197"/>
        <v>103909668.91847293</v>
      </c>
      <c r="S102" s="86">
        <f t="shared" si="197"/>
        <v>99697136.477929562</v>
      </c>
      <c r="T102" s="86">
        <f t="shared" si="197"/>
        <v>97992810.498996586</v>
      </c>
      <c r="U102" s="86">
        <f t="shared" si="197"/>
        <v>89498155.742192477</v>
      </c>
      <c r="V102" s="86">
        <f t="shared" si="197"/>
        <v>89380893.861134991</v>
      </c>
      <c r="W102" s="86">
        <f t="shared" ref="W102:Y102" si="198">IF(W12=0,0,W12/W34*1000000)</f>
        <v>76237470.087384582</v>
      </c>
      <c r="X102" s="86">
        <f t="shared" si="198"/>
        <v>79181440.023841232</v>
      </c>
      <c r="Y102" s="86">
        <f t="shared" si="198"/>
        <v>56994338.001509368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0.10164242207873406</v>
      </c>
      <c r="C106" s="123">
        <f t="shared" si="199"/>
        <v>0.10040420371867421</v>
      </c>
      <c r="D106" s="123">
        <f t="shared" si="199"/>
        <v>0.10663356828353476</v>
      </c>
      <c r="E106" s="123">
        <f t="shared" si="199"/>
        <v>0.10945100764419734</v>
      </c>
      <c r="F106" s="123">
        <f t="shared" si="199"/>
        <v>0.10867008089180043</v>
      </c>
      <c r="G106" s="123">
        <f t="shared" si="199"/>
        <v>0.1075316715072252</v>
      </c>
      <c r="H106" s="123">
        <f t="shared" si="199"/>
        <v>0.11120359875318787</v>
      </c>
      <c r="I106" s="123">
        <f t="shared" si="199"/>
        <v>0.11901601628174498</v>
      </c>
      <c r="J106" s="123">
        <f t="shared" si="199"/>
        <v>0.12203942703162672</v>
      </c>
      <c r="K106" s="123">
        <f t="shared" ref="K106:V106" si="202">IF(K5=0,0,K5/K$4)</f>
        <v>0.1261621150493899</v>
      </c>
      <c r="L106" s="123">
        <f t="shared" si="202"/>
        <v>0.13055017970693944</v>
      </c>
      <c r="M106" s="123">
        <f t="shared" si="202"/>
        <v>0.13153503893214685</v>
      </c>
      <c r="N106" s="123">
        <f t="shared" si="202"/>
        <v>0.12267106966621011</v>
      </c>
      <c r="O106" s="123">
        <f t="shared" si="202"/>
        <v>0.11901017659924444</v>
      </c>
      <c r="P106" s="123">
        <f t="shared" si="202"/>
        <v>0.11753899418840862</v>
      </c>
      <c r="Q106" s="123">
        <f t="shared" si="202"/>
        <v>0.11566020157533667</v>
      </c>
      <c r="R106" s="123">
        <f t="shared" si="202"/>
        <v>0.11752655065831528</v>
      </c>
      <c r="S106" s="123">
        <f t="shared" si="202"/>
        <v>0.12029416625351182</v>
      </c>
      <c r="T106" s="123">
        <f t="shared" si="202"/>
        <v>0.11595934493086089</v>
      </c>
      <c r="U106" s="123">
        <f t="shared" si="202"/>
        <v>0.1185981308411215</v>
      </c>
      <c r="V106" s="123">
        <f t="shared" si="202"/>
        <v>0.16476633410846897</v>
      </c>
      <c r="W106" s="123">
        <f t="shared" ref="W106:Y106" si="203">IF(W5=0,0,W5/W$4)</f>
        <v>0.15394720762556519</v>
      </c>
      <c r="X106" s="123">
        <f t="shared" si="203"/>
        <v>0.11910580657383726</v>
      </c>
      <c r="Y106" s="123">
        <f t="shared" si="203"/>
        <v>9.4213919656141509E-2</v>
      </c>
      <c r="DA106" s="203"/>
    </row>
    <row r="107" spans="1:105" ht="11.45" customHeight="1" x14ac:dyDescent="0.25">
      <c r="A107" s="109" t="s">
        <v>24</v>
      </c>
      <c r="B107" s="124">
        <f t="shared" si="199"/>
        <v>0.80618767068920838</v>
      </c>
      <c r="C107" s="124">
        <f t="shared" si="199"/>
        <v>0.77810114075271719</v>
      </c>
      <c r="D107" s="124">
        <f t="shared" si="199"/>
        <v>0.76511623693127251</v>
      </c>
      <c r="E107" s="124">
        <f t="shared" si="199"/>
        <v>0.75465418236348336</v>
      </c>
      <c r="F107" s="124">
        <f t="shared" si="199"/>
        <v>0.74791436689046131</v>
      </c>
      <c r="G107" s="124">
        <f t="shared" si="199"/>
        <v>0.74012436968800666</v>
      </c>
      <c r="H107" s="124">
        <f t="shared" si="199"/>
        <v>0.73096132048739015</v>
      </c>
      <c r="I107" s="124">
        <f t="shared" si="199"/>
        <v>0.7249269976108309</v>
      </c>
      <c r="J107" s="124">
        <f t="shared" si="199"/>
        <v>0.72057155013473262</v>
      </c>
      <c r="K107" s="124">
        <f t="shared" ref="K107:V107" si="204">IF(K6=0,0,K6/K$4)</f>
        <v>0.67871150493898891</v>
      </c>
      <c r="L107" s="124">
        <f t="shared" si="204"/>
        <v>0.66047368906091608</v>
      </c>
      <c r="M107" s="124">
        <f t="shared" si="204"/>
        <v>0.64074898034853545</v>
      </c>
      <c r="N107" s="124">
        <f t="shared" si="204"/>
        <v>0.63727789556635461</v>
      </c>
      <c r="O107" s="124">
        <f t="shared" si="204"/>
        <v>0.63993711054142877</v>
      </c>
      <c r="P107" s="124">
        <f t="shared" si="204"/>
        <v>0.64100575423748807</v>
      </c>
      <c r="Q107" s="124">
        <f t="shared" si="204"/>
        <v>0.64237047955460325</v>
      </c>
      <c r="R107" s="124">
        <f t="shared" si="204"/>
        <v>0.64101479302145725</v>
      </c>
      <c r="S107" s="124">
        <f t="shared" si="204"/>
        <v>0.63900444071086793</v>
      </c>
      <c r="T107" s="124">
        <f t="shared" si="204"/>
        <v>0.64215318653998821</v>
      </c>
      <c r="U107" s="124">
        <f t="shared" si="204"/>
        <v>0.64023641408031196</v>
      </c>
      <c r="V107" s="124">
        <f t="shared" si="204"/>
        <v>0.60670055950738577</v>
      </c>
      <c r="W107" s="124">
        <f t="shared" ref="W107:Y107" si="205">IF(W6=0,0,W6/W$4)</f>
        <v>0.6145594023182207</v>
      </c>
      <c r="X107" s="124">
        <f t="shared" si="205"/>
        <v>0.63986764643639982</v>
      </c>
      <c r="Y107" s="124">
        <f t="shared" si="205"/>
        <v>0.65794872043626162</v>
      </c>
      <c r="DA107" s="176"/>
    </row>
    <row r="108" spans="1:105" ht="11.45" customHeight="1" x14ac:dyDescent="0.25">
      <c r="A108" s="111" t="s">
        <v>92</v>
      </c>
      <c r="B108" s="125">
        <f t="shared" si="199"/>
        <v>0.14654557998209136</v>
      </c>
      <c r="C108" s="125">
        <f t="shared" si="199"/>
        <v>0.13129348336041277</v>
      </c>
      <c r="D108" s="125">
        <f t="shared" si="199"/>
        <v>0.14563578031632574</v>
      </c>
      <c r="E108" s="125">
        <f t="shared" si="199"/>
        <v>0.13504931722634506</v>
      </c>
      <c r="F108" s="125">
        <f t="shared" si="199"/>
        <v>0.11809395530992177</v>
      </c>
      <c r="G108" s="125">
        <f t="shared" si="199"/>
        <v>9.6975536875220952E-2</v>
      </c>
      <c r="H108" s="125">
        <f t="shared" si="199"/>
        <v>0.10021132746348008</v>
      </c>
      <c r="I108" s="125">
        <f t="shared" si="199"/>
        <v>8.5296032524221549E-2</v>
      </c>
      <c r="J108" s="125">
        <f t="shared" si="199"/>
        <v>5.0393943124069647E-2</v>
      </c>
      <c r="K108" s="125">
        <f t="shared" ref="K108:V108" si="206">IF(K7=0,0,K7/K$4)</f>
        <v>4.9006438783000796E-2</v>
      </c>
      <c r="L108" s="125">
        <f t="shared" si="206"/>
        <v>5.3347680631607775E-2</v>
      </c>
      <c r="M108" s="125">
        <f t="shared" si="206"/>
        <v>5.0262767441457246E-2</v>
      </c>
      <c r="N108" s="125">
        <f t="shared" si="206"/>
        <v>6.3706336656688317E-2</v>
      </c>
      <c r="O108" s="125">
        <f t="shared" si="206"/>
        <v>4.3601347245537568E-2</v>
      </c>
      <c r="P108" s="125">
        <f t="shared" si="206"/>
        <v>2.1812987634191663E-2</v>
      </c>
      <c r="Q108" s="125">
        <f t="shared" si="206"/>
        <v>2.5790714969054256E-2</v>
      </c>
      <c r="R108" s="125">
        <f t="shared" si="206"/>
        <v>1.6670201514085208E-2</v>
      </c>
      <c r="S108" s="125">
        <f t="shared" si="206"/>
        <v>4.0244519680979973E-2</v>
      </c>
      <c r="T108" s="125">
        <f t="shared" si="206"/>
        <v>5.0724871075723321E-2</v>
      </c>
      <c r="U108" s="125">
        <f t="shared" si="206"/>
        <v>5.1619480107569192E-2</v>
      </c>
      <c r="V108" s="125">
        <f t="shared" si="206"/>
        <v>5.3185973499932801E-2</v>
      </c>
      <c r="W108" s="125">
        <f t="shared" ref="W108:Y108" si="207">IF(W7=0,0,W7/W$4)</f>
        <v>4.6374411197673139E-2</v>
      </c>
      <c r="X108" s="125">
        <f t="shared" si="207"/>
        <v>1.3157942398439572E-2</v>
      </c>
      <c r="Y108" s="125">
        <f t="shared" si="207"/>
        <v>1.2329999558217654E-2</v>
      </c>
      <c r="DA108" s="171"/>
    </row>
    <row r="109" spans="1:105" ht="11.45" customHeight="1" x14ac:dyDescent="0.25">
      <c r="A109" s="111" t="s">
        <v>93</v>
      </c>
      <c r="B109" s="125">
        <f t="shared" si="199"/>
        <v>0.6596420907071171</v>
      </c>
      <c r="C109" s="125">
        <f t="shared" si="199"/>
        <v>0.64680765739230428</v>
      </c>
      <c r="D109" s="125">
        <f t="shared" si="199"/>
        <v>0.61948045661494688</v>
      </c>
      <c r="E109" s="125">
        <f t="shared" si="199"/>
        <v>0.61960486513713831</v>
      </c>
      <c r="F109" s="125">
        <f t="shared" si="199"/>
        <v>0.62982041158053947</v>
      </c>
      <c r="G109" s="125">
        <f t="shared" si="199"/>
        <v>0.64314883281278579</v>
      </c>
      <c r="H109" s="125">
        <f t="shared" si="199"/>
        <v>0.6307499930239101</v>
      </c>
      <c r="I109" s="125">
        <f t="shared" si="199"/>
        <v>0.63963096508660933</v>
      </c>
      <c r="J109" s="125">
        <f t="shared" si="199"/>
        <v>0.67017760701066298</v>
      </c>
      <c r="K109" s="125">
        <f t="shared" ref="K109:V109" si="208">IF(K8=0,0,K8/K$4)</f>
        <v>0.62970506615598809</v>
      </c>
      <c r="L109" s="125">
        <f t="shared" si="208"/>
        <v>0.60712600842930831</v>
      </c>
      <c r="M109" s="125">
        <f t="shared" si="208"/>
        <v>0.59048621290707815</v>
      </c>
      <c r="N109" s="125">
        <f t="shared" si="208"/>
        <v>0.57357155890966627</v>
      </c>
      <c r="O109" s="125">
        <f t="shared" si="208"/>
        <v>0.59633576329589122</v>
      </c>
      <c r="P109" s="125">
        <f t="shared" si="208"/>
        <v>0.61919276660329647</v>
      </c>
      <c r="Q109" s="125">
        <f t="shared" si="208"/>
        <v>0.61657976458554886</v>
      </c>
      <c r="R109" s="125">
        <f t="shared" si="208"/>
        <v>0.62434459150737198</v>
      </c>
      <c r="S109" s="125">
        <f t="shared" si="208"/>
        <v>0.59875992102988784</v>
      </c>
      <c r="T109" s="125">
        <f t="shared" si="208"/>
        <v>0.59142831546426489</v>
      </c>
      <c r="U109" s="125">
        <f t="shared" si="208"/>
        <v>0.58861693397274273</v>
      </c>
      <c r="V109" s="125">
        <f t="shared" si="208"/>
        <v>0.55351458600745307</v>
      </c>
      <c r="W109" s="125">
        <f t="shared" ref="W109:Y109" si="209">IF(W8=0,0,W8/W$4)</f>
        <v>0.56818499112054754</v>
      </c>
      <c r="X109" s="125">
        <f t="shared" si="209"/>
        <v>0.62670970403796022</v>
      </c>
      <c r="Y109" s="125">
        <f t="shared" si="209"/>
        <v>0.64561872087804395</v>
      </c>
      <c r="DA109" s="171"/>
    </row>
    <row r="110" spans="1:105" ht="11.45" customHeight="1" x14ac:dyDescent="0.25">
      <c r="A110" s="112" t="s">
        <v>25</v>
      </c>
      <c r="B110" s="126">
        <f t="shared" si="199"/>
        <v>9.2169907232057591E-2</v>
      </c>
      <c r="C110" s="126">
        <f t="shared" si="199"/>
        <v>0.12149465552860864</v>
      </c>
      <c r="D110" s="126">
        <f t="shared" si="199"/>
        <v>0.1282501947851927</v>
      </c>
      <c r="E110" s="126">
        <f t="shared" si="199"/>
        <v>0.13589480999231923</v>
      </c>
      <c r="F110" s="126">
        <f t="shared" si="199"/>
        <v>0.14341555221773827</v>
      </c>
      <c r="G110" s="126">
        <f t="shared" si="199"/>
        <v>0.15234395880476809</v>
      </c>
      <c r="H110" s="126">
        <f t="shared" si="199"/>
        <v>0.15783508075942193</v>
      </c>
      <c r="I110" s="126">
        <f t="shared" si="199"/>
        <v>0.15605698610742413</v>
      </c>
      <c r="J110" s="126">
        <f t="shared" si="199"/>
        <v>0.15738902283364062</v>
      </c>
      <c r="K110" s="126">
        <f t="shared" ref="K110:V110" si="210">IF(K9=0,0,K9/K$4)</f>
        <v>0.19512638001162114</v>
      </c>
      <c r="L110" s="126">
        <f t="shared" si="210"/>
        <v>0.20897613123214451</v>
      </c>
      <c r="M110" s="126">
        <f t="shared" si="210"/>
        <v>0.22771598071931776</v>
      </c>
      <c r="N110" s="126">
        <f t="shared" si="210"/>
        <v>0.24005103476743531</v>
      </c>
      <c r="O110" s="126">
        <f t="shared" si="210"/>
        <v>0.24105271285932689</v>
      </c>
      <c r="P110" s="126">
        <f t="shared" si="210"/>
        <v>0.24145525157410336</v>
      </c>
      <c r="Q110" s="126">
        <f t="shared" si="210"/>
        <v>0.24196931887006012</v>
      </c>
      <c r="R110" s="126">
        <f t="shared" si="210"/>
        <v>0.24145865632022745</v>
      </c>
      <c r="S110" s="126">
        <f t="shared" si="210"/>
        <v>0.2407013930356203</v>
      </c>
      <c r="T110" s="126">
        <f t="shared" si="210"/>
        <v>0.24188746852915086</v>
      </c>
      <c r="U110" s="126">
        <f t="shared" si="210"/>
        <v>0.24116545507856646</v>
      </c>
      <c r="V110" s="126">
        <f t="shared" si="210"/>
        <v>0.2285331063841452</v>
      </c>
      <c r="W110" s="126">
        <f t="shared" ref="W110:Y110" si="211">IF(W9=0,0,W9/W$4)</f>
        <v>0.23149339005621414</v>
      </c>
      <c r="X110" s="126">
        <f t="shared" si="211"/>
        <v>0.24102654698976292</v>
      </c>
      <c r="Y110" s="126">
        <f t="shared" si="211"/>
        <v>0.24783735990759692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4.7561198876887041E-2</v>
      </c>
      <c r="C112" s="125">
        <f t="shared" si="212"/>
        <v>3.8622126718769072E-2</v>
      </c>
      <c r="D112" s="125">
        <f t="shared" si="212"/>
        <v>3.9039195463369078E-2</v>
      </c>
      <c r="E112" s="125">
        <f t="shared" si="212"/>
        <v>4.3820989766294831E-2</v>
      </c>
      <c r="F112" s="125">
        <f t="shared" si="212"/>
        <v>4.8491830347714225E-2</v>
      </c>
      <c r="G112" s="125">
        <f t="shared" si="212"/>
        <v>3.0332989410248916E-2</v>
      </c>
      <c r="H112" s="125">
        <f t="shared" si="212"/>
        <v>0.121656337537555</v>
      </c>
      <c r="I112" s="125">
        <f t="shared" si="212"/>
        <v>0.14497139953442703</v>
      </c>
      <c r="J112" s="125">
        <f t="shared" si="212"/>
        <v>0.15421666512559135</v>
      </c>
      <c r="K112" s="125">
        <f t="shared" ref="K112:V112" si="215">IF(K11=0,0,K11/K$10)</f>
        <v>0.12044523568149416</v>
      </c>
      <c r="L112" s="125">
        <f t="shared" si="215"/>
        <v>0.10488662476812759</v>
      </c>
      <c r="M112" s="125">
        <f t="shared" si="215"/>
        <v>5.2745448848779075E-2</v>
      </c>
      <c r="N112" s="125">
        <f t="shared" si="215"/>
        <v>5.1116155300448655E-2</v>
      </c>
      <c r="O112" s="125">
        <f t="shared" si="215"/>
        <v>3.5708408108945225E-2</v>
      </c>
      <c r="P112" s="125">
        <f t="shared" si="215"/>
        <v>1.7925438496616299E-2</v>
      </c>
      <c r="Q112" s="125">
        <f t="shared" si="215"/>
        <v>2.1153288241403372E-2</v>
      </c>
      <c r="R112" s="125">
        <f t="shared" si="215"/>
        <v>1.3773668515405183E-2</v>
      </c>
      <c r="S112" s="125">
        <f t="shared" si="215"/>
        <v>3.11028310616277E-2</v>
      </c>
      <c r="T112" s="125">
        <f t="shared" si="215"/>
        <v>3.9328547894950112E-2</v>
      </c>
      <c r="U112" s="125">
        <f t="shared" si="215"/>
        <v>3.9470327633822286E-2</v>
      </c>
      <c r="V112" s="125">
        <f t="shared" si="215"/>
        <v>4.67328274935166E-2</v>
      </c>
      <c r="W112" s="125">
        <f t="shared" ref="W112:Y112" si="216">IF(W11=0,0,W11/W$10)</f>
        <v>3.7054881636270055E-2</v>
      </c>
      <c r="X112" s="125">
        <f t="shared" si="216"/>
        <v>1.0871335317677148E-2</v>
      </c>
      <c r="Y112" s="125">
        <f t="shared" si="216"/>
        <v>1.0358663295006664E-2</v>
      </c>
      <c r="DA112" s="171"/>
    </row>
    <row r="113" spans="1:105" ht="11.45" customHeight="1" x14ac:dyDescent="0.25">
      <c r="A113" s="85" t="s">
        <v>93</v>
      </c>
      <c r="B113" s="127">
        <f t="shared" si="212"/>
        <v>0.95243880112311297</v>
      </c>
      <c r="C113" s="127">
        <f t="shared" si="212"/>
        <v>0.96137787328123092</v>
      </c>
      <c r="D113" s="127">
        <f t="shared" si="212"/>
        <v>0.96096080453663091</v>
      </c>
      <c r="E113" s="127">
        <f t="shared" si="212"/>
        <v>0.95617901023370522</v>
      </c>
      <c r="F113" s="127">
        <f t="shared" si="212"/>
        <v>0.9515081696522858</v>
      </c>
      <c r="G113" s="127">
        <f t="shared" si="212"/>
        <v>0.96966701058975102</v>
      </c>
      <c r="H113" s="127">
        <f t="shared" si="212"/>
        <v>0.878343662462445</v>
      </c>
      <c r="I113" s="127">
        <f t="shared" si="212"/>
        <v>0.85502860046557294</v>
      </c>
      <c r="J113" s="127">
        <f t="shared" si="212"/>
        <v>0.8457833348744086</v>
      </c>
      <c r="K113" s="127">
        <f t="shared" ref="K113:V113" si="217">IF(K12=0,0,K12/K$10)</f>
        <v>0.87955476431850588</v>
      </c>
      <c r="L113" s="127">
        <f t="shared" si="217"/>
        <v>0.89511337523187251</v>
      </c>
      <c r="M113" s="127">
        <f t="shared" si="217"/>
        <v>0.94725455115122104</v>
      </c>
      <c r="N113" s="127">
        <f t="shared" si="217"/>
        <v>0.94888384469955145</v>
      </c>
      <c r="O113" s="127">
        <f t="shared" si="217"/>
        <v>0.96429159189105484</v>
      </c>
      <c r="P113" s="127">
        <f t="shared" si="217"/>
        <v>0.98207456150338379</v>
      </c>
      <c r="Q113" s="127">
        <f t="shared" si="217"/>
        <v>0.97884671175859661</v>
      </c>
      <c r="R113" s="127">
        <f t="shared" si="217"/>
        <v>0.98622633148459482</v>
      </c>
      <c r="S113" s="127">
        <f t="shared" si="217"/>
        <v>0.9688971689383723</v>
      </c>
      <c r="T113" s="127">
        <f t="shared" si="217"/>
        <v>0.96067145210504989</v>
      </c>
      <c r="U113" s="127">
        <f t="shared" si="217"/>
        <v>0.9605296723661777</v>
      </c>
      <c r="V113" s="127">
        <f t="shared" si="217"/>
        <v>0.95326717250648341</v>
      </c>
      <c r="W113" s="127">
        <f t="shared" ref="W113:Y113" si="218">IF(W12=0,0,W12/W$10)</f>
        <v>0.96294511836372987</v>
      </c>
      <c r="X113" s="127">
        <f t="shared" si="218"/>
        <v>0.98912866468232274</v>
      </c>
      <c r="Y113" s="127">
        <f t="shared" si="218"/>
        <v>0.98964133670499332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0.19527161290010078</v>
      </c>
      <c r="C117" s="123">
        <f t="shared" si="219"/>
        <v>0.20055312229947772</v>
      </c>
      <c r="D117" s="123">
        <f t="shared" si="219"/>
        <v>0.20385760833539432</v>
      </c>
      <c r="E117" s="123">
        <f t="shared" si="219"/>
        <v>0.19974079782521467</v>
      </c>
      <c r="F117" s="123">
        <f t="shared" si="219"/>
        <v>0.21393134145594814</v>
      </c>
      <c r="G117" s="123">
        <f t="shared" si="219"/>
        <v>0.21358457096596256</v>
      </c>
      <c r="H117" s="123">
        <f t="shared" si="219"/>
        <v>0.22456201512996363</v>
      </c>
      <c r="I117" s="123">
        <f t="shared" si="219"/>
        <v>0.23736094604350352</v>
      </c>
      <c r="J117" s="123">
        <f t="shared" si="219"/>
        <v>0.24190119508180258</v>
      </c>
      <c r="K117" s="123">
        <f t="shared" ref="K117:V117" si="222">IF(K16=0,0,K16/K$15)</f>
        <v>0.24410150429776442</v>
      </c>
      <c r="L117" s="123">
        <f t="shared" si="222"/>
        <v>0.23910448115980917</v>
      </c>
      <c r="M117" s="123">
        <f t="shared" si="222"/>
        <v>0.24178922484728638</v>
      </c>
      <c r="N117" s="123">
        <f t="shared" si="222"/>
        <v>0.21385895744524785</v>
      </c>
      <c r="O117" s="123">
        <f t="shared" si="222"/>
        <v>0.20892323116496556</v>
      </c>
      <c r="P117" s="123">
        <f t="shared" si="222"/>
        <v>0.21385742711711314</v>
      </c>
      <c r="Q117" s="123">
        <f t="shared" si="222"/>
        <v>0.20736278159572591</v>
      </c>
      <c r="R117" s="123">
        <f t="shared" si="222"/>
        <v>0.20077018415948636</v>
      </c>
      <c r="S117" s="123">
        <f t="shared" si="222"/>
        <v>0.20008769731916029</v>
      </c>
      <c r="T117" s="123">
        <f t="shared" si="222"/>
        <v>0.18974640573097151</v>
      </c>
      <c r="U117" s="123">
        <f t="shared" si="222"/>
        <v>0.20338371738962807</v>
      </c>
      <c r="V117" s="123">
        <f t="shared" si="222"/>
        <v>0.20187269354175977</v>
      </c>
      <c r="W117" s="123">
        <f t="shared" ref="W117:Y117" si="223">IF(W16=0,0,W16/W$15)</f>
        <v>0.20376743842796843</v>
      </c>
      <c r="X117" s="123">
        <f t="shared" si="223"/>
        <v>0.24146052899445028</v>
      </c>
      <c r="Y117" s="123">
        <f t="shared" si="223"/>
        <v>0.15188631636233241</v>
      </c>
      <c r="DA117" s="203"/>
    </row>
    <row r="118" spans="1:105" ht="11.45" customHeight="1" x14ac:dyDescent="0.25">
      <c r="A118" s="109" t="s">
        <v>24</v>
      </c>
      <c r="B118" s="124">
        <f t="shared" si="219"/>
        <v>0.75926027640882476</v>
      </c>
      <c r="C118" s="124">
        <f t="shared" si="219"/>
        <v>0.73734551250709079</v>
      </c>
      <c r="D118" s="124">
        <f t="shared" si="219"/>
        <v>0.73340052175712778</v>
      </c>
      <c r="E118" s="124">
        <f t="shared" si="219"/>
        <v>0.73752741668264765</v>
      </c>
      <c r="F118" s="124">
        <f t="shared" si="219"/>
        <v>0.71669905081880281</v>
      </c>
      <c r="G118" s="124">
        <f t="shared" si="219"/>
        <v>0.71261500970834013</v>
      </c>
      <c r="H118" s="124">
        <f t="shared" si="219"/>
        <v>0.69923458580984765</v>
      </c>
      <c r="I118" s="124">
        <f t="shared" si="219"/>
        <v>0.68907210010386866</v>
      </c>
      <c r="J118" s="124">
        <f t="shared" si="219"/>
        <v>0.68273691134577807</v>
      </c>
      <c r="K118" s="124">
        <f t="shared" ref="K118:V118" si="224">IF(K17=0,0,K17/K$15)</f>
        <v>0.66533616958792352</v>
      </c>
      <c r="L118" s="124">
        <f t="shared" si="224"/>
        <v>0.66761997714178312</v>
      </c>
      <c r="M118" s="124">
        <f t="shared" si="224"/>
        <v>0.65825279935055603</v>
      </c>
      <c r="N118" s="124">
        <f t="shared" si="224"/>
        <v>0.68576498825790477</v>
      </c>
      <c r="O118" s="124">
        <f t="shared" si="224"/>
        <v>0.69384099026771395</v>
      </c>
      <c r="P118" s="124">
        <f t="shared" si="224"/>
        <v>0.68700538185307847</v>
      </c>
      <c r="Q118" s="124">
        <f t="shared" si="224"/>
        <v>0.69836975866618078</v>
      </c>
      <c r="R118" s="124">
        <f t="shared" si="224"/>
        <v>0.71005784931772919</v>
      </c>
      <c r="S118" s="124">
        <f t="shared" si="224"/>
        <v>0.71479920407418829</v>
      </c>
      <c r="T118" s="124">
        <f t="shared" si="224"/>
        <v>0.72929218178373512</v>
      </c>
      <c r="U118" s="124">
        <f t="shared" si="224"/>
        <v>0.70686698064991837</v>
      </c>
      <c r="V118" s="124">
        <f t="shared" si="224"/>
        <v>0.69875074726512121</v>
      </c>
      <c r="W118" s="124">
        <f t="shared" ref="W118:Y118" si="225">IF(W17=0,0,W17/W$15)</f>
        <v>0.69421472169733256</v>
      </c>
      <c r="X118" s="124">
        <f t="shared" si="225"/>
        <v>0.6711801078698173</v>
      </c>
      <c r="Y118" s="124">
        <f t="shared" si="225"/>
        <v>0.76283588119535339</v>
      </c>
      <c r="DA118" s="176"/>
    </row>
    <row r="119" spans="1:105" ht="11.45" customHeight="1" x14ac:dyDescent="0.25">
      <c r="A119" s="111" t="s">
        <v>92</v>
      </c>
      <c r="B119" s="125">
        <f t="shared" si="219"/>
        <v>0.14994753660212401</v>
      </c>
      <c r="C119" s="125">
        <f t="shared" si="219"/>
        <v>0.14121156470952057</v>
      </c>
      <c r="D119" s="125">
        <f t="shared" si="219"/>
        <v>0.14454384231732195</v>
      </c>
      <c r="E119" s="125">
        <f t="shared" si="219"/>
        <v>0.15219732584683018</v>
      </c>
      <c r="F119" s="125">
        <f t="shared" si="219"/>
        <v>0.14064916951182707</v>
      </c>
      <c r="G119" s="125">
        <f t="shared" si="219"/>
        <v>0.12279149630891265</v>
      </c>
      <c r="H119" s="125">
        <f t="shared" si="219"/>
        <v>0.12863806768559238</v>
      </c>
      <c r="I119" s="125">
        <f t="shared" si="219"/>
        <v>0.11206811484854719</v>
      </c>
      <c r="J119" s="125">
        <f t="shared" si="219"/>
        <v>6.6082903856998665E-2</v>
      </c>
      <c r="K119" s="125">
        <f t="shared" ref="K119:V119" si="226">IF(K18=0,0,K18/K$15)</f>
        <v>6.5892105583377603E-2</v>
      </c>
      <c r="L119" s="125">
        <f t="shared" si="226"/>
        <v>6.8943403872587988E-2</v>
      </c>
      <c r="M119" s="125">
        <f t="shared" si="226"/>
        <v>5.502450157153526E-2</v>
      </c>
      <c r="N119" s="125">
        <f t="shared" si="226"/>
        <v>6.9251343461031872E-2</v>
      </c>
      <c r="O119" s="125">
        <f t="shared" si="226"/>
        <v>4.8882726567705176E-2</v>
      </c>
      <c r="P119" s="125">
        <f t="shared" si="226"/>
        <v>2.4221457232601742E-2</v>
      </c>
      <c r="Q119" s="125">
        <f t="shared" si="226"/>
        <v>2.848021284653434E-2</v>
      </c>
      <c r="R119" s="125">
        <f t="shared" si="226"/>
        <v>1.8920614248638928E-2</v>
      </c>
      <c r="S119" s="125">
        <f t="shared" si="226"/>
        <v>4.0387939896691497E-2</v>
      </c>
      <c r="T119" s="125">
        <f t="shared" si="226"/>
        <v>5.2376846375936911E-2</v>
      </c>
      <c r="U119" s="125">
        <f t="shared" si="226"/>
        <v>5.2601087966896637E-2</v>
      </c>
      <c r="V119" s="125">
        <f t="shared" si="226"/>
        <v>6.3386124312584696E-2</v>
      </c>
      <c r="W119" s="125">
        <f t="shared" ref="W119:Y119" si="227">IF(W18=0,0,W18/W$15)</f>
        <v>5.0556701559861715E-2</v>
      </c>
      <c r="X119" s="125">
        <f t="shared" si="227"/>
        <v>1.3899411251726097E-2</v>
      </c>
      <c r="Y119" s="125">
        <f t="shared" si="227"/>
        <v>1.4993107173644089E-2</v>
      </c>
      <c r="DA119" s="171"/>
    </row>
    <row r="120" spans="1:105" ht="11.45" customHeight="1" x14ac:dyDescent="0.25">
      <c r="A120" s="111" t="s">
        <v>93</v>
      </c>
      <c r="B120" s="125">
        <f t="shared" si="219"/>
        <v>0.60931273980670075</v>
      </c>
      <c r="C120" s="125">
        <f t="shared" si="219"/>
        <v>0.59613394779757012</v>
      </c>
      <c r="D120" s="125">
        <f t="shared" si="219"/>
        <v>0.58885667943980591</v>
      </c>
      <c r="E120" s="125">
        <f t="shared" si="219"/>
        <v>0.58533009083581744</v>
      </c>
      <c r="F120" s="125">
        <f t="shared" si="219"/>
        <v>0.57604988130697576</v>
      </c>
      <c r="G120" s="125">
        <f t="shared" si="219"/>
        <v>0.5898235133994274</v>
      </c>
      <c r="H120" s="125">
        <f t="shared" si="219"/>
        <v>0.57059651812425527</v>
      </c>
      <c r="I120" s="125">
        <f t="shared" si="219"/>
        <v>0.57700398525532148</v>
      </c>
      <c r="J120" s="125">
        <f t="shared" si="219"/>
        <v>0.61665400748877941</v>
      </c>
      <c r="K120" s="125">
        <f t="shared" ref="K120:V120" si="228">IF(K19=0,0,K19/K$15)</f>
        <v>0.59944406400454586</v>
      </c>
      <c r="L120" s="125">
        <f t="shared" si="228"/>
        <v>0.5986765732691951</v>
      </c>
      <c r="M120" s="125">
        <f t="shared" si="228"/>
        <v>0.60322829777902076</v>
      </c>
      <c r="N120" s="125">
        <f t="shared" si="228"/>
        <v>0.61651364479687287</v>
      </c>
      <c r="O120" s="125">
        <f t="shared" si="228"/>
        <v>0.64495826370000875</v>
      </c>
      <c r="P120" s="125">
        <f t="shared" si="228"/>
        <v>0.66278392462047686</v>
      </c>
      <c r="Q120" s="125">
        <f t="shared" si="228"/>
        <v>0.66988954581964644</v>
      </c>
      <c r="R120" s="125">
        <f t="shared" si="228"/>
        <v>0.69113723506909031</v>
      </c>
      <c r="S120" s="125">
        <f t="shared" si="228"/>
        <v>0.67441126417749686</v>
      </c>
      <c r="T120" s="125">
        <f t="shared" si="228"/>
        <v>0.67691533540779825</v>
      </c>
      <c r="U120" s="125">
        <f t="shared" si="228"/>
        <v>0.65426589268302182</v>
      </c>
      <c r="V120" s="125">
        <f t="shared" si="228"/>
        <v>0.63536462295253648</v>
      </c>
      <c r="W120" s="125">
        <f t="shared" ref="W120:Y120" si="229">IF(W19=0,0,W19/W$15)</f>
        <v>0.64365802013747075</v>
      </c>
      <c r="X120" s="125">
        <f t="shared" si="229"/>
        <v>0.65728069661809119</v>
      </c>
      <c r="Y120" s="125">
        <f t="shared" si="229"/>
        <v>0.7478427740217094</v>
      </c>
      <c r="DA120" s="171"/>
    </row>
    <row r="121" spans="1:105" ht="11.45" customHeight="1" x14ac:dyDescent="0.25">
      <c r="A121" s="112" t="s">
        <v>25</v>
      </c>
      <c r="B121" s="126">
        <f t="shared" si="219"/>
        <v>4.5468110691074447E-2</v>
      </c>
      <c r="C121" s="126">
        <f t="shared" si="219"/>
        <v>6.2101365193431547E-2</v>
      </c>
      <c r="D121" s="126">
        <f t="shared" si="219"/>
        <v>6.2741869907477946E-2</v>
      </c>
      <c r="E121" s="126">
        <f t="shared" si="219"/>
        <v>6.273178549213769E-2</v>
      </c>
      <c r="F121" s="126">
        <f t="shared" si="219"/>
        <v>6.9369607725249041E-2</v>
      </c>
      <c r="G121" s="126">
        <f t="shared" si="219"/>
        <v>7.3800419325697336E-2</v>
      </c>
      <c r="H121" s="126">
        <f t="shared" si="219"/>
        <v>7.6203399060188665E-2</v>
      </c>
      <c r="I121" s="126">
        <f t="shared" si="219"/>
        <v>7.3566953852627695E-2</v>
      </c>
      <c r="J121" s="126">
        <f t="shared" si="219"/>
        <v>7.5361893572419417E-2</v>
      </c>
      <c r="K121" s="126">
        <f t="shared" ref="K121:V121" si="230">IF(K20=0,0,K20/K$15)</f>
        <v>9.0562326114312183E-2</v>
      </c>
      <c r="L121" s="126">
        <f t="shared" si="230"/>
        <v>9.3275541698407641E-2</v>
      </c>
      <c r="M121" s="126">
        <f t="shared" si="230"/>
        <v>9.9957975802157595E-2</v>
      </c>
      <c r="N121" s="126">
        <f t="shared" si="230"/>
        <v>0.10037605429684741</v>
      </c>
      <c r="O121" s="126">
        <f t="shared" si="230"/>
        <v>9.7235778567320588E-2</v>
      </c>
      <c r="P121" s="126">
        <f t="shared" si="230"/>
        <v>9.9137191029808266E-2</v>
      </c>
      <c r="Q121" s="126">
        <f t="shared" si="230"/>
        <v>9.4267459738093376E-2</v>
      </c>
      <c r="R121" s="126">
        <f t="shared" si="230"/>
        <v>8.917196652278446E-2</v>
      </c>
      <c r="S121" s="126">
        <f t="shared" si="230"/>
        <v>8.5113098606651408E-2</v>
      </c>
      <c r="T121" s="126">
        <f t="shared" si="230"/>
        <v>8.096141248529333E-2</v>
      </c>
      <c r="U121" s="126">
        <f t="shared" si="230"/>
        <v>8.9749301960453554E-2</v>
      </c>
      <c r="V121" s="126">
        <f t="shared" si="230"/>
        <v>9.9376559193119052E-2</v>
      </c>
      <c r="W121" s="126">
        <f t="shared" ref="W121:Y121" si="231">IF(W20=0,0,W20/W$15)</f>
        <v>0.10201783987469906</v>
      </c>
      <c r="X121" s="126">
        <f t="shared" si="231"/>
        <v>8.7359363135732268E-2</v>
      </c>
      <c r="Y121" s="126">
        <f t="shared" si="231"/>
        <v>8.5277802442314157E-2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4.0090507265340573E-2</v>
      </c>
      <c r="C123" s="125">
        <f t="shared" si="232"/>
        <v>3.3121627051996415E-2</v>
      </c>
      <c r="D123" s="125">
        <f t="shared" si="232"/>
        <v>3.3094922468194822E-2</v>
      </c>
      <c r="E123" s="125">
        <f t="shared" si="232"/>
        <v>3.4359928004261131E-2</v>
      </c>
      <c r="F123" s="125">
        <f t="shared" si="232"/>
        <v>3.7517452663463437E-2</v>
      </c>
      <c r="G123" s="125">
        <f t="shared" si="232"/>
        <v>2.3645830442444428E-2</v>
      </c>
      <c r="H123" s="125">
        <f t="shared" si="232"/>
        <v>9.8336635444803033E-2</v>
      </c>
      <c r="I123" s="125">
        <f t="shared" si="232"/>
        <v>0.11947253503823345</v>
      </c>
      <c r="J123" s="125">
        <f t="shared" si="232"/>
        <v>0.13288746512446478</v>
      </c>
      <c r="K123" s="125">
        <f t="shared" ref="K123:V123" si="235">IF(K22=0,0,K22/K$21)</f>
        <v>9.8981602745195602E-2</v>
      </c>
      <c r="L123" s="125">
        <f t="shared" si="235"/>
        <v>8.7625494621671796E-2</v>
      </c>
      <c r="M123" s="125">
        <f t="shared" si="235"/>
        <v>4.7679469995665823E-2</v>
      </c>
      <c r="N123" s="125">
        <f t="shared" si="235"/>
        <v>4.6264880797836E-2</v>
      </c>
      <c r="O123" s="125">
        <f t="shared" si="235"/>
        <v>3.2309060465972227E-2</v>
      </c>
      <c r="P123" s="125">
        <f t="shared" si="235"/>
        <v>1.6144145567513913E-2</v>
      </c>
      <c r="Q123" s="125">
        <f t="shared" si="235"/>
        <v>1.9293201028223406E-2</v>
      </c>
      <c r="R123" s="125">
        <f t="shared" si="235"/>
        <v>1.2480445626216408E-2</v>
      </c>
      <c r="S123" s="125">
        <f t="shared" si="235"/>
        <v>2.7808063327158766E-2</v>
      </c>
      <c r="T123" s="125">
        <f t="shared" si="235"/>
        <v>3.5482230473312275E-2</v>
      </c>
      <c r="U123" s="125">
        <f t="shared" si="235"/>
        <v>3.5593080614169048E-2</v>
      </c>
      <c r="V123" s="125">
        <f t="shared" si="235"/>
        <v>4.2246977711467355E-2</v>
      </c>
      <c r="W123" s="125">
        <f t="shared" ref="W123:Y123" si="236">IF(W22=0,0,W22/W$21)</f>
        <v>3.1356978566832283E-2</v>
      </c>
      <c r="X123" s="125">
        <f t="shared" si="236"/>
        <v>9.3861821248204021E-3</v>
      </c>
      <c r="Y123" s="125">
        <f t="shared" si="236"/>
        <v>7.0317412227395371E-3</v>
      </c>
      <c r="DA123" s="171"/>
    </row>
    <row r="124" spans="1:105" ht="11.45" customHeight="1" x14ac:dyDescent="0.25">
      <c r="A124" s="85" t="s">
        <v>93</v>
      </c>
      <c r="B124" s="127">
        <f t="shared" si="232"/>
        <v>0.95990949273465942</v>
      </c>
      <c r="C124" s="127">
        <f t="shared" si="232"/>
        <v>0.96687837294800372</v>
      </c>
      <c r="D124" s="127">
        <f t="shared" si="232"/>
        <v>0.9669050775318051</v>
      </c>
      <c r="E124" s="127">
        <f t="shared" si="232"/>
        <v>0.96564007199573887</v>
      </c>
      <c r="F124" s="127">
        <f t="shared" si="232"/>
        <v>0.96248254733653649</v>
      </c>
      <c r="G124" s="127">
        <f t="shared" si="232"/>
        <v>0.97635416955755561</v>
      </c>
      <c r="H124" s="127">
        <f t="shared" si="232"/>
        <v>0.90166336455519702</v>
      </c>
      <c r="I124" s="127">
        <f t="shared" si="232"/>
        <v>0.88052746496176648</v>
      </c>
      <c r="J124" s="127">
        <f t="shared" si="232"/>
        <v>0.86711253487553519</v>
      </c>
      <c r="K124" s="127">
        <f t="shared" ref="K124:V124" si="237">IF(K23=0,0,K23/K$21)</f>
        <v>0.90101839725480437</v>
      </c>
      <c r="L124" s="127">
        <f t="shared" si="237"/>
        <v>0.9123745053783282</v>
      </c>
      <c r="M124" s="127">
        <f t="shared" si="237"/>
        <v>0.95232053000433425</v>
      </c>
      <c r="N124" s="127">
        <f t="shared" si="237"/>
        <v>0.95373511920216414</v>
      </c>
      <c r="O124" s="127">
        <f t="shared" si="237"/>
        <v>0.96769093953402774</v>
      </c>
      <c r="P124" s="127">
        <f t="shared" si="237"/>
        <v>0.98385585443248613</v>
      </c>
      <c r="Q124" s="127">
        <f t="shared" si="237"/>
        <v>0.98070679897177648</v>
      </c>
      <c r="R124" s="127">
        <f t="shared" si="237"/>
        <v>0.98751955437378358</v>
      </c>
      <c r="S124" s="127">
        <f t="shared" si="237"/>
        <v>0.97219193667284132</v>
      </c>
      <c r="T124" s="127">
        <f t="shared" si="237"/>
        <v>0.96451776952668777</v>
      </c>
      <c r="U124" s="127">
        <f t="shared" si="237"/>
        <v>0.9644069193858309</v>
      </c>
      <c r="V124" s="127">
        <f t="shared" si="237"/>
        <v>0.95775302228853265</v>
      </c>
      <c r="W124" s="127">
        <f t="shared" ref="W124:Y124" si="238">IF(W23=0,0,W23/W$21)</f>
        <v>0.96864302143316772</v>
      </c>
      <c r="X124" s="127">
        <f t="shared" si="238"/>
        <v>0.99061381787517955</v>
      </c>
      <c r="Y124" s="127">
        <f t="shared" si="238"/>
        <v>0.99296825877726058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526.15365434221826</v>
      </c>
      <c r="C4" s="146">
        <f t="shared" ref="C4:V4" si="0">SUM(C5,C8)</f>
        <v>498.89656061908846</v>
      </c>
      <c r="D4" s="146">
        <f t="shared" si="0"/>
        <v>505.99028374892521</v>
      </c>
      <c r="E4" s="146">
        <f t="shared" si="0"/>
        <v>523.98968185726562</v>
      </c>
      <c r="F4" s="146">
        <f t="shared" si="0"/>
        <v>501.27540842648324</v>
      </c>
      <c r="G4" s="146">
        <f t="shared" si="0"/>
        <v>492.24703353396387</v>
      </c>
      <c r="H4" s="146">
        <f t="shared" si="0"/>
        <v>490.22639724849529</v>
      </c>
      <c r="I4" s="146">
        <f t="shared" si="0"/>
        <v>485.85554600171963</v>
      </c>
      <c r="J4" s="146">
        <f t="shared" si="0"/>
        <v>462.02347377472051</v>
      </c>
      <c r="K4" s="146">
        <f t="shared" si="0"/>
        <v>444.45399828030958</v>
      </c>
      <c r="L4" s="146">
        <f t="shared" si="0"/>
        <v>457.99656061908854</v>
      </c>
      <c r="M4" s="146">
        <f t="shared" si="0"/>
        <v>449.74204643164228</v>
      </c>
      <c r="N4" s="146">
        <f t="shared" si="0"/>
        <v>467.23989681857267</v>
      </c>
      <c r="O4" s="146">
        <f t="shared" si="0"/>
        <v>471.42450558899395</v>
      </c>
      <c r="P4" s="146">
        <f t="shared" si="0"/>
        <v>445.6577815993121</v>
      </c>
      <c r="Q4" s="146">
        <f t="shared" si="0"/>
        <v>461.42158211521922</v>
      </c>
      <c r="R4" s="146">
        <f t="shared" si="0"/>
        <v>483.53396388650037</v>
      </c>
      <c r="S4" s="146">
        <f t="shared" si="0"/>
        <v>507.76663800515911</v>
      </c>
      <c r="T4" s="146">
        <f t="shared" si="0"/>
        <v>534.99802235597576</v>
      </c>
      <c r="U4" s="146">
        <f t="shared" si="0"/>
        <v>520.95313843508166</v>
      </c>
      <c r="V4" s="146">
        <f t="shared" si="0"/>
        <v>443.35924333619943</v>
      </c>
      <c r="W4" s="146">
        <f t="shared" ref="W4:Y4" si="1">SUM(W5,W8)</f>
        <v>483.9055030094583</v>
      </c>
      <c r="X4" s="146">
        <f t="shared" si="1"/>
        <v>490.78297506448837</v>
      </c>
      <c r="Y4" s="146">
        <f t="shared" si="1"/>
        <v>543.24918314703348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139.39527085124669</v>
      </c>
      <c r="C5" s="101">
        <f t="shared" ref="C5:V5" si="2">SUM(C6:C7)</f>
        <v>121.0805674978504</v>
      </c>
      <c r="D5" s="101">
        <f t="shared" si="2"/>
        <v>124.1330180567498</v>
      </c>
      <c r="E5" s="101">
        <f t="shared" si="2"/>
        <v>134.30782459157351</v>
      </c>
      <c r="F5" s="101">
        <f t="shared" si="2"/>
        <v>117.0105760963027</v>
      </c>
      <c r="G5" s="101">
        <f t="shared" si="2"/>
        <v>98.695872742906275</v>
      </c>
      <c r="H5" s="101">
        <f t="shared" si="2"/>
        <v>113.9581255374033</v>
      </c>
      <c r="I5" s="101">
        <f t="shared" si="2"/>
        <v>106.8357695614789</v>
      </c>
      <c r="J5" s="101">
        <f t="shared" si="2"/>
        <v>71.22381771281168</v>
      </c>
      <c r="K5" s="101">
        <f t="shared" si="2"/>
        <v>61.049011177987957</v>
      </c>
      <c r="L5" s="101">
        <f t="shared" si="2"/>
        <v>64.101461736887359</v>
      </c>
      <c r="M5" s="101">
        <f t="shared" si="2"/>
        <v>45.786758383490969</v>
      </c>
      <c r="N5" s="101">
        <f t="shared" si="2"/>
        <v>54.944110060189161</v>
      </c>
      <c r="O5" s="101">
        <f t="shared" si="2"/>
        <v>38.664402407566627</v>
      </c>
      <c r="P5" s="101">
        <f t="shared" si="2"/>
        <v>18.314703353396389</v>
      </c>
      <c r="Q5" s="101">
        <f t="shared" si="2"/>
        <v>22.38460877042132</v>
      </c>
      <c r="R5" s="101">
        <f t="shared" si="2"/>
        <v>15.262252794496989</v>
      </c>
      <c r="S5" s="101">
        <f t="shared" si="2"/>
        <v>33.576956147893377</v>
      </c>
      <c r="T5" s="101">
        <f t="shared" si="2"/>
        <v>44.769303525365437</v>
      </c>
      <c r="U5" s="101">
        <f t="shared" si="2"/>
        <v>43.751762682717107</v>
      </c>
      <c r="V5" s="101">
        <f t="shared" si="2"/>
        <v>44.117110920034392</v>
      </c>
      <c r="W5" s="101">
        <f t="shared" ref="W5:Y5" si="3">SUM(W6:W7)</f>
        <v>38.144453998280312</v>
      </c>
      <c r="X5" s="101">
        <f t="shared" si="3"/>
        <v>11.321582115219259</v>
      </c>
      <c r="Y5" s="101">
        <f t="shared" si="3"/>
        <v>11.940326741186588</v>
      </c>
      <c r="DA5" s="175"/>
    </row>
    <row r="6" spans="1:105" ht="11.45" customHeight="1" x14ac:dyDescent="0.25">
      <c r="A6" s="164" t="s">
        <v>175</v>
      </c>
      <c r="B6" s="165">
        <v>139.39527085124669</v>
      </c>
      <c r="C6" s="165">
        <v>121.0805674978504</v>
      </c>
      <c r="D6" s="165">
        <v>124.1330180567498</v>
      </c>
      <c r="E6" s="165">
        <v>134.30782459157351</v>
      </c>
      <c r="F6" s="165">
        <v>117.0105760963027</v>
      </c>
      <c r="G6" s="165">
        <v>98.695872742906275</v>
      </c>
      <c r="H6" s="165">
        <v>113.9581255374033</v>
      </c>
      <c r="I6" s="165">
        <v>106.8357695614789</v>
      </c>
      <c r="J6" s="165">
        <v>71.22381771281168</v>
      </c>
      <c r="K6" s="165">
        <v>61.049011177987957</v>
      </c>
      <c r="L6" s="165">
        <v>64.101461736887359</v>
      </c>
      <c r="M6" s="165">
        <v>45.786758383490969</v>
      </c>
      <c r="N6" s="165">
        <v>54.944110060189161</v>
      </c>
      <c r="O6" s="165">
        <v>38.664402407566627</v>
      </c>
      <c r="P6" s="165">
        <v>18.314703353396389</v>
      </c>
      <c r="Q6" s="165">
        <v>22.38460877042132</v>
      </c>
      <c r="R6" s="165">
        <v>15.262252794496989</v>
      </c>
      <c r="S6" s="165">
        <v>33.576956147893377</v>
      </c>
      <c r="T6" s="165">
        <v>44.769303525365437</v>
      </c>
      <c r="U6" s="165">
        <v>43.751762682717107</v>
      </c>
      <c r="V6" s="165">
        <v>44.117110920034392</v>
      </c>
      <c r="W6" s="165">
        <v>38.144453998280312</v>
      </c>
      <c r="X6" s="165">
        <v>11.321582115219259</v>
      </c>
      <c r="Y6" s="165">
        <v>11.922871883061051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1.74548581255374E-2</v>
      </c>
      <c r="DA7" s="177" t="s">
        <v>1105</v>
      </c>
    </row>
    <row r="8" spans="1:105" ht="11.45" customHeight="1" x14ac:dyDescent="0.25">
      <c r="A8" s="85" t="s">
        <v>91</v>
      </c>
      <c r="B8" s="88">
        <v>386.7583834909716</v>
      </c>
      <c r="C8" s="88">
        <v>377.81599312123808</v>
      </c>
      <c r="D8" s="88">
        <v>381.85726569217542</v>
      </c>
      <c r="E8" s="88">
        <v>389.68185726569209</v>
      </c>
      <c r="F8" s="88">
        <v>384.26483233018052</v>
      </c>
      <c r="G8" s="88">
        <v>393.55116079105761</v>
      </c>
      <c r="H8" s="88">
        <v>376.26827171109198</v>
      </c>
      <c r="I8" s="88">
        <v>379.01977644024072</v>
      </c>
      <c r="J8" s="88">
        <v>390.79965606190882</v>
      </c>
      <c r="K8" s="88">
        <v>383.40498710232163</v>
      </c>
      <c r="L8" s="88">
        <v>393.89509888220118</v>
      </c>
      <c r="M8" s="88">
        <v>403.95528804815132</v>
      </c>
      <c r="N8" s="88">
        <v>412.29578675838349</v>
      </c>
      <c r="O8" s="88">
        <v>432.76010318142733</v>
      </c>
      <c r="P8" s="88">
        <v>427.34307824591571</v>
      </c>
      <c r="Q8" s="88">
        <v>439.0369733447979</v>
      </c>
      <c r="R8" s="88">
        <v>468.27171109200339</v>
      </c>
      <c r="S8" s="88">
        <v>474.18968185726573</v>
      </c>
      <c r="T8" s="88">
        <v>490.22871883061038</v>
      </c>
      <c r="U8" s="88">
        <v>477.20137575236453</v>
      </c>
      <c r="V8" s="88">
        <v>399.24213241616502</v>
      </c>
      <c r="W8" s="88">
        <v>445.76104901117799</v>
      </c>
      <c r="X8" s="88">
        <v>479.46139294926911</v>
      </c>
      <c r="Y8" s="88">
        <v>531.30885640584688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526.15365434221826</v>
      </c>
      <c r="C10" s="62">
        <f t="shared" ref="C10:V10" si="5">SUM(C11,C17)</f>
        <v>498.8965606190884</v>
      </c>
      <c r="D10" s="62">
        <f t="shared" si="5"/>
        <v>505.99028374892521</v>
      </c>
      <c r="E10" s="62">
        <f t="shared" si="5"/>
        <v>523.98968185726562</v>
      </c>
      <c r="F10" s="62">
        <f t="shared" si="5"/>
        <v>501.27540842648318</v>
      </c>
      <c r="G10" s="62">
        <f t="shared" si="5"/>
        <v>492.24703353396387</v>
      </c>
      <c r="H10" s="62">
        <f t="shared" si="5"/>
        <v>490.22639724849523</v>
      </c>
      <c r="I10" s="62">
        <f t="shared" si="5"/>
        <v>485.85554600171963</v>
      </c>
      <c r="J10" s="62">
        <f t="shared" si="5"/>
        <v>462.0234737747204</v>
      </c>
      <c r="K10" s="62">
        <f t="shared" si="5"/>
        <v>444.45399828030958</v>
      </c>
      <c r="L10" s="62">
        <f t="shared" si="5"/>
        <v>457.99656061908848</v>
      </c>
      <c r="M10" s="62">
        <f t="shared" si="5"/>
        <v>449.74204643164222</v>
      </c>
      <c r="N10" s="62">
        <f t="shared" si="5"/>
        <v>467.23989681857267</v>
      </c>
      <c r="O10" s="62">
        <f t="shared" si="5"/>
        <v>471.42450558899401</v>
      </c>
      <c r="P10" s="62">
        <f t="shared" si="5"/>
        <v>445.65778159931199</v>
      </c>
      <c r="Q10" s="62">
        <f t="shared" si="5"/>
        <v>461.42158211521928</v>
      </c>
      <c r="R10" s="62">
        <f t="shared" si="5"/>
        <v>483.53396388650043</v>
      </c>
      <c r="S10" s="62">
        <f t="shared" si="5"/>
        <v>507.76663800515917</v>
      </c>
      <c r="T10" s="62">
        <f t="shared" si="5"/>
        <v>534.99802235597576</v>
      </c>
      <c r="U10" s="62">
        <f t="shared" si="5"/>
        <v>520.95313843508166</v>
      </c>
      <c r="V10" s="62">
        <f t="shared" si="5"/>
        <v>443.35924333619943</v>
      </c>
      <c r="W10" s="62">
        <f t="shared" ref="W10:Y10" si="6">SUM(W11,W17)</f>
        <v>483.9055030094583</v>
      </c>
      <c r="X10" s="62">
        <f t="shared" si="6"/>
        <v>490.78297506448837</v>
      </c>
      <c r="Y10" s="62">
        <f t="shared" si="6"/>
        <v>543.24918314703348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455.29152163947532</v>
      </c>
      <c r="C11" s="29">
        <f t="shared" ref="C11:V11" si="8">SUM(C12,C13,C16)</f>
        <v>434.37300297149011</v>
      </c>
      <c r="D11" s="29">
        <f t="shared" si="8"/>
        <v>444.74543202600461</v>
      </c>
      <c r="E11" s="29">
        <f t="shared" si="8"/>
        <v>461.14145343097181</v>
      </c>
      <c r="F11" s="29">
        <f t="shared" si="8"/>
        <v>432.35181021863798</v>
      </c>
      <c r="G11" s="29">
        <f t="shared" si="8"/>
        <v>425.44678726705177</v>
      </c>
      <c r="H11" s="29">
        <f t="shared" si="8"/>
        <v>415.76964682909954</v>
      </c>
      <c r="I11" s="29">
        <f t="shared" si="8"/>
        <v>408.1821747156535</v>
      </c>
      <c r="J11" s="29">
        <f t="shared" si="8"/>
        <v>388.62458226126091</v>
      </c>
      <c r="K11" s="29">
        <f t="shared" si="8"/>
        <v>394.04417270453706</v>
      </c>
      <c r="L11" s="29">
        <f t="shared" si="8"/>
        <v>406.71796618792638</v>
      </c>
      <c r="M11" s="29">
        <f t="shared" si="8"/>
        <v>395.79523729330026</v>
      </c>
      <c r="N11" s="29">
        <f t="shared" si="8"/>
        <v>411.82319538042208</v>
      </c>
      <c r="O11" s="29">
        <f t="shared" si="8"/>
        <v>417.82374235042676</v>
      </c>
      <c r="P11" s="29">
        <f t="shared" si="8"/>
        <v>393.88035240006474</v>
      </c>
      <c r="Q11" s="29">
        <f t="shared" si="8"/>
        <v>409.81216123163279</v>
      </c>
      <c r="R11" s="29">
        <f t="shared" si="8"/>
        <v>426.47300670682137</v>
      </c>
      <c r="S11" s="29">
        <f t="shared" si="8"/>
        <v>448.40927789024965</v>
      </c>
      <c r="T11" s="29">
        <f t="shared" si="8"/>
        <v>475.05705130135374</v>
      </c>
      <c r="U11" s="29">
        <f t="shared" si="8"/>
        <v>457.96831119490361</v>
      </c>
      <c r="V11" s="29">
        <f t="shared" si="8"/>
        <v>381.63639417882007</v>
      </c>
      <c r="W11" s="29">
        <f t="shared" ref="W11:Y11" si="9">SUM(W12,W13,W16)</f>
        <v>401.09960457356397</v>
      </c>
      <c r="X11" s="29">
        <f t="shared" si="9"/>
        <v>413.3920159558831</v>
      </c>
      <c r="Y11" s="29">
        <f t="shared" si="9"/>
        <v>443.68963694948241</v>
      </c>
      <c r="DA11" s="173" t="s">
        <v>395</v>
      </c>
    </row>
    <row r="12" spans="1:105" ht="11.45" customHeight="1" x14ac:dyDescent="0.25">
      <c r="A12" s="107" t="s">
        <v>23</v>
      </c>
      <c r="B12" s="115">
        <v>24.334201197155874</v>
      </c>
      <c r="C12" s="115">
        <v>24.163754337655149</v>
      </c>
      <c r="D12" s="115">
        <v>25.010221327443144</v>
      </c>
      <c r="E12" s="115">
        <v>25.507100548594988</v>
      </c>
      <c r="F12" s="115">
        <v>26.236306887391059</v>
      </c>
      <c r="G12" s="115">
        <v>26.021846325317107</v>
      </c>
      <c r="H12" s="115">
        <v>26.465690674074214</v>
      </c>
      <c r="I12" s="115">
        <v>28.350551429913263</v>
      </c>
      <c r="J12" s="115">
        <v>28.627288648637627</v>
      </c>
      <c r="K12" s="115">
        <v>28.772838752020292</v>
      </c>
      <c r="L12" s="115">
        <v>28.786484547643145</v>
      </c>
      <c r="M12" s="115">
        <v>28.426384269889887</v>
      </c>
      <c r="N12" s="115">
        <v>25.780755563318984</v>
      </c>
      <c r="O12" s="115">
        <v>25.66039605732788</v>
      </c>
      <c r="P12" s="115">
        <v>25.176443812412654</v>
      </c>
      <c r="Q12" s="115">
        <v>25.107921764074838</v>
      </c>
      <c r="R12" s="115">
        <v>25.273416910382085</v>
      </c>
      <c r="S12" s="115">
        <v>26.052338137181572</v>
      </c>
      <c r="T12" s="115">
        <v>25.730061546210443</v>
      </c>
      <c r="U12" s="115">
        <v>26.688138692484458</v>
      </c>
      <c r="V12" s="115">
        <v>21.790396345580685</v>
      </c>
      <c r="W12" s="115">
        <v>23.220650131192528</v>
      </c>
      <c r="X12" s="115">
        <v>29.931044594724909</v>
      </c>
      <c r="Y12" s="115">
        <v>18.744847960694781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397.70900689650585</v>
      </c>
      <c r="C13" s="116">
        <f t="shared" ref="C13:V13" si="11">SUM(C14:C15)</f>
        <v>366.45892482040409</v>
      </c>
      <c r="D13" s="116">
        <f t="shared" si="11"/>
        <v>374.44647920952139</v>
      </c>
      <c r="E13" s="116">
        <f t="shared" si="11"/>
        <v>389.3643583482019</v>
      </c>
      <c r="F13" s="116">
        <f t="shared" si="11"/>
        <v>358.49731681117106</v>
      </c>
      <c r="G13" s="116">
        <f t="shared" si="11"/>
        <v>351.36426428942241</v>
      </c>
      <c r="H13" s="116">
        <f t="shared" si="11"/>
        <v>341.28808757251562</v>
      </c>
      <c r="I13" s="116">
        <f t="shared" si="11"/>
        <v>335.18118699186721</v>
      </c>
      <c r="J13" s="116">
        <f t="shared" si="11"/>
        <v>314.49266092520338</v>
      </c>
      <c r="K13" s="116">
        <f t="shared" si="11"/>
        <v>309.86171892182864</v>
      </c>
      <c r="L13" s="116">
        <f t="shared" si="11"/>
        <v>318.01351653826043</v>
      </c>
      <c r="M13" s="116">
        <f t="shared" si="11"/>
        <v>304.73510665460776</v>
      </c>
      <c r="N13" s="116">
        <f t="shared" si="11"/>
        <v>323.62565490378375</v>
      </c>
      <c r="O13" s="116">
        <f t="shared" si="11"/>
        <v>330.4669030885255</v>
      </c>
      <c r="P13" s="116">
        <f t="shared" si="11"/>
        <v>308.61465499151234</v>
      </c>
      <c r="Q13" s="116">
        <f t="shared" si="11"/>
        <v>325.1353015561449</v>
      </c>
      <c r="R13" s="116">
        <f t="shared" si="11"/>
        <v>342.0179298155183</v>
      </c>
      <c r="S13" s="116">
        <f t="shared" si="11"/>
        <v>363.48223473176995</v>
      </c>
      <c r="T13" s="116">
        <f t="shared" si="11"/>
        <v>390.66789691501663</v>
      </c>
      <c r="U13" s="116">
        <f t="shared" si="11"/>
        <v>368.08467086266876</v>
      </c>
      <c r="V13" s="116">
        <f t="shared" si="11"/>
        <v>302.10002189488773</v>
      </c>
      <c r="W13" s="116">
        <f t="shared" ref="W13:Y13" si="12">SUM(W14:W15)</f>
        <v>315.14338303279368</v>
      </c>
      <c r="X13" s="116">
        <f t="shared" si="12"/>
        <v>324.91873933507759</v>
      </c>
      <c r="Y13" s="116">
        <f t="shared" si="12"/>
        <v>367.97129901885734</v>
      </c>
      <c r="DA13" s="176" t="s">
        <v>397</v>
      </c>
    </row>
    <row r="14" spans="1:105" ht="11.45" customHeight="1" x14ac:dyDescent="0.25">
      <c r="A14" s="111" t="s">
        <v>95</v>
      </c>
      <c r="B14" s="87">
        <v>132.74330569954947</v>
      </c>
      <c r="C14" s="87">
        <v>116.01337938221108</v>
      </c>
      <c r="D14" s="87">
        <v>119.31799355469667</v>
      </c>
      <c r="E14" s="87">
        <v>129.10734266687868</v>
      </c>
      <c r="F14" s="87">
        <v>110.64158859367474</v>
      </c>
      <c r="G14" s="87">
        <v>94.632663650247167</v>
      </c>
      <c r="H14" s="87">
        <v>96.750882484929377</v>
      </c>
      <c r="I14" s="87">
        <v>85.433137481773215</v>
      </c>
      <c r="J14" s="87">
        <v>49.116820117738754</v>
      </c>
      <c r="K14" s="87">
        <v>48.980320308417561</v>
      </c>
      <c r="L14" s="87">
        <v>53.035810248991879</v>
      </c>
      <c r="M14" s="87">
        <v>39.264109751248768</v>
      </c>
      <c r="N14" s="87">
        <v>48.54925155551183</v>
      </c>
      <c r="O14" s="87">
        <v>34.235913115624271</v>
      </c>
      <c r="P14" s="87">
        <v>16.101759769970382</v>
      </c>
      <c r="Q14" s="87">
        <v>19.710219433435736</v>
      </c>
      <c r="R14" s="87">
        <v>13.325665748730156</v>
      </c>
      <c r="S14" s="87">
        <v>29.24346540920283</v>
      </c>
      <c r="T14" s="87">
        <v>39.316860696401164</v>
      </c>
      <c r="U14" s="87">
        <v>38.078962517900294</v>
      </c>
      <c r="V14" s="87">
        <v>37.649313910256282</v>
      </c>
      <c r="W14" s="87">
        <v>31.641635104660722</v>
      </c>
      <c r="X14" s="87">
        <v>9.4490182718357687</v>
      </c>
      <c r="Y14" s="87">
        <v>10.136778253530929</v>
      </c>
      <c r="DA14" s="171" t="s">
        <v>1108</v>
      </c>
    </row>
    <row r="15" spans="1:105" ht="11.45" customHeight="1" x14ac:dyDescent="0.25">
      <c r="A15" s="111" t="s">
        <v>93</v>
      </c>
      <c r="B15" s="87">
        <v>264.96570119695639</v>
      </c>
      <c r="C15" s="87">
        <v>250.44554543819299</v>
      </c>
      <c r="D15" s="87">
        <v>255.12848565482474</v>
      </c>
      <c r="E15" s="87">
        <v>260.2570156813232</v>
      </c>
      <c r="F15" s="87">
        <v>247.85572821749633</v>
      </c>
      <c r="G15" s="87">
        <v>256.73160063917527</v>
      </c>
      <c r="H15" s="87">
        <v>244.53720508758624</v>
      </c>
      <c r="I15" s="87">
        <v>249.74804951009398</v>
      </c>
      <c r="J15" s="87">
        <v>265.37584080746461</v>
      </c>
      <c r="K15" s="87">
        <v>260.88139861341108</v>
      </c>
      <c r="L15" s="87">
        <v>264.97770628926855</v>
      </c>
      <c r="M15" s="87">
        <v>265.47099690335898</v>
      </c>
      <c r="N15" s="87">
        <v>275.07640334827192</v>
      </c>
      <c r="O15" s="87">
        <v>296.23098997290123</v>
      </c>
      <c r="P15" s="87">
        <v>292.51289522154195</v>
      </c>
      <c r="Q15" s="87">
        <v>305.42508212270917</v>
      </c>
      <c r="R15" s="87">
        <v>328.69226406678814</v>
      </c>
      <c r="S15" s="87">
        <v>334.23876932256712</v>
      </c>
      <c r="T15" s="87">
        <v>351.35103621861549</v>
      </c>
      <c r="U15" s="87">
        <v>330.00570834476844</v>
      </c>
      <c r="V15" s="87">
        <v>264.45070798463144</v>
      </c>
      <c r="W15" s="87">
        <v>283.50174792813294</v>
      </c>
      <c r="X15" s="87">
        <v>315.46972106324182</v>
      </c>
      <c r="Y15" s="87">
        <v>357.83452076532643</v>
      </c>
      <c r="DA15" s="171" t="s">
        <v>1109</v>
      </c>
    </row>
    <row r="16" spans="1:105" ht="11.45" customHeight="1" x14ac:dyDescent="0.25">
      <c r="A16" s="112" t="s">
        <v>25</v>
      </c>
      <c r="B16" s="117">
        <v>33.248313545813552</v>
      </c>
      <c r="C16" s="117">
        <v>43.750323813430924</v>
      </c>
      <c r="D16" s="117">
        <v>45.288731489040053</v>
      </c>
      <c r="E16" s="117">
        <v>46.269994534174955</v>
      </c>
      <c r="F16" s="117">
        <v>47.618186520075902</v>
      </c>
      <c r="G16" s="117">
        <v>48.06067665231226</v>
      </c>
      <c r="H16" s="117">
        <v>48.015868582509711</v>
      </c>
      <c r="I16" s="117">
        <v>44.650436293873028</v>
      </c>
      <c r="J16" s="117">
        <v>45.504632687419942</v>
      </c>
      <c r="K16" s="117">
        <v>55.409615030688151</v>
      </c>
      <c r="L16" s="117">
        <v>59.917965102022798</v>
      </c>
      <c r="M16" s="117">
        <v>62.633746368802655</v>
      </c>
      <c r="N16" s="117">
        <v>62.41678491331934</v>
      </c>
      <c r="O16" s="117">
        <v>61.696443204573356</v>
      </c>
      <c r="P16" s="117">
        <v>60.089253596139791</v>
      </c>
      <c r="Q16" s="117">
        <v>59.568937911413052</v>
      </c>
      <c r="R16" s="117">
        <v>59.181659980920955</v>
      </c>
      <c r="S16" s="117">
        <v>58.874705021298141</v>
      </c>
      <c r="T16" s="117">
        <v>58.659092840126675</v>
      </c>
      <c r="U16" s="117">
        <v>63.195501639750397</v>
      </c>
      <c r="V16" s="117">
        <v>57.745975938351656</v>
      </c>
      <c r="W16" s="117">
        <v>62.735571409577759</v>
      </c>
      <c r="X16" s="117">
        <v>58.542232026080633</v>
      </c>
      <c r="Y16" s="117">
        <v>56.973489969930284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70.862132702742969</v>
      </c>
      <c r="C17" s="29">
        <f t="shared" si="13"/>
        <v>64.523557647598295</v>
      </c>
      <c r="D17" s="29">
        <f t="shared" si="13"/>
        <v>61.244851722920622</v>
      </c>
      <c r="E17" s="29">
        <f t="shared" si="13"/>
        <v>62.848228426293844</v>
      </c>
      <c r="F17" s="29">
        <f t="shared" si="13"/>
        <v>68.923598207845203</v>
      </c>
      <c r="G17" s="29">
        <f t="shared" si="13"/>
        <v>66.800246266912097</v>
      </c>
      <c r="H17" s="29">
        <f t="shared" si="13"/>
        <v>74.456750419395689</v>
      </c>
      <c r="I17" s="29">
        <f t="shared" si="13"/>
        <v>77.673371286066129</v>
      </c>
      <c r="J17" s="29">
        <f t="shared" si="13"/>
        <v>73.398891513459489</v>
      </c>
      <c r="K17" s="29">
        <f t="shared" si="13"/>
        <v>50.409825575772537</v>
      </c>
      <c r="L17" s="29">
        <f t="shared" si="13"/>
        <v>51.278594431162091</v>
      </c>
      <c r="M17" s="29">
        <f t="shared" si="13"/>
        <v>53.946809138341948</v>
      </c>
      <c r="N17" s="29">
        <f t="shared" si="13"/>
        <v>55.416701438150568</v>
      </c>
      <c r="O17" s="29">
        <f t="shared" si="13"/>
        <v>53.600763238567268</v>
      </c>
      <c r="P17" s="29">
        <f t="shared" si="13"/>
        <v>51.777429199247266</v>
      </c>
      <c r="Q17" s="29">
        <f t="shared" si="13"/>
        <v>51.60942088358648</v>
      </c>
      <c r="R17" s="29">
        <f t="shared" si="13"/>
        <v>57.06095717967905</v>
      </c>
      <c r="S17" s="29">
        <f t="shared" si="13"/>
        <v>59.357360114909483</v>
      </c>
      <c r="T17" s="29">
        <f t="shared" si="13"/>
        <v>59.940971054622032</v>
      </c>
      <c r="U17" s="29">
        <f t="shared" si="13"/>
        <v>62.984827240177992</v>
      </c>
      <c r="V17" s="29">
        <f t="shared" si="13"/>
        <v>61.722849157379343</v>
      </c>
      <c r="W17" s="29">
        <f t="shared" si="13"/>
        <v>82.805898435894349</v>
      </c>
      <c r="X17" s="29">
        <f t="shared" ref="X17:Y17" si="14">SUM(X18:X19)</f>
        <v>77.390959108605287</v>
      </c>
      <c r="Y17" s="29">
        <f t="shared" si="14"/>
        <v>99.559546197551057</v>
      </c>
      <c r="DA17" s="173" t="s">
        <v>402</v>
      </c>
    </row>
    <row r="18" spans="1:105" ht="11.45" customHeight="1" x14ac:dyDescent="0.25">
      <c r="A18" s="83" t="s">
        <v>95</v>
      </c>
      <c r="B18" s="87">
        <v>6.6519651516972136</v>
      </c>
      <c r="C18" s="87">
        <v>5.0671881156393139</v>
      </c>
      <c r="D18" s="87">
        <v>4.8150245020531299</v>
      </c>
      <c r="E18" s="87">
        <v>5.2004819246948237</v>
      </c>
      <c r="F18" s="87">
        <v>6.3689875026279585</v>
      </c>
      <c r="G18" s="87">
        <v>4.0632090926591076</v>
      </c>
      <c r="H18" s="87">
        <v>17.207243052473927</v>
      </c>
      <c r="I18" s="87">
        <v>21.40263207970569</v>
      </c>
      <c r="J18" s="87">
        <v>22.106997595072926</v>
      </c>
      <c r="K18" s="87">
        <v>12.068690869570394</v>
      </c>
      <c r="L18" s="87">
        <v>11.065651487895479</v>
      </c>
      <c r="M18" s="87">
        <v>6.5226486322421984</v>
      </c>
      <c r="N18" s="87">
        <v>6.3948585046773214</v>
      </c>
      <c r="O18" s="87">
        <v>4.4284892919423564</v>
      </c>
      <c r="P18" s="87">
        <v>2.2129435834260076</v>
      </c>
      <c r="Q18" s="87">
        <v>2.6743893369855831</v>
      </c>
      <c r="R18" s="87">
        <v>1.9365870457668339</v>
      </c>
      <c r="S18" s="87">
        <v>4.3334907386905464</v>
      </c>
      <c r="T18" s="87">
        <v>5.4524428289642701</v>
      </c>
      <c r="U18" s="87">
        <v>5.6728001648168114</v>
      </c>
      <c r="V18" s="87">
        <v>6.4677970097781099</v>
      </c>
      <c r="W18" s="87">
        <v>6.5028188936195859</v>
      </c>
      <c r="X18" s="87">
        <v>1.8725638433834906</v>
      </c>
      <c r="Y18" s="87">
        <v>1.80354848765566</v>
      </c>
      <c r="DA18" s="171" t="s">
        <v>1110</v>
      </c>
    </row>
    <row r="19" spans="1:105" ht="11.45" customHeight="1" x14ac:dyDescent="0.25">
      <c r="A19" s="85" t="s">
        <v>93</v>
      </c>
      <c r="B19" s="88">
        <v>64.210167551045757</v>
      </c>
      <c r="C19" s="88">
        <v>59.456369531958984</v>
      </c>
      <c r="D19" s="88">
        <v>56.429827220867494</v>
      </c>
      <c r="E19" s="88">
        <v>57.647746501599016</v>
      </c>
      <c r="F19" s="88">
        <v>62.55461070521725</v>
      </c>
      <c r="G19" s="88">
        <v>62.737037174252997</v>
      </c>
      <c r="H19" s="88">
        <v>57.249507366921762</v>
      </c>
      <c r="I19" s="88">
        <v>56.270739206360439</v>
      </c>
      <c r="J19" s="88">
        <v>51.29189391838657</v>
      </c>
      <c r="K19" s="88">
        <v>38.341134706202141</v>
      </c>
      <c r="L19" s="88">
        <v>40.212942943266611</v>
      </c>
      <c r="M19" s="88">
        <v>47.424160506099746</v>
      </c>
      <c r="N19" s="88">
        <v>49.021842933473245</v>
      </c>
      <c r="O19" s="88">
        <v>49.172273946624912</v>
      </c>
      <c r="P19" s="88">
        <v>49.564485615821255</v>
      </c>
      <c r="Q19" s="88">
        <v>48.935031546600896</v>
      </c>
      <c r="R19" s="88">
        <v>55.124370133912215</v>
      </c>
      <c r="S19" s="88">
        <v>55.023869376218933</v>
      </c>
      <c r="T19" s="88">
        <v>54.48852822565776</v>
      </c>
      <c r="U19" s="88">
        <v>57.312027075361179</v>
      </c>
      <c r="V19" s="88">
        <v>55.255052147601234</v>
      </c>
      <c r="W19" s="88">
        <v>76.303079542274759</v>
      </c>
      <c r="X19" s="88">
        <v>75.518395265221798</v>
      </c>
      <c r="Y19" s="88">
        <v>97.755997709895396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147.18631527479118</v>
      </c>
      <c r="C23" s="62">
        <f>IF(C10=0,0,C10/TrRail_act!C14*100)</f>
        <v>143.78872691830603</v>
      </c>
      <c r="D23" s="62">
        <f>IF(D10=0,0,D10/TrRail_act!D14*100)</f>
        <v>141.72081130444991</v>
      </c>
      <c r="E23" s="62">
        <f>IF(E10=0,0,E10/TrRail_act!E14*100)</f>
        <v>139.70150831348448</v>
      </c>
      <c r="F23" s="62">
        <f>IF(F10=0,0,F10/TrRail_act!F14*100)</f>
        <v>136.35257263751194</v>
      </c>
      <c r="G23" s="62">
        <f>IF(G10=0,0,G10/TrRail_act!G14*100)</f>
        <v>131.85913715995525</v>
      </c>
      <c r="H23" s="62">
        <f>IF(H10=0,0,H10/TrRail_act!H14*100)</f>
        <v>131.61509993911613</v>
      </c>
      <c r="I23" s="62">
        <f>IF(I10=0,0,I10/TrRail_act!I14*100)</f>
        <v>127.29898385481853</v>
      </c>
      <c r="J23" s="62">
        <f>IF(J10=0,0,J10/TrRail_act!J14*100)</f>
        <v>121.248375332599</v>
      </c>
      <c r="K23" s="62">
        <f>IF(K10=0,0,K10/TrRail_act!K14*100)</f>
        <v>119.01732164915626</v>
      </c>
      <c r="L23" s="62">
        <f>IF(L10=0,0,L10/TrRail_act!L14*100)</f>
        <v>117.24003108853451</v>
      </c>
      <c r="M23" s="62">
        <f>IF(M10=0,0,M10/TrRail_act!M14*100)</f>
        <v>115.12854708880094</v>
      </c>
      <c r="N23" s="62">
        <f>IF(N10=0,0,N10/TrRail_act!N14*100)</f>
        <v>115.19519389626285</v>
      </c>
      <c r="O23" s="62">
        <f>IF(O10=0,0,O10/TrRail_act!O14*100)</f>
        <v>112.78513791039285</v>
      </c>
      <c r="P23" s="62">
        <f>IF(P10=0,0,P10/TrRail_act!P14*100)</f>
        <v>108.34799909514963</v>
      </c>
      <c r="Q23" s="62">
        <f>IF(Q10=0,0,Q10/TrRail_act!Q14*100)</f>
        <v>106.88321425920762</v>
      </c>
      <c r="R23" s="62">
        <f>IF(R10=0,0,R10/TrRail_act!R14*100)</f>
        <v>105.22447922663105</v>
      </c>
      <c r="S23" s="62">
        <f>IF(S10=0,0,S10/TrRail_act!S14*100)</f>
        <v>105.7362627519133</v>
      </c>
      <c r="T23" s="62">
        <f>IF(T10=0,0,T10/TrRail_act!T14*100)</f>
        <v>106.41086547957006</v>
      </c>
      <c r="U23" s="62">
        <f>IF(U10=0,0,U10/TrRail_act!U14*100)</f>
        <v>105.52785495867212</v>
      </c>
      <c r="V23" s="62">
        <f>IF(V10=0,0,V10/TrRail_act!V14*100)</f>
        <v>106.77483173262547</v>
      </c>
      <c r="W23" s="62">
        <f>IF(W10=0,0,W10/TrRail_act!W14*100)</f>
        <v>106.49332233157787</v>
      </c>
      <c r="X23" s="62">
        <f>IF(X10=0,0,X10/TrRail_act!X14*100)</f>
        <v>100.55352102017156</v>
      </c>
      <c r="Y23" s="62">
        <f>IF(Y10=0,0,Y10/TrRail_act!Y14*100)</f>
        <v>107.54045758932935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140.78109272939486</v>
      </c>
      <c r="C24" s="29">
        <f>IF(C11=0,0,C11/TrRail_act!C15*100)</f>
        <v>137.9586072710899</v>
      </c>
      <c r="D24" s="29">
        <f>IF(D11=0,0,D11/TrRail_act!D15*100)</f>
        <v>136.35862453468633</v>
      </c>
      <c r="E24" s="29">
        <f>IF(E11=0,0,E11/TrRail_act!E15*100)</f>
        <v>134.64764672496551</v>
      </c>
      <c r="F24" s="29">
        <f>IF(F11=0,0,F11/TrRail_act!F15*100)</f>
        <v>130.89753417276961</v>
      </c>
      <c r="G24" s="29">
        <f>IF(G11=0,0,G11/TrRail_act!G15*100)</f>
        <v>127.01709600058496</v>
      </c>
      <c r="H24" s="29">
        <f>IF(H11=0,0,H11/TrRail_act!H15*100)</f>
        <v>124.95783993071021</v>
      </c>
      <c r="I24" s="29">
        <f>IF(I11=0,0,I11/TrRail_act!I15*100)</f>
        <v>119.93257932251657</v>
      </c>
      <c r="J24" s="29">
        <f>IF(J11=0,0,J11/TrRail_act!J15*100)</f>
        <v>113.64789868007701</v>
      </c>
      <c r="K24" s="29">
        <f>IF(K11=0,0,K11/TrRail_act!K15*100)</f>
        <v>114.37536208365093</v>
      </c>
      <c r="L24" s="29">
        <f>IF(L11=0,0,L11/TrRail_act!L15*100)</f>
        <v>112.76981158278218</v>
      </c>
      <c r="M24" s="29">
        <f>IF(M11=0,0,M11/TrRail_act!M15*100)</f>
        <v>111.1227972328908</v>
      </c>
      <c r="N24" s="29">
        <f>IF(N11=0,0,N11/TrRail_act!N15*100)</f>
        <v>111.46963580876461</v>
      </c>
      <c r="O24" s="29">
        <f>IF(O11=0,0,O11/TrRail_act!O15*100)</f>
        <v>109.55567244317395</v>
      </c>
      <c r="P24" s="29">
        <f>IF(P11=0,0,P11/TrRail_act!P15*100)</f>
        <v>105.29714244622757</v>
      </c>
      <c r="Q24" s="29">
        <f>IF(Q11=0,0,Q11/TrRail_act!Q15*100)</f>
        <v>104.17471102660171</v>
      </c>
      <c r="R24" s="29">
        <f>IF(R11=0,0,R11/TrRail_act!R15*100)</f>
        <v>102.54997306173534</v>
      </c>
      <c r="S24" s="29">
        <f>IF(S11=0,0,S11/TrRail_act!S15*100)</f>
        <v>102.9486159365737</v>
      </c>
      <c r="T24" s="29">
        <f>IF(T11=0,0,T11/TrRail_act!T15*100)</f>
        <v>103.7464789053046</v>
      </c>
      <c r="U24" s="29">
        <f>IF(U11=0,0,U11/TrRail_act!U15*100)</f>
        <v>102.62901340200894</v>
      </c>
      <c r="V24" s="29">
        <f>IF(V11=0,0,V11/TrRail_act!V15*100)</f>
        <v>103.42023902091329</v>
      </c>
      <c r="W24" s="29">
        <f>IF(W11=0,0,W11/TrRail_act!W15*100)</f>
        <v>102.55003340076033</v>
      </c>
      <c r="X24" s="29">
        <f>IF(X11=0,0,X11/TrRail_act!X15*100)</f>
        <v>96.876716753782048</v>
      </c>
      <c r="Y24" s="29">
        <f>IF(Y11=0,0,Y11/TrRail_act!Y15*100)</f>
        <v>104.20330289525374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38.532993557815423</v>
      </c>
      <c r="C25" s="115">
        <f>IF(C12=0,0,C12/TrRail_act!C16*100)</f>
        <v>38.266695472725189</v>
      </c>
      <c r="D25" s="115">
        <f>IF(D12=0,0,D12/TrRail_act!D16*100)</f>
        <v>37.615057144580426</v>
      </c>
      <c r="E25" s="115">
        <f>IF(E12=0,0,E12/TrRail_act!E16*100)</f>
        <v>37.287126608106739</v>
      </c>
      <c r="F25" s="115">
        <f>IF(F12=0,0,F12/TrRail_act!F16*100)</f>
        <v>37.129788175479256</v>
      </c>
      <c r="G25" s="115">
        <f>IF(G12=0,0,G12/TrRail_act!G16*100)</f>
        <v>36.373505800278366</v>
      </c>
      <c r="H25" s="115">
        <f>IF(H12=0,0,H12/TrRail_act!H16*100)</f>
        <v>35.420742768332694</v>
      </c>
      <c r="I25" s="115">
        <f>IF(I12=0,0,I12/TrRail_act!I16*100)</f>
        <v>35.094203086401734</v>
      </c>
      <c r="J25" s="115">
        <f>IF(J12=0,0,J12/TrRail_act!J16*100)</f>
        <v>34.607748418342908</v>
      </c>
      <c r="K25" s="115">
        <f>IF(K12=0,0,K12/TrRail_act!K16*100)</f>
        <v>34.213683113847495</v>
      </c>
      <c r="L25" s="115">
        <f>IF(L12=0,0,L12/TrRail_act!L16*100)</f>
        <v>33.38108230052751</v>
      </c>
      <c r="M25" s="115">
        <f>IF(M12=0,0,M12/TrRail_act!M16*100)</f>
        <v>33.00785332688595</v>
      </c>
      <c r="N25" s="115">
        <f>IF(N12=0,0,N12/TrRail_act!N16*100)</f>
        <v>32.629767107865618</v>
      </c>
      <c r="O25" s="115">
        <f>IF(O12=0,0,O12/TrRail_act!O16*100)</f>
        <v>32.204634571610626</v>
      </c>
      <c r="P25" s="115">
        <f>IF(P12=0,0,P12/TrRail_act!P16*100)</f>
        <v>31.471853127040411</v>
      </c>
      <c r="Q25" s="115">
        <f>IF(Q12=0,0,Q12/TrRail_act!Q16*100)</f>
        <v>30.779206490793193</v>
      </c>
      <c r="R25" s="115">
        <f>IF(R12=0,0,R12/TrRail_act!R16*100)</f>
        <v>30.269743914379845</v>
      </c>
      <c r="S25" s="115">
        <f>IF(S12=0,0,S12/TrRail_act!S16*100)</f>
        <v>29.8931886209288</v>
      </c>
      <c r="T25" s="115">
        <f>IF(T12=0,0,T12/TrRail_act!T16*100)</f>
        <v>29.613849450771649</v>
      </c>
      <c r="U25" s="115">
        <f>IF(U12=0,0,U12/TrRail_act!U16*100)</f>
        <v>29.406059424378739</v>
      </c>
      <c r="V25" s="115">
        <f>IF(V12=0,0,V12/TrRail_act!V16*100)</f>
        <v>29.251174271187896</v>
      </c>
      <c r="W25" s="115">
        <f>IF(W12=0,0,W12/TrRail_act!W16*100)</f>
        <v>29.135546009267401</v>
      </c>
      <c r="X25" s="115">
        <f>IF(X12=0,0,X12/TrRail_act!X16*100)</f>
        <v>29.049124864145941</v>
      </c>
      <c r="Y25" s="115">
        <f>IF(Y12=0,0,Y12/TrRail_act!Y16*100)</f>
        <v>28.984477272232066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161.96811081760032</v>
      </c>
      <c r="C26" s="116">
        <f>IF(C13=0,0,C13/TrRail_act!C17*100)</f>
        <v>157.84841948427828</v>
      </c>
      <c r="D26" s="116">
        <f>IF(D13=0,0,D13/TrRail_act!D17*100)</f>
        <v>156.53795375748953</v>
      </c>
      <c r="E26" s="116">
        <f>IF(E13=0,0,E13/TrRail_act!E17*100)</f>
        <v>154.14968042113054</v>
      </c>
      <c r="F26" s="116">
        <f>IF(F13=0,0,F13/TrRail_act!F17*100)</f>
        <v>151.44092861884013</v>
      </c>
      <c r="G26" s="116">
        <f>IF(G13=0,0,G13/TrRail_act!G17*100)</f>
        <v>147.20398070314243</v>
      </c>
      <c r="H26" s="116">
        <f>IF(H13=0,0,H13/TrRail_act!H17*100)</f>
        <v>146.69285363004408</v>
      </c>
      <c r="I26" s="116">
        <f>IF(I13=0,0,I13/TrRail_act!I17*100)</f>
        <v>142.92167825349068</v>
      </c>
      <c r="J26" s="116">
        <f>IF(J13=0,0,J13/TrRail_act!J17*100)</f>
        <v>134.70641366873002</v>
      </c>
      <c r="K26" s="116">
        <f>IF(K13=0,0,K13/TrRail_act!K17*100)</f>
        <v>135.1805984496155</v>
      </c>
      <c r="L26" s="116">
        <f>IF(L13=0,0,L13/TrRail_act!L17*100)</f>
        <v>132.07352016767868</v>
      </c>
      <c r="M26" s="116">
        <f>IF(M13=0,0,M13/TrRail_act!M17*100)</f>
        <v>129.97576312796701</v>
      </c>
      <c r="N26" s="116">
        <f>IF(N13=0,0,N13/TrRail_act!N17*100)</f>
        <v>127.73602934842701</v>
      </c>
      <c r="O26" s="116">
        <f>IF(O13=0,0,O13/TrRail_act!O17*100)</f>
        <v>124.88485431986179</v>
      </c>
      <c r="P26" s="116">
        <f>IF(P13=0,0,P13/TrRail_act!P17*100)</f>
        <v>120.09050571733309</v>
      </c>
      <c r="Q26" s="116">
        <f>IF(Q13=0,0,Q13/TrRail_act!Q17*100)</f>
        <v>118.34670287293801</v>
      </c>
      <c r="R26" s="116">
        <f>IF(R13=0,0,R13/TrRail_act!R17*100)</f>
        <v>115.82415590052628</v>
      </c>
      <c r="S26" s="116">
        <f>IF(S13=0,0,S13/TrRail_act!S17*100)</f>
        <v>116.74681777335113</v>
      </c>
      <c r="T26" s="116">
        <f>IF(T13=0,0,T13/TrRail_act!T17*100)</f>
        <v>116.98596557187319</v>
      </c>
      <c r="U26" s="116">
        <f>IF(U13=0,0,U13/TrRail_act!U17*100)</f>
        <v>116.69298835105324</v>
      </c>
      <c r="V26" s="116">
        <f>IF(V13=0,0,V13/TrRail_act!V17*100)</f>
        <v>117.16131155624716</v>
      </c>
      <c r="W26" s="116">
        <f>IF(W13=0,0,W13/TrRail_act!W17*100)</f>
        <v>116.06411011713105</v>
      </c>
      <c r="X26" s="116">
        <f>IF(X13=0,0,X13/TrRail_act!X17*100)</f>
        <v>113.44699847774247</v>
      </c>
      <c r="Y26" s="116">
        <f>IF(Y13=0,0,Y13/TrRail_act!Y17*100)</f>
        <v>113.28829299881518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273.73357038044293</v>
      </c>
      <c r="C27" s="87">
        <f>IF(C14=0,0,C14/TrRail_act!C18*100)</f>
        <v>260.92986434127295</v>
      </c>
      <c r="D27" s="87">
        <f>IF(D14=0,0,D14/TrRail_act!D18*100)</f>
        <v>253.09144315939272</v>
      </c>
      <c r="E27" s="87">
        <f>IF(E14=0,0,E14/TrRail_act!E18*100)</f>
        <v>247.69002904564908</v>
      </c>
      <c r="F27" s="87">
        <f>IF(F14=0,0,F14/TrRail_act!F18*100)</f>
        <v>238.16361539129792</v>
      </c>
      <c r="G27" s="87">
        <f>IF(G14=0,0,G14/TrRail_act!G18*100)</f>
        <v>230.08574017545826</v>
      </c>
      <c r="H27" s="87">
        <f>IF(H14=0,0,H14/TrRail_act!H18*100)</f>
        <v>226.0456510048158</v>
      </c>
      <c r="I27" s="87">
        <f>IF(I14=0,0,I14/TrRail_act!I18*100)</f>
        <v>223.98938022307021</v>
      </c>
      <c r="J27" s="87">
        <f>IF(J14=0,0,J14/TrRail_act!J18*100)</f>
        <v>217.35631644080081</v>
      </c>
      <c r="K27" s="87">
        <f>IF(K14=0,0,K14/TrRail_act!K18*100)</f>
        <v>215.76242162782364</v>
      </c>
      <c r="L27" s="87">
        <f>IF(L14=0,0,L14/TrRail_act!L18*100)</f>
        <v>213.29269623144404</v>
      </c>
      <c r="M27" s="87">
        <f>IF(M14=0,0,M14/TrRail_act!M18*100)</f>
        <v>200.34210791102004</v>
      </c>
      <c r="N27" s="87">
        <f>IF(N14=0,0,N14/TrRail_act!N18*100)</f>
        <v>189.75800870901119</v>
      </c>
      <c r="O27" s="87">
        <f>IF(O14=0,0,O14/TrRail_act!O18*100)</f>
        <v>183.64040754705641</v>
      </c>
      <c r="P27" s="87">
        <f>IF(P14=0,0,P14/TrRail_act!P18*100)</f>
        <v>177.71551423344292</v>
      </c>
      <c r="Q27" s="87">
        <f>IF(Q14=0,0,Q14/TrRail_act!Q18*100)</f>
        <v>175.92424304470887</v>
      </c>
      <c r="R27" s="87">
        <f>IF(R14=0,0,R14/TrRail_act!R18*100)</f>
        <v>169.35486877965667</v>
      </c>
      <c r="S27" s="87">
        <f>IF(S14=0,0,S14/TrRail_act!S18*100)</f>
        <v>166.23522562345227</v>
      </c>
      <c r="T27" s="87">
        <f>IF(T14=0,0,T14/TrRail_act!T18*100)</f>
        <v>163.93326364817005</v>
      </c>
      <c r="U27" s="87">
        <f>IF(U14=0,0,U14/TrRail_act!U18*100)</f>
        <v>162.22773549030705</v>
      </c>
      <c r="V27" s="87">
        <f>IF(V14=0,0,V14/TrRail_act!V18*100)</f>
        <v>160.96024397830169</v>
      </c>
      <c r="W27" s="87">
        <f>IF(W14=0,0,W14/TrRail_act!W18*100)</f>
        <v>160.01612840328585</v>
      </c>
      <c r="X27" s="87">
        <f>IF(X14=0,0,X14/TrRail_act!X18*100)</f>
        <v>159.31167763631859</v>
      </c>
      <c r="Y27" s="87">
        <f>IF(Y14=0,0,Y14/TrRail_act!Y18*100)</f>
        <v>158.78537550762397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134.46342522056327</v>
      </c>
      <c r="C28" s="87">
        <f>IF(C15=0,0,C15/TrRail_act!C19*100)</f>
        <v>133.43059833090678</v>
      </c>
      <c r="D28" s="87">
        <f>IF(D15=0,0,D15/TrRail_act!D19*100)</f>
        <v>132.83742893611398</v>
      </c>
      <c r="E28" s="87">
        <f>IF(E15=0,0,E15/TrRail_act!E19*100)</f>
        <v>129.82735163208275</v>
      </c>
      <c r="F28" s="87">
        <f>IF(F15=0,0,F15/TrRail_act!F19*100)</f>
        <v>130.2665923882586</v>
      </c>
      <c r="G28" s="87">
        <f>IF(G15=0,0,G15/TrRail_act!G19*100)</f>
        <v>129.94936973711759</v>
      </c>
      <c r="H28" s="87">
        <f>IF(H15=0,0,H15/TrRail_act!H19*100)</f>
        <v>128.80317117405318</v>
      </c>
      <c r="I28" s="87">
        <f>IF(I15=0,0,I15/TrRail_act!I19*100)</f>
        <v>127.17637186567687</v>
      </c>
      <c r="J28" s="87">
        <f>IF(J15=0,0,J15/TrRail_act!J19*100)</f>
        <v>125.84934712517652</v>
      </c>
      <c r="K28" s="87">
        <f>IF(K15=0,0,K15/TrRail_act!K19*100)</f>
        <v>126.32288124162712</v>
      </c>
      <c r="L28" s="87">
        <f>IF(L15=0,0,L15/TrRail_act!L19*100)</f>
        <v>122.72034566982643</v>
      </c>
      <c r="M28" s="87">
        <f>IF(M15=0,0,M15/TrRail_act!M19*100)</f>
        <v>123.5571765607356</v>
      </c>
      <c r="N28" s="87">
        <f>IF(N15=0,0,N15/TrRail_act!N19*100)</f>
        <v>120.76926481518137</v>
      </c>
      <c r="O28" s="87">
        <f>IF(O15=0,0,O15/TrRail_act!O19*100)</f>
        <v>120.43164888876568</v>
      </c>
      <c r="P28" s="87">
        <f>IF(P15=0,0,P15/TrRail_act!P19*100)</f>
        <v>117.9845981546225</v>
      </c>
      <c r="Q28" s="87">
        <f>IF(Q15=0,0,Q15/TrRail_act!Q19*100)</f>
        <v>115.89880588827093</v>
      </c>
      <c r="R28" s="87">
        <f>IF(R15=0,0,R15/TrRail_act!R19*100)</f>
        <v>114.35869590582722</v>
      </c>
      <c r="S28" s="87">
        <f>IF(S15=0,0,S15/TrRail_act!S19*100)</f>
        <v>113.78314419908118</v>
      </c>
      <c r="T28" s="87">
        <f>IF(T15=0,0,T15/TrRail_act!T19*100)</f>
        <v>113.35338215931665</v>
      </c>
      <c r="U28" s="87">
        <f>IF(U15=0,0,U15/TrRail_act!U19*100)</f>
        <v>113.03212620523647</v>
      </c>
      <c r="V28" s="87">
        <f>IF(V15=0,0,V15/TrRail_act!V19*100)</f>
        <v>112.79178187994626</v>
      </c>
      <c r="W28" s="87">
        <f>IF(W15=0,0,W15/TrRail_act!W19*100)</f>
        <v>112.61185907398841</v>
      </c>
      <c r="X28" s="87">
        <f>IF(X15=0,0,X15/TrRail_act!X19*100)</f>
        <v>112.47710533949331</v>
      </c>
      <c r="Y28" s="87">
        <f>IF(Y15=0,0,Y15/TrRail_act!Y19*100)</f>
        <v>112.37614587666769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226.10880862315642</v>
      </c>
      <c r="C29" s="117">
        <f>IF(C16=0,0,C16/TrRail_act!C20*100)</f>
        <v>223.75157466509106</v>
      </c>
      <c r="D29" s="117">
        <f>IF(D16=0,0,D16/TrRail_act!D20*100)</f>
        <v>221.31141465393341</v>
      </c>
      <c r="E29" s="117">
        <f>IF(E16=0,0,E16/TrRail_act!E20*100)</f>
        <v>215.36563351753571</v>
      </c>
      <c r="F29" s="117">
        <f>IF(F16=0,0,F16/TrRail_act!F20*100)</f>
        <v>207.8250037289163</v>
      </c>
      <c r="G29" s="117">
        <f>IF(G16=0,0,G16/TrRail_act!G20*100)</f>
        <v>194.42315318704775</v>
      </c>
      <c r="H29" s="117">
        <f>IF(H16=0,0,H16/TrRail_act!H20*100)</f>
        <v>189.37435844018816</v>
      </c>
      <c r="I29" s="117">
        <f>IF(I16=0,0,I16/TrRail_act!I20*100)</f>
        <v>178.33068253803432</v>
      </c>
      <c r="J29" s="117">
        <f>IF(J16=0,0,J16/TrRail_act!J20*100)</f>
        <v>176.57733293480001</v>
      </c>
      <c r="K29" s="117">
        <f>IF(K16=0,0,K16/TrRail_act!K20*100)</f>
        <v>177.59271082130078</v>
      </c>
      <c r="L29" s="117">
        <f>IF(L16=0,0,L16/TrRail_act!L20*100)</f>
        <v>178.11019267084887</v>
      </c>
      <c r="M29" s="117">
        <f>IF(M16=0,0,M16/TrRail_act!M20*100)</f>
        <v>175.9233707493855</v>
      </c>
      <c r="N29" s="117">
        <f>IF(N16=0,0,N16/TrRail_act!N20*100)</f>
        <v>168.31276428934535</v>
      </c>
      <c r="O29" s="117">
        <f>IF(O16=0,0,O16/TrRail_act!O20*100)</f>
        <v>166.37029473727983</v>
      </c>
      <c r="P29" s="117">
        <f>IF(P16=0,0,P16/TrRail_act!P20*100)</f>
        <v>162.03635594007599</v>
      </c>
      <c r="Q29" s="117">
        <f>IF(Q16=0,0,Q16/TrRail_act!Q20*100)</f>
        <v>160.63327548149292</v>
      </c>
      <c r="R29" s="117">
        <f>IF(R16=0,0,R16/TrRail_act!R20*100)</f>
        <v>159.58894391074787</v>
      </c>
      <c r="S29" s="117">
        <f>IF(S16=0,0,S16/TrRail_act!S20*100)</f>
        <v>158.8101532969302</v>
      </c>
      <c r="T29" s="117">
        <f>IF(T16=0,0,T16/TrRail_act!T20*100)</f>
        <v>158.2285554183143</v>
      </c>
      <c r="U29" s="117">
        <f>IF(U16=0,0,U16/TrRail_act!U20*100)</f>
        <v>157.7937552095232</v>
      </c>
      <c r="V29" s="117">
        <f>IF(V16=0,0,V16/TrRail_act!V20*100)</f>
        <v>157.46843931907142</v>
      </c>
      <c r="W29" s="117">
        <f>IF(W16=0,0,W16/TrRail_act!W20*100)</f>
        <v>157.22489261622681</v>
      </c>
      <c r="X29" s="117">
        <f>IF(X16=0,0,X16/TrRail_act!X20*100)</f>
        <v>157.04247981004187</v>
      </c>
      <c r="Y29" s="117">
        <f>IF(Y16=0,0,Y16/TrRail_act!Y20*100)</f>
        <v>156.90580911567656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207.9856065734532</v>
      </c>
      <c r="C30" s="29">
        <f>IF(C17=0,0,C17/TrRail_act!C21*100)</f>
        <v>200.9609098433551</v>
      </c>
      <c r="D30" s="29">
        <f>IF(D17=0,0,D17/TrRail_act!D21*100)</f>
        <v>198.36699346645023</v>
      </c>
      <c r="E30" s="29">
        <f>IF(E17=0,0,E17/TrRail_act!E21*100)</f>
        <v>192.79840460239294</v>
      </c>
      <c r="F30" s="29">
        <f>IF(F17=0,0,F17/TrRail_act!F21*100)</f>
        <v>184.61402427013761</v>
      </c>
      <c r="G30" s="29">
        <f>IF(G17=0,0,G17/TrRail_act!G21*100)</f>
        <v>174.13848044861504</v>
      </c>
      <c r="H30" s="29">
        <f>IF(H17=0,0,H17/TrRail_act!H21*100)</f>
        <v>187.35131226724019</v>
      </c>
      <c r="I30" s="29">
        <f>IF(I17=0,0,I17/TrRail_act!I21*100)</f>
        <v>187.97155608146963</v>
      </c>
      <c r="J30" s="29">
        <f>IF(J17=0,0,J17/TrRail_act!J21*100)</f>
        <v>187.71868201313339</v>
      </c>
      <c r="K30" s="29">
        <f>IF(K17=0,0,K17/TrRail_act!K21*100)</f>
        <v>174.31993249187786</v>
      </c>
      <c r="L30" s="29">
        <f>IF(L17=0,0,L17/TrRail_act!L21*100)</f>
        <v>171.00547833684595</v>
      </c>
      <c r="M30" s="29">
        <f>IF(M17=0,0,M17/TrRail_act!M21*100)</f>
        <v>156.52578341575571</v>
      </c>
      <c r="N30" s="29">
        <f>IF(N17=0,0,N17/TrRail_act!N21*100)</f>
        <v>153.26117643772744</v>
      </c>
      <c r="O30" s="29">
        <f>IF(O17=0,0,O17/TrRail_act!O21*100)</f>
        <v>146.43293980186772</v>
      </c>
      <c r="P30" s="29">
        <f>IF(P17=0,0,P17/TrRail_act!P21*100)</f>
        <v>138.98054211497518</v>
      </c>
      <c r="Q30" s="29">
        <f>IF(Q17=0,0,Q17/TrRail_act!Q21*100)</f>
        <v>134.69060291780909</v>
      </c>
      <c r="R30" s="29">
        <f>IF(R17=0,0,R17/TrRail_act!R21*100)</f>
        <v>130.7009519621638</v>
      </c>
      <c r="S30" s="29">
        <f>IF(S17=0,0,S17/TrRail_act!S21*100)</f>
        <v>132.92774534900101</v>
      </c>
      <c r="T30" s="29">
        <f>IF(T17=0,0,T17/TrRail_act!T21*100)</f>
        <v>133.60447600434034</v>
      </c>
      <c r="U30" s="29">
        <f>IF(U17=0,0,U17/TrRail_act!U21*100)</f>
        <v>132.80257538835826</v>
      </c>
      <c r="V30" s="29">
        <f>IF(V17=0,0,V17/TrRail_act!V21*100)</f>
        <v>133.56155163239094</v>
      </c>
      <c r="W30" s="29">
        <f>IF(W17=0,0,W17/TrRail_act!W21*100)</f>
        <v>130.86857507292214</v>
      </c>
      <c r="X30" s="29">
        <f>IF(X17=0,0,X17/TrRail_act!X21*100)</f>
        <v>126.12265799662872</v>
      </c>
      <c r="Y30" s="29">
        <f>IF(Y17=0,0,Y17/TrRail_act!Y21*100)</f>
        <v>125.44410364255066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486.99833468207692</v>
      </c>
      <c r="C31" s="87">
        <f>IF(C18=0,0,C18/TrRail_act!C22*100)</f>
        <v>476.48435764255765</v>
      </c>
      <c r="D31" s="87">
        <f>IF(D18=0,0,D18/TrRail_act!D22*100)</f>
        <v>471.2343681103942</v>
      </c>
      <c r="E31" s="87">
        <f>IF(E18=0,0,E18/TrRail_act!E22*100)</f>
        <v>464.30326926241128</v>
      </c>
      <c r="F31" s="87">
        <f>IF(F18=0,0,F18/TrRail_act!F22*100)</f>
        <v>454.70926223946719</v>
      </c>
      <c r="G31" s="87">
        <f>IF(G18=0,0,G18/TrRail_act!G22*100)</f>
        <v>447.95180150702481</v>
      </c>
      <c r="H31" s="87">
        <f>IF(H18=0,0,H18/TrRail_act!H22*100)</f>
        <v>440.29992305622346</v>
      </c>
      <c r="I31" s="87">
        <f>IF(I18=0,0,I18/TrRail_act!I22*100)</f>
        <v>433.52993254623533</v>
      </c>
      <c r="J31" s="87">
        <f>IF(J18=0,0,J18/TrRail_act!J22*100)</f>
        <v>425.46490443377525</v>
      </c>
      <c r="K31" s="87">
        <f>IF(K18=0,0,K18/TrRail_act!K22*100)</f>
        <v>421.63585559282899</v>
      </c>
      <c r="L31" s="87">
        <f>IF(L18=0,0,L18/TrRail_act!L22*100)</f>
        <v>421.13410805757593</v>
      </c>
      <c r="M31" s="87">
        <f>IF(M18=0,0,M18/TrRail_act!M22*100)</f>
        <v>396.92887126167864</v>
      </c>
      <c r="N31" s="87">
        <f>IF(N18=0,0,N18/TrRail_act!N22*100)</f>
        <v>382.27066771558651</v>
      </c>
      <c r="O31" s="87">
        <f>IF(O18=0,0,O18/TrRail_act!O22*100)</f>
        <v>374.45452010792405</v>
      </c>
      <c r="P31" s="87">
        <f>IF(P18=0,0,P18/TrRail_act!P22*100)</f>
        <v>367.93304550979821</v>
      </c>
      <c r="Q31" s="87">
        <f>IF(Q18=0,0,Q18/TrRail_act!Q22*100)</f>
        <v>361.76675442471259</v>
      </c>
      <c r="R31" s="87">
        <f>IF(R18=0,0,R18/TrRail_act!R22*100)</f>
        <v>355.42390013731574</v>
      </c>
      <c r="S31" s="87">
        <f>IF(S18=0,0,S18/TrRail_act!S22*100)</f>
        <v>348.98614845767111</v>
      </c>
      <c r="T31" s="87">
        <f>IF(T18=0,0,T18/TrRail_act!T22*100)</f>
        <v>342.51330134152857</v>
      </c>
      <c r="U31" s="87">
        <f>IF(U18=0,0,U18/TrRail_act!U22*100)</f>
        <v>336.04888711930187</v>
      </c>
      <c r="V31" s="87">
        <f>IF(V18=0,0,V18/TrRail_act!V22*100)</f>
        <v>331.28076951578163</v>
      </c>
      <c r="W31" s="87">
        <f>IF(W18=0,0,W18/TrRail_act!W22*100)</f>
        <v>327.74913177377891</v>
      </c>
      <c r="X31" s="87">
        <f>IF(X18=0,0,X18/TrRail_act!X22*100)</f>
        <v>325.1251327959352</v>
      </c>
      <c r="Y31" s="87">
        <f>IF(Y18=0,0,Y18/TrRail_act!Y22*100)</f>
        <v>323.17092931749193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196.33267274164533</v>
      </c>
      <c r="C32" s="88">
        <f>IF(C19=0,0,C19/TrRail_act!C23*100)</f>
        <v>191.5225097948971</v>
      </c>
      <c r="D32" s="88">
        <f>IF(D19=0,0,D19/TrRail_act!D23*100)</f>
        <v>189.02737490638103</v>
      </c>
      <c r="E32" s="88">
        <f>IF(E19=0,0,E19/TrRail_act!E23*100)</f>
        <v>183.13757146894145</v>
      </c>
      <c r="F32" s="88">
        <f>IF(F19=0,0,F19/TrRail_act!F23*100)</f>
        <v>174.08574473594462</v>
      </c>
      <c r="G32" s="88">
        <f>IF(G19=0,0,G19/TrRail_act!G23*100)</f>
        <v>167.50713337753757</v>
      </c>
      <c r="H32" s="88">
        <f>IF(H19=0,0,H19/TrRail_act!H23*100)</f>
        <v>159.76439202268045</v>
      </c>
      <c r="I32" s="88">
        <f>IF(I19=0,0,I19/TrRail_act!I23*100)</f>
        <v>154.65347924284166</v>
      </c>
      <c r="J32" s="88">
        <f>IF(J19=0,0,J19/TrRail_act!J23*100)</f>
        <v>151.28339643058649</v>
      </c>
      <c r="K32" s="88">
        <f>IF(K19=0,0,K19/TrRail_act!K23*100)</f>
        <v>147.1509795298476</v>
      </c>
      <c r="L32" s="88">
        <f>IF(L19=0,0,L19/TrRail_act!L23*100)</f>
        <v>146.98283766778042</v>
      </c>
      <c r="M32" s="88">
        <f>IF(M19=0,0,M19/TrRail_act!M23*100)</f>
        <v>144.48961339455187</v>
      </c>
      <c r="N32" s="88">
        <f>IF(N19=0,0,N19/TrRail_act!N23*100)</f>
        <v>142.15212047216079</v>
      </c>
      <c r="O32" s="88">
        <f>IF(O19=0,0,O19/TrRail_act!O23*100)</f>
        <v>138.81980349493648</v>
      </c>
      <c r="P32" s="88">
        <f>IF(P19=0,0,P19/TrRail_act!P23*100)</f>
        <v>135.22364772216309</v>
      </c>
      <c r="Q32" s="88">
        <f>IF(Q19=0,0,Q19/TrRail_act!Q23*100)</f>
        <v>130.22339024595721</v>
      </c>
      <c r="R32" s="88">
        <f>IF(R19=0,0,R19/TrRail_act!R23*100)</f>
        <v>127.86086386138535</v>
      </c>
      <c r="S32" s="88">
        <f>IF(S19=0,0,S19/TrRail_act!S23*100)</f>
        <v>126.74772520136162</v>
      </c>
      <c r="T32" s="88">
        <f>IF(T19=0,0,T19/TrRail_act!T23*100)</f>
        <v>125.91923543882895</v>
      </c>
      <c r="U32" s="88">
        <f>IF(U19=0,0,U19/TrRail_act!U23*100)</f>
        <v>125.30142394226642</v>
      </c>
      <c r="V32" s="88">
        <f>IF(V19=0,0,V19/TrRail_act!V23*100)</f>
        <v>124.84005538371406</v>
      </c>
      <c r="W32" s="88">
        <f>IF(W19=0,0,W19/TrRail_act!W23*100)</f>
        <v>124.49514413903631</v>
      </c>
      <c r="X32" s="88">
        <f>IF(X19=0,0,X19/TrRail_act!X23*100)</f>
        <v>124.23708620462325</v>
      </c>
      <c r="Y32" s="88">
        <f>IF(Y19=0,0,Y19/TrRail_act!Y23*100)</f>
        <v>124.04389385875352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8.2509196447213498</v>
      </c>
      <c r="C35" s="29">
        <f>IF(C11=0,0,C11/TrRail_act!C4*1000)</f>
        <v>7.8033414707893671</v>
      </c>
      <c r="D35" s="29">
        <f>IF(D11=0,0,D11/TrRail_act!D4*1000)</f>
        <v>8.0585883423509141</v>
      </c>
      <c r="E35" s="29">
        <f>IF(E11=0,0,E11/TrRail_act!E4*1000)</f>
        <v>8.4331489965797122</v>
      </c>
      <c r="F35" s="29">
        <f>IF(F11=0,0,F11/TrRail_act!F4*1000)</f>
        <v>7.8240976170151093</v>
      </c>
      <c r="G35" s="29">
        <f>IF(G11=0,0,G11/TrRail_act!G4*1000)</f>
        <v>7.5806137816412482</v>
      </c>
      <c r="H35" s="29">
        <f>IF(H11=0,0,H11/TrRail_act!H4*1000)</f>
        <v>7.3634465646978526</v>
      </c>
      <c r="I35" s="29">
        <f>IF(I11=0,0,I11/TrRail_act!I4*1000)</f>
        <v>7.223823992844058</v>
      </c>
      <c r="J35" s="29">
        <f>IF(J11=0,0,J11/TrRail_act!J4*1000)</f>
        <v>6.8895295394493852</v>
      </c>
      <c r="K35" s="29">
        <f>IF(K11=0,0,K11/TrRail_act!K4*1000)</f>
        <v>7.1550728628801767</v>
      </c>
      <c r="L35" s="29">
        <f>IF(L11=0,0,L11/TrRail_act!L4*1000)</f>
        <v>7.4964144537448423</v>
      </c>
      <c r="M35" s="29">
        <f>IF(M11=0,0,M11/TrRail_act!M4*1000)</f>
        <v>7.3376944251631491</v>
      </c>
      <c r="N35" s="29">
        <f>IF(N11=0,0,N11/TrRail_act!N4*1000)</f>
        <v>7.7269488973192129</v>
      </c>
      <c r="O35" s="29">
        <f>IF(O11=0,0,O11/TrRail_act!O4*1000)</f>
        <v>7.5524418840342484</v>
      </c>
      <c r="P35" s="29">
        <f>IF(P11=0,0,P11/TrRail_act!P4*1000)</f>
        <v>6.9576646305499761</v>
      </c>
      <c r="Q35" s="29">
        <f>IF(Q11=0,0,Q11/TrRail_act!Q4*1000)</f>
        <v>6.9418507873572084</v>
      </c>
      <c r="R35" s="29">
        <f>IF(R11=0,0,R11/TrRail_act!R4*1000)</f>
        <v>7.2128221941478303</v>
      </c>
      <c r="S35" s="29">
        <f>IF(S11=0,0,S11/TrRail_act!S4*1000)</f>
        <v>7.4104987256693047</v>
      </c>
      <c r="T35" s="29">
        <f>IF(T11=0,0,T11/TrRail_act!T4*1000)</f>
        <v>7.5679769849830141</v>
      </c>
      <c r="U35" s="29">
        <f>IF(U11=0,0,U11/TrRail_act!U4*1000)</f>
        <v>7.1334627911978759</v>
      </c>
      <c r="V35" s="29">
        <f>IF(V11=0,0,V11/TrRail_act!V4*1000)</f>
        <v>14.313869708904811</v>
      </c>
      <c r="W35" s="29">
        <f>IF(W11=0,0,W11/TrRail_act!W4*1000)</f>
        <v>12.254051221238054</v>
      </c>
      <c r="X35" s="29">
        <f>IF(X11=0,0,X11/TrRail_act!X4*1000)</f>
        <v>7.831619133387953</v>
      </c>
      <c r="Y35" s="29">
        <f>IF(Y11=0,0,Y11/TrRail_act!Y4*1000)</f>
        <v>7.3349253917917405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4.3386526641032459</v>
      </c>
      <c r="C36" s="115">
        <f>IF(C12=0,0,C12/TrRail_act!C5*1000)</f>
        <v>4.3234486200850153</v>
      </c>
      <c r="D36" s="115">
        <f>IF(D12=0,0,D12/TrRail_act!D5*1000)</f>
        <v>4.2498252043233897</v>
      </c>
      <c r="E36" s="115">
        <f>IF(E12=0,0,E12/TrRail_act!E5*1000)</f>
        <v>4.2618380198153707</v>
      </c>
      <c r="F36" s="115">
        <f>IF(F12=0,0,F12/TrRail_act!F5*1000)</f>
        <v>4.3690769171342305</v>
      </c>
      <c r="G36" s="115">
        <f>IF(G12=0,0,G12/TrRail_act!G5*1000)</f>
        <v>4.311822092016091</v>
      </c>
      <c r="H36" s="115">
        <f>IF(H12=0,0,H12/TrRail_act!H5*1000)</f>
        <v>4.2149531253502488</v>
      </c>
      <c r="I36" s="115">
        <f>IF(I12=0,0,I12/TrRail_act!I5*1000)</f>
        <v>4.2156953799127521</v>
      </c>
      <c r="J36" s="115">
        <f>IF(J12=0,0,J12/TrRail_act!J5*1000)</f>
        <v>4.1585253702262674</v>
      </c>
      <c r="K36" s="115">
        <f>IF(K12=0,0,K12/TrRail_act!K5*1000)</f>
        <v>4.141168502017889</v>
      </c>
      <c r="L36" s="115">
        <f>IF(L12=0,0,L12/TrRail_act!L5*1000)</f>
        <v>4.0641655439281585</v>
      </c>
      <c r="M36" s="115">
        <f>IF(M12=0,0,M12/TrRail_act!M5*1000)</f>
        <v>4.0065375997025905</v>
      </c>
      <c r="N36" s="115">
        <f>IF(N12=0,0,N12/TrRail_act!N5*1000)</f>
        <v>3.9432174309144976</v>
      </c>
      <c r="O36" s="115">
        <f>IF(O12=0,0,O12/TrRail_act!O5*1000)</f>
        <v>3.8973870074920836</v>
      </c>
      <c r="P36" s="115">
        <f>IF(P12=0,0,P12/TrRail_act!P5*1000)</f>
        <v>3.7836555173448532</v>
      </c>
      <c r="Q36" s="115">
        <f>IF(Q12=0,0,Q12/TrRail_act!Q5*1000)</f>
        <v>3.6772000240297067</v>
      </c>
      <c r="R36" s="115">
        <f>IF(R12=0,0,R12/TrRail_act!R5*1000)</f>
        <v>3.636986172166079</v>
      </c>
      <c r="S36" s="115">
        <f>IF(S12=0,0,S12/TrRail_act!S5*1000)</f>
        <v>3.5791095119084448</v>
      </c>
      <c r="T36" s="115">
        <f>IF(T12=0,0,T12/TrRail_act!T5*1000)</f>
        <v>3.5348346677030418</v>
      </c>
      <c r="U36" s="115">
        <f>IF(U12=0,0,U12/TrRail_act!U5*1000)</f>
        <v>3.5051403588763406</v>
      </c>
      <c r="V36" s="115">
        <f>IF(V12=0,0,V12/TrRail_act!V5*1000)</f>
        <v>4.9602541191852234</v>
      </c>
      <c r="W36" s="115">
        <f>IF(W12=0,0,W12/TrRail_act!W5*1000)</f>
        <v>4.608186174080676</v>
      </c>
      <c r="X36" s="115">
        <f>IF(X12=0,0,X12/TrRail_act!X5*1000)</f>
        <v>4.7607832980316376</v>
      </c>
      <c r="Y36" s="115">
        <f>IF(Y12=0,0,Y12/TrRail_act!Y5*1000)</f>
        <v>3.2891468609746939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8.9400936675921834</v>
      </c>
      <c r="C37" s="116">
        <f>IF(C13=0,0,C13/TrRail_act!C6*1000)</f>
        <v>8.4607144464803667</v>
      </c>
      <c r="D37" s="116">
        <f>IF(D13=0,0,D13/TrRail_act!D6*1000)</f>
        <v>8.8676758208099606</v>
      </c>
      <c r="E37" s="116">
        <f>IF(E13=0,0,E13/TrRail_act!E6*1000)</f>
        <v>9.4354761389085908</v>
      </c>
      <c r="F37" s="116">
        <f>IF(F13=0,0,F13/TrRail_act!F6*1000)</f>
        <v>8.6742315761613185</v>
      </c>
      <c r="G37" s="116">
        <f>IF(G13=0,0,G13/TrRail_act!G6*1000)</f>
        <v>8.4588633128562378</v>
      </c>
      <c r="H37" s="116">
        <f>IF(H13=0,0,H13/TrRail_act!H6*1000)</f>
        <v>8.269039991580831</v>
      </c>
      <c r="I37" s="116">
        <f>IF(I13=0,0,I13/TrRail_act!I6*1000)</f>
        <v>8.1827349004410728</v>
      </c>
      <c r="J37" s="116">
        <f>IF(J13=0,0,J13/TrRail_act!J6*1000)</f>
        <v>7.737358188387625</v>
      </c>
      <c r="K37" s="116">
        <f>IF(K13=0,0,K13/TrRail_act!K6*1000)</f>
        <v>8.2899491391146825</v>
      </c>
      <c r="L37" s="116">
        <f>IF(L13=0,0,L13/TrRail_act!L6*1000)</f>
        <v>8.8746307009616689</v>
      </c>
      <c r="M37" s="116">
        <f>IF(M13=0,0,M13/TrRail_act!M6*1000)</f>
        <v>8.8170564971531675</v>
      </c>
      <c r="N37" s="116">
        <f>IF(N13=0,0,N13/TrRail_act!N6*1000)</f>
        <v>9.5282100663560652</v>
      </c>
      <c r="O37" s="116">
        <f>IF(O13=0,0,O13/TrRail_act!O6*1000)</f>
        <v>9.3343687169277807</v>
      </c>
      <c r="P37" s="116">
        <f>IF(P13=0,0,P13/TrRail_act!P6*1000)</f>
        <v>8.5045980130270351</v>
      </c>
      <c r="Q37" s="116">
        <f>IF(Q13=0,0,Q13/TrRail_act!Q6*1000)</f>
        <v>8.5737138253843828</v>
      </c>
      <c r="R37" s="116">
        <f>IF(R13=0,0,R13/TrRail_act!R6*1000)</f>
        <v>9.023904701455626</v>
      </c>
      <c r="S37" s="116">
        <f>IF(S13=0,0,S13/TrRail_act!S6*1000)</f>
        <v>9.4005261159306368</v>
      </c>
      <c r="T37" s="116">
        <f>IF(T13=0,0,T13/TrRail_act!T6*1000)</f>
        <v>9.6917703882867929</v>
      </c>
      <c r="U37" s="116">
        <f>IF(U13=0,0,U13/TrRail_act!U6*1000)</f>
        <v>8.9551390113283347</v>
      </c>
      <c r="V37" s="116">
        <f>IF(V13=0,0,V13/TrRail_act!V6*1000)</f>
        <v>18.675990193013426</v>
      </c>
      <c r="W37" s="116">
        <f>IF(W13=0,0,W13/TrRail_act!W6*1000)</f>
        <v>15.666492778689676</v>
      </c>
      <c r="X37" s="116">
        <f>IF(X13=0,0,X13/TrRail_act!X6*1000)</f>
        <v>9.6199780721009969</v>
      </c>
      <c r="Y37" s="116">
        <f>IF(Y13=0,0,Y13/TrRail_act!Y6*1000)</f>
        <v>9.2456684333581922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16.415446466401544</v>
      </c>
      <c r="C38" s="87">
        <f>IF(C14=0,0,C14/TrRail_act!C7*1000)</f>
        <v>15.873865400048876</v>
      </c>
      <c r="D38" s="87">
        <f>IF(D14=0,0,D14/TrRail_act!D7*1000)</f>
        <v>14.845175276531899</v>
      </c>
      <c r="E38" s="87">
        <f>IF(E14=0,0,E14/TrRail_act!E7*1000)</f>
        <v>17.482927597155985</v>
      </c>
      <c r="F38" s="87">
        <f>IF(F14=0,0,F14/TrRail_act!F7*1000)</f>
        <v>16.954606423726801</v>
      </c>
      <c r="G38" s="87">
        <f>IF(G14=0,0,G14/TrRail_act!G7*1000)</f>
        <v>17.387534074181701</v>
      </c>
      <c r="H38" s="87">
        <f>IF(H14=0,0,H14/TrRail_act!H7*1000)</f>
        <v>17.098833322211242</v>
      </c>
      <c r="I38" s="87">
        <f>IF(I14=0,0,I14/TrRail_act!I7*1000)</f>
        <v>17.725995953397888</v>
      </c>
      <c r="J38" s="87">
        <f>IF(J14=0,0,J14/TrRail_act!J7*1000)</f>
        <v>17.278705364722185</v>
      </c>
      <c r="K38" s="87">
        <f>IF(K14=0,0,K14/TrRail_act!K7*1000)</f>
        <v>18.148370132542979</v>
      </c>
      <c r="L38" s="87">
        <f>IF(L14=0,0,L14/TrRail_act!L7*1000)</f>
        <v>18.323730586459966</v>
      </c>
      <c r="M38" s="87">
        <f>IF(M14=0,0,M14/TrRail_act!M7*1000)</f>
        <v>14.482329222149817</v>
      </c>
      <c r="N38" s="87">
        <f>IF(N14=0,0,N14/TrRail_act!N7*1000)</f>
        <v>14.298719374873581</v>
      </c>
      <c r="O38" s="87">
        <f>IF(O14=0,0,O14/TrRail_act!O7*1000)</f>
        <v>14.193068021648676</v>
      </c>
      <c r="P38" s="87">
        <f>IF(P14=0,0,P14/TrRail_act!P7*1000)</f>
        <v>13.039392649184066</v>
      </c>
      <c r="Q38" s="87">
        <f>IF(Q14=0,0,Q14/TrRail_act!Q7*1000)</f>
        <v>12.945490487457366</v>
      </c>
      <c r="R38" s="87">
        <f>IF(R14=0,0,R14/TrRail_act!R7*1000)</f>
        <v>13.519534679742515</v>
      </c>
      <c r="S38" s="87">
        <f>IF(S14=0,0,S14/TrRail_act!S7*1000)</f>
        <v>12.008670669399509</v>
      </c>
      <c r="T38" s="87">
        <f>IF(T14=0,0,T14/TrRail_act!T7*1000)</f>
        <v>12.347866226355636</v>
      </c>
      <c r="U38" s="87">
        <f>IF(U14=0,0,U14/TrRail_act!U7*1000)</f>
        <v>11.49043454238884</v>
      </c>
      <c r="V38" s="87">
        <f>IF(V14=0,0,V14/TrRail_act!V7*1000)</f>
        <v>26.550165308234565</v>
      </c>
      <c r="W38" s="87">
        <f>IF(W14=0,0,W14/TrRail_act!W7*1000)</f>
        <v>20.845291220238185</v>
      </c>
      <c r="X38" s="87">
        <f>IF(X14=0,0,X14/TrRail_act!X7*1000)</f>
        <v>13.604675332323527</v>
      </c>
      <c r="Y38" s="87">
        <f>IF(Y14=0,0,Y14/TrRail_act!Y7*1000)</f>
        <v>13.591059090327652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7.2793750341011858</v>
      </c>
      <c r="C39" s="87">
        <f>IF(C15=0,0,C15/TrRail_act!C8*1000)</f>
        <v>6.9559418912286795</v>
      </c>
      <c r="D39" s="87">
        <f>IF(D15=0,0,D15/TrRail_act!D8*1000)</f>
        <v>7.4624050196431355</v>
      </c>
      <c r="E39" s="87">
        <f>IF(E15=0,0,E15/TrRail_act!E8*1000)</f>
        <v>7.6814504912760118</v>
      </c>
      <c r="F39" s="87">
        <f>IF(F15=0,0,F15/TrRail_act!F8*1000)</f>
        <v>7.1216267395796553</v>
      </c>
      <c r="G39" s="87">
        <f>IF(G15=0,0,G15/TrRail_act!G8*1000)</f>
        <v>7.1125767358056207</v>
      </c>
      <c r="H39" s="87">
        <f>IF(H15=0,0,H15/TrRail_act!H8*1000)</f>
        <v>6.8661936647048281</v>
      </c>
      <c r="I39" s="87">
        <f>IF(I15=0,0,I15/TrRail_act!I8*1000)</f>
        <v>6.9101224886108827</v>
      </c>
      <c r="J39" s="87">
        <f>IF(J15=0,0,J15/TrRail_act!J8*1000)</f>
        <v>7.0198974706594708</v>
      </c>
      <c r="K39" s="87">
        <f>IF(K15=0,0,K15/TrRail_act!K8*1000)</f>
        <v>7.522723129864481</v>
      </c>
      <c r="L39" s="87">
        <f>IF(L15=0,0,L15/TrRail_act!L8*1000)</f>
        <v>8.0443457914881868</v>
      </c>
      <c r="M39" s="87">
        <f>IF(M15=0,0,M15/TrRail_act!M8*1000)</f>
        <v>8.3348229085532797</v>
      </c>
      <c r="N39" s="87">
        <f>IF(N15=0,0,N15/TrRail_act!N8*1000)</f>
        <v>8.9983517299176174</v>
      </c>
      <c r="O39" s="87">
        <f>IF(O15=0,0,O15/TrRail_act!O8*1000)</f>
        <v>8.9791228159005865</v>
      </c>
      <c r="P39" s="87">
        <f>IF(P15=0,0,P15/TrRail_act!P8*1000)</f>
        <v>8.3448457926244561</v>
      </c>
      <c r="Q39" s="87">
        <f>IF(Q15=0,0,Q15/TrRail_act!Q8*1000)</f>
        <v>8.3908481974867879</v>
      </c>
      <c r="R39" s="87">
        <f>IF(R15=0,0,R15/TrRail_act!R8*1000)</f>
        <v>8.9038699342930432</v>
      </c>
      <c r="S39" s="87">
        <f>IF(S15=0,0,S15/TrRail_act!S8*1000)</f>
        <v>9.2252245950266047</v>
      </c>
      <c r="T39" s="87">
        <f>IF(T15=0,0,T15/TrRail_act!T8*1000)</f>
        <v>9.4639657407446034</v>
      </c>
      <c r="U39" s="87">
        <f>IF(U15=0,0,U15/TrRail_act!U8*1000)</f>
        <v>8.7328031767999192</v>
      </c>
      <c r="V39" s="87">
        <f>IF(V15=0,0,V15/TrRail_act!V8*1000)</f>
        <v>17.91937838982177</v>
      </c>
      <c r="W39" s="87">
        <f>IF(W15=0,0,W15/TrRail_act!W8*1000)</f>
        <v>15.243806977073197</v>
      </c>
      <c r="X39" s="87">
        <f>IF(X15=0,0,X15/TrRail_act!X8*1000)</f>
        <v>9.5363182584944521</v>
      </c>
      <c r="Y39" s="87">
        <f>IF(Y15=0,0,Y15/TrRail_act!Y8*1000)</f>
        <v>9.162680342790047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6.5372224824643244</v>
      </c>
      <c r="C40" s="117">
        <f>IF(C16=0,0,C16/TrRail_act!C9*1000)</f>
        <v>6.4690705032427802</v>
      </c>
      <c r="D40" s="117">
        <f>IF(D16=0,0,D16/TrRail_act!D9*1000)</f>
        <v>6.3985209789545143</v>
      </c>
      <c r="E40" s="117">
        <f>IF(E16=0,0,E16/TrRail_act!E9*1000)</f>
        <v>6.2266174854225476</v>
      </c>
      <c r="F40" s="117">
        <f>IF(F16=0,0,F16/TrRail_act!F9*1000)</f>
        <v>6.0086039772966444</v>
      </c>
      <c r="G40" s="117">
        <f>IF(G16=0,0,G16/TrRail_act!G9*1000)</f>
        <v>5.6211317722002647</v>
      </c>
      <c r="H40" s="117">
        <f>IF(H16=0,0,H16/TrRail_act!H9*1000)</f>
        <v>5.3877769953444474</v>
      </c>
      <c r="I40" s="117">
        <f>IF(I16=0,0,I16/TrRail_act!I9*1000)</f>
        <v>5.0635559416957392</v>
      </c>
      <c r="J40" s="117">
        <f>IF(J16=0,0,J16/TrRail_act!J9*1000)</f>
        <v>5.1255499760554111</v>
      </c>
      <c r="K40" s="117">
        <f>IF(K16=0,0,K16/TrRail_act!K9*1000)</f>
        <v>5.1563014173355803</v>
      </c>
      <c r="L40" s="117">
        <f>IF(L16=0,0,L16/TrRail_act!L9*1000)</f>
        <v>5.2847032194410648</v>
      </c>
      <c r="M40" s="117">
        <f>IF(M16=0,0,M16/TrRail_act!M9*1000)</f>
        <v>5.0992222070180455</v>
      </c>
      <c r="N40" s="117">
        <f>IF(N16=0,0,N16/TrRail_act!N9*1000)</f>
        <v>4.878598164242562</v>
      </c>
      <c r="O40" s="117">
        <f>IF(O16=0,0,O16/TrRail_act!O9*1000)</f>
        <v>4.62639150304339</v>
      </c>
      <c r="P40" s="117">
        <f>IF(P16=0,0,P16/TrRail_act!P9*1000)</f>
        <v>4.3960166363705904</v>
      </c>
      <c r="Q40" s="117">
        <f>IF(Q16=0,0,Q16/TrRail_act!Q9*1000)</f>
        <v>4.1701337776252076</v>
      </c>
      <c r="R40" s="117">
        <f>IF(R16=0,0,R16/TrRail_act!R9*1000)</f>
        <v>4.1453198048314466</v>
      </c>
      <c r="S40" s="117">
        <f>IF(S16=0,0,S16/TrRail_act!S9*1000)</f>
        <v>4.0422483045709434</v>
      </c>
      <c r="T40" s="117">
        <f>IF(T16=0,0,T16/TrRail_act!T9*1000)</f>
        <v>3.8632784083743936</v>
      </c>
      <c r="U40" s="117">
        <f>IF(U16=0,0,U16/TrRail_act!U9*1000)</f>
        <v>4.0816526055737112</v>
      </c>
      <c r="V40" s="117">
        <f>IF(V16=0,0,V16/TrRail_act!V9*1000)</f>
        <v>9.477196351341389</v>
      </c>
      <c r="W40" s="117">
        <f>IF(W16=0,0,W16/TrRail_act!W9*1000)</f>
        <v>8.27947350272043</v>
      </c>
      <c r="X40" s="117">
        <f>IF(X16=0,0,X16/TrRail_act!X9*1000)</f>
        <v>4.6014411476205916</v>
      </c>
      <c r="Y40" s="117">
        <f>IF(Y16=0,0,Y16/TrRail_act!Y9*1000)</f>
        <v>3.8003401050585235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3.1056726433248443</v>
      </c>
      <c r="C41" s="29">
        <f>IF(C17=0,0,C17/TrRail_act!C10*1000)</f>
        <v>2.9649645091259211</v>
      </c>
      <c r="D41" s="29">
        <f>IF(D17=0,0,D17/TrRail_act!D10*1000)</f>
        <v>2.961693105223687</v>
      </c>
      <c r="E41" s="29">
        <f>IF(E17=0,0,E17/TrRail_act!E10*1000)</f>
        <v>3.0961243621012784</v>
      </c>
      <c r="F41" s="29">
        <f>IF(F17=0,0,F17/TrRail_act!F10*1000)</f>
        <v>3.107045855287617</v>
      </c>
      <c r="G41" s="29">
        <f>IF(G17=0,0,G17/TrRail_act!G10*1000)</f>
        <v>2.9348555101670444</v>
      </c>
      <c r="H41" s="29">
        <f>IF(H17=0,0,H17/TrRail_act!H10*1000)</f>
        <v>3.0829675963477987</v>
      </c>
      <c r="I41" s="29">
        <f>IF(I17=0,0,I17/TrRail_act!I10*1000)</f>
        <v>3.0719150202122258</v>
      </c>
      <c r="J41" s="29">
        <f>IF(J17=0,0,J17/TrRail_act!J10*1000)</f>
        <v>3.0799753058394312</v>
      </c>
      <c r="K41" s="29">
        <f>IF(K17=0,0,K17/TrRail_act!K10*1000)</f>
        <v>2.8334453136851518</v>
      </c>
      <c r="L41" s="29">
        <f>IF(L17=0,0,L17/TrRail_act!L10*1000)</f>
        <v>2.7545441787259395</v>
      </c>
      <c r="M41" s="29">
        <f>IF(M17=0,0,M17/TrRail_act!M10*1000)</f>
        <v>2.7263763652065474</v>
      </c>
      <c r="N41" s="29">
        <f>IF(N17=0,0,N17/TrRail_act!N10*1000)</f>
        <v>2.7374383243504528</v>
      </c>
      <c r="O41" s="29">
        <f>IF(O17=0,0,O17/TrRail_act!O10*1000)</f>
        <v>2.8156097724729352</v>
      </c>
      <c r="P41" s="29">
        <f>IF(P17=0,0,P17/TrRail_act!P10*1000)</f>
        <v>2.5687071091554929</v>
      </c>
      <c r="Q41" s="29">
        <f>IF(Q17=0,0,Q17/TrRail_act!Q10*1000)</f>
        <v>2.4834907311287466</v>
      </c>
      <c r="R41" s="29">
        <f>IF(R17=0,0,R17/TrRail_act!R10*1000)</f>
        <v>2.5123704288340547</v>
      </c>
      <c r="S41" s="29">
        <f>IF(S17=0,0,S17/TrRail_act!S10*1000)</f>
        <v>2.6575939160469884</v>
      </c>
      <c r="T41" s="29">
        <f>IF(T17=0,0,T17/TrRail_act!T10*1000)</f>
        <v>2.7159479408528333</v>
      </c>
      <c r="U41" s="29">
        <f>IF(U17=0,0,U17/TrRail_act!U10*1000)</f>
        <v>2.9557852193992202</v>
      </c>
      <c r="V41" s="29">
        <f>IF(V17=0,0,V17/TrRail_act!V10*1000)</f>
        <v>2.9745951401146673</v>
      </c>
      <c r="W41" s="29">
        <f>IF(W17=0,0,W17/TrRail_act!W10*1000)</f>
        <v>3.4129873232171444</v>
      </c>
      <c r="X41" s="29">
        <f>IF(X17=0,0,X17/TrRail_act!X10*1000)</f>
        <v>3.1808861121498269</v>
      </c>
      <c r="Y41" s="29">
        <f>IF(Y17=0,0,Y17/TrRail_act!Y10*1000)</f>
        <v>4.3872359845569582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6.1296916702245863</v>
      </c>
      <c r="C42" s="87">
        <f>IF(C18=0,0,C18/TrRail_act!C11*1000)</f>
        <v>6.028816106862088</v>
      </c>
      <c r="D42" s="87">
        <f>IF(D18=0,0,D18/TrRail_act!D11*1000)</f>
        <v>5.9644185092361139</v>
      </c>
      <c r="E42" s="87">
        <f>IF(E18=0,0,E18/TrRail_act!E11*1000)</f>
        <v>5.8463762995986626</v>
      </c>
      <c r="F42" s="87">
        <f>IF(F18=0,0,F18/TrRail_act!F11*1000)</f>
        <v>5.9208156674610111</v>
      </c>
      <c r="G42" s="87">
        <f>IF(G18=0,0,G18/TrRail_act!G11*1000)</f>
        <v>5.8852188783714903</v>
      </c>
      <c r="H42" s="87">
        <f>IF(H18=0,0,H18/TrRail_act!H11*1000)</f>
        <v>5.8565443623774076</v>
      </c>
      <c r="I42" s="87">
        <f>IF(I18=0,0,I18/TrRail_act!I11*1000)</f>
        <v>5.8387771040323493</v>
      </c>
      <c r="J42" s="87">
        <f>IF(J18=0,0,J18/TrRail_act!J11*1000)</f>
        <v>6.0152847390797426</v>
      </c>
      <c r="K42" s="87">
        <f>IF(K18=0,0,K18/TrRail_act!K11*1000)</f>
        <v>5.6320976734544175</v>
      </c>
      <c r="L42" s="87">
        <f>IF(L18=0,0,L18/TrRail_act!L11*1000)</f>
        <v>5.6672256822312104</v>
      </c>
      <c r="M42" s="87">
        <f>IF(M18=0,0,M18/TrRail_act!M11*1000)</f>
        <v>6.249698090576211</v>
      </c>
      <c r="N42" s="87">
        <f>IF(N18=0,0,N18/TrRail_act!N11*1000)</f>
        <v>6.17982860056145</v>
      </c>
      <c r="O42" s="87">
        <f>IF(O18=0,0,O18/TrRail_act!O11*1000)</f>
        <v>6.5145826653662491</v>
      </c>
      <c r="P42" s="87">
        <f>IF(P18=0,0,P18/TrRail_act!P11*1000)</f>
        <v>6.124556678718144</v>
      </c>
      <c r="Q42" s="87">
        <f>IF(Q18=0,0,Q18/TrRail_act!Q11*1000)</f>
        <v>6.0838752799471516</v>
      </c>
      <c r="R42" s="87">
        <f>IF(R18=0,0,R18/TrRail_act!R11*1000)</f>
        <v>6.1905896333583303</v>
      </c>
      <c r="S42" s="87">
        <f>IF(S18=0,0,S18/TrRail_act!S11*1000)</f>
        <v>6.2380951456754516</v>
      </c>
      <c r="T42" s="87">
        <f>IF(T18=0,0,T18/TrRail_act!T11*1000)</f>
        <v>6.2817532895905543</v>
      </c>
      <c r="U42" s="87">
        <f>IF(U18=0,0,U18/TrRail_act!U11*1000)</f>
        <v>6.7447162588479586</v>
      </c>
      <c r="V42" s="87">
        <f>IF(V18=0,0,V18/TrRail_act!V11*1000)</f>
        <v>6.6698523806512977</v>
      </c>
      <c r="W42" s="87">
        <f>IF(W18=0,0,W18/TrRail_act!W11*1000)</f>
        <v>7.2331859517708823</v>
      </c>
      <c r="X42" s="87">
        <f>IF(X18=0,0,X18/TrRail_act!X11*1000)</f>
        <v>7.0796474791018094</v>
      </c>
      <c r="Y42" s="87">
        <f>IF(Y18=0,0,Y18/TrRail_act!Y11*1000)</f>
        <v>7.6724168916548594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2.9546645468715393</v>
      </c>
      <c r="C43" s="88">
        <f>IF(C19=0,0,C19/TrRail_act!C12*1000)</f>
        <v>2.8418781890181006</v>
      </c>
      <c r="D43" s="88">
        <f>IF(D19=0,0,D19/TrRail_act!D12*1000)</f>
        <v>2.8397068770480334</v>
      </c>
      <c r="E43" s="88">
        <f>IF(E19=0,0,E19/TrRail_act!E12*1000)</f>
        <v>2.9700823127382106</v>
      </c>
      <c r="F43" s="88">
        <f>IF(F19=0,0,F19/TrRail_act!F12*1000)</f>
        <v>2.9636473509749388</v>
      </c>
      <c r="G43" s="88">
        <f>IF(G19=0,0,G19/TrRail_act!G12*1000)</f>
        <v>2.8425626510445072</v>
      </c>
      <c r="H43" s="88">
        <f>IF(H19=0,0,H19/TrRail_act!H12*1000)</f>
        <v>2.6988090879475117</v>
      </c>
      <c r="I43" s="88">
        <f>IF(I19=0,0,I19/TrRail_act!I12*1000)</f>
        <v>2.6027893460631595</v>
      </c>
      <c r="J43" s="88">
        <f>IF(J19=0,0,J19/TrRail_act!J12*1000)</f>
        <v>2.5447630200910627</v>
      </c>
      <c r="K43" s="88">
        <f>IF(K19=0,0,K19/TrRail_act!K12*1000)</f>
        <v>2.4502010215299523</v>
      </c>
      <c r="L43" s="88">
        <f>IF(L19=0,0,L19/TrRail_act!L12*1000)</f>
        <v>2.4132451428936514</v>
      </c>
      <c r="M43" s="88">
        <f>IF(M19=0,0,M19/TrRail_act!M12*1000)</f>
        <v>2.5301891992357706</v>
      </c>
      <c r="N43" s="88">
        <f>IF(N19=0,0,N19/TrRail_act!N12*1000)</f>
        <v>2.5519975489104714</v>
      </c>
      <c r="O43" s="88">
        <f>IF(O19=0,0,O19/TrRail_act!O12*1000)</f>
        <v>2.6786341576754116</v>
      </c>
      <c r="P43" s="88">
        <f>IF(P19=0,0,P19/TrRail_act!P12*1000)</f>
        <v>2.5038035211174927</v>
      </c>
      <c r="Q43" s="88">
        <f>IF(Q19=0,0,Q19/TrRail_act!Q12*1000)</f>
        <v>2.4056849100270727</v>
      </c>
      <c r="R43" s="88">
        <f>IF(R19=0,0,R19/TrRail_act!R12*1000)</f>
        <v>2.4610003016809388</v>
      </c>
      <c r="S43" s="88">
        <f>IF(S19=0,0,S19/TrRail_act!S12*1000)</f>
        <v>2.5426552740205013</v>
      </c>
      <c r="T43" s="88">
        <f>IF(T19=0,0,T19/TrRail_act!T12*1000)</f>
        <v>2.5699688486932737</v>
      </c>
      <c r="U43" s="88">
        <f>IF(U19=0,0,U19/TrRail_act!U12*1000)</f>
        <v>2.8000895091973725</v>
      </c>
      <c r="V43" s="88">
        <f>IF(V19=0,0,V19/TrRail_act!V12*1000)</f>
        <v>2.7934394010451022</v>
      </c>
      <c r="W43" s="88">
        <f>IF(W19=0,0,W19/TrRail_act!W12*1000)</f>
        <v>3.2659830907759035</v>
      </c>
      <c r="X43" s="88">
        <f>IF(X19=0,0,X19/TrRail_act!X12*1000)</f>
        <v>3.1380355269255547</v>
      </c>
      <c r="Y43" s="88">
        <f>IF(Y19=0,0,Y19/TrRail_act!Y12*1000)</f>
        <v>4.3528497057934681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217948.3794843895</v>
      </c>
      <c r="C45" s="54">
        <f>IF(C10=0,0,1000000*C10/TrRail_act!C25)</f>
        <v>214432.09569109388</v>
      </c>
      <c r="D45" s="54">
        <f>IF(D10=0,0,1000000*D10/TrRail_act!D25)</f>
        <v>210885.90301541233</v>
      </c>
      <c r="E45" s="54">
        <f>IF(E10=0,0,1000000*E10/TrRail_act!E25)</f>
        <v>208218.2968264604</v>
      </c>
      <c r="F45" s="54">
        <f>IF(F10=0,0,1000000*F10/TrRail_act!F25)</f>
        <v>203474.24538410394</v>
      </c>
      <c r="G45" s="54">
        <f>IF(G10=0,0,1000000*G10/TrRail_act!G25)</f>
        <v>196992.30517365169</v>
      </c>
      <c r="H45" s="54">
        <f>IF(H10=0,0,1000000*H10/TrRail_act!H25)</f>
        <v>197247.13911790232</v>
      </c>
      <c r="I45" s="54">
        <f>IF(I10=0,0,1000000*I10/TrRail_act!I25)</f>
        <v>189778.18513383597</v>
      </c>
      <c r="J45" s="54">
        <f>IF(J10=0,0,1000000*J10/TrRail_act!J25)</f>
        <v>175507.65155232084</v>
      </c>
      <c r="K45" s="54">
        <f>IF(K10=0,0,1000000*K10/TrRail_act!K25)</f>
        <v>172353.19547000143</v>
      </c>
      <c r="L45" s="54">
        <f>IF(L10=0,0,1000000*L10/TrRail_act!L25)</f>
        <v>174449.1554649522</v>
      </c>
      <c r="M45" s="54">
        <f>IF(M10=0,0,1000000*M10/TrRail_act!M25)</f>
        <v>171927.2743276509</v>
      </c>
      <c r="N45" s="54">
        <f>IF(N10=0,0,1000000*N10/TrRail_act!N25)</f>
        <v>173526.34237142219</v>
      </c>
      <c r="O45" s="54">
        <f>IF(O10=0,0,1000000*O10/TrRail_act!O25)</f>
        <v>169302.88194162538</v>
      </c>
      <c r="P45" s="54">
        <f>IF(P10=0,0,1000000*P10/TrRail_act!P25)</f>
        <v>160681.93020856418</v>
      </c>
      <c r="Q45" s="54">
        <f>IF(Q10=0,0,1000000*Q10/TrRail_act!Q25)</f>
        <v>161075.89578391743</v>
      </c>
      <c r="R45" s="54">
        <f>IF(R10=0,0,1000000*R10/TrRail_act!R25)</f>
        <v>158737.17676935051</v>
      </c>
      <c r="S45" s="54">
        <f>IF(S10=0,0,1000000*S10/TrRail_act!S25)</f>
        <v>159315.43774405439</v>
      </c>
      <c r="T45" s="54">
        <f>IF(T10=0,0,1000000*T10/TrRail_act!T25)</f>
        <v>160464.56845293986</v>
      </c>
      <c r="U45" s="54">
        <f>IF(U10=0,0,1000000*U10/TrRail_act!U25)</f>
        <v>159601.07759813455</v>
      </c>
      <c r="V45" s="54">
        <f>IF(V10=0,0,1000000*V10/TrRail_act!V25)</f>
        <v>144726.6871530269</v>
      </c>
      <c r="W45" s="54">
        <f>IF(W10=0,0,1000000*W10/TrRail_act!W25)</f>
        <v>163912.03959073249</v>
      </c>
      <c r="X45" s="54">
        <f>IF(X10=0,0,1000000*X10/TrRail_act!X25)</f>
        <v>148193.59937114466</v>
      </c>
      <c r="Y45" s="54">
        <f>IF(Y10=0,0,1000000*Y10/TrRail_act!Y25)</f>
        <v>152546.86231690863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202913.89848488165</v>
      </c>
      <c r="C46" s="28">
        <f>IF(C11=0,0,1000000*C11/TrRail_act!C26)</f>
        <v>200613.0822039012</v>
      </c>
      <c r="D46" s="28">
        <f>IF(D11=0,0,1000000*D11/TrRail_act!D26)</f>
        <v>198137.66865298164</v>
      </c>
      <c r="E46" s="28">
        <f>IF(E11=0,0,1000000*E11/TrRail_act!E26)</f>
        <v>195934.37388925927</v>
      </c>
      <c r="F46" s="28">
        <f>IF(F11=0,0,1000000*F11/TrRail_act!F26)</f>
        <v>189885.15206388957</v>
      </c>
      <c r="G46" s="28">
        <f>IF(G11=0,0,1000000*G11/TrRail_act!G26)</f>
        <v>184557.49011249334</v>
      </c>
      <c r="H46" s="28">
        <f>IF(H11=0,0,1000000*H11/TrRail_act!H26)</f>
        <v>181826.21217240987</v>
      </c>
      <c r="I46" s="28">
        <f>IF(I11=0,0,1000000*I11/TrRail_act!I26)</f>
        <v>173435.20992894142</v>
      </c>
      <c r="J46" s="28">
        <f>IF(J11=0,0,1000000*J11/TrRail_act!J26)</f>
        <v>159468.7483536379</v>
      </c>
      <c r="K46" s="28">
        <f>IF(K11=0,0,1000000*K11/TrRail_act!K26)</f>
        <v>164166.43147755362</v>
      </c>
      <c r="L46" s="28">
        <f>IF(L11=0,0,1000000*L11/TrRail_act!L26)</f>
        <v>165067.09647095067</v>
      </c>
      <c r="M46" s="28">
        <f>IF(M11=0,0,1000000*M11/TrRail_act!M26)</f>
        <v>163023.25844334904</v>
      </c>
      <c r="N46" s="28">
        <f>IF(N11=0,0,1000000*N11/TrRail_act!N26)</f>
        <v>164931.07970668879</v>
      </c>
      <c r="O46" s="28">
        <f>IF(O11=0,0,1000000*O11/TrRail_act!O26)</f>
        <v>161644.54801516127</v>
      </c>
      <c r="P46" s="28">
        <f>IF(P11=0,0,1000000*P11/TrRail_act!P26)</f>
        <v>153356.93991910032</v>
      </c>
      <c r="Q46" s="28">
        <f>IF(Q11=0,0,1000000*Q11/TrRail_act!Q26)</f>
        <v>154323.80954940725</v>
      </c>
      <c r="R46" s="28">
        <f>IF(R11=0,0,1000000*R11/TrRail_act!R26)</f>
        <v>151767.0944897843</v>
      </c>
      <c r="S46" s="28">
        <f>IF(S11=0,0,1000000*S11/TrRail_act!S26)</f>
        <v>151988.50912085077</v>
      </c>
      <c r="T46" s="28">
        <f>IF(T11=0,0,1000000*T11/TrRail_act!T26)</f>
        <v>153316.23113864099</v>
      </c>
      <c r="U46" s="28">
        <f>IF(U11=0,0,1000000*U11/TrRail_act!U26)</f>
        <v>151799.37694066286</v>
      </c>
      <c r="V46" s="28">
        <f>IF(V11=0,0,1000000*V11/TrRail_act!V26)</f>
        <v>135124.26426931034</v>
      </c>
      <c r="W46" s="28">
        <f>IF(W11=0,0,1000000*W11/TrRail_act!W26)</f>
        <v>152586.21134330909</v>
      </c>
      <c r="X46" s="28">
        <f>IF(X11=0,0,1000000*X11/TrRail_act!X26)</f>
        <v>138192.47474426939</v>
      </c>
      <c r="Y46" s="28">
        <f>IF(Y11=0,0,1000000*Y11/TrRail_act!Y26)</f>
        <v>140790.29735441328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42386.292880824731</v>
      </c>
      <c r="C47" s="108">
        <f>IF(C12=0,0,1000000*C12/TrRail_act!C27)</f>
        <v>42093.364976264704</v>
      </c>
      <c r="D47" s="108">
        <f>IF(D12=0,0,1000000*D12/TrRail_act!D27)</f>
        <v>41376.562814298755</v>
      </c>
      <c r="E47" s="108">
        <f>IF(E12=0,0,1000000*E12/TrRail_act!E27)</f>
        <v>41015.839208154692</v>
      </c>
      <c r="F47" s="108">
        <f>IF(F12=0,0,1000000*F12/TrRail_act!F27)</f>
        <v>40842.766981953013</v>
      </c>
      <c r="G47" s="108">
        <f>IF(G12=0,0,1000000*G12/TrRail_act!G27)</f>
        <v>40010.856357463723</v>
      </c>
      <c r="H47" s="108">
        <f>IF(H12=0,0,1000000*H12/TrRail_act!H27)</f>
        <v>38962.816995649002</v>
      </c>
      <c r="I47" s="108">
        <f>IF(I12=0,0,1000000*I12/TrRail_act!I27)</f>
        <v>38603.623384505889</v>
      </c>
      <c r="J47" s="108">
        <f>IF(J12=0,0,1000000*J12/TrRail_act!J27)</f>
        <v>38068.523231536688</v>
      </c>
      <c r="K47" s="108">
        <f>IF(K12=0,0,1000000*K12/TrRail_act!K27)</f>
        <v>37635.051380838195</v>
      </c>
      <c r="L47" s="108">
        <f>IF(L12=0,0,1000000*L12/TrRail_act!L27)</f>
        <v>36719.190511279965</v>
      </c>
      <c r="M47" s="108">
        <f>IF(M12=0,0,1000000*M12/TrRail_act!M27)</f>
        <v>36308.638653292561</v>
      </c>
      <c r="N47" s="108">
        <f>IF(N12=0,0,1000000*N12/TrRail_act!N27)</f>
        <v>35535.198650699655</v>
      </c>
      <c r="O47" s="108">
        <f>IF(O12=0,0,1000000*O12/TrRail_act!O27)</f>
        <v>35425.097986300607</v>
      </c>
      <c r="P47" s="108">
        <f>IF(P12=0,0,1000000*P12/TrRail_act!P27)</f>
        <v>34619.038433188442</v>
      </c>
      <c r="Q47" s="108">
        <f>IF(Q12=0,0,1000000*Q12/TrRail_act!Q27)</f>
        <v>33857.127111808259</v>
      </c>
      <c r="R47" s="108">
        <f>IF(R12=0,0,1000000*R12/TrRail_act!R27)</f>
        <v>33296.71827643842</v>
      </c>
      <c r="S47" s="108">
        <f>IF(S12=0,0,1000000*S12/TrRail_act!S27)</f>
        <v>32882.507457798485</v>
      </c>
      <c r="T47" s="108">
        <f>IF(T12=0,0,1000000*T12/TrRail_act!T27)</f>
        <v>32575.234382695104</v>
      </c>
      <c r="U47" s="108">
        <f>IF(U12=0,0,1000000*U12/TrRail_act!U27)</f>
        <v>32346.665328338979</v>
      </c>
      <c r="V47" s="108">
        <f>IF(V12=0,0,1000000*V12/TrRail_act!V27)</f>
        <v>28385.640761442915</v>
      </c>
      <c r="W47" s="108">
        <f>IF(W12=0,0,1000000*W12/TrRail_act!W27)</f>
        <v>32049.100590144928</v>
      </c>
      <c r="X47" s="108">
        <f>IF(X12=0,0,1000000*X12/TrRail_act!X27)</f>
        <v>31954.037348196976</v>
      </c>
      <c r="Y47" s="108">
        <f>IF(Y12=0,0,1000000*Y12/TrRail_act!Y27)</f>
        <v>21318.405923818103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242952.1660856418</v>
      </c>
      <c r="C48" s="110">
        <f>IF(C13=0,0,1000000*C13/TrRail_act!C28)</f>
        <v>236772.62916891088</v>
      </c>
      <c r="D48" s="110">
        <f>IF(D13=0,0,1000000*D13/TrRail_act!D28)</f>
        <v>234806.93052627082</v>
      </c>
      <c r="E48" s="110">
        <f>IF(E13=0,0,1000000*E13/TrRail_act!E28)</f>
        <v>231224.52053162301</v>
      </c>
      <c r="F48" s="110">
        <f>IF(F13=0,0,1000000*F13/TrRail_act!F28)</f>
        <v>226378.1159919044</v>
      </c>
      <c r="G48" s="110">
        <f>IF(G13=0,0,1000000*G13/TrRail_act!G28)</f>
        <v>219613.07017363748</v>
      </c>
      <c r="H48" s="110">
        <f>IF(H13=0,0,1000000*H13/TrRail_act!H28)</f>
        <v>220039.28030539435</v>
      </c>
      <c r="I48" s="110">
        <f>IF(I13=0,0,1000000*I13/TrRail_act!I28)</f>
        <v>214382.51715693643</v>
      </c>
      <c r="J48" s="110">
        <f>IF(J13=0,0,1000000*J13/TrRail_act!J28)</f>
        <v>193208.8684694432</v>
      </c>
      <c r="K48" s="110">
        <f>IF(K13=0,0,1000000*K13/TrRail_act!K28)</f>
        <v>197815.73362205536</v>
      </c>
      <c r="L48" s="110">
        <f>IF(L13=0,0,1000000*L13/TrRail_act!L28)</f>
        <v>198110.28015585607</v>
      </c>
      <c r="M48" s="110">
        <f>IF(M13=0,0,1000000*M13/TrRail_act!M28)</f>
        <v>194617.18468596975</v>
      </c>
      <c r="N48" s="110">
        <f>IF(N13=0,0,1000000*N13/TrRail_act!N28)</f>
        <v>191604.04394824518</v>
      </c>
      <c r="O48" s="110">
        <f>IF(O13=0,0,1000000*O13/TrRail_act!O28)</f>
        <v>185857.54798206568</v>
      </c>
      <c r="P48" s="110">
        <f>IF(P13=0,0,1000000*P13/TrRail_act!P28)</f>
        <v>175475.0296519172</v>
      </c>
      <c r="Q48" s="110">
        <f>IF(Q13=0,0,1000000*Q13/TrRail_act!Q28)</f>
        <v>177520.05416814119</v>
      </c>
      <c r="R48" s="110">
        <f>IF(R13=0,0,1000000*R13/TrRail_act!R28)</f>
        <v>173736.23373962654</v>
      </c>
      <c r="S48" s="110">
        <f>IF(S13=0,0,1000000*S13/TrRail_act!S28)</f>
        <v>175120.22656498678</v>
      </c>
      <c r="T48" s="110">
        <f>IF(T13=0,0,1000000*T13/TrRail_act!T28)</f>
        <v>175478.94828067583</v>
      </c>
      <c r="U48" s="110">
        <f>IF(U13=0,0,1000000*U13/TrRail_act!U28)</f>
        <v>175039.48246885356</v>
      </c>
      <c r="V48" s="110">
        <f>IF(V13=0,0,1000000*V13/TrRail_act!V28)</f>
        <v>153276.36136204007</v>
      </c>
      <c r="W48" s="110">
        <f>IF(W13=0,0,1000000*W13/TrRail_act!W28)</f>
        <v>173587.66919849045</v>
      </c>
      <c r="X48" s="110">
        <f>IF(X13=0,0,1000000*X13/TrRail_act!X28)</f>
        <v>164989.60856207582</v>
      </c>
      <c r="Y48" s="110">
        <f>IF(Y13=0,0,1000000*Y13/TrRail_act!Y28)</f>
        <v>168022.91361934575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410600.35483954201</v>
      </c>
      <c r="C49" s="84">
        <f>IF(C14=0,0,1000000*C14/TrRail_act!C29)</f>
        <v>391394.79650499619</v>
      </c>
      <c r="D49" s="84">
        <f>IF(D14=0,0,1000000*D14/TrRail_act!D29)</f>
        <v>379637.16460223868</v>
      </c>
      <c r="E49" s="84">
        <f>IF(E14=0,0,1000000*E14/TrRail_act!E29)</f>
        <v>371535.04330706515</v>
      </c>
      <c r="F49" s="84">
        <f>IF(F14=0,0,1000000*F14/TrRail_act!F29)</f>
        <v>351055.90523310431</v>
      </c>
      <c r="G49" s="84">
        <f>IF(G14=0,0,1000000*G14/TrRail_act!G29)</f>
        <v>334581.47005637817</v>
      </c>
      <c r="H49" s="84">
        <f>IF(H14=0,0,1000000*H14/TrRail_act!H29)</f>
        <v>339068.4755802952</v>
      </c>
      <c r="I49" s="84">
        <f>IF(I14=0,0,1000000*I14/TrRail_act!I29)</f>
        <v>335984.06946473796</v>
      </c>
      <c r="J49" s="84">
        <f>IF(J14=0,0,1000000*J14/TrRail_act!J29)</f>
        <v>221298.50500315797</v>
      </c>
      <c r="K49" s="84">
        <f>IF(K14=0,0,1000000*K14/TrRail_act!K29)</f>
        <v>258308.87576199332</v>
      </c>
      <c r="L49" s="84">
        <f>IF(L14=0,0,1000000*L14/TrRail_act!L29)</f>
        <v>319939.04371467786</v>
      </c>
      <c r="M49" s="84">
        <f>IF(M14=0,0,1000000*M14/TrRail_act!M29)</f>
        <v>294246.73440918972</v>
      </c>
      <c r="N49" s="84">
        <f>IF(N14=0,0,1000000*N14/TrRail_act!N29)</f>
        <v>284637.0127715274</v>
      </c>
      <c r="O49" s="84">
        <f>IF(O14=0,0,1000000*O14/TrRail_act!O29)</f>
        <v>247662.0477386394</v>
      </c>
      <c r="P49" s="84">
        <f>IF(P14=0,0,1000000*P14/TrRail_act!P29)</f>
        <v>152036.30247077861</v>
      </c>
      <c r="Q49" s="84">
        <f>IF(Q14=0,0,1000000*Q14/TrRail_act!Q29)</f>
        <v>263886.36225742102</v>
      </c>
      <c r="R49" s="84">
        <f>IF(R14=0,0,1000000*R14/TrRail_act!R29)</f>
        <v>254032.30154787365</v>
      </c>
      <c r="S49" s="84">
        <f>IF(S14=0,0,1000000*S14/TrRail_act!S29)</f>
        <v>249352.83731439553</v>
      </c>
      <c r="T49" s="84">
        <f>IF(T14=0,0,1000000*T14/TrRail_act!T29)</f>
        <v>245899.895055787</v>
      </c>
      <c r="U49" s="84">
        <f>IF(U14=0,0,1000000*U14/TrRail_act!U29)</f>
        <v>243341.60296344149</v>
      </c>
      <c r="V49" s="84">
        <f>IF(V14=0,0,1000000*V14/TrRail_act!V29)</f>
        <v>241440.3656520092</v>
      </c>
      <c r="W49" s="84">
        <f>IF(W14=0,0,1000000*W14/TrRail_act!W29)</f>
        <v>240024.1922223522</v>
      </c>
      <c r="X49" s="84">
        <f>IF(X14=0,0,1000000*X14/TrRail_act!X29)</f>
        <v>94967.125667212298</v>
      </c>
      <c r="Y49" s="84">
        <f>IF(Y14=0,0,1000000*Y14/TrRail_act!Y29)</f>
        <v>150915.19785063787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201695.1377736142</v>
      </c>
      <c r="C50" s="84">
        <f>IF(C15=0,0,1000000*C15/TrRail_act!C30)</f>
        <v>200145.89743707189</v>
      </c>
      <c r="D50" s="84">
        <f>IF(D15=0,0,1000000*D15/TrRail_act!D30)</f>
        <v>199256.14330558202</v>
      </c>
      <c r="E50" s="84">
        <f>IF(E15=0,0,1000000*E15/TrRail_act!E30)</f>
        <v>194741.02737755331</v>
      </c>
      <c r="F50" s="84">
        <f>IF(F15=0,0,1000000*F15/TrRail_act!F30)</f>
        <v>195399.88854816364</v>
      </c>
      <c r="G50" s="84">
        <f>IF(G15=0,0,1000000*G15/TrRail_act!G30)</f>
        <v>194924.05455952245</v>
      </c>
      <c r="H50" s="84">
        <f>IF(H15=0,0,1000000*H15/TrRail_act!H30)</f>
        <v>193204.75672986731</v>
      </c>
      <c r="I50" s="84">
        <f>IF(I15=0,0,1000000*I15/TrRail_act!I30)</f>
        <v>190764.55765714965</v>
      </c>
      <c r="J50" s="84">
        <f>IF(J15=0,0,1000000*J15/TrRail_act!J30)</f>
        <v>188774.02062128257</v>
      </c>
      <c r="K50" s="84">
        <f>IF(K15=0,0,1000000*K15/TrRail_act!K30)</f>
        <v>189484.32179544782</v>
      </c>
      <c r="L50" s="84">
        <f>IF(L15=0,0,1000000*L15/TrRail_act!L30)</f>
        <v>184080.5184475237</v>
      </c>
      <c r="M50" s="84">
        <f>IF(M15=0,0,1000000*M15/TrRail_act!M30)</f>
        <v>185335.76471228513</v>
      </c>
      <c r="N50" s="84">
        <f>IF(N15=0,0,1000000*N15/TrRail_act!N30)</f>
        <v>181153.89716540757</v>
      </c>
      <c r="O50" s="84">
        <f>IF(O15=0,0,1000000*O15/TrRail_act!O30)</f>
        <v>180647.47324559136</v>
      </c>
      <c r="P50" s="84">
        <f>IF(P15=0,0,1000000*P15/TrRail_act!P30)</f>
        <v>176976.8971822673</v>
      </c>
      <c r="Q50" s="84">
        <f>IF(Q15=0,0,1000000*Q15/TrRail_act!Q30)</f>
        <v>173848.20875287097</v>
      </c>
      <c r="R50" s="84">
        <f>IF(R15=0,0,1000000*R15/TrRail_act!R30)</f>
        <v>171538.04377595679</v>
      </c>
      <c r="S50" s="84">
        <f>IF(S15=0,0,1000000*S15/TrRail_act!S30)</f>
        <v>170674.71624638865</v>
      </c>
      <c r="T50" s="84">
        <f>IF(T15=0,0,1000000*T15/TrRail_act!T30)</f>
        <v>170030.07318073514</v>
      </c>
      <c r="U50" s="84">
        <f>IF(U15=0,0,1000000*U15/TrRail_act!U30)</f>
        <v>169548.18926268158</v>
      </c>
      <c r="V50" s="84">
        <f>IF(V15=0,0,1000000*V15/TrRail_act!V30)</f>
        <v>145701.78030224686</v>
      </c>
      <c r="W50" s="84">
        <f>IF(W15=0,0,1000000*W15/TrRail_act!W30)</f>
        <v>168385.78730494666</v>
      </c>
      <c r="X50" s="84">
        <f>IF(X15=0,0,1000000*X15/TrRail_act!X30)</f>
        <v>168715.65797125397</v>
      </c>
      <c r="Y50" s="84">
        <f>IF(Y15=0,0,1000000*Y15/TrRail_act!Y30)</f>
        <v>168564.21876043917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1017489.6380886885</v>
      </c>
      <c r="C51" s="113">
        <f>IF(C16=0,0,1000000*C16/TrRail_act!C31)</f>
        <v>1006882.0700216956</v>
      </c>
      <c r="D51" s="113">
        <f>IF(D16=0,0,1000000*D16/TrRail_act!D31)</f>
        <v>995901.35179066623</v>
      </c>
      <c r="E51" s="113">
        <f>IF(E16=0,0,1000000*E16/TrRail_act!E31)</f>
        <v>969145.34784048563</v>
      </c>
      <c r="F51" s="113">
        <f>IF(F16=0,0,1000000*F16/TrRail_act!F31)</f>
        <v>935212.5127494511</v>
      </c>
      <c r="G51" s="113">
        <f>IF(G16=0,0,1000000*G16/TrRail_act!G31)</f>
        <v>874904.18290810939</v>
      </c>
      <c r="H51" s="113">
        <f>IF(H16=0,0,1000000*H16/TrRail_act!H31)</f>
        <v>852184.60457831668</v>
      </c>
      <c r="I51" s="113">
        <f>IF(I16=0,0,1000000*I16/TrRail_act!I31)</f>
        <v>802488.07142115431</v>
      </c>
      <c r="J51" s="113">
        <f>IF(J16=0,0,1000000*J16/TrRail_act!J31)</f>
        <v>794597.99420962832</v>
      </c>
      <c r="K51" s="113">
        <f>IF(K16=0,0,1000000*K16/TrRail_act!K31)</f>
        <v>799167.19638153957</v>
      </c>
      <c r="L51" s="113">
        <f>IF(L16=0,0,1000000*L16/TrRail_act!L31)</f>
        <v>801495.86656501016</v>
      </c>
      <c r="M51" s="113">
        <f>IF(M16=0,0,1000000*M16/TrRail_act!M31)</f>
        <v>791655.16154269234</v>
      </c>
      <c r="N51" s="113">
        <f>IF(N16=0,0,1000000*N16/TrRail_act!N31)</f>
        <v>757407.43570350332</v>
      </c>
      <c r="O51" s="113">
        <f>IF(O16=0,0,1000000*O16/TrRail_act!O31)</f>
        <v>748666.32276073855</v>
      </c>
      <c r="P51" s="113">
        <f>IF(P16=0,0,1000000*P16/TrRail_act!P31)</f>
        <v>729163.59826598142</v>
      </c>
      <c r="Q51" s="113">
        <f>IF(Q16=0,0,1000000*Q16/TrRail_act!Q31)</f>
        <v>722849.73623235559</v>
      </c>
      <c r="R51" s="113">
        <f>IF(R16=0,0,1000000*R16/TrRail_act!R31)</f>
        <v>718150.24418633094</v>
      </c>
      <c r="S51" s="113">
        <f>IF(S16=0,0,1000000*S16/TrRail_act!S31)</f>
        <v>714645.68795437983</v>
      </c>
      <c r="T51" s="113">
        <f>IF(T16=0,0,1000000*T16/TrRail_act!T31)</f>
        <v>712028.49750749976</v>
      </c>
      <c r="U51" s="113">
        <f>IF(U16=0,0,1000000*U16/TrRail_act!U31)</f>
        <v>710071.89281518012</v>
      </c>
      <c r="V51" s="113">
        <f>IF(V16=0,0,1000000*V16/TrRail_act!V31)</f>
        <v>673571.2582938486</v>
      </c>
      <c r="W51" s="113">
        <f>IF(W16=0,0,1000000*W16/TrRail_act!W31)</f>
        <v>707512.01422587212</v>
      </c>
      <c r="X51" s="113">
        <f>IF(X16=0,0,1000000*X16/TrRail_act!X31)</f>
        <v>685482.14964439929</v>
      </c>
      <c r="Y51" s="113">
        <f>IF(Y16=0,0,1000000*Y16/TrRail_act!Y31)</f>
        <v>693653.95995206793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415971.20940542687</v>
      </c>
      <c r="C52" s="28">
        <f>IF(C17=0,0,1000000*C17/TrRail_act!C32)</f>
        <v>399856.16412334261</v>
      </c>
      <c r="D52" s="28">
        <f>IF(D17=0,0,1000000*D17/TrRail_act!D32)</f>
        <v>395824.50970377086</v>
      </c>
      <c r="E52" s="28">
        <f>IF(E17=0,0,1000000*E17/TrRail_act!E32)</f>
        <v>385596.80678739847</v>
      </c>
      <c r="F52" s="28">
        <f>IF(F17=0,0,1000000*F17/TrRail_act!F32)</f>
        <v>369228.04648379778</v>
      </c>
      <c r="G52" s="28">
        <f>IF(G17=0,0,1000000*G17/TrRail_act!G32)</f>
        <v>345065.46028771758</v>
      </c>
      <c r="H52" s="28">
        <f>IF(H17=0,0,1000000*H17/TrRail_act!H32)</f>
        <v>374702.62239368353</v>
      </c>
      <c r="I52" s="28">
        <f>IF(I17=0,0,1000000*I17/TrRail_act!I32)</f>
        <v>375943.11142011889</v>
      </c>
      <c r="J52" s="28">
        <f>IF(J17=0,0,1000000*J17/TrRail_act!J32)</f>
        <v>375437.36242952466</v>
      </c>
      <c r="K52" s="28">
        <f>IF(K17=0,0,1000000*K17/TrRail_act!K32)</f>
        <v>282460.17588141892</v>
      </c>
      <c r="L52" s="28">
        <f>IF(L17=0,0,1000000*L17/TrRail_act!L32)</f>
        <v>317648.90273957758</v>
      </c>
      <c r="M52" s="28">
        <f>IF(M17=0,0,1000000*M17/TrRail_act!M32)</f>
        <v>286889.78669406421</v>
      </c>
      <c r="N52" s="28">
        <f>IF(N17=0,0,1000000*N17/TrRail_act!N32)</f>
        <v>283207.29716123373</v>
      </c>
      <c r="O52" s="28">
        <f>IF(O17=0,0,1000000*O17/TrRail_act!O32)</f>
        <v>268442.28714022832</v>
      </c>
      <c r="P52" s="28">
        <f>IF(P17=0,0,1000000*P17/TrRail_act!P32)</f>
        <v>252387.36127985048</v>
      </c>
      <c r="Q52" s="28">
        <f>IF(Q17=0,0,1000000*Q17/TrRail_act!Q32)</f>
        <v>246831.18898624909</v>
      </c>
      <c r="R52" s="28">
        <f>IF(R17=0,0,1000000*R17/TrRail_act!R32)</f>
        <v>241701.7185308754</v>
      </c>
      <c r="S52" s="28">
        <f>IF(S17=0,0,1000000*S17/TrRail_act!S32)</f>
        <v>250565.27593999828</v>
      </c>
      <c r="T52" s="28">
        <f>IF(T17=0,0,1000000*T17/TrRail_act!T32)</f>
        <v>254512.07615237185</v>
      </c>
      <c r="U52" s="28">
        <f>IF(U17=0,0,1000000*U17/TrRail_act!U32)</f>
        <v>254830.16246361757</v>
      </c>
      <c r="V52" s="28">
        <f>IF(V17=0,0,1000000*V17/TrRail_act!V32)</f>
        <v>258159.83272290821</v>
      </c>
      <c r="W52" s="28">
        <f>IF(W17=0,0,1000000*W17/TrRail_act!W32)</f>
        <v>255928.09304943917</v>
      </c>
      <c r="X52" s="28">
        <f>IF(X17=0,0,1000000*X17/TrRail_act!X32)</f>
        <v>241584.78173650571</v>
      </c>
      <c r="Y52" s="28">
        <f>IF(Y17=0,0,1000000*Y17/TrRail_act!Y32)</f>
        <v>242962.43257173282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973996.57865030097</v>
      </c>
      <c r="C53" s="84">
        <f>IF(C18=0,0,1000000*C18/TrRail_act!C33)</f>
        <v>824388.51834547182</v>
      </c>
      <c r="D53" s="84">
        <f>IF(D18=0,0,1000000*D18/TrRail_act!D33)</f>
        <v>881283.96692779195</v>
      </c>
      <c r="E53" s="84">
        <f>IF(E18=0,0,1000000*E18/TrRail_act!E33)</f>
        <v>928606.41319992114</v>
      </c>
      <c r="F53" s="84">
        <f>IF(F18=0,0,1000000*F18/TrRail_act!F33)</f>
        <v>909418.44691299857</v>
      </c>
      <c r="G53" s="84">
        <f>IF(G18=0,0,1000000*G18/TrRail_act!G33)</f>
        <v>642871.32929695479</v>
      </c>
      <c r="H53" s="84">
        <f>IF(H18=0,0,1000000*H18/TrRail_act!H33)</f>
        <v>880599.83382470557</v>
      </c>
      <c r="I53" s="84">
        <f>IF(I18=0,0,1000000*I18/TrRail_act!I33)</f>
        <v>867059.85614028084</v>
      </c>
      <c r="J53" s="84">
        <f>IF(J18=0,0,1000000*J18/TrRail_act!J33)</f>
        <v>850929.78706748725</v>
      </c>
      <c r="K53" s="84">
        <f>IF(K18=0,0,1000000*K18/TrRail_act!K33)</f>
        <v>477082.58442561561</v>
      </c>
      <c r="L53" s="84">
        <f>IF(L18=0,0,1000000*L18/TrRail_act!L33)</f>
        <v>449569.13327912055</v>
      </c>
      <c r="M53" s="84">
        <f>IF(M18=0,0,1000000*M18/TrRail_act!M33)</f>
        <v>272561.21904075757</v>
      </c>
      <c r="N53" s="84">
        <f>IF(N18=0,0,1000000*N18/TrRail_act!N33)</f>
        <v>275071.41066353169</v>
      </c>
      <c r="O53" s="84">
        <f>IF(O18=0,0,1000000*O18/TrRail_act!O33)</f>
        <v>196254.4488375294</v>
      </c>
      <c r="P53" s="84">
        <f>IF(P18=0,0,1000000*P18/TrRail_act!P33)</f>
        <v>101130.38517839559</v>
      </c>
      <c r="Q53" s="84">
        <f>IF(Q18=0,0,1000000*Q18/TrRail_act!Q33)</f>
        <v>126155.6235157389</v>
      </c>
      <c r="R53" s="84">
        <f>IF(R18=0,0,1000000*R18/TrRail_act!R33)</f>
        <v>94393.186846964454</v>
      </c>
      <c r="S53" s="84">
        <f>IF(S18=0,0,1000000*S18/TrRail_act!S33)</f>
        <v>218496.59093113159</v>
      </c>
      <c r="T53" s="84">
        <f>IF(T18=0,0,1000000*T18/TrRail_act!T33)</f>
        <v>284718.93802426272</v>
      </c>
      <c r="U53" s="84">
        <f>IF(U18=0,0,1000000*U18/TrRail_act!U33)</f>
        <v>307180.65987940156</v>
      </c>
      <c r="V53" s="84">
        <f>IF(V18=0,0,1000000*V18/TrRail_act!V33)</f>
        <v>363679.05237255793</v>
      </c>
      <c r="W53" s="84">
        <f>IF(W18=0,0,1000000*W18/TrRail_act!W33)</f>
        <v>380250.69724527129</v>
      </c>
      <c r="X53" s="84">
        <f>IF(X18=0,0,1000000*X18/TrRail_act!X33)</f>
        <v>114052.45487230644</v>
      </c>
      <c r="Y53" s="84">
        <f>IF(Y18=0,0,1000000*Y18/TrRail_act!Y33)</f>
        <v>114616.61519738343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392665.34333132004</v>
      </c>
      <c r="C54" s="86">
        <f>IF(C19=0,0,1000000*C19/TrRail_act!C34)</f>
        <v>383045.0181912331</v>
      </c>
      <c r="D54" s="86">
        <f>IF(D19=0,0,1000000*D19/TrRail_act!D34)</f>
        <v>378054.74914705951</v>
      </c>
      <c r="E54" s="86">
        <f>IF(E19=0,0,1000000*E19/TrRail_act!E34)</f>
        <v>366275.14231885673</v>
      </c>
      <c r="F54" s="86">
        <f>IF(F19=0,0,1000000*F19/TrRail_act!F34)</f>
        <v>348171.4886146533</v>
      </c>
      <c r="G54" s="86">
        <f>IF(G19=0,0,1000000*G19/TrRail_act!G34)</f>
        <v>335014.26611540775</v>
      </c>
      <c r="H54" s="86">
        <f>IF(H19=0,0,1000000*H19/TrRail_act!H34)</f>
        <v>319528.78250695724</v>
      </c>
      <c r="I54" s="86">
        <f>IF(I19=0,0,1000000*I19/TrRail_act!I34)</f>
        <v>309306.95822491136</v>
      </c>
      <c r="J54" s="86">
        <f>IF(J19=0,0,1000000*J19/TrRail_act!J34)</f>
        <v>302566.79256507976</v>
      </c>
      <c r="K54" s="86">
        <f>IF(K19=0,0,1000000*K19/TrRail_act!K34)</f>
        <v>250317.25961637788</v>
      </c>
      <c r="L54" s="86">
        <f>IF(L19=0,0,1000000*L19/TrRail_act!L34)</f>
        <v>293916.08012139454</v>
      </c>
      <c r="M54" s="86">
        <f>IF(M19=0,0,1000000*M19/TrRail_act!M34)</f>
        <v>288979.22556985944</v>
      </c>
      <c r="N54" s="86">
        <f>IF(N19=0,0,1000000*N19/TrRail_act!N34)</f>
        <v>284304.2401807576</v>
      </c>
      <c r="O54" s="86">
        <f>IF(O19=0,0,1000000*O19/TrRail_act!O34)</f>
        <v>277639.60619857011</v>
      </c>
      <c r="P54" s="86">
        <f>IF(P19=0,0,1000000*P19/TrRail_act!P34)</f>
        <v>270447.29416063428</v>
      </c>
      <c r="Q54" s="86">
        <f>IF(Q19=0,0,1000000*Q19/TrRail_act!Q34)</f>
        <v>260446.77941864973</v>
      </c>
      <c r="R54" s="86">
        <f>IF(R19=0,0,1000000*R19/TrRail_act!R34)</f>
        <v>255721.72655592836</v>
      </c>
      <c r="S54" s="86">
        <f>IF(S19=0,0,1000000*S19/TrRail_act!S34)</f>
        <v>253495.44987034926</v>
      </c>
      <c r="T54" s="86">
        <f>IF(T19=0,0,1000000*T19/TrRail_act!T34)</f>
        <v>251838.47037832445</v>
      </c>
      <c r="U54" s="86">
        <f>IF(U19=0,0,1000000*U19/TrRail_act!U34)</f>
        <v>250602.84698622575</v>
      </c>
      <c r="V54" s="86">
        <f>IF(V19=0,0,1000000*V19/TrRail_act!V34)</f>
        <v>249680.11061232476</v>
      </c>
      <c r="W54" s="86">
        <f>IF(W19=0,0,1000000*W19/TrRail_act!W34)</f>
        <v>248990.28818893174</v>
      </c>
      <c r="X54" s="86">
        <f>IF(X19=0,0,1000000*X19/TrRail_act!X34)</f>
        <v>248474.17186793889</v>
      </c>
      <c r="Y54" s="86">
        <f>IF(Y19=0,0,1000000*Y19/TrRail_act!Y34)</f>
        <v>248087.78740176352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0.86532045892310172</v>
      </c>
      <c r="C57" s="31">
        <f t="shared" ref="C57:V57" si="18">IF(C11=0,0,C11/C$10)</f>
        <v>0.87066746347673751</v>
      </c>
      <c r="D57" s="31">
        <f t="shared" si="18"/>
        <v>0.87896041941921832</v>
      </c>
      <c r="E57" s="31">
        <f t="shared" si="18"/>
        <v>0.88005827098821843</v>
      </c>
      <c r="F57" s="31">
        <f t="shared" si="18"/>
        <v>0.86250353189238183</v>
      </c>
      <c r="G57" s="31">
        <f t="shared" si="18"/>
        <v>0.86429527916636384</v>
      </c>
      <c r="H57" s="31">
        <f t="shared" si="18"/>
        <v>0.84811762312821015</v>
      </c>
      <c r="I57" s="31">
        <f t="shared" si="18"/>
        <v>0.84013073036776409</v>
      </c>
      <c r="J57" s="31">
        <f t="shared" si="18"/>
        <v>0.84113601217316436</v>
      </c>
      <c r="K57" s="31">
        <f t="shared" si="18"/>
        <v>0.88658033053855012</v>
      </c>
      <c r="L57" s="31">
        <f t="shared" si="18"/>
        <v>0.8880371626331709</v>
      </c>
      <c r="M57" s="31">
        <f t="shared" si="18"/>
        <v>0.88004944263857809</v>
      </c>
      <c r="N57" s="31">
        <f t="shared" si="18"/>
        <v>0.8813956132267774</v>
      </c>
      <c r="O57" s="31">
        <f t="shared" si="18"/>
        <v>0.88630043070926301</v>
      </c>
      <c r="P57" s="31">
        <f t="shared" si="18"/>
        <v>0.88381796226369946</v>
      </c>
      <c r="Q57" s="31">
        <f t="shared" si="18"/>
        <v>0.88815126365134056</v>
      </c>
      <c r="R57" s="31">
        <f t="shared" si="18"/>
        <v>0.88199183213307242</v>
      </c>
      <c r="S57" s="31">
        <f t="shared" si="18"/>
        <v>0.88310110260866248</v>
      </c>
      <c r="T57" s="31">
        <f t="shared" si="18"/>
        <v>0.88796038760917395</v>
      </c>
      <c r="U57" s="31">
        <f t="shared" si="18"/>
        <v>0.87909694252081583</v>
      </c>
      <c r="V57" s="31">
        <f t="shared" si="18"/>
        <v>0.86078366452241772</v>
      </c>
      <c r="W57" s="31">
        <f t="shared" ref="W57:Y57" si="19">IF(W11=0,0,W11/W$10)</f>
        <v>0.82888002322578291</v>
      </c>
      <c r="X57" s="31">
        <f t="shared" si="19"/>
        <v>0.84231123930401985</v>
      </c>
      <c r="Y57" s="31">
        <f t="shared" si="19"/>
        <v>0.81673318748349644</v>
      </c>
      <c r="DA57" s="173"/>
    </row>
    <row r="58" spans="1:105" ht="11.45" customHeight="1" x14ac:dyDescent="0.25">
      <c r="A58" s="107" t="s">
        <v>23</v>
      </c>
      <c r="B58" s="123">
        <f t="shared" si="15"/>
        <v>4.6249229661965902E-2</v>
      </c>
      <c r="C58" s="123">
        <f t="shared" ref="C58:V58" si="20">IF(C12=0,0,C12/C$10)</f>
        <v>4.8434397518535656E-2</v>
      </c>
      <c r="D58" s="123">
        <f t="shared" si="20"/>
        <v>4.9428264001712206E-2</v>
      </c>
      <c r="E58" s="123">
        <f t="shared" si="20"/>
        <v>4.8678631339048199E-2</v>
      </c>
      <c r="F58" s="123">
        <f t="shared" si="20"/>
        <v>5.2339106300361954E-2</v>
      </c>
      <c r="G58" s="123">
        <f t="shared" si="20"/>
        <v>5.2863388812116954E-2</v>
      </c>
      <c r="H58" s="123">
        <f t="shared" si="20"/>
        <v>5.3986669878690323E-2</v>
      </c>
      <c r="I58" s="123">
        <f t="shared" si="20"/>
        <v>5.835181189804288E-2</v>
      </c>
      <c r="J58" s="123">
        <f t="shared" si="20"/>
        <v>6.1960680081367694E-2</v>
      </c>
      <c r="K58" s="123">
        <f t="shared" si="20"/>
        <v>6.4737495586379562E-2</v>
      </c>
      <c r="L58" s="123">
        <f t="shared" si="20"/>
        <v>6.2853058347712348E-2</v>
      </c>
      <c r="M58" s="123">
        <f t="shared" si="20"/>
        <v>6.320597439227979E-2</v>
      </c>
      <c r="N58" s="123">
        <f t="shared" si="20"/>
        <v>5.5176699889841696E-2</v>
      </c>
      <c r="O58" s="123">
        <f t="shared" si="20"/>
        <v>5.4431612597796518E-2</v>
      </c>
      <c r="P58" s="123">
        <f t="shared" si="20"/>
        <v>5.6492772822373E-2</v>
      </c>
      <c r="Q58" s="123">
        <f t="shared" si="20"/>
        <v>5.4414276958994222E-2</v>
      </c>
      <c r="R58" s="123">
        <f t="shared" si="20"/>
        <v>5.2268131709388044E-2</v>
      </c>
      <c r="S58" s="123">
        <f t="shared" si="20"/>
        <v>5.1307699614792077E-2</v>
      </c>
      <c r="T58" s="123">
        <f t="shared" si="20"/>
        <v>4.8093750763606065E-2</v>
      </c>
      <c r="U58" s="123">
        <f t="shared" si="20"/>
        <v>5.122944219638325E-2</v>
      </c>
      <c r="V58" s="123">
        <f t="shared" si="20"/>
        <v>4.9148397542389845E-2</v>
      </c>
      <c r="W58" s="123">
        <f t="shared" ref="W58:Y58" si="21">IF(W12=0,0,W12/W$10)</f>
        <v>4.7985918710948539E-2</v>
      </c>
      <c r="X58" s="123">
        <f t="shared" si="21"/>
        <v>6.098631394210853E-2</v>
      </c>
      <c r="Y58" s="123">
        <f t="shared" si="21"/>
        <v>3.4505064236095465E-2</v>
      </c>
      <c r="DA58" s="203"/>
    </row>
    <row r="59" spans="1:105" ht="11.45" customHeight="1" x14ac:dyDescent="0.25">
      <c r="A59" s="109" t="s">
        <v>24</v>
      </c>
      <c r="B59" s="124">
        <f t="shared" si="15"/>
        <v>0.75587996702923199</v>
      </c>
      <c r="C59" s="124">
        <f t="shared" ref="C59:V59" si="22">IF(C13=0,0,C13/C$10)</f>
        <v>0.73453888791227506</v>
      </c>
      <c r="D59" s="124">
        <f t="shared" si="22"/>
        <v>0.74002701481778554</v>
      </c>
      <c r="E59" s="124">
        <f t="shared" si="22"/>
        <v>0.7430763845732834</v>
      </c>
      <c r="F59" s="124">
        <f t="shared" si="22"/>
        <v>0.71517036500255149</v>
      </c>
      <c r="G59" s="124">
        <f t="shared" si="22"/>
        <v>0.71379661095546065</v>
      </c>
      <c r="H59" s="124">
        <f t="shared" si="22"/>
        <v>0.69618463935861263</v>
      </c>
      <c r="I59" s="124">
        <f t="shared" si="22"/>
        <v>0.68987827709325122</v>
      </c>
      <c r="J59" s="124">
        <f t="shared" si="22"/>
        <v>0.68068546032045962</v>
      </c>
      <c r="K59" s="124">
        <f t="shared" si="22"/>
        <v>0.69717388103324951</v>
      </c>
      <c r="L59" s="124">
        <f t="shared" si="22"/>
        <v>0.69435787052285169</v>
      </c>
      <c r="M59" s="124">
        <f t="shared" si="22"/>
        <v>0.67757753377174057</v>
      </c>
      <c r="N59" s="124">
        <f t="shared" si="22"/>
        <v>0.69263275055778528</v>
      </c>
      <c r="O59" s="124">
        <f t="shared" si="22"/>
        <v>0.70099644624040658</v>
      </c>
      <c r="P59" s="124">
        <f t="shared" si="22"/>
        <v>0.69249246335158976</v>
      </c>
      <c r="Q59" s="124">
        <f t="shared" si="22"/>
        <v>0.70463826175117439</v>
      </c>
      <c r="R59" s="124">
        <f t="shared" si="22"/>
        <v>0.70732969214092256</v>
      </c>
      <c r="S59" s="124">
        <f t="shared" si="22"/>
        <v>0.71584505071023741</v>
      </c>
      <c r="T59" s="124">
        <f t="shared" si="22"/>
        <v>0.73022306735757414</v>
      </c>
      <c r="U59" s="124">
        <f t="shared" si="22"/>
        <v>0.70656004102092085</v>
      </c>
      <c r="V59" s="124">
        <f t="shared" si="22"/>
        <v>0.68138879799062901</v>
      </c>
      <c r="W59" s="124">
        <f t="shared" ref="W59:Y59" si="23">IF(W13=0,0,W13/W$10)</f>
        <v>0.6512498433534738</v>
      </c>
      <c r="X59" s="124">
        <f t="shared" si="23"/>
        <v>0.66204158628848853</v>
      </c>
      <c r="Y59" s="124">
        <f t="shared" si="23"/>
        <v>0.67735269639469264</v>
      </c>
      <c r="DA59" s="176"/>
    </row>
    <row r="60" spans="1:105" ht="11.45" customHeight="1" x14ac:dyDescent="0.25">
      <c r="A60" s="111" t="s">
        <v>92</v>
      </c>
      <c r="B60" s="125">
        <f t="shared" si="15"/>
        <v>0.25229000046669109</v>
      </c>
      <c r="C60" s="125">
        <f t="shared" ref="C60:V60" si="24">IF(C14=0,0,C14/C$10)</f>
        <v>0.23253994623303936</v>
      </c>
      <c r="D60" s="125">
        <f t="shared" si="24"/>
        <v>0.23581083943086706</v>
      </c>
      <c r="E60" s="125">
        <f t="shared" si="24"/>
        <v>0.24639291027499166</v>
      </c>
      <c r="F60" s="125">
        <f t="shared" si="24"/>
        <v>0.22072016048220203</v>
      </c>
      <c r="G60" s="125">
        <f t="shared" si="24"/>
        <v>0.19224628530690321</v>
      </c>
      <c r="H60" s="125">
        <f t="shared" si="24"/>
        <v>0.19735959350203341</v>
      </c>
      <c r="I60" s="125">
        <f t="shared" si="24"/>
        <v>0.1758406139125781</v>
      </c>
      <c r="J60" s="125">
        <f t="shared" si="24"/>
        <v>0.10630806204813696</v>
      </c>
      <c r="K60" s="125">
        <f t="shared" si="24"/>
        <v>0.11020335174828713</v>
      </c>
      <c r="L60" s="125">
        <f t="shared" si="24"/>
        <v>0.11579958193856672</v>
      </c>
      <c r="M60" s="125">
        <f t="shared" si="24"/>
        <v>8.7303622293666616E-2</v>
      </c>
      <c r="N60" s="125">
        <f t="shared" si="24"/>
        <v>0.10390647692134755</v>
      </c>
      <c r="O60" s="125">
        <f t="shared" si="24"/>
        <v>7.2622260212905548E-2</v>
      </c>
      <c r="P60" s="125">
        <f t="shared" si="24"/>
        <v>3.6130323388916766E-2</v>
      </c>
      <c r="Q60" s="125">
        <f t="shared" si="24"/>
        <v>4.2716292859734495E-2</v>
      </c>
      <c r="R60" s="125">
        <f t="shared" si="24"/>
        <v>2.7558903291141055E-2</v>
      </c>
      <c r="S60" s="125">
        <f t="shared" si="24"/>
        <v>5.7592333210567691E-2</v>
      </c>
      <c r="T60" s="125">
        <f t="shared" si="24"/>
        <v>7.3489730902669775E-2</v>
      </c>
      <c r="U60" s="125">
        <f t="shared" si="24"/>
        <v>7.3094794346162645E-2</v>
      </c>
      <c r="V60" s="125">
        <f t="shared" si="24"/>
        <v>8.4918301526662424E-2</v>
      </c>
      <c r="W60" s="125">
        <f t="shared" ref="W60:Y60" si="25">IF(W14=0,0,W14/W$10)</f>
        <v>6.5388045616092655E-2</v>
      </c>
      <c r="X60" s="125">
        <f t="shared" si="25"/>
        <v>1.9252946316229036E-2</v>
      </c>
      <c r="Y60" s="125">
        <f t="shared" si="25"/>
        <v>1.8659537037513323E-2</v>
      </c>
      <c r="DA60" s="171"/>
    </row>
    <row r="61" spans="1:105" ht="11.45" customHeight="1" x14ac:dyDescent="0.25">
      <c r="A61" s="111" t="s">
        <v>93</v>
      </c>
      <c r="B61" s="125">
        <f t="shared" si="15"/>
        <v>0.50358996656254085</v>
      </c>
      <c r="C61" s="125">
        <f t="shared" ref="C61:V61" si="26">IF(C15=0,0,C15/C$10)</f>
        <v>0.50199894167923564</v>
      </c>
      <c r="D61" s="125">
        <f t="shared" si="26"/>
        <v>0.50421617538691854</v>
      </c>
      <c r="E61" s="125">
        <f t="shared" si="26"/>
        <v>0.49668347429829163</v>
      </c>
      <c r="F61" s="125">
        <f t="shared" si="26"/>
        <v>0.49445020452034949</v>
      </c>
      <c r="G61" s="125">
        <f t="shared" si="26"/>
        <v>0.52155032564855752</v>
      </c>
      <c r="H61" s="125">
        <f t="shared" si="26"/>
        <v>0.49882504585657922</v>
      </c>
      <c r="I61" s="125">
        <f t="shared" si="26"/>
        <v>0.51403766318067312</v>
      </c>
      <c r="J61" s="125">
        <f t="shared" si="26"/>
        <v>0.5743773982723227</v>
      </c>
      <c r="K61" s="125">
        <f t="shared" si="26"/>
        <v>0.58697052928496241</v>
      </c>
      <c r="L61" s="125">
        <f t="shared" si="26"/>
        <v>0.57855828858428493</v>
      </c>
      <c r="M61" s="125">
        <f t="shared" si="26"/>
        <v>0.59027391147807384</v>
      </c>
      <c r="N61" s="125">
        <f t="shared" si="26"/>
        <v>0.5887262736364377</v>
      </c>
      <c r="O61" s="125">
        <f t="shared" si="26"/>
        <v>0.62837418602750106</v>
      </c>
      <c r="P61" s="125">
        <f t="shared" si="26"/>
        <v>0.65636213996267301</v>
      </c>
      <c r="Q61" s="125">
        <f t="shared" si="26"/>
        <v>0.66192196889143995</v>
      </c>
      <c r="R61" s="125">
        <f t="shared" si="26"/>
        <v>0.67977078884978148</v>
      </c>
      <c r="S61" s="125">
        <f t="shared" si="26"/>
        <v>0.65825271749966974</v>
      </c>
      <c r="T61" s="125">
        <f t="shared" si="26"/>
        <v>0.65673333645490439</v>
      </c>
      <c r="U61" s="125">
        <f t="shared" si="26"/>
        <v>0.63346524667475812</v>
      </c>
      <c r="V61" s="125">
        <f t="shared" si="26"/>
        <v>0.59647049646396655</v>
      </c>
      <c r="W61" s="125">
        <f t="shared" ref="W61:Y61" si="27">IF(W15=0,0,W15/W$10)</f>
        <v>0.58586179773738112</v>
      </c>
      <c r="X61" s="125">
        <f t="shared" si="27"/>
        <v>0.64278863997225943</v>
      </c>
      <c r="Y61" s="125">
        <f t="shared" si="27"/>
        <v>0.65869315935717931</v>
      </c>
      <c r="DA61" s="171"/>
    </row>
    <row r="62" spans="1:105" ht="11.45" customHeight="1" x14ac:dyDescent="0.25">
      <c r="A62" s="112" t="s">
        <v>25</v>
      </c>
      <c r="B62" s="126">
        <f t="shared" si="15"/>
        <v>6.3191262231903744E-2</v>
      </c>
      <c r="C62" s="126">
        <f t="shared" ref="C62:V62" si="28">IF(C16=0,0,C16/C$10)</f>
        <v>8.769417804592694E-2</v>
      </c>
      <c r="D62" s="126">
        <f t="shared" si="28"/>
        <v>8.9505140599720562E-2</v>
      </c>
      <c r="E62" s="126">
        <f t="shared" si="28"/>
        <v>8.8303255075886905E-2</v>
      </c>
      <c r="F62" s="126">
        <f t="shared" si="28"/>
        <v>9.4994060589468479E-2</v>
      </c>
      <c r="G62" s="126">
        <f t="shared" si="28"/>
        <v>9.7635279398786232E-2</v>
      </c>
      <c r="H62" s="126">
        <f t="shared" si="28"/>
        <v>9.7946313890907258E-2</v>
      </c>
      <c r="I62" s="126">
        <f t="shared" si="28"/>
        <v>9.1900641376469944E-2</v>
      </c>
      <c r="J62" s="126">
        <f t="shared" si="28"/>
        <v>9.8489871771337098E-2</v>
      </c>
      <c r="K62" s="126">
        <f t="shared" si="28"/>
        <v>0.12466895391892109</v>
      </c>
      <c r="L62" s="126">
        <f t="shared" si="28"/>
        <v>0.13082623376260683</v>
      </c>
      <c r="M62" s="126">
        <f t="shared" si="28"/>
        <v>0.13926593447455787</v>
      </c>
      <c r="N62" s="126">
        <f t="shared" si="28"/>
        <v>0.1335861627791505</v>
      </c>
      <c r="O62" s="126">
        <f t="shared" si="28"/>
        <v>0.13087237187105985</v>
      </c>
      <c r="P62" s="126">
        <f t="shared" si="28"/>
        <v>0.13483272608973682</v>
      </c>
      <c r="Q62" s="126">
        <f t="shared" si="28"/>
        <v>0.12909872494117189</v>
      </c>
      <c r="R62" s="126">
        <f t="shared" si="28"/>
        <v>0.12239400828276176</v>
      </c>
      <c r="S62" s="126">
        <f t="shared" si="28"/>
        <v>0.11594835228363298</v>
      </c>
      <c r="T62" s="126">
        <f t="shared" si="28"/>
        <v>0.10964356948799378</v>
      </c>
      <c r="U62" s="126">
        <f t="shared" si="28"/>
        <v>0.12130745930351176</v>
      </c>
      <c r="V62" s="126">
        <f t="shared" si="28"/>
        <v>0.1302464689893989</v>
      </c>
      <c r="W62" s="126">
        <f t="shared" ref="W62:Y62" si="29">IF(W16=0,0,W16/W$10)</f>
        <v>0.12964426116136055</v>
      </c>
      <c r="X62" s="126">
        <f t="shared" si="29"/>
        <v>0.11928333907342292</v>
      </c>
      <c r="Y62" s="126">
        <f t="shared" si="29"/>
        <v>0.10487542685270837</v>
      </c>
      <c r="DA62" s="204"/>
    </row>
    <row r="63" spans="1:105" ht="11.45" customHeight="1" x14ac:dyDescent="0.25">
      <c r="A63" s="27" t="s">
        <v>34</v>
      </c>
      <c r="B63" s="31">
        <f t="shared" si="15"/>
        <v>0.13467954107689836</v>
      </c>
      <c r="C63" s="31">
        <f t="shared" ref="C63:V63" si="30">IF(C17=0,0,C17/C$10)</f>
        <v>0.12933253652326249</v>
      </c>
      <c r="D63" s="31">
        <f t="shared" si="30"/>
        <v>0.12103958058078168</v>
      </c>
      <c r="E63" s="31">
        <f t="shared" si="30"/>
        <v>0.11994172901178167</v>
      </c>
      <c r="F63" s="31">
        <f t="shared" si="30"/>
        <v>0.13749646810761815</v>
      </c>
      <c r="G63" s="31">
        <f t="shared" si="30"/>
        <v>0.13570472083363613</v>
      </c>
      <c r="H63" s="31">
        <f t="shared" si="30"/>
        <v>0.15188237687178979</v>
      </c>
      <c r="I63" s="31">
        <f t="shared" si="30"/>
        <v>0.15986926963223594</v>
      </c>
      <c r="J63" s="31">
        <f t="shared" si="30"/>
        <v>0.15886398782683561</v>
      </c>
      <c r="K63" s="31">
        <f t="shared" si="30"/>
        <v>0.11341966946144991</v>
      </c>
      <c r="L63" s="31">
        <f t="shared" si="30"/>
        <v>0.1119628373668291</v>
      </c>
      <c r="M63" s="31">
        <f t="shared" si="30"/>
        <v>0.11995055736142185</v>
      </c>
      <c r="N63" s="31">
        <f t="shared" si="30"/>
        <v>0.11860438677322251</v>
      </c>
      <c r="O63" s="31">
        <f t="shared" si="30"/>
        <v>0.11369956929073702</v>
      </c>
      <c r="P63" s="31">
        <f t="shared" si="30"/>
        <v>0.11618203773630058</v>
      </c>
      <c r="Q63" s="31">
        <f t="shared" si="30"/>
        <v>0.11184873634865945</v>
      </c>
      <c r="R63" s="31">
        <f t="shared" si="30"/>
        <v>0.1180081678669276</v>
      </c>
      <c r="S63" s="31">
        <f t="shared" si="30"/>
        <v>0.11689889739133744</v>
      </c>
      <c r="T63" s="31">
        <f t="shared" si="30"/>
        <v>0.11203961239082609</v>
      </c>
      <c r="U63" s="31">
        <f t="shared" si="30"/>
        <v>0.12090305747918403</v>
      </c>
      <c r="V63" s="31">
        <f t="shared" si="30"/>
        <v>0.13921633547758222</v>
      </c>
      <c r="W63" s="31">
        <f t="shared" ref="W63:Y63" si="31">IF(W17=0,0,W17/W$10)</f>
        <v>0.17111997677421711</v>
      </c>
      <c r="X63" s="31">
        <f t="shared" si="31"/>
        <v>0.15768876069598012</v>
      </c>
      <c r="Y63" s="31">
        <f t="shared" si="31"/>
        <v>0.18326681251650351</v>
      </c>
      <c r="DA63" s="173"/>
    </row>
    <row r="64" spans="1:105" ht="11.45" customHeight="1" x14ac:dyDescent="0.25">
      <c r="A64" s="83" t="s">
        <v>92</v>
      </c>
      <c r="B64" s="125">
        <f t="shared" si="15"/>
        <v>1.2642628435249211E-2</v>
      </c>
      <c r="C64" s="125">
        <f t="shared" ref="C64:V64" si="32">IF(C18=0,0,C18/C$10)</f>
        <v>1.0156791037708023E-2</v>
      </c>
      <c r="D64" s="125">
        <f t="shared" si="32"/>
        <v>9.5160414274720901E-3</v>
      </c>
      <c r="E64" s="125">
        <f t="shared" si="32"/>
        <v>9.9247792556942573E-3</v>
      </c>
      <c r="F64" s="125">
        <f t="shared" si="32"/>
        <v>1.2705565434818315E-2</v>
      </c>
      <c r="G64" s="125">
        <f t="shared" si="32"/>
        <v>8.2544105212545796E-3</v>
      </c>
      <c r="H64" s="125">
        <f t="shared" si="32"/>
        <v>3.5100604841055906E-2</v>
      </c>
      <c r="I64" s="125">
        <f t="shared" si="32"/>
        <v>4.4051431039196037E-2</v>
      </c>
      <c r="J64" s="125">
        <f t="shared" si="32"/>
        <v>4.7848213023592288E-2</v>
      </c>
      <c r="K64" s="125">
        <f t="shared" si="32"/>
        <v>2.7153970751229189E-2</v>
      </c>
      <c r="L64" s="125">
        <f t="shared" si="32"/>
        <v>2.416099254749356E-2</v>
      </c>
      <c r="M64" s="125">
        <f t="shared" si="32"/>
        <v>1.4503088345851598E-2</v>
      </c>
      <c r="N64" s="125">
        <f t="shared" si="32"/>
        <v>1.3686456461059485E-2</v>
      </c>
      <c r="O64" s="125">
        <f t="shared" si="32"/>
        <v>9.3938461820295849E-3</v>
      </c>
      <c r="P64" s="125">
        <f t="shared" si="32"/>
        <v>4.9655670220421525E-3</v>
      </c>
      <c r="Q64" s="125">
        <f t="shared" si="32"/>
        <v>5.7959779963603318E-3</v>
      </c>
      <c r="R64" s="125">
        <f t="shared" si="32"/>
        <v>4.0050693237784797E-3</v>
      </c>
      <c r="S64" s="125">
        <f t="shared" si="32"/>
        <v>8.5344140680753341E-3</v>
      </c>
      <c r="T64" s="125">
        <f t="shared" si="32"/>
        <v>1.0191519596564669E-2</v>
      </c>
      <c r="U64" s="125">
        <f t="shared" si="32"/>
        <v>1.0889271503109919E-2</v>
      </c>
      <c r="V64" s="125">
        <f t="shared" si="32"/>
        <v>1.4588163226527293E-2</v>
      </c>
      <c r="W64" s="125">
        <f t="shared" ref="W64:Y64" si="33">IF(W18=0,0,W18/W$10)</f>
        <v>1.3438199923699738E-2</v>
      </c>
      <c r="X64" s="125">
        <f t="shared" si="33"/>
        <v>3.8154621055007821E-3</v>
      </c>
      <c r="Y64" s="125">
        <f t="shared" si="33"/>
        <v>3.3199285771728796E-3</v>
      </c>
      <c r="DA64" s="171"/>
    </row>
    <row r="65" spans="1:105" ht="11.45" customHeight="1" x14ac:dyDescent="0.25">
      <c r="A65" s="85" t="s">
        <v>93</v>
      </c>
      <c r="B65" s="127">
        <f t="shared" si="15"/>
        <v>0.12203691264164916</v>
      </c>
      <c r="C65" s="127">
        <f t="shared" ref="C65:V65" si="34">IF(C19=0,0,C19/C$10)</f>
        <v>0.11917574548555449</v>
      </c>
      <c r="D65" s="127">
        <f t="shared" si="34"/>
        <v>0.11152353915330961</v>
      </c>
      <c r="E65" s="127">
        <f t="shared" si="34"/>
        <v>0.1100169497560874</v>
      </c>
      <c r="F65" s="127">
        <f t="shared" si="34"/>
        <v>0.12479090267279984</v>
      </c>
      <c r="G65" s="127">
        <f t="shared" si="34"/>
        <v>0.12745031031238158</v>
      </c>
      <c r="H65" s="127">
        <f t="shared" si="34"/>
        <v>0.11678177203073389</v>
      </c>
      <c r="I65" s="127">
        <f t="shared" si="34"/>
        <v>0.1158178385930399</v>
      </c>
      <c r="J65" s="127">
        <f t="shared" si="34"/>
        <v>0.11101577480324334</v>
      </c>
      <c r="K65" s="127">
        <f t="shared" si="34"/>
        <v>8.6265698710220717E-2</v>
      </c>
      <c r="L65" s="127">
        <f t="shared" si="34"/>
        <v>8.7801844819335548E-2</v>
      </c>
      <c r="M65" s="127">
        <f t="shared" si="34"/>
        <v>0.10544746901557024</v>
      </c>
      <c r="N65" s="127">
        <f t="shared" si="34"/>
        <v>0.10491793031216301</v>
      </c>
      <c r="O65" s="127">
        <f t="shared" si="34"/>
        <v>0.10430572310870743</v>
      </c>
      <c r="P65" s="127">
        <f t="shared" si="34"/>
        <v>0.11121647071425841</v>
      </c>
      <c r="Q65" s="127">
        <f t="shared" si="34"/>
        <v>0.10605275835229912</v>
      </c>
      <c r="R65" s="127">
        <f t="shared" si="34"/>
        <v>0.11400309854314912</v>
      </c>
      <c r="S65" s="127">
        <f t="shared" si="34"/>
        <v>0.1083644833232621</v>
      </c>
      <c r="T65" s="127">
        <f t="shared" si="34"/>
        <v>0.10184809279426141</v>
      </c>
      <c r="U65" s="127">
        <f t="shared" si="34"/>
        <v>0.11001378597607411</v>
      </c>
      <c r="V65" s="127">
        <f t="shared" si="34"/>
        <v>0.12462817225105492</v>
      </c>
      <c r="W65" s="127">
        <f t="shared" ref="W65:Y65" si="35">IF(W19=0,0,W19/W$10)</f>
        <v>0.15768177685051735</v>
      </c>
      <c r="X65" s="127">
        <f t="shared" si="35"/>
        <v>0.15387329859047935</v>
      </c>
      <c r="Y65" s="127">
        <f t="shared" si="35"/>
        <v>0.17994688393933062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432.46250891999978</v>
      </c>
      <c r="C4" s="26">
        <f t="shared" ref="C4:W4" si="0">SUM(C5:C6)</f>
        <v>375.64262892000005</v>
      </c>
      <c r="D4" s="26">
        <f t="shared" si="0"/>
        <v>385.11260892000007</v>
      </c>
      <c r="E4" s="26">
        <f t="shared" si="0"/>
        <v>416.67912000000001</v>
      </c>
      <c r="F4" s="26">
        <f t="shared" si="0"/>
        <v>363.01581108000011</v>
      </c>
      <c r="G4" s="26">
        <f t="shared" si="0"/>
        <v>306.19593107999998</v>
      </c>
      <c r="H4" s="26">
        <f t="shared" si="0"/>
        <v>353.54583108000014</v>
      </c>
      <c r="I4" s="26">
        <f t="shared" si="0"/>
        <v>331.44929999999988</v>
      </c>
      <c r="J4" s="26">
        <f t="shared" si="0"/>
        <v>220.96611107999996</v>
      </c>
      <c r="K4" s="26">
        <f t="shared" si="0"/>
        <v>189.39959999999999</v>
      </c>
      <c r="L4" s="26">
        <f t="shared" si="0"/>
        <v>198.86958000000001</v>
      </c>
      <c r="M4" s="26">
        <f t="shared" si="0"/>
        <v>142.0497</v>
      </c>
      <c r="N4" s="26">
        <f t="shared" si="0"/>
        <v>170.45963999999998</v>
      </c>
      <c r="O4" s="26">
        <f t="shared" si="0"/>
        <v>119.95316891999997</v>
      </c>
      <c r="P4" s="26">
        <f t="shared" si="0"/>
        <v>56.819880000000005</v>
      </c>
      <c r="Q4" s="26">
        <f t="shared" si="0"/>
        <v>69.446431079999996</v>
      </c>
      <c r="R4" s="26">
        <f t="shared" si="0"/>
        <v>47.349899999999998</v>
      </c>
      <c r="S4" s="26">
        <f t="shared" si="0"/>
        <v>104.16978</v>
      </c>
      <c r="T4" s="26">
        <f t="shared" si="0"/>
        <v>138.89312892000001</v>
      </c>
      <c r="U4" s="26">
        <f t="shared" si="0"/>
        <v>135.73629108</v>
      </c>
      <c r="V4" s="26">
        <f t="shared" si="0"/>
        <v>136.86975432</v>
      </c>
      <c r="W4" s="26">
        <f t="shared" si="0"/>
        <v>118.34007120000001</v>
      </c>
      <c r="X4" s="26">
        <f t="shared" ref="X4:Y4" si="1">SUM(X5:X6)</f>
        <v>35.1242892</v>
      </c>
      <c r="Y4" s="26">
        <f t="shared" si="1"/>
        <v>36.989741880000004</v>
      </c>
      <c r="DA4" s="202" t="s">
        <v>1137</v>
      </c>
    </row>
    <row r="5" spans="1:105" ht="11.45" customHeight="1" x14ac:dyDescent="0.25">
      <c r="A5" s="107" t="s">
        <v>92</v>
      </c>
      <c r="B5" s="129">
        <v>432.46250891999978</v>
      </c>
      <c r="C5" s="129">
        <v>375.64262892000005</v>
      </c>
      <c r="D5" s="129">
        <v>385.11260892000007</v>
      </c>
      <c r="E5" s="129">
        <v>416.67912000000001</v>
      </c>
      <c r="F5" s="129">
        <v>363.01581108000011</v>
      </c>
      <c r="G5" s="129">
        <v>306.19593107999998</v>
      </c>
      <c r="H5" s="129">
        <v>353.54583108000014</v>
      </c>
      <c r="I5" s="129">
        <v>331.44929999999988</v>
      </c>
      <c r="J5" s="129">
        <v>220.96611107999996</v>
      </c>
      <c r="K5" s="129">
        <v>189.39959999999999</v>
      </c>
      <c r="L5" s="129">
        <v>198.86958000000001</v>
      </c>
      <c r="M5" s="129">
        <v>142.0497</v>
      </c>
      <c r="N5" s="129">
        <v>170.45963999999998</v>
      </c>
      <c r="O5" s="129">
        <v>119.95316891999997</v>
      </c>
      <c r="P5" s="129">
        <v>56.819880000000005</v>
      </c>
      <c r="Q5" s="129">
        <v>69.446431079999996</v>
      </c>
      <c r="R5" s="129">
        <v>47.349899999999998</v>
      </c>
      <c r="S5" s="129">
        <v>104.16978</v>
      </c>
      <c r="T5" s="129">
        <v>138.89312892000001</v>
      </c>
      <c r="U5" s="129">
        <v>135.73629108</v>
      </c>
      <c r="V5" s="129">
        <v>136.86975432</v>
      </c>
      <c r="W5" s="129">
        <v>118.34007120000001</v>
      </c>
      <c r="X5" s="129">
        <v>35.1242892</v>
      </c>
      <c r="Y5" s="129">
        <v>36.989741880000004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432.46250891999972</v>
      </c>
      <c r="C8" s="79">
        <f t="shared" si="2"/>
        <v>375.64262892000005</v>
      </c>
      <c r="D8" s="79">
        <f t="shared" si="2"/>
        <v>385.11260892000007</v>
      </c>
      <c r="E8" s="79">
        <f t="shared" si="2"/>
        <v>416.67911999999995</v>
      </c>
      <c r="F8" s="79">
        <f t="shared" si="2"/>
        <v>363.01581108000011</v>
      </c>
      <c r="G8" s="79">
        <f t="shared" si="2"/>
        <v>306.19593107999998</v>
      </c>
      <c r="H8" s="79">
        <f t="shared" si="2"/>
        <v>353.54583108000014</v>
      </c>
      <c r="I8" s="79">
        <f t="shared" si="2"/>
        <v>331.44929999999988</v>
      </c>
      <c r="J8" s="79">
        <f t="shared" si="2"/>
        <v>220.96611107999996</v>
      </c>
      <c r="K8" s="79">
        <f t="shared" si="2"/>
        <v>189.39959999999996</v>
      </c>
      <c r="L8" s="79">
        <f t="shared" si="2"/>
        <v>198.86957999999998</v>
      </c>
      <c r="M8" s="79">
        <f t="shared" si="2"/>
        <v>142.04969999999997</v>
      </c>
      <c r="N8" s="79">
        <f t="shared" si="2"/>
        <v>170.45963999999998</v>
      </c>
      <c r="O8" s="79">
        <f t="shared" si="2"/>
        <v>119.95316891999997</v>
      </c>
      <c r="P8" s="79">
        <f t="shared" si="2"/>
        <v>56.819880000000005</v>
      </c>
      <c r="Q8" s="79">
        <f t="shared" si="2"/>
        <v>69.446431079999996</v>
      </c>
      <c r="R8" s="79">
        <f t="shared" si="2"/>
        <v>47.349899999999998</v>
      </c>
      <c r="S8" s="79">
        <f t="shared" si="2"/>
        <v>104.16978</v>
      </c>
      <c r="T8" s="79">
        <f t="shared" si="2"/>
        <v>138.89312892000001</v>
      </c>
      <c r="U8" s="79">
        <f t="shared" si="2"/>
        <v>135.73629108</v>
      </c>
      <c r="V8" s="79">
        <f t="shared" si="2"/>
        <v>136.86975432</v>
      </c>
      <c r="W8" s="79">
        <f t="shared" si="2"/>
        <v>118.3400712</v>
      </c>
      <c r="X8" s="79">
        <f t="shared" ref="X8:Y8" si="3">SUM(X9,X15)</f>
        <v>35.1242892</v>
      </c>
      <c r="Y8" s="79">
        <f t="shared" si="3"/>
        <v>36.989741880000004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411.82532717642943</v>
      </c>
      <c r="C9" s="32">
        <f t="shared" si="4"/>
        <v>359.92208924690408</v>
      </c>
      <c r="D9" s="32">
        <f t="shared" si="4"/>
        <v>370.17438638236979</v>
      </c>
      <c r="E9" s="32">
        <f t="shared" si="4"/>
        <v>400.54504710776655</v>
      </c>
      <c r="F9" s="32">
        <f t="shared" si="4"/>
        <v>343.25654451488208</v>
      </c>
      <c r="G9" s="32">
        <f t="shared" si="4"/>
        <v>293.59015480260342</v>
      </c>
      <c r="H9" s="32">
        <f t="shared" si="4"/>
        <v>300.16175673783562</v>
      </c>
      <c r="I9" s="32">
        <f t="shared" si="4"/>
        <v>265.04937186643787</v>
      </c>
      <c r="J9" s="32">
        <f t="shared" si="4"/>
        <v>152.38094612949092</v>
      </c>
      <c r="K9" s="32">
        <f t="shared" si="4"/>
        <v>151.95746655485644</v>
      </c>
      <c r="L9" s="32">
        <f t="shared" si="4"/>
        <v>164.53929478970508</v>
      </c>
      <c r="M9" s="32">
        <f t="shared" si="4"/>
        <v>121.8137122575375</v>
      </c>
      <c r="N9" s="32">
        <f t="shared" si="4"/>
        <v>150.62011075174917</v>
      </c>
      <c r="O9" s="32">
        <f t="shared" si="4"/>
        <v>106.21414048507931</v>
      </c>
      <c r="P9" s="32">
        <f t="shared" si="4"/>
        <v>49.954402223439793</v>
      </c>
      <c r="Q9" s="32">
        <f t="shared" si="4"/>
        <v>61.149355322416383</v>
      </c>
      <c r="R9" s="32">
        <f t="shared" si="4"/>
        <v>41.34179594137651</v>
      </c>
      <c r="S9" s="32">
        <f t="shared" si="4"/>
        <v>90.725476862660557</v>
      </c>
      <c r="T9" s="32">
        <f t="shared" si="4"/>
        <v>121.97736778149607</v>
      </c>
      <c r="U9" s="32">
        <f t="shared" si="4"/>
        <v>118.13688920002922</v>
      </c>
      <c r="V9" s="32">
        <f t="shared" si="4"/>
        <v>116.80393928228061</v>
      </c>
      <c r="W9" s="32">
        <f t="shared" si="4"/>
        <v>98.165603611439394</v>
      </c>
      <c r="X9" s="32">
        <f t="shared" ref="X9:Y9" si="5">SUM(X10,X11,X14)</f>
        <v>29.314811928086801</v>
      </c>
      <c r="Y9" s="32">
        <f t="shared" si="5"/>
        <v>31.402558675345293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411.82532717642943</v>
      </c>
      <c r="C11" s="130">
        <f t="shared" si="6"/>
        <v>359.92208924690408</v>
      </c>
      <c r="D11" s="130">
        <f t="shared" si="6"/>
        <v>370.17438638236979</v>
      </c>
      <c r="E11" s="130">
        <f t="shared" si="6"/>
        <v>400.54504710776655</v>
      </c>
      <c r="F11" s="130">
        <f t="shared" si="6"/>
        <v>343.25654451488208</v>
      </c>
      <c r="G11" s="130">
        <f t="shared" si="6"/>
        <v>293.59015480260342</v>
      </c>
      <c r="H11" s="130">
        <f t="shared" si="6"/>
        <v>300.16175673783562</v>
      </c>
      <c r="I11" s="130">
        <f t="shared" si="6"/>
        <v>265.04937186643787</v>
      </c>
      <c r="J11" s="130">
        <f t="shared" si="6"/>
        <v>152.38094612949092</v>
      </c>
      <c r="K11" s="130">
        <f t="shared" si="6"/>
        <v>151.95746655485644</v>
      </c>
      <c r="L11" s="130">
        <f t="shared" si="6"/>
        <v>164.53929478970508</v>
      </c>
      <c r="M11" s="130">
        <f t="shared" si="6"/>
        <v>121.8137122575375</v>
      </c>
      <c r="N11" s="130">
        <f t="shared" si="6"/>
        <v>150.62011075174917</v>
      </c>
      <c r="O11" s="130">
        <f t="shared" si="6"/>
        <v>106.21414048507931</v>
      </c>
      <c r="P11" s="130">
        <f t="shared" si="6"/>
        <v>49.954402223439793</v>
      </c>
      <c r="Q11" s="130">
        <f t="shared" si="6"/>
        <v>61.149355322416383</v>
      </c>
      <c r="R11" s="130">
        <f t="shared" si="6"/>
        <v>41.34179594137651</v>
      </c>
      <c r="S11" s="130">
        <f t="shared" si="6"/>
        <v>90.725476862660557</v>
      </c>
      <c r="T11" s="130">
        <f t="shared" si="6"/>
        <v>121.97736778149607</v>
      </c>
      <c r="U11" s="130">
        <f t="shared" si="6"/>
        <v>118.13688920002922</v>
      </c>
      <c r="V11" s="130">
        <f t="shared" si="6"/>
        <v>116.80393928228061</v>
      </c>
      <c r="W11" s="130">
        <f t="shared" si="6"/>
        <v>98.165603611439394</v>
      </c>
      <c r="X11" s="130">
        <f t="shared" ref="X11:Y11" si="7">SUM(X12:X13)</f>
        <v>29.314811928086801</v>
      </c>
      <c r="Y11" s="130">
        <f t="shared" si="7"/>
        <v>31.402558675345293</v>
      </c>
      <c r="DA11" s="176" t="s">
        <v>409</v>
      </c>
    </row>
    <row r="12" spans="1:105" ht="11.45" customHeight="1" x14ac:dyDescent="0.25">
      <c r="A12" s="111" t="s">
        <v>92</v>
      </c>
      <c r="B12" s="96">
        <v>411.82532717642943</v>
      </c>
      <c r="C12" s="96">
        <v>359.92208924690408</v>
      </c>
      <c r="D12" s="96">
        <v>370.17438638236979</v>
      </c>
      <c r="E12" s="96">
        <v>400.54504710776655</v>
      </c>
      <c r="F12" s="96">
        <v>343.25654451488208</v>
      </c>
      <c r="G12" s="96">
        <v>293.59015480260342</v>
      </c>
      <c r="H12" s="96">
        <v>300.16175673783562</v>
      </c>
      <c r="I12" s="96">
        <v>265.04937186643787</v>
      </c>
      <c r="J12" s="96">
        <v>152.38094612949092</v>
      </c>
      <c r="K12" s="96">
        <v>151.95746655485644</v>
      </c>
      <c r="L12" s="96">
        <v>164.53929478970508</v>
      </c>
      <c r="M12" s="96">
        <v>121.8137122575375</v>
      </c>
      <c r="N12" s="96">
        <v>150.62011075174917</v>
      </c>
      <c r="O12" s="96">
        <v>106.21414048507931</v>
      </c>
      <c r="P12" s="96">
        <v>49.954402223439793</v>
      </c>
      <c r="Q12" s="96">
        <v>61.149355322416383</v>
      </c>
      <c r="R12" s="96">
        <v>41.34179594137651</v>
      </c>
      <c r="S12" s="96">
        <v>90.725476862660557</v>
      </c>
      <c r="T12" s="96">
        <v>121.97736778149607</v>
      </c>
      <c r="U12" s="96">
        <v>118.13688920002922</v>
      </c>
      <c r="V12" s="96">
        <v>116.80393928228061</v>
      </c>
      <c r="W12" s="96">
        <v>98.165603611439394</v>
      </c>
      <c r="X12" s="96">
        <v>29.314811928086801</v>
      </c>
      <c r="Y12" s="96">
        <v>31.402558675345293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20.637181743570288</v>
      </c>
      <c r="C15" s="32">
        <f t="shared" si="8"/>
        <v>15.720539673095983</v>
      </c>
      <c r="D15" s="32">
        <f t="shared" si="8"/>
        <v>14.938222537630269</v>
      </c>
      <c r="E15" s="32">
        <f t="shared" si="8"/>
        <v>16.134072892233405</v>
      </c>
      <c r="F15" s="32">
        <f t="shared" si="8"/>
        <v>19.759266565118029</v>
      </c>
      <c r="G15" s="32">
        <f t="shared" si="8"/>
        <v>12.605776277396556</v>
      </c>
      <c r="H15" s="32">
        <f t="shared" si="8"/>
        <v>53.384074342164503</v>
      </c>
      <c r="I15" s="32">
        <f t="shared" si="8"/>
        <v>66.399928133562028</v>
      </c>
      <c r="J15" s="32">
        <f t="shared" si="8"/>
        <v>68.585164950509039</v>
      </c>
      <c r="K15" s="32">
        <f t="shared" si="8"/>
        <v>37.44213344514354</v>
      </c>
      <c r="L15" s="32">
        <f t="shared" si="8"/>
        <v>34.33028521029491</v>
      </c>
      <c r="M15" s="32">
        <f t="shared" si="8"/>
        <v>20.235987742462484</v>
      </c>
      <c r="N15" s="32">
        <f t="shared" si="8"/>
        <v>19.839529248250809</v>
      </c>
      <c r="O15" s="32">
        <f t="shared" si="8"/>
        <v>13.739028434920655</v>
      </c>
      <c r="P15" s="32">
        <f t="shared" si="8"/>
        <v>6.8654777765602146</v>
      </c>
      <c r="Q15" s="32">
        <f t="shared" si="8"/>
        <v>8.2970757575836096</v>
      </c>
      <c r="R15" s="32">
        <f t="shared" si="8"/>
        <v>6.008104058623486</v>
      </c>
      <c r="S15" s="32">
        <f t="shared" si="8"/>
        <v>13.444303137339439</v>
      </c>
      <c r="T15" s="32">
        <f t="shared" si="8"/>
        <v>16.915761138503935</v>
      </c>
      <c r="U15" s="32">
        <f t="shared" si="8"/>
        <v>17.599401879970774</v>
      </c>
      <c r="V15" s="32">
        <f t="shared" si="8"/>
        <v>20.065815037719393</v>
      </c>
      <c r="W15" s="32">
        <f t="shared" si="8"/>
        <v>20.174467588560603</v>
      </c>
      <c r="X15" s="32">
        <f t="shared" ref="X15:Y15" si="9">SUM(X16:X17)</f>
        <v>5.8094772719131971</v>
      </c>
      <c r="Y15" s="32">
        <f t="shared" si="9"/>
        <v>5.5871832046547114</v>
      </c>
      <c r="DA15" s="173" t="s">
        <v>414</v>
      </c>
    </row>
    <row r="16" spans="1:105" ht="11.45" customHeight="1" x14ac:dyDescent="0.25">
      <c r="A16" s="83" t="s">
        <v>92</v>
      </c>
      <c r="B16" s="96">
        <v>20.637181743570288</v>
      </c>
      <c r="C16" s="96">
        <v>15.720539673095983</v>
      </c>
      <c r="D16" s="96">
        <v>14.938222537630269</v>
      </c>
      <c r="E16" s="96">
        <v>16.134072892233405</v>
      </c>
      <c r="F16" s="96">
        <v>19.759266565118029</v>
      </c>
      <c r="G16" s="96">
        <v>12.605776277396556</v>
      </c>
      <c r="H16" s="96">
        <v>53.384074342164503</v>
      </c>
      <c r="I16" s="96">
        <v>66.399928133562028</v>
      </c>
      <c r="J16" s="96">
        <v>68.585164950509039</v>
      </c>
      <c r="K16" s="96">
        <v>37.44213344514354</v>
      </c>
      <c r="L16" s="96">
        <v>34.33028521029491</v>
      </c>
      <c r="M16" s="96">
        <v>20.235987742462484</v>
      </c>
      <c r="N16" s="96">
        <v>19.839529248250809</v>
      </c>
      <c r="O16" s="96">
        <v>13.739028434920655</v>
      </c>
      <c r="P16" s="96">
        <v>6.8654777765602146</v>
      </c>
      <c r="Q16" s="96">
        <v>8.2970757575836096</v>
      </c>
      <c r="R16" s="96">
        <v>6.008104058623486</v>
      </c>
      <c r="S16" s="96">
        <v>13.444303137339439</v>
      </c>
      <c r="T16" s="96">
        <v>16.915761138503935</v>
      </c>
      <c r="U16" s="96">
        <v>17.599401879970774</v>
      </c>
      <c r="V16" s="96">
        <v>20.065815037719393</v>
      </c>
      <c r="W16" s="96">
        <v>20.174467588560603</v>
      </c>
      <c r="X16" s="96">
        <v>5.8094772719131971</v>
      </c>
      <c r="Y16" s="96">
        <v>5.5871832046547114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0.82193196863880313</v>
      </c>
      <c r="C22" s="134">
        <f>IF(C4=0,0,C4/TrRail_ene!C4)</f>
        <v>0.75294692040742739</v>
      </c>
      <c r="D22" s="134">
        <f>IF(D4=0,0,D4/TrRail_ene!D4)</f>
        <v>0.76110672732027163</v>
      </c>
      <c r="E22" s="134">
        <f>IF(E4=0,0,E4/TrRail_ene!E4)</f>
        <v>0.79520481877256333</v>
      </c>
      <c r="F22" s="134">
        <f>IF(F4=0,0,F4/TrRail_ene!F4)</f>
        <v>0.72418436048861112</v>
      </c>
      <c r="G22" s="134">
        <f>IF(G4=0,0,G4/TrRail_ene!G4)</f>
        <v>0.62203712815035828</v>
      </c>
      <c r="H22" s="134">
        <f>IF(H4=0,0,H4/TrRail_ene!H4)</f>
        <v>0.72118888959132921</v>
      </c>
      <c r="I22" s="134">
        <f>IF(I4=0,0,I4/TrRail_ene!I4)</f>
        <v>0.68219721422882917</v>
      </c>
      <c r="J22" s="134">
        <f>IF(J4=0,0,J4/TrRail_ene!J4)</f>
        <v>0.47825732592050402</v>
      </c>
      <c r="K22" s="134">
        <f>IF(K4=0,0,K4/TrRail_ene!K4)</f>
        <v>0.42613993964016245</v>
      </c>
      <c r="L22" s="134">
        <f>IF(L4=0,0,L4/TrRail_ene!L4)</f>
        <v>0.43421631754435375</v>
      </c>
      <c r="M22" s="134">
        <f>IF(M4=0,0,M4/TrRail_ene!M4)</f>
        <v>0.31584705305420135</v>
      </c>
      <c r="N22" s="134">
        <f>IF(N4=0,0,N4/TrRail_ene!N4)</f>
        <v>0.36482252727272724</v>
      </c>
      <c r="O22" s="134">
        <f>IF(O4=0,0,O4/TrRail_ene!O4)</f>
        <v>0.25444831038244703</v>
      </c>
      <c r="P22" s="134">
        <f>IF(P4=0,0,P4/TrRail_ene!P4)</f>
        <v>0.12749666301369864</v>
      </c>
      <c r="Q22" s="134">
        <f>IF(Q4=0,0,Q4/TrRail_ene!Q4)</f>
        <v>0.15050538113464074</v>
      </c>
      <c r="R22" s="134">
        <f>IF(R4=0,0,R4/TrRail_ene!R4)</f>
        <v>9.7924662043211527E-2</v>
      </c>
      <c r="S22" s="134">
        <f>IF(S4=0,0,S4/TrRail_ene!S4)</f>
        <v>0.20515286394011101</v>
      </c>
      <c r="T22" s="134">
        <f>IF(T4=0,0,T4/TrRail_ene!T4)</f>
        <v>0.2596142847563343</v>
      </c>
      <c r="U22" s="134">
        <f>IF(U4=0,0,U4/TrRail_ene!U4)</f>
        <v>0.26055374479122123</v>
      </c>
      <c r="V22" s="134">
        <f>IF(V4=0,0,V4/TrRail_ene!V4)</f>
        <v>0.30871072697183316</v>
      </c>
      <c r="W22" s="134">
        <f>IF(W4=0,0,W4/TrRail_ene!W4)</f>
        <v>0.2445520260960681</v>
      </c>
      <c r="X22" s="134">
        <f>IF(X4=0,0,X4/TrRail_ene!X4)</f>
        <v>7.1567863973652932E-2</v>
      </c>
      <c r="Y22" s="134">
        <f>IF(Y4=0,0,Y4/TrRail_ene!Y4)</f>
        <v>6.8089825125403861E-2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1.5512093999999998</v>
      </c>
      <c r="H23" s="129">
        <f>IF(H5=0,0,H5/SUM(TrRail_ene!H5:H7))</f>
        <v>1.5512094000000001</v>
      </c>
      <c r="I23" s="129">
        <f>IF(I5=0,0,I5/SUM(TrRail_ene!I5:I7))</f>
        <v>1.5512093999999998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1.5512094000000003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1.5512094000000001</v>
      </c>
      <c r="U23" s="129">
        <f>IF(U5=0,0,U5/SUM(TrRail_ene!U5:U7))</f>
        <v>1.5512094000000001</v>
      </c>
      <c r="V23" s="129">
        <f>IF(V5=0,0,V5/SUM(TrRail_ene!V5:V7))</f>
        <v>1.5512094000000001</v>
      </c>
      <c r="W23" s="129">
        <f>IF(W5=0,0,W5/SUM(TrRail_ene!W5:W7))</f>
        <v>1.5512094000000001</v>
      </c>
      <c r="X23" s="129">
        <f>IF(X5=0,0,X5/SUM(TrRail_ene!X5:X7))</f>
        <v>1.5512094000000001</v>
      </c>
      <c r="Y23" s="129">
        <f>IF(Y5=0,0,Y5/SUM(TrRail_ene!Y5:Y7))</f>
        <v>1.5489417786369595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1209.7713787050061</v>
      </c>
      <c r="C26" s="54">
        <f>IF(C8=0,0,C8/TrRail_act!C14*1000)</f>
        <v>1082.6527912244308</v>
      </c>
      <c r="D26" s="54">
        <f>IF(D8=0,0,D8/TrRail_act!D14*1000)</f>
        <v>1078.6466288510362</v>
      </c>
      <c r="E26" s="54">
        <f>IF(E8=0,0,E8/TrRail_act!E14*1000)</f>
        <v>1110.9131260067816</v>
      </c>
      <c r="F26" s="54">
        <f>IF(F8=0,0,F8/TrRail_act!F14*1000)</f>
        <v>987.4440061647349</v>
      </c>
      <c r="G26" s="54">
        <f>IF(G8=0,0,G8/TrRail_act!G14*1000)</f>
        <v>820.21278999362744</v>
      </c>
      <c r="H26" s="54">
        <f>IF(H8=0,0,H8/TrRail_act!H14*1000)</f>
        <v>949.19347778542999</v>
      </c>
      <c r="I26" s="54">
        <f>IF(I8=0,0,I8/TrRail_act!I14*1000)</f>
        <v>868.43012159917896</v>
      </c>
      <c r="J26" s="54">
        <f>IF(J8=0,0,J8/TrRail_act!J14*1000)</f>
        <v>579.87923758774423</v>
      </c>
      <c r="K26" s="54">
        <f>IF(K8=0,0,K8/TrRail_act!K14*1000)</f>
        <v>507.18034263705249</v>
      </c>
      <c r="L26" s="54">
        <f>IF(L8=0,0,L8/TrRail_act!L14*1000)</f>
        <v>509.07534568049005</v>
      </c>
      <c r="M26" s="54">
        <f>IF(M8=0,0,M8/TrRail_act!M14*1000)</f>
        <v>363.63012320409626</v>
      </c>
      <c r="N26" s="54">
        <f>IF(N8=0,0,N8/TrRail_act!N14*1000)</f>
        <v>420.25801766906454</v>
      </c>
      <c r="O26" s="54">
        <f>IF(O8=0,0,O8/TrRail_act!O14*1000)</f>
        <v>286.97987777550725</v>
      </c>
      <c r="P26" s="54">
        <f>IF(P8=0,0,P8/TrRail_act!P14*1000)</f>
        <v>138.14008328842823</v>
      </c>
      <c r="Q26" s="54">
        <f>IF(Q8=0,0,Q8/TrRail_act!Q14*1000)</f>
        <v>160.86498898977507</v>
      </c>
      <c r="R26" s="54">
        <f>IF(R8=0,0,R8/TrRail_act!R14*1000)</f>
        <v>103.04071566940777</v>
      </c>
      <c r="S26" s="54">
        <f>IF(S8=0,0,S8/TrRail_act!S14*1000)</f>
        <v>216.92097125879096</v>
      </c>
      <c r="T26" s="54">
        <f>IF(T8=0,0,T8/TrRail_act!T14*1000)</f>
        <v>276.25780731781083</v>
      </c>
      <c r="U26" s="54">
        <f>IF(U8=0,0,U8/TrRail_act!U14*1000)</f>
        <v>274.95677789266864</v>
      </c>
      <c r="V26" s="54">
        <f>IF(V8=0,0,V8/TrRail_act!V14*1000)</f>
        <v>329.62535926473976</v>
      </c>
      <c r="W26" s="54">
        <f>IF(W8=0,0,W8/TrRail_act!W14*1000)</f>
        <v>260.43157741889024</v>
      </c>
      <c r="X26" s="54">
        <f>IF(X8=0,0,X8/TrRail_act!X14*1000)</f>
        <v>71.964007144434888</v>
      </c>
      <c r="Y26" s="54">
        <f>IF(Y8=0,0,Y8/TrRail_act!Y14*1000)</f>
        <v>73.224109511633458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1273.4087242557487</v>
      </c>
      <c r="C27" s="28">
        <f>IF(C9=0,0,C9/TrRail_act!C15*1000)</f>
        <v>1143.126985768562</v>
      </c>
      <c r="D27" s="28">
        <f>IF(D9=0,0,D9/TrRail_act!D15*1000)</f>
        <v>1134.9519642085961</v>
      </c>
      <c r="E27" s="28">
        <f>IF(E9=0,0,E9/TrRail_act!E15*1000)</f>
        <v>1169.5423952701394</v>
      </c>
      <c r="F27" s="28">
        <f>IF(F9=0,0,F9/TrRail_act!F15*1000)</f>
        <v>1039.2331939801988</v>
      </c>
      <c r="G27" s="28">
        <f>IF(G9=0,0,G9/TrRail_act!G15*1000)</f>
        <v>876.51311499930159</v>
      </c>
      <c r="H27" s="28">
        <f>IF(H9=0,0,H9/TrRail_act!H15*1000)</f>
        <v>902.12368887006744</v>
      </c>
      <c r="I27" s="28">
        <f>IF(I9=0,0,I9/TrRail_act!I15*1000)</f>
        <v>778.77126402932322</v>
      </c>
      <c r="J27" s="28">
        <f>IF(J9=0,0,J9/TrRail_act!J15*1000)</f>
        <v>445.61705864649662</v>
      </c>
      <c r="K27" s="28">
        <f>IF(K9=0,0,K9/TrRail_act!K15*1000)</f>
        <v>441.07213004157353</v>
      </c>
      <c r="L27" s="28">
        <f>IF(L9=0,0,L9/TrRail_act!L15*1000)</f>
        <v>456.21454703147833</v>
      </c>
      <c r="M27" s="28">
        <f>IF(M9=0,0,M9/TrRail_act!M15*1000)</f>
        <v>342.00210543082193</v>
      </c>
      <c r="N27" s="28">
        <f>IF(N9=0,0,N9/TrRail_act!N15*1000)</f>
        <v>407.68876253956245</v>
      </c>
      <c r="O27" s="28">
        <f>IF(O9=0,0,O9/TrRail_act!O15*1000)</f>
        <v>278.49929059457924</v>
      </c>
      <c r="P27" s="28">
        <f>IF(P9=0,0,P9/TrRail_act!P15*1000)</f>
        <v>133.5445084956927</v>
      </c>
      <c r="Q27" s="28">
        <f>IF(Q9=0,0,Q9/TrRail_act!Q15*1000)</f>
        <v>155.44234707508255</v>
      </c>
      <c r="R27" s="28">
        <f>IF(R9=0,0,R9/TrRail_act!R15*1000)</f>
        <v>99.410748006061525</v>
      </c>
      <c r="S27" s="28">
        <f>IF(S9=0,0,S9/TrRail_act!S15*1000)</f>
        <v>208.29324310909041</v>
      </c>
      <c r="T27" s="28">
        <f>IF(T9=0,0,T9/TrRail_act!T15*1000)</f>
        <v>266.38321394876016</v>
      </c>
      <c r="U27" s="28">
        <f>IF(U9=0,0,U9/TrRail_act!U15*1000)</f>
        <v>264.74042174113566</v>
      </c>
      <c r="V27" s="28">
        <f>IF(V9=0,0,V9/TrRail_act!V15*1000)</f>
        <v>316.52880866224547</v>
      </c>
      <c r="W27" s="28">
        <f>IF(W9=0,0,W9/TrRail_act!W15*1000)</f>
        <v>250.98219530437316</v>
      </c>
      <c r="X27" s="28">
        <f>IF(X9=0,0,X9/TrRail_act!X15*1000)</f>
        <v>68.698054684992542</v>
      </c>
      <c r="Y27" s="28">
        <f>IF(Y9=0,0,Y9/TrRail_act!Y15*1000)</f>
        <v>73.750884871479556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1677.1702192544049</v>
      </c>
      <c r="C29" s="110">
        <f>IF(C11=0,0,C11/TrRail_act!C17*1000)</f>
        <v>1550.3274467376232</v>
      </c>
      <c r="D29" s="110">
        <f>IF(D11=0,0,D11/TrRail_act!D17*1000)</f>
        <v>1547.5199847000461</v>
      </c>
      <c r="E29" s="110">
        <f>IF(E11=0,0,E11/TrRail_act!E17*1000)</f>
        <v>1585.7612460437988</v>
      </c>
      <c r="F29" s="110">
        <f>IF(F11=0,0,F11/TrRail_act!F17*1000)</f>
        <v>1450.027306151602</v>
      </c>
      <c r="G29" s="110">
        <f>IF(G11=0,0,G11/TrRail_act!G17*1000)</f>
        <v>1229.995303295733</v>
      </c>
      <c r="H29" s="110">
        <f>IF(H11=0,0,H11/TrRail_act!H17*1000)</f>
        <v>1290.1588496587813</v>
      </c>
      <c r="I29" s="110">
        <f>IF(I11=0,0,I11/TrRail_act!I17*1000)</f>
        <v>1130.1738437994129</v>
      </c>
      <c r="J29" s="110">
        <f>IF(J11=0,0,J11/TrRail_act!J17*1000)</f>
        <v>652.69220286935683</v>
      </c>
      <c r="K29" s="110">
        <f>IF(K11=0,0,K11/TrRail_act!K17*1000)</f>
        <v>662.93123717406172</v>
      </c>
      <c r="L29" s="110">
        <f>IF(L11=0,0,L11/TrRail_act!L17*1000)</f>
        <v>683.34466111188817</v>
      </c>
      <c r="M29" s="110">
        <f>IF(M11=0,0,M11/TrRail_act!M17*1000)</f>
        <v>519.5604268880395</v>
      </c>
      <c r="N29" s="110">
        <f>IF(N11=0,0,N11/TrRail_act!N17*1000)</f>
        <v>594.50215382859039</v>
      </c>
      <c r="O29" s="110">
        <f>IF(O11=0,0,O11/TrRail_act!O17*1000)</f>
        <v>401.38777400153617</v>
      </c>
      <c r="P29" s="110">
        <f>IF(P11=0,0,P11/TrRail_act!P17*1000)</f>
        <v>194.38640805910342</v>
      </c>
      <c r="Q29" s="110">
        <f>IF(Q11=0,0,Q11/TrRail_act!Q17*1000)</f>
        <v>222.57886334019179</v>
      </c>
      <c r="R29" s="110">
        <f>IF(R11=0,0,R11/TrRail_act!R17*1000)</f>
        <v>140.00373082500528</v>
      </c>
      <c r="S29" s="110">
        <f>IF(S11=0,0,S11/TrRail_act!S17*1000)</f>
        <v>291.40105629926228</v>
      </c>
      <c r="T29" s="110">
        <f>IF(T11=0,0,T11/TrRail_act!T17*1000)</f>
        <v>365.26267606109292</v>
      </c>
      <c r="U29" s="110">
        <f>IF(U11=0,0,U11/TrRail_act!U17*1000)</f>
        <v>374.52650779885624</v>
      </c>
      <c r="V29" s="110">
        <f>IF(V11=0,0,V11/TrRail_act!V17*1000)</f>
        <v>452.99244387376314</v>
      </c>
      <c r="W29" s="110">
        <f>IF(W11=0,0,W11/TrRail_act!W17*1000)</f>
        <v>361.53395694451677</v>
      </c>
      <c r="X29" s="110">
        <f>IF(X11=0,0,X11/TrRail_act!X17*1000)</f>
        <v>102.35412801941573</v>
      </c>
      <c r="Y29" s="110">
        <f>IF(Y11=0,0,Y11/TrRail_act!Y17*1000)</f>
        <v>96.679884480411346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8492.3617493940928</v>
      </c>
      <c r="C30" s="84">
        <f>IF(C12=0,0,C12/TrRail_act!C18*1000)</f>
        <v>8095.1371661381481</v>
      </c>
      <c r="D30" s="84">
        <f>IF(D12=0,0,D12/TrRail_act!D18*1000)</f>
        <v>7851.9565137683139</v>
      </c>
      <c r="E30" s="84">
        <f>IF(E12=0,0,E12/TrRail_act!E18*1000)</f>
        <v>7684.3820268376776</v>
      </c>
      <c r="F30" s="84">
        <f>IF(F12=0,0,F12/TrRail_act!F18*1000)</f>
        <v>7388.83277865932</v>
      </c>
      <c r="G30" s="84">
        <f>IF(G12=0,0,G12/TrRail_act!G18*1000)</f>
        <v>7138.2232593225699</v>
      </c>
      <c r="H30" s="84">
        <f>IF(H12=0,0,H12/TrRail_act!H18*1000)</f>
        <v>7012.8827733557946</v>
      </c>
      <c r="I30" s="84">
        <f>IF(I12=0,0,I12/TrRail_act!I18*1000)</f>
        <v>6949.088642044012</v>
      </c>
      <c r="J30" s="84">
        <f>IF(J12=0,0,J12/TrRail_act!J18*1000)</f>
        <v>6743.3032242468953</v>
      </c>
      <c r="K30" s="84">
        <f>IF(K12=0,0,K12/TrRail_act!K18*1000)</f>
        <v>6693.8539319168667</v>
      </c>
      <c r="L30" s="84">
        <f>IF(L12=0,0,L12/TrRail_act!L18*1000)</f>
        <v>6617.2327069112116</v>
      </c>
      <c r="M30" s="84">
        <f>IF(M12=0,0,M12/TrRail_act!M18*1000)</f>
        <v>6215.4512201477737</v>
      </c>
      <c r="N30" s="84">
        <f>IF(N12=0,0,N12/TrRail_act!N18*1000)</f>
        <v>5887.0881366940012</v>
      </c>
      <c r="O30" s="84">
        <f>IF(O12=0,0,O12/TrRail_act!O18*1000)</f>
        <v>5697.2945281364964</v>
      </c>
      <c r="P30" s="84">
        <f>IF(P12=0,0,P12/TrRail_act!P18*1000)</f>
        <v>5513.4795240950098</v>
      </c>
      <c r="Q30" s="84">
        <f>IF(Q12=0,0,Q12/TrRail_act!Q18*1000)</f>
        <v>5457.9067899767406</v>
      </c>
      <c r="R30" s="84">
        <f>IF(R12=0,0,R12/TrRail_act!R18*1000)</f>
        <v>5254.0972877353988</v>
      </c>
      <c r="S30" s="84">
        <f>IF(S12=0,0,S12/TrRail_act!S18*1000)</f>
        <v>5157.3128919644005</v>
      </c>
      <c r="T30" s="84">
        <f>IF(T12=0,0,T12/TrRail_act!T18*1000)</f>
        <v>5085.8963908743935</v>
      </c>
      <c r="U30" s="84">
        <f>IF(U12=0,0,U12/TrRail_act!U18*1000)</f>
        <v>5032.9837646655578</v>
      </c>
      <c r="V30" s="84">
        <f>IF(V12=0,0,V12/TrRail_act!V18*1000)</f>
        <v>4993.6608697086995</v>
      </c>
      <c r="W30" s="84">
        <f>IF(W12=0,0,W12/TrRail_act!W18*1000)</f>
        <v>4964.3704506156801</v>
      </c>
      <c r="X30" s="84">
        <f>IF(X12=0,0,X12/TrRail_act!X18*1000)</f>
        <v>4942.5154375845441</v>
      </c>
      <c r="Y30" s="84">
        <f>IF(Y12=0,0,Y12/TrRail_act!Y18*1000)</f>
        <v>4918.986039206331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605.71656527872392</v>
      </c>
      <c r="C33" s="28">
        <f>IF(C15=0,0,C15/TrRail_act!C21*1000)</f>
        <v>489.62178638510358</v>
      </c>
      <c r="D33" s="28">
        <f>IF(D15=0,0,D15/TrRail_act!D21*1000)</f>
        <v>483.83663429027445</v>
      </c>
      <c r="E33" s="28">
        <f>IF(E15=0,0,E15/TrRail_act!E21*1000)</f>
        <v>494.94211551393909</v>
      </c>
      <c r="F33" s="28">
        <f>IF(F15=0,0,F15/TrRail_act!F21*1000)</f>
        <v>529.25816586250198</v>
      </c>
      <c r="G33" s="28">
        <f>IF(G15=0,0,G15/TrRail_act!G21*1000)</f>
        <v>328.61416663793807</v>
      </c>
      <c r="H33" s="28">
        <f>IF(H15=0,0,H15/TrRail_act!H21*1000)</f>
        <v>1343.2732862823216</v>
      </c>
      <c r="I33" s="28">
        <f>IF(I15=0,0,I15/TrRail_act!I21*1000)</f>
        <v>1606.8953372701662</v>
      </c>
      <c r="J33" s="28">
        <f>IF(J15=0,0,J15/TrRail_act!J21*1000)</f>
        <v>1754.0750963251282</v>
      </c>
      <c r="K33" s="28">
        <f>IF(K15=0,0,K15/TrRail_act!K21*1000)</f>
        <v>1294.7694422585353</v>
      </c>
      <c r="L33" s="28">
        <f>IF(L15=0,0,L15/TrRail_act!L21*1000)</f>
        <v>1144.8572077590361</v>
      </c>
      <c r="M33" s="28">
        <f>IF(M15=0,0,M15/TrRail_act!M21*1000)</f>
        <v>587.14387100410465</v>
      </c>
      <c r="N33" s="28">
        <f>IF(N15=0,0,N15/TrRail_act!N21*1000)</f>
        <v>548.68469498337163</v>
      </c>
      <c r="O33" s="28">
        <f>IF(O15=0,0,O15/TrRail_act!O21*1000)</f>
        <v>375.33911873465723</v>
      </c>
      <c r="P33" s="28">
        <f>IF(P15=0,0,P15/TrRail_act!P21*1000)</f>
        <v>184.28257988492882</v>
      </c>
      <c r="Q33" s="28">
        <f>IF(Q15=0,0,Q15/TrRail_act!Q21*1000)</f>
        <v>216.53762377308294</v>
      </c>
      <c r="R33" s="28">
        <f>IF(R15=0,0,R15/TrRail_act!R21*1000)</f>
        <v>137.61860276495392</v>
      </c>
      <c r="S33" s="28">
        <f>IF(S15=0,0,S15/TrRail_act!S21*1000)</f>
        <v>301.07823197921169</v>
      </c>
      <c r="T33" s="28">
        <f>IF(T15=0,0,T15/TrRail_act!T21*1000)</f>
        <v>377.04117290074038</v>
      </c>
      <c r="U33" s="28">
        <f>IF(U15=0,0,U15/TrRail_act!U21*1000)</f>
        <v>371.08078204966563</v>
      </c>
      <c r="V33" s="28">
        <f>IF(V15=0,0,V15/TrRail_act!V21*1000)</f>
        <v>434.20247571088544</v>
      </c>
      <c r="W33" s="28">
        <f>IF(W15=0,0,W15/TrRail_act!W21*1000)</f>
        <v>318.84248296801445</v>
      </c>
      <c r="X33" s="28">
        <f>IF(X15=0,0,X15/TrRail_act!X21*1000)</f>
        <v>94.676009128723209</v>
      </c>
      <c r="Y33" s="28">
        <f>IF(Y15=0,0,Y15/TrRail_act!Y21*1000)</f>
        <v>70.397989521155935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15108.727890863674</v>
      </c>
      <c r="C34" s="84">
        <f>IF(C16=0,0,C16/TrRail_act!C22*1000)</f>
        <v>14782.540290561947</v>
      </c>
      <c r="D34" s="84">
        <f>IF(D16=0,0,D16/TrRail_act!D22*1000)</f>
        <v>14619.663628318074</v>
      </c>
      <c r="E34" s="84">
        <f>IF(E16=0,0,E16/TrRail_act!E22*1000)</f>
        <v>14404.631914611668</v>
      </c>
      <c r="F34" s="84">
        <f>IF(F16=0,0,F16/TrRail_act!F22*1000)</f>
        <v>14106.985637058531</v>
      </c>
      <c r="G34" s="84">
        <f>IF(G16=0,0,G16/TrRail_act!G22*1000)</f>
        <v>13897.340904892619</v>
      </c>
      <c r="H34" s="84">
        <f>IF(H16=0,0,H16/TrRail_act!H22*1000)</f>
        <v>13659.947589281812</v>
      </c>
      <c r="I34" s="84">
        <f>IF(I16=0,0,I16/TrRail_act!I22*1000)</f>
        <v>13449.914130941723</v>
      </c>
      <c r="J34" s="84">
        <f>IF(J16=0,0,J16/TrRail_act!J22*1000)</f>
        <v>13199.70318255548</v>
      </c>
      <c r="K34" s="84">
        <f>IF(K16=0,0,K16/TrRail_act!K22*1000)</f>
        <v>13080.910051452778</v>
      </c>
      <c r="L34" s="84">
        <f>IF(L16=0,0,L16/TrRail_act!L22*1000)</f>
        <v>13065.343741590552</v>
      </c>
      <c r="M34" s="84">
        <f>IF(M16=0,0,M16/TrRail_act!M22*1000)</f>
        <v>12314.395924650118</v>
      </c>
      <c r="N34" s="84">
        <f>IF(N16=0,0,N16/TrRail_act!N22*1000)</f>
        <v>11859.637062093887</v>
      </c>
      <c r="O34" s="84">
        <f>IF(O16=0,0,O16/TrRail_act!O22*1000)</f>
        <v>11617.147429278015</v>
      </c>
      <c r="P34" s="84">
        <f>IF(P16=0,0,P16/TrRail_act!P22*1000)</f>
        <v>11414.823975308536</v>
      </c>
      <c r="Q34" s="84">
        <f>IF(Q16=0,0,Q16/TrRail_act!Q22*1000)</f>
        <v>11223.519801422115</v>
      </c>
      <c r="R34" s="84">
        <f>IF(R16=0,0,R16/TrRail_act!R22*1000)</f>
        <v>11026.737897553308</v>
      </c>
      <c r="S34" s="84">
        <f>IF(S16=0,0,S16/TrRail_act!S22*1000)</f>
        <v>10827.011879146699</v>
      </c>
      <c r="T34" s="84">
        <f>IF(T16=0,0,T16/TrRail_act!T22*1000)</f>
        <v>10626.197053320235</v>
      </c>
      <c r="U34" s="84">
        <f>IF(U16=0,0,U16/TrRail_act!U22*1000)</f>
        <v>10425.643851179999</v>
      </c>
      <c r="V34" s="84">
        <f>IF(V16=0,0,V16/TrRail_act!V22*1000)</f>
        <v>10277.716874242278</v>
      </c>
      <c r="W34" s="84">
        <f>IF(W16=0,0,W16/TrRail_act!W22*1000)</f>
        <v>10168.150680986491</v>
      </c>
      <c r="X34" s="84">
        <f>IF(X16=0,0,X16/TrRail_act!X22*1000)</f>
        <v>10086.743243386059</v>
      </c>
      <c r="Y34" s="84">
        <f>IF(Y16=0,0,Y16/TrRail_act!Y22*1000)</f>
        <v>10011.4590812159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7.4632131737442524</v>
      </c>
      <c r="C38" s="29">
        <f>IF(C9=0,0,C9/TrRail_act!C4*1000)</f>
        <v>6.465859862515118</v>
      </c>
      <c r="D38" s="29">
        <f>IF(D9=0,0,D9/TrRail_act!D4*1000)</f>
        <v>6.7073943427561611</v>
      </c>
      <c r="E38" s="29">
        <f>IF(E9=0,0,E9/TrRail_act!E4*1000)</f>
        <v>7.3249889745760308</v>
      </c>
      <c r="F38" s="29">
        <f>IF(F9=0,0,F9/TrRail_act!F4*1000)</f>
        <v>6.2117762629595559</v>
      </c>
      <c r="G38" s="29">
        <f>IF(G9=0,0,G9/TrRail_act!G4*1000)</f>
        <v>5.2311913975126672</v>
      </c>
      <c r="H38" s="29">
        <f>IF(H9=0,0,H9/TrRail_act!H4*1000)</f>
        <v>5.3159846404405577</v>
      </c>
      <c r="I38" s="29">
        <f>IF(I9=0,0,I9/TrRail_act!I4*1000)</f>
        <v>4.6907242167319332</v>
      </c>
      <c r="J38" s="29">
        <f>IF(J9=0,0,J9/TrRail_act!J4*1000)</f>
        <v>2.7014066467432087</v>
      </c>
      <c r="K38" s="29">
        <f>IF(K9=0,0,K9/TrRail_act!K4*1000)</f>
        <v>2.759250917977492</v>
      </c>
      <c r="L38" s="29">
        <f>IF(L9=0,0,L9/TrRail_act!L4*1000)</f>
        <v>3.0327028806507252</v>
      </c>
      <c r="M38" s="29">
        <f>IF(M9=0,0,M9/TrRail_act!M4*1000)</f>
        <v>2.2583187292832316</v>
      </c>
      <c r="N38" s="29">
        <f>IF(N9=0,0,N9/TrRail_act!N4*1000)</f>
        <v>2.8260523247415268</v>
      </c>
      <c r="O38" s="29">
        <f>IF(O9=0,0,O9/TrRail_act!O4*1000)</f>
        <v>1.9198911932664411</v>
      </c>
      <c r="P38" s="29">
        <f>IF(P9=0,0,P9/TrRail_act!P4*1000)</f>
        <v>0.88241511761742042</v>
      </c>
      <c r="Q38" s="29">
        <f>IF(Q9=0,0,Q9/TrRail_act!Q4*1000)</f>
        <v>1.0358152845331818</v>
      </c>
      <c r="R38" s="29">
        <f>IF(R9=0,0,R9/TrRail_act!R4*1000)</f>
        <v>0.69920257231399052</v>
      </c>
      <c r="S38" s="29">
        <f>IF(S9=0,0,S9/TrRail_act!S4*1000)</f>
        <v>1.4993468329641475</v>
      </c>
      <c r="T38" s="29">
        <f>IF(T9=0,0,T9/TrRail_act!T4*1000)</f>
        <v>1.9431811600952027</v>
      </c>
      <c r="U38" s="29">
        <f>IF(U9=0,0,U9/TrRail_act!U4*1000)</f>
        <v>1.8401384610596452</v>
      </c>
      <c r="V38" s="29">
        <f>IF(V9=0,0,V9/TrRail_act!V4*1000)</f>
        <v>4.3809143831025654</v>
      </c>
      <c r="W38" s="29">
        <f>IF(W9=0,0,W9/TrRail_act!W4*1000)</f>
        <v>2.9990713555981725</v>
      </c>
      <c r="X38" s="29">
        <f>IF(X9=0,0,X9/TrRail_act!X4*1000)</f>
        <v>0.55536254481551206</v>
      </c>
      <c r="Y38" s="29">
        <f>IF(Y9=0,0,Y9/TrRail_act!Y4*1000)</f>
        <v>0.51913636428079513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9.2574141792120983</v>
      </c>
      <c r="C40" s="116">
        <f>IF(C11=0,0,C11/TrRail_act!C6*1000)</f>
        <v>8.3097935780690353</v>
      </c>
      <c r="D40" s="116">
        <f>IF(D11=0,0,D11/TrRail_act!D6*1000)</f>
        <v>8.7665037271436983</v>
      </c>
      <c r="E40" s="116">
        <f>IF(E11=0,0,E11/TrRail_act!E6*1000)</f>
        <v>9.7064180465217493</v>
      </c>
      <c r="F40" s="116">
        <f>IF(F11=0,0,F11/TrRail_act!F6*1000)</f>
        <v>8.3054645530954545</v>
      </c>
      <c r="G40" s="116">
        <f>IF(G11=0,0,G11/TrRail_act!G6*1000)</f>
        <v>7.0679896673552758</v>
      </c>
      <c r="H40" s="116">
        <f>IF(H11=0,0,H11/TrRail_act!H6*1000)</f>
        <v>7.2725936262892361</v>
      </c>
      <c r="I40" s="116">
        <f>IF(I11=0,0,I11/TrRail_act!I6*1000)</f>
        <v>6.4706159822869456</v>
      </c>
      <c r="J40" s="116">
        <f>IF(J11=0,0,J11/TrRail_act!J6*1000)</f>
        <v>3.7489776639642503</v>
      </c>
      <c r="K40" s="116">
        <f>IF(K11=0,0,K11/TrRail_act!K6*1000)</f>
        <v>4.0654252917453162</v>
      </c>
      <c r="L40" s="116">
        <f>IF(L11=0,0,L11/TrRail_act!L6*1000)</f>
        <v>4.5917088460597499</v>
      </c>
      <c r="M40" s="116">
        <f>IF(M11=0,0,M11/TrRail_act!M6*1000)</f>
        <v>3.5244983582413489</v>
      </c>
      <c r="N40" s="116">
        <f>IF(N11=0,0,N11/TrRail_act!N6*1000)</f>
        <v>4.434568254136587</v>
      </c>
      <c r="O40" s="116">
        <f>IF(O11=0,0,O11/TrRail_act!O6*1000)</f>
        <v>3.0001247960789263</v>
      </c>
      <c r="P40" s="116">
        <f>IF(P11=0,0,P11/TrRail_act!P6*1000)</f>
        <v>1.3766102906004367</v>
      </c>
      <c r="Q40" s="116">
        <f>IF(Q11=0,0,Q11/TrRail_act!Q6*1000)</f>
        <v>1.612488925785287</v>
      </c>
      <c r="R40" s="116">
        <f>IF(R11=0,0,R11/TrRail_act!R6*1000)</f>
        <v>1.0907744718624386</v>
      </c>
      <c r="S40" s="116">
        <f>IF(S11=0,0,S11/TrRail_act!S6*1000)</f>
        <v>2.3463793636491501</v>
      </c>
      <c r="T40" s="116">
        <f>IF(T11=0,0,T11/TrRail_act!T6*1000)</f>
        <v>3.0260398933241093</v>
      </c>
      <c r="U40" s="116">
        <f>IF(U11=0,0,U11/TrRail_act!U6*1000)</f>
        <v>2.8741546413022609</v>
      </c>
      <c r="V40" s="116">
        <f>IF(V11=0,0,V11/TrRail_act!V6*1000)</f>
        <v>7.2208840332365538</v>
      </c>
      <c r="W40" s="116">
        <f>IF(W11=0,0,W11/TrRail_act!W6*1000)</f>
        <v>4.8800349393161584</v>
      </c>
      <c r="X40" s="116">
        <f>IF(X11=0,0,X11/TrRail_act!X6*1000)</f>
        <v>0.86793346703569074</v>
      </c>
      <c r="Y40" s="116">
        <f>IF(Y11=0,0,Y11/TrRail_act!Y6*1000)</f>
        <v>0.7890225304132743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50.927589727757713</v>
      </c>
      <c r="C41" s="87">
        <f>IF(C12=0,0,C12/TrRail_act!C7*1000)</f>
        <v>49.247378445781159</v>
      </c>
      <c r="D41" s="87">
        <f>IF(D12=0,0,D12/TrRail_act!D7*1000)</f>
        <v>46.055950867207763</v>
      </c>
      <c r="E41" s="87">
        <f>IF(E12=0,0,E12/TrRail_act!E7*1000)</f>
        <v>54.239363256455562</v>
      </c>
      <c r="F41" s="87">
        <f>IF(F12=0,0,F12/TrRail_act!F7*1000)</f>
        <v>52.600289715570796</v>
      </c>
      <c r="G41" s="87">
        <f>IF(G12=0,0,G12/TrRail_act!G7*1000)</f>
        <v>53.943412597381901</v>
      </c>
      <c r="H41" s="87">
        <f>IF(H12=0,0,H12/TrRail_act!H7*1000)</f>
        <v>53.047741956894605</v>
      </c>
      <c r="I41" s="87">
        <f>IF(I12=0,0,I12/TrRail_act!I7*1000)</f>
        <v>54.993463094545532</v>
      </c>
      <c r="J41" s="87">
        <f>IF(J12=0,0,J12/TrRail_act!J7*1000)</f>
        <v>53.605780363174958</v>
      </c>
      <c r="K41" s="87">
        <f>IF(K12=0,0,K12/TrRail_act!K7*1000)</f>
        <v>56.303844688559835</v>
      </c>
      <c r="L41" s="87">
        <f>IF(L12=0,0,L12/TrRail_act!L7*1000)</f>
        <v>56.847886257568426</v>
      </c>
      <c r="M41" s="87">
        <f>IF(M12=0,0,M12/TrRail_act!M7*1000)</f>
        <v>44.930250446586967</v>
      </c>
      <c r="N41" s="87">
        <f>IF(N12=0,0,N12/TrRail_act!N7*1000)</f>
        <v>44.360615804532053</v>
      </c>
      <c r="O41" s="87">
        <f>IF(O12=0,0,O12/TrRail_act!O7*1000)</f>
        <v>44.032841060041662</v>
      </c>
      <c r="P41" s="87">
        <f>IF(P12=0,0,P12/TrRail_act!P7*1000)</f>
        <v>40.453656895410454</v>
      </c>
      <c r="Q41" s="87">
        <f>IF(Q12=0,0,Q12/TrRail_act!Q7*1000)</f>
        <v>40.16233306350891</v>
      </c>
      <c r="R41" s="87">
        <f>IF(R12=0,0,R12/TrRail_act!R7*1000)</f>
        <v>41.943258557685162</v>
      </c>
      <c r="S41" s="87">
        <f>IF(S12=0,0,S12/TrRail_act!S7*1000)</f>
        <v>37.255925647753621</v>
      </c>
      <c r="T41" s="87">
        <f>IF(T12=0,0,T12/TrRail_act!T7*1000)</f>
        <v>38.308252320530784</v>
      </c>
      <c r="U41" s="87">
        <f>IF(U12=0,0,U12/TrRail_act!U7*1000)</f>
        <v>35.648140144476535</v>
      </c>
      <c r="V41" s="87">
        <f>IF(V12=0,0,V12/TrRail_act!V7*1000)</f>
        <v>82.369731995374707</v>
      </c>
      <c r="W41" s="87">
        <f>IF(W12=0,0,W12/TrRail_act!W7*1000)</f>
        <v>64.670823373141886</v>
      </c>
      <c r="X41" s="87">
        <f>IF(X12=0,0,X12/TrRail_act!X7*1000)</f>
        <v>42.207400518896755</v>
      </c>
      <c r="Y41" s="87">
        <f>IF(Y12=0,0,Y12/TrRail_act!Y7*1000)</f>
        <v>42.103518481864256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0.90446516823290923</v>
      </c>
      <c r="C44" s="29">
        <f>IF(C15=0,0,C15/TrRail_act!C10*1000)</f>
        <v>0.72238487607278667</v>
      </c>
      <c r="D44" s="29">
        <f>IF(D15=0,0,D15/TrRail_act!D10*1000)</f>
        <v>0.7223861181696537</v>
      </c>
      <c r="E44" s="29">
        <f>IF(E15=0,0,E15/TrRail_act!E10*1000)</f>
        <v>0.79482106962083876</v>
      </c>
      <c r="F44" s="29">
        <f>IF(F15=0,0,F15/TrRail_act!F10*1000)</f>
        <v>0.8907391500301145</v>
      </c>
      <c r="G44" s="29">
        <f>IF(G15=0,0,G15/TrRail_act!G10*1000)</f>
        <v>0.55383226911807715</v>
      </c>
      <c r="H44" s="29">
        <f>IF(H15=0,0,H15/TrRail_act!H10*1000)</f>
        <v>2.2104291475369342</v>
      </c>
      <c r="I44" s="29">
        <f>IF(I15=0,0,I15/TrRail_act!I10*1000)</f>
        <v>2.6260600408764891</v>
      </c>
      <c r="J44" s="29">
        <f>IF(J15=0,0,J15/TrRail_act!J10*1000)</f>
        <v>2.8779809890692394</v>
      </c>
      <c r="K44" s="29">
        <f>IF(K15=0,0,K15/TrRail_act!K10*1000)</f>
        <v>2.1045547436986984</v>
      </c>
      <c r="L44" s="29">
        <f>IF(L15=0,0,L15/TrRail_act!L10*1000)</f>
        <v>1.8441279120270151</v>
      </c>
      <c r="M44" s="29">
        <f>IF(M15=0,0,M15/TrRail_act!M10*1000)</f>
        <v>1.022691046771238</v>
      </c>
      <c r="N44" s="29">
        <f>IF(N15=0,0,N15/TrRail_act!N10*1000)</f>
        <v>0.98002021578002407</v>
      </c>
      <c r="O44" s="29">
        <f>IF(O15=0,0,O15/TrRail_act!O10*1000)</f>
        <v>0.72170134133112651</v>
      </c>
      <c r="P44" s="29">
        <f>IF(P15=0,0,P15/TrRail_act!P10*1000)</f>
        <v>0.34060017743514487</v>
      </c>
      <c r="Q44" s="29">
        <f>IF(Q15=0,0,Q15/TrRail_act!Q10*1000)</f>
        <v>0.39926258397495834</v>
      </c>
      <c r="R44" s="29">
        <f>IF(R15=0,0,R15/TrRail_act!R10*1000)</f>
        <v>0.26453434565971667</v>
      </c>
      <c r="S44" s="29">
        <f>IF(S15=0,0,S15/TrRail_act!S10*1000)</f>
        <v>0.60193880176133607</v>
      </c>
      <c r="T44" s="29">
        <f>IF(T15=0,0,T15/TrRail_act!T10*1000)</f>
        <v>0.76645949879945341</v>
      </c>
      <c r="U44" s="29">
        <f>IF(U15=0,0,U15/TrRail_act!U10*1000)</f>
        <v>0.82591402130418001</v>
      </c>
      <c r="V44" s="29">
        <f>IF(V15=0,0,V15/TrRail_act!V10*1000)</f>
        <v>0.96702723073346475</v>
      </c>
      <c r="W44" s="29">
        <f>IF(W15=0,0,W15/TrRail_act!W10*1000)</f>
        <v>0.83152533132308148</v>
      </c>
      <c r="X44" s="29">
        <f>IF(X15=0,0,X15/TrRail_act!X10*1000)</f>
        <v>0.23877835067460737</v>
      </c>
      <c r="Y44" s="29">
        <f>IF(Y15=0,0,Y15/TrRail_act!Y10*1000)</f>
        <v>0.24620734167605476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19.016870675908159</v>
      </c>
      <c r="C45" s="87">
        <f>IF(C16=0,0,C16/TrRail_act!C11*1000)</f>
        <v>18.703912431671753</v>
      </c>
      <c r="D45" s="87">
        <f>IF(D16=0,0,D16/TrRail_act!D11*1000)</f>
        <v>18.504124114122092</v>
      </c>
      <c r="E45" s="87">
        <f>IF(E16=0,0,E16/TrRail_act!E11*1000)</f>
        <v>18.13790774374932</v>
      </c>
      <c r="F45" s="87">
        <f>IF(F16=0,0,F16/TrRail_act!F11*1000)</f>
        <v>18.368849838065589</v>
      </c>
      <c r="G45" s="87">
        <f>IF(G16=0,0,G16/TrRail_act!G11*1000)</f>
        <v>18.258413690374624</v>
      </c>
      <c r="H45" s="87">
        <f>IF(H16=0,0,H16/TrRail_act!H11*1000)</f>
        <v>18.169453332873683</v>
      </c>
      <c r="I45" s="87">
        <f>IF(I16=0,0,I16/TrRail_act!I11*1000)</f>
        <v>18.114331856559517</v>
      </c>
      <c r="J45" s="87">
        <f>IF(J16=0,0,J16/TrRail_act!J11*1000)</f>
        <v>18.661932461874091</v>
      </c>
      <c r="K45" s="87">
        <f>IF(K16=0,0,K16/TrRail_act!K11*1000)</f>
        <v>17.473125705561245</v>
      </c>
      <c r="L45" s="87">
        <f>IF(L16=0,0,L16/TrRail_act!L11*1000)</f>
        <v>17.582107500396937</v>
      </c>
      <c r="M45" s="87">
        <f>IF(M16=0,0,M16/TrRail_act!M11*1000)</f>
        <v>19.389180850527744</v>
      </c>
      <c r="N45" s="87">
        <f>IF(N16=0,0,N16/TrRail_act!N11*1000)</f>
        <v>19.17241643115953</v>
      </c>
      <c r="O45" s="87">
        <f>IF(O16=0,0,O16/TrRail_act!O11*1000)</f>
        <v>20.210963735186358</v>
      </c>
      <c r="P45" s="87">
        <f>IF(P16=0,0,P16/TrRail_act!P11*1000)</f>
        <v>19.000939781720732</v>
      </c>
      <c r="Q45" s="87">
        <f>IF(Q16=0,0,Q16/TrRail_act!Q11*1000)</f>
        <v>18.87472904536331</v>
      </c>
      <c r="R45" s="87">
        <f>IF(R16=0,0,R16/TrRail_act!R11*1000)</f>
        <v>19.20580166161599</v>
      </c>
      <c r="S45" s="87">
        <f>IF(S16=0,0,S16/TrRail_act!S11*1000)</f>
        <v>19.353183656132259</v>
      </c>
      <c r="T45" s="87">
        <f>IF(T16=0,0,T16/TrRail_act!T11*1000)</f>
        <v>19.488629502587575</v>
      </c>
      <c r="U45" s="87">
        <f>IF(U16=0,0,U16/TrRail_act!U11*1000)</f>
        <v>20.924934522115571</v>
      </c>
      <c r="V45" s="87">
        <f>IF(V16=0,0,V16/TrRail_act!V11*1000)</f>
        <v>20.692675418957343</v>
      </c>
      <c r="W45" s="87">
        <f>IF(W16=0,0,W16/TrRail_act!W11*1000)</f>
        <v>22.440372080669878</v>
      </c>
      <c r="X45" s="87">
        <f>IF(X16=0,0,X16/TrRail_act!X11*1000)</f>
        <v>21.964031436538061</v>
      </c>
      <c r="Y45" s="87">
        <f>IF(Y16=0,0,Y16/TrRail_act!Y11*1000)</f>
        <v>23.768254133208256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179.13874061124113</v>
      </c>
      <c r="C48" s="62">
        <f>IF(C8=0,0,1000000*C8/TrRail_act!C25/1000)</f>
        <v>161.45598608711992</v>
      </c>
      <c r="D48" s="62">
        <f>IF(D8=0,0,1000000*D8/TrRail_act!D25/1000)</f>
        <v>160.50667948204065</v>
      </c>
      <c r="E48" s="62">
        <f>IF(E8=0,0,1000000*E8/TrRail_act!E25/1000)</f>
        <v>165.57619299301717</v>
      </c>
      <c r="F48" s="62">
        <f>IF(F8=0,0,1000000*F8/TrRail_act!F25/1000)</f>
        <v>147.35286626939006</v>
      </c>
      <c r="G48" s="62">
        <f>IF(G8=0,0,1000000*G8/TrRail_act!G25/1000)</f>
        <v>122.53652777793727</v>
      </c>
      <c r="H48" s="62">
        <f>IF(H8=0,0,1000000*H8/TrRail_act!H25/1000)</f>
        <v>142.25244523550643</v>
      </c>
      <c r="I48" s="62">
        <f>IF(I8=0,0,1000000*I8/TrRail_act!I25/1000)</f>
        <v>129.46614921970587</v>
      </c>
      <c r="J48" s="62">
        <f>IF(J8=0,0,1000000*J8/TrRail_act!J25/1000)</f>
        <v>83.937820110000587</v>
      </c>
      <c r="K48" s="62">
        <f>IF(K8=0,0,1000000*K8/TrRail_act!K25/1000)</f>
        <v>73.446580314375524</v>
      </c>
      <c r="L48" s="62">
        <f>IF(L8=0,0,1000000*L8/TrRail_act!L25/1000)</f>
        <v>75.748669884714005</v>
      </c>
      <c r="M48" s="62">
        <f>IF(M8=0,0,1000000*M8/TrRail_act!M25/1000)</f>
        <v>54.302722936029774</v>
      </c>
      <c r="N48" s="62">
        <f>IF(N8=0,0,1000000*N8/TrRail_act!N25/1000)</f>
        <v>63.306318772334755</v>
      </c>
      <c r="O48" s="62">
        <f>IF(O8=0,0,1000000*O8/TrRail_act!O25/1000)</f>
        <v>43.078832252925473</v>
      </c>
      <c r="P48" s="62">
        <f>IF(P8=0,0,1000000*P8/TrRail_act!P25/1000)</f>
        <v>20.486409908191959</v>
      </c>
      <c r="Q48" s="62">
        <f>IF(Q8=0,0,1000000*Q8/TrRail_act!Q25/1000)</f>
        <v>24.242789086562158</v>
      </c>
      <c r="R48" s="62">
        <f>IF(R8=0,0,1000000*R8/TrRail_act!R25/1000)</f>
        <v>15.544284388832175</v>
      </c>
      <c r="S48" s="62">
        <f>IF(S8=0,0,1000000*S8/TrRail_act!S25/1000)</f>
        <v>32.684018323065217</v>
      </c>
      <c r="T48" s="62">
        <f>IF(T8=0,0,1000000*T8/TrRail_act!T25/1000)</f>
        <v>41.65889416764383</v>
      </c>
      <c r="U48" s="62">
        <f>IF(U8=0,0,1000000*U8/TrRail_act!U25/1000)</f>
        <v>41.58465844090825</v>
      </c>
      <c r="V48" s="62">
        <f>IF(V8=0,0,1000000*V8/TrRail_act!V25/1000)</f>
        <v>44.678680803235999</v>
      </c>
      <c r="W48" s="62">
        <f>IF(W8=0,0,1000000*W8/TrRail_act!W25/1000)</f>
        <v>40.085021383452556</v>
      </c>
      <c r="X48" s="62">
        <f>IF(X8=0,0,1000000*X8/TrRail_act!X25/1000)</f>
        <v>10.6058993615601</v>
      </c>
      <c r="Y48" s="62">
        <f>IF(Y8=0,0,1000000*Y8/TrRail_act!Y25/1000)</f>
        <v>10.386889178587369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183.54192569031096</v>
      </c>
      <c r="C49" s="29">
        <f>IF(C9=0,0,1000000*C9/TrRail_act!C26/1000)</f>
        <v>166.22828578927172</v>
      </c>
      <c r="D49" s="29">
        <f>IF(D9=0,0,1000000*D9/TrRail_act!D26/1000)</f>
        <v>164.91566777590245</v>
      </c>
      <c r="E49" s="29">
        <f>IF(E9=0,0,1000000*E9/TrRail_act!E26/1000)</f>
        <v>170.18756920592446</v>
      </c>
      <c r="F49" s="29">
        <f>IF(F9=0,0,1000000*F9/TrRail_act!F26/1000)</f>
        <v>150.75528680953789</v>
      </c>
      <c r="G49" s="29">
        <f>IF(G9=0,0,1000000*G9/TrRail_act!G26/1000)</f>
        <v>127.35849397329109</v>
      </c>
      <c r="H49" s="29">
        <f>IF(H9=0,0,1000000*H9/TrRail_act!H26/1000)</f>
        <v>131.26806077089788</v>
      </c>
      <c r="I49" s="29">
        <f>IF(I9=0,0,1000000*I9/TrRail_act!I26/1000)</f>
        <v>112.61857155622342</v>
      </c>
      <c r="J49" s="29">
        <f>IF(J9=0,0,1000000*J9/TrRail_act!J26/1000)</f>
        <v>62.528208099499118</v>
      </c>
      <c r="K49" s="29">
        <f>IF(K9=0,0,1000000*K9/TrRail_act!K26/1000)</f>
        <v>63.308422630540413</v>
      </c>
      <c r="L49" s="29">
        <f>IF(L9=0,0,1000000*L9/TrRail_act!L26/1000)</f>
        <v>66.778519525161556</v>
      </c>
      <c r="M49" s="29">
        <f>IF(M9=0,0,1000000*M9/TrRail_act!M26/1000)</f>
        <v>50.173590847401641</v>
      </c>
      <c r="N49" s="29">
        <f>IF(N9=0,0,1000000*N9/TrRail_act!N26/1000)</f>
        <v>60.321851149931646</v>
      </c>
      <c r="O49" s="29">
        <f>IF(O9=0,0,1000000*O9/TrRail_act!O26/1000)</f>
        <v>41.091338263707343</v>
      </c>
      <c r="P49" s="29">
        <f>IF(P9=0,0,1000000*P9/TrRail_act!P26/1000)</f>
        <v>19.449698909311142</v>
      </c>
      <c r="Q49" s="29">
        <f>IF(Q9=0,0,1000000*Q9/TrRail_act!Q26/1000)</f>
        <v>23.027138668810217</v>
      </c>
      <c r="R49" s="29">
        <f>IF(R9=0,0,1000000*R9/TrRail_act!R26/1000)</f>
        <v>14.712125157608273</v>
      </c>
      <c r="S49" s="29">
        <f>IF(S9=0,0,1000000*S9/TrRail_act!S26/1000)</f>
        <v>30.751437687712158</v>
      </c>
      <c r="T49" s="29">
        <f>IF(T9=0,0,1000000*T9/TrRail_act!T26/1000)</f>
        <v>39.366030377281511</v>
      </c>
      <c r="U49" s="29">
        <f>IF(U9=0,0,1000000*U9/TrRail_act!U26/1000)</f>
        <v>39.157962976701519</v>
      </c>
      <c r="V49" s="29">
        <f>IF(V9=0,0,1000000*V9/TrRail_act!V26/1000)</f>
        <v>41.356240128083904</v>
      </c>
      <c r="W49" s="29">
        <f>IF(W9=0,0,1000000*W9/TrRail_act!W26/1000)</f>
        <v>37.344134395802953</v>
      </c>
      <c r="X49" s="29">
        <f>IF(X9=0,0,1000000*X9/TrRail_act!X26/1000)</f>
        <v>9.7996242081208251</v>
      </c>
      <c r="Y49" s="29">
        <f>IF(Y9=0,0,1000000*Y9/TrRail_act!Y26/1000)</f>
        <v>9.9645680345125154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251.57553274240598</v>
      </c>
      <c r="C51" s="116">
        <f>IF(C11=0,0,1000000*C11/TrRail_act!C28/1000)</f>
        <v>232.54911695416266</v>
      </c>
      <c r="D51" s="116">
        <f>IF(D11=0,0,1000000*D11/TrRail_act!D28/1000)</f>
        <v>232.127997596298</v>
      </c>
      <c r="E51" s="116">
        <f>IF(E11=0,0,1000000*E11/TrRail_act!E28/1000)</f>
        <v>237.86418680362343</v>
      </c>
      <c r="F51" s="116">
        <f>IF(F11=0,0,1000000*F11/TrRail_act!F28/1000)</f>
        <v>216.75411838605118</v>
      </c>
      <c r="G51" s="116">
        <f>IF(G11=0,0,1000000*G11/TrRail_act!G28/1000)</f>
        <v>183.50254087263551</v>
      </c>
      <c r="H51" s="116">
        <f>IF(H11=0,0,1000000*H11/TrRail_act!H28/1000)</f>
        <v>193.52382732597636</v>
      </c>
      <c r="I51" s="116">
        <f>IF(I11=0,0,1000000*I11/TrRail_act!I28/1000)</f>
        <v>169.52607639333456</v>
      </c>
      <c r="J51" s="116">
        <f>IF(J11=0,0,1000000*J11/TrRail_act!J28/1000)</f>
        <v>93.615380694000478</v>
      </c>
      <c r="K51" s="116">
        <f>IF(K11=0,0,1000000*K11/TrRail_act!K28/1000)</f>
        <v>97.009652662132311</v>
      </c>
      <c r="L51" s="116">
        <f>IF(L11=0,0,1000000*L11/TrRail_act!L28/1000)</f>
        <v>102.501699117288</v>
      </c>
      <c r="M51" s="116">
        <f>IF(M11=0,0,1000000*M11/TrRail_act!M28/1000)</f>
        <v>77.795571360206736</v>
      </c>
      <c r="N51" s="116">
        <f>IF(N11=0,0,1000000*N11/TrRail_act!N28/1000)</f>
        <v>89.175323039663894</v>
      </c>
      <c r="O51" s="116">
        <f>IF(O11=0,0,1000000*O11/TrRail_act!O28/1000)</f>
        <v>59.735784513014778</v>
      </c>
      <c r="P51" s="116">
        <f>IF(P11=0,0,1000000*P11/TrRail_act!P28/1000)</f>
        <v>28.403544905030429</v>
      </c>
      <c r="Q51" s="116">
        <f>IF(Q11=0,0,1000000*Q11/TrRail_act!Q28/1000)</f>
        <v>33.386829474460399</v>
      </c>
      <c r="R51" s="116">
        <f>IF(R11=0,0,1000000*R11/TrRail_act!R28/1000)</f>
        <v>21.000559610313857</v>
      </c>
      <c r="S51" s="116">
        <f>IF(S11=0,0,1000000*S11/TrRail_act!S28/1000)</f>
        <v>43.710158421167293</v>
      </c>
      <c r="T51" s="116">
        <f>IF(T11=0,0,1000000*T11/TrRail_act!T28/1000)</f>
        <v>54.789401385080566</v>
      </c>
      <c r="U51" s="116">
        <f>IF(U11=0,0,1000000*U11/TrRail_act!U28/1000)</f>
        <v>56.178976151301171</v>
      </c>
      <c r="V51" s="116">
        <f>IF(V11=0,0,1000000*V11/TrRail_act!V28/1000)</f>
        <v>59.262765668285418</v>
      </c>
      <c r="W51" s="116">
        <f>IF(W11=0,0,1000000*W11/TrRail_act!W28/1000)</f>
        <v>54.071699562225831</v>
      </c>
      <c r="X51" s="116">
        <f>IF(X11=0,0,1000000*X11/TrRail_act!X28/1000)</f>
        <v>14.885689126406623</v>
      </c>
      <c r="Y51" s="116">
        <f>IF(Y11=0,0,1000000*Y11/TrRail_act!Y28/1000)</f>
        <v>14.339024314675104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1273.854260140866</v>
      </c>
      <c r="C52" s="87">
        <f>IF(C12=0,0,1000000*C12/TrRail_act!C29/1000)</f>
        <v>1214.2705748992744</v>
      </c>
      <c r="D52" s="87">
        <f>IF(D12=0,0,1000000*D12/TrRail_act!D29/1000)</f>
        <v>1177.7934766406802</v>
      </c>
      <c r="E52" s="87">
        <f>IF(E12=0,0,1000000*E12/TrRail_act!E29/1000)</f>
        <v>1152.6573032146532</v>
      </c>
      <c r="F52" s="87">
        <f>IF(F12=0,0,1000000*F12/TrRail_act!F29/1000)</f>
        <v>1089.1224402462014</v>
      </c>
      <c r="G52" s="87">
        <f>IF(G12=0,0,1000000*G12/TrRail_act!G29/1000)</f>
        <v>1038.0118428345447</v>
      </c>
      <c r="H52" s="87">
        <f>IF(H12=0,0,1000000*H12/TrRail_act!H29/1000)</f>
        <v>1051.9324131276489</v>
      </c>
      <c r="I52" s="87">
        <f>IF(I12=0,0,1000000*I12/TrRail_act!I29/1000)</f>
        <v>1042.3632936079091</v>
      </c>
      <c r="J52" s="87">
        <f>IF(J12=0,0,1000000*J12/TrRail_act!J29/1000)</f>
        <v>686.56064233369136</v>
      </c>
      <c r="K52" s="87">
        <f>IF(K12=0,0,1000000*K12/TrRail_act!K29/1000)</f>
        <v>801.38231237087246</v>
      </c>
      <c r="L52" s="87">
        <f>IF(L12=0,0,1000000*L12/TrRail_act!L29/1000)</f>
        <v>992.58490407443833</v>
      </c>
      <c r="M52" s="87">
        <f>IF(M12=0,0,1000000*M12/TrRail_act!M29/1000)</f>
        <v>912.87660066967703</v>
      </c>
      <c r="N52" s="87">
        <f>IF(N12=0,0,1000000*N12/TrRail_act!N29/1000)</f>
        <v>883.06321959822674</v>
      </c>
      <c r="O52" s="87">
        <f>IF(O12=0,0,1000000*O12/TrRail_act!O29/1000)</f>
        <v>768.35139295085241</v>
      </c>
      <c r="P52" s="87">
        <f>IF(P12=0,0,1000000*P12/TrRail_act!P29/1000)</f>
        <v>471.68028306783009</v>
      </c>
      <c r="Q52" s="87">
        <f>IF(Q12=0,0,1000000*Q12/TrRail_act!Q29/1000)</f>
        <v>818.68601133103357</v>
      </c>
      <c r="R52" s="87">
        <f>IF(R12=0,0,1000000*R12/TrRail_act!R29/1000)</f>
        <v>788.11458812939213</v>
      </c>
      <c r="S52" s="87">
        <f>IF(S12=0,0,1000000*S12/TrRail_act!S29/1000)</f>
        <v>773.59693031752226</v>
      </c>
      <c r="T52" s="87">
        <f>IF(T12=0,0,1000000*T12/TrRail_act!T29/1000)</f>
        <v>762.88445733910078</v>
      </c>
      <c r="U52" s="87">
        <f>IF(U12=0,0,1000000*U12/TrRail_act!U29/1000)</f>
        <v>754.94756385591654</v>
      </c>
      <c r="V52" s="87">
        <f>IF(V12=0,0,1000000*V12/TrRail_act!V29/1000)</f>
        <v>749.04912947766763</v>
      </c>
      <c r="W52" s="87">
        <f>IF(W12=0,0,1000000*W12/TrRail_act!W29/1000)</f>
        <v>744.65556640543912</v>
      </c>
      <c r="X52" s="87">
        <f>IF(X12=0,0,1000000*X12/TrRail_act!X29/1000)</f>
        <v>294.62779605192202</v>
      </c>
      <c r="Y52" s="87">
        <f>IF(Y12=0,0,1000000*Y12/TrRail_act!Y29/1000)</f>
        <v>467.51770996423124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121.14331196611356</v>
      </c>
      <c r="C55" s="29">
        <f>IF(C15=0,0,1000000*C15/TrRail_act!C32/1000)</f>
        <v>97.42108031247038</v>
      </c>
      <c r="D55" s="29">
        <f>IF(D15=0,0,1000000*D15/TrRail_act!D32/1000)</f>
        <v>96.545496404401263</v>
      </c>
      <c r="E55" s="29">
        <f>IF(E15=0,0,1000000*E15/TrRail_act!E32/1000)</f>
        <v>98.988422482208605</v>
      </c>
      <c r="F55" s="29">
        <f>IF(F15=0,0,1000000*F15/TrRail_act!F32/1000)</f>
        <v>105.85163258294202</v>
      </c>
      <c r="G55" s="29">
        <f>IF(G15=0,0,1000000*G15/TrRail_act!G32/1000)</f>
        <v>65.116795768437342</v>
      </c>
      <c r="H55" s="29">
        <f>IF(H15=0,0,1000000*H15/TrRail_act!H32/1000)</f>
        <v>268.65465572155364</v>
      </c>
      <c r="I55" s="29">
        <f>IF(I15=0,0,1000000*I15/TrRail_act!I32/1000)</f>
        <v>321.37906681902513</v>
      </c>
      <c r="J55" s="29">
        <f>IF(J15=0,0,1000000*J15/TrRail_act!J32/1000)</f>
        <v>350.81501777300281</v>
      </c>
      <c r="K55" s="29">
        <f>IF(K15=0,0,1000000*K15/TrRail_act!K32/1000)</f>
        <v>209.79861520040035</v>
      </c>
      <c r="L55" s="29">
        <f>IF(L15=0,0,1000000*L15/TrRail_act!L32/1000)</f>
        <v>212.6613950471301</v>
      </c>
      <c r="M55" s="29">
        <f>IF(M15=0,0,1000000*M15/TrRail_act!M32/1000)</f>
        <v>107.61522877267976</v>
      </c>
      <c r="N55" s="29">
        <f>IF(N15=0,0,1000000*N15/TrRail_act!N32/1000)</f>
        <v>101.39000174197066</v>
      </c>
      <c r="O55" s="29">
        <f>IF(O15=0,0,1000000*O15/TrRail_act!O32/1000)</f>
        <v>68.807531708821145</v>
      </c>
      <c r="P55" s="29">
        <f>IF(P15=0,0,1000000*P15/TrRail_act!P32/1000)</f>
        <v>33.465543707926663</v>
      </c>
      <c r="Q55" s="29">
        <f>IF(Q15=0,0,1000000*Q15/TrRail_act!Q32/1000)</f>
        <v>39.682233190969036</v>
      </c>
      <c r="R55" s="29">
        <f>IF(R15=0,0,1000000*R15/TrRail_act!R32/1000)</f>
        <v>25.449434216620201</v>
      </c>
      <c r="S55" s="29">
        <f>IF(S15=0,0,1000000*S15/TrRail_act!S32/1000)</f>
        <v>56.752448540619838</v>
      </c>
      <c r="T55" s="29">
        <f>IF(T15=0,0,1000000*T15/TrRail_act!T32/1000)</f>
        <v>71.825087437022233</v>
      </c>
      <c r="U55" s="29">
        <f>IF(U15=0,0,1000000*U15/TrRail_act!U32/1000)</f>
        <v>71.205378133903324</v>
      </c>
      <c r="V55" s="29">
        <f>IF(V15=0,0,1000000*V15/TrRail_act!V32/1000)</f>
        <v>83.926577018150027</v>
      </c>
      <c r="W55" s="29">
        <f>IF(W15=0,0,1000000*W15/TrRail_act!W32/1000)</f>
        <v>62.353203283280898</v>
      </c>
      <c r="X55" s="29">
        <f>IF(X15=0,0,1000000*X15/TrRail_act!X32/1000)</f>
        <v>18.134951613260004</v>
      </c>
      <c r="Y55" s="29">
        <f>IF(Y15=0,0,1000000*Y15/TrRail_act!Y32/1000)</f>
        <v>13.6348112709681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3021.7452967403724</v>
      </c>
      <c r="C56" s="87">
        <f>IF(C16=0,0,1000000*C16/TrRail_act!C33/1000)</f>
        <v>2557.598437819137</v>
      </c>
      <c r="D56" s="87">
        <f>IF(D16=0,0,1000000*D16/TrRail_act!D33/1000)</f>
        <v>2734.1119471353604</v>
      </c>
      <c r="E56" s="87">
        <f>IF(E16=0,0,1000000*E16/TrRail_act!E33/1000)</f>
        <v>2880.9259941120031</v>
      </c>
      <c r="F56" s="87">
        <f>IF(F16=0,0,1000000*F16/TrRail_act!F33/1000)</f>
        <v>2821.396886769689</v>
      </c>
      <c r="G56" s="87">
        <f>IF(G16=0,0,1000000*G16/TrRail_act!G33/1000)</f>
        <v>1994.4560979918631</v>
      </c>
      <c r="H56" s="87">
        <f>IF(H16=0,0,1000000*H16/TrRail_act!H33/1000)</f>
        <v>2731.9894797346424</v>
      </c>
      <c r="I56" s="87">
        <f>IF(I16=0,0,1000000*I16/TrRail_act!I33/1000)</f>
        <v>2689.9827984149028</v>
      </c>
      <c r="J56" s="87">
        <f>IF(J16=0,0,1000000*J16/TrRail_act!J33/1000)</f>
        <v>2639.9405688781694</v>
      </c>
      <c r="K56" s="87">
        <f>IF(K16=0,0,1000000*K16/TrRail_act!K33/1000)</f>
        <v>1480.1099790746171</v>
      </c>
      <c r="L56" s="87">
        <f>IF(L16=0,0,1000000*L16/TrRail_act!L33/1000)</f>
        <v>1394.7517309848495</v>
      </c>
      <c r="M56" s="87">
        <f>IF(M16=0,0,1000000*M16/TrRail_act!M33/1000)</f>
        <v>845.59905010296416</v>
      </c>
      <c r="N56" s="87">
        <f>IF(N16=0,0,1000000*N16/TrRail_act!N33/1000)</f>
        <v>853.38671578506114</v>
      </c>
      <c r="O56" s="87">
        <f>IF(O16=0,0,1000000*O16/TrRail_act!O33/1000)</f>
        <v>608.86349165718946</v>
      </c>
      <c r="P56" s="87">
        <f>IF(P16=0,0,1000000*P16/TrRail_act!P33/1000)</f>
        <v>313.74880822869585</v>
      </c>
      <c r="Q56" s="87">
        <f>IF(Q16=0,0,1000000*Q16/TrRail_act!Q33/1000)</f>
        <v>391.38757812095054</v>
      </c>
      <c r="R56" s="87">
        <f>IF(R16=0,0,1000000*R16/TrRail_act!R33/1000)</f>
        <v>292.84719746593527</v>
      </c>
      <c r="S56" s="87">
        <f>IF(S16=0,0,1000000*S16/TrRail_act!S33/1000)</f>
        <v>677.86793144065211</v>
      </c>
      <c r="T56" s="87">
        <f>IF(T16=0,0,1000000*T16/TrRail_act!T33/1000)</f>
        <v>883.31738604250756</v>
      </c>
      <c r="U56" s="87">
        <f>IF(U16=0,0,1000000*U16/TrRail_act!U33/1000)</f>
        <v>953.00305420626114</v>
      </c>
      <c r="V56" s="87">
        <f>IF(V16=0,0,1000000*V16/TrRail_act!V33/1000)</f>
        <v>1128.2847292468082</v>
      </c>
      <c r="W56" s="87">
        <f>IF(W16=0,0,1000000*W16/TrRail_act!W33/1000)</f>
        <v>1179.696911846838</v>
      </c>
      <c r="X56" s="87">
        <f>IF(X16=0,0,1000000*X16/TrRail_act!X33/1000)</f>
        <v>353.83848018199512</v>
      </c>
      <c r="Y56" s="87">
        <f>IF(Y16=0,0,1000000*Y16/TrRail_act!Y33/1000)</f>
        <v>355.06892761036607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0.95227983624497747</v>
      </c>
      <c r="C60" s="31">
        <f t="shared" ref="C60:V60" si="13">IF(C9=0,0,C9/C$8)</f>
        <v>0.9581502777831854</v>
      </c>
      <c r="D60" s="31">
        <f t="shared" si="13"/>
        <v>0.96121076747000667</v>
      </c>
      <c r="E60" s="31">
        <f t="shared" si="13"/>
        <v>0.9612793823404604</v>
      </c>
      <c r="F60" s="31">
        <f t="shared" si="13"/>
        <v>0.94556912960255735</v>
      </c>
      <c r="G60" s="31">
        <f t="shared" si="13"/>
        <v>0.95883101309369445</v>
      </c>
      <c r="H60" s="31">
        <f t="shared" si="13"/>
        <v>0.84900380757117511</v>
      </c>
      <c r="I60" s="31">
        <f t="shared" si="13"/>
        <v>0.79966791864227182</v>
      </c>
      <c r="J60" s="31">
        <f t="shared" si="13"/>
        <v>0.68961229115500866</v>
      </c>
      <c r="K60" s="31">
        <f t="shared" si="13"/>
        <v>0.80231144392520615</v>
      </c>
      <c r="L60" s="31">
        <f t="shared" si="13"/>
        <v>0.82737286813651989</v>
      </c>
      <c r="M60" s="31">
        <f t="shared" si="13"/>
        <v>0.85754290405074796</v>
      </c>
      <c r="N60" s="31">
        <f t="shared" si="13"/>
        <v>0.88361157369421395</v>
      </c>
      <c r="O60" s="31">
        <f t="shared" si="13"/>
        <v>0.88546339743568103</v>
      </c>
      <c r="P60" s="31">
        <f t="shared" si="13"/>
        <v>0.879171202463641</v>
      </c>
      <c r="Q60" s="31">
        <f t="shared" si="13"/>
        <v>0.88052552696299602</v>
      </c>
      <c r="R60" s="31">
        <f t="shared" si="13"/>
        <v>0.87311263469144629</v>
      </c>
      <c r="S60" s="31">
        <f t="shared" si="13"/>
        <v>0.87093854727024056</v>
      </c>
      <c r="T60" s="31">
        <f t="shared" si="13"/>
        <v>0.87821023782791219</v>
      </c>
      <c r="U60" s="31">
        <f t="shared" si="13"/>
        <v>0.87034122017082316</v>
      </c>
      <c r="V60" s="31">
        <f t="shared" si="13"/>
        <v>0.85339481949528651</v>
      </c>
      <c r="W60" s="31">
        <f t="shared" ref="W60:Y60" si="14">IF(W9=0,0,W9/W$8)</f>
        <v>0.82952124851720888</v>
      </c>
      <c r="X60" s="31">
        <f t="shared" si="14"/>
        <v>0.83460228223171562</v>
      </c>
      <c r="Y60" s="31">
        <f t="shared" si="14"/>
        <v>0.84895317132029935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0.95227983624497747</v>
      </c>
      <c r="C62" s="124">
        <f t="shared" ref="C62:V62" si="17">IF(C11=0,0,C11/C$8)</f>
        <v>0.9581502777831854</v>
      </c>
      <c r="D62" s="124">
        <f t="shared" si="17"/>
        <v>0.96121076747000667</v>
      </c>
      <c r="E62" s="124">
        <f t="shared" si="17"/>
        <v>0.9612793823404604</v>
      </c>
      <c r="F62" s="124">
        <f t="shared" si="17"/>
        <v>0.94556912960255735</v>
      </c>
      <c r="G62" s="124">
        <f t="shared" si="17"/>
        <v>0.95883101309369445</v>
      </c>
      <c r="H62" s="124">
        <f t="shared" si="17"/>
        <v>0.84900380757117511</v>
      </c>
      <c r="I62" s="124">
        <f t="shared" si="17"/>
        <v>0.79966791864227182</v>
      </c>
      <c r="J62" s="124">
        <f t="shared" si="17"/>
        <v>0.68961229115500866</v>
      </c>
      <c r="K62" s="124">
        <f t="shared" si="17"/>
        <v>0.80231144392520615</v>
      </c>
      <c r="L62" s="124">
        <f t="shared" si="17"/>
        <v>0.82737286813651989</v>
      </c>
      <c r="M62" s="124">
        <f t="shared" si="17"/>
        <v>0.85754290405074796</v>
      </c>
      <c r="N62" s="124">
        <f t="shared" si="17"/>
        <v>0.88361157369421395</v>
      </c>
      <c r="O62" s="124">
        <f t="shared" si="17"/>
        <v>0.88546339743568103</v>
      </c>
      <c r="P62" s="124">
        <f t="shared" si="17"/>
        <v>0.879171202463641</v>
      </c>
      <c r="Q62" s="124">
        <f t="shared" si="17"/>
        <v>0.88052552696299602</v>
      </c>
      <c r="R62" s="124">
        <f t="shared" si="17"/>
        <v>0.87311263469144629</v>
      </c>
      <c r="S62" s="124">
        <f t="shared" si="17"/>
        <v>0.87093854727024056</v>
      </c>
      <c r="T62" s="124">
        <f t="shared" si="17"/>
        <v>0.87821023782791219</v>
      </c>
      <c r="U62" s="124">
        <f t="shared" si="17"/>
        <v>0.87034122017082316</v>
      </c>
      <c r="V62" s="124">
        <f t="shared" si="17"/>
        <v>0.85339481949528651</v>
      </c>
      <c r="W62" s="124">
        <f t="shared" ref="W62:Y62" si="18">IF(W11=0,0,W11/W$8)</f>
        <v>0.82952124851720888</v>
      </c>
      <c r="X62" s="124">
        <f t="shared" si="18"/>
        <v>0.83460228223171562</v>
      </c>
      <c r="Y62" s="124">
        <f t="shared" si="18"/>
        <v>0.84895317132029935</v>
      </c>
      <c r="DA62" s="176"/>
    </row>
    <row r="63" spans="1:105" ht="11.45" customHeight="1" x14ac:dyDescent="0.25">
      <c r="A63" s="111" t="s">
        <v>92</v>
      </c>
      <c r="B63" s="125">
        <f t="shared" si="10"/>
        <v>0.95227983624497747</v>
      </c>
      <c r="C63" s="125">
        <f t="shared" ref="C63:V63" si="19">IF(C12=0,0,C12/C$8)</f>
        <v>0.9581502777831854</v>
      </c>
      <c r="D63" s="125">
        <f t="shared" si="19"/>
        <v>0.96121076747000667</v>
      </c>
      <c r="E63" s="125">
        <f t="shared" si="19"/>
        <v>0.9612793823404604</v>
      </c>
      <c r="F63" s="125">
        <f t="shared" si="19"/>
        <v>0.94556912960255735</v>
      </c>
      <c r="G63" s="125">
        <f t="shared" si="19"/>
        <v>0.95883101309369445</v>
      </c>
      <c r="H63" s="125">
        <f t="shared" si="19"/>
        <v>0.84900380757117511</v>
      </c>
      <c r="I63" s="125">
        <f t="shared" si="19"/>
        <v>0.79966791864227182</v>
      </c>
      <c r="J63" s="125">
        <f t="shared" si="19"/>
        <v>0.68961229115500866</v>
      </c>
      <c r="K63" s="125">
        <f t="shared" si="19"/>
        <v>0.80231144392520615</v>
      </c>
      <c r="L63" s="125">
        <f t="shared" si="19"/>
        <v>0.82737286813651989</v>
      </c>
      <c r="M63" s="125">
        <f t="shared" si="19"/>
        <v>0.85754290405074796</v>
      </c>
      <c r="N63" s="125">
        <f t="shared" si="19"/>
        <v>0.88361157369421395</v>
      </c>
      <c r="O63" s="125">
        <f t="shared" si="19"/>
        <v>0.88546339743568103</v>
      </c>
      <c r="P63" s="125">
        <f t="shared" si="19"/>
        <v>0.879171202463641</v>
      </c>
      <c r="Q63" s="125">
        <f t="shared" si="19"/>
        <v>0.88052552696299602</v>
      </c>
      <c r="R63" s="125">
        <f t="shared" si="19"/>
        <v>0.87311263469144629</v>
      </c>
      <c r="S63" s="125">
        <f t="shared" si="19"/>
        <v>0.87093854727024056</v>
      </c>
      <c r="T63" s="125">
        <f t="shared" si="19"/>
        <v>0.87821023782791219</v>
      </c>
      <c r="U63" s="125">
        <f t="shared" si="19"/>
        <v>0.87034122017082316</v>
      </c>
      <c r="V63" s="125">
        <f t="shared" si="19"/>
        <v>0.85339481949528651</v>
      </c>
      <c r="W63" s="125">
        <f t="shared" ref="W63:Y63" si="20">IF(W12=0,0,W12/W$8)</f>
        <v>0.82952124851720888</v>
      </c>
      <c r="X63" s="125">
        <f t="shared" si="20"/>
        <v>0.83460228223171562</v>
      </c>
      <c r="Y63" s="125">
        <f t="shared" si="20"/>
        <v>0.84895317132029935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4.7720163755022554E-2</v>
      </c>
      <c r="C66" s="31">
        <f t="shared" ref="C66:V66" si="25">IF(C15=0,0,C15/C$8)</f>
        <v>4.1849722216814642E-2</v>
      </c>
      <c r="D66" s="31">
        <f t="shared" si="25"/>
        <v>3.8789232529993334E-2</v>
      </c>
      <c r="E66" s="31">
        <f t="shared" si="25"/>
        <v>3.8720617659539568E-2</v>
      </c>
      <c r="F66" s="31">
        <f t="shared" si="25"/>
        <v>5.4430870397442696E-2</v>
      </c>
      <c r="G66" s="31">
        <f t="shared" si="25"/>
        <v>4.1168986906305549E-2</v>
      </c>
      <c r="H66" s="31">
        <f t="shared" si="25"/>
        <v>0.15099619242882484</v>
      </c>
      <c r="I66" s="31">
        <f t="shared" si="25"/>
        <v>0.20033208135772818</v>
      </c>
      <c r="J66" s="31">
        <f t="shared" si="25"/>
        <v>0.31038770884499134</v>
      </c>
      <c r="K66" s="31">
        <f t="shared" si="25"/>
        <v>0.19768855607479396</v>
      </c>
      <c r="L66" s="31">
        <f t="shared" si="25"/>
        <v>0.17262713186348014</v>
      </c>
      <c r="M66" s="31">
        <f t="shared" si="25"/>
        <v>0.14245709594925218</v>
      </c>
      <c r="N66" s="31">
        <f t="shared" si="25"/>
        <v>0.116388426305786</v>
      </c>
      <c r="O66" s="31">
        <f t="shared" si="25"/>
        <v>0.11453660256431897</v>
      </c>
      <c r="P66" s="31">
        <f t="shared" si="25"/>
        <v>0.120828797536359</v>
      </c>
      <c r="Q66" s="31">
        <f t="shared" si="25"/>
        <v>0.11947447303700391</v>
      </c>
      <c r="R66" s="31">
        <f t="shared" si="25"/>
        <v>0.12688736530855368</v>
      </c>
      <c r="S66" s="31">
        <f t="shared" si="25"/>
        <v>0.12906145272975941</v>
      </c>
      <c r="T66" s="31">
        <f t="shared" si="25"/>
        <v>0.12178976217208783</v>
      </c>
      <c r="U66" s="31">
        <f t="shared" si="25"/>
        <v>0.12965877982917678</v>
      </c>
      <c r="V66" s="31">
        <f t="shared" si="25"/>
        <v>0.14660518050471352</v>
      </c>
      <c r="W66" s="31">
        <f t="shared" ref="W66:Y66" si="26">IF(W15=0,0,W15/W$8)</f>
        <v>0.1704787514827911</v>
      </c>
      <c r="X66" s="31">
        <f t="shared" si="26"/>
        <v>0.16539771776828432</v>
      </c>
      <c r="Y66" s="31">
        <f t="shared" si="26"/>
        <v>0.15104682867970071</v>
      </c>
      <c r="DA66" s="173"/>
    </row>
    <row r="67" spans="1:105" ht="11.45" customHeight="1" x14ac:dyDescent="0.25">
      <c r="A67" s="83" t="s">
        <v>92</v>
      </c>
      <c r="B67" s="125">
        <f t="shared" si="10"/>
        <v>4.7720163755022554E-2</v>
      </c>
      <c r="C67" s="125">
        <f t="shared" ref="C67:V67" si="27">IF(C16=0,0,C16/C$8)</f>
        <v>4.1849722216814642E-2</v>
      </c>
      <c r="D67" s="125">
        <f t="shared" si="27"/>
        <v>3.8789232529993334E-2</v>
      </c>
      <c r="E67" s="125">
        <f t="shared" si="27"/>
        <v>3.8720617659539568E-2</v>
      </c>
      <c r="F67" s="125">
        <f t="shared" si="27"/>
        <v>5.4430870397442696E-2</v>
      </c>
      <c r="G67" s="125">
        <f t="shared" si="27"/>
        <v>4.1168986906305549E-2</v>
      </c>
      <c r="H67" s="125">
        <f t="shared" si="27"/>
        <v>0.15099619242882484</v>
      </c>
      <c r="I67" s="125">
        <f t="shared" si="27"/>
        <v>0.20033208135772818</v>
      </c>
      <c r="J67" s="125">
        <f t="shared" si="27"/>
        <v>0.31038770884499134</v>
      </c>
      <c r="K67" s="125">
        <f t="shared" si="27"/>
        <v>0.19768855607479396</v>
      </c>
      <c r="L67" s="125">
        <f t="shared" si="27"/>
        <v>0.17262713186348014</v>
      </c>
      <c r="M67" s="125">
        <f t="shared" si="27"/>
        <v>0.14245709594925218</v>
      </c>
      <c r="N67" s="125">
        <f t="shared" si="27"/>
        <v>0.116388426305786</v>
      </c>
      <c r="O67" s="125">
        <f t="shared" si="27"/>
        <v>0.11453660256431897</v>
      </c>
      <c r="P67" s="125">
        <f t="shared" si="27"/>
        <v>0.120828797536359</v>
      </c>
      <c r="Q67" s="125">
        <f t="shared" si="27"/>
        <v>0.11947447303700391</v>
      </c>
      <c r="R67" s="125">
        <f t="shared" si="27"/>
        <v>0.12688736530855368</v>
      </c>
      <c r="S67" s="125">
        <f t="shared" si="27"/>
        <v>0.12906145272975941</v>
      </c>
      <c r="T67" s="125">
        <f t="shared" si="27"/>
        <v>0.12178976217208783</v>
      </c>
      <c r="U67" s="125">
        <f t="shared" si="27"/>
        <v>0.12965877982917678</v>
      </c>
      <c r="V67" s="125">
        <f t="shared" si="27"/>
        <v>0.14660518050471352</v>
      </c>
      <c r="W67" s="125">
        <f t="shared" ref="W67:Y67" si="28">IF(W16=0,0,W16/W$8)</f>
        <v>0.1704787514827911</v>
      </c>
      <c r="X67" s="125">
        <f t="shared" si="28"/>
        <v>0.16539771776828432</v>
      </c>
      <c r="Y67" s="125">
        <f t="shared" si="28"/>
        <v>0.15104682867970071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69428.257429722202</v>
      </c>
      <c r="C4" s="11">
        <f t="shared" si="0"/>
        <v>64044.285416513339</v>
      </c>
      <c r="D4" s="11">
        <f t="shared" ref="D4:V4" si="1">SUM(D5:D7)</f>
        <v>64484.533715433048</v>
      </c>
      <c r="E4" s="11">
        <f t="shared" si="1"/>
        <v>70471.273797015776</v>
      </c>
      <c r="F4" s="11">
        <f t="shared" si="1"/>
        <v>81885.866757199183</v>
      </c>
      <c r="G4" s="11">
        <f t="shared" si="1"/>
        <v>87518.543215030426</v>
      </c>
      <c r="H4" s="11">
        <f t="shared" si="1"/>
        <v>92565.210191785533</v>
      </c>
      <c r="I4" s="11">
        <f t="shared" si="1"/>
        <v>101338.04350521113</v>
      </c>
      <c r="J4" s="11">
        <f t="shared" si="1"/>
        <v>96939.680404843253</v>
      </c>
      <c r="K4" s="11">
        <f t="shared" si="1"/>
        <v>92786.925430707081</v>
      </c>
      <c r="L4" s="11">
        <f t="shared" si="1"/>
        <v>100249.99993125317</v>
      </c>
      <c r="M4" s="11">
        <f t="shared" si="1"/>
        <v>104570.0622959295</v>
      </c>
      <c r="N4" s="11">
        <f t="shared" si="1"/>
        <v>104266.98847796636</v>
      </c>
      <c r="O4" s="11">
        <f t="shared" si="1"/>
        <v>103611.57792787554</v>
      </c>
      <c r="P4" s="11">
        <f t="shared" si="1"/>
        <v>106459.75025875148</v>
      </c>
      <c r="Q4" s="11">
        <f t="shared" si="1"/>
        <v>112816.42624911452</v>
      </c>
      <c r="R4" s="11">
        <f t="shared" si="1"/>
        <v>119632.11614765383</v>
      </c>
      <c r="S4" s="11">
        <f t="shared" si="1"/>
        <v>129644.2037709197</v>
      </c>
      <c r="T4" s="11">
        <f t="shared" si="1"/>
        <v>140914.04521409716</v>
      </c>
      <c r="U4" s="11">
        <f t="shared" si="1"/>
        <v>150861.18833662674</v>
      </c>
      <c r="V4" s="11">
        <f t="shared" si="1"/>
        <v>37274.913631833842</v>
      </c>
      <c r="W4" s="11">
        <f t="shared" ref="W4:Y4" si="2">SUM(W5:W7)</f>
        <v>49774.849499112126</v>
      </c>
      <c r="X4" s="11">
        <f t="shared" si="2"/>
        <v>114884.69765784104</v>
      </c>
      <c r="Y4" s="11">
        <f t="shared" si="2"/>
        <v>151135.0683377161</v>
      </c>
      <c r="DA4" s="189" t="s">
        <v>190</v>
      </c>
    </row>
    <row r="5" spans="1:105" ht="11.45" customHeight="1" x14ac:dyDescent="0.25">
      <c r="A5" s="83" t="s">
        <v>27</v>
      </c>
      <c r="B5" s="84">
        <v>14383.948439598151</v>
      </c>
      <c r="C5" s="84">
        <v>13384.498160731082</v>
      </c>
      <c r="D5" s="84">
        <v>13586.478813493175</v>
      </c>
      <c r="E5" s="84">
        <v>15139.558632782504</v>
      </c>
      <c r="F5" s="84">
        <v>15384.460254481452</v>
      </c>
      <c r="G5" s="84">
        <v>15430.525809280603</v>
      </c>
      <c r="H5" s="84">
        <v>16360.789553086142</v>
      </c>
      <c r="I5" s="84">
        <v>18343.379857879427</v>
      </c>
      <c r="J5" s="84">
        <v>17862.659123156562</v>
      </c>
      <c r="K5" s="84">
        <v>18639.590089035271</v>
      </c>
      <c r="L5" s="84">
        <v>19891.551699073338</v>
      </c>
      <c r="M5" s="84">
        <v>21308.658832192585</v>
      </c>
      <c r="N5" s="84">
        <v>19938.844667051744</v>
      </c>
      <c r="O5" s="84">
        <v>18958.630468827541</v>
      </c>
      <c r="P5" s="84">
        <v>17931.429575072994</v>
      </c>
      <c r="Q5" s="84">
        <v>19651.625657787954</v>
      </c>
      <c r="R5" s="84">
        <v>20411.845022716432</v>
      </c>
      <c r="S5" s="84">
        <v>21341.448733614616</v>
      </c>
      <c r="T5" s="84">
        <v>22211.631859514997</v>
      </c>
      <c r="U5" s="84">
        <v>22709.688234522073</v>
      </c>
      <c r="V5" s="84">
        <v>8927.9493191807633</v>
      </c>
      <c r="W5" s="84">
        <v>15682.980238614853</v>
      </c>
      <c r="X5" s="84">
        <v>23966.403972878132</v>
      </c>
      <c r="Y5" s="84">
        <v>24862.924645861578</v>
      </c>
      <c r="DA5" s="171" t="s">
        <v>191</v>
      </c>
    </row>
    <row r="6" spans="1:105" ht="11.45" customHeight="1" x14ac:dyDescent="0.25">
      <c r="A6" s="83" t="s">
        <v>181</v>
      </c>
      <c r="B6" s="84">
        <v>24137.187653467397</v>
      </c>
      <c r="C6" s="84">
        <v>22359.363885005718</v>
      </c>
      <c r="D6" s="84">
        <v>22494.26239919661</v>
      </c>
      <c r="E6" s="84">
        <v>25959.094971181203</v>
      </c>
      <c r="F6" s="84">
        <v>29064.342233096912</v>
      </c>
      <c r="G6" s="84">
        <v>32667.910678976452</v>
      </c>
      <c r="H6" s="84">
        <v>34880.382369438739</v>
      </c>
      <c r="I6" s="84">
        <v>37206.442207282053</v>
      </c>
      <c r="J6" s="84">
        <v>34951.3522337623</v>
      </c>
      <c r="K6" s="84">
        <v>33283.460376249895</v>
      </c>
      <c r="L6" s="84">
        <v>35426.644348422269</v>
      </c>
      <c r="M6" s="84">
        <v>38896.162128036878</v>
      </c>
      <c r="N6" s="84">
        <v>38586.935654650821</v>
      </c>
      <c r="O6" s="84">
        <v>38740.040937660589</v>
      </c>
      <c r="P6" s="84">
        <v>40757.021907177957</v>
      </c>
      <c r="Q6" s="84">
        <v>44153.013960071985</v>
      </c>
      <c r="R6" s="84">
        <v>48213.257924856996</v>
      </c>
      <c r="S6" s="84">
        <v>51977.957310197104</v>
      </c>
      <c r="T6" s="84">
        <v>55089.233878008577</v>
      </c>
      <c r="U6" s="84">
        <v>57493.205363492008</v>
      </c>
      <c r="V6" s="84">
        <v>13644.458260515839</v>
      </c>
      <c r="W6" s="84">
        <v>19152.418333534621</v>
      </c>
      <c r="X6" s="84">
        <v>48788.044185173036</v>
      </c>
      <c r="Y6" s="84">
        <v>59417.682288290998</v>
      </c>
      <c r="DA6" s="171" t="s">
        <v>192</v>
      </c>
    </row>
    <row r="7" spans="1:105" ht="11.45" customHeight="1" x14ac:dyDescent="0.25">
      <c r="A7" s="83" t="s">
        <v>182</v>
      </c>
      <c r="B7" s="84">
        <v>30907.121336656648</v>
      </c>
      <c r="C7" s="84">
        <v>28300.423370776538</v>
      </c>
      <c r="D7" s="84">
        <v>28403.792502743265</v>
      </c>
      <c r="E7" s="84">
        <v>29372.620193052066</v>
      </c>
      <c r="F7" s="84">
        <v>37437.064269620823</v>
      </c>
      <c r="G7" s="84">
        <v>39420.106726773367</v>
      </c>
      <c r="H7" s="84">
        <v>41324.038269260644</v>
      </c>
      <c r="I7" s="84">
        <v>45788.221440049638</v>
      </c>
      <c r="J7" s="84">
        <v>44125.669047924392</v>
      </c>
      <c r="K7" s="84">
        <v>40863.874965421921</v>
      </c>
      <c r="L7" s="84">
        <v>44931.803883757559</v>
      </c>
      <c r="M7" s="84">
        <v>44365.241335700033</v>
      </c>
      <c r="N7" s="84">
        <v>45741.20815626379</v>
      </c>
      <c r="O7" s="84">
        <v>45912.906521387406</v>
      </c>
      <c r="P7" s="84">
        <v>47771.298776500516</v>
      </c>
      <c r="Q7" s="84">
        <v>49011.786631254581</v>
      </c>
      <c r="R7" s="84">
        <v>51007.013200080401</v>
      </c>
      <c r="S7" s="84">
        <v>56324.797727107987</v>
      </c>
      <c r="T7" s="84">
        <v>63613.179476573576</v>
      </c>
      <c r="U7" s="84">
        <v>70658.294738612662</v>
      </c>
      <c r="V7" s="84">
        <v>14702.50605213724</v>
      </c>
      <c r="W7" s="84">
        <v>14939.450926962649</v>
      </c>
      <c r="X7" s="84">
        <v>42130.249499789876</v>
      </c>
      <c r="Y7" s="84">
        <v>66854.461403563517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1684.1145319049215</v>
      </c>
      <c r="C8" s="13">
        <f t="shared" si="3"/>
        <v>569.96747420518648</v>
      </c>
      <c r="D8" s="13">
        <f t="shared" ref="D8:V8" si="4">SUM(D9:D11)</f>
        <v>1420.8951188469914</v>
      </c>
      <c r="E8" s="13">
        <f t="shared" si="4"/>
        <v>1529.0972809568007</v>
      </c>
      <c r="F8" s="13">
        <f t="shared" si="4"/>
        <v>1628.9023246956801</v>
      </c>
      <c r="G8" s="13">
        <f t="shared" si="4"/>
        <v>1798.5401762255722</v>
      </c>
      <c r="H8" s="13">
        <f t="shared" si="4"/>
        <v>1951.2455883475914</v>
      </c>
      <c r="I8" s="13">
        <f t="shared" si="4"/>
        <v>2197.4426735985508</v>
      </c>
      <c r="J8" s="13">
        <f t="shared" si="4"/>
        <v>1904.860758328477</v>
      </c>
      <c r="K8" s="13">
        <f t="shared" si="4"/>
        <v>1624.9617186614723</v>
      </c>
      <c r="L8" s="13">
        <f t="shared" si="4"/>
        <v>2070.9335863253878</v>
      </c>
      <c r="M8" s="13">
        <f t="shared" si="4"/>
        <v>2257.8759014278453</v>
      </c>
      <c r="N8" s="13">
        <f t="shared" si="4"/>
        <v>2018.2813832376155</v>
      </c>
      <c r="O8" s="13">
        <f t="shared" si="4"/>
        <v>2141.2896896970101</v>
      </c>
      <c r="P8" s="13">
        <f t="shared" si="4"/>
        <v>2448.5565050150117</v>
      </c>
      <c r="Q8" s="13">
        <f t="shared" si="4"/>
        <v>2879.0267847852319</v>
      </c>
      <c r="R8" s="13">
        <f t="shared" si="4"/>
        <v>3286.3322146128044</v>
      </c>
      <c r="S8" s="13">
        <f t="shared" si="4"/>
        <v>3695.4766145683116</v>
      </c>
      <c r="T8" s="13">
        <f t="shared" si="4"/>
        <v>3705.9468732924925</v>
      </c>
      <c r="U8" s="13">
        <f t="shared" si="4"/>
        <v>3849.9344658576697</v>
      </c>
      <c r="V8" s="13">
        <f t="shared" si="4"/>
        <v>2452.9654151231348</v>
      </c>
      <c r="W8" s="13">
        <f t="shared" ref="W8:Y8" si="5">SUM(W9:W11)</f>
        <v>2824.2515673988264</v>
      </c>
      <c r="X8" s="13">
        <f t="shared" si="5"/>
        <v>2618.8294596212318</v>
      </c>
      <c r="Y8" s="13">
        <f t="shared" si="5"/>
        <v>2819.953256688384</v>
      </c>
      <c r="DA8" s="193" t="s">
        <v>194</v>
      </c>
    </row>
    <row r="9" spans="1:105" ht="11.45" customHeight="1" x14ac:dyDescent="0.25">
      <c r="A9" s="92" t="s">
        <v>27</v>
      </c>
      <c r="B9" s="102">
        <v>21.988120865114194</v>
      </c>
      <c r="C9" s="102">
        <v>39.654772635480072</v>
      </c>
      <c r="D9" s="102">
        <v>34.533681175230996</v>
      </c>
      <c r="E9" s="102">
        <v>40.803370310542839</v>
      </c>
      <c r="F9" s="102">
        <v>37.47204634723775</v>
      </c>
      <c r="G9" s="102">
        <v>34.226217098574317</v>
      </c>
      <c r="H9" s="102">
        <v>33.125190195830243</v>
      </c>
      <c r="I9" s="102">
        <v>36.100600177216187</v>
      </c>
      <c r="J9" s="102">
        <v>31.179893519607628</v>
      </c>
      <c r="K9" s="102">
        <v>29.015855495176897</v>
      </c>
      <c r="L9" s="102">
        <v>30.129880116237835</v>
      </c>
      <c r="M9" s="102">
        <v>29.727295035967785</v>
      </c>
      <c r="N9" s="102">
        <v>24.532205061470549</v>
      </c>
      <c r="O9" s="102">
        <v>23.304388171252402</v>
      </c>
      <c r="P9" s="102">
        <v>21.973648239975919</v>
      </c>
      <c r="Q9" s="102">
        <v>21.324542868435184</v>
      </c>
      <c r="R9" s="102">
        <v>19.501319315828479</v>
      </c>
      <c r="S9" s="102">
        <v>19.436410280109886</v>
      </c>
      <c r="T9" s="102">
        <v>20.270866189461181</v>
      </c>
      <c r="U9" s="102">
        <v>24.061892143171203</v>
      </c>
      <c r="V9" s="102">
        <v>23.953256826739203</v>
      </c>
      <c r="W9" s="102">
        <v>32.327222517400479</v>
      </c>
      <c r="X9" s="102">
        <v>34.254061163484884</v>
      </c>
      <c r="Y9" s="102">
        <v>30.842891572350663</v>
      </c>
      <c r="DA9" s="175" t="s">
        <v>195</v>
      </c>
    </row>
    <row r="10" spans="1:105" ht="11.45" customHeight="1" x14ac:dyDescent="0.25">
      <c r="A10" s="92" t="s">
        <v>181</v>
      </c>
      <c r="B10" s="102">
        <v>88.599556071139091</v>
      </c>
      <c r="C10" s="102">
        <v>42.260677868225265</v>
      </c>
      <c r="D10" s="102">
        <v>164.72200981397572</v>
      </c>
      <c r="E10" s="102">
        <v>191.5196828715597</v>
      </c>
      <c r="F10" s="102">
        <v>210.01794804859512</v>
      </c>
      <c r="G10" s="102">
        <v>220.10311250033715</v>
      </c>
      <c r="H10" s="102">
        <v>199.49715307868448</v>
      </c>
      <c r="I10" s="102">
        <v>211.81622921064559</v>
      </c>
      <c r="J10" s="102">
        <v>188.82137909786206</v>
      </c>
      <c r="K10" s="102">
        <v>177.24148320571402</v>
      </c>
      <c r="L10" s="102">
        <v>167.01654311433015</v>
      </c>
      <c r="M10" s="102">
        <v>161.52552528390356</v>
      </c>
      <c r="N10" s="102">
        <v>164.86427438778105</v>
      </c>
      <c r="O10" s="102">
        <v>162.12389711070622</v>
      </c>
      <c r="P10" s="102">
        <v>167.92844648637396</v>
      </c>
      <c r="Q10" s="102">
        <v>182.73010456795353</v>
      </c>
      <c r="R10" s="102">
        <v>180.55443624117271</v>
      </c>
      <c r="S10" s="102">
        <v>181.66883427351527</v>
      </c>
      <c r="T10" s="102">
        <v>185.05499743785933</v>
      </c>
      <c r="U10" s="102">
        <v>192.934961395622</v>
      </c>
      <c r="V10" s="102">
        <v>178.17187327686884</v>
      </c>
      <c r="W10" s="102">
        <v>217.89604419435051</v>
      </c>
      <c r="X10" s="102">
        <v>236.6053857800824</v>
      </c>
      <c r="Y10" s="102">
        <v>219.95723591468908</v>
      </c>
      <c r="DA10" s="175" t="s">
        <v>196</v>
      </c>
    </row>
    <row r="11" spans="1:105" ht="11.45" customHeight="1" x14ac:dyDescent="0.25">
      <c r="A11" s="85" t="s">
        <v>182</v>
      </c>
      <c r="B11" s="86">
        <v>1573.5268549686682</v>
      </c>
      <c r="C11" s="86">
        <v>488.05202370148118</v>
      </c>
      <c r="D11" s="86">
        <v>1221.6394278577848</v>
      </c>
      <c r="E11" s="86">
        <v>1296.7742277746981</v>
      </c>
      <c r="F11" s="86">
        <v>1381.4123302998473</v>
      </c>
      <c r="G11" s="86">
        <v>1544.2108466266607</v>
      </c>
      <c r="H11" s="86">
        <v>1718.6232450730765</v>
      </c>
      <c r="I11" s="86">
        <v>1949.5258442106888</v>
      </c>
      <c r="J11" s="86">
        <v>1684.8594857110074</v>
      </c>
      <c r="K11" s="86">
        <v>1418.7043799605815</v>
      </c>
      <c r="L11" s="86">
        <v>1873.7871630948196</v>
      </c>
      <c r="M11" s="86">
        <v>2066.623081107974</v>
      </c>
      <c r="N11" s="86">
        <v>1828.8849037883638</v>
      </c>
      <c r="O11" s="86">
        <v>1955.8614044150513</v>
      </c>
      <c r="P11" s="86">
        <v>2258.6544102886619</v>
      </c>
      <c r="Q11" s="86">
        <v>2674.9721373488433</v>
      </c>
      <c r="R11" s="86">
        <v>3086.2764590558031</v>
      </c>
      <c r="S11" s="86">
        <v>3494.3713700146864</v>
      </c>
      <c r="T11" s="86">
        <v>3500.6210096651721</v>
      </c>
      <c r="U11" s="86">
        <v>3632.9376123188763</v>
      </c>
      <c r="V11" s="86">
        <v>2250.8402850195266</v>
      </c>
      <c r="W11" s="86">
        <v>2574.0283006870754</v>
      </c>
      <c r="X11" s="86">
        <v>2347.9700126776643</v>
      </c>
      <c r="Y11" s="86">
        <v>2569.1531292013442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621.1678330602025</v>
      </c>
      <c r="C13" s="54">
        <f t="shared" si="6"/>
        <v>557.10278522942428</v>
      </c>
      <c r="D13" s="54">
        <f t="shared" ref="D13:V13" si="7">SUM(D14,D18)</f>
        <v>571.6732664068046</v>
      </c>
      <c r="E13" s="54">
        <f t="shared" si="7"/>
        <v>670.40567301360102</v>
      </c>
      <c r="F13" s="54">
        <f t="shared" si="7"/>
        <v>713.37917605230007</v>
      </c>
      <c r="G13" s="54">
        <f t="shared" si="7"/>
        <v>759.33121976423615</v>
      </c>
      <c r="H13" s="54">
        <f t="shared" si="7"/>
        <v>797.081395546767</v>
      </c>
      <c r="I13" s="54">
        <f t="shared" si="7"/>
        <v>883.10701898417665</v>
      </c>
      <c r="J13" s="54">
        <f t="shared" si="7"/>
        <v>833.19623395766951</v>
      </c>
      <c r="K13" s="54">
        <f t="shared" si="7"/>
        <v>785.72946086957597</v>
      </c>
      <c r="L13" s="54">
        <f t="shared" si="7"/>
        <v>819.54222956739352</v>
      </c>
      <c r="M13" s="54">
        <f t="shared" si="7"/>
        <v>820.74281153757113</v>
      </c>
      <c r="N13" s="54">
        <f t="shared" si="7"/>
        <v>795.76195172758128</v>
      </c>
      <c r="O13" s="54">
        <f t="shared" si="7"/>
        <v>765.66351270850078</v>
      </c>
      <c r="P13" s="54">
        <f t="shared" si="7"/>
        <v>765.38624206933594</v>
      </c>
      <c r="Q13" s="54">
        <f t="shared" si="7"/>
        <v>800.48097688855853</v>
      </c>
      <c r="R13" s="54">
        <f t="shared" si="7"/>
        <v>840.38329375953174</v>
      </c>
      <c r="S13" s="54">
        <f t="shared" si="7"/>
        <v>885.38028328307462</v>
      </c>
      <c r="T13" s="54">
        <f t="shared" si="7"/>
        <v>947.72797937704217</v>
      </c>
      <c r="U13" s="54">
        <f t="shared" si="7"/>
        <v>995.05176017911788</v>
      </c>
      <c r="V13" s="54">
        <f t="shared" si="7"/>
        <v>368.63294781574371</v>
      </c>
      <c r="W13" s="54">
        <f t="shared" ref="W13:Y13" si="8">SUM(W14,W18)</f>
        <v>494.34736238999409</v>
      </c>
      <c r="X13" s="54">
        <f t="shared" si="8"/>
        <v>830.52420042128495</v>
      </c>
      <c r="Y13" s="54">
        <f t="shared" si="8"/>
        <v>969.35863880395823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596.29322080585962</v>
      </c>
      <c r="C14" s="11">
        <f t="shared" si="9"/>
        <v>545.86436661587163</v>
      </c>
      <c r="D14" s="11">
        <f t="shared" ref="D14:V14" si="10">SUM(D15:D17)</f>
        <v>546.68351210113678</v>
      </c>
      <c r="E14" s="11">
        <f t="shared" si="10"/>
        <v>641.68884613561136</v>
      </c>
      <c r="F14" s="11">
        <f t="shared" si="10"/>
        <v>681.41950210738651</v>
      </c>
      <c r="G14" s="11">
        <f t="shared" si="10"/>
        <v>723.3566081359902</v>
      </c>
      <c r="H14" s="11">
        <f t="shared" si="10"/>
        <v>757.00790997374179</v>
      </c>
      <c r="I14" s="11">
        <f t="shared" si="10"/>
        <v>837.6554767998349</v>
      </c>
      <c r="J14" s="11">
        <f t="shared" si="10"/>
        <v>792.63474102921384</v>
      </c>
      <c r="K14" s="11">
        <f t="shared" si="10"/>
        <v>753.00921187533606</v>
      </c>
      <c r="L14" s="11">
        <f t="shared" si="10"/>
        <v>781.72593911858803</v>
      </c>
      <c r="M14" s="11">
        <f t="shared" si="10"/>
        <v>782.38155114643439</v>
      </c>
      <c r="N14" s="11">
        <f t="shared" si="10"/>
        <v>763.38882780609651</v>
      </c>
      <c r="O14" s="11">
        <f t="shared" si="10"/>
        <v>732.30449383404789</v>
      </c>
      <c r="P14" s="11">
        <f t="shared" si="10"/>
        <v>732.57381662498688</v>
      </c>
      <c r="Q14" s="11">
        <f t="shared" si="10"/>
        <v>762.41027333326144</v>
      </c>
      <c r="R14" s="11">
        <f t="shared" si="10"/>
        <v>801.5815901195507</v>
      </c>
      <c r="S14" s="11">
        <f t="shared" si="10"/>
        <v>841.36255235663612</v>
      </c>
      <c r="T14" s="11">
        <f t="shared" si="10"/>
        <v>903.94556003875687</v>
      </c>
      <c r="U14" s="11">
        <f t="shared" si="10"/>
        <v>951.32447019509209</v>
      </c>
      <c r="V14" s="11">
        <f t="shared" si="10"/>
        <v>329.83351436376296</v>
      </c>
      <c r="W14" s="11">
        <f t="shared" ref="W14:Y14" si="11">SUM(W15:W17)</f>
        <v>445.19439012914739</v>
      </c>
      <c r="X14" s="11">
        <f t="shared" si="11"/>
        <v>787.27191466244381</v>
      </c>
      <c r="Y14" s="11">
        <f t="shared" si="11"/>
        <v>925.71245097642031</v>
      </c>
      <c r="DA14" s="189" t="s">
        <v>199</v>
      </c>
    </row>
    <row r="15" spans="1:105" ht="11.45" customHeight="1" x14ac:dyDescent="0.25">
      <c r="A15" s="83" t="s">
        <v>27</v>
      </c>
      <c r="B15" s="84">
        <v>172.95129653731402</v>
      </c>
      <c r="C15" s="84">
        <v>159.35051538889016</v>
      </c>
      <c r="D15" s="84">
        <v>159.78171833544823</v>
      </c>
      <c r="E15" s="84">
        <v>181.80758995206605</v>
      </c>
      <c r="F15" s="84">
        <v>176.53900547839996</v>
      </c>
      <c r="G15" s="84">
        <v>173.63251242725701</v>
      </c>
      <c r="H15" s="84">
        <v>183.28535982461716</v>
      </c>
      <c r="I15" s="84">
        <v>204.40745952875926</v>
      </c>
      <c r="J15" s="84">
        <v>191.96392803935814</v>
      </c>
      <c r="K15" s="84">
        <v>193.81966887357905</v>
      </c>
      <c r="L15" s="84">
        <v>194.32714394894663</v>
      </c>
      <c r="M15" s="84">
        <v>192.90338264763557</v>
      </c>
      <c r="N15" s="84">
        <v>177.89343003068171</v>
      </c>
      <c r="O15" s="84">
        <v>161.5842784478742</v>
      </c>
      <c r="P15" s="84">
        <v>148.75742953373458</v>
      </c>
      <c r="Q15" s="84">
        <v>152.68471575081361</v>
      </c>
      <c r="R15" s="84">
        <v>156.31804139798749</v>
      </c>
      <c r="S15" s="84">
        <v>161.7323950828744</v>
      </c>
      <c r="T15" s="84">
        <v>165.79322638360065</v>
      </c>
      <c r="U15" s="84">
        <v>171.11241738119313</v>
      </c>
      <c r="V15" s="84">
        <v>86.300029738585607</v>
      </c>
      <c r="W15" s="84">
        <v>128.00402081443559</v>
      </c>
      <c r="X15" s="84">
        <v>177.83344863613669</v>
      </c>
      <c r="Y15" s="84">
        <v>178.67239254386999</v>
      </c>
      <c r="DA15" s="171" t="s">
        <v>200</v>
      </c>
    </row>
    <row r="16" spans="1:105" ht="11.45" customHeight="1" x14ac:dyDescent="0.25">
      <c r="A16" s="83" t="s">
        <v>181</v>
      </c>
      <c r="B16" s="84">
        <v>249.83249171424885</v>
      </c>
      <c r="C16" s="84">
        <v>228.0986168400743</v>
      </c>
      <c r="D16" s="84">
        <v>228.32620725958623</v>
      </c>
      <c r="E16" s="84">
        <v>278.7804167231447</v>
      </c>
      <c r="F16" s="84">
        <v>291.4602655655566</v>
      </c>
      <c r="G16" s="84">
        <v>317.77166288473603</v>
      </c>
      <c r="H16" s="84">
        <v>331.21250028590413</v>
      </c>
      <c r="I16" s="84">
        <v>368.36381735113326</v>
      </c>
      <c r="J16" s="84">
        <v>345.53528219837176</v>
      </c>
      <c r="K16" s="84">
        <v>320.45387173553826</v>
      </c>
      <c r="L16" s="84">
        <v>331.67922703529791</v>
      </c>
      <c r="M16" s="84">
        <v>335.51812149834223</v>
      </c>
      <c r="N16" s="84">
        <v>325.93970885581575</v>
      </c>
      <c r="O16" s="84">
        <v>313.31542579397598</v>
      </c>
      <c r="P16" s="84">
        <v>322.04709383189817</v>
      </c>
      <c r="Q16" s="84">
        <v>345.27634797927573</v>
      </c>
      <c r="R16" s="84">
        <v>370.82591347909084</v>
      </c>
      <c r="S16" s="84">
        <v>385.01324801900205</v>
      </c>
      <c r="T16" s="84">
        <v>402.43484804547887</v>
      </c>
      <c r="U16" s="84">
        <v>413.38606561726391</v>
      </c>
      <c r="V16" s="84">
        <v>135.69391436146429</v>
      </c>
      <c r="W16" s="84">
        <v>184.44079396849628</v>
      </c>
      <c r="X16" s="84">
        <v>378.89550007590947</v>
      </c>
      <c r="Y16" s="84">
        <v>424.39456422993698</v>
      </c>
      <c r="DA16" s="171" t="s">
        <v>201</v>
      </c>
    </row>
    <row r="17" spans="1:105" ht="11.45" customHeight="1" x14ac:dyDescent="0.25">
      <c r="A17" s="83" t="s">
        <v>182</v>
      </c>
      <c r="B17" s="84">
        <v>173.50943255429667</v>
      </c>
      <c r="C17" s="84">
        <v>158.41523438690723</v>
      </c>
      <c r="D17" s="84">
        <v>158.57558650610233</v>
      </c>
      <c r="E17" s="84">
        <v>181.10083946040058</v>
      </c>
      <c r="F17" s="84">
        <v>213.42023106342987</v>
      </c>
      <c r="G17" s="84">
        <v>231.95243282399716</v>
      </c>
      <c r="H17" s="84">
        <v>242.51004986322053</v>
      </c>
      <c r="I17" s="84">
        <v>264.88419991994238</v>
      </c>
      <c r="J17" s="84">
        <v>255.13553079148394</v>
      </c>
      <c r="K17" s="84">
        <v>238.73567126621879</v>
      </c>
      <c r="L17" s="84">
        <v>255.71956813434343</v>
      </c>
      <c r="M17" s="84">
        <v>253.96004700045663</v>
      </c>
      <c r="N17" s="84">
        <v>259.55568891959899</v>
      </c>
      <c r="O17" s="84">
        <v>257.40478959219769</v>
      </c>
      <c r="P17" s="84">
        <v>261.76929325935413</v>
      </c>
      <c r="Q17" s="84">
        <v>264.44920960317211</v>
      </c>
      <c r="R17" s="84">
        <v>274.43763524247231</v>
      </c>
      <c r="S17" s="84">
        <v>294.61690925475961</v>
      </c>
      <c r="T17" s="84">
        <v>335.71748560967734</v>
      </c>
      <c r="U17" s="84">
        <v>366.82598719663503</v>
      </c>
      <c r="V17" s="84">
        <v>107.83957026371307</v>
      </c>
      <c r="W17" s="84">
        <v>132.74957534621552</v>
      </c>
      <c r="X17" s="84">
        <v>230.54296595039767</v>
      </c>
      <c r="Y17" s="84">
        <v>322.64549420261329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24.874612254342914</v>
      </c>
      <c r="C18" s="13">
        <f t="shared" si="12"/>
        <v>11.238418613552613</v>
      </c>
      <c r="D18" s="13">
        <f t="shared" ref="D18:V18" si="13">SUM(D19:D21)</f>
        <v>24.989754305667866</v>
      </c>
      <c r="E18" s="13">
        <f t="shared" si="13"/>
        <v>28.716826877989625</v>
      </c>
      <c r="F18" s="13">
        <f t="shared" si="13"/>
        <v>31.959673944913554</v>
      </c>
      <c r="G18" s="13">
        <f t="shared" si="13"/>
        <v>35.974611628245938</v>
      </c>
      <c r="H18" s="13">
        <f t="shared" si="13"/>
        <v>40.073485573025266</v>
      </c>
      <c r="I18" s="13">
        <f t="shared" si="13"/>
        <v>45.451542184341761</v>
      </c>
      <c r="J18" s="13">
        <f t="shared" si="13"/>
        <v>40.561492928455692</v>
      </c>
      <c r="K18" s="13">
        <f t="shared" si="13"/>
        <v>32.720248994239896</v>
      </c>
      <c r="L18" s="13">
        <f t="shared" si="13"/>
        <v>37.816290448805482</v>
      </c>
      <c r="M18" s="13">
        <f t="shared" si="13"/>
        <v>38.361260391136724</v>
      </c>
      <c r="N18" s="13">
        <f t="shared" si="13"/>
        <v>32.373123921484769</v>
      </c>
      <c r="O18" s="13">
        <f t="shared" si="13"/>
        <v>33.359018874452893</v>
      </c>
      <c r="P18" s="13">
        <f t="shared" si="13"/>
        <v>32.812425444349088</v>
      </c>
      <c r="Q18" s="13">
        <f t="shared" si="13"/>
        <v>38.070703555297101</v>
      </c>
      <c r="R18" s="13">
        <f t="shared" si="13"/>
        <v>38.801703639981014</v>
      </c>
      <c r="S18" s="13">
        <f t="shared" si="13"/>
        <v>44.017730926438546</v>
      </c>
      <c r="T18" s="13">
        <f t="shared" si="13"/>
        <v>43.782419338285287</v>
      </c>
      <c r="U18" s="13">
        <f t="shared" si="13"/>
        <v>43.727289984025774</v>
      </c>
      <c r="V18" s="13">
        <f t="shared" si="13"/>
        <v>38.799433451980775</v>
      </c>
      <c r="W18" s="13">
        <f t="shared" ref="W18:Y18" si="14">SUM(W19:W21)</f>
        <v>49.15297226084671</v>
      </c>
      <c r="X18" s="13">
        <f t="shared" si="14"/>
        <v>43.252285758841126</v>
      </c>
      <c r="Y18" s="13">
        <f t="shared" si="14"/>
        <v>43.646187827537901</v>
      </c>
      <c r="DA18" s="193" t="s">
        <v>203</v>
      </c>
    </row>
    <row r="19" spans="1:105" ht="11.45" customHeight="1" x14ac:dyDescent="0.25">
      <c r="A19" s="92" t="s">
        <v>27</v>
      </c>
      <c r="B19" s="102">
        <v>2.1453779354857123</v>
      </c>
      <c r="C19" s="102">
        <v>3.898844311103169</v>
      </c>
      <c r="D19" s="102">
        <v>3.3018066269196309</v>
      </c>
      <c r="E19" s="102">
        <v>3.667655102757239</v>
      </c>
      <c r="F19" s="102">
        <v>3.5769169583542442</v>
      </c>
      <c r="G19" s="102">
        <v>3.3384141356633381</v>
      </c>
      <c r="H19" s="102">
        <v>3.3590280059943352</v>
      </c>
      <c r="I19" s="102">
        <v>3.6743894882001458</v>
      </c>
      <c r="J19" s="102">
        <v>3.2985912514283156</v>
      </c>
      <c r="K19" s="102">
        <v>3.0433662433007389</v>
      </c>
      <c r="L19" s="102">
        <v>2.954681665329931</v>
      </c>
      <c r="M19" s="102">
        <v>2.625572858641493</v>
      </c>
      <c r="N19" s="102">
        <v>2.1111585903681154</v>
      </c>
      <c r="O19" s="102">
        <v>1.9422486417732641</v>
      </c>
      <c r="P19" s="102">
        <v>1.6506424668604514</v>
      </c>
      <c r="Q19" s="102">
        <v>1.5220983445682057</v>
      </c>
      <c r="R19" s="102">
        <v>1.2150976941816134</v>
      </c>
      <c r="S19" s="102">
        <v>1.3208926348210841</v>
      </c>
      <c r="T19" s="102">
        <v>1.3624148636458115</v>
      </c>
      <c r="U19" s="102">
        <v>1.4690903120876222</v>
      </c>
      <c r="V19" s="102">
        <v>1.5658780478286733</v>
      </c>
      <c r="W19" s="102">
        <v>2.1087169095578608</v>
      </c>
      <c r="X19" s="102">
        <v>2.2133597120743032</v>
      </c>
      <c r="Y19" s="102">
        <v>2.0119489209302328</v>
      </c>
      <c r="DA19" s="175" t="s">
        <v>204</v>
      </c>
    </row>
    <row r="20" spans="1:105" ht="11.45" customHeight="1" x14ac:dyDescent="0.25">
      <c r="A20" s="92" t="s">
        <v>181</v>
      </c>
      <c r="B20" s="102">
        <v>3.8952862521119456</v>
      </c>
      <c r="C20" s="102">
        <v>1.765086612744698</v>
      </c>
      <c r="D20" s="102">
        <v>6.9095396668331386</v>
      </c>
      <c r="E20" s="102">
        <v>7.78430162834107</v>
      </c>
      <c r="F20" s="102">
        <v>9.4335092643615255</v>
      </c>
      <c r="G20" s="102">
        <v>10.111883470211234</v>
      </c>
      <c r="H20" s="102">
        <v>10.782814360745387</v>
      </c>
      <c r="I20" s="102">
        <v>11.862471816591315</v>
      </c>
      <c r="J20" s="102">
        <v>10.877809333818101</v>
      </c>
      <c r="K20" s="102">
        <v>9.9774275951200888</v>
      </c>
      <c r="L20" s="102">
        <v>9.2675883307886355</v>
      </c>
      <c r="M20" s="102">
        <v>8.4496985092265433</v>
      </c>
      <c r="N20" s="102">
        <v>7.8732115465847654</v>
      </c>
      <c r="O20" s="102">
        <v>7.7851133557798642</v>
      </c>
      <c r="P20" s="102">
        <v>7.0000047493131907</v>
      </c>
      <c r="Q20" s="102">
        <v>7.6442225660944194</v>
      </c>
      <c r="R20" s="102">
        <v>6.8458603474964859</v>
      </c>
      <c r="S20" s="102">
        <v>7.4908408291652027</v>
      </c>
      <c r="T20" s="102">
        <v>7.5609821288675683</v>
      </c>
      <c r="U20" s="102">
        <v>7.5314933286644621</v>
      </c>
      <c r="V20" s="102">
        <v>8.180747956013148</v>
      </c>
      <c r="W20" s="102">
        <v>10.232876327458696</v>
      </c>
      <c r="X20" s="102">
        <v>11.183228455944649</v>
      </c>
      <c r="Y20" s="102">
        <v>10.381736858744418</v>
      </c>
      <c r="DA20" s="175" t="s">
        <v>205</v>
      </c>
    </row>
    <row r="21" spans="1:105" ht="11.45" customHeight="1" x14ac:dyDescent="0.25">
      <c r="A21" s="85" t="s">
        <v>182</v>
      </c>
      <c r="B21" s="86">
        <v>18.833948066745258</v>
      </c>
      <c r="C21" s="86">
        <v>5.5744876897047453</v>
      </c>
      <c r="D21" s="86">
        <v>14.778408011915099</v>
      </c>
      <c r="E21" s="86">
        <v>17.264870146891315</v>
      </c>
      <c r="F21" s="86">
        <v>18.949247722197786</v>
      </c>
      <c r="G21" s="86">
        <v>22.524314022371364</v>
      </c>
      <c r="H21" s="86">
        <v>25.931643206285546</v>
      </c>
      <c r="I21" s="86">
        <v>29.914680879550303</v>
      </c>
      <c r="J21" s="86">
        <v>26.38509234320928</v>
      </c>
      <c r="K21" s="86">
        <v>19.69945515581907</v>
      </c>
      <c r="L21" s="86">
        <v>25.594020452686916</v>
      </c>
      <c r="M21" s="86">
        <v>27.285989023268684</v>
      </c>
      <c r="N21" s="86">
        <v>22.388753784531886</v>
      </c>
      <c r="O21" s="86">
        <v>23.631656876899765</v>
      </c>
      <c r="P21" s="86">
        <v>24.161778228175447</v>
      </c>
      <c r="Q21" s="86">
        <v>28.904382644634474</v>
      </c>
      <c r="R21" s="86">
        <v>30.740745598302915</v>
      </c>
      <c r="S21" s="86">
        <v>35.20599746245226</v>
      </c>
      <c r="T21" s="86">
        <v>34.859022345771905</v>
      </c>
      <c r="U21" s="86">
        <v>34.72670634327369</v>
      </c>
      <c r="V21" s="86">
        <v>29.052807448138957</v>
      </c>
      <c r="W21" s="86">
        <v>36.811379023830156</v>
      </c>
      <c r="X21" s="86">
        <v>29.855697590822178</v>
      </c>
      <c r="Y21" s="86">
        <v>31.252502047863249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560294</v>
      </c>
      <c r="C23" s="54">
        <f t="shared" si="15"/>
        <v>513741</v>
      </c>
      <c r="D23" s="54">
        <f t="shared" ref="D23:V23" si="16">SUM(D24,D28)</f>
        <v>520715</v>
      </c>
      <c r="E23" s="54">
        <f t="shared" si="16"/>
        <v>607269</v>
      </c>
      <c r="F23" s="54">
        <f t="shared" si="16"/>
        <v>619238</v>
      </c>
      <c r="G23" s="54">
        <f t="shared" si="16"/>
        <v>649914</v>
      </c>
      <c r="H23" s="54">
        <f t="shared" si="16"/>
        <v>684176</v>
      </c>
      <c r="I23" s="54">
        <f t="shared" si="16"/>
        <v>758520</v>
      </c>
      <c r="J23" s="54">
        <f t="shared" si="16"/>
        <v>708113</v>
      </c>
      <c r="K23" s="54">
        <f t="shared" si="16"/>
        <v>674647</v>
      </c>
      <c r="L23" s="54">
        <f t="shared" si="16"/>
        <v>687110</v>
      </c>
      <c r="M23" s="54">
        <f t="shared" si="16"/>
        <v>690467</v>
      </c>
      <c r="N23" s="54">
        <f t="shared" si="16"/>
        <v>666490</v>
      </c>
      <c r="O23" s="54">
        <f t="shared" si="16"/>
        <v>628025</v>
      </c>
      <c r="P23" s="54">
        <f t="shared" si="16"/>
        <v>609920</v>
      </c>
      <c r="Q23" s="54">
        <f t="shared" si="16"/>
        <v>637644</v>
      </c>
      <c r="R23" s="54">
        <f t="shared" si="16"/>
        <v>656746</v>
      </c>
      <c r="S23" s="54">
        <f t="shared" si="16"/>
        <v>677324</v>
      </c>
      <c r="T23" s="54">
        <f t="shared" si="16"/>
        <v>703082</v>
      </c>
      <c r="U23" s="54">
        <f t="shared" si="16"/>
        <v>723399</v>
      </c>
      <c r="V23" s="54">
        <f t="shared" si="16"/>
        <v>290235</v>
      </c>
      <c r="W23" s="54">
        <f t="shared" ref="W23:Y23" si="17">SUM(W24,W28)</f>
        <v>393251</v>
      </c>
      <c r="X23" s="54">
        <f t="shared" si="17"/>
        <v>649169</v>
      </c>
      <c r="Y23" s="54">
        <f t="shared" si="17"/>
        <v>717873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548135</v>
      </c>
      <c r="C24" s="11">
        <f t="shared" si="18"/>
        <v>502753</v>
      </c>
      <c r="D24" s="11">
        <f t="shared" ref="D24:V24" si="19">SUM(D25:D27)</f>
        <v>503689</v>
      </c>
      <c r="E24" s="11">
        <f t="shared" si="19"/>
        <v>587998</v>
      </c>
      <c r="F24" s="11">
        <f t="shared" si="19"/>
        <v>598104</v>
      </c>
      <c r="G24" s="11">
        <f t="shared" si="19"/>
        <v>627605</v>
      </c>
      <c r="H24" s="11">
        <f t="shared" si="19"/>
        <v>660603</v>
      </c>
      <c r="I24" s="11">
        <f t="shared" si="19"/>
        <v>732651</v>
      </c>
      <c r="J24" s="11">
        <f t="shared" si="19"/>
        <v>685121</v>
      </c>
      <c r="K24" s="11">
        <f t="shared" si="19"/>
        <v>654666</v>
      </c>
      <c r="L24" s="11">
        <f t="shared" si="19"/>
        <v>667171</v>
      </c>
      <c r="M24" s="11">
        <f t="shared" si="19"/>
        <v>671466</v>
      </c>
      <c r="N24" s="11">
        <f t="shared" si="19"/>
        <v>649556</v>
      </c>
      <c r="O24" s="11">
        <f t="shared" si="19"/>
        <v>611134</v>
      </c>
      <c r="P24" s="11">
        <f t="shared" si="19"/>
        <v>594482</v>
      </c>
      <c r="Q24" s="11">
        <f t="shared" si="19"/>
        <v>620937</v>
      </c>
      <c r="R24" s="11">
        <f t="shared" si="19"/>
        <v>641380</v>
      </c>
      <c r="S24" s="11">
        <f t="shared" si="19"/>
        <v>660372</v>
      </c>
      <c r="T24" s="11">
        <f t="shared" si="19"/>
        <v>686166</v>
      </c>
      <c r="U24" s="11">
        <f t="shared" si="19"/>
        <v>707149</v>
      </c>
      <c r="V24" s="11">
        <f t="shared" si="19"/>
        <v>273803</v>
      </c>
      <c r="W24" s="11">
        <f t="shared" ref="W24:Y24" si="20">SUM(W25:W27)</f>
        <v>372666</v>
      </c>
      <c r="X24" s="11">
        <f t="shared" si="20"/>
        <v>628188</v>
      </c>
      <c r="Y24" s="11">
        <f t="shared" si="20"/>
        <v>698190</v>
      </c>
      <c r="DA24" s="189" t="s">
        <v>208</v>
      </c>
    </row>
    <row r="25" spans="1:105" ht="11.45" customHeight="1" x14ac:dyDescent="0.25">
      <c r="A25" s="83" t="s">
        <v>27</v>
      </c>
      <c r="B25" s="84">
        <v>275549</v>
      </c>
      <c r="C25" s="84">
        <v>253880</v>
      </c>
      <c r="D25" s="84">
        <v>254567</v>
      </c>
      <c r="E25" s="84">
        <v>289659</v>
      </c>
      <c r="F25" s="84">
        <v>281265</v>
      </c>
      <c r="G25" s="84">
        <v>282749</v>
      </c>
      <c r="H25" s="84">
        <v>300044</v>
      </c>
      <c r="I25" s="84">
        <v>334049</v>
      </c>
      <c r="J25" s="84">
        <v>309372</v>
      </c>
      <c r="K25" s="84">
        <v>302813</v>
      </c>
      <c r="L25" s="84">
        <v>299942</v>
      </c>
      <c r="M25" s="84">
        <v>300685</v>
      </c>
      <c r="N25" s="84">
        <v>280709</v>
      </c>
      <c r="O25" s="84">
        <v>254032</v>
      </c>
      <c r="P25" s="84">
        <v>233230</v>
      </c>
      <c r="Q25" s="84">
        <v>242116</v>
      </c>
      <c r="R25" s="84">
        <v>241326</v>
      </c>
      <c r="S25" s="84">
        <v>245222</v>
      </c>
      <c r="T25" s="84">
        <v>247888</v>
      </c>
      <c r="U25" s="84">
        <v>252340</v>
      </c>
      <c r="V25" s="84">
        <v>127210</v>
      </c>
      <c r="W25" s="84">
        <v>178816</v>
      </c>
      <c r="X25" s="84">
        <v>247803</v>
      </c>
      <c r="Y25" s="84">
        <v>255334</v>
      </c>
      <c r="DA25" s="171" t="s">
        <v>209</v>
      </c>
    </row>
    <row r="26" spans="1:105" ht="11.45" customHeight="1" x14ac:dyDescent="0.25">
      <c r="A26" s="83" t="s">
        <v>181</v>
      </c>
      <c r="B26" s="84">
        <v>231468</v>
      </c>
      <c r="C26" s="84">
        <v>211332</v>
      </c>
      <c r="D26" s="84">
        <v>211543</v>
      </c>
      <c r="E26" s="84">
        <v>255422</v>
      </c>
      <c r="F26" s="84">
        <v>266263</v>
      </c>
      <c r="G26" s="84">
        <v>287888</v>
      </c>
      <c r="H26" s="84">
        <v>300055</v>
      </c>
      <c r="I26" s="84">
        <v>331380</v>
      </c>
      <c r="J26" s="84">
        <v>310521</v>
      </c>
      <c r="K26" s="84">
        <v>288018</v>
      </c>
      <c r="L26" s="84">
        <v>296726</v>
      </c>
      <c r="M26" s="84">
        <v>302518</v>
      </c>
      <c r="N26" s="84">
        <v>296955</v>
      </c>
      <c r="O26" s="84">
        <v>283132</v>
      </c>
      <c r="P26" s="84">
        <v>287803</v>
      </c>
      <c r="Q26" s="84">
        <v>306692</v>
      </c>
      <c r="R26" s="84">
        <v>326530</v>
      </c>
      <c r="S26" s="84">
        <v>336059</v>
      </c>
      <c r="T26" s="84">
        <v>348050</v>
      </c>
      <c r="U26" s="84">
        <v>357760</v>
      </c>
      <c r="V26" s="84">
        <v>116488</v>
      </c>
      <c r="W26" s="84">
        <v>155225</v>
      </c>
      <c r="X26" s="84">
        <v>316622</v>
      </c>
      <c r="Y26" s="84">
        <v>357041</v>
      </c>
      <c r="DA26" s="171" t="s">
        <v>210</v>
      </c>
    </row>
    <row r="27" spans="1:105" ht="11.45" customHeight="1" x14ac:dyDescent="0.25">
      <c r="A27" s="83" t="s">
        <v>182</v>
      </c>
      <c r="B27" s="84">
        <v>41118</v>
      </c>
      <c r="C27" s="84">
        <v>37541</v>
      </c>
      <c r="D27" s="84">
        <v>37579</v>
      </c>
      <c r="E27" s="84">
        <v>42917</v>
      </c>
      <c r="F27" s="84">
        <v>50576</v>
      </c>
      <c r="G27" s="84">
        <v>56968</v>
      </c>
      <c r="H27" s="84">
        <v>60504</v>
      </c>
      <c r="I27" s="84">
        <v>67222</v>
      </c>
      <c r="J27" s="84">
        <v>65228</v>
      </c>
      <c r="K27" s="84">
        <v>63835</v>
      </c>
      <c r="L27" s="84">
        <v>70503</v>
      </c>
      <c r="M27" s="84">
        <v>68263</v>
      </c>
      <c r="N27" s="84">
        <v>71892</v>
      </c>
      <c r="O27" s="84">
        <v>73970</v>
      </c>
      <c r="P27" s="84">
        <v>73449</v>
      </c>
      <c r="Q27" s="84">
        <v>72129</v>
      </c>
      <c r="R27" s="84">
        <v>73524</v>
      </c>
      <c r="S27" s="84">
        <v>79091</v>
      </c>
      <c r="T27" s="84">
        <v>90228</v>
      </c>
      <c r="U27" s="84">
        <v>97049</v>
      </c>
      <c r="V27" s="84">
        <v>30105</v>
      </c>
      <c r="W27" s="84">
        <v>38625</v>
      </c>
      <c r="X27" s="84">
        <v>63763</v>
      </c>
      <c r="Y27" s="84">
        <v>85815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12159</v>
      </c>
      <c r="C28" s="13">
        <f t="shared" si="21"/>
        <v>10988</v>
      </c>
      <c r="D28" s="13">
        <f t="shared" ref="D28:V28" si="22">SUM(D29:D31)</f>
        <v>17026</v>
      </c>
      <c r="E28" s="13">
        <f t="shared" si="22"/>
        <v>19271</v>
      </c>
      <c r="F28" s="13">
        <f t="shared" si="22"/>
        <v>21134</v>
      </c>
      <c r="G28" s="13">
        <f t="shared" si="22"/>
        <v>22309</v>
      </c>
      <c r="H28" s="13">
        <f t="shared" si="22"/>
        <v>23573</v>
      </c>
      <c r="I28" s="13">
        <f t="shared" si="22"/>
        <v>25869</v>
      </c>
      <c r="J28" s="13">
        <f t="shared" si="22"/>
        <v>22992</v>
      </c>
      <c r="K28" s="13">
        <f t="shared" si="22"/>
        <v>19981</v>
      </c>
      <c r="L28" s="13">
        <f t="shared" si="22"/>
        <v>19939</v>
      </c>
      <c r="M28" s="13">
        <f t="shared" si="22"/>
        <v>19001</v>
      </c>
      <c r="N28" s="13">
        <f t="shared" si="22"/>
        <v>16934</v>
      </c>
      <c r="O28" s="13">
        <f t="shared" si="22"/>
        <v>16891</v>
      </c>
      <c r="P28" s="13">
        <f t="shared" si="22"/>
        <v>15438</v>
      </c>
      <c r="Q28" s="13">
        <f t="shared" si="22"/>
        <v>16707</v>
      </c>
      <c r="R28" s="13">
        <f t="shared" si="22"/>
        <v>15366</v>
      </c>
      <c r="S28" s="13">
        <f t="shared" si="22"/>
        <v>16952</v>
      </c>
      <c r="T28" s="13">
        <f t="shared" si="22"/>
        <v>16916</v>
      </c>
      <c r="U28" s="13">
        <f t="shared" si="22"/>
        <v>16250</v>
      </c>
      <c r="V28" s="13">
        <f t="shared" si="22"/>
        <v>16432</v>
      </c>
      <c r="W28" s="13">
        <f t="shared" ref="W28:Y28" si="23">SUM(W29:W31)</f>
        <v>20585</v>
      </c>
      <c r="X28" s="13">
        <f t="shared" si="23"/>
        <v>20981</v>
      </c>
      <c r="Y28" s="13">
        <f t="shared" si="23"/>
        <v>19683</v>
      </c>
      <c r="DA28" s="193" t="s">
        <v>212</v>
      </c>
    </row>
    <row r="29" spans="1:105" ht="11.45" customHeight="1" x14ac:dyDescent="0.25">
      <c r="A29" s="92" t="s">
        <v>27</v>
      </c>
      <c r="B29" s="102">
        <v>4445</v>
      </c>
      <c r="C29" s="102">
        <v>8078</v>
      </c>
      <c r="D29" s="102">
        <v>6841</v>
      </c>
      <c r="E29" s="102">
        <v>7599</v>
      </c>
      <c r="F29" s="102">
        <v>7411</v>
      </c>
      <c r="G29" s="102">
        <v>7117</v>
      </c>
      <c r="H29" s="102">
        <v>7135</v>
      </c>
      <c r="I29" s="102">
        <v>7707</v>
      </c>
      <c r="J29" s="102">
        <v>6728</v>
      </c>
      <c r="K29" s="102">
        <v>5912</v>
      </c>
      <c r="L29" s="102">
        <v>5601</v>
      </c>
      <c r="M29" s="102">
        <v>4908</v>
      </c>
      <c r="N29" s="102">
        <v>3903</v>
      </c>
      <c r="O29" s="102">
        <v>3649</v>
      </c>
      <c r="P29" s="102">
        <v>3156</v>
      </c>
      <c r="Q29" s="102">
        <v>3015</v>
      </c>
      <c r="R29" s="102">
        <v>2378</v>
      </c>
      <c r="S29" s="102">
        <v>2581</v>
      </c>
      <c r="T29" s="102">
        <v>2671</v>
      </c>
      <c r="U29" s="102">
        <v>2483</v>
      </c>
      <c r="V29" s="102">
        <v>2474</v>
      </c>
      <c r="W29" s="102">
        <v>3221</v>
      </c>
      <c r="X29" s="102">
        <v>3545</v>
      </c>
      <c r="Y29" s="102">
        <v>3283</v>
      </c>
      <c r="DA29" s="175" t="s">
        <v>213</v>
      </c>
    </row>
    <row r="30" spans="1:105" ht="11.45" customHeight="1" x14ac:dyDescent="0.25">
      <c r="A30" s="92" t="s">
        <v>181</v>
      </c>
      <c r="B30" s="102">
        <v>3957</v>
      </c>
      <c r="C30" s="102">
        <v>1798</v>
      </c>
      <c r="D30" s="102">
        <v>7237</v>
      </c>
      <c r="E30" s="102">
        <v>8228</v>
      </c>
      <c r="F30" s="102">
        <v>9943</v>
      </c>
      <c r="G30" s="102">
        <v>10562</v>
      </c>
      <c r="H30" s="102">
        <v>11216</v>
      </c>
      <c r="I30" s="102">
        <v>12253</v>
      </c>
      <c r="J30" s="102">
        <v>11188</v>
      </c>
      <c r="K30" s="102">
        <v>10274</v>
      </c>
      <c r="L30" s="102">
        <v>9456</v>
      </c>
      <c r="M30" s="102">
        <v>8650</v>
      </c>
      <c r="N30" s="102">
        <v>8143</v>
      </c>
      <c r="O30" s="102">
        <v>8188</v>
      </c>
      <c r="P30" s="102">
        <v>7436</v>
      </c>
      <c r="Q30" s="102">
        <v>8253</v>
      </c>
      <c r="R30" s="102">
        <v>7505</v>
      </c>
      <c r="S30" s="102">
        <v>8327</v>
      </c>
      <c r="T30" s="102">
        <v>8480</v>
      </c>
      <c r="U30" s="102">
        <v>8519</v>
      </c>
      <c r="V30" s="102">
        <v>9254</v>
      </c>
      <c r="W30" s="102">
        <v>11391</v>
      </c>
      <c r="X30" s="102">
        <v>11964</v>
      </c>
      <c r="Y30" s="102">
        <v>11037</v>
      </c>
      <c r="DA30" s="175" t="s">
        <v>214</v>
      </c>
    </row>
    <row r="31" spans="1:105" ht="11.45" customHeight="1" x14ac:dyDescent="0.25">
      <c r="A31" s="85" t="s">
        <v>182</v>
      </c>
      <c r="B31" s="86">
        <v>3757</v>
      </c>
      <c r="C31" s="86">
        <v>1112</v>
      </c>
      <c r="D31" s="86">
        <v>2948</v>
      </c>
      <c r="E31" s="86">
        <v>3444</v>
      </c>
      <c r="F31" s="86">
        <v>3780</v>
      </c>
      <c r="G31" s="86">
        <v>4630</v>
      </c>
      <c r="H31" s="86">
        <v>5222</v>
      </c>
      <c r="I31" s="86">
        <v>5909</v>
      </c>
      <c r="J31" s="86">
        <v>5076</v>
      </c>
      <c r="K31" s="86">
        <v>3795</v>
      </c>
      <c r="L31" s="86">
        <v>4882</v>
      </c>
      <c r="M31" s="86">
        <v>5443</v>
      </c>
      <c r="N31" s="86">
        <v>4888</v>
      </c>
      <c r="O31" s="86">
        <v>5054</v>
      </c>
      <c r="P31" s="86">
        <v>4846</v>
      </c>
      <c r="Q31" s="86">
        <v>5439</v>
      </c>
      <c r="R31" s="86">
        <v>5483</v>
      </c>
      <c r="S31" s="86">
        <v>6044</v>
      </c>
      <c r="T31" s="86">
        <v>5765</v>
      </c>
      <c r="U31" s="86">
        <v>5248</v>
      </c>
      <c r="V31" s="86">
        <v>4704</v>
      </c>
      <c r="W31" s="86">
        <v>5973</v>
      </c>
      <c r="X31" s="86">
        <v>5472</v>
      </c>
      <c r="Y31" s="86">
        <v>5363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45456208</v>
      </c>
      <c r="C34" s="11">
        <f t="shared" si="24"/>
        <v>42131116</v>
      </c>
      <c r="D34" s="11">
        <f t="shared" ref="D34:V34" si="25">SUM(D35:D37)</f>
        <v>42747581</v>
      </c>
      <c r="E34" s="11">
        <f t="shared" si="25"/>
        <v>48260141</v>
      </c>
      <c r="F34" s="11">
        <f t="shared" si="25"/>
        <v>52841777</v>
      </c>
      <c r="G34" s="11">
        <f t="shared" si="25"/>
        <v>56930658</v>
      </c>
      <c r="H34" s="11">
        <f t="shared" si="25"/>
        <v>61779519</v>
      </c>
      <c r="I34" s="11">
        <f t="shared" si="25"/>
        <v>69087547</v>
      </c>
      <c r="J34" s="11">
        <f t="shared" si="25"/>
        <v>66762208</v>
      </c>
      <c r="K34" s="11">
        <f t="shared" si="25"/>
        <v>65436752</v>
      </c>
      <c r="L34" s="11">
        <f t="shared" si="25"/>
        <v>69917134</v>
      </c>
      <c r="M34" s="11">
        <f t="shared" si="25"/>
        <v>74339012</v>
      </c>
      <c r="N34" s="11">
        <f t="shared" si="25"/>
        <v>73478692</v>
      </c>
      <c r="O34" s="11">
        <f t="shared" si="25"/>
        <v>72202989</v>
      </c>
      <c r="P34" s="11">
        <f t="shared" si="25"/>
        <v>73042430</v>
      </c>
      <c r="Q34" s="11">
        <f t="shared" si="25"/>
        <v>78663193</v>
      </c>
      <c r="R34" s="11">
        <f t="shared" si="25"/>
        <v>82315800</v>
      </c>
      <c r="S34" s="11">
        <f t="shared" si="25"/>
        <v>87631878</v>
      </c>
      <c r="T34" s="11">
        <f t="shared" si="25"/>
        <v>92901000</v>
      </c>
      <c r="U34" s="11">
        <f t="shared" si="25"/>
        <v>96787030</v>
      </c>
      <c r="V34" s="11">
        <f t="shared" si="25"/>
        <v>26568116</v>
      </c>
      <c r="W34" s="11">
        <f t="shared" ref="W34:Y34" si="26">SUM(W35:W37)</f>
        <v>40500407</v>
      </c>
      <c r="X34" s="11">
        <f t="shared" si="26"/>
        <v>82709888</v>
      </c>
      <c r="Y34" s="11">
        <f t="shared" si="26"/>
        <v>99023265</v>
      </c>
      <c r="DA34" s="189" t="s">
        <v>216</v>
      </c>
    </row>
    <row r="35" spans="1:105" ht="11.45" customHeight="1" x14ac:dyDescent="0.25">
      <c r="A35" s="83" t="s">
        <v>27</v>
      </c>
      <c r="B35" s="84">
        <v>22411911</v>
      </c>
      <c r="C35" s="84">
        <v>20854648</v>
      </c>
      <c r="D35" s="84">
        <v>21169358</v>
      </c>
      <c r="E35" s="84">
        <v>23589242</v>
      </c>
      <c r="F35" s="84">
        <v>23970828</v>
      </c>
      <c r="G35" s="84">
        <v>24574037</v>
      </c>
      <c r="H35" s="84">
        <v>26193117</v>
      </c>
      <c r="I35" s="84">
        <v>29316934</v>
      </c>
      <c r="J35" s="84">
        <v>28153555</v>
      </c>
      <c r="K35" s="84">
        <v>28479921</v>
      </c>
      <c r="L35" s="84">
        <v>30026052</v>
      </c>
      <c r="M35" s="84">
        <v>31962547</v>
      </c>
      <c r="N35" s="84">
        <v>30301382</v>
      </c>
      <c r="O35" s="84">
        <v>28498730</v>
      </c>
      <c r="P35" s="84">
        <v>27173907</v>
      </c>
      <c r="Q35" s="84">
        <v>29450127</v>
      </c>
      <c r="R35" s="84">
        <v>29964972</v>
      </c>
      <c r="S35" s="84">
        <v>30869150</v>
      </c>
      <c r="T35" s="84">
        <v>31891190</v>
      </c>
      <c r="U35" s="84">
        <v>32313592</v>
      </c>
      <c r="V35" s="84">
        <v>12530900</v>
      </c>
      <c r="W35" s="84">
        <v>21056132</v>
      </c>
      <c r="X35" s="84">
        <v>32159813</v>
      </c>
      <c r="Y35" s="84">
        <v>34282533</v>
      </c>
      <c r="DA35" s="171" t="s">
        <v>217</v>
      </c>
    </row>
    <row r="36" spans="1:105" ht="11.45" customHeight="1" x14ac:dyDescent="0.25">
      <c r="A36" s="83" t="s">
        <v>181</v>
      </c>
      <c r="B36" s="84">
        <v>17337330</v>
      </c>
      <c r="C36" s="84">
        <v>16050825</v>
      </c>
      <c r="D36" s="84">
        <v>16333493</v>
      </c>
      <c r="E36" s="84">
        <v>19247276</v>
      </c>
      <c r="F36" s="84">
        <v>21958235</v>
      </c>
      <c r="G36" s="84">
        <v>24812863</v>
      </c>
      <c r="H36" s="84">
        <v>27553083</v>
      </c>
      <c r="I36" s="84">
        <v>30716476</v>
      </c>
      <c r="J36" s="84">
        <v>29818583</v>
      </c>
      <c r="K36" s="84">
        <v>28443118</v>
      </c>
      <c r="L36" s="84">
        <v>30238680</v>
      </c>
      <c r="M36" s="84">
        <v>33010042</v>
      </c>
      <c r="N36" s="84">
        <v>33116833</v>
      </c>
      <c r="O36" s="84">
        <v>33268478</v>
      </c>
      <c r="P36" s="84">
        <v>35085402</v>
      </c>
      <c r="Q36" s="84">
        <v>38373486</v>
      </c>
      <c r="R36" s="84">
        <v>41234153</v>
      </c>
      <c r="S36" s="84">
        <v>44384639</v>
      </c>
      <c r="T36" s="84">
        <v>46926216</v>
      </c>
      <c r="U36" s="84">
        <v>49059019</v>
      </c>
      <c r="V36" s="84">
        <v>11044065</v>
      </c>
      <c r="W36" s="84">
        <v>15803900</v>
      </c>
      <c r="X36" s="84">
        <v>40867243</v>
      </c>
      <c r="Y36" s="84">
        <v>50078468</v>
      </c>
      <c r="DA36" s="171" t="s">
        <v>218</v>
      </c>
    </row>
    <row r="37" spans="1:105" ht="11.45" customHeight="1" x14ac:dyDescent="0.25">
      <c r="A37" s="83" t="s">
        <v>182</v>
      </c>
      <c r="B37" s="84">
        <v>5706967</v>
      </c>
      <c r="C37" s="84">
        <v>5225643</v>
      </c>
      <c r="D37" s="84">
        <v>5244730</v>
      </c>
      <c r="E37" s="84">
        <v>5423623</v>
      </c>
      <c r="F37" s="84">
        <v>6912714</v>
      </c>
      <c r="G37" s="84">
        <v>7543758</v>
      </c>
      <c r="H37" s="84">
        <v>8033319</v>
      </c>
      <c r="I37" s="84">
        <v>9054137</v>
      </c>
      <c r="J37" s="84">
        <v>8790070</v>
      </c>
      <c r="K37" s="84">
        <v>8513713</v>
      </c>
      <c r="L37" s="84">
        <v>9652402</v>
      </c>
      <c r="M37" s="84">
        <v>9366423</v>
      </c>
      <c r="N37" s="84">
        <v>10060477</v>
      </c>
      <c r="O37" s="84">
        <v>10435781</v>
      </c>
      <c r="P37" s="84">
        <v>10783121</v>
      </c>
      <c r="Q37" s="84">
        <v>10839580</v>
      </c>
      <c r="R37" s="84">
        <v>11116675</v>
      </c>
      <c r="S37" s="84">
        <v>12378089</v>
      </c>
      <c r="T37" s="84">
        <v>14083594</v>
      </c>
      <c r="U37" s="84">
        <v>15414419</v>
      </c>
      <c r="V37" s="84">
        <v>2993151</v>
      </c>
      <c r="W37" s="84">
        <v>3640375</v>
      </c>
      <c r="X37" s="84">
        <v>9682832</v>
      </c>
      <c r="Y37" s="84">
        <v>14662264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304413.19379793503</v>
      </c>
      <c r="C38" s="13">
        <f t="shared" si="27"/>
        <v>169644.00019278482</v>
      </c>
      <c r="D38" s="13">
        <f t="shared" ref="D38:V38" si="28">SUM(D39:D41)</f>
        <v>344367.12754389888</v>
      </c>
      <c r="E38" s="13">
        <f t="shared" si="28"/>
        <v>392192.50688351248</v>
      </c>
      <c r="F38" s="13">
        <f t="shared" si="28"/>
        <v>417337.00210692198</v>
      </c>
      <c r="G38" s="13">
        <f t="shared" si="28"/>
        <v>436644.29976307636</v>
      </c>
      <c r="H38" s="13">
        <f t="shared" si="28"/>
        <v>461883.3309730505</v>
      </c>
      <c r="I38" s="13">
        <f t="shared" si="28"/>
        <v>509985.82548477745</v>
      </c>
      <c r="J38" s="13">
        <f t="shared" si="28"/>
        <v>443517.62015973235</v>
      </c>
      <c r="K38" s="13">
        <f t="shared" si="28"/>
        <v>385236.76525653026</v>
      </c>
      <c r="L38" s="13">
        <f t="shared" si="28"/>
        <v>449455.53492312995</v>
      </c>
      <c r="M38" s="13">
        <f t="shared" si="28"/>
        <v>488089.31671263312</v>
      </c>
      <c r="N38" s="13">
        <f t="shared" si="28"/>
        <v>468202.59776546247</v>
      </c>
      <c r="O38" s="13">
        <f t="shared" si="28"/>
        <v>480615.25998249871</v>
      </c>
      <c r="P38" s="13">
        <f t="shared" si="28"/>
        <v>499872.31225487869</v>
      </c>
      <c r="Q38" s="13">
        <f t="shared" si="28"/>
        <v>552827.41756622423</v>
      </c>
      <c r="R38" s="13">
        <f t="shared" si="28"/>
        <v>595439.05169445695</v>
      </c>
      <c r="S38" s="13">
        <f t="shared" si="28"/>
        <v>640769.12689280848</v>
      </c>
      <c r="T38" s="13">
        <f t="shared" si="28"/>
        <v>625456.69722596847</v>
      </c>
      <c r="U38" s="13">
        <f t="shared" si="28"/>
        <v>602793.49499947508</v>
      </c>
      <c r="V38" s="13">
        <f t="shared" si="28"/>
        <v>436965.23187184718</v>
      </c>
      <c r="W38" s="13">
        <f t="shared" ref="W38:Y38" si="29">SUM(W39:W41)</f>
        <v>569932.87037831126</v>
      </c>
      <c r="X38" s="13">
        <f t="shared" si="29"/>
        <v>597938.40202290611</v>
      </c>
      <c r="Y38" s="13">
        <f t="shared" si="29"/>
        <v>585125.9676188078</v>
      </c>
      <c r="DA38" s="193" t="s">
        <v>220</v>
      </c>
    </row>
    <row r="39" spans="1:105" ht="11.45" customHeight="1" x14ac:dyDescent="0.25">
      <c r="A39" s="92" t="s">
        <v>27</v>
      </c>
      <c r="B39" s="102">
        <v>44553.499875505811</v>
      </c>
      <c r="C39" s="102">
        <v>80350.609245611719</v>
      </c>
      <c r="D39" s="102">
        <v>69973.981377485979</v>
      </c>
      <c r="E39" s="102">
        <v>82677.958939878081</v>
      </c>
      <c r="F39" s="102">
        <v>75927.853157993552</v>
      </c>
      <c r="G39" s="102">
        <v>71357.793148499462</v>
      </c>
      <c r="H39" s="102">
        <v>68812.048625478696</v>
      </c>
      <c r="I39" s="102">
        <v>74052.605841452911</v>
      </c>
      <c r="J39" s="102">
        <v>62195.342258842866</v>
      </c>
      <c r="K39" s="102">
        <v>55124.078217993389</v>
      </c>
      <c r="L39" s="102">
        <v>55857.054890790809</v>
      </c>
      <c r="M39" s="102">
        <v>53474.805871837321</v>
      </c>
      <c r="N39" s="102">
        <v>43679.765398630763</v>
      </c>
      <c r="O39" s="102">
        <v>41863.541328600128</v>
      </c>
      <c r="P39" s="102">
        <v>40608.558289064764</v>
      </c>
      <c r="Q39" s="102">
        <v>39919.500341322229</v>
      </c>
      <c r="R39" s="102">
        <v>36291.19353553508</v>
      </c>
      <c r="S39" s="102">
        <v>36230.548196926087</v>
      </c>
      <c r="T39" s="102">
        <v>38162.635525614191</v>
      </c>
      <c r="U39" s="102">
        <v>39239.864010296129</v>
      </c>
      <c r="V39" s="102">
        <v>36035.169670671043</v>
      </c>
      <c r="W39" s="102">
        <v>47457.85139622225</v>
      </c>
      <c r="X39" s="102">
        <v>52831.609065391007</v>
      </c>
      <c r="Y39" s="102">
        <v>48559.981458108334</v>
      </c>
      <c r="DA39" s="175" t="s">
        <v>221</v>
      </c>
    </row>
    <row r="40" spans="1:105" ht="11.45" customHeight="1" x14ac:dyDescent="0.25">
      <c r="A40" s="92" t="s">
        <v>181</v>
      </c>
      <c r="B40" s="102">
        <v>63976.015327812747</v>
      </c>
      <c r="C40" s="102">
        <v>29392.862140880956</v>
      </c>
      <c r="D40" s="102">
        <v>118434.54665814755</v>
      </c>
      <c r="E40" s="102">
        <v>141700.12026089596</v>
      </c>
      <c r="F40" s="102">
        <v>159743.71327128919</v>
      </c>
      <c r="G40" s="102">
        <v>160568.55039288566</v>
      </c>
      <c r="H40" s="102">
        <v>157224.18139885733</v>
      </c>
      <c r="I40" s="102">
        <v>168930.19661954307</v>
      </c>
      <c r="J40" s="102">
        <v>153343.28198110641</v>
      </c>
      <c r="K40" s="102">
        <v>140742.43956871328</v>
      </c>
      <c r="L40" s="102">
        <v>137157.14709117578</v>
      </c>
      <c r="M40" s="102">
        <v>134888.02195076909</v>
      </c>
      <c r="N40" s="102">
        <v>135729.74251718778</v>
      </c>
      <c r="O40" s="102">
        <v>137206.3699183969</v>
      </c>
      <c r="P40" s="102">
        <v>137189.83267854928</v>
      </c>
      <c r="Q40" s="102">
        <v>152495.68692724759</v>
      </c>
      <c r="R40" s="102">
        <v>156463.635119688</v>
      </c>
      <c r="S40" s="102">
        <v>161356.65221613596</v>
      </c>
      <c r="T40" s="102">
        <v>163031.91094469503</v>
      </c>
      <c r="U40" s="102">
        <v>167846.43762360665</v>
      </c>
      <c r="V40" s="102">
        <v>163245.24358347876</v>
      </c>
      <c r="W40" s="102">
        <v>202399.79605055647</v>
      </c>
      <c r="X40" s="102">
        <v>214041.6324930072</v>
      </c>
      <c r="Y40" s="102">
        <v>198335.30105477339</v>
      </c>
      <c r="DA40" s="175" t="s">
        <v>222</v>
      </c>
    </row>
    <row r="41" spans="1:105" ht="11.45" customHeight="1" x14ac:dyDescent="0.25">
      <c r="A41" s="85" t="s">
        <v>182</v>
      </c>
      <c r="B41" s="86">
        <v>195883.67859461645</v>
      </c>
      <c r="C41" s="86">
        <v>59900.528806292154</v>
      </c>
      <c r="D41" s="86">
        <v>155958.59950826538</v>
      </c>
      <c r="E41" s="86">
        <v>167814.42768273849</v>
      </c>
      <c r="F41" s="86">
        <v>181665.43567763924</v>
      </c>
      <c r="G41" s="86">
        <v>204717.95622169119</v>
      </c>
      <c r="H41" s="86">
        <v>235847.10094871448</v>
      </c>
      <c r="I41" s="86">
        <v>267003.02302378148</v>
      </c>
      <c r="J41" s="86">
        <v>227978.99591978308</v>
      </c>
      <c r="K41" s="86">
        <v>189370.24746982357</v>
      </c>
      <c r="L41" s="86">
        <v>256441.33294116339</v>
      </c>
      <c r="M41" s="86">
        <v>299726.4888900267</v>
      </c>
      <c r="N41" s="86">
        <v>288793.08984964393</v>
      </c>
      <c r="O41" s="86">
        <v>301545.3487355017</v>
      </c>
      <c r="P41" s="86">
        <v>322073.92128726462</v>
      </c>
      <c r="Q41" s="86">
        <v>360412.2302976544</v>
      </c>
      <c r="R41" s="86">
        <v>402684.22303923382</v>
      </c>
      <c r="S41" s="86">
        <v>443181.92647974641</v>
      </c>
      <c r="T41" s="86">
        <v>424262.15075565927</v>
      </c>
      <c r="U41" s="86">
        <v>395707.19336557225</v>
      </c>
      <c r="V41" s="86">
        <v>237684.8186176974</v>
      </c>
      <c r="W41" s="86">
        <v>320075.22293153248</v>
      </c>
      <c r="X41" s="86">
        <v>331065.16046450782</v>
      </c>
      <c r="Y41" s="86">
        <v>338230.68510592607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429.21996472357785</v>
      </c>
      <c r="C43" s="54">
        <f t="shared" si="30"/>
        <v>395.91868436467269</v>
      </c>
      <c r="D43" s="54">
        <f t="shared" ref="D43:V43" si="31">SUM(D44,D48)</f>
        <v>398.52926637976526</v>
      </c>
      <c r="E43" s="54">
        <f t="shared" si="31"/>
        <v>464.79753692157038</v>
      </c>
      <c r="F43" s="54">
        <f t="shared" si="31"/>
        <v>489.37278337867826</v>
      </c>
      <c r="G43" s="54">
        <f t="shared" si="31"/>
        <v>519.67309014655257</v>
      </c>
      <c r="H43" s="54">
        <f t="shared" si="31"/>
        <v>546.56567685085906</v>
      </c>
      <c r="I43" s="54">
        <f t="shared" si="31"/>
        <v>604.67766735242503</v>
      </c>
      <c r="J43" s="54">
        <f t="shared" si="31"/>
        <v>571.39448372831566</v>
      </c>
      <c r="K43" s="54">
        <f t="shared" si="31"/>
        <v>543.31557986644782</v>
      </c>
      <c r="L43" s="54">
        <f t="shared" si="31"/>
        <v>558.42409219128047</v>
      </c>
      <c r="M43" s="54">
        <f t="shared" si="31"/>
        <v>560.08476794690387</v>
      </c>
      <c r="N43" s="54">
        <f t="shared" si="31"/>
        <v>545.96132963031778</v>
      </c>
      <c r="O43" s="54">
        <f t="shared" si="31"/>
        <v>521.25184782598046</v>
      </c>
      <c r="P43" s="54">
        <f t="shared" si="31"/>
        <v>516.38594619522814</v>
      </c>
      <c r="Q43" s="54">
        <f t="shared" si="31"/>
        <v>538.14621498758606</v>
      </c>
      <c r="R43" s="54">
        <f t="shared" si="31"/>
        <v>559.98020988232122</v>
      </c>
      <c r="S43" s="54">
        <f t="shared" si="31"/>
        <v>584.83995330668131</v>
      </c>
      <c r="T43" s="54">
        <f t="shared" si="31"/>
        <v>620.02226805850273</v>
      </c>
      <c r="U43" s="54">
        <f t="shared" si="31"/>
        <v>647.20813997641596</v>
      </c>
      <c r="V43" s="54">
        <f t="shared" si="31"/>
        <v>626.79752432389421</v>
      </c>
      <c r="W43" s="54">
        <f t="shared" ref="W43:Y43" si="32">SUM(W44,W48)</f>
        <v>610.86481148714552</v>
      </c>
      <c r="X43" s="54">
        <f t="shared" si="32"/>
        <v>616.34385701402971</v>
      </c>
      <c r="Y43" s="54">
        <f t="shared" si="32"/>
        <v>638.50362571371522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411.57717289484003</v>
      </c>
      <c r="C44" s="11">
        <f t="shared" si="33"/>
        <v>376.96976509230268</v>
      </c>
      <c r="D44" s="11">
        <f t="shared" ref="D44:V44" si="34">SUM(D45:D47)</f>
        <v>377.57277028278889</v>
      </c>
      <c r="E44" s="11">
        <f t="shared" si="34"/>
        <v>441.79383281781668</v>
      </c>
      <c r="F44" s="11">
        <f t="shared" si="34"/>
        <v>463.98584852736843</v>
      </c>
      <c r="G44" s="11">
        <f t="shared" si="34"/>
        <v>491.82990338772458</v>
      </c>
      <c r="H44" s="11">
        <f t="shared" si="34"/>
        <v>516.2085811107554</v>
      </c>
      <c r="I44" s="11">
        <f t="shared" si="34"/>
        <v>570.70401419366181</v>
      </c>
      <c r="J44" s="11">
        <f t="shared" si="34"/>
        <v>539.18510975242623</v>
      </c>
      <c r="K44" s="11">
        <f t="shared" si="34"/>
        <v>512.87048507343218</v>
      </c>
      <c r="L44" s="11">
        <f t="shared" si="34"/>
        <v>529.07742056828977</v>
      </c>
      <c r="M44" s="11">
        <f t="shared" si="34"/>
        <v>530.37863776525148</v>
      </c>
      <c r="N44" s="11">
        <f t="shared" si="34"/>
        <v>518.00923250566666</v>
      </c>
      <c r="O44" s="11">
        <f t="shared" si="34"/>
        <v>494.74272073940762</v>
      </c>
      <c r="P44" s="11">
        <f t="shared" si="34"/>
        <v>490.47550221210969</v>
      </c>
      <c r="Q44" s="11">
        <f t="shared" si="34"/>
        <v>510.47155363869524</v>
      </c>
      <c r="R44" s="11">
        <f t="shared" si="34"/>
        <v>532.14748024778999</v>
      </c>
      <c r="S44" s="11">
        <f t="shared" si="34"/>
        <v>555.21581800756792</v>
      </c>
      <c r="T44" s="11">
        <f t="shared" si="34"/>
        <v>591.26710168438717</v>
      </c>
      <c r="U44" s="11">
        <f t="shared" si="34"/>
        <v>619.06953842078451</v>
      </c>
      <c r="V44" s="11">
        <f t="shared" si="34"/>
        <v>598.49067977604261</v>
      </c>
      <c r="W44" s="11">
        <f t="shared" ref="W44:Y44" si="35">SUM(W45:W47)</f>
        <v>577.9118211313006</v>
      </c>
      <c r="X44" s="11">
        <f t="shared" si="35"/>
        <v>583.18834612369824</v>
      </c>
      <c r="Y44" s="11">
        <f t="shared" si="35"/>
        <v>606.19444294791163</v>
      </c>
      <c r="DA44" s="189" t="s">
        <v>225</v>
      </c>
    </row>
    <row r="45" spans="1:105" ht="11.45" customHeight="1" x14ac:dyDescent="0.25">
      <c r="A45" s="83" t="s">
        <v>27</v>
      </c>
      <c r="B45" s="84">
        <v>143.29121164846595</v>
      </c>
      <c r="C45" s="84">
        <v>132.02288091523661</v>
      </c>
      <c r="D45" s="84">
        <v>132.38013520540821</v>
      </c>
      <c r="E45" s="84">
        <v>150.62870514820594</v>
      </c>
      <c r="F45" s="84">
        <v>146.26365054602184</v>
      </c>
      <c r="G45" s="84">
        <v>145.74690721649483</v>
      </c>
      <c r="H45" s="84">
        <v>154.34362139917695</v>
      </c>
      <c r="I45" s="84">
        <v>171.92434379825013</v>
      </c>
      <c r="J45" s="84">
        <v>160.13043478260869</v>
      </c>
      <c r="K45" s="84">
        <v>158.79024646040901</v>
      </c>
      <c r="L45" s="84">
        <v>158.03055848261329</v>
      </c>
      <c r="M45" s="84">
        <v>157.75708289611751</v>
      </c>
      <c r="N45" s="84">
        <v>146.58433420365535</v>
      </c>
      <c r="O45" s="84">
        <v>132.86192468619248</v>
      </c>
      <c r="P45" s="84">
        <v>122.10994764397905</v>
      </c>
      <c r="Q45" s="84">
        <v>126.16779572694111</v>
      </c>
      <c r="R45" s="84">
        <v>127.14752370916754</v>
      </c>
      <c r="S45" s="84">
        <v>130.16029723991508</v>
      </c>
      <c r="T45" s="84">
        <v>132.41880341880341</v>
      </c>
      <c r="U45" s="84">
        <v>135.59376679204729</v>
      </c>
      <c r="V45" s="84">
        <v>128.429206209624</v>
      </c>
      <c r="W45" s="84">
        <v>121.26464562720071</v>
      </c>
      <c r="X45" s="84">
        <v>136.45539647577093</v>
      </c>
      <c r="Y45" s="84">
        <v>139.07080610021785</v>
      </c>
      <c r="DA45" s="171" t="s">
        <v>226</v>
      </c>
    </row>
    <row r="46" spans="1:105" ht="11.45" customHeight="1" x14ac:dyDescent="0.25">
      <c r="A46" s="83" t="s">
        <v>181</v>
      </c>
      <c r="B46" s="84">
        <v>170.15230969506143</v>
      </c>
      <c r="C46" s="84">
        <v>155.35022546584889</v>
      </c>
      <c r="D46" s="84">
        <v>155.50528424205851</v>
      </c>
      <c r="E46" s="84">
        <v>188.73792003237924</v>
      </c>
      <c r="F46" s="84">
        <v>197.01575406726542</v>
      </c>
      <c r="G46" s="84">
        <v>213.90666206450126</v>
      </c>
      <c r="H46" s="84">
        <v>223.41187046672715</v>
      </c>
      <c r="I46" s="84">
        <v>247.03700673852683</v>
      </c>
      <c r="J46" s="84">
        <v>232.4748996889187</v>
      </c>
      <c r="K46" s="84">
        <v>215.90924294202753</v>
      </c>
      <c r="L46" s="84">
        <v>221.99189379815004</v>
      </c>
      <c r="M46" s="84">
        <v>225.5030203863754</v>
      </c>
      <c r="N46" s="84">
        <v>220.07331935464299</v>
      </c>
      <c r="O46" s="84">
        <v>210.61290239268345</v>
      </c>
      <c r="P46" s="84">
        <v>215.34680456813061</v>
      </c>
      <c r="Q46" s="84">
        <v>230.51058093947265</v>
      </c>
      <c r="R46" s="84">
        <v>246.20082046950799</v>
      </c>
      <c r="S46" s="84">
        <v>254.23262659918632</v>
      </c>
      <c r="T46" s="84">
        <v>264.39140171385969</v>
      </c>
      <c r="U46" s="84">
        <v>271.5783917160735</v>
      </c>
      <c r="V46" s="84">
        <v>263.07077623132051</v>
      </c>
      <c r="W46" s="84">
        <v>254.56316074656741</v>
      </c>
      <c r="X46" s="84">
        <v>249.55561746796045</v>
      </c>
      <c r="Y46" s="84">
        <v>274.85298724529252</v>
      </c>
      <c r="DA46" s="171" t="s">
        <v>227</v>
      </c>
    </row>
    <row r="47" spans="1:105" ht="11.45" customHeight="1" x14ac:dyDescent="0.25">
      <c r="A47" s="83" t="s">
        <v>182</v>
      </c>
      <c r="B47" s="84">
        <v>98.133651551312653</v>
      </c>
      <c r="C47" s="84">
        <v>89.596658711217188</v>
      </c>
      <c r="D47" s="84">
        <v>89.687350835322192</v>
      </c>
      <c r="E47" s="84">
        <v>102.4272076372315</v>
      </c>
      <c r="F47" s="84">
        <v>120.70644391408115</v>
      </c>
      <c r="G47" s="84">
        <v>132.17633410672855</v>
      </c>
      <c r="H47" s="84">
        <v>138.45308924485127</v>
      </c>
      <c r="I47" s="84">
        <v>151.74266365688487</v>
      </c>
      <c r="J47" s="84">
        <v>146.57977528089887</v>
      </c>
      <c r="K47" s="84">
        <v>138.17099567099567</v>
      </c>
      <c r="L47" s="84">
        <v>149.05496828752644</v>
      </c>
      <c r="M47" s="84">
        <v>147.11853448275863</v>
      </c>
      <c r="N47" s="84">
        <v>151.35157894736841</v>
      </c>
      <c r="O47" s="84">
        <v>151.26789366053168</v>
      </c>
      <c r="P47" s="84">
        <v>153.01875000000001</v>
      </c>
      <c r="Q47" s="84">
        <v>153.79317697228146</v>
      </c>
      <c r="R47" s="84">
        <v>158.79913606911447</v>
      </c>
      <c r="S47" s="84">
        <v>170.82289416846652</v>
      </c>
      <c r="T47" s="84">
        <v>194.45689655172413</v>
      </c>
      <c r="U47" s="84">
        <v>211.89737991266375</v>
      </c>
      <c r="V47" s="84">
        <v>206.9906973350981</v>
      </c>
      <c r="W47" s="84">
        <v>202.08401475753249</v>
      </c>
      <c r="X47" s="84">
        <v>197.17733217996687</v>
      </c>
      <c r="Y47" s="84">
        <v>192.27064960240125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17.642791828737792</v>
      </c>
      <c r="C48" s="13">
        <f t="shared" si="36"/>
        <v>18.948919272370034</v>
      </c>
      <c r="D48" s="13">
        <f t="shared" ref="D48:V48" si="37">SUM(D49:D51)</f>
        <v>20.956496096976387</v>
      </c>
      <c r="E48" s="13">
        <f t="shared" si="37"/>
        <v>23.00370410375368</v>
      </c>
      <c r="F48" s="13">
        <f t="shared" si="37"/>
        <v>25.386934851309846</v>
      </c>
      <c r="G48" s="13">
        <f t="shared" si="37"/>
        <v>27.843186758828033</v>
      </c>
      <c r="H48" s="13">
        <f t="shared" si="37"/>
        <v>30.357095740103652</v>
      </c>
      <c r="I48" s="13">
        <f t="shared" si="37"/>
        <v>33.97365315876317</v>
      </c>
      <c r="J48" s="13">
        <f t="shared" si="37"/>
        <v>32.209373975889385</v>
      </c>
      <c r="K48" s="13">
        <f t="shared" si="37"/>
        <v>30.44509479301561</v>
      </c>
      <c r="L48" s="13">
        <f t="shared" si="37"/>
        <v>29.346671622990733</v>
      </c>
      <c r="M48" s="13">
        <f t="shared" si="37"/>
        <v>29.706130181652398</v>
      </c>
      <c r="N48" s="13">
        <f t="shared" si="37"/>
        <v>27.952097124651111</v>
      </c>
      <c r="O48" s="13">
        <f t="shared" si="37"/>
        <v>26.509127086572803</v>
      </c>
      <c r="P48" s="13">
        <f t="shared" si="37"/>
        <v>25.910443983118491</v>
      </c>
      <c r="Q48" s="13">
        <f t="shared" si="37"/>
        <v>27.674661348890776</v>
      </c>
      <c r="R48" s="13">
        <f t="shared" si="37"/>
        <v>27.832729634531226</v>
      </c>
      <c r="S48" s="13">
        <f t="shared" si="37"/>
        <v>29.624135299113391</v>
      </c>
      <c r="T48" s="13">
        <f t="shared" si="37"/>
        <v>28.755166374115618</v>
      </c>
      <c r="U48" s="13">
        <f t="shared" si="37"/>
        <v>28.138601555631503</v>
      </c>
      <c r="V48" s="13">
        <f t="shared" si="37"/>
        <v>28.306844547851579</v>
      </c>
      <c r="W48" s="13">
        <f t="shared" ref="W48:Y48" si="38">SUM(W49:W51)</f>
        <v>32.952990355844925</v>
      </c>
      <c r="X48" s="13">
        <f t="shared" si="38"/>
        <v>33.155510890331435</v>
      </c>
      <c r="Y48" s="13">
        <f t="shared" si="38"/>
        <v>32.309182765803598</v>
      </c>
      <c r="DA48" s="193" t="s">
        <v>229</v>
      </c>
    </row>
    <row r="49" spans="1:105" ht="11.45" customHeight="1" x14ac:dyDescent="0.25">
      <c r="A49" s="92" t="s">
        <v>27</v>
      </c>
      <c r="B49" s="102">
        <v>3.3471385542168677</v>
      </c>
      <c r="C49" s="102">
        <v>6.0828313253012052</v>
      </c>
      <c r="D49" s="102">
        <v>5.7481174698795181</v>
      </c>
      <c r="E49" s="102">
        <v>5.7221385542168672</v>
      </c>
      <c r="F49" s="102">
        <v>5.5805722891566267</v>
      </c>
      <c r="G49" s="102">
        <v>5.3270958083832332</v>
      </c>
      <c r="H49" s="102">
        <v>5.3445692883895131</v>
      </c>
      <c r="I49" s="102">
        <v>5.7903831705484601</v>
      </c>
      <c r="J49" s="102">
        <v>5.455669315126773</v>
      </c>
      <c r="K49" s="102">
        <v>5.1209554597050859</v>
      </c>
      <c r="L49" s="102">
        <v>4.7862416042833988</v>
      </c>
      <c r="M49" s="102">
        <v>4.4515277488617118</v>
      </c>
      <c r="N49" s="102">
        <v>4.1168138934400247</v>
      </c>
      <c r="O49" s="102">
        <v>3.7821000380183381</v>
      </c>
      <c r="P49" s="102">
        <v>3.4473861825966514</v>
      </c>
      <c r="Q49" s="102">
        <v>3.1126723271749648</v>
      </c>
      <c r="R49" s="102">
        <v>2.7779584717532781</v>
      </c>
      <c r="S49" s="102">
        <v>2.4432446163315915</v>
      </c>
      <c r="T49" s="102">
        <v>2.1085307609099049</v>
      </c>
      <c r="U49" s="102">
        <v>1.9659540775930324</v>
      </c>
      <c r="V49" s="102">
        <v>1.9951612903225806</v>
      </c>
      <c r="W49" s="102">
        <v>2.6208299430431246</v>
      </c>
      <c r="X49" s="102">
        <v>2.8473895582329316</v>
      </c>
      <c r="Y49" s="102">
        <v>2.6800326305220881</v>
      </c>
      <c r="DA49" s="175" t="s">
        <v>230</v>
      </c>
    </row>
    <row r="50" spans="1:105" ht="11.45" customHeight="1" x14ac:dyDescent="0.25">
      <c r="A50" s="92" t="s">
        <v>181</v>
      </c>
      <c r="B50" s="102">
        <v>3.682658924238436</v>
      </c>
      <c r="C50" s="102">
        <v>3.3143930318145931</v>
      </c>
      <c r="D50" s="102">
        <v>6.7179831468708811</v>
      </c>
      <c r="E50" s="102">
        <v>7.5527519902147775</v>
      </c>
      <c r="F50" s="102">
        <v>9.128396460458303</v>
      </c>
      <c r="G50" s="102">
        <v>9.7260357018260137</v>
      </c>
      <c r="H50" s="102">
        <v>10.343987125871443</v>
      </c>
      <c r="I50" s="102">
        <v>11.348512153456872</v>
      </c>
      <c r="J50" s="102">
        <v>10.980246261033029</v>
      </c>
      <c r="K50" s="102">
        <v>10.611980368609185</v>
      </c>
      <c r="L50" s="102">
        <v>10.243714476185341</v>
      </c>
      <c r="M50" s="102">
        <v>9.8788962181014206</v>
      </c>
      <c r="N50" s="102">
        <v>9.5208764515500697</v>
      </c>
      <c r="O50" s="102">
        <v>9.1774291933265815</v>
      </c>
      <c r="P50" s="102">
        <v>8.8123535751697233</v>
      </c>
      <c r="Q50" s="102">
        <v>8.4702730453844506</v>
      </c>
      <c r="R50" s="102">
        <v>8.1319316566051114</v>
      </c>
      <c r="S50" s="102">
        <v>7.9324830394696964</v>
      </c>
      <c r="T50" s="102">
        <v>7.7449962689434146</v>
      </c>
      <c r="U50" s="102">
        <v>7.6284778667310515</v>
      </c>
      <c r="V50" s="102">
        <v>8.2981633637357017</v>
      </c>
      <c r="W50" s="102">
        <v>10.422160412801801</v>
      </c>
      <c r="X50" s="102">
        <v>10.928771049612626</v>
      </c>
      <c r="Y50" s="102">
        <v>10.780449570309759</v>
      </c>
      <c r="DA50" s="175" t="s">
        <v>231</v>
      </c>
    </row>
    <row r="51" spans="1:105" ht="11.45" customHeight="1" x14ac:dyDescent="0.25">
      <c r="A51" s="85" t="s">
        <v>182</v>
      </c>
      <c r="B51" s="86">
        <v>10.612994350282486</v>
      </c>
      <c r="C51" s="86">
        <v>9.5516949152542381</v>
      </c>
      <c r="D51" s="86">
        <v>8.49039548022599</v>
      </c>
      <c r="E51" s="86">
        <v>9.7288135593220346</v>
      </c>
      <c r="F51" s="86">
        <v>10.677966101694915</v>
      </c>
      <c r="G51" s="86">
        <v>12.790055248618785</v>
      </c>
      <c r="H51" s="86">
        <v>14.668539325842696</v>
      </c>
      <c r="I51" s="86">
        <v>16.834757834757834</v>
      </c>
      <c r="J51" s="86">
        <v>15.773458399729586</v>
      </c>
      <c r="K51" s="86">
        <v>14.712158964701338</v>
      </c>
      <c r="L51" s="86">
        <v>14.316715542521994</v>
      </c>
      <c r="M51" s="86">
        <v>15.375706214689265</v>
      </c>
      <c r="N51" s="86">
        <v>14.314406779661017</v>
      </c>
      <c r="O51" s="86">
        <v>13.549597855227882</v>
      </c>
      <c r="P51" s="86">
        <v>13.650704225352113</v>
      </c>
      <c r="Q51" s="86">
        <v>16.091715976331361</v>
      </c>
      <c r="R51" s="86">
        <v>16.922839506172838</v>
      </c>
      <c r="S51" s="86">
        <v>19.248407643312103</v>
      </c>
      <c r="T51" s="86">
        <v>18.901639344262296</v>
      </c>
      <c r="U51" s="86">
        <v>18.544169611307421</v>
      </c>
      <c r="V51" s="86">
        <v>18.013519893793298</v>
      </c>
      <c r="W51" s="86">
        <v>19.91</v>
      </c>
      <c r="X51" s="86">
        <v>19.379350282485877</v>
      </c>
      <c r="Y51" s="86">
        <v>18.848700564971754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40.694664631764965</v>
      </c>
      <c r="C53" s="54">
        <f t="shared" si="39"/>
        <v>2.9384538152613371</v>
      </c>
      <c r="D53" s="54">
        <f t="shared" ref="D53:V53" si="40">SUM(D54,D58)</f>
        <v>16.694817457237384</v>
      </c>
      <c r="E53" s="54">
        <f t="shared" si="40"/>
        <v>79.512845638906398</v>
      </c>
      <c r="F53" s="54">
        <f t="shared" si="40"/>
        <v>37.973288903813739</v>
      </c>
      <c r="G53" s="54">
        <f t="shared" si="40"/>
        <v>43.559599835769617</v>
      </c>
      <c r="H53" s="54">
        <f t="shared" si="40"/>
        <v>41.922544783867991</v>
      </c>
      <c r="I53" s="54">
        <f t="shared" si="40"/>
        <v>71.310446647054619</v>
      </c>
      <c r="J53" s="54">
        <f t="shared" si="40"/>
        <v>8.2824350594288276E-2</v>
      </c>
      <c r="K53" s="54">
        <f t="shared" si="40"/>
        <v>3.0605743749753174</v>
      </c>
      <c r="L53" s="54">
        <f t="shared" si="40"/>
        <v>30.568527444898777</v>
      </c>
      <c r="M53" s="54">
        <f t="shared" si="40"/>
        <v>15.259442137847035</v>
      </c>
      <c r="N53" s="54">
        <f t="shared" si="40"/>
        <v>10.637039682597829</v>
      </c>
      <c r="O53" s="54">
        <f t="shared" si="40"/>
        <v>3.1305898520758095</v>
      </c>
      <c r="P53" s="54">
        <f t="shared" si="40"/>
        <v>15.08433645658268</v>
      </c>
      <c r="Q53" s="54">
        <f t="shared" si="40"/>
        <v>35.336297446282742</v>
      </c>
      <c r="R53" s="54">
        <f t="shared" si="40"/>
        <v>35.406460437519385</v>
      </c>
      <c r="S53" s="54">
        <f t="shared" si="40"/>
        <v>38.672954006683753</v>
      </c>
      <c r="T53" s="54">
        <f t="shared" si="40"/>
        <v>48.73202328614331</v>
      </c>
      <c r="U53" s="54">
        <f t="shared" si="40"/>
        <v>40.716445462437413</v>
      </c>
      <c r="V53" s="54">
        <f t="shared" si="40"/>
        <v>1.0155859637976559</v>
      </c>
      <c r="W53" s="54">
        <f t="shared" ref="W53:Y53" si="41">SUM(W54,W58)</f>
        <v>5.2974337084696375</v>
      </c>
      <c r="X53" s="54">
        <f t="shared" si="41"/>
        <v>23.855374063607872</v>
      </c>
      <c r="Y53" s="54">
        <f t="shared" si="41"/>
        <v>37.543441273125865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37.829295731117334</v>
      </c>
      <c r="C54" s="11">
        <f t="shared" si="42"/>
        <v>0</v>
      </c>
      <c r="D54" s="11">
        <f t="shared" ref="D54:V54" si="43">SUM(D55:D57)</f>
        <v>13.168664026896181</v>
      </c>
      <c r="E54" s="11">
        <f t="shared" si="43"/>
        <v>76.786721371437764</v>
      </c>
      <c r="F54" s="11">
        <f t="shared" si="43"/>
        <v>34.949395808618419</v>
      </c>
      <c r="G54" s="11">
        <f t="shared" si="43"/>
        <v>40.409713696766232</v>
      </c>
      <c r="H54" s="11">
        <f t="shared" si="43"/>
        <v>38.777005160180373</v>
      </c>
      <c r="I54" s="11">
        <f t="shared" si="43"/>
        <v>67.061091919316439</v>
      </c>
      <c r="J54" s="11">
        <f t="shared" si="43"/>
        <v>8.2824350594288276E-2</v>
      </c>
      <c r="K54" s="11">
        <f t="shared" si="43"/>
        <v>3.0605743749753174</v>
      </c>
      <c r="L54" s="11">
        <f t="shared" si="43"/>
        <v>30.568527444898777</v>
      </c>
      <c r="M54" s="11">
        <f t="shared" si="43"/>
        <v>13.882061635171764</v>
      </c>
      <c r="N54" s="11">
        <f t="shared" si="43"/>
        <v>10.637039682597829</v>
      </c>
      <c r="O54" s="11">
        <f t="shared" si="43"/>
        <v>3.1166880987667032</v>
      </c>
      <c r="P54" s="11">
        <f t="shared" si="43"/>
        <v>14.664840255950448</v>
      </c>
      <c r="Q54" s="11">
        <f t="shared" si="43"/>
        <v>32.576895864795496</v>
      </c>
      <c r="R54" s="11">
        <f t="shared" si="43"/>
        <v>34.256771047304753</v>
      </c>
      <c r="S54" s="11">
        <f t="shared" si="43"/>
        <v>35.941062714531554</v>
      </c>
      <c r="T54" s="11">
        <f t="shared" si="43"/>
        <v>48.632128115029246</v>
      </c>
      <c r="U54" s="11">
        <f t="shared" si="43"/>
        <v>40.515746475424272</v>
      </c>
      <c r="V54" s="11">
        <f t="shared" si="43"/>
        <v>0</v>
      </c>
      <c r="W54" s="11">
        <f t="shared" ref="W54:Y54" si="44">SUM(W55:W57)</f>
        <v>0</v>
      </c>
      <c r="X54" s="11">
        <f t="shared" si="44"/>
        <v>22.80862966636991</v>
      </c>
      <c r="Y54" s="11">
        <f t="shared" si="44"/>
        <v>37.491882947814943</v>
      </c>
      <c r="DA54" s="189" t="s">
        <v>234</v>
      </c>
    </row>
    <row r="55" spans="1:105" ht="11.45" customHeight="1" x14ac:dyDescent="0.25">
      <c r="A55" s="83" t="s">
        <v>27</v>
      </c>
      <c r="B55" s="84">
        <v>12.650372681574368</v>
      </c>
      <c r="C55" s="84">
        <v>0</v>
      </c>
      <c r="D55" s="84">
        <v>4.7580169873465934</v>
      </c>
      <c r="E55" s="84">
        <v>22.649332639972727</v>
      </c>
      <c r="F55" s="84">
        <v>3.5708094990894779E-2</v>
      </c>
      <c r="G55" s="84">
        <v>3.8840193676479942</v>
      </c>
      <c r="H55" s="84">
        <v>12.997476879857118</v>
      </c>
      <c r="I55" s="84">
        <v>21.981485096248178</v>
      </c>
      <c r="J55" s="84">
        <v>0</v>
      </c>
      <c r="K55" s="84">
        <v>3.0605743749753174</v>
      </c>
      <c r="L55" s="84">
        <v>3.6410747193792758</v>
      </c>
      <c r="M55" s="84">
        <v>4.1272871106792195</v>
      </c>
      <c r="N55" s="84">
        <v>0</v>
      </c>
      <c r="O55" s="84">
        <v>0</v>
      </c>
      <c r="P55" s="84">
        <v>0</v>
      </c>
      <c r="Q55" s="84">
        <v>8.4586107801370503</v>
      </c>
      <c r="R55" s="84">
        <v>5.3804906794014471</v>
      </c>
      <c r="S55" s="84">
        <v>7.4135362279225347</v>
      </c>
      <c r="T55" s="84">
        <v>6.6592688760633223</v>
      </c>
      <c r="U55" s="84">
        <v>7.5757260704188809</v>
      </c>
      <c r="V55" s="84">
        <v>0</v>
      </c>
      <c r="W55" s="84">
        <v>0</v>
      </c>
      <c r="X55" s="84">
        <v>19.591513545745215</v>
      </c>
      <c r="Y55" s="84">
        <v>7.0161723216219229</v>
      </c>
      <c r="DA55" s="171" t="s">
        <v>235</v>
      </c>
    </row>
    <row r="56" spans="1:105" ht="11.45" customHeight="1" x14ac:dyDescent="0.25">
      <c r="A56" s="83" t="s">
        <v>181</v>
      </c>
      <c r="B56" s="84">
        <v>15.968024083751295</v>
      </c>
      <c r="C56" s="84">
        <v>0</v>
      </c>
      <c r="D56" s="84">
        <v>5.3333996250705846</v>
      </c>
      <c r="E56" s="84">
        <v>38.410976639181726</v>
      </c>
      <c r="F56" s="84">
        <v>13.647896146403882</v>
      </c>
      <c r="G56" s="84">
        <v>22.069248846096826</v>
      </c>
      <c r="H56" s="84">
        <v>16.516217851826518</v>
      </c>
      <c r="I56" s="84">
        <v>28.803477120660641</v>
      </c>
      <c r="J56" s="84">
        <v>8.2824350594288276E-2</v>
      </c>
      <c r="K56" s="84">
        <v>0</v>
      </c>
      <c r="L56" s="84">
        <v>13.056924818614718</v>
      </c>
      <c r="M56" s="84">
        <v>8.7046530388863328</v>
      </c>
      <c r="N56" s="84">
        <v>3.4174399276140388</v>
      </c>
      <c r="O56" s="84">
        <v>0.21381809522941531</v>
      </c>
      <c r="P56" s="84">
        <v>9.9274286261081066</v>
      </c>
      <c r="Q56" s="84">
        <v>20.357302822002985</v>
      </c>
      <c r="R56" s="84">
        <v>20.883765980696282</v>
      </c>
      <c r="S56" s="84">
        <v>13.517213096882955</v>
      </c>
      <c r="T56" s="84">
        <v>15.352301565334301</v>
      </c>
      <c r="U56" s="84">
        <v>12.512981753691754</v>
      </c>
      <c r="V56" s="84">
        <v>0</v>
      </c>
      <c r="W56" s="84">
        <v>0</v>
      </c>
      <c r="X56" s="84">
        <v>3.2171161206246932</v>
      </c>
      <c r="Y56" s="84">
        <v>30.475710626193024</v>
      </c>
      <c r="DA56" s="171" t="s">
        <v>236</v>
      </c>
    </row>
    <row r="57" spans="1:105" ht="11.45" customHeight="1" x14ac:dyDescent="0.25">
      <c r="A57" s="83" t="s">
        <v>182</v>
      </c>
      <c r="B57" s="84">
        <v>9.2108989657916709</v>
      </c>
      <c r="C57" s="84">
        <v>0</v>
      </c>
      <c r="D57" s="84">
        <v>3.0772474144790039</v>
      </c>
      <c r="E57" s="84">
        <v>15.726412092283311</v>
      </c>
      <c r="F57" s="84">
        <v>21.265791567223644</v>
      </c>
      <c r="G57" s="84">
        <v>14.456445483021412</v>
      </c>
      <c r="H57" s="84">
        <v>9.2633104284967374</v>
      </c>
      <c r="I57" s="84">
        <v>16.276129702407616</v>
      </c>
      <c r="J57" s="84">
        <v>0</v>
      </c>
      <c r="K57" s="84">
        <v>0</v>
      </c>
      <c r="L57" s="84">
        <v>13.870527906904783</v>
      </c>
      <c r="M57" s="84">
        <v>1.050121485606212</v>
      </c>
      <c r="N57" s="84">
        <v>7.2195997549837898</v>
      </c>
      <c r="O57" s="84">
        <v>2.9028700035372879</v>
      </c>
      <c r="P57" s="84">
        <v>4.7374116298423417</v>
      </c>
      <c r="Q57" s="84">
        <v>3.7609822626554603</v>
      </c>
      <c r="R57" s="84">
        <v>7.9925143872070237</v>
      </c>
      <c r="S57" s="84">
        <v>15.010313389726065</v>
      </c>
      <c r="T57" s="84">
        <v>26.620557673631623</v>
      </c>
      <c r="U57" s="84">
        <v>20.427038651313637</v>
      </c>
      <c r="V57" s="84">
        <v>0</v>
      </c>
      <c r="W57" s="84">
        <v>0</v>
      </c>
      <c r="X57" s="84">
        <v>0</v>
      </c>
      <c r="Y57" s="84">
        <v>0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2.8653689006476295</v>
      </c>
      <c r="C58" s="13">
        <f t="shared" si="45"/>
        <v>2.9384538152613371</v>
      </c>
      <c r="D58" s="13">
        <f t="shared" ref="D58:V58" si="46">SUM(D59:D61)</f>
        <v>3.5261534303412021</v>
      </c>
      <c r="E58" s="13">
        <f t="shared" si="46"/>
        <v>2.7261242674686348</v>
      </c>
      <c r="F58" s="13">
        <f t="shared" si="46"/>
        <v>3.0238930951953176</v>
      </c>
      <c r="G58" s="13">
        <f t="shared" si="46"/>
        <v>3.149886139003387</v>
      </c>
      <c r="H58" s="13">
        <f t="shared" si="46"/>
        <v>3.145539623687621</v>
      </c>
      <c r="I58" s="13">
        <f t="shared" si="46"/>
        <v>4.2493547277381785</v>
      </c>
      <c r="J58" s="13">
        <f t="shared" si="46"/>
        <v>0</v>
      </c>
      <c r="K58" s="13">
        <f t="shared" si="46"/>
        <v>0</v>
      </c>
      <c r="L58" s="13">
        <f t="shared" si="46"/>
        <v>0</v>
      </c>
      <c r="M58" s="13">
        <f t="shared" si="46"/>
        <v>1.3773805026752708</v>
      </c>
      <c r="N58" s="13">
        <f t="shared" si="46"/>
        <v>0</v>
      </c>
      <c r="O58" s="13">
        <f t="shared" si="46"/>
        <v>1.3901753309106202E-2</v>
      </c>
      <c r="P58" s="13">
        <f t="shared" si="46"/>
        <v>0.41949620063223136</v>
      </c>
      <c r="Q58" s="13">
        <f t="shared" si="46"/>
        <v>2.7594015814872481</v>
      </c>
      <c r="R58" s="13">
        <f t="shared" si="46"/>
        <v>1.1496893902146303</v>
      </c>
      <c r="S58" s="13">
        <f t="shared" si="46"/>
        <v>2.7318912921521958</v>
      </c>
      <c r="T58" s="13">
        <f t="shared" si="46"/>
        <v>9.9895171114065318E-2</v>
      </c>
      <c r="U58" s="13">
        <f t="shared" si="46"/>
        <v>0.2006989870131404</v>
      </c>
      <c r="V58" s="13">
        <f t="shared" si="46"/>
        <v>1.0155859637976559</v>
      </c>
      <c r="W58" s="13">
        <f t="shared" ref="W58:Y58" si="47">SUM(W59:W61)</f>
        <v>5.2974337084696375</v>
      </c>
      <c r="X58" s="13">
        <f t="shared" si="47"/>
        <v>1.0467443972379631</v>
      </c>
      <c r="Y58" s="13">
        <f t="shared" si="47"/>
        <v>5.1558325310922193E-2</v>
      </c>
      <c r="DA58" s="193" t="s">
        <v>238</v>
      </c>
    </row>
    <row r="59" spans="1:105" ht="11.45" customHeight="1" x14ac:dyDescent="0.25">
      <c r="A59" s="92" t="s">
        <v>27</v>
      </c>
      <c r="B59" s="102">
        <v>0.75245983935772331</v>
      </c>
      <c r="C59" s="102">
        <v>2.9384538152613371</v>
      </c>
      <c r="D59" s="102">
        <v>0</v>
      </c>
      <c r="E59" s="102">
        <v>0.17678212851434871</v>
      </c>
      <c r="F59" s="102">
        <v>6.1194779116759079E-2</v>
      </c>
      <c r="G59" s="102">
        <v>0</v>
      </c>
      <c r="H59" s="102">
        <v>0.22023452418327949</v>
      </c>
      <c r="I59" s="102">
        <v>0.6485749263359466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6.0184360860127573E-2</v>
      </c>
      <c r="V59" s="102">
        <v>0.23196825690654821</v>
      </c>
      <c r="W59" s="102">
        <v>0.82842969689754398</v>
      </c>
      <c r="X59" s="102">
        <v>0.42932065936680708</v>
      </c>
      <c r="Y59" s="102">
        <v>3.5404116466156488E-2</v>
      </c>
      <c r="DA59" s="175" t="s">
        <v>239</v>
      </c>
    </row>
    <row r="60" spans="1:105" ht="11.45" customHeight="1" x14ac:dyDescent="0.25">
      <c r="A60" s="92" t="s">
        <v>181</v>
      </c>
      <c r="B60" s="102">
        <v>0.58265482400224555</v>
      </c>
      <c r="C60" s="102">
        <v>0</v>
      </c>
      <c r="D60" s="102">
        <v>3.5261534303412021</v>
      </c>
      <c r="E60" s="102">
        <v>0.99253422935024138</v>
      </c>
      <c r="F60" s="102">
        <v>1.6951559431976777</v>
      </c>
      <c r="G60" s="102">
        <v>0.71940716157151718</v>
      </c>
      <c r="H60" s="102">
        <v>0.72843119177243054</v>
      </c>
      <c r="I60" s="102">
        <v>1.1161714619790939</v>
      </c>
      <c r="J60" s="102">
        <v>0</v>
      </c>
      <c r="K60" s="102">
        <v>0</v>
      </c>
      <c r="L60" s="102">
        <v>0</v>
      </c>
      <c r="M60" s="102">
        <v>0</v>
      </c>
      <c r="N60" s="102">
        <v>0</v>
      </c>
      <c r="O60" s="102">
        <v>1.3901753309106202E-2</v>
      </c>
      <c r="P60" s="102">
        <v>0</v>
      </c>
      <c r="Q60" s="102">
        <v>0</v>
      </c>
      <c r="R60" s="102">
        <v>1.7602986515322105E-4</v>
      </c>
      <c r="S60" s="102">
        <v>8.793332450493202E-2</v>
      </c>
      <c r="T60" s="102">
        <v>9.9895171114065318E-2</v>
      </c>
      <c r="U60" s="102">
        <v>0.14051462615301283</v>
      </c>
      <c r="V60" s="102">
        <v>0.78361770689110766</v>
      </c>
      <c r="W60" s="102">
        <v>2.254134074857391</v>
      </c>
      <c r="X60" s="102">
        <v>0.61742373787115601</v>
      </c>
      <c r="Y60" s="102">
        <v>1.6154208844765705E-2</v>
      </c>
      <c r="DA60" s="175" t="s">
        <v>240</v>
      </c>
    </row>
    <row r="61" spans="1:105" ht="11.45" customHeight="1" x14ac:dyDescent="0.25">
      <c r="A61" s="85" t="s">
        <v>182</v>
      </c>
      <c r="B61" s="86">
        <v>1.5302542372876609</v>
      </c>
      <c r="C61" s="86">
        <v>0</v>
      </c>
      <c r="D61" s="86">
        <v>0</v>
      </c>
      <c r="E61" s="86">
        <v>1.5568079096040446</v>
      </c>
      <c r="F61" s="86">
        <v>1.2675423728808806</v>
      </c>
      <c r="G61" s="86">
        <v>2.4304789774318696</v>
      </c>
      <c r="H61" s="86">
        <v>2.196873907731911</v>
      </c>
      <c r="I61" s="86">
        <v>2.4846083394231382</v>
      </c>
      <c r="J61" s="86">
        <v>0</v>
      </c>
      <c r="K61" s="86">
        <v>0</v>
      </c>
      <c r="L61" s="86">
        <v>0</v>
      </c>
      <c r="M61" s="86">
        <v>1.3773805026752708</v>
      </c>
      <c r="N61" s="86">
        <v>0</v>
      </c>
      <c r="O61" s="86">
        <v>0</v>
      </c>
      <c r="P61" s="86">
        <v>0.41949620063223136</v>
      </c>
      <c r="Q61" s="86">
        <v>2.7594015814872481</v>
      </c>
      <c r="R61" s="86">
        <v>1.1495133603494772</v>
      </c>
      <c r="S61" s="86">
        <v>2.643957967647264</v>
      </c>
      <c r="T61" s="86">
        <v>0</v>
      </c>
      <c r="U61" s="86">
        <v>0</v>
      </c>
      <c r="V61" s="86">
        <v>0</v>
      </c>
      <c r="W61" s="86">
        <v>2.2148699367147024</v>
      </c>
      <c r="X61" s="86">
        <v>0</v>
      </c>
      <c r="Y61" s="86">
        <v>0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82.928855117808567</v>
      </c>
      <c r="C66" s="14">
        <f t="shared" si="48"/>
        <v>83.800824659425203</v>
      </c>
      <c r="D66" s="14">
        <f t="shared" ref="D66:V66" si="49">IF(D34=0,0,D34/D24)</f>
        <v>84.868998528854121</v>
      </c>
      <c r="E66" s="14">
        <f t="shared" si="49"/>
        <v>82.07534889574454</v>
      </c>
      <c r="F66" s="14">
        <f t="shared" si="49"/>
        <v>88.348810574749535</v>
      </c>
      <c r="G66" s="14">
        <f t="shared" si="49"/>
        <v>90.710969479210647</v>
      </c>
      <c r="H66" s="14">
        <f t="shared" si="49"/>
        <v>93.519888647190527</v>
      </c>
      <c r="I66" s="14">
        <f t="shared" si="49"/>
        <v>94.298031395575791</v>
      </c>
      <c r="J66" s="14">
        <f t="shared" si="49"/>
        <v>97.44586430718077</v>
      </c>
      <c r="K66" s="14">
        <f t="shared" si="49"/>
        <v>99.954407285547134</v>
      </c>
      <c r="L66" s="14">
        <f t="shared" si="49"/>
        <v>104.79642250637393</v>
      </c>
      <c r="M66" s="14">
        <f t="shared" si="49"/>
        <v>110.71150586924729</v>
      </c>
      <c r="N66" s="14">
        <f t="shared" si="49"/>
        <v>113.12141216461706</v>
      </c>
      <c r="O66" s="14">
        <f t="shared" si="49"/>
        <v>118.1459205346127</v>
      </c>
      <c r="P66" s="14">
        <f t="shared" si="49"/>
        <v>122.86735342701714</v>
      </c>
      <c r="Q66" s="14">
        <f t="shared" si="49"/>
        <v>126.6846604405922</v>
      </c>
      <c r="R66" s="14">
        <f t="shared" si="49"/>
        <v>128.3417007078487</v>
      </c>
      <c r="S66" s="14">
        <f t="shared" si="49"/>
        <v>132.7007777434537</v>
      </c>
      <c r="T66" s="14">
        <f t="shared" si="49"/>
        <v>135.39143589160639</v>
      </c>
      <c r="U66" s="14">
        <f t="shared" si="49"/>
        <v>136.86935850860286</v>
      </c>
      <c r="V66" s="14">
        <f t="shared" si="49"/>
        <v>97.033692107098901</v>
      </c>
      <c r="W66" s="14">
        <f t="shared" ref="W66:Y66" si="50">IF(W34=0,0,W34/W24)</f>
        <v>108.67749405634</v>
      </c>
      <c r="X66" s="14">
        <f t="shared" si="50"/>
        <v>131.66422790629557</v>
      </c>
      <c r="Y66" s="14">
        <f t="shared" si="50"/>
        <v>141.82853521247799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81.335482981248347</v>
      </c>
      <c r="C67" s="87">
        <f t="shared" si="48"/>
        <v>82.143721443201514</v>
      </c>
      <c r="D67" s="87">
        <f t="shared" ref="D67:V67" si="51">IF(D35=0,0,D35/D25)</f>
        <v>83.15829624421076</v>
      </c>
      <c r="E67" s="87">
        <f t="shared" si="51"/>
        <v>81.437973617253391</v>
      </c>
      <c r="F67" s="87">
        <f t="shared" si="51"/>
        <v>85.225065329849073</v>
      </c>
      <c r="G67" s="87">
        <f t="shared" si="51"/>
        <v>86.911136732579067</v>
      </c>
      <c r="H67" s="87">
        <f t="shared" si="51"/>
        <v>87.29758635400141</v>
      </c>
      <c r="I67" s="87">
        <f t="shared" si="51"/>
        <v>87.762376178345093</v>
      </c>
      <c r="J67" s="87">
        <f t="shared" si="51"/>
        <v>91.002272345267187</v>
      </c>
      <c r="K67" s="87">
        <f t="shared" si="51"/>
        <v>94.051183403618737</v>
      </c>
      <c r="L67" s="87">
        <f t="shared" si="51"/>
        <v>100.10619386414707</v>
      </c>
      <c r="M67" s="87">
        <f t="shared" si="51"/>
        <v>106.29910703892779</v>
      </c>
      <c r="N67" s="87">
        <f t="shared" si="51"/>
        <v>107.94588702179125</v>
      </c>
      <c r="O67" s="87">
        <f t="shared" si="51"/>
        <v>112.18559079171128</v>
      </c>
      <c r="P67" s="87">
        <f t="shared" si="51"/>
        <v>116.5111992453801</v>
      </c>
      <c r="Q67" s="87">
        <f t="shared" si="51"/>
        <v>121.63643460159592</v>
      </c>
      <c r="R67" s="87">
        <f t="shared" si="51"/>
        <v>124.1680216802168</v>
      </c>
      <c r="S67" s="87">
        <f t="shared" si="51"/>
        <v>125.88246568415558</v>
      </c>
      <c r="T67" s="87">
        <f t="shared" si="51"/>
        <v>128.65160879106693</v>
      </c>
      <c r="U67" s="87">
        <f t="shared" si="51"/>
        <v>128.05576602995959</v>
      </c>
      <c r="V67" s="87">
        <f t="shared" si="51"/>
        <v>98.50562062730917</v>
      </c>
      <c r="W67" s="87">
        <f t="shared" ref="W67:Y67" si="52">IF(W35=0,0,W35/W25)</f>
        <v>117.75306460272012</v>
      </c>
      <c r="X67" s="87">
        <f t="shared" si="52"/>
        <v>129.77975650012309</v>
      </c>
      <c r="Y67" s="87">
        <f t="shared" si="52"/>
        <v>134.26544447664628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74.901627870807189</v>
      </c>
      <c r="C68" s="87">
        <f t="shared" si="48"/>
        <v>75.950755209812044</v>
      </c>
      <c r="D68" s="87">
        <f t="shared" ref="D68:V68" si="53">IF(D36=0,0,D36/D26)</f>
        <v>77.211219468382311</v>
      </c>
      <c r="E68" s="87">
        <f t="shared" si="53"/>
        <v>75.35480890447964</v>
      </c>
      <c r="F68" s="87">
        <f t="shared" si="53"/>
        <v>82.468217514262221</v>
      </c>
      <c r="G68" s="87">
        <f t="shared" si="53"/>
        <v>86.189292363696993</v>
      </c>
      <c r="H68" s="87">
        <f t="shared" si="53"/>
        <v>91.826775091233273</v>
      </c>
      <c r="I68" s="87">
        <f t="shared" si="53"/>
        <v>92.692606675116181</v>
      </c>
      <c r="J68" s="87">
        <f t="shared" si="53"/>
        <v>96.027589116356054</v>
      </c>
      <c r="K68" s="87">
        <f t="shared" si="53"/>
        <v>98.754654222999946</v>
      </c>
      <c r="L68" s="87">
        <f t="shared" si="53"/>
        <v>101.90775328080451</v>
      </c>
      <c r="M68" s="87">
        <f t="shared" si="53"/>
        <v>109.11761283626099</v>
      </c>
      <c r="N68" s="87">
        <f t="shared" si="53"/>
        <v>111.52138539509353</v>
      </c>
      <c r="O68" s="87">
        <f t="shared" si="53"/>
        <v>117.50165293926507</v>
      </c>
      <c r="P68" s="87">
        <f t="shared" si="53"/>
        <v>121.90770075364051</v>
      </c>
      <c r="Q68" s="87">
        <f t="shared" si="53"/>
        <v>125.12059655941465</v>
      </c>
      <c r="R68" s="87">
        <f t="shared" si="53"/>
        <v>126.27983033718188</v>
      </c>
      <c r="S68" s="87">
        <f t="shared" si="53"/>
        <v>132.07394832455014</v>
      </c>
      <c r="T68" s="87">
        <f t="shared" si="53"/>
        <v>134.82607671311592</v>
      </c>
      <c r="U68" s="87">
        <f t="shared" si="53"/>
        <v>137.12829550536674</v>
      </c>
      <c r="V68" s="87">
        <f t="shared" si="53"/>
        <v>94.808606895130822</v>
      </c>
      <c r="W68" s="87">
        <f t="shared" ref="W68:Y68" si="54">IF(W36=0,0,W36/W26)</f>
        <v>101.81285231116122</v>
      </c>
      <c r="X68" s="87">
        <f t="shared" si="54"/>
        <v>129.07265761696914</v>
      </c>
      <c r="Y68" s="87">
        <f t="shared" si="54"/>
        <v>140.25971246999643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138.79485869935309</v>
      </c>
      <c r="C69" s="87">
        <f t="shared" si="48"/>
        <v>139.19828986974241</v>
      </c>
      <c r="D69" s="87">
        <f t="shared" ref="D69:V69" si="55">IF(D37=0,0,D37/D27)</f>
        <v>139.56544878788685</v>
      </c>
      <c r="E69" s="87">
        <f t="shared" si="55"/>
        <v>126.37470000233007</v>
      </c>
      <c r="F69" s="87">
        <f t="shared" si="55"/>
        <v>136.67972951597596</v>
      </c>
      <c r="G69" s="87">
        <f t="shared" si="55"/>
        <v>132.42097317792445</v>
      </c>
      <c r="H69" s="87">
        <f t="shared" si="55"/>
        <v>132.77335382784608</v>
      </c>
      <c r="I69" s="87">
        <f t="shared" si="55"/>
        <v>134.6900865787986</v>
      </c>
      <c r="J69" s="87">
        <f t="shared" si="55"/>
        <v>134.7591525111915</v>
      </c>
      <c r="K69" s="87">
        <f t="shared" si="55"/>
        <v>133.37061173337511</v>
      </c>
      <c r="L69" s="87">
        <f t="shared" si="55"/>
        <v>136.90767768747429</v>
      </c>
      <c r="M69" s="87">
        <f t="shared" si="55"/>
        <v>137.21083163646486</v>
      </c>
      <c r="N69" s="87">
        <f t="shared" si="55"/>
        <v>139.9387553552551</v>
      </c>
      <c r="O69" s="87">
        <f t="shared" si="55"/>
        <v>141.08126267405706</v>
      </c>
      <c r="P69" s="87">
        <f t="shared" si="55"/>
        <v>146.81099810753039</v>
      </c>
      <c r="Q69" s="87">
        <f t="shared" si="55"/>
        <v>150.28046971398467</v>
      </c>
      <c r="R69" s="87">
        <f t="shared" si="55"/>
        <v>151.19790816604103</v>
      </c>
      <c r="S69" s="87">
        <f t="shared" si="55"/>
        <v>156.50439367311071</v>
      </c>
      <c r="T69" s="87">
        <f t="shared" si="55"/>
        <v>156.08895243161768</v>
      </c>
      <c r="U69" s="87">
        <f t="shared" si="55"/>
        <v>158.83130171356737</v>
      </c>
      <c r="V69" s="87">
        <f t="shared" si="55"/>
        <v>99.423716990533137</v>
      </c>
      <c r="W69" s="87">
        <f t="shared" ref="W69:Y69" si="56">IF(W37=0,0,W37/W27)</f>
        <v>94.249190938511333</v>
      </c>
      <c r="X69" s="87">
        <f t="shared" si="56"/>
        <v>151.85659394946913</v>
      </c>
      <c r="Y69" s="87">
        <f t="shared" si="56"/>
        <v>170.85898735652276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25.036038637876061</v>
      </c>
      <c r="C70" s="15">
        <f t="shared" si="48"/>
        <v>15.439024407788935</v>
      </c>
      <c r="D70" s="15">
        <f t="shared" ref="D70:V70" si="57">IF(D38=0,0,D38/D28)</f>
        <v>20.225956040402849</v>
      </c>
      <c r="E70" s="15">
        <f t="shared" si="57"/>
        <v>20.351435155597141</v>
      </c>
      <c r="F70" s="15">
        <f t="shared" si="57"/>
        <v>19.747184731093117</v>
      </c>
      <c r="G70" s="15">
        <f t="shared" si="57"/>
        <v>19.572562632259462</v>
      </c>
      <c r="H70" s="15">
        <f t="shared" si="57"/>
        <v>19.59374415530694</v>
      </c>
      <c r="I70" s="15">
        <f t="shared" si="57"/>
        <v>19.714168521580945</v>
      </c>
      <c r="J70" s="15">
        <f t="shared" si="57"/>
        <v>19.290084384121972</v>
      </c>
      <c r="K70" s="15">
        <f t="shared" si="57"/>
        <v>19.280154409515553</v>
      </c>
      <c r="L70" s="15">
        <f t="shared" si="57"/>
        <v>22.541528407800289</v>
      </c>
      <c r="M70" s="15">
        <f t="shared" si="57"/>
        <v>25.687559429116</v>
      </c>
      <c r="N70" s="15">
        <f t="shared" si="57"/>
        <v>27.648671180197383</v>
      </c>
      <c r="O70" s="15">
        <f t="shared" si="57"/>
        <v>28.453925758243958</v>
      </c>
      <c r="P70" s="15">
        <f t="shared" si="57"/>
        <v>32.37934397298087</v>
      </c>
      <c r="Q70" s="15">
        <f t="shared" si="57"/>
        <v>33.089568298690622</v>
      </c>
      <c r="R70" s="15">
        <f t="shared" si="57"/>
        <v>38.750426376054726</v>
      </c>
      <c r="S70" s="15">
        <f t="shared" si="57"/>
        <v>37.799028249929712</v>
      </c>
      <c r="T70" s="15">
        <f t="shared" si="57"/>
        <v>36.974266802197235</v>
      </c>
      <c r="U70" s="15">
        <f t="shared" si="57"/>
        <v>37.094984307660006</v>
      </c>
      <c r="V70" s="15">
        <f t="shared" si="57"/>
        <v>26.592333974674244</v>
      </c>
      <c r="W70" s="15">
        <f t="shared" ref="W70:Y70" si="58">IF(W38=0,0,W38/W28)</f>
        <v>27.686804487651749</v>
      </c>
      <c r="X70" s="15">
        <f t="shared" si="58"/>
        <v>28.499042086788339</v>
      </c>
      <c r="Y70" s="15">
        <f t="shared" si="58"/>
        <v>29.727478921851741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10.023284561418631</v>
      </c>
      <c r="C71" s="41">
        <f t="shared" si="48"/>
        <v>9.9468444225812966</v>
      </c>
      <c r="D71" s="41">
        <f t="shared" ref="D71:V71" si="59">IF(D39=0,0,D39/D29)</f>
        <v>10.228618824365734</v>
      </c>
      <c r="E71" s="41">
        <f t="shared" si="59"/>
        <v>10.880110401352557</v>
      </c>
      <c r="F71" s="41">
        <f t="shared" si="59"/>
        <v>10.245291210092235</v>
      </c>
      <c r="G71" s="41">
        <f t="shared" si="59"/>
        <v>10.026386560137622</v>
      </c>
      <c r="H71" s="41">
        <f t="shared" si="59"/>
        <v>9.6442955326529365</v>
      </c>
      <c r="I71" s="41">
        <f t="shared" si="59"/>
        <v>9.6084865500782293</v>
      </c>
      <c r="J71" s="41">
        <f t="shared" si="59"/>
        <v>9.2442542001847308</v>
      </c>
      <c r="K71" s="41">
        <f t="shared" si="59"/>
        <v>9.3240998338960406</v>
      </c>
      <c r="L71" s="41">
        <f t="shared" si="59"/>
        <v>9.9726932495609368</v>
      </c>
      <c r="M71" s="41">
        <f t="shared" si="59"/>
        <v>10.895437219200758</v>
      </c>
      <c r="N71" s="41">
        <f t="shared" si="59"/>
        <v>11.19133112954926</v>
      </c>
      <c r="O71" s="41">
        <f t="shared" si="59"/>
        <v>11.472606557577453</v>
      </c>
      <c r="P71" s="41">
        <f t="shared" si="59"/>
        <v>12.867097049767036</v>
      </c>
      <c r="Q71" s="41">
        <f t="shared" si="59"/>
        <v>13.240298620670723</v>
      </c>
      <c r="R71" s="41">
        <f t="shared" si="59"/>
        <v>15.261225204177913</v>
      </c>
      <c r="S71" s="41">
        <f t="shared" si="59"/>
        <v>14.037407282807473</v>
      </c>
      <c r="T71" s="41">
        <f t="shared" si="59"/>
        <v>14.28777069472639</v>
      </c>
      <c r="U71" s="41">
        <f t="shared" si="59"/>
        <v>15.803408783848623</v>
      </c>
      <c r="V71" s="41">
        <f t="shared" si="59"/>
        <v>14.565549583941408</v>
      </c>
      <c r="W71" s="41">
        <f t="shared" ref="W71:Y71" si="60">IF(W39=0,0,W39/W29)</f>
        <v>14.733887425092284</v>
      </c>
      <c r="X71" s="41">
        <f t="shared" si="60"/>
        <v>14.903133727895911</v>
      </c>
      <c r="Y71" s="41">
        <f t="shared" si="60"/>
        <v>14.791343727721088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16.167807765431576</v>
      </c>
      <c r="C72" s="41">
        <f t="shared" si="48"/>
        <v>16.347531780245248</v>
      </c>
      <c r="D72" s="41">
        <f t="shared" ref="D72:V72" si="61">IF(D40=0,0,D40/D30)</f>
        <v>16.36514393507635</v>
      </c>
      <c r="E72" s="41">
        <f t="shared" si="61"/>
        <v>17.221696677308696</v>
      </c>
      <c r="F72" s="41">
        <f t="shared" si="61"/>
        <v>16.065947226318936</v>
      </c>
      <c r="G72" s="41">
        <f t="shared" si="61"/>
        <v>15.202475894043332</v>
      </c>
      <c r="H72" s="41">
        <f t="shared" si="61"/>
        <v>14.017847842266168</v>
      </c>
      <c r="I72" s="41">
        <f t="shared" si="61"/>
        <v>13.786843762306624</v>
      </c>
      <c r="J72" s="41">
        <f t="shared" si="61"/>
        <v>13.706049515651269</v>
      </c>
      <c r="K72" s="41">
        <f t="shared" si="61"/>
        <v>13.698894254303415</v>
      </c>
      <c r="L72" s="41">
        <f t="shared" si="61"/>
        <v>14.504774438576119</v>
      </c>
      <c r="M72" s="41">
        <f t="shared" si="61"/>
        <v>15.593990976967525</v>
      </c>
      <c r="N72" s="41">
        <f t="shared" si="61"/>
        <v>16.668272444699468</v>
      </c>
      <c r="O72" s="41">
        <f t="shared" si="61"/>
        <v>16.757006585050917</v>
      </c>
      <c r="P72" s="41">
        <f t="shared" si="61"/>
        <v>18.449412678664508</v>
      </c>
      <c r="Q72" s="41">
        <f t="shared" si="61"/>
        <v>18.477606558493587</v>
      </c>
      <c r="R72" s="41">
        <f t="shared" si="61"/>
        <v>20.847919403023052</v>
      </c>
      <c r="S72" s="41">
        <f t="shared" si="61"/>
        <v>19.377525185076973</v>
      </c>
      <c r="T72" s="41">
        <f t="shared" si="61"/>
        <v>19.225461196308377</v>
      </c>
      <c r="U72" s="41">
        <f t="shared" si="61"/>
        <v>19.702598617631956</v>
      </c>
      <c r="V72" s="41">
        <f t="shared" si="61"/>
        <v>17.640506114488737</v>
      </c>
      <c r="W72" s="41">
        <f t="shared" ref="W72:Y72" si="62">IF(W40=0,0,W40/W30)</f>
        <v>17.768395755469797</v>
      </c>
      <c r="X72" s="41">
        <f t="shared" si="62"/>
        <v>17.890474130141023</v>
      </c>
      <c r="Y72" s="41">
        <f t="shared" si="62"/>
        <v>17.970037243342702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53.867382020046904</v>
      </c>
      <c r="D73" s="40">
        <f t="shared" ref="D73:V73" si="63">IF(D41=0,0,D41/D31)</f>
        <v>52.903188435639549</v>
      </c>
      <c r="E73" s="40">
        <f t="shared" si="63"/>
        <v>48.726605018216752</v>
      </c>
      <c r="F73" s="40">
        <f t="shared" si="63"/>
        <v>48.059639068158532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45.185822139749789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</v>
      </c>
      <c r="M73" s="40">
        <f t="shared" si="63"/>
        <v>55.066413538494707</v>
      </c>
      <c r="N73" s="40">
        <f t="shared" si="63"/>
        <v>59.082056024886235</v>
      </c>
      <c r="O73" s="40">
        <f t="shared" si="63"/>
        <v>59.664691083399624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50.528235250360844</v>
      </c>
      <c r="W73" s="40">
        <f t="shared" ref="W73:Y73" si="64">IF(W41=0,0,W41/W31)</f>
        <v>53.587012042781261</v>
      </c>
      <c r="X73" s="40">
        <f t="shared" si="64"/>
        <v>60.50167406149631</v>
      </c>
      <c r="Y73" s="40">
        <f t="shared" si="64"/>
        <v>63.067440817812056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1108.6462340489145</v>
      </c>
      <c r="C75" s="62">
        <f t="shared" si="65"/>
        <v>1084.4039802729862</v>
      </c>
      <c r="D75" s="62">
        <f t="shared" ref="D75:V75" si="66">IF(D13=0,0,D13*1000000/D23)</f>
        <v>1097.8621057714961</v>
      </c>
      <c r="E75" s="62">
        <f t="shared" si="66"/>
        <v>1103.9682134500545</v>
      </c>
      <c r="F75" s="62">
        <f t="shared" si="66"/>
        <v>1152.0274531800376</v>
      </c>
      <c r="G75" s="62">
        <f t="shared" si="66"/>
        <v>1168.3564591072607</v>
      </c>
      <c r="H75" s="62">
        <f t="shared" si="66"/>
        <v>1165.0239054669662</v>
      </c>
      <c r="I75" s="62">
        <f t="shared" si="66"/>
        <v>1164.2501436800303</v>
      </c>
      <c r="J75" s="62">
        <f t="shared" si="66"/>
        <v>1176.6430413756977</v>
      </c>
      <c r="K75" s="62">
        <f t="shared" si="66"/>
        <v>1164.6527159678706</v>
      </c>
      <c r="L75" s="62">
        <f t="shared" si="66"/>
        <v>1192.7380325819643</v>
      </c>
      <c r="M75" s="62">
        <f t="shared" si="66"/>
        <v>1188.677824628217</v>
      </c>
      <c r="N75" s="62">
        <f t="shared" si="66"/>
        <v>1193.9593268129772</v>
      </c>
      <c r="O75" s="62">
        <f t="shared" si="66"/>
        <v>1219.1608816663361</v>
      </c>
      <c r="P75" s="62">
        <f t="shared" si="66"/>
        <v>1254.8961209164086</v>
      </c>
      <c r="Q75" s="62">
        <f t="shared" si="66"/>
        <v>1255.372867757806</v>
      </c>
      <c r="R75" s="62">
        <f t="shared" si="66"/>
        <v>1279.6169200262077</v>
      </c>
      <c r="S75" s="62">
        <f t="shared" si="66"/>
        <v>1307.1739422832716</v>
      </c>
      <c r="T75" s="62">
        <f t="shared" si="66"/>
        <v>1347.9622282707312</v>
      </c>
      <c r="U75" s="62">
        <f t="shared" si="66"/>
        <v>1375.5227200744234</v>
      </c>
      <c r="V75" s="62">
        <f t="shared" si="66"/>
        <v>1270.1188616663865</v>
      </c>
      <c r="W75" s="62">
        <f t="shared" ref="W75:Y75" si="67">IF(W13=0,0,W13*1000000/W23)</f>
        <v>1257.0784623306592</v>
      </c>
      <c r="X75" s="62">
        <f t="shared" si="67"/>
        <v>1279.3651582581499</v>
      </c>
      <c r="Y75" s="62">
        <f t="shared" si="67"/>
        <v>1350.3205146369319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1087.8583210447418</v>
      </c>
      <c r="C76" s="14">
        <f t="shared" si="65"/>
        <v>1085.7505904805573</v>
      </c>
      <c r="D76" s="14">
        <f t="shared" ref="D76:V76" si="68">IF(D14=0,0,D14*1000000/D24)</f>
        <v>1085.3592437022385</v>
      </c>
      <c r="E76" s="14">
        <f t="shared" si="68"/>
        <v>1091.3112733982282</v>
      </c>
      <c r="F76" s="14">
        <f t="shared" si="68"/>
        <v>1139.2993561443936</v>
      </c>
      <c r="G76" s="14">
        <f t="shared" si="68"/>
        <v>1152.5666751157021</v>
      </c>
      <c r="H76" s="14">
        <f t="shared" si="68"/>
        <v>1145.934714153193</v>
      </c>
      <c r="I76" s="14">
        <f t="shared" si="68"/>
        <v>1143.3212768423641</v>
      </c>
      <c r="J76" s="14">
        <f t="shared" si="68"/>
        <v>1156.9266465766102</v>
      </c>
      <c r="K76" s="14">
        <f t="shared" si="68"/>
        <v>1150.218908382803</v>
      </c>
      <c r="L76" s="14">
        <f t="shared" si="68"/>
        <v>1171.7025157247363</v>
      </c>
      <c r="M76" s="14">
        <f t="shared" si="68"/>
        <v>1165.1841659092709</v>
      </c>
      <c r="N76" s="14">
        <f t="shared" si="68"/>
        <v>1175.2471346675213</v>
      </c>
      <c r="O76" s="14">
        <f t="shared" si="68"/>
        <v>1198.2715637389638</v>
      </c>
      <c r="P76" s="14">
        <f t="shared" si="68"/>
        <v>1232.2893151096027</v>
      </c>
      <c r="Q76" s="14">
        <f t="shared" si="68"/>
        <v>1227.8383690024293</v>
      </c>
      <c r="R76" s="14">
        <f t="shared" si="68"/>
        <v>1249.7764041902626</v>
      </c>
      <c r="S76" s="14">
        <f t="shared" si="68"/>
        <v>1274.0736317660896</v>
      </c>
      <c r="T76" s="14">
        <f t="shared" si="68"/>
        <v>1317.3861136208393</v>
      </c>
      <c r="U76" s="14">
        <f t="shared" si="68"/>
        <v>1345.2956451824043</v>
      </c>
      <c r="V76" s="14">
        <f t="shared" si="68"/>
        <v>1204.6380586179223</v>
      </c>
      <c r="W76" s="14">
        <f t="shared" ref="W76:Y76" si="69">IF(W14=0,0,W14*1000000/W24)</f>
        <v>1194.6203574491567</v>
      </c>
      <c r="X76" s="14">
        <f t="shared" si="69"/>
        <v>1253.2425239935239</v>
      </c>
      <c r="Y76" s="14">
        <f t="shared" si="69"/>
        <v>1325.8746916690591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627.66076646009981</v>
      </c>
      <c r="C77" s="39">
        <f t="shared" si="65"/>
        <v>627.66076646009981</v>
      </c>
      <c r="D77" s="39">
        <f t="shared" ref="D77:V77" si="70">IF(D15=0,0,D15*1000000/D25)</f>
        <v>627.66076646009981</v>
      </c>
      <c r="E77" s="39">
        <f t="shared" si="70"/>
        <v>627.66076646009981</v>
      </c>
      <c r="F77" s="39">
        <f t="shared" si="70"/>
        <v>627.66076646009981</v>
      </c>
      <c r="G77" s="39">
        <f t="shared" si="70"/>
        <v>614.08709642565316</v>
      </c>
      <c r="H77" s="39">
        <f t="shared" si="70"/>
        <v>610.8616063797881</v>
      </c>
      <c r="I77" s="39">
        <f t="shared" si="70"/>
        <v>611.9086107988926</v>
      </c>
      <c r="J77" s="39">
        <f t="shared" si="70"/>
        <v>620.4954812955217</v>
      </c>
      <c r="K77" s="39">
        <f t="shared" si="70"/>
        <v>640.06389710342376</v>
      </c>
      <c r="L77" s="39">
        <f t="shared" si="70"/>
        <v>647.88240376121587</v>
      </c>
      <c r="M77" s="39">
        <f t="shared" si="70"/>
        <v>641.54641118657594</v>
      </c>
      <c r="N77" s="39">
        <f t="shared" si="70"/>
        <v>633.7289863548433</v>
      </c>
      <c r="O77" s="39">
        <f t="shared" si="70"/>
        <v>636.07844069988892</v>
      </c>
      <c r="P77" s="39">
        <f t="shared" si="70"/>
        <v>637.81430147808851</v>
      </c>
      <c r="Q77" s="39">
        <f t="shared" si="70"/>
        <v>630.62629380467877</v>
      </c>
      <c r="R77" s="39">
        <f t="shared" si="70"/>
        <v>647.74637377649935</v>
      </c>
      <c r="S77" s="39">
        <f t="shared" si="70"/>
        <v>659.53460571594076</v>
      </c>
      <c r="T77" s="39">
        <f t="shared" si="70"/>
        <v>668.82312327987097</v>
      </c>
      <c r="U77" s="39">
        <f t="shared" si="70"/>
        <v>678.10262891809907</v>
      </c>
      <c r="V77" s="39">
        <f t="shared" si="70"/>
        <v>678.40601948420408</v>
      </c>
      <c r="W77" s="39">
        <f t="shared" ref="W77:Y77" si="71">IF(W15=0,0,W15*1000000/W25)</f>
        <v>715.84209922174523</v>
      </c>
      <c r="X77" s="39">
        <f t="shared" si="71"/>
        <v>717.64041854269999</v>
      </c>
      <c r="Y77" s="39">
        <f t="shared" si="71"/>
        <v>699.75950145248964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1079.3392249220144</v>
      </c>
      <c r="C78" s="39">
        <f t="shared" si="65"/>
        <v>1079.3378042136274</v>
      </c>
      <c r="D78" s="39">
        <f t="shared" ref="D78:V78" si="72">IF(D16=0,0,D16*1000000/D26)</f>
        <v>1079.3370958130793</v>
      </c>
      <c r="E78" s="39">
        <f t="shared" si="72"/>
        <v>1091.4502929393111</v>
      </c>
      <c r="F78" s="39">
        <f t="shared" si="72"/>
        <v>1094.6329965693942</v>
      </c>
      <c r="G78" s="39">
        <f t="shared" si="72"/>
        <v>1103.8030862166397</v>
      </c>
      <c r="H78" s="39">
        <f t="shared" si="72"/>
        <v>1103.839297081882</v>
      </c>
      <c r="I78" s="39">
        <f t="shared" si="72"/>
        <v>1111.6054600492887</v>
      </c>
      <c r="J78" s="39">
        <f t="shared" si="72"/>
        <v>1112.7597882216396</v>
      </c>
      <c r="K78" s="39">
        <f t="shared" si="72"/>
        <v>1112.617516042533</v>
      </c>
      <c r="L78" s="39">
        <f t="shared" si="72"/>
        <v>1117.7963071496868</v>
      </c>
      <c r="M78" s="39">
        <f t="shared" si="72"/>
        <v>1109.0848197407831</v>
      </c>
      <c r="N78" s="39">
        <f t="shared" si="72"/>
        <v>1097.6064011578044</v>
      </c>
      <c r="O78" s="39">
        <f t="shared" si="72"/>
        <v>1106.6054907038977</v>
      </c>
      <c r="P78" s="39">
        <f t="shared" si="72"/>
        <v>1118.9844922808245</v>
      </c>
      <c r="Q78" s="39">
        <f t="shared" si="72"/>
        <v>1125.8081331735934</v>
      </c>
      <c r="R78" s="39">
        <f t="shared" si="72"/>
        <v>1135.6564893856334</v>
      </c>
      <c r="S78" s="39">
        <f t="shared" si="72"/>
        <v>1145.671587486132</v>
      </c>
      <c r="T78" s="39">
        <f t="shared" si="72"/>
        <v>1156.2558484283261</v>
      </c>
      <c r="U78" s="39">
        <f t="shared" si="72"/>
        <v>1155.4843068461089</v>
      </c>
      <c r="V78" s="39">
        <f t="shared" si="72"/>
        <v>1164.8746167971319</v>
      </c>
      <c r="W78" s="39">
        <f t="shared" ref="W78:Y78" si="73">IF(W16=0,0,W16*1000000/W26)</f>
        <v>1188.2157768948061</v>
      </c>
      <c r="X78" s="39">
        <f t="shared" si="73"/>
        <v>1196.6809004930469</v>
      </c>
      <c r="Y78" s="39">
        <f t="shared" si="73"/>
        <v>1188.6437810501791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4219.7926103968257</v>
      </c>
      <c r="C79" s="39">
        <f t="shared" si="65"/>
        <v>4219.7926103968257</v>
      </c>
      <c r="D79" s="39">
        <f t="shared" ref="D79:V79" si="74">IF(D17=0,0,D17*1000000/D27)</f>
        <v>4219.7926103968257</v>
      </c>
      <c r="E79" s="39">
        <f t="shared" si="74"/>
        <v>4219.7926103968257</v>
      </c>
      <c r="F79" s="39">
        <f t="shared" si="74"/>
        <v>4219.7926103968257</v>
      </c>
      <c r="G79" s="39">
        <f t="shared" si="74"/>
        <v>4071.626752281933</v>
      </c>
      <c r="H79" s="39">
        <f t="shared" si="74"/>
        <v>4008.1655735690292</v>
      </c>
      <c r="I79" s="39">
        <f t="shared" si="74"/>
        <v>3940.4391407566332</v>
      </c>
      <c r="J79" s="39">
        <f t="shared" si="74"/>
        <v>3911.4418775906656</v>
      </c>
      <c r="K79" s="39">
        <f t="shared" si="74"/>
        <v>3739.8867590854356</v>
      </c>
      <c r="L79" s="39">
        <f t="shared" si="74"/>
        <v>3627.0735732428898</v>
      </c>
      <c r="M79" s="39">
        <f t="shared" si="74"/>
        <v>3720.3176977345947</v>
      </c>
      <c r="N79" s="39">
        <f t="shared" si="74"/>
        <v>3610.3556573693736</v>
      </c>
      <c r="O79" s="39">
        <f t="shared" si="74"/>
        <v>3479.8538541597632</v>
      </c>
      <c r="P79" s="39">
        <f t="shared" si="74"/>
        <v>3563.9599349120358</v>
      </c>
      <c r="Q79" s="39">
        <f t="shared" si="74"/>
        <v>3666.3368354361228</v>
      </c>
      <c r="R79" s="39">
        <f t="shared" si="74"/>
        <v>3732.6265606124844</v>
      </c>
      <c r="S79" s="39">
        <f t="shared" si="74"/>
        <v>3725.0370997301793</v>
      </c>
      <c r="T79" s="39">
        <f t="shared" si="74"/>
        <v>3720.7683380954618</v>
      </c>
      <c r="U79" s="39">
        <f t="shared" si="74"/>
        <v>3779.8018237862834</v>
      </c>
      <c r="V79" s="39">
        <f t="shared" si="74"/>
        <v>3582.1149398343491</v>
      </c>
      <c r="W79" s="39">
        <f t="shared" ref="W79:Y79" si="75">IF(W17=0,0,W17*1000000/W27)</f>
        <v>3436.8822096107579</v>
      </c>
      <c r="X79" s="39">
        <f t="shared" si="75"/>
        <v>3615.62294669946</v>
      </c>
      <c r="Y79" s="39">
        <f t="shared" si="75"/>
        <v>3759.7796912266303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2045.7777986958561</v>
      </c>
      <c r="C80" s="15">
        <f t="shared" si="65"/>
        <v>1022.7901905308166</v>
      </c>
      <c r="D80" s="15">
        <f t="shared" ref="D80:V80" si="76">IF(D18=0,0,D18*1000000/D28)</f>
        <v>1467.7407673950349</v>
      </c>
      <c r="E80" s="15">
        <f t="shared" si="76"/>
        <v>1490.1575879814034</v>
      </c>
      <c r="F80" s="15">
        <f t="shared" si="76"/>
        <v>1512.239705920013</v>
      </c>
      <c r="G80" s="15">
        <f t="shared" si="76"/>
        <v>1612.560474617685</v>
      </c>
      <c r="H80" s="15">
        <f t="shared" si="76"/>
        <v>1699.9739351387293</v>
      </c>
      <c r="I80" s="15">
        <f t="shared" si="76"/>
        <v>1756.9887581406997</v>
      </c>
      <c r="J80" s="15">
        <f t="shared" si="76"/>
        <v>1764.1567905556583</v>
      </c>
      <c r="K80" s="15">
        <f t="shared" si="76"/>
        <v>1637.5681394444671</v>
      </c>
      <c r="L80" s="15">
        <f t="shared" si="76"/>
        <v>1896.5991498473084</v>
      </c>
      <c r="M80" s="15">
        <f t="shared" si="76"/>
        <v>2018.9074465100111</v>
      </c>
      <c r="N80" s="15">
        <f t="shared" si="76"/>
        <v>1911.7233920801209</v>
      </c>
      <c r="O80" s="15">
        <f t="shared" si="76"/>
        <v>1974.9581951603157</v>
      </c>
      <c r="P80" s="15">
        <f t="shared" si="76"/>
        <v>2125.4324034427445</v>
      </c>
      <c r="Q80" s="15">
        <f t="shared" si="76"/>
        <v>2278.7276923024542</v>
      </c>
      <c r="R80" s="15">
        <f t="shared" si="76"/>
        <v>2525.1661876858661</v>
      </c>
      <c r="S80" s="15">
        <f t="shared" si="76"/>
        <v>2596.6098941976493</v>
      </c>
      <c r="T80" s="15">
        <f t="shared" si="76"/>
        <v>2588.2253096645359</v>
      </c>
      <c r="U80" s="15">
        <f t="shared" si="76"/>
        <v>2690.9101528631245</v>
      </c>
      <c r="V80" s="15">
        <f t="shared" si="76"/>
        <v>2361.2118702519947</v>
      </c>
      <c r="W80" s="15">
        <f t="shared" ref="W80:Y80" si="77">IF(W18=0,0,W18*1000000/W28)</f>
        <v>2387.8053077894929</v>
      </c>
      <c r="X80" s="15">
        <f t="shared" si="77"/>
        <v>2061.4978198770855</v>
      </c>
      <c r="Y80" s="15">
        <f t="shared" si="77"/>
        <v>2217.4560700877864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482.64970427125132</v>
      </c>
      <c r="C81" s="41">
        <f t="shared" si="65"/>
        <v>482.64970427125138</v>
      </c>
      <c r="D81" s="41">
        <f t="shared" ref="D81:V81" si="78">IF(D19=0,0,D19*1000000/D29)</f>
        <v>482.64970427125144</v>
      </c>
      <c r="E81" s="41">
        <f t="shared" si="78"/>
        <v>482.64970427125138</v>
      </c>
      <c r="F81" s="41">
        <f t="shared" si="78"/>
        <v>482.64970427125138</v>
      </c>
      <c r="G81" s="41">
        <f t="shared" si="78"/>
        <v>469.07603423680456</v>
      </c>
      <c r="H81" s="41">
        <f t="shared" si="78"/>
        <v>470.78178079808481</v>
      </c>
      <c r="I81" s="41">
        <f t="shared" si="78"/>
        <v>476.76002182433444</v>
      </c>
      <c r="J81" s="41">
        <f t="shared" si="78"/>
        <v>490.27812892810869</v>
      </c>
      <c r="K81" s="41">
        <f t="shared" si="78"/>
        <v>514.77778134315611</v>
      </c>
      <c r="L81" s="41">
        <f t="shared" si="78"/>
        <v>527.52752460809336</v>
      </c>
      <c r="M81" s="41">
        <f t="shared" si="78"/>
        <v>534.95779515922845</v>
      </c>
      <c r="N81" s="41">
        <f t="shared" si="78"/>
        <v>540.90663345327062</v>
      </c>
      <c r="O81" s="41">
        <f t="shared" si="78"/>
        <v>532.26874260708803</v>
      </c>
      <c r="P81" s="41">
        <f t="shared" si="78"/>
        <v>523.01725819405931</v>
      </c>
      <c r="Q81" s="41">
        <f t="shared" si="78"/>
        <v>504.84190532942148</v>
      </c>
      <c r="R81" s="41">
        <f t="shared" si="78"/>
        <v>510.97464011001404</v>
      </c>
      <c r="S81" s="41">
        <f t="shared" si="78"/>
        <v>511.77552685822707</v>
      </c>
      <c r="T81" s="41">
        <f t="shared" si="78"/>
        <v>510.07669923092908</v>
      </c>
      <c r="U81" s="41">
        <f t="shared" si="78"/>
        <v>591.6594088149908</v>
      </c>
      <c r="V81" s="41">
        <f t="shared" si="78"/>
        <v>632.93372992266507</v>
      </c>
      <c r="W81" s="41">
        <f t="shared" ref="W81:Y81" si="79">IF(W19=0,0,W19*1000000/W29)</f>
        <v>654.67771175344944</v>
      </c>
      <c r="X81" s="41">
        <f t="shared" si="79"/>
        <v>624.36099071207423</v>
      </c>
      <c r="Y81" s="41">
        <f t="shared" si="79"/>
        <v>612.83853820598017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984.40390500680962</v>
      </c>
      <c r="C82" s="41">
        <f t="shared" si="65"/>
        <v>981.69444535300227</v>
      </c>
      <c r="D82" s="41">
        <f t="shared" ref="D82:V82" si="80">IF(D20=0,0,D20*1000000/D30)</f>
        <v>954.75192301134985</v>
      </c>
      <c r="E82" s="41">
        <f t="shared" si="80"/>
        <v>946.07457806770424</v>
      </c>
      <c r="F82" s="41">
        <f t="shared" si="80"/>
        <v>948.7588518919365</v>
      </c>
      <c r="G82" s="41">
        <f t="shared" si="80"/>
        <v>957.38339994425621</v>
      </c>
      <c r="H82" s="41">
        <f t="shared" si="80"/>
        <v>961.37788523050881</v>
      </c>
      <c r="I82" s="41">
        <f t="shared" si="80"/>
        <v>968.12795369226433</v>
      </c>
      <c r="J82" s="41">
        <f t="shared" si="80"/>
        <v>972.27469912567938</v>
      </c>
      <c r="K82" s="41">
        <f t="shared" si="80"/>
        <v>971.13369623516542</v>
      </c>
      <c r="L82" s="41">
        <f t="shared" si="80"/>
        <v>980.07490807832437</v>
      </c>
      <c r="M82" s="41">
        <f t="shared" si="80"/>
        <v>976.84375829208602</v>
      </c>
      <c r="N82" s="41">
        <f t="shared" si="80"/>
        <v>966.86866591977957</v>
      </c>
      <c r="O82" s="41">
        <f t="shared" si="80"/>
        <v>950.79547579138546</v>
      </c>
      <c r="P82" s="41">
        <f t="shared" si="80"/>
        <v>941.3669646736405</v>
      </c>
      <c r="Q82" s="41">
        <f t="shared" si="80"/>
        <v>926.23561930139579</v>
      </c>
      <c r="R82" s="41">
        <f t="shared" si="80"/>
        <v>912.1732641567603</v>
      </c>
      <c r="S82" s="41">
        <f t="shared" si="80"/>
        <v>899.58458378349974</v>
      </c>
      <c r="T82" s="41">
        <f t="shared" si="80"/>
        <v>891.62525104570386</v>
      </c>
      <c r="U82" s="41">
        <f t="shared" si="80"/>
        <v>884.08185569485408</v>
      </c>
      <c r="V82" s="41">
        <f t="shared" si="80"/>
        <v>884.02290425903914</v>
      </c>
      <c r="W82" s="41">
        <f t="shared" ref="W82:Y82" si="81">IF(W20=0,0,W20*1000000/W30)</f>
        <v>898.32993832487898</v>
      </c>
      <c r="X82" s="41">
        <f t="shared" si="81"/>
        <v>934.73992443536008</v>
      </c>
      <c r="Y82" s="41">
        <f t="shared" si="81"/>
        <v>940.6303215316135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5013.0284979359221</v>
      </c>
      <c r="C83" s="40">
        <f t="shared" si="65"/>
        <v>5013.0284979359221</v>
      </c>
      <c r="D83" s="40">
        <f t="shared" ref="D83:V83" si="82">IF(D21=0,0,D21*1000000/D31)</f>
        <v>5013.0284979359221</v>
      </c>
      <c r="E83" s="40">
        <f t="shared" si="82"/>
        <v>5013.0284979359221</v>
      </c>
      <c r="F83" s="40">
        <f t="shared" si="82"/>
        <v>5013.0284979359221</v>
      </c>
      <c r="G83" s="40">
        <f t="shared" si="82"/>
        <v>4864.862639821029</v>
      </c>
      <c r="H83" s="40">
        <f t="shared" si="82"/>
        <v>4965.8451180171478</v>
      </c>
      <c r="I83" s="40">
        <f t="shared" si="82"/>
        <v>5062.5623421137761</v>
      </c>
      <c r="J83" s="40">
        <f t="shared" si="82"/>
        <v>5198.0087358568326</v>
      </c>
      <c r="K83" s="40">
        <f t="shared" si="82"/>
        <v>5190.8972742606247</v>
      </c>
      <c r="L83" s="40">
        <f t="shared" si="82"/>
        <v>5242.5277453271028</v>
      </c>
      <c r="M83" s="40">
        <f t="shared" si="82"/>
        <v>5013.0422603837378</v>
      </c>
      <c r="N83" s="40">
        <f t="shared" si="82"/>
        <v>4580.3506105834467</v>
      </c>
      <c r="O83" s="40">
        <f t="shared" si="82"/>
        <v>4675.8323856153074</v>
      </c>
      <c r="P83" s="40">
        <f t="shared" si="82"/>
        <v>4985.9220446090476</v>
      </c>
      <c r="Q83" s="40">
        <f t="shared" si="82"/>
        <v>5314.2825233746044</v>
      </c>
      <c r="R83" s="40">
        <f t="shared" si="82"/>
        <v>5606.5558267924343</v>
      </c>
      <c r="S83" s="40">
        <f t="shared" si="82"/>
        <v>5824.9499441515991</v>
      </c>
      <c r="T83" s="40">
        <f t="shared" si="82"/>
        <v>6046.6647607583527</v>
      </c>
      <c r="U83" s="40">
        <f t="shared" si="82"/>
        <v>6617.1315440689195</v>
      </c>
      <c r="V83" s="40">
        <f t="shared" si="82"/>
        <v>6176.1920595533493</v>
      </c>
      <c r="W83" s="40">
        <f t="shared" ref="W83:Y83" si="83">IF(W21=0,0,W21*1000000/W31)</f>
        <v>6162.9631715771229</v>
      </c>
      <c r="X83" s="40">
        <f t="shared" si="83"/>
        <v>5456.0850860420651</v>
      </c>
      <c r="Y83" s="40">
        <f t="shared" si="83"/>
        <v>5827.42905982906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126662.69701756355</v>
      </c>
      <c r="C86" s="11">
        <f t="shared" si="84"/>
        <v>127387.177036265</v>
      </c>
      <c r="D86" s="11">
        <f t="shared" ref="D86:V86" si="85">IF(D4=0,0,D4*1000000/D24)</f>
        <v>128024.50265031209</v>
      </c>
      <c r="E86" s="11">
        <f t="shared" si="85"/>
        <v>119849.51274836951</v>
      </c>
      <c r="F86" s="11">
        <f t="shared" si="85"/>
        <v>136909.07727953533</v>
      </c>
      <c r="G86" s="11">
        <f t="shared" si="85"/>
        <v>139448.44801273162</v>
      </c>
      <c r="H86" s="11">
        <f t="shared" si="85"/>
        <v>140122.29764591675</v>
      </c>
      <c r="I86" s="11">
        <f t="shared" si="85"/>
        <v>138316.93876785962</v>
      </c>
      <c r="J86" s="11">
        <f t="shared" si="85"/>
        <v>141492.78799634406</v>
      </c>
      <c r="K86" s="11">
        <f t="shared" si="85"/>
        <v>141731.70048651844</v>
      </c>
      <c r="L86" s="11">
        <f t="shared" si="85"/>
        <v>150261.32720285081</v>
      </c>
      <c r="M86" s="11">
        <f t="shared" si="85"/>
        <v>155733.96463250485</v>
      </c>
      <c r="N86" s="11">
        <f t="shared" si="85"/>
        <v>160520.3992849983</v>
      </c>
      <c r="O86" s="11">
        <f t="shared" si="85"/>
        <v>169539.86838872576</v>
      </c>
      <c r="P86" s="11">
        <f t="shared" si="85"/>
        <v>179079.8548295011</v>
      </c>
      <c r="Q86" s="11">
        <f t="shared" si="85"/>
        <v>181687.39541872125</v>
      </c>
      <c r="R86" s="11">
        <f t="shared" si="85"/>
        <v>186522.99128075995</v>
      </c>
      <c r="S86" s="11">
        <f t="shared" si="85"/>
        <v>196319.95870648621</v>
      </c>
      <c r="T86" s="11">
        <f t="shared" si="85"/>
        <v>205364.36549478868</v>
      </c>
      <c r="U86" s="11">
        <f t="shared" si="85"/>
        <v>213337.2009811606</v>
      </c>
      <c r="V86" s="11">
        <f t="shared" si="85"/>
        <v>136137.710806068</v>
      </c>
      <c r="W86" s="11">
        <f t="shared" ref="W86:Y86" si="86">IF(W4=0,0,W4*1000000/W24)</f>
        <v>133564.23580125938</v>
      </c>
      <c r="X86" s="11">
        <f t="shared" si="86"/>
        <v>182882.66833788776</v>
      </c>
      <c r="Y86" s="11">
        <f t="shared" si="86"/>
        <v>216466.96219899468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52201.05476557037</v>
      </c>
      <c r="C87" s="36">
        <f t="shared" si="84"/>
        <v>52719.781631995749</v>
      </c>
      <c r="D87" s="36">
        <f t="shared" ref="D87:V87" si="87">IF(D5=0,0,D5*1000000/D25)</f>
        <v>53370.935013152433</v>
      </c>
      <c r="E87" s="36">
        <f t="shared" si="87"/>
        <v>52266.833182405877</v>
      </c>
      <c r="F87" s="36">
        <f t="shared" si="87"/>
        <v>54697.385933128724</v>
      </c>
      <c r="G87" s="36">
        <f t="shared" si="87"/>
        <v>54573.228585355224</v>
      </c>
      <c r="H87" s="36">
        <f t="shared" si="87"/>
        <v>54527.967741685025</v>
      </c>
      <c r="I87" s="36">
        <f t="shared" si="87"/>
        <v>54912.242987943158</v>
      </c>
      <c r="J87" s="36">
        <f t="shared" si="87"/>
        <v>57738.447962829741</v>
      </c>
      <c r="K87" s="36">
        <f t="shared" si="87"/>
        <v>61554.78823245789</v>
      </c>
      <c r="L87" s="36">
        <f t="shared" si="87"/>
        <v>66317.993809047548</v>
      </c>
      <c r="M87" s="36">
        <f t="shared" si="87"/>
        <v>70867.049677212315</v>
      </c>
      <c r="N87" s="36">
        <f t="shared" si="87"/>
        <v>71030.30065673613</v>
      </c>
      <c r="O87" s="36">
        <f t="shared" si="87"/>
        <v>74630.87512135299</v>
      </c>
      <c r="P87" s="36">
        <f t="shared" si="87"/>
        <v>76883.032093096917</v>
      </c>
      <c r="Q87" s="36">
        <f t="shared" si="87"/>
        <v>81166.158609046703</v>
      </c>
      <c r="R87" s="36">
        <f t="shared" si="87"/>
        <v>84582.03849861362</v>
      </c>
      <c r="S87" s="36">
        <f t="shared" si="87"/>
        <v>87029.09499806141</v>
      </c>
      <c r="T87" s="36">
        <f t="shared" si="87"/>
        <v>89603.497787367669</v>
      </c>
      <c r="U87" s="36">
        <f t="shared" si="87"/>
        <v>89996.386758033099</v>
      </c>
      <c r="V87" s="36">
        <f t="shared" si="87"/>
        <v>70182.7632983316</v>
      </c>
      <c r="W87" s="36">
        <f t="shared" ref="W87:Y87" si="88">IF(W5=0,0,W5*1000000/W25)</f>
        <v>87704.569158323939</v>
      </c>
      <c r="X87" s="36">
        <f t="shared" si="88"/>
        <v>96715.55216392914</v>
      </c>
      <c r="Y87" s="36">
        <f t="shared" si="88"/>
        <v>97374.124268062922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104278.72385585652</v>
      </c>
      <c r="C88" s="36">
        <f t="shared" si="84"/>
        <v>105802.07391689719</v>
      </c>
      <c r="D88" s="36">
        <f t="shared" ref="D88:V88" si="89">IF(D6=0,0,D6*1000000/D26)</f>
        <v>106334.23180722883</v>
      </c>
      <c r="E88" s="36">
        <f t="shared" si="89"/>
        <v>101632.18114015707</v>
      </c>
      <c r="F88" s="36">
        <f t="shared" si="89"/>
        <v>109156.51905483268</v>
      </c>
      <c r="G88" s="36">
        <f t="shared" si="89"/>
        <v>113474.37433646576</v>
      </c>
      <c r="H88" s="36">
        <f t="shared" si="89"/>
        <v>116246.62934941506</v>
      </c>
      <c r="I88" s="36">
        <f t="shared" si="89"/>
        <v>112277.27143244025</v>
      </c>
      <c r="J88" s="36">
        <f t="shared" si="89"/>
        <v>112557.12893415356</v>
      </c>
      <c r="K88" s="36">
        <f t="shared" si="89"/>
        <v>115560.34822910337</v>
      </c>
      <c r="L88" s="36">
        <f t="shared" si="89"/>
        <v>119391.77675169102</v>
      </c>
      <c r="M88" s="36">
        <f t="shared" si="89"/>
        <v>128574.70341611699</v>
      </c>
      <c r="N88" s="36">
        <f t="shared" si="89"/>
        <v>129942.0304579846</v>
      </c>
      <c r="O88" s="36">
        <f t="shared" si="89"/>
        <v>136826.78375337509</v>
      </c>
      <c r="P88" s="36">
        <f t="shared" si="89"/>
        <v>141614.30529625458</v>
      </c>
      <c r="Q88" s="36">
        <f t="shared" si="89"/>
        <v>143965.32664716386</v>
      </c>
      <c r="R88" s="36">
        <f t="shared" si="89"/>
        <v>147653.37924496064</v>
      </c>
      <c r="S88" s="36">
        <f t="shared" si="89"/>
        <v>154669.14235356622</v>
      </c>
      <c r="T88" s="36">
        <f t="shared" si="89"/>
        <v>158279.65487145114</v>
      </c>
      <c r="U88" s="36">
        <f t="shared" si="89"/>
        <v>160703.27975036899</v>
      </c>
      <c r="V88" s="36">
        <f t="shared" si="89"/>
        <v>117131.87848118122</v>
      </c>
      <c r="W88" s="36">
        <f t="shared" ref="W88:Y88" si="90">IF(W6=0,0,W6*1000000/W26)</f>
        <v>123384.88216160169</v>
      </c>
      <c r="X88" s="36">
        <f t="shared" si="90"/>
        <v>154089.24264635128</v>
      </c>
      <c r="Y88" s="36">
        <f t="shared" si="90"/>
        <v>166416.97252777973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751668.88799690269</v>
      </c>
      <c r="C89" s="36">
        <f t="shared" si="84"/>
        <v>753853.7431282209</v>
      </c>
      <c r="D89" s="36">
        <f t="shared" ref="D89:V89" si="91">IF(D7=0,0,D7*1000000/D27)</f>
        <v>755842.15925765096</v>
      </c>
      <c r="E89" s="36">
        <f t="shared" si="91"/>
        <v>684405.25183615042</v>
      </c>
      <c r="F89" s="36">
        <f t="shared" si="91"/>
        <v>740214.01988336025</v>
      </c>
      <c r="G89" s="36">
        <f t="shared" si="91"/>
        <v>691969.29375743167</v>
      </c>
      <c r="H89" s="36">
        <f t="shared" si="91"/>
        <v>682996.79805071803</v>
      </c>
      <c r="I89" s="36">
        <f t="shared" si="91"/>
        <v>681149.34753577155</v>
      </c>
      <c r="J89" s="36">
        <f t="shared" si="91"/>
        <v>676483.55074391968</v>
      </c>
      <c r="K89" s="36">
        <f t="shared" si="91"/>
        <v>640148.42900324147</v>
      </c>
      <c r="L89" s="36">
        <f t="shared" si="91"/>
        <v>637303.43224767118</v>
      </c>
      <c r="M89" s="36">
        <f t="shared" si="91"/>
        <v>649916.37249608187</v>
      </c>
      <c r="N89" s="36">
        <f t="shared" si="91"/>
        <v>636248.93112256983</v>
      </c>
      <c r="O89" s="36">
        <f t="shared" si="91"/>
        <v>620696.31636322034</v>
      </c>
      <c r="P89" s="36">
        <f t="shared" si="91"/>
        <v>650400.94183039281</v>
      </c>
      <c r="Q89" s="36">
        <f t="shared" si="91"/>
        <v>679501.81801015651</v>
      </c>
      <c r="R89" s="36">
        <f t="shared" si="91"/>
        <v>693746.43925902294</v>
      </c>
      <c r="S89" s="36">
        <f t="shared" si="91"/>
        <v>712151.79637516267</v>
      </c>
      <c r="T89" s="36">
        <f t="shared" si="91"/>
        <v>705027.03680203017</v>
      </c>
      <c r="U89" s="36">
        <f t="shared" si="91"/>
        <v>728068.24118345021</v>
      </c>
      <c r="V89" s="36">
        <f t="shared" si="91"/>
        <v>488374.22528275166</v>
      </c>
      <c r="W89" s="36">
        <f t="shared" ref="W89:Y89" si="92">IF(W7=0,0,W7*1000000/W27)</f>
        <v>386781.90102168667</v>
      </c>
      <c r="X89" s="36">
        <f t="shared" si="92"/>
        <v>660731.92133039352</v>
      </c>
      <c r="Y89" s="36">
        <f t="shared" si="92"/>
        <v>779053.32871366909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138507.65127929283</v>
      </c>
      <c r="C90" s="13">
        <f t="shared" si="84"/>
        <v>51871.812359409036</v>
      </c>
      <c r="D90" s="13">
        <f t="shared" ref="D90:V90" si="93">IF(D8=0,0,D8*1000000/D28)</f>
        <v>83454.429628038954</v>
      </c>
      <c r="E90" s="13">
        <f t="shared" si="93"/>
        <v>79347.064550713549</v>
      </c>
      <c r="F90" s="13">
        <f t="shared" si="93"/>
        <v>77074.96568068894</v>
      </c>
      <c r="G90" s="13">
        <f t="shared" si="93"/>
        <v>80619.488826284112</v>
      </c>
      <c r="H90" s="13">
        <f t="shared" si="93"/>
        <v>82774.597562787574</v>
      </c>
      <c r="I90" s="13">
        <f t="shared" si="93"/>
        <v>84945.018114289342</v>
      </c>
      <c r="J90" s="13">
        <f t="shared" si="93"/>
        <v>82848.849962094508</v>
      </c>
      <c r="K90" s="13">
        <f t="shared" si="93"/>
        <v>81325.345010833902</v>
      </c>
      <c r="L90" s="13">
        <f t="shared" si="93"/>
        <v>103863.46287804743</v>
      </c>
      <c r="M90" s="13">
        <f t="shared" si="93"/>
        <v>118829.3195846453</v>
      </c>
      <c r="N90" s="13">
        <f t="shared" si="93"/>
        <v>119185.15313792463</v>
      </c>
      <c r="O90" s="13">
        <f t="shared" si="93"/>
        <v>126771.04314114085</v>
      </c>
      <c r="P90" s="13">
        <f t="shared" si="93"/>
        <v>158605.81066297524</v>
      </c>
      <c r="Q90" s="13">
        <f t="shared" si="93"/>
        <v>172324.58159964278</v>
      </c>
      <c r="R90" s="13">
        <f t="shared" si="93"/>
        <v>213870.37710613071</v>
      </c>
      <c r="S90" s="13">
        <f t="shared" si="93"/>
        <v>217996.49684805991</v>
      </c>
      <c r="T90" s="13">
        <f t="shared" si="93"/>
        <v>219079.38480092766</v>
      </c>
      <c r="U90" s="13">
        <f t="shared" si="93"/>
        <v>236919.04405277967</v>
      </c>
      <c r="V90" s="13">
        <f t="shared" si="93"/>
        <v>149279.78426990838</v>
      </c>
      <c r="W90" s="13">
        <f t="shared" ref="W90:Y90" si="94">IF(W8=0,0,W8*1000000/W28)</f>
        <v>137199.49319401637</v>
      </c>
      <c r="X90" s="13">
        <f t="shared" si="94"/>
        <v>124819.09630719373</v>
      </c>
      <c r="Y90" s="13">
        <f t="shared" si="94"/>
        <v>143268.46805306021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4946.7088560436878</v>
      </c>
      <c r="C91" s="34">
        <f t="shared" si="84"/>
        <v>4908.9839855756463</v>
      </c>
      <c r="D91" s="34">
        <f t="shared" ref="D91:V91" si="95">IF(D9=0,0,D9*1000000/D29)</f>
        <v>5048.0457791596255</v>
      </c>
      <c r="E91" s="34">
        <f t="shared" si="95"/>
        <v>5369.5710370499855</v>
      </c>
      <c r="F91" s="34">
        <f t="shared" si="95"/>
        <v>5056.2739640045538</v>
      </c>
      <c r="G91" s="34">
        <f t="shared" si="95"/>
        <v>4809.0792607242265</v>
      </c>
      <c r="H91" s="34">
        <f t="shared" si="95"/>
        <v>4642.6335242929563</v>
      </c>
      <c r="I91" s="34">
        <f t="shared" si="95"/>
        <v>4684.1313321936141</v>
      </c>
      <c r="J91" s="34">
        <f t="shared" si="95"/>
        <v>4634.3480261010154</v>
      </c>
      <c r="K91" s="34">
        <f t="shared" si="95"/>
        <v>4907.9593192112479</v>
      </c>
      <c r="L91" s="34">
        <f t="shared" si="95"/>
        <v>5379.3751323402666</v>
      </c>
      <c r="M91" s="34">
        <f t="shared" si="95"/>
        <v>6056.9060790480407</v>
      </c>
      <c r="N91" s="34">
        <f t="shared" si="95"/>
        <v>6285.4740101128746</v>
      </c>
      <c r="O91" s="34">
        <f t="shared" si="95"/>
        <v>6386.5136122916974</v>
      </c>
      <c r="P91" s="34">
        <f t="shared" si="95"/>
        <v>6962.4994423244352</v>
      </c>
      <c r="Q91" s="34">
        <f t="shared" si="95"/>
        <v>7072.8168717861308</v>
      </c>
      <c r="R91" s="34">
        <f t="shared" si="95"/>
        <v>8200.7230091793444</v>
      </c>
      <c r="S91" s="34">
        <f t="shared" si="95"/>
        <v>7530.5735296822495</v>
      </c>
      <c r="T91" s="34">
        <f t="shared" si="95"/>
        <v>7589.242302306694</v>
      </c>
      <c r="U91" s="34">
        <f t="shared" si="95"/>
        <v>9690.6532997064842</v>
      </c>
      <c r="V91" s="34">
        <f t="shared" si="95"/>
        <v>9681.9954837264359</v>
      </c>
      <c r="W91" s="34">
        <f t="shared" ref="W91:Y91" si="96">IF(W9=0,0,W9*1000000/W29)</f>
        <v>10036.393206271492</v>
      </c>
      <c r="X91" s="34">
        <f t="shared" si="96"/>
        <v>9662.6406667094179</v>
      </c>
      <c r="Y91" s="34">
        <f t="shared" si="96"/>
        <v>9394.7278624278588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22390.587837032879</v>
      </c>
      <c r="C92" s="34">
        <f t="shared" si="84"/>
        <v>23504.270227044082</v>
      </c>
      <c r="D92" s="34">
        <f t="shared" ref="D92:V92" si="97">IF(D10=0,0,D10*1000000/D30)</f>
        <v>22761.090205053988</v>
      </c>
      <c r="E92" s="34">
        <f t="shared" si="97"/>
        <v>23276.577889105458</v>
      </c>
      <c r="F92" s="34">
        <f t="shared" si="97"/>
        <v>21122.191295242395</v>
      </c>
      <c r="G92" s="34">
        <f t="shared" si="97"/>
        <v>20839.150965758108</v>
      </c>
      <c r="H92" s="34">
        <f t="shared" si="97"/>
        <v>17786.836044818516</v>
      </c>
      <c r="I92" s="34">
        <f t="shared" si="97"/>
        <v>17286.887228486539</v>
      </c>
      <c r="J92" s="34">
        <f t="shared" si="97"/>
        <v>16877.134349111733</v>
      </c>
      <c r="K92" s="34">
        <f t="shared" si="97"/>
        <v>17251.458361467201</v>
      </c>
      <c r="L92" s="34">
        <f t="shared" si="97"/>
        <v>17662.493984171968</v>
      </c>
      <c r="M92" s="34">
        <f t="shared" si="97"/>
        <v>18673.471131087117</v>
      </c>
      <c r="N92" s="34">
        <f t="shared" si="97"/>
        <v>20246.134641751327</v>
      </c>
      <c r="O92" s="34">
        <f t="shared" si="97"/>
        <v>19800.182842050101</v>
      </c>
      <c r="P92" s="34">
        <f t="shared" si="97"/>
        <v>22583.16924238488</v>
      </c>
      <c r="Q92" s="34">
        <f t="shared" si="97"/>
        <v>22141.05229225173</v>
      </c>
      <c r="R92" s="34">
        <f t="shared" si="97"/>
        <v>24057.886241328808</v>
      </c>
      <c r="S92" s="34">
        <f t="shared" si="97"/>
        <v>21816.840911914889</v>
      </c>
      <c r="T92" s="34">
        <f t="shared" si="97"/>
        <v>21822.523282766429</v>
      </c>
      <c r="U92" s="34">
        <f t="shared" si="97"/>
        <v>22647.606690412253</v>
      </c>
      <c r="V92" s="34">
        <f t="shared" si="97"/>
        <v>19253.498300936768</v>
      </c>
      <c r="W92" s="34">
        <f t="shared" ref="W92:Y92" si="98">IF(W10=0,0,W10*1000000/W30)</f>
        <v>19128.789763352692</v>
      </c>
      <c r="X92" s="34">
        <f t="shared" si="98"/>
        <v>19776.444816121901</v>
      </c>
      <c r="Y92" s="34">
        <f t="shared" si="98"/>
        <v>19929.078183808018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418825.35399751615</v>
      </c>
      <c r="C93" s="35">
        <f t="shared" si="84"/>
        <v>438895.70476751903</v>
      </c>
      <c r="D93" s="35">
        <f t="shared" ref="D93:V93" si="99">IF(D11=0,0,D11*1000000/D31)</f>
        <v>414396.00673601928</v>
      </c>
      <c r="E93" s="35">
        <f t="shared" si="99"/>
        <v>376531.42502168939</v>
      </c>
      <c r="F93" s="35">
        <f t="shared" si="99"/>
        <v>365452.99743382208</v>
      </c>
      <c r="G93" s="35">
        <f t="shared" si="99"/>
        <v>333522.86104247527</v>
      </c>
      <c r="H93" s="35">
        <f t="shared" si="99"/>
        <v>329112.07297454547</v>
      </c>
      <c r="I93" s="35">
        <f t="shared" si="99"/>
        <v>329924.83401771687</v>
      </c>
      <c r="J93" s="35">
        <f t="shared" si="99"/>
        <v>331926.61263022211</v>
      </c>
      <c r="K93" s="35">
        <f t="shared" si="99"/>
        <v>373835.14623467234</v>
      </c>
      <c r="L93" s="35">
        <f t="shared" si="99"/>
        <v>383815.47789734119</v>
      </c>
      <c r="M93" s="35">
        <f t="shared" si="99"/>
        <v>379684.5638633059</v>
      </c>
      <c r="N93" s="35">
        <f t="shared" si="99"/>
        <v>374158.12270629371</v>
      </c>
      <c r="O93" s="35">
        <f t="shared" si="99"/>
        <v>386992.75908489339</v>
      </c>
      <c r="P93" s="35">
        <f t="shared" si="99"/>
        <v>466086.34137198969</v>
      </c>
      <c r="Q93" s="35">
        <f t="shared" si="99"/>
        <v>491813.22620864923</v>
      </c>
      <c r="R93" s="35">
        <f t="shared" si="99"/>
        <v>562880.98833773541</v>
      </c>
      <c r="S93" s="35">
        <f t="shared" si="99"/>
        <v>578155.42190845241</v>
      </c>
      <c r="T93" s="35">
        <f t="shared" si="99"/>
        <v>607219.60271728912</v>
      </c>
      <c r="U93" s="35">
        <f t="shared" si="99"/>
        <v>692251.8316156395</v>
      </c>
      <c r="V93" s="35">
        <f t="shared" si="99"/>
        <v>478494.95855006942</v>
      </c>
      <c r="W93" s="35">
        <f t="shared" ref="W93:Y93" si="100">IF(W11=0,0,W11*1000000/W31)</f>
        <v>430943.96462197817</v>
      </c>
      <c r="X93" s="35">
        <f t="shared" si="100"/>
        <v>429088.08711214626</v>
      </c>
      <c r="Y93" s="35">
        <f t="shared" si="100"/>
        <v>479051.4878242297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1305.3773031290266</v>
      </c>
      <c r="C95" s="62">
        <f t="shared" si="101"/>
        <v>1297.5922084212716</v>
      </c>
      <c r="D95" s="62">
        <f t="shared" ref="D95:V95" si="102">IF(D23=0,0,D23/D43)</f>
        <v>1306.5916205606891</v>
      </c>
      <c r="E95" s="62">
        <f t="shared" si="102"/>
        <v>1306.5237049706443</v>
      </c>
      <c r="F95" s="62">
        <f t="shared" si="102"/>
        <v>1265.3707378753666</v>
      </c>
      <c r="G95" s="62">
        <f t="shared" si="102"/>
        <v>1250.620846687902</v>
      </c>
      <c r="H95" s="62">
        <f t="shared" si="102"/>
        <v>1251.7727127360224</v>
      </c>
      <c r="I95" s="62">
        <f t="shared" si="102"/>
        <v>1254.4203977652624</v>
      </c>
      <c r="J95" s="62">
        <f t="shared" si="102"/>
        <v>1239.2716768625487</v>
      </c>
      <c r="K95" s="62">
        <f t="shared" si="102"/>
        <v>1241.7221684786487</v>
      </c>
      <c r="L95" s="62">
        <f t="shared" si="102"/>
        <v>1230.4447634122489</v>
      </c>
      <c r="M95" s="62">
        <f t="shared" si="102"/>
        <v>1232.7901766210082</v>
      </c>
      <c r="N95" s="62">
        <f t="shared" si="102"/>
        <v>1220.7641161166025</v>
      </c>
      <c r="O95" s="62">
        <f t="shared" si="102"/>
        <v>1204.8398535551391</v>
      </c>
      <c r="P95" s="62">
        <f t="shared" si="102"/>
        <v>1181.1320670013156</v>
      </c>
      <c r="Q95" s="62">
        <f t="shared" si="102"/>
        <v>1184.8898723829343</v>
      </c>
      <c r="R95" s="62">
        <f t="shared" si="102"/>
        <v>1172.8021605228048</v>
      </c>
      <c r="S95" s="62">
        <f t="shared" si="102"/>
        <v>1158.1356509082775</v>
      </c>
      <c r="T95" s="62">
        <f t="shared" si="102"/>
        <v>1133.9624981560503</v>
      </c>
      <c r="U95" s="62">
        <f t="shared" si="102"/>
        <v>1117.7223451274274</v>
      </c>
      <c r="V95" s="62">
        <f t="shared" si="102"/>
        <v>463.04426666819865</v>
      </c>
      <c r="W95" s="62">
        <f t="shared" ref="W95:Y95" si="103">IF(W23=0,0,W23/W43)</f>
        <v>643.76109509833043</v>
      </c>
      <c r="X95" s="62">
        <f t="shared" si="103"/>
        <v>1053.2578407530443</v>
      </c>
      <c r="Y95" s="62">
        <f t="shared" si="103"/>
        <v>1124.3052836192844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1331.7915474871372</v>
      </c>
      <c r="C96" s="11">
        <f t="shared" si="104"/>
        <v>1333.6692927532231</v>
      </c>
      <c r="D96" s="11">
        <f t="shared" ref="D96:V96" si="105">IF(D24=0,0,D24/D44)</f>
        <v>1334.0183393594682</v>
      </c>
      <c r="E96" s="11">
        <f t="shared" si="105"/>
        <v>1330.933019706669</v>
      </c>
      <c r="F96" s="11">
        <f t="shared" si="105"/>
        <v>1289.0565561391697</v>
      </c>
      <c r="G96" s="11">
        <f t="shared" si="105"/>
        <v>1276.0610846901673</v>
      </c>
      <c r="H96" s="11">
        <f t="shared" si="105"/>
        <v>1279.7210743349963</v>
      </c>
      <c r="I96" s="11">
        <f t="shared" si="105"/>
        <v>1283.7670347126441</v>
      </c>
      <c r="J96" s="11">
        <f t="shared" si="105"/>
        <v>1270.6600898429522</v>
      </c>
      <c r="K96" s="11">
        <f t="shared" si="105"/>
        <v>1276.4743128204495</v>
      </c>
      <c r="L96" s="11">
        <f t="shared" si="105"/>
        <v>1261.0082646947624</v>
      </c>
      <c r="M96" s="11">
        <f t="shared" si="105"/>
        <v>1266.012528010592</v>
      </c>
      <c r="N96" s="11">
        <f t="shared" si="105"/>
        <v>1253.9467624119891</v>
      </c>
      <c r="O96" s="11">
        <f t="shared" si="105"/>
        <v>1235.25617332306</v>
      </c>
      <c r="P96" s="11">
        <f t="shared" si="105"/>
        <v>1212.0523804324725</v>
      </c>
      <c r="Q96" s="11">
        <f t="shared" si="105"/>
        <v>1216.3988288356038</v>
      </c>
      <c r="R96" s="11">
        <f t="shared" si="105"/>
        <v>1205.2673813307297</v>
      </c>
      <c r="S96" s="11">
        <f t="shared" si="105"/>
        <v>1189.3969490454949</v>
      </c>
      <c r="T96" s="11">
        <f t="shared" si="105"/>
        <v>1160.5008938350657</v>
      </c>
      <c r="U96" s="11">
        <f t="shared" si="105"/>
        <v>1142.2771693853679</v>
      </c>
      <c r="V96" s="11">
        <f t="shared" si="105"/>
        <v>457.48916274261461</v>
      </c>
      <c r="W96" s="11">
        <f t="shared" ref="W96:Y96" si="106">IF(W24=0,0,W24/W44)</f>
        <v>644.84924234718312</v>
      </c>
      <c r="X96" s="11">
        <f t="shared" si="106"/>
        <v>1077.1614422260027</v>
      </c>
      <c r="Y96" s="11">
        <f t="shared" si="106"/>
        <v>1151.7591560303915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1923</v>
      </c>
      <c r="C97" s="36">
        <f t="shared" si="104"/>
        <v>1923</v>
      </c>
      <c r="D97" s="36">
        <f t="shared" ref="D97:V97" si="107">IF(D25=0,0,D25/D45)</f>
        <v>1923</v>
      </c>
      <c r="E97" s="36">
        <f t="shared" si="107"/>
        <v>1922.9999999999998</v>
      </c>
      <c r="F97" s="36">
        <f t="shared" si="107"/>
        <v>1923</v>
      </c>
      <c r="G97" s="36">
        <f t="shared" si="107"/>
        <v>1940.0000000000002</v>
      </c>
      <c r="H97" s="36">
        <f t="shared" si="107"/>
        <v>1944</v>
      </c>
      <c r="I97" s="36">
        <f t="shared" si="107"/>
        <v>1943</v>
      </c>
      <c r="J97" s="36">
        <f t="shared" si="107"/>
        <v>1932</v>
      </c>
      <c r="K97" s="36">
        <f t="shared" si="107"/>
        <v>1907.0000000000002</v>
      </c>
      <c r="L97" s="36">
        <f t="shared" si="107"/>
        <v>1897.9999999999998</v>
      </c>
      <c r="M97" s="36">
        <f t="shared" si="107"/>
        <v>1906.0000000000002</v>
      </c>
      <c r="N97" s="36">
        <f t="shared" si="107"/>
        <v>1915</v>
      </c>
      <c r="O97" s="36">
        <f t="shared" si="107"/>
        <v>1911.9999999999998</v>
      </c>
      <c r="P97" s="36">
        <f t="shared" si="107"/>
        <v>1910</v>
      </c>
      <c r="Q97" s="36">
        <f t="shared" si="107"/>
        <v>1919</v>
      </c>
      <c r="R97" s="36">
        <f t="shared" si="107"/>
        <v>1898</v>
      </c>
      <c r="S97" s="36">
        <f t="shared" si="107"/>
        <v>1884</v>
      </c>
      <c r="T97" s="36">
        <f t="shared" si="107"/>
        <v>1872.0000000000002</v>
      </c>
      <c r="U97" s="36">
        <f t="shared" si="107"/>
        <v>1861</v>
      </c>
      <c r="V97" s="36">
        <f t="shared" si="107"/>
        <v>990.50678388812901</v>
      </c>
      <c r="W97" s="36">
        <f t="shared" ref="W97:Y97" si="108">IF(W25=0,0,W25/W45)</f>
        <v>1474.5930198792419</v>
      </c>
      <c r="X97" s="36">
        <f t="shared" si="108"/>
        <v>1816</v>
      </c>
      <c r="Y97" s="36">
        <f t="shared" si="108"/>
        <v>1836.0000000000002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1360.357672574798</v>
      </c>
      <c r="C98" s="36">
        <f t="shared" si="104"/>
        <v>1360.3585019994564</v>
      </c>
      <c r="D98" s="36">
        <f t="shared" ref="D98:V98" si="109">IF(D26=0,0,D26/D46)</f>
        <v>1360.3589166186375</v>
      </c>
      <c r="E98" s="36">
        <f t="shared" si="109"/>
        <v>1353.3157510487595</v>
      </c>
      <c r="F98" s="36">
        <f t="shared" si="109"/>
        <v>1351.4807547273203</v>
      </c>
      <c r="G98" s="36">
        <f t="shared" si="109"/>
        <v>1345.8580355631489</v>
      </c>
      <c r="H98" s="36">
        <f t="shared" si="109"/>
        <v>1343.0575527305625</v>
      </c>
      <c r="I98" s="36">
        <f t="shared" si="109"/>
        <v>1341.4184553763839</v>
      </c>
      <c r="J98" s="36">
        <f t="shared" si="109"/>
        <v>1335.7183954720144</v>
      </c>
      <c r="K98" s="36">
        <f t="shared" si="109"/>
        <v>1333.9771659397368</v>
      </c>
      <c r="L98" s="36">
        <f t="shared" si="109"/>
        <v>1336.6524106947943</v>
      </c>
      <c r="M98" s="36">
        <f t="shared" si="109"/>
        <v>1341.5252686268575</v>
      </c>
      <c r="N98" s="36">
        <f t="shared" si="109"/>
        <v>1349.3457583627571</v>
      </c>
      <c r="O98" s="36">
        <f t="shared" si="109"/>
        <v>1344.3240978280912</v>
      </c>
      <c r="P98" s="36">
        <f t="shared" si="109"/>
        <v>1336.4628306288425</v>
      </c>
      <c r="Q98" s="36">
        <f t="shared" si="109"/>
        <v>1330.489900940951</v>
      </c>
      <c r="R98" s="36">
        <f t="shared" si="109"/>
        <v>1326.2750277489054</v>
      </c>
      <c r="S98" s="36">
        <f t="shared" si="109"/>
        <v>1321.8563033997132</v>
      </c>
      <c r="T98" s="36">
        <f t="shared" si="109"/>
        <v>1316.4195119199856</v>
      </c>
      <c r="U98" s="36">
        <f t="shared" si="109"/>
        <v>1317.336028611682</v>
      </c>
      <c r="V98" s="36">
        <f t="shared" si="109"/>
        <v>442.80098940967525</v>
      </c>
      <c r="W98" s="36">
        <f t="shared" ref="W98:Y98" si="110">IF(W26=0,0,W26/W46)</f>
        <v>609.770084346712</v>
      </c>
      <c r="X98" s="36">
        <f t="shared" si="110"/>
        <v>1268.7432293150041</v>
      </c>
      <c r="Y98" s="36">
        <f t="shared" si="110"/>
        <v>1299.0253574408446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419</v>
      </c>
      <c r="C99" s="36">
        <f t="shared" si="104"/>
        <v>419</v>
      </c>
      <c r="D99" s="36">
        <f t="shared" ref="D99:V99" si="111">IF(D27=0,0,D27/D47)</f>
        <v>419</v>
      </c>
      <c r="E99" s="36">
        <f t="shared" si="111"/>
        <v>419</v>
      </c>
      <c r="F99" s="36">
        <f t="shared" si="111"/>
        <v>419</v>
      </c>
      <c r="G99" s="36">
        <f t="shared" si="111"/>
        <v>431</v>
      </c>
      <c r="H99" s="36">
        <f t="shared" si="111"/>
        <v>436.99999999999994</v>
      </c>
      <c r="I99" s="36">
        <f t="shared" si="111"/>
        <v>443</v>
      </c>
      <c r="J99" s="36">
        <f t="shared" si="111"/>
        <v>445</v>
      </c>
      <c r="K99" s="36">
        <f t="shared" si="111"/>
        <v>462</v>
      </c>
      <c r="L99" s="36">
        <f t="shared" si="111"/>
        <v>473</v>
      </c>
      <c r="M99" s="36">
        <f t="shared" si="111"/>
        <v>463.99999999999994</v>
      </c>
      <c r="N99" s="36">
        <f t="shared" si="111"/>
        <v>475.00000000000006</v>
      </c>
      <c r="O99" s="36">
        <f t="shared" si="111"/>
        <v>489.00000000000006</v>
      </c>
      <c r="P99" s="36">
        <f t="shared" si="111"/>
        <v>479.99999999999994</v>
      </c>
      <c r="Q99" s="36">
        <f t="shared" si="111"/>
        <v>469</v>
      </c>
      <c r="R99" s="36">
        <f t="shared" si="111"/>
        <v>463</v>
      </c>
      <c r="S99" s="36">
        <f t="shared" si="111"/>
        <v>463</v>
      </c>
      <c r="T99" s="36">
        <f t="shared" si="111"/>
        <v>464</v>
      </c>
      <c r="U99" s="36">
        <f t="shared" si="111"/>
        <v>458</v>
      </c>
      <c r="V99" s="36">
        <f t="shared" si="111"/>
        <v>145.44131880121594</v>
      </c>
      <c r="W99" s="36">
        <f t="shared" ref="W99:Y99" si="112">IF(W27=0,0,W27/W47)</f>
        <v>191.1333761175699</v>
      </c>
      <c r="X99" s="36">
        <f t="shared" si="112"/>
        <v>323.3789568762524</v>
      </c>
      <c r="Y99" s="36">
        <f t="shared" si="112"/>
        <v>446.32397184623784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689.17664041099124</v>
      </c>
      <c r="C100" s="13">
        <f t="shared" si="104"/>
        <v>579.8747591912495</v>
      </c>
      <c r="D100" s="13">
        <f t="shared" ref="D100:V100" si="113">IF(D28=0,0,D28/D48)</f>
        <v>812.44497750062897</v>
      </c>
      <c r="E100" s="13">
        <f t="shared" si="113"/>
        <v>837.73464973649232</v>
      </c>
      <c r="F100" s="13">
        <f t="shared" si="113"/>
        <v>832.47544943022478</v>
      </c>
      <c r="G100" s="13">
        <f t="shared" si="113"/>
        <v>801.23730782815835</v>
      </c>
      <c r="H100" s="13">
        <f t="shared" si="113"/>
        <v>776.52355817617195</v>
      </c>
      <c r="I100" s="13">
        <f t="shared" si="113"/>
        <v>761.44298875104471</v>
      </c>
      <c r="J100" s="13">
        <f t="shared" si="113"/>
        <v>713.82945900193113</v>
      </c>
      <c r="K100" s="13">
        <f t="shared" si="113"/>
        <v>656.29619930051354</v>
      </c>
      <c r="L100" s="13">
        <f t="shared" si="113"/>
        <v>679.42968988617474</v>
      </c>
      <c r="M100" s="13">
        <f t="shared" si="113"/>
        <v>639.6322874709449</v>
      </c>
      <c r="N100" s="13">
        <f t="shared" si="113"/>
        <v>605.82216513070898</v>
      </c>
      <c r="O100" s="13">
        <f t="shared" si="113"/>
        <v>637.17677103579535</v>
      </c>
      <c r="P100" s="13">
        <f t="shared" si="113"/>
        <v>595.82151544984583</v>
      </c>
      <c r="Q100" s="13">
        <f t="shared" si="113"/>
        <v>603.69302407632279</v>
      </c>
      <c r="R100" s="13">
        <f t="shared" si="113"/>
        <v>552.08383086277922</v>
      </c>
      <c r="S100" s="13">
        <f t="shared" si="113"/>
        <v>572.23611183369633</v>
      </c>
      <c r="T100" s="13">
        <f t="shared" si="113"/>
        <v>588.27689535565287</v>
      </c>
      <c r="U100" s="13">
        <f t="shared" si="113"/>
        <v>577.49849323083424</v>
      </c>
      <c r="V100" s="13">
        <f t="shared" si="113"/>
        <v>580.49564557513168</v>
      </c>
      <c r="W100" s="13">
        <f t="shared" ref="W100:Y100" si="114">IF(W28=0,0,W28/W48)</f>
        <v>624.6777539067499</v>
      </c>
      <c r="X100" s="13">
        <f t="shared" si="114"/>
        <v>632.8058122644801</v>
      </c>
      <c r="Y100" s="13">
        <f t="shared" si="114"/>
        <v>609.20760957261689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1328</v>
      </c>
      <c r="C101" s="34">
        <f t="shared" si="104"/>
        <v>1328</v>
      </c>
      <c r="D101" s="34">
        <f t="shared" ref="D101:V101" si="115">IF(D29=0,0,D29/D49)</f>
        <v>1190.1287744809065</v>
      </c>
      <c r="E101" s="34">
        <f t="shared" si="115"/>
        <v>1328</v>
      </c>
      <c r="F101" s="34">
        <f t="shared" si="115"/>
        <v>1328</v>
      </c>
      <c r="G101" s="34">
        <f t="shared" si="115"/>
        <v>1336</v>
      </c>
      <c r="H101" s="34">
        <f t="shared" si="115"/>
        <v>1335</v>
      </c>
      <c r="I101" s="34">
        <f t="shared" si="115"/>
        <v>1331</v>
      </c>
      <c r="J101" s="34">
        <f t="shared" si="115"/>
        <v>1233.2125741832397</v>
      </c>
      <c r="K101" s="34">
        <f t="shared" si="115"/>
        <v>1154.4720602472239</v>
      </c>
      <c r="L101" s="34">
        <f t="shared" si="115"/>
        <v>1170.2292661088068</v>
      </c>
      <c r="M101" s="34">
        <f t="shared" si="115"/>
        <v>1102.542829538693</v>
      </c>
      <c r="N101" s="34">
        <f t="shared" si="115"/>
        <v>948.06325984744456</v>
      </c>
      <c r="O101" s="34">
        <f t="shared" si="115"/>
        <v>964.80790125052408</v>
      </c>
      <c r="P101" s="34">
        <f t="shared" si="115"/>
        <v>915.47619931075644</v>
      </c>
      <c r="Q101" s="34">
        <f t="shared" si="115"/>
        <v>968.62106996543025</v>
      </c>
      <c r="R101" s="34">
        <f t="shared" si="115"/>
        <v>856.02431576277354</v>
      </c>
      <c r="S101" s="34">
        <f t="shared" si="115"/>
        <v>1056.3821496822702</v>
      </c>
      <c r="T101" s="34">
        <f t="shared" si="115"/>
        <v>1266.7588491084521</v>
      </c>
      <c r="U101" s="34">
        <f t="shared" si="115"/>
        <v>1263</v>
      </c>
      <c r="V101" s="34">
        <f t="shared" si="115"/>
        <v>1240</v>
      </c>
      <c r="W101" s="34">
        <f t="shared" ref="W101:Y101" si="116">IF(W29=0,0,W29/W49)</f>
        <v>1229</v>
      </c>
      <c r="X101" s="34">
        <f t="shared" si="116"/>
        <v>1245</v>
      </c>
      <c r="Y101" s="34">
        <f t="shared" si="116"/>
        <v>1224.9850851108667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1074.4953799429843</v>
      </c>
      <c r="C102" s="34">
        <f t="shared" si="104"/>
        <v>542.48243426206307</v>
      </c>
      <c r="D102" s="34">
        <f t="shared" ref="D102:V102" si="117">IF(D30=0,0,D30/D50)</f>
        <v>1077.2578379228098</v>
      </c>
      <c r="E102" s="34">
        <f t="shared" si="117"/>
        <v>1089.404234464479</v>
      </c>
      <c r="F102" s="34">
        <f t="shared" si="117"/>
        <v>1089.2384049126629</v>
      </c>
      <c r="G102" s="34">
        <f t="shared" si="117"/>
        <v>1085.9511854369441</v>
      </c>
      <c r="H102" s="34">
        <f t="shared" si="117"/>
        <v>1084.3014268596253</v>
      </c>
      <c r="I102" s="34">
        <f t="shared" si="117"/>
        <v>1079.7010069965527</v>
      </c>
      <c r="J102" s="34">
        <f t="shared" si="117"/>
        <v>1018.9206811967645</v>
      </c>
      <c r="K102" s="34">
        <f t="shared" si="117"/>
        <v>968.1510559886683</v>
      </c>
      <c r="L102" s="34">
        <f t="shared" si="117"/>
        <v>923.10265206858071</v>
      </c>
      <c r="M102" s="34">
        <f t="shared" si="117"/>
        <v>875.6038943045404</v>
      </c>
      <c r="N102" s="34">
        <f t="shared" si="117"/>
        <v>855.27840230236984</v>
      </c>
      <c r="O102" s="34">
        <f t="shared" si="117"/>
        <v>892.1888502233229</v>
      </c>
      <c r="P102" s="34">
        <f t="shared" si="117"/>
        <v>843.81543892566572</v>
      </c>
      <c r="Q102" s="34">
        <f t="shared" si="117"/>
        <v>974.34875543913608</v>
      </c>
      <c r="R102" s="34">
        <f t="shared" si="117"/>
        <v>922.90495258947612</v>
      </c>
      <c r="S102" s="34">
        <f t="shared" si="117"/>
        <v>1049.7343591618544</v>
      </c>
      <c r="T102" s="34">
        <f t="shared" si="117"/>
        <v>1094.9004628967828</v>
      </c>
      <c r="U102" s="34">
        <f t="shared" si="117"/>
        <v>1116.7365428367632</v>
      </c>
      <c r="V102" s="34">
        <f t="shared" si="117"/>
        <v>1115.1865291591459</v>
      </c>
      <c r="W102" s="34">
        <f t="shared" ref="W102:Y102" si="118">IF(W30=0,0,W30/W50)</f>
        <v>1092.9595735264397</v>
      </c>
      <c r="X102" s="34">
        <f t="shared" si="118"/>
        <v>1094.7251018149993</v>
      </c>
      <c r="Y102" s="34">
        <f t="shared" si="118"/>
        <v>1023.7977486947113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354</v>
      </c>
      <c r="C103" s="35">
        <f t="shared" si="104"/>
        <v>116.41912873746783</v>
      </c>
      <c r="D103" s="35">
        <f t="shared" ref="D103:V103" si="119">IF(D31=0,0,D31/D51)</f>
        <v>347.21586372105401</v>
      </c>
      <c r="E103" s="35">
        <f t="shared" si="119"/>
        <v>354</v>
      </c>
      <c r="F103" s="35">
        <f t="shared" si="119"/>
        <v>354</v>
      </c>
      <c r="G103" s="35">
        <f t="shared" si="119"/>
        <v>362</v>
      </c>
      <c r="H103" s="35">
        <f t="shared" si="119"/>
        <v>356</v>
      </c>
      <c r="I103" s="35">
        <f t="shared" si="119"/>
        <v>351</v>
      </c>
      <c r="J103" s="35">
        <f t="shared" si="119"/>
        <v>321.80640867490547</v>
      </c>
      <c r="K103" s="35">
        <f t="shared" si="119"/>
        <v>257.94990450451809</v>
      </c>
      <c r="L103" s="35">
        <f t="shared" si="119"/>
        <v>341</v>
      </c>
      <c r="M103" s="35">
        <f t="shared" si="119"/>
        <v>354</v>
      </c>
      <c r="N103" s="35">
        <f t="shared" si="119"/>
        <v>341.47415783553373</v>
      </c>
      <c r="O103" s="35">
        <f t="shared" si="119"/>
        <v>373</v>
      </c>
      <c r="P103" s="35">
        <f t="shared" si="119"/>
        <v>355</v>
      </c>
      <c r="Q103" s="35">
        <f t="shared" si="119"/>
        <v>338</v>
      </c>
      <c r="R103" s="35">
        <f t="shared" si="119"/>
        <v>324</v>
      </c>
      <c r="S103" s="35">
        <f t="shared" si="119"/>
        <v>314</v>
      </c>
      <c r="T103" s="35">
        <f t="shared" si="119"/>
        <v>305</v>
      </c>
      <c r="U103" s="35">
        <f t="shared" si="119"/>
        <v>283</v>
      </c>
      <c r="V103" s="35">
        <f t="shared" si="119"/>
        <v>261.13719182783376</v>
      </c>
      <c r="W103" s="35">
        <f t="shared" ref="W103:Y103" si="120">IF(W31=0,0,W31/W51)</f>
        <v>300</v>
      </c>
      <c r="X103" s="35">
        <f t="shared" si="120"/>
        <v>282.36240742009448</v>
      </c>
      <c r="Y103" s="35">
        <f t="shared" si="120"/>
        <v>284.52889797435415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0.20717714907590912</v>
      </c>
      <c r="C107" s="43">
        <f t="shared" si="124"/>
        <v>0.20898817238235576</v>
      </c>
      <c r="D107" s="43">
        <f t="shared" ref="D107:V107" si="125">IF(D5=0,0,D5/D$4)</f>
        <v>0.2106936040423214</v>
      </c>
      <c r="E107" s="43">
        <f t="shared" si="125"/>
        <v>0.21483304922783464</v>
      </c>
      <c r="F107" s="43">
        <f t="shared" si="125"/>
        <v>0.18787686891192235</v>
      </c>
      <c r="G107" s="43">
        <f t="shared" si="125"/>
        <v>0.17631150202498533</v>
      </c>
      <c r="H107" s="43">
        <f t="shared" si="125"/>
        <v>0.17674879708249222</v>
      </c>
      <c r="I107" s="43">
        <f t="shared" si="125"/>
        <v>0.18101178218361944</v>
      </c>
      <c r="J107" s="43">
        <f t="shared" si="125"/>
        <v>0.18426571088905835</v>
      </c>
      <c r="K107" s="43">
        <f t="shared" si="125"/>
        <v>0.20088595459448913</v>
      </c>
      <c r="L107" s="43">
        <f t="shared" si="125"/>
        <v>0.19841946845600048</v>
      </c>
      <c r="M107" s="43">
        <f t="shared" si="125"/>
        <v>0.20377399003445029</v>
      </c>
      <c r="N107" s="43">
        <f t="shared" si="125"/>
        <v>0.19122873843493821</v>
      </c>
      <c r="O107" s="43">
        <f t="shared" si="125"/>
        <v>0.18297791470780153</v>
      </c>
      <c r="P107" s="43">
        <f t="shared" si="125"/>
        <v>0.16843388728125397</v>
      </c>
      <c r="Q107" s="43">
        <f t="shared" si="125"/>
        <v>0.17419117331721184</v>
      </c>
      <c r="R107" s="43">
        <f t="shared" si="125"/>
        <v>0.17062178351441576</v>
      </c>
      <c r="S107" s="43">
        <f t="shared" si="125"/>
        <v>0.16461552551415864</v>
      </c>
      <c r="T107" s="43">
        <f t="shared" si="125"/>
        <v>0.15762539373394502</v>
      </c>
      <c r="U107" s="43">
        <f t="shared" si="125"/>
        <v>0.15053366929503706</v>
      </c>
      <c r="V107" s="43">
        <f t="shared" si="125"/>
        <v>0.23951629794135967</v>
      </c>
      <c r="W107" s="43">
        <f t="shared" ref="W107:Y107" si="126">IF(W5=0,0,W5/W$4)</f>
        <v>0.31507840599085291</v>
      </c>
      <c r="X107" s="43">
        <f t="shared" si="126"/>
        <v>0.2086126739372795</v>
      </c>
      <c r="Y107" s="43">
        <f t="shared" si="126"/>
        <v>0.16450797898410038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0.34765653851963568</v>
      </c>
      <c r="C108" s="43">
        <f t="shared" si="127"/>
        <v>0.34912348134718235</v>
      </c>
      <c r="D108" s="43">
        <f t="shared" ref="D108:V108" si="128">IF(D6=0,0,D6/D$4)</f>
        <v>0.34883189973060269</v>
      </c>
      <c r="E108" s="43">
        <f t="shared" si="128"/>
        <v>0.36836420817301141</v>
      </c>
      <c r="F108" s="43">
        <f t="shared" si="128"/>
        <v>0.35493722401786332</v>
      </c>
      <c r="G108" s="43">
        <f t="shared" si="128"/>
        <v>0.37326844665035591</v>
      </c>
      <c r="H108" s="43">
        <f t="shared" si="128"/>
        <v>0.37681956641345271</v>
      </c>
      <c r="I108" s="43">
        <f t="shared" si="128"/>
        <v>0.36715177163814866</v>
      </c>
      <c r="J108" s="43">
        <f t="shared" si="128"/>
        <v>0.36054742586108296</v>
      </c>
      <c r="K108" s="43">
        <f t="shared" si="128"/>
        <v>0.3587085165474726</v>
      </c>
      <c r="L108" s="43">
        <f t="shared" si="128"/>
        <v>0.35338298626150849</v>
      </c>
      <c r="M108" s="43">
        <f t="shared" si="128"/>
        <v>0.37196269442741792</v>
      </c>
      <c r="N108" s="43">
        <f t="shared" si="128"/>
        <v>0.37007816393205784</v>
      </c>
      <c r="O108" s="43">
        <f t="shared" si="128"/>
        <v>0.37389683385217526</v>
      </c>
      <c r="P108" s="43">
        <f t="shared" si="128"/>
        <v>0.38283972870608479</v>
      </c>
      <c r="Q108" s="43">
        <f t="shared" si="128"/>
        <v>0.39137043627473117</v>
      </c>
      <c r="R108" s="43">
        <f t="shared" si="128"/>
        <v>0.40301266480441283</v>
      </c>
      <c r="S108" s="43">
        <f t="shared" si="128"/>
        <v>0.40092773759513189</v>
      </c>
      <c r="T108" s="43">
        <f t="shared" si="128"/>
        <v>0.39094210796595175</v>
      </c>
      <c r="U108" s="43">
        <f t="shared" si="128"/>
        <v>0.3811000430090975</v>
      </c>
      <c r="V108" s="43">
        <f t="shared" si="128"/>
        <v>0.36604935950443307</v>
      </c>
      <c r="W108" s="43">
        <f t="shared" ref="W108:Y108" si="129">IF(W6=0,0,W6/W$4)</f>
        <v>0.38478103954641307</v>
      </c>
      <c r="X108" s="43">
        <f t="shared" si="129"/>
        <v>0.42466964861131951</v>
      </c>
      <c r="Y108" s="43">
        <f t="shared" si="129"/>
        <v>0.39314292137361728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0.44516631240445514</v>
      </c>
      <c r="C109" s="43">
        <f t="shared" si="130"/>
        <v>0.44188834627046186</v>
      </c>
      <c r="D109" s="43">
        <f t="shared" ref="D109:V109" si="131">IF(D7=0,0,D7/D$4)</f>
        <v>0.44047449622707591</v>
      </c>
      <c r="E109" s="43">
        <f t="shared" si="131"/>
        <v>0.4168027425991539</v>
      </c>
      <c r="F109" s="43">
        <f t="shared" si="131"/>
        <v>0.45718590707021439</v>
      </c>
      <c r="G109" s="43">
        <f t="shared" si="131"/>
        <v>0.45042005132465873</v>
      </c>
      <c r="H109" s="43">
        <f t="shared" si="131"/>
        <v>0.44643163650405498</v>
      </c>
      <c r="I109" s="43">
        <f t="shared" si="131"/>
        <v>0.45183644617823177</v>
      </c>
      <c r="J109" s="43">
        <f t="shared" si="131"/>
        <v>0.45518686324985869</v>
      </c>
      <c r="K109" s="43">
        <f t="shared" si="131"/>
        <v>0.44040552885803835</v>
      </c>
      <c r="L109" s="43">
        <f t="shared" si="131"/>
        <v>0.44819754528249095</v>
      </c>
      <c r="M109" s="43">
        <f t="shared" si="131"/>
        <v>0.42426331553813179</v>
      </c>
      <c r="N109" s="43">
        <f t="shared" si="131"/>
        <v>0.43869309763300396</v>
      </c>
      <c r="O109" s="43">
        <f t="shared" si="131"/>
        <v>0.44312525144002318</v>
      </c>
      <c r="P109" s="43">
        <f t="shared" si="131"/>
        <v>0.44872638401266113</v>
      </c>
      <c r="Q109" s="43">
        <f t="shared" si="131"/>
        <v>0.43443839040805698</v>
      </c>
      <c r="R109" s="43">
        <f t="shared" si="131"/>
        <v>0.42636555168117141</v>
      </c>
      <c r="S109" s="43">
        <f t="shared" si="131"/>
        <v>0.43445673689070946</v>
      </c>
      <c r="T109" s="43">
        <f t="shared" si="131"/>
        <v>0.45143249830010318</v>
      </c>
      <c r="U109" s="43">
        <f t="shared" si="131"/>
        <v>0.46836628769586547</v>
      </c>
      <c r="V109" s="43">
        <f t="shared" si="131"/>
        <v>0.39443434255420728</v>
      </c>
      <c r="W109" s="43">
        <f t="shared" ref="W109:Y109" si="132">IF(W7=0,0,W7/W$4)</f>
        <v>0.30014055446273397</v>
      </c>
      <c r="X109" s="43">
        <f t="shared" si="132"/>
        <v>0.36671767745140099</v>
      </c>
      <c r="Y109" s="43">
        <f t="shared" si="132"/>
        <v>0.44234909964228225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1.305619092321659E-2</v>
      </c>
      <c r="C111" s="44">
        <f t="shared" si="136"/>
        <v>6.9573746626117969E-2</v>
      </c>
      <c r="D111" s="44">
        <f t="shared" ref="D111:V111" si="137">IF(D9=0,0,D9/D$8)</f>
        <v>2.430417327582483E-2</v>
      </c>
      <c r="E111" s="44">
        <f t="shared" si="137"/>
        <v>2.6684613738251487E-2</v>
      </c>
      <c r="F111" s="44">
        <f t="shared" si="137"/>
        <v>2.300447717406166E-2</v>
      </c>
      <c r="G111" s="44">
        <f t="shared" si="137"/>
        <v>1.9029998635005013E-2</v>
      </c>
      <c r="H111" s="44">
        <f t="shared" si="137"/>
        <v>1.6976433101833301E-2</v>
      </c>
      <c r="I111" s="44">
        <f t="shared" si="137"/>
        <v>1.6428460505910507E-2</v>
      </c>
      <c r="J111" s="44">
        <f t="shared" si="137"/>
        <v>1.6368594598467193E-2</v>
      </c>
      <c r="K111" s="44">
        <f t="shared" si="137"/>
        <v>1.7856331728896415E-2</v>
      </c>
      <c r="L111" s="44">
        <f t="shared" si="137"/>
        <v>1.4548935955836003E-2</v>
      </c>
      <c r="M111" s="44">
        <f t="shared" si="137"/>
        <v>1.3166044695888161E-2</v>
      </c>
      <c r="N111" s="44">
        <f t="shared" si="137"/>
        <v>1.2154997447440823E-2</v>
      </c>
      <c r="O111" s="44">
        <f t="shared" si="137"/>
        <v>1.0883342073416485E-2</v>
      </c>
      <c r="P111" s="44">
        <f t="shared" si="137"/>
        <v>8.974123404941069E-3</v>
      </c>
      <c r="Q111" s="44">
        <f t="shared" si="137"/>
        <v>7.4068581025813346E-3</v>
      </c>
      <c r="R111" s="44">
        <f t="shared" si="137"/>
        <v>5.9340681471931238E-3</v>
      </c>
      <c r="S111" s="44">
        <f t="shared" si="137"/>
        <v>5.2595138076338109E-3</v>
      </c>
      <c r="T111" s="44">
        <f t="shared" si="137"/>
        <v>5.4698210423755576E-3</v>
      </c>
      <c r="U111" s="44">
        <f t="shared" si="137"/>
        <v>6.2499485008274836E-3</v>
      </c>
      <c r="V111" s="44">
        <f t="shared" si="137"/>
        <v>9.7650201992500532E-3</v>
      </c>
      <c r="W111" s="44">
        <f t="shared" ref="W111:Y111" si="138">IF(W9=0,0,W9/W$8)</f>
        <v>1.1446297097101122E-2</v>
      </c>
      <c r="X111" s="44">
        <f t="shared" si="138"/>
        <v>1.3079912873913958E-2</v>
      </c>
      <c r="Y111" s="44">
        <f t="shared" si="138"/>
        <v>1.093737688708041E-2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5.2608984954795865E-2</v>
      </c>
      <c r="C112" s="44">
        <f t="shared" si="139"/>
        <v>7.4145771084845366E-2</v>
      </c>
      <c r="D112" s="44">
        <f t="shared" ref="D112:V112" si="140">IF(D10=0,0,D10/D$8)</f>
        <v>0.11592833815042033</v>
      </c>
      <c r="E112" s="44">
        <f t="shared" si="140"/>
        <v>0.12525016246953252</v>
      </c>
      <c r="F112" s="44">
        <f t="shared" si="140"/>
        <v>0.12893219247374563</v>
      </c>
      <c r="G112" s="44">
        <f t="shared" si="140"/>
        <v>0.12237875773353417</v>
      </c>
      <c r="H112" s="44">
        <f t="shared" si="140"/>
        <v>0.10224092460223229</v>
      </c>
      <c r="I112" s="44">
        <f t="shared" si="140"/>
        <v>9.639215245773558E-2</v>
      </c>
      <c r="J112" s="44">
        <f t="shared" si="140"/>
        <v>9.9126079568962078E-2</v>
      </c>
      <c r="K112" s="44">
        <f t="shared" si="140"/>
        <v>0.10907425151634521</v>
      </c>
      <c r="L112" s="44">
        <f t="shared" si="140"/>
        <v>8.0647947484728408E-2</v>
      </c>
      <c r="M112" s="44">
        <f t="shared" si="140"/>
        <v>7.1538708208789228E-2</v>
      </c>
      <c r="N112" s="44">
        <f t="shared" si="140"/>
        <v>8.1685475453038614E-2</v>
      </c>
      <c r="O112" s="44">
        <f t="shared" si="140"/>
        <v>7.5713201203358227E-2</v>
      </c>
      <c r="P112" s="44">
        <f t="shared" si="140"/>
        <v>6.8582630681559217E-2</v>
      </c>
      <c r="Q112" s="44">
        <f t="shared" si="140"/>
        <v>6.3469400678599353E-2</v>
      </c>
      <c r="R112" s="44">
        <f t="shared" si="140"/>
        <v>5.4941017660457565E-2</v>
      </c>
      <c r="S112" s="44">
        <f t="shared" si="140"/>
        <v>4.915978457483406E-2</v>
      </c>
      <c r="T112" s="44">
        <f t="shared" si="140"/>
        <v>4.9934606124952353E-2</v>
      </c>
      <c r="U112" s="44">
        <f t="shared" si="140"/>
        <v>5.0113830016231431E-2</v>
      </c>
      <c r="V112" s="44">
        <f t="shared" si="140"/>
        <v>7.2635297741417568E-2</v>
      </c>
      <c r="W112" s="44">
        <f t="shared" ref="W112:Y112" si="141">IF(W10=0,0,W10/W$8)</f>
        <v>7.7151783045670996E-2</v>
      </c>
      <c r="X112" s="44">
        <f t="shared" si="141"/>
        <v>9.0347763925911873E-2</v>
      </c>
      <c r="Y112" s="44">
        <f t="shared" si="141"/>
        <v>7.8000312733196214E-2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0.93433482412198754</v>
      </c>
      <c r="C113" s="45">
        <f t="shared" si="142"/>
        <v>0.85628048228903675</v>
      </c>
      <c r="D113" s="45">
        <f t="shared" ref="D113:V113" si="143">IF(D11=0,0,D11/D$8)</f>
        <v>0.85976748857375485</v>
      </c>
      <c r="E113" s="45">
        <f t="shared" si="143"/>
        <v>0.84806522379221605</v>
      </c>
      <c r="F113" s="45">
        <f t="shared" si="143"/>
        <v>0.84806333035219272</v>
      </c>
      <c r="G113" s="45">
        <f t="shared" si="143"/>
        <v>0.85859124363146078</v>
      </c>
      <c r="H113" s="45">
        <f t="shared" si="143"/>
        <v>0.88078264229593439</v>
      </c>
      <c r="I113" s="45">
        <f t="shared" si="143"/>
        <v>0.88717938703635379</v>
      </c>
      <c r="J113" s="45">
        <f t="shared" si="143"/>
        <v>0.8845053258325708</v>
      </c>
      <c r="K113" s="45">
        <f t="shared" si="143"/>
        <v>0.87306941675475846</v>
      </c>
      <c r="L113" s="45">
        <f t="shared" si="143"/>
        <v>0.90480311655943546</v>
      </c>
      <c r="M113" s="45">
        <f t="shared" si="143"/>
        <v>0.91529524709532262</v>
      </c>
      <c r="N113" s="45">
        <f t="shared" si="143"/>
        <v>0.90615952709952052</v>
      </c>
      <c r="O113" s="45">
        <f t="shared" si="143"/>
        <v>0.9134034567232252</v>
      </c>
      <c r="P113" s="45">
        <f t="shared" si="143"/>
        <v>0.9224432459134998</v>
      </c>
      <c r="Q113" s="45">
        <f t="shared" si="143"/>
        <v>0.92912374121881935</v>
      </c>
      <c r="R113" s="45">
        <f t="shared" si="143"/>
        <v>0.93912491419234934</v>
      </c>
      <c r="S113" s="45">
        <f t="shared" si="143"/>
        <v>0.94558070161753216</v>
      </c>
      <c r="T113" s="45">
        <f t="shared" si="143"/>
        <v>0.94459557283267215</v>
      </c>
      <c r="U113" s="45">
        <f t="shared" si="143"/>
        <v>0.94363622148294102</v>
      </c>
      <c r="V113" s="45">
        <f t="shared" si="143"/>
        <v>0.91759968205933229</v>
      </c>
      <c r="W113" s="45">
        <f t="shared" ref="W113:Y113" si="144">IF(W11=0,0,W11/W$8)</f>
        <v>0.91140191985722785</v>
      </c>
      <c r="X113" s="45">
        <f t="shared" si="144"/>
        <v>0.8965723232001741</v>
      </c>
      <c r="Y113" s="45">
        <f t="shared" si="144"/>
        <v>0.91106231037972329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0.29004404293508357</v>
      </c>
      <c r="C117" s="43">
        <f t="shared" si="148"/>
        <v>0.29192327826195363</v>
      </c>
      <c r="D117" s="43">
        <f t="shared" ref="D117:V117" si="149">IF(D15=0,0,D15/D$14)</f>
        <v>0.29227462471172627</v>
      </c>
      <c r="E117" s="43">
        <f t="shared" si="149"/>
        <v>0.2833267105185801</v>
      </c>
      <c r="F117" s="43">
        <f t="shared" si="149"/>
        <v>0.25907536390201341</v>
      </c>
      <c r="G117" s="43">
        <f t="shared" si="149"/>
        <v>0.24003722434317529</v>
      </c>
      <c r="H117" s="43">
        <f t="shared" si="149"/>
        <v>0.24211815677193485</v>
      </c>
      <c r="I117" s="43">
        <f t="shared" si="149"/>
        <v>0.24402330694437066</v>
      </c>
      <c r="J117" s="43">
        <f t="shared" si="149"/>
        <v>0.24218460042528339</v>
      </c>
      <c r="K117" s="43">
        <f t="shared" si="149"/>
        <v>0.25739348977003845</v>
      </c>
      <c r="L117" s="43">
        <f t="shared" si="149"/>
        <v>0.24858730435381798</v>
      </c>
      <c r="M117" s="43">
        <f t="shared" si="149"/>
        <v>0.24655921700220512</v>
      </c>
      <c r="N117" s="43">
        <f t="shared" si="149"/>
        <v>0.23303122019997297</v>
      </c>
      <c r="O117" s="43">
        <f t="shared" si="149"/>
        <v>0.22065176413418516</v>
      </c>
      <c r="P117" s="43">
        <f t="shared" si="149"/>
        <v>0.20306135184993276</v>
      </c>
      <c r="Q117" s="43">
        <f t="shared" si="149"/>
        <v>0.20026581630816082</v>
      </c>
      <c r="R117" s="43">
        <f t="shared" si="149"/>
        <v>0.19501201540154342</v>
      </c>
      <c r="S117" s="43">
        <f t="shared" si="149"/>
        <v>0.1922267572164531</v>
      </c>
      <c r="T117" s="43">
        <f t="shared" si="149"/>
        <v>0.18341063191514789</v>
      </c>
      <c r="U117" s="43">
        <f t="shared" si="149"/>
        <v>0.17986756647403634</v>
      </c>
      <c r="V117" s="43">
        <f t="shared" si="149"/>
        <v>0.26164724317071075</v>
      </c>
      <c r="W117" s="43">
        <f t="shared" ref="W117:Y117" si="150">IF(W15=0,0,W15/W$14)</f>
        <v>0.28752388541397078</v>
      </c>
      <c r="X117" s="43">
        <f t="shared" si="150"/>
        <v>0.2258856759959306</v>
      </c>
      <c r="Y117" s="43">
        <f t="shared" si="150"/>
        <v>0.19301068312888137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0.41897590480168984</v>
      </c>
      <c r="C118" s="43">
        <f t="shared" si="151"/>
        <v>0.41786683797330337</v>
      </c>
      <c r="D118" s="43">
        <f t="shared" ref="D118:V118" si="152">IF(D16=0,0,D16/D$14)</f>
        <v>0.41765702130293209</v>
      </c>
      <c r="E118" s="43">
        <f t="shared" si="152"/>
        <v>0.43444797023046372</v>
      </c>
      <c r="F118" s="43">
        <f t="shared" si="152"/>
        <v>0.42772515999934602</v>
      </c>
      <c r="G118" s="43">
        <f t="shared" si="152"/>
        <v>0.439301527504668</v>
      </c>
      <c r="H118" s="43">
        <f t="shared" si="152"/>
        <v>0.43752845369527626</v>
      </c>
      <c r="I118" s="43">
        <f t="shared" si="152"/>
        <v>0.43975575586089916</v>
      </c>
      <c r="J118" s="43">
        <f t="shared" si="152"/>
        <v>0.43593254788416663</v>
      </c>
      <c r="K118" s="43">
        <f t="shared" si="152"/>
        <v>0.42556434460803222</v>
      </c>
      <c r="L118" s="43">
        <f t="shared" si="152"/>
        <v>0.4242909316905526</v>
      </c>
      <c r="M118" s="43">
        <f t="shared" si="152"/>
        <v>0.42884206690035437</v>
      </c>
      <c r="N118" s="43">
        <f t="shared" si="152"/>
        <v>0.42696421140002011</v>
      </c>
      <c r="O118" s="43">
        <f t="shared" si="152"/>
        <v>0.42784856358532514</v>
      </c>
      <c r="P118" s="43">
        <f t="shared" si="152"/>
        <v>0.43961043450281795</v>
      </c>
      <c r="Q118" s="43">
        <f t="shared" si="152"/>
        <v>0.45287473169757519</v>
      </c>
      <c r="R118" s="43">
        <f t="shared" si="152"/>
        <v>0.46261780216756793</v>
      </c>
      <c r="S118" s="43">
        <f t="shared" si="152"/>
        <v>0.45760682709325401</v>
      </c>
      <c r="T118" s="43">
        <f t="shared" si="152"/>
        <v>0.44519810244792218</v>
      </c>
      <c r="U118" s="43">
        <f t="shared" si="152"/>
        <v>0.43453740397583707</v>
      </c>
      <c r="V118" s="43">
        <f t="shared" si="152"/>
        <v>0.41140123259824884</v>
      </c>
      <c r="W118" s="43">
        <f t="shared" ref="W118:Y118" si="153">IF(W16=0,0,W16/W$14)</f>
        <v>0.41429271809779872</v>
      </c>
      <c r="X118" s="43">
        <f t="shared" si="153"/>
        <v>0.48127653612331306</v>
      </c>
      <c r="Y118" s="43">
        <f t="shared" si="153"/>
        <v>0.45845182678735208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0.29098005226322643</v>
      </c>
      <c r="C119" s="43">
        <f t="shared" si="154"/>
        <v>0.2902098837647431</v>
      </c>
      <c r="D119" s="43">
        <f t="shared" ref="D119:V119" si="155">IF(D17=0,0,D17/D$14)</f>
        <v>0.29006835398534159</v>
      </c>
      <c r="E119" s="43">
        <f t="shared" si="155"/>
        <v>0.28222531925095612</v>
      </c>
      <c r="F119" s="43">
        <f t="shared" si="155"/>
        <v>0.31319947609864046</v>
      </c>
      <c r="G119" s="43">
        <f t="shared" si="155"/>
        <v>0.32066124815215674</v>
      </c>
      <c r="H119" s="43">
        <f t="shared" si="155"/>
        <v>0.32035338953278897</v>
      </c>
      <c r="I119" s="43">
        <f t="shared" si="155"/>
        <v>0.31622093719473021</v>
      </c>
      <c r="J119" s="43">
        <f t="shared" si="155"/>
        <v>0.32188285169054998</v>
      </c>
      <c r="K119" s="43">
        <f t="shared" si="155"/>
        <v>0.31704216562192933</v>
      </c>
      <c r="L119" s="43">
        <f t="shared" si="155"/>
        <v>0.32712176395562936</v>
      </c>
      <c r="M119" s="43">
        <f t="shared" si="155"/>
        <v>0.32459871609744056</v>
      </c>
      <c r="N119" s="43">
        <f t="shared" si="155"/>
        <v>0.34000456840000687</v>
      </c>
      <c r="O119" s="43">
        <f t="shared" si="155"/>
        <v>0.35149967228048967</v>
      </c>
      <c r="P119" s="43">
        <f t="shared" si="155"/>
        <v>0.35732821364724926</v>
      </c>
      <c r="Q119" s="43">
        <f t="shared" si="155"/>
        <v>0.34685945199426405</v>
      </c>
      <c r="R119" s="43">
        <f t="shared" si="155"/>
        <v>0.34237018243088857</v>
      </c>
      <c r="S119" s="43">
        <f t="shared" si="155"/>
        <v>0.35016641569029283</v>
      </c>
      <c r="T119" s="43">
        <f t="shared" si="155"/>
        <v>0.37139126563692992</v>
      </c>
      <c r="U119" s="43">
        <f t="shared" si="155"/>
        <v>0.38559502955012653</v>
      </c>
      <c r="V119" s="43">
        <f t="shared" si="155"/>
        <v>0.32695152423104046</v>
      </c>
      <c r="W119" s="43">
        <f t="shared" ref="W119:Y119" si="156">IF(W17=0,0,W17/W$14)</f>
        <v>0.2981833964882305</v>
      </c>
      <c r="X119" s="43">
        <f t="shared" si="156"/>
        <v>0.29283778788075637</v>
      </c>
      <c r="Y119" s="43">
        <f t="shared" si="156"/>
        <v>0.3485374900837665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8.6247693574043396E-2</v>
      </c>
      <c r="C121" s="44">
        <f t="shared" si="160"/>
        <v>0.34692107894979834</v>
      </c>
      <c r="D121" s="44">
        <f t="shared" ref="D121:V121" si="161">IF(D19=0,0,D19/D$18)</f>
        <v>0.13212641415088888</v>
      </c>
      <c r="E121" s="44">
        <f t="shared" si="161"/>
        <v>0.12771797936938359</v>
      </c>
      <c r="F121" s="44">
        <f t="shared" si="161"/>
        <v>0.11191969494180393</v>
      </c>
      <c r="G121" s="44">
        <f t="shared" si="161"/>
        <v>9.2799170986522572E-2</v>
      </c>
      <c r="H121" s="44">
        <f t="shared" si="161"/>
        <v>8.382170799376143E-2</v>
      </c>
      <c r="I121" s="44">
        <f t="shared" si="161"/>
        <v>8.0841910122600585E-2</v>
      </c>
      <c r="J121" s="44">
        <f t="shared" si="161"/>
        <v>8.1323220948660083E-2</v>
      </c>
      <c r="K121" s="44">
        <f t="shared" si="161"/>
        <v>9.3011707943802507E-2</v>
      </c>
      <c r="L121" s="44">
        <f t="shared" si="161"/>
        <v>7.8132509303890804E-2</v>
      </c>
      <c r="M121" s="44">
        <f t="shared" si="161"/>
        <v>6.8443341847238298E-2</v>
      </c>
      <c r="N121" s="44">
        <f t="shared" si="161"/>
        <v>6.5213310753956075E-2</v>
      </c>
      <c r="O121" s="44">
        <f t="shared" si="161"/>
        <v>5.8222594887545775E-2</v>
      </c>
      <c r="P121" s="44">
        <f t="shared" si="161"/>
        <v>5.0305408530679732E-2</v>
      </c>
      <c r="Q121" s="44">
        <f t="shared" si="161"/>
        <v>3.9980830466066423E-2</v>
      </c>
      <c r="R121" s="44">
        <f t="shared" si="161"/>
        <v>3.1315575868931307E-2</v>
      </c>
      <c r="S121" s="44">
        <f t="shared" si="161"/>
        <v>3.0008194584780632E-2</v>
      </c>
      <c r="T121" s="44">
        <f t="shared" si="161"/>
        <v>3.1117852421975584E-2</v>
      </c>
      <c r="U121" s="44">
        <f t="shared" si="161"/>
        <v>3.3596646685040456E-2</v>
      </c>
      <c r="V121" s="44">
        <f t="shared" si="161"/>
        <v>4.0358270946575708E-2</v>
      </c>
      <c r="W121" s="44">
        <f t="shared" ref="W121:Y121" si="162">IF(W19=0,0,W19/W$18)</f>
        <v>4.2901106740142761E-2</v>
      </c>
      <c r="X121" s="44">
        <f t="shared" si="162"/>
        <v>5.1173242598441727E-2</v>
      </c>
      <c r="Y121" s="44">
        <f t="shared" si="162"/>
        <v>4.6096784646580846E-2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0.15659686319057531</v>
      </c>
      <c r="C122" s="44">
        <f t="shared" si="163"/>
        <v>0.15705827247048335</v>
      </c>
      <c r="D122" s="44">
        <f t="shared" ref="D122:V122" si="164">IF(D20=0,0,D20/D$18)</f>
        <v>0.27649490196332194</v>
      </c>
      <c r="E122" s="44">
        <f t="shared" si="164"/>
        <v>0.2710710922698582</v>
      </c>
      <c r="F122" s="44">
        <f t="shared" si="164"/>
        <v>0.29516913347180401</v>
      </c>
      <c r="G122" s="44">
        <f t="shared" si="164"/>
        <v>0.28108388145243396</v>
      </c>
      <c r="H122" s="44">
        <f t="shared" si="164"/>
        <v>0.26907602886442306</v>
      </c>
      <c r="I122" s="44">
        <f t="shared" si="164"/>
        <v>0.26099162418911243</v>
      </c>
      <c r="J122" s="44">
        <f t="shared" si="164"/>
        <v>0.26818069426105451</v>
      </c>
      <c r="K122" s="44">
        <f t="shared" si="164"/>
        <v>0.30493128572696759</v>
      </c>
      <c r="L122" s="44">
        <f t="shared" si="164"/>
        <v>0.24506867862501766</v>
      </c>
      <c r="M122" s="44">
        <f t="shared" si="164"/>
        <v>0.22026644648982455</v>
      </c>
      <c r="N122" s="44">
        <f t="shared" si="164"/>
        <v>0.24320209460414863</v>
      </c>
      <c r="O122" s="44">
        <f t="shared" si="164"/>
        <v>0.23337357087986432</v>
      </c>
      <c r="P122" s="44">
        <f t="shared" si="164"/>
        <v>0.21333396280581027</v>
      </c>
      <c r="Q122" s="44">
        <f t="shared" si="164"/>
        <v>0.20079015758117802</v>
      </c>
      <c r="R122" s="44">
        <f t="shared" si="164"/>
        <v>0.17643195285999136</v>
      </c>
      <c r="S122" s="44">
        <f t="shared" si="164"/>
        <v>0.17017780497781063</v>
      </c>
      <c r="T122" s="44">
        <f t="shared" si="164"/>
        <v>0.17269447972821161</v>
      </c>
      <c r="U122" s="44">
        <f t="shared" si="164"/>
        <v>0.17223782519831043</v>
      </c>
      <c r="V122" s="44">
        <f t="shared" si="164"/>
        <v>0.21084709822213932</v>
      </c>
      <c r="W122" s="44">
        <f t="shared" ref="W122:Y122" si="165">IF(W20=0,0,W20/W$18)</f>
        <v>0.20818428381410001</v>
      </c>
      <c r="X122" s="44">
        <f t="shared" si="165"/>
        <v>0.25855809143355402</v>
      </c>
      <c r="Y122" s="44">
        <f t="shared" si="165"/>
        <v>0.23786125147438922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0.75715544323538131</v>
      </c>
      <c r="C123" s="45">
        <f t="shared" si="166"/>
        <v>0.49602064857971828</v>
      </c>
      <c r="D123" s="45">
        <f t="shared" ref="D123:V123" si="167">IF(D21=0,0,D21/D$18)</f>
        <v>0.59137868388578929</v>
      </c>
      <c r="E123" s="45">
        <f t="shared" si="167"/>
        <v>0.60121092836075818</v>
      </c>
      <c r="F123" s="45">
        <f t="shared" si="167"/>
        <v>0.59291117158639217</v>
      </c>
      <c r="G123" s="45">
        <f t="shared" si="167"/>
        <v>0.62611694756104341</v>
      </c>
      <c r="H123" s="45">
        <f t="shared" si="167"/>
        <v>0.64710226314181563</v>
      </c>
      <c r="I123" s="45">
        <f t="shared" si="167"/>
        <v>0.65816646568828707</v>
      </c>
      <c r="J123" s="45">
        <f t="shared" si="167"/>
        <v>0.65049608479028553</v>
      </c>
      <c r="K123" s="45">
        <f t="shared" si="167"/>
        <v>0.60205700632922998</v>
      </c>
      <c r="L123" s="45">
        <f t="shared" si="167"/>
        <v>0.6767988120710916</v>
      </c>
      <c r="M123" s="45">
        <f t="shared" si="167"/>
        <v>0.71129021166293704</v>
      </c>
      <c r="N123" s="45">
        <f t="shared" si="167"/>
        <v>0.69158459464189526</v>
      </c>
      <c r="O123" s="45">
        <f t="shared" si="167"/>
        <v>0.7084038342325899</v>
      </c>
      <c r="P123" s="45">
        <f t="shared" si="167"/>
        <v>0.73636062866351004</v>
      </c>
      <c r="Q123" s="45">
        <f t="shared" si="167"/>
        <v>0.75922901195275549</v>
      </c>
      <c r="R123" s="45">
        <f t="shared" si="167"/>
        <v>0.79225247127107734</v>
      </c>
      <c r="S123" s="45">
        <f t="shared" si="167"/>
        <v>0.7998140004374088</v>
      </c>
      <c r="T123" s="45">
        <f t="shared" si="167"/>
        <v>0.79618766784981276</v>
      </c>
      <c r="U123" s="45">
        <f t="shared" si="167"/>
        <v>0.79416552811664909</v>
      </c>
      <c r="V123" s="45">
        <f t="shared" si="167"/>
        <v>0.74879463083128506</v>
      </c>
      <c r="W123" s="45">
        <f t="shared" ref="W123:Y123" si="168">IF(W21=0,0,W21/W$18)</f>
        <v>0.74891460944575727</v>
      </c>
      <c r="X123" s="45">
        <f t="shared" si="168"/>
        <v>0.6902686659680044</v>
      </c>
      <c r="Y123" s="45">
        <f t="shared" si="168"/>
        <v>0.71604196387902996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3497.2055030094584</v>
      </c>
      <c r="C3" s="79">
        <f t="shared" si="0"/>
        <v>3195.3759243336203</v>
      </c>
      <c r="D3" s="79">
        <f t="shared" ref="D3" si="1">SUM(D4:D5)</f>
        <v>3196.4269131556321</v>
      </c>
      <c r="E3" s="79">
        <f t="shared" ref="E3" si="2">SUM(E4:E5)</f>
        <v>3597.0430782459143</v>
      </c>
      <c r="F3" s="79">
        <f t="shared" ref="F3" si="3">SUM(F4:F5)</f>
        <v>3566.2080825451421</v>
      </c>
      <c r="G3" s="79">
        <f t="shared" ref="G3" si="4">SUM(G4:G5)</f>
        <v>3715.128460877042</v>
      </c>
      <c r="H3" s="79">
        <f t="shared" ref="H3" si="5">SUM(H4:H5)</f>
        <v>3981.1790197764394</v>
      </c>
      <c r="I3" s="79">
        <f t="shared" ref="I3" si="6">SUM(I4:I5)</f>
        <v>4227.6439380911434</v>
      </c>
      <c r="J3" s="79">
        <f t="shared" ref="J3" si="7">SUM(J4:J5)</f>
        <v>4074.4721410146167</v>
      </c>
      <c r="K3" s="79">
        <f t="shared" ref="K3" si="8">SUM(K4:K5)</f>
        <v>3686.443164230438</v>
      </c>
      <c r="L3" s="79">
        <f t="shared" ref="L3" si="9">SUM(L4:L5)</f>
        <v>3882.6550300945837</v>
      </c>
      <c r="M3" s="79">
        <f t="shared" ref="M3" si="10">SUM(M4:M5)</f>
        <v>3969.6665520206366</v>
      </c>
      <c r="N3" s="79">
        <f t="shared" ref="N3" si="11">SUM(N4:N5)</f>
        <v>3786.8061908856407</v>
      </c>
      <c r="O3" s="79">
        <f t="shared" ref="O3" si="12">SUM(O4:O5)</f>
        <v>3684.0307824591573</v>
      </c>
      <c r="P3" s="79">
        <f t="shared" ref="P3" si="13">SUM(P4:P5)</f>
        <v>3722.031126397248</v>
      </c>
      <c r="Q3" s="79">
        <f t="shared" ref="Q3" si="14">SUM(Q4:Q5)</f>
        <v>3863.7622527944959</v>
      </c>
      <c r="R3" s="79">
        <f t="shared" ref="R3" si="15">SUM(R4:R5)</f>
        <v>4005.4695614789343</v>
      </c>
      <c r="S3" s="79">
        <f t="shared" ref="S3" si="16">SUM(S4:S5)</f>
        <v>4199.5796216681001</v>
      </c>
      <c r="T3" s="79">
        <f t="shared" ref="T3" si="17">SUM(T4:T5)</f>
        <v>4714.2208942390362</v>
      </c>
      <c r="U3" s="79">
        <f t="shared" ref="U3" si="18">SUM(U4:U5)</f>
        <v>4875.1382631126389</v>
      </c>
      <c r="V3" s="79">
        <f t="shared" ref="V3:W3" si="19">SUM(V4:V5)</f>
        <v>1839.1256233877898</v>
      </c>
      <c r="W3" s="79">
        <f t="shared" si="19"/>
        <v>2104.5799656061899</v>
      </c>
      <c r="X3" s="79">
        <f t="shared" ref="X3:Y3" si="20">SUM(X4:X5)</f>
        <v>3658.5220980223562</v>
      </c>
      <c r="Y3" s="79">
        <f t="shared" si="20"/>
        <v>4610.2764402407547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669.77162510748065</v>
      </c>
      <c r="C4" s="96">
        <f t="shared" si="21"/>
        <v>616.48512467755802</v>
      </c>
      <c r="D4" s="96">
        <f t="shared" ref="D4:V4" si="22">SUM(D7,D11)</f>
        <v>617.53611349956998</v>
      </c>
      <c r="E4" s="96">
        <f t="shared" si="22"/>
        <v>696.68959587274298</v>
      </c>
      <c r="F4" s="96">
        <f t="shared" si="22"/>
        <v>689.47644024075669</v>
      </c>
      <c r="G4" s="96">
        <f t="shared" si="22"/>
        <v>718.23344797936375</v>
      </c>
      <c r="H4" s="96">
        <f t="shared" si="22"/>
        <v>769.63319002579533</v>
      </c>
      <c r="I4" s="96">
        <f t="shared" si="22"/>
        <v>815.82588134135847</v>
      </c>
      <c r="J4" s="96">
        <f t="shared" si="22"/>
        <v>781.79036973344796</v>
      </c>
      <c r="K4" s="96">
        <f t="shared" si="22"/>
        <v>689.54815133276009</v>
      </c>
      <c r="L4" s="96">
        <f t="shared" si="22"/>
        <v>715.27179707652624</v>
      </c>
      <c r="M4" s="96">
        <f t="shared" si="22"/>
        <v>720.12037833190016</v>
      </c>
      <c r="N4" s="96">
        <f t="shared" si="22"/>
        <v>686.18039552880487</v>
      </c>
      <c r="O4" s="96">
        <f t="shared" si="22"/>
        <v>683.02760103181436</v>
      </c>
      <c r="P4" s="96">
        <f t="shared" si="22"/>
        <v>646.05425623387794</v>
      </c>
      <c r="Q4" s="96">
        <f t="shared" si="22"/>
        <v>697.40610490111783</v>
      </c>
      <c r="R4" s="96">
        <f t="shared" si="22"/>
        <v>709.70670679277725</v>
      </c>
      <c r="S4" s="96">
        <f t="shared" si="22"/>
        <v>780.40894239036959</v>
      </c>
      <c r="T4" s="96">
        <f t="shared" si="22"/>
        <v>879.36302665520202</v>
      </c>
      <c r="U4" s="96">
        <f t="shared" si="22"/>
        <v>906.62484952708508</v>
      </c>
      <c r="V4" s="96">
        <f t="shared" si="22"/>
        <v>344.1936371453138</v>
      </c>
      <c r="W4" s="96">
        <f t="shared" ref="W4:Y4" si="23">SUM(W7,W11)</f>
        <v>472.37214101461734</v>
      </c>
      <c r="X4" s="96">
        <f t="shared" si="23"/>
        <v>814.23559759243335</v>
      </c>
      <c r="Y4" s="96">
        <f t="shared" si="23"/>
        <v>1010.3595012897673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2827.4338779019777</v>
      </c>
      <c r="C5" s="96">
        <f t="shared" si="24"/>
        <v>2578.8907996560624</v>
      </c>
      <c r="D5" s="96">
        <f t="shared" ref="D5:V5" si="25">SUM(D8:D9,D12:D13)</f>
        <v>2578.890799656062</v>
      </c>
      <c r="E5" s="96">
        <f t="shared" si="25"/>
        <v>2900.3534823731711</v>
      </c>
      <c r="F5" s="96">
        <f t="shared" si="25"/>
        <v>2876.7316423043853</v>
      </c>
      <c r="G5" s="96">
        <f t="shared" si="25"/>
        <v>2996.8950128976785</v>
      </c>
      <c r="H5" s="96">
        <f t="shared" si="25"/>
        <v>3211.5458297506443</v>
      </c>
      <c r="I5" s="96">
        <f t="shared" si="25"/>
        <v>3411.8180567497848</v>
      </c>
      <c r="J5" s="96">
        <f t="shared" si="25"/>
        <v>3292.6817712811685</v>
      </c>
      <c r="K5" s="96">
        <f t="shared" si="25"/>
        <v>2996.895012897678</v>
      </c>
      <c r="L5" s="96">
        <f t="shared" si="25"/>
        <v>3167.3832330180576</v>
      </c>
      <c r="M5" s="96">
        <f t="shared" si="25"/>
        <v>3249.5461736887364</v>
      </c>
      <c r="N5" s="96">
        <f t="shared" si="25"/>
        <v>3100.6257953568356</v>
      </c>
      <c r="O5" s="96">
        <f t="shared" si="25"/>
        <v>3001.003181427343</v>
      </c>
      <c r="P5" s="96">
        <f t="shared" si="25"/>
        <v>3075.9768701633702</v>
      </c>
      <c r="Q5" s="96">
        <f t="shared" si="25"/>
        <v>3166.356147893378</v>
      </c>
      <c r="R5" s="96">
        <f t="shared" si="25"/>
        <v>3295.762854686157</v>
      </c>
      <c r="S5" s="96">
        <f t="shared" si="25"/>
        <v>3419.1706792777309</v>
      </c>
      <c r="T5" s="96">
        <f t="shared" si="25"/>
        <v>3834.8578675838339</v>
      </c>
      <c r="U5" s="96">
        <f t="shared" si="25"/>
        <v>3968.5134135855542</v>
      </c>
      <c r="V5" s="96">
        <f t="shared" si="25"/>
        <v>1494.9319862424759</v>
      </c>
      <c r="W5" s="96">
        <f t="shared" ref="W5:Y5" si="26">SUM(W8:W9,W12:W13)</f>
        <v>1632.2078245915727</v>
      </c>
      <c r="X5" s="96">
        <f t="shared" si="26"/>
        <v>2844.2865004299229</v>
      </c>
      <c r="Y5" s="96">
        <f t="shared" si="26"/>
        <v>3599.9169389509875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3325.6542943927707</v>
      </c>
      <c r="C6" s="21">
        <f t="shared" si="27"/>
        <v>3124.9591595869588</v>
      </c>
      <c r="D6" s="21">
        <f t="shared" ref="D6:V6" si="28">SUM(D7:D9)</f>
        <v>3035.1917151402704</v>
      </c>
      <c r="E6" s="21">
        <f t="shared" si="28"/>
        <v>3419.0823218243736</v>
      </c>
      <c r="F6" s="21">
        <f t="shared" si="28"/>
        <v>3388.250463347239</v>
      </c>
      <c r="G6" s="21">
        <f t="shared" si="28"/>
        <v>3514.9643934166197</v>
      </c>
      <c r="H6" s="21">
        <f t="shared" si="28"/>
        <v>3751.615667433276</v>
      </c>
      <c r="I6" s="21">
        <f t="shared" si="28"/>
        <v>3976.6585102385225</v>
      </c>
      <c r="J6" s="21">
        <f t="shared" si="28"/>
        <v>3846.66649552543</v>
      </c>
      <c r="K6" s="21">
        <f t="shared" si="28"/>
        <v>3503.4615560412358</v>
      </c>
      <c r="L6" s="21">
        <f t="shared" si="28"/>
        <v>3662.7799365412875</v>
      </c>
      <c r="M6" s="21">
        <f t="shared" si="28"/>
        <v>3744.4214625097893</v>
      </c>
      <c r="N6" s="21">
        <f t="shared" si="28"/>
        <v>3603.958526614043</v>
      </c>
      <c r="O6" s="21">
        <f t="shared" si="28"/>
        <v>3489.43690093444</v>
      </c>
      <c r="P6" s="21">
        <f t="shared" si="28"/>
        <v>3528.3291594840293</v>
      </c>
      <c r="Q6" s="21">
        <f t="shared" si="28"/>
        <v>3639.5501067903774</v>
      </c>
      <c r="R6" s="21">
        <f t="shared" si="28"/>
        <v>3780.1096147473709</v>
      </c>
      <c r="S6" s="21">
        <f t="shared" si="28"/>
        <v>3950.3436912736761</v>
      </c>
      <c r="T6" s="21">
        <f t="shared" si="28"/>
        <v>4462.2842610298067</v>
      </c>
      <c r="U6" s="21">
        <f t="shared" si="28"/>
        <v>4627.7103426049607</v>
      </c>
      <c r="V6" s="21">
        <f t="shared" si="28"/>
        <v>1578.5203192941078</v>
      </c>
      <c r="W6" s="21">
        <f t="shared" ref="W6:Y6" si="29">SUM(W7:W9)</f>
        <v>1821.8811341492174</v>
      </c>
      <c r="X6" s="21">
        <f t="shared" si="29"/>
        <v>3426.5373977964919</v>
      </c>
      <c r="Y6" s="21">
        <f t="shared" si="29"/>
        <v>4378.3177999306899</v>
      </c>
      <c r="DA6" s="189" t="s">
        <v>280</v>
      </c>
    </row>
    <row r="7" spans="1:105" ht="11.45" customHeight="1" x14ac:dyDescent="0.25">
      <c r="A7" s="83" t="s">
        <v>27</v>
      </c>
      <c r="B7" s="96">
        <v>660.07337620793555</v>
      </c>
      <c r="C7" s="96">
        <v>599.1223525366463</v>
      </c>
      <c r="D7" s="96">
        <v>602.78223793730422</v>
      </c>
      <c r="E7" s="96">
        <v>680.43104912068111</v>
      </c>
      <c r="F7" s="96">
        <v>673.31763329369051</v>
      </c>
      <c r="G7" s="96">
        <v>702.13642457947219</v>
      </c>
      <c r="H7" s="96">
        <v>753.26392009887377</v>
      </c>
      <c r="I7" s="96">
        <v>798.92538453437135</v>
      </c>
      <c r="J7" s="96">
        <v>766.45636957348711</v>
      </c>
      <c r="K7" s="96">
        <v>677.34207680096392</v>
      </c>
      <c r="L7" s="96">
        <v>703.11256268067916</v>
      </c>
      <c r="M7" s="96">
        <v>709.28709460924097</v>
      </c>
      <c r="N7" s="96">
        <v>677.2772175309866</v>
      </c>
      <c r="O7" s="96">
        <v>673.94021698123163</v>
      </c>
      <c r="P7" s="96">
        <v>638.00776904719612</v>
      </c>
      <c r="Q7" s="96">
        <v>689.46104748319647</v>
      </c>
      <c r="R7" s="96">
        <v>703.33887555035926</v>
      </c>
      <c r="S7" s="96">
        <v>772.98703244760247</v>
      </c>
      <c r="T7" s="96">
        <v>870.86380342522148</v>
      </c>
      <c r="U7" s="96">
        <v>898.26942612153289</v>
      </c>
      <c r="V7" s="96">
        <v>337.82805024866855</v>
      </c>
      <c r="W7" s="96">
        <v>464.32652291084224</v>
      </c>
      <c r="X7" s="96">
        <v>803.38304667246825</v>
      </c>
      <c r="Y7" s="96">
        <v>998.20334196879764</v>
      </c>
      <c r="DA7" s="171" t="s">
        <v>281</v>
      </c>
    </row>
    <row r="8" spans="1:105" ht="11.45" customHeight="1" x14ac:dyDescent="0.25">
      <c r="A8" s="83" t="s">
        <v>181</v>
      </c>
      <c r="B8" s="96">
        <v>1247.6684933052675</v>
      </c>
      <c r="C8" s="96">
        <v>1182.25858521598</v>
      </c>
      <c r="D8" s="96">
        <v>1138.5195549830635</v>
      </c>
      <c r="E8" s="96">
        <v>1329.681638369683</v>
      </c>
      <c r="F8" s="96">
        <v>1237.720238336673</v>
      </c>
      <c r="G8" s="96">
        <v>1300.0272501890749</v>
      </c>
      <c r="H8" s="96">
        <v>1393.0736814344182</v>
      </c>
      <c r="I8" s="96">
        <v>1510.7103552852975</v>
      </c>
      <c r="J8" s="96">
        <v>1432.2308812821339</v>
      </c>
      <c r="K8" s="96">
        <v>1272.7195047353068</v>
      </c>
      <c r="L8" s="96">
        <v>1323.6609489325633</v>
      </c>
      <c r="M8" s="96">
        <v>1358.3809462643273</v>
      </c>
      <c r="N8" s="96">
        <v>1302.3623457304766</v>
      </c>
      <c r="O8" s="96">
        <v>1247.5423267286528</v>
      </c>
      <c r="P8" s="96">
        <v>1292.4039610025293</v>
      </c>
      <c r="Q8" s="96">
        <v>1329.7731450866224</v>
      </c>
      <c r="R8" s="96">
        <v>1445.098735490528</v>
      </c>
      <c r="S8" s="96">
        <v>1524.1286348569888</v>
      </c>
      <c r="T8" s="96">
        <v>1719.0329476104059</v>
      </c>
      <c r="U8" s="96">
        <v>1746.2568971835713</v>
      </c>
      <c r="V8" s="96">
        <v>479.81209476327643</v>
      </c>
      <c r="W8" s="96">
        <v>569.79715929359759</v>
      </c>
      <c r="X8" s="96">
        <v>1282.4280916394891</v>
      </c>
      <c r="Y8" s="96">
        <v>1627.2410011321426</v>
      </c>
      <c r="DA8" s="171" t="s">
        <v>282</v>
      </c>
    </row>
    <row r="9" spans="1:105" ht="11.45" customHeight="1" x14ac:dyDescent="0.25">
      <c r="A9" s="83" t="s">
        <v>182</v>
      </c>
      <c r="B9" s="96">
        <v>1417.9124248795677</v>
      </c>
      <c r="C9" s="96">
        <v>1343.5782218343327</v>
      </c>
      <c r="D9" s="96">
        <v>1293.8899222199029</v>
      </c>
      <c r="E9" s="96">
        <v>1408.9696343340095</v>
      </c>
      <c r="F9" s="96">
        <v>1477.2125917168757</v>
      </c>
      <c r="G9" s="96">
        <v>1512.8007186480725</v>
      </c>
      <c r="H9" s="96">
        <v>1605.2780658999841</v>
      </c>
      <c r="I9" s="96">
        <v>1667.0227704188535</v>
      </c>
      <c r="J9" s="96">
        <v>1647.9792446698093</v>
      </c>
      <c r="K9" s="96">
        <v>1553.3999745049648</v>
      </c>
      <c r="L9" s="96">
        <v>1636.0064249280447</v>
      </c>
      <c r="M9" s="96">
        <v>1676.7534216362212</v>
      </c>
      <c r="N9" s="96">
        <v>1624.3189633525797</v>
      </c>
      <c r="O9" s="96">
        <v>1567.9543572245559</v>
      </c>
      <c r="P9" s="96">
        <v>1597.917429434304</v>
      </c>
      <c r="Q9" s="96">
        <v>1620.3159142205586</v>
      </c>
      <c r="R9" s="96">
        <v>1631.6720037064836</v>
      </c>
      <c r="S9" s="96">
        <v>1653.2280239690847</v>
      </c>
      <c r="T9" s="96">
        <v>1872.387509994179</v>
      </c>
      <c r="U9" s="96">
        <v>1983.1840192998568</v>
      </c>
      <c r="V9" s="96">
        <v>760.8801742821629</v>
      </c>
      <c r="W9" s="96">
        <v>787.75745194477759</v>
      </c>
      <c r="X9" s="96">
        <v>1340.7262594845345</v>
      </c>
      <c r="Y9" s="96">
        <v>1752.8734568297498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171.55120861668715</v>
      </c>
      <c r="C10" s="22">
        <f t="shared" si="30"/>
        <v>70.416764746660874</v>
      </c>
      <c r="D10" s="22">
        <f t="shared" ref="D10:V10" si="31">SUM(D11:D13)</f>
        <v>161.23519801536128</v>
      </c>
      <c r="E10" s="22">
        <f t="shared" si="31"/>
        <v>177.96075642154057</v>
      </c>
      <c r="F10" s="22">
        <f t="shared" si="31"/>
        <v>177.95761919790232</v>
      </c>
      <c r="G10" s="22">
        <f t="shared" si="31"/>
        <v>200.16406746042219</v>
      </c>
      <c r="H10" s="22">
        <f t="shared" si="31"/>
        <v>229.56335234316361</v>
      </c>
      <c r="I10" s="22">
        <f t="shared" si="31"/>
        <v>250.98542785262094</v>
      </c>
      <c r="J10" s="22">
        <f t="shared" si="31"/>
        <v>227.80564548918593</v>
      </c>
      <c r="K10" s="22">
        <f t="shared" si="31"/>
        <v>182.98160818920263</v>
      </c>
      <c r="L10" s="22">
        <f t="shared" si="31"/>
        <v>219.87509355329701</v>
      </c>
      <c r="M10" s="22">
        <f t="shared" si="31"/>
        <v>225.24508951084721</v>
      </c>
      <c r="N10" s="22">
        <f t="shared" si="31"/>
        <v>182.84766427159758</v>
      </c>
      <c r="O10" s="22">
        <f t="shared" si="31"/>
        <v>194.59388152471689</v>
      </c>
      <c r="P10" s="22">
        <f t="shared" si="31"/>
        <v>193.70196691321871</v>
      </c>
      <c r="Q10" s="22">
        <f t="shared" si="31"/>
        <v>224.21214600411872</v>
      </c>
      <c r="R10" s="22">
        <f t="shared" si="31"/>
        <v>225.35994673156355</v>
      </c>
      <c r="S10" s="22">
        <f t="shared" si="31"/>
        <v>249.23593039442395</v>
      </c>
      <c r="T10" s="22">
        <f t="shared" si="31"/>
        <v>251.93663320922974</v>
      </c>
      <c r="U10" s="22">
        <f t="shared" si="31"/>
        <v>247.42792050767878</v>
      </c>
      <c r="V10" s="22">
        <f t="shared" si="31"/>
        <v>260.60530409368175</v>
      </c>
      <c r="W10" s="22">
        <f t="shared" ref="W10:Y10" si="32">SUM(W11:W13)</f>
        <v>282.69883145697247</v>
      </c>
      <c r="X10" s="22">
        <f t="shared" si="32"/>
        <v>231.98470022586457</v>
      </c>
      <c r="Y10" s="22">
        <f t="shared" si="32"/>
        <v>231.95864031006511</v>
      </c>
      <c r="DA10" s="193" t="s">
        <v>284</v>
      </c>
    </row>
    <row r="11" spans="1:105" ht="11.45" customHeight="1" x14ac:dyDescent="0.25">
      <c r="A11" s="92" t="s">
        <v>27</v>
      </c>
      <c r="B11" s="97">
        <v>9.6982488995450495</v>
      </c>
      <c r="C11" s="97">
        <v>17.362772140911709</v>
      </c>
      <c r="D11" s="97">
        <v>14.753875562265742</v>
      </c>
      <c r="E11" s="97">
        <v>16.258546752061864</v>
      </c>
      <c r="F11" s="97">
        <v>16.15880694706615</v>
      </c>
      <c r="G11" s="97">
        <v>16.097023399891601</v>
      </c>
      <c r="H11" s="97">
        <v>16.369269926921522</v>
      </c>
      <c r="I11" s="97">
        <v>16.9004968069871</v>
      </c>
      <c r="J11" s="97">
        <v>15.334000159960802</v>
      </c>
      <c r="K11" s="97">
        <v>12.206074531796116</v>
      </c>
      <c r="L11" s="97">
        <v>12.159234395847037</v>
      </c>
      <c r="M11" s="97">
        <v>10.833283722659147</v>
      </c>
      <c r="N11" s="97">
        <v>8.9031779978182115</v>
      </c>
      <c r="O11" s="97">
        <v>9.0873840505826937</v>
      </c>
      <c r="P11" s="97">
        <v>8.0464871866817695</v>
      </c>
      <c r="Q11" s="97">
        <v>7.9450574179213405</v>
      </c>
      <c r="R11" s="97">
        <v>6.3678312424180197</v>
      </c>
      <c r="S11" s="97">
        <v>7.4219099427670621</v>
      </c>
      <c r="T11" s="97">
        <v>8.4992232299805561</v>
      </c>
      <c r="U11" s="97">
        <v>8.3554234055522336</v>
      </c>
      <c r="V11" s="97">
        <v>6.3655868966452296</v>
      </c>
      <c r="W11" s="97">
        <v>8.0456181037750714</v>
      </c>
      <c r="X11" s="97">
        <v>10.852550919965065</v>
      </c>
      <c r="Y11" s="97">
        <v>12.156159320969715</v>
      </c>
      <c r="DA11" s="175" t="s">
        <v>285</v>
      </c>
    </row>
    <row r="12" spans="1:105" ht="11.45" customHeight="1" x14ac:dyDescent="0.25">
      <c r="A12" s="92" t="s">
        <v>181</v>
      </c>
      <c r="B12" s="97">
        <v>20.373574401733826</v>
      </c>
      <c r="C12" s="97">
        <v>9.5933194030546964</v>
      </c>
      <c r="D12" s="97">
        <v>35.636826301403467</v>
      </c>
      <c r="E12" s="97">
        <v>38.22978878032152</v>
      </c>
      <c r="F12" s="97">
        <v>41.232808678853452</v>
      </c>
      <c r="G12" s="97">
        <v>42.459032914497499</v>
      </c>
      <c r="H12" s="97">
        <v>46.512994153119642</v>
      </c>
      <c r="I12" s="97">
        <v>49.694901406945554</v>
      </c>
      <c r="J12" s="97">
        <v>46.130102105213034</v>
      </c>
      <c r="K12" s="97">
        <v>40.56817676577694</v>
      </c>
      <c r="L12" s="97">
        <v>37.814754900558057</v>
      </c>
      <c r="M12" s="97">
        <v>35.003804597522674</v>
      </c>
      <c r="N12" s="97">
        <v>32.225217825926606</v>
      </c>
      <c r="O12" s="97">
        <v>31.82839224807686</v>
      </c>
      <c r="P12" s="97">
        <v>28.86425171353067</v>
      </c>
      <c r="Q12" s="97">
        <v>30.196351979636411</v>
      </c>
      <c r="R12" s="97">
        <v>27.432574412490066</v>
      </c>
      <c r="S12" s="97">
        <v>30.581332158706822</v>
      </c>
      <c r="T12" s="97">
        <v>33.25012145299722</v>
      </c>
      <c r="U12" s="97">
        <v>32.732856712398643</v>
      </c>
      <c r="V12" s="97">
        <v>31.313975292739329</v>
      </c>
      <c r="W12" s="97">
        <v>33.859102309005948</v>
      </c>
      <c r="X12" s="97">
        <v>39.450575751071533</v>
      </c>
      <c r="Y12" s="97">
        <v>40.953545910825007</v>
      </c>
      <c r="DA12" s="175" t="s">
        <v>286</v>
      </c>
    </row>
    <row r="13" spans="1:105" ht="11.45" customHeight="1" x14ac:dyDescent="0.25">
      <c r="A13" s="85" t="s">
        <v>182</v>
      </c>
      <c r="B13" s="98">
        <v>141.47938531540828</v>
      </c>
      <c r="C13" s="98">
        <v>43.460673202694466</v>
      </c>
      <c r="D13" s="98">
        <v>110.84449615169207</v>
      </c>
      <c r="E13" s="98">
        <v>123.47242088915719</v>
      </c>
      <c r="F13" s="98">
        <v>120.56600357198273</v>
      </c>
      <c r="G13" s="98">
        <v>141.60801114603308</v>
      </c>
      <c r="H13" s="98">
        <v>166.68108826312243</v>
      </c>
      <c r="I13" s="98">
        <v>184.39002963868828</v>
      </c>
      <c r="J13" s="98">
        <v>166.3415432240121</v>
      </c>
      <c r="K13" s="98">
        <v>130.20735689162956</v>
      </c>
      <c r="L13" s="98">
        <v>169.90110425689193</v>
      </c>
      <c r="M13" s="98">
        <v>179.40800119066537</v>
      </c>
      <c r="N13" s="98">
        <v>141.71926844785276</v>
      </c>
      <c r="O13" s="98">
        <v>153.67810522605734</v>
      </c>
      <c r="P13" s="98">
        <v>156.79122801300628</v>
      </c>
      <c r="Q13" s="98">
        <v>186.07073660656098</v>
      </c>
      <c r="R13" s="98">
        <v>191.55954107665548</v>
      </c>
      <c r="S13" s="98">
        <v>211.23268829295006</v>
      </c>
      <c r="T13" s="98">
        <v>210.18728852625196</v>
      </c>
      <c r="U13" s="98">
        <v>206.33964038972789</v>
      </c>
      <c r="V13" s="98">
        <v>222.92574190429718</v>
      </c>
      <c r="W13" s="98">
        <v>240.79411104419148</v>
      </c>
      <c r="X13" s="98">
        <v>181.68157355482799</v>
      </c>
      <c r="Y13" s="98">
        <v>178.84893507827039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563.00492666858929</v>
      </c>
      <c r="C17" s="62">
        <f>IF(C3=0,0,C3/TrAvia_act!C13*100)</f>
        <v>573.57026549736429</v>
      </c>
      <c r="D17" s="62">
        <f>IF(D3=0,0,D3/TrAvia_act!D13*100)</f>
        <v>559.13527901111331</v>
      </c>
      <c r="E17" s="62">
        <f>IF(E3=0,0,E3/TrAvia_act!E13*100)</f>
        <v>536.54723148098094</v>
      </c>
      <c r="F17" s="62">
        <f>IF(F3=0,0,F3/TrAvia_act!F13*100)</f>
        <v>499.90358595548525</v>
      </c>
      <c r="G17" s="62">
        <f>IF(G3=0,0,G3/TrAvia_act!G13*100)</f>
        <v>489.26323114049592</v>
      </c>
      <c r="H17" s="62">
        <f>IF(H3=0,0,H3/TrAvia_act!H13*100)</f>
        <v>499.46957011153233</v>
      </c>
      <c r="I17" s="62">
        <f>IF(I3=0,0,I3/TrAvia_act!I13*100)</f>
        <v>478.72385194652082</v>
      </c>
      <c r="J17" s="62">
        <f>IF(J3=0,0,J3/TrAvia_act!J13*100)</f>
        <v>489.01710965026035</v>
      </c>
      <c r="K17" s="62">
        <f>IF(K3=0,0,K3/TrAvia_act!K13*100)</f>
        <v>469.17461388689799</v>
      </c>
      <c r="L17" s="62">
        <f>IF(L3=0,0,L3/TrAvia_act!L13*100)</f>
        <v>473.75899496284603</v>
      </c>
      <c r="M17" s="62">
        <f>IF(M3=0,0,M3/TrAvia_act!M13*100)</f>
        <v>483.66753826133476</v>
      </c>
      <c r="N17" s="62">
        <f>IF(N3=0,0,N3/TrAvia_act!N13*100)</f>
        <v>475.87173308105139</v>
      </c>
      <c r="O17" s="62">
        <f>IF(O3=0,0,O3/TrAvia_act!O13*100)</f>
        <v>481.15532754421861</v>
      </c>
      <c r="P17" s="62">
        <f>IF(P3=0,0,P3/TrAvia_act!P13*100)</f>
        <v>486.29449052209009</v>
      </c>
      <c r="Q17" s="62">
        <f>IF(Q3=0,0,Q3/TrAvia_act!Q13*100)</f>
        <v>482.68008414301164</v>
      </c>
      <c r="R17" s="62">
        <f>IF(R3=0,0,R3/TrAvia_act!R13*100)</f>
        <v>476.62412987294152</v>
      </c>
      <c r="S17" s="62">
        <f>IF(S3=0,0,S3/TrAvia_act!S13*100)</f>
        <v>474.32495402943221</v>
      </c>
      <c r="T17" s="62">
        <f>IF(T3=0,0,T3/TrAvia_act!T13*100)</f>
        <v>497.42341651005961</v>
      </c>
      <c r="U17" s="62">
        <f>IF(U3=0,0,U3/TrAvia_act!U13*100)</f>
        <v>489.9381578135264</v>
      </c>
      <c r="V17" s="62">
        <f>IF(V3=0,0,V3/TrAvia_act!V13*100)</f>
        <v>498.9042987842347</v>
      </c>
      <c r="W17" s="62">
        <f>IF(W3=0,0,W3/TrAvia_act!W13*100)</f>
        <v>425.7289763682146</v>
      </c>
      <c r="X17" s="62">
        <f>IF(X3=0,0,X3/TrAvia_act!X13*100)</f>
        <v>440.50758498868117</v>
      </c>
      <c r="Y17" s="62">
        <f>IF(Y3=0,0,Y3/TrAvia_act!Y13*100)</f>
        <v>475.60069675854317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557.7212985749394</v>
      </c>
      <c r="C18" s="14">
        <f>IF(C6=0,0,C6/TrAvia_act!C14*100)</f>
        <v>572.4790535349257</v>
      </c>
      <c r="D18" s="14">
        <f>IF(D6=0,0,D6/TrAvia_act!D14*100)</f>
        <v>555.20088825703567</v>
      </c>
      <c r="E18" s="14">
        <f>IF(E6=0,0,E6/TrAvia_act!E14*100)</f>
        <v>532.8255808737872</v>
      </c>
      <c r="F18" s="14">
        <f>IF(F6=0,0,F6/TrAvia_act!F14*100)</f>
        <v>497.23414913553154</v>
      </c>
      <c r="G18" s="14">
        <f>IF(G6=0,0,G6/TrAvia_act!G14*100)</f>
        <v>485.92414223937118</v>
      </c>
      <c r="H18" s="14">
        <f>IF(H6=0,0,H6/TrAvia_act!H14*100)</f>
        <v>495.58473801989828</v>
      </c>
      <c r="I18" s="14">
        <f>IF(I6=0,0,I6/TrAvia_act!I14*100)</f>
        <v>474.73676474138068</v>
      </c>
      <c r="J18" s="14">
        <f>IF(J6=0,0,J6/TrAvia_act!J14*100)</f>
        <v>485.30127389201266</v>
      </c>
      <c r="K18" s="14">
        <f>IF(K6=0,0,K6/TrAvia_act!K14*100)</f>
        <v>465.26144710979304</v>
      </c>
      <c r="L18" s="14">
        <f>IF(L6=0,0,L6/TrAvia_act!L14*100)</f>
        <v>468.55039000895209</v>
      </c>
      <c r="M18" s="14">
        <f>IF(M6=0,0,M6/TrAvia_act!M14*100)</f>
        <v>478.59276040226632</v>
      </c>
      <c r="N18" s="14">
        <f>IF(N6=0,0,N6/TrAvia_act!N14*100)</f>
        <v>472.09998304159899</v>
      </c>
      <c r="O18" s="14">
        <f>IF(O6=0,0,O6/TrAvia_act!O14*100)</f>
        <v>476.50081766741187</v>
      </c>
      <c r="P18" s="14">
        <f>IF(P6=0,0,P6/TrAvia_act!P14*100)</f>
        <v>481.63462567352752</v>
      </c>
      <c r="Q18" s="14">
        <f>IF(Q6=0,0,Q6/TrAvia_act!Q14*100)</f>
        <v>477.37422147766273</v>
      </c>
      <c r="R18" s="14">
        <f>IF(R6=0,0,R6/TrAvia_act!R14*100)</f>
        <v>471.58139125720089</v>
      </c>
      <c r="S18" s="14">
        <f>IF(S6=0,0,S6/TrAvia_act!S14*100)</f>
        <v>469.51741317804778</v>
      </c>
      <c r="T18" s="14">
        <f>IF(T6=0,0,T6/TrAvia_act!T14*100)</f>
        <v>493.64524350763838</v>
      </c>
      <c r="U18" s="14">
        <f>IF(U6=0,0,U6/TrAvia_act!U14*100)</f>
        <v>486.44920714127505</v>
      </c>
      <c r="V18" s="14">
        <f>IF(V6=0,0,V6/TrAvia_act!V14*100)</f>
        <v>478.58093569994458</v>
      </c>
      <c r="W18" s="14">
        <f>IF(W6=0,0,W6/TrAvia_act!W14*100)</f>
        <v>409.23272497227651</v>
      </c>
      <c r="X18" s="14">
        <f>IF(X6=0,0,X6/TrAvia_act!X14*100)</f>
        <v>435.24192010147829</v>
      </c>
      <c r="Y18" s="14">
        <f>IF(Y6=0,0,Y6/TrAvia_act!Y14*100)</f>
        <v>472.96736641195008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381.65274815706607</v>
      </c>
      <c r="C19" s="87">
        <f>IF(C7=0,0,C7/TrAvia_act!C15*100)</f>
        <v>375.97766852181564</v>
      </c>
      <c r="D19" s="87">
        <f>IF(D7=0,0,D7/TrAvia_act!D15*100)</f>
        <v>377.25357081954382</v>
      </c>
      <c r="E19" s="87">
        <f>IF(E7=0,0,E7/TrAvia_act!E15*100)</f>
        <v>374.25887956607215</v>
      </c>
      <c r="F19" s="87">
        <f>IF(F7=0,0,F7/TrAvia_act!F15*100)</f>
        <v>381.39879142803534</v>
      </c>
      <c r="G19" s="87">
        <f>IF(G7=0,0,G7/TrAvia_act!G15*100)</f>
        <v>404.38073190562784</v>
      </c>
      <c r="H19" s="87">
        <f>IF(H7=0,0,H7/TrAvia_act!H15*100)</f>
        <v>410.97877147397918</v>
      </c>
      <c r="I19" s="87">
        <f>IF(I7=0,0,I7/TrAvia_act!I15*100)</f>
        <v>390.84942710809725</v>
      </c>
      <c r="J19" s="87">
        <f>IF(J7=0,0,J7/TrAvia_act!J15*100)</f>
        <v>399.27103878408946</v>
      </c>
      <c r="K19" s="87">
        <f>IF(K7=0,0,K7/TrAvia_act!K15*100)</f>
        <v>349.4702476469339</v>
      </c>
      <c r="L19" s="87">
        <f>IF(L7=0,0,L7/TrAvia_act!L15*100)</f>
        <v>361.81901735014435</v>
      </c>
      <c r="M19" s="87">
        <f>IF(M7=0,0,M7/TrAvia_act!M15*100)</f>
        <v>367.69033537625984</v>
      </c>
      <c r="N19" s="87">
        <f>IF(N7=0,0,N7/TrAvia_act!N15*100)</f>
        <v>380.72075928502528</v>
      </c>
      <c r="O19" s="87">
        <f>IF(O7=0,0,O7/TrAvia_act!O15*100)</f>
        <v>417.08279014201207</v>
      </c>
      <c r="P19" s="87">
        <f>IF(P7=0,0,P7/TrAvia_act!P15*100)</f>
        <v>428.89136431502493</v>
      </c>
      <c r="Q19" s="87">
        <f>IF(Q7=0,0,Q7/TrAvia_act!Q15*100)</f>
        <v>451.55865411467852</v>
      </c>
      <c r="R19" s="87">
        <f>IF(R7=0,0,R7/TrAvia_act!R15*100)</f>
        <v>449.94094684160649</v>
      </c>
      <c r="S19" s="87">
        <f>IF(S7=0,0,S7/TrAvia_act!S15*100)</f>
        <v>477.94199303825985</v>
      </c>
      <c r="T19" s="87">
        <f>IF(T7=0,0,T7/TrAvia_act!T15*100)</f>
        <v>525.27103936699939</v>
      </c>
      <c r="U19" s="87">
        <f>IF(U7=0,0,U7/TrAvia_act!U15*100)</f>
        <v>524.95864407106512</v>
      </c>
      <c r="V19" s="87">
        <f>IF(V7=0,0,V7/TrAvia_act!V15*100)</f>
        <v>391.45762900892981</v>
      </c>
      <c r="W19" s="87">
        <f>IF(W7=0,0,W7/TrAvia_act!W15*100)</f>
        <v>362.74370129666897</v>
      </c>
      <c r="X19" s="87">
        <f>IF(X7=0,0,X7/TrAvia_act!X15*100)</f>
        <v>451.76149528329876</v>
      </c>
      <c r="Y19" s="87">
        <f>IF(Y7=0,0,Y7/TrAvia_act!Y15*100)</f>
        <v>558.67799594372457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499.40201322264937</v>
      </c>
      <c r="C20" s="87">
        <f>IF(C8=0,0,C8/TrAvia_act!C16*100)</f>
        <v>518.31028245335278</v>
      </c>
      <c r="D20" s="87">
        <f>IF(D8=0,0,D8/TrAvia_act!D16*100)</f>
        <v>498.63726492363173</v>
      </c>
      <c r="E20" s="87">
        <f>IF(E8=0,0,E8/TrAvia_act!E16*100)</f>
        <v>476.9637889200024</v>
      </c>
      <c r="F20" s="87">
        <f>IF(F8=0,0,F8/TrAvia_act!F16*100)</f>
        <v>424.66174109015185</v>
      </c>
      <c r="G20" s="87">
        <f>IF(G8=0,0,G8/TrAvia_act!G16*100)</f>
        <v>409.10735664326</v>
      </c>
      <c r="H20" s="87">
        <f>IF(H8=0,0,H8/TrAvia_act!H16*100)</f>
        <v>420.59815986169326</v>
      </c>
      <c r="I20" s="87">
        <f>IF(I8=0,0,I8/TrAvia_act!I16*100)</f>
        <v>410.11366592643708</v>
      </c>
      <c r="J20" s="87">
        <f>IF(J8=0,0,J8/TrAvia_act!J16*100)</f>
        <v>414.49627724554341</v>
      </c>
      <c r="K20" s="87">
        <f>IF(K8=0,0,K8/TrAvia_act!K16*100)</f>
        <v>397.16153149981199</v>
      </c>
      <c r="L20" s="87">
        <f>IF(L8=0,0,L8/TrAvia_act!L16*100)</f>
        <v>399.07864015604957</v>
      </c>
      <c r="M20" s="87">
        <f>IF(M8=0,0,M8/TrAvia_act!M16*100)</f>
        <v>404.860679416697</v>
      </c>
      <c r="N20" s="87">
        <f>IF(N8=0,0,N8/TrAvia_act!N16*100)</f>
        <v>399.57154969006734</v>
      </c>
      <c r="O20" s="87">
        <f>IF(O8=0,0,O8/TrAvia_act!O16*100)</f>
        <v>398.1745627644226</v>
      </c>
      <c r="P20" s="87">
        <f>IF(P8=0,0,P8/TrAvia_act!P16*100)</f>
        <v>401.30899665163167</v>
      </c>
      <c r="Q20" s="87">
        <f>IF(Q8=0,0,Q8/TrAvia_act!Q16*100)</f>
        <v>385.13299647343302</v>
      </c>
      <c r="R20" s="87">
        <f>IF(R8=0,0,R8/TrAvia_act!R16*100)</f>
        <v>389.69734394573544</v>
      </c>
      <c r="S20" s="87">
        <f>IF(S8=0,0,S8/TrAvia_act!S16*100)</f>
        <v>395.86394564318124</v>
      </c>
      <c r="T20" s="87">
        <f>IF(T8=0,0,T8/TrAvia_act!T16*100)</f>
        <v>427.15807439621614</v>
      </c>
      <c r="U20" s="87">
        <f>IF(U8=0,0,U8/TrAvia_act!U16*100)</f>
        <v>422.42761486797525</v>
      </c>
      <c r="V20" s="87">
        <f>IF(V8=0,0,V8/TrAvia_act!V16*100)</f>
        <v>353.59883088429666</v>
      </c>
      <c r="W20" s="87">
        <f>IF(W8=0,0,W8/TrAvia_act!W16*100)</f>
        <v>308.93228500790491</v>
      </c>
      <c r="X20" s="87">
        <f>IF(X8=0,0,X8/TrAvia_act!X16*100)</f>
        <v>338.46485149139068</v>
      </c>
      <c r="Y20" s="87">
        <f>IF(Y8=0,0,Y8/TrAvia_act!Y16*100)</f>
        <v>383.42644752879147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817.19616277106866</v>
      </c>
      <c r="C21" s="87">
        <f>IF(C9=0,0,C9/TrAvia_act!C17*100)</f>
        <v>848.13700338493288</v>
      </c>
      <c r="D21" s="87">
        <f>IF(D9=0,0,D9/TrAvia_act!D17*100)</f>
        <v>815.94522254540823</v>
      </c>
      <c r="E21" s="87">
        <f>IF(E9=0,0,E9/TrAvia_act!E17*100)</f>
        <v>778.00281795054525</v>
      </c>
      <c r="F21" s="87">
        <f>IF(F9=0,0,F9/TrAvia_act!F17*100)</f>
        <v>692.16146208643113</v>
      </c>
      <c r="G21" s="87">
        <f>IF(G9=0,0,G9/TrAvia_act!G17*100)</f>
        <v>652.2029970670618</v>
      </c>
      <c r="H21" s="87">
        <f>IF(H9=0,0,H9/TrAvia_act!H17*100)</f>
        <v>661.94290372930368</v>
      </c>
      <c r="I21" s="87">
        <f>IF(I9=0,0,I9/TrAvia_act!I17*100)</f>
        <v>629.34020637043977</v>
      </c>
      <c r="J21" s="87">
        <f>IF(J9=0,0,J9/TrAvia_act!J17*100)</f>
        <v>645.92306667653543</v>
      </c>
      <c r="K21" s="87">
        <f>IF(K9=0,0,K9/TrAvia_act!K17*100)</f>
        <v>650.6777836198338</v>
      </c>
      <c r="L21" s="87">
        <f>IF(L9=0,0,L9/TrAvia_act!L17*100)</f>
        <v>639.76583288634424</v>
      </c>
      <c r="M21" s="87">
        <f>IF(M9=0,0,M9/TrAvia_act!M17*100)</f>
        <v>660.24299547920873</v>
      </c>
      <c r="N21" s="87">
        <f>IF(N9=0,0,N9/TrAvia_act!N17*100)</f>
        <v>625.80749823431347</v>
      </c>
      <c r="O21" s="87">
        <f>IF(O9=0,0,O9/TrAvia_act!O17*100)</f>
        <v>609.1395423172354</v>
      </c>
      <c r="P21" s="87">
        <f>IF(P9=0,0,P9/TrAvia_act!P17*100)</f>
        <v>610.42966863616414</v>
      </c>
      <c r="Q21" s="87">
        <f>IF(Q9=0,0,Q9/TrAvia_act!Q17*100)</f>
        <v>612.71346458247183</v>
      </c>
      <c r="R21" s="87">
        <f>IF(R9=0,0,R9/TrAvia_act!R17*100)</f>
        <v>594.55110894861843</v>
      </c>
      <c r="S21" s="87">
        <f>IF(S9=0,0,S9/TrAvia_act!S17*100)</f>
        <v>561.14498931882895</v>
      </c>
      <c r="T21" s="87">
        <f>IF(T9=0,0,T9/TrAvia_act!T17*100)</f>
        <v>557.72713375171486</v>
      </c>
      <c r="U21" s="87">
        <f>IF(U9=0,0,U9/TrAvia_act!U17*100)</f>
        <v>540.63345796621059</v>
      </c>
      <c r="V21" s="87">
        <f>IF(V9=0,0,V9/TrAvia_act!V17*100)</f>
        <v>705.56677147497066</v>
      </c>
      <c r="W21" s="87">
        <f>IF(W9=0,0,W9/TrAvia_act!W17*100)</f>
        <v>593.41617469606115</v>
      </c>
      <c r="X21" s="87">
        <f>IF(X9=0,0,X9/TrAvia_act!X17*100)</f>
        <v>581.55157931515362</v>
      </c>
      <c r="Y21" s="87">
        <f>IF(Y9=0,0,Y9/TrAvia_act!Y17*100)</f>
        <v>543.28155462446625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689.66385028468392</v>
      </c>
      <c r="C22" s="15">
        <f>IF(C10=0,0,C10/TrAvia_act!C18*100)</f>
        <v>626.57182623313236</v>
      </c>
      <c r="D22" s="15">
        <f>IF(D10=0,0,D10/TrAvia_act!D18*100)</f>
        <v>645.20521507805267</v>
      </c>
      <c r="E22" s="15">
        <f>IF(E10=0,0,E10/TrAvia_act!E18*100)</f>
        <v>619.70898518018657</v>
      </c>
      <c r="F22" s="15">
        <f>IF(F10=0,0,F10/TrAvia_act!F18*100)</f>
        <v>556.81925762019432</v>
      </c>
      <c r="G22" s="15">
        <f>IF(G10=0,0,G10/TrAvia_act!G18*100)</f>
        <v>556.4036924953507</v>
      </c>
      <c r="H22" s="15">
        <f>IF(H10=0,0,H10/TrAvia_act!H18*100)</f>
        <v>572.85596463735112</v>
      </c>
      <c r="I22" s="15">
        <f>IF(I10=0,0,I10/TrAvia_act!I18*100)</f>
        <v>552.20442649597578</v>
      </c>
      <c r="J22" s="15">
        <f>IF(J10=0,0,J10/TrAvia_act!J18*100)</f>
        <v>561.63032729342694</v>
      </c>
      <c r="K22" s="15">
        <f>IF(K10=0,0,K10/TrAvia_act!K18*100)</f>
        <v>559.23048819529117</v>
      </c>
      <c r="L22" s="15">
        <f>IF(L10=0,0,L10/TrAvia_act!L18*100)</f>
        <v>581.42956631602215</v>
      </c>
      <c r="M22" s="15">
        <f>IF(M10=0,0,M10/TrAvia_act!M18*100)</f>
        <v>587.16811495299442</v>
      </c>
      <c r="N22" s="15">
        <f>IF(N10=0,0,N10/TrAvia_act!N18*100)</f>
        <v>564.81316018516452</v>
      </c>
      <c r="O22" s="15">
        <f>IF(O10=0,0,O10/TrAvia_act!O18*100)</f>
        <v>583.33214851753746</v>
      </c>
      <c r="P22" s="15">
        <f>IF(P10=0,0,P10/TrAvia_act!P18*100)</f>
        <v>590.33114526002771</v>
      </c>
      <c r="Q22" s="15">
        <f>IF(Q10=0,0,Q10/TrAvia_act!Q18*100)</f>
        <v>588.93617681232001</v>
      </c>
      <c r="R22" s="15">
        <f>IF(R10=0,0,R10/TrAvia_act!R18*100)</f>
        <v>580.79910310781861</v>
      </c>
      <c r="S22" s="15">
        <f>IF(S10=0,0,S10/TrAvia_act!S18*100)</f>
        <v>566.21712466492534</v>
      </c>
      <c r="T22" s="15">
        <f>IF(T10=0,0,T10/TrAvia_act!T18*100)</f>
        <v>575.42876117155356</v>
      </c>
      <c r="U22" s="15">
        <f>IF(U10=0,0,U10/TrAvia_act!U18*100)</f>
        <v>565.8432539452316</v>
      </c>
      <c r="V22" s="15">
        <f>IF(V10=0,0,V10/TrAvia_act!V18*100)</f>
        <v>671.67296248336697</v>
      </c>
      <c r="W22" s="15">
        <f>IF(W10=0,0,W10/TrAvia_act!W18*100)</f>
        <v>575.14086830138456</v>
      </c>
      <c r="X22" s="15">
        <f>IF(X10=0,0,X10/TrAvia_act!X18*100)</f>
        <v>536.35246358845893</v>
      </c>
      <c r="Y22" s="15">
        <f>IF(Y10=0,0,Y10/TrAvia_act!Y18*100)</f>
        <v>531.45223410259518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452.05316690969755</v>
      </c>
      <c r="C23" s="101">
        <f>IF(C11=0,0,C11/TrAvia_act!C19*100)</f>
        <v>445.33125089057359</v>
      </c>
      <c r="D23" s="101">
        <f>IF(D11=0,0,D11/TrAvia_act!D19*100)</f>
        <v>446.84250864291653</v>
      </c>
      <c r="E23" s="101">
        <f>IF(E11=0,0,E11/TrAvia_act!E19*100)</f>
        <v>443.29541073366335</v>
      </c>
      <c r="F23" s="101">
        <f>IF(F11=0,0,F11/TrAvia_act!F19*100)</f>
        <v>451.7523648214883</v>
      </c>
      <c r="G23" s="101">
        <f>IF(G11=0,0,G11/TrAvia_act!G19*100)</f>
        <v>482.17575009438258</v>
      </c>
      <c r="H23" s="101">
        <f>IF(H11=0,0,H11/TrAvia_act!H19*100)</f>
        <v>487.32162690247981</v>
      </c>
      <c r="I23" s="101">
        <f>IF(I11=0,0,I11/TrAvia_act!I19*100)</f>
        <v>459.95387427655635</v>
      </c>
      <c r="J23" s="101">
        <f>IF(J11=0,0,J11/TrAvia_act!J19*100)</f>
        <v>464.86511941487328</v>
      </c>
      <c r="K23" s="101">
        <f>IF(K11=0,0,K11/TrAvia_act!K19*100)</f>
        <v>401.07149636245526</v>
      </c>
      <c r="L23" s="101">
        <f>IF(L11=0,0,L11/TrAvia_act!L19*100)</f>
        <v>411.52434587193642</v>
      </c>
      <c r="M23" s="101">
        <f>IF(M11=0,0,M11/TrAvia_act!M19*100)</f>
        <v>412.60647888721832</v>
      </c>
      <c r="N23" s="101">
        <f>IF(N11=0,0,N11/TrAvia_act!N19*100)</f>
        <v>421.71999955085306</v>
      </c>
      <c r="O23" s="101">
        <f>IF(O11=0,0,O11/TrAvia_act!O19*100)</f>
        <v>467.8795420490527</v>
      </c>
      <c r="P23" s="101">
        <f>IF(P11=0,0,P11/TrAvia_act!P19*100)</f>
        <v>487.47607966165549</v>
      </c>
      <c r="Q23" s="101">
        <f>IF(Q11=0,0,Q11/TrAvia_act!Q19*100)</f>
        <v>521.98055705626712</v>
      </c>
      <c r="R23" s="101">
        <f>IF(R11=0,0,R11/TrAvia_act!R19*100)</f>
        <v>524.05919893600401</v>
      </c>
      <c r="S23" s="101">
        <f>IF(S11=0,0,S11/TrAvia_act!S19*100)</f>
        <v>561.88593585218723</v>
      </c>
      <c r="T23" s="101">
        <f>IF(T11=0,0,T11/TrAvia_act!T19*100)</f>
        <v>623.83518095484521</v>
      </c>
      <c r="U23" s="101">
        <f>IF(U11=0,0,U11/TrAvia_act!U19*100)</f>
        <v>568.74811145401407</v>
      </c>
      <c r="V23" s="101">
        <f>IF(V11=0,0,V11/TrAvia_act!V19*100)</f>
        <v>406.51868805952535</v>
      </c>
      <c r="W23" s="101">
        <f>IF(W11=0,0,W11/TrAvia_act!W19*100)</f>
        <v>381.54092980939834</v>
      </c>
      <c r="X23" s="101">
        <f>IF(X11=0,0,X11/TrAvia_act!X19*100)</f>
        <v>490.32025209288446</v>
      </c>
      <c r="Y23" s="101">
        <f>IF(Y11=0,0,Y11/TrAvia_act!Y19*100)</f>
        <v>604.19820774322966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523.0315073940377</v>
      </c>
      <c r="C24" s="101">
        <f>IF(C12=0,0,C12/TrAvia_act!C20*100)</f>
        <v>543.50417332422842</v>
      </c>
      <c r="D24" s="101">
        <f>IF(D12=0,0,D12/TrAvia_act!D20*100)</f>
        <v>515.76267044917267</v>
      </c>
      <c r="E24" s="101">
        <f>IF(E12=0,0,E12/TrAvia_act!E20*100)</f>
        <v>491.11391882779287</v>
      </c>
      <c r="F24" s="101">
        <f>IF(F12=0,0,F12/TrAvia_act!F20*100)</f>
        <v>437.08876011417317</v>
      </c>
      <c r="G24" s="101">
        <f>IF(G12=0,0,G12/TrAvia_act!G20*100)</f>
        <v>419.89242696059807</v>
      </c>
      <c r="H24" s="101">
        <f>IF(H12=0,0,H12/TrAvia_act!H20*100)</f>
        <v>431.36228258226572</v>
      </c>
      <c r="I24" s="101">
        <f>IF(I12=0,0,I12/TrAvia_act!I20*100)</f>
        <v>418.92534857229612</v>
      </c>
      <c r="J24" s="101">
        <f>IF(J12=0,0,J12/TrAvia_act!J20*100)</f>
        <v>424.07529576565406</v>
      </c>
      <c r="K24" s="101">
        <f>IF(K12=0,0,K12/TrAvia_act!K20*100)</f>
        <v>406.59956064846449</v>
      </c>
      <c r="L24" s="101">
        <f>IF(L12=0,0,L12/TrAvia_act!L20*100)</f>
        <v>408.03231165254152</v>
      </c>
      <c r="M24" s="101">
        <f>IF(M12=0,0,M12/TrAvia_act!M20*100)</f>
        <v>414.26098883055653</v>
      </c>
      <c r="N24" s="101">
        <f>IF(N12=0,0,N12/TrAvia_act!N20*100)</f>
        <v>409.30206987649444</v>
      </c>
      <c r="O24" s="101">
        <f>IF(O12=0,0,O12/TrAvia_act!O20*100)</f>
        <v>408.83659355385828</v>
      </c>
      <c r="P24" s="101">
        <f>IF(P12=0,0,P12/TrAvia_act!P20*100)</f>
        <v>412.34617328456392</v>
      </c>
      <c r="Q24" s="101">
        <f>IF(Q12=0,0,Q12/TrAvia_act!Q20*100)</f>
        <v>395.02188376318179</v>
      </c>
      <c r="R24" s="101">
        <f>IF(R12=0,0,R12/TrAvia_act!R20*100)</f>
        <v>400.71770413081953</v>
      </c>
      <c r="S24" s="101">
        <f>IF(S12=0,0,S12/TrAvia_act!S20*100)</f>
        <v>408.24965923237858</v>
      </c>
      <c r="T24" s="101">
        <f>IF(T12=0,0,T12/TrAvia_act!T20*100)</f>
        <v>439.75929166727434</v>
      </c>
      <c r="U24" s="101">
        <f>IF(U12=0,0,U12/TrAvia_act!U20*100)</f>
        <v>434.61310106747533</v>
      </c>
      <c r="V24" s="101">
        <f>IF(V12=0,0,V12/TrAvia_act!V20*100)</f>
        <v>382.77643390446246</v>
      </c>
      <c r="W24" s="101">
        <f>IF(W12=0,0,W12/TrAvia_act!W20*100)</f>
        <v>330.885483470069</v>
      </c>
      <c r="X24" s="101">
        <f>IF(X12=0,0,X12/TrAvia_act!X20*100)</f>
        <v>352.76553552029839</v>
      </c>
      <c r="Y24" s="101">
        <f>IF(Y12=0,0,Y12/TrAvia_act!Y20*100)</f>
        <v>394.47682471676507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751.19345563671664</v>
      </c>
      <c r="C25" s="88">
        <f>IF(C13=0,0,C13/TrAvia_act!C21*100)</f>
        <v>779.63528887075859</v>
      </c>
      <c r="D25" s="88">
        <f>IF(D13=0,0,D13/TrAvia_act!D21*100)</f>
        <v>750.043550444159</v>
      </c>
      <c r="E25" s="88">
        <f>IF(E13=0,0,E13/TrAvia_act!E21*100)</f>
        <v>715.16565047197548</v>
      </c>
      <c r="F25" s="88">
        <f>IF(F13=0,0,F13/TrAvia_act!F21*100)</f>
        <v>636.25746699563001</v>
      </c>
      <c r="G25" s="88">
        <f>IF(G13=0,0,G13/TrAvia_act!G21*100)</f>
        <v>628.68956189026073</v>
      </c>
      <c r="H25" s="88">
        <f>IF(H13=0,0,H13/TrAvia_act!H21*100)</f>
        <v>642.77102278933387</v>
      </c>
      <c r="I25" s="88">
        <f>IF(I13=0,0,I13/TrAvia_act!I21*100)</f>
        <v>616.38641702755854</v>
      </c>
      <c r="J25" s="88">
        <f>IF(J13=0,0,J13/TrAvia_act!J21*100)</f>
        <v>630.43760112828772</v>
      </c>
      <c r="K25" s="88">
        <f>IF(K13=0,0,K13/TrAvia_act!K21*100)</f>
        <v>660.96933068307374</v>
      </c>
      <c r="L25" s="88">
        <f>IF(L13=0,0,L13/TrAvia_act!L21*100)</f>
        <v>663.83124359445981</v>
      </c>
      <c r="M25" s="88">
        <f>IF(M13=0,0,M13/TrAvia_act!M21*100)</f>
        <v>657.50961432137035</v>
      </c>
      <c r="N25" s="88">
        <f>IF(N13=0,0,N13/TrAvia_act!N21*100)</f>
        <v>632.9931081102194</v>
      </c>
      <c r="O25" s="88">
        <f>IF(O13=0,0,O13/TrAvia_act!O21*100)</f>
        <v>650.30609587209938</v>
      </c>
      <c r="P25" s="88">
        <f>IF(P13=0,0,P13/TrAvia_act!P21*100)</f>
        <v>648.92255252210475</v>
      </c>
      <c r="Q25" s="88">
        <f>IF(Q13=0,0,Q13/TrAvia_act!Q21*100)</f>
        <v>643.74575611668126</v>
      </c>
      <c r="R25" s="88">
        <f>IF(R13=0,0,R13/TrAvia_act!R21*100)</f>
        <v>623.14539660102059</v>
      </c>
      <c r="S25" s="88">
        <f>IF(S13=0,0,S13/TrAvia_act!S21*100)</f>
        <v>599.99063659035073</v>
      </c>
      <c r="T25" s="88">
        <f>IF(T13=0,0,T13/TrAvia_act!T21*100)</f>
        <v>602.96380788127829</v>
      </c>
      <c r="U25" s="88">
        <f>IF(U13=0,0,U13/TrAvia_act!U21*100)</f>
        <v>594.18143013638951</v>
      </c>
      <c r="V25" s="88">
        <f>IF(V13=0,0,V13/TrAvia_act!V21*100)</f>
        <v>767.31222034990355</v>
      </c>
      <c r="W25" s="88">
        <f>IF(W13=0,0,W13/TrAvia_act!W21*100)</f>
        <v>654.12955838549647</v>
      </c>
      <c r="X25" s="88">
        <f>IF(X13=0,0,X13/TrAvia_act!X21*100)</f>
        <v>608.53233458084731</v>
      </c>
      <c r="Y25" s="88">
        <f>IF(Y13=0,0,Y13/TrAvia_act!Y21*100)</f>
        <v>572.2707730867852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47.900587131386935</v>
      </c>
      <c r="C28" s="14">
        <f>IF(C6=0,0,C6/TrAvia_act!C4*1000)</f>
        <v>48.793723581483057</v>
      </c>
      <c r="D28" s="14">
        <f>IF(D6=0,0,D6/TrAvia_act!D4*1000)</f>
        <v>47.068522330244591</v>
      </c>
      <c r="E28" s="14">
        <f>IF(E6=0,0,E6/TrAvia_act!E4*1000)</f>
        <v>48.517390670028732</v>
      </c>
      <c r="F28" s="14">
        <f>IF(F6=0,0,F6/TrAvia_act!F4*1000)</f>
        <v>41.377719959828759</v>
      </c>
      <c r="G28" s="14">
        <f>IF(G6=0,0,G6/TrAvia_act!G4*1000)</f>
        <v>40.162510301165071</v>
      </c>
      <c r="H28" s="14">
        <f>IF(H6=0,0,H6/TrAvia_act!H4*1000)</f>
        <v>40.529434975195507</v>
      </c>
      <c r="I28" s="14">
        <f>IF(I6=0,0,I6/TrAvia_act!I4*1000)</f>
        <v>39.241516538988932</v>
      </c>
      <c r="J28" s="14">
        <f>IF(J6=0,0,J6/TrAvia_act!J4*1000)</f>
        <v>39.681031332688868</v>
      </c>
      <c r="K28" s="14">
        <f>IF(K6=0,0,K6/TrAvia_act!K4*1000)</f>
        <v>37.758138226679442</v>
      </c>
      <c r="L28" s="14">
        <f>IF(L6=0,0,L6/TrAvia_act!L4*1000)</f>
        <v>36.536458244918229</v>
      </c>
      <c r="M28" s="14">
        <f>IF(M6=0,0,M6/TrAvia_act!M4*1000)</f>
        <v>35.807776913369452</v>
      </c>
      <c r="N28" s="14">
        <f>IF(N6=0,0,N6/TrAvia_act!N4*1000)</f>
        <v>34.56471294723957</v>
      </c>
      <c r="O28" s="14">
        <f>IF(O6=0,0,O6/TrAvia_act!O4*1000)</f>
        <v>33.678059640819797</v>
      </c>
      <c r="P28" s="14">
        <f>IF(P6=0,0,P6/TrAvia_act!P4*1000)</f>
        <v>33.142376822305053</v>
      </c>
      <c r="Q28" s="14">
        <f>IF(Q6=0,0,Q6/TrAvia_act!Q4*1000)</f>
        <v>32.260817221365791</v>
      </c>
      <c r="R28" s="14">
        <f>IF(R6=0,0,R6/TrAvia_act!R4*1000)</f>
        <v>31.597782739894338</v>
      </c>
      <c r="S28" s="14">
        <f>IF(S6=0,0,S6/TrAvia_act!S4*1000)</f>
        <v>30.470654116198688</v>
      </c>
      <c r="T28" s="14">
        <f>IF(T6=0,0,T6/TrAvia_act!T4*1000)</f>
        <v>31.666710399591846</v>
      </c>
      <c r="U28" s="14">
        <f>IF(U6=0,0,U6/TrAvia_act!U4*1000)</f>
        <v>30.675287617904999</v>
      </c>
      <c r="V28" s="14">
        <f>IF(V6=0,0,V6/TrAvia_act!V4*1000)</f>
        <v>42.348061081649462</v>
      </c>
      <c r="W28" s="14">
        <f>IF(W6=0,0,W6/TrAvia_act!W4*1000)</f>
        <v>36.602443854334823</v>
      </c>
      <c r="X28" s="14">
        <f>IF(X6=0,0,X6/TrAvia_act!X4*1000)</f>
        <v>29.825881667910942</v>
      </c>
      <c r="Y28" s="14">
        <f>IF(Y6=0,0,Y6/TrAvia_act!Y4*1000)</f>
        <v>28.969569062205998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45.889581638849101</v>
      </c>
      <c r="C29" s="87">
        <f>IF(C7=0,0,C7/TrAvia_act!C5*1000)</f>
        <v>44.762406878609589</v>
      </c>
      <c r="D29" s="87">
        <f>IF(D7=0,0,D7/TrAvia_act!D5*1000)</f>
        <v>44.366332602577025</v>
      </c>
      <c r="E29" s="87">
        <f>IF(E7=0,0,E7/TrAvia_act!E5*1000)</f>
        <v>44.943915844898349</v>
      </c>
      <c r="F29" s="87">
        <f>IF(F7=0,0,F7/TrAvia_act!F5*1000)</f>
        <v>43.766087477625668</v>
      </c>
      <c r="G29" s="87">
        <f>IF(G7=0,0,G7/TrAvia_act!G5*1000)</f>
        <v>45.503078330433574</v>
      </c>
      <c r="H29" s="87">
        <f>IF(H7=0,0,H7/TrAvia_act!H5*1000)</f>
        <v>46.04080491682538</v>
      </c>
      <c r="I29" s="87">
        <f>IF(I7=0,0,I7/TrAvia_act!I5*1000)</f>
        <v>43.553881058140533</v>
      </c>
      <c r="J29" s="87">
        <f>IF(J7=0,0,J7/TrAvia_act!J5*1000)</f>
        <v>42.908301854110761</v>
      </c>
      <c r="K29" s="87">
        <f>IF(K7=0,0,K7/TrAvia_act!K5*1000)</f>
        <v>36.338893375096802</v>
      </c>
      <c r="L29" s="87">
        <f>IF(L7=0,0,L7/TrAvia_act!L5*1000)</f>
        <v>35.347295842859474</v>
      </c>
      <c r="M29" s="87">
        <f>IF(M7=0,0,M7/TrAvia_act!M5*1000)</f>
        <v>33.286332105410033</v>
      </c>
      <c r="N29" s="87">
        <f>IF(N7=0,0,N7/TrAvia_act!N5*1000)</f>
        <v>33.967726256986396</v>
      </c>
      <c r="O29" s="87">
        <f>IF(O7=0,0,O7/TrAvia_act!O5*1000)</f>
        <v>35.547937815938148</v>
      </c>
      <c r="P29" s="87">
        <f>IF(P7=0,0,P7/TrAvia_act!P5*1000)</f>
        <v>35.58041852581065</v>
      </c>
      <c r="Q29" s="87">
        <f>IF(Q7=0,0,Q7/TrAvia_act!Q5*1000)</f>
        <v>35.084173670383471</v>
      </c>
      <c r="R29" s="87">
        <f>IF(R7=0,0,R7/TrAvia_act!R5*1000)</f>
        <v>34.457388578426418</v>
      </c>
      <c r="S29" s="87">
        <f>IF(S7=0,0,S7/TrAvia_act!S5*1000)</f>
        <v>36.21998872223147</v>
      </c>
      <c r="T29" s="87">
        <f>IF(T7=0,0,T7/TrAvia_act!T5*1000)</f>
        <v>39.207556154959484</v>
      </c>
      <c r="U29" s="87">
        <f>IF(U7=0,0,U7/TrAvia_act!U5*1000)</f>
        <v>39.55445873343303</v>
      </c>
      <c r="V29" s="87">
        <f>IF(V7=0,0,V7/TrAvia_act!V5*1000)</f>
        <v>37.839378133887969</v>
      </c>
      <c r="W29" s="87">
        <f>IF(W7=0,0,W7/TrAvia_act!W5*1000)</f>
        <v>29.607033602425322</v>
      </c>
      <c r="X29" s="87">
        <f>IF(X7=0,0,X7/TrAvia_act!X5*1000)</f>
        <v>33.521217767238937</v>
      </c>
      <c r="Y29" s="87">
        <f>IF(Y7=0,0,Y7/TrAvia_act!Y5*1000)</f>
        <v>40.148267196512144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51.690715224067759</v>
      </c>
      <c r="C30" s="87">
        <f>IF(C8=0,0,C8/TrAvia_act!C6*1000)</f>
        <v>52.875322898108358</v>
      </c>
      <c r="D30" s="87">
        <f>IF(D8=0,0,D8/TrAvia_act!D6*1000)</f>
        <v>50.613775849957456</v>
      </c>
      <c r="E30" s="87">
        <f>IF(E8=0,0,E8/TrAvia_act!E6*1000)</f>
        <v>51.222187824569573</v>
      </c>
      <c r="F30" s="87">
        <f>IF(F8=0,0,F8/TrAvia_act!F6*1000)</f>
        <v>42.585523815062423</v>
      </c>
      <c r="G30" s="87">
        <f>IF(G8=0,0,G8/TrAvia_act!G6*1000)</f>
        <v>39.795237074212771</v>
      </c>
      <c r="H30" s="87">
        <f>IF(H8=0,0,H8/TrAvia_act!H6*1000)</f>
        <v>39.938601207967039</v>
      </c>
      <c r="I30" s="87">
        <f>IF(I8=0,0,I8/TrAvia_act!I6*1000)</f>
        <v>40.603461810966188</v>
      </c>
      <c r="J30" s="87">
        <f>IF(J8=0,0,J8/TrAvia_act!J6*1000)</f>
        <v>40.977838903143429</v>
      </c>
      <c r="K30" s="87">
        <f>IF(K8=0,0,K8/TrAvia_act!K6*1000)</f>
        <v>38.238797599407135</v>
      </c>
      <c r="L30" s="87">
        <f>IF(L8=0,0,L8/TrAvia_act!L6*1000)</f>
        <v>37.363430075801489</v>
      </c>
      <c r="M30" s="87">
        <f>IF(M8=0,0,M8/TrAvia_act!M6*1000)</f>
        <v>34.923264197451196</v>
      </c>
      <c r="N30" s="87">
        <f>IF(N8=0,0,N8/TrAvia_act!N6*1000)</f>
        <v>33.751380451313572</v>
      </c>
      <c r="O30" s="87">
        <f>IF(O8=0,0,O8/TrAvia_act!O6*1000)</f>
        <v>32.202917099033627</v>
      </c>
      <c r="P30" s="87">
        <f>IF(P8=0,0,P8/TrAvia_act!P6*1000)</f>
        <v>31.709970467074694</v>
      </c>
      <c r="Q30" s="87">
        <f>IF(Q8=0,0,Q8/TrAvia_act!Q6*1000)</f>
        <v>30.117381030639262</v>
      </c>
      <c r="R30" s="87">
        <f>IF(R8=0,0,R8/TrAvia_act!R6*1000)</f>
        <v>29.973057156659969</v>
      </c>
      <c r="S30" s="87">
        <f>IF(S8=0,0,S8/TrAvia_act!S6*1000)</f>
        <v>29.322595841179456</v>
      </c>
      <c r="T30" s="87">
        <f>IF(T8=0,0,T8/TrAvia_act!T6*1000)</f>
        <v>31.204517227759769</v>
      </c>
      <c r="U30" s="87">
        <f>IF(U8=0,0,U8/TrAvia_act!U6*1000)</f>
        <v>30.373274305078816</v>
      </c>
      <c r="V30" s="87">
        <f>IF(V8=0,0,V8/TrAvia_act!V6*1000)</f>
        <v>35.165345930351123</v>
      </c>
      <c r="W30" s="87">
        <f>IF(W8=0,0,W8/TrAvia_act!W6*1000)</f>
        <v>29.750663825879386</v>
      </c>
      <c r="X30" s="87">
        <f>IF(X8=0,0,X8/TrAvia_act!X6*1000)</f>
        <v>26.285704070695793</v>
      </c>
      <c r="Y30" s="87">
        <f>IF(Y8=0,0,Y8/TrAvia_act!Y6*1000)</f>
        <v>27.386477197761899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45.876560596987296</v>
      </c>
      <c r="C31" s="87">
        <f>IF(C9=0,0,C9/TrAvia_act!C7*1000)</f>
        <v>47.47555201671409</v>
      </c>
      <c r="D31" s="87">
        <f>IF(D9=0,0,D9/TrAvia_act!D7*1000)</f>
        <v>45.553421153000535</v>
      </c>
      <c r="E31" s="87">
        <f>IF(E9=0,0,E9/TrAvia_act!E7*1000)</f>
        <v>47.968809900973476</v>
      </c>
      <c r="F31" s="87">
        <f>IF(F9=0,0,F9/TrAvia_act!F7*1000)</f>
        <v>39.458558531139801</v>
      </c>
      <c r="G31" s="87">
        <f>IF(G9=0,0,G9/TrAvia_act!G7*1000)</f>
        <v>38.376372979746598</v>
      </c>
      <c r="H31" s="87">
        <f>IF(H9=0,0,H9/TrAvia_act!H7*1000)</f>
        <v>38.846108297554466</v>
      </c>
      <c r="I31" s="87">
        <f>IF(I9=0,0,I9/TrAvia_act!I7*1000)</f>
        <v>36.40724007158655</v>
      </c>
      <c r="J31" s="87">
        <f>IF(J9=0,0,J9/TrAvia_act!J7*1000)</f>
        <v>37.347405268347494</v>
      </c>
      <c r="K31" s="87">
        <f>IF(K9=0,0,K9/TrAvia_act!K7*1000)</f>
        <v>38.014015455446078</v>
      </c>
      <c r="L31" s="87">
        <f>IF(L9=0,0,L9/TrAvia_act!L7*1000)</f>
        <v>36.410877897547451</v>
      </c>
      <c r="M31" s="87">
        <f>IF(M9=0,0,M9/TrAvia_act!M7*1000)</f>
        <v>37.794304080274742</v>
      </c>
      <c r="N31" s="87">
        <f>IF(N9=0,0,N9/TrAvia_act!N7*1000)</f>
        <v>35.511063848674183</v>
      </c>
      <c r="O31" s="87">
        <f>IF(O9=0,0,O9/TrAvia_act!O7*1000)</f>
        <v>34.150622908052284</v>
      </c>
      <c r="P31" s="87">
        <f>IF(P9=0,0,P9/TrAvia_act!P7*1000)</f>
        <v>33.449319368732461</v>
      </c>
      <c r="Q31" s="87">
        <f>IF(Q9=0,0,Q9/TrAvia_act!Q7*1000)</f>
        <v>33.059719418334588</v>
      </c>
      <c r="R31" s="87">
        <f>IF(R9=0,0,R9/TrAvia_act!R7*1000)</f>
        <v>31.989169750169015</v>
      </c>
      <c r="S31" s="87">
        <f>IF(S9=0,0,S9/TrAvia_act!S7*1000)</f>
        <v>29.35169038651371</v>
      </c>
      <c r="T31" s="87">
        <f>IF(T9=0,0,T9/TrAvia_act!T7*1000)</f>
        <v>29.433955752576576</v>
      </c>
      <c r="U31" s="87">
        <f>IF(U9=0,0,U9/TrAvia_act!U7*1000)</f>
        <v>28.067249947600359</v>
      </c>
      <c r="V31" s="87">
        <f>IF(V9=0,0,V9/TrAvia_act!V7*1000)</f>
        <v>51.751733451696623</v>
      </c>
      <c r="W31" s="87">
        <f>IF(W9=0,0,W9/TrAvia_act!W7*1000)</f>
        <v>52.73001369300907</v>
      </c>
      <c r="X31" s="87">
        <f>IF(X9=0,0,X9/TrAvia_act!X7*1000)</f>
        <v>31.823363863326307</v>
      </c>
      <c r="Y31" s="87">
        <f>IF(Y9=0,0,Y9/TrAvia_act!Y7*1000)</f>
        <v>26.219244311140574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101.86433604527097</v>
      </c>
      <c r="C32" s="15">
        <f>IF(C10=0,0,C10/TrAvia_act!C8*1000)</f>
        <v>123.54523360277058</v>
      </c>
      <c r="D32" s="15">
        <f>IF(D10=0,0,D10/TrAvia_act!D8*1000)</f>
        <v>113.47438377168768</v>
      </c>
      <c r="E32" s="15">
        <f>IF(E10=0,0,E10/TrAvia_act!E8*1000)</f>
        <v>116.38288723539247</v>
      </c>
      <c r="F32" s="15">
        <f>IF(F10=0,0,F10/TrAvia_act!F8*1000)</f>
        <v>109.25002469448208</v>
      </c>
      <c r="G32" s="15">
        <f>IF(G10=0,0,G10/TrAvia_act!G8*1000)</f>
        <v>111.29251940342404</v>
      </c>
      <c r="H32" s="15">
        <f>IF(H10=0,0,H10/TrAvia_act!H8*1000)</f>
        <v>117.64964580269411</v>
      </c>
      <c r="I32" s="15">
        <f>IF(I10=0,0,I10/TrAvia_act!I8*1000)</f>
        <v>114.21705369979234</v>
      </c>
      <c r="J32" s="15">
        <f>IF(J10=0,0,J10/TrAvia_act!J8*1000)</f>
        <v>119.5917572941585</v>
      </c>
      <c r="K32" s="15">
        <f>IF(K10=0,0,K10/TrAvia_act!K8*1000)</f>
        <v>112.60671933855146</v>
      </c>
      <c r="L32" s="15">
        <f>IF(L10=0,0,L10/TrAvia_act!L8*1000)</f>
        <v>106.17196756340111</v>
      </c>
      <c r="M32" s="15">
        <f>IF(M10=0,0,M10/TrAvia_act!M8*1000)</f>
        <v>99.759729650511673</v>
      </c>
      <c r="N32" s="15">
        <f>IF(N10=0,0,N10/TrAvia_act!N8*1000)</f>
        <v>90.595724555653106</v>
      </c>
      <c r="O32" s="15">
        <f>IF(O10=0,0,O10/TrAvia_act!O8*1000)</f>
        <v>90.876952549214252</v>
      </c>
      <c r="P32" s="15">
        <f>IF(P10=0,0,P10/TrAvia_act!P8*1000)</f>
        <v>79.10863666674139</v>
      </c>
      <c r="Q32" s="15">
        <f>IF(Q10=0,0,Q10/TrAvia_act!Q8*1000)</f>
        <v>77.877756187962788</v>
      </c>
      <c r="R32" s="15">
        <f>IF(R10=0,0,R10/TrAvia_act!R8*1000)</f>
        <v>68.5749133120175</v>
      </c>
      <c r="S32" s="15">
        <f>IF(S10=0,0,S10/TrAvia_act!S8*1000)</f>
        <v>67.443514433804239</v>
      </c>
      <c r="T32" s="15">
        <f>IF(T10=0,0,T10/TrAvia_act!T8*1000)</f>
        <v>67.981717445776681</v>
      </c>
      <c r="U32" s="15">
        <f>IF(U10=0,0,U10/TrAvia_act!U8*1000)</f>
        <v>64.268086301712671</v>
      </c>
      <c r="V32" s="15">
        <f>IF(V10=0,0,V10/TrAvia_act!V8*1000)</f>
        <v>106.24092067788074</v>
      </c>
      <c r="W32" s="15">
        <f>IF(W10=0,0,W10/TrAvia_act!W8*1000)</f>
        <v>100.0969016783947</v>
      </c>
      <c r="X32" s="15">
        <f>IF(X10=0,0,X10/TrAvia_act!X8*1000)</f>
        <v>88.583355198477548</v>
      </c>
      <c r="Y32" s="15">
        <f>IF(Y10=0,0,Y10/TrAvia_act!Y8*1000)</f>
        <v>82.256200438749843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441.06765462309471</v>
      </c>
      <c r="C33" s="101">
        <f>IF(C11=0,0,C11/TrAvia_act!C9*1000)</f>
        <v>437.84823331395984</v>
      </c>
      <c r="D33" s="101">
        <f>IF(D11=0,0,D11/TrAvia_act!D9*1000)</f>
        <v>427.23147548046052</v>
      </c>
      <c r="E33" s="101">
        <f>IF(E11=0,0,E11/TrAvia_act!E9*1000)</f>
        <v>398.46087782265761</v>
      </c>
      <c r="F33" s="101">
        <f>IF(F11=0,0,F11/TrAvia_act!F9*1000)</f>
        <v>431.22296544280658</v>
      </c>
      <c r="G33" s="101">
        <f>IF(G11=0,0,G11/TrAvia_act!G9*1000)</f>
        <v>470.31266568346865</v>
      </c>
      <c r="H33" s="101">
        <f>IF(H11=0,0,H11/TrAvia_act!H9*1000)</f>
        <v>494.16380193288865</v>
      </c>
      <c r="I33" s="101">
        <f>IF(I11=0,0,I11/TrAvia_act!I9*1000)</f>
        <v>468.15002310275554</v>
      </c>
      <c r="J33" s="101">
        <f>IF(J11=0,0,J11/TrAvia_act!J9*1000)</f>
        <v>491.79129333196533</v>
      </c>
      <c r="K33" s="101">
        <f>IF(K11=0,0,K11/TrAvia_act!K9*1000)</f>
        <v>420.66912463859791</v>
      </c>
      <c r="L33" s="101">
        <f>IF(L11=0,0,L11/TrAvia_act!L9*1000)</f>
        <v>403.56066300091533</v>
      </c>
      <c r="M33" s="101">
        <f>IF(M11=0,0,M11/TrAvia_act!M9*1000)</f>
        <v>364.4221147451085</v>
      </c>
      <c r="N33" s="101">
        <f>IF(N11=0,0,N11/TrAvia_act!N9*1000)</f>
        <v>362.91796744358874</v>
      </c>
      <c r="O33" s="101">
        <f>IF(O11=0,0,O11/TrAvia_act!O9*1000)</f>
        <v>389.94304350768664</v>
      </c>
      <c r="P33" s="101">
        <f>IF(P11=0,0,P11/TrAvia_act!P9*1000)</f>
        <v>366.18804027467166</v>
      </c>
      <c r="Q33" s="101">
        <f>IF(Q11=0,0,Q11/TrAvia_act!Q9*1000)</f>
        <v>372.57808839980805</v>
      </c>
      <c r="R33" s="101">
        <f>IF(R11=0,0,R11/TrAvia_act!R9*1000)</f>
        <v>326.53335598938139</v>
      </c>
      <c r="S33" s="101">
        <f>IF(S11=0,0,S11/TrAvia_act!S9*1000)</f>
        <v>381.85600302758695</v>
      </c>
      <c r="T33" s="101">
        <f>IF(T11=0,0,T11/TrAvia_act!T9*1000)</f>
        <v>419.28268632148047</v>
      </c>
      <c r="U33" s="101">
        <f>IF(U11=0,0,U11/TrAvia_act!U9*1000)</f>
        <v>347.24714730813525</v>
      </c>
      <c r="V33" s="101">
        <f>IF(V11=0,0,V11/TrAvia_act!V9*1000)</f>
        <v>265.75037134571517</v>
      </c>
      <c r="W33" s="101">
        <f>IF(W11=0,0,W11/TrAvia_act!W9*1000)</f>
        <v>248.88058661533418</v>
      </c>
      <c r="X33" s="101">
        <f>IF(X11=0,0,X11/TrAvia_act!X9*1000)</f>
        <v>316.82523331084531</v>
      </c>
      <c r="Y33" s="101">
        <f>IF(Y11=0,0,Y11/TrAvia_act!Y9*1000)</f>
        <v>394.13163621361605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229.95120184773054</v>
      </c>
      <c r="C34" s="101">
        <f>IF(C12=0,0,C12/TrAvia_act!C10*1000)</f>
        <v>227.00344355497597</v>
      </c>
      <c r="D34" s="101">
        <f>IF(D12=0,0,D12/TrAvia_act!D10*1000)</f>
        <v>216.34526158130865</v>
      </c>
      <c r="E34" s="101">
        <f>IF(E12=0,0,E12/TrAvia_act!E10*1000)</f>
        <v>199.6128450461139</v>
      </c>
      <c r="F34" s="101">
        <f>IF(F12=0,0,F12/TrAvia_act!F10*1000)</f>
        <v>196.32992828457108</v>
      </c>
      <c r="G34" s="101">
        <f>IF(G12=0,0,G12/TrAvia_act!G10*1000)</f>
        <v>192.90519080884175</v>
      </c>
      <c r="H34" s="101">
        <f>IF(H12=0,0,H12/TrAvia_act!H10*1000)</f>
        <v>233.15116749948942</v>
      </c>
      <c r="I34" s="101">
        <f>IF(I12=0,0,I12/TrAvia_act!I10*1000)</f>
        <v>234.61328526212833</v>
      </c>
      <c r="J34" s="101">
        <f>IF(J12=0,0,J12/TrAvia_act!J10*1000)</f>
        <v>244.30550356961854</v>
      </c>
      <c r="K34" s="101">
        <f>IF(K12=0,0,K12/TrAvia_act!K10*1000)</f>
        <v>228.88646626078943</v>
      </c>
      <c r="L34" s="101">
        <f>IF(L12=0,0,L12/TrAvia_act!L10*1000)</f>
        <v>226.41322946477342</v>
      </c>
      <c r="M34" s="101">
        <f>IF(M12=0,0,M12/TrAvia_act!M10*1000)</f>
        <v>216.70757322100405</v>
      </c>
      <c r="N34" s="101">
        <f>IF(N12=0,0,N12/TrAvia_act!N10*1000)</f>
        <v>195.46513606779919</v>
      </c>
      <c r="O34" s="101">
        <f>IF(O12=0,0,O12/TrAvia_act!O10*1000)</f>
        <v>196.32141106466779</v>
      </c>
      <c r="P34" s="101">
        <f>IF(P12=0,0,P12/TrAvia_act!P10*1000)</f>
        <v>171.88422996500938</v>
      </c>
      <c r="Q34" s="101">
        <f>IF(Q12=0,0,Q12/TrAvia_act!Q10*1000)</f>
        <v>165.25110654882275</v>
      </c>
      <c r="R34" s="101">
        <f>IF(R12=0,0,R12/TrAvia_act!R10*1000)</f>
        <v>151.93520017335626</v>
      </c>
      <c r="S34" s="101">
        <f>IF(S12=0,0,S12/TrAvia_act!S10*1000)</f>
        <v>168.33559966958595</v>
      </c>
      <c r="T34" s="101">
        <f>IF(T12=0,0,T12/TrAvia_act!T10*1000)</f>
        <v>179.67697124290018</v>
      </c>
      <c r="U34" s="101">
        <f>IF(U12=0,0,U12/TrAvia_act!U10*1000)</f>
        <v>169.65746630688886</v>
      </c>
      <c r="V34" s="101">
        <f>IF(V12=0,0,V12/TrAvia_act!V10*1000)</f>
        <v>175.7515073329179</v>
      </c>
      <c r="W34" s="101">
        <f>IF(W12=0,0,W12/TrAvia_act!W10*1000)</f>
        <v>155.39108309284225</v>
      </c>
      <c r="X34" s="101">
        <f>IF(X12=0,0,X12/TrAvia_act!X10*1000)</f>
        <v>166.73574703721943</v>
      </c>
      <c r="Y34" s="101">
        <f>IF(Y12=0,0,Y12/TrAvia_act!Y10*1000)</f>
        <v>186.18867317785779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89.912278820449743</v>
      </c>
      <c r="C35" s="88">
        <f>IF(C13=0,0,C13/TrAvia_act!C11*1000)</f>
        <v>89.049263381965503</v>
      </c>
      <c r="D35" s="88">
        <f>IF(D13=0,0,D13/TrAvia_act!D11*1000)</f>
        <v>90.734216352254023</v>
      </c>
      <c r="E35" s="88">
        <f>IF(E13=0,0,E13/TrAvia_act!E11*1000)</f>
        <v>95.215048421373552</v>
      </c>
      <c r="F35" s="88">
        <f>IF(F13=0,0,F13/TrAvia_act!F11*1000)</f>
        <v>87.277347195686929</v>
      </c>
      <c r="G35" s="88">
        <f>IF(G13=0,0,G13/TrAvia_act!G11*1000)</f>
        <v>91.702510350433528</v>
      </c>
      <c r="H35" s="88">
        <f>IF(H13=0,0,H13/TrAvia_act!H11*1000)</f>
        <v>96.985240215364996</v>
      </c>
      <c r="I35" s="88">
        <f>IF(I13=0,0,I13/TrAvia_act!I11*1000)</f>
        <v>94.58198781321768</v>
      </c>
      <c r="J35" s="88">
        <f>IF(J13=0,0,J13/TrAvia_act!J11*1000)</f>
        <v>98.727249740838943</v>
      </c>
      <c r="K35" s="88">
        <f>IF(K13=0,0,K13/TrAvia_act!K11*1000)</f>
        <v>91.779061748753705</v>
      </c>
      <c r="L35" s="88">
        <f>IF(L13=0,0,L13/TrAvia_act!L11*1000)</f>
        <v>90.67257349350001</v>
      </c>
      <c r="M35" s="88">
        <f>IF(M13=0,0,M13/TrAvia_act!M11*1000)</f>
        <v>86.812154006564057</v>
      </c>
      <c r="N35" s="88">
        <f>IF(N13=0,0,N13/TrAvia_act!N11*1000)</f>
        <v>77.489440781262161</v>
      </c>
      <c r="O35" s="88">
        <f>IF(O13=0,0,O13/TrAvia_act!O11*1000)</f>
        <v>78.573105885290772</v>
      </c>
      <c r="P35" s="88">
        <f>IF(P13=0,0,P13/TrAvia_act!P11*1000)</f>
        <v>69.417980590031021</v>
      </c>
      <c r="Q35" s="88">
        <f>IF(Q13=0,0,Q13/TrAvia_act!Q11*1000)</f>
        <v>69.559878403434553</v>
      </c>
      <c r="R35" s="88">
        <f>IF(R13=0,0,R13/TrAvia_act!R11*1000)</f>
        <v>62.068172964407744</v>
      </c>
      <c r="S35" s="88">
        <f>IF(S13=0,0,S13/TrAvia_act!S11*1000)</f>
        <v>60.449410187350026</v>
      </c>
      <c r="T35" s="88">
        <f>IF(T13=0,0,T13/TrAvia_act!T11*1000)</f>
        <v>60.042857523258704</v>
      </c>
      <c r="U35" s="88">
        <f>IF(U13=0,0,U13/TrAvia_act!U11*1000)</f>
        <v>56.796912694028592</v>
      </c>
      <c r="V35" s="88">
        <f>IF(V13=0,0,V13/TrAvia_act!V11*1000)</f>
        <v>99.041119615629796</v>
      </c>
      <c r="W35" s="88">
        <f>IF(W13=0,0,W13/TrAvia_act!W11*1000)</f>
        <v>93.547577149760642</v>
      </c>
      <c r="X35" s="88">
        <f>IF(X13=0,0,X13/TrAvia_act!X11*1000)</f>
        <v>77.378149028247293</v>
      </c>
      <c r="Y35" s="88">
        <f>IF(Y13=0,0,Y13/TrAvia_act!Y11*1000)</f>
        <v>69.613964635057769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6241.7329170211679</v>
      </c>
      <c r="C37" s="62">
        <f>IF(C3=0,0,C3/TrAvia_act!C23*1000000)</f>
        <v>6219.8187887157546</v>
      </c>
      <c r="D37" s="62">
        <f>IF(D3=0,0,D3/TrAvia_act!D23*1000000)</f>
        <v>6138.5343482627395</v>
      </c>
      <c r="E37" s="62">
        <f>IF(E3=0,0,E3/TrAvia_act!E23*1000000)</f>
        <v>5923.3108856963136</v>
      </c>
      <c r="F37" s="62">
        <f>IF(F3=0,0,F3/TrAvia_act!F23*1000000)</f>
        <v>5759.0265496386564</v>
      </c>
      <c r="G37" s="62">
        <f>IF(G3=0,0,G3/TrAvia_act!G23*1000000)</f>
        <v>5716.3385630668708</v>
      </c>
      <c r="H37" s="62">
        <f>IF(H3=0,0,H3/TrAvia_act!H23*1000000)</f>
        <v>5818.9398923324397</v>
      </c>
      <c r="I37" s="62">
        <f>IF(I3=0,0,I3/TrAvia_act!I23*1000000)</f>
        <v>5573.5431341179446</v>
      </c>
      <c r="J37" s="62">
        <f>IF(J3=0,0,J3/TrAvia_act!J23*1000000)</f>
        <v>5753.985791836355</v>
      </c>
      <c r="K37" s="62">
        <f>IF(K3=0,0,K3/TrAvia_act!K23*1000000)</f>
        <v>5464.2548832655266</v>
      </c>
      <c r="L37" s="62">
        <f>IF(L3=0,0,L3/TrAvia_act!L23*1000000)</f>
        <v>5650.7037156999368</v>
      </c>
      <c r="M37" s="62">
        <f>IF(M3=0,0,M3/TrAvia_act!M23*1000000)</f>
        <v>5749.2487722376836</v>
      </c>
      <c r="N37" s="62">
        <f>IF(N3=0,0,N3/TrAvia_act!N23*1000000)</f>
        <v>5681.7149407877696</v>
      </c>
      <c r="O37" s="62">
        <f>IF(O3=0,0,O3/TrAvia_act!O23*1000000)</f>
        <v>5866.0575334726436</v>
      </c>
      <c r="P37" s="62">
        <f>IF(P3=0,0,P3/TrAvia_act!P23*1000000)</f>
        <v>6102.49069779192</v>
      </c>
      <c r="Q37" s="62">
        <f>IF(Q3=0,0,Q3/TrAvia_act!Q23*1000000)</f>
        <v>6059.4348144019168</v>
      </c>
      <c r="R37" s="62">
        <f>IF(R3=0,0,R3/TrAvia_act!R23*1000000)</f>
        <v>6098.9630107818466</v>
      </c>
      <c r="S37" s="62">
        <f>IF(S3=0,0,S3/TrAvia_act!S23*1000000)</f>
        <v>6200.2522008198439</v>
      </c>
      <c r="T37" s="62">
        <f>IF(T3=0,0,T3/TrAvia_act!T23*1000000)</f>
        <v>6705.0797691293992</v>
      </c>
      <c r="U37" s="62">
        <f>IF(U3=0,0,U3/TrAvia_act!U23*1000000)</f>
        <v>6739.2106750391395</v>
      </c>
      <c r="V37" s="62">
        <f>IF(V3=0,0,V3/TrAvia_act!V23*1000000)</f>
        <v>6336.6776005229895</v>
      </c>
      <c r="W37" s="62">
        <f>IF(W3=0,0,W3/TrAvia_act!W23*1000000)</f>
        <v>5351.7472698256079</v>
      </c>
      <c r="X37" s="62">
        <f>IF(X3=0,0,X3/TrAvia_act!X23*1000000)</f>
        <v>5635.7005618295943</v>
      </c>
      <c r="Y37" s="62">
        <f>IF(Y3=0,0,Y3/TrAvia_act!Y23*1000000)</f>
        <v>6422.1337760867937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6067.2175547862671</v>
      </c>
      <c r="C38" s="14">
        <f>IF(C6=0,0,C6/TrAvia_act!C24*1000000)</f>
        <v>6215.6947041329613</v>
      </c>
      <c r="D38" s="14">
        <f>IF(D6=0,0,D6/TrAvia_act!D24*1000000)</f>
        <v>6025.9241618146725</v>
      </c>
      <c r="E38" s="14">
        <f>IF(E6=0,0,E6/TrAvia_act!E24*1000000)</f>
        <v>5814.7856316252328</v>
      </c>
      <c r="F38" s="14">
        <f>IF(F6=0,0,F6/TrAvia_act!F24*1000000)</f>
        <v>5664.9854596311661</v>
      </c>
      <c r="G38" s="14">
        <f>IF(G6=0,0,G6/TrAvia_act!G24*1000000)</f>
        <v>5600.5997297928152</v>
      </c>
      <c r="H38" s="14">
        <f>IF(H6=0,0,H6/TrAvia_act!H24*1000000)</f>
        <v>5679.0775510151725</v>
      </c>
      <c r="I38" s="14">
        <f>IF(I6=0,0,I6/TrAvia_act!I24*1000000)</f>
        <v>5427.7664402812834</v>
      </c>
      <c r="J38" s="14">
        <f>IF(J6=0,0,J6/TrAvia_act!J24*1000000)</f>
        <v>5614.5797538324332</v>
      </c>
      <c r="K38" s="14">
        <f>IF(K6=0,0,K6/TrAvia_act!K24*1000000)</f>
        <v>5351.525138072293</v>
      </c>
      <c r="L38" s="14">
        <f>IF(L6=0,0,L6/TrAvia_act!L24*1000000)</f>
        <v>5490.0167071729547</v>
      </c>
      <c r="M38" s="14">
        <f>IF(M6=0,0,M6/TrAvia_act!M24*1000000)</f>
        <v>5576.4870633953005</v>
      </c>
      <c r="N38" s="14">
        <f>IF(N6=0,0,N6/TrAvia_act!N24*1000000)</f>
        <v>5548.3415234622471</v>
      </c>
      <c r="O38" s="14">
        <f>IF(O6=0,0,O6/TrAvia_act!O24*1000000)</f>
        <v>5709.7737990922451</v>
      </c>
      <c r="P38" s="14">
        <f>IF(P6=0,0,P6/TrAvia_act!P24*1000000)</f>
        <v>5935.1320300430107</v>
      </c>
      <c r="Q38" s="14">
        <f>IF(Q6=0,0,Q6/TrAvia_act!Q24*1000000)</f>
        <v>5861.3838550293785</v>
      </c>
      <c r="R38" s="14">
        <f>IF(R6=0,0,R6/TrAvia_act!R24*1000000)</f>
        <v>5893.7129544846593</v>
      </c>
      <c r="S38" s="14">
        <f>IF(S6=0,0,S6/TrAvia_act!S24*1000000)</f>
        <v>5981.9975578517506</v>
      </c>
      <c r="T38" s="14">
        <f>IF(T6=0,0,T6/TrAvia_act!T24*1000000)</f>
        <v>6503.2138885194054</v>
      </c>
      <c r="U38" s="14">
        <f>IF(U6=0,0,U6/TrAvia_act!U24*1000000)</f>
        <v>6544.1799996959062</v>
      </c>
      <c r="V38" s="14">
        <f>IF(V6=0,0,V6/TrAvia_act!V24*1000000)</f>
        <v>5765.1680927312982</v>
      </c>
      <c r="W38" s="14">
        <f>IF(W6=0,0,W6/TrAvia_act!W24*1000000)</f>
        <v>4888.7774418627332</v>
      </c>
      <c r="X38" s="14">
        <f>IF(X6=0,0,X6/TrAvia_act!X24*1000000)</f>
        <v>5454.6368249576426</v>
      </c>
      <c r="Y38" s="14">
        <f>IF(Y6=0,0,Y6/TrAvia_act!Y24*1000000)</f>
        <v>6270.9546111097115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2395.4845642986747</v>
      </c>
      <c r="C39" s="87">
        <f>IF(C7=0,0,C7/TrAvia_act!C25*1000000)</f>
        <v>2359.8643159628418</v>
      </c>
      <c r="D39" s="87">
        <f>IF(D7=0,0,D7/TrAvia_act!D25*1000000)</f>
        <v>2367.8726541040446</v>
      </c>
      <c r="E39" s="87">
        <f>IF(E7=0,0,E7/TrAvia_act!E25*1000000)</f>
        <v>2349.0761520293904</v>
      </c>
      <c r="F39" s="87">
        <f>IF(F7=0,0,F7/TrAvia_act!F25*1000000)</f>
        <v>2393.8905775467633</v>
      </c>
      <c r="G39" s="87">
        <f>IF(G7=0,0,G7/TrAvia_act!G25*1000000)</f>
        <v>2483.2498950640752</v>
      </c>
      <c r="H39" s="87">
        <f>IF(H7=0,0,H7/TrAvia_act!H25*1000000)</f>
        <v>2510.511525305868</v>
      </c>
      <c r="I39" s="87">
        <f>IF(I7=0,0,I7/TrAvia_act!I25*1000000)</f>
        <v>2391.6412997325879</v>
      </c>
      <c r="J39" s="87">
        <f>IF(J7=0,0,J7/TrAvia_act!J25*1000000)</f>
        <v>2477.4587537769644</v>
      </c>
      <c r="K39" s="87">
        <f>IF(K7=0,0,K7/TrAvia_act!K25*1000000)</f>
        <v>2236.8328863059505</v>
      </c>
      <c r="L39" s="87">
        <f>IF(L7=0,0,L7/TrAvia_act!L25*1000000)</f>
        <v>2344.1617468733261</v>
      </c>
      <c r="M39" s="87">
        <f>IF(M7=0,0,M7/TrAvia_act!M25*1000000)</f>
        <v>2358.9041508862792</v>
      </c>
      <c r="N39" s="87">
        <f>IF(N7=0,0,N7/TrAvia_act!N25*1000000)</f>
        <v>2412.737808659454</v>
      </c>
      <c r="O39" s="87">
        <f>IF(O7=0,0,O7/TrAvia_act!O25*1000000)</f>
        <v>2652.9737079629008</v>
      </c>
      <c r="P39" s="87">
        <f>IF(P7=0,0,P7/TrAvia_act!P25*1000000)</f>
        <v>2735.5304594057202</v>
      </c>
      <c r="Q39" s="87">
        <f>IF(Q7=0,0,Q7/TrAvia_act!Q25*1000000)</f>
        <v>2847.6476047976853</v>
      </c>
      <c r="R39" s="87">
        <f>IF(R7=0,0,R7/TrAvia_act!R25*1000000)</f>
        <v>2914.4761673021526</v>
      </c>
      <c r="S39" s="87">
        <f>IF(S7=0,0,S7/TrAvia_act!S25*1000000)</f>
        <v>3152.1928393357957</v>
      </c>
      <c r="T39" s="87">
        <f>IF(T7=0,0,T7/TrAvia_act!T25*1000000)</f>
        <v>3513.134171179006</v>
      </c>
      <c r="U39" s="87">
        <f>IF(U7=0,0,U7/TrAvia_act!U25*1000000)</f>
        <v>3559.7583661786989</v>
      </c>
      <c r="V39" s="87">
        <f>IF(V7=0,0,V7/TrAvia_act!V25*1000000)</f>
        <v>2655.6721189267241</v>
      </c>
      <c r="W39" s="87">
        <f>IF(W7=0,0,W7/TrAvia_act!W25*1000000)</f>
        <v>2596.6721261567322</v>
      </c>
      <c r="X39" s="87">
        <f>IF(X7=0,0,X7/TrAvia_act!X25*1000000)</f>
        <v>3242.0230855658256</v>
      </c>
      <c r="Y39" s="87">
        <f>IF(Y7=0,0,Y7/TrAvia_act!Y25*1000000)</f>
        <v>3909.4023591405671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5390.2418187622798</v>
      </c>
      <c r="C40" s="87">
        <f>IF(C8=0,0,C8/TrAvia_act!C26*1000000)</f>
        <v>5594.3188216454682</v>
      </c>
      <c r="D40" s="87">
        <f>IF(D8=0,0,D8/TrAvia_act!D26*1000000)</f>
        <v>5381.9769738684972</v>
      </c>
      <c r="E40" s="87">
        <f>IF(E8=0,0,E8/TrAvia_act!E26*1000000)</f>
        <v>5205.822671381803</v>
      </c>
      <c r="F40" s="87">
        <f>IF(F8=0,0,F8/TrAvia_act!F26*1000000)</f>
        <v>4648.4875417788917</v>
      </c>
      <c r="G40" s="87">
        <f>IF(G8=0,0,G8/TrAvia_act!G26*1000000)</f>
        <v>4515.7396285676205</v>
      </c>
      <c r="H40" s="87">
        <f>IF(H8=0,0,H8/TrAvia_act!H26*1000000)</f>
        <v>4642.7277713566455</v>
      </c>
      <c r="I40" s="87">
        <f>IF(I8=0,0,I8/TrAvia_act!I26*1000000)</f>
        <v>4558.8459028465732</v>
      </c>
      <c r="J40" s="87">
        <f>IF(J8=0,0,J8/TrAvia_act!J26*1000000)</f>
        <v>4612.3478968640893</v>
      </c>
      <c r="K40" s="87">
        <f>IF(K8=0,0,K8/TrAvia_act!K26*1000000)</f>
        <v>4418.8887664496906</v>
      </c>
      <c r="L40" s="87">
        <f>IF(L8=0,0,L8/TrAvia_act!L26*1000000)</f>
        <v>4460.8863022875094</v>
      </c>
      <c r="M40" s="87">
        <f>IF(M8=0,0,M8/TrAvia_act!M26*1000000)</f>
        <v>4490.2483365099843</v>
      </c>
      <c r="N40" s="87">
        <f>IF(N8=0,0,N8/TrAvia_act!N26*1000000)</f>
        <v>4385.7229066036152</v>
      </c>
      <c r="O40" s="87">
        <f>IF(O8=0,0,O8/TrAvia_act!O26*1000000)</f>
        <v>4406.2215741373384</v>
      </c>
      <c r="P40" s="87">
        <f>IF(P8=0,0,P8/TrAvia_act!P26*1000000)</f>
        <v>4490.585438659532</v>
      </c>
      <c r="Q40" s="87">
        <f>IF(Q8=0,0,Q8/TrAvia_act!Q26*1000000)</f>
        <v>4335.8585978330775</v>
      </c>
      <c r="R40" s="87">
        <f>IF(R8=0,0,R8/TrAvia_act!R26*1000000)</f>
        <v>4425.6231754831961</v>
      </c>
      <c r="S40" s="87">
        <f>IF(S8=0,0,S8/TrAvia_act!S26*1000000)</f>
        <v>4535.3007503354729</v>
      </c>
      <c r="T40" s="87">
        <f>IF(T8=0,0,T8/TrAvia_act!T26*1000000)</f>
        <v>4939.0402172400682</v>
      </c>
      <c r="U40" s="87">
        <f>IF(U8=0,0,U8/TrAvia_act!U26*1000000)</f>
        <v>4881.0847975837751</v>
      </c>
      <c r="V40" s="87">
        <f>IF(V8=0,0,V8/TrAvia_act!V26*1000000)</f>
        <v>4118.9830262625892</v>
      </c>
      <c r="W40" s="87">
        <f>IF(W8=0,0,W8/TrAvia_act!W26*1000000)</f>
        <v>3670.7821503855539</v>
      </c>
      <c r="X40" s="87">
        <f>IF(X8=0,0,X8/TrAvia_act!X26*1000000)</f>
        <v>4050.344232679628</v>
      </c>
      <c r="Y40" s="87">
        <f>IF(Y8=0,0,Y8/TrAvia_act!Y26*1000000)</f>
        <v>4557.5746234526077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34483.983289059965</v>
      </c>
      <c r="C41" s="87">
        <f>IF(C9=0,0,C9/TrAvia_act!C27*1000000)</f>
        <v>35789.62259487847</v>
      </c>
      <c r="D41" s="87">
        <f>IF(D9=0,0,D9/TrAvia_act!D27*1000000)</f>
        <v>34431.196205857072</v>
      </c>
      <c r="E41" s="87">
        <f>IF(E9=0,0,E9/TrAvia_act!E27*1000000)</f>
        <v>32830.105420556181</v>
      </c>
      <c r="F41" s="87">
        <f>IF(F9=0,0,F9/TrAvia_act!F27*1000000)</f>
        <v>29207.778229137846</v>
      </c>
      <c r="G41" s="87">
        <f>IF(G9=0,0,G9/TrAvia_act!G27*1000000)</f>
        <v>26555.271707767035</v>
      </c>
      <c r="H41" s="87">
        <f>IF(H9=0,0,H9/TrAvia_act!H27*1000000)</f>
        <v>26531.767583961126</v>
      </c>
      <c r="I41" s="87">
        <f>IF(I9=0,0,I9/TrAvia_act!I27*1000000)</f>
        <v>24798.767820339377</v>
      </c>
      <c r="J41" s="87">
        <f>IF(J9=0,0,J9/TrAvia_act!J27*1000000)</f>
        <v>25264.905327003882</v>
      </c>
      <c r="K41" s="87">
        <f>IF(K9=0,0,K9/TrAvia_act!K27*1000000)</f>
        <v>24334.612273908744</v>
      </c>
      <c r="L41" s="87">
        <f>IF(L9=0,0,L9/TrAvia_act!L27*1000000)</f>
        <v>23204.777455257859</v>
      </c>
      <c r="M41" s="87">
        <f>IF(M9=0,0,M9/TrAvia_act!M27*1000000)</f>
        <v>24563.137008866022</v>
      </c>
      <c r="N41" s="87">
        <f>IF(N9=0,0,N9/TrAvia_act!N27*1000000)</f>
        <v>22593.876416744275</v>
      </c>
      <c r="O41" s="87">
        <f>IF(O9=0,0,O9/TrAvia_act!O27*1000000)</f>
        <v>21197.165840537458</v>
      </c>
      <c r="P41" s="87">
        <f>IF(P9=0,0,P9/TrAvia_act!P27*1000000)</f>
        <v>21755.468821009192</v>
      </c>
      <c r="Q41" s="87">
        <f>IF(Q9=0,0,Q9/TrAvia_act!Q27*1000000)</f>
        <v>22464.139447664027</v>
      </c>
      <c r="R41" s="87">
        <f>IF(R9=0,0,R9/TrAvia_act!R27*1000000)</f>
        <v>22192.372609032202</v>
      </c>
      <c r="S41" s="87">
        <f>IF(S9=0,0,S9/TrAvia_act!S27*1000000)</f>
        <v>20902.859035403329</v>
      </c>
      <c r="T41" s="87">
        <f>IF(T9=0,0,T9/TrAvia_act!T27*1000000)</f>
        <v>20751.734605601134</v>
      </c>
      <c r="U41" s="87">
        <f>IF(U9=0,0,U9/TrAvia_act!U27*1000000)</f>
        <v>20434.873304205677</v>
      </c>
      <c r="V41" s="87">
        <f>IF(V9=0,0,V9/TrAvia_act!V27*1000000)</f>
        <v>25274.212731511805</v>
      </c>
      <c r="W41" s="87">
        <f>IF(W9=0,0,W9/TrAvia_act!W27*1000000)</f>
        <v>20395.014937081622</v>
      </c>
      <c r="X41" s="87">
        <f>IF(X9=0,0,X9/TrAvia_act!X27*1000000)</f>
        <v>21026.712348611807</v>
      </c>
      <c r="Y41" s="87">
        <f>IF(Y9=0,0,Y9/TrAvia_act!Y27*1000000)</f>
        <v>20426.189556950998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14108.989934755089</v>
      </c>
      <c r="C42" s="15">
        <f>IF(C10=0,0,C10/TrAvia_act!C28*1000000)</f>
        <v>6408.5151753422715</v>
      </c>
      <c r="D42" s="15">
        <f>IF(D10=0,0,D10/TrAvia_act!D28*1000000)</f>
        <v>9469.9399750593966</v>
      </c>
      <c r="E42" s="15">
        <f>IF(E10=0,0,E10/TrAvia_act!E28*1000000)</f>
        <v>9234.6404660651024</v>
      </c>
      <c r="F42" s="15">
        <f>IF(F10=0,0,F10/TrAvia_act!F28*1000000)</f>
        <v>8420.4419039416262</v>
      </c>
      <c r="G42" s="15">
        <f>IF(G10=0,0,G10/TrAvia_act!G28*1000000)</f>
        <v>8972.3460244933522</v>
      </c>
      <c r="H42" s="15">
        <f>IF(H10=0,0,H10/TrAvia_act!H28*1000000)</f>
        <v>9738.4020847225056</v>
      </c>
      <c r="I42" s="15">
        <f>IF(I10=0,0,I10/TrAvia_act!I28*1000000)</f>
        <v>9702.1696954896197</v>
      </c>
      <c r="J42" s="15">
        <f>IF(J10=0,0,J10/TrAvia_act!J28*1000000)</f>
        <v>9908.0395567669602</v>
      </c>
      <c r="K42" s="15">
        <f>IF(K10=0,0,K10/TrAvia_act!K28*1000000)</f>
        <v>9157.7803007458406</v>
      </c>
      <c r="L42" s="15">
        <f>IF(L10=0,0,L10/TrAvia_act!L28*1000000)</f>
        <v>11027.388211710568</v>
      </c>
      <c r="M42" s="15">
        <f>IF(M10=0,0,M10/TrAvia_act!M28*1000000)</f>
        <v>11854.380796318466</v>
      </c>
      <c r="N42" s="15">
        <f>IF(N10=0,0,N10/TrAvia_act!N28*1000000)</f>
        <v>10797.665304806755</v>
      </c>
      <c r="O42" s="15">
        <f>IF(O10=0,0,O10/TrAvia_act!O28*1000000)</f>
        <v>11520.566072151851</v>
      </c>
      <c r="P42" s="15">
        <f>IF(P10=0,0,P10/TrAvia_act!P28*1000000)</f>
        <v>12547.089448971286</v>
      </c>
      <c r="Q42" s="15">
        <f>IF(Q10=0,0,Q10/TrAvia_act!Q28*1000000)</f>
        <v>13420.251751009679</v>
      </c>
      <c r="R42" s="15">
        <f>IF(R10=0,0,R10/TrAvia_act!R28*1000000)</f>
        <v>14666.142570061405</v>
      </c>
      <c r="S42" s="15">
        <f>IF(S10=0,0,S10/TrAvia_act!S28*1000000)</f>
        <v>14702.449881690887</v>
      </c>
      <c r="T42" s="15">
        <f>IF(T10=0,0,T10/TrAvia_act!T28*1000000)</f>
        <v>14893.392835731245</v>
      </c>
      <c r="U42" s="15">
        <f>IF(U10=0,0,U10/TrAvia_act!U28*1000000)</f>
        <v>15226.333569703309</v>
      </c>
      <c r="V42" s="15">
        <f>IF(V10=0,0,V10/TrAvia_act!V28*1000000)</f>
        <v>15859.621719430485</v>
      </c>
      <c r="W42" s="15">
        <f>IF(W10=0,0,W10/TrAvia_act!W28*1000000)</f>
        <v>13733.244180567037</v>
      </c>
      <c r="X42" s="15">
        <f>IF(X10=0,0,X10/TrAvia_act!X28*1000000)</f>
        <v>11056.89434373312</v>
      </c>
      <c r="Y42" s="15">
        <f>IF(Y10=0,0,Y10/TrAvia_act!Y28*1000000)</f>
        <v>11784.719824725149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2181.8332732384815</v>
      </c>
      <c r="C43" s="101">
        <f>IF(C11=0,0,C11/TrAvia_act!C29*1000000)</f>
        <v>2149.3899654508182</v>
      </c>
      <c r="D43" s="101">
        <f>IF(D11=0,0,D11/TrAvia_act!D29*1000000)</f>
        <v>2156.6840465232776</v>
      </c>
      <c r="E43" s="101">
        <f>IF(E11=0,0,E11/TrAvia_act!E29*1000000)</f>
        <v>2139.5639889540553</v>
      </c>
      <c r="F43" s="101">
        <f>IF(F11=0,0,F11/TrAvia_act!F29*1000000)</f>
        <v>2180.3814528492985</v>
      </c>
      <c r="G43" s="101">
        <f>IF(G11=0,0,G11/TrAvia_act!G29*1000000)</f>
        <v>2261.7708865942955</v>
      </c>
      <c r="H43" s="101">
        <f>IF(H11=0,0,H11/TrAvia_act!H29*1000000)</f>
        <v>2294.2214333456936</v>
      </c>
      <c r="I43" s="101">
        <f>IF(I11=0,0,I11/TrAvia_act!I29*1000000)</f>
        <v>2192.8761913827821</v>
      </c>
      <c r="J43" s="101">
        <f>IF(J11=0,0,J11/TrAvia_act!J29*1000000)</f>
        <v>2279.132009506659</v>
      </c>
      <c r="K43" s="101">
        <f>IF(K11=0,0,K11/TrAvia_act!K29*1000000)</f>
        <v>2064.6269505744444</v>
      </c>
      <c r="L43" s="101">
        <f>IF(L11=0,0,L11/TrAvia_act!L29*1000000)</f>
        <v>2170.9041949378748</v>
      </c>
      <c r="M43" s="101">
        <f>IF(M11=0,0,M11/TrAvia_act!M29*1000000)</f>
        <v>2207.2705221391902</v>
      </c>
      <c r="N43" s="101">
        <f>IF(N11=0,0,N11/TrAvia_act!N29*1000000)</f>
        <v>2281.1114521696672</v>
      </c>
      <c r="O43" s="101">
        <f>IF(O11=0,0,O11/TrAvia_act!O29*1000000)</f>
        <v>2490.3765553802941</v>
      </c>
      <c r="P43" s="101">
        <f>IF(P11=0,0,P11/TrAvia_act!P29*1000000)</f>
        <v>2549.5840261982794</v>
      </c>
      <c r="Q43" s="101">
        <f>IF(Q11=0,0,Q11/TrAvia_act!Q29*1000000)</f>
        <v>2635.1765896919869</v>
      </c>
      <c r="R43" s="101">
        <f>IF(R11=0,0,R11/TrAvia_act!R29*1000000)</f>
        <v>2677.8096057266694</v>
      </c>
      <c r="S43" s="101">
        <f>IF(S11=0,0,S11/TrAvia_act!S29*1000000)</f>
        <v>2875.594708549811</v>
      </c>
      <c r="T43" s="101">
        <f>IF(T11=0,0,T11/TrAvia_act!T29*1000000)</f>
        <v>3182.0378996557679</v>
      </c>
      <c r="U43" s="101">
        <f>IF(U11=0,0,U11/TrAvia_act!U29*1000000)</f>
        <v>3365.0517138752448</v>
      </c>
      <c r="V43" s="101">
        <f>IF(V11=0,0,V11/TrAvia_act!V29*1000000)</f>
        <v>2572.9938951678373</v>
      </c>
      <c r="W43" s="101">
        <f>IF(W11=0,0,W11/TrAvia_act!W29*1000000)</f>
        <v>2497.8634286790038</v>
      </c>
      <c r="X43" s="101">
        <f>IF(X11=0,0,X11/TrAvia_act!X29*1000000)</f>
        <v>3061.3683836290734</v>
      </c>
      <c r="Y43" s="101">
        <f>IF(Y11=0,0,Y11/TrAvia_act!Y29*1000000)</f>
        <v>3702.7594642003396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5148.7425832028875</v>
      </c>
      <c r="C44" s="101">
        <f>IF(C12=0,0,C12/TrAvia_act!C30*1000000)</f>
        <v>5335.5502797857043</v>
      </c>
      <c r="D44" s="101">
        <f>IF(D12=0,0,D12/TrAvia_act!D30*1000000)</f>
        <v>4924.2540142881671</v>
      </c>
      <c r="E44" s="101">
        <f>IF(E12=0,0,E12/TrAvia_act!E30*1000000)</f>
        <v>4646.3039353818085</v>
      </c>
      <c r="F44" s="101">
        <f>IF(F12=0,0,F12/TrAvia_act!F30*1000000)</f>
        <v>4146.9183022079296</v>
      </c>
      <c r="G44" s="101">
        <f>IF(G12=0,0,G12/TrAvia_act!G30*1000000)</f>
        <v>4019.9803933438266</v>
      </c>
      <c r="H44" s="101">
        <f>IF(H12=0,0,H12/TrAvia_act!H30*1000000)</f>
        <v>4147.0215899714367</v>
      </c>
      <c r="I44" s="101">
        <f>IF(I12=0,0,I12/TrAvia_act!I30*1000000)</f>
        <v>4055.7334046311557</v>
      </c>
      <c r="J44" s="101">
        <f>IF(J12=0,0,J12/TrAvia_act!J30*1000000)</f>
        <v>4123.1768059718479</v>
      </c>
      <c r="K44" s="101">
        <f>IF(K12=0,0,K12/TrAvia_act!K30*1000000)</f>
        <v>3948.6253422013765</v>
      </c>
      <c r="L44" s="101">
        <f>IF(L12=0,0,L12/TrAvia_act!L30*1000000)</f>
        <v>3999.0223033585089</v>
      </c>
      <c r="M44" s="101">
        <f>IF(M12=0,0,M12/TrAvia_act!M30*1000000)</f>
        <v>4046.682612430367</v>
      </c>
      <c r="N44" s="101">
        <f>IF(N12=0,0,N12/TrAvia_act!N30*1000000)</f>
        <v>3957.4134625969059</v>
      </c>
      <c r="O44" s="101">
        <f>IF(O12=0,0,O12/TrAvia_act!O30*1000000)</f>
        <v>3887.1998348896996</v>
      </c>
      <c r="P44" s="101">
        <f>IF(P12=0,0,P12/TrAvia_act!P30*1000000)</f>
        <v>3881.6906553968092</v>
      </c>
      <c r="Q44" s="101">
        <f>IF(Q12=0,0,Q12/TrAvia_act!Q30*1000000)</f>
        <v>3658.8333914499467</v>
      </c>
      <c r="R44" s="101">
        <f>IF(R12=0,0,R12/TrAvia_act!R30*1000000)</f>
        <v>3655.2397618241262</v>
      </c>
      <c r="S44" s="101">
        <f>IF(S12=0,0,S12/TrAvia_act!S30*1000000)</f>
        <v>3672.5509978031487</v>
      </c>
      <c r="T44" s="101">
        <f>IF(T12=0,0,T12/TrAvia_act!T30*1000000)</f>
        <v>3921.0048883251438</v>
      </c>
      <c r="U44" s="101">
        <f>IF(U12=0,0,U12/TrAvia_act!U30*1000000)</f>
        <v>3842.3355690102876</v>
      </c>
      <c r="V44" s="101">
        <f>IF(V12=0,0,V12/TrAvia_act!V30*1000000)</f>
        <v>3383.83134782141</v>
      </c>
      <c r="W44" s="101">
        <f>IF(W12=0,0,W12/TrAvia_act!W30*1000000)</f>
        <v>2972.4433595826486</v>
      </c>
      <c r="X44" s="101">
        <f>IF(X12=0,0,X12/TrAvia_act!X30*1000000)</f>
        <v>3297.4403001564306</v>
      </c>
      <c r="Y44" s="101">
        <f>IF(Y12=0,0,Y12/TrAvia_act!Y30*1000000)</f>
        <v>3710.5686247010062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37657.542005698233</v>
      </c>
      <c r="C45" s="88">
        <f>IF(C13=0,0,C13/TrAvia_act!C31*1000000)</f>
        <v>39083.339211056176</v>
      </c>
      <c r="D45" s="88">
        <f>IF(D13=0,0,D13/TrAvia_act!D31*1000000)</f>
        <v>37599.896930696093</v>
      </c>
      <c r="E45" s="88">
        <f>IF(E13=0,0,E13/TrAvia_act!E31*1000000)</f>
        <v>35851.457865608943</v>
      </c>
      <c r="F45" s="88">
        <f>IF(F13=0,0,F13/TrAvia_act!F31*1000000)</f>
        <v>31895.768140736171</v>
      </c>
      <c r="G45" s="88">
        <f>IF(G13=0,0,G13/TrAvia_act!G31*1000000)</f>
        <v>30584.883616853796</v>
      </c>
      <c r="H45" s="88">
        <f>IF(H13=0,0,H13/TrAvia_act!H31*1000000)</f>
        <v>31919.013455213029</v>
      </c>
      <c r="I45" s="88">
        <f>IF(I13=0,0,I13/TrAvia_act!I31*1000000)</f>
        <v>31204.946630341561</v>
      </c>
      <c r="J45" s="88">
        <f>IF(J13=0,0,J13/TrAvia_act!J31*1000000)</f>
        <v>32770.201580774643</v>
      </c>
      <c r="K45" s="88">
        <f>IF(K13=0,0,K13/TrAvia_act!K31*1000000)</f>
        <v>34310.238970126367</v>
      </c>
      <c r="L45" s="88">
        <f>IF(L13=0,0,L13/TrAvia_act!L31*1000000)</f>
        <v>34801.537127589494</v>
      </c>
      <c r="M45" s="88">
        <f>IF(M13=0,0,M13/TrAvia_act!M31*1000000)</f>
        <v>32961.234832016416</v>
      </c>
      <c r="N45" s="88">
        <f>IF(N13=0,0,N13/TrAvia_act!N31*1000000)</f>
        <v>28993.303692277572</v>
      </c>
      <c r="O45" s="88">
        <f>IF(O13=0,0,O13/TrAvia_act!O31*1000000)</f>
        <v>30407.223036418149</v>
      </c>
      <c r="P45" s="88">
        <f>IF(P13=0,0,P13/TrAvia_act!P31*1000000)</f>
        <v>32354.772598639349</v>
      </c>
      <c r="Q45" s="88">
        <f>IF(Q13=0,0,Q13/TrAvia_act!Q31*1000000)</f>
        <v>34210.4682122745</v>
      </c>
      <c r="R45" s="88">
        <f>IF(R13=0,0,R13/TrAvia_act!R31*1000000)</f>
        <v>34936.994542523338</v>
      </c>
      <c r="S45" s="88">
        <f>IF(S13=0,0,S13/TrAvia_act!S31*1000000)</f>
        <v>34949.154250984458</v>
      </c>
      <c r="T45" s="88">
        <f>IF(T13=0,0,T13/TrAvia_act!T31*1000000)</f>
        <v>36459.20009128395</v>
      </c>
      <c r="U45" s="88">
        <f>IF(U13=0,0,U13/TrAvia_act!U31*1000000)</f>
        <v>39317.766842554855</v>
      </c>
      <c r="V45" s="88">
        <f>IF(V13=0,0,V13/TrAvia_act!V31*1000000)</f>
        <v>47390.676425233243</v>
      </c>
      <c r="W45" s="88">
        <f>IF(W13=0,0,W13/TrAvia_act!W31*1000000)</f>
        <v>40313.763777698223</v>
      </c>
      <c r="X45" s="88">
        <f>IF(X13=0,0,X13/TrAvia_act!X31*1000000)</f>
        <v>33202.041950809209</v>
      </c>
      <c r="Y45" s="88">
        <f>IF(Y13=0,0,Y13/TrAvia_act!Y31*1000000)</f>
        <v>33348.673331767743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0.950946203055822</v>
      </c>
      <c r="C48" s="16">
        <f t="shared" si="36"/>
        <v>0.97796291691052073</v>
      </c>
      <c r="D48" s="16">
        <f t="shared" ref="D48:V48" si="37">IF(D6=0,0,D6/D$3)</f>
        <v>0.9495576772452512</v>
      </c>
      <c r="E48" s="16">
        <f t="shared" si="37"/>
        <v>0.95052582008322162</v>
      </c>
      <c r="F48" s="16">
        <f t="shared" si="37"/>
        <v>0.95009892438163679</v>
      </c>
      <c r="G48" s="16">
        <f t="shared" si="37"/>
        <v>0.94612189872616981</v>
      </c>
      <c r="H48" s="16">
        <f t="shared" si="37"/>
        <v>0.94233784735556692</v>
      </c>
      <c r="I48" s="16">
        <f t="shared" si="37"/>
        <v>0.94063231636154643</v>
      </c>
      <c r="J48" s="16">
        <f t="shared" si="37"/>
        <v>0.94408953169760568</v>
      </c>
      <c r="K48" s="16">
        <f t="shared" si="37"/>
        <v>0.95036364320907674</v>
      </c>
      <c r="L48" s="16">
        <f t="shared" si="37"/>
        <v>0.94336991263734804</v>
      </c>
      <c r="M48" s="16">
        <f t="shared" si="37"/>
        <v>0.94325843580081226</v>
      </c>
      <c r="N48" s="16">
        <f t="shared" si="37"/>
        <v>0.95171454385183785</v>
      </c>
      <c r="O48" s="16">
        <f t="shared" si="37"/>
        <v>0.94717908372230741</v>
      </c>
      <c r="P48" s="16">
        <f t="shared" si="37"/>
        <v>0.94795799381164414</v>
      </c>
      <c r="Q48" s="16">
        <f t="shared" si="37"/>
        <v>0.94197051181346492</v>
      </c>
      <c r="R48" s="16">
        <f t="shared" si="37"/>
        <v>0.94373694687412524</v>
      </c>
      <c r="S48" s="16">
        <f t="shared" si="37"/>
        <v>0.9406521716820252</v>
      </c>
      <c r="T48" s="16">
        <f t="shared" si="37"/>
        <v>0.94655816117630254</v>
      </c>
      <c r="U48" s="16">
        <f t="shared" si="37"/>
        <v>0.9492469942073597</v>
      </c>
      <c r="V48" s="16">
        <f t="shared" si="37"/>
        <v>0.85829934574364208</v>
      </c>
      <c r="W48" s="16">
        <f t="shared" ref="W48:Y48" si="38">IF(W6=0,0,W6/W$3)</f>
        <v>0.86567446422709537</v>
      </c>
      <c r="X48" s="16">
        <f t="shared" si="38"/>
        <v>0.93659059751169316</v>
      </c>
      <c r="Y48" s="16">
        <f t="shared" si="38"/>
        <v>0.94968660918347192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0.18874309091642485</v>
      </c>
      <c r="C49" s="103">
        <f t="shared" si="39"/>
        <v>0.18749667229266312</v>
      </c>
      <c r="D49" s="103">
        <f t="shared" ref="D49:V49" si="40">IF(D7=0,0,D7/D$3)</f>
        <v>0.18858001584719955</v>
      </c>
      <c r="E49" s="103">
        <f t="shared" si="40"/>
        <v>0.18916399785028179</v>
      </c>
      <c r="F49" s="103">
        <f t="shared" si="40"/>
        <v>0.18880492043895408</v>
      </c>
      <c r="G49" s="103">
        <f t="shared" si="40"/>
        <v>0.18899384825409687</v>
      </c>
      <c r="H49" s="103">
        <f t="shared" si="40"/>
        <v>0.18920624175829523</v>
      </c>
      <c r="I49" s="103">
        <f t="shared" si="40"/>
        <v>0.18897650706485475</v>
      </c>
      <c r="J49" s="103">
        <f t="shared" si="40"/>
        <v>0.18811181989886566</v>
      </c>
      <c r="K49" s="103">
        <f t="shared" si="40"/>
        <v>0.18373864633889242</v>
      </c>
      <c r="L49" s="103">
        <f t="shared" si="40"/>
        <v>0.18109066018763736</v>
      </c>
      <c r="M49" s="103">
        <f t="shared" si="40"/>
        <v>0.17867674408274928</v>
      </c>
      <c r="N49" s="103">
        <f t="shared" si="40"/>
        <v>0.17885183011507333</v>
      </c>
      <c r="O49" s="103">
        <f t="shared" si="40"/>
        <v>0.18293555531351025</v>
      </c>
      <c r="P49" s="103">
        <f t="shared" si="40"/>
        <v>0.17141387252845405</v>
      </c>
      <c r="Q49" s="103">
        <f t="shared" si="40"/>
        <v>0.1784429274820257</v>
      </c>
      <c r="R49" s="103">
        <f t="shared" si="40"/>
        <v>0.17559461250547273</v>
      </c>
      <c r="S49" s="103">
        <f t="shared" si="40"/>
        <v>0.18406295441079579</v>
      </c>
      <c r="T49" s="103">
        <f t="shared" si="40"/>
        <v>0.18473122557524857</v>
      </c>
      <c r="U49" s="103">
        <f t="shared" si="40"/>
        <v>0.18425516931862626</v>
      </c>
      <c r="V49" s="103">
        <f t="shared" si="40"/>
        <v>0.18368949132814927</v>
      </c>
      <c r="W49" s="103">
        <f t="shared" ref="W49:Y49" si="41">IF(W7=0,0,W7/W$3)</f>
        <v>0.22062669534968254</v>
      </c>
      <c r="X49" s="103">
        <f t="shared" si="41"/>
        <v>0.2195922356480349</v>
      </c>
      <c r="Y49" s="103">
        <f t="shared" si="41"/>
        <v>0.21651702558570873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0.35676156068941572</v>
      </c>
      <c r="C50" s="103">
        <f t="shared" si="42"/>
        <v>0.36999045283303689</v>
      </c>
      <c r="D50" s="103">
        <f t="shared" ref="D50:V50" si="43">IF(D8=0,0,D8/D$3)</f>
        <v>0.35618507349479001</v>
      </c>
      <c r="E50" s="103">
        <f t="shared" si="43"/>
        <v>0.36965963694215687</v>
      </c>
      <c r="F50" s="103">
        <f t="shared" si="43"/>
        <v>0.3470689902798193</v>
      </c>
      <c r="G50" s="103">
        <f t="shared" si="43"/>
        <v>0.34992794027966762</v>
      </c>
      <c r="H50" s="103">
        <f t="shared" si="43"/>
        <v>0.34991485550243989</v>
      </c>
      <c r="I50" s="103">
        <f t="shared" si="43"/>
        <v>0.35734096281708394</v>
      </c>
      <c r="J50" s="103">
        <f t="shared" si="43"/>
        <v>0.35151323452796579</v>
      </c>
      <c r="K50" s="103">
        <f t="shared" si="43"/>
        <v>0.34524321901514871</v>
      </c>
      <c r="L50" s="103">
        <f t="shared" si="43"/>
        <v>0.34091644471961191</v>
      </c>
      <c r="M50" s="103">
        <f t="shared" si="43"/>
        <v>0.34219018863760364</v>
      </c>
      <c r="N50" s="103">
        <f t="shared" si="43"/>
        <v>0.34392104588428546</v>
      </c>
      <c r="O50" s="103">
        <f t="shared" si="43"/>
        <v>0.33863515274318517</v>
      </c>
      <c r="P50" s="103">
        <f t="shared" si="43"/>
        <v>0.3472308309934839</v>
      </c>
      <c r="Q50" s="103">
        <f t="shared" si="43"/>
        <v>0.34416536476198911</v>
      </c>
      <c r="R50" s="103">
        <f t="shared" si="43"/>
        <v>0.36078135492233177</v>
      </c>
      <c r="S50" s="103">
        <f t="shared" si="43"/>
        <v>0.36292409530542369</v>
      </c>
      <c r="T50" s="103">
        <f t="shared" si="43"/>
        <v>0.36464836633156755</v>
      </c>
      <c r="U50" s="103">
        <f t="shared" si="43"/>
        <v>0.35819638396647963</v>
      </c>
      <c r="V50" s="103">
        <f t="shared" si="43"/>
        <v>0.26089141962985168</v>
      </c>
      <c r="W50" s="103">
        <f t="shared" ref="W50:Y50" si="44">IF(W8=0,0,W8/W$3)</f>
        <v>0.27074151070780378</v>
      </c>
      <c r="X50" s="103">
        <f t="shared" si="44"/>
        <v>0.35053173310958435</v>
      </c>
      <c r="Y50" s="103">
        <f t="shared" si="44"/>
        <v>0.35295952904879735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0.40544155144998145</v>
      </c>
      <c r="C51" s="103">
        <f t="shared" si="45"/>
        <v>0.42047579178482081</v>
      </c>
      <c r="D51" s="103">
        <f t="shared" ref="D51:V51" si="46">IF(D9=0,0,D9/D$3)</f>
        <v>0.40479258790326178</v>
      </c>
      <c r="E51" s="103">
        <f t="shared" si="46"/>
        <v>0.39170218529078299</v>
      </c>
      <c r="F51" s="103">
        <f t="shared" si="46"/>
        <v>0.41422501366286352</v>
      </c>
      <c r="G51" s="103">
        <f t="shared" si="46"/>
        <v>0.40720011019240526</v>
      </c>
      <c r="H51" s="103">
        <f t="shared" si="46"/>
        <v>0.40321675009483182</v>
      </c>
      <c r="I51" s="103">
        <f t="shared" si="46"/>
        <v>0.39431484647960774</v>
      </c>
      <c r="J51" s="103">
        <f t="shared" si="46"/>
        <v>0.40446447727077423</v>
      </c>
      <c r="K51" s="103">
        <f t="shared" si="46"/>
        <v>0.42138177785503556</v>
      </c>
      <c r="L51" s="103">
        <f t="shared" si="46"/>
        <v>0.42136280773009871</v>
      </c>
      <c r="M51" s="103">
        <f t="shared" si="46"/>
        <v>0.42239150308045936</v>
      </c>
      <c r="N51" s="103">
        <f t="shared" si="46"/>
        <v>0.428941667852479</v>
      </c>
      <c r="O51" s="103">
        <f t="shared" si="46"/>
        <v>0.4256083756656121</v>
      </c>
      <c r="P51" s="103">
        <f t="shared" si="46"/>
        <v>0.42931329028970622</v>
      </c>
      <c r="Q51" s="103">
        <f t="shared" si="46"/>
        <v>0.41936221956945013</v>
      </c>
      <c r="R51" s="103">
        <f t="shared" si="46"/>
        <v>0.40736097944632077</v>
      </c>
      <c r="S51" s="103">
        <f t="shared" si="46"/>
        <v>0.39366512196580566</v>
      </c>
      <c r="T51" s="103">
        <f t="shared" si="46"/>
        <v>0.39717856926948636</v>
      </c>
      <c r="U51" s="103">
        <f t="shared" si="46"/>
        <v>0.40679544092225384</v>
      </c>
      <c r="V51" s="103">
        <f t="shared" si="46"/>
        <v>0.41371843478564113</v>
      </c>
      <c r="W51" s="103">
        <f t="shared" ref="W51:Y51" si="47">IF(W9=0,0,W9/W$3)</f>
        <v>0.37430625816960911</v>
      </c>
      <c r="X51" s="103">
        <f t="shared" si="47"/>
        <v>0.36646662875407393</v>
      </c>
      <c r="Y51" s="103">
        <f t="shared" si="47"/>
        <v>0.38021005454896595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4.9053796944177795E-2</v>
      </c>
      <c r="C52" s="17">
        <f t="shared" si="48"/>
        <v>2.2037083089479038E-2</v>
      </c>
      <c r="D52" s="17">
        <f t="shared" ref="D52:V52" si="49">IF(D10=0,0,D10/D$3)</f>
        <v>5.0442322754748636E-2</v>
      </c>
      <c r="E52" s="17">
        <f t="shared" si="49"/>
        <v>4.9474179916778341E-2</v>
      </c>
      <c r="F52" s="17">
        <f t="shared" si="49"/>
        <v>4.9901075618362961E-2</v>
      </c>
      <c r="G52" s="17">
        <f t="shared" si="49"/>
        <v>5.3878101273830199E-2</v>
      </c>
      <c r="H52" s="17">
        <f t="shared" si="49"/>
        <v>5.7662152644433105E-2</v>
      </c>
      <c r="I52" s="17">
        <f t="shared" si="49"/>
        <v>5.9367683638453558E-2</v>
      </c>
      <c r="J52" s="17">
        <f t="shared" si="49"/>
        <v>5.5910468302394198E-2</v>
      </c>
      <c r="K52" s="17">
        <f t="shared" si="49"/>
        <v>4.9636356790923396E-2</v>
      </c>
      <c r="L52" s="17">
        <f t="shared" si="49"/>
        <v>5.6630087362652126E-2</v>
      </c>
      <c r="M52" s="17">
        <f t="shared" si="49"/>
        <v>5.6741564199187744E-2</v>
      </c>
      <c r="N52" s="17">
        <f t="shared" si="49"/>
        <v>4.8285456148162161E-2</v>
      </c>
      <c r="O52" s="17">
        <f t="shared" si="49"/>
        <v>5.2820916277692434E-2</v>
      </c>
      <c r="P52" s="17">
        <f t="shared" si="49"/>
        <v>5.204200618835586E-2</v>
      </c>
      <c r="Q52" s="17">
        <f t="shared" si="49"/>
        <v>5.8029488186535173E-2</v>
      </c>
      <c r="R52" s="17">
        <f t="shared" si="49"/>
        <v>5.6263053125874755E-2</v>
      </c>
      <c r="S52" s="17">
        <f t="shared" si="49"/>
        <v>5.9347828317974798E-2</v>
      </c>
      <c r="T52" s="17">
        <f t="shared" si="49"/>
        <v>5.3441838823697518E-2</v>
      </c>
      <c r="U52" s="17">
        <f t="shared" si="49"/>
        <v>5.0753005792640429E-2</v>
      </c>
      <c r="V52" s="17">
        <f t="shared" si="49"/>
        <v>0.14170065425635783</v>
      </c>
      <c r="W52" s="17">
        <f t="shared" ref="W52:Y52" si="50">IF(W10=0,0,W10/W$3)</f>
        <v>0.13432553577290454</v>
      </c>
      <c r="X52" s="17">
        <f t="shared" si="50"/>
        <v>6.3409402488306899E-2</v>
      </c>
      <c r="Y52" s="17">
        <f t="shared" si="50"/>
        <v>5.0313390816528115E-2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2.7731424107617906E-3</v>
      </c>
      <c r="C53" s="104">
        <f t="shared" si="51"/>
        <v>5.4337181452390861E-3</v>
      </c>
      <c r="D53" s="104">
        <f t="shared" ref="D53:V53" si="52">IF(D11=0,0,D11/D$3)</f>
        <v>4.6157400006684854E-3</v>
      </c>
      <c r="E53" s="104">
        <f t="shared" si="52"/>
        <v>4.5199755461339339E-3</v>
      </c>
      <c r="F53" s="104">
        <f t="shared" si="52"/>
        <v>4.5310892054099897E-3</v>
      </c>
      <c r="G53" s="104">
        <f t="shared" si="52"/>
        <v>4.3328309019202869E-3</v>
      </c>
      <c r="H53" s="104">
        <f t="shared" si="52"/>
        <v>4.1116638678159031E-3</v>
      </c>
      <c r="I53" s="104">
        <f t="shared" si="52"/>
        <v>3.9976159427035319E-3</v>
      </c>
      <c r="J53" s="104">
        <f t="shared" si="52"/>
        <v>3.7634323243016113E-3</v>
      </c>
      <c r="K53" s="104">
        <f t="shared" si="52"/>
        <v>3.311070858281953E-3</v>
      </c>
      <c r="L53" s="104">
        <f t="shared" si="52"/>
        <v>3.1316803325560525E-3</v>
      </c>
      <c r="M53" s="104">
        <f t="shared" si="52"/>
        <v>2.7290160472407429E-3</v>
      </c>
      <c r="N53" s="104">
        <f t="shared" si="52"/>
        <v>2.3511047434238977E-3</v>
      </c>
      <c r="O53" s="104">
        <f t="shared" si="52"/>
        <v>2.4666960150959163E-3</v>
      </c>
      <c r="P53" s="104">
        <f t="shared" si="52"/>
        <v>2.1618538140680175E-3</v>
      </c>
      <c r="Q53" s="104">
        <f t="shared" si="52"/>
        <v>2.056300801679766E-3</v>
      </c>
      <c r="R53" s="104">
        <f t="shared" si="52"/>
        <v>1.5897839553340241E-3</v>
      </c>
      <c r="S53" s="104">
        <f t="shared" si="52"/>
        <v>1.7672983039714416E-3</v>
      </c>
      <c r="T53" s="104">
        <f t="shared" si="52"/>
        <v>1.8028903228456991E-3</v>
      </c>
      <c r="U53" s="104">
        <f t="shared" si="52"/>
        <v>1.7138843976534791E-3</v>
      </c>
      <c r="V53" s="104">
        <f t="shared" si="52"/>
        <v>3.4612028758097568E-3</v>
      </c>
      <c r="W53" s="104">
        <f t="shared" ref="W53:Y53" si="53">IF(W11=0,0,W11/W$3)</f>
        <v>3.8229091957822864E-3</v>
      </c>
      <c r="X53" s="104">
        <f t="shared" si="53"/>
        <v>2.9663756645973245E-3</v>
      </c>
      <c r="Y53" s="104">
        <f t="shared" si="53"/>
        <v>2.6367528018200366E-3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5.8256726361095188E-3</v>
      </c>
      <c r="C54" s="104">
        <f t="shared" si="54"/>
        <v>3.0022506366149501E-3</v>
      </c>
      <c r="D54" s="104">
        <f t="shared" ref="D54:V54" si="55">IF(D12=0,0,D12/D$3)</f>
        <v>1.1148957029091418E-2</v>
      </c>
      <c r="E54" s="104">
        <f t="shared" si="55"/>
        <v>1.0628115357173911E-2</v>
      </c>
      <c r="F54" s="104">
        <f t="shared" si="55"/>
        <v>1.1562087159374698E-2</v>
      </c>
      <c r="G54" s="104">
        <f t="shared" si="55"/>
        <v>1.1428685000161223E-2</v>
      </c>
      <c r="H54" s="104">
        <f t="shared" si="55"/>
        <v>1.1683220955919624E-2</v>
      </c>
      <c r="I54" s="104">
        <f t="shared" si="55"/>
        <v>1.175475090491743E-2</v>
      </c>
      <c r="J54" s="104">
        <f t="shared" si="55"/>
        <v>1.1321737027198278E-2</v>
      </c>
      <c r="K54" s="104">
        <f t="shared" si="55"/>
        <v>1.1004693401870399E-2</v>
      </c>
      <c r="L54" s="104">
        <f t="shared" si="55"/>
        <v>9.7394063102322192E-3</v>
      </c>
      <c r="M54" s="104">
        <f t="shared" si="55"/>
        <v>8.8178198694560533E-3</v>
      </c>
      <c r="N54" s="104">
        <f t="shared" si="55"/>
        <v>8.5098672077511105E-3</v>
      </c>
      <c r="O54" s="104">
        <f t="shared" si="55"/>
        <v>8.6395565421499634E-3</v>
      </c>
      <c r="P54" s="104">
        <f t="shared" si="55"/>
        <v>7.7549732211589307E-3</v>
      </c>
      <c r="Q54" s="104">
        <f t="shared" si="55"/>
        <v>7.8152717491343227E-3</v>
      </c>
      <c r="R54" s="104">
        <f t="shared" si="55"/>
        <v>6.8487786491532275E-3</v>
      </c>
      <c r="S54" s="104">
        <f t="shared" si="55"/>
        <v>7.2819984173939107E-3</v>
      </c>
      <c r="T54" s="104">
        <f t="shared" si="55"/>
        <v>7.0531530445741694E-3</v>
      </c>
      <c r="U54" s="104">
        <f t="shared" si="55"/>
        <v>6.7142417190645242E-3</v>
      </c>
      <c r="V54" s="104">
        <f t="shared" si="55"/>
        <v>1.7026555932083059E-2</v>
      </c>
      <c r="W54" s="104">
        <f t="shared" ref="W54:Y54" si="56">IF(W12=0,0,W12/W$3)</f>
        <v>1.6088294511182134E-2</v>
      </c>
      <c r="X54" s="104">
        <f t="shared" si="56"/>
        <v>1.0783200072071961E-2</v>
      </c>
      <c r="Y54" s="104">
        <f t="shared" si="56"/>
        <v>8.8830998404699473E-3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4.0454981897306487E-2</v>
      </c>
      <c r="C55" s="105">
        <f t="shared" si="57"/>
        <v>1.3601114307625001E-2</v>
      </c>
      <c r="D55" s="105">
        <f t="shared" ref="D55:V55" si="58">IF(D13=0,0,D13/D$3)</f>
        <v>3.4677625724988732E-2</v>
      </c>
      <c r="E55" s="105">
        <f t="shared" si="58"/>
        <v>3.43260890134705E-2</v>
      </c>
      <c r="F55" s="105">
        <f t="shared" si="58"/>
        <v>3.3807899253578279E-2</v>
      </c>
      <c r="G55" s="105">
        <f t="shared" si="58"/>
        <v>3.8116585371748689E-2</v>
      </c>
      <c r="H55" s="105">
        <f t="shared" si="58"/>
        <v>4.1867267820697572E-2</v>
      </c>
      <c r="I55" s="105">
        <f t="shared" si="58"/>
        <v>4.3615316790832595E-2</v>
      </c>
      <c r="J55" s="105">
        <f t="shared" si="58"/>
        <v>4.0825298950894304E-2</v>
      </c>
      <c r="K55" s="105">
        <f t="shared" si="58"/>
        <v>3.5320592530771036E-2</v>
      </c>
      <c r="L55" s="105">
        <f t="shared" si="58"/>
        <v>4.3759000719863862E-2</v>
      </c>
      <c r="M55" s="105">
        <f t="shared" si="58"/>
        <v>4.5194728282490944E-2</v>
      </c>
      <c r="N55" s="105">
        <f t="shared" si="58"/>
        <v>3.742448419698715E-2</v>
      </c>
      <c r="O55" s="105">
        <f t="shared" si="58"/>
        <v>4.1714663720446556E-2</v>
      </c>
      <c r="P55" s="105">
        <f t="shared" si="58"/>
        <v>4.2125179153128911E-2</v>
      </c>
      <c r="Q55" s="105">
        <f t="shared" si="58"/>
        <v>4.8157915635721089E-2</v>
      </c>
      <c r="R55" s="105">
        <f t="shared" si="58"/>
        <v>4.7824490521387507E-2</v>
      </c>
      <c r="S55" s="105">
        <f t="shared" si="58"/>
        <v>5.0298531596609443E-2</v>
      </c>
      <c r="T55" s="105">
        <f t="shared" si="58"/>
        <v>4.4585795456277645E-2</v>
      </c>
      <c r="U55" s="105">
        <f t="shared" si="58"/>
        <v>4.2324879675922425E-2</v>
      </c>
      <c r="V55" s="105">
        <f t="shared" si="58"/>
        <v>0.121212895448465</v>
      </c>
      <c r="W55" s="105">
        <f t="shared" ref="W55:Y55" si="59">IF(W13=0,0,W13/W$3)</f>
        <v>0.11441433206594014</v>
      </c>
      <c r="X55" s="105">
        <f t="shared" si="59"/>
        <v>4.9659826751637617E-2</v>
      </c>
      <c r="Y55" s="105">
        <f t="shared" si="59"/>
        <v>3.8793538174238126E-2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485.24372146476162</v>
      </c>
      <c r="C57" s="62">
        <v>479.27709583856324</v>
      </c>
      <c r="D57" s="62">
        <v>482.86617214557009</v>
      </c>
      <c r="E57" s="62">
        <v>478.66262129315152</v>
      </c>
      <c r="F57" s="62">
        <v>490.03333786357655</v>
      </c>
      <c r="G57" s="62">
        <v>479.26590018030527</v>
      </c>
      <c r="H57" s="62">
        <v>479.93002674646692</v>
      </c>
      <c r="I57" s="62">
        <v>477.31669372593245</v>
      </c>
      <c r="J57" s="62">
        <v>479.79132059659412</v>
      </c>
      <c r="K57" s="62">
        <v>465.31202223023331</v>
      </c>
      <c r="L57" s="62">
        <v>464.50706234242864</v>
      </c>
      <c r="M57" s="62">
        <v>473.53522233338435</v>
      </c>
      <c r="N57" s="62">
        <v>468.92585262572669</v>
      </c>
      <c r="O57" s="62">
        <v>459.28730122150716</v>
      </c>
      <c r="P57" s="62">
        <v>464.38078903590639</v>
      </c>
      <c r="Q57" s="62">
        <v>469.08239086556256</v>
      </c>
      <c r="R57" s="62">
        <v>469.54846175716472</v>
      </c>
      <c r="S57" s="62">
        <v>469.08257226000507</v>
      </c>
      <c r="T57" s="62">
        <v>470.64960091950479</v>
      </c>
      <c r="U57" s="62">
        <v>475.03381779849195</v>
      </c>
      <c r="V57" s="62">
        <v>472.02395719056972</v>
      </c>
      <c r="W57" s="62">
        <v>458.82791811117528</v>
      </c>
      <c r="X57" s="62">
        <v>443.76009834711988</v>
      </c>
      <c r="Y57" s="62">
        <v>465.88419313874323</v>
      </c>
      <c r="DA57" s="172" t="s">
        <v>314</v>
      </c>
    </row>
    <row r="58" spans="1:105" ht="11.45" customHeight="1" x14ac:dyDescent="0.25">
      <c r="A58" s="10" t="s">
        <v>33</v>
      </c>
      <c r="B58" s="14">
        <v>476.83621826445818</v>
      </c>
      <c r="C58" s="14">
        <v>476.6523238920779</v>
      </c>
      <c r="D58" s="14">
        <v>476.61909246229413</v>
      </c>
      <c r="E58" s="14">
        <v>472.20123610071806</v>
      </c>
      <c r="F58" s="14">
        <v>484.0155034816529</v>
      </c>
      <c r="G58" s="14">
        <v>472.13341813931959</v>
      </c>
      <c r="H58" s="14">
        <v>471.88618417421884</v>
      </c>
      <c r="I58" s="14">
        <v>468.66363776007182</v>
      </c>
      <c r="J58" s="14">
        <v>471.79422078938978</v>
      </c>
      <c r="K58" s="14">
        <v>458.94863156487622</v>
      </c>
      <c r="L58" s="14">
        <v>455.95794262912619</v>
      </c>
      <c r="M58" s="14">
        <v>464.62047140116852</v>
      </c>
      <c r="N58" s="14">
        <v>461.85892757009464</v>
      </c>
      <c r="O58" s="14">
        <v>451.11081349726999</v>
      </c>
      <c r="P58" s="14">
        <v>455.70331179341957</v>
      </c>
      <c r="Q58" s="14">
        <v>458.76719724914443</v>
      </c>
      <c r="R58" s="14">
        <v>458.59000815455448</v>
      </c>
      <c r="S58" s="14">
        <v>456.85754428046215</v>
      </c>
      <c r="T58" s="14">
        <v>459.54430018419674</v>
      </c>
      <c r="U58" s="14">
        <v>464.14826667198372</v>
      </c>
      <c r="V58" s="14">
        <v>447.77860024675533</v>
      </c>
      <c r="W58" s="14">
        <v>434.44752623698787</v>
      </c>
      <c r="X58" s="14">
        <v>433.20996178698613</v>
      </c>
      <c r="Y58" s="14">
        <v>456.52055523953698</v>
      </c>
      <c r="DA58" s="189" t="s">
        <v>315</v>
      </c>
    </row>
    <row r="59" spans="1:105" ht="11.45" customHeight="1" x14ac:dyDescent="0.25">
      <c r="A59" s="83" t="s">
        <v>27</v>
      </c>
      <c r="B59" s="87">
        <v>407.36028652012158</v>
      </c>
      <c r="C59" s="87">
        <v>407.36028652012163</v>
      </c>
      <c r="D59" s="87">
        <v>407.36028652012169</v>
      </c>
      <c r="E59" s="87">
        <v>407.36028652012169</v>
      </c>
      <c r="F59" s="87">
        <v>407.36028652012169</v>
      </c>
      <c r="G59" s="87">
        <v>412.71862068791688</v>
      </c>
      <c r="H59" s="87">
        <v>413.9134443559206</v>
      </c>
      <c r="I59" s="87">
        <v>413.36754130196226</v>
      </c>
      <c r="J59" s="87">
        <v>409.80435740219411</v>
      </c>
      <c r="K59" s="87">
        <v>402.22985006385284</v>
      </c>
      <c r="L59" s="87">
        <v>399.2798682962873</v>
      </c>
      <c r="M59" s="87">
        <v>401.63636028433655</v>
      </c>
      <c r="N59" s="87">
        <v>404.60211435322157</v>
      </c>
      <c r="O59" s="87">
        <v>403.7786727774465</v>
      </c>
      <c r="P59" s="87">
        <v>403.18972601751796</v>
      </c>
      <c r="Q59" s="87">
        <v>405.94771903939318</v>
      </c>
      <c r="R59" s="87">
        <v>399.68325594791185</v>
      </c>
      <c r="S59" s="87">
        <v>395.60496152935156</v>
      </c>
      <c r="T59" s="87">
        <v>392.52107679382402</v>
      </c>
      <c r="U59" s="87">
        <v>389.88885320244299</v>
      </c>
      <c r="V59" s="87">
        <v>390.24507998633885</v>
      </c>
      <c r="W59" s="87">
        <v>378.38966103615928</v>
      </c>
      <c r="X59" s="87">
        <v>377.45731541644568</v>
      </c>
      <c r="Y59" s="87">
        <v>382.79265686126178</v>
      </c>
      <c r="DA59" s="171" t="s">
        <v>316</v>
      </c>
    </row>
    <row r="60" spans="1:105" ht="11.45" customHeight="1" x14ac:dyDescent="0.25">
      <c r="A60" s="83" t="s">
        <v>181</v>
      </c>
      <c r="B60" s="87">
        <v>323.49501542091957</v>
      </c>
      <c r="C60" s="87">
        <v>323.49498009779569</v>
      </c>
      <c r="D60" s="87">
        <v>323.49511218827377</v>
      </c>
      <c r="E60" s="87">
        <v>323.05790386880147</v>
      </c>
      <c r="F60" s="87">
        <v>323.31895109005887</v>
      </c>
      <c r="G60" s="87">
        <v>322.18733896398197</v>
      </c>
      <c r="H60" s="87">
        <v>323.43322211613406</v>
      </c>
      <c r="I60" s="87">
        <v>323.23516182454466</v>
      </c>
      <c r="J60" s="87">
        <v>323.34992259253198</v>
      </c>
      <c r="K60" s="87">
        <v>323.79703492970009</v>
      </c>
      <c r="L60" s="87">
        <v>323.81945360103845</v>
      </c>
      <c r="M60" s="87">
        <v>324.54658343365622</v>
      </c>
      <c r="N60" s="87">
        <v>325.44602252103391</v>
      </c>
      <c r="O60" s="87">
        <v>325.26819606863768</v>
      </c>
      <c r="P60" s="87">
        <v>324.9276614192417</v>
      </c>
      <c r="Q60" s="87">
        <v>324.99279522714153</v>
      </c>
      <c r="R60" s="87">
        <v>324.73772970363154</v>
      </c>
      <c r="S60" s="87">
        <v>324.58178504726283</v>
      </c>
      <c r="T60" s="87">
        <v>324.47311492203227</v>
      </c>
      <c r="U60" s="87">
        <v>324.04008465114487</v>
      </c>
      <c r="V60" s="87">
        <v>324.77756965655499</v>
      </c>
      <c r="W60" s="87">
        <v>323.82703333910877</v>
      </c>
      <c r="X60" s="87">
        <v>323.93197890447823</v>
      </c>
      <c r="Y60" s="87">
        <v>323.80836166646236</v>
      </c>
      <c r="DA60" s="171" t="s">
        <v>317</v>
      </c>
    </row>
    <row r="61" spans="1:105" ht="11.45" customHeight="1" x14ac:dyDescent="0.25">
      <c r="A61" s="83" t="s">
        <v>182</v>
      </c>
      <c r="B61" s="87">
        <v>766.88135599167526</v>
      </c>
      <c r="C61" s="87">
        <v>766.88135599167515</v>
      </c>
      <c r="D61" s="87">
        <v>766.88135599167526</v>
      </c>
      <c r="E61" s="87">
        <v>766.88135599167515</v>
      </c>
      <c r="F61" s="87">
        <v>766.88135599167526</v>
      </c>
      <c r="G61" s="87">
        <v>722.03360143862608</v>
      </c>
      <c r="H61" s="87">
        <v>718.45341406612545</v>
      </c>
      <c r="I61" s="87">
        <v>713.57640781443797</v>
      </c>
      <c r="J61" s="87">
        <v>719.47654063948335</v>
      </c>
      <c r="K61" s="87">
        <v>686.4096874448278</v>
      </c>
      <c r="L61" s="87">
        <v>670.41818363525726</v>
      </c>
      <c r="M61" s="87">
        <v>697.52000244123826</v>
      </c>
      <c r="N61" s="87">
        <v>672.40331470764852</v>
      </c>
      <c r="O61" s="87">
        <v>634.00004078347911</v>
      </c>
      <c r="P61" s="87">
        <v>646.43501894264477</v>
      </c>
      <c r="Q61" s="87">
        <v>663.92517099103281</v>
      </c>
      <c r="R61" s="87">
        <v>673.00696122984982</v>
      </c>
      <c r="S61" s="87">
        <v>663.34415349710491</v>
      </c>
      <c r="T61" s="87">
        <v>654.55752163116881</v>
      </c>
      <c r="U61" s="87">
        <v>656.67954946958548</v>
      </c>
      <c r="V61" s="87">
        <v>648.59204718242847</v>
      </c>
      <c r="W61" s="87">
        <v>642.19631647850167</v>
      </c>
      <c r="X61" s="87">
        <v>655.8132458848421</v>
      </c>
      <c r="Y61" s="87">
        <v>671.9132224505671</v>
      </c>
      <c r="DA61" s="171" t="s">
        <v>318</v>
      </c>
    </row>
    <row r="62" spans="1:105" ht="11.45" customHeight="1" x14ac:dyDescent="0.25">
      <c r="A62" s="12" t="s">
        <v>34</v>
      </c>
      <c r="B62" s="15">
        <v>705.81151939032486</v>
      </c>
      <c r="C62" s="15">
        <v>674.48861861056162</v>
      </c>
      <c r="D62" s="15">
        <v>640.33498903023292</v>
      </c>
      <c r="E62" s="15">
        <v>644.18501244342485</v>
      </c>
      <c r="F62" s="15">
        <v>634.51083560056463</v>
      </c>
      <c r="G62" s="15">
        <v>637.3519645243797</v>
      </c>
      <c r="H62" s="15">
        <v>645.78437561320209</v>
      </c>
      <c r="I62" s="15">
        <v>650.81534677147818</v>
      </c>
      <c r="J62" s="15">
        <v>649.90096985603554</v>
      </c>
      <c r="K62" s="15">
        <v>626.77412153457738</v>
      </c>
      <c r="L62" s="15">
        <v>656.20988013339559</v>
      </c>
      <c r="M62" s="15">
        <v>668.71088968521326</v>
      </c>
      <c r="N62" s="15">
        <v>647.196218591194</v>
      </c>
      <c r="O62" s="15">
        <v>649.87591551545768</v>
      </c>
      <c r="P62" s="15">
        <v>668.37722360440466</v>
      </c>
      <c r="Q62" s="15">
        <v>684.25912713866762</v>
      </c>
      <c r="R62" s="15">
        <v>703.25125143438368</v>
      </c>
      <c r="S62" s="15">
        <v>709.98286265735965</v>
      </c>
      <c r="T62" s="15">
        <v>707.29708403276857</v>
      </c>
      <c r="U62" s="15">
        <v>720.09137440528116</v>
      </c>
      <c r="V62" s="15">
        <v>686.80149323243688</v>
      </c>
      <c r="W62" s="15">
        <v>689.54713367722934</v>
      </c>
      <c r="X62" s="15">
        <v>646.14907412542254</v>
      </c>
      <c r="Y62" s="15">
        <v>674.0790927542688</v>
      </c>
      <c r="DA62" s="193" t="s">
        <v>319</v>
      </c>
    </row>
    <row r="63" spans="1:105" ht="11.45" customHeight="1" x14ac:dyDescent="0.25">
      <c r="A63" s="92" t="s">
        <v>27</v>
      </c>
      <c r="B63" s="101">
        <v>482.50276850850275</v>
      </c>
      <c r="C63" s="101">
        <v>482.50276850850281</v>
      </c>
      <c r="D63" s="101">
        <v>482.5027685085027</v>
      </c>
      <c r="E63" s="101">
        <v>482.5027685085027</v>
      </c>
      <c r="F63" s="101">
        <v>482.50276850850275</v>
      </c>
      <c r="G63" s="101">
        <v>492.11768713687758</v>
      </c>
      <c r="H63" s="101">
        <v>490.80144061189617</v>
      </c>
      <c r="I63" s="101">
        <v>486.45332175305373</v>
      </c>
      <c r="J63" s="101">
        <v>477.12890000900751</v>
      </c>
      <c r="K63" s="101">
        <v>461.62135098189623</v>
      </c>
      <c r="L63" s="101">
        <v>454.13142687702077</v>
      </c>
      <c r="M63" s="101">
        <v>450.69926638245283</v>
      </c>
      <c r="N63" s="101">
        <v>448.17310147139659</v>
      </c>
      <c r="O63" s="101">
        <v>452.95510861035734</v>
      </c>
      <c r="P63" s="101">
        <v>458.26370813685151</v>
      </c>
      <c r="Q63" s="101">
        <v>469.25646223157054</v>
      </c>
      <c r="R63" s="101">
        <v>465.52261671337146</v>
      </c>
      <c r="S63" s="101">
        <v>465.08753630044407</v>
      </c>
      <c r="T63" s="101">
        <v>466.17543823728653</v>
      </c>
      <c r="U63" s="101">
        <v>422.41146315107079</v>
      </c>
      <c r="V63" s="101">
        <v>405.25948705961252</v>
      </c>
      <c r="W63" s="101">
        <v>397.99765670893271</v>
      </c>
      <c r="X63" s="101">
        <v>409.67406027650696</v>
      </c>
      <c r="Y63" s="101">
        <v>413.98200554177635</v>
      </c>
      <c r="DA63" s="175" t="s">
        <v>320</v>
      </c>
    </row>
    <row r="64" spans="1:105" ht="11.45" customHeight="1" x14ac:dyDescent="0.25">
      <c r="A64" s="92" t="s">
        <v>181</v>
      </c>
      <c r="B64" s="101">
        <v>331.29802786057519</v>
      </c>
      <c r="C64" s="101">
        <v>330.93777506954842</v>
      </c>
      <c r="D64" s="101">
        <v>334.62103467669203</v>
      </c>
      <c r="E64" s="101">
        <v>335.70859458983836</v>
      </c>
      <c r="F64" s="101">
        <v>335.69706864472374</v>
      </c>
      <c r="G64" s="101">
        <v>334.44574579577323</v>
      </c>
      <c r="H64" s="101">
        <v>334.64611870290133</v>
      </c>
      <c r="I64" s="101">
        <v>333.75620906390458</v>
      </c>
      <c r="J64" s="101">
        <v>333.72056867246152</v>
      </c>
      <c r="K64" s="101">
        <v>334.62909934551681</v>
      </c>
      <c r="L64" s="101">
        <v>333.86861944764468</v>
      </c>
      <c r="M64" s="101">
        <v>335.768700929099</v>
      </c>
      <c r="N64" s="101">
        <v>338.66725443791216</v>
      </c>
      <c r="O64" s="101">
        <v>339.72145399803895</v>
      </c>
      <c r="P64" s="101">
        <v>339.85837276862401</v>
      </c>
      <c r="Q64" s="101">
        <v>340.93406568411831</v>
      </c>
      <c r="R64" s="101">
        <v>341.78106875698484</v>
      </c>
      <c r="S64" s="101">
        <v>342.97486889038527</v>
      </c>
      <c r="T64" s="101">
        <v>343.17604760970215</v>
      </c>
      <c r="U64" s="101">
        <v>342.82381520048705</v>
      </c>
      <c r="V64" s="101">
        <v>342.59473173856651</v>
      </c>
      <c r="W64" s="101">
        <v>340.57064202105329</v>
      </c>
      <c r="X64" s="101">
        <v>335.56040271376332</v>
      </c>
      <c r="Y64" s="101">
        <v>335.93497406546123</v>
      </c>
      <c r="DA64" s="175" t="s">
        <v>321</v>
      </c>
    </row>
    <row r="65" spans="1:105" ht="11.45" customHeight="1" x14ac:dyDescent="0.25">
      <c r="A65" s="85" t="s">
        <v>182</v>
      </c>
      <c r="B65" s="88">
        <v>783.26937632060481</v>
      </c>
      <c r="C65" s="88">
        <v>783.26937632060492</v>
      </c>
      <c r="D65" s="88">
        <v>783.26937632060492</v>
      </c>
      <c r="E65" s="88">
        <v>783.26937632060481</v>
      </c>
      <c r="F65" s="88">
        <v>783.26937632060492</v>
      </c>
      <c r="G65" s="88">
        <v>773.33623392960237</v>
      </c>
      <c r="H65" s="88">
        <v>775.16090752447235</v>
      </c>
      <c r="I65" s="88">
        <v>776.54308227341141</v>
      </c>
      <c r="J65" s="88">
        <v>780.2529911575723</v>
      </c>
      <c r="K65" s="88">
        <v>774.7404375118532</v>
      </c>
      <c r="L65" s="88">
        <v>772.92956907735538</v>
      </c>
      <c r="M65" s="88">
        <v>771.81366208580664</v>
      </c>
      <c r="N65" s="88">
        <v>755.69327146001876</v>
      </c>
      <c r="O65" s="88">
        <v>752.05189298888888</v>
      </c>
      <c r="P65" s="88">
        <v>763.55372486902343</v>
      </c>
      <c r="Q65" s="88">
        <v>775.05688658376675</v>
      </c>
      <c r="R65" s="88">
        <v>783.74944177528823</v>
      </c>
      <c r="S65" s="88">
        <v>788.07178677523814</v>
      </c>
      <c r="T65" s="88">
        <v>786.27556546667108</v>
      </c>
      <c r="U65" s="88">
        <v>801.91278520034177</v>
      </c>
      <c r="V65" s="88">
        <v>783.72392544706486</v>
      </c>
      <c r="W65" s="88">
        <v>786.55608512119272</v>
      </c>
      <c r="X65" s="88">
        <v>762.4881433318526</v>
      </c>
      <c r="Y65" s="88">
        <v>786.40684351108405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1.1602518523456562</v>
      </c>
      <c r="C67" s="59">
        <f t="shared" ref="C67:W67" si="61">IF(C3=0,0,C17/C57)</f>
        <v>1.1967404044080634</v>
      </c>
      <c r="D67" s="59">
        <f t="shared" si="61"/>
        <v>1.1579508179805778</v>
      </c>
      <c r="E67" s="59">
        <f t="shared" si="61"/>
        <v>1.1209298733864967</v>
      </c>
      <c r="F67" s="59">
        <f t="shared" si="61"/>
        <v>1.0201419930630444</v>
      </c>
      <c r="G67" s="59">
        <f t="shared" si="61"/>
        <v>1.020859675091488</v>
      </c>
      <c r="H67" s="59">
        <f t="shared" si="61"/>
        <v>1.0407133171006773</v>
      </c>
      <c r="I67" s="59">
        <f t="shared" si="61"/>
        <v>1.0029480599339697</v>
      </c>
      <c r="J67" s="59">
        <f t="shared" si="61"/>
        <v>1.0192287535385061</v>
      </c>
      <c r="K67" s="59">
        <f t="shared" si="61"/>
        <v>1.0083010785712163</v>
      </c>
      <c r="L67" s="59">
        <f t="shared" si="61"/>
        <v>1.0199177437125746</v>
      </c>
      <c r="M67" s="59">
        <f t="shared" si="61"/>
        <v>1.0213971748036452</v>
      </c>
      <c r="N67" s="59">
        <f t="shared" si="61"/>
        <v>1.0148123214287113</v>
      </c>
      <c r="O67" s="59">
        <f t="shared" si="61"/>
        <v>1.047612956562378</v>
      </c>
      <c r="P67" s="59">
        <f t="shared" si="61"/>
        <v>1.0471890784536508</v>
      </c>
      <c r="Q67" s="59">
        <f t="shared" si="61"/>
        <v>1.0289878570209345</v>
      </c>
      <c r="R67" s="59">
        <f t="shared" si="61"/>
        <v>1.0150690901835733</v>
      </c>
      <c r="S67" s="59">
        <f t="shared" si="61"/>
        <v>1.0111758186712623</v>
      </c>
      <c r="T67" s="59">
        <f t="shared" si="61"/>
        <v>1.0568869399618039</v>
      </c>
      <c r="U67" s="59">
        <f t="shared" si="61"/>
        <v>1.0313753241487258</v>
      </c>
      <c r="V67" s="59">
        <f t="shared" si="61"/>
        <v>1.0569469858132912</v>
      </c>
      <c r="W67" s="59">
        <f t="shared" si="61"/>
        <v>0.92786197082510413</v>
      </c>
      <c r="X67" s="59">
        <f t="shared" ref="X67:Y67" si="62">IF(X3=0,0,X17/X57)</f>
        <v>0.99267055922658798</v>
      </c>
      <c r="Y67" s="59">
        <f t="shared" si="62"/>
        <v>1.0208560491274412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1.1696286423142914</v>
      </c>
      <c r="C68" s="23">
        <f t="shared" ref="C68:W68" si="64">IF(C6=0,0,C18/C58)</f>
        <v>1.2010411464280295</v>
      </c>
      <c r="D68" s="23">
        <f t="shared" si="64"/>
        <v>1.1648733696100482</v>
      </c>
      <c r="E68" s="23">
        <f t="shared" si="64"/>
        <v>1.1283866710593242</v>
      </c>
      <c r="F68" s="23">
        <f t="shared" si="64"/>
        <v>1.0273103765453655</v>
      </c>
      <c r="G68" s="23">
        <f t="shared" si="64"/>
        <v>1.0292093793199408</v>
      </c>
      <c r="H68" s="23">
        <f t="shared" si="64"/>
        <v>1.0502209105510281</v>
      </c>
      <c r="I68" s="23">
        <f t="shared" si="64"/>
        <v>1.0129583916736846</v>
      </c>
      <c r="J68" s="23">
        <f t="shared" si="64"/>
        <v>1.0286291194496264</v>
      </c>
      <c r="K68" s="23">
        <f t="shared" si="64"/>
        <v>1.0137549501420062</v>
      </c>
      <c r="L68" s="23">
        <f t="shared" si="64"/>
        <v>1.0276175633814291</v>
      </c>
      <c r="M68" s="23">
        <f t="shared" si="64"/>
        <v>1.030072478207775</v>
      </c>
      <c r="N68" s="23">
        <f t="shared" si="64"/>
        <v>1.0221735574656616</v>
      </c>
      <c r="O68" s="23">
        <f t="shared" si="64"/>
        <v>1.0562832976077519</v>
      </c>
      <c r="P68" s="23">
        <f t="shared" si="64"/>
        <v>1.0569039399298095</v>
      </c>
      <c r="Q68" s="23">
        <f t="shared" si="64"/>
        <v>1.0405587503642142</v>
      </c>
      <c r="R68" s="23">
        <f t="shared" si="64"/>
        <v>1.0283289711324632</v>
      </c>
      <c r="S68" s="23">
        <f t="shared" si="64"/>
        <v>1.0277107581040925</v>
      </c>
      <c r="T68" s="23">
        <f t="shared" si="64"/>
        <v>1.0742059977890557</v>
      </c>
      <c r="U68" s="23">
        <f t="shared" si="64"/>
        <v>1.0480470187450932</v>
      </c>
      <c r="V68" s="23">
        <f t="shared" si="64"/>
        <v>1.0687892084083856</v>
      </c>
      <c r="W68" s="23">
        <f t="shared" si="64"/>
        <v>0.94196122720938946</v>
      </c>
      <c r="X68" s="23">
        <f t="shared" ref="X68:Y68" si="65">IF(X6=0,0,X18/X58)</f>
        <v>1.004690469965442</v>
      </c>
      <c r="Y68" s="23">
        <f t="shared" si="65"/>
        <v>1.0360264417092533</v>
      </c>
      <c r="DA68" s="189"/>
    </row>
    <row r="69" spans="1:105" ht="11.45" customHeight="1" x14ac:dyDescent="0.25">
      <c r="A69" s="83" t="s">
        <v>27</v>
      </c>
      <c r="B69" s="91">
        <f t="shared" si="63"/>
        <v>0.93689237951332383</v>
      </c>
      <c r="C69" s="91">
        <f t="shared" ref="C69:W69" si="66">IF(C7=0,0,C19/C59)</f>
        <v>0.92296102728522644</v>
      </c>
      <c r="D69" s="91">
        <f t="shared" si="66"/>
        <v>0.92609314973296808</v>
      </c>
      <c r="E69" s="91">
        <f t="shared" si="66"/>
        <v>0.91874169365693803</v>
      </c>
      <c r="F69" s="91">
        <f t="shared" si="66"/>
        <v>0.93626895907339758</v>
      </c>
      <c r="G69" s="91">
        <f t="shared" si="66"/>
        <v>0.97979764332321251</v>
      </c>
      <c r="H69" s="91">
        <f t="shared" si="66"/>
        <v>0.99290993582847253</v>
      </c>
      <c r="I69" s="91">
        <f t="shared" si="66"/>
        <v>0.94552519986707018</v>
      </c>
      <c r="J69" s="91">
        <f t="shared" si="66"/>
        <v>0.97429671396156736</v>
      </c>
      <c r="K69" s="91">
        <f t="shared" si="66"/>
        <v>0.8688322052464692</v>
      </c>
      <c r="L69" s="91">
        <f t="shared" si="66"/>
        <v>0.90617896387817631</v>
      </c>
      <c r="M69" s="91">
        <f t="shared" si="66"/>
        <v>0.9154806978032447</v>
      </c>
      <c r="N69" s="91">
        <f t="shared" si="66"/>
        <v>0.94097570373211736</v>
      </c>
      <c r="O69" s="91">
        <f t="shared" si="66"/>
        <v>1.0329490343634333</v>
      </c>
      <c r="P69" s="91">
        <f t="shared" si="66"/>
        <v>1.0637457669156736</v>
      </c>
      <c r="Q69" s="91">
        <f t="shared" si="66"/>
        <v>1.1123566728819561</v>
      </c>
      <c r="R69" s="91">
        <f t="shared" si="66"/>
        <v>1.1257437987350774</v>
      </c>
      <c r="S69" s="91">
        <f t="shared" si="66"/>
        <v>1.2081294208005007</v>
      </c>
      <c r="T69" s="91">
        <f t="shared" si="66"/>
        <v>1.3381983042987109</v>
      </c>
      <c r="U69" s="91">
        <f t="shared" si="66"/>
        <v>1.3464315272396092</v>
      </c>
      <c r="V69" s="91">
        <f t="shared" si="66"/>
        <v>1.0031071474946804</v>
      </c>
      <c r="W69" s="91">
        <f t="shared" si="66"/>
        <v>0.95865119650297426</v>
      </c>
      <c r="X69" s="91">
        <f t="shared" ref="X69:Y69" si="67">IF(X7=0,0,X19/X59)</f>
        <v>1.1968545232323127</v>
      </c>
      <c r="Y69" s="91">
        <f t="shared" si="67"/>
        <v>1.459479396821894</v>
      </c>
      <c r="DA69" s="171"/>
    </row>
    <row r="70" spans="1:105" ht="11.45" customHeight="1" x14ac:dyDescent="0.25">
      <c r="A70" s="83" t="s">
        <v>181</v>
      </c>
      <c r="B70" s="91">
        <f t="shared" si="63"/>
        <v>1.54377035013305</v>
      </c>
      <c r="C70" s="91">
        <f t="shared" ref="C70:W70" si="68">IF(C8=0,0,C20/C60)</f>
        <v>1.6022204805053313</v>
      </c>
      <c r="D70" s="91">
        <f t="shared" si="68"/>
        <v>1.541405870248282</v>
      </c>
      <c r="E70" s="91">
        <f t="shared" si="68"/>
        <v>1.4764034038730851</v>
      </c>
      <c r="F70" s="91">
        <f t="shared" si="68"/>
        <v>1.3134452516885236</v>
      </c>
      <c r="G70" s="91">
        <f t="shared" si="68"/>
        <v>1.2697809850591151</v>
      </c>
      <c r="H70" s="91">
        <f t="shared" si="68"/>
        <v>1.3004173075042691</v>
      </c>
      <c r="I70" s="91">
        <f t="shared" si="68"/>
        <v>1.2687780116850373</v>
      </c>
      <c r="J70" s="91">
        <f t="shared" si="68"/>
        <v>1.2818814797363323</v>
      </c>
      <c r="K70" s="91">
        <f t="shared" si="68"/>
        <v>1.2265755663452573</v>
      </c>
      <c r="L70" s="91">
        <f t="shared" si="68"/>
        <v>1.2324109491202284</v>
      </c>
      <c r="M70" s="91">
        <f t="shared" si="68"/>
        <v>1.2474655414126661</v>
      </c>
      <c r="N70" s="91">
        <f t="shared" si="68"/>
        <v>1.2277659643673864</v>
      </c>
      <c r="O70" s="91">
        <f t="shared" si="68"/>
        <v>1.224142315716598</v>
      </c>
      <c r="P70" s="91">
        <f t="shared" si="68"/>
        <v>1.2350718153658149</v>
      </c>
      <c r="Q70" s="91">
        <f t="shared" si="68"/>
        <v>1.185050875371741</v>
      </c>
      <c r="R70" s="91">
        <f t="shared" si="68"/>
        <v>1.2000371632251929</v>
      </c>
      <c r="S70" s="91">
        <f t="shared" si="68"/>
        <v>1.2196123253975539</v>
      </c>
      <c r="T70" s="91">
        <f t="shared" si="68"/>
        <v>1.3164667725979642</v>
      </c>
      <c r="U70" s="91">
        <f t="shared" si="68"/>
        <v>1.3036276524947599</v>
      </c>
      <c r="V70" s="91">
        <f t="shared" si="68"/>
        <v>1.0887415385804491</v>
      </c>
      <c r="W70" s="91">
        <f t="shared" si="68"/>
        <v>0.95400399967347316</v>
      </c>
      <c r="X70" s="91">
        <f t="shared" ref="X70:Y70" si="69">IF(X8=0,0,X20/X60)</f>
        <v>1.0448639638360557</v>
      </c>
      <c r="Y70" s="91">
        <f t="shared" si="69"/>
        <v>1.1841153377124292</v>
      </c>
      <c r="DA70" s="171"/>
    </row>
    <row r="71" spans="1:105" ht="11.45" customHeight="1" x14ac:dyDescent="0.25">
      <c r="A71" s="83" t="s">
        <v>182</v>
      </c>
      <c r="B71" s="91">
        <f t="shared" si="63"/>
        <v>1.0656096362054988</v>
      </c>
      <c r="C71" s="91">
        <f t="shared" ref="C71:W71" si="70">IF(C9=0,0,C21/C61)</f>
        <v>1.1059559562354777</v>
      </c>
      <c r="D71" s="91">
        <f t="shared" si="70"/>
        <v>1.0639784318270291</v>
      </c>
      <c r="E71" s="91">
        <f t="shared" si="70"/>
        <v>1.0145021936861258</v>
      </c>
      <c r="F71" s="91">
        <f t="shared" si="70"/>
        <v>0.90256655306397193</v>
      </c>
      <c r="G71" s="91">
        <f t="shared" si="70"/>
        <v>0.90328621239727724</v>
      </c>
      <c r="H71" s="91">
        <f t="shared" si="70"/>
        <v>0.92134422464917032</v>
      </c>
      <c r="I71" s="91">
        <f t="shared" si="70"/>
        <v>0.88195209297628097</v>
      </c>
      <c r="J71" s="91">
        <f t="shared" si="70"/>
        <v>0.89776807191298791</v>
      </c>
      <c r="K71" s="91">
        <f t="shared" si="70"/>
        <v>0.94794376524899204</v>
      </c>
      <c r="L71" s="91">
        <f t="shared" si="70"/>
        <v>0.95427875988878386</v>
      </c>
      <c r="M71" s="91">
        <f t="shared" si="70"/>
        <v>0.94655779500005111</v>
      </c>
      <c r="N71" s="91">
        <f t="shared" si="70"/>
        <v>0.93070257767305287</v>
      </c>
      <c r="O71" s="91">
        <f t="shared" si="70"/>
        <v>0.96078785983117321</v>
      </c>
      <c r="P71" s="91">
        <f t="shared" si="70"/>
        <v>0.94430167108617735</v>
      </c>
      <c r="Q71" s="91">
        <f t="shared" si="70"/>
        <v>0.92286524348501819</v>
      </c>
      <c r="R71" s="91">
        <f t="shared" si="70"/>
        <v>0.88342490226570392</v>
      </c>
      <c r="S71" s="91">
        <f t="shared" si="70"/>
        <v>0.84593342137789418</v>
      </c>
      <c r="T71" s="91">
        <f t="shared" si="70"/>
        <v>0.85206741244352224</v>
      </c>
      <c r="U71" s="91">
        <f t="shared" si="70"/>
        <v>0.82328353060924786</v>
      </c>
      <c r="V71" s="91">
        <f t="shared" si="70"/>
        <v>1.0878436985776314</v>
      </c>
      <c r="W71" s="91">
        <f t="shared" si="70"/>
        <v>0.92404169795004809</v>
      </c>
      <c r="X71" s="91">
        <f t="shared" ref="X71:Y71" si="71">IF(X9=0,0,X21/X61)</f>
        <v>0.88676400326514826</v>
      </c>
      <c r="Y71" s="91">
        <f t="shared" si="71"/>
        <v>0.80855910625339078</v>
      </c>
      <c r="DA71" s="171"/>
    </row>
    <row r="72" spans="1:105" ht="11.45" customHeight="1" x14ac:dyDescent="0.25">
      <c r="A72" s="12" t="s">
        <v>34</v>
      </c>
      <c r="B72" s="24">
        <f t="shared" si="63"/>
        <v>0.97712183966678645</v>
      </c>
      <c r="C72" s="24">
        <f t="shared" ref="C72:W72" si="72">IF(C10=0,0,C22/C62)</f>
        <v>0.92895833813157991</v>
      </c>
      <c r="D72" s="24">
        <f t="shared" si="72"/>
        <v>1.0076057471967845</v>
      </c>
      <c r="E72" s="24">
        <f t="shared" si="72"/>
        <v>0.96200466202962476</v>
      </c>
      <c r="F72" s="24">
        <f t="shared" si="72"/>
        <v>0.87755673564371017</v>
      </c>
      <c r="G72" s="24">
        <f t="shared" si="72"/>
        <v>0.87299282573101322</v>
      </c>
      <c r="H72" s="24">
        <f t="shared" si="72"/>
        <v>0.88707002874356933</v>
      </c>
      <c r="I72" s="24">
        <f t="shared" si="72"/>
        <v>0.84848095429112891</v>
      </c>
      <c r="J72" s="24">
        <f t="shared" si="72"/>
        <v>0.86417831845648407</v>
      </c>
      <c r="K72" s="24">
        <f t="shared" si="72"/>
        <v>0.8922360847095695</v>
      </c>
      <c r="L72" s="24">
        <f t="shared" si="72"/>
        <v>0.88604207879013963</v>
      </c>
      <c r="M72" s="24">
        <f t="shared" si="72"/>
        <v>0.87805974750821836</v>
      </c>
      <c r="N72" s="24">
        <f t="shared" si="72"/>
        <v>0.872707756875713</v>
      </c>
      <c r="O72" s="24">
        <f t="shared" si="72"/>
        <v>0.89760542680653099</v>
      </c>
      <c r="P72" s="24">
        <f t="shared" si="72"/>
        <v>0.8832304938168114</v>
      </c>
      <c r="Q72" s="24">
        <f t="shared" si="72"/>
        <v>0.86069173717133329</v>
      </c>
      <c r="R72" s="24">
        <f t="shared" si="72"/>
        <v>0.82587709858061964</v>
      </c>
      <c r="S72" s="24">
        <f t="shared" si="72"/>
        <v>0.79750815751475934</v>
      </c>
      <c r="T72" s="24">
        <f t="shared" si="72"/>
        <v>0.81356020569271048</v>
      </c>
      <c r="U72" s="24">
        <f t="shared" si="72"/>
        <v>0.78579368404816385</v>
      </c>
      <c r="V72" s="24">
        <f t="shared" si="72"/>
        <v>0.97797248419209548</v>
      </c>
      <c r="W72" s="24">
        <f t="shared" si="72"/>
        <v>0.83408492358493758</v>
      </c>
      <c r="X72" s="24">
        <f t="shared" ref="X72:Y72" si="73">IF(X10=0,0,X22/X62)</f>
        <v>0.83007541922802286</v>
      </c>
      <c r="Y72" s="24">
        <f t="shared" si="73"/>
        <v>0.78841227953102033</v>
      </c>
      <c r="DA72" s="193"/>
    </row>
    <row r="73" spans="1:105" ht="11.45" customHeight="1" x14ac:dyDescent="0.25">
      <c r="A73" s="92" t="s">
        <v>27</v>
      </c>
      <c r="B73" s="93">
        <f t="shared" si="63"/>
        <v>0.93689237951332371</v>
      </c>
      <c r="C73" s="93">
        <f t="shared" ref="C73:W73" si="74">IF(C11=0,0,C23/C63)</f>
        <v>0.92296102728522644</v>
      </c>
      <c r="D73" s="93">
        <f t="shared" si="74"/>
        <v>0.9260931497329683</v>
      </c>
      <c r="E73" s="93">
        <f t="shared" si="74"/>
        <v>0.91874169365693814</v>
      </c>
      <c r="F73" s="93">
        <f t="shared" si="74"/>
        <v>0.93626895907339736</v>
      </c>
      <c r="G73" s="93">
        <f t="shared" si="74"/>
        <v>0.97979764332321229</v>
      </c>
      <c r="H73" s="93">
        <f t="shared" si="74"/>
        <v>0.99290993582847276</v>
      </c>
      <c r="I73" s="93">
        <f t="shared" si="74"/>
        <v>0.94552519986707018</v>
      </c>
      <c r="J73" s="93">
        <f t="shared" si="74"/>
        <v>0.97429671396156736</v>
      </c>
      <c r="K73" s="93">
        <f t="shared" si="74"/>
        <v>0.8688322052464692</v>
      </c>
      <c r="L73" s="93">
        <f t="shared" si="74"/>
        <v>0.9061789638781762</v>
      </c>
      <c r="M73" s="93">
        <f t="shared" si="74"/>
        <v>0.91548069780324459</v>
      </c>
      <c r="N73" s="93">
        <f t="shared" si="74"/>
        <v>0.94097570373211736</v>
      </c>
      <c r="O73" s="93">
        <f t="shared" si="74"/>
        <v>1.0329490343634333</v>
      </c>
      <c r="P73" s="93">
        <f t="shared" si="74"/>
        <v>1.0637457669156736</v>
      </c>
      <c r="Q73" s="93">
        <f t="shared" si="74"/>
        <v>1.1123566728819561</v>
      </c>
      <c r="R73" s="93">
        <f t="shared" si="74"/>
        <v>1.1257437987350769</v>
      </c>
      <c r="S73" s="93">
        <f t="shared" si="74"/>
        <v>1.2081294208005005</v>
      </c>
      <c r="T73" s="93">
        <f t="shared" si="74"/>
        <v>1.3381983042987109</v>
      </c>
      <c r="U73" s="93">
        <f t="shared" si="74"/>
        <v>1.346431527239609</v>
      </c>
      <c r="V73" s="93">
        <f t="shared" si="74"/>
        <v>1.0031071474946807</v>
      </c>
      <c r="W73" s="93">
        <f t="shared" si="74"/>
        <v>0.95865119650297426</v>
      </c>
      <c r="X73" s="93">
        <f t="shared" ref="X73:Y73" si="75">IF(X11=0,0,X23/X63)</f>
        <v>1.1968545232323127</v>
      </c>
      <c r="Y73" s="93">
        <f t="shared" si="75"/>
        <v>1.4594793968218938</v>
      </c>
      <c r="DA73" s="175"/>
    </row>
    <row r="74" spans="1:105" ht="11.45" customHeight="1" x14ac:dyDescent="0.25">
      <c r="A74" s="92" t="s">
        <v>181</v>
      </c>
      <c r="B74" s="93">
        <f t="shared" si="63"/>
        <v>1.5787341408930826</v>
      </c>
      <c r="C74" s="93">
        <f t="shared" ref="C74:W74" si="76">IF(C12=0,0,C24/C64)</f>
        <v>1.6423153059816396</v>
      </c>
      <c r="D74" s="93">
        <f t="shared" si="76"/>
        <v>1.5413336790004792</v>
      </c>
      <c r="E74" s="93">
        <f t="shared" si="76"/>
        <v>1.4629173239601609</v>
      </c>
      <c r="F74" s="93">
        <f t="shared" si="76"/>
        <v>1.3020332941207617</v>
      </c>
      <c r="G74" s="93">
        <f t="shared" si="76"/>
        <v>1.2554874213200553</v>
      </c>
      <c r="H74" s="93">
        <f t="shared" si="76"/>
        <v>1.2890102662903704</v>
      </c>
      <c r="I74" s="93">
        <f t="shared" si="76"/>
        <v>1.255183685562788</v>
      </c>
      <c r="J74" s="93">
        <f t="shared" si="76"/>
        <v>1.2707496497822208</v>
      </c>
      <c r="K74" s="93">
        <f t="shared" si="76"/>
        <v>1.2150753220317985</v>
      </c>
      <c r="L74" s="93">
        <f t="shared" si="76"/>
        <v>1.2221343602989521</v>
      </c>
      <c r="M74" s="93">
        <f t="shared" si="76"/>
        <v>1.2337689239177536</v>
      </c>
      <c r="N74" s="93">
        <f t="shared" si="76"/>
        <v>1.2085670064435821</v>
      </c>
      <c r="O74" s="93">
        <f t="shared" si="76"/>
        <v>1.2034464963646903</v>
      </c>
      <c r="P74" s="93">
        <f t="shared" si="76"/>
        <v>1.2132882586514639</v>
      </c>
      <c r="Q74" s="93">
        <f t="shared" si="76"/>
        <v>1.1586459773989755</v>
      </c>
      <c r="R74" s="93">
        <f t="shared" si="76"/>
        <v>1.1724397304630707</v>
      </c>
      <c r="S74" s="93">
        <f t="shared" si="76"/>
        <v>1.1903194556300134</v>
      </c>
      <c r="T74" s="93">
        <f t="shared" si="76"/>
        <v>1.2814393508238586</v>
      </c>
      <c r="U74" s="93">
        <f t="shared" si="76"/>
        <v>1.2677447767545231</v>
      </c>
      <c r="V74" s="93">
        <f t="shared" si="76"/>
        <v>1.1172863983108723</v>
      </c>
      <c r="W74" s="93">
        <f t="shared" si="76"/>
        <v>0.97156196877831424</v>
      </c>
      <c r="X74" s="93">
        <f t="shared" ref="X74:Y74" si="77">IF(X12=0,0,X24/X64)</f>
        <v>1.0512728339440314</v>
      </c>
      <c r="Y74" s="93">
        <f t="shared" si="77"/>
        <v>1.174265423879016</v>
      </c>
      <c r="DA74" s="175"/>
    </row>
    <row r="75" spans="1:105" ht="11.45" customHeight="1" x14ac:dyDescent="0.25">
      <c r="A75" s="85" t="s">
        <v>182</v>
      </c>
      <c r="B75" s="94">
        <f t="shared" si="63"/>
        <v>0.95904867258494864</v>
      </c>
      <c r="C75" s="94">
        <f t="shared" ref="C75:W75" si="78">IF(C13=0,0,C25/C65)</f>
        <v>0.99536036061192967</v>
      </c>
      <c r="D75" s="94">
        <f t="shared" si="78"/>
        <v>0.95758058864432605</v>
      </c>
      <c r="E75" s="94">
        <f t="shared" si="78"/>
        <v>0.91305197431751328</v>
      </c>
      <c r="F75" s="94">
        <f t="shared" si="78"/>
        <v>0.81230989775757489</v>
      </c>
      <c r="G75" s="94">
        <f t="shared" si="78"/>
        <v>0.81295759115754951</v>
      </c>
      <c r="H75" s="94">
        <f t="shared" si="78"/>
        <v>0.82920980218425311</v>
      </c>
      <c r="I75" s="94">
        <f t="shared" si="78"/>
        <v>0.79375688367865249</v>
      </c>
      <c r="J75" s="94">
        <f t="shared" si="78"/>
        <v>0.80799126472168903</v>
      </c>
      <c r="K75" s="94">
        <f t="shared" si="78"/>
        <v>0.85314938872409274</v>
      </c>
      <c r="L75" s="94">
        <f t="shared" si="78"/>
        <v>0.8588508838999056</v>
      </c>
      <c r="M75" s="94">
        <f t="shared" si="78"/>
        <v>0.85190201550004629</v>
      </c>
      <c r="N75" s="94">
        <f t="shared" si="78"/>
        <v>0.8376323199057476</v>
      </c>
      <c r="O75" s="94">
        <f t="shared" si="78"/>
        <v>0.86470907384805595</v>
      </c>
      <c r="P75" s="94">
        <f t="shared" si="78"/>
        <v>0.84987150397755973</v>
      </c>
      <c r="Q75" s="94">
        <f t="shared" si="78"/>
        <v>0.83057871913651637</v>
      </c>
      <c r="R75" s="94">
        <f t="shared" si="78"/>
        <v>0.79508241203913355</v>
      </c>
      <c r="S75" s="94">
        <f t="shared" si="78"/>
        <v>0.76134007924010472</v>
      </c>
      <c r="T75" s="94">
        <f t="shared" si="78"/>
        <v>0.76686067119917001</v>
      </c>
      <c r="U75" s="94">
        <f t="shared" si="78"/>
        <v>0.74095517754832307</v>
      </c>
      <c r="V75" s="94">
        <f t="shared" si="78"/>
        <v>0.97905932871986845</v>
      </c>
      <c r="W75" s="94">
        <f t="shared" si="78"/>
        <v>0.83163752815504322</v>
      </c>
      <c r="X75" s="94">
        <f t="shared" ref="X75:Y75" si="79">IF(X13=0,0,X25/X65)</f>
        <v>0.79808760293863334</v>
      </c>
      <c r="Y75" s="94">
        <f t="shared" si="79"/>
        <v>0.72770319562805186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10527.168302279997</v>
      </c>
      <c r="C3" s="79">
        <f t="shared" si="0"/>
        <v>9618.1499455199992</v>
      </c>
      <c r="D3" s="79">
        <f t="shared" ref="D3" si="1">SUM(D4:D5)</f>
        <v>9621.23014152</v>
      </c>
      <c r="E3" s="79">
        <f t="shared" ref="E3" si="2">SUM(E4:E5)</f>
        <v>10826.957873519999</v>
      </c>
      <c r="F3" s="79">
        <f t="shared" ref="F3" si="3">SUM(F4:F5)</f>
        <v>10734.218600759999</v>
      </c>
      <c r="G3" s="79">
        <f t="shared" ref="G3" si="4">SUM(G4:G5)</f>
        <v>11182.514985720001</v>
      </c>
      <c r="H3" s="79">
        <f t="shared" ref="H3" si="5">SUM(H4:H5)</f>
        <v>11983.242227039998</v>
      </c>
      <c r="I3" s="79">
        <f t="shared" ref="I3" si="6">SUM(I4:I5)</f>
        <v>12725.261443440002</v>
      </c>
      <c r="J3" s="79">
        <f t="shared" ref="J3" si="7">SUM(J4:J5)</f>
        <v>12264.668571240001</v>
      </c>
      <c r="K3" s="79">
        <f t="shared" ref="K3" si="8">SUM(K4:K5)</f>
        <v>11095.91257104</v>
      </c>
      <c r="L3" s="79">
        <f t="shared" ref="L3" si="9">SUM(L4:L5)</f>
        <v>11686.403759040004</v>
      </c>
      <c r="M3" s="79">
        <f t="shared" ref="M3" si="10">SUM(M4:M5)</f>
        <v>11949.338539440001</v>
      </c>
      <c r="N3" s="79">
        <f t="shared" ref="N3" si="11">SUM(N4:N5)</f>
        <v>11399.039515800001</v>
      </c>
      <c r="O3" s="79">
        <f t="shared" ref="O3" si="12">SUM(O4:O5)</f>
        <v>11089.90456056</v>
      </c>
      <c r="P3" s="79">
        <f t="shared" ref="P3" si="13">SUM(P4:P5)</f>
        <v>11204.297345520003</v>
      </c>
      <c r="Q3" s="79">
        <f t="shared" ref="Q3" si="14">SUM(Q4:Q5)</f>
        <v>11630.951859240004</v>
      </c>
      <c r="R3" s="79">
        <f t="shared" ref="R3" si="15">SUM(R4:R5)</f>
        <v>12057.618272760003</v>
      </c>
      <c r="S3" s="79">
        <f t="shared" ref="S3" si="16">SUM(S4:S5)</f>
        <v>12641.949572760001</v>
      </c>
      <c r="T3" s="79">
        <f t="shared" ref="T3" si="17">SUM(T4:T5)</f>
        <v>14190.844529520004</v>
      </c>
      <c r="U3" s="79">
        <f t="shared" ref="U3" si="18">SUM(U4:U5)</f>
        <v>14675.510376000004</v>
      </c>
      <c r="V3" s="79">
        <f t="shared" ref="V3:W3" si="19">SUM(V4:V5)</f>
        <v>5536.1299561199994</v>
      </c>
      <c r="W3" s="79">
        <f t="shared" si="19"/>
        <v>6334.995444119998</v>
      </c>
      <c r="X3" s="79">
        <f t="shared" ref="X3:Y3" si="20">SUM(X4:X5)</f>
        <v>11013.223960800004</v>
      </c>
      <c r="Y3" s="79">
        <f t="shared" si="20"/>
        <v>13878.288614879999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2015.7180872399999</v>
      </c>
      <c r="C4" s="96">
        <f t="shared" si="21"/>
        <v>1854.8912455200002</v>
      </c>
      <c r="D4" s="96">
        <f t="shared" ref="D4:V4" si="22">SUM(D7,D11)</f>
        <v>1857.9714415199999</v>
      </c>
      <c r="E4" s="96">
        <f t="shared" si="22"/>
        <v>2095.9971022800005</v>
      </c>
      <c r="F4" s="96">
        <f t="shared" si="22"/>
        <v>2074.3668720000001</v>
      </c>
      <c r="G4" s="96">
        <f t="shared" si="22"/>
        <v>2160.9343569600005</v>
      </c>
      <c r="H4" s="96">
        <f t="shared" si="22"/>
        <v>2315.4962695200002</v>
      </c>
      <c r="I4" s="96">
        <f t="shared" si="22"/>
        <v>2454.6341584800002</v>
      </c>
      <c r="J4" s="96">
        <f t="shared" si="22"/>
        <v>2352.6783424800001</v>
      </c>
      <c r="K4" s="96">
        <f t="shared" si="22"/>
        <v>2074.3319422800005</v>
      </c>
      <c r="L4" s="96">
        <f t="shared" si="22"/>
        <v>2151.6008727600006</v>
      </c>
      <c r="M4" s="96">
        <f t="shared" si="22"/>
        <v>2167.1997969599997</v>
      </c>
      <c r="N4" s="96">
        <f t="shared" si="22"/>
        <v>2065.1971582800002</v>
      </c>
      <c r="O4" s="96">
        <f t="shared" si="22"/>
        <v>2055.9570742800006</v>
      </c>
      <c r="P4" s="96">
        <f t="shared" si="22"/>
        <v>1944.6558742800003</v>
      </c>
      <c r="Q4" s="96">
        <f t="shared" si="22"/>
        <v>2099.2408167600006</v>
      </c>
      <c r="R4" s="96">
        <f t="shared" si="22"/>
        <v>2136.3530302800004</v>
      </c>
      <c r="S4" s="96">
        <f t="shared" si="22"/>
        <v>2349.1886205599994</v>
      </c>
      <c r="T4" s="96">
        <f t="shared" si="22"/>
        <v>2646.7366100400004</v>
      </c>
      <c r="U4" s="96">
        <f t="shared" si="22"/>
        <v>2729.0579367599998</v>
      </c>
      <c r="V4" s="96">
        <f t="shared" si="22"/>
        <v>1035.9224445599998</v>
      </c>
      <c r="W4" s="96">
        <f t="shared" ref="W4:Y4" si="23">SUM(W7,W11)</f>
        <v>1421.5452134400002</v>
      </c>
      <c r="X4" s="96">
        <f t="shared" si="23"/>
        <v>2451.0421411200005</v>
      </c>
      <c r="Y4" s="96">
        <f t="shared" si="23"/>
        <v>3041.4255343199984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8511.4502150399967</v>
      </c>
      <c r="C5" s="96">
        <f t="shared" si="24"/>
        <v>7763.2586999999994</v>
      </c>
      <c r="D5" s="96">
        <f t="shared" ref="D5:V5" si="25">SUM(D8:D9,D12:D13)</f>
        <v>7763.2587000000003</v>
      </c>
      <c r="E5" s="96">
        <f t="shared" si="25"/>
        <v>8730.9607712399993</v>
      </c>
      <c r="F5" s="96">
        <f t="shared" si="25"/>
        <v>8659.8517287599989</v>
      </c>
      <c r="G5" s="96">
        <f t="shared" si="25"/>
        <v>9021.5806287600008</v>
      </c>
      <c r="H5" s="96">
        <f t="shared" si="25"/>
        <v>9667.7459575199973</v>
      </c>
      <c r="I5" s="96">
        <f t="shared" si="25"/>
        <v>10270.627284960003</v>
      </c>
      <c r="J5" s="96">
        <f t="shared" si="25"/>
        <v>9911.9902287600016</v>
      </c>
      <c r="K5" s="96">
        <f t="shared" si="25"/>
        <v>9021.5806287600008</v>
      </c>
      <c r="L5" s="96">
        <f t="shared" si="25"/>
        <v>9534.8028862800038</v>
      </c>
      <c r="M5" s="96">
        <f t="shared" si="25"/>
        <v>9782.1387424800014</v>
      </c>
      <c r="N5" s="96">
        <f t="shared" si="25"/>
        <v>9333.8423575200013</v>
      </c>
      <c r="O5" s="96">
        <f t="shared" si="25"/>
        <v>9033.9474862799998</v>
      </c>
      <c r="P5" s="96">
        <f t="shared" si="25"/>
        <v>9259.6414712400019</v>
      </c>
      <c r="Q5" s="96">
        <f t="shared" si="25"/>
        <v>9531.711042480003</v>
      </c>
      <c r="R5" s="96">
        <f t="shared" si="25"/>
        <v>9921.2652424800017</v>
      </c>
      <c r="S5" s="96">
        <f t="shared" si="25"/>
        <v>10292.7609522</v>
      </c>
      <c r="T5" s="96">
        <f t="shared" si="25"/>
        <v>11544.107919480002</v>
      </c>
      <c r="U5" s="96">
        <f t="shared" si="25"/>
        <v>11946.452439240004</v>
      </c>
      <c r="V5" s="96">
        <f t="shared" si="25"/>
        <v>4500.2075115600001</v>
      </c>
      <c r="W5" s="96">
        <f t="shared" ref="W5:Y5" si="26">SUM(W8:W9,W12:W13)</f>
        <v>4913.4502306799977</v>
      </c>
      <c r="X5" s="96">
        <f t="shared" si="26"/>
        <v>8562.1818196800032</v>
      </c>
      <c r="Y5" s="96">
        <f t="shared" si="26"/>
        <v>10836.863080560001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10010.753383811925</v>
      </c>
      <c r="C6" s="21">
        <f t="shared" si="27"/>
        <v>9406.1996104245973</v>
      </c>
      <c r="D6" s="21">
        <f t="shared" ref="D6:V6" si="28">SUM(D7:D9)</f>
        <v>9135.8863095965025</v>
      </c>
      <c r="E6" s="21">
        <f t="shared" si="28"/>
        <v>10291.270235593051</v>
      </c>
      <c r="F6" s="21">
        <f t="shared" si="28"/>
        <v>10198.538572357516</v>
      </c>
      <c r="G6" s="21">
        <f t="shared" si="28"/>
        <v>10579.985482882093</v>
      </c>
      <c r="H6" s="21">
        <f t="shared" si="28"/>
        <v>11292.214004876107</v>
      </c>
      <c r="I6" s="21">
        <f t="shared" si="28"/>
        <v>11969.743678492217</v>
      </c>
      <c r="J6" s="21">
        <f t="shared" si="28"/>
        <v>11578.917898350774</v>
      </c>
      <c r="K6" s="21">
        <f t="shared" si="28"/>
        <v>10545.106509954134</v>
      </c>
      <c r="L6" s="21">
        <f t="shared" si="28"/>
        <v>11024.538743982284</v>
      </c>
      <c r="M6" s="21">
        <f t="shared" si="28"/>
        <v>11271.289977856788</v>
      </c>
      <c r="N6" s="21">
        <f t="shared" si="28"/>
        <v>10848.616933377143</v>
      </c>
      <c r="O6" s="21">
        <f t="shared" si="28"/>
        <v>10504.119033224997</v>
      </c>
      <c r="P6" s="21">
        <f t="shared" si="28"/>
        <v>10621.196614870494</v>
      </c>
      <c r="Q6" s="21">
        <f t="shared" si="28"/>
        <v>10956.005878129472</v>
      </c>
      <c r="R6" s="21">
        <f t="shared" si="28"/>
        <v>11379.215901888396</v>
      </c>
      <c r="S6" s="21">
        <f t="shared" si="28"/>
        <v>11891.673153568314</v>
      </c>
      <c r="T6" s="21">
        <f t="shared" si="28"/>
        <v>13432.441404801248</v>
      </c>
      <c r="U6" s="21">
        <f t="shared" si="28"/>
        <v>13930.677334500497</v>
      </c>
      <c r="V6" s="21">
        <f t="shared" si="28"/>
        <v>4751.6312367554701</v>
      </c>
      <c r="W6" s="21">
        <f t="shared" ref="W6:Y6" si="29">SUM(W7:W9)</f>
        <v>5483.9920620357334</v>
      </c>
      <c r="X6" s="21">
        <f t="shared" si="29"/>
        <v>10314.879066758038</v>
      </c>
      <c r="Y6" s="21">
        <f t="shared" si="29"/>
        <v>13180.022215721538</v>
      </c>
      <c r="DA6" s="189" t="s">
        <v>327</v>
      </c>
    </row>
    <row r="7" spans="1:105" ht="11.45" customHeight="1" x14ac:dyDescent="0.25">
      <c r="A7" s="83" t="s">
        <v>27</v>
      </c>
      <c r="B7" s="96">
        <v>1986.5306224556693</v>
      </c>
      <c r="C7" s="96">
        <v>1802.6498324624174</v>
      </c>
      <c r="D7" s="96">
        <v>1813.5816822052216</v>
      </c>
      <c r="E7" s="96">
        <v>2047.0831137814121</v>
      </c>
      <c r="F7" s="96">
        <v>2025.7512966652826</v>
      </c>
      <c r="G7" s="96">
        <v>2112.5035702743126</v>
      </c>
      <c r="H7" s="96">
        <v>2266.2481550392795</v>
      </c>
      <c r="I7" s="96">
        <v>2403.7844150402543</v>
      </c>
      <c r="J7" s="96">
        <v>2306.5330182644757</v>
      </c>
      <c r="K7" s="96">
        <v>2037.6130412979333</v>
      </c>
      <c r="L7" s="96">
        <v>2115.0248195098557</v>
      </c>
      <c r="M7" s="96">
        <v>2134.5970669295825</v>
      </c>
      <c r="N7" s="96">
        <v>2038.4012631763733</v>
      </c>
      <c r="O7" s="96">
        <v>2028.6034629511598</v>
      </c>
      <c r="P7" s="96">
        <v>1920.4355422817</v>
      </c>
      <c r="Q7" s="96">
        <v>2075.3256420777157</v>
      </c>
      <c r="R7" s="96">
        <v>2117.1846393928286</v>
      </c>
      <c r="S7" s="96">
        <v>2326.8471718229243</v>
      </c>
      <c r="T7" s="96">
        <v>2621.1553602059516</v>
      </c>
      <c r="U7" s="96">
        <v>2703.9070327539971</v>
      </c>
      <c r="V7" s="96">
        <v>1016.7638848791076</v>
      </c>
      <c r="W7" s="96">
        <v>1397.3329263224291</v>
      </c>
      <c r="X7" s="96">
        <v>2418.3733905493582</v>
      </c>
      <c r="Y7" s="96">
        <v>3004.8325658658364</v>
      </c>
      <c r="DA7" s="171" t="s">
        <v>328</v>
      </c>
    </row>
    <row r="8" spans="1:105" ht="11.45" customHeight="1" x14ac:dyDescent="0.25">
      <c r="A8" s="83" t="s">
        <v>181</v>
      </c>
      <c r="B8" s="96">
        <v>3755.8679439469847</v>
      </c>
      <c r="C8" s="96">
        <v>3558.9638958546484</v>
      </c>
      <c r="D8" s="96">
        <v>3427.2958907454222</v>
      </c>
      <c r="E8" s="96">
        <v>4002.7528690553318</v>
      </c>
      <c r="F8" s="96">
        <v>3725.9206204910797</v>
      </c>
      <c r="G8" s="96">
        <v>3913.4839914948748</v>
      </c>
      <c r="H8" s="96">
        <v>4193.5825194998979</v>
      </c>
      <c r="I8" s="96">
        <v>4547.7052810506002</v>
      </c>
      <c r="J8" s="96">
        <v>4311.4577984477173</v>
      </c>
      <c r="K8" s="96">
        <v>3831.2792341241384</v>
      </c>
      <c r="L8" s="96">
        <v>3984.6287322524258</v>
      </c>
      <c r="M8" s="96">
        <v>4089.1466596442101</v>
      </c>
      <c r="N8" s="96">
        <v>3920.513351086036</v>
      </c>
      <c r="O8" s="96">
        <v>3755.4881435406705</v>
      </c>
      <c r="P8" s="96">
        <v>3890.535533922357</v>
      </c>
      <c r="Q8" s="96">
        <v>4003.0283325671962</v>
      </c>
      <c r="R8" s="96">
        <v>4350.1940183555043</v>
      </c>
      <c r="S8" s="96">
        <v>4588.0984514934335</v>
      </c>
      <c r="T8" s="96">
        <v>5174.8206972947246</v>
      </c>
      <c r="U8" s="96">
        <v>5256.7732031551614</v>
      </c>
      <c r="V8" s="96">
        <v>1444.3827631371635</v>
      </c>
      <c r="W8" s="96">
        <v>1715.2656307553825</v>
      </c>
      <c r="X8" s="96">
        <v>3860.5050826007982</v>
      </c>
      <c r="Y8" s="96">
        <v>4898.4985563253013</v>
      </c>
      <c r="DA8" s="171" t="s">
        <v>329</v>
      </c>
    </row>
    <row r="9" spans="1:105" ht="11.45" customHeight="1" x14ac:dyDescent="0.25">
      <c r="A9" s="83" t="s">
        <v>182</v>
      </c>
      <c r="B9" s="96">
        <v>4268.3548174092712</v>
      </c>
      <c r="C9" s="96">
        <v>4044.5858821075321</v>
      </c>
      <c r="D9" s="96">
        <v>3895.0087366458588</v>
      </c>
      <c r="E9" s="96">
        <v>4241.4342527563067</v>
      </c>
      <c r="F9" s="96">
        <v>4446.8666552011546</v>
      </c>
      <c r="G9" s="96">
        <v>4553.9979211129057</v>
      </c>
      <c r="H9" s="96">
        <v>4832.3833303369283</v>
      </c>
      <c r="I9" s="96">
        <v>5018.2539824013638</v>
      </c>
      <c r="J9" s="96">
        <v>4960.9270816385797</v>
      </c>
      <c r="K9" s="96">
        <v>4676.2142345320617</v>
      </c>
      <c r="L9" s="96">
        <v>4924.885192220002</v>
      </c>
      <c r="M9" s="96">
        <v>5047.5462512829963</v>
      </c>
      <c r="N9" s="96">
        <v>4889.7023191147346</v>
      </c>
      <c r="O9" s="96">
        <v>4720.0274267331679</v>
      </c>
      <c r="P9" s="96">
        <v>4810.2255386664374</v>
      </c>
      <c r="Q9" s="96">
        <v>4877.6519034845605</v>
      </c>
      <c r="R9" s="96">
        <v>4911.8372441400625</v>
      </c>
      <c r="S9" s="96">
        <v>4976.7275302519556</v>
      </c>
      <c r="T9" s="96">
        <v>5636.465347300571</v>
      </c>
      <c r="U9" s="96">
        <v>5969.9970985913387</v>
      </c>
      <c r="V9" s="96">
        <v>2290.4845887391989</v>
      </c>
      <c r="W9" s="96">
        <v>2371.3935049579222</v>
      </c>
      <c r="X9" s="96">
        <v>4036.0005936078819</v>
      </c>
      <c r="Y9" s="96">
        <v>5276.6910935304004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516.41491846807276</v>
      </c>
      <c r="C10" s="22">
        <f t="shared" si="30"/>
        <v>211.95033509540133</v>
      </c>
      <c r="D10" s="22">
        <f t="shared" ref="D10:V10" si="31">SUM(D11:D13)</f>
        <v>485.3438319234985</v>
      </c>
      <c r="E10" s="22">
        <f t="shared" si="31"/>
        <v>535.68763792694938</v>
      </c>
      <c r="F10" s="22">
        <f t="shared" si="31"/>
        <v>535.68002840248255</v>
      </c>
      <c r="G10" s="22">
        <f t="shared" si="31"/>
        <v>602.52950283790881</v>
      </c>
      <c r="H10" s="22">
        <f t="shared" si="31"/>
        <v>691.02822216389245</v>
      </c>
      <c r="I10" s="22">
        <f t="shared" si="31"/>
        <v>755.51776494778323</v>
      </c>
      <c r="J10" s="22">
        <f t="shared" si="31"/>
        <v>685.75067288922799</v>
      </c>
      <c r="K10" s="22">
        <f t="shared" si="31"/>
        <v>550.80606108586767</v>
      </c>
      <c r="L10" s="22">
        <f t="shared" si="31"/>
        <v>661.86501505772083</v>
      </c>
      <c r="M10" s="22">
        <f t="shared" si="31"/>
        <v>678.04856158321309</v>
      </c>
      <c r="N10" s="22">
        <f t="shared" si="31"/>
        <v>550.42258242285891</v>
      </c>
      <c r="O10" s="22">
        <f t="shared" si="31"/>
        <v>585.78552733500374</v>
      </c>
      <c r="P10" s="22">
        <f t="shared" si="31"/>
        <v>583.10073064950802</v>
      </c>
      <c r="Q10" s="22">
        <f t="shared" si="31"/>
        <v>674.94598111053028</v>
      </c>
      <c r="R10" s="22">
        <f t="shared" si="31"/>
        <v>678.40237087160926</v>
      </c>
      <c r="S10" s="22">
        <f t="shared" si="31"/>
        <v>750.27641919168593</v>
      </c>
      <c r="T10" s="22">
        <f t="shared" si="31"/>
        <v>758.4031247187545</v>
      </c>
      <c r="U10" s="22">
        <f t="shared" si="31"/>
        <v>744.833041499508</v>
      </c>
      <c r="V10" s="22">
        <f t="shared" si="31"/>
        <v>784.49871936452951</v>
      </c>
      <c r="W10" s="22">
        <f t="shared" ref="W10:Y10" si="32">SUM(W11:W13)</f>
        <v>851.00338208426422</v>
      </c>
      <c r="X10" s="22">
        <f t="shared" si="32"/>
        <v>698.34489404196529</v>
      </c>
      <c r="Y10" s="22">
        <f t="shared" si="32"/>
        <v>698.26639915846124</v>
      </c>
      <c r="DA10" s="193" t="s">
        <v>331</v>
      </c>
    </row>
    <row r="11" spans="1:105" ht="11.45" customHeight="1" x14ac:dyDescent="0.25">
      <c r="A11" s="92" t="s">
        <v>27</v>
      </c>
      <c r="B11" s="97">
        <v>29.187464784330473</v>
      </c>
      <c r="C11" s="97">
        <v>52.241413057582697</v>
      </c>
      <c r="D11" s="97">
        <v>44.389759314778395</v>
      </c>
      <c r="E11" s="97">
        <v>48.913988498588438</v>
      </c>
      <c r="F11" s="97">
        <v>48.61557533471769</v>
      </c>
      <c r="G11" s="97">
        <v>48.430786685688112</v>
      </c>
      <c r="H11" s="97">
        <v>49.248114480720794</v>
      </c>
      <c r="I11" s="97">
        <v>50.849743439745964</v>
      </c>
      <c r="J11" s="97">
        <v>46.145324215524383</v>
      </c>
      <c r="K11" s="97">
        <v>36.718900982067169</v>
      </c>
      <c r="L11" s="97">
        <v>36.576053250144959</v>
      </c>
      <c r="M11" s="97">
        <v>32.602730030417391</v>
      </c>
      <c r="N11" s="97">
        <v>26.795895103627078</v>
      </c>
      <c r="O11" s="97">
        <v>27.353611328840721</v>
      </c>
      <c r="P11" s="97">
        <v>24.220331998300242</v>
      </c>
      <c r="Q11" s="97">
        <v>23.915174682285123</v>
      </c>
      <c r="R11" s="97">
        <v>19.168390887171817</v>
      </c>
      <c r="S11" s="97">
        <v>22.341448737075186</v>
      </c>
      <c r="T11" s="97">
        <v>25.581249834048712</v>
      </c>
      <c r="U11" s="97">
        <v>25.150904006002961</v>
      </c>
      <c r="V11" s="97">
        <v>19.158559680892143</v>
      </c>
      <c r="W11" s="97">
        <v>24.212287117571027</v>
      </c>
      <c r="X11" s="97">
        <v>32.668750570642203</v>
      </c>
      <c r="Y11" s="97">
        <v>36.59296845416204</v>
      </c>
      <c r="DA11" s="175" t="s">
        <v>332</v>
      </c>
    </row>
    <row r="12" spans="1:105" ht="11.45" customHeight="1" x14ac:dyDescent="0.25">
      <c r="A12" s="92" t="s">
        <v>181</v>
      </c>
      <c r="B12" s="97">
        <v>61.330758458423816</v>
      </c>
      <c r="C12" s="97">
        <v>28.878857657554061</v>
      </c>
      <c r="D12" s="97">
        <v>107.27786607391684</v>
      </c>
      <c r="E12" s="97">
        <v>115.08348487945869</v>
      </c>
      <c r="F12" s="97">
        <v>124.12350330779236</v>
      </c>
      <c r="G12" s="97">
        <v>127.81481740561468</v>
      </c>
      <c r="H12" s="97">
        <v>140.01849421868226</v>
      </c>
      <c r="I12" s="97">
        <v>149.59701889842117</v>
      </c>
      <c r="J12" s="97">
        <v>138.86587076426218</v>
      </c>
      <c r="K12" s="97">
        <v>122.12275574524459</v>
      </c>
      <c r="L12" s="97">
        <v>113.83410457289499</v>
      </c>
      <c r="M12" s="97">
        <v>105.3722750149248</v>
      </c>
      <c r="N12" s="97">
        <v>97.007869693390873</v>
      </c>
      <c r="O12" s="97">
        <v>95.81330200559448</v>
      </c>
      <c r="P12" s="97">
        <v>86.890322484357156</v>
      </c>
      <c r="Q12" s="97">
        <v>90.900356170737709</v>
      </c>
      <c r="R12" s="97">
        <v>82.580531133603444</v>
      </c>
      <c r="S12" s="97">
        <v>92.059265545610984</v>
      </c>
      <c r="T12" s="97">
        <v>100.09314651107492</v>
      </c>
      <c r="U12" s="97">
        <v>98.536019703615423</v>
      </c>
      <c r="V12" s="97">
        <v>94.264747912305907</v>
      </c>
      <c r="W12" s="97">
        <v>101.92636718454186</v>
      </c>
      <c r="X12" s="97">
        <v>118.75843112874757</v>
      </c>
      <c r="Y12" s="97">
        <v>123.28283602797896</v>
      </c>
      <c r="DA12" s="175" t="s">
        <v>333</v>
      </c>
    </row>
    <row r="13" spans="1:105" ht="11.45" customHeight="1" x14ac:dyDescent="0.25">
      <c r="A13" s="85" t="s">
        <v>182</v>
      </c>
      <c r="B13" s="98">
        <v>425.89669522531847</v>
      </c>
      <c r="C13" s="98">
        <v>130.83006438026459</v>
      </c>
      <c r="D13" s="98">
        <v>333.67620653480327</v>
      </c>
      <c r="E13" s="98">
        <v>371.69016454890226</v>
      </c>
      <c r="F13" s="98">
        <v>362.94094975997251</v>
      </c>
      <c r="G13" s="98">
        <v>426.28389874660598</v>
      </c>
      <c r="H13" s="98">
        <v>501.76161346448941</v>
      </c>
      <c r="I13" s="98">
        <v>555.07100260961613</v>
      </c>
      <c r="J13" s="98">
        <v>500.7394779094414</v>
      </c>
      <c r="K13" s="98">
        <v>391.96440435855595</v>
      </c>
      <c r="L13" s="98">
        <v>511.4548572346809</v>
      </c>
      <c r="M13" s="98">
        <v>540.0735565378709</v>
      </c>
      <c r="N13" s="98">
        <v>426.61881762584096</v>
      </c>
      <c r="O13" s="98">
        <v>462.61861400056858</v>
      </c>
      <c r="P13" s="98">
        <v>471.99007616685066</v>
      </c>
      <c r="Q13" s="98">
        <v>560.1304502575075</v>
      </c>
      <c r="R13" s="98">
        <v>576.65344885083402</v>
      </c>
      <c r="S13" s="98">
        <v>635.87570490899975</v>
      </c>
      <c r="T13" s="98">
        <v>632.72872837363093</v>
      </c>
      <c r="U13" s="98">
        <v>621.14611778988967</v>
      </c>
      <c r="V13" s="98">
        <v>671.07541177133146</v>
      </c>
      <c r="W13" s="98">
        <v>724.86472778215136</v>
      </c>
      <c r="X13" s="98">
        <v>546.91771234257544</v>
      </c>
      <c r="Y13" s="98">
        <v>538.39059467632023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3.0095602914150481</v>
      </c>
      <c r="C18" s="97">
        <f>IF(C4=0,0,C4/TrAvia_ene!C4)</f>
        <v>3.0088175225479596</v>
      </c>
      <c r="D18" s="97">
        <f>IF(D4=0,0,D4/TrAvia_ene!D4)</f>
        <v>3.0086846759307684</v>
      </c>
      <c r="E18" s="97">
        <f>IF(E4=0,0,E4/TrAvia_ene!E4)</f>
        <v>3.008509262513595</v>
      </c>
      <c r="F18" s="97">
        <f>IF(F4=0,0,F4/TrAvia_ene!F4)</f>
        <v>3.0086116811702177</v>
      </c>
      <c r="G18" s="97">
        <f>IF(G4=0,0,G4/TrAvia_ene!G4)</f>
        <v>3.008679647320029</v>
      </c>
      <c r="H18" s="97">
        <f>IF(H4=0,0,H4/TrAvia_ene!H4)</f>
        <v>3.0085712252643275</v>
      </c>
      <c r="I18" s="97">
        <f>IF(I4=0,0,I4/TrAvia_ene!I4)</f>
        <v>3.0087721101029037</v>
      </c>
      <c r="J18" s="97">
        <f>IF(J4=0,0,J4/TrAvia_ene!J4)</f>
        <v>3.0093467936707223</v>
      </c>
      <c r="K18" s="97">
        <f>IF(K4=0,0,K4/TrAvia_ene!K4)</f>
        <v>3.0082481379592236</v>
      </c>
      <c r="L18" s="97">
        <f>IF(L4=0,0,L4/TrAvia_ene!L4)</f>
        <v>3.0080885078288677</v>
      </c>
      <c r="M18" s="97">
        <f>IF(M4=0,0,M4/TrAvia_ene!M4)</f>
        <v>3.0094965538680358</v>
      </c>
      <c r="N18" s="97">
        <f>IF(N4=0,0,N4/TrAvia_ene!N4)</f>
        <v>3.0097000318530758</v>
      </c>
      <c r="O18" s="97">
        <f>IF(O4=0,0,O4/TrAvia_ene!O4)</f>
        <v>3.0100644120005882</v>
      </c>
      <c r="P18" s="97">
        <f>IF(P4=0,0,P4/TrAvia_ene!P4)</f>
        <v>3.0100504029123152</v>
      </c>
      <c r="Q18" s="97">
        <f>IF(Q4=0,0,Q4/TrAvia_ene!Q4)</f>
        <v>3.0100694588236259</v>
      </c>
      <c r="R18" s="97">
        <f>IF(R4=0,0,R4/TrAvia_ene!R4)</f>
        <v>3.0101914070029783</v>
      </c>
      <c r="S18" s="97">
        <f>IF(S4=0,0,S4/TrAvia_ene!S4)</f>
        <v>3.0102020786236814</v>
      </c>
      <c r="T18" s="97">
        <f>IF(T4=0,0,T4/TrAvia_ene!T4)</f>
        <v>3.0098338567943737</v>
      </c>
      <c r="U18" s="97">
        <f>IF(U4=0,0,U4/TrAvia_ene!U4)</f>
        <v>3.0101292041394352</v>
      </c>
      <c r="V18" s="97">
        <f>IF(V4=0,0,V4/TrAvia_ene!V4)</f>
        <v>3.0097082942955384</v>
      </c>
      <c r="W18" s="97">
        <f>IF(W4=0,0,W4/TrAvia_ene!W4)</f>
        <v>3.0093756384248986</v>
      </c>
      <c r="X18" s="97">
        <f>IF(X4=0,0,X4/TrAvia_ene!X4)</f>
        <v>3.0102370227577211</v>
      </c>
      <c r="Y18" s="97">
        <f>IF(Y4=0,0,Y4/TrAvia_ene!Y4)</f>
        <v>3.0102409394255094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3.0103091999999987</v>
      </c>
      <c r="C19" s="98">
        <f>IF(C5=0,0,C5/TrAvia_ene!C5)</f>
        <v>3.0103091999999991</v>
      </c>
      <c r="D19" s="98">
        <f>IF(D5=0,0,D5/TrAvia_ene!D5)</f>
        <v>3.0103092</v>
      </c>
      <c r="E19" s="98">
        <f>IF(E5=0,0,E5/TrAvia_ene!E5)</f>
        <v>3.0103092000000014</v>
      </c>
      <c r="F19" s="98">
        <f>IF(F5=0,0,F5/TrAvia_ene!F5)</f>
        <v>3.0103091999999996</v>
      </c>
      <c r="G19" s="98">
        <f>IF(G5=0,0,G5/TrAvia_ene!G5)</f>
        <v>3.0103092</v>
      </c>
      <c r="H19" s="98">
        <f>IF(H5=0,0,H5/TrAvia_ene!H5)</f>
        <v>3.0103091999999996</v>
      </c>
      <c r="I19" s="98">
        <f>IF(I5=0,0,I5/TrAvia_ene!I5)</f>
        <v>3.0103092000000009</v>
      </c>
      <c r="J19" s="98">
        <f>IF(J5=0,0,J5/TrAvia_ene!J5)</f>
        <v>3.0103092000000014</v>
      </c>
      <c r="K19" s="98">
        <f>IF(K5=0,0,K5/TrAvia_ene!K5)</f>
        <v>3.0103092000000005</v>
      </c>
      <c r="L19" s="98">
        <f>IF(L5=0,0,L5/TrAvia_ene!L5)</f>
        <v>3.0103092000000005</v>
      </c>
      <c r="M19" s="98">
        <f>IF(M5=0,0,M5/TrAvia_ene!M5)</f>
        <v>3.0103092</v>
      </c>
      <c r="N19" s="98">
        <f>IF(N5=0,0,N5/TrAvia_ene!N5)</f>
        <v>3.0103092000000005</v>
      </c>
      <c r="O19" s="98">
        <f>IF(O5=0,0,O5/TrAvia_ene!O5)</f>
        <v>3.0103092</v>
      </c>
      <c r="P19" s="98">
        <f>IF(P5=0,0,P5/TrAvia_ene!P5)</f>
        <v>3.0103092000000009</v>
      </c>
      <c r="Q19" s="98">
        <f>IF(Q5=0,0,Q5/TrAvia_ene!Q5)</f>
        <v>3.0103092000000022</v>
      </c>
      <c r="R19" s="98">
        <f>IF(R5=0,0,R5/TrAvia_ene!R5)</f>
        <v>3.0103092</v>
      </c>
      <c r="S19" s="98">
        <f>IF(S5=0,0,S5/TrAvia_ene!S5)</f>
        <v>3.0103091999999991</v>
      </c>
      <c r="T19" s="98">
        <f>IF(T5=0,0,T5/TrAvia_ene!T5)</f>
        <v>3.0103092000000014</v>
      </c>
      <c r="U19" s="98">
        <f>IF(U5=0,0,U5/TrAvia_ene!U5)</f>
        <v>3.0103092000000014</v>
      </c>
      <c r="V19" s="98">
        <f>IF(V5=0,0,V5/TrAvia_ene!V5)</f>
        <v>3.0103092000000009</v>
      </c>
      <c r="W19" s="98">
        <f>IF(W5=0,0,W5/TrAvia_ene!W5)</f>
        <v>3.0103092</v>
      </c>
      <c r="X19" s="98">
        <f>IF(X5=0,0,X5/TrAvia_ene!X5)</f>
        <v>3.0103092000000009</v>
      </c>
      <c r="Y19" s="98">
        <f>IF(Y5=0,0,Y5/TrAvia_ene!Y5)</f>
        <v>3.0103092000000014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16947.381596399766</v>
      </c>
      <c r="C21" s="54">
        <f>IF(C3=0,0,C3/TrAvia_act!C13*1000)</f>
        <v>17264.587793362196</v>
      </c>
      <c r="D21" s="54">
        <f>IF(D3=0,0,D3/TrAvia_act!D13*1000)</f>
        <v>16829.945891983516</v>
      </c>
      <c r="E21" s="54">
        <f>IF(E3=0,0,E3/TrAvia_act!E13*1000)</f>
        <v>16149.860165787029</v>
      </c>
      <c r="F21" s="54">
        <f>IF(F3=0,0,F3/TrAvia_act!F13*1000)</f>
        <v>15047.002997986361</v>
      </c>
      <c r="G21" s="54">
        <f>IF(G3=0,0,G3/TrAvia_act!G13*1000)</f>
        <v>14726.79470388699</v>
      </c>
      <c r="H21" s="54">
        <f>IF(H3=0,0,H3/TrAvia_act!H13*1000)</f>
        <v>15033.900294235269</v>
      </c>
      <c r="I21" s="54">
        <f>IF(I3=0,0,I3/TrAvia_act!I13*1000)</f>
        <v>14409.648173873264</v>
      </c>
      <c r="J21" s="54">
        <f>IF(J3=0,0,J3/TrAvia_act!J13*1000)</f>
        <v>14720.024012810298</v>
      </c>
      <c r="K21" s="54">
        <f>IF(K3=0,0,K3/TrAvia_act!K13*1000)</f>
        <v>14121.797798901449</v>
      </c>
      <c r="L21" s="54">
        <f>IF(L3=0,0,L3/TrAvia_act!L13*1000)</f>
        <v>14259.672457890096</v>
      </c>
      <c r="M21" s="54">
        <f>IF(M3=0,0,M3/TrAvia_act!M13*1000)</f>
        <v>14559.175385349075</v>
      </c>
      <c r="N21" s="54">
        <f>IF(N3=0,0,N3/TrAvia_act!N13*1000)</f>
        <v>14324.685279376507</v>
      </c>
      <c r="O21" s="54">
        <f>IF(O3=0,0,O3/TrAvia_act!O13*1000)</f>
        <v>14484.044722635344</v>
      </c>
      <c r="P21" s="54">
        <f>IF(P3=0,0,P3/TrAvia_act!P13*1000)</f>
        <v>14638.749339454433</v>
      </c>
      <c r="Q21" s="54">
        <f>IF(Q3=0,0,Q3/TrAvia_act!Q13*1000)</f>
        <v>14529.954108902257</v>
      </c>
      <c r="R21" s="54">
        <f>IF(R3=0,0,R3/TrAvia_act!R13*1000)</f>
        <v>14347.760554376495</v>
      </c>
      <c r="S21" s="54">
        <f>IF(S3=0,0,S3/TrAvia_act!S13*1000)</f>
        <v>14278.553308057013</v>
      </c>
      <c r="T21" s="54">
        <f>IF(T3=0,0,T3/TrAvia_act!T13*1000)</f>
        <v>14973.541816131554</v>
      </c>
      <c r="U21" s="54">
        <f>IF(U3=0,0,U3/TrAvia_act!U13*1000)</f>
        <v>14748.48943873863</v>
      </c>
      <c r="V21" s="54">
        <f>IF(V3=0,0,V3/TrAvia_act!V13*1000)</f>
        <v>15018.000938123309</v>
      </c>
      <c r="W21" s="54">
        <f>IF(W3=0,0,W3/TrAvia_act!W13*1000)</f>
        <v>12814.866480712151</v>
      </c>
      <c r="X21" s="54">
        <f>IF(X3=0,0,X3/TrAvia_act!X13*1000)</f>
        <v>13260.569595941364</v>
      </c>
      <c r="Y21" s="54">
        <f>IF(Y3=0,0,Y3/TrAvia_act!Y13*1000)</f>
        <v>14316.980382001553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16788.30654871928</v>
      </c>
      <c r="C22" s="11">
        <f>IF(C6=0,0,C6/TrAvia_act!C14*1000)</f>
        <v>17231.752401680038</v>
      </c>
      <c r="D22" s="11">
        <f>IF(D6=0,0,D6/TrAvia_act!D14*1000)</f>
        <v>16711.472190707587</v>
      </c>
      <c r="E22" s="11">
        <f>IF(E6=0,0,E6/TrAvia_act!E14*1000)</f>
        <v>16037.788871614801</v>
      </c>
      <c r="F22" s="11">
        <f>IF(F6=0,0,F6/TrAvia_act!F14*1000)</f>
        <v>14966.608001116918</v>
      </c>
      <c r="G22" s="11">
        <f>IF(G6=0,0,G6/TrAvia_act!G14*1000)</f>
        <v>14626.237410266483</v>
      </c>
      <c r="H22" s="11">
        <f>IF(H6=0,0,H6/TrAvia_act!H14*1000)</f>
        <v>14916.90358330311</v>
      </c>
      <c r="I22" s="11">
        <f>IF(I6=0,0,I6/TrAvia_act!I14*1000)</f>
        <v>14289.57848424895</v>
      </c>
      <c r="J22" s="11">
        <f>IF(J6=0,0,J6/TrAvia_act!J14*1000)</f>
        <v>14608.138274781995</v>
      </c>
      <c r="K22" s="11">
        <f>IF(K6=0,0,K6/TrAvia_act!K14*1000)</f>
        <v>14003.954192926822</v>
      </c>
      <c r="L22" s="11">
        <f>IF(L6=0,0,L6/TrAvia_act!L14*1000)</f>
        <v>14102.818126276681</v>
      </c>
      <c r="M22" s="11">
        <f>IF(M6=0,0,M6/TrAvia_act!M14*1000)</f>
        <v>14406.385172734215</v>
      </c>
      <c r="N22" s="11">
        <f>IF(N6=0,0,N6/TrAvia_act!N14*1000)</f>
        <v>14211.128769797415</v>
      </c>
      <c r="O22" s="11">
        <f>IF(O6=0,0,O6/TrAvia_act!O14*1000)</f>
        <v>14343.922673790667</v>
      </c>
      <c r="P22" s="11">
        <f>IF(P6=0,0,P6/TrAvia_act!P14*1000)</f>
        <v>14498.466057390649</v>
      </c>
      <c r="Q22" s="11">
        <f>IF(Q6=0,0,Q6/TrAvia_act!Q14*1000)</f>
        <v>14370.223305399284</v>
      </c>
      <c r="R22" s="11">
        <f>IF(R6=0,0,R6/TrAvia_act!R14*1000)</f>
        <v>14195.954650344776</v>
      </c>
      <c r="S22" s="11">
        <f>IF(S6=0,0,S6/TrAvia_act!S14*1000)</f>
        <v>14133.827468622208</v>
      </c>
      <c r="T22" s="11">
        <f>IF(T6=0,0,T6/TrAvia_act!T14*1000)</f>
        <v>14859.790233634567</v>
      </c>
      <c r="U22" s="11">
        <f>IF(U6=0,0,U6/TrAvia_act!U14*1000)</f>
        <v>14643.455278348591</v>
      </c>
      <c r="V22" s="11">
        <f>IF(V6=0,0,V6/TrAvia_act!V14*1000)</f>
        <v>14406.150466307818</v>
      </c>
      <c r="W22" s="11">
        <f>IF(W6=0,0,W6/TrAvia_act!W14*1000)</f>
        <v>12318.196688068936</v>
      </c>
      <c r="X22" s="11">
        <f>IF(X6=0,0,X6/TrAvia_act!X14*1000)</f>
        <v>13102.053908757454</v>
      </c>
      <c r="Y22" s="11">
        <f>IF(Y6=0,0,Y6/TrAvia_act!Y14*1000)</f>
        <v>14237.706538158314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11486.069559629337</v>
      </c>
      <c r="C23" s="84">
        <f>IF(C7=0,0,C7/TrAvia_act!C15*1000)</f>
        <v>11312.481971351675</v>
      </c>
      <c r="D23" s="84">
        <f>IF(D7=0,0,D7/TrAvia_act!D15*1000)</f>
        <v>11350.370374649245</v>
      </c>
      <c r="E23" s="84">
        <f>IF(E7=0,0,E7/TrAvia_act!E15*1000)</f>
        <v>11259.613057524879</v>
      </c>
      <c r="F23" s="84">
        <f>IF(F7=0,0,F7/TrAvia_act!F15*1000)</f>
        <v>11474.808590745906</v>
      </c>
      <c r="G23" s="84">
        <f>IF(G7=0,0,G7/TrAvia_act!G15*1000)</f>
        <v>12166.520778528398</v>
      </c>
      <c r="H23" s="84">
        <f>IF(H7=0,0,H7/TrAvia_act!H15*1000)</f>
        <v>12364.589060510976</v>
      </c>
      <c r="I23" s="84">
        <f>IF(I7=0,0,I7/TrAvia_act!I15*1000)</f>
        <v>11759.76855532541</v>
      </c>
      <c r="J23" s="84">
        <f>IF(J7=0,0,J7/TrAvia_act!J15*1000)</f>
        <v>12015.450203704781</v>
      </c>
      <c r="K23" s="84">
        <f>IF(K7=0,0,K7/TrAvia_act!K15*1000)</f>
        <v>10512.932217560376</v>
      </c>
      <c r="L23" s="84">
        <f>IF(L7=0,0,L7/TrAvia_act!L15*1000)</f>
        <v>10883.83628004903</v>
      </c>
      <c r="M23" s="84">
        <f>IF(M7=0,0,M7/TrAvia_act!M15*1000)</f>
        <v>11065.627972054363</v>
      </c>
      <c r="N23" s="84">
        <f>IF(N7=0,0,N7/TrAvia_act!N15*1000)</f>
        <v>11458.552813472681</v>
      </c>
      <c r="O23" s="84">
        <f>IF(O7=0,0,O7/TrAvia_act!O15*1000)</f>
        <v>12554.460634643805</v>
      </c>
      <c r="P23" s="84">
        <f>IF(P7=0,0,P7/TrAvia_act!P15*1000)</f>
        <v>12909.846239620534</v>
      </c>
      <c r="Q23" s="84">
        <f>IF(Q7=0,0,Q7/TrAvia_act!Q15*1000)</f>
        <v>13592.229136180953</v>
      </c>
      <c r="R23" s="84">
        <f>IF(R7=0,0,R7/TrAvia_act!R15*1000)</f>
        <v>13544.083718413876</v>
      </c>
      <c r="S23" s="84">
        <f>IF(S7=0,0,S7/TrAvia_act!S15*1000)</f>
        <v>14387.01980905315</v>
      </c>
      <c r="T23" s="84">
        <f>IF(T7=0,0,T7/TrAvia_act!T15*1000)</f>
        <v>15809.785582803652</v>
      </c>
      <c r="U23" s="84">
        <f>IF(U7=0,0,U7/TrAvia_act!U15*1000)</f>
        <v>15801.933454837523</v>
      </c>
      <c r="V23" s="84">
        <f>IF(V7=0,0,V7/TrAvia_act!V15*1000)</f>
        <v>11781.732728934419</v>
      </c>
      <c r="W23" s="84">
        <f>IF(W7=0,0,W7/TrAvia_act!W15*1000)</f>
        <v>10916.320576742739</v>
      </c>
      <c r="X23" s="84">
        <f>IF(X7=0,0,X7/TrAvia_act!X15*1000)</f>
        <v>13599.091785581737</v>
      </c>
      <c r="Y23" s="84">
        <f>IF(Y7=0,0,Y7/TrAvia_act!Y15*1000)</f>
        <v>16817.553753459983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15033.544749026631</v>
      </c>
      <c r="C24" s="84">
        <f>IF(C8=0,0,C8/TrAvia_act!C16*1000)</f>
        <v>15602.742117239262</v>
      </c>
      <c r="D24" s="84">
        <f>IF(D8=0,0,D8/TrAvia_act!D16*1000)</f>
        <v>15010.523460624461</v>
      </c>
      <c r="E24" s="84">
        <f>IF(E8=0,0,E8/TrAvia_act!E16*1000)</f>
        <v>14358.084818527421</v>
      </c>
      <c r="F24" s="84">
        <f>IF(F8=0,0,F8/TrAvia_act!F16*1000)</f>
        <v>12783.631460917024</v>
      </c>
      <c r="G24" s="84">
        <f>IF(G8=0,0,G8/TrAvia_act!G16*1000)</f>
        <v>12315.39639490887</v>
      </c>
      <c r="H24" s="84">
        <f>IF(H8=0,0,H8/TrAvia_act!H16*1000)</f>
        <v>12661.305101347258</v>
      </c>
      <c r="I24" s="84">
        <f>IF(I8=0,0,I8/TrAvia_act!I16*1000)</f>
        <v>12345.689415840801</v>
      </c>
      <c r="J24" s="84">
        <f>IF(J8=0,0,J8/TrAvia_act!J16*1000)</f>
        <v>12477.619567580106</v>
      </c>
      <c r="K24" s="84">
        <f>IF(K8=0,0,K8/TrAvia_act!K16*1000)</f>
        <v>11955.790121599741</v>
      </c>
      <c r="L24" s="84">
        <f>IF(L8=0,0,L8/TrAvia_act!L16*1000)</f>
        <v>12013.501019852456</v>
      </c>
      <c r="M24" s="84">
        <f>IF(M8=0,0,M8/TrAvia_act!M16*1000)</f>
        <v>12187.558279663337</v>
      </c>
      <c r="N24" s="84">
        <f>IF(N8=0,0,N8/TrAvia_act!N16*1000)</f>
        <v>12028.339120902674</v>
      </c>
      <c r="O24" s="84">
        <f>IF(O8=0,0,O8/TrAvia_act!O16*1000)</f>
        <v>11986.285494957192</v>
      </c>
      <c r="P24" s="84">
        <f>IF(P8=0,0,P8/TrAvia_act!P16*1000)</f>
        <v>12080.641646631764</v>
      </c>
      <c r="Q24" s="84">
        <f>IF(Q8=0,0,Q8/TrAvia_act!Q16*1000)</f>
        <v>11593.694025075436</v>
      </c>
      <c r="R24" s="84">
        <f>IF(R8=0,0,R8/TrAvia_act!R16*1000)</f>
        <v>11731.094996954122</v>
      </c>
      <c r="S24" s="84">
        <f>IF(S8=0,0,S8/TrAvia_act!S16*1000)</f>
        <v>11916.728775179681</v>
      </c>
      <c r="T24" s="84">
        <f>IF(T8=0,0,T8/TrAvia_act!T16*1000)</f>
        <v>12858.778812092141</v>
      </c>
      <c r="U24" s="84">
        <f>IF(U8=0,0,U8/TrAvia_act!U16*1000)</f>
        <v>12716.377353711234</v>
      </c>
      <c r="V24" s="84">
        <f>IF(V8=0,0,V8/TrAvia_act!V16*1000)</f>
        <v>10644.418137202427</v>
      </c>
      <c r="W24" s="84">
        <f>IF(W8=0,0,W8/TrAvia_act!W16*1000)</f>
        <v>9299.816997363183</v>
      </c>
      <c r="X24" s="84">
        <f>IF(X8=0,0,X8/TrAvia_act!X16*1000)</f>
        <v>10188.838563211675</v>
      </c>
      <c r="Y24" s="84">
        <f>IF(Y8=0,0,Y8/TrAvia_act!Y16*1000)</f>
        <v>11542.321625192388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24600.131269944453</v>
      </c>
      <c r="C25" s="84">
        <f>IF(C9=0,0,C9/TrAvia_act!C17*1000)</f>
        <v>25531.546241500942</v>
      </c>
      <c r="D25" s="84">
        <f>IF(D9=0,0,D9/TrAvia_act!D17*1000)</f>
        <v>24562.474101244901</v>
      </c>
      <c r="E25" s="84">
        <f>IF(E9=0,0,E9/TrAvia_act!E17*1000)</f>
        <v>23420.290405024527</v>
      </c>
      <c r="F25" s="84">
        <f>IF(F9=0,0,F9/TrAvia_act!F17*1000)</f>
        <v>20836.200172042347</v>
      </c>
      <c r="G25" s="84">
        <f>IF(G9=0,0,G9/TrAvia_act!G17*1000)</f>
        <v>19633.326823385494</v>
      </c>
      <c r="H25" s="84">
        <f>IF(H9=0,0,H9/TrAvia_act!H17*1000)</f>
        <v>19926.528129710368</v>
      </c>
      <c r="I25" s="84">
        <f>IF(I9=0,0,I9/TrAvia_act!I17*1000)</f>
        <v>18945.086131668337</v>
      </c>
      <c r="J25" s="84">
        <f>IF(J9=0,0,J9/TrAvia_act!J17*1000)</f>
        <v>19444.281501085887</v>
      </c>
      <c r="K25" s="84">
        <f>IF(K9=0,0,K9/TrAvia_act!K17*1000)</f>
        <v>19587.41318266395</v>
      </c>
      <c r="L25" s="84">
        <f>IF(L9=0,0,L9/TrAvia_act!L17*1000)</f>
        <v>19258.929725834241</v>
      </c>
      <c r="M25" s="84">
        <f>IF(M9=0,0,M9/TrAvia_act!M17*1000)</f>
        <v>19875.355635266205</v>
      </c>
      <c r="N25" s="84">
        <f>IF(N9=0,0,N9/TrAvia_act!N17*1000)</f>
        <v>18838.740693637381</v>
      </c>
      <c r="O25" s="84">
        <f>IF(O9=0,0,O9/TrAvia_act!O17*1000)</f>
        <v>18336.983683213635</v>
      </c>
      <c r="P25" s="84">
        <f>IF(P9=0,0,P9/TrAvia_act!P17*1000)</f>
        <v>18375.820474483968</v>
      </c>
      <c r="Q25" s="84">
        <f>IF(Q9=0,0,Q9/TrAvia_act!Q17*1000)</f>
        <v>18444.5697939649</v>
      </c>
      <c r="R25" s="84">
        <f>IF(R9=0,0,R9/TrAvia_act!R17*1000)</f>
        <v>17897.826731382287</v>
      </c>
      <c r="S25" s="84">
        <f>IF(S9=0,0,S9/TrAvia_act!S17*1000)</f>
        <v>16892.199238803722</v>
      </c>
      <c r="T25" s="84">
        <f>IF(T9=0,0,T9/TrAvia_act!T17*1000)</f>
        <v>16789.311218224182</v>
      </c>
      <c r="U25" s="84">
        <f>IF(U9=0,0,U9/TrAvia_act!U17*1000)</f>
        <v>16274.738723434975</v>
      </c>
      <c r="V25" s="84">
        <f>IF(V9=0,0,V9/TrAvia_act!V17*1000)</f>
        <v>21239.741433854026</v>
      </c>
      <c r="W25" s="84">
        <f>IF(W9=0,0,W9/TrAvia_act!W17*1000)</f>
        <v>17863.661701163604</v>
      </c>
      <c r="X25" s="84">
        <f>IF(X9=0,0,X9/TrAvia_act!X17*1000)</f>
        <v>17506.500694869366</v>
      </c>
      <c r="Y25" s="84">
        <f>IF(Y9=0,0,Y9/TrAvia_act!Y17*1000)</f>
        <v>16354.454620763341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20760.72234564825</v>
      </c>
      <c r="C26" s="13">
        <f>IF(C10=0,0,C10/TrAvia_act!C18*1000)</f>
        <v>18859.444765636919</v>
      </c>
      <c r="D26" s="13">
        <f>IF(D10=0,0,D10/TrAvia_act!D18*1000)</f>
        <v>19421.712834264195</v>
      </c>
      <c r="E26" s="13">
        <f>IF(E10=0,0,E10/TrAvia_act!E18*1000)</f>
        <v>18654.137527204788</v>
      </c>
      <c r="F26" s="13">
        <f>IF(F10=0,0,F10/TrAvia_act!F18*1000)</f>
        <v>16761.123074215127</v>
      </c>
      <c r="G26" s="13">
        <f>IF(G10=0,0,G10/TrAvia_act!G18*1000)</f>
        <v>16748.742392671862</v>
      </c>
      <c r="H26" s="13">
        <f>IF(H10=0,0,H10/TrAvia_act!H18*1000)</f>
        <v>17244.025876028249</v>
      </c>
      <c r="I26" s="13">
        <f>IF(I10=0,0,I10/TrAvia_act!I18*1000)</f>
        <v>16622.489109028786</v>
      </c>
      <c r="J26" s="13">
        <f>IF(J10=0,0,J10/TrAvia_act!J18*1000)</f>
        <v>16906.445581250868</v>
      </c>
      <c r="K26" s="13">
        <f>IF(K10=0,0,K10/TrAvia_act!K18*1000)</f>
        <v>16833.7979696558</v>
      </c>
      <c r="L26" s="13">
        <f>IF(L10=0,0,L10/TrAvia_act!L18*1000)</f>
        <v>17502.11369763338</v>
      </c>
      <c r="M26" s="13">
        <f>IF(M10=0,0,M10/TrAvia_act!M18*1000)</f>
        <v>17675.346291277605</v>
      </c>
      <c r="N26" s="13">
        <f>IF(N10=0,0,N10/TrAvia_act!N18*1000)</f>
        <v>17002.45499191893</v>
      </c>
      <c r="O26" s="13">
        <f>IF(O10=0,0,O10/TrAvia_act!O18*1000)</f>
        <v>17560.034650287984</v>
      </c>
      <c r="P26" s="13">
        <f>IF(P10=0,0,P10/TrAvia_act!P18*1000)</f>
        <v>17770.729312237687</v>
      </c>
      <c r="Q26" s="13">
        <f>IF(Q10=0,0,Q10/TrAvia_act!Q18*1000)</f>
        <v>17728.749880605221</v>
      </c>
      <c r="R26" s="13">
        <f>IF(R10=0,0,R10/TrAvia_act!R18*1000)</f>
        <v>17483.829503109446</v>
      </c>
      <c r="S26" s="13">
        <f>IF(S10=0,0,S10/TrAvia_act!S18*1000)</f>
        <v>17044.868133832959</v>
      </c>
      <c r="T26" s="13">
        <f>IF(T10=0,0,T10/TrAvia_act!T18*1000)</f>
        <v>17322.092661416114</v>
      </c>
      <c r="U26" s="13">
        <f>IF(U10=0,0,U10/TrAvia_act!U18*1000)</f>
        <v>17033.597137430803</v>
      </c>
      <c r="V26" s="13">
        <f>IF(V10=0,0,V10/TrAvia_act!V18*1000)</f>
        <v>20219.334396607781</v>
      </c>
      <c r="W26" s="13">
        <f>IF(W10=0,0,W10/TrAvia_act!W18*1000)</f>
        <v>17313.3656611472</v>
      </c>
      <c r="X26" s="13">
        <f>IF(X10=0,0,X10/TrAvia_act!X18*1000)</f>
        <v>16145.849445638092</v>
      </c>
      <c r="Y26" s="13">
        <f>IF(Y10=0,0,Y10/TrAvia_act!Y18*1000)</f>
        <v>15998.336485137439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13604.812607398448</v>
      </c>
      <c r="C27" s="102">
        <f>IF(C11=0,0,C11/TrAvia_act!C19*1000)</f>
        <v>13399.204710177593</v>
      </c>
      <c r="D27" s="102">
        <f>IF(D11=0,0,D11/TrAvia_act!D19*1000)</f>
        <v>13444.082083084051</v>
      </c>
      <c r="E27" s="102">
        <f>IF(E11=0,0,E11/TrAvia_act!E19*1000)</f>
        <v>13336.583492219945</v>
      </c>
      <c r="F27" s="102">
        <f>IF(F11=0,0,F11/TrAvia_act!F19*1000)</f>
        <v>13591.474417981997</v>
      </c>
      <c r="G27" s="102">
        <f>IF(G11=0,0,G11/TrAvia_act!G19*1000)</f>
        <v>14507.123657402375</v>
      </c>
      <c r="H27" s="102">
        <f>IF(H11=0,0,H11/TrAvia_act!H19*1000)</f>
        <v>14661.418241477993</v>
      </c>
      <c r="I27" s="102">
        <f>IF(I11=0,0,I11/TrAvia_act!I19*1000)</f>
        <v>13838.963888570801</v>
      </c>
      <c r="J27" s="102">
        <f>IF(J11=0,0,J11/TrAvia_act!J19*1000)</f>
        <v>13989.403566005065</v>
      </c>
      <c r="K27" s="102">
        <f>IF(K11=0,0,K11/TrAvia_act!K19*1000)</f>
        <v>12065.225821208758</v>
      </c>
      <c r="L27" s="102">
        <f>IF(L11=0,0,L11/TrAvia_act!L19*1000)</f>
        <v>12379.016555091643</v>
      </c>
      <c r="M27" s="102">
        <f>IF(M11=0,0,M11/TrAvia_act!M19*1000)</f>
        <v>12417.377763147082</v>
      </c>
      <c r="N27" s="102">
        <f>IF(N11=0,0,N11/TrAvia_act!N19*1000)</f>
        <v>12692.506960812816</v>
      </c>
      <c r="O27" s="102">
        <f>IF(O11=0,0,O11/TrAvia_act!O19*1000)</f>
        <v>14083.475586249862</v>
      </c>
      <c r="P27" s="102">
        <f>IF(P11=0,0,P11/TrAvia_act!P19*1000)</f>
        <v>14673.275699956819</v>
      </c>
      <c r="Q27" s="102">
        <f>IF(Q11=0,0,Q11/TrAvia_act!Q19*1000)</f>
        <v>15711.977328948127</v>
      </c>
      <c r="R27" s="102">
        <f>IF(R11=0,0,R11/TrAvia_act!R19*1000)</f>
        <v>15775.184973980235</v>
      </c>
      <c r="S27" s="102">
        <f>IF(S11=0,0,S11/TrAvia_act!S19*1000)</f>
        <v>16913.902120516672</v>
      </c>
      <c r="T27" s="102">
        <f>IF(T11=0,0,T11/TrAvia_act!T19*1000)</f>
        <v>18776.402486973377</v>
      </c>
      <c r="U27" s="102">
        <f>IF(U11=0,0,U11/TrAvia_act!U19*1000)</f>
        <v>17120.053000868786</v>
      </c>
      <c r="V27" s="102">
        <f>IF(V11=0,0,V11/TrAvia_act!V19*1000)</f>
        <v>12235.02667238894</v>
      </c>
      <c r="W27" s="102">
        <f>IF(W11=0,0,W11/TrAvia_act!W19*1000)</f>
        <v>11481.999792303874</v>
      </c>
      <c r="X27" s="102">
        <f>IF(X11=0,0,X11/TrAvia_act!X19*1000)</f>
        <v>14759.801758578998</v>
      </c>
      <c r="Y27" s="102">
        <f>IF(Y11=0,0,Y11/TrAvia_act!Y19*1000)</f>
        <v>18187.82180476189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15744.865585981393</v>
      </c>
      <c r="C28" s="102">
        <f>IF(C12=0,0,C12/TrAvia_act!C20*1000)</f>
        <v>16361.156131963195</v>
      </c>
      <c r="D28" s="102">
        <f>IF(D12=0,0,D12/TrAvia_act!D20*1000)</f>
        <v>15526.051118697129</v>
      </c>
      <c r="E28" s="102">
        <f>IF(E12=0,0,E12/TrAvia_act!E20*1000)</f>
        <v>14784.047480953586</v>
      </c>
      <c r="F28" s="102">
        <f>IF(F12=0,0,F12/TrAvia_act!F20*1000)</f>
        <v>13157.723157882883</v>
      </c>
      <c r="G28" s="102">
        <f>IF(G12=0,0,G12/TrAvia_act!G20*1000)</f>
        <v>12640.06035889817</v>
      </c>
      <c r="H28" s="102">
        <f>IF(H12=0,0,H12/TrAvia_act!H20*1000)</f>
        <v>12985.338477903941</v>
      </c>
      <c r="I28" s="102">
        <f>IF(I12=0,0,I12/TrAvia_act!I20*1000)</f>
        <v>12610.948309203901</v>
      </c>
      <c r="J28" s="102">
        <f>IF(J12=0,0,J12/TrAvia_act!J20*1000)</f>
        <v>12765.977643360695</v>
      </c>
      <c r="K28" s="102">
        <f>IF(K12=0,0,K12/TrAvia_act!K20*1000)</f>
        <v>12239.903981360309</v>
      </c>
      <c r="L28" s="102">
        <f>IF(L12=0,0,L12/TrAvia_act!L20*1000)</f>
        <v>12283.034216649128</v>
      </c>
      <c r="M28" s="102">
        <f>IF(M12=0,0,M12/TrAvia_act!M20*1000)</f>
        <v>12470.536658777215</v>
      </c>
      <c r="N28" s="102">
        <f>IF(N12=0,0,N12/TrAvia_act!N20*1000)</f>
        <v>12321.257865282543</v>
      </c>
      <c r="O28" s="102">
        <f>IF(O12=0,0,O12/TrAvia_act!O20*1000)</f>
        <v>12307.245588718406</v>
      </c>
      <c r="P28" s="102">
        <f>IF(P12=0,0,P12/TrAvia_act!P20*1000)</f>
        <v>12412.894790233171</v>
      </c>
      <c r="Q28" s="102">
        <f>IF(Q12=0,0,Q12/TrAvia_act!Q20*1000)</f>
        <v>11891.38010893637</v>
      </c>
      <c r="R28" s="102">
        <f>IF(R12=0,0,R12/TrAvia_act!R20*1000)</f>
        <v>12062.841913478844</v>
      </c>
      <c r="S28" s="102">
        <f>IF(S12=0,0,S12/TrAvia_act!S20*1000)</f>
        <v>12289.577050840939</v>
      </c>
      <c r="T28" s="102">
        <f>IF(T12=0,0,T12/TrAvia_act!T20*1000)</f>
        <v>13238.114414914797</v>
      </c>
      <c r="U28" s="102">
        <f>IF(U12=0,0,U12/TrAvia_act!U20*1000)</f>
        <v>13083.198165839514</v>
      </c>
      <c r="V28" s="102">
        <f>IF(V12=0,0,V12/TrAvia_act!V20*1000)</f>
        <v>11522.754205257954</v>
      </c>
      <c r="W28" s="102">
        <f>IF(W12=0,0,W12/TrAvia_act!W20*1000)</f>
        <v>9960.6761503639682</v>
      </c>
      <c r="X28" s="102">
        <f>IF(X12=0,0,X12/TrAvia_act!X20*1000)</f>
        <v>10619.333370196811</v>
      </c>
      <c r="Y28" s="102">
        <f>IF(Y12=0,0,Y12/TrAvia_act!Y20*1000)</f>
        <v>11874.972146316659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22613.245704829998</v>
      </c>
      <c r="C29" s="86">
        <f>IF(C13=0,0,C13/TrAvia_act!C21*1000)</f>
        <v>23469.432827323013</v>
      </c>
      <c r="D29" s="86">
        <f>IF(D13=0,0,D13/TrAvia_act!D21*1000)</f>
        <v>22578.630003027163</v>
      </c>
      <c r="E29" s="86">
        <f>IF(E13=0,0,E13/TrAvia_act!E21*1000)</f>
        <v>21528.697371397735</v>
      </c>
      <c r="F29" s="86">
        <f>IF(F13=0,0,F13/TrAvia_act!F21*1000)</f>
        <v>19153.317064656414</v>
      </c>
      <c r="G29" s="86">
        <f>IF(G13=0,0,G13/TrAvia_act!G21*1000)</f>
        <v>18925.499721022214</v>
      </c>
      <c r="H29" s="86">
        <f>IF(H13=0,0,H13/TrAvia_act!H21*1000)</f>
        <v>19349.395233961412</v>
      </c>
      <c r="I29" s="86">
        <f>IF(I13=0,0,I13/TrAvia_act!I21*1000)</f>
        <v>18555.137019330967</v>
      </c>
      <c r="J29" s="86">
        <f>IF(J13=0,0,J13/TrAvia_act!J21*1000)</f>
        <v>18978.121107024155</v>
      </c>
      <c r="K29" s="86">
        <f>IF(K13=0,0,K13/TrAvia_act!K21*1000)</f>
        <v>19897.220570730995</v>
      </c>
      <c r="L29" s="86">
        <f>IF(L13=0,0,L13/TrAvia_act!L21*1000)</f>
        <v>19983.37299839843</v>
      </c>
      <c r="M29" s="86">
        <f>IF(M13=0,0,M13/TrAvia_act!M21*1000)</f>
        <v>19793.072410800731</v>
      </c>
      <c r="N29" s="86">
        <f>IF(N13=0,0,N13/TrAvia_act!N21*1000)</f>
        <v>19055.049768807883</v>
      </c>
      <c r="O29" s="86">
        <f>IF(O13=0,0,O13/TrAvia_act!O21*1000)</f>
        <v>19576.22423219863</v>
      </c>
      <c r="P29" s="86">
        <f>IF(P13=0,0,P13/TrAvia_act!P21*1000)</f>
        <v>19534.575299447755</v>
      </c>
      <c r="Q29" s="86">
        <f>IF(Q13=0,0,Q13/TrAvia_act!Q21*1000)</f>
        <v>19378.737720990026</v>
      </c>
      <c r="R29" s="86">
        <f>IF(R13=0,0,R13/TrAvia_act!R21*1000)</f>
        <v>18758.603203257015</v>
      </c>
      <c r="S29" s="86">
        <f>IF(S13=0,0,S13/TrAvia_act!S21*1000)</f>
        <v>18061.573332417895</v>
      </c>
      <c r="T29" s="86">
        <f>IF(T13=0,0,T13/TrAvia_act!T21*1000)</f>
        <v>18151.074981320449</v>
      </c>
      <c r="U29" s="86">
        <f>IF(U13=0,0,U13/TrAvia_act!U21*1000)</f>
        <v>17886.698256087311</v>
      </c>
      <c r="V29" s="86">
        <f>IF(V13=0,0,V13/TrAvia_act!V21*1000)</f>
        <v>23098.470361917425</v>
      </c>
      <c r="W29" s="86">
        <f>IF(W13=0,0,W13/TrAvia_act!W21*1000)</f>
        <v>19691.322275997976</v>
      </c>
      <c r="X29" s="86">
        <f>IF(X13=0,0,X13/TrAvia_act!X21*1000)</f>
        <v>18318.704852862029</v>
      </c>
      <c r="Y29" s="86">
        <f>IF(Y13=0,0,Y13/TrAvia_act!Y21*1000)</f>
        <v>17227.119731142622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144.188458048874</v>
      </c>
      <c r="C32" s="14">
        <f>IF(C6=0,0,C6/TrAvia_act!C4*1000)</f>
        <v>146.87024063507278</v>
      </c>
      <c r="D32" s="14">
        <f>IF(D6=0,0,D6/TrAvia_act!D4*1000)</f>
        <v>141.67562023341446</v>
      </c>
      <c r="E32" s="14">
        <f>IF(E6=0,0,E6/TrAvia_act!E4*1000)</f>
        <v>146.03496830830454</v>
      </c>
      <c r="F32" s="14">
        <f>IF(F6=0,0,F6/TrAvia_act!F4*1000)</f>
        <v>124.54577299153873</v>
      </c>
      <c r="G32" s="14">
        <f>IF(G6=0,0,G6/TrAvia_act!G4*1000)</f>
        <v>120.88850081619145</v>
      </c>
      <c r="H32" s="14">
        <f>IF(H6=0,0,H6/TrAvia_act!H4*1000)</f>
        <v>121.99198793455778</v>
      </c>
      <c r="I32" s="14">
        <f>IF(I6=0,0,I6/TrAvia_act!I4*1000)</f>
        <v>118.11698020276754</v>
      </c>
      <c r="J32" s="14">
        <f>IF(J6=0,0,J6/TrAvia_act!J4*1000)</f>
        <v>119.44456439297558</v>
      </c>
      <c r="K32" s="14">
        <f>IF(K6=0,0,K6/TrAvia_act!K4*1000)</f>
        <v>113.64862518080933</v>
      </c>
      <c r="L32" s="14">
        <f>IF(L6=0,0,L6/TrAvia_act!L4*1000)</f>
        <v>109.97046136201901</v>
      </c>
      <c r="M32" s="14">
        <f>IF(M6=0,0,M6/TrAvia_act!M4*1000)</f>
        <v>107.7869681855926</v>
      </c>
      <c r="N32" s="14">
        <f>IF(N6=0,0,N6/TrAvia_act!N4*1000)</f>
        <v>104.0465164645056</v>
      </c>
      <c r="O32" s="14">
        <f>IF(O6=0,0,O6/TrAvia_act!O4*1000)</f>
        <v>101.37978055441796</v>
      </c>
      <c r="P32" s="14">
        <f>IF(P6=0,0,P6/TrAvia_act!P4*1000)</f>
        <v>99.767250900510021</v>
      </c>
      <c r="Q32" s="14">
        <f>IF(Q6=0,0,Q6/TrAvia_act!Q4*1000)</f>
        <v>97.113569737948197</v>
      </c>
      <c r="R32" s="14">
        <f>IF(R6=0,0,R6/TrAvia_act!R4*1000)</f>
        <v>95.118403555143999</v>
      </c>
      <c r="S32" s="14">
        <f>IF(S6=0,0,S6/TrAvia_act!S4*1000)</f>
        <v>91.725451718464853</v>
      </c>
      <c r="T32" s="14">
        <f>IF(T6=0,0,T6/TrAvia_act!T4*1000)</f>
        <v>95.323651978003511</v>
      </c>
      <c r="U32" s="14">
        <f>IF(U6=0,0,U6/TrAvia_act!U4*1000)</f>
        <v>92.341028783467081</v>
      </c>
      <c r="V32" s="14">
        <f>IF(V6=0,0,V6/TrAvia_act!V4*1000)</f>
        <v>127.47531177905778</v>
      </c>
      <c r="W32" s="14">
        <f>IF(W6=0,0,W6/TrAvia_act!W4*1000)</f>
        <v>110.17596471353582</v>
      </c>
      <c r="X32" s="14">
        <f>IF(X6=0,0,X6/TrAvia_act!X4*1000)</f>
        <v>89.784621251114316</v>
      </c>
      <c r="Y32" s="14">
        <f>IF(Y6=0,0,Y6/TrAvia_act!Y4*1000)</f>
        <v>87.206909426674954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138.10746268992938</v>
      </c>
      <c r="C33" s="87">
        <f>IF(C7=0,0,C7/TrAvia_act!C5*1000)</f>
        <v>134.68191416778183</v>
      </c>
      <c r="D33" s="87">
        <f>IF(D7=0,0,D7/TrAvia_act!D5*1000)</f>
        <v>133.48430502862112</v>
      </c>
      <c r="E33" s="87">
        <f>IF(E7=0,0,E7/TrAvia_act!E5*1000)</f>
        <v>135.21418711300819</v>
      </c>
      <c r="F33" s="87">
        <f>IF(F7=0,0,F7/TrAvia_act!F5*1000)</f>
        <v>131.67516202430221</v>
      </c>
      <c r="G33" s="87">
        <f>IF(G7=0,0,G7/TrAvia_act!G5*1000)</f>
        <v>136.90418566318453</v>
      </c>
      <c r="H33" s="87">
        <f>IF(H7=0,0,H7/TrAvia_act!H5*1000)</f>
        <v>138.51704086076921</v>
      </c>
      <c r="I33" s="87">
        <f>IF(I7=0,0,I7/TrAvia_act!I5*1000)</f>
        <v>131.04370261447238</v>
      </c>
      <c r="J33" s="87">
        <f>IF(J7=0,0,J7/TrAvia_act!J5*1000)</f>
        <v>129.12596060652373</v>
      </c>
      <c r="K33" s="87">
        <f>IF(K7=0,0,K7/TrAvia_act!K5*1000)</f>
        <v>109.31640833113373</v>
      </c>
      <c r="L33" s="87">
        <f>IF(L7=0,0,L7/TrAvia_act!L5*1000)</f>
        <v>106.32779440773268</v>
      </c>
      <c r="M33" s="87">
        <f>IF(M7=0,0,M7/TrAvia_act!M5*1000)</f>
        <v>100.17510176213845</v>
      </c>
      <c r="N33" s="87">
        <f>IF(N7=0,0,N7/TrAvia_act!N5*1000)</f>
        <v>102.23266679762853</v>
      </c>
      <c r="O33" s="87">
        <f>IF(O7=0,0,O7/TrAvia_act!O5*1000)</f>
        <v>107.00158253976531</v>
      </c>
      <c r="P33" s="87">
        <f>IF(P7=0,0,P7/TrAvia_act!P5*1000)</f>
        <v>107.09885311940515</v>
      </c>
      <c r="Q33" s="87">
        <f>IF(Q7=0,0,Q7/TrAvia_act!Q5*1000)</f>
        <v>105.6057996532853</v>
      </c>
      <c r="R33" s="87">
        <f>IF(R7=0,0,R7/TrAvia_act!R5*1000)</f>
        <v>103.72333500654177</v>
      </c>
      <c r="S33" s="87">
        <f>IF(S7=0,0,S7/TrAvia_act!S5*1000)</f>
        <v>109.02948533938749</v>
      </c>
      <c r="T33" s="87">
        <f>IF(T7=0,0,T7/TrAvia_act!T5*1000)</f>
        <v>118.0082299573637</v>
      </c>
      <c r="U33" s="87">
        <f>IF(U7=0,0,U7/TrAvia_act!U5*1000)</f>
        <v>119.06403138743491</v>
      </c>
      <c r="V33" s="87">
        <f>IF(V7=0,0,V7/TrAvia_act!V5*1000)</f>
        <v>113.88549022054785</v>
      </c>
      <c r="W33" s="87">
        <f>IF(W7=0,0,W7/TrAvia_act!W5*1000)</f>
        <v>89.098685649166114</v>
      </c>
      <c r="X33" s="87">
        <f>IF(X7=0,0,X7/TrAvia_act!X5*1000)</f>
        <v>100.90681077086657</v>
      </c>
      <c r="Y33" s="87">
        <f>IF(Y7=0,0,Y7/TrAvia_act!Y5*1000)</f>
        <v>120.85595756193507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155.6050355935912</v>
      </c>
      <c r="C34" s="87">
        <f>IF(C8=0,0,C8/TrAvia_act!C6*1000)</f>
        <v>159.17107097314624</v>
      </c>
      <c r="D34" s="87">
        <f>IF(D8=0,0,D8/TrAvia_act!D6*1000)</f>
        <v>152.36311508786477</v>
      </c>
      <c r="E34" s="87">
        <f>IF(E8=0,0,E8/TrAvia_act!E6*1000)</f>
        <v>154.19462325242986</v>
      </c>
      <c r="F34" s="87">
        <f>IF(F8=0,0,F8/TrAvia_act!F6*1000)</f>
        <v>128.19559412730149</v>
      </c>
      <c r="G34" s="87">
        <f>IF(G8=0,0,G8/TrAvia_act!G6*1000)</f>
        <v>119.79596828068379</v>
      </c>
      <c r="H34" s="87">
        <f>IF(H8=0,0,H8/TrAvia_act!H6*1000)</f>
        <v>120.22753865147428</v>
      </c>
      <c r="I34" s="87">
        <f>IF(I8=0,0,I8/TrAvia_act!I6*1000)</f>
        <v>122.2289746414002</v>
      </c>
      <c r="J34" s="87">
        <f>IF(J8=0,0,J8/TrAvia_act!J6*1000)</f>
        <v>123.35596544625064</v>
      </c>
      <c r="K34" s="87">
        <f>IF(K8=0,0,K8/TrAvia_act!K6*1000)</f>
        <v>115.11060421043322</v>
      </c>
      <c r="L34" s="87">
        <f>IF(L8=0,0,L8/TrAvia_act!L6*1000)</f>
        <v>112.47547730074191</v>
      </c>
      <c r="M34" s="87">
        <f>IF(M8=0,0,M8/TrAvia_act!M6*1000)</f>
        <v>105.12982350761794</v>
      </c>
      <c r="N34" s="87">
        <f>IF(N8=0,0,N8/TrAvia_act!N6*1000)</f>
        <v>101.60209108528946</v>
      </c>
      <c r="O34" s="87">
        <f>IF(O8=0,0,O8/TrAvia_act!O6*1000)</f>
        <v>96.94073761005825</v>
      </c>
      <c r="P34" s="87">
        <f>IF(P8=0,0,P8/TrAvia_act!P6*1000)</f>
        <v>95.456815828763297</v>
      </c>
      <c r="Q34" s="87">
        <f>IF(Q8=0,0,Q8/TrAvia_act!Q6*1000)</f>
        <v>90.662629196438886</v>
      </c>
      <c r="R34" s="87">
        <f>IF(R8=0,0,R8/TrAvia_act!R6*1000)</f>
        <v>90.228169710819373</v>
      </c>
      <c r="S34" s="87">
        <f>IF(S8=0,0,S8/TrAvia_act!S6*1000)</f>
        <v>88.270080028584232</v>
      </c>
      <c r="T34" s="87">
        <f>IF(T8=0,0,T8/TrAvia_act!T6*1000)</f>
        <v>93.935245292283767</v>
      </c>
      <c r="U34" s="87">
        <f>IF(U8=0,0,U8/TrAvia_act!U6*1000)</f>
        <v>91.432947074702412</v>
      </c>
      <c r="V34" s="87">
        <f>IF(V8=0,0,V8/TrAvia_act!V6*1000)</f>
        <v>105.85856437531858</v>
      </c>
      <c r="W34" s="87">
        <f>IF(W8=0,0,W8/TrAvia_act!W6*1000)</f>
        <v>89.558697021151914</v>
      </c>
      <c r="X34" s="87">
        <f>IF(X8=0,0,X8/TrAvia_act!X6*1000)</f>
        <v>79.128096792493025</v>
      </c>
      <c r="Y34" s="87">
        <f>IF(Y8=0,0,Y8/TrAvia_act!Y6*1000)</f>
        <v>82.441764264012903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138.10263242946831</v>
      </c>
      <c r="C35" s="87">
        <f>IF(C9=0,0,C9/TrAvia_act!C7*1000)</f>
        <v>142.91609101099297</v>
      </c>
      <c r="D35" s="87">
        <f>IF(D9=0,0,D9/TrAvia_act!D7*1000)</f>
        <v>137.12988278835212</v>
      </c>
      <c r="E35" s="87">
        <f>IF(E9=0,0,E9/TrAvia_act!E7*1000)</f>
        <v>144.40094975795162</v>
      </c>
      <c r="F35" s="87">
        <f>IF(F9=0,0,F9/TrAvia_act!F7*1000)</f>
        <v>118.78246176502861</v>
      </c>
      <c r="G35" s="87">
        <f>IF(G9=0,0,G9/TrAvia_act!G7*1000)</f>
        <v>115.52474864356263</v>
      </c>
      <c r="H35" s="87">
        <f>IF(H9=0,0,H9/TrAvia_act!H7*1000)</f>
        <v>116.93879719232454</v>
      </c>
      <c r="I35" s="87">
        <f>IF(I9=0,0,I9/TrAvia_act!I7*1000)</f>
        <v>109.59704973410567</v>
      </c>
      <c r="J35" s="87">
        <f>IF(J9=0,0,J9/TrAvia_act!J7*1000)</f>
        <v>112.42723767543497</v>
      </c>
      <c r="K35" s="87">
        <f>IF(K9=0,0,K9/TrAvia_act!K7*1000)</f>
        <v>114.43394045447153</v>
      </c>
      <c r="L35" s="87">
        <f>IF(L9=0,0,L9/TrAvia_act!L7*1000)</f>
        <v>109.60800071506372</v>
      </c>
      <c r="M35" s="87">
        <f>IF(M9=0,0,M9/TrAvia_act!M7*1000)</f>
        <v>113.77254128044859</v>
      </c>
      <c r="N35" s="87">
        <f>IF(N9=0,0,N9/TrAvia_act!N7*1000)</f>
        <v>106.89928220545131</v>
      </c>
      <c r="O35" s="87">
        <f>IF(O9=0,0,O9/TrAvia_act!O7*1000)</f>
        <v>102.80393432584056</v>
      </c>
      <c r="P35" s="87">
        <f>IF(P9=0,0,P9/TrAvia_act!P7*1000)</f>
        <v>100.69279382943354</v>
      </c>
      <c r="Q35" s="87">
        <f>IF(Q9=0,0,Q9/TrAvia_act!Q7*1000)</f>
        <v>99.519977514431304</v>
      </c>
      <c r="R35" s="87">
        <f>IF(R9=0,0,R9/TrAvia_act!R7*1000)</f>
        <v>96.297291999295496</v>
      </c>
      <c r="S35" s="87">
        <f>IF(S9=0,0,S9/TrAvia_act!S7*1000)</f>
        <v>88.357663606073757</v>
      </c>
      <c r="T35" s="87">
        <f>IF(T9=0,0,T9/TrAvia_act!T7*1000)</f>
        <v>88.605307794374227</v>
      </c>
      <c r="U35" s="87">
        <f>IF(U9=0,0,U9/TrAvia_act!U7*1000)</f>
        <v>84.491100735960899</v>
      </c>
      <c r="V35" s="87">
        <f>IF(V9=0,0,V9/TrAvia_act!V7*1000)</f>
        <v>155.78871932559016</v>
      </c>
      <c r="W35" s="87">
        <f>IF(W9=0,0,W9/TrAvia_act!W7*1000)</f>
        <v>158.73364533619122</v>
      </c>
      <c r="X35" s="87">
        <f>IF(X9=0,0,X9/TrAvia_act!X7*1000)</f>
        <v>95.798165012718741</v>
      </c>
      <c r="Y35" s="87">
        <f>IF(Y9=0,0,Y9/TrAvia_act!Y7*1000)</f>
        <v>78.928032366874149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306.63883523643125</v>
      </c>
      <c r="C36" s="15">
        <f>IF(C10=0,0,C10/TrAvia_act!C8*1000)</f>
        <v>371.86391274513301</v>
      </c>
      <c r="D36" s="15">
        <f>IF(D10=0,0,D10/TrAvia_act!D8*1000)</f>
        <v>341.57611317388341</v>
      </c>
      <c r="E36" s="15">
        <f>IF(E10=0,0,E10/TrAvia_act!E8*1000)</f>
        <v>350.32933783765151</v>
      </c>
      <c r="F36" s="15">
        <f>IF(F10=0,0,F10/TrAvia_act!F8*1000)</f>
        <v>328.85951495130996</v>
      </c>
      <c r="G36" s="15">
        <f>IF(G10=0,0,G10/TrAvia_act!G8*1000)</f>
        <v>335.01031047434316</v>
      </c>
      <c r="H36" s="15">
        <f>IF(H10=0,0,H10/TrAvia_act!H8*1000)</f>
        <v>354.14723102543354</v>
      </c>
      <c r="I36" s="15">
        <f>IF(I10=0,0,I10/TrAvia_act!I8*1000)</f>
        <v>343.81682581531965</v>
      </c>
      <c r="J36" s="15">
        <f>IF(J10=0,0,J10/TrAvia_act!J8*1000)</f>
        <v>360.00041992096942</v>
      </c>
      <c r="K36" s="15">
        <f>IF(K10=0,0,K10/TrAvia_act!K8*1000)</f>
        <v>338.96556131770444</v>
      </c>
      <c r="L36" s="15">
        <f>IF(L10=0,0,L10/TrAvia_act!L8*1000)</f>
        <v>319.597412214516</v>
      </c>
      <c r="M36" s="15">
        <f>IF(M10=0,0,M10/TrAvia_act!M8*1000)</f>
        <v>300.30373288205334</v>
      </c>
      <c r="N36" s="15">
        <f>IF(N10=0,0,N10/TrAvia_act!N8*1000)</f>
        <v>272.7184559072241</v>
      </c>
      <c r="O36" s="15">
        <f>IF(O10=0,0,O10/TrAvia_act!O8*1000)</f>
        <v>273.56668747510372</v>
      </c>
      <c r="P36" s="15">
        <f>IF(P10=0,0,P10/TrAvia_act!P8*1000)</f>
        <v>238.14060629404719</v>
      </c>
      <c r="Q36" s="15">
        <f>IF(Q10=0,0,Q10/TrAvia_act!Q8*1000)</f>
        <v>234.43546433031173</v>
      </c>
      <c r="R36" s="15">
        <f>IF(R10=0,0,R10/TrAvia_act!R8*1000)</f>
        <v>206.43146418827246</v>
      </c>
      <c r="S36" s="15">
        <f>IF(S10=0,0,S10/TrAvia_act!S8*1000)</f>
        <v>203.02561684031377</v>
      </c>
      <c r="T36" s="15">
        <f>IF(T10=0,0,T10/TrAvia_act!T8*1000)</f>
        <v>204.64489930611518</v>
      </c>
      <c r="U36" s="15">
        <f>IF(U10=0,0,U10/TrAvia_act!U8*1000)</f>
        <v>193.46642081960158</v>
      </c>
      <c r="V36" s="15">
        <f>IF(V10=0,0,V10/TrAvia_act!V8*1000)</f>
        <v>319.81646154809278</v>
      </c>
      <c r="W36" s="15">
        <f>IF(W10=0,0,W10/TrAvia_act!W8*1000)</f>
        <v>301.31996452003381</v>
      </c>
      <c r="X36" s="15">
        <f>IF(X10=0,0,X10/TrAvia_act!X8*1000)</f>
        <v>266.66299001500039</v>
      </c>
      <c r="Y36" s="15">
        <f>IF(Y10=0,0,Y10/TrAvia_act!Y8*1000)</f>
        <v>247.61630268243218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1327.4196991812328</v>
      </c>
      <c r="C37" s="101">
        <f>IF(C11=0,0,C11/TrAvia_act!C9*1000)</f>
        <v>1317.4054366117095</v>
      </c>
      <c r="D37" s="101">
        <f>IF(D11=0,0,D11/TrAvia_act!D9*1000)</f>
        <v>1285.4047933533536</v>
      </c>
      <c r="E37" s="101">
        <f>IF(E11=0,0,E11/TrAvia_act!E9*1000)</f>
        <v>1198.773241678763</v>
      </c>
      <c r="F37" s="101">
        <f>IF(F11=0,0,F11/TrAvia_act!F9*1000)</f>
        <v>1297.3824510200891</v>
      </c>
      <c r="G37" s="101">
        <f>IF(G11=0,0,G11/TrAvia_act!G9*1000)</f>
        <v>1415.0201451186811</v>
      </c>
      <c r="H37" s="101">
        <f>IF(H11=0,0,H11/TrAvia_act!H9*1000)</f>
        <v>1486.7269950625096</v>
      </c>
      <c r="I37" s="101">
        <f>IF(I11=0,0,I11/TrAvia_act!I9*1000)</f>
        <v>1408.556732855601</v>
      </c>
      <c r="J37" s="101">
        <f>IF(J11=0,0,J11/TrAvia_act!J9*1000)</f>
        <v>1479.9705517437278</v>
      </c>
      <c r="K37" s="101">
        <f>IF(K11=0,0,K11/TrAvia_act!K9*1000)</f>
        <v>1265.4771108909988</v>
      </c>
      <c r="L37" s="101">
        <f>IF(L11=0,0,L11/TrAvia_act!L9*1000)</f>
        <v>1213.946192584852</v>
      </c>
      <c r="M37" s="101">
        <f>IF(M11=0,0,M11/TrAvia_act!M9*1000)</f>
        <v>1096.727098478706</v>
      </c>
      <c r="N37" s="101">
        <f>IF(N11=0,0,N11/TrAvia_act!N9*1000)</f>
        <v>1092.2742181750227</v>
      </c>
      <c r="O37" s="101">
        <f>IF(O11=0,0,O11/TrAvia_act!O9*1000)</f>
        <v>1173.7536779696848</v>
      </c>
      <c r="P37" s="101">
        <f>IF(P11=0,0,P11/TrAvia_act!P9*1000)</f>
        <v>1102.2444581704465</v>
      </c>
      <c r="Q37" s="101">
        <f>IF(Q11=0,0,Q11/TrAvia_act!Q9*1000)</f>
        <v>1121.4859249191513</v>
      </c>
      <c r="R37" s="101">
        <f>IF(R11=0,0,R11/TrAvia_act!R9*1000)</f>
        <v>982.92790229907996</v>
      </c>
      <c r="S37" s="101">
        <f>IF(S11=0,0,S11/TrAvia_act!S9*1000)</f>
        <v>1149.4637340485733</v>
      </c>
      <c r="T37" s="101">
        <f>IF(T11=0,0,T11/TrAvia_act!T9*1000)</f>
        <v>1261.9712248580872</v>
      </c>
      <c r="U37" s="101">
        <f>IF(U11=0,0,U11/TrAvia_act!U9*1000)</f>
        <v>1045.2587791663268</v>
      </c>
      <c r="V37" s="101">
        <f>IF(V11=0,0,V11/TrAvia_act!V9*1000)</f>
        <v>799.83109685131831</v>
      </c>
      <c r="W37" s="101">
        <f>IF(W11=0,0,W11/TrAvia_act!W9*1000)</f>
        <v>748.97517423708462</v>
      </c>
      <c r="X37" s="101">
        <f>IF(X11=0,0,X11/TrAvia_act!X9*1000)</f>
        <v>953.71904705615941</v>
      </c>
      <c r="Y37" s="101">
        <f>IF(Y11=0,0,Y11/TrAvia_act!Y9*1000)</f>
        <v>1186.4311868529887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692.22421847328008</v>
      </c>
      <c r="C38" s="101">
        <f>IF(C12=0,0,C12/TrAvia_act!C10*1000)</f>
        <v>683.35055456522491</v>
      </c>
      <c r="D38" s="101">
        <f>IF(D12=0,0,D12/TrAvia_act!D10*1000)</f>
        <v>651.26613131462011</v>
      </c>
      <c r="E38" s="101">
        <f>IF(E12=0,0,E12/TrAvia_act!E10*1000)</f>
        <v>600.89638388049138</v>
      </c>
      <c r="F38" s="101">
        <f>IF(F12=0,0,F12/TrAvia_act!F10*1000)</f>
        <v>591.0137893503844</v>
      </c>
      <c r="G38" s="101">
        <f>IF(G12=0,0,G12/TrAvia_act!G10*1000)</f>
        <v>580.70427061961198</v>
      </c>
      <c r="H38" s="101">
        <f>IF(H12=0,0,H12/TrAvia_act!H10*1000)</f>
        <v>701.85710451445391</v>
      </c>
      <c r="I38" s="101">
        <f>IF(I12=0,0,I12/TrAvia_act!I10*1000)</f>
        <v>706.2585310668095</v>
      </c>
      <c r="J38" s="101">
        <f>IF(J12=0,0,J12/TrAvia_act!J10*1000)</f>
        <v>735.43510500625564</v>
      </c>
      <c r="K38" s="101">
        <f>IF(K12=0,0,K12/TrAvia_act!K10*1000)</f>
        <v>689.01903514034416</v>
      </c>
      <c r="L38" s="101">
        <f>IF(L12=0,0,L12/TrAvia_act!L10*1000)</f>
        <v>681.57382765951843</v>
      </c>
      <c r="M38" s="101">
        <f>IF(M12=0,0,M12/TrAvia_act!M10*1000)</f>
        <v>652.35680137686211</v>
      </c>
      <c r="N38" s="101">
        <f>IF(N12=0,0,N12/TrAvia_act!N10*1000)</f>
        <v>588.4104973841479</v>
      </c>
      <c r="O38" s="101">
        <f>IF(O12=0,0,O12/TrAvia_act!O10*1000)</f>
        <v>590.98814988495133</v>
      </c>
      <c r="P38" s="101">
        <f>IF(P12=0,0,P12/TrAvia_act!P10*1000)</f>
        <v>517.4246787985835</v>
      </c>
      <c r="Q38" s="101">
        <f>IF(Q12=0,0,Q12/TrAvia_act!Q10*1000)</f>
        <v>497.45692635410137</v>
      </c>
      <c r="R38" s="101">
        <f>IF(R12=0,0,R12/TrAvia_act!R10*1000)</f>
        <v>457.37193088569592</v>
      </c>
      <c r="S38" s="101">
        <f>IF(S12=0,0,S12/TrAvia_act!S10*1000)</f>
        <v>506.74220437287141</v>
      </c>
      <c r="T38" s="101">
        <f>IF(T12=0,0,T12/TrAvia_act!T10*1000)</f>
        <v>540.883239560638</v>
      </c>
      <c r="U38" s="101">
        <f>IF(U12=0,0,U12/TrAvia_act!U10*1000)</f>
        <v>510.72143167231775</v>
      </c>
      <c r="V38" s="101">
        <f>IF(V12=0,0,V12/TrAvia_act!V10*1000)</f>
        <v>529.06637943815031</v>
      </c>
      <c r="W38" s="101">
        <f>IF(W12=0,0,W12/TrAvia_act!W10*1000)</f>
        <v>467.77520703234757</v>
      </c>
      <c r="X38" s="101">
        <f>IF(X12=0,0,X12/TrAvia_act!X10*1000)</f>
        <v>501.92615327501443</v>
      </c>
      <c r="Y38" s="101">
        <f>IF(Y12=0,0,Y12/TrAvia_act!Y10*1000)</f>
        <v>560.48547580309878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270.66376012616502</v>
      </c>
      <c r="C39" s="88">
        <f>IF(C13=0,0,C13/TrAvia_act!C11*1000)</f>
        <v>268.06581681195377</v>
      </c>
      <c r="D39" s="88">
        <f>IF(D13=0,0,D13/TrAvia_act!D11*1000)</f>
        <v>273.13804623998078</v>
      </c>
      <c r="E39" s="88">
        <f>IF(E13=0,0,E13/TrAvia_act!E11*1000)</f>
        <v>286.62673624130645</v>
      </c>
      <c r="F39" s="88">
        <f>IF(F13=0,0,F13/TrAvia_act!F11*1000)</f>
        <v>262.7318012147706</v>
      </c>
      <c r="G39" s="88">
        <f>IF(G13=0,0,G13/TrAvia_act!G11*1000)</f>
        <v>276.05291057100533</v>
      </c>
      <c r="H39" s="88">
        <f>IF(H13=0,0,H13/TrAvia_act!H11*1000)</f>
        <v>291.95556088452315</v>
      </c>
      <c r="I39" s="88">
        <f>IF(I13=0,0,I13/TrAvia_act!I11*1000)</f>
        <v>284.72102806841713</v>
      </c>
      <c r="J39" s="88">
        <f>IF(J13=0,0,J13/TrAvia_act!J11*1000)</f>
        <v>297.19954818554515</v>
      </c>
      <c r="K39" s="88">
        <f>IF(K13=0,0,K13/TrAvia_act!K11*1000)</f>
        <v>276.28335394964142</v>
      </c>
      <c r="L39" s="88">
        <f>IF(L13=0,0,L13/TrAvia_act!L11*1000)</f>
        <v>272.95248217515922</v>
      </c>
      <c r="M39" s="88">
        <f>IF(M13=0,0,M13/TrAvia_act!M11*1000)</f>
        <v>261.33142587777661</v>
      </c>
      <c r="N39" s="88">
        <f>IF(N13=0,0,N13/TrAvia_act!N11*1000)</f>
        <v>233.2671764866887</v>
      </c>
      <c r="O39" s="88">
        <f>IF(O13=0,0,O13/TrAvia_act!O11*1000)</f>
        <v>236.52934351906498</v>
      </c>
      <c r="P39" s="88">
        <f>IF(P13=0,0,P13/TrAvia_act!P11*1000)</f>
        <v>208.96958561559185</v>
      </c>
      <c r="Q39" s="88">
        <f>IF(Q13=0,0,Q13/TrAvia_act!Q11*1000)</f>
        <v>209.39674190874044</v>
      </c>
      <c r="R39" s="88">
        <f>IF(R13=0,0,R13/TrAvia_act!R11*1000)</f>
        <v>186.84439210194799</v>
      </c>
      <c r="S39" s="88">
        <f>IF(S13=0,0,S13/TrAvia_act!S11*1000)</f>
        <v>181.97141562155346</v>
      </c>
      <c r="T39" s="88">
        <f>IF(T13=0,0,T13/TrAvia_act!T11*1000)</f>
        <v>180.74756639655496</v>
      </c>
      <c r="U39" s="88">
        <f>IF(U13=0,0,U13/TrAvia_act!U11*1000)</f>
        <v>170.97626881443108</v>
      </c>
      <c r="V39" s="88">
        <f>IF(V13=0,0,V13/TrAvia_act!V11*1000)</f>
        <v>298.1443935572309</v>
      </c>
      <c r="W39" s="88">
        <f>IF(W13=0,0,W13/TrAvia_act!W11*1000)</f>
        <v>281.60713213163427</v>
      </c>
      <c r="X39" s="88">
        <f>IF(X13=0,0,X13/TrAvia_act!X11*1000)</f>
        <v>232.93215389870389</v>
      </c>
      <c r="Y39" s="88">
        <f>IF(Y13=0,0,Y13/TrAvia_act!Y11*1000)</f>
        <v>209.55955818938912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18788.650783838482</v>
      </c>
      <c r="C41" s="54">
        <f>IF(C3=0,0,C3/TrAvia_act!C23*1000000)</f>
        <v>18721.787720894379</v>
      </c>
      <c r="D41" s="54">
        <f>IF(D3=0,0,D3/TrAvia_act!D23*1000000)</f>
        <v>18476.959836993363</v>
      </c>
      <c r="E41" s="54">
        <f>IF(E3=0,0,E3/TrAvia_act!E23*1000000)</f>
        <v>17828.932274692106</v>
      </c>
      <c r="F41" s="54">
        <f>IF(F3=0,0,F3/TrAvia_act!F23*1000000)</f>
        <v>17334.560541762618</v>
      </c>
      <c r="G41" s="54">
        <f>IF(G3=0,0,G3/TrAvia_act!G23*1000000)</f>
        <v>17206.145714232964</v>
      </c>
      <c r="H41" s="54">
        <f>IF(H3=0,0,H3/TrAvia_act!H23*1000000)</f>
        <v>17514.853235190945</v>
      </c>
      <c r="I41" s="54">
        <f>IF(I3=0,0,I3/TrAvia_act!I23*1000000)</f>
        <v>16776.434956810634</v>
      </c>
      <c r="J41" s="54">
        <f>IF(J3=0,0,J3/TrAvia_act!J23*1000000)</f>
        <v>17320.213823556413</v>
      </c>
      <c r="K41" s="54">
        <f>IF(K3=0,0,K3/TrAvia_act!K23*1000000)</f>
        <v>16446.990160839669</v>
      </c>
      <c r="L41" s="54">
        <f>IF(L3=0,0,L3/TrAvia_act!L23*1000000)</f>
        <v>17008.053672687056</v>
      </c>
      <c r="M41" s="54">
        <f>IF(M3=0,0,M3/TrAvia_act!M23*1000000)</f>
        <v>17306.168925437421</v>
      </c>
      <c r="N41" s="54">
        <f>IF(N3=0,0,N3/TrAvia_act!N23*1000000)</f>
        <v>17103.091592972138</v>
      </c>
      <c r="O41" s="54">
        <f>IF(O3=0,0,O3/TrAvia_act!O23*1000000)</f>
        <v>17658.380734142753</v>
      </c>
      <c r="P41" s="54">
        <f>IF(P3=0,0,P3/TrAvia_act!P23*1000000)</f>
        <v>18370.109761149008</v>
      </c>
      <c r="Q41" s="54">
        <f>IF(Q3=0,0,Q3/TrAvia_act!Q23*1000000)</f>
        <v>18240.510158081946</v>
      </c>
      <c r="R41" s="54">
        <f>IF(R3=0,0,R3/TrAvia_act!R23*1000000)</f>
        <v>18359.637169864764</v>
      </c>
      <c r="S41" s="54">
        <f>IF(S3=0,0,S3/TrAvia_act!S23*1000000)</f>
        <v>18664.552817794734</v>
      </c>
      <c r="T41" s="54">
        <f>IF(T3=0,0,T3/TrAvia_act!T23*1000000)</f>
        <v>20183.768791577659</v>
      </c>
      <c r="U41" s="54">
        <f>IF(U3=0,0,U3/TrAvia_act!U23*1000000)</f>
        <v>20286.882309762666</v>
      </c>
      <c r="V41" s="54">
        <f>IF(V3=0,0,V3/TrAvia_act!V23*1000000)</f>
        <v>19074.646256033902</v>
      </c>
      <c r="W41" s="54">
        <f>IF(W3=0,0,W3/TrAvia_act!W23*1000000)</f>
        <v>16109.292650546337</v>
      </c>
      <c r="X41" s="54">
        <f>IF(X3=0,0,X3/TrAvia_act!X23*1000000)</f>
        <v>16965.110719704735</v>
      </c>
      <c r="Y41" s="54">
        <f>IF(Y3=0,0,Y3/TrAvia_act!Y23*1000000)</f>
        <v>19332.512317471195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18263.298975274203</v>
      </c>
      <c r="C42" s="11">
        <f>IF(C6=0,0,C6/TrAvia_act!C24*1000000)</f>
        <v>18709.38534513886</v>
      </c>
      <c r="D42" s="11">
        <f>IF(D6=0,0,D6/TrAvia_act!D24*1000000)</f>
        <v>18137.950818057379</v>
      </c>
      <c r="E42" s="11">
        <f>IF(E6=0,0,E6/TrAvia_act!E24*1000000)</f>
        <v>17502.219795973884</v>
      </c>
      <c r="F42" s="11">
        <f>IF(F6=0,0,F6/TrAvia_act!F24*1000000)</f>
        <v>17051.446859338037</v>
      </c>
      <c r="G42" s="11">
        <f>IF(G6=0,0,G6/TrAvia_act!G24*1000000)</f>
        <v>16857.71382140374</v>
      </c>
      <c r="H42" s="11">
        <f>IF(H6=0,0,H6/TrAvia_act!H24*1000000)</f>
        <v>17093.797643783189</v>
      </c>
      <c r="I42" s="11">
        <f>IF(I6=0,0,I6/TrAvia_act!I24*1000000)</f>
        <v>16337.579118150685</v>
      </c>
      <c r="J42" s="11">
        <f>IF(J6=0,0,J6/TrAvia_act!J24*1000000)</f>
        <v>16900.544426970962</v>
      </c>
      <c r="K42" s="11">
        <f>IF(K6=0,0,K6/TrAvia_act!K24*1000000)</f>
        <v>16107.612904831065</v>
      </c>
      <c r="L42" s="11">
        <f>IF(L6=0,0,L6/TrAvia_act!L24*1000000)</f>
        <v>16524.307477366798</v>
      </c>
      <c r="M42" s="11">
        <f>IF(M6=0,0,M6/TrAvia_act!M24*1000000)</f>
        <v>16786.091891260003</v>
      </c>
      <c r="N42" s="11">
        <f>IF(N6=0,0,N6/TrAvia_act!N24*1000000)</f>
        <v>16701.588367095588</v>
      </c>
      <c r="O42" s="11">
        <f>IF(O6=0,0,O6/TrAvia_act!O24*1000000)</f>
        <v>17187.914652473919</v>
      </c>
      <c r="P42" s="11">
        <f>IF(P6=0,0,P6/TrAvia_act!P24*1000000)</f>
        <v>17866.304808001743</v>
      </c>
      <c r="Q42" s="11">
        <f>IF(Q6=0,0,Q6/TrAvia_act!Q24*1000000)</f>
        <v>17644.311545502158</v>
      </c>
      <c r="R42" s="11">
        <f>IF(R6=0,0,R6/TrAvia_act!R24*1000000)</f>
        <v>17741.769156955932</v>
      </c>
      <c r="S42" s="11">
        <f>IF(S6=0,0,S6/TrAvia_act!S24*1000000)</f>
        <v>18007.536893702814</v>
      </c>
      <c r="T42" s="11">
        <f>IF(T6=0,0,T6/TrAvia_act!T24*1000000)</f>
        <v>19576.081305108746</v>
      </c>
      <c r="U42" s="11">
        <f>IF(U6=0,0,U6/TrAvia_act!U24*1000000)</f>
        <v>19699.77661638565</v>
      </c>
      <c r="V42" s="11">
        <f>IF(V6=0,0,V6/TrAvia_act!V24*1000000)</f>
        <v>17354.197129890727</v>
      </c>
      <c r="W42" s="11">
        <f>IF(W6=0,0,W6/TrAvia_act!W24*1000000)</f>
        <v>14715.568530629929</v>
      </c>
      <c r="X42" s="11">
        <f>IF(X6=0,0,X6/TrAvia_act!X24*1000000)</f>
        <v>16420.051110110409</v>
      </c>
      <c r="Y42" s="11">
        <f>IF(Y6=0,0,Y6/TrAvia_act!Y24*1000000)</f>
        <v>18877.414766355199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7209.3552234109702</v>
      </c>
      <c r="C43" s="84">
        <f>IF(C7=0,0,C7/TrAvia_act!C25*1000000)</f>
        <v>7100.4011047046533</v>
      </c>
      <c r="D43" s="84">
        <f>IF(D7=0,0,D7/TrAvia_act!D25*1000000)</f>
        <v>7124.1821689583549</v>
      </c>
      <c r="E43" s="84">
        <f>IF(E7=0,0,E7/TrAvia_act!E25*1000000)</f>
        <v>7067.2173617302142</v>
      </c>
      <c r="F43" s="84">
        <f>IF(F7=0,0,F7/TrAvia_act!F25*1000000)</f>
        <v>7202.2871550505133</v>
      </c>
      <c r="G43" s="84">
        <f>IF(G7=0,0,G7/TrAvia_act!G25*1000000)</f>
        <v>7471.3034184888811</v>
      </c>
      <c r="H43" s="84">
        <f>IF(H7=0,0,H7/TrAvia_act!H25*1000000)</f>
        <v>7553.0527357296905</v>
      </c>
      <c r="I43" s="84">
        <f>IF(I7=0,0,I7/TrAvia_act!I25*1000000)</f>
        <v>7195.9036400056711</v>
      </c>
      <c r="J43" s="84">
        <f>IF(J7=0,0,J7/TrAvia_act!J25*1000000)</f>
        <v>7455.5325571301728</v>
      </c>
      <c r="K43" s="84">
        <f>IF(K7=0,0,K7/TrAvia_act!K25*1000000)</f>
        <v>6728.948365155833</v>
      </c>
      <c r="L43" s="84">
        <f>IF(L7=0,0,L7/TrAvia_act!L25*1000000)</f>
        <v>7051.4460112616962</v>
      </c>
      <c r="M43" s="84">
        <f>IF(M7=0,0,M7/TrAvia_act!M25*1000000)</f>
        <v>7099.1139129972644</v>
      </c>
      <c r="N43" s="84">
        <f>IF(N7=0,0,N7/TrAvia_act!N25*1000000)</f>
        <v>7261.6170595754793</v>
      </c>
      <c r="O43" s="84">
        <f>IF(O7=0,0,O7/TrAvia_act!O25*1000000)</f>
        <v>7985.6217443123687</v>
      </c>
      <c r="P43" s="84">
        <f>IF(P7=0,0,P7/TrAvia_act!P25*1000000)</f>
        <v>8234.0845615130984</v>
      </c>
      <c r="Q43" s="84">
        <f>IF(Q7=0,0,Q7/TrAvia_act!Q25*1000000)</f>
        <v>8571.6170846937657</v>
      </c>
      <c r="R43" s="84">
        <f>IF(R7=0,0,R7/TrAvia_act!R25*1000000)</f>
        <v>8773.1311147279139</v>
      </c>
      <c r="S43" s="84">
        <f>IF(S7=0,0,S7/TrAvia_act!S25*1000000)</f>
        <v>9488.7374371912974</v>
      </c>
      <c r="T43" s="84">
        <f>IF(T7=0,0,T7/TrAvia_act!T25*1000000)</f>
        <v>10573.950171875813</v>
      </c>
      <c r="U43" s="84">
        <f>IF(U7=0,0,U7/TrAvia_act!U25*1000000)</f>
        <v>10715.332617714183</v>
      </c>
      <c r="V43" s="84">
        <f>IF(V7=0,0,V7/TrAvia_act!V25*1000000)</f>
        <v>7992.7984032631684</v>
      </c>
      <c r="W43" s="84">
        <f>IF(W7=0,0,W7/TrAvia_act!W25*1000000)</f>
        <v>7814.3618374330545</v>
      </c>
      <c r="X43" s="84">
        <f>IF(X7=0,0,X7/TrAvia_act!X25*1000000)</f>
        <v>9759.2579208054703</v>
      </c>
      <c r="Y43" s="84">
        <f>IF(Y7=0,0,Y7/TrAvia_act!Y25*1000000)</f>
        <v>11768.243030171605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16226.294537244823</v>
      </c>
      <c r="C44" s="84">
        <f>IF(C8=0,0,C8/TrAvia_act!C26*1000000)</f>
        <v>16840.629416532509</v>
      </c>
      <c r="D44" s="84">
        <f>IF(D8=0,0,D8/TrAvia_act!D26*1000000)</f>
        <v>16201.414798624497</v>
      </c>
      <c r="E44" s="84">
        <f>IF(E8=0,0,E8/TrAvia_act!E26*1000000)</f>
        <v>15671.135881229227</v>
      </c>
      <c r="F44" s="84">
        <f>IF(F8=0,0,F8/TrAvia_act!F26*1000000)</f>
        <v>13993.384813102384</v>
      </c>
      <c r="G44" s="84">
        <f>IF(G8=0,0,G8/TrAvia_act!G26*1000000)</f>
        <v>13593.772548681691</v>
      </c>
      <c r="H44" s="84">
        <f>IF(H8=0,0,H8/TrAvia_act!H26*1000000)</f>
        <v>13976.046123210404</v>
      </c>
      <c r="I44" s="84">
        <f>IF(I8=0,0,I8/TrAvia_act!I26*1000000)</f>
        <v>13723.535762721349</v>
      </c>
      <c r="J44" s="84">
        <f>IF(J8=0,0,J8/TrAvia_act!J26*1000000)</f>
        <v>13884.593307530626</v>
      </c>
      <c r="K44" s="84">
        <f>IF(K8=0,0,K8/TrAvia_act!K26*1000000)</f>
        <v>13302.221507420156</v>
      </c>
      <c r="L44" s="84">
        <f>IF(L8=0,0,L8/TrAvia_act!L26*1000000)</f>
        <v>13428.64707593007</v>
      </c>
      <c r="M44" s="84">
        <f>IF(M8=0,0,M8/TrAvia_act!M26*1000000)</f>
        <v>13517.035877680701</v>
      </c>
      <c r="N44" s="84">
        <f>IF(N8=0,0,N8/TrAvia_act!N26*1000000)</f>
        <v>13202.382014399609</v>
      </c>
      <c r="O44" s="84">
        <f>IF(O8=0,0,O8/TrAvia_act!O26*1000000)</f>
        <v>13264.089341864115</v>
      </c>
      <c r="P44" s="84">
        <f>IF(P8=0,0,P8/TrAvia_act!P26*1000000)</f>
        <v>13518.050659382832</v>
      </c>
      <c r="Q44" s="84">
        <f>IF(Q8=0,0,Q8/TrAvia_act!Q26*1000000)</f>
        <v>13052.275026956022</v>
      </c>
      <c r="R44" s="84">
        <f>IF(R8=0,0,R8/TrAvia_act!R26*1000000)</f>
        <v>13322.494160890285</v>
      </c>
      <c r="S44" s="84">
        <f>IF(S8=0,0,S8/TrAvia_act!S26*1000000)</f>
        <v>13652.657573501776</v>
      </c>
      <c r="T44" s="84">
        <f>IF(T8=0,0,T8/TrAvia_act!T26*1000000)</f>
        <v>14868.038205127783</v>
      </c>
      <c r="U44" s="84">
        <f>IF(U8=0,0,U8/TrAvia_act!U26*1000000)</f>
        <v>14693.574472146584</v>
      </c>
      <c r="V44" s="84">
        <f>IF(V8=0,0,V8/TrAvia_act!V26*1000000)</f>
        <v>12399.412498602118</v>
      </c>
      <c r="W44" s="84">
        <f>IF(W8=0,0,W8/TrAvia_act!W26*1000000)</f>
        <v>11050.189278501417</v>
      </c>
      <c r="X44" s="84">
        <f>IF(X8=0,0,X8/TrAvia_act!X26*1000000)</f>
        <v>12192.788506802428</v>
      </c>
      <c r="Y44" s="84">
        <f>IF(Y8=0,0,Y8/TrAvia_act!Y26*1000000)</f>
        <v>13719.708818665928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103807.45214770347</v>
      </c>
      <c r="C45" s="84">
        <f>IF(C9=0,0,C9/TrAvia_act!C27*1000000)</f>
        <v>107737.83016189052</v>
      </c>
      <c r="D45" s="84">
        <f>IF(D9=0,0,D9/TrAvia_act!D27*1000000)</f>
        <v>103648.54670549666</v>
      </c>
      <c r="E45" s="84">
        <f>IF(E9=0,0,E9/TrAvia_act!E27*1000000)</f>
        <v>98828.768384470182</v>
      </c>
      <c r="F45" s="84">
        <f>IF(F9=0,0,F9/TrAvia_act!F27*1000000)</f>
        <v>87924.443514733357</v>
      </c>
      <c r="G45" s="84">
        <f>IF(G9=0,0,G9/TrAvia_act!G27*1000000)</f>
        <v>79939.578730390844</v>
      </c>
      <c r="H45" s="84">
        <f>IF(H9=0,0,H9/TrAvia_act!H27*1000000)</f>
        <v>79868.824050259951</v>
      </c>
      <c r="I45" s="84">
        <f>IF(I9=0,0,I9/TrAvia_act!I27*1000000)</f>
        <v>74651.958918231598</v>
      </c>
      <c r="J45" s="84">
        <f>IF(J9=0,0,J9/TrAvia_act!J27*1000000)</f>
        <v>76055.176943008832</v>
      </c>
      <c r="K45" s="84">
        <f>IF(K9=0,0,K9/TrAvia_act!K27*1000000)</f>
        <v>73254.707206580439</v>
      </c>
      <c r="L45" s="84">
        <f>IF(L9=0,0,L9/TrAvia_act!L27*1000000)</f>
        <v>69853.555057515303</v>
      </c>
      <c r="M45" s="84">
        <f>IF(M9=0,0,M9/TrAvia_act!M27*1000000)</f>
        <v>73942.637318649882</v>
      </c>
      <c r="N45" s="84">
        <f>IF(N9=0,0,N9/TrAvia_act!N27*1000000)</f>
        <v>68014.554040988354</v>
      </c>
      <c r="O45" s="84">
        <f>IF(O9=0,0,O9/TrAvia_act!O27*1000000)</f>
        <v>63810.023343695662</v>
      </c>
      <c r="P45" s="84">
        <f>IF(P9=0,0,P9/TrAvia_act!P27*1000000)</f>
        <v>65490.687942197132</v>
      </c>
      <c r="Q45" s="84">
        <f>IF(Q9=0,0,Q9/TrAvia_act!Q27*1000000)</f>
        <v>67624.005649385959</v>
      </c>
      <c r="R45" s="84">
        <f>IF(R9=0,0,R9/TrAvia_act!R27*1000000)</f>
        <v>66805.903434797656</v>
      </c>
      <c r="S45" s="84">
        <f>IF(S9=0,0,S9/TrAvia_act!S27*1000000)</f>
        <v>62924.068860577761</v>
      </c>
      <c r="T45" s="84">
        <f>IF(T9=0,0,T9/TrAvia_act!T27*1000000)</f>
        <v>62469.137599199479</v>
      </c>
      <c r="U45" s="84">
        <f>IF(U9=0,0,U9/TrAvia_act!U27*1000000)</f>
        <v>61515.287108484772</v>
      </c>
      <c r="V45" s="84">
        <f>IF(V9=0,0,V9/TrAvia_act!V27*1000000)</f>
        <v>76083.195108427128</v>
      </c>
      <c r="W45" s="84">
        <f>IF(W9=0,0,W9/TrAvia_act!W27*1000000)</f>
        <v>61395.301099234232</v>
      </c>
      <c r="X45" s="84">
        <f>IF(X9=0,0,X9/TrAvia_act!X27*1000000)</f>
        <v>63296.905628779721</v>
      </c>
      <c r="Y45" s="84">
        <f>IF(Y9=0,0,Y9/TrAvia_act!Y27*1000000)</f>
        <v>61489.14634423353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42471.82485961615</v>
      </c>
      <c r="C46" s="13">
        <f>IF(C10=0,0,C10/TrAvia_act!C28*1000000)</f>
        <v>19289.255105151195</v>
      </c>
      <c r="D46" s="13">
        <f>IF(D10=0,0,D10/TrAvia_act!D28*1000000)</f>
        <v>28506.039699488931</v>
      </c>
      <c r="E46" s="13">
        <f>IF(E10=0,0,E10/TrAvia_act!E28*1000000)</f>
        <v>27797.604583412867</v>
      </c>
      <c r="F46" s="13">
        <f>IF(F10=0,0,F10/TrAvia_act!F28*1000000)</f>
        <v>25346.835828640229</v>
      </c>
      <c r="G46" s="13">
        <f>IF(G10=0,0,G10/TrAvia_act!G28*1000000)</f>
        <v>27008.359981976282</v>
      </c>
      <c r="H46" s="13">
        <f>IF(H10=0,0,H10/TrAvia_act!H28*1000000)</f>
        <v>29314.394526105818</v>
      </c>
      <c r="I46" s="13">
        <f>IF(I10=0,0,I10/TrAvia_act!I28*1000000)</f>
        <v>29205.526496879786</v>
      </c>
      <c r="J46" s="13">
        <f>IF(J10=0,0,J10/TrAvia_act!J28*1000000)</f>
        <v>29825.620776323416</v>
      </c>
      <c r="K46" s="13">
        <f>IF(K10=0,0,K10/TrAvia_act!K28*1000000)</f>
        <v>27566.491220953289</v>
      </c>
      <c r="L46" s="13">
        <f>IF(L10=0,0,L10/TrAvia_act!L28*1000000)</f>
        <v>33194.493959462401</v>
      </c>
      <c r="M46" s="13">
        <f>IF(M10=0,0,M10/TrAvia_act!M28*1000000)</f>
        <v>35684.888247103474</v>
      </c>
      <c r="N46" s="13">
        <f>IF(N10=0,0,N10/TrAvia_act!N28*1000000)</f>
        <v>32503.990930840846</v>
      </c>
      <c r="O46" s="13">
        <f>IF(O10=0,0,O10/TrAvia_act!O28*1000000)</f>
        <v>34680.334339885369</v>
      </c>
      <c r="P46" s="13">
        <f>IF(P10=0,0,P10/TrAvia_act!P28*1000000)</f>
        <v>37770.483913039774</v>
      </c>
      <c r="Q46" s="13">
        <f>IF(Q10=0,0,Q10/TrAvia_act!Q28*1000000)</f>
        <v>40398.99330283895</v>
      </c>
      <c r="R46" s="13">
        <f>IF(R10=0,0,R10/TrAvia_act!R28*1000000)</f>
        <v>44149.575092516548</v>
      </c>
      <c r="S46" s="13">
        <f>IF(S10=0,0,S10/TrAvia_act!S28*1000000)</f>
        <v>44258.873241604881</v>
      </c>
      <c r="T46" s="13">
        <f>IF(T10=0,0,T10/TrAvia_act!T28*1000000)</f>
        <v>44833.478642631497</v>
      </c>
      <c r="U46" s="13">
        <f>IF(U10=0,0,U10/TrAvia_act!U28*1000000)</f>
        <v>45835.879476892798</v>
      </c>
      <c r="V46" s="13">
        <f>IF(V10=0,0,V10/TrAvia_act!V28*1000000)</f>
        <v>47742.132385864745</v>
      </c>
      <c r="W46" s="13">
        <f>IF(W10=0,0,W10/TrAvia_act!W28*1000000)</f>
        <v>41340.94642138762</v>
      </c>
      <c r="X46" s="13">
        <f>IF(X10=0,0,X10/TrAvia_act!X28*1000000)</f>
        <v>33284.63343224657</v>
      </c>
      <c r="Y46" s="13">
        <f>IF(Y10=0,0,Y10/TrAvia_act!Y28*1000000)</f>
        <v>35475.608350274917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6566.3587816266527</v>
      </c>
      <c r="C47" s="102">
        <f>IF(C11=0,0,C11/TrAvia_act!C29*1000000)</f>
        <v>6467.1221908371745</v>
      </c>
      <c r="D47" s="102">
        <f>IF(D11=0,0,D11/TrAvia_act!D29*1000000)</f>
        <v>6488.7822415989467</v>
      </c>
      <c r="E47" s="102">
        <f>IF(E11=0,0,E11/TrAvia_act!E29*1000000)</f>
        <v>6436.8980785088088</v>
      </c>
      <c r="F47" s="102">
        <f>IF(F11=0,0,F11/TrAvia_act!F29*1000000)</f>
        <v>6559.9211084492899</v>
      </c>
      <c r="G47" s="102">
        <f>IF(G11=0,0,G11/TrAvia_act!G29*1000000)</f>
        <v>6804.9440333972343</v>
      </c>
      <c r="H47" s="102">
        <f>IF(H11=0,0,H11/TrAvia_act!H29*1000000)</f>
        <v>6902.3285887485345</v>
      </c>
      <c r="I47" s="102">
        <f>IF(I11=0,0,I11/TrAvia_act!I29*1000000)</f>
        <v>6597.8647255411915</v>
      </c>
      <c r="J47" s="102">
        <f>IF(J11=0,0,J11/TrAvia_act!J29*1000000)</f>
        <v>6858.6986051611748</v>
      </c>
      <c r="K47" s="102">
        <f>IF(K11=0,0,K11/TrAvia_act!K29*1000000)</f>
        <v>6210.9101796460027</v>
      </c>
      <c r="L47" s="102">
        <f>IF(L11=0,0,L11/TrAvia_act!L29*1000000)</f>
        <v>6530.2719603901014</v>
      </c>
      <c r="M47" s="102">
        <f>IF(M11=0,0,M11/TrAvia_act!M29*1000000)</f>
        <v>6642.7730298323941</v>
      </c>
      <c r="N47" s="102">
        <f>IF(N11=0,0,N11/TrAvia_act!N29*1000000)</f>
        <v>6865.4612102554647</v>
      </c>
      <c r="O47" s="102">
        <f>IF(O11=0,0,O11/TrAvia_act!O29*1000000)</f>
        <v>7496.1938418308355</v>
      </c>
      <c r="P47" s="102">
        <f>IF(P11=0,0,P11/TrAvia_act!P29*1000000)</f>
        <v>7674.3764253169338</v>
      </c>
      <c r="Q47" s="102">
        <f>IF(Q11=0,0,Q11/TrAvia_act!Q29*1000000)</f>
        <v>7932.0645712388468</v>
      </c>
      <c r="R47" s="102">
        <f>IF(R11=0,0,R11/TrAvia_act!R29*1000000)</f>
        <v>8060.7194647484503</v>
      </c>
      <c r="S47" s="102">
        <f>IF(S11=0,0,S11/TrAvia_act!S29*1000000)</f>
        <v>8656.1211689559041</v>
      </c>
      <c r="T47" s="102">
        <f>IF(T11=0,0,T11/TrAvia_act!T29*1000000)</f>
        <v>9577.4054039867897</v>
      </c>
      <c r="U47" s="102">
        <f>IF(U11=0,0,U11/TrAvia_act!U29*1000000)</f>
        <v>10129.240437375336</v>
      </c>
      <c r="V47" s="102">
        <f>IF(V11=0,0,V11/TrAvia_act!V29*1000000)</f>
        <v>7743.9610674584246</v>
      </c>
      <c r="W47" s="102">
        <f>IF(W11=0,0,W11/TrAvia_act!W29*1000000)</f>
        <v>7517.0093503790831</v>
      </c>
      <c r="X47" s="102">
        <f>IF(X11=0,0,X11/TrAvia_act!X29*1000000)</f>
        <v>9215.4444487001983</v>
      </c>
      <c r="Y47" s="102">
        <f>IF(Y11=0,0,Y11/TrAvia_act!Y29*1000000)</f>
        <v>11146.198127981126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15499.307166647413</v>
      </c>
      <c r="C48" s="102">
        <f>IF(C12=0,0,C12/TrAvia_act!C30*1000000)</f>
        <v>16061.656094301481</v>
      </c>
      <c r="D48" s="102">
        <f>IF(D12=0,0,D12/TrAvia_act!D30*1000000)</f>
        <v>14823.527162348602</v>
      </c>
      <c r="E48" s="102">
        <f>IF(E12=0,0,E12/TrAvia_act!E30*1000000)</f>
        <v>13986.811482676068</v>
      </c>
      <c r="F48" s="102">
        <f>IF(F12=0,0,F12/TrAvia_act!F30*1000000)</f>
        <v>12483.506316784911</v>
      </c>
      <c r="G48" s="102">
        <f>IF(G12=0,0,G12/TrAvia_act!G30*1000000)</f>
        <v>12101.383961902544</v>
      </c>
      <c r="H48" s="102">
        <f>IF(H12=0,0,H12/TrAvia_act!H30*1000000)</f>
        <v>12483.817244889646</v>
      </c>
      <c r="I48" s="102">
        <f>IF(I12=0,0,I12/TrAvia_act!I30*1000000)</f>
        <v>12209.011580708493</v>
      </c>
      <c r="J48" s="102">
        <f>IF(J12=0,0,J12/TrAvia_act!J30*1000000)</f>
        <v>12412.037072243671</v>
      </c>
      <c r="K48" s="102">
        <f>IF(K12=0,0,K12/TrAvia_act!K30*1000000)</f>
        <v>11886.583194981953</v>
      </c>
      <c r="L48" s="102">
        <f>IF(L12=0,0,L12/TrAvia_act!L30*1000000)</f>
        <v>12038.293630805307</v>
      </c>
      <c r="M48" s="102">
        <f>IF(M12=0,0,M12/TrAvia_act!M30*1000000)</f>
        <v>12181.765897679168</v>
      </c>
      <c r="N48" s="102">
        <f>IF(N12=0,0,N12/TrAvia_act!N30*1000000)</f>
        <v>11913.038154659323</v>
      </c>
      <c r="O48" s="102">
        <f>IF(O12=0,0,O12/TrAvia_act!O30*1000000)</f>
        <v>11701.673425206947</v>
      </c>
      <c r="P48" s="102">
        <f>IF(P12=0,0,P12/TrAvia_act!P30*1000000)</f>
        <v>11685.089091495045</v>
      </c>
      <c r="Q48" s="102">
        <f>IF(Q12=0,0,Q12/TrAvia_act!Q30*1000000)</f>
        <v>11014.219819548978</v>
      </c>
      <c r="R48" s="102">
        <f>IF(R12=0,0,R12/TrAvia_act!R30*1000000)</f>
        <v>11003.401883224975</v>
      </c>
      <c r="S48" s="102">
        <f>IF(S12=0,0,S12/TrAvia_act!S30*1000000)</f>
        <v>11055.514056155997</v>
      </c>
      <c r="T48" s="102">
        <f>IF(T12=0,0,T12/TrAvia_act!T30*1000000)</f>
        <v>11803.437088570156</v>
      </c>
      <c r="U48" s="102">
        <f>IF(U12=0,0,U12/TrAvia_act!U30*1000000)</f>
        <v>11566.618112878909</v>
      </c>
      <c r="V48" s="102">
        <f>IF(V12=0,0,V12/TrAvia_act!V30*1000000)</f>
        <v>10186.378637595191</v>
      </c>
      <c r="W48" s="102">
        <f>IF(W12=0,0,W12/TrAvia_act!W30*1000000)</f>
        <v>8947.973591830556</v>
      </c>
      <c r="X48" s="102">
        <f>IF(X12=0,0,X12/TrAvia_act!X30*1000000)</f>
        <v>9926.314872011666</v>
      </c>
      <c r="Y48" s="102">
        <f>IF(Y12=0,0,Y12/TrAvia_act!Y30*1000000)</f>
        <v>11169.958868168793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113360.84514913987</v>
      </c>
      <c r="C49" s="86">
        <f>IF(C13=0,0,C13/TrAvia_act!C31*1000000)</f>
        <v>117652.93559376312</v>
      </c>
      <c r="D49" s="86">
        <f>IF(D13=0,0,D13/TrAvia_act!D31*1000000)</f>
        <v>113187.31564952621</v>
      </c>
      <c r="E49" s="86">
        <f>IF(E13=0,0,E13/TrAvia_act!E31*1000000)</f>
        <v>107923.97344625501</v>
      </c>
      <c r="F49" s="86">
        <f>IF(F13=0,0,F13/TrAvia_act!F31*1000000)</f>
        <v>96016.124275124996</v>
      </c>
      <c r="G49" s="86">
        <f>IF(G13=0,0,G13/TrAvia_act!G31*1000000)</f>
        <v>92069.956532744269</v>
      </c>
      <c r="H49" s="86">
        <f>IF(H13=0,0,H13/TrAvia_act!H31*1000000)</f>
        <v>96086.099859151553</v>
      </c>
      <c r="I49" s="86">
        <f>IF(I13=0,0,I13/TrAvia_act!I31*1000000)</f>
        <v>93936.537926826219</v>
      </c>
      <c r="J49" s="86">
        <f>IF(J13=0,0,J13/TrAvia_act!J31*1000000)</f>
        <v>98648.43930446048</v>
      </c>
      <c r="K49" s="86">
        <f>IF(K13=0,0,K13/TrAvia_act!K31*1000000)</f>
        <v>103284.42802596994</v>
      </c>
      <c r="L49" s="86">
        <f>IF(L13=0,0,L13/TrAvia_act!L31*1000000)</f>
        <v>104763.38738932424</v>
      </c>
      <c r="M49" s="86">
        <f>IF(M13=0,0,M13/TrAvia_act!M31*1000000)</f>
        <v>99223.50845817948</v>
      </c>
      <c r="N49" s="86">
        <f>IF(N13=0,0,N13/TrAvia_act!N31*1000000)</f>
        <v>87278.808843257153</v>
      </c>
      <c r="O49" s="86">
        <f>IF(O13=0,0,O13/TrAvia_act!O31*1000000)</f>
        <v>91535.143252981507</v>
      </c>
      <c r="P49" s="86">
        <f>IF(P13=0,0,P13/TrAvia_act!P31*1000000)</f>
        <v>97397.869617591961</v>
      </c>
      <c r="Q49" s="86">
        <f>IF(Q13=0,0,Q13/TrAvia_act!Q31*1000000)</f>
        <v>102984.0871957175</v>
      </c>
      <c r="R49" s="86">
        <f>IF(R13=0,0,R13/TrAvia_act!R31*1000000)</f>
        <v>105171.15609170782</v>
      </c>
      <c r="S49" s="86">
        <f>IF(S13=0,0,S13/TrAvia_act!S31*1000000)</f>
        <v>105207.7605739576</v>
      </c>
      <c r="T49" s="86">
        <f>IF(T13=0,0,T13/TrAvia_act!T31*1000000)</f>
        <v>109753.46545943295</v>
      </c>
      <c r="U49" s="86">
        <f>IF(U13=0,0,U13/TrAvia_act!U31*1000000)</f>
        <v>118358.63524959788</v>
      </c>
      <c r="V49" s="86">
        <f>IF(V13=0,0,V13/TrAvia_act!V31*1000000)</f>
        <v>142660.58923710277</v>
      </c>
      <c r="W49" s="86">
        <f>IF(W13=0,0,W13/TrAvia_act!W31*1000000)</f>
        <v>121356.89398663174</v>
      </c>
      <c r="X49" s="86">
        <f>IF(X13=0,0,X13/TrAvia_act!X31*1000000)</f>
        <v>99948.412343306918</v>
      </c>
      <c r="Y49" s="86">
        <f>IF(Y13=0,0,Y13/TrAvia_act!Y31*1000000)</f>
        <v>100389.81813841511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0.95094455568301062</v>
      </c>
      <c r="C52" s="16">
        <f t="shared" si="36"/>
        <v>0.97796350272183841</v>
      </c>
      <c r="D52" s="16">
        <f t="shared" ref="D52:V52" si="37">IF(D6=0,0,D6/D$3)</f>
        <v>0.94955490880225213</v>
      </c>
      <c r="E52" s="16">
        <f t="shared" si="37"/>
        <v>0.95052279281171814</v>
      </c>
      <c r="F52" s="16">
        <f t="shared" si="37"/>
        <v>0.95009603881510707</v>
      </c>
      <c r="G52" s="16">
        <f t="shared" si="37"/>
        <v>0.94611860537568393</v>
      </c>
      <c r="H52" s="16">
        <f t="shared" si="37"/>
        <v>0.94233378504153098</v>
      </c>
      <c r="I52" s="16">
        <f t="shared" si="37"/>
        <v>0.94062850745300319</v>
      </c>
      <c r="J52" s="16">
        <f t="shared" si="37"/>
        <v>0.94408730501717131</v>
      </c>
      <c r="K52" s="16">
        <f t="shared" si="37"/>
        <v>0.95035955289306673</v>
      </c>
      <c r="L52" s="16">
        <f t="shared" si="37"/>
        <v>0.94336452610190413</v>
      </c>
      <c r="M52" s="16">
        <f t="shared" si="37"/>
        <v>0.94325639370369785</v>
      </c>
      <c r="N52" s="16">
        <f t="shared" si="37"/>
        <v>0.9517132490276986</v>
      </c>
      <c r="O52" s="16">
        <f t="shared" si="37"/>
        <v>0.94717848795396453</v>
      </c>
      <c r="P52" s="16">
        <f t="shared" si="37"/>
        <v>0.94795740306886278</v>
      </c>
      <c r="Q52" s="16">
        <f t="shared" si="37"/>
        <v>0.94196984139571238</v>
      </c>
      <c r="R52" s="16">
        <f t="shared" si="37"/>
        <v>0.9437366189967864</v>
      </c>
      <c r="S52" s="16">
        <f t="shared" si="37"/>
        <v>0.94065184211711061</v>
      </c>
      <c r="T52" s="16">
        <f t="shared" si="37"/>
        <v>0.94655687171111524</v>
      </c>
      <c r="U52" s="16">
        <f t="shared" si="37"/>
        <v>0.94924653232383727</v>
      </c>
      <c r="V52" s="16">
        <f t="shared" si="37"/>
        <v>0.85829474279278917</v>
      </c>
      <c r="W52" s="16">
        <f t="shared" ref="W52:Y52" si="38">IF(W6=0,0,W6/W$3)</f>
        <v>0.86566629927506156</v>
      </c>
      <c r="X52" s="16">
        <f t="shared" si="38"/>
        <v>0.93659033026771954</v>
      </c>
      <c r="Y52" s="16">
        <f t="shared" si="38"/>
        <v>0.9496864189429095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0.18870512614730614</v>
      </c>
      <c r="C53" s="103">
        <f t="shared" si="39"/>
        <v>0.18742168116250535</v>
      </c>
      <c r="D53" s="103">
        <f t="shared" ref="D53:V53" si="40">IF(D7=0,0,D7/D$3)</f>
        <v>0.18849790053132487</v>
      </c>
      <c r="E53" s="103">
        <f t="shared" si="40"/>
        <v>0.18907278828414578</v>
      </c>
      <c r="F53" s="103">
        <f t="shared" si="40"/>
        <v>0.18871902762645956</v>
      </c>
      <c r="G53" s="103">
        <f t="shared" si="40"/>
        <v>0.18891131136170761</v>
      </c>
      <c r="H53" s="103">
        <f t="shared" si="40"/>
        <v>0.18911811278633139</v>
      </c>
      <c r="I53" s="103">
        <f t="shared" si="40"/>
        <v>0.18889862701244767</v>
      </c>
      <c r="J53" s="103">
        <f t="shared" si="40"/>
        <v>0.18806321629213638</v>
      </c>
      <c r="K53" s="103">
        <f t="shared" si="40"/>
        <v>0.18363636413430676</v>
      </c>
      <c r="L53" s="103">
        <f t="shared" si="40"/>
        <v>0.18098166579892302</v>
      </c>
      <c r="M53" s="103">
        <f t="shared" si="40"/>
        <v>0.17863725760920815</v>
      </c>
      <c r="N53" s="103">
        <f t="shared" si="40"/>
        <v>0.17882219465517094</v>
      </c>
      <c r="O53" s="103">
        <f t="shared" si="40"/>
        <v>0.18292343742665379</v>
      </c>
      <c r="P53" s="103">
        <f t="shared" si="40"/>
        <v>0.17140169374829911</v>
      </c>
      <c r="Q53" s="103">
        <f t="shared" si="40"/>
        <v>0.17843128122218216</v>
      </c>
      <c r="R53" s="103">
        <f t="shared" si="40"/>
        <v>0.17558895890541429</v>
      </c>
      <c r="S53" s="103">
        <f t="shared" si="40"/>
        <v>0.18405762168492223</v>
      </c>
      <c r="T53" s="103">
        <f t="shared" si="40"/>
        <v>0.18470749607279438</v>
      </c>
      <c r="U53" s="103">
        <f t="shared" si="40"/>
        <v>0.18424620088006652</v>
      </c>
      <c r="V53" s="103">
        <f t="shared" si="40"/>
        <v>0.18365968518407169</v>
      </c>
      <c r="W53" s="103">
        <f t="shared" ref="W53:Y53" si="41">IF(W7=0,0,W7/W$3)</f>
        <v>0.22057362766052224</v>
      </c>
      <c r="X53" s="103">
        <f t="shared" si="41"/>
        <v>0.2195881423239201</v>
      </c>
      <c r="Y53" s="103">
        <f t="shared" si="41"/>
        <v>0.21651319188189533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0.3567785596373082</v>
      </c>
      <c r="C54" s="103">
        <f t="shared" si="42"/>
        <v>0.37002582783733418</v>
      </c>
      <c r="D54" s="103">
        <f t="shared" ref="D54:V54" si="43">IF(D8=0,0,D8/D$3)</f>
        <v>0.35622221278701938</v>
      </c>
      <c r="E54" s="103">
        <f t="shared" si="43"/>
        <v>0.36970245158568993</v>
      </c>
      <c r="F54" s="103">
        <f t="shared" si="43"/>
        <v>0.34710683274395759</v>
      </c>
      <c r="G54" s="103">
        <f t="shared" si="43"/>
        <v>0.34996456490265099</v>
      </c>
      <c r="H54" s="103">
        <f t="shared" si="43"/>
        <v>0.34995391397806719</v>
      </c>
      <c r="I54" s="103">
        <f t="shared" si="43"/>
        <v>0.35737617661246457</v>
      </c>
      <c r="J54" s="103">
        <f t="shared" si="43"/>
        <v>0.35153479879251348</v>
      </c>
      <c r="K54" s="103">
        <f t="shared" si="43"/>
        <v>0.34528743891905406</v>
      </c>
      <c r="L54" s="103">
        <f t="shared" si="43"/>
        <v>0.340962781571715</v>
      </c>
      <c r="M54" s="103">
        <f t="shared" si="43"/>
        <v>0.34220694694920289</v>
      </c>
      <c r="N54" s="103">
        <f t="shared" si="43"/>
        <v>0.34393365736226145</v>
      </c>
      <c r="O54" s="103">
        <f t="shared" si="43"/>
        <v>0.33864025817648985</v>
      </c>
      <c r="P54" s="103">
        <f t="shared" si="43"/>
        <v>0.34723601257137054</v>
      </c>
      <c r="Q54" s="103">
        <f t="shared" si="43"/>
        <v>0.34417031219908811</v>
      </c>
      <c r="R54" s="103">
        <f t="shared" si="43"/>
        <v>0.36078385630960436</v>
      </c>
      <c r="S54" s="103">
        <f t="shared" si="43"/>
        <v>0.36292649524402082</v>
      </c>
      <c r="T54" s="103">
        <f t="shared" si="43"/>
        <v>0.36465910725256601</v>
      </c>
      <c r="U54" s="103">
        <f t="shared" si="43"/>
        <v>0.35820036703813507</v>
      </c>
      <c r="V54" s="103">
        <f t="shared" si="43"/>
        <v>0.26090116644397926</v>
      </c>
      <c r="W54" s="103">
        <f t="shared" ref="W54:Y54" si="44">IF(W8=0,0,W8/W$3)</f>
        <v>0.27076035742811055</v>
      </c>
      <c r="X54" s="103">
        <f t="shared" si="44"/>
        <v>0.35053360363338787</v>
      </c>
      <c r="Y54" s="103">
        <f t="shared" si="44"/>
        <v>0.35296128307010693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0.4054608698983963</v>
      </c>
      <c r="C55" s="103">
        <f t="shared" si="45"/>
        <v>0.42051599372199894</v>
      </c>
      <c r="D55" s="103">
        <f t="shared" ref="D55:V55" si="46">IF(D9=0,0,D9/D$3)</f>
        <v>0.40483479548390783</v>
      </c>
      <c r="E55" s="103">
        <f t="shared" si="46"/>
        <v>0.3917475529418824</v>
      </c>
      <c r="F55" s="103">
        <f t="shared" si="46"/>
        <v>0.41427017844468988</v>
      </c>
      <c r="G55" s="103">
        <f t="shared" si="46"/>
        <v>0.40724272911132525</v>
      </c>
      <c r="H55" s="103">
        <f t="shared" si="46"/>
        <v>0.40326175827713229</v>
      </c>
      <c r="I55" s="103">
        <f t="shared" si="46"/>
        <v>0.39435370382809098</v>
      </c>
      <c r="J55" s="103">
        <f t="shared" si="46"/>
        <v>0.40448928993252137</v>
      </c>
      <c r="K55" s="103">
        <f t="shared" si="46"/>
        <v>0.42143574983970594</v>
      </c>
      <c r="L55" s="103">
        <f t="shared" si="46"/>
        <v>0.42142007873126602</v>
      </c>
      <c r="M55" s="103">
        <f t="shared" si="46"/>
        <v>0.42241218914528694</v>
      </c>
      <c r="N55" s="103">
        <f t="shared" si="46"/>
        <v>0.42895739701026631</v>
      </c>
      <c r="O55" s="103">
        <f t="shared" si="46"/>
        <v>0.42561479235082106</v>
      </c>
      <c r="P55" s="103">
        <f t="shared" si="46"/>
        <v>0.42931969674919318</v>
      </c>
      <c r="Q55" s="103">
        <f t="shared" si="46"/>
        <v>0.41936824797444211</v>
      </c>
      <c r="R55" s="103">
        <f t="shared" si="46"/>
        <v>0.40736380378176767</v>
      </c>
      <c r="S55" s="103">
        <f t="shared" si="46"/>
        <v>0.39366772518816751</v>
      </c>
      <c r="T55" s="103">
        <f t="shared" si="46"/>
        <v>0.39719026838575483</v>
      </c>
      <c r="U55" s="103">
        <f t="shared" si="46"/>
        <v>0.40679996440563571</v>
      </c>
      <c r="V55" s="103">
        <f t="shared" si="46"/>
        <v>0.41373389116473824</v>
      </c>
      <c r="W55" s="103">
        <f t="shared" ref="W55:Y55" si="47">IF(W9=0,0,W9/W$3)</f>
        <v>0.37433231418642882</v>
      </c>
      <c r="X55" s="103">
        <f t="shared" si="47"/>
        <v>0.36646858431041168</v>
      </c>
      <c r="Y55" s="103">
        <f t="shared" si="47"/>
        <v>0.3802119439909073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4.9055444316989452E-2</v>
      </c>
      <c r="C56" s="17">
        <f t="shared" si="48"/>
        <v>2.2036497278161572E-2</v>
      </c>
      <c r="D56" s="17">
        <f t="shared" ref="D56:V56" si="49">IF(D10=0,0,D10/D$3)</f>
        <v>5.0445091197748024E-2</v>
      </c>
      <c r="E56" s="17">
        <f t="shared" si="49"/>
        <v>4.9477207188281934E-2</v>
      </c>
      <c r="F56" s="17">
        <f t="shared" si="49"/>
        <v>4.9903961184892917E-2</v>
      </c>
      <c r="G56" s="17">
        <f t="shared" si="49"/>
        <v>5.3881394624316181E-2</v>
      </c>
      <c r="H56" s="17">
        <f t="shared" si="49"/>
        <v>5.7666214958469096E-2</v>
      </c>
      <c r="I56" s="17">
        <f t="shared" si="49"/>
        <v>5.9371492546996751E-2</v>
      </c>
      <c r="J56" s="17">
        <f t="shared" si="49"/>
        <v>5.5912694982828727E-2</v>
      </c>
      <c r="K56" s="17">
        <f t="shared" si="49"/>
        <v>4.9640447106933321E-2</v>
      </c>
      <c r="L56" s="17">
        <f t="shared" si="49"/>
        <v>5.6635473898095978E-2</v>
      </c>
      <c r="M56" s="17">
        <f t="shared" si="49"/>
        <v>5.674360629630211E-2</v>
      </c>
      <c r="N56" s="17">
        <f t="shared" si="49"/>
        <v>4.82867509723015E-2</v>
      </c>
      <c r="O56" s="17">
        <f t="shared" si="49"/>
        <v>5.2821512046035468E-2</v>
      </c>
      <c r="P56" s="17">
        <f t="shared" si="49"/>
        <v>5.2042596931137206E-2</v>
      </c>
      <c r="Q56" s="17">
        <f t="shared" si="49"/>
        <v>5.8030158604287528E-2</v>
      </c>
      <c r="R56" s="17">
        <f t="shared" si="49"/>
        <v>5.6263381003213847E-2</v>
      </c>
      <c r="S56" s="17">
        <f t="shared" si="49"/>
        <v>5.9348157882889337E-2</v>
      </c>
      <c r="T56" s="17">
        <f t="shared" si="49"/>
        <v>5.3443128288884652E-2</v>
      </c>
      <c r="U56" s="17">
        <f t="shared" si="49"/>
        <v>5.0753467676162803E-2</v>
      </c>
      <c r="V56" s="17">
        <f t="shared" si="49"/>
        <v>0.14170525720721086</v>
      </c>
      <c r="W56" s="17">
        <f t="shared" ref="W56:Y56" si="50">IF(W10=0,0,W10/W$3)</f>
        <v>0.13433370072493844</v>
      </c>
      <c r="X56" s="17">
        <f t="shared" si="50"/>
        <v>6.3409669732280405E-2</v>
      </c>
      <c r="Y56" s="17">
        <f t="shared" si="50"/>
        <v>5.0313581057090509E-2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2.7725846064424551E-3</v>
      </c>
      <c r="C57" s="104">
        <f t="shared" si="51"/>
        <v>5.4315448764568307E-3</v>
      </c>
      <c r="D57" s="104">
        <f t="shared" ref="D57:V57" si="52">IF(D11=0,0,D11/D$3)</f>
        <v>4.6137301220159285E-3</v>
      </c>
      <c r="E57" s="104">
        <f t="shared" si="52"/>
        <v>4.5177961408919562E-3</v>
      </c>
      <c r="F57" s="104">
        <f t="shared" si="52"/>
        <v>4.5290278820365772E-3</v>
      </c>
      <c r="G57" s="104">
        <f t="shared" si="52"/>
        <v>4.3309386794950786E-3</v>
      </c>
      <c r="H57" s="104">
        <f t="shared" si="52"/>
        <v>4.1097487264000381E-3</v>
      </c>
      <c r="I57" s="104">
        <f t="shared" si="52"/>
        <v>3.9959684652262689E-3</v>
      </c>
      <c r="J57" s="104">
        <f t="shared" si="52"/>
        <v>3.7624599431681934E-3</v>
      </c>
      <c r="K57" s="104">
        <f t="shared" si="52"/>
        <v>3.3092276770368937E-3</v>
      </c>
      <c r="L57" s="104">
        <f t="shared" si="52"/>
        <v>3.1297954447151114E-3</v>
      </c>
      <c r="M57" s="104">
        <f t="shared" si="52"/>
        <v>2.7284129512950678E-3</v>
      </c>
      <c r="N57" s="104">
        <f t="shared" si="52"/>
        <v>2.3507151691583993E-3</v>
      </c>
      <c r="O57" s="104">
        <f t="shared" si="52"/>
        <v>2.4665326179740777E-3</v>
      </c>
      <c r="P57" s="104">
        <f t="shared" si="52"/>
        <v>2.1617002165677667E-3</v>
      </c>
      <c r="Q57" s="104">
        <f t="shared" si="52"/>
        <v>2.0561665951085626E-3</v>
      </c>
      <c r="R57" s="104">
        <f t="shared" si="52"/>
        <v>1.5897327692381948E-3</v>
      </c>
      <c r="S57" s="104">
        <f t="shared" si="52"/>
        <v>1.7672471012868929E-3</v>
      </c>
      <c r="T57" s="104">
        <f t="shared" si="52"/>
        <v>1.8026587340051693E-3</v>
      </c>
      <c r="U57" s="104">
        <f t="shared" si="52"/>
        <v>1.7138009760215343E-3</v>
      </c>
      <c r="V57" s="104">
        <f t="shared" si="52"/>
        <v>3.460641248082159E-3</v>
      </c>
      <c r="W57" s="104">
        <f t="shared" ref="W57:Y57" si="53">IF(W11=0,0,W11/W$3)</f>
        <v>3.8219896653665843E-3</v>
      </c>
      <c r="X57" s="104">
        <f t="shared" si="53"/>
        <v>2.9663203696684961E-3</v>
      </c>
      <c r="Y57" s="104">
        <f t="shared" si="53"/>
        <v>2.6367061148251272E-3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5.8259502173191877E-3</v>
      </c>
      <c r="C58" s="104">
        <f t="shared" si="54"/>
        <v>3.002537683559969E-3</v>
      </c>
      <c r="D58" s="104">
        <f t="shared" ref="D58:V58" si="55">IF(D12=0,0,D12/D$3)</f>
        <v>1.1150119526916198E-2</v>
      </c>
      <c r="E58" s="104">
        <f t="shared" si="55"/>
        <v>1.0629346324596292E-2</v>
      </c>
      <c r="F58" s="104">
        <f t="shared" si="55"/>
        <v>1.1563347824778249E-2</v>
      </c>
      <c r="G58" s="104">
        <f t="shared" si="55"/>
        <v>1.1429881164374326E-2</v>
      </c>
      <c r="H58" s="104">
        <f t="shared" si="55"/>
        <v>1.1684525069745542E-2</v>
      </c>
      <c r="I58" s="104">
        <f t="shared" si="55"/>
        <v>1.1755909264680758E-2</v>
      </c>
      <c r="J58" s="104">
        <f t="shared" si="55"/>
        <v>1.1322431581224731E-2</v>
      </c>
      <c r="K58" s="104">
        <f t="shared" si="55"/>
        <v>1.1006102919734724E-2</v>
      </c>
      <c r="L58" s="104">
        <f t="shared" si="55"/>
        <v>9.7407300757376917E-3</v>
      </c>
      <c r="M58" s="104">
        <f t="shared" si="55"/>
        <v>8.8182517105137616E-3</v>
      </c>
      <c r="N58" s="104">
        <f t="shared" si="55"/>
        <v>8.5101792619395721E-3</v>
      </c>
      <c r="O58" s="104">
        <f t="shared" si="55"/>
        <v>8.6396867964349967E-3</v>
      </c>
      <c r="P58" s="104">
        <f t="shared" si="55"/>
        <v>7.7550889453232809E-3</v>
      </c>
      <c r="Q58" s="104">
        <f t="shared" si="55"/>
        <v>7.815384095027746E-3</v>
      </c>
      <c r="R58" s="104">
        <f t="shared" si="55"/>
        <v>6.848826133446723E-3</v>
      </c>
      <c r="S58" s="104">
        <f t="shared" si="55"/>
        <v>7.2820465716754582E-3</v>
      </c>
      <c r="T58" s="104">
        <f t="shared" si="55"/>
        <v>7.0533607991307128E-3</v>
      </c>
      <c r="U58" s="104">
        <f t="shared" si="55"/>
        <v>6.7143163800803133E-3</v>
      </c>
      <c r="V58" s="104">
        <f t="shared" si="55"/>
        <v>1.7027192038384053E-2</v>
      </c>
      <c r="W58" s="104">
        <f t="shared" ref="W58:Y58" si="56">IF(W12=0,0,W12/W$3)</f>
        <v>1.6089414441354911E-2</v>
      </c>
      <c r="X58" s="104">
        <f t="shared" si="56"/>
        <v>1.0783257613887744E-2</v>
      </c>
      <c r="Y58" s="104">
        <f t="shared" si="56"/>
        <v>8.883143984756002E-3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4.0456909493227805E-2</v>
      </c>
      <c r="C59" s="105">
        <f t="shared" si="57"/>
        <v>1.3602414718144773E-2</v>
      </c>
      <c r="D59" s="105">
        <f t="shared" ref="D59:V59" si="58">IF(D13=0,0,D13/D$3)</f>
        <v>3.4681241548815897E-2</v>
      </c>
      <c r="E59" s="105">
        <f t="shared" si="58"/>
        <v>3.4330064722793686E-2</v>
      </c>
      <c r="F59" s="105">
        <f t="shared" si="58"/>
        <v>3.3811585478078089E-2</v>
      </c>
      <c r="G59" s="105">
        <f t="shared" si="58"/>
        <v>3.8120574780446774E-2</v>
      </c>
      <c r="H59" s="105">
        <f t="shared" si="58"/>
        <v>4.1871941162323512E-2</v>
      </c>
      <c r="I59" s="105">
        <f t="shared" si="58"/>
        <v>4.361961481708973E-2</v>
      </c>
      <c r="J59" s="105">
        <f t="shared" si="58"/>
        <v>4.0827803458435799E-2</v>
      </c>
      <c r="K59" s="105">
        <f t="shared" si="58"/>
        <v>3.5325116510161708E-2</v>
      </c>
      <c r="L59" s="105">
        <f t="shared" si="58"/>
        <v>4.3764948377643172E-2</v>
      </c>
      <c r="M59" s="105">
        <f t="shared" si="58"/>
        <v>4.5196941634493282E-2</v>
      </c>
      <c r="N59" s="105">
        <f t="shared" si="58"/>
        <v>3.7425856541203527E-2</v>
      </c>
      <c r="O59" s="105">
        <f t="shared" si="58"/>
        <v>4.1715292631626398E-2</v>
      </c>
      <c r="P59" s="105">
        <f t="shared" si="58"/>
        <v>4.2125807769246161E-2</v>
      </c>
      <c r="Q59" s="105">
        <f t="shared" si="58"/>
        <v>4.8158607914151219E-2</v>
      </c>
      <c r="R59" s="105">
        <f t="shared" si="58"/>
        <v>4.7824822100528928E-2</v>
      </c>
      <c r="S59" s="105">
        <f t="shared" si="58"/>
        <v>5.0298864209926984E-2</v>
      </c>
      <c r="T59" s="105">
        <f t="shared" si="58"/>
        <v>4.4587108755748776E-2</v>
      </c>
      <c r="U59" s="105">
        <f t="shared" si="58"/>
        <v>4.2325350320060955E-2</v>
      </c>
      <c r="V59" s="105">
        <f t="shared" si="58"/>
        <v>0.12121742392074465</v>
      </c>
      <c r="W59" s="105">
        <f t="shared" ref="W59:Y59" si="59">IF(W13=0,0,W13/W$3)</f>
        <v>0.11442229661821694</v>
      </c>
      <c r="X59" s="105">
        <f t="shared" si="59"/>
        <v>4.9660091748724156E-2</v>
      </c>
      <c r="Y59" s="105">
        <f t="shared" si="59"/>
        <v>3.8793730957509383E-2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71053417</v>
      </c>
      <c r="C4" s="11">
        <f t="shared" si="0"/>
        <v>65725293</v>
      </c>
      <c r="D4" s="11">
        <f t="shared" ref="D4" si="1">SUM(D5:D7)</f>
        <v>66403929</v>
      </c>
      <c r="E4" s="11">
        <f t="shared" ref="E4" si="2">SUM(E5:E7)</f>
        <v>77258424</v>
      </c>
      <c r="F4" s="11">
        <f t="shared" ref="F4" si="3">SUM(F5:F7)</f>
        <v>81867511</v>
      </c>
      <c r="G4" s="11">
        <f t="shared" ref="G4" si="4">SUM(G5:G7)</f>
        <v>86091061</v>
      </c>
      <c r="H4" s="11">
        <f t="shared" ref="H4" si="5">SUM(H5:H7)</f>
        <v>92159218</v>
      </c>
      <c r="I4" s="11">
        <f t="shared" ref="I4" si="6">SUM(I5:I7)</f>
        <v>100427870</v>
      </c>
      <c r="J4" s="11">
        <f t="shared" ref="J4" si="7">SUM(J5:J7)</f>
        <v>99744987</v>
      </c>
      <c r="K4" s="11">
        <f t="shared" ref="K4" si="8">SUM(K5:K7)</f>
        <v>97040439</v>
      </c>
      <c r="L4" s="11">
        <f t="shared" ref="L4" si="9">SUM(L5:L7)</f>
        <v>102802192</v>
      </c>
      <c r="M4" s="11">
        <f t="shared" ref="M4" si="10">SUM(M5:M7)</f>
        <v>102684670</v>
      </c>
      <c r="N4" s="11">
        <f t="shared" ref="N4" si="11">SUM(N5:N7)</f>
        <v>99310133</v>
      </c>
      <c r="O4" s="11">
        <f t="shared" ref="O4" si="12">SUM(O5:O7)</f>
        <v>98192031</v>
      </c>
      <c r="P4" s="11">
        <f t="shared" ref="P4" si="13">SUM(P5:P7)</f>
        <v>96419501</v>
      </c>
      <c r="Q4" s="11">
        <f t="shared" ref="Q4" si="14">SUM(Q5:Q7)</f>
        <v>98327326</v>
      </c>
      <c r="R4" s="11">
        <f t="shared" ref="R4" si="15">SUM(R5:R7)</f>
        <v>99399203</v>
      </c>
      <c r="S4" s="11">
        <f t="shared" ref="S4" si="16">SUM(S5:S7)</f>
        <v>106082571</v>
      </c>
      <c r="T4" s="11">
        <f t="shared" ref="T4" si="17">SUM(T5:T7)</f>
        <v>117089868</v>
      </c>
      <c r="U4" s="11">
        <f t="shared" ref="U4" si="18">SUM(U5:U7)</f>
        <v>119976145</v>
      </c>
      <c r="V4" s="11">
        <f t="shared" ref="V4:W4" si="19">SUM(V5:V7)</f>
        <v>44214709</v>
      </c>
      <c r="W4" s="11">
        <f t="shared" si="19"/>
        <v>59907066</v>
      </c>
      <c r="X4" s="11">
        <f t="shared" ref="X4:Y4" si="20">SUM(X5:X7)</f>
        <v>108518025</v>
      </c>
      <c r="Y4" s="11">
        <f t="shared" si="20"/>
        <v>120409382</v>
      </c>
      <c r="DA4" s="189" t="s">
        <v>362</v>
      </c>
    </row>
    <row r="5" spans="1:105" ht="11.45" customHeight="1" x14ac:dyDescent="0.25">
      <c r="A5" s="83" t="s">
        <v>27</v>
      </c>
      <c r="B5" s="84">
        <v>38315916</v>
      </c>
      <c r="C5" s="84">
        <v>35552354</v>
      </c>
      <c r="D5" s="84">
        <v>35856577</v>
      </c>
      <c r="E5" s="84">
        <v>39779144</v>
      </c>
      <c r="F5" s="84">
        <v>40253219</v>
      </c>
      <c r="G5" s="84">
        <v>40744409</v>
      </c>
      <c r="H5" s="84">
        <v>42992062</v>
      </c>
      <c r="I5" s="84">
        <v>45560477</v>
      </c>
      <c r="J5" s="84">
        <v>44758844</v>
      </c>
      <c r="K5" s="84">
        <v>45220781</v>
      </c>
      <c r="L5" s="84">
        <v>48518500</v>
      </c>
      <c r="M5" s="84">
        <v>45363912</v>
      </c>
      <c r="N5" s="84">
        <v>42112355</v>
      </c>
      <c r="O5" s="84">
        <v>39799649</v>
      </c>
      <c r="P5" s="84">
        <v>36658746</v>
      </c>
      <c r="Q5" s="84">
        <v>37124271</v>
      </c>
      <c r="R5" s="84">
        <v>36809855</v>
      </c>
      <c r="S5" s="84">
        <v>38539924</v>
      </c>
      <c r="T5" s="84">
        <v>41113417</v>
      </c>
      <c r="U5" s="84">
        <v>41367068</v>
      </c>
      <c r="V5" s="84">
        <v>20047278</v>
      </c>
      <c r="W5" s="84">
        <v>29196018</v>
      </c>
      <c r="X5" s="84">
        <v>42963437</v>
      </c>
      <c r="Y5" s="84">
        <v>42760067</v>
      </c>
      <c r="DA5" s="171" t="s">
        <v>363</v>
      </c>
    </row>
    <row r="6" spans="1:105" ht="11.45" customHeight="1" x14ac:dyDescent="0.25">
      <c r="A6" s="83" t="s">
        <v>181</v>
      </c>
      <c r="B6" s="84">
        <v>25588172</v>
      </c>
      <c r="C6" s="84">
        <v>23606037</v>
      </c>
      <c r="D6" s="84">
        <v>23956556</v>
      </c>
      <c r="E6" s="84">
        <v>29883098</v>
      </c>
      <c r="F6" s="84">
        <v>32543544</v>
      </c>
      <c r="G6" s="84">
        <v>35460586</v>
      </c>
      <c r="H6" s="84">
        <v>38431420</v>
      </c>
      <c r="I6" s="84">
        <v>43193498</v>
      </c>
      <c r="J6" s="84">
        <v>42337841</v>
      </c>
      <c r="K6" s="84">
        <v>39674912</v>
      </c>
      <c r="L6" s="84">
        <v>41110822</v>
      </c>
      <c r="M6" s="84">
        <v>44713341</v>
      </c>
      <c r="N6" s="84">
        <v>42916831</v>
      </c>
      <c r="O6" s="84">
        <v>43138680</v>
      </c>
      <c r="P6" s="84">
        <v>44391592</v>
      </c>
      <c r="Q6" s="84">
        <v>46765799</v>
      </c>
      <c r="R6" s="84">
        <v>48909048</v>
      </c>
      <c r="S6" s="84">
        <v>52209060</v>
      </c>
      <c r="T6" s="84">
        <v>56867670</v>
      </c>
      <c r="U6" s="84">
        <v>59170668</v>
      </c>
      <c r="V6" s="84">
        <v>18476830</v>
      </c>
      <c r="W6" s="84">
        <v>24485061</v>
      </c>
      <c r="X6" s="84">
        <v>52763681</v>
      </c>
      <c r="Y6" s="84">
        <v>60298636</v>
      </c>
      <c r="DA6" s="171" t="s">
        <v>364</v>
      </c>
    </row>
    <row r="7" spans="1:105" ht="11.45" customHeight="1" x14ac:dyDescent="0.25">
      <c r="A7" s="85" t="s">
        <v>182</v>
      </c>
      <c r="B7" s="86">
        <v>7149329</v>
      </c>
      <c r="C7" s="86">
        <v>6566902</v>
      </c>
      <c r="D7" s="86">
        <v>6590796</v>
      </c>
      <c r="E7" s="86">
        <v>7596182</v>
      </c>
      <c r="F7" s="86">
        <v>9070748</v>
      </c>
      <c r="G7" s="86">
        <v>9886066</v>
      </c>
      <c r="H7" s="86">
        <v>10735736</v>
      </c>
      <c r="I7" s="86">
        <v>11673895</v>
      </c>
      <c r="J7" s="86">
        <v>12648302</v>
      </c>
      <c r="K7" s="86">
        <v>12144746</v>
      </c>
      <c r="L7" s="86">
        <v>13172870</v>
      </c>
      <c r="M7" s="86">
        <v>12607417</v>
      </c>
      <c r="N7" s="86">
        <v>14280947</v>
      </c>
      <c r="O7" s="86">
        <v>15253702</v>
      </c>
      <c r="P7" s="86">
        <v>15369163</v>
      </c>
      <c r="Q7" s="86">
        <v>14437256</v>
      </c>
      <c r="R7" s="86">
        <v>13680300</v>
      </c>
      <c r="S7" s="86">
        <v>15333587</v>
      </c>
      <c r="T7" s="86">
        <v>19108781</v>
      </c>
      <c r="U7" s="86">
        <v>19438409</v>
      </c>
      <c r="V7" s="86">
        <v>5690601</v>
      </c>
      <c r="W7" s="86">
        <v>6225987</v>
      </c>
      <c r="X7" s="86">
        <v>12790907</v>
      </c>
      <c r="Y7" s="86">
        <v>17350679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129.62758626980579</v>
      </c>
      <c r="C12" s="14">
        <f>IF(C4=0,0,C4/TrAvia_act!C24)</f>
        <v>130.73078231258691</v>
      </c>
      <c r="D12" s="14">
        <f>IF(D4=0,0,D4/TrAvia_act!D24)</f>
        <v>131.83517805630061</v>
      </c>
      <c r="E12" s="14">
        <f>IF(E4=0,0,E4/TrAvia_act!E24)</f>
        <v>131.39232446368865</v>
      </c>
      <c r="F12" s="14">
        <f>IF(F4=0,0,F4/TrAvia_act!F24)</f>
        <v>136.87838737075828</v>
      </c>
      <c r="G12" s="14">
        <f>IF(G4=0,0,G4/TrAvia_act!G24)</f>
        <v>137.17395654910334</v>
      </c>
      <c r="H12" s="14">
        <f>IF(H4=0,0,H4/TrAvia_act!H24)</f>
        <v>139.50771946236998</v>
      </c>
      <c r="I12" s="14">
        <f>IF(I4=0,0,I4/TrAvia_act!I24)</f>
        <v>137.07463717377033</v>
      </c>
      <c r="J12" s="14">
        <f>IF(J4=0,0,J4/TrAvia_act!J24)</f>
        <v>145.58740280913884</v>
      </c>
      <c r="K12" s="14">
        <f>IF(K4=0,0,K4/TrAvia_act!K24)</f>
        <v>148.22892742253302</v>
      </c>
      <c r="L12" s="14">
        <f>IF(L4=0,0,L4/TrAvia_act!L24)</f>
        <v>154.08672139526448</v>
      </c>
      <c r="M12" s="14">
        <f>IF(M4=0,0,M4/TrAvia_act!M24)</f>
        <v>152.92609007753185</v>
      </c>
      <c r="N12" s="14">
        <f>IF(N4=0,0,N4/TrAvia_act!N24)</f>
        <v>152.88925512196022</v>
      </c>
      <c r="O12" s="14">
        <f>IF(O4=0,0,O4/TrAvia_act!O24)</f>
        <v>160.67185101794368</v>
      </c>
      <c r="P12" s="14">
        <f>IF(P4=0,0,P4/TrAvia_act!P24)</f>
        <v>162.19078290007099</v>
      </c>
      <c r="Q12" s="14">
        <f>IF(Q4=0,0,Q4/TrAvia_act!Q24)</f>
        <v>158.35314371667334</v>
      </c>
      <c r="R12" s="14">
        <f>IF(R4=0,0,R4/TrAvia_act!R24)</f>
        <v>154.97708534722005</v>
      </c>
      <c r="S12" s="14">
        <f>IF(S4=0,0,S4/TrAvia_act!S24)</f>
        <v>160.64062528393089</v>
      </c>
      <c r="T12" s="14">
        <f>IF(T4=0,0,T4/TrAvia_act!T24)</f>
        <v>170.64364599819868</v>
      </c>
      <c r="U12" s="14">
        <f>IF(U4=0,0,U4/TrAvia_act!U24)</f>
        <v>169.66176152409182</v>
      </c>
      <c r="V12" s="14">
        <f>IF(V4=0,0,V4/TrAvia_act!V24)</f>
        <v>161.48365430619825</v>
      </c>
      <c r="W12" s="14">
        <f>IF(W4=0,0,W4/TrAvia_act!W24)</f>
        <v>160.75270080984043</v>
      </c>
      <c r="X12" s="14">
        <f>IF(X4=0,0,X4/TrAvia_act!X24)</f>
        <v>172.74768859003993</v>
      </c>
      <c r="Y12" s="14">
        <f>IF(Y4=0,0,Y4/TrAvia_act!Y24)</f>
        <v>172.45933341926983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139.05300327709409</v>
      </c>
      <c r="C13" s="87">
        <f>IF(C5=0,0,C5/TrAvia_act!C25)</f>
        <v>140.0360564046006</v>
      </c>
      <c r="D13" s="87">
        <f>IF(D5=0,0,D5/TrAvia_act!D25)</f>
        <v>140.85320171114088</v>
      </c>
      <c r="E13" s="87">
        <f>IF(E5=0,0,E5/TrAvia_act!E25)</f>
        <v>137.33094431728344</v>
      </c>
      <c r="F13" s="87">
        <f>IF(F5=0,0,F5/TrAvia_act!F25)</f>
        <v>143.11492364851654</v>
      </c>
      <c r="G13" s="87">
        <f>IF(G5=0,0,G5/TrAvia_act!G25)</f>
        <v>144.10098355785519</v>
      </c>
      <c r="H13" s="87">
        <f>IF(H5=0,0,H5/TrAvia_act!H25)</f>
        <v>143.28585807414913</v>
      </c>
      <c r="I13" s="87">
        <f>IF(I5=0,0,I5/TrAvia_act!I25)</f>
        <v>136.38860466578257</v>
      </c>
      <c r="J13" s="87">
        <f>IF(J5=0,0,J5/TrAvia_act!J25)</f>
        <v>144.67645423632391</v>
      </c>
      <c r="K13" s="87">
        <f>IF(K5=0,0,K5/TrAvia_act!K25)</f>
        <v>149.33566590602121</v>
      </c>
      <c r="L13" s="87">
        <f>IF(L5=0,0,L5/TrAvia_act!L25)</f>
        <v>161.75960685732574</v>
      </c>
      <c r="M13" s="87">
        <f>IF(M5=0,0,M5/TrAvia_act!M25)</f>
        <v>150.86855679531735</v>
      </c>
      <c r="N13" s="87">
        <f>IF(N5=0,0,N5/TrAvia_act!N25)</f>
        <v>150.02139226031227</v>
      </c>
      <c r="O13" s="87">
        <f>IF(O5=0,0,O5/TrAvia_act!O25)</f>
        <v>156.67179331737734</v>
      </c>
      <c r="P13" s="87">
        <f>IF(P5=0,0,P5/TrAvia_act!P25)</f>
        <v>157.17851905844017</v>
      </c>
      <c r="Q13" s="87">
        <f>IF(Q5=0,0,Q5/TrAvia_act!Q25)</f>
        <v>153.33258025078888</v>
      </c>
      <c r="R13" s="87">
        <f>IF(R5=0,0,R5/TrAvia_act!R25)</f>
        <v>152.53165842055975</v>
      </c>
      <c r="S13" s="87">
        <f>IF(S5=0,0,S5/TrAvia_act!S25)</f>
        <v>157.1634029573203</v>
      </c>
      <c r="T13" s="87">
        <f>IF(T5=0,0,T5/TrAvia_act!T25)</f>
        <v>165.85480943006519</v>
      </c>
      <c r="U13" s="87">
        <f>IF(U5=0,0,U5/TrAvia_act!U25)</f>
        <v>163.93385115320598</v>
      </c>
      <c r="V13" s="87">
        <f>IF(V5=0,0,V5/TrAvia_act!V25)</f>
        <v>157.59199748447449</v>
      </c>
      <c r="W13" s="87">
        <f>IF(W5=0,0,W5/TrAvia_act!W25)</f>
        <v>163.27408061918396</v>
      </c>
      <c r="X13" s="87">
        <f>IF(X5=0,0,X5/TrAvia_act!X25)</f>
        <v>173.37738849005058</v>
      </c>
      <c r="Y13" s="87">
        <f>IF(Y5=0,0,Y5/TrAvia_act!Y25)</f>
        <v>167.46718807522697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110.54734131715831</v>
      </c>
      <c r="C14" s="87">
        <f>IF(C6=0,0,C6/TrAvia_act!C26)</f>
        <v>111.70119527567998</v>
      </c>
      <c r="D14" s="87">
        <f>IF(D6=0,0,D6/TrAvia_act!D26)</f>
        <v>113.24674416076164</v>
      </c>
      <c r="E14" s="87">
        <f>IF(E6=0,0,E6/TrAvia_act!E26)</f>
        <v>116.99500434574939</v>
      </c>
      <c r="F14" s="87">
        <f>IF(F6=0,0,F6/TrAvia_act!F26)</f>
        <v>122.22330552874413</v>
      </c>
      <c r="G14" s="87">
        <f>IF(G6=0,0,G6/TrAvia_act!G26)</f>
        <v>123.17493608625577</v>
      </c>
      <c r="H14" s="87">
        <f>IF(H6=0,0,H6/TrAvia_act!H26)</f>
        <v>128.08125177050874</v>
      </c>
      <c r="I14" s="87">
        <f>IF(I6=0,0,I6/TrAvia_act!I26)</f>
        <v>130.34431166636489</v>
      </c>
      <c r="J14" s="87">
        <f>IF(J6=0,0,J6/TrAvia_act!J26)</f>
        <v>136.34453386405428</v>
      </c>
      <c r="K14" s="87">
        <f>IF(K6=0,0,K6/TrAvia_act!K26)</f>
        <v>137.75150164225846</v>
      </c>
      <c r="L14" s="87">
        <f>IF(L6=0,0,L6/TrAvia_act!L26)</f>
        <v>138.54809487540695</v>
      </c>
      <c r="M14" s="87">
        <f>IF(M6=0,0,M6/TrAvia_act!M26)</f>
        <v>147.80390257769787</v>
      </c>
      <c r="N14" s="87">
        <f>IF(N6=0,0,N6/TrAvia_act!N26)</f>
        <v>144.52301190416057</v>
      </c>
      <c r="O14" s="87">
        <f>IF(O6=0,0,O6/TrAvia_act!O26)</f>
        <v>152.36243165731884</v>
      </c>
      <c r="P14" s="87">
        <f>IF(P6=0,0,P6/TrAvia_act!P26)</f>
        <v>154.24297870418306</v>
      </c>
      <c r="Q14" s="87">
        <f>IF(Q6=0,0,Q6/TrAvia_act!Q26)</f>
        <v>152.48457410040041</v>
      </c>
      <c r="R14" s="87">
        <f>IF(R6=0,0,R6/TrAvia_act!R26)</f>
        <v>149.78424034545066</v>
      </c>
      <c r="S14" s="87">
        <f>IF(S6=0,0,S6/TrAvia_act!S26)</f>
        <v>155.35682722379107</v>
      </c>
      <c r="T14" s="87">
        <f>IF(T6=0,0,T6/TrAvia_act!T26)</f>
        <v>163.38936934348513</v>
      </c>
      <c r="U14" s="87">
        <f>IF(U6=0,0,U6/TrAvia_act!U26)</f>
        <v>165.39207289803221</v>
      </c>
      <c r="V14" s="87">
        <f>IF(V6=0,0,V6/TrAvia_act!V26)</f>
        <v>158.61573724332121</v>
      </c>
      <c r="W14" s="87">
        <f>IF(W6=0,0,W6/TrAvia_act!W26)</f>
        <v>157.73915928490899</v>
      </c>
      <c r="X14" s="87">
        <f>IF(X6=0,0,X6/TrAvia_act!X26)</f>
        <v>166.645656334683</v>
      </c>
      <c r="Y14" s="87">
        <f>IF(Y6=0,0,Y6/TrAvia_act!Y26)</f>
        <v>168.88434661565478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173.87346174424826</v>
      </c>
      <c r="C15" s="88">
        <f>IF(C7=0,0,C7/TrAvia_act!C27)</f>
        <v>174.92613409339123</v>
      </c>
      <c r="D15" s="88">
        <f>IF(D7=0,0,D7/TrAvia_act!D27)</f>
        <v>175.38508209372256</v>
      </c>
      <c r="E15" s="88">
        <f>IF(E7=0,0,E7/TrAvia_act!E27)</f>
        <v>176.99704079968311</v>
      </c>
      <c r="F15" s="88">
        <f>IF(F7=0,0,F7/TrAvia_act!F27)</f>
        <v>179.34886111989877</v>
      </c>
      <c r="G15" s="88">
        <f>IF(G7=0,0,G7/TrAvia_act!G27)</f>
        <v>173.53717876702711</v>
      </c>
      <c r="H15" s="88">
        <f>IF(H7=0,0,H7/TrAvia_act!H27)</f>
        <v>177.43845035039007</v>
      </c>
      <c r="I15" s="88">
        <f>IF(I7=0,0,I7/TrAvia_act!I27)</f>
        <v>173.66182202255214</v>
      </c>
      <c r="J15" s="88">
        <f>IF(J7=0,0,J7/TrAvia_act!J27)</f>
        <v>193.90908812166555</v>
      </c>
      <c r="K15" s="88">
        <f>IF(K7=0,0,K7/TrAvia_act!K27)</f>
        <v>190.25215007441059</v>
      </c>
      <c r="L15" s="88">
        <f>IF(L7=0,0,L7/TrAvia_act!L27)</f>
        <v>186.84126916585109</v>
      </c>
      <c r="M15" s="88">
        <f>IF(M7=0,0,M7/TrAvia_act!M27)</f>
        <v>184.68887977381598</v>
      </c>
      <c r="N15" s="88">
        <f>IF(N7=0,0,N7/TrAvia_act!N27)</f>
        <v>198.64445279029655</v>
      </c>
      <c r="O15" s="88">
        <f>IF(O7=0,0,O7/TrAvia_act!O27)</f>
        <v>206.21470866567526</v>
      </c>
      <c r="P15" s="88">
        <f>IF(P7=0,0,P7/TrAvia_act!P27)</f>
        <v>209.24945200070798</v>
      </c>
      <c r="Q15" s="88">
        <f>IF(Q7=0,0,Q7/TrAvia_act!Q27)</f>
        <v>200.15882654688127</v>
      </c>
      <c r="R15" s="88">
        <f>IF(R7=0,0,R7/TrAvia_act!R27)</f>
        <v>186.06577444099887</v>
      </c>
      <c r="S15" s="88">
        <f>IF(S7=0,0,S7/TrAvia_act!S27)</f>
        <v>193.8727162382572</v>
      </c>
      <c r="T15" s="88">
        <f>IF(T7=0,0,T7/TrAvia_act!T27)</f>
        <v>211.78327126834242</v>
      </c>
      <c r="U15" s="88">
        <f>IF(U7=0,0,U7/TrAvia_act!U27)</f>
        <v>200.29478923018269</v>
      </c>
      <c r="V15" s="88">
        <f>IF(V7=0,0,V7/TrAvia_act!V27)</f>
        <v>189.02511210762333</v>
      </c>
      <c r="W15" s="88">
        <f>IF(W7=0,0,W7/TrAvia_act!W27)</f>
        <v>161.19060194174756</v>
      </c>
      <c r="X15" s="88">
        <f>IF(X7=0,0,X7/TrAvia_act!X27)</f>
        <v>200.6007716073585</v>
      </c>
      <c r="Y15" s="88">
        <f>IF(Y7=0,0,Y7/TrAvia_act!Y27)</f>
        <v>202.18701858649419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0.63974696670815989</v>
      </c>
      <c r="C18" s="25">
        <f>IF(TrAvia_act!C34=0,0,(TrAvia_act!C34/TrAvia_act!C24)/TrAvia_png!C12)</f>
        <v>0.64101830630104595</v>
      </c>
      <c r="D18" s="25">
        <f>IF(TrAvia_act!D34=0,0,(TrAvia_act!D34/TrAvia_act!D24)/TrAvia_png!D12)</f>
        <v>0.64375077866250963</v>
      </c>
      <c r="E18" s="25">
        <f>IF(TrAvia_act!E34=0,0,(TrAvia_act!E34/TrAvia_act!E24)/TrAvia_png!E12)</f>
        <v>0.624658626223077</v>
      </c>
      <c r="F18" s="25">
        <f>IF(TrAvia_act!F34=0,0,(TrAvia_act!F34/TrAvia_act!F24)/TrAvia_png!F12)</f>
        <v>0.64545478853021432</v>
      </c>
      <c r="G18" s="25">
        <f>IF(TrAvia_act!G34=0,0,(TrAvia_act!G34/TrAvia_act!G24)/TrAvia_png!G12)</f>
        <v>0.66128419534752858</v>
      </c>
      <c r="H18" s="25">
        <f>IF(TrAvia_act!H34=0,0,(TrAvia_act!H34/TrAvia_act!H24)/TrAvia_png!H12)</f>
        <v>0.67035637173049811</v>
      </c>
      <c r="I18" s="25">
        <f>IF(TrAvia_act!I34=0,0,(TrAvia_act!I34/TrAvia_act!I24)/TrAvia_png!I12)</f>
        <v>0.68793201528619496</v>
      </c>
      <c r="J18" s="25">
        <f>IF(TrAvia_act!J34=0,0,(TrAvia_act!J34/TrAvia_act!J24)/TrAvia_png!J12)</f>
        <v>0.66932895585018215</v>
      </c>
      <c r="K18" s="25">
        <f>IF(TrAvia_act!K34=0,0,(TrAvia_act!K34/TrAvia_act!K24)/TrAvia_png!K12)</f>
        <v>0.67432456689525078</v>
      </c>
      <c r="L18" s="25">
        <f>IF(TrAvia_act!L34=0,0,(TrAvia_act!L34/TrAvia_act!L24)/TrAvia_png!L12)</f>
        <v>0.68011326061996813</v>
      </c>
      <c r="M18" s="25">
        <f>IF(TrAvia_act!M34=0,0,(TrAvia_act!M34/TrAvia_act!M24)/TrAvia_png!M12)</f>
        <v>0.72395433515051466</v>
      </c>
      <c r="N18" s="25">
        <f>IF(TrAvia_act!N34=0,0,(TrAvia_act!N34/TrAvia_act!N24)/TrAvia_png!N12)</f>
        <v>0.73989118512206609</v>
      </c>
      <c r="O18" s="25">
        <f>IF(TrAvia_act!O34=0,0,(TrAvia_act!O34/TrAvia_act!O24)/TrAvia_png!O12)</f>
        <v>0.73532432586102636</v>
      </c>
      <c r="P18" s="25">
        <f>IF(TrAvia_act!P34=0,0,(TrAvia_act!P34/TrAvia_act!P24)/TrAvia_png!P12)</f>
        <v>0.75754830965159214</v>
      </c>
      <c r="Q18" s="25">
        <f>IF(TrAvia_act!Q34=0,0,(TrAvia_act!Q34/TrAvia_act!Q24)/TrAvia_png!Q12)</f>
        <v>0.80001354862431628</v>
      </c>
      <c r="R18" s="25">
        <f>IF(TrAvia_act!R34=0,0,(TrAvia_act!R34/TrAvia_act!R24)/TrAvia_png!R12)</f>
        <v>0.82813340062696483</v>
      </c>
      <c r="S18" s="25">
        <f>IF(TrAvia_act!S34=0,0,(TrAvia_act!S34/TrAvia_act!S24)/TrAvia_png!S12)</f>
        <v>0.82607234321272249</v>
      </c>
      <c r="T18" s="25">
        <f>IF(TrAvia_act!T34=0,0,(TrAvia_act!T34/TrAvia_act!T24)/TrAvia_png!T12)</f>
        <v>0.79341621599573409</v>
      </c>
      <c r="U18" s="25">
        <f>IF(TrAvia_act!U34=0,0,(TrAvia_act!U34/TrAvia_act!U24)/TrAvia_png!U12)</f>
        <v>0.8067189523384003</v>
      </c>
      <c r="V18" s="25">
        <f>IF(TrAvia_act!V34=0,0,(TrAvia_act!V34/TrAvia_act!V24)/TrAvia_png!V12)</f>
        <v>0.60088863188039987</v>
      </c>
      <c r="W18" s="25">
        <f>IF(TrAvia_act!W34=0,0,(TrAvia_act!W34/TrAvia_act!W24)/TrAvia_png!W12)</f>
        <v>0.67605392325506319</v>
      </c>
      <c r="X18" s="25">
        <f>IF(TrAvia_act!X34=0,0,(TrAvia_act!X34/TrAvia_act!X24)/TrAvia_png!X12)</f>
        <v>0.76217649556375544</v>
      </c>
      <c r="Y18" s="25">
        <f>IF(TrAvia_act!Y34=0,0,(TrAvia_act!Y34/TrAvia_act!Y24)/TrAvia_png!Y12)</f>
        <v>0.82238828366380956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0.58492431709057935</v>
      </c>
      <c r="C19" s="89">
        <f>IF(TrAvia_act!C35=0,0,(TrAvia_act!C35/TrAvia_act!C25)/TrAvia_png!C13)</f>
        <v>0.58658979374474052</v>
      </c>
      <c r="D19" s="89">
        <f>IF(TrAvia_act!D35=0,0,(TrAvia_act!D35/TrAvia_act!D25)/TrAvia_png!D13)</f>
        <v>0.59038981886084663</v>
      </c>
      <c r="E19" s="89">
        <f>IF(TrAvia_act!E35=0,0,(TrAvia_act!E35/TrAvia_act!E25)/TrAvia_png!E13)</f>
        <v>0.5930052692938792</v>
      </c>
      <c r="F19" s="89">
        <f>IF(TrAvia_act!F35=0,0,(TrAvia_act!F35/TrAvia_act!F25)/TrAvia_png!F13)</f>
        <v>0.59550089646246673</v>
      </c>
      <c r="G19" s="89">
        <f>IF(TrAvia_act!G35=0,0,(TrAvia_act!G35/TrAvia_act!G25)/TrAvia_png!G13)</f>
        <v>0.60312660321076206</v>
      </c>
      <c r="H19" s="89">
        <f>IF(TrAvia_act!H35=0,0,(TrAvia_act!H35/TrAvia_act!H25)/TrAvia_png!H13)</f>
        <v>0.60925472707031358</v>
      </c>
      <c r="I19" s="89">
        <f>IF(TrAvia_act!I35=0,0,(TrAvia_act!I35/TrAvia_act!I25)/TrAvia_png!I13)</f>
        <v>0.64347293817841278</v>
      </c>
      <c r="J19" s="89">
        <f>IF(TrAvia_act!J35=0,0,(TrAvia_act!J35/TrAvia_act!J25)/TrAvia_png!J13)</f>
        <v>0.62900540952308781</v>
      </c>
      <c r="K19" s="89">
        <f>IF(TrAvia_act!K35=0,0,(TrAvia_act!K35/TrAvia_act!K25)/TrAvia_png!K13)</f>
        <v>0.62979719434743953</v>
      </c>
      <c r="L19" s="89">
        <f>IF(TrAvia_act!L35=0,0,(TrAvia_act!L35/TrAvia_act!L25)/TrAvia_png!L13)</f>
        <v>0.61885779651060946</v>
      </c>
      <c r="M19" s="89">
        <f>IF(TrAvia_act!M35=0,0,(TrAvia_act!M35/TrAvia_act!M25)/TrAvia_png!M13)</f>
        <v>0.70458092326781707</v>
      </c>
      <c r="N19" s="89">
        <f>IF(TrAvia_act!N35=0,0,(TrAvia_act!N35/TrAvia_act!N25)/TrAvia_png!N13)</f>
        <v>0.71953663004598067</v>
      </c>
      <c r="O19" s="89">
        <f>IF(TrAvia_act!O35=0,0,(TrAvia_act!O35/TrAvia_act!O25)/TrAvia_png!O13)</f>
        <v>0.71605480741802519</v>
      </c>
      <c r="P19" s="89">
        <f>IF(TrAvia_act!P35=0,0,(TrAvia_act!P35/TrAvia_act!P25)/TrAvia_png!P13)</f>
        <v>0.74126668162626186</v>
      </c>
      <c r="Q19" s="89">
        <f>IF(TrAvia_act!Q35=0,0,(TrAvia_act!Q35/TrAvia_act!Q25)/TrAvia_png!Q13)</f>
        <v>0.79328499137397201</v>
      </c>
      <c r="R19" s="89">
        <f>IF(TrAvia_act!R35=0,0,(TrAvia_act!R35/TrAvia_act!R25)/TrAvia_png!R13)</f>
        <v>0.81404754243123201</v>
      </c>
      <c r="S19" s="89">
        <f>IF(TrAvia_act!S35=0,0,(TrAvia_act!S35/TrAvia_act!S25)/TrAvia_png!S13)</f>
        <v>0.80096551306120889</v>
      </c>
      <c r="T19" s="89">
        <f>IF(TrAvia_act!T35=0,0,(TrAvia_act!T35/TrAvia_act!T25)/TrAvia_png!T13)</f>
        <v>0.77568814092976024</v>
      </c>
      <c r="U19" s="89">
        <f>IF(TrAvia_act!U35=0,0,(TrAvia_act!U35/TrAvia_act!U25)/TrAvia_png!U13)</f>
        <v>0.78114291300509875</v>
      </c>
      <c r="V19" s="89">
        <f>IF(TrAvia_act!V35=0,0,(TrAvia_act!V35/TrAvia_act!V25)/TrAvia_png!V13)</f>
        <v>0.62506740316565668</v>
      </c>
      <c r="W19" s="89">
        <f>IF(TrAvia_act!W35=0,0,(TrAvia_act!W35/TrAvia_act!W25)/TrAvia_png!W13)</f>
        <v>0.72119876073511124</v>
      </c>
      <c r="X19" s="89">
        <f>IF(TrAvia_act!X35=0,0,(TrAvia_act!X35/TrAvia_act!X25)/TrAvia_png!X13)</f>
        <v>0.74853911245508586</v>
      </c>
      <c r="Y19" s="89">
        <f>IF(TrAvia_act!Y35=0,0,(TrAvia_act!Y35/TrAvia_act!Y25)/TrAvia_png!Y13)</f>
        <v>0.80174179801916579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0.67755250355515817</v>
      </c>
      <c r="C20" s="89">
        <f>IF(TrAvia_act!C36=0,0,(TrAvia_act!C36/TrAvia_act!C26)/TrAvia_png!C14)</f>
        <v>0.679945769804563</v>
      </c>
      <c r="D20" s="89">
        <f>IF(TrAvia_act!D36=0,0,(TrAvia_act!D36/TrAvia_act!D26)/TrAvia_png!D14)</f>
        <v>0.68179637340191968</v>
      </c>
      <c r="E20" s="89">
        <f>IF(TrAvia_act!E36=0,0,(TrAvia_act!E36/TrAvia_act!E26)/TrAvia_png!E14)</f>
        <v>0.64408569687118777</v>
      </c>
      <c r="F20" s="89">
        <f>IF(TrAvia_act!F36=0,0,(TrAvia_act!F36/TrAvia_act!F26)/TrAvia_png!F14)</f>
        <v>0.67473398103169102</v>
      </c>
      <c r="G20" s="89">
        <f>IF(TrAvia_act!G36=0,0,(TrAvia_act!G36/TrAvia_act!G26)/TrAvia_png!G14)</f>
        <v>0.69973076587059224</v>
      </c>
      <c r="H20" s="89">
        <f>IF(TrAvia_act!H36=0,0,(TrAvia_act!H36/TrAvia_act!H26)/TrAvia_png!H14)</f>
        <v>0.71694158061294633</v>
      </c>
      <c r="I20" s="89">
        <f>IF(TrAvia_act!I36=0,0,(TrAvia_act!I36/TrAvia_act!I26)/TrAvia_png!I14)</f>
        <v>0.71113656967537109</v>
      </c>
      <c r="J20" s="89">
        <f>IF(TrAvia_act!J36=0,0,(TrAvia_act!J36/TrAvia_act!J26)/TrAvia_png!J14)</f>
        <v>0.70430098218754233</v>
      </c>
      <c r="K20" s="89">
        <f>IF(TrAvia_act!K36=0,0,(TrAvia_act!K36/TrAvia_act!K26)/TrAvia_png!K14)</f>
        <v>0.71690437523843786</v>
      </c>
      <c r="L20" s="89">
        <f>IF(TrAvia_act!L36=0,0,(TrAvia_act!L36/TrAvia_act!L26)/TrAvia_png!L14)</f>
        <v>0.73554063209925602</v>
      </c>
      <c r="M20" s="89">
        <f>IF(TrAvia_act!M36=0,0,(TrAvia_act!M36/TrAvia_act!M26)/TrAvia_png!M14)</f>
        <v>0.73825934859128506</v>
      </c>
      <c r="N20" s="89">
        <f>IF(TrAvia_act!N36=0,0,(TrAvia_act!N36/TrAvia_act!N26)/TrAvia_png!N14)</f>
        <v>0.77165140641442043</v>
      </c>
      <c r="O20" s="89">
        <f>IF(TrAvia_act!O36=0,0,(TrAvia_act!O36/TrAvia_act!O26)/TrAvia_png!O14)</f>
        <v>0.77119833059333298</v>
      </c>
      <c r="P20" s="89">
        <f>IF(TrAvia_act!P36=0,0,(TrAvia_act!P36/TrAvia_act!P26)/TrAvia_png!P14)</f>
        <v>0.79036142700176204</v>
      </c>
      <c r="Q20" s="89">
        <f>IF(TrAvia_act!Q36=0,0,(TrAvia_act!Q36/TrAvia_act!Q26)/TrAvia_png!Q14)</f>
        <v>0.82054592930188142</v>
      </c>
      <c r="R20" s="89">
        <f>IF(TrAvia_act!R36=0,0,(TrAvia_act!R36/TrAvia_act!R26)/TrAvia_png!R14)</f>
        <v>0.84307821734743227</v>
      </c>
      <c r="S20" s="89">
        <f>IF(TrAvia_act!S36=0,0,(TrAvia_act!S36/TrAvia_act!S26)/TrAvia_png!S14)</f>
        <v>0.85013288881278448</v>
      </c>
      <c r="T20" s="89">
        <f>IF(TrAvia_act!T36=0,0,(TrAvia_act!T36/TrAvia_act!T26)/TrAvia_png!T14)</f>
        <v>0.82518267409232693</v>
      </c>
      <c r="U20" s="89">
        <f>IF(TrAvia_act!U36=0,0,(TrAvia_act!U36/TrAvia_act!U26)/TrAvia_png!U14)</f>
        <v>0.82911044708841208</v>
      </c>
      <c r="V20" s="89">
        <f>IF(TrAvia_act!V36=0,0,(TrAvia_act!V36/TrAvia_act!V26)/TrAvia_png!V14)</f>
        <v>0.59772509678337671</v>
      </c>
      <c r="W20" s="89">
        <f>IF(TrAvia_act!W36=0,0,(TrAvia_act!W36/TrAvia_act!W26)/TrAvia_png!W14)</f>
        <v>0.64545070972051088</v>
      </c>
      <c r="X20" s="89">
        <f>IF(TrAvia_act!X36=0,0,(TrAvia_act!X36/TrAvia_act!X26)/TrAvia_png!X14)</f>
        <v>0.77453358494832847</v>
      </c>
      <c r="Y20" s="89">
        <f>IF(TrAvia_act!Y36=0,0,(TrAvia_act!Y36/TrAvia_act!Y26)/TrAvia_png!Y14)</f>
        <v>0.8305074761558453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0.79825211568805965</v>
      </c>
      <c r="C21" s="90">
        <f>IF(TrAvia_act!C37=0,0,(TrAvia_act!C37/TrAvia_act!C27)/TrAvia_png!C15)</f>
        <v>0.79575468006070438</v>
      </c>
      <c r="D21" s="90">
        <f>IF(TrAvia_act!D37=0,0,(TrAvia_act!D37/TrAvia_act!D27)/TrAvia_png!D15)</f>
        <v>0.79576579217442023</v>
      </c>
      <c r="E21" s="90">
        <f>IF(TrAvia_act!E37=0,0,(TrAvia_act!E37/TrAvia_act!E27)/TrAvia_png!E15)</f>
        <v>0.71399329294637748</v>
      </c>
      <c r="F21" s="90">
        <f>IF(TrAvia_act!F37=0,0,(TrAvia_act!F37/TrAvia_act!F27)/TrAvia_png!F15)</f>
        <v>0.76208863921696424</v>
      </c>
      <c r="G21" s="90">
        <f>IF(TrAvia_act!G37=0,0,(TrAvia_act!G37/TrAvia_act!G27)/TrAvia_png!G15)</f>
        <v>0.76306975899210061</v>
      </c>
      <c r="H21" s="90">
        <f>IF(TrAvia_act!H37=0,0,(TrAvia_act!H37/TrAvia_act!H27)/TrAvia_png!H15)</f>
        <v>0.74827836675566528</v>
      </c>
      <c r="I21" s="90">
        <f>IF(TrAvia_act!I37=0,0,(TrAvia_act!I37/TrAvia_act!I27)/TrAvia_png!I15)</f>
        <v>0.77558835333022946</v>
      </c>
      <c r="J21" s="90">
        <f>IF(TrAvia_act!J37=0,0,(TrAvia_act!J37/TrAvia_act!J27)/TrAvia_png!J15)</f>
        <v>0.69496047769890368</v>
      </c>
      <c r="K21" s="90">
        <f>IF(TrAvia_act!K37=0,0,(TrAvia_act!K37/TrAvia_act!K27)/TrAvia_png!K15)</f>
        <v>0.70102026011906715</v>
      </c>
      <c r="L21" s="90">
        <f>IF(TrAvia_act!L37=0,0,(TrAvia_act!L37/TrAvia_act!L27)/TrAvia_png!L15)</f>
        <v>0.73274859616772958</v>
      </c>
      <c r="M21" s="90">
        <f>IF(TrAvia_act!M37=0,0,(TrAvia_act!M37/TrAvia_act!M27)/TrAvia_png!M15)</f>
        <v>0.74292957867579068</v>
      </c>
      <c r="N21" s="90">
        <f>IF(TrAvia_act!N37=0,0,(TrAvia_act!N37/TrAvia_act!N27)/TrAvia_png!N15)</f>
        <v>0.70446847817585201</v>
      </c>
      <c r="O21" s="90">
        <f>IF(TrAvia_act!O37=0,0,(TrAvia_act!O37/TrAvia_act!O27)/TrAvia_png!O15)</f>
        <v>0.68414742860454469</v>
      </c>
      <c r="P21" s="90">
        <f>IF(TrAvia_act!P37=0,0,(TrAvia_act!P37/TrAvia_act!P27)/TrAvia_png!P15)</f>
        <v>0.70160756314446016</v>
      </c>
      <c r="Q21" s="90">
        <f>IF(TrAvia_act!Q37=0,0,(TrAvia_act!Q37/TrAvia_act!Q27)/TrAvia_png!Q15)</f>
        <v>0.75080610886168409</v>
      </c>
      <c r="R21" s="90">
        <f>IF(TrAvia_act!R37=0,0,(TrAvia_act!R37/TrAvia_act!R27)/TrAvia_png!R15)</f>
        <v>0.81260462124368615</v>
      </c>
      <c r="S21" s="90">
        <f>IF(TrAvia_act!S37=0,0,(TrAvia_act!S37/TrAvia_act!S27)/TrAvia_png!S15)</f>
        <v>0.80725331913530729</v>
      </c>
      <c r="T21" s="90">
        <f>IF(TrAvia_act!T37=0,0,(TrAvia_act!T37/TrAvia_act!T27)/TrAvia_png!T15)</f>
        <v>0.73702210517771916</v>
      </c>
      <c r="U21" s="90">
        <f>IF(TrAvia_act!U37=0,0,(TrAvia_act!U37/TrAvia_act!U27)/TrAvia_png!U15)</f>
        <v>0.79298768741824499</v>
      </c>
      <c r="V21" s="90">
        <f>IF(TrAvia_act!V37=0,0,(TrAvia_act!V37/TrAvia_act!V27)/TrAvia_png!V15)</f>
        <v>0.52598152638007833</v>
      </c>
      <c r="W21" s="90">
        <f>IF(TrAvia_act!W37=0,0,(TrAvia_act!W37/TrAvia_act!W27)/TrAvia_png!W15)</f>
        <v>0.58470648910767087</v>
      </c>
      <c r="X21" s="90">
        <f>IF(TrAvia_act!X37=0,0,(TrAvia_act!X37/TrAvia_act!X27)/TrAvia_png!X15)</f>
        <v>0.75700902211234911</v>
      </c>
      <c r="Y21" s="90">
        <f>IF(TrAvia_act!Y37=0,0,(TrAvia_act!Y37/TrAvia_act!Y27)/TrAvia_png!Y15)</f>
        <v>0.84505419067461285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4.3024892665524367E-2</v>
      </c>
      <c r="C24" s="23">
        <f>IF(TrAvia_ene!C6=0,0,TrAvia_ene!C6/(C12*TrAvia_act!C14))</f>
        <v>4.3790685208789322E-2</v>
      </c>
      <c r="D24" s="23">
        <f>IF(TrAvia_ene!D6=0,0,TrAvia_ene!D6/(D12*TrAvia_act!D14))</f>
        <v>4.2113258118401102E-2</v>
      </c>
      <c r="E24" s="23">
        <f>IF(TrAvia_ene!E6=0,0,TrAvia_ene!E6/(E12*TrAvia_act!E14))</f>
        <v>4.0552260799757586E-2</v>
      </c>
      <c r="F24" s="23">
        <f>IF(TrAvia_ene!F6=0,0,TrAvia_ene!F6/(F12*TrAvia_act!F14))</f>
        <v>3.6326710058958302E-2</v>
      </c>
      <c r="G24" s="23">
        <f>IF(TrAvia_ene!G6=0,0,TrAvia_ene!G6/(G12*TrAvia_act!G14))</f>
        <v>3.5423935742892119E-2</v>
      </c>
      <c r="H24" s="23">
        <f>IF(TrAvia_ene!H6=0,0,TrAvia_ene!H6/(H12*TrAvia_act!H14))</f>
        <v>3.5523821902455698E-2</v>
      </c>
      <c r="I24" s="23">
        <f>IF(TrAvia_ene!I6=0,0,TrAvia_ene!I6/(I12*TrAvia_act!I14))</f>
        <v>3.4633450398234795E-2</v>
      </c>
      <c r="J24" s="23">
        <f>IF(TrAvia_ene!J6=0,0,TrAvia_ene!J6/(J12*TrAvia_act!J14))</f>
        <v>3.3334015479912743E-2</v>
      </c>
      <c r="K24" s="23">
        <f>IF(TrAvia_ene!K6=0,0,TrAvia_ene!K6/(K12*TrAvia_act!K14))</f>
        <v>3.138803303781218E-2</v>
      </c>
      <c r="L24" s="23">
        <f>IF(TrAvia_ene!L6=0,0,TrAvia_ene!L6/(L12*TrAvia_act!L14))</f>
        <v>3.0408226339440559E-2</v>
      </c>
      <c r="M24" s="23">
        <f>IF(TrAvia_ene!M6=0,0,TrAvia_ene!M6/(M12*TrAvia_act!M14))</f>
        <v>3.1295690628042931E-2</v>
      </c>
      <c r="N24" s="23">
        <f>IF(TrAvia_ene!N6=0,0,TrAvia_ene!N6/(N12*TrAvia_act!N14))</f>
        <v>3.087855864462178E-2</v>
      </c>
      <c r="O24" s="23">
        <f>IF(TrAvia_ene!O6=0,0,TrAvia_ene!O6/(O12*TrAvia_act!O14))</f>
        <v>2.9656770283563654E-2</v>
      </c>
      <c r="P24" s="23">
        <f>IF(TrAvia_ene!P6=0,0,TrAvia_ene!P6/(P12*TrAvia_act!P14))</f>
        <v>2.9695560811878709E-2</v>
      </c>
      <c r="Q24" s="23">
        <f>IF(TrAvia_ene!Q6=0,0,TrAvia_ene!Q6/(Q12*TrAvia_act!Q14))</f>
        <v>3.0146178994196939E-2</v>
      </c>
      <c r="R24" s="23">
        <f>IF(TrAvia_ene!R6=0,0,TrAvia_ene!R6/(R12*TrAvia_act!R14))</f>
        <v>3.0429104418930149E-2</v>
      </c>
      <c r="S24" s="23">
        <f>IF(TrAvia_ene!S6=0,0,TrAvia_ene!S6/(S12*TrAvia_act!S14))</f>
        <v>2.9227812849220422E-2</v>
      </c>
      <c r="T24" s="23">
        <f>IF(TrAvia_ene!T6=0,0,TrAvia_ene!T6/(T12*TrAvia_act!T14))</f>
        <v>2.8928428047818981E-2</v>
      </c>
      <c r="U24" s="23">
        <f>IF(TrAvia_ene!U6=0,0,TrAvia_ene!U6/(U12*TrAvia_act!U14))</f>
        <v>2.867170556119681E-2</v>
      </c>
      <c r="V24" s="23">
        <f>IF(TrAvia_ene!V6=0,0,TrAvia_ene!V6/(V12*TrAvia_act!V14))</f>
        <v>2.9636494031307983E-2</v>
      </c>
      <c r="W24" s="23">
        <f>IF(TrAvia_ene!W6=0,0,TrAvia_ene!W6/(W12*TrAvia_act!W14))</f>
        <v>2.5457284568821716E-2</v>
      </c>
      <c r="X24" s="23">
        <f>IF(TrAvia_ene!X6=0,0,TrAvia_ene!X6/(X12*TrAvia_act!X14))</f>
        <v>2.5195238422806479E-2</v>
      </c>
      <c r="Y24" s="23">
        <f>IF(TrAvia_ene!Y6=0,0,TrAvia_ene!Y6/(Y12*TrAvia_act!Y14))</f>
        <v>2.7424863417632978E-2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2.7446566356897587E-2</v>
      </c>
      <c r="C25" s="91">
        <f>IF(TrAvia_ene!C7=0,0,TrAvia_ene!C7/(C13*TrAvia_act!C15))</f>
        <v>2.6848633000312316E-2</v>
      </c>
      <c r="D25" s="91">
        <f>IF(TrAvia_ene!D7=0,0,TrAvia_ene!D7/(D13*TrAvia_act!D15))</f>
        <v>2.6783457261639561E-2</v>
      </c>
      <c r="E25" s="91">
        <f>IF(TrAvia_ene!E7=0,0,TrAvia_ene!E7/(E13*TrAvia_act!E15))</f>
        <v>2.7252334237315129E-2</v>
      </c>
      <c r="F25" s="91">
        <f>IF(TrAvia_ene!F7=0,0,TrAvia_ene!F7/(F13*TrAvia_act!F15))</f>
        <v>2.6649826706034701E-2</v>
      </c>
      <c r="G25" s="91">
        <f>IF(TrAvia_ene!G7=0,0,TrAvia_ene!G7/(G13*TrAvia_act!G15))</f>
        <v>2.806231587886927E-2</v>
      </c>
      <c r="H25" s="91">
        <f>IF(TrAvia_ene!H7=0,0,TrAvia_ene!H7/(H13*TrAvia_act!H15))</f>
        <v>2.8682437820297755E-2</v>
      </c>
      <c r="I25" s="91">
        <f>IF(TrAvia_ene!I7=0,0,TrAvia_ene!I7/(I13*TrAvia_act!I15))</f>
        <v>2.8657044191181928E-2</v>
      </c>
      <c r="J25" s="91">
        <f>IF(TrAvia_ene!J7=0,0,TrAvia_ene!J7/(J13*TrAvia_act!J15))</f>
        <v>2.7597513423427852E-2</v>
      </c>
      <c r="K25" s="91">
        <f>IF(TrAvia_ene!K7=0,0,TrAvia_ene!K7/(K13*TrAvia_act!K15))</f>
        <v>2.3401659980333153E-2</v>
      </c>
      <c r="L25" s="91">
        <f>IF(TrAvia_ene!L7=0,0,TrAvia_ene!L7/(L13*TrAvia_act!L15))</f>
        <v>2.2367698857556809E-2</v>
      </c>
      <c r="M25" s="91">
        <f>IF(TrAvia_ene!M7=0,0,TrAvia_ene!M7/(M13*TrAvia_act!M15))</f>
        <v>2.4371568416015506E-2</v>
      </c>
      <c r="N25" s="91">
        <f>IF(TrAvia_ene!N7=0,0,TrAvia_ene!N7/(N13*TrAvia_act!N15))</f>
        <v>2.5377764700677551E-2</v>
      </c>
      <c r="O25" s="91">
        <f>IF(TrAvia_ene!O7=0,0,TrAvia_ene!O7/(O13*TrAvia_act!O15))</f>
        <v>2.6621434612490079E-2</v>
      </c>
      <c r="P25" s="91">
        <f>IF(TrAvia_ene!P7=0,0,TrAvia_ene!P7/(P13*TrAvia_act!P15))</f>
        <v>2.7286894346902447E-2</v>
      </c>
      <c r="Q25" s="91">
        <f>IF(TrAvia_ene!Q7=0,0,TrAvia_ene!Q7/(Q13*TrAvia_act!Q15))</f>
        <v>2.9449622081368143E-2</v>
      </c>
      <c r="R25" s="91">
        <f>IF(TrAvia_ene!R7=0,0,TrAvia_ene!R7/(R13*TrAvia_act!R15))</f>
        <v>2.9498200668678951E-2</v>
      </c>
      <c r="S25" s="91">
        <f>IF(TrAvia_ene!S7=0,0,TrAvia_ene!S7/(S13*TrAvia_act!S15))</f>
        <v>3.0410514410155076E-2</v>
      </c>
      <c r="T25" s="91">
        <f>IF(TrAvia_ene!T7=0,0,TrAvia_ene!T7/(T13*TrAvia_act!T15))</f>
        <v>3.1670534075678207E-2</v>
      </c>
      <c r="U25" s="91">
        <f>IF(TrAvia_ene!U7=0,0,TrAvia_ene!U7/(U13*TrAvia_act!U15))</f>
        <v>3.2022589622472779E-2</v>
      </c>
      <c r="V25" s="91">
        <f>IF(TrAvia_ene!V7=0,0,TrAvia_ene!V7/(V13*TrAvia_act!V15))</f>
        <v>2.4839943351025493E-2</v>
      </c>
      <c r="W25" s="91">
        <f>IF(TrAvia_ene!W7=0,0,TrAvia_ene!W7/(W13*TrAvia_act!W15))</f>
        <v>2.2216857686231443E-2</v>
      </c>
      <c r="X25" s="91">
        <f>IF(TrAvia_ene!X7=0,0,TrAvia_ene!X7/(X13*TrAvia_act!X15))</f>
        <v>2.6056540545321662E-2</v>
      </c>
      <c r="Y25" s="91">
        <f>IF(TrAvia_ene!Y7=0,0,TrAvia_ene!Y7/(Y13*TrAvia_act!Y15))</f>
        <v>3.3360445252879269E-2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4.5175397912996754E-2</v>
      </c>
      <c r="C26" s="93">
        <f>IF(TrAvia_ene!C8=0,0,TrAvia_ene!C8/(C14*TrAvia_act!C16))</f>
        <v>4.6401498316482326E-2</v>
      </c>
      <c r="D26" s="93">
        <f>IF(TrAvia_ene!D8=0,0,TrAvia_ene!D8/(D14*TrAvia_act!D16))</f>
        <v>4.403104642158908E-2</v>
      </c>
      <c r="E26" s="93">
        <f>IF(TrAvia_ene!E8=0,0,TrAvia_ene!E8/(E14*TrAvia_act!E16))</f>
        <v>4.0767876507825547E-2</v>
      </c>
      <c r="F26" s="93">
        <f>IF(TrAvia_ene!F8=0,0,TrAvia_ene!F8/(F14*TrAvia_act!F16))</f>
        <v>3.4744743586588814E-2</v>
      </c>
      <c r="G26" s="93">
        <f>IF(TrAvia_ene!G8=0,0,TrAvia_ene!G8/(G14*TrAvia_act!G16))</f>
        <v>3.3213522948919917E-2</v>
      </c>
      <c r="H26" s="93">
        <f>IF(TrAvia_ene!H8=0,0,TrAvia_ene!H8/(H14*TrAvia_act!H16))</f>
        <v>3.283838610629021E-2</v>
      </c>
      <c r="I26" s="93">
        <f>IF(TrAvia_ene!I8=0,0,TrAvia_ene!I8/(I14*TrAvia_act!I16))</f>
        <v>3.1463871394417448E-2</v>
      </c>
      <c r="J26" s="93">
        <f>IF(TrAvia_ene!J8=0,0,TrAvia_ene!J8/(J14*TrAvia_act!J16))</f>
        <v>3.0400652339963058E-2</v>
      </c>
      <c r="K26" s="93">
        <f>IF(TrAvia_ene!K8=0,0,TrAvia_ene!K8/(K14*TrAvia_act!K16))</f>
        <v>2.8831738802473677E-2</v>
      </c>
      <c r="L26" s="93">
        <f>IF(TrAvia_ene!L8=0,0,TrAvia_ene!L8/(L14*TrAvia_act!L16))</f>
        <v>2.8804339786478599E-2</v>
      </c>
      <c r="M26" s="93">
        <f>IF(TrAvia_ene!M8=0,0,TrAvia_ene!M8/(M14*TrAvia_act!M16))</f>
        <v>2.7391744896848647E-2</v>
      </c>
      <c r="N26" s="93">
        <f>IF(TrAvia_ene!N8=0,0,TrAvia_ene!N8/(N14*TrAvia_act!N16))</f>
        <v>2.7647607424279286E-2</v>
      </c>
      <c r="O26" s="93">
        <f>IF(TrAvia_ene!O8=0,0,TrAvia_ene!O8/(O14*TrAvia_act!O16))</f>
        <v>2.6133381991432402E-2</v>
      </c>
      <c r="P26" s="93">
        <f>IF(TrAvia_ene!P8=0,0,TrAvia_ene!P8/(P14*TrAvia_act!P16))</f>
        <v>2.6017975017280197E-2</v>
      </c>
      <c r="Q26" s="93">
        <f>IF(TrAvia_ene!Q8=0,0,TrAvia_ene!Q8/(Q14*TrAvia_act!Q16))</f>
        <v>2.5257177569965206E-2</v>
      </c>
      <c r="R26" s="93">
        <f>IF(TrAvia_ene!R8=0,0,TrAvia_ene!R8/(R14*TrAvia_act!R16))</f>
        <v>2.6017246076554382E-2</v>
      </c>
      <c r="S26" s="93">
        <f>IF(TrAvia_ene!S8=0,0,TrAvia_ene!S8/(S14*TrAvia_act!S16))</f>
        <v>2.5480949419296541E-2</v>
      </c>
      <c r="T26" s="93">
        <f>IF(TrAvia_ene!T8=0,0,TrAvia_ene!T8/(T14*TrAvia_act!T16))</f>
        <v>2.6143565894928177E-2</v>
      </c>
      <c r="U26" s="93">
        <f>IF(TrAvia_ene!U8=0,0,TrAvia_ene!U8/(U14*TrAvia_act!U16))</f>
        <v>2.5540983159961426E-2</v>
      </c>
      <c r="V26" s="93">
        <f>IF(TrAvia_ene!V8=0,0,TrAvia_ene!V8/(V14*TrAvia_act!V16))</f>
        <v>2.2292796227518435E-2</v>
      </c>
      <c r="W26" s="93">
        <f>IF(TrAvia_ene!W8=0,0,TrAvia_ene!W8/(W14*TrAvia_act!W16))</f>
        <v>1.9585008973574555E-2</v>
      </c>
      <c r="X26" s="93">
        <f>IF(TrAvia_ene!X8=0,0,TrAvia_ene!X8/(X14*TrAvia_act!X16))</f>
        <v>2.0310451465451608E-2</v>
      </c>
      <c r="Y26" s="93">
        <f>IF(TrAvia_ene!Y8=0,0,TrAvia_ene!Y8/(Y14*TrAvia_act!Y16))</f>
        <v>2.27034923728834E-2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4.6999476203739954E-2</v>
      </c>
      <c r="C27" s="94">
        <f>IF(TrAvia_ene!C9=0,0,TrAvia_ene!C9/(C15*TrAvia_act!C17))</f>
        <v>4.8485436883440265E-2</v>
      </c>
      <c r="D27" s="94">
        <f>IF(TrAvia_ene!D9=0,0,TrAvia_ene!D9/(D15*TrAvia_act!D17))</f>
        <v>4.6523068712844236E-2</v>
      </c>
      <c r="E27" s="94">
        <f>IF(TrAvia_ene!E9=0,0,TrAvia_ene!E9/(E15*TrAvia_act!E17))</f>
        <v>4.3955696345853154E-2</v>
      </c>
      <c r="F27" s="94">
        <f>IF(TrAvia_ene!F9=0,0,TrAvia_ene!F9/(F15*TrAvia_act!F17))</f>
        <v>3.8593022434845879E-2</v>
      </c>
      <c r="G27" s="94">
        <f>IF(TrAvia_ene!G9=0,0,TrAvia_ene!G9/(G15*TrAvia_act!G17))</f>
        <v>3.7582897319233324E-2</v>
      </c>
      <c r="H27" s="94">
        <f>IF(TrAvia_ene!H9=0,0,TrAvia_ene!H9/(H15*TrAvia_act!H17))</f>
        <v>3.7305493957040095E-2</v>
      </c>
      <c r="I27" s="94">
        <f>IF(TrAvia_ene!I9=0,0,TrAvia_ene!I9/(I15*TrAvia_act!I17))</f>
        <v>3.6239410541754655E-2</v>
      </c>
      <c r="J27" s="94">
        <f>IF(TrAvia_ene!J9=0,0,TrAvia_ene!J9/(J15*TrAvia_act!J17))</f>
        <v>3.3310613387612861E-2</v>
      </c>
      <c r="K27" s="94">
        <f>IF(TrAvia_ene!K9=0,0,TrAvia_ene!K9/(K15*TrAvia_act!K17))</f>
        <v>3.4200811048145506E-2</v>
      </c>
      <c r="L27" s="94">
        <f>IF(TrAvia_ene!L9=0,0,TrAvia_ene!L9/(L15*TrAvia_act!L17))</f>
        <v>3.4241141464226035E-2</v>
      </c>
      <c r="M27" s="94">
        <f>IF(TrAvia_ene!M9=0,0,TrAvia_ene!M9/(M15*TrAvia_act!M17))</f>
        <v>3.5748930649630466E-2</v>
      </c>
      <c r="N27" s="94">
        <f>IF(TrAvia_ene!N9=0,0,TrAvia_ene!N9/(N15*TrAvia_act!N17))</f>
        <v>3.1503900030622103E-2</v>
      </c>
      <c r="O27" s="94">
        <f>IF(TrAvia_ene!O9=0,0,TrAvia_ene!O9/(O15*TrAvia_act!O17))</f>
        <v>2.9539092834779328E-2</v>
      </c>
      <c r="P27" s="94">
        <f>IF(TrAvia_ene!P9=0,0,TrAvia_ene!P9/(P15*TrAvia_act!P17))</f>
        <v>2.9172342522268531E-2</v>
      </c>
      <c r="Q27" s="94">
        <f>IF(TrAvia_ene!Q9=0,0,TrAvia_ene!Q9/(Q15*TrAvia_act!Q17))</f>
        <v>3.0611363743130351E-2</v>
      </c>
      <c r="R27" s="94">
        <f>IF(TrAvia_ene!R9=0,0,TrAvia_ene!R9/(R15*TrAvia_act!R17))</f>
        <v>3.1953813684157673E-2</v>
      </c>
      <c r="S27" s="94">
        <f>IF(TrAvia_ene!S9=0,0,TrAvia_ene!S9/(S15*TrAvia_act!S17))</f>
        <v>2.8943989655007336E-2</v>
      </c>
      <c r="T27" s="94">
        <f>IF(TrAvia_ene!T9=0,0,TrAvia_ene!T9/(T15*TrAvia_act!T17))</f>
        <v>2.6334805880160395E-2</v>
      </c>
      <c r="U27" s="94">
        <f>IF(TrAvia_ene!U9=0,0,TrAvia_ene!U9/(U15*TrAvia_act!U17))</f>
        <v>2.6991888308432431E-2</v>
      </c>
      <c r="V27" s="94">
        <f>IF(TrAvia_ene!V9=0,0,TrAvia_ene!V9/(V15*TrAvia_act!V17))</f>
        <v>3.7326615686557527E-2</v>
      </c>
      <c r="W27" s="94">
        <f>IF(TrAvia_ene!W9=0,0,TrAvia_ene!W9/(W15*TrAvia_act!W17))</f>
        <v>3.6814564096641002E-2</v>
      </c>
      <c r="X27" s="94">
        <f>IF(TrAvia_ene!X9=0,0,TrAvia_ene!X9/(X15*TrAvia_act!X17))</f>
        <v>2.8990495632461515E-2</v>
      </c>
      <c r="Y27" s="94">
        <f>IF(TrAvia_ene!Y9=0,0,TrAvia_ene!Y9/(Y15*TrAvia_act!Y17))</f>
        <v>2.6870249060626721E-2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27342.11</v>
      </c>
      <c r="C3" s="54">
        <f t="shared" si="0"/>
        <v>26488.593000000001</v>
      </c>
      <c r="D3" s="54">
        <f t="shared" si="0"/>
        <v>29084.048999999999</v>
      </c>
      <c r="E3" s="54">
        <f t="shared" si="0"/>
        <v>32106.807000000001</v>
      </c>
      <c r="F3" s="54">
        <f t="shared" si="0"/>
        <v>32002.659000000003</v>
      </c>
      <c r="G3" s="54">
        <f t="shared" si="0"/>
        <v>36327.760000000002</v>
      </c>
      <c r="H3" s="54">
        <f t="shared" si="0"/>
        <v>36166.824000000001</v>
      </c>
      <c r="I3" s="54">
        <f t="shared" si="0"/>
        <v>40779.588000000003</v>
      </c>
      <c r="J3" s="54">
        <f t="shared" si="0"/>
        <v>37407.728000000003</v>
      </c>
      <c r="K3" s="54">
        <f t="shared" si="0"/>
        <v>39934.504999999997</v>
      </c>
      <c r="L3" s="54">
        <f t="shared" si="0"/>
        <v>40497.341999999997</v>
      </c>
      <c r="M3" s="54">
        <f t="shared" si="0"/>
        <v>42238.108</v>
      </c>
      <c r="N3" s="54">
        <f t="shared" si="0"/>
        <v>38617.879000000001</v>
      </c>
      <c r="O3" s="54">
        <f t="shared" si="0"/>
        <v>38141.118000000002</v>
      </c>
      <c r="P3" s="54">
        <f t="shared" si="0"/>
        <v>41283.500999999997</v>
      </c>
      <c r="Q3" s="54">
        <f t="shared" si="0"/>
        <v>40030.474999999999</v>
      </c>
      <c r="R3" s="54">
        <f t="shared" ref="R3:V3" si="1">SUM(R4:R5)</f>
        <v>44831.692000000003</v>
      </c>
      <c r="S3" s="54">
        <f t="shared" si="1"/>
        <v>46228.118999999999</v>
      </c>
      <c r="T3" s="54">
        <f t="shared" si="1"/>
        <v>45347.991999999998</v>
      </c>
      <c r="U3" s="54">
        <f t="shared" si="1"/>
        <v>44216.866000000002</v>
      </c>
      <c r="V3" s="54">
        <f t="shared" si="1"/>
        <v>43318.196000000004</v>
      </c>
      <c r="W3" s="54">
        <f t="shared" ref="W3:Y3" si="2">SUM(W4:W5)</f>
        <v>42395.232000000004</v>
      </c>
      <c r="X3" s="54">
        <f t="shared" si="2"/>
        <v>45986.078000000001</v>
      </c>
      <c r="Y3" s="54">
        <f t="shared" si="2"/>
        <v>42202.894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27172.544000000002</v>
      </c>
      <c r="C4" s="56">
        <v>26327.569</v>
      </c>
      <c r="D4" s="56">
        <v>28993.986000000001</v>
      </c>
      <c r="E4" s="56">
        <v>32015.987000000001</v>
      </c>
      <c r="F4" s="56">
        <v>31892.829000000002</v>
      </c>
      <c r="G4" s="56">
        <v>36239.01</v>
      </c>
      <c r="H4" s="56">
        <v>36090.85</v>
      </c>
      <c r="I4" s="56">
        <v>40686.588000000003</v>
      </c>
      <c r="J4" s="56">
        <v>37343.728000000003</v>
      </c>
      <c r="K4" s="56">
        <v>39880.504999999997</v>
      </c>
      <c r="L4" s="56">
        <v>40389.341999999997</v>
      </c>
      <c r="M4" s="56">
        <v>42094.108</v>
      </c>
      <c r="N4" s="56">
        <v>38536.879000000001</v>
      </c>
      <c r="O4" s="56">
        <v>38052.118000000002</v>
      </c>
      <c r="P4" s="56">
        <v>41219.500999999997</v>
      </c>
      <c r="Q4" s="56">
        <v>39968.474999999999</v>
      </c>
      <c r="R4" s="56">
        <v>44764.692000000003</v>
      </c>
      <c r="S4" s="56">
        <v>46167.118999999999</v>
      </c>
      <c r="T4" s="56">
        <v>45273.991999999998</v>
      </c>
      <c r="U4" s="56">
        <v>44161.866000000002</v>
      </c>
      <c r="V4" s="56">
        <v>43194.196000000004</v>
      </c>
      <c r="W4" s="56">
        <v>42255.232000000004</v>
      </c>
      <c r="X4" s="56">
        <v>45886.078000000001</v>
      </c>
      <c r="Y4" s="56">
        <v>42196.894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169.566</v>
      </c>
      <c r="C5" s="58">
        <v>161.024</v>
      </c>
      <c r="D5" s="58">
        <v>90.063000000000002</v>
      </c>
      <c r="E5" s="58">
        <v>90.82</v>
      </c>
      <c r="F5" s="58">
        <v>109.83</v>
      </c>
      <c r="G5" s="58">
        <v>88.75</v>
      </c>
      <c r="H5" s="58">
        <v>75.974000000000004</v>
      </c>
      <c r="I5" s="58">
        <v>93</v>
      </c>
      <c r="J5" s="58">
        <v>64</v>
      </c>
      <c r="K5" s="58">
        <v>54</v>
      </c>
      <c r="L5" s="58">
        <v>108</v>
      </c>
      <c r="M5" s="58">
        <v>144</v>
      </c>
      <c r="N5" s="58">
        <v>81</v>
      </c>
      <c r="O5" s="58">
        <v>89</v>
      </c>
      <c r="P5" s="58">
        <v>64</v>
      </c>
      <c r="Q5" s="58">
        <v>62</v>
      </c>
      <c r="R5" s="58">
        <v>67</v>
      </c>
      <c r="S5" s="58">
        <v>61</v>
      </c>
      <c r="T5" s="58">
        <v>74</v>
      </c>
      <c r="U5" s="58">
        <v>55</v>
      </c>
      <c r="V5" s="58">
        <v>124</v>
      </c>
      <c r="W5" s="58">
        <v>140</v>
      </c>
      <c r="X5" s="58">
        <v>100</v>
      </c>
      <c r="Y5" s="58">
        <v>6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17.488</v>
      </c>
      <c r="C7" s="59">
        <f t="shared" si="3"/>
        <v>16.577000000000002</v>
      </c>
      <c r="D7" s="59">
        <f t="shared" si="3"/>
        <v>15.943999999999999</v>
      </c>
      <c r="E7" s="59">
        <f t="shared" si="3"/>
        <v>17.355</v>
      </c>
      <c r="F7" s="59">
        <f t="shared" si="3"/>
        <v>17.190999999999999</v>
      </c>
      <c r="G7" s="59">
        <f t="shared" si="3"/>
        <v>17.975000000000001</v>
      </c>
      <c r="H7" s="59">
        <f t="shared" si="3"/>
        <v>17.844999999999999</v>
      </c>
      <c r="I7" s="59">
        <f t="shared" si="3"/>
        <v>19.169999999999998</v>
      </c>
      <c r="J7" s="59">
        <f t="shared" si="3"/>
        <v>17.055999999999997</v>
      </c>
      <c r="K7" s="59">
        <f t="shared" si="3"/>
        <v>19.110000000000003</v>
      </c>
      <c r="L7" s="59">
        <f t="shared" si="3"/>
        <v>19.663</v>
      </c>
      <c r="M7" s="59">
        <f t="shared" si="3"/>
        <v>20.413999999999998</v>
      </c>
      <c r="N7" s="59">
        <f t="shared" si="3"/>
        <v>18.541</v>
      </c>
      <c r="O7" s="59">
        <f t="shared" si="3"/>
        <v>19.032999999999998</v>
      </c>
      <c r="P7" s="59">
        <f t="shared" si="3"/>
        <v>21.053999999999998</v>
      </c>
      <c r="Q7" s="59">
        <f t="shared" si="3"/>
        <v>18.662000000000003</v>
      </c>
      <c r="R7" s="59">
        <f t="shared" ref="R7:V7" si="4">SUM(R8:R9)</f>
        <v>20.102999999999998</v>
      </c>
      <c r="S7" s="59">
        <f t="shared" si="4"/>
        <v>20.326000000000001</v>
      </c>
      <c r="T7" s="59">
        <f t="shared" si="4"/>
        <v>20.901999999999997</v>
      </c>
      <c r="U7" s="59">
        <f t="shared" si="4"/>
        <v>21.212</v>
      </c>
      <c r="V7" s="59">
        <f t="shared" si="4"/>
        <v>20.286999999999999</v>
      </c>
      <c r="W7" s="59">
        <f t="shared" ref="W7:Y7" si="5">SUM(W8:W9)</f>
        <v>19.913999999999998</v>
      </c>
      <c r="X7" s="59">
        <f t="shared" si="5"/>
        <v>22.962</v>
      </c>
      <c r="Y7" s="59">
        <f t="shared" si="5"/>
        <v>18.794999999999998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16.077999999999999</v>
      </c>
      <c r="C8" s="60">
        <v>15.127000000000001</v>
      </c>
      <c r="D8" s="60">
        <v>15.228999999999999</v>
      </c>
      <c r="E8" s="60">
        <v>16.652000000000001</v>
      </c>
      <c r="F8" s="60">
        <v>16.314</v>
      </c>
      <c r="G8" s="60">
        <v>17.385000000000002</v>
      </c>
      <c r="H8" s="60">
        <v>17.207999999999998</v>
      </c>
      <c r="I8" s="60">
        <v>18.472999999999999</v>
      </c>
      <c r="J8" s="60">
        <v>16.620999999999999</v>
      </c>
      <c r="K8" s="60">
        <v>18.856000000000002</v>
      </c>
      <c r="L8" s="60">
        <v>19.184999999999999</v>
      </c>
      <c r="M8" s="60">
        <v>19.725999999999999</v>
      </c>
      <c r="N8" s="60">
        <v>18.152999999999999</v>
      </c>
      <c r="O8" s="60">
        <v>18.594999999999999</v>
      </c>
      <c r="P8" s="60">
        <v>20.757999999999999</v>
      </c>
      <c r="Q8" s="60">
        <v>18.437000000000001</v>
      </c>
      <c r="R8" s="60">
        <v>19.86</v>
      </c>
      <c r="S8" s="60">
        <v>20.103999999999999</v>
      </c>
      <c r="T8" s="60">
        <v>20.632999999999999</v>
      </c>
      <c r="U8" s="60">
        <v>21.012</v>
      </c>
      <c r="V8" s="60">
        <v>19.837</v>
      </c>
      <c r="W8" s="60">
        <v>19.405999999999999</v>
      </c>
      <c r="X8" s="60">
        <v>22.599</v>
      </c>
      <c r="Y8" s="60">
        <v>18.773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1.41</v>
      </c>
      <c r="C9" s="61">
        <v>1.45</v>
      </c>
      <c r="D9" s="61">
        <v>0.71499999999999997</v>
      </c>
      <c r="E9" s="61">
        <v>0.70299999999999996</v>
      </c>
      <c r="F9" s="61">
        <v>0.877</v>
      </c>
      <c r="G9" s="61">
        <v>0.59</v>
      </c>
      <c r="H9" s="61">
        <v>0.63700000000000001</v>
      </c>
      <c r="I9" s="61">
        <v>0.69699999999999995</v>
      </c>
      <c r="J9" s="61">
        <v>0.435</v>
      </c>
      <c r="K9" s="61">
        <v>0.254</v>
      </c>
      <c r="L9" s="61">
        <v>0.47799999999999998</v>
      </c>
      <c r="M9" s="61">
        <v>0.68799999999999994</v>
      </c>
      <c r="N9" s="61">
        <v>0.38800000000000001</v>
      </c>
      <c r="O9" s="61">
        <v>0.438</v>
      </c>
      <c r="P9" s="61">
        <v>0.29599999999999999</v>
      </c>
      <c r="Q9" s="61">
        <v>0.22500000000000001</v>
      </c>
      <c r="R9" s="61">
        <v>0.24299999999999999</v>
      </c>
      <c r="S9" s="61">
        <v>0.222</v>
      </c>
      <c r="T9" s="61">
        <v>0.26900000000000002</v>
      </c>
      <c r="U9" s="61">
        <v>0.2</v>
      </c>
      <c r="V9" s="61">
        <v>0.45</v>
      </c>
      <c r="W9" s="61">
        <v>0.50800000000000001</v>
      </c>
      <c r="X9" s="61">
        <v>0.36299999999999999</v>
      </c>
      <c r="Y9" s="61">
        <v>2.1999999999999999E-2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1563.4783851784082</v>
      </c>
      <c r="C13" s="62">
        <f t="shared" si="6"/>
        <v>1597.912348434578</v>
      </c>
      <c r="D13" s="62">
        <f t="shared" si="6"/>
        <v>1824.1375439036628</v>
      </c>
      <c r="E13" s="62">
        <f t="shared" si="6"/>
        <v>1850.0032843560934</v>
      </c>
      <c r="F13" s="62">
        <f t="shared" ref="F13:V13" si="7">IF(F3=0,0,F3/F7)</f>
        <v>1861.5937990809148</v>
      </c>
      <c r="G13" s="62">
        <f t="shared" si="7"/>
        <v>2021.0158553546592</v>
      </c>
      <c r="H13" s="62">
        <f t="shared" si="7"/>
        <v>2026.7203138133932</v>
      </c>
      <c r="I13" s="62">
        <f t="shared" si="7"/>
        <v>2127.2607198748046</v>
      </c>
      <c r="J13" s="62">
        <f t="shared" si="7"/>
        <v>2193.2298311444656</v>
      </c>
      <c r="K13" s="62">
        <f t="shared" si="7"/>
        <v>2089.7176870748294</v>
      </c>
      <c r="L13" s="62">
        <f t="shared" si="7"/>
        <v>2059.5708691450945</v>
      </c>
      <c r="M13" s="62">
        <f t="shared" si="7"/>
        <v>2069.0755363965909</v>
      </c>
      <c r="N13" s="62">
        <f t="shared" si="7"/>
        <v>2082.8369020009709</v>
      </c>
      <c r="O13" s="62">
        <f t="shared" si="7"/>
        <v>2003.9467241107554</v>
      </c>
      <c r="P13" s="62">
        <f t="shared" si="7"/>
        <v>1960.8388429752065</v>
      </c>
      <c r="Q13" s="62">
        <f t="shared" si="7"/>
        <v>2145.0259886400167</v>
      </c>
      <c r="R13" s="62">
        <f t="shared" si="7"/>
        <v>2230.0995871262999</v>
      </c>
      <c r="S13" s="62">
        <f t="shared" si="7"/>
        <v>2274.3343008954048</v>
      </c>
      <c r="T13" s="62">
        <f t="shared" si="7"/>
        <v>2169.5527700698499</v>
      </c>
      <c r="U13" s="62">
        <f t="shared" si="7"/>
        <v>2084.5213086931926</v>
      </c>
      <c r="V13" s="62">
        <f t="shared" si="7"/>
        <v>2135.2686942376895</v>
      </c>
      <c r="W13" s="62">
        <f t="shared" ref="W13:Y13" si="8">IF(W3=0,0,W3/W7)</f>
        <v>2128.9159385357038</v>
      </c>
      <c r="X13" s="62">
        <f t="shared" si="8"/>
        <v>2002.7035101471997</v>
      </c>
      <c r="Y13" s="62">
        <f t="shared" si="8"/>
        <v>2245.4319765895189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1690.0450304764277</v>
      </c>
      <c r="C14" s="63">
        <f t="shared" si="6"/>
        <v>1740.435578766444</v>
      </c>
      <c r="D14" s="63">
        <f t="shared" si="6"/>
        <v>1903.86670168757</v>
      </c>
      <c r="E14" s="63">
        <f t="shared" si="6"/>
        <v>1922.6511530146529</v>
      </c>
      <c r="F14" s="63">
        <f t="shared" ref="F14:V14" si="9">IF(F4=0,0,F4/F8)</f>
        <v>1954.9361897756528</v>
      </c>
      <c r="G14" s="63">
        <f t="shared" si="9"/>
        <v>2084.4987057808453</v>
      </c>
      <c r="H14" s="63">
        <f t="shared" si="9"/>
        <v>2097.3297303579729</v>
      </c>
      <c r="I14" s="63">
        <f t="shared" si="9"/>
        <v>2202.4894711200131</v>
      </c>
      <c r="J14" s="63">
        <f t="shared" si="9"/>
        <v>2246.7798568076532</v>
      </c>
      <c r="K14" s="63">
        <f t="shared" si="9"/>
        <v>2115.0034471786166</v>
      </c>
      <c r="L14" s="63">
        <f t="shared" si="9"/>
        <v>2105.2562939796717</v>
      </c>
      <c r="M14" s="63">
        <f t="shared" si="9"/>
        <v>2133.9403832505322</v>
      </c>
      <c r="N14" s="63">
        <f t="shared" si="9"/>
        <v>2122.8931306120203</v>
      </c>
      <c r="O14" s="63">
        <f t="shared" si="9"/>
        <v>2046.3628932508741</v>
      </c>
      <c r="P14" s="63">
        <f t="shared" si="9"/>
        <v>1985.716398496965</v>
      </c>
      <c r="Q14" s="63">
        <f t="shared" si="9"/>
        <v>2167.8404838097304</v>
      </c>
      <c r="R14" s="63">
        <f t="shared" si="9"/>
        <v>2254.0126888217524</v>
      </c>
      <c r="S14" s="63">
        <f t="shared" si="9"/>
        <v>2296.4145941106249</v>
      </c>
      <c r="T14" s="63">
        <f t="shared" si="9"/>
        <v>2194.2515387970725</v>
      </c>
      <c r="U14" s="63">
        <f t="shared" si="9"/>
        <v>2101.7450028555113</v>
      </c>
      <c r="V14" s="63">
        <f t="shared" si="9"/>
        <v>2177.4560669456068</v>
      </c>
      <c r="W14" s="63">
        <f t="shared" ref="W14:Y14" si="10">IF(W4=0,0,W4/W8)</f>
        <v>2177.4313099041537</v>
      </c>
      <c r="X14" s="63">
        <f t="shared" si="10"/>
        <v>2030.4472764281606</v>
      </c>
      <c r="Y14" s="63">
        <f t="shared" si="10"/>
        <v>2247.7437809620201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120.25957446808512</v>
      </c>
      <c r="C15" s="64">
        <f t="shared" si="6"/>
        <v>111.05103448275862</v>
      </c>
      <c r="D15" s="64">
        <f t="shared" si="6"/>
        <v>125.96223776223778</v>
      </c>
      <c r="E15" s="64">
        <f t="shared" si="6"/>
        <v>129.18918918918919</v>
      </c>
      <c r="F15" s="64">
        <f t="shared" ref="F15:V15" si="11">IF(F5=0,0,F5/F9)</f>
        <v>125.23375142531357</v>
      </c>
      <c r="G15" s="64">
        <f t="shared" si="11"/>
        <v>150.42372881355934</v>
      </c>
      <c r="H15" s="64">
        <f t="shared" si="11"/>
        <v>119.26844583987442</v>
      </c>
      <c r="I15" s="64">
        <f t="shared" si="11"/>
        <v>133.42898134863702</v>
      </c>
      <c r="J15" s="64">
        <f t="shared" si="11"/>
        <v>147.12643678160919</v>
      </c>
      <c r="K15" s="64">
        <f t="shared" si="11"/>
        <v>212.5984251968504</v>
      </c>
      <c r="L15" s="64">
        <f t="shared" si="11"/>
        <v>225.94142259414227</v>
      </c>
      <c r="M15" s="64">
        <f t="shared" si="11"/>
        <v>209.30232558139537</v>
      </c>
      <c r="N15" s="64">
        <f t="shared" si="11"/>
        <v>208.76288659793815</v>
      </c>
      <c r="O15" s="64">
        <f t="shared" si="11"/>
        <v>203.19634703196348</v>
      </c>
      <c r="P15" s="64">
        <f t="shared" si="11"/>
        <v>216.21621621621622</v>
      </c>
      <c r="Q15" s="64">
        <f t="shared" si="11"/>
        <v>275.55555555555554</v>
      </c>
      <c r="R15" s="64">
        <f t="shared" si="11"/>
        <v>275.72016460905348</v>
      </c>
      <c r="S15" s="64">
        <f t="shared" si="11"/>
        <v>274.77477477477476</v>
      </c>
      <c r="T15" s="64">
        <f t="shared" si="11"/>
        <v>275.09293680297395</v>
      </c>
      <c r="U15" s="64">
        <f t="shared" si="11"/>
        <v>275</v>
      </c>
      <c r="V15" s="64">
        <f t="shared" si="11"/>
        <v>275.55555555555554</v>
      </c>
      <c r="W15" s="64">
        <f t="shared" ref="W15:Y15" si="12">IF(W5=0,0,W5/W9)</f>
        <v>275.59055118110234</v>
      </c>
      <c r="X15" s="64">
        <f t="shared" si="12"/>
        <v>275.48209366391183</v>
      </c>
      <c r="Y15" s="64">
        <f t="shared" si="12"/>
        <v>272.72727272727275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0.99379835718604015</v>
      </c>
      <c r="C18" s="66">
        <f t="shared" si="16"/>
        <v>0.9939210059213035</v>
      </c>
      <c r="D18" s="66">
        <f t="shared" si="16"/>
        <v>0.99690335413752063</v>
      </c>
      <c r="E18" s="66">
        <f t="shared" si="16"/>
        <v>0.99717131635045486</v>
      </c>
      <c r="F18" s="66">
        <f t="shared" ref="F18:V18" si="17">IF(F4=0,0,F4/F$3)</f>
        <v>0.99656809766963417</v>
      </c>
      <c r="G18" s="66">
        <f t="shared" si="17"/>
        <v>0.99755696470137434</v>
      </c>
      <c r="H18" s="66">
        <f t="shared" si="17"/>
        <v>0.99789934554386084</v>
      </c>
      <c r="I18" s="66">
        <f t="shared" si="17"/>
        <v>0.9977194472881874</v>
      </c>
      <c r="J18" s="66">
        <f t="shared" si="17"/>
        <v>0.99828912357361022</v>
      </c>
      <c r="K18" s="66">
        <f t="shared" si="17"/>
        <v>0.99864778591846826</v>
      </c>
      <c r="L18" s="66">
        <f t="shared" si="17"/>
        <v>0.99733315830950087</v>
      </c>
      <c r="M18" s="66">
        <f t="shared" si="17"/>
        <v>0.99659075638520556</v>
      </c>
      <c r="N18" s="66">
        <f t="shared" si="17"/>
        <v>0.99790252592588014</v>
      </c>
      <c r="O18" s="66">
        <f t="shared" si="17"/>
        <v>0.99766656027230249</v>
      </c>
      <c r="P18" s="66">
        <f t="shared" si="17"/>
        <v>0.99844974388194452</v>
      </c>
      <c r="Q18" s="66">
        <f t="shared" si="17"/>
        <v>0.99845118000723199</v>
      </c>
      <c r="R18" s="66">
        <f t="shared" si="17"/>
        <v>0.99850552149582039</v>
      </c>
      <c r="S18" s="66">
        <f t="shared" si="17"/>
        <v>0.99868045680162765</v>
      </c>
      <c r="T18" s="66">
        <f t="shared" si="17"/>
        <v>0.99836817471432915</v>
      </c>
      <c r="U18" s="66">
        <f t="shared" si="17"/>
        <v>0.9987561307488414</v>
      </c>
      <c r="V18" s="66">
        <f t="shared" si="17"/>
        <v>0.99713746158773553</v>
      </c>
      <c r="W18" s="66">
        <f t="shared" ref="W18:Y18" si="18">IF(W4=0,0,W4/W$3)</f>
        <v>0.99669774185927318</v>
      </c>
      <c r="X18" s="66">
        <f t="shared" si="18"/>
        <v>0.9978254288178261</v>
      </c>
      <c r="Y18" s="66">
        <f t="shared" si="18"/>
        <v>0.99985782965499947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6.201642813959859E-3</v>
      </c>
      <c r="C19" s="67">
        <f t="shared" si="19"/>
        <v>6.0789940786964407E-3</v>
      </c>
      <c r="D19" s="67">
        <f t="shared" si="19"/>
        <v>3.0966458624794644E-3</v>
      </c>
      <c r="E19" s="67">
        <f t="shared" si="19"/>
        <v>2.8286836495450946E-3</v>
      </c>
      <c r="F19" s="67">
        <f t="shared" ref="F19:V19" si="20">IF(F5=0,0,F5/F$3)</f>
        <v>3.4319023303657358E-3</v>
      </c>
      <c r="G19" s="67">
        <f t="shared" si="20"/>
        <v>2.4430352986256239E-3</v>
      </c>
      <c r="H19" s="67">
        <f t="shared" si="20"/>
        <v>2.1006544561391403E-3</v>
      </c>
      <c r="I19" s="67">
        <f t="shared" si="20"/>
        <v>2.2805527118125862E-3</v>
      </c>
      <c r="J19" s="67">
        <f t="shared" si="20"/>
        <v>1.7108764263897554E-3</v>
      </c>
      <c r="K19" s="67">
        <f t="shared" si="20"/>
        <v>1.3522140815317482E-3</v>
      </c>
      <c r="L19" s="67">
        <f t="shared" si="20"/>
        <v>2.6668416904990951E-3</v>
      </c>
      <c r="M19" s="67">
        <f t="shared" si="20"/>
        <v>3.4092436147944885E-3</v>
      </c>
      <c r="N19" s="67">
        <f t="shared" si="20"/>
        <v>2.0974740741199174E-3</v>
      </c>
      <c r="O19" s="67">
        <f t="shared" si="20"/>
        <v>2.3334397276975468E-3</v>
      </c>
      <c r="P19" s="67">
        <f t="shared" si="20"/>
        <v>1.5502561180554917E-3</v>
      </c>
      <c r="Q19" s="67">
        <f t="shared" si="20"/>
        <v>1.5488199927680098E-3</v>
      </c>
      <c r="R19" s="67">
        <f t="shared" si="20"/>
        <v>1.4944785041795879E-3</v>
      </c>
      <c r="S19" s="67">
        <f t="shared" si="20"/>
        <v>1.3195431983724019E-3</v>
      </c>
      <c r="T19" s="67">
        <f t="shared" si="20"/>
        <v>1.6318252856708628E-3</v>
      </c>
      <c r="U19" s="67">
        <f t="shared" si="20"/>
        <v>1.2438692511585964E-3</v>
      </c>
      <c r="V19" s="67">
        <f t="shared" si="20"/>
        <v>2.8625384122644439E-3</v>
      </c>
      <c r="W19" s="67">
        <f t="shared" ref="W19:Y19" si="21">IF(W5=0,0,W5/W$3)</f>
        <v>3.3022581407267681E-3</v>
      </c>
      <c r="X19" s="67">
        <f t="shared" si="21"/>
        <v>2.1745711821738742E-3</v>
      </c>
      <c r="Y19" s="67">
        <f t="shared" si="21"/>
        <v>1.421703450005111E-4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0.91937328453796885</v>
      </c>
      <c r="C22" s="66">
        <f t="shared" si="25"/>
        <v>0.9125294082162031</v>
      </c>
      <c r="D22" s="66">
        <f t="shared" si="25"/>
        <v>0.95515554440541894</v>
      </c>
      <c r="E22" s="66">
        <f t="shared" si="25"/>
        <v>0.95949294151541342</v>
      </c>
      <c r="F22" s="66">
        <f t="shared" ref="F22:V22" si="26">IF(F8=0,0,F8/F$7)</f>
        <v>0.94898493397708106</v>
      </c>
      <c r="G22" s="66">
        <f t="shared" si="26"/>
        <v>0.96717663421418643</v>
      </c>
      <c r="H22" s="66">
        <f t="shared" si="26"/>
        <v>0.96430372653404317</v>
      </c>
      <c r="I22" s="66">
        <f t="shared" si="26"/>
        <v>0.96364110589462704</v>
      </c>
      <c r="J22" s="66">
        <f t="shared" si="26"/>
        <v>0.97449577861163239</v>
      </c>
      <c r="K22" s="66">
        <f t="shared" si="26"/>
        <v>0.98670852956567234</v>
      </c>
      <c r="L22" s="66">
        <f t="shared" si="26"/>
        <v>0.97569038295275379</v>
      </c>
      <c r="M22" s="66">
        <f t="shared" si="26"/>
        <v>0.96629763887528175</v>
      </c>
      <c r="N22" s="66">
        <f t="shared" si="26"/>
        <v>0.97907340488646777</v>
      </c>
      <c r="O22" s="66">
        <f t="shared" si="26"/>
        <v>0.97698733778174751</v>
      </c>
      <c r="P22" s="66">
        <f t="shared" si="26"/>
        <v>0.98594091384060034</v>
      </c>
      <c r="Q22" s="66">
        <f t="shared" si="26"/>
        <v>0.98794341442503475</v>
      </c>
      <c r="R22" s="66">
        <f t="shared" si="26"/>
        <v>0.98791225190270116</v>
      </c>
      <c r="S22" s="66">
        <f t="shared" si="26"/>
        <v>0.98907802814129675</v>
      </c>
      <c r="T22" s="66">
        <f t="shared" si="26"/>
        <v>0.98713041814180469</v>
      </c>
      <c r="U22" s="66">
        <f t="shared" si="26"/>
        <v>0.99057137469356971</v>
      </c>
      <c r="V22" s="66">
        <f t="shared" si="26"/>
        <v>0.97781830729038299</v>
      </c>
      <c r="W22" s="66">
        <f t="shared" ref="W22:Y22" si="27">IF(W8=0,0,W8/W$7)</f>
        <v>0.97449030832580097</v>
      </c>
      <c r="X22" s="66">
        <f t="shared" si="27"/>
        <v>0.98419127253723548</v>
      </c>
      <c r="Y22" s="66">
        <f t="shared" si="27"/>
        <v>0.99882947592444804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8.0626715462031109E-2</v>
      </c>
      <c r="C23" s="67">
        <f t="shared" si="28"/>
        <v>8.7470591783796819E-2</v>
      </c>
      <c r="D23" s="67">
        <f t="shared" si="28"/>
        <v>4.4844455594581036E-2</v>
      </c>
      <c r="E23" s="67">
        <f t="shared" si="28"/>
        <v>4.0507058484586571E-2</v>
      </c>
      <c r="F23" s="67">
        <f t="shared" ref="F23:V23" si="29">IF(F9=0,0,F9/F$7)</f>
        <v>5.101506602291897E-2</v>
      </c>
      <c r="G23" s="67">
        <f t="shared" si="29"/>
        <v>3.2823365785813623E-2</v>
      </c>
      <c r="H23" s="67">
        <f t="shared" si="29"/>
        <v>3.569627346595685E-2</v>
      </c>
      <c r="I23" s="67">
        <f t="shared" si="29"/>
        <v>3.6358894105372977E-2</v>
      </c>
      <c r="J23" s="67">
        <f t="shared" si="29"/>
        <v>2.5504221388367734E-2</v>
      </c>
      <c r="K23" s="67">
        <f t="shared" si="29"/>
        <v>1.3291470434327575E-2</v>
      </c>
      <c r="L23" s="67">
        <f t="shared" si="29"/>
        <v>2.4309617047246095E-2</v>
      </c>
      <c r="M23" s="67">
        <f t="shared" si="29"/>
        <v>3.3702361124718333E-2</v>
      </c>
      <c r="N23" s="67">
        <f t="shared" si="29"/>
        <v>2.0926595113532172E-2</v>
      </c>
      <c r="O23" s="67">
        <f t="shared" si="29"/>
        <v>2.3012662218252513E-2</v>
      </c>
      <c r="P23" s="67">
        <f t="shared" si="29"/>
        <v>1.4059086159399639E-2</v>
      </c>
      <c r="Q23" s="67">
        <f t="shared" si="29"/>
        <v>1.2056585574965169E-2</v>
      </c>
      <c r="R23" s="67">
        <f t="shared" si="29"/>
        <v>1.2087748097298911E-2</v>
      </c>
      <c r="S23" s="67">
        <f t="shared" si="29"/>
        <v>1.0921971858703139E-2</v>
      </c>
      <c r="T23" s="67">
        <f t="shared" si="29"/>
        <v>1.2869581858195391E-2</v>
      </c>
      <c r="U23" s="67">
        <f t="shared" si="29"/>
        <v>9.4286253064303233E-3</v>
      </c>
      <c r="V23" s="67">
        <f t="shared" si="29"/>
        <v>2.2181692709616996E-2</v>
      </c>
      <c r="W23" s="67">
        <f t="shared" ref="W23:Y23" si="30">IF(W9=0,0,W9/W$7)</f>
        <v>2.5509691674199059E-2</v>
      </c>
      <c r="X23" s="67">
        <f t="shared" si="30"/>
        <v>1.5808727462764568E-2</v>
      </c>
      <c r="Y23" s="67">
        <f t="shared" si="30"/>
        <v>1.1705240755520085E-3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1269.3465176268269</v>
      </c>
      <c r="C3" s="62">
        <f t="shared" ref="C3:V3" si="0">SUM(C4,C10)</f>
        <v>1318.8783319002578</v>
      </c>
      <c r="D3" s="62">
        <f t="shared" si="0"/>
        <v>1311.827687016337</v>
      </c>
      <c r="E3" s="62">
        <f t="shared" si="0"/>
        <v>1409.1430782459156</v>
      </c>
      <c r="F3" s="62">
        <f t="shared" si="0"/>
        <v>1409.1286328460874</v>
      </c>
      <c r="G3" s="62">
        <f t="shared" si="0"/>
        <v>1386.6436801375753</v>
      </c>
      <c r="H3" s="62">
        <f t="shared" si="0"/>
        <v>1384.7807394668962</v>
      </c>
      <c r="I3" s="62">
        <f t="shared" si="0"/>
        <v>1330.9639724849526</v>
      </c>
      <c r="J3" s="62">
        <f t="shared" si="0"/>
        <v>1414.445399828031</v>
      </c>
      <c r="K3" s="62">
        <f t="shared" si="0"/>
        <v>1189.7104901117798</v>
      </c>
      <c r="L3" s="62">
        <f t="shared" si="0"/>
        <v>1128.0357695614789</v>
      </c>
      <c r="M3" s="62">
        <f t="shared" si="0"/>
        <v>1075.3033533963887</v>
      </c>
      <c r="N3" s="62">
        <f t="shared" si="0"/>
        <v>977.34780739466896</v>
      </c>
      <c r="O3" s="62">
        <f t="shared" si="0"/>
        <v>984.54660361134995</v>
      </c>
      <c r="P3" s="62">
        <f t="shared" si="0"/>
        <v>968.92141014617368</v>
      </c>
      <c r="Q3" s="62">
        <f t="shared" si="0"/>
        <v>932.05305245055877</v>
      </c>
      <c r="R3" s="62">
        <f t="shared" si="0"/>
        <v>959.31023215821153</v>
      </c>
      <c r="S3" s="62">
        <f t="shared" si="0"/>
        <v>868.74935511607896</v>
      </c>
      <c r="T3" s="62">
        <f t="shared" si="0"/>
        <v>630.63439380911427</v>
      </c>
      <c r="U3" s="62">
        <f t="shared" si="0"/>
        <v>602.49062768701629</v>
      </c>
      <c r="V3" s="62">
        <f t="shared" si="0"/>
        <v>557.16698194325022</v>
      </c>
      <c r="W3" s="62">
        <f t="shared" ref="W3:Y3" si="1">SUM(W4,W10)</f>
        <v>538.07033533963875</v>
      </c>
      <c r="X3" s="62">
        <f t="shared" si="1"/>
        <v>531.57042132416166</v>
      </c>
      <c r="Y3" s="62">
        <f t="shared" si="1"/>
        <v>513.61599312123803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1259.9786805628314</v>
      </c>
      <c r="C4" s="71">
        <f t="shared" ref="C4:V4" si="2">SUM(C5:C9)</f>
        <v>1308.3960652876624</v>
      </c>
      <c r="D4" s="71">
        <f t="shared" si="2"/>
        <v>1306.9370868045191</v>
      </c>
      <c r="E4" s="71">
        <f t="shared" si="2"/>
        <v>1404.2920305173031</v>
      </c>
      <c r="F4" s="71">
        <f t="shared" si="2"/>
        <v>1402.9801210586388</v>
      </c>
      <c r="G4" s="71">
        <f t="shared" si="2"/>
        <v>1382.8639429996351</v>
      </c>
      <c r="H4" s="71">
        <f t="shared" si="2"/>
        <v>1380.7792561924334</v>
      </c>
      <c r="I4" s="71">
        <f t="shared" si="2"/>
        <v>1326.9952914758373</v>
      </c>
      <c r="J4" s="71">
        <f t="shared" si="2"/>
        <v>1411.6501828621292</v>
      </c>
      <c r="K4" s="71">
        <f t="shared" si="2"/>
        <v>1188.3633039758042</v>
      </c>
      <c r="L4" s="71">
        <f t="shared" si="2"/>
        <v>1125.7467562375825</v>
      </c>
      <c r="M4" s="71">
        <f t="shared" si="2"/>
        <v>1072.3463866796767</v>
      </c>
      <c r="N4" s="71">
        <f t="shared" si="2"/>
        <v>975.65093619968343</v>
      </c>
      <c r="O4" s="71">
        <f t="shared" si="2"/>
        <v>982.60030994372073</v>
      </c>
      <c r="P4" s="71">
        <f t="shared" si="2"/>
        <v>967.77077252908441</v>
      </c>
      <c r="Q4" s="71">
        <f t="shared" si="2"/>
        <v>931.05932296638753</v>
      </c>
      <c r="R4" s="71">
        <f t="shared" si="2"/>
        <v>958.33236906119055</v>
      </c>
      <c r="S4" s="71">
        <f t="shared" si="2"/>
        <v>868.00724157942068</v>
      </c>
      <c r="T4" s="71">
        <f t="shared" si="2"/>
        <v>629.97772931682516</v>
      </c>
      <c r="U4" s="71">
        <f t="shared" si="2"/>
        <v>602.02053943650299</v>
      </c>
      <c r="V4" s="71">
        <f t="shared" si="2"/>
        <v>556.06930072780744</v>
      </c>
      <c r="W4" s="71">
        <f t="shared" ref="W4:Y4" si="3">SUM(W5:W9)</f>
        <v>536.86418926457509</v>
      </c>
      <c r="X4" s="71">
        <f t="shared" si="3"/>
        <v>530.87605095033018</v>
      </c>
      <c r="Y4" s="71">
        <f t="shared" si="3"/>
        <v>513.56769549459148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833.22891576593679</v>
      </c>
      <c r="C5" s="73">
        <v>845.87440468037585</v>
      </c>
      <c r="D5" s="73">
        <v>796.76054309824792</v>
      </c>
      <c r="E5" s="73">
        <v>841.60407607599336</v>
      </c>
      <c r="F5" s="73">
        <v>809.42203947221515</v>
      </c>
      <c r="G5" s="73">
        <v>771.17960606914892</v>
      </c>
      <c r="H5" s="73">
        <v>740.6166416940423</v>
      </c>
      <c r="I5" s="73">
        <v>657.36332629417291</v>
      </c>
      <c r="J5" s="73">
        <v>710.83091453847476</v>
      </c>
      <c r="K5" s="73">
        <v>567.11289733719445</v>
      </c>
      <c r="L5" s="73">
        <v>620.42093938054791</v>
      </c>
      <c r="M5" s="73">
        <v>616.92884367637976</v>
      </c>
      <c r="N5" s="73">
        <v>656.15313066026897</v>
      </c>
      <c r="O5" s="73">
        <v>695.59837007891065</v>
      </c>
      <c r="P5" s="73">
        <v>628.05808122222527</v>
      </c>
      <c r="Q5" s="73">
        <v>540.72408323787067</v>
      </c>
      <c r="R5" s="73">
        <v>502.12452957769904</v>
      </c>
      <c r="S5" s="73">
        <v>479.84194579358564</v>
      </c>
      <c r="T5" s="73">
        <v>286.00746584040439</v>
      </c>
      <c r="U5" s="73">
        <v>241.97210488716868</v>
      </c>
      <c r="V5" s="73">
        <v>192.76428110133602</v>
      </c>
      <c r="W5" s="73">
        <v>222.97206061994206</v>
      </c>
      <c r="X5" s="73">
        <v>207.84731632766514</v>
      </c>
      <c r="Y5" s="73">
        <v>219.15754962102099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426.74976479689474</v>
      </c>
      <c r="C6" s="73">
        <v>462.52166060728655</v>
      </c>
      <c r="D6" s="73">
        <v>510.17654370627122</v>
      </c>
      <c r="E6" s="73">
        <v>562.68795444130978</v>
      </c>
      <c r="F6" s="73">
        <v>593.55808158642378</v>
      </c>
      <c r="G6" s="73">
        <v>611.68433693048621</v>
      </c>
      <c r="H6" s="73">
        <v>640.16261449839101</v>
      </c>
      <c r="I6" s="73">
        <v>669.63196518166444</v>
      </c>
      <c r="J6" s="73">
        <v>700.81926832365446</v>
      </c>
      <c r="K6" s="73">
        <v>621.25040663860977</v>
      </c>
      <c r="L6" s="73">
        <v>505.32581685703462</v>
      </c>
      <c r="M6" s="73">
        <v>455.41754300329694</v>
      </c>
      <c r="N6" s="73">
        <v>319.4978055394144</v>
      </c>
      <c r="O6" s="73">
        <v>287.00193986481003</v>
      </c>
      <c r="P6" s="73">
        <v>339.71269130685914</v>
      </c>
      <c r="Q6" s="73">
        <v>390.33523972851685</v>
      </c>
      <c r="R6" s="73">
        <v>456.20783948349145</v>
      </c>
      <c r="S6" s="73">
        <v>388.16529578583504</v>
      </c>
      <c r="T6" s="73">
        <v>343.97026347642077</v>
      </c>
      <c r="U6" s="73">
        <v>360.04843454933427</v>
      </c>
      <c r="V6" s="73">
        <v>363.30501962647139</v>
      </c>
      <c r="W6" s="73">
        <v>313.89212864463298</v>
      </c>
      <c r="X6" s="73">
        <v>321.7278565974546</v>
      </c>
      <c r="Y6" s="73">
        <v>292.71443260122135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1.3008780252103553</v>
      </c>
      <c r="Y7" s="73">
        <v>1.6957132723491404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9.3678370639953936</v>
      </c>
      <c r="C10" s="71">
        <f t="shared" ref="C10:V10" si="4">SUM(C11:C15)</f>
        <v>10.482266612595431</v>
      </c>
      <c r="D10" s="71">
        <f t="shared" si="4"/>
        <v>4.8906002118179046</v>
      </c>
      <c r="E10" s="71">
        <f t="shared" si="4"/>
        <v>4.8510477286123708</v>
      </c>
      <c r="F10" s="71">
        <f t="shared" si="4"/>
        <v>6.1485117874486797</v>
      </c>
      <c r="G10" s="71">
        <f t="shared" si="4"/>
        <v>3.7797371379402822</v>
      </c>
      <c r="H10" s="71">
        <f t="shared" si="4"/>
        <v>4.0014832744627382</v>
      </c>
      <c r="I10" s="71">
        <f t="shared" si="4"/>
        <v>3.9686810091152265</v>
      </c>
      <c r="J10" s="71">
        <f t="shared" si="4"/>
        <v>2.7952169659016919</v>
      </c>
      <c r="K10" s="71">
        <f t="shared" si="4"/>
        <v>1.3471861359755484</v>
      </c>
      <c r="L10" s="71">
        <f t="shared" si="4"/>
        <v>2.2890133238964774</v>
      </c>
      <c r="M10" s="71">
        <f t="shared" si="4"/>
        <v>2.9569667167120119</v>
      </c>
      <c r="N10" s="71">
        <f t="shared" si="4"/>
        <v>1.6968711949855266</v>
      </c>
      <c r="O10" s="71">
        <f t="shared" si="4"/>
        <v>1.9462936676291827</v>
      </c>
      <c r="P10" s="71">
        <f t="shared" si="4"/>
        <v>1.1506376170892612</v>
      </c>
      <c r="Q10" s="71">
        <f t="shared" si="4"/>
        <v>0.99372948417124618</v>
      </c>
      <c r="R10" s="71">
        <f t="shared" si="4"/>
        <v>0.97786309702095431</v>
      </c>
      <c r="S10" s="71">
        <f t="shared" si="4"/>
        <v>0.74211353665832114</v>
      </c>
      <c r="T10" s="71">
        <f t="shared" si="4"/>
        <v>0.65666449228913992</v>
      </c>
      <c r="U10" s="71">
        <f t="shared" si="4"/>
        <v>0.47008825051330427</v>
      </c>
      <c r="V10" s="71">
        <f t="shared" si="4"/>
        <v>1.0976812154428277</v>
      </c>
      <c r="W10" s="71">
        <f t="shared" ref="W10:Y10" si="5">SUM(W11:W15)</f>
        <v>1.2061460750637025</v>
      </c>
      <c r="X10" s="71">
        <f t="shared" si="5"/>
        <v>0.69437037383150857</v>
      </c>
      <c r="Y10" s="71">
        <f t="shared" si="5"/>
        <v>4.8297626646515116E-2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6.1949879313974616</v>
      </c>
      <c r="C11" s="73">
        <v>6.7767561106817622</v>
      </c>
      <c r="D11" s="73">
        <v>2.9815033333943997</v>
      </c>
      <c r="E11" s="73">
        <v>2.9072738810142065</v>
      </c>
      <c r="F11" s="73">
        <v>3.547264053150228</v>
      </c>
      <c r="G11" s="73">
        <v>2.1078401905244326</v>
      </c>
      <c r="H11" s="73">
        <v>2.1462989766370399</v>
      </c>
      <c r="I11" s="73">
        <v>1.9659944280970372</v>
      </c>
      <c r="J11" s="73">
        <v>1.4075205432105387</v>
      </c>
      <c r="K11" s="73">
        <v>0.6429066180935763</v>
      </c>
      <c r="L11" s="73">
        <v>1.2615197768038053</v>
      </c>
      <c r="M11" s="73">
        <v>1.7011649220725218</v>
      </c>
      <c r="N11" s="73">
        <v>1.1411943612270643</v>
      </c>
      <c r="O11" s="73">
        <v>1.3778122082775517</v>
      </c>
      <c r="P11" s="73">
        <v>0.74673391105069409</v>
      </c>
      <c r="Q11" s="73">
        <v>0.57712054544814184</v>
      </c>
      <c r="R11" s="73">
        <v>0.51235778257604392</v>
      </c>
      <c r="S11" s="73">
        <v>0.4102468117454135</v>
      </c>
      <c r="T11" s="73">
        <v>0.29812315357665564</v>
      </c>
      <c r="U11" s="73">
        <v>0.18894412400929103</v>
      </c>
      <c r="V11" s="73">
        <v>0.38051683503537148</v>
      </c>
      <c r="W11" s="73">
        <v>0.50094023990315506</v>
      </c>
      <c r="X11" s="73">
        <v>0.27185822091609069</v>
      </c>
      <c r="Y11" s="73">
        <v>2.0610310191273806E-2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3.1728491325979324</v>
      </c>
      <c r="C12" s="73">
        <v>3.7055105019136687</v>
      </c>
      <c r="D12" s="73">
        <v>1.9090968784235047</v>
      </c>
      <c r="E12" s="73">
        <v>1.9437738475981643</v>
      </c>
      <c r="F12" s="73">
        <v>2.6012477342984517</v>
      </c>
      <c r="G12" s="73">
        <v>1.6718969474158494</v>
      </c>
      <c r="H12" s="73">
        <v>1.855184297825698</v>
      </c>
      <c r="I12" s="73">
        <v>2.0026865810181893</v>
      </c>
      <c r="J12" s="73">
        <v>1.3876964226911532</v>
      </c>
      <c r="K12" s="73">
        <v>0.70427951788197218</v>
      </c>
      <c r="L12" s="73">
        <v>1.0274935470926723</v>
      </c>
      <c r="M12" s="73">
        <v>1.2558017946394899</v>
      </c>
      <c r="N12" s="73">
        <v>0.55567683375846222</v>
      </c>
      <c r="O12" s="73">
        <v>0.56848145935163097</v>
      </c>
      <c r="P12" s="73">
        <v>0.40390370603856696</v>
      </c>
      <c r="Q12" s="73">
        <v>0.41660893872310434</v>
      </c>
      <c r="R12" s="73">
        <v>0.46550531444491033</v>
      </c>
      <c r="S12" s="73">
        <v>0.3318667249129077</v>
      </c>
      <c r="T12" s="73">
        <v>0.35854133871248428</v>
      </c>
      <c r="U12" s="73">
        <v>0.28114412650401327</v>
      </c>
      <c r="V12" s="73">
        <v>0.71716438040745634</v>
      </c>
      <c r="W12" s="73">
        <v>0.70520583516054747</v>
      </c>
      <c r="X12" s="73">
        <v>0.42081064244219629</v>
      </c>
      <c r="Y12" s="73">
        <v>2.752784589810553E-2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1.7015104732215976E-3</v>
      </c>
      <c r="Y13" s="73">
        <v>1.5947055713577622E-4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7258.3858510225691</v>
      </c>
      <c r="C19" s="62">
        <f>IF(C3=0,0,C3/TrNavi_act!C7*100)</f>
        <v>7956.0736677339546</v>
      </c>
      <c r="D19" s="62">
        <f>IF(D3=0,0,D3/TrNavi_act!D7*100)</f>
        <v>8227.7200640763731</v>
      </c>
      <c r="E19" s="62">
        <f>IF(E3=0,0,E3/TrNavi_act!E7*100)</f>
        <v>8119.5222025117573</v>
      </c>
      <c r="F19" s="62">
        <f>IF(F3=0,0,F3/TrNavi_act!F7*100)</f>
        <v>8196.8974047239099</v>
      </c>
      <c r="G19" s="62">
        <f>IF(G3=0,0,G3/TrNavi_act!G7*100)</f>
        <v>7714.2902928376925</v>
      </c>
      <c r="H19" s="62">
        <f>IF(H3=0,0,H3/TrNavi_act!H7*100)</f>
        <v>7760.0489743171547</v>
      </c>
      <c r="I19" s="62">
        <f>IF(I3=0,0,I3/TrNavi_act!I7*100)</f>
        <v>6942.9523864629773</v>
      </c>
      <c r="J19" s="62">
        <f>IF(J3=0,0,J3/TrNavi_act!J7*100)</f>
        <v>8292.9491078097508</v>
      </c>
      <c r="K19" s="62">
        <f>IF(K3=0,0,K3/TrNavi_act!K7*100)</f>
        <v>6225.5912617047597</v>
      </c>
      <c r="L19" s="62">
        <f>IF(L3=0,0,L3/TrNavi_act!L7*100)</f>
        <v>5736.8446806767988</v>
      </c>
      <c r="M19" s="62">
        <f>IF(M3=0,0,M3/TrNavi_act!M7*100)</f>
        <v>5267.4799323816442</v>
      </c>
      <c r="N19" s="62">
        <f>IF(N3=0,0,N3/TrNavi_act!N7*100)</f>
        <v>5271.2788274347058</v>
      </c>
      <c r="O19" s="62">
        <f>IF(O3=0,0,O3/TrNavi_act!O7*100)</f>
        <v>5172.839823524143</v>
      </c>
      <c r="P19" s="62">
        <f>IF(P3=0,0,P3/TrNavi_act!P7*100)</f>
        <v>4602.0775631527204</v>
      </c>
      <c r="Q19" s="62">
        <f>IF(Q3=0,0,Q3/TrNavi_act!Q7*100)</f>
        <v>4994.3899499011823</v>
      </c>
      <c r="R19" s="62">
        <f>IF(R3=0,0,R3/TrNavi_act!R7*100)</f>
        <v>4771.9754870328388</v>
      </c>
      <c r="S19" s="62">
        <f>IF(S3=0,0,S3/TrNavi_act!S7*100)</f>
        <v>4274.0792832632042</v>
      </c>
      <c r="T19" s="62">
        <f>IF(T3=0,0,T3/TrNavi_act!T7*100)</f>
        <v>3017.1007262898975</v>
      </c>
      <c r="U19" s="62">
        <f>IF(U3=0,0,U3/TrNavi_act!U7*100)</f>
        <v>2840.3291895484458</v>
      </c>
      <c r="V19" s="62">
        <f>IF(V3=0,0,V3/TrNavi_act!V7*100)</f>
        <v>2746.4237292021999</v>
      </c>
      <c r="W19" s="62">
        <f>IF(W3=0,0,W3/TrNavi_act!W7*100)</f>
        <v>2701.9701483360391</v>
      </c>
      <c r="X19" s="62">
        <f>IF(X3=0,0,X3/TrNavi_act!X7*100)</f>
        <v>2315.0005283693131</v>
      </c>
      <c r="Y19" s="62">
        <f>IF(Y3=0,0,Y3/TrNavi_act!Y7*100)</f>
        <v>2732.7267524407453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7836.6630212889131</v>
      </c>
      <c r="C20" s="63">
        <f>IF(C4=0,0,C4/TrNavi_act!C8*100)</f>
        <v>8649.4087742953816</v>
      </c>
      <c r="D20" s="63">
        <f>IF(D4=0,0,D4/TrNavi_act!D8*100)</f>
        <v>8581.8969518978211</v>
      </c>
      <c r="E20" s="63">
        <f>IF(E4=0,0,E4/TrNavi_act!E8*100)</f>
        <v>8433.1733756744106</v>
      </c>
      <c r="F20" s="63">
        <f>IF(F4=0,0,F4/TrNavi_act!F8*100)</f>
        <v>8599.8536291445307</v>
      </c>
      <c r="G20" s="63">
        <f>IF(G4=0,0,G4/TrNavi_act!G8*100)</f>
        <v>7954.3511245305435</v>
      </c>
      <c r="H20" s="63">
        <f>IF(H4=0,0,H4/TrNavi_act!H8*100)</f>
        <v>8024.0542549537058</v>
      </c>
      <c r="I20" s="63">
        <f>IF(I4=0,0,I4/TrNavi_act!I8*100)</f>
        <v>7183.4314484698607</v>
      </c>
      <c r="J20" s="63">
        <f>IF(J4=0,0,J4/TrNavi_act!J8*100)</f>
        <v>8493.1723895200612</v>
      </c>
      <c r="K20" s="63">
        <f>IF(K4=0,0,K4/TrNavi_act!K8*100)</f>
        <v>6302.3085700880574</v>
      </c>
      <c r="L20" s="63">
        <f>IF(L4=0,0,L4/TrNavi_act!L8*100)</f>
        <v>5867.8486121323049</v>
      </c>
      <c r="M20" s="63">
        <f>IF(M4=0,0,M4/TrNavi_act!M8*100)</f>
        <v>5436.2079827622256</v>
      </c>
      <c r="N20" s="63">
        <f>IF(N4=0,0,N4/TrNavi_act!N8*100)</f>
        <v>5374.5988883362725</v>
      </c>
      <c r="O20" s="63">
        <f>IF(O4=0,0,O4/TrNavi_act!O8*100)</f>
        <v>5284.2178539592405</v>
      </c>
      <c r="P20" s="63">
        <f>IF(P4=0,0,P4/TrNavi_act!P8*100)</f>
        <v>4662.1580717269699</v>
      </c>
      <c r="Q20" s="63">
        <f>IF(Q4=0,0,Q4/TrNavi_act!Q8*100)</f>
        <v>5049.9502249085399</v>
      </c>
      <c r="R20" s="63">
        <f>IF(R4=0,0,R4/TrNavi_act!R8*100)</f>
        <v>4825.439924779409</v>
      </c>
      <c r="S20" s="63">
        <f>IF(S4=0,0,S4/TrNavi_act!S8*100)</f>
        <v>4317.584767108141</v>
      </c>
      <c r="T20" s="63">
        <f>IF(T4=0,0,T4/TrNavi_act!T8*100)</f>
        <v>3053.2531833316784</v>
      </c>
      <c r="U20" s="63">
        <f>IF(U4=0,0,U4/TrNavi_act!U8*100)</f>
        <v>2865.1272579311963</v>
      </c>
      <c r="V20" s="63">
        <f>IF(V4=0,0,V4/TrNavi_act!V8*100)</f>
        <v>2803.1925226990343</v>
      </c>
      <c r="W20" s="63">
        <f>IF(W4=0,0,W4/TrNavi_act!W8*100)</f>
        <v>2766.4855676830625</v>
      </c>
      <c r="X20" s="63">
        <f>IF(X4=0,0,X4/TrNavi_act!X8*100)</f>
        <v>2349.1130180553573</v>
      </c>
      <c r="Y20" s="63">
        <f>IF(Y4=0,0,Y4/TrNavi_act!Y8*100)</f>
        <v>2735.6719517103897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664.38560737555986</v>
      </c>
      <c r="C21" s="64">
        <f>IF(C10=0,0,C10/TrNavi_act!C9*100)</f>
        <v>722.91493879968493</v>
      </c>
      <c r="D21" s="64">
        <f>IF(D10=0,0,D10/TrNavi_act!D9*100)</f>
        <v>684.00002962488179</v>
      </c>
      <c r="E21" s="64">
        <f>IF(E10=0,0,E10/TrNavi_act!E9*100)</f>
        <v>690.04946352949798</v>
      </c>
      <c r="F21" s="64">
        <f>IF(F10=0,0,F10/TrNavi_act!F9*100)</f>
        <v>701.08458237727245</v>
      </c>
      <c r="G21" s="64">
        <f>IF(G10=0,0,G10/TrNavi_act!G9*100)</f>
        <v>640.63341321021744</v>
      </c>
      <c r="H21" s="64">
        <f>IF(H10=0,0,H10/TrNavi_act!H9*100)</f>
        <v>628.17633822021003</v>
      </c>
      <c r="I21" s="64">
        <f>IF(I10=0,0,I10/TrNavi_act!I9*100)</f>
        <v>569.39469284293068</v>
      </c>
      <c r="J21" s="64">
        <f>IF(J10=0,0,J10/TrNavi_act!J9*100)</f>
        <v>642.57861285096362</v>
      </c>
      <c r="K21" s="64">
        <f>IF(K10=0,0,K10/TrNavi_act!K9*100)</f>
        <v>530.38824251005838</v>
      </c>
      <c r="L21" s="64">
        <f>IF(L10=0,0,L10/TrNavi_act!L9*100)</f>
        <v>478.8730803130706</v>
      </c>
      <c r="M21" s="64">
        <f>IF(M10=0,0,M10/TrNavi_act!M9*100)</f>
        <v>429.79167394069941</v>
      </c>
      <c r="N21" s="64">
        <f>IF(N10=0,0,N10/TrNavi_act!N9*100)</f>
        <v>437.33793685193979</v>
      </c>
      <c r="O21" s="64">
        <f>IF(O10=0,0,O10/TrNavi_act!O9*100)</f>
        <v>444.35928484684536</v>
      </c>
      <c r="P21" s="64">
        <f>IF(P10=0,0,P10/TrNavi_act!P9*100)</f>
        <v>388.72892469231795</v>
      </c>
      <c r="Q21" s="64">
        <f>IF(Q10=0,0,Q10/TrNavi_act!Q9*100)</f>
        <v>441.65754852055386</v>
      </c>
      <c r="R21" s="64">
        <f>IF(R10=0,0,R10/TrNavi_act!R9*100)</f>
        <v>402.41279712796478</v>
      </c>
      <c r="S21" s="64">
        <f>IF(S10=0,0,S10/TrNavi_act!S9*100)</f>
        <v>334.28537687311763</v>
      </c>
      <c r="T21" s="64">
        <f>IF(T10=0,0,T10/TrNavi_act!T9*100)</f>
        <v>244.11319415953153</v>
      </c>
      <c r="U21" s="64">
        <f>IF(U10=0,0,U10/TrNavi_act!U9*100)</f>
        <v>235.04412525665211</v>
      </c>
      <c r="V21" s="64">
        <f>IF(V10=0,0,V10/TrNavi_act!V9*100)</f>
        <v>243.92915898729504</v>
      </c>
      <c r="W21" s="64">
        <f>IF(W10=0,0,W10/TrNavi_act!W9*100)</f>
        <v>237.43032973694932</v>
      </c>
      <c r="X21" s="64">
        <f>IF(X10=0,0,X10/TrNavi_act!X9*100)</f>
        <v>191.28660436129715</v>
      </c>
      <c r="Y21" s="64">
        <f>IF(Y10=0,0,Y10/TrNavi_act!Y9*100)</f>
        <v>219.53466657506874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46.424599916642386</v>
      </c>
      <c r="C23" s="62">
        <f>IF(C3=0,0,C3/TrNavi_act!C3*1000)</f>
        <v>49.790426086438707</v>
      </c>
      <c r="D23" s="62">
        <f>IF(D3=0,0,D3/TrNavi_act!D3*1000)</f>
        <v>45.104713137305502</v>
      </c>
      <c r="E23" s="62">
        <f>IF(E3=0,0,E3/TrNavi_act!E3*1000)</f>
        <v>43.88923128500182</v>
      </c>
      <c r="F23" s="62">
        <f>IF(F3=0,0,F3/TrNavi_act!F3*1000)</f>
        <v>44.031611024761638</v>
      </c>
      <c r="G23" s="62">
        <f>IF(G3=0,0,G3/TrNavi_act!G3*1000)</f>
        <v>38.17036008103927</v>
      </c>
      <c r="H23" s="62">
        <f>IF(H3=0,0,H3/TrNavi_act!H3*1000)</f>
        <v>38.288701807681427</v>
      </c>
      <c r="I23" s="62">
        <f>IF(I3=0,0,I3/TrNavi_act!I3*1000)</f>
        <v>32.637994588982913</v>
      </c>
      <c r="J23" s="62">
        <f>IF(J3=0,0,J3/TrNavi_act!J3*1000)</f>
        <v>37.811582671581412</v>
      </c>
      <c r="K23" s="62">
        <f>IF(K3=0,0,K3/TrNavi_act!K3*1000)</f>
        <v>29.791542179170118</v>
      </c>
      <c r="L23" s="62">
        <f>IF(L3=0,0,L3/TrNavi_act!L3*1000)</f>
        <v>27.854563135562799</v>
      </c>
      <c r="M23" s="62">
        <f>IF(M3=0,0,M3/TrNavi_act!M3*1000)</f>
        <v>25.458132580095413</v>
      </c>
      <c r="N23" s="62">
        <f>IF(N3=0,0,N3/TrNavi_act!N3*1000)</f>
        <v>25.308168980348945</v>
      </c>
      <c r="O23" s="62">
        <f>IF(O3=0,0,O3/TrNavi_act!O3*1000)</f>
        <v>25.813260209397896</v>
      </c>
      <c r="P23" s="62">
        <f>IF(P3=0,0,P3/TrNavi_act!P3*1000)</f>
        <v>23.46994287490719</v>
      </c>
      <c r="Q23" s="62">
        <f>IF(Q3=0,0,Q3/TrNavi_act!Q3*1000)</f>
        <v>23.28358712832058</v>
      </c>
      <c r="R23" s="62">
        <f>IF(R3=0,0,R3/TrNavi_act!R3*1000)</f>
        <v>21.398037623880256</v>
      </c>
      <c r="S23" s="62">
        <f>IF(S3=0,0,S3/TrNavi_act!S3*1000)</f>
        <v>18.792660698915284</v>
      </c>
      <c r="T23" s="62">
        <f>IF(T3=0,0,T3/TrNavi_act!T3*1000)</f>
        <v>13.906556078803098</v>
      </c>
      <c r="U23" s="62">
        <f>IF(U3=0,0,U3/TrNavi_act!U3*1000)</f>
        <v>13.625810288929483</v>
      </c>
      <c r="V23" s="62">
        <f>IF(V3=0,0,V3/TrNavi_act!V3*1000)</f>
        <v>12.862192644016158</v>
      </c>
      <c r="W23" s="62">
        <f>IF(W3=0,0,W3/TrNavi_act!W3*1000)</f>
        <v>12.691765322563601</v>
      </c>
      <c r="X23" s="62">
        <f>IF(X3=0,0,X3/TrNavi_act!X3*1000)</f>
        <v>11.559377195075466</v>
      </c>
      <c r="Y23" s="62">
        <f>IF(Y3=0,0,Y3/TrNavi_act!Y3*1000)</f>
        <v>12.17016048997109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46.369551579816424</v>
      </c>
      <c r="C24" s="63">
        <f>IF(C4=0,0,C4/TrNavi_act!C4*1000)</f>
        <v>49.696805097639754</v>
      </c>
      <c r="D24" s="63">
        <f>IF(D4=0,0,D4/TrNavi_act!D4*1000)</f>
        <v>45.07614395635423</v>
      </c>
      <c r="E24" s="63">
        <f>IF(E4=0,0,E4/TrNavi_act!E4*1000)</f>
        <v>43.862212666356442</v>
      </c>
      <c r="F24" s="63">
        <f>IF(F4=0,0,F4/TrNavi_act!F4*1000)</f>
        <v>43.990456947504995</v>
      </c>
      <c r="G24" s="63">
        <f>IF(G4=0,0,G4/TrNavi_act!G4*1000)</f>
        <v>38.159539761147869</v>
      </c>
      <c r="H24" s="63">
        <f>IF(H4=0,0,H4/TrNavi_act!H4*1000)</f>
        <v>38.258429939788996</v>
      </c>
      <c r="I24" s="63">
        <f>IF(I4=0,0,I4/TrNavi_act!I4*1000)</f>
        <v>32.615054658204251</v>
      </c>
      <c r="J24" s="63">
        <f>IF(J4=0,0,J4/TrNavi_act!J4*1000)</f>
        <v>37.801533442567091</v>
      </c>
      <c r="K24" s="63">
        <f>IF(K4=0,0,K4/TrNavi_act!K4*1000)</f>
        <v>29.798100700475189</v>
      </c>
      <c r="L24" s="63">
        <f>IF(L4=0,0,L4/TrNavi_act!L4*1000)</f>
        <v>27.872371781584917</v>
      </c>
      <c r="M24" s="63">
        <f>IF(M4=0,0,M4/TrNavi_act!M4*1000)</f>
        <v>25.474975896381427</v>
      </c>
      <c r="N24" s="63">
        <f>IF(N4=0,0,N4/TrNavi_act!N4*1000)</f>
        <v>25.317331385338274</v>
      </c>
      <c r="O24" s="63">
        <f>IF(O4=0,0,O4/TrNavi_act!O4*1000)</f>
        <v>25.822486673244331</v>
      </c>
      <c r="P24" s="63">
        <f>IF(P4=0,0,P4/TrNavi_act!P4*1000)</f>
        <v>23.478468905508695</v>
      </c>
      <c r="Q24" s="63">
        <f>IF(Q4=0,0,Q4/TrNavi_act!Q4*1000)</f>
        <v>23.294842321764531</v>
      </c>
      <c r="R24" s="63">
        <f>IF(R4=0,0,R4/TrNavi_act!R4*1000)</f>
        <v>21.408219876977832</v>
      </c>
      <c r="S24" s="63">
        <f>IF(S4=0,0,S4/TrNavi_act!S4*1000)</f>
        <v>18.801416687478824</v>
      </c>
      <c r="T24" s="63">
        <f>IF(T4=0,0,T4/TrNavi_act!T4*1000)</f>
        <v>13.914782008107991</v>
      </c>
      <c r="U24" s="63">
        <f>IF(U4=0,0,U4/TrNavi_act!U4*1000)</f>
        <v>13.632135459052002</v>
      </c>
      <c r="V24" s="63">
        <f>IF(V4=0,0,V4/TrNavi_act!V4*1000)</f>
        <v>12.873704159878503</v>
      </c>
      <c r="W24" s="63">
        <f>IF(W4=0,0,W4/TrNavi_act!W4*1000)</f>
        <v>12.705271367687084</v>
      </c>
      <c r="X24" s="63">
        <f>IF(X4=0,0,X4/TrNavi_act!X4*1000)</f>
        <v>11.5694361795386</v>
      </c>
      <c r="Y24" s="63">
        <f>IF(Y4=0,0,Y4/TrNavi_act!Y4*1000)</f>
        <v>12.170746394144352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55.245963601166466</v>
      </c>
      <c r="C25" s="64">
        <f>IF(C10=0,0,C10/TrNavi_act!C5*1000)</f>
        <v>65.097542059540388</v>
      </c>
      <c r="D25" s="64">
        <f>IF(D10=0,0,D10/TrNavi_act!D5*1000)</f>
        <v>54.301990959860376</v>
      </c>
      <c r="E25" s="64">
        <f>IF(E10=0,0,E10/TrNavi_act!E5*1000)</f>
        <v>53.413870607931855</v>
      </c>
      <c r="F25" s="64">
        <f>IF(F10=0,0,F10/TrNavi_act!F5*1000)</f>
        <v>55.982079463249377</v>
      </c>
      <c r="G25" s="64">
        <f>IF(G10=0,0,G10/TrNavi_act!G5*1000)</f>
        <v>42.588587469749662</v>
      </c>
      <c r="H25" s="64">
        <f>IF(H10=0,0,H10/TrNavi_act!H5*1000)</f>
        <v>52.669114097753678</v>
      </c>
      <c r="I25" s="64">
        <f>IF(I10=0,0,I10/TrNavi_act!I5*1000)</f>
        <v>42.673989345325012</v>
      </c>
      <c r="J25" s="64">
        <f>IF(J10=0,0,J10/TrNavi_act!J5*1000)</f>
        <v>43.675265092213934</v>
      </c>
      <c r="K25" s="64">
        <f>IF(K10=0,0,K10/TrNavi_act!K5*1000)</f>
        <v>24.9478914069546</v>
      </c>
      <c r="L25" s="64">
        <f>IF(L10=0,0,L10/TrNavi_act!L5*1000)</f>
        <v>21.194567813856271</v>
      </c>
      <c r="M25" s="64">
        <f>IF(M10=0,0,M10/TrNavi_act!M5*1000)</f>
        <v>20.534491088277861</v>
      </c>
      <c r="N25" s="64">
        <f>IF(N10=0,0,N10/TrNavi_act!N5*1000)</f>
        <v>20.949027098586747</v>
      </c>
      <c r="O25" s="64">
        <f>IF(O10=0,0,O10/TrNavi_act!O5*1000)</f>
        <v>21.868468175608793</v>
      </c>
      <c r="P25" s="64">
        <f>IF(P10=0,0,P10/TrNavi_act!P5*1000)</f>
        <v>17.978712767019704</v>
      </c>
      <c r="Q25" s="64">
        <f>IF(Q10=0,0,Q10/TrNavi_act!Q5*1000)</f>
        <v>16.027894905987843</v>
      </c>
      <c r="R25" s="64">
        <f>IF(R10=0,0,R10/TrNavi_act!R5*1000)</f>
        <v>14.594971597327676</v>
      </c>
      <c r="S25" s="64">
        <f>IF(S10=0,0,S10/TrNavi_act!S5*1000)</f>
        <v>12.165795682923298</v>
      </c>
      <c r="T25" s="64">
        <f>IF(T10=0,0,T10/TrNavi_act!T5*1000)</f>
        <v>8.8738444903937825</v>
      </c>
      <c r="U25" s="64">
        <f>IF(U10=0,0,U10/TrNavi_act!U5*1000)</f>
        <v>8.5470591002418956</v>
      </c>
      <c r="V25" s="64">
        <f>IF(V10=0,0,V10/TrNavi_act!V5*1000)</f>
        <v>8.852267866474417</v>
      </c>
      <c r="W25" s="64">
        <f>IF(W10=0,0,W10/TrNavi_act!W5*1000)</f>
        <v>8.6153291075978746</v>
      </c>
      <c r="X25" s="64">
        <f>IF(X10=0,0,X10/TrNavi_act!X5*1000)</f>
        <v>6.9437037383150857</v>
      </c>
      <c r="Y25" s="64">
        <f>IF(Y10=0,0,Y10/TrNavi_act!Y5*1000)</f>
        <v>8.0496044410858527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0.9926199529175771</v>
      </c>
      <c r="C28" s="77">
        <f t="shared" si="9"/>
        <v>0.99205213524321656</v>
      </c>
      <c r="D28" s="77">
        <f t="shared" si="9"/>
        <v>0.99627191874342791</v>
      </c>
      <c r="E28" s="77">
        <f t="shared" si="9"/>
        <v>0.99655744842131222</v>
      </c>
      <c r="F28" s="77">
        <f t="shared" si="9"/>
        <v>0.99563665683591274</v>
      </c>
      <c r="G28" s="77">
        <f t="shared" si="9"/>
        <v>0.99727418284013292</v>
      </c>
      <c r="H28" s="77">
        <f t="shared" si="9"/>
        <v>0.99711038494368198</v>
      </c>
      <c r="I28" s="77">
        <f t="shared" si="9"/>
        <v>0.99701819050615959</v>
      </c>
      <c r="J28" s="77">
        <f t="shared" si="9"/>
        <v>0.9980238070934081</v>
      </c>
      <c r="K28" s="77">
        <f t="shared" si="9"/>
        <v>0.99886763532206146</v>
      </c>
      <c r="L28" s="77">
        <f t="shared" si="9"/>
        <v>0.99797079721613247</v>
      </c>
      <c r="M28" s="77">
        <f t="shared" si="9"/>
        <v>0.99725010927625923</v>
      </c>
      <c r="N28" s="77">
        <f t="shared" si="9"/>
        <v>0.99826380006979409</v>
      </c>
      <c r="O28" s="77">
        <f t="shared" si="9"/>
        <v>0.99802315740007619</v>
      </c>
      <c r="P28" s="77">
        <f t="shared" si="9"/>
        <v>0.99881245516402029</v>
      </c>
      <c r="Q28" s="77">
        <f t="shared" si="9"/>
        <v>0.99893382733787683</v>
      </c>
      <c r="R28" s="77">
        <f t="shared" si="9"/>
        <v>0.99898066020329934</v>
      </c>
      <c r="S28" s="77">
        <f t="shared" si="9"/>
        <v>0.99914576795678989</v>
      </c>
      <c r="T28" s="77">
        <f t="shared" si="9"/>
        <v>0.99895872394728935</v>
      </c>
      <c r="U28" s="77">
        <f t="shared" si="9"/>
        <v>0.99921975840135802</v>
      </c>
      <c r="V28" s="77">
        <f t="shared" ref="V28:W28" si="10">IF(V4=0,0,V4/V$3)</f>
        <v>0.99802988825429972</v>
      </c>
      <c r="W28" s="77">
        <f t="shared" si="10"/>
        <v>0.9977583858543283</v>
      </c>
      <c r="X28" s="77">
        <f t="shared" ref="X28:Y28" si="11">IF(X4=0,0,X4/X$3)</f>
        <v>0.99869373775143133</v>
      </c>
      <c r="Y28" s="77">
        <f t="shared" si="11"/>
        <v>0.99990596549310495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7.3800470824227906E-3</v>
      </c>
      <c r="C29" s="78">
        <f t="shared" si="12"/>
        <v>7.9478647567834699E-3</v>
      </c>
      <c r="D29" s="78">
        <f t="shared" si="12"/>
        <v>3.7280812565720751E-3</v>
      </c>
      <c r="E29" s="78">
        <f t="shared" si="12"/>
        <v>3.4425515786877347E-3</v>
      </c>
      <c r="F29" s="78">
        <f t="shared" si="12"/>
        <v>4.3633431640873153E-3</v>
      </c>
      <c r="G29" s="78">
        <f t="shared" si="12"/>
        <v>2.7258171598671097E-3</v>
      </c>
      <c r="H29" s="78">
        <f t="shared" si="12"/>
        <v>2.8896150563180152E-3</v>
      </c>
      <c r="I29" s="78">
        <f t="shared" si="12"/>
        <v>2.9818094938404466E-3</v>
      </c>
      <c r="J29" s="78">
        <f t="shared" si="12"/>
        <v>1.9761929065918952E-3</v>
      </c>
      <c r="K29" s="78">
        <f t="shared" si="12"/>
        <v>1.1323646779385571E-3</v>
      </c>
      <c r="L29" s="78">
        <f t="shared" si="12"/>
        <v>2.0292027838676834E-3</v>
      </c>
      <c r="M29" s="78">
        <f t="shared" si="12"/>
        <v>2.7498907237407137E-3</v>
      </c>
      <c r="N29" s="78">
        <f t="shared" si="12"/>
        <v>1.7361999302059133E-3</v>
      </c>
      <c r="O29" s="78">
        <f t="shared" si="12"/>
        <v>1.9768425999237742E-3</v>
      </c>
      <c r="P29" s="78">
        <f t="shared" si="12"/>
        <v>1.1875448359797039E-3</v>
      </c>
      <c r="Q29" s="78">
        <f t="shared" si="12"/>
        <v>1.0661726621231779E-3</v>
      </c>
      <c r="R29" s="78">
        <f t="shared" si="12"/>
        <v>1.0193397967005974E-3</v>
      </c>
      <c r="S29" s="78">
        <f t="shared" si="12"/>
        <v>8.5423204321016474E-4</v>
      </c>
      <c r="T29" s="78">
        <f t="shared" si="12"/>
        <v>1.0412760527106688E-3</v>
      </c>
      <c r="U29" s="78">
        <f t="shared" si="12"/>
        <v>7.8024159864194134E-4</v>
      </c>
      <c r="V29" s="78">
        <f t="shared" ref="V29:W29" si="13">IF(V10=0,0,V10/V$3)</f>
        <v>1.9701117457003778E-3</v>
      </c>
      <c r="W29" s="78">
        <f t="shared" si="13"/>
        <v>2.2416141456717987E-3</v>
      </c>
      <c r="X29" s="78">
        <f t="shared" ref="X29:Y29" si="14">IF(X10=0,0,X10/X$3)</f>
        <v>1.3062622485686961E-3</v>
      </c>
      <c r="Y29" s="78">
        <f t="shared" si="14"/>
        <v>9.4034506894948963E-5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3997.4445000000001</v>
      </c>
      <c r="C3" s="54">
        <f t="shared" ref="C3:V3" si="1">SUM(C4:C5)</f>
        <v>4156.1289291600006</v>
      </c>
      <c r="D3" s="54">
        <f t="shared" si="1"/>
        <v>4140.5908838400001</v>
      </c>
      <c r="E3" s="54">
        <f t="shared" si="1"/>
        <v>4449.7639818000007</v>
      </c>
      <c r="F3" s="54">
        <f t="shared" si="1"/>
        <v>4454.0751581999994</v>
      </c>
      <c r="G3" s="54">
        <f t="shared" si="1"/>
        <v>4386.6934182000005</v>
      </c>
      <c r="H3" s="54">
        <f t="shared" si="1"/>
        <v>4384.8738039600003</v>
      </c>
      <c r="I3" s="54">
        <f t="shared" si="1"/>
        <v>4222.0036490399998</v>
      </c>
      <c r="J3" s="54">
        <f t="shared" si="1"/>
        <v>4485.2220039600006</v>
      </c>
      <c r="K3" s="54">
        <f t="shared" si="1"/>
        <v>3776.9121871200005</v>
      </c>
      <c r="L3" s="54">
        <f t="shared" si="1"/>
        <v>3569.5993798800005</v>
      </c>
      <c r="M3" s="54">
        <f t="shared" si="1"/>
        <v>3399.13733796</v>
      </c>
      <c r="N3" s="54">
        <f t="shared" si="1"/>
        <v>3076.36220916</v>
      </c>
      <c r="O3" s="54">
        <f t="shared" si="1"/>
        <v>3094.2078872399998</v>
      </c>
      <c r="P3" s="54">
        <f t="shared" si="1"/>
        <v>3052.9920038400001</v>
      </c>
      <c r="Q3" s="54">
        <f t="shared" si="1"/>
        <v>2945.6069072399996</v>
      </c>
      <c r="R3" s="54">
        <f t="shared" si="1"/>
        <v>3039.2780979599997</v>
      </c>
      <c r="S3" s="54">
        <f t="shared" si="1"/>
        <v>2748.9008091599999</v>
      </c>
      <c r="T3" s="54">
        <f t="shared" si="1"/>
        <v>2004.0659820000003</v>
      </c>
      <c r="U3" s="54">
        <f t="shared" si="1"/>
        <v>1918.9629702000002</v>
      </c>
      <c r="V3" s="54">
        <f t="shared" si="1"/>
        <v>1778.8602261600001</v>
      </c>
      <c r="W3" s="54">
        <f t="shared" ref="W3:Y3" si="2">SUM(W4:W5)</f>
        <v>1712.78567604</v>
      </c>
      <c r="X3" s="54">
        <f t="shared" si="2"/>
        <v>1689.6223987200003</v>
      </c>
      <c r="Y3" s="54">
        <f t="shared" si="2"/>
        <v>1628.6371228799999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3967.943171380628</v>
      </c>
      <c r="C4" s="56">
        <v>4123.0965785192811</v>
      </c>
      <c r="D4" s="56">
        <v>4125.1544245748228</v>
      </c>
      <c r="E4" s="56">
        <v>4434.4454397796671</v>
      </c>
      <c r="F4" s="56">
        <v>4434.6404998061362</v>
      </c>
      <c r="G4" s="56">
        <v>4374.7360940055951</v>
      </c>
      <c r="H4" s="56">
        <v>4372.2032065960229</v>
      </c>
      <c r="I4" s="56">
        <v>4209.4144384762631</v>
      </c>
      <c r="J4" s="56">
        <v>4476.3583400512853</v>
      </c>
      <c r="K4" s="56">
        <v>3772.63534516763</v>
      </c>
      <c r="L4" s="56">
        <v>3562.3559388810554</v>
      </c>
      <c r="M4" s="56">
        <v>3389.7900817256232</v>
      </c>
      <c r="N4" s="56">
        <v>3071.0210293071682</v>
      </c>
      <c r="O4" s="56">
        <v>3088.0911252754836</v>
      </c>
      <c r="P4" s="56">
        <v>3049.3664389515525</v>
      </c>
      <c r="Q4" s="56">
        <v>2942.4663816821389</v>
      </c>
      <c r="R4" s="56">
        <v>3036.1800408415088</v>
      </c>
      <c r="S4" s="56">
        <v>2746.5526100052089</v>
      </c>
      <c r="T4" s="56">
        <v>2001.9791960848916</v>
      </c>
      <c r="U4" s="56">
        <v>1917.4657154643967</v>
      </c>
      <c r="V4" s="56">
        <v>1775.3556727344831</v>
      </c>
      <c r="W4" s="56">
        <v>1708.9462714400847</v>
      </c>
      <c r="X4" s="56">
        <v>1687.4153087662162</v>
      </c>
      <c r="Y4" s="56">
        <v>1628.483974791239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29.501328619372028</v>
      </c>
      <c r="C5" s="58">
        <v>33.032350640718988</v>
      </c>
      <c r="D5" s="58">
        <v>15.436459265177106</v>
      </c>
      <c r="E5" s="58">
        <v>15.318542020333412</v>
      </c>
      <c r="F5" s="58">
        <v>19.434658393863092</v>
      </c>
      <c r="G5" s="58">
        <v>11.957324194405667</v>
      </c>
      <c r="H5" s="58">
        <v>12.670597363977269</v>
      </c>
      <c r="I5" s="58">
        <v>12.589210563736479</v>
      </c>
      <c r="J5" s="58">
        <v>8.8636639087156386</v>
      </c>
      <c r="K5" s="58">
        <v>4.2768419523703507</v>
      </c>
      <c r="L5" s="58">
        <v>7.2434409989448518</v>
      </c>
      <c r="M5" s="58">
        <v>9.3472562343769088</v>
      </c>
      <c r="N5" s="58">
        <v>5.3411798528317016</v>
      </c>
      <c r="O5" s="58">
        <v>6.1167619645161713</v>
      </c>
      <c r="P5" s="58">
        <v>3.6255648884475193</v>
      </c>
      <c r="Q5" s="58">
        <v>3.1405255578604905</v>
      </c>
      <c r="R5" s="58">
        <v>3.0980571184911248</v>
      </c>
      <c r="S5" s="58">
        <v>2.3481991547908221</v>
      </c>
      <c r="T5" s="58">
        <v>2.08678591510869</v>
      </c>
      <c r="U5" s="58">
        <v>1.4972547356035364</v>
      </c>
      <c r="V5" s="58">
        <v>3.5045534255170474</v>
      </c>
      <c r="W5" s="58">
        <v>3.8394045999152988</v>
      </c>
      <c r="X5" s="58">
        <v>2.2070899537840218</v>
      </c>
      <c r="Y5" s="58">
        <v>0.15314808876082917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3.1492145324301446</v>
      </c>
      <c r="C9" s="79">
        <f>IF(C3=0,0,C3/TrNavi_ene!C3)</f>
        <v>3.1512603009951596</v>
      </c>
      <c r="D9" s="79">
        <f>IF(D3=0,0,D3/TrNavi_ene!D3)</f>
        <v>3.1563527167638097</v>
      </c>
      <c r="E9" s="79">
        <f>IF(E3=0,0,E3/TrNavi_ene!E3)</f>
        <v>3.1577801079923078</v>
      </c>
      <c r="F9" s="79">
        <f>IF(F3=0,0,F3/TrNavi_ene!F3)</f>
        <v>3.1608719419772782</v>
      </c>
      <c r="G9" s="79">
        <f>IF(G3=0,0,G3/TrNavi_ene!G3)</f>
        <v>3.1635332717665263</v>
      </c>
      <c r="H9" s="79">
        <f>IF(H3=0,0,H3/TrNavi_ene!H3)</f>
        <v>3.1664751530614588</v>
      </c>
      <c r="I9" s="79">
        <f>IF(I3=0,0,I3/TrNavi_ene!I3)</f>
        <v>3.1721396944782683</v>
      </c>
      <c r="J9" s="79">
        <f>IF(J3=0,0,J3/TrNavi_ene!J3)</f>
        <v>3.1710110581188333</v>
      </c>
      <c r="K9" s="79">
        <f>IF(K3=0,0,K3/TrNavi_ene!K3)</f>
        <v>3.1746481337364174</v>
      </c>
      <c r="L9" s="79">
        <f>IF(L3=0,0,L3/TrNavi_ene!L3)</f>
        <v>3.1644381110961342</v>
      </c>
      <c r="M9" s="79">
        <f>IF(M3=0,0,M3/TrNavi_ene!M3)</f>
        <v>3.1610961941332074</v>
      </c>
      <c r="N9" s="79">
        <f>IF(N3=0,0,N3/TrNavi_ene!N3)</f>
        <v>3.1476636933996978</v>
      </c>
      <c r="O9" s="79">
        <f>IF(O3=0,0,O3/TrNavi_ene!O3)</f>
        <v>3.1427744262083088</v>
      </c>
      <c r="P9" s="79">
        <f>IF(P3=0,0,P3/TrNavi_ene!P3)</f>
        <v>3.1509180949767832</v>
      </c>
      <c r="Q9" s="79">
        <f>IF(Q3=0,0,Q3/TrNavi_ene!Q3)</f>
        <v>3.1603425357552282</v>
      </c>
      <c r="R9" s="79">
        <f>IF(R3=0,0,R3/TrNavi_ene!R3)</f>
        <v>3.168191056528578</v>
      </c>
      <c r="S9" s="79">
        <f>IF(S3=0,0,S3/TrNavi_ene!S3)</f>
        <v>3.1642047190845997</v>
      </c>
      <c r="T9" s="79">
        <f>IF(T3=0,0,T3/TrNavi_ene!T3)</f>
        <v>3.1778570938625461</v>
      </c>
      <c r="U9" s="79">
        <f>IF(U3=0,0,U3/TrNavi_ene!U3)</f>
        <v>3.1850503261220342</v>
      </c>
      <c r="V9" s="79">
        <f>IF(V3=0,0,V3/TrNavi_ene!V3)</f>
        <v>3.1926878006227306</v>
      </c>
      <c r="W9" s="79">
        <f>IF(W3=0,0,W3/TrNavi_ene!W3)</f>
        <v>3.1832003430534073</v>
      </c>
      <c r="X9" s="79">
        <f>IF(X3=0,0,X3/TrNavi_ene!X3)</f>
        <v>3.1785485627870118</v>
      </c>
      <c r="Y9" s="79">
        <f>IF(Y3=0,0,Y3/TrNavi_ene!Y3)</f>
        <v>3.1709236953132871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3.149214532430145</v>
      </c>
      <c r="C10" s="80">
        <f>IF(C4=0,0,C4/TrNavi_ene!C4)</f>
        <v>3.1512603009951592</v>
      </c>
      <c r="D10" s="80">
        <f>IF(D4=0,0,D4/TrNavi_ene!D4)</f>
        <v>3.1563527167638097</v>
      </c>
      <c r="E10" s="80">
        <f>IF(E4=0,0,E4/TrNavi_ene!E4)</f>
        <v>3.1577801079923082</v>
      </c>
      <c r="F10" s="80">
        <f>IF(F4=0,0,F4/TrNavi_ene!F4)</f>
        <v>3.1608719419772782</v>
      </c>
      <c r="G10" s="80">
        <f>IF(G4=0,0,G4/TrNavi_ene!G4)</f>
        <v>3.1635332717665263</v>
      </c>
      <c r="H10" s="80">
        <f>IF(H4=0,0,H4/TrNavi_ene!H4)</f>
        <v>3.1664751530614588</v>
      </c>
      <c r="I10" s="80">
        <f>IF(I4=0,0,I4/TrNavi_ene!I4)</f>
        <v>3.1721396944782683</v>
      </c>
      <c r="J10" s="80">
        <f>IF(J4=0,0,J4/TrNavi_ene!J4)</f>
        <v>3.1710110581188338</v>
      </c>
      <c r="K10" s="80">
        <f>IF(K4=0,0,K4/TrNavi_ene!K4)</f>
        <v>3.1746481337364174</v>
      </c>
      <c r="L10" s="80">
        <f>IF(L4=0,0,L4/TrNavi_ene!L4)</f>
        <v>3.1644381110961337</v>
      </c>
      <c r="M10" s="80">
        <f>IF(M4=0,0,M4/TrNavi_ene!M4)</f>
        <v>3.1610961941332079</v>
      </c>
      <c r="N10" s="80">
        <f>IF(N4=0,0,N4/TrNavi_ene!N4)</f>
        <v>3.1476636933996973</v>
      </c>
      <c r="O10" s="80">
        <f>IF(O4=0,0,O4/TrNavi_ene!O4)</f>
        <v>3.1427744262083093</v>
      </c>
      <c r="P10" s="80">
        <f>IF(P4=0,0,P4/TrNavi_ene!P4)</f>
        <v>3.1509180949767832</v>
      </c>
      <c r="Q10" s="80">
        <f>IF(Q4=0,0,Q4/TrNavi_ene!Q4)</f>
        <v>3.1603425357552282</v>
      </c>
      <c r="R10" s="80">
        <f>IF(R4=0,0,R4/TrNavi_ene!R4)</f>
        <v>3.1681910565285785</v>
      </c>
      <c r="S10" s="80">
        <f>IF(S4=0,0,S4/TrNavi_ene!S4)</f>
        <v>3.1642047190845997</v>
      </c>
      <c r="T10" s="80">
        <f>IF(T4=0,0,T4/TrNavi_ene!T4)</f>
        <v>3.1778570938625457</v>
      </c>
      <c r="U10" s="80">
        <f>IF(U4=0,0,U4/TrNavi_ene!U4)</f>
        <v>3.1850503261220342</v>
      </c>
      <c r="V10" s="80">
        <f>IF(V4=0,0,V4/TrNavi_ene!V4)</f>
        <v>3.1926878006227302</v>
      </c>
      <c r="W10" s="80">
        <f>IF(W4=0,0,W4/TrNavi_ene!W4)</f>
        <v>3.1832003430534073</v>
      </c>
      <c r="X10" s="80">
        <f>IF(X4=0,0,X4/TrNavi_ene!X4)</f>
        <v>3.1785485627870114</v>
      </c>
      <c r="Y10" s="80">
        <f>IF(Y4=0,0,Y4/TrNavi_ene!Y4)</f>
        <v>3.1709236953132871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3.1492145324301442</v>
      </c>
      <c r="C11" s="81">
        <f>IF(C5=0,0,C5/TrNavi_ene!C10)</f>
        <v>3.1512603009951592</v>
      </c>
      <c r="D11" s="81">
        <f>IF(D5=0,0,D5/TrNavi_ene!D10)</f>
        <v>3.1563527167638097</v>
      </c>
      <c r="E11" s="81">
        <f>IF(E5=0,0,E5/TrNavi_ene!E10)</f>
        <v>3.1577801079923078</v>
      </c>
      <c r="F11" s="81">
        <f>IF(F5=0,0,F5/TrNavi_ene!F10)</f>
        <v>3.1608719419772777</v>
      </c>
      <c r="G11" s="81">
        <f>IF(G5=0,0,G5/TrNavi_ene!G10)</f>
        <v>3.1635332717665263</v>
      </c>
      <c r="H11" s="81">
        <f>IF(H5=0,0,H5/TrNavi_ene!H10)</f>
        <v>3.1664751530614592</v>
      </c>
      <c r="I11" s="81">
        <f>IF(I5=0,0,I5/TrNavi_ene!I10)</f>
        <v>3.1721396944782683</v>
      </c>
      <c r="J11" s="81">
        <f>IF(J5=0,0,J5/TrNavi_ene!J10)</f>
        <v>3.1710110581188333</v>
      </c>
      <c r="K11" s="81">
        <f>IF(K5=0,0,K5/TrNavi_ene!K10)</f>
        <v>3.1746481337364179</v>
      </c>
      <c r="L11" s="81">
        <f>IF(L5=0,0,L5/TrNavi_ene!L10)</f>
        <v>3.1644381110961337</v>
      </c>
      <c r="M11" s="81">
        <f>IF(M5=0,0,M5/TrNavi_ene!M10)</f>
        <v>3.1610961941332079</v>
      </c>
      <c r="N11" s="81">
        <f>IF(N5=0,0,N5/TrNavi_ene!N10)</f>
        <v>3.1476636933996978</v>
      </c>
      <c r="O11" s="81">
        <f>IF(O5=0,0,O5/TrNavi_ene!O10)</f>
        <v>3.1427744262083097</v>
      </c>
      <c r="P11" s="81">
        <f>IF(P5=0,0,P5/TrNavi_ene!P10)</f>
        <v>3.1509180949767828</v>
      </c>
      <c r="Q11" s="81">
        <f>IF(Q5=0,0,Q5/TrNavi_ene!Q10)</f>
        <v>3.1603425357552277</v>
      </c>
      <c r="R11" s="81">
        <f>IF(R5=0,0,R5/TrNavi_ene!R10)</f>
        <v>3.168191056528578</v>
      </c>
      <c r="S11" s="81">
        <f>IF(S5=0,0,S5/TrNavi_ene!S10)</f>
        <v>3.1642047190846001</v>
      </c>
      <c r="T11" s="81">
        <f>IF(T5=0,0,T5/TrNavi_ene!T10)</f>
        <v>3.1778570938625452</v>
      </c>
      <c r="U11" s="81">
        <f>IF(U5=0,0,U5/TrNavi_ene!U10)</f>
        <v>3.1850503261220342</v>
      </c>
      <c r="V11" s="81">
        <f>IF(V5=0,0,V5/TrNavi_ene!V10)</f>
        <v>3.1926878006227306</v>
      </c>
      <c r="W11" s="81">
        <f>IF(W5=0,0,W5/TrNavi_ene!W10)</f>
        <v>3.1832003430534073</v>
      </c>
      <c r="X11" s="81">
        <f>IF(X5=0,0,X5/TrNavi_ene!X10)</f>
        <v>3.1785485627870123</v>
      </c>
      <c r="Y11" s="81">
        <f>IF(Y5=0,0,Y5/TrNavi_ene!Y10)</f>
        <v>3.1709236953132867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228582.14204025618</v>
      </c>
      <c r="C13" s="54">
        <f>IF(C3=0,0,C3/TrNavi_act!C7*1000)</f>
        <v>250716.59100922965</v>
      </c>
      <c r="D13" s="54">
        <f>IF(D3=0,0,D3/TrNavi_act!D7*1000)</f>
        <v>259695.86577019573</v>
      </c>
      <c r="E13" s="54">
        <f>IF(E3=0,0,E3/TrNavi_act!E7*1000)</f>
        <v>256396.65697493518</v>
      </c>
      <c r="F13" s="54">
        <f>IF(F3=0,0,F3/TrNavi_act!F7*1000)</f>
        <v>259093.4301785818</v>
      </c>
      <c r="G13" s="54">
        <f>IF(G3=0,0,G3/TrNavi_act!G7*1000)</f>
        <v>244044.14009457579</v>
      </c>
      <c r="H13" s="54">
        <f>IF(H3=0,0,H3/TrNavi_act!H7*1000)</f>
        <v>245720.02263715331</v>
      </c>
      <c r="I13" s="54">
        <f>IF(I3=0,0,I3/TrNavi_act!I7*1000)</f>
        <v>220240.14861971833</v>
      </c>
      <c r="J13" s="54">
        <f>IF(J3=0,0,J3/TrNavi_act!J7*1000)</f>
        <v>262970.33325281431</v>
      </c>
      <c r="K13" s="54">
        <f>IF(K3=0,0,K3/TrNavi_act!K7*1000)</f>
        <v>197640.61680376765</v>
      </c>
      <c r="L13" s="54">
        <f>IF(L3=0,0,L3/TrNavi_act!L7*1000)</f>
        <v>181538.89944972796</v>
      </c>
      <c r="M13" s="54">
        <f>IF(M3=0,0,M3/TrNavi_act!M7*1000)</f>
        <v>166510.10766924662</v>
      </c>
      <c r="N13" s="54">
        <f>IF(N3=0,0,N3/TrNavi_act!N7*1000)</f>
        <v>165922.12982902757</v>
      </c>
      <c r="O13" s="54">
        <f>IF(O3=0,0,O3/TrNavi_act!O7*1000)</f>
        <v>162570.68708243576</v>
      </c>
      <c r="P13" s="54">
        <f>IF(P3=0,0,P3/TrNavi_act!P7*1000)</f>
        <v>145007.69468224567</v>
      </c>
      <c r="Q13" s="54">
        <f>IF(Q3=0,0,Q3/TrNavi_act!Q7*1000)</f>
        <v>157839.82998821131</v>
      </c>
      <c r="R13" s="54">
        <f>IF(R3=0,0,R3/TrNavi_act!R7*1000)</f>
        <v>151185.30059991046</v>
      </c>
      <c r="S13" s="54">
        <f>IF(S3=0,0,S3/TrNavi_act!S7*1000)</f>
        <v>135240.61837843154</v>
      </c>
      <c r="T13" s="54">
        <f>IF(T3=0,0,T3/TrNavi_act!T7*1000)</f>
        <v>95879.149459381908</v>
      </c>
      <c r="U13" s="54">
        <f>IF(U3=0,0,U3/TrNavi_act!U7*1000)</f>
        <v>90465.9141146521</v>
      </c>
      <c r="V13" s="54">
        <f>IF(V3=0,0,V3/TrNavi_act!V7*1000)</f>
        <v>87684.73535564648</v>
      </c>
      <c r="W13" s="54">
        <f>IF(W3=0,0,W3/TrNavi_act!W7*1000)</f>
        <v>86009.12303103345</v>
      </c>
      <c r="X13" s="54">
        <f>IF(X3=0,0,X3/TrNavi_act!X7*1000)</f>
        <v>73583.416022994526</v>
      </c>
      <c r="Y13" s="54">
        <f>IF(Y3=0,0,Y3/TrNavi_act!Y7*1000)</f>
        <v>86652.680121308862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246793.33072400972</v>
      </c>
      <c r="C14" s="56">
        <f>IF(C4=0,0,C4/TrNavi_act!C8*1000)</f>
        <v>272565.38497516239</v>
      </c>
      <c r="D14" s="56">
        <f>IF(D4=0,0,D4/TrNavi_act!D8*1000)</f>
        <v>270874.93759109743</v>
      </c>
      <c r="E14" s="56">
        <f>IF(E4=0,0,E4/TrNavi_act!E8*1000)</f>
        <v>266301.07132955006</v>
      </c>
      <c r="F14" s="56">
        <f>IF(F4=0,0,F4/TrNavi_act!F8*1000)</f>
        <v>271830.36041474418</v>
      </c>
      <c r="G14" s="56">
        <f>IF(G4=0,0,G4/TrNavi_act!G8*1000)</f>
        <v>251638.5443776586</v>
      </c>
      <c r="H14" s="56">
        <f>IF(H4=0,0,H4/TrNavi_act!H8*1000)</f>
        <v>254079.68425127983</v>
      </c>
      <c r="I14" s="56">
        <f>IF(I4=0,0,I4/TrNavi_act!I8*1000)</f>
        <v>227868.48040254766</v>
      </c>
      <c r="J14" s="56">
        <f>IF(J4=0,0,J4/TrNavi_act!J8*1000)</f>
        <v>269319.43565677671</v>
      </c>
      <c r="K14" s="56">
        <f>IF(K4=0,0,K4/TrNavi_act!K8*1000)</f>
        <v>200076.12140261082</v>
      </c>
      <c r="L14" s="56">
        <f>IF(L4=0,0,L4/TrNavi_act!L8*1000)</f>
        <v>185684.4377837402</v>
      </c>
      <c r="M14" s="56">
        <f>IF(M4=0,0,M4/TrNavi_act!M8*1000)</f>
        <v>171843.76364826236</v>
      </c>
      <c r="N14" s="56">
        <f>IF(N4=0,0,N4/TrNavi_act!N8*1000)</f>
        <v>169174.2978740246</v>
      </c>
      <c r="O14" s="56">
        <f>IF(O4=0,0,O4/TrNavi_act!O8*1000)</f>
        <v>166071.04733936457</v>
      </c>
      <c r="P14" s="56">
        <f>IF(P4=0,0,P4/TrNavi_act!P8*1000)</f>
        <v>146900.78229846578</v>
      </c>
      <c r="Q14" s="56">
        <f>IF(Q4=0,0,Q4/TrNavi_act!Q8*1000)</f>
        <v>159595.72499225137</v>
      </c>
      <c r="R14" s="56">
        <f>IF(R4=0,0,R4/TrNavi_act!R8*1000)</f>
        <v>152879.1561350206</v>
      </c>
      <c r="S14" s="56">
        <f>IF(S4=0,0,S4/TrNavi_act!S8*1000)</f>
        <v>136617.22095131362</v>
      </c>
      <c r="T14" s="56">
        <f>IF(T4=0,0,T4/TrNavi_act!T8*1000)</f>
        <v>97028.022880089731</v>
      </c>
      <c r="U14" s="56">
        <f>IF(U4=0,0,U4/TrNavi_act!U8*1000)</f>
        <v>91255.74507254886</v>
      </c>
      <c r="V14" s="56">
        <f>IF(V4=0,0,V4/TrNavi_act!V8*1000)</f>
        <v>89497.18570018062</v>
      </c>
      <c r="W14" s="56">
        <f>IF(W4=0,0,W4/TrNavi_act!W8*1000)</f>
        <v>88062.778081010256</v>
      </c>
      <c r="X14" s="56">
        <f>IF(X4=0,0,X4/TrNavi_act!X8*1000)</f>
        <v>74667.69807364115</v>
      </c>
      <c r="Y14" s="56">
        <f>IF(Y4=0,0,Y4/TrNavi_act!Y8*1000)</f>
        <v>86746.070142824217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20922.928098845412</v>
      </c>
      <c r="C15" s="58">
        <f>IF(C5=0,0,C5/TrNavi_act!C9*1000)</f>
        <v>22780.931476357924</v>
      </c>
      <c r="D15" s="58">
        <f>IF(D5=0,0,D5/TrNavi_act!D9*1000)</f>
        <v>21589.45351773022</v>
      </c>
      <c r="E15" s="58">
        <f>IF(E5=0,0,E5/TrNavi_act!E9*1000)</f>
        <v>21790.244694642122</v>
      </c>
      <c r="F15" s="58">
        <f>IF(F5=0,0,F5/TrNavi_act!F9*1000)</f>
        <v>22160.385853891781</v>
      </c>
      <c r="G15" s="58">
        <f>IF(G5=0,0,G5/TrNavi_act!G9*1000)</f>
        <v>20266.651176958756</v>
      </c>
      <c r="H15" s="58">
        <f>IF(H5=0,0,H5/TrNavi_act!H9*1000)</f>
        <v>19891.047667154267</v>
      </c>
      <c r="I15" s="58">
        <f>IF(I5=0,0,I5/TrNavi_act!I9*1000)</f>
        <v>18061.995069923214</v>
      </c>
      <c r="J15" s="58">
        <f>IF(J5=0,0,J5/TrNavi_act!J9*1000)</f>
        <v>20376.238870610665</v>
      </c>
      <c r="K15" s="58">
        <f>IF(K5=0,0,K5/TrNavi_act!K9*1000)</f>
        <v>16837.960442402957</v>
      </c>
      <c r="L15" s="58">
        <f>IF(L5=0,0,L5/TrNavi_act!L9*1000)</f>
        <v>15153.642257206802</v>
      </c>
      <c r="M15" s="58">
        <f>IF(M5=0,0,M5/TrNavi_act!M9*1000)</f>
        <v>13586.128247640858</v>
      </c>
      <c r="N15" s="58">
        <f>IF(N5=0,0,N5/TrNavi_act!N9*1000)</f>
        <v>13765.927455751807</v>
      </c>
      <c r="O15" s="58">
        <f>IF(O5=0,0,O5/TrNavi_act!O9*1000)</f>
        <v>13965.209964648793</v>
      </c>
      <c r="P15" s="58">
        <f>IF(P5=0,0,P5/TrNavi_act!P9*1000)</f>
        <v>12248.530028538918</v>
      </c>
      <c r="Q15" s="58">
        <f>IF(Q5=0,0,Q5/TrNavi_act!Q9*1000)</f>
        <v>13957.891368268847</v>
      </c>
      <c r="R15" s="58">
        <f>IF(R5=0,0,R5/TrNavi_act!R9*1000)</f>
        <v>12749.20624893467</v>
      </c>
      <c r="S15" s="58">
        <f>IF(S5=0,0,S5/TrNavi_act!S9*1000)</f>
        <v>10577.473670228928</v>
      </c>
      <c r="T15" s="58">
        <f>IF(T5=0,0,T5/TrNavi_act!T9*1000)</f>
        <v>7757.5684576531221</v>
      </c>
      <c r="U15" s="58">
        <f>IF(U5=0,0,U5/TrNavi_act!U9*1000)</f>
        <v>7486.273678017682</v>
      </c>
      <c r="V15" s="58">
        <f>IF(V5=0,0,V5/TrNavi_act!V9*1000)</f>
        <v>7787.8965011489945</v>
      </c>
      <c r="W15" s="58">
        <f>IF(W5=0,0,W5/TrNavi_act!W9*1000)</f>
        <v>7557.8830706994067</v>
      </c>
      <c r="X15" s="58">
        <f>IF(X5=0,0,X5/TrNavi_act!X9*1000)</f>
        <v>6080.1376137300877</v>
      </c>
      <c r="Y15" s="58">
        <f>IF(Y5=0,0,Y5/TrNavi_act!Y9*1000)</f>
        <v>6961.2767618558719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146.20102471974548</v>
      </c>
      <c r="C17" s="62">
        <f>IF(C3=0,0,C3/TrNavi_act!C3*1000)</f>
        <v>156.90259309582811</v>
      </c>
      <c r="D17" s="62">
        <f>IF(D3=0,0,D3/TrNavi_act!D3*1000)</f>
        <v>142.36638384978653</v>
      </c>
      <c r="E17" s="62">
        <f>IF(E3=0,0,E3/TrNavi_act!E3*1000)</f>
        <v>138.59254150685243</v>
      </c>
      <c r="F17" s="62">
        <f>IF(F3=0,0,F3/TrNavi_act!F3*1000)</f>
        <v>139.17828384822644</v>
      </c>
      <c r="G17" s="62">
        <f>IF(G3=0,0,G3/TrNavi_act!G3*1000)</f>
        <v>120.75320411167658</v>
      </c>
      <c r="H17" s="62">
        <f>IF(H3=0,0,H3/TrNavi_act!H3*1000)</f>
        <v>121.24022291700263</v>
      </c>
      <c r="I17" s="62">
        <f>IF(I3=0,0,I3/TrNavi_act!I3*1000)</f>
        <v>103.53227818387963</v>
      </c>
      <c r="J17" s="62">
        <f>IF(J3=0,0,J3/TrNavi_act!J3*1000)</f>
        <v>119.90094677655912</v>
      </c>
      <c r="K17" s="62">
        <f>IF(K3=0,0,K3/TrNavi_act!K3*1000)</f>
        <v>94.577663780232172</v>
      </c>
      <c r="L17" s="62">
        <f>IF(L3=0,0,L3/TrNavi_act!L3*1000)</f>
        <v>88.144041154108351</v>
      </c>
      <c r="M17" s="62">
        <f>IF(M3=0,0,M3/TrNavi_act!M3*1000)</f>
        <v>80.475606008678227</v>
      </c>
      <c r="N17" s="62">
        <f>IF(N3=0,0,N3/TrNavi_act!N3*1000)</f>
        <v>79.66160464586882</v>
      </c>
      <c r="O17" s="62">
        <f>IF(O3=0,0,O3/TrNavi_act!O3*1000)</f>
        <v>81.125254043156247</v>
      </c>
      <c r="P17" s="62">
        <f>IF(P3=0,0,P3/TrNavi_act!P3*1000)</f>
        <v>73.951867692616489</v>
      </c>
      <c r="Q17" s="62">
        <f>IF(Q3=0,0,Q3/TrNavi_act!Q3*1000)</f>
        <v>73.584110786594451</v>
      </c>
      <c r="R17" s="62">
        <f>IF(R3=0,0,R3/TrNavi_act!R3*1000)</f>
        <v>67.793071427239454</v>
      </c>
      <c r="S17" s="62">
        <f>IF(S3=0,0,S3/TrNavi_act!S3*1000)</f>
        <v>59.463825667663443</v>
      </c>
      <c r="T17" s="62">
        <f>IF(T3=0,0,T3/TrNavi_act!T3*1000)</f>
        <v>44.193047886221741</v>
      </c>
      <c r="U17" s="62">
        <f>IF(U3=0,0,U3/TrNavi_act!U3*1000)</f>
        <v>43.398891504431816</v>
      </c>
      <c r="V17" s="62">
        <f>IF(V3=0,0,V3/TrNavi_act!V3*1000)</f>
        <v>41.064965543809812</v>
      </c>
      <c r="W17" s="62">
        <f>IF(W3=0,0,W3/TrNavi_act!W3*1000)</f>
        <v>40.400431728737793</v>
      </c>
      <c r="X17" s="62">
        <f>IF(X3=0,0,X3/TrNavi_act!X3*1000)</f>
        <v>36.742041770120082</v>
      </c>
      <c r="Y17" s="62">
        <f>IF(Y3=0,0,Y3/TrNavi_act!Y3*1000)</f>
        <v>38.590650273414902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146.02766569742707</v>
      </c>
      <c r="C18" s="63">
        <f>IF(C4=0,0,C4/TrNavi_act!C4*1000)</f>
        <v>156.60756899048602</v>
      </c>
      <c r="D18" s="63">
        <f>IF(D4=0,0,D4/TrNavi_act!D4*1000)</f>
        <v>142.27620943787525</v>
      </c>
      <c r="E18" s="63">
        <f>IF(E4=0,0,E4/TrNavi_act!E4*1000)</f>
        <v>138.50722265034861</v>
      </c>
      <c r="F18" s="63">
        <f>IF(F4=0,0,F4/TrNavi_act!F4*1000)</f>
        <v>139.04820108012794</v>
      </c>
      <c r="G18" s="63">
        <f>IF(G4=0,0,G4/TrNavi_act!G4*1000)</f>
        <v>120.71897366968896</v>
      </c>
      <c r="H18" s="63">
        <f>IF(H4=0,0,H4/TrNavi_act!H4*1000)</f>
        <v>121.14436779948444</v>
      </c>
      <c r="I18" s="63">
        <f>IF(I4=0,0,I4/TrNavi_act!I4*1000)</f>
        <v>103.45950951886805</v>
      </c>
      <c r="J18" s="63">
        <f>IF(J4=0,0,J4/TrNavi_act!J4*1000)</f>
        <v>119.86908056022915</v>
      </c>
      <c r="K18" s="63">
        <f>IF(K4=0,0,K4/TrNavi_act!K4*1000)</f>
        <v>94.598484777653397</v>
      </c>
      <c r="L18" s="63">
        <f>IF(L4=0,0,L4/TrNavi_act!L4*1000)</f>
        <v>88.20039551228777</v>
      </c>
      <c r="M18" s="63">
        <f>IF(M4=0,0,M4/TrNavi_act!M4*1000)</f>
        <v>80.528849351686546</v>
      </c>
      <c r="N18" s="63">
        <f>IF(N4=0,0,N4/TrNavi_act!N4*1000)</f>
        <v>79.690444815397953</v>
      </c>
      <c r="O18" s="63">
        <f>IF(O4=0,0,O4/TrNavi_act!O4*1000)</f>
        <v>81.154250737777161</v>
      </c>
      <c r="P18" s="63">
        <f>IF(P4=0,0,P4/TrNavi_act!P4*1000)</f>
        <v>73.978732516717088</v>
      </c>
      <c r="Q18" s="63">
        <f>IF(Q4=0,0,Q4/TrNavi_act!Q4*1000)</f>
        <v>73.619681053183513</v>
      </c>
      <c r="R18" s="63">
        <f>IF(R4=0,0,R4/TrNavi_act!R4*1000)</f>
        <v>67.825330750438511</v>
      </c>
      <c r="S18" s="63">
        <f>IF(S4=0,0,S4/TrNavi_act!S4*1000)</f>
        <v>59.491531407996433</v>
      </c>
      <c r="T18" s="63">
        <f>IF(T4=0,0,T4/TrNavi_act!T4*1000)</f>
        <v>44.219188714016909</v>
      </c>
      <c r="U18" s="63">
        <f>IF(U4=0,0,U4/TrNavi_act!U4*1000)</f>
        <v>43.419037489593315</v>
      </c>
      <c r="V18" s="63">
        <f>IF(V4=0,0,V4/TrNavi_act!V4*1000)</f>
        <v>41.10171822007019</v>
      </c>
      <c r="W18" s="63">
        <f>IF(W4=0,0,W4/TrNavi_act!W4*1000)</f>
        <v>40.443424176208161</v>
      </c>
      <c r="X18" s="63">
        <f>IF(X4=0,0,X4/TrNavi_act!X4*1000)</f>
        <v>36.774014740728468</v>
      </c>
      <c r="Y18" s="63">
        <f>IF(Y4=0,0,Y4/TrNavi_act!Y4*1000)</f>
        <v>38.592508130841075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173.98139143090023</v>
      </c>
      <c r="C19" s="64">
        <f>IF(C5=0,0,C5/TrNavi_act!C5*1000)</f>
        <v>205.1392999845923</v>
      </c>
      <c r="D19" s="64">
        <f>IF(D5=0,0,D5/TrNavi_act!D5*1000)</f>
        <v>171.39623669183914</v>
      </c>
      <c r="E19" s="64">
        <f>IF(E5=0,0,E5/TrNavi_act!E5*1000)</f>
        <v>168.66925809660222</v>
      </c>
      <c r="F19" s="64">
        <f>IF(F5=0,0,F5/TrNavi_act!F5*1000)</f>
        <v>176.95218422892736</v>
      </c>
      <c r="G19" s="64">
        <f>IF(G5=0,0,G5/TrNavi_act!G5*1000)</f>
        <v>134.73041345809202</v>
      </c>
      <c r="H19" s="64">
        <f>IF(H5=0,0,H5/TrNavi_act!H5*1000)</f>
        <v>166.77544112429604</v>
      </c>
      <c r="I19" s="64">
        <f>IF(I5=0,0,I5/TrNavi_act!I5*1000)</f>
        <v>135.36785552404817</v>
      </c>
      <c r="J19" s="64">
        <f>IF(J5=0,0,J5/TrNavi_act!J5*1000)</f>
        <v>138.49474857368185</v>
      </c>
      <c r="K19" s="64">
        <f>IF(K5=0,0,K5/TrNavi_act!K5*1000)</f>
        <v>79.200776895747239</v>
      </c>
      <c r="L19" s="64">
        <f>IF(L5=0,0,L5/TrNavi_act!L5*1000)</f>
        <v>67.068898138378259</v>
      </c>
      <c r="M19" s="64">
        <f>IF(M5=0,0,M5/TrNavi_act!M5*1000)</f>
        <v>64.911501627617426</v>
      </c>
      <c r="N19" s="64">
        <f>IF(N5=0,0,N5/TrNavi_act!N5*1000)</f>
        <v>65.940492010267917</v>
      </c>
      <c r="O19" s="64">
        <f>IF(O5=0,0,O5/TrNavi_act!O5*1000)</f>
        <v>68.727662522653617</v>
      </c>
      <c r="P19" s="64">
        <f>IF(P5=0,0,P5/TrNavi_act!P5*1000)</f>
        <v>56.649451381992492</v>
      </c>
      <c r="Q19" s="64">
        <f>IF(Q5=0,0,Q5/TrNavi_act!Q5*1000)</f>
        <v>50.653638030007912</v>
      </c>
      <c r="R19" s="64">
        <f>IF(R5=0,0,R5/TrNavi_act!R5*1000)</f>
        <v>46.239658484942161</v>
      </c>
      <c r="S19" s="64">
        <f>IF(S5=0,0,S5/TrNavi_act!S5*1000)</f>
        <v>38.495068111324947</v>
      </c>
      <c r="T19" s="64">
        <f>IF(T5=0,0,T5/TrNavi_act!T5*1000)</f>
        <v>28.199809663630948</v>
      </c>
      <c r="U19" s="64">
        <f>IF(U5=0,0,U5/TrNavi_act!U5*1000)</f>
        <v>27.22281337460975</v>
      </c>
      <c r="V19" s="64">
        <f>IF(V5=0,0,V5/TrNavi_act!V5*1000)</f>
        <v>28.26252762513748</v>
      </c>
      <c r="W19" s="64">
        <f>IF(W5=0,0,W5/TrNavi_act!W5*1000)</f>
        <v>27.424318570823562</v>
      </c>
      <c r="X19" s="64">
        <f>IF(X5=0,0,X5/TrNavi_act!X5*1000)</f>
        <v>22.070899537840219</v>
      </c>
      <c r="Y19" s="64">
        <f>IF(Y5=0,0,Y5/TrNavi_act!Y5*1000)</f>
        <v>25.524681460138197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0.99261995291757721</v>
      </c>
      <c r="C22" s="77">
        <f t="shared" si="6"/>
        <v>0.99205213524321645</v>
      </c>
      <c r="D22" s="77">
        <f t="shared" si="6"/>
        <v>0.99627191874342791</v>
      </c>
      <c r="E22" s="77">
        <f t="shared" si="6"/>
        <v>0.99655744842131222</v>
      </c>
      <c r="F22" s="77">
        <f t="shared" si="6"/>
        <v>0.99563665683591263</v>
      </c>
      <c r="G22" s="77">
        <f t="shared" si="6"/>
        <v>0.99727418284013292</v>
      </c>
      <c r="H22" s="77">
        <f t="shared" si="6"/>
        <v>0.99711038494368198</v>
      </c>
      <c r="I22" s="77">
        <f t="shared" si="6"/>
        <v>0.99701819050615947</v>
      </c>
      <c r="J22" s="77">
        <f t="shared" si="6"/>
        <v>0.99802380709340821</v>
      </c>
      <c r="K22" s="77">
        <f t="shared" si="6"/>
        <v>0.99886763532206146</v>
      </c>
      <c r="L22" s="77">
        <f t="shared" si="6"/>
        <v>0.99797079721613224</v>
      </c>
      <c r="M22" s="77">
        <f t="shared" si="6"/>
        <v>0.99725010927625934</v>
      </c>
      <c r="N22" s="77">
        <f t="shared" si="6"/>
        <v>0.99826380006979409</v>
      </c>
      <c r="O22" s="77">
        <f t="shared" si="6"/>
        <v>0.99802315740007619</v>
      </c>
      <c r="P22" s="77">
        <f t="shared" si="6"/>
        <v>0.99881245516402029</v>
      </c>
      <c r="Q22" s="77">
        <f t="shared" si="6"/>
        <v>0.99893382733787672</v>
      </c>
      <c r="R22" s="77">
        <f t="shared" si="6"/>
        <v>0.99898066020329945</v>
      </c>
      <c r="S22" s="77">
        <f t="shared" si="6"/>
        <v>0.99914576795678978</v>
      </c>
      <c r="T22" s="77">
        <f t="shared" si="6"/>
        <v>0.99895872394728935</v>
      </c>
      <c r="U22" s="77">
        <f t="shared" si="6"/>
        <v>0.99921975840135802</v>
      </c>
      <c r="V22" s="77">
        <f t="shared" ref="V22:W22" si="7">IF(V4=0,0,V4/V$3)</f>
        <v>0.99802988825429961</v>
      </c>
      <c r="W22" s="77">
        <f t="shared" si="7"/>
        <v>0.99775838585432819</v>
      </c>
      <c r="X22" s="77">
        <f t="shared" ref="X22:Y22" si="8">IF(X4=0,0,X4/X$3)</f>
        <v>0.99869373775143122</v>
      </c>
      <c r="Y22" s="77">
        <f t="shared" si="8"/>
        <v>0.99990596549310506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7.3800470824227898E-3</v>
      </c>
      <c r="C23" s="78">
        <f t="shared" si="9"/>
        <v>7.9478647567834699E-3</v>
      </c>
      <c r="D23" s="78">
        <f t="shared" si="9"/>
        <v>3.7280812565720751E-3</v>
      </c>
      <c r="E23" s="78">
        <f t="shared" si="9"/>
        <v>3.4425515786877347E-3</v>
      </c>
      <c r="F23" s="78">
        <f t="shared" si="9"/>
        <v>4.3633431640873145E-3</v>
      </c>
      <c r="G23" s="78">
        <f t="shared" si="9"/>
        <v>2.7258171598671093E-3</v>
      </c>
      <c r="H23" s="78">
        <f t="shared" si="9"/>
        <v>2.8896150563180157E-3</v>
      </c>
      <c r="I23" s="78">
        <f t="shared" si="9"/>
        <v>2.9818094938404462E-3</v>
      </c>
      <c r="J23" s="78">
        <f t="shared" si="9"/>
        <v>1.9761929065918952E-3</v>
      </c>
      <c r="K23" s="78">
        <f t="shared" si="9"/>
        <v>1.1323646779385571E-3</v>
      </c>
      <c r="L23" s="78">
        <f t="shared" si="9"/>
        <v>2.0292027838676829E-3</v>
      </c>
      <c r="M23" s="78">
        <f t="shared" si="9"/>
        <v>2.7498907237407141E-3</v>
      </c>
      <c r="N23" s="78">
        <f t="shared" si="9"/>
        <v>1.7361999302059135E-3</v>
      </c>
      <c r="O23" s="78">
        <f t="shared" si="9"/>
        <v>1.9768425999237746E-3</v>
      </c>
      <c r="P23" s="78">
        <f t="shared" si="9"/>
        <v>1.1875448359797037E-3</v>
      </c>
      <c r="Q23" s="78">
        <f t="shared" si="9"/>
        <v>1.0661726621231777E-3</v>
      </c>
      <c r="R23" s="78">
        <f t="shared" si="9"/>
        <v>1.0193397967005974E-3</v>
      </c>
      <c r="S23" s="78">
        <f t="shared" si="9"/>
        <v>8.5423204321016485E-4</v>
      </c>
      <c r="T23" s="78">
        <f t="shared" si="9"/>
        <v>1.0412760527106686E-3</v>
      </c>
      <c r="U23" s="78">
        <f t="shared" si="9"/>
        <v>7.8024159864194145E-4</v>
      </c>
      <c r="V23" s="78">
        <f t="shared" ref="V23:W23" si="10">IF(V5=0,0,V5/V$3)</f>
        <v>1.9701117457003783E-3</v>
      </c>
      <c r="W23" s="78">
        <f t="shared" si="10"/>
        <v>2.2416141456717987E-3</v>
      </c>
      <c r="X23" s="78">
        <f t="shared" ref="X23:Y23" si="11">IF(X5=0,0,X5/X$3)</f>
        <v>1.3062622485686963E-3</v>
      </c>
      <c r="Y23" s="78">
        <f t="shared" si="11"/>
        <v>9.4034506894948949E-5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744676.87866399996</v>
      </c>
      <c r="C3" s="54">
        <f t="shared" si="0"/>
        <v>765278.34657499997</v>
      </c>
      <c r="D3" s="54">
        <f t="shared" si="0"/>
        <v>762486.09917299997</v>
      </c>
      <c r="E3" s="54">
        <f t="shared" si="0"/>
        <v>791666.98267399997</v>
      </c>
      <c r="F3" s="54">
        <f t="shared" si="0"/>
        <v>816257.25641199993</v>
      </c>
      <c r="G3" s="54">
        <f t="shared" si="0"/>
        <v>816250.22021599999</v>
      </c>
      <c r="H3" s="54">
        <f t="shared" si="0"/>
        <v>864046.68154700007</v>
      </c>
      <c r="I3" s="54">
        <f t="shared" si="0"/>
        <v>863025.60061500012</v>
      </c>
      <c r="J3" s="54">
        <f t="shared" si="0"/>
        <v>829212.691139</v>
      </c>
      <c r="K3" s="54">
        <f t="shared" si="0"/>
        <v>690006.21739999996</v>
      </c>
      <c r="L3" s="54">
        <f t="shared" si="0"/>
        <v>713443.1107790001</v>
      </c>
      <c r="M3" s="54">
        <f t="shared" si="0"/>
        <v>761897.38502699998</v>
      </c>
      <c r="N3" s="54">
        <f t="shared" si="0"/>
        <v>715583.39110499993</v>
      </c>
      <c r="O3" s="54">
        <f t="shared" si="0"/>
        <v>684209.66777099995</v>
      </c>
      <c r="P3" s="54">
        <f t="shared" si="0"/>
        <v>634356.60387999995</v>
      </c>
      <c r="Q3" s="54">
        <f t="shared" si="0"/>
        <v>678072.48890400003</v>
      </c>
      <c r="R3" s="54">
        <f t="shared" ref="R3:W3" si="1">SUM(R4:R5)</f>
        <v>630528.994894</v>
      </c>
      <c r="S3" s="54">
        <f t="shared" si="1"/>
        <v>628463.89535300003</v>
      </c>
      <c r="T3" s="54">
        <f t="shared" si="1"/>
        <v>683842.61781099997</v>
      </c>
      <c r="U3" s="54">
        <f t="shared" si="1"/>
        <v>737369.97070299997</v>
      </c>
      <c r="V3" s="54">
        <f t="shared" si="1"/>
        <v>643904.504113</v>
      </c>
      <c r="W3" s="54">
        <f t="shared" si="1"/>
        <v>713704.98904199991</v>
      </c>
      <c r="X3" s="54">
        <f t="shared" ref="X3:Y3" si="2">SUM(X4:X5)</f>
        <v>707504.68898999994</v>
      </c>
      <c r="Y3" s="54">
        <f t="shared" si="2"/>
        <v>700589.77987999993</v>
      </c>
      <c r="DA3" s="172" t="s">
        <v>388</v>
      </c>
    </row>
    <row r="4" spans="1:105" ht="11.45" customHeight="1" x14ac:dyDescent="0.25">
      <c r="A4" s="55" t="s">
        <v>166</v>
      </c>
      <c r="B4" s="56">
        <v>104817.92207300001</v>
      </c>
      <c r="C4" s="56">
        <v>101321.57058700001</v>
      </c>
      <c r="D4" s="56">
        <v>106850.541595</v>
      </c>
      <c r="E4" s="56">
        <v>108663.211146</v>
      </c>
      <c r="F4" s="56">
        <v>105685.678747</v>
      </c>
      <c r="G4" s="56">
        <v>101382.096909</v>
      </c>
      <c r="H4" s="56">
        <v>105378.11022500001</v>
      </c>
      <c r="I4" s="56">
        <v>100630.200759</v>
      </c>
      <c r="J4" s="56">
        <v>112844.030644</v>
      </c>
      <c r="K4" s="56">
        <v>89502.935462000009</v>
      </c>
      <c r="L4" s="56">
        <v>95804.006362</v>
      </c>
      <c r="M4" s="56">
        <v>100957.01861500001</v>
      </c>
      <c r="N4" s="56">
        <v>97975.156336999993</v>
      </c>
      <c r="O4" s="56">
        <v>105005.784998</v>
      </c>
      <c r="P4" s="56">
        <v>94732.316141999996</v>
      </c>
      <c r="Q4" s="56">
        <v>95591.253031999993</v>
      </c>
      <c r="R4" s="56">
        <v>100378.45395800001</v>
      </c>
      <c r="S4" s="56">
        <v>101912.27463100001</v>
      </c>
      <c r="T4" s="56">
        <v>128716.47048100001</v>
      </c>
      <c r="U4" s="56">
        <v>125970.643996</v>
      </c>
      <c r="V4" s="56">
        <v>109887.804516</v>
      </c>
      <c r="W4" s="56">
        <v>115227.463942</v>
      </c>
      <c r="X4" s="56">
        <v>115399.665802</v>
      </c>
      <c r="Y4" s="56">
        <v>116804.283409</v>
      </c>
      <c r="DA4" s="181" t="s">
        <v>389</v>
      </c>
    </row>
    <row r="5" spans="1:105" ht="11.45" customHeight="1" x14ac:dyDescent="0.25">
      <c r="A5" s="57" t="s">
        <v>167</v>
      </c>
      <c r="B5" s="58">
        <v>639858.95659099997</v>
      </c>
      <c r="C5" s="58">
        <v>663956.77598799998</v>
      </c>
      <c r="D5" s="58">
        <v>655635.55757800001</v>
      </c>
      <c r="E5" s="58">
        <v>683003.77152800001</v>
      </c>
      <c r="F5" s="58">
        <v>710571.57766499999</v>
      </c>
      <c r="G5" s="58">
        <v>714868.12330700003</v>
      </c>
      <c r="H5" s="58">
        <v>758668.571322</v>
      </c>
      <c r="I5" s="58">
        <v>762395.39985600009</v>
      </c>
      <c r="J5" s="58">
        <v>716368.66049499996</v>
      </c>
      <c r="K5" s="58">
        <v>600503.281938</v>
      </c>
      <c r="L5" s="58">
        <v>617639.10441700008</v>
      </c>
      <c r="M5" s="58">
        <v>660940.36641200003</v>
      </c>
      <c r="N5" s="58">
        <v>617608.23476799997</v>
      </c>
      <c r="O5" s="58">
        <v>579203.88277299993</v>
      </c>
      <c r="P5" s="58">
        <v>539624.28773799993</v>
      </c>
      <c r="Q5" s="58">
        <v>582481.23587199999</v>
      </c>
      <c r="R5" s="58">
        <v>530150.54093599995</v>
      </c>
      <c r="S5" s="58">
        <v>526551.62072200002</v>
      </c>
      <c r="T5" s="58">
        <v>555126.14732999995</v>
      </c>
      <c r="U5" s="58">
        <v>611399.32670700003</v>
      </c>
      <c r="V5" s="58">
        <v>534016.69959700003</v>
      </c>
      <c r="W5" s="58">
        <v>598477.52509999997</v>
      </c>
      <c r="X5" s="58">
        <v>592105.02318799996</v>
      </c>
      <c r="Y5" s="58">
        <v>583785.4964709999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52.578876000000001</v>
      </c>
      <c r="C7" s="59">
        <f t="shared" si="3"/>
        <v>50.017924000000008</v>
      </c>
      <c r="D7" s="59">
        <f t="shared" si="3"/>
        <v>46.617657999999999</v>
      </c>
      <c r="E7" s="59">
        <f t="shared" si="3"/>
        <v>48.067169</v>
      </c>
      <c r="F7" s="59">
        <f t="shared" si="3"/>
        <v>47.812137999999997</v>
      </c>
      <c r="G7" s="59">
        <f t="shared" si="3"/>
        <v>45.031254000000004</v>
      </c>
      <c r="H7" s="59">
        <f t="shared" si="3"/>
        <v>46.390535</v>
      </c>
      <c r="I7" s="59">
        <f t="shared" si="3"/>
        <v>43.797411999999994</v>
      </c>
      <c r="J7" s="59">
        <f t="shared" si="3"/>
        <v>43.668990999999998</v>
      </c>
      <c r="K7" s="59">
        <f t="shared" si="3"/>
        <v>42.625891000000003</v>
      </c>
      <c r="L7" s="59">
        <f t="shared" si="3"/>
        <v>37.44218</v>
      </c>
      <c r="M7" s="59">
        <f t="shared" si="3"/>
        <v>38.503706999999999</v>
      </c>
      <c r="N7" s="59">
        <f t="shared" si="3"/>
        <v>35.852556</v>
      </c>
      <c r="O7" s="59">
        <f t="shared" si="3"/>
        <v>36.405023</v>
      </c>
      <c r="P7" s="59">
        <f t="shared" si="3"/>
        <v>34.115065000000001</v>
      </c>
      <c r="Q7" s="59">
        <f t="shared" si="3"/>
        <v>32.720429000000003</v>
      </c>
      <c r="R7" s="59">
        <f t="shared" si="3"/>
        <v>31.713095999999997</v>
      </c>
      <c r="S7" s="59">
        <f t="shared" si="3"/>
        <v>30.933827000000001</v>
      </c>
      <c r="T7" s="59">
        <f t="shared" si="3"/>
        <v>37.539417</v>
      </c>
      <c r="U7" s="59">
        <f t="shared" si="3"/>
        <v>39.169561999999999</v>
      </c>
      <c r="V7" s="59">
        <f t="shared" si="3"/>
        <v>33.369068999999996</v>
      </c>
      <c r="W7" s="59">
        <f t="shared" si="3"/>
        <v>34.313956000000005</v>
      </c>
      <c r="X7" s="59">
        <f t="shared" ref="X7:Y7" si="4">SUM(X8:X9)</f>
        <v>36.767651999999998</v>
      </c>
      <c r="Y7" s="59">
        <f t="shared" si="4"/>
        <v>33.952420000000004</v>
      </c>
      <c r="DA7" s="172" t="s">
        <v>963</v>
      </c>
    </row>
    <row r="8" spans="1:105" ht="11.45" customHeight="1" x14ac:dyDescent="0.25">
      <c r="A8" s="55" t="s">
        <v>166</v>
      </c>
      <c r="B8" s="60">
        <v>23.309763</v>
      </c>
      <c r="C8" s="60">
        <v>21.879180000000002</v>
      </c>
      <c r="D8" s="60">
        <v>21.147804000000001</v>
      </c>
      <c r="E8" s="60">
        <v>21.271035000000001</v>
      </c>
      <c r="F8" s="60">
        <v>20.363429999999997</v>
      </c>
      <c r="G8" s="60">
        <v>18.317499000000002</v>
      </c>
      <c r="H8" s="60">
        <v>18.929754000000003</v>
      </c>
      <c r="I8" s="60">
        <v>17.223652999999999</v>
      </c>
      <c r="J8" s="60">
        <v>18.929333</v>
      </c>
      <c r="K8" s="60">
        <v>15.946416000000001</v>
      </c>
      <c r="L8" s="60">
        <v>17.189008000000001</v>
      </c>
      <c r="M8" s="60">
        <v>17.849657999999998</v>
      </c>
      <c r="N8" s="60">
        <v>17.420518000000001</v>
      </c>
      <c r="O8" s="60">
        <v>19.375703000000001</v>
      </c>
      <c r="P8" s="60">
        <v>18.005846000000002</v>
      </c>
      <c r="Q8" s="60">
        <v>16.627479000000001</v>
      </c>
      <c r="R8" s="60">
        <v>16.809262999999998</v>
      </c>
      <c r="S8" s="60">
        <v>16.713222999999999</v>
      </c>
      <c r="T8" s="60">
        <v>22.086098</v>
      </c>
      <c r="U8" s="60">
        <v>22.333787999999998</v>
      </c>
      <c r="V8" s="60">
        <v>18.519909999999999</v>
      </c>
      <c r="W8" s="60">
        <v>18.604089000000002</v>
      </c>
      <c r="X8" s="60">
        <v>19.555972999999998</v>
      </c>
      <c r="Y8" s="60">
        <v>17.650193999999999</v>
      </c>
      <c r="DA8" s="181" t="s">
        <v>964</v>
      </c>
    </row>
    <row r="9" spans="1:105" ht="11.45" customHeight="1" x14ac:dyDescent="0.25">
      <c r="A9" s="57" t="s">
        <v>167</v>
      </c>
      <c r="B9" s="61">
        <v>29.269113000000001</v>
      </c>
      <c r="C9" s="61">
        <v>28.138744000000003</v>
      </c>
      <c r="D9" s="61">
        <v>25.469853999999998</v>
      </c>
      <c r="E9" s="61">
        <v>26.796133999999999</v>
      </c>
      <c r="F9" s="61">
        <v>27.448708</v>
      </c>
      <c r="G9" s="61">
        <v>26.713754999999999</v>
      </c>
      <c r="H9" s="61">
        <v>27.460781000000001</v>
      </c>
      <c r="I9" s="61">
        <v>26.573758999999999</v>
      </c>
      <c r="J9" s="61">
        <v>24.739657999999999</v>
      </c>
      <c r="K9" s="61">
        <v>26.679475</v>
      </c>
      <c r="L9" s="61">
        <v>20.253171999999999</v>
      </c>
      <c r="M9" s="61">
        <v>20.654049000000001</v>
      </c>
      <c r="N9" s="61">
        <v>18.432037999999999</v>
      </c>
      <c r="O9" s="61">
        <v>17.029319999999998</v>
      </c>
      <c r="P9" s="61">
        <v>16.109219</v>
      </c>
      <c r="Q9" s="61">
        <v>16.092950000000002</v>
      </c>
      <c r="R9" s="61">
        <v>14.903832999999999</v>
      </c>
      <c r="S9" s="61">
        <v>14.220604000000002</v>
      </c>
      <c r="T9" s="61">
        <v>15.453319</v>
      </c>
      <c r="U9" s="61">
        <v>16.835774000000001</v>
      </c>
      <c r="V9" s="61">
        <v>14.849159</v>
      </c>
      <c r="W9" s="61">
        <v>15.709867000000001</v>
      </c>
      <c r="X9" s="61">
        <v>17.211679</v>
      </c>
      <c r="Y9" s="61">
        <v>16.302226000000001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14163.042942644874</v>
      </c>
      <c r="C13" s="62">
        <f t="shared" si="5"/>
        <v>15300.082158047981</v>
      </c>
      <c r="D13" s="62">
        <f t="shared" si="5"/>
        <v>16356.164850087493</v>
      </c>
      <c r="E13" s="62">
        <f t="shared" si="5"/>
        <v>16470.014755268818</v>
      </c>
      <c r="F13" s="62">
        <f t="shared" si="5"/>
        <v>17072.176450507191</v>
      </c>
      <c r="G13" s="62">
        <f t="shared" si="5"/>
        <v>18126.304459920211</v>
      </c>
      <c r="H13" s="62">
        <f t="shared" si="5"/>
        <v>18625.495083145735</v>
      </c>
      <c r="I13" s="62">
        <f t="shared" si="5"/>
        <v>19704.945137283459</v>
      </c>
      <c r="J13" s="62">
        <f t="shared" si="5"/>
        <v>18988.592869915406</v>
      </c>
      <c r="K13" s="62">
        <f t="shared" si="5"/>
        <v>16187.490776439134</v>
      </c>
      <c r="L13" s="62">
        <f t="shared" si="5"/>
        <v>19054.529164140553</v>
      </c>
      <c r="M13" s="62">
        <f t="shared" si="5"/>
        <v>19787.637201451798</v>
      </c>
      <c r="N13" s="62">
        <f t="shared" si="5"/>
        <v>19959.062084862231</v>
      </c>
      <c r="O13" s="62">
        <f t="shared" si="5"/>
        <v>18794.37537427184</v>
      </c>
      <c r="P13" s="62">
        <f t="shared" si="5"/>
        <v>18594.61806331015</v>
      </c>
      <c r="Q13" s="62">
        <f t="shared" si="5"/>
        <v>20723.2151175035</v>
      </c>
      <c r="R13" s="62">
        <f t="shared" si="5"/>
        <v>19882.290738627351</v>
      </c>
      <c r="S13" s="62">
        <f t="shared" si="5"/>
        <v>20316.396524523137</v>
      </c>
      <c r="T13" s="62">
        <f t="shared" si="5"/>
        <v>18216.655250959277</v>
      </c>
      <c r="U13" s="62">
        <f t="shared" si="5"/>
        <v>18825.075723415033</v>
      </c>
      <c r="V13" s="62">
        <f t="shared" si="5"/>
        <v>19296.447980403653</v>
      </c>
      <c r="W13" s="62">
        <f t="shared" si="5"/>
        <v>20799.262814290483</v>
      </c>
      <c r="X13" s="62">
        <f t="shared" ref="X13:Y13" si="6">IF(X3=0,0,X3/X7)</f>
        <v>19242.585547480703</v>
      </c>
      <c r="Y13" s="62">
        <f t="shared" si="6"/>
        <v>20634.457864270054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4496.739073365954</v>
      </c>
      <c r="C14" s="63">
        <f t="shared" si="5"/>
        <v>4630.9583168564823</v>
      </c>
      <c r="D14" s="63">
        <f t="shared" si="5"/>
        <v>5052.5596697888823</v>
      </c>
      <c r="E14" s="63">
        <f t="shared" si="5"/>
        <v>5108.5060574626477</v>
      </c>
      <c r="F14" s="63">
        <f t="shared" si="5"/>
        <v>5189.9743190120726</v>
      </c>
      <c r="G14" s="63">
        <f t="shared" si="5"/>
        <v>5534.7128398369223</v>
      </c>
      <c r="H14" s="63">
        <f t="shared" si="5"/>
        <v>5566.7976575395533</v>
      </c>
      <c r="I14" s="63">
        <f t="shared" si="5"/>
        <v>5842.558530353579</v>
      </c>
      <c r="J14" s="63">
        <f t="shared" si="5"/>
        <v>5961.3315822591321</v>
      </c>
      <c r="K14" s="63">
        <f t="shared" si="5"/>
        <v>5612.7305008222538</v>
      </c>
      <c r="L14" s="63">
        <f t="shared" si="5"/>
        <v>5573.5622650242522</v>
      </c>
      <c r="M14" s="63">
        <f t="shared" si="5"/>
        <v>5655.9637509581426</v>
      </c>
      <c r="N14" s="63">
        <f t="shared" si="5"/>
        <v>5624.1241699586653</v>
      </c>
      <c r="O14" s="63">
        <f t="shared" si="5"/>
        <v>5419.4567803810778</v>
      </c>
      <c r="P14" s="63">
        <f t="shared" si="5"/>
        <v>5261.1977322254106</v>
      </c>
      <c r="Q14" s="63">
        <f t="shared" si="5"/>
        <v>5748.9925581623038</v>
      </c>
      <c r="R14" s="63">
        <f t="shared" si="5"/>
        <v>5971.6154097892349</v>
      </c>
      <c r="S14" s="63">
        <f t="shared" si="5"/>
        <v>6097.7032754843285</v>
      </c>
      <c r="T14" s="63">
        <f t="shared" si="5"/>
        <v>5827.9407472066823</v>
      </c>
      <c r="U14" s="63">
        <f t="shared" si="5"/>
        <v>5640.3617691723412</v>
      </c>
      <c r="V14" s="63">
        <f t="shared" si="5"/>
        <v>5933.4956010045407</v>
      </c>
      <c r="W14" s="63">
        <f t="shared" si="5"/>
        <v>6193.6633361622808</v>
      </c>
      <c r="X14" s="63">
        <f t="shared" ref="X14:Y14" si="7">IF(X4=0,0,X4/X8)</f>
        <v>5900.9933078758095</v>
      </c>
      <c r="Y14" s="63">
        <f t="shared" si="7"/>
        <v>6617.733686609904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21861.234967762772</v>
      </c>
      <c r="C15" s="64">
        <f t="shared" si="5"/>
        <v>23595.82133402969</v>
      </c>
      <c r="D15" s="64">
        <f t="shared" si="5"/>
        <v>25741.629990419264</v>
      </c>
      <c r="E15" s="64">
        <f t="shared" si="5"/>
        <v>25488.892223333412</v>
      </c>
      <c r="F15" s="64">
        <f t="shared" si="5"/>
        <v>25887.2504186718</v>
      </c>
      <c r="G15" s="64">
        <f t="shared" si="5"/>
        <v>26760.30095009107</v>
      </c>
      <c r="H15" s="64">
        <f t="shared" si="5"/>
        <v>27627.34866579359</v>
      </c>
      <c r="I15" s="64">
        <f t="shared" si="5"/>
        <v>28689.783777146473</v>
      </c>
      <c r="J15" s="64">
        <f t="shared" si="5"/>
        <v>28956.287936357083</v>
      </c>
      <c r="K15" s="64">
        <f t="shared" si="5"/>
        <v>22508.062169064422</v>
      </c>
      <c r="L15" s="64">
        <f t="shared" si="5"/>
        <v>30495.919573338935</v>
      </c>
      <c r="M15" s="64">
        <f t="shared" si="5"/>
        <v>32000.522823006762</v>
      </c>
      <c r="N15" s="64">
        <f t="shared" si="5"/>
        <v>33507.322129435714</v>
      </c>
      <c r="O15" s="64">
        <f t="shared" si="5"/>
        <v>34012.155668752479</v>
      </c>
      <c r="P15" s="64">
        <f t="shared" si="5"/>
        <v>33497.855342211187</v>
      </c>
      <c r="Q15" s="64">
        <f t="shared" si="5"/>
        <v>36194.808029105909</v>
      </c>
      <c r="R15" s="64">
        <f t="shared" si="5"/>
        <v>35571.422528419367</v>
      </c>
      <c r="S15" s="64">
        <f t="shared" si="5"/>
        <v>37027.373852896824</v>
      </c>
      <c r="T15" s="64">
        <f t="shared" si="5"/>
        <v>35922.777969574039</v>
      </c>
      <c r="U15" s="64">
        <f t="shared" si="5"/>
        <v>36315.486695592372</v>
      </c>
      <c r="V15" s="64">
        <f t="shared" si="5"/>
        <v>35962.757190289361</v>
      </c>
      <c r="W15" s="64">
        <f t="shared" si="5"/>
        <v>38095.645564663275</v>
      </c>
      <c r="X15" s="64">
        <f t="shared" ref="X15:Y15" si="8">IF(X5=0,0,X5/X9)</f>
        <v>34401.351732622948</v>
      </c>
      <c r="Y15" s="64">
        <f t="shared" si="8"/>
        <v>35810.17073809429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1</v>
      </c>
      <c r="C17" s="65">
        <f t="shared" si="9"/>
        <v>1</v>
      </c>
      <c r="D17" s="65">
        <f t="shared" si="9"/>
        <v>1</v>
      </c>
      <c r="E17" s="65">
        <f t="shared" si="9"/>
        <v>1</v>
      </c>
      <c r="F17" s="65">
        <f t="shared" si="9"/>
        <v>1</v>
      </c>
      <c r="G17" s="65">
        <f t="shared" si="9"/>
        <v>1</v>
      </c>
      <c r="H17" s="65">
        <f t="shared" si="9"/>
        <v>1</v>
      </c>
      <c r="I17" s="65">
        <f t="shared" si="9"/>
        <v>1</v>
      </c>
      <c r="J17" s="65">
        <f t="shared" si="9"/>
        <v>1</v>
      </c>
      <c r="K17" s="65">
        <f t="shared" si="9"/>
        <v>1</v>
      </c>
      <c r="L17" s="65">
        <f t="shared" si="9"/>
        <v>1</v>
      </c>
      <c r="M17" s="65">
        <f t="shared" si="9"/>
        <v>1</v>
      </c>
      <c r="N17" s="65">
        <f t="shared" si="9"/>
        <v>1</v>
      </c>
      <c r="O17" s="65">
        <f t="shared" si="9"/>
        <v>1</v>
      </c>
      <c r="P17" s="65">
        <f t="shared" si="9"/>
        <v>1</v>
      </c>
      <c r="Q17" s="65">
        <f t="shared" si="9"/>
        <v>1</v>
      </c>
      <c r="R17" s="65">
        <f t="shared" si="9"/>
        <v>1</v>
      </c>
      <c r="S17" s="65">
        <f t="shared" si="9"/>
        <v>1</v>
      </c>
      <c r="T17" s="65">
        <f t="shared" si="9"/>
        <v>1</v>
      </c>
      <c r="U17" s="65">
        <f t="shared" si="9"/>
        <v>1</v>
      </c>
      <c r="V17" s="65">
        <f t="shared" si="9"/>
        <v>1</v>
      </c>
      <c r="W17" s="65">
        <f t="shared" si="9"/>
        <v>1</v>
      </c>
      <c r="X17" s="65">
        <f t="shared" ref="X17:Y17" si="10">IF(X3=0,0,X3/X$3)</f>
        <v>1</v>
      </c>
      <c r="Y17" s="65">
        <f t="shared" si="10"/>
        <v>1</v>
      </c>
      <c r="DA17" s="172"/>
    </row>
    <row r="18" spans="1:105" ht="11.45" customHeight="1" x14ac:dyDescent="0.25">
      <c r="A18" s="55" t="s">
        <v>166</v>
      </c>
      <c r="B18" s="66">
        <f t="shared" si="9"/>
        <v>0.14075624620043309</v>
      </c>
      <c r="C18" s="66">
        <f t="shared" si="9"/>
        <v>0.1323983241397908</v>
      </c>
      <c r="D18" s="66">
        <f t="shared" si="9"/>
        <v>0.14013441256291906</v>
      </c>
      <c r="E18" s="66">
        <f t="shared" si="9"/>
        <v>0.13725873823734588</v>
      </c>
      <c r="F18" s="66">
        <f t="shared" si="9"/>
        <v>0.12947594390959499</v>
      </c>
      <c r="G18" s="66">
        <f t="shared" si="9"/>
        <v>0.12420467939619274</v>
      </c>
      <c r="H18" s="66">
        <f t="shared" si="9"/>
        <v>0.12195881597083356</v>
      </c>
      <c r="I18" s="66">
        <f t="shared" si="9"/>
        <v>0.11660164042328522</v>
      </c>
      <c r="J18" s="66">
        <f t="shared" si="9"/>
        <v>0.13608574959097447</v>
      </c>
      <c r="K18" s="66">
        <f t="shared" si="9"/>
        <v>0.12971323041008878</v>
      </c>
      <c r="L18" s="66">
        <f t="shared" si="9"/>
        <v>0.13428401636311652</v>
      </c>
      <c r="M18" s="66">
        <f t="shared" si="9"/>
        <v>0.13250736988869219</v>
      </c>
      <c r="N18" s="66">
        <f t="shared" si="9"/>
        <v>0.13691647619952063</v>
      </c>
      <c r="O18" s="66">
        <f t="shared" si="9"/>
        <v>0.15347018603242638</v>
      </c>
      <c r="P18" s="66">
        <f t="shared" si="9"/>
        <v>0.14933606044703576</v>
      </c>
      <c r="Q18" s="66">
        <f t="shared" si="9"/>
        <v>0.14097497626914279</v>
      </c>
      <c r="R18" s="66">
        <f t="shared" si="9"/>
        <v>0.15919720547486466</v>
      </c>
      <c r="S18" s="66">
        <f t="shared" si="9"/>
        <v>0.1621609059558739</v>
      </c>
      <c r="T18" s="66">
        <f t="shared" si="9"/>
        <v>0.18822528331595531</v>
      </c>
      <c r="U18" s="66">
        <f t="shared" si="9"/>
        <v>0.17083777343943238</v>
      </c>
      <c r="V18" s="66">
        <f t="shared" si="9"/>
        <v>0.17065854302009292</v>
      </c>
      <c r="W18" s="66">
        <f t="shared" si="9"/>
        <v>0.16144971061035854</v>
      </c>
      <c r="X18" s="66">
        <f t="shared" ref="X18:Y18" si="11">IF(X4=0,0,X4/X$3)</f>
        <v>0.16310798726541173</v>
      </c>
      <c r="Y18" s="66">
        <f t="shared" si="11"/>
        <v>0.16672279094480474</v>
      </c>
      <c r="DA18" s="181"/>
    </row>
    <row r="19" spans="1:105" ht="11.45" customHeight="1" x14ac:dyDescent="0.25">
      <c r="A19" s="57" t="s">
        <v>167</v>
      </c>
      <c r="B19" s="67">
        <f t="shared" si="9"/>
        <v>0.85924375379956697</v>
      </c>
      <c r="C19" s="67">
        <f t="shared" si="9"/>
        <v>0.8676016758602092</v>
      </c>
      <c r="D19" s="67">
        <f t="shared" si="9"/>
        <v>0.85986558743708097</v>
      </c>
      <c r="E19" s="67">
        <f t="shared" si="9"/>
        <v>0.8627412617626542</v>
      </c>
      <c r="F19" s="67">
        <f t="shared" si="9"/>
        <v>0.87052405609040506</v>
      </c>
      <c r="G19" s="67">
        <f t="shared" si="9"/>
        <v>0.87579532060380727</v>
      </c>
      <c r="H19" s="67">
        <f t="shared" si="9"/>
        <v>0.87804118402916642</v>
      </c>
      <c r="I19" s="67">
        <f t="shared" si="9"/>
        <v>0.88339835957671475</v>
      </c>
      <c r="J19" s="67">
        <f t="shared" si="9"/>
        <v>0.86391425040902547</v>
      </c>
      <c r="K19" s="67">
        <f t="shared" si="9"/>
        <v>0.87028676958991125</v>
      </c>
      <c r="L19" s="67">
        <f t="shared" si="9"/>
        <v>0.86571598363688351</v>
      </c>
      <c r="M19" s="67">
        <f t="shared" si="9"/>
        <v>0.86749263011130795</v>
      </c>
      <c r="N19" s="67">
        <f t="shared" si="9"/>
        <v>0.86308352380047937</v>
      </c>
      <c r="O19" s="67">
        <f t="shared" si="9"/>
        <v>0.84652981396757365</v>
      </c>
      <c r="P19" s="67">
        <f t="shared" si="9"/>
        <v>0.85066393955296415</v>
      </c>
      <c r="Q19" s="67">
        <f t="shared" si="9"/>
        <v>0.8590250237308571</v>
      </c>
      <c r="R19" s="67">
        <f t="shared" si="9"/>
        <v>0.84080279452513529</v>
      </c>
      <c r="S19" s="67">
        <f t="shared" si="9"/>
        <v>0.83783909404412615</v>
      </c>
      <c r="T19" s="67">
        <f t="shared" si="9"/>
        <v>0.81177471668404466</v>
      </c>
      <c r="U19" s="67">
        <f t="shared" si="9"/>
        <v>0.82916222656056771</v>
      </c>
      <c r="V19" s="67">
        <f t="shared" si="9"/>
        <v>0.82934145697990713</v>
      </c>
      <c r="W19" s="67">
        <f t="shared" si="9"/>
        <v>0.83855028938964149</v>
      </c>
      <c r="X19" s="67">
        <f t="shared" ref="X19:Y19" si="12">IF(X5=0,0,X5/X$3)</f>
        <v>0.83689201273458835</v>
      </c>
      <c r="Y19" s="67">
        <f t="shared" si="12"/>
        <v>0.8332772090551952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1</v>
      </c>
      <c r="C21" s="65">
        <f t="shared" si="13"/>
        <v>1</v>
      </c>
      <c r="D21" s="65">
        <f t="shared" si="13"/>
        <v>1</v>
      </c>
      <c r="E21" s="65">
        <f t="shared" si="13"/>
        <v>1</v>
      </c>
      <c r="F21" s="65">
        <f t="shared" si="13"/>
        <v>1</v>
      </c>
      <c r="G21" s="65">
        <f t="shared" si="13"/>
        <v>1</v>
      </c>
      <c r="H21" s="65">
        <f t="shared" si="13"/>
        <v>1</v>
      </c>
      <c r="I21" s="65">
        <f t="shared" si="13"/>
        <v>1</v>
      </c>
      <c r="J21" s="65">
        <f t="shared" si="13"/>
        <v>1</v>
      </c>
      <c r="K21" s="65">
        <f t="shared" si="13"/>
        <v>1</v>
      </c>
      <c r="L21" s="65">
        <f t="shared" si="13"/>
        <v>1</v>
      </c>
      <c r="M21" s="65">
        <f t="shared" si="13"/>
        <v>1</v>
      </c>
      <c r="N21" s="65">
        <f t="shared" si="13"/>
        <v>1</v>
      </c>
      <c r="O21" s="65">
        <f t="shared" si="13"/>
        <v>1</v>
      </c>
      <c r="P21" s="65">
        <f t="shared" si="13"/>
        <v>1</v>
      </c>
      <c r="Q21" s="65">
        <f t="shared" si="13"/>
        <v>1</v>
      </c>
      <c r="R21" s="65">
        <f t="shared" si="13"/>
        <v>1</v>
      </c>
      <c r="S21" s="65">
        <f t="shared" si="13"/>
        <v>1</v>
      </c>
      <c r="T21" s="65">
        <f t="shared" si="13"/>
        <v>1</v>
      </c>
      <c r="U21" s="65">
        <f t="shared" si="13"/>
        <v>1</v>
      </c>
      <c r="V21" s="65">
        <f t="shared" si="13"/>
        <v>1</v>
      </c>
      <c r="W21" s="65">
        <f t="shared" si="13"/>
        <v>1</v>
      </c>
      <c r="X21" s="65">
        <f t="shared" ref="X21:Y21" si="14">IF(X7=0,0,X7/X$7)</f>
        <v>1</v>
      </c>
      <c r="Y21" s="65">
        <f t="shared" si="14"/>
        <v>1</v>
      </c>
      <c r="DA21" s="172"/>
    </row>
    <row r="22" spans="1:105" ht="11.45" customHeight="1" x14ac:dyDescent="0.25">
      <c r="A22" s="55" t="s">
        <v>166</v>
      </c>
      <c r="B22" s="66">
        <f t="shared" si="13"/>
        <v>0.44332942758228611</v>
      </c>
      <c r="C22" s="66">
        <f t="shared" si="13"/>
        <v>0.43742679124387485</v>
      </c>
      <c r="D22" s="66">
        <f t="shared" si="13"/>
        <v>0.45364363864010504</v>
      </c>
      <c r="E22" s="66">
        <f t="shared" si="13"/>
        <v>0.44252731006479706</v>
      </c>
      <c r="F22" s="66">
        <f t="shared" si="13"/>
        <v>0.42590502855153639</v>
      </c>
      <c r="G22" s="66">
        <f t="shared" si="13"/>
        <v>0.40677301591468007</v>
      </c>
      <c r="H22" s="66">
        <f t="shared" si="13"/>
        <v>0.40805207355336609</v>
      </c>
      <c r="I22" s="66">
        <f t="shared" si="13"/>
        <v>0.39325732305826655</v>
      </c>
      <c r="J22" s="66">
        <f t="shared" si="13"/>
        <v>0.43347310222945157</v>
      </c>
      <c r="K22" s="66">
        <f t="shared" si="13"/>
        <v>0.37410164634447174</v>
      </c>
      <c r="L22" s="66">
        <f t="shared" si="13"/>
        <v>0.45908138895758743</v>
      </c>
      <c r="M22" s="66">
        <f t="shared" si="13"/>
        <v>0.46358284411420436</v>
      </c>
      <c r="N22" s="66">
        <f t="shared" si="13"/>
        <v>0.48589333491313708</v>
      </c>
      <c r="O22" s="66">
        <f t="shared" si="13"/>
        <v>0.53222608869111276</v>
      </c>
      <c r="P22" s="66">
        <f t="shared" si="13"/>
        <v>0.52779749943316834</v>
      </c>
      <c r="Q22" s="66">
        <f t="shared" si="13"/>
        <v>0.50816812334581551</v>
      </c>
      <c r="R22" s="66">
        <f t="shared" si="13"/>
        <v>0.53004169003240809</v>
      </c>
      <c r="S22" s="66">
        <f t="shared" si="13"/>
        <v>0.54028953481895403</v>
      </c>
      <c r="T22" s="66">
        <f t="shared" si="13"/>
        <v>0.58834419298520269</v>
      </c>
      <c r="U22" s="66">
        <f t="shared" si="13"/>
        <v>0.57018222465699253</v>
      </c>
      <c r="V22" s="66">
        <f t="shared" si="13"/>
        <v>0.5550022986856481</v>
      </c>
      <c r="W22" s="66">
        <f t="shared" si="13"/>
        <v>0.54217266583893731</v>
      </c>
      <c r="X22" s="66">
        <f t="shared" ref="X22:Y22" si="15">IF(X8=0,0,X8/X$7)</f>
        <v>0.5318798437278508</v>
      </c>
      <c r="Y22" s="66">
        <f t="shared" si="15"/>
        <v>0.51985083832021395</v>
      </c>
      <c r="DA22" s="181"/>
    </row>
    <row r="23" spans="1:105" ht="11.45" customHeight="1" x14ac:dyDescent="0.25">
      <c r="A23" s="57" t="s">
        <v>167</v>
      </c>
      <c r="B23" s="67">
        <f t="shared" si="13"/>
        <v>0.55667057241771389</v>
      </c>
      <c r="C23" s="67">
        <f t="shared" si="13"/>
        <v>0.56257320875612504</v>
      </c>
      <c r="D23" s="67">
        <f t="shared" si="13"/>
        <v>0.54635636135989496</v>
      </c>
      <c r="E23" s="67">
        <f t="shared" si="13"/>
        <v>0.55747268993520294</v>
      </c>
      <c r="F23" s="67">
        <f t="shared" si="13"/>
        <v>0.57409497144846355</v>
      </c>
      <c r="G23" s="67">
        <f t="shared" si="13"/>
        <v>0.59322698408531982</v>
      </c>
      <c r="H23" s="67">
        <f t="shared" si="13"/>
        <v>0.59194792644663397</v>
      </c>
      <c r="I23" s="67">
        <f t="shared" si="13"/>
        <v>0.60674267694173356</v>
      </c>
      <c r="J23" s="67">
        <f t="shared" si="13"/>
        <v>0.56652689777054843</v>
      </c>
      <c r="K23" s="67">
        <f t="shared" si="13"/>
        <v>0.62589835365552826</v>
      </c>
      <c r="L23" s="67">
        <f t="shared" si="13"/>
        <v>0.54091861104241257</v>
      </c>
      <c r="M23" s="67">
        <f t="shared" si="13"/>
        <v>0.53641715588579564</v>
      </c>
      <c r="N23" s="67">
        <f t="shared" si="13"/>
        <v>0.51410666508686298</v>
      </c>
      <c r="O23" s="67">
        <f t="shared" si="13"/>
        <v>0.46777391130888718</v>
      </c>
      <c r="P23" s="67">
        <f t="shared" si="13"/>
        <v>0.47220250056683166</v>
      </c>
      <c r="Q23" s="67">
        <f t="shared" si="13"/>
        <v>0.49183187665418449</v>
      </c>
      <c r="R23" s="67">
        <f t="shared" si="13"/>
        <v>0.46995830996759197</v>
      </c>
      <c r="S23" s="67">
        <f t="shared" si="13"/>
        <v>0.45971046518104602</v>
      </c>
      <c r="T23" s="67">
        <f t="shared" si="13"/>
        <v>0.41165580701479726</v>
      </c>
      <c r="U23" s="67">
        <f t="shared" si="13"/>
        <v>0.42981777534300741</v>
      </c>
      <c r="V23" s="67">
        <f t="shared" si="13"/>
        <v>0.44499770131435196</v>
      </c>
      <c r="W23" s="67">
        <f t="shared" si="13"/>
        <v>0.45782733416106258</v>
      </c>
      <c r="X23" s="67">
        <f t="shared" ref="X23:Y23" si="16">IF(X9=0,0,X9/X$7)</f>
        <v>0.46812015627214926</v>
      </c>
      <c r="Y23" s="67">
        <f t="shared" si="16"/>
        <v>0.480149161679786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1645.5431642304384</v>
      </c>
      <c r="C3" s="62">
        <f t="shared" ref="C3:W3" si="0">SUM(C4,C10)</f>
        <v>1756.7641444539984</v>
      </c>
      <c r="D3" s="62">
        <f t="shared" si="0"/>
        <v>1912.5345657781597</v>
      </c>
      <c r="E3" s="62">
        <f t="shared" si="0"/>
        <v>2085.2059329320714</v>
      </c>
      <c r="F3" s="62">
        <f t="shared" si="0"/>
        <v>2187.3507308684434</v>
      </c>
      <c r="G3" s="62">
        <f t="shared" si="0"/>
        <v>2241.4875322441958</v>
      </c>
      <c r="H3" s="62">
        <f t="shared" si="0"/>
        <v>2329.6789337919167</v>
      </c>
      <c r="I3" s="62">
        <f t="shared" si="0"/>
        <v>2403.9218400687873</v>
      </c>
      <c r="J3" s="62">
        <f t="shared" si="0"/>
        <v>2520.3448839208932</v>
      </c>
      <c r="K3" s="62">
        <f t="shared" si="0"/>
        <v>2351.7101461736888</v>
      </c>
      <c r="L3" s="62">
        <f t="shared" si="0"/>
        <v>2974.6871023215817</v>
      </c>
      <c r="M3" s="62">
        <f t="shared" si="0"/>
        <v>2496.5988822012041</v>
      </c>
      <c r="N3" s="62">
        <f t="shared" si="0"/>
        <v>2467.1395528804806</v>
      </c>
      <c r="O3" s="62">
        <f t="shared" si="0"/>
        <v>2179.2203783319001</v>
      </c>
      <c r="P3" s="62">
        <f t="shared" si="0"/>
        <v>1912.7830610490112</v>
      </c>
      <c r="Q3" s="62">
        <f t="shared" si="0"/>
        <v>1899.9283748925193</v>
      </c>
      <c r="R3" s="62">
        <f t="shared" si="0"/>
        <v>2212.7830610490114</v>
      </c>
      <c r="S3" s="62">
        <f t="shared" si="0"/>
        <v>2302.6127257093717</v>
      </c>
      <c r="T3" s="62">
        <f t="shared" si="0"/>
        <v>2721.2651762682708</v>
      </c>
      <c r="U3" s="62">
        <f t="shared" si="0"/>
        <v>2653.7713671539123</v>
      </c>
      <c r="V3" s="62">
        <f t="shared" si="0"/>
        <v>2439.472055030094</v>
      </c>
      <c r="W3" s="62">
        <f t="shared" si="0"/>
        <v>2518.0593293207221</v>
      </c>
      <c r="X3" s="62">
        <f t="shared" ref="X3:Y3" si="1">SUM(X4,X10)</f>
        <v>2466.2171969045567</v>
      </c>
      <c r="Y3" s="62">
        <f t="shared" si="1"/>
        <v>2272.6705073086846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626.65152987646343</v>
      </c>
      <c r="C4" s="71">
        <f t="shared" ref="C4:W4" si="2">SUM(C5:C9)</f>
        <v>655.65209904632366</v>
      </c>
      <c r="D4" s="71">
        <f t="shared" si="2"/>
        <v>739.95392575593519</v>
      </c>
      <c r="E4" s="71">
        <f t="shared" si="2"/>
        <v>794.98511101788051</v>
      </c>
      <c r="F4" s="71">
        <f t="shared" si="2"/>
        <v>803.2473334478924</v>
      </c>
      <c r="G4" s="71">
        <f t="shared" si="2"/>
        <v>806.36153141097827</v>
      </c>
      <c r="H4" s="71">
        <f t="shared" si="2"/>
        <v>832.47119351929359</v>
      </c>
      <c r="I4" s="71">
        <f t="shared" si="2"/>
        <v>844.75656922919586</v>
      </c>
      <c r="J4" s="71">
        <f t="shared" si="2"/>
        <v>967.98521748565213</v>
      </c>
      <c r="K4" s="71">
        <f t="shared" si="2"/>
        <v>877.05462853906101</v>
      </c>
      <c r="L4" s="71">
        <f t="shared" si="2"/>
        <v>1157.5053529144816</v>
      </c>
      <c r="M4" s="71">
        <f t="shared" si="2"/>
        <v>960.08852140950876</v>
      </c>
      <c r="N4" s="71">
        <f t="shared" si="2"/>
        <v>974.20313683838435</v>
      </c>
      <c r="O4" s="71">
        <f t="shared" si="2"/>
        <v>922.76127723246134</v>
      </c>
      <c r="P4" s="71">
        <f t="shared" si="2"/>
        <v>793.65800911718247</v>
      </c>
      <c r="Q4" s="71">
        <f t="shared" si="2"/>
        <v>768.68706755902372</v>
      </c>
      <c r="R4" s="71">
        <f t="shared" si="2"/>
        <v>940.67436466557149</v>
      </c>
      <c r="S4" s="71">
        <f t="shared" si="2"/>
        <v>995.93875677202243</v>
      </c>
      <c r="T4" s="71">
        <f t="shared" si="2"/>
        <v>1260.0138887063465</v>
      </c>
      <c r="U4" s="71">
        <f t="shared" si="2"/>
        <v>1184.5015184025349</v>
      </c>
      <c r="V4" s="71">
        <f t="shared" si="2"/>
        <v>975.00284985698556</v>
      </c>
      <c r="W4" s="71">
        <f t="shared" si="2"/>
        <v>981.371073654263</v>
      </c>
      <c r="X4" s="71">
        <f t="shared" ref="X4:Y4" si="3">SUM(X5:X9)</f>
        <v>1044.6632599304648</v>
      </c>
      <c r="Y4" s="71">
        <f t="shared" si="3"/>
        <v>970.45871464501954</v>
      </c>
      <c r="DA4" s="186" t="s">
        <v>971</v>
      </c>
    </row>
    <row r="5" spans="1:105" ht="11.45" customHeight="1" x14ac:dyDescent="0.25">
      <c r="A5" s="72" t="s">
        <v>144</v>
      </c>
      <c r="B5" s="73">
        <v>113.41915307094682</v>
      </c>
      <c r="C5" s="73">
        <v>105.99096566630894</v>
      </c>
      <c r="D5" s="73">
        <v>103.03746909155946</v>
      </c>
      <c r="E5" s="73">
        <v>101.31648701931056</v>
      </c>
      <c r="F5" s="73">
        <v>99.926796572453853</v>
      </c>
      <c r="G5" s="73">
        <v>92.21999605310728</v>
      </c>
      <c r="H5" s="73">
        <v>87.744566346940161</v>
      </c>
      <c r="I5" s="73">
        <v>74.970678637638414</v>
      </c>
      <c r="J5" s="73">
        <v>88.498513976523839</v>
      </c>
      <c r="K5" s="73">
        <v>170.08308384786261</v>
      </c>
      <c r="L5" s="73">
        <v>186.39045006516932</v>
      </c>
      <c r="M5" s="73">
        <v>167.81838489430299</v>
      </c>
      <c r="N5" s="73">
        <v>115.42872071776846</v>
      </c>
      <c r="O5" s="73">
        <v>101.46848842583691</v>
      </c>
      <c r="P5" s="73">
        <v>91.326447789771237</v>
      </c>
      <c r="Q5" s="73">
        <v>178.96100056154711</v>
      </c>
      <c r="R5" s="73">
        <v>215.97439308959738</v>
      </c>
      <c r="S5" s="73">
        <v>229.1774138731341</v>
      </c>
      <c r="T5" s="73">
        <v>400.07365640261571</v>
      </c>
      <c r="U5" s="73">
        <v>419.9004585705195</v>
      </c>
      <c r="V5" s="73">
        <v>446.94841769966467</v>
      </c>
      <c r="W5" s="73">
        <v>548.05789886622244</v>
      </c>
      <c r="X5" s="73">
        <v>494.22680582292219</v>
      </c>
      <c r="Y5" s="73">
        <v>473.42383102736022</v>
      </c>
      <c r="DA5" s="187" t="s">
        <v>972</v>
      </c>
    </row>
    <row r="6" spans="1:105" ht="11.45" customHeight="1" x14ac:dyDescent="0.25">
      <c r="A6" s="72" t="s">
        <v>145</v>
      </c>
      <c r="B6" s="73">
        <v>513.23237680551665</v>
      </c>
      <c r="C6" s="73">
        <v>549.66113338001469</v>
      </c>
      <c r="D6" s="73">
        <v>636.91645666437569</v>
      </c>
      <c r="E6" s="73">
        <v>693.66862399856996</v>
      </c>
      <c r="F6" s="73">
        <v>703.32053687543851</v>
      </c>
      <c r="G6" s="73">
        <v>714.14153535787102</v>
      </c>
      <c r="H6" s="73">
        <v>744.72662717235346</v>
      </c>
      <c r="I6" s="73">
        <v>769.7858905915574</v>
      </c>
      <c r="J6" s="73">
        <v>879.48670350912835</v>
      </c>
      <c r="K6" s="73">
        <v>706.97154469119835</v>
      </c>
      <c r="L6" s="73">
        <v>971.11490284931233</v>
      </c>
      <c r="M6" s="73">
        <v>792.27013651520576</v>
      </c>
      <c r="N6" s="73">
        <v>858.77441612061591</v>
      </c>
      <c r="O6" s="73">
        <v>821.29278880662446</v>
      </c>
      <c r="P6" s="73">
        <v>702.33156132741124</v>
      </c>
      <c r="Q6" s="73">
        <v>589.72606699747666</v>
      </c>
      <c r="R6" s="73">
        <v>724.69997157597413</v>
      </c>
      <c r="S6" s="73">
        <v>766.7613428988883</v>
      </c>
      <c r="T6" s="73">
        <v>859.9402323037308</v>
      </c>
      <c r="U6" s="73">
        <v>764.60105983201538</v>
      </c>
      <c r="V6" s="73">
        <v>528.05443215732089</v>
      </c>
      <c r="W6" s="73">
        <v>433.3131747880405</v>
      </c>
      <c r="X6" s="73">
        <v>550.43645410754266</v>
      </c>
      <c r="Y6" s="73">
        <v>497.03488361765932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1018.8916343539748</v>
      </c>
      <c r="C10" s="71">
        <f t="shared" ref="C10:W10" si="4">SUM(C11:C15)</f>
        <v>1101.1120454076747</v>
      </c>
      <c r="D10" s="71">
        <f t="shared" si="4"/>
        <v>1172.5806400222245</v>
      </c>
      <c r="E10" s="71">
        <f t="shared" si="4"/>
        <v>1290.220821914191</v>
      </c>
      <c r="F10" s="71">
        <f t="shared" si="4"/>
        <v>1384.1033974205509</v>
      </c>
      <c r="G10" s="71">
        <f t="shared" si="4"/>
        <v>1435.1260008332176</v>
      </c>
      <c r="H10" s="71">
        <f t="shared" si="4"/>
        <v>1497.2077402726231</v>
      </c>
      <c r="I10" s="71">
        <f t="shared" si="4"/>
        <v>1559.1652708395914</v>
      </c>
      <c r="J10" s="71">
        <f t="shared" si="4"/>
        <v>1552.3596664352413</v>
      </c>
      <c r="K10" s="71">
        <f t="shared" si="4"/>
        <v>1474.6555176346278</v>
      </c>
      <c r="L10" s="71">
        <f t="shared" si="4"/>
        <v>1817.1817494070999</v>
      </c>
      <c r="M10" s="71">
        <f t="shared" si="4"/>
        <v>1536.5103607916956</v>
      </c>
      <c r="N10" s="71">
        <f t="shared" si="4"/>
        <v>1492.9364160420962</v>
      </c>
      <c r="O10" s="71">
        <f t="shared" si="4"/>
        <v>1256.4591010994386</v>
      </c>
      <c r="P10" s="71">
        <f t="shared" si="4"/>
        <v>1119.1250519318287</v>
      </c>
      <c r="Q10" s="71">
        <f t="shared" si="4"/>
        <v>1131.2413073334956</v>
      </c>
      <c r="R10" s="71">
        <f t="shared" si="4"/>
        <v>1272.1086963834398</v>
      </c>
      <c r="S10" s="71">
        <f t="shared" si="4"/>
        <v>1306.6739689373492</v>
      </c>
      <c r="T10" s="71">
        <f t="shared" si="4"/>
        <v>1461.2512875619245</v>
      </c>
      <c r="U10" s="71">
        <f t="shared" si="4"/>
        <v>1469.2698487513776</v>
      </c>
      <c r="V10" s="71">
        <f t="shared" si="4"/>
        <v>1464.4692051731083</v>
      </c>
      <c r="W10" s="71">
        <f t="shared" si="4"/>
        <v>1536.6882556664593</v>
      </c>
      <c r="X10" s="71">
        <f t="shared" ref="X10:Y10" si="5">SUM(X11:X15)</f>
        <v>1421.5539369740918</v>
      </c>
      <c r="Y10" s="71">
        <f t="shared" si="5"/>
        <v>1302.2117926636649</v>
      </c>
      <c r="DA10" s="186" t="s">
        <v>977</v>
      </c>
    </row>
    <row r="11" spans="1:105" ht="11.45" customHeight="1" x14ac:dyDescent="0.25">
      <c r="A11" s="72" t="s">
        <v>144</v>
      </c>
      <c r="B11" s="73">
        <v>35.133469456998071</v>
      </c>
      <c r="C11" s="73">
        <v>33.404305184937755</v>
      </c>
      <c r="D11" s="73">
        <v>29.235359799240133</v>
      </c>
      <c r="E11" s="73">
        <v>29.938887013363537</v>
      </c>
      <c r="F11" s="73">
        <v>32.346032318345735</v>
      </c>
      <c r="G11" s="73">
        <v>30.895481160994219</v>
      </c>
      <c r="H11" s="73">
        <v>29.266009749362539</v>
      </c>
      <c r="I11" s="73">
        <v>25.76018980604168</v>
      </c>
      <c r="J11" s="73">
        <v>26.477152403527768</v>
      </c>
      <c r="K11" s="73">
        <v>52.745806951793483</v>
      </c>
      <c r="L11" s="73">
        <v>54.753144087883079</v>
      </c>
      <c r="M11" s="73">
        <v>51.958055346453627</v>
      </c>
      <c r="N11" s="73">
        <v>34.141356668302031</v>
      </c>
      <c r="O11" s="73">
        <v>26.734435047937776</v>
      </c>
      <c r="P11" s="73">
        <v>24.666673448405867</v>
      </c>
      <c r="Q11" s="73">
        <v>52.007787056681586</v>
      </c>
      <c r="R11" s="73">
        <v>56.711161510574492</v>
      </c>
      <c r="S11" s="73">
        <v>57.752938663409324</v>
      </c>
      <c r="T11" s="73">
        <v>90.591519865655897</v>
      </c>
      <c r="U11" s="73">
        <v>101.07856120592068</v>
      </c>
      <c r="V11" s="73">
        <v>127.6214877173602</v>
      </c>
      <c r="W11" s="73">
        <v>163.06032985260808</v>
      </c>
      <c r="X11" s="73">
        <v>128.3927126637501</v>
      </c>
      <c r="Y11" s="73">
        <v>118.05768230024073</v>
      </c>
      <c r="DA11" s="187" t="s">
        <v>978</v>
      </c>
    </row>
    <row r="12" spans="1:105" ht="11.45" customHeight="1" x14ac:dyDescent="0.25">
      <c r="A12" s="72" t="s">
        <v>145</v>
      </c>
      <c r="B12" s="73">
        <v>983.75816489697672</v>
      </c>
      <c r="C12" s="73">
        <v>1067.7077402227369</v>
      </c>
      <c r="D12" s="73">
        <v>1143.3452802229845</v>
      </c>
      <c r="E12" s="73">
        <v>1260.2819349008275</v>
      </c>
      <c r="F12" s="73">
        <v>1351.7573651022051</v>
      </c>
      <c r="G12" s="73">
        <v>1404.2305196722234</v>
      </c>
      <c r="H12" s="73">
        <v>1467.9417305232605</v>
      </c>
      <c r="I12" s="73">
        <v>1533.4050810335498</v>
      </c>
      <c r="J12" s="73">
        <v>1525.8825140317135</v>
      </c>
      <c r="K12" s="73">
        <v>1421.9097106828344</v>
      </c>
      <c r="L12" s="73">
        <v>1762.4286053192168</v>
      </c>
      <c r="M12" s="73">
        <v>1484.5523054452419</v>
      </c>
      <c r="N12" s="73">
        <v>1458.7950593737942</v>
      </c>
      <c r="O12" s="73">
        <v>1229.7246660515009</v>
      </c>
      <c r="P12" s="73">
        <v>1094.4583784834228</v>
      </c>
      <c r="Q12" s="73">
        <v>1079.233520276814</v>
      </c>
      <c r="R12" s="73">
        <v>1215.3975348728652</v>
      </c>
      <c r="S12" s="73">
        <v>1248.9210302739398</v>
      </c>
      <c r="T12" s="73">
        <v>1370.6597676962685</v>
      </c>
      <c r="U12" s="73">
        <v>1368.1912875454568</v>
      </c>
      <c r="V12" s="73">
        <v>1336.8477174557481</v>
      </c>
      <c r="W12" s="73">
        <v>1373.6279258138513</v>
      </c>
      <c r="X12" s="73">
        <v>1293.1612243103416</v>
      </c>
      <c r="Y12" s="73">
        <v>1184.1541103634243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3129.6659217866095</v>
      </c>
      <c r="C19" s="62">
        <f>IF(C3=0,0,C3/MBunk_act!C7*100)</f>
        <v>3512.2692106413651</v>
      </c>
      <c r="D19" s="62">
        <f>IF(D3=0,0,D3/MBunk_act!D7*100)</f>
        <v>4102.5968438357831</v>
      </c>
      <c r="E19" s="62">
        <f>IF(E3=0,0,E3/MBunk_act!E7*100)</f>
        <v>4338.1084767693965</v>
      </c>
      <c r="F19" s="62">
        <f>IF(F3=0,0,F3/MBunk_act!F7*100)</f>
        <v>4574.8858393833871</v>
      </c>
      <c r="G19" s="62">
        <f>IF(G3=0,0,G3/MBunk_act!G7*100)</f>
        <v>4977.6262776164212</v>
      </c>
      <c r="H19" s="62">
        <f>IF(H3=0,0,H3/MBunk_act!H7*100)</f>
        <v>5021.8841705359</v>
      </c>
      <c r="I19" s="62">
        <f>IF(I3=0,0,I3/MBunk_act!I7*100)</f>
        <v>5488.7303388355176</v>
      </c>
      <c r="J19" s="62">
        <f>IF(J3=0,0,J3/MBunk_act!J7*100)</f>
        <v>5771.4749670329984</v>
      </c>
      <c r="K19" s="62">
        <f>IF(K3=0,0,K3/MBunk_act!K7*100)</f>
        <v>5517.0932290276087</v>
      </c>
      <c r="L19" s="62">
        <f>IF(L3=0,0,L3/MBunk_act!L7*100)</f>
        <v>7944.7486826931072</v>
      </c>
      <c r="M19" s="62">
        <f>IF(M3=0,0,M3/MBunk_act!M7*100)</f>
        <v>6484.0481000990476</v>
      </c>
      <c r="N19" s="62">
        <f>IF(N3=0,0,N3/MBunk_act!N7*100)</f>
        <v>6881.3491369499034</v>
      </c>
      <c r="O19" s="62">
        <f>IF(O3=0,0,O3/MBunk_act!O7*100)</f>
        <v>5986.0431301798653</v>
      </c>
      <c r="P19" s="62">
        <f>IF(P3=0,0,P3/MBunk_act!P7*100)</f>
        <v>5606.8574427427038</v>
      </c>
      <c r="Q19" s="62">
        <f>IF(Q3=0,0,Q3/MBunk_act!Q7*100)</f>
        <v>5806.5509315067939</v>
      </c>
      <c r="R19" s="62">
        <f>IF(R3=0,0,R3/MBunk_act!R7*100)</f>
        <v>6977.5056369425802</v>
      </c>
      <c r="S19" s="62">
        <f>IF(S3=0,0,S3/MBunk_act!S7*100)</f>
        <v>7443.6723451947018</v>
      </c>
      <c r="T19" s="62">
        <f>IF(T3=0,0,T3/MBunk_act!T7*100)</f>
        <v>7249.0874758877344</v>
      </c>
      <c r="U19" s="62">
        <f>IF(U3=0,0,U3/MBunk_act!U7*100)</f>
        <v>6775.0856319351042</v>
      </c>
      <c r="V19" s="62">
        <f>IF(V3=0,0,V3/MBunk_act!V7*100)</f>
        <v>7310.5787129694691</v>
      </c>
      <c r="W19" s="62">
        <f>IF(W3=0,0,W3/MBunk_act!W7*100)</f>
        <v>7338.2950345938598</v>
      </c>
      <c r="X19" s="62">
        <f>IF(X3=0,0,X3/MBunk_act!X7*100)</f>
        <v>6707.5732682210901</v>
      </c>
      <c r="Y19" s="62">
        <f>IF(Y3=0,0,Y3/MBunk_act!Y7*100)</f>
        <v>6693.6922531845585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2688.3650849494411</v>
      </c>
      <c r="C20" s="63">
        <f>IF(C4=0,0,C4/MBunk_act!C8*100)</f>
        <v>2996.6941130623891</v>
      </c>
      <c r="D20" s="63">
        <f>IF(D4=0,0,D4/MBunk_act!D8*100)</f>
        <v>3498.9634184047441</v>
      </c>
      <c r="E20" s="63">
        <f>IF(E4=0,0,E4/MBunk_act!E8*100)</f>
        <v>3737.4068117413208</v>
      </c>
      <c r="F20" s="63">
        <f>IF(F4=0,0,F4/MBunk_act!F8*100)</f>
        <v>3944.5581291947997</v>
      </c>
      <c r="G20" s="63">
        <f>IF(G4=0,0,G4/MBunk_act!G8*100)</f>
        <v>4402.137712200657</v>
      </c>
      <c r="H20" s="63">
        <f>IF(H4=0,0,H4/MBunk_act!H8*100)</f>
        <v>4397.6862748416779</v>
      </c>
      <c r="I20" s="63">
        <f>IF(I4=0,0,I4/MBunk_act!I8*100)</f>
        <v>4904.6306798516898</v>
      </c>
      <c r="J20" s="63">
        <f>IF(J4=0,0,J4/MBunk_act!J8*100)</f>
        <v>5113.6784243039738</v>
      </c>
      <c r="K20" s="63">
        <f>IF(K4=0,0,K4/MBunk_act!K8*100)</f>
        <v>5500.0109650912218</v>
      </c>
      <c r="L20" s="63">
        <f>IF(L4=0,0,L4/MBunk_act!L8*100)</f>
        <v>6733.9857711072182</v>
      </c>
      <c r="M20" s="63">
        <f>IF(M4=0,0,M4/MBunk_act!M8*100)</f>
        <v>5378.7502338112517</v>
      </c>
      <c r="N20" s="63">
        <f>IF(N4=0,0,N4/MBunk_act!N8*100)</f>
        <v>5592.2742184726321</v>
      </c>
      <c r="O20" s="63">
        <f>IF(O4=0,0,O4/MBunk_act!O8*100)</f>
        <v>4762.4660495284288</v>
      </c>
      <c r="P20" s="63">
        <f>IF(P4=0,0,P4/MBunk_act!P8*100)</f>
        <v>4407.7796128945147</v>
      </c>
      <c r="Q20" s="63">
        <f>IF(Q4=0,0,Q4/MBunk_act!Q8*100)</f>
        <v>4622.9922621404221</v>
      </c>
      <c r="R20" s="63">
        <f>IF(R4=0,0,R4/MBunk_act!R8*100)</f>
        <v>5596.1666175701548</v>
      </c>
      <c r="S20" s="63">
        <f>IF(S4=0,0,S4/MBunk_act!S8*100)</f>
        <v>5958.9868260120893</v>
      </c>
      <c r="T20" s="63">
        <f>IF(T4=0,0,T4/MBunk_act!T8*100)</f>
        <v>5705.0090455378158</v>
      </c>
      <c r="U20" s="63">
        <f>IF(U4=0,0,U4/MBunk_act!U8*100)</f>
        <v>5303.6301696896871</v>
      </c>
      <c r="V20" s="63">
        <f>IF(V4=0,0,V4/MBunk_act!V8*100)</f>
        <v>5264.6198056955218</v>
      </c>
      <c r="W20" s="63">
        <f>IF(W4=0,0,W4/MBunk_act!W8*100)</f>
        <v>5275.0289124840401</v>
      </c>
      <c r="X20" s="63">
        <f>IF(X4=0,0,X4/MBunk_act!X8*100)</f>
        <v>5341.914002082458</v>
      </c>
      <c r="Y20" s="63">
        <f>IF(Y4=0,0,Y4/MBunk_act!Y8*100)</f>
        <v>5498.2892235916479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3481.1155170775928</v>
      </c>
      <c r="C21" s="64">
        <f>IF(C10=0,0,C10/MBunk_act!C9*100)</f>
        <v>3913.1527882256387</v>
      </c>
      <c r="D21" s="64">
        <f>IF(D10=0,0,D10/MBunk_act!D9*100)</f>
        <v>4603.7980430599437</v>
      </c>
      <c r="E21" s="64">
        <f>IF(E10=0,0,E10/MBunk_act!E9*100)</f>
        <v>4814.9513728890561</v>
      </c>
      <c r="F21" s="64">
        <f>IF(F10=0,0,F10/MBunk_act!F9*100)</f>
        <v>5042.5083665888787</v>
      </c>
      <c r="G21" s="64">
        <f>IF(G10=0,0,G10/MBunk_act!G9*100)</f>
        <v>5372.2361413931421</v>
      </c>
      <c r="H21" s="64">
        <f>IF(H10=0,0,H10/MBunk_act!H9*100)</f>
        <v>5452.1673665167173</v>
      </c>
      <c r="I21" s="64">
        <f>IF(I10=0,0,I10/MBunk_act!I9*100)</f>
        <v>5867.3116996341814</v>
      </c>
      <c r="J21" s="64">
        <f>IF(J10=0,0,J10/MBunk_act!J9*100)</f>
        <v>6274.7822400586192</v>
      </c>
      <c r="K21" s="64">
        <f>IF(K10=0,0,K10/MBunk_act!K9*100)</f>
        <v>5527.303358235602</v>
      </c>
      <c r="L21" s="64">
        <f>IF(L10=0,0,L10/MBunk_act!L9*100)</f>
        <v>8972.3315903656967</v>
      </c>
      <c r="M21" s="64">
        <f>IF(M10=0,0,M10/MBunk_act!M9*100)</f>
        <v>7439.2694662034328</v>
      </c>
      <c r="N21" s="64">
        <f>IF(N10=0,0,N10/MBunk_act!N9*100)</f>
        <v>8099.6817391657742</v>
      </c>
      <c r="O21" s="64">
        <f>IF(O10=0,0,O10/MBunk_act!O9*100)</f>
        <v>7378.2106455186622</v>
      </c>
      <c r="P21" s="64">
        <f>IF(P10=0,0,P10/MBunk_act!P9*100)</f>
        <v>6947.109303882633</v>
      </c>
      <c r="Q21" s="64">
        <f>IF(Q10=0,0,Q10/MBunk_act!Q9*100)</f>
        <v>7029.4216245840289</v>
      </c>
      <c r="R21" s="64">
        <f>IF(R10=0,0,R10/MBunk_act!R9*100)</f>
        <v>8535.4465283087902</v>
      </c>
      <c r="S21" s="64">
        <f>IF(S10=0,0,S10/MBunk_act!S9*100)</f>
        <v>9188.5968341242697</v>
      </c>
      <c r="T21" s="64">
        <f>IF(T10=0,0,T10/MBunk_act!T9*100)</f>
        <v>9455.9057996662359</v>
      </c>
      <c r="U21" s="64">
        <f>IF(U10=0,0,U10/MBunk_act!U9*100)</f>
        <v>8727.0703963558644</v>
      </c>
      <c r="V21" s="64">
        <f>IF(V10=0,0,V10/MBunk_act!V9*100)</f>
        <v>9862.3040212116284</v>
      </c>
      <c r="W21" s="64">
        <f>IF(W10=0,0,W10/MBunk_act!W9*100)</f>
        <v>9781.6757816374848</v>
      </c>
      <c r="X21" s="64">
        <f>IF(X10=0,0,X10/MBunk_act!X9*100)</f>
        <v>8259.2403505439052</v>
      </c>
      <c r="Y21" s="64">
        <f>IF(Y10=0,0,Y10/MBunk_act!Y9*100)</f>
        <v>7987.9385346741292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2.209741179533669</v>
      </c>
      <c r="C23" s="62">
        <f>IF(C3=0,0,C3/MBunk_act!C3*1000)</f>
        <v>2.295588464401729</v>
      </c>
      <c r="D23" s="62">
        <f>IF(D3=0,0,D3/MBunk_act!D3*1000)</f>
        <v>2.5082877810526827</v>
      </c>
      <c r="E23" s="62">
        <f>IF(E3=0,0,E3/MBunk_act!E3*1000)</f>
        <v>2.6339432849515934</v>
      </c>
      <c r="F23" s="62">
        <f>IF(F3=0,0,F3/MBunk_act!F3*1000)</f>
        <v>2.6797320497747514</v>
      </c>
      <c r="G23" s="62">
        <f>IF(G3=0,0,G3/MBunk_act!G3*1000)</f>
        <v>2.7460789311040465</v>
      </c>
      <c r="H23" s="62">
        <f>IF(H3=0,0,H3/MBunk_act!H3*1000)</f>
        <v>2.6962419780616833</v>
      </c>
      <c r="I23" s="62">
        <f>IF(I3=0,0,I3/MBunk_act!I3*1000)</f>
        <v>2.7854583205361809</v>
      </c>
      <c r="J23" s="62">
        <f>IF(J3=0,0,J3/MBunk_act!J3*1000)</f>
        <v>3.0394432102323075</v>
      </c>
      <c r="K23" s="62">
        <f>IF(K3=0,0,K3/MBunk_act!K3*1000)</f>
        <v>3.4082448634088043</v>
      </c>
      <c r="L23" s="62">
        <f>IF(L3=0,0,L3/MBunk_act!L3*1000)</f>
        <v>4.1694804496374722</v>
      </c>
      <c r="M23" s="62">
        <f>IF(M3=0,0,M3/MBunk_act!M3*1000)</f>
        <v>3.2768177595369097</v>
      </c>
      <c r="N23" s="62">
        <f>IF(N3=0,0,N3/MBunk_act!N3*1000)</f>
        <v>3.4477317158951064</v>
      </c>
      <c r="O23" s="62">
        <f>IF(O3=0,0,O3/MBunk_act!O3*1000)</f>
        <v>3.1850183956495473</v>
      </c>
      <c r="P23" s="62">
        <f>IF(P3=0,0,P3/MBunk_act!P3*1000)</f>
        <v>3.0153119701909006</v>
      </c>
      <c r="Q23" s="62">
        <f>IF(Q3=0,0,Q3/MBunk_act!Q3*1000)</f>
        <v>2.8019546670643747</v>
      </c>
      <c r="R23" s="62">
        <f>IF(R3=0,0,R3/MBunk_act!R3*1000)</f>
        <v>3.5094073055609574</v>
      </c>
      <c r="S23" s="62">
        <f>IF(S3=0,0,S3/MBunk_act!S3*1000)</f>
        <v>3.6638743175787751</v>
      </c>
      <c r="T23" s="62">
        <f>IF(T3=0,0,T3/MBunk_act!T3*1000)</f>
        <v>3.9793734777442205</v>
      </c>
      <c r="U23" s="62">
        <f>IF(U3=0,0,U3/MBunk_act!U3*1000)</f>
        <v>3.5989685945900907</v>
      </c>
      <c r="V23" s="62">
        <f>IF(V3=0,0,V3/MBunk_act!V3*1000)</f>
        <v>3.788561874389353</v>
      </c>
      <c r="W23" s="62">
        <f>IF(W3=0,0,W3/MBunk_act!W3*1000)</f>
        <v>3.5281515023464971</v>
      </c>
      <c r="X23" s="62">
        <f>IF(X3=0,0,X3/MBunk_act!X3*1000)</f>
        <v>3.4857962573014341</v>
      </c>
      <c r="Y23" s="62">
        <f>IF(Y3=0,0,Y3/MBunk_act!Y3*1000)</f>
        <v>3.2439389962239491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5.9784769387055254</v>
      </c>
      <c r="C24" s="63">
        <f>IF(C4=0,0,C4/MBunk_act!C4*1000)</f>
        <v>6.4710021296338516</v>
      </c>
      <c r="D24" s="63">
        <f>IF(D4=0,0,D4/MBunk_act!D4*1000)</f>
        <v>6.9251303241925806</v>
      </c>
      <c r="E24" s="63">
        <f>IF(E4=0,0,E4/MBunk_act!E4*1000)</f>
        <v>7.3160465500116478</v>
      </c>
      <c r="F24" s="63">
        <f>IF(F4=0,0,F4/MBunk_act!F4*1000)</f>
        <v>7.6003422882941312</v>
      </c>
      <c r="G24" s="63">
        <f>IF(G4=0,0,G4/MBunk_act!G4*1000)</f>
        <v>7.95368764304376</v>
      </c>
      <c r="H24" s="63">
        <f>IF(H4=0,0,H4/MBunk_act!H4*1000)</f>
        <v>7.8998493305851412</v>
      </c>
      <c r="I24" s="63">
        <f>IF(I4=0,0,I4/MBunk_act!I4*1000)</f>
        <v>8.3946624657175182</v>
      </c>
      <c r="J24" s="63">
        <f>IF(J4=0,0,J4/MBunk_act!J4*1000)</f>
        <v>8.5780808427470028</v>
      </c>
      <c r="K24" s="63">
        <f>IF(K4=0,0,K4/MBunk_act!K4*1000)</f>
        <v>9.799171658581292</v>
      </c>
      <c r="L24" s="63">
        <f>IF(L4=0,0,L4/MBunk_act!L4*1000)</f>
        <v>12.082014070902133</v>
      </c>
      <c r="M24" s="63">
        <f>IF(M4=0,0,M4/MBunk_act!M4*1000)</f>
        <v>9.5098739501293146</v>
      </c>
      <c r="N24" s="63">
        <f>IF(N4=0,0,N4/MBunk_act!N4*1000)</f>
        <v>9.9433690464087565</v>
      </c>
      <c r="O24" s="63">
        <f>IF(O4=0,0,O4/MBunk_act!O4*1000)</f>
        <v>8.7877184790346252</v>
      </c>
      <c r="P24" s="63">
        <f>IF(P4=0,0,P4/MBunk_act!P4*1000)</f>
        <v>8.3779014536868335</v>
      </c>
      <c r="Q24" s="63">
        <f>IF(Q4=0,0,Q4/MBunk_act!Q4*1000)</f>
        <v>8.0413954538465884</v>
      </c>
      <c r="R24" s="63">
        <f>IF(R4=0,0,R4/MBunk_act!R4*1000)</f>
        <v>9.3712776753780762</v>
      </c>
      <c r="S24" s="63">
        <f>IF(S4=0,0,S4/MBunk_act!S4*1000)</f>
        <v>9.7725103318327324</v>
      </c>
      <c r="T24" s="63">
        <f>IF(T4=0,0,T4/MBunk_act!T4*1000)</f>
        <v>9.7890649424879843</v>
      </c>
      <c r="U24" s="63">
        <f>IF(U4=0,0,U4/MBunk_act!U4*1000)</f>
        <v>9.402996450825059</v>
      </c>
      <c r="V24" s="63">
        <f>IF(V4=0,0,V4/MBunk_act!V4*1000)</f>
        <v>8.8727120734769276</v>
      </c>
      <c r="W24" s="63">
        <f>IF(W4=0,0,W4/MBunk_act!W4*1000)</f>
        <v>8.5168156972389699</v>
      </c>
      <c r="X24" s="63">
        <f>IF(X4=0,0,X4/MBunk_act!X4*1000)</f>
        <v>9.0525674634350608</v>
      </c>
      <c r="Y24" s="63">
        <f>IF(Y4=0,0,Y4/MBunk_act!Y4*1000)</f>
        <v>8.3084171771926965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1.5923691055015643</v>
      </c>
      <c r="C25" s="64">
        <f>IF(C10=0,0,C10/MBunk_act!C5*1000)</f>
        <v>1.6584092296809028</v>
      </c>
      <c r="D25" s="64">
        <f>IF(D10=0,0,D10/MBunk_act!D5*1000)</f>
        <v>1.7884640734768635</v>
      </c>
      <c r="E25" s="64">
        <f>IF(E10=0,0,E10/MBunk_act!E5*1000)</f>
        <v>1.8890390883607264</v>
      </c>
      <c r="F25" s="64">
        <f>IF(F10=0,0,F10/MBunk_act!F5*1000)</f>
        <v>1.9478732909200154</v>
      </c>
      <c r="G25" s="64">
        <f>IF(G10=0,0,G10/MBunk_act!G5*1000)</f>
        <v>2.0075395083981142</v>
      </c>
      <c r="H25" s="64">
        <f>IF(H10=0,0,H10/MBunk_act!H5*1000)</f>
        <v>1.9734674624305306</v>
      </c>
      <c r="I25" s="64">
        <f>IF(I10=0,0,I10/MBunk_act!I5*1000)</f>
        <v>2.0450874587308419</v>
      </c>
      <c r="J25" s="64">
        <f>IF(J10=0,0,J10/MBunk_act!J5*1000)</f>
        <v>2.1669843364763945</v>
      </c>
      <c r="K25" s="64">
        <f>IF(K10=0,0,K10/MBunk_act!K5*1000)</f>
        <v>2.4556993475131104</v>
      </c>
      <c r="L25" s="64">
        <f>IF(L10=0,0,L10/MBunk_act!L5*1000)</f>
        <v>2.9421416753111322</v>
      </c>
      <c r="M25" s="64">
        <f>IF(M10=0,0,M10/MBunk_act!M5*1000)</f>
        <v>2.3247337261799275</v>
      </c>
      <c r="N25" s="64">
        <f>IF(N10=0,0,N10/MBunk_act!N5*1000)</f>
        <v>2.4172870956018047</v>
      </c>
      <c r="O25" s="64">
        <f>IF(O10=0,0,O10/MBunk_act!O5*1000)</f>
        <v>2.169286392011061</v>
      </c>
      <c r="P25" s="64">
        <f>IF(P10=0,0,P10/MBunk_act!P5*1000)</f>
        <v>2.073896741421672</v>
      </c>
      <c r="Q25" s="64">
        <f>IF(Q10=0,0,Q10/MBunk_act!Q5*1000)</f>
        <v>1.942107724105443</v>
      </c>
      <c r="R25" s="64">
        <f>IF(R10=0,0,R10/MBunk_act!R5*1000)</f>
        <v>2.3995235280482521</v>
      </c>
      <c r="S25" s="64">
        <f>IF(S10=0,0,S10/MBunk_act!S5*1000)</f>
        <v>2.481568601281023</v>
      </c>
      <c r="T25" s="64">
        <f>IF(T10=0,0,T10/MBunk_act!T5*1000)</f>
        <v>2.6322869037787728</v>
      </c>
      <c r="U25" s="64">
        <f>IF(U10=0,0,U10/MBunk_act!U5*1000)</f>
        <v>2.4031263767738715</v>
      </c>
      <c r="V25" s="64">
        <f>IF(V10=0,0,V10/MBunk_act!V5*1000)</f>
        <v>2.7423659340209432</v>
      </c>
      <c r="W25" s="64">
        <f>IF(W10=0,0,W10/MBunk_act!W5*1000)</f>
        <v>2.5676624287765746</v>
      </c>
      <c r="X25" s="64">
        <f>IF(X10=0,0,X10/MBunk_act!X5*1000)</f>
        <v>2.4008476221332997</v>
      </c>
      <c r="Y25" s="64">
        <f>IF(Y10=0,0,Y10/MBunk_act!Y5*1000)</f>
        <v>2.2306340265997915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6">IF(C3=0,0,C3/C$3)</f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si="6"/>
        <v>1</v>
      </c>
      <c r="W27" s="76">
        <f t="shared" si="6"/>
        <v>1</v>
      </c>
      <c r="X27" s="76">
        <f t="shared" ref="X27:Y27" si="7">IF(X3=0,0,X3/X$3)</f>
        <v>1</v>
      </c>
      <c r="Y27" s="76">
        <f t="shared" si="7"/>
        <v>1</v>
      </c>
      <c r="DA27" s="183"/>
    </row>
    <row r="28" spans="1:105" ht="11.45" customHeight="1" x14ac:dyDescent="0.25">
      <c r="A28" s="55" t="s">
        <v>166</v>
      </c>
      <c r="B28" s="77">
        <f>IF(B4=0,0,B4/B$3)</f>
        <v>0.38081743675774432</v>
      </c>
      <c r="C28" s="77">
        <f t="shared" si="6"/>
        <v>0.37321577920188032</v>
      </c>
      <c r="D28" s="77">
        <f t="shared" si="6"/>
        <v>0.38689702084148608</v>
      </c>
      <c r="E28" s="77">
        <f t="shared" si="6"/>
        <v>0.38125016741153611</v>
      </c>
      <c r="F28" s="77">
        <f t="shared" si="6"/>
        <v>0.36722383937439207</v>
      </c>
      <c r="G28" s="77">
        <f t="shared" si="6"/>
        <v>0.35974392889156176</v>
      </c>
      <c r="H28" s="77">
        <f t="shared" si="6"/>
        <v>0.35733301333687068</v>
      </c>
      <c r="I28" s="77">
        <f t="shared" si="6"/>
        <v>0.35140766856422562</v>
      </c>
      <c r="J28" s="77">
        <f t="shared" si="6"/>
        <v>0.38406855492719727</v>
      </c>
      <c r="K28" s="77">
        <f t="shared" si="6"/>
        <v>0.37294333656129275</v>
      </c>
      <c r="L28" s="77">
        <f t="shared" si="6"/>
        <v>0.38911835534268852</v>
      </c>
      <c r="M28" s="77">
        <f t="shared" si="6"/>
        <v>0.38455858017649069</v>
      </c>
      <c r="N28" s="77">
        <f t="shared" si="6"/>
        <v>0.39487151657106895</v>
      </c>
      <c r="O28" s="77">
        <f t="shared" si="6"/>
        <v>0.42343642084459382</v>
      </c>
      <c r="P28" s="77">
        <f t="shared" si="6"/>
        <v>0.41492316890443576</v>
      </c>
      <c r="Q28" s="77">
        <f t="shared" si="6"/>
        <v>0.40458739272342781</v>
      </c>
      <c r="R28" s="77">
        <f t="shared" si="6"/>
        <v>0.42510916737568805</v>
      </c>
      <c r="S28" s="77">
        <f t="shared" si="6"/>
        <v>0.4325255157552389</v>
      </c>
      <c r="T28" s="77">
        <f t="shared" si="6"/>
        <v>0.46302502956886787</v>
      </c>
      <c r="U28" s="77">
        <f t="shared" si="6"/>
        <v>0.44634648374885294</v>
      </c>
      <c r="V28" s="77">
        <f t="shared" si="6"/>
        <v>0.39967781055190554</v>
      </c>
      <c r="W28" s="77">
        <f t="shared" si="6"/>
        <v>0.38973310208659778</v>
      </c>
      <c r="X28" s="77">
        <f t="shared" ref="X28:Y28" si="8">IF(X4=0,0,X4/X$3)</f>
        <v>0.42358931777852393</v>
      </c>
      <c r="Y28" s="77">
        <f t="shared" si="8"/>
        <v>0.42701249984285883</v>
      </c>
      <c r="DA28" s="184"/>
    </row>
    <row r="29" spans="1:105" ht="11.45" customHeight="1" x14ac:dyDescent="0.25">
      <c r="A29" s="57" t="s">
        <v>167</v>
      </c>
      <c r="B29" s="78">
        <f>IF(B10=0,0,B10/B$3)</f>
        <v>0.61918256324225562</v>
      </c>
      <c r="C29" s="78">
        <f t="shared" ref="C29:W29" si="9">IF(C10=0,0,C10/C$3)</f>
        <v>0.62678422079811968</v>
      </c>
      <c r="D29" s="78">
        <f t="shared" si="9"/>
        <v>0.61310297915851397</v>
      </c>
      <c r="E29" s="78">
        <f t="shared" si="9"/>
        <v>0.61874983258846394</v>
      </c>
      <c r="F29" s="78">
        <f t="shared" si="9"/>
        <v>0.63277616062560782</v>
      </c>
      <c r="G29" s="78">
        <f t="shared" si="9"/>
        <v>0.6402560711084383</v>
      </c>
      <c r="H29" s="78">
        <f t="shared" si="9"/>
        <v>0.64266698666312938</v>
      </c>
      <c r="I29" s="78">
        <f t="shared" si="9"/>
        <v>0.64859233143577433</v>
      </c>
      <c r="J29" s="78">
        <f t="shared" si="9"/>
        <v>0.61593144507280284</v>
      </c>
      <c r="K29" s="78">
        <f t="shared" si="9"/>
        <v>0.62705666343870725</v>
      </c>
      <c r="L29" s="78">
        <f t="shared" si="9"/>
        <v>0.61088164465731143</v>
      </c>
      <c r="M29" s="78">
        <f t="shared" si="9"/>
        <v>0.61544141982350942</v>
      </c>
      <c r="N29" s="78">
        <f t="shared" si="9"/>
        <v>0.605128483428931</v>
      </c>
      <c r="O29" s="78">
        <f t="shared" si="9"/>
        <v>0.57656357915540613</v>
      </c>
      <c r="P29" s="78">
        <f t="shared" si="9"/>
        <v>0.5850768310955643</v>
      </c>
      <c r="Q29" s="78">
        <f t="shared" si="9"/>
        <v>0.59541260727657219</v>
      </c>
      <c r="R29" s="78">
        <f t="shared" si="9"/>
        <v>0.57489083262431195</v>
      </c>
      <c r="S29" s="78">
        <f t="shared" si="9"/>
        <v>0.5674744842447611</v>
      </c>
      <c r="T29" s="78">
        <f t="shared" si="9"/>
        <v>0.53697497043113218</v>
      </c>
      <c r="U29" s="78">
        <f t="shared" si="9"/>
        <v>0.55365351625114712</v>
      </c>
      <c r="V29" s="78">
        <f t="shared" si="9"/>
        <v>0.60032218944809446</v>
      </c>
      <c r="W29" s="78">
        <f t="shared" si="9"/>
        <v>0.61026689791340227</v>
      </c>
      <c r="X29" s="78">
        <f t="shared" ref="X29:Y29" si="10">IF(X10=0,0,X10/X$3)</f>
        <v>0.57641068222147607</v>
      </c>
      <c r="Y29" s="78">
        <f t="shared" si="10"/>
        <v>0.57298750015714117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5302.0072440000004</v>
      </c>
      <c r="C3" s="62">
        <f t="shared" ref="C3:W3" si="1">SUM(C4:C5)</f>
        <v>5663.6933040000022</v>
      </c>
      <c r="D3" s="62">
        <f t="shared" si="1"/>
        <v>6167.7423921599993</v>
      </c>
      <c r="E3" s="62">
        <f t="shared" si="1"/>
        <v>6728.1276898799979</v>
      </c>
      <c r="F3" s="62">
        <f t="shared" si="1"/>
        <v>7059.5124300000007</v>
      </c>
      <c r="G3" s="62">
        <f t="shared" si="1"/>
        <v>7235.3514639600016</v>
      </c>
      <c r="H3" s="62">
        <f t="shared" si="1"/>
        <v>7523.0197181999974</v>
      </c>
      <c r="I3" s="62">
        <f t="shared" si="1"/>
        <v>7766.7203041199991</v>
      </c>
      <c r="J3" s="62">
        <f t="shared" si="1"/>
        <v>8142.2029450799982</v>
      </c>
      <c r="K3" s="62">
        <f t="shared" si="1"/>
        <v>7582.2041660400027</v>
      </c>
      <c r="L3" s="62">
        <f t="shared" si="1"/>
        <v>9598.8267939600046</v>
      </c>
      <c r="M3" s="62">
        <f t="shared" si="1"/>
        <v>8052.6665098800022</v>
      </c>
      <c r="N3" s="62">
        <f t="shared" si="1"/>
        <v>7968.1065271199986</v>
      </c>
      <c r="O3" s="62">
        <f t="shared" si="1"/>
        <v>7038.032667120001</v>
      </c>
      <c r="P3" s="62">
        <f t="shared" si="1"/>
        <v>6176.6517279600002</v>
      </c>
      <c r="Q3" s="62">
        <f t="shared" si="1"/>
        <v>6118.4207138400016</v>
      </c>
      <c r="R3" s="62">
        <f t="shared" si="1"/>
        <v>7127.177371920001</v>
      </c>
      <c r="S3" s="62">
        <f t="shared" si="1"/>
        <v>7416.5139842399994</v>
      </c>
      <c r="T3" s="62">
        <f t="shared" si="1"/>
        <v>8745.3555483599976</v>
      </c>
      <c r="U3" s="62">
        <f t="shared" si="1"/>
        <v>8522.6246276400016</v>
      </c>
      <c r="V3" s="62">
        <f t="shared" si="1"/>
        <v>7821.4806759599996</v>
      </c>
      <c r="W3" s="62">
        <f t="shared" si="1"/>
        <v>8057.5715995200017</v>
      </c>
      <c r="X3" s="62">
        <f t="shared" ref="X3:Y3" si="2">SUM(X4:X5)</f>
        <v>7902.8527039199998</v>
      </c>
      <c r="Y3" s="62">
        <f t="shared" si="2"/>
        <v>7279.2245545200003</v>
      </c>
      <c r="DA3" s="172" t="s">
        <v>987</v>
      </c>
    </row>
    <row r="4" spans="1:105" ht="11.45" customHeight="1" x14ac:dyDescent="0.25">
      <c r="A4" s="55" t="s">
        <v>166</v>
      </c>
      <c r="B4" s="63">
        <v>2011.6217526508462</v>
      </c>
      <c r="C4" s="63">
        <v>2106.6567218694386</v>
      </c>
      <c r="D4" s="63">
        <v>2379.4568598575252</v>
      </c>
      <c r="E4" s="63">
        <v>2558.304586394288</v>
      </c>
      <c r="F4" s="63">
        <v>2585.5885768915309</v>
      </c>
      <c r="G4" s="63">
        <v>2596.5086969083541</v>
      </c>
      <c r="H4" s="63">
        <v>2682.091506331059</v>
      </c>
      <c r="I4" s="63">
        <v>2723.9802131187198</v>
      </c>
      <c r="J4" s="63">
        <v>3121.2093246281825</v>
      </c>
      <c r="K4" s="63">
        <v>2816.0385466700427</v>
      </c>
      <c r="L4" s="63">
        <v>3722.5481540782557</v>
      </c>
      <c r="M4" s="63">
        <v>3085.4836123994205</v>
      </c>
      <c r="N4" s="63">
        <v>3138.7410676742479</v>
      </c>
      <c r="O4" s="63">
        <v>2973.7830024366613</v>
      </c>
      <c r="P4" s="63">
        <v>2557.0082133544906</v>
      </c>
      <c r="Q4" s="63">
        <v>2463.9561817505569</v>
      </c>
      <c r="R4" s="63">
        <v>3016.3065787645314</v>
      </c>
      <c r="S4" s="63">
        <v>3193.6087782738296</v>
      </c>
      <c r="T4" s="63">
        <v>4025.8459196816534</v>
      </c>
      <c r="U4" s="63">
        <v>3778.6100303964245</v>
      </c>
      <c r="V4" s="63">
        <v>3096.566486199265</v>
      </c>
      <c r="W4" s="63">
        <v>3103.4954303510322</v>
      </c>
      <c r="X4" s="63">
        <v>3316.1064735458035</v>
      </c>
      <c r="Y4" s="63">
        <v>3078.3090880063573</v>
      </c>
      <c r="DA4" s="181" t="s">
        <v>988</v>
      </c>
    </row>
    <row r="5" spans="1:105" ht="11.45" customHeight="1" x14ac:dyDescent="0.25">
      <c r="A5" s="57" t="s">
        <v>167</v>
      </c>
      <c r="B5" s="64">
        <v>3290.3854913491546</v>
      </c>
      <c r="C5" s="64">
        <v>3557.0365821305636</v>
      </c>
      <c r="D5" s="64">
        <v>3788.2855323024742</v>
      </c>
      <c r="E5" s="64">
        <v>4169.8231034857099</v>
      </c>
      <c r="F5" s="64">
        <v>4473.9238531084702</v>
      </c>
      <c r="G5" s="64">
        <v>4638.8427670516476</v>
      </c>
      <c r="H5" s="64">
        <v>4840.9282118689389</v>
      </c>
      <c r="I5" s="64">
        <v>5042.7400910012793</v>
      </c>
      <c r="J5" s="64">
        <v>5020.9936204518153</v>
      </c>
      <c r="K5" s="64">
        <v>4766.16561936996</v>
      </c>
      <c r="L5" s="64">
        <v>5876.2786398817479</v>
      </c>
      <c r="M5" s="64">
        <v>4967.1828974805812</v>
      </c>
      <c r="N5" s="64">
        <v>4829.3654594457512</v>
      </c>
      <c r="O5" s="64">
        <v>4064.2496646833397</v>
      </c>
      <c r="P5" s="64">
        <v>3619.6435146055096</v>
      </c>
      <c r="Q5" s="64">
        <v>3654.4645320894442</v>
      </c>
      <c r="R5" s="64">
        <v>4110.8707931554691</v>
      </c>
      <c r="S5" s="64">
        <v>4222.9052059661699</v>
      </c>
      <c r="T5" s="64">
        <v>4719.5096286783446</v>
      </c>
      <c r="U5" s="64">
        <v>4744.0145972435766</v>
      </c>
      <c r="V5" s="64">
        <v>4724.9141897607342</v>
      </c>
      <c r="W5" s="64">
        <v>4954.0761691689695</v>
      </c>
      <c r="X5" s="64">
        <v>4586.7462303741968</v>
      </c>
      <c r="Y5" s="64">
        <v>4200.915466513643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3.2220408186494209</v>
      </c>
      <c r="C9" s="79">
        <f>IF(C3=0,0,C3/MBunk_ene!C3)</f>
        <v>3.2239349384947036</v>
      </c>
      <c r="D9" s="79">
        <f>IF(D3=0,0,D3/MBunk_ene!D3)</f>
        <v>3.2249050566312292</v>
      </c>
      <c r="E9" s="79">
        <f>IF(E3=0,0,E3/MBunk_ene!E3)</f>
        <v>3.2266010678472283</v>
      </c>
      <c r="F9" s="79">
        <f>IF(F3=0,0,F3/MBunk_ene!F3)</f>
        <v>3.2274259131717593</v>
      </c>
      <c r="G9" s="79">
        <f>IF(G3=0,0,G3/MBunk_ene!G3)</f>
        <v>3.2279240280742978</v>
      </c>
      <c r="H9" s="79">
        <f>IF(H3=0,0,H3/MBunk_ene!H3)</f>
        <v>3.2292088017275011</v>
      </c>
      <c r="I9" s="79">
        <f>IF(I3=0,0,I3/MBunk_ene!I3)</f>
        <v>3.2308539215641709</v>
      </c>
      <c r="J9" s="79">
        <f>IF(J3=0,0,J3/MBunk_ene!J3)</f>
        <v>3.2305907802638489</v>
      </c>
      <c r="K9" s="79">
        <f>IF(K3=0,0,K3/MBunk_ene!K3)</f>
        <v>3.2241235929421417</v>
      </c>
      <c r="L9" s="79">
        <f>IF(L3=0,0,L3/MBunk_ene!L3)</f>
        <v>3.2268357860121295</v>
      </c>
      <c r="M9" s="79">
        <f>IF(M3=0,0,M3/MBunk_ene!M3)</f>
        <v>3.2254546644594018</v>
      </c>
      <c r="N9" s="79">
        <f>IF(N3=0,0,N3/MBunk_ene!N3)</f>
        <v>3.2296942902224268</v>
      </c>
      <c r="O9" s="79">
        <f>IF(O3=0,0,O3/MBunk_ene!O3)</f>
        <v>3.2296103400553338</v>
      </c>
      <c r="P9" s="79">
        <f>IF(P3=0,0,P3/MBunk_ene!P3)</f>
        <v>3.229143886590355</v>
      </c>
      <c r="Q9" s="79">
        <f>IF(Q3=0,0,Q3/MBunk_ene!Q3)</f>
        <v>3.220342826969004</v>
      </c>
      <c r="R9" s="79">
        <f>IF(R3=0,0,R3/MBunk_ene!R3)</f>
        <v>3.2209110316224261</v>
      </c>
      <c r="S9" s="79">
        <f>IF(S3=0,0,S3/MBunk_ene!S3)</f>
        <v>3.2209124449944899</v>
      </c>
      <c r="T9" s="79">
        <f>IF(T3=0,0,T3/MBunk_ene!T3)</f>
        <v>3.213709426272338</v>
      </c>
      <c r="U9" s="79">
        <f>IF(U3=0,0,U3/MBunk_ene!U3)</f>
        <v>3.2115142747885823</v>
      </c>
      <c r="V9" s="79">
        <f>IF(V3=0,0,V3/MBunk_ene!V3)</f>
        <v>3.2062185995664181</v>
      </c>
      <c r="W9" s="79">
        <f>IF(W3=0,0,W3/MBunk_ene!W3)</f>
        <v>3.199913324398767</v>
      </c>
      <c r="X9" s="79">
        <f>IF(X3=0,0,X3/MBunk_ene!X3)</f>
        <v>3.2044431098117276</v>
      </c>
      <c r="Y9" s="79">
        <f>IF(Y3=0,0,Y3/MBunk_ene!Y3)</f>
        <v>3.202938803100023</v>
      </c>
      <c r="DA9" s="172"/>
    </row>
    <row r="10" spans="1:105" ht="11.45" customHeight="1" x14ac:dyDescent="0.25">
      <c r="A10" s="55" t="s">
        <v>166</v>
      </c>
      <c r="B10" s="80">
        <f>IF(B4=0,0,B4/MBunk_ene!B4)</f>
        <v>3.210112250180595</v>
      </c>
      <c r="C10" s="80">
        <f>IF(C4=0,0,C4/MBunk_ene!C4)</f>
        <v>3.2130709639055048</v>
      </c>
      <c r="D10" s="80">
        <f>IF(D4=0,0,D4/MBunk_ene!D4)</f>
        <v>3.2156824594540501</v>
      </c>
      <c r="E10" s="80">
        <f>IF(E4=0,0,E4/MBunk_ene!E4)</f>
        <v>3.2180534590373573</v>
      </c>
      <c r="F10" s="80">
        <f>IF(F4=0,0,F4/MBunk_ene!F4)</f>
        <v>3.2189195895528746</v>
      </c>
      <c r="G10" s="80">
        <f>IF(G4=0,0,G4/MBunk_ene!G4)</f>
        <v>3.2200304649515723</v>
      </c>
      <c r="H10" s="80">
        <f>IF(H4=0,0,H4/MBunk_ene!H4)</f>
        <v>3.2218430225704839</v>
      </c>
      <c r="I10" s="80">
        <f>IF(I4=0,0,I4/MBunk_ene!I4)</f>
        <v>3.2245741700526045</v>
      </c>
      <c r="J10" s="80">
        <f>IF(J4=0,0,J4/MBunk_ene!J4)</f>
        <v>3.2244390391989084</v>
      </c>
      <c r="K10" s="80">
        <f>IF(K4=0,0,K4/MBunk_ene!K4)</f>
        <v>3.2107903601863566</v>
      </c>
      <c r="L10" s="80">
        <f>IF(L4=0,0,L4/MBunk_ene!L4)</f>
        <v>3.2160094505872094</v>
      </c>
      <c r="M10" s="80">
        <f>IF(M4=0,0,M4/MBunk_ene!M4)</f>
        <v>3.2137490904168016</v>
      </c>
      <c r="N10" s="80">
        <f>IF(N4=0,0,N4/MBunk_ene!N4)</f>
        <v>3.2218548154756661</v>
      </c>
      <c r="O10" s="80">
        <f>IF(O4=0,0,O4/MBunk_ene!O4)</f>
        <v>3.2227002539114005</v>
      </c>
      <c r="P10" s="80">
        <f>IF(P4=0,0,P4/MBunk_ene!P4)</f>
        <v>3.2218010578621303</v>
      </c>
      <c r="Q10" s="80">
        <f>IF(Q4=0,0,Q4/MBunk_ene!Q4)</f>
        <v>3.2054086581355965</v>
      </c>
      <c r="R10" s="80">
        <f>IF(R4=0,0,R4/MBunk_ene!R4)</f>
        <v>3.2065363871554942</v>
      </c>
      <c r="S10" s="80">
        <f>IF(S4=0,0,S4/MBunk_ene!S4)</f>
        <v>3.2066316895074598</v>
      </c>
      <c r="T10" s="80">
        <f>IF(T4=0,0,T4/MBunk_ene!T4)</f>
        <v>3.1950805905917279</v>
      </c>
      <c r="U10" s="80">
        <f>IF(U4=0,0,U4/MBunk_ene!U4)</f>
        <v>3.190042369462224</v>
      </c>
      <c r="V10" s="80">
        <f>IF(V4=0,0,V4/MBunk_ene!V4)</f>
        <v>3.1759563437721976</v>
      </c>
      <c r="W10" s="80">
        <f>IF(W4=0,0,W4/MBunk_ene!W4)</f>
        <v>3.1624076902886111</v>
      </c>
      <c r="X10" s="80">
        <f>IF(X4=0,0,X4/MBunk_ene!X4)</f>
        <v>3.1743305242366149</v>
      </c>
      <c r="Y10" s="80">
        <f>IF(Y4=0,0,Y4/MBunk_ene!Y4)</f>
        <v>3.1720144726943489</v>
      </c>
      <c r="DA10" s="181"/>
    </row>
    <row r="11" spans="1:105" ht="11.45" customHeight="1" x14ac:dyDescent="0.25">
      <c r="A11" s="57" t="s">
        <v>167</v>
      </c>
      <c r="B11" s="81">
        <f>IF(B5=0,0,B5/MBunk_ene!B10)</f>
        <v>3.2293772766476914</v>
      </c>
      <c r="C11" s="81">
        <f>IF(C5=0,0,C5/MBunk_ene!C10)</f>
        <v>3.2304038421572345</v>
      </c>
      <c r="D11" s="81">
        <f>IF(D5=0,0,D5/MBunk_ene!D10)</f>
        <v>3.2307249522989503</v>
      </c>
      <c r="E11" s="81">
        <f>IF(E5=0,0,E5/MBunk_ene!E10)</f>
        <v>3.231867780043495</v>
      </c>
      <c r="F11" s="81">
        <f>IF(F5=0,0,F5/MBunk_ene!F10)</f>
        <v>3.2323624531564512</v>
      </c>
      <c r="G11" s="81">
        <f>IF(G5=0,0,G5/MBunk_ene!G10)</f>
        <v>3.2323592244572175</v>
      </c>
      <c r="H11" s="81">
        <f>IF(H5=0,0,H5/MBunk_ene!H10)</f>
        <v>3.2333042914856058</v>
      </c>
      <c r="I11" s="81">
        <f>IF(I5=0,0,I5/MBunk_ene!I10)</f>
        <v>3.234256294257905</v>
      </c>
      <c r="J11" s="81">
        <f>IF(J5=0,0,J5/MBunk_ene!J10)</f>
        <v>3.2344267433730525</v>
      </c>
      <c r="K11" s="81">
        <f>IF(K5=0,0,K5/MBunk_ene!K10)</f>
        <v>3.2320535625940421</v>
      </c>
      <c r="L11" s="81">
        <f>IF(L5=0,0,L5/MBunk_ene!L10)</f>
        <v>3.2337319268141602</v>
      </c>
      <c r="M11" s="81">
        <f>IF(M5=0,0,M5/MBunk_ene!M10)</f>
        <v>3.2327688925710936</v>
      </c>
      <c r="N11" s="81">
        <f>IF(N5=0,0,N5/MBunk_ene!N10)</f>
        <v>3.234809873717742</v>
      </c>
      <c r="O11" s="81">
        <f>IF(O5=0,0,O5/MBunk_ene!O10)</f>
        <v>3.2346852047368686</v>
      </c>
      <c r="P11" s="81">
        <f>IF(P5=0,0,P5/MBunk_ene!P10)</f>
        <v>3.2343512535594634</v>
      </c>
      <c r="Q11" s="81">
        <f>IF(Q5=0,0,Q5/MBunk_ene!Q10)</f>
        <v>3.2304907082146443</v>
      </c>
      <c r="R11" s="81">
        <f>IF(R5=0,0,R5/MBunk_ene!R10)</f>
        <v>3.2315405160286459</v>
      </c>
      <c r="S11" s="81">
        <f>IF(S5=0,0,S5/MBunk_ene!S10)</f>
        <v>3.2317971478382184</v>
      </c>
      <c r="T11" s="81">
        <f>IF(T5=0,0,T5/MBunk_ene!T10)</f>
        <v>3.2297727768320907</v>
      </c>
      <c r="U11" s="81">
        <f>IF(U5=0,0,U5/MBunk_ene!U10)</f>
        <v>3.2288245765576415</v>
      </c>
      <c r="V11" s="81">
        <f>IF(V5=0,0,V5/MBunk_ene!V10)</f>
        <v>3.2263663674663774</v>
      </c>
      <c r="W11" s="81">
        <f>IF(W5=0,0,W5/MBunk_ene!W10)</f>
        <v>3.2238654462940461</v>
      </c>
      <c r="X11" s="81">
        <f>IF(X5=0,0,X5/MBunk_ene!X10)</f>
        <v>3.2265720709391497</v>
      </c>
      <c r="Y11" s="81">
        <f>IF(Y5=0,0,Y5/MBunk_ene!Y10)</f>
        <v>3.2259848130546418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10083.911348732523</v>
      </c>
      <c r="C13" s="62">
        <f>IF(C3=0,0,C3/MBunk_act!C7*100)</f>
        <v>11323.327421585913</v>
      </c>
      <c r="D13" s="62">
        <f>IF(D3=0,0,D3/MBunk_act!D7*100)</f>
        <v>13230.485307005341</v>
      </c>
      <c r="E13" s="62">
        <f>IF(E3=0,0,E3/MBunk_act!E7*100)</f>
        <v>13997.345443581247</v>
      </c>
      <c r="F13" s="62">
        <f>IF(F3=0,0,F3/MBunk_act!F7*100)</f>
        <v>14765.105107828478</v>
      </c>
      <c r="G13" s="62">
        <f>IF(G3=0,0,G3/MBunk_act!G7*100)</f>
        <v>16067.39946429207</v>
      </c>
      <c r="H13" s="62">
        <f>IF(H3=0,0,H3/MBunk_act!H7*100)</f>
        <v>16216.71256475054</v>
      </c>
      <c r="I13" s="62">
        <f>IF(I3=0,0,I3/MBunk_act!I7*100)</f>
        <v>17733.285939634974</v>
      </c>
      <c r="J13" s="62">
        <f>IF(J3=0,0,J3/MBunk_act!J7*100)</f>
        <v>18645.273817020407</v>
      </c>
      <c r="K13" s="62">
        <f>IF(K3=0,0,K3/MBunk_act!K7*100)</f>
        <v>17787.790444169255</v>
      </c>
      <c r="L13" s="62">
        <f>IF(L3=0,0,L3/MBunk_act!L7*100)</f>
        <v>25636.399360186839</v>
      </c>
      <c r="M13" s="62">
        <f>IF(M3=0,0,M3/MBunk_act!M7*100)</f>
        <v>20914.003189043597</v>
      </c>
      <c r="N13" s="62">
        <f>IF(N3=0,0,N3/MBunk_act!N7*100)</f>
        <v>22224.654016634126</v>
      </c>
      <c r="O13" s="62">
        <f>IF(O3=0,0,O3/MBunk_act!O7*100)</f>
        <v>19332.586789246092</v>
      </c>
      <c r="P13" s="62">
        <f>IF(P3=0,0,P3/MBunk_act!P7*100)</f>
        <v>18105.349434216234</v>
      </c>
      <c r="Q13" s="62">
        <f>IF(Q3=0,0,Q3/MBunk_act!Q7*100)</f>
        <v>18699.084641708094</v>
      </c>
      <c r="R13" s="62">
        <f>IF(R3=0,0,R3/MBunk_act!R7*100)</f>
        <v>22473.924879236016</v>
      </c>
      <c r="S13" s="62">
        <f>IF(S3=0,0,S3/MBunk_act!S7*100)</f>
        <v>23975.416893098936</v>
      </c>
      <c r="T13" s="62">
        <f>IF(T3=0,0,T3/MBunk_act!T7*100)</f>
        <v>23296.46075313316</v>
      </c>
      <c r="U13" s="62">
        <f>IF(U3=0,0,U3/MBunk_act!U7*100)</f>
        <v>21758.284219874611</v>
      </c>
      <c r="V13" s="62">
        <f>IF(V3=0,0,V3/MBunk_act!V7*100)</f>
        <v>23439.313443117037</v>
      </c>
      <c r="W13" s="62">
        <f>IF(W3=0,0,W3/MBunk_act!W7*100)</f>
        <v>23481.908059566202</v>
      </c>
      <c r="X13" s="62">
        <f>IF(X3=0,0,X3/MBunk_act!X7*100)</f>
        <v>21494.036942908402</v>
      </c>
      <c r="Y13" s="62">
        <f>IF(Y3=0,0,Y3/MBunk_act!Y7*100)</f>
        <v>21439.486653734843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8629.9536921539966</v>
      </c>
      <c r="C14" s="63">
        <f>IF(C4=0,0,C4/MBunk_act!C8*100)</f>
        <v>9628.5908423873225</v>
      </c>
      <c r="D14" s="63">
        <f>IF(D4=0,0,D4/MBunk_act!D8*100)</f>
        <v>11251.555290835517</v>
      </c>
      <c r="E14" s="63">
        <f>IF(E4=0,0,E4/MBunk_act!E8*100)</f>
        <v>12027.17491835394</v>
      </c>
      <c r="F14" s="63">
        <f>IF(F4=0,0,F4/MBunk_act!F8*100)</f>
        <v>12697.215434195177</v>
      </c>
      <c r="G14" s="63">
        <f>IF(G4=0,0,G4/MBunk_act!G8*100)</f>
        <v>14175.017544198332</v>
      </c>
      <c r="H14" s="63">
        <f>IF(H4=0,0,H4/MBunk_act!H8*100)</f>
        <v>14168.654840052643</v>
      </c>
      <c r="I14" s="63">
        <f>IF(I4=0,0,I4/MBunk_act!I8*100)</f>
        <v>15815.345403897303</v>
      </c>
      <c r="J14" s="63">
        <f>IF(J4=0,0,J4/MBunk_act!J8*100)</f>
        <v>16488.744345234893</v>
      </c>
      <c r="K14" s="63">
        <f>IF(K4=0,0,K4/MBunk_act!K8*100)</f>
        <v>17659.382187634154</v>
      </c>
      <c r="L14" s="63">
        <f>IF(L4=0,0,L4/MBunk_act!L8*100)</f>
        <v>21656.561880000612</v>
      </c>
      <c r="M14" s="63">
        <f>IF(M4=0,0,M4/MBunk_act!M8*100)</f>
        <v>17285.953671490068</v>
      </c>
      <c r="N14" s="63">
        <f>IF(N4=0,0,N4/MBunk_act!N8*100)</f>
        <v>18017.495620246467</v>
      </c>
      <c r="O14" s="63">
        <f>IF(O4=0,0,O4/MBunk_act!O8*100)</f>
        <v>15348.000547059692</v>
      </c>
      <c r="P14" s="63">
        <f>IF(P4=0,0,P4/MBunk_act!P8*100)</f>
        <v>14200.989019646675</v>
      </c>
      <c r="Q14" s="63">
        <f>IF(Q4=0,0,Q4/MBunk_act!Q8*100)</f>
        <v>14818.579423558776</v>
      </c>
      <c r="R14" s="63">
        <f>IF(R4=0,0,R4/MBunk_act!R8*100)</f>
        <v>17944.311887823587</v>
      </c>
      <c r="S14" s="63">
        <f>IF(S4=0,0,S4/MBunk_act!S8*100)</f>
        <v>19108.275993647843</v>
      </c>
      <c r="T14" s="63">
        <f>IF(T4=0,0,T4/MBunk_act!T8*100)</f>
        <v>18227.963670548113</v>
      </c>
      <c r="U14" s="63">
        <f>IF(U4=0,0,U4/MBunk_act!U8*100)</f>
        <v>16918.804953268227</v>
      </c>
      <c r="V14" s="63">
        <f>IF(V4=0,0,V4/MBunk_act!V8*100)</f>
        <v>16720.202669447448</v>
      </c>
      <c r="W14" s="63">
        <f>IF(W4=0,0,W4/MBunk_act!W8*100)</f>
        <v>16681.791999334298</v>
      </c>
      <c r="X14" s="63">
        <f>IF(X4=0,0,X4/MBunk_act!X8*100)</f>
        <v>16957.000674657324</v>
      </c>
      <c r="Y14" s="63">
        <f>IF(Y4=0,0,Y4/MBunk_act!Y8*100)</f>
        <v>17440.652992292082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11241.835348236054</v>
      </c>
      <c r="C15" s="64">
        <f>IF(C5=0,0,C5/MBunk_act!C9*100)</f>
        <v>12641.063802032399</v>
      </c>
      <c r="D15" s="64">
        <f>IF(D5=0,0,D5/MBunk_act!D9*100)</f>
        <v>14873.605213058834</v>
      </c>
      <c r="E15" s="64">
        <f>IF(E5=0,0,E5/MBunk_act!E9*100)</f>
        <v>15561.286204516329</v>
      </c>
      <c r="F15" s="64">
        <f>IF(F5=0,0,F5/MBunk_act!F9*100)</f>
        <v>16299.214713889156</v>
      </c>
      <c r="G15" s="64">
        <f>IF(G5=0,0,G5/MBunk_act!G9*100)</f>
        <v>17364.997047594574</v>
      </c>
      <c r="H15" s="64">
        <f>IF(H5=0,0,H5/MBunk_act!H9*100)</f>
        <v>17628.516144056277</v>
      </c>
      <c r="I15" s="64">
        <f>IF(I5=0,0,I5/MBunk_act!I9*100)</f>
        <v>18976.3897949149</v>
      </c>
      <c r="J15" s="64">
        <f>IF(J5=0,0,J5/MBunk_act!J9*100)</f>
        <v>20295.323486087866</v>
      </c>
      <c r="K15" s="64">
        <f>IF(K5=0,0,K5/MBunk_act!K9*100)</f>
        <v>17864.540510523388</v>
      </c>
      <c r="L15" s="64">
        <f>IF(L5=0,0,L5/MBunk_act!L9*100)</f>
        <v>29014.115121728828</v>
      </c>
      <c r="M15" s="64">
        <f>IF(M5=0,0,M5/MBunk_act!M9*100)</f>
        <v>24049.438913796424</v>
      </c>
      <c r="N15" s="64">
        <f>IF(N5=0,0,N5/MBunk_act!N9*100)</f>
        <v>26200.930463824738</v>
      </c>
      <c r="O15" s="64">
        <f>IF(O5=0,0,O5/MBunk_act!O9*100)</f>
        <v>23866.18881249128</v>
      </c>
      <c r="P15" s="64">
        <f>IF(P5=0,0,P5/MBunk_act!P9*100)</f>
        <v>22469.391685627405</v>
      </c>
      <c r="Q15" s="64">
        <f>IF(Q5=0,0,Q5/MBunk_act!Q9*100)</f>
        <v>22708.481242341793</v>
      </c>
      <c r="R15" s="64">
        <f>IF(R5=0,0,R5/MBunk_act!R9*100)</f>
        <v>27582.641278625902</v>
      </c>
      <c r="S15" s="64">
        <f>IF(S5=0,0,S5/MBunk_act!S9*100)</f>
        <v>29695.681041158092</v>
      </c>
      <c r="T15" s="64">
        <f>IF(T5=0,0,T5/MBunk_act!T9*100)</f>
        <v>30540.427132050689</v>
      </c>
      <c r="U15" s="64">
        <f>IF(U5=0,0,U5/MBunk_act!U9*100)</f>
        <v>28178.179377102453</v>
      </c>
      <c r="V15" s="64">
        <f>IF(V5=0,0,V5/MBunk_act!V9*100)</f>
        <v>31819.405999765604</v>
      </c>
      <c r="W15" s="64">
        <f>IF(W5=0,0,W5/MBunk_act!W9*100)</f>
        <v>31534.806559272391</v>
      </c>
      <c r="X15" s="64">
        <f>IF(X5=0,0,X5/MBunk_act!X9*100)</f>
        <v>26649.034242238638</v>
      </c>
      <c r="Y15" s="64">
        <f>IF(Y5=0,0,Y5/MBunk_act!Y9*100)</f>
        <v>25768.968400472688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7.1198762791080012</v>
      </c>
      <c r="C17" s="62">
        <f>IF(C3=0,0,C3/MBunk_act!C3*1000)</f>
        <v>7.4008278547901405</v>
      </c>
      <c r="D17" s="62">
        <f>IF(D3=0,0,D3/MBunk_act!D3*1000)</f>
        <v>8.0889899486031211</v>
      </c>
      <c r="E17" s="62">
        <f>IF(E3=0,0,E3/MBunk_act!E3*1000)</f>
        <v>8.4986842158738476</v>
      </c>
      <c r="F17" s="62">
        <f>IF(F3=0,0,F3/MBunk_act!F3*1000)</f>
        <v>8.6486366577999068</v>
      </c>
      <c r="G17" s="62">
        <f>IF(G3=0,0,G3/MBunk_act!G3*1000)</f>
        <v>8.864134164699335</v>
      </c>
      <c r="H17" s="62">
        <f>IF(H3=0,0,H3/MBunk_act!H3*1000)</f>
        <v>8.7067283271439546</v>
      </c>
      <c r="I17" s="62">
        <f>IF(I3=0,0,I3/MBunk_act!I3*1000)</f>
        <v>8.9994089382578704</v>
      </c>
      <c r="J17" s="62">
        <f>IF(J3=0,0,J3/MBunk_act!J3*1000)</f>
        <v>9.8191972121120479</v>
      </c>
      <c r="K17" s="62">
        <f>IF(K3=0,0,K3/MBunk_act!K3*1000)</f>
        <v>10.988602674640195</v>
      </c>
      <c r="L17" s="62">
        <f>IF(L3=0,0,L3/MBunk_act!L3*1000)</f>
        <v>13.454228723968138</v>
      </c>
      <c r="M17" s="62">
        <f>IF(M3=0,0,M3/MBunk_act!M3*1000)</f>
        <v>10.569227127081732</v>
      </c>
      <c r="N17" s="62">
        <f>IF(N3=0,0,N3/MBunk_act!N3*1000)</f>
        <v>11.135119437045196</v>
      </c>
      <c r="O17" s="62">
        <f>IF(O3=0,0,O3/MBunk_act!O3*1000)</f>
        <v>10.286368343856228</v>
      </c>
      <c r="P17" s="62">
        <f>IF(P3=0,0,P3/MBunk_act!P3*1000)</f>
        <v>9.7368762147046635</v>
      </c>
      <c r="Q17" s="62">
        <f>IF(Q3=0,0,Q3/MBunk_act!Q3*1000)</f>
        <v>9.0232546135730818</v>
      </c>
      <c r="R17" s="62">
        <f>IF(R3=0,0,R3/MBunk_act!R3*1000)</f>
        <v>11.303488704937623</v>
      </c>
      <c r="S17" s="62">
        <f>IF(S3=0,0,S3/MBunk_act!S3*1000)</f>
        <v>11.80101838638517</v>
      </c>
      <c r="T17" s="62">
        <f>IF(T3=0,0,T3/MBunk_act!T3*1000)</f>
        <v>12.788550056084739</v>
      </c>
      <c r="U17" s="62">
        <f>IF(U3=0,0,U3/MBunk_act!U3*1000)</f>
        <v>11.55813901604188</v>
      </c>
      <c r="V17" s="62">
        <f>IF(V3=0,0,V3/MBunk_act!V3*1000)</f>
        <v>12.146957547275353</v>
      </c>
      <c r="W17" s="62">
        <f>IF(W3=0,0,W3/MBunk_act!W3*1000)</f>
        <v>11.289779002856083</v>
      </c>
      <c r="X17" s="62">
        <f>IF(X3=0,0,X3/MBunk_act!X3*1000)</f>
        <v>11.170035798917089</v>
      </c>
      <c r="Y17" s="62">
        <f>IF(Y3=0,0,Y3/MBunk_act!Y3*1000)</f>
        <v>10.390138085895025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19.191582058360787</v>
      </c>
      <c r="C18" s="63">
        <f>IF(C4=0,0,C4/MBunk_act!C4*1000)</f>
        <v>20.791789050097211</v>
      </c>
      <c r="D18" s="63">
        <f>IF(D4=0,0,D4/MBunk_act!D4*1000)</f>
        <v>22.269020112939419</v>
      </c>
      <c r="E18" s="63">
        <f>IF(E4=0,0,E4/MBunk_act!E4*1000)</f>
        <v>23.543428906743308</v>
      </c>
      <c r="F18" s="63">
        <f>IF(F4=0,0,F4/MBunk_act!F4*1000)</f>
        <v>24.464890679097103</v>
      </c>
      <c r="G18" s="63">
        <f>IF(G4=0,0,G4/MBunk_act!G4*1000)</f>
        <v>25.611116519309771</v>
      </c>
      <c r="H18" s="63">
        <f>IF(H4=0,0,H4/MBunk_act!H4*1000)</f>
        <v>25.452074445103843</v>
      </c>
      <c r="I18" s="63">
        <f>IF(I4=0,0,I4/MBunk_act!I4*1000)</f>
        <v>27.06921175326282</v>
      </c>
      <c r="J18" s="63">
        <f>IF(J4=0,0,J4/MBunk_act!J4*1000)</f>
        <v>27.659498750757706</v>
      </c>
      <c r="K18" s="63">
        <f>IF(K4=0,0,K4/MBunk_act!K4*1000)</f>
        <v>31.463085899184165</v>
      </c>
      <c r="L18" s="63">
        <f>IF(L4=0,0,L4/MBunk_act!L4*1000)</f>
        <v>38.855871434148902</v>
      </c>
      <c r="M18" s="63">
        <f>IF(M4=0,0,M4/MBunk_act!M4*1000)</f>
        <v>30.562348757206514</v>
      </c>
      <c r="N18" s="63">
        <f>IF(N4=0,0,N4/MBunk_act!N4*1000)</f>
        <v>32.036091444223729</v>
      </c>
      <c r="O18" s="63">
        <f>IF(O4=0,0,O4/MBunk_act!O4*1000)</f>
        <v>28.32018257368679</v>
      </c>
      <c r="P18" s="63">
        <f>IF(P4=0,0,P4/MBunk_act!P4*1000)</f>
        <v>26.99193176615292</v>
      </c>
      <c r="Q18" s="63">
        <f>IF(Q4=0,0,Q4/MBunk_act!Q4*1000)</f>
        <v>25.775958611252083</v>
      </c>
      <c r="R18" s="63">
        <f>IF(R4=0,0,R4/MBunk_act!R4*1000)</f>
        <v>30.049342860237751</v>
      </c>
      <c r="S18" s="63">
        <f>IF(S4=0,0,S4/MBunk_act!S4*1000)</f>
        <v>31.336841316093906</v>
      </c>
      <c r="T18" s="63">
        <f>IF(T4=0,0,T4/MBunk_act!T4*1000)</f>
        <v>31.276851397785286</v>
      </c>
      <c r="U18" s="63">
        <f>IF(U4=0,0,U4/MBunk_act!U4*1000)</f>
        <v>29.995957078034849</v>
      </c>
      <c r="V18" s="63">
        <f>IF(V4=0,0,V4/MBunk_act!V4*1000)</f>
        <v>28.179346196223214</v>
      </c>
      <c r="W18" s="63">
        <f>IF(W4=0,0,W4/MBunk_act!W4*1000)</f>
        <v>26.933643457719278</v>
      </c>
      <c r="X18" s="63">
        <f>IF(X4=0,0,X4/MBunk_act!X4*1000)</f>
        <v>28.735841221893136</v>
      </c>
      <c r="Y18" s="63">
        <f>IF(Y4=0,0,Y4/MBunk_act!Y4*1000)</f>
        <v>26.354419531237564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5.1423606053425619</v>
      </c>
      <c r="C19" s="64">
        <f>IF(C5=0,0,C5/MBunk_act!C5*1000)</f>
        <v>5.3573315474302081</v>
      </c>
      <c r="D19" s="64">
        <f>IF(D5=0,0,D5/MBunk_act!D5*1000)</f>
        <v>5.7780355084719259</v>
      </c>
      <c r="E19" s="64">
        <f>IF(E5=0,0,E5/MBunk_act!E5*1000)</f>
        <v>6.1051245649157684</v>
      </c>
      <c r="F19" s="64">
        <f>IF(F5=0,0,F5/MBunk_act!F5*1000)</f>
        <v>6.296232489076151</v>
      </c>
      <c r="G19" s="64">
        <f>IF(G5=0,0,G5/MBunk_act!G5*1000)</f>
        <v>6.4890888484329539</v>
      </c>
      <c r="H19" s="64">
        <f>IF(H5=0,0,H5/MBunk_act!H5*1000)</f>
        <v>6.380820815383843</v>
      </c>
      <c r="I19" s="64">
        <f>IF(I5=0,0,I5/MBunk_act!I5*1000)</f>
        <v>6.6143369857081291</v>
      </c>
      <c r="J19" s="64">
        <f>IF(J5=0,0,J5/MBunk_act!J5*1000)</f>
        <v>7.0089520903697613</v>
      </c>
      <c r="K19" s="64">
        <f>IF(K5=0,0,K5/MBunk_act!K5*1000)</f>
        <v>7.9369518247896131</v>
      </c>
      <c r="L19" s="64">
        <f>IF(L5=0,0,L5/MBunk_act!L5*1000)</f>
        <v>9.514097468664108</v>
      </c>
      <c r="M19" s="64">
        <f>IF(M5=0,0,M5/MBunk_act!M5*1000)</f>
        <v>7.5153268735053569</v>
      </c>
      <c r="N19" s="64">
        <f>IF(N5=0,0,N5/MBunk_act!N5*1000)</f>
        <v>7.8194641644632004</v>
      </c>
      <c r="O19" s="64">
        <f>IF(O5=0,0,O5/MBunk_act!O5*1000)</f>
        <v>7.0169585970752033</v>
      </c>
      <c r="P19" s="64">
        <f>IF(P5=0,0,P5/MBunk_act!P5*1000)</f>
        <v>6.7077105253700706</v>
      </c>
      <c r="Q19" s="64">
        <f>IF(Q5=0,0,Q5/MBunk_act!Q5*1000)</f>
        <v>6.2739609570745234</v>
      </c>
      <c r="R19" s="64">
        <f>IF(R5=0,0,R5/MBunk_act!R5*1000)</f>
        <v>7.7541575000519245</v>
      </c>
      <c r="S19" s="64">
        <f>IF(S5=0,0,S5/MBunk_act!S5*1000)</f>
        <v>8.0199263277848853</v>
      </c>
      <c r="T19" s="64">
        <f>IF(T5=0,0,T5/MBunk_act!T5*1000)</f>
        <v>8.5016885826363122</v>
      </c>
      <c r="U19" s="64">
        <f>IF(U5=0,0,U5/MBunk_act!U5*1000)</f>
        <v>7.7592735059013949</v>
      </c>
      <c r="V19" s="64">
        <f>IF(V5=0,0,V5/MBunk_act!V5*1000)</f>
        <v>8.8478772168106872</v>
      </c>
      <c r="W19" s="64">
        <f>IF(W5=0,0,W5/MBunk_act!W5*1000)</f>
        <v>8.2777981818802466</v>
      </c>
      <c r="X19" s="64">
        <f>IF(X5=0,0,X5/MBunk_act!X5*1000)</f>
        <v>7.7465078841559727</v>
      </c>
      <c r="Y19" s="64">
        <f>IF(Y5=0,0,Y5/MBunk_act!Y5*1000)</f>
        <v>7.1959914932938513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si="3"/>
        <v>1</v>
      </c>
      <c r="W21" s="76">
        <f t="shared" si="3"/>
        <v>1</v>
      </c>
      <c r="X21" s="76">
        <f t="shared" ref="X21:Y21" si="4">IF(X3=0,0,X3/X$3)</f>
        <v>1</v>
      </c>
      <c r="Y21" s="76">
        <f t="shared" si="4"/>
        <v>1</v>
      </c>
      <c r="DA21" s="183"/>
    </row>
    <row r="22" spans="1:105" ht="11.45" customHeight="1" x14ac:dyDescent="0.25">
      <c r="A22" s="55" t="s">
        <v>166</v>
      </c>
      <c r="B22" s="77">
        <f t="shared" si="3"/>
        <v>0.37940758284087439</v>
      </c>
      <c r="C22" s="77">
        <f t="shared" si="3"/>
        <v>0.37195812145788426</v>
      </c>
      <c r="D22" s="77">
        <f t="shared" si="3"/>
        <v>0.38579057109812553</v>
      </c>
      <c r="E22" s="77">
        <f t="shared" si="3"/>
        <v>0.38024019523920743</v>
      </c>
      <c r="F22" s="77">
        <f t="shared" si="3"/>
        <v>0.36625597058287646</v>
      </c>
      <c r="G22" s="77">
        <f t="shared" si="3"/>
        <v>0.35886421134368102</v>
      </c>
      <c r="H22" s="77">
        <f t="shared" si="3"/>
        <v>0.35651794183689739</v>
      </c>
      <c r="I22" s="77">
        <f t="shared" si="3"/>
        <v>0.35072464392386249</v>
      </c>
      <c r="J22" s="77">
        <f t="shared" si="3"/>
        <v>0.38333720562863177</v>
      </c>
      <c r="K22" s="77">
        <f t="shared" si="3"/>
        <v>0.37140104447237404</v>
      </c>
      <c r="L22" s="77">
        <f t="shared" si="3"/>
        <v>0.38781282691970681</v>
      </c>
      <c r="M22" s="77">
        <f t="shared" si="3"/>
        <v>0.38316296951000883</v>
      </c>
      <c r="N22" s="77">
        <f t="shared" si="3"/>
        <v>0.39391304031783797</v>
      </c>
      <c r="O22" s="77">
        <f t="shared" si="3"/>
        <v>0.42253043472353596</v>
      </c>
      <c r="P22" s="77">
        <f t="shared" si="3"/>
        <v>0.41397966503107486</v>
      </c>
      <c r="Q22" s="77">
        <f t="shared" si="3"/>
        <v>0.40271114017658743</v>
      </c>
      <c r="R22" s="77">
        <f t="shared" si="3"/>
        <v>0.42321194231089609</v>
      </c>
      <c r="S22" s="77">
        <f t="shared" si="3"/>
        <v>0.43060780105858476</v>
      </c>
      <c r="T22" s="77">
        <f t="shared" si="3"/>
        <v>0.46034102300581864</v>
      </c>
      <c r="U22" s="77">
        <f t="shared" si="3"/>
        <v>0.44336224995078288</v>
      </c>
      <c r="V22" s="77">
        <f t="shared" si="3"/>
        <v>0.39590540646821915</v>
      </c>
      <c r="W22" s="77">
        <f t="shared" si="3"/>
        <v>0.38516510737998416</v>
      </c>
      <c r="X22" s="77">
        <f t="shared" ref="X22:Y22" si="5">IF(X4=0,0,X4/X$3)</f>
        <v>0.41960879163304377</v>
      </c>
      <c r="Y22" s="77">
        <f t="shared" si="5"/>
        <v>0.42288969998801529</v>
      </c>
      <c r="DA22" s="184"/>
    </row>
    <row r="23" spans="1:105" ht="11.45" customHeight="1" x14ac:dyDescent="0.25">
      <c r="A23" s="57" t="s">
        <v>167</v>
      </c>
      <c r="B23" s="78">
        <f t="shared" si="3"/>
        <v>0.62059241715912572</v>
      </c>
      <c r="C23" s="78">
        <f t="shared" si="3"/>
        <v>0.62804187854211579</v>
      </c>
      <c r="D23" s="78">
        <f t="shared" si="3"/>
        <v>0.61420942890187447</v>
      </c>
      <c r="E23" s="78">
        <f t="shared" si="3"/>
        <v>0.61975980476079262</v>
      </c>
      <c r="F23" s="78">
        <f t="shared" si="3"/>
        <v>0.6337440294171236</v>
      </c>
      <c r="G23" s="78">
        <f t="shared" si="3"/>
        <v>0.64113578865631893</v>
      </c>
      <c r="H23" s="78">
        <f t="shared" si="3"/>
        <v>0.64348205816310267</v>
      </c>
      <c r="I23" s="78">
        <f t="shared" si="3"/>
        <v>0.64927535607613751</v>
      </c>
      <c r="J23" s="78">
        <f t="shared" si="3"/>
        <v>0.61666279437136817</v>
      </c>
      <c r="K23" s="78">
        <f t="shared" si="3"/>
        <v>0.62859895552762601</v>
      </c>
      <c r="L23" s="78">
        <f t="shared" si="3"/>
        <v>0.61218717308029302</v>
      </c>
      <c r="M23" s="78">
        <f t="shared" si="3"/>
        <v>0.61683703048999117</v>
      </c>
      <c r="N23" s="78">
        <f t="shared" si="3"/>
        <v>0.60608695968216209</v>
      </c>
      <c r="O23" s="78">
        <f t="shared" si="3"/>
        <v>0.57746956527646409</v>
      </c>
      <c r="P23" s="78">
        <f t="shared" si="3"/>
        <v>0.58602033496892514</v>
      </c>
      <c r="Q23" s="78">
        <f t="shared" si="3"/>
        <v>0.59728885982341251</v>
      </c>
      <c r="R23" s="78">
        <f t="shared" si="3"/>
        <v>0.57678805768910379</v>
      </c>
      <c r="S23" s="78">
        <f t="shared" si="3"/>
        <v>0.56939219894141524</v>
      </c>
      <c r="T23" s="78">
        <f t="shared" si="3"/>
        <v>0.53965897699418142</v>
      </c>
      <c r="U23" s="78">
        <f t="shared" si="3"/>
        <v>0.55663775004921701</v>
      </c>
      <c r="V23" s="78">
        <f t="shared" si="3"/>
        <v>0.60409459353178085</v>
      </c>
      <c r="W23" s="78">
        <f t="shared" si="3"/>
        <v>0.61483489262001589</v>
      </c>
      <c r="X23" s="78">
        <f t="shared" ref="X23:Y23" si="6">IF(X5=0,0,X5/X$3)</f>
        <v>0.58039120836695635</v>
      </c>
      <c r="Y23" s="78">
        <f t="shared" si="6"/>
        <v>0.57711030001198471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2025-11-06T10:26:29Z</dcterms:created>
  <dcterms:modified xsi:type="dcterms:W3CDTF">2025-11-06T10:26:29Z</dcterms:modified>
</cp:coreProperties>
</file>