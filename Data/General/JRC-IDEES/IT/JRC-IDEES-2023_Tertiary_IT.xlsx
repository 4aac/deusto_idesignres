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3\Calibration_output\Results\xCountries\IT\"/>
    </mc:Choice>
  </mc:AlternateContent>
  <bookViews>
    <workbookView xWindow="-120" yWindow="-120" windowWidth="29040" windowHeight="15720" tabRatio="710"/>
  </bookViews>
  <sheets>
    <sheet name="cover" sheetId="41" r:id="rId1"/>
    <sheet name="index" sheetId="4" r:id="rId2"/>
    <sheet name="SER_summary" sheetId="6" r:id="rId3"/>
    <sheet name="SER_hh_num" sheetId="7" r:id="rId4"/>
    <sheet name="SER_hh_fec" sheetId="8" r:id="rId5"/>
    <sheet name="SER_hh_tes" sheetId="9" r:id="rId6"/>
    <sheet name="SER_hh_eff" sheetId="10" r:id="rId7"/>
    <sheet name="SER_hh_emi" sheetId="11" r:id="rId8"/>
    <sheet name="SER_hh_fech" sheetId="12" r:id="rId9"/>
    <sheet name="SER_hh_tesh" sheetId="13" r:id="rId10"/>
    <sheet name="SER_hh_emih" sheetId="14" r:id="rId11"/>
    <sheet name="SER_hh_fecs" sheetId="15" r:id="rId12"/>
    <sheet name="SER_hh_tess" sheetId="16" r:id="rId13"/>
    <sheet name="SER_hh_emis" sheetId="17" r:id="rId14"/>
    <sheet name="SER_hh_num_in" sheetId="18" r:id="rId15"/>
    <sheet name="SER_hh_fec_in" sheetId="19" r:id="rId16"/>
    <sheet name="SER_hh_tes_in" sheetId="20" r:id="rId17"/>
    <sheet name="SER_hh_eff_in" sheetId="21" r:id="rId18"/>
    <sheet name="SER_hh_emi_in" sheetId="22" r:id="rId19"/>
    <sheet name="SER_hh_fech_in" sheetId="23" r:id="rId20"/>
    <sheet name="SER_hh_tesh_in" sheetId="24" r:id="rId21"/>
    <sheet name="SER_hh_emih_in" sheetId="25" r:id="rId22"/>
    <sheet name="SER_hh_fecs_in" sheetId="26" r:id="rId23"/>
    <sheet name="SER_hh_tess_in" sheetId="27" r:id="rId24"/>
    <sheet name="SER_hh_emis_in" sheetId="28" r:id="rId25"/>
    <sheet name="SER_se-appl" sheetId="29" r:id="rId26"/>
    <sheet name="SER_VE" sheetId="30" r:id="rId27"/>
    <sheet name="SER_SL" sheetId="31" r:id="rId28"/>
    <sheet name="SER_BL" sheetId="32" r:id="rId29"/>
    <sheet name="SER_CR" sheetId="33" r:id="rId30"/>
    <sheet name="SER_BT" sheetId="34" r:id="rId31"/>
    <sheet name="SER_IT" sheetId="35" r:id="rId32"/>
    <sheet name="AGR" sheetId="36" r:id="rId33"/>
    <sheet name="AGR_fec" sheetId="37" r:id="rId34"/>
    <sheet name="AGR_ued" sheetId="38" r:id="rId35"/>
    <sheet name="AGR_emi" sheetId="39" r:id="rId36"/>
  </sheets>
  <definedNames>
    <definedName name="_xlnm.Print_Area" localSheetId="32">AGR!$A$1:$L$34</definedName>
    <definedName name="_xlnm.Print_Titles" localSheetId="32">AGR!$1:$1</definedName>
    <definedName name="_xlnm.Print_Titles" localSheetId="35">AGR_emi!$1:$1</definedName>
    <definedName name="_xlnm.Print_Titles" localSheetId="33">AGR_fec!$1:$1</definedName>
    <definedName name="_xlnm.Print_Titles" localSheetId="34">AGR_ued!$1:$1</definedName>
    <definedName name="_xlnm.Print_Titles" localSheetId="28">SER_BL!$1:$1</definedName>
    <definedName name="_xlnm.Print_Titles" localSheetId="30">SER_BT!$1:$1</definedName>
    <definedName name="_xlnm.Print_Titles" localSheetId="29">SER_CR!$1:$1</definedName>
    <definedName name="_xlnm.Print_Titles" localSheetId="6">SER_hh_eff!$1:$1</definedName>
    <definedName name="_xlnm.Print_Titles" localSheetId="17">SER_hh_eff_in!$1:$1</definedName>
    <definedName name="_xlnm.Print_Titles" localSheetId="7">SER_hh_emi!$1:$1</definedName>
    <definedName name="_xlnm.Print_Titles" localSheetId="18">SER_hh_emi_in!$1:$1</definedName>
    <definedName name="_xlnm.Print_Titles" localSheetId="10">SER_hh_emih!$1:$1</definedName>
    <definedName name="_xlnm.Print_Titles" localSheetId="21">SER_hh_emih_in!$1:$1</definedName>
    <definedName name="_xlnm.Print_Titles" localSheetId="13">SER_hh_emis!$1:$1</definedName>
    <definedName name="_xlnm.Print_Titles" localSheetId="24">SER_hh_emis_in!$1:$1</definedName>
    <definedName name="_xlnm.Print_Titles" localSheetId="4">SER_hh_fec!$1:$1</definedName>
    <definedName name="_xlnm.Print_Titles" localSheetId="15">SER_hh_fec_in!$1:$1</definedName>
    <definedName name="_xlnm.Print_Titles" localSheetId="8">SER_hh_fech!$1:$1</definedName>
    <definedName name="_xlnm.Print_Titles" localSheetId="19">SER_hh_fech_in!$1:$1</definedName>
    <definedName name="_xlnm.Print_Titles" localSheetId="11">SER_hh_fecs!$1:$1</definedName>
    <definedName name="_xlnm.Print_Titles" localSheetId="22">SER_hh_fecs_in!$1:$1</definedName>
    <definedName name="_xlnm.Print_Titles" localSheetId="3">SER_hh_num!$1:$1</definedName>
    <definedName name="_xlnm.Print_Titles" localSheetId="14">SER_hh_num_in!$1:$1</definedName>
    <definedName name="_xlnm.Print_Titles" localSheetId="5">SER_hh_tes!$1:$1</definedName>
    <definedName name="_xlnm.Print_Titles" localSheetId="16">SER_hh_tes_in!$1:$1</definedName>
    <definedName name="_xlnm.Print_Titles" localSheetId="9">SER_hh_tesh!$1:$1</definedName>
    <definedName name="_xlnm.Print_Titles" localSheetId="20">SER_hh_tesh_in!$1:$1</definedName>
    <definedName name="_xlnm.Print_Titles" localSheetId="12">SER_hh_tess!$1:$1</definedName>
    <definedName name="_xlnm.Print_Titles" localSheetId="23">SER_hh_tess_in!$1:$1</definedName>
    <definedName name="_xlnm.Print_Titles" localSheetId="31">SER_IT!$1:$1</definedName>
    <definedName name="_xlnm.Print_Titles" localSheetId="25">'SER_se-appl'!$1:$1</definedName>
    <definedName name="_xlnm.Print_Titles" localSheetId="27">SER_SL!$1:$1</definedName>
    <definedName name="_xlnm.Print_Titles" localSheetId="2">SER_summary!$1:$1</definedName>
    <definedName name="_xlnm.Print_Titles" localSheetId="26">SER_VE!$1:$1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95" i="6" l="1"/>
  <c r="X95" i="6"/>
  <c r="Y67" i="6"/>
  <c r="X67" i="6"/>
  <c r="Y27" i="6"/>
  <c r="Y119" i="6"/>
  <c r="Y173" i="6" s="1"/>
  <c r="X119" i="6"/>
  <c r="X173" i="6" s="1"/>
  <c r="Y16" i="7"/>
  <c r="X16" i="7"/>
  <c r="Y14" i="13"/>
  <c r="X13" i="12"/>
  <c r="X21" i="12"/>
  <c r="X20" i="12"/>
  <c r="X16" i="8"/>
  <c r="Y6" i="12"/>
  <c r="Y33" i="10"/>
  <c r="Y22" i="13"/>
  <c r="X22" i="13"/>
  <c r="Y21" i="13"/>
  <c r="X21" i="13"/>
  <c r="Y20" i="13"/>
  <c r="Y18" i="13"/>
  <c r="X18" i="10"/>
  <c r="Y17" i="13"/>
  <c r="X17" i="10"/>
  <c r="Y6" i="13"/>
  <c r="X6" i="10"/>
  <c r="Y33" i="14"/>
  <c r="Y33" i="17" s="1"/>
  <c r="X33" i="14"/>
  <c r="X33" i="17" s="1"/>
  <c r="Y26" i="14"/>
  <c r="Y26" i="17" s="1"/>
  <c r="X26" i="14"/>
  <c r="X26" i="17" s="1"/>
  <c r="Y25" i="14"/>
  <c r="Y25" i="17" s="1"/>
  <c r="X25" i="14"/>
  <c r="X25" i="17" s="1"/>
  <c r="X22" i="14"/>
  <c r="Y21" i="14"/>
  <c r="X21" i="14"/>
  <c r="Y20" i="14"/>
  <c r="X20" i="14"/>
  <c r="Y18" i="14"/>
  <c r="Y18" i="17" s="1"/>
  <c r="X18" i="14"/>
  <c r="X18" i="17" s="1"/>
  <c r="Y17" i="14"/>
  <c r="X16" i="11"/>
  <c r="Y14" i="14"/>
  <c r="Y14" i="17" s="1"/>
  <c r="X14" i="14"/>
  <c r="X14" i="17" s="1"/>
  <c r="Y13" i="14"/>
  <c r="Y13" i="17" s="1"/>
  <c r="X13" i="14"/>
  <c r="X13" i="17" s="1"/>
  <c r="Y12" i="14"/>
  <c r="Y12" i="17" s="1"/>
  <c r="X12" i="14"/>
  <c r="X12" i="17" s="1"/>
  <c r="Y11" i="14"/>
  <c r="Y11" i="17" s="1"/>
  <c r="X11" i="14"/>
  <c r="X11" i="17" s="1"/>
  <c r="Y6" i="14"/>
  <c r="X32" i="12"/>
  <c r="Y31" i="12"/>
  <c r="X31" i="12"/>
  <c r="X26" i="12"/>
  <c r="X24" i="12"/>
  <c r="X23" i="12"/>
  <c r="Y22" i="12"/>
  <c r="X17" i="12"/>
  <c r="X14" i="12"/>
  <c r="Y33" i="13"/>
  <c r="X33" i="13"/>
  <c r="X32" i="13"/>
  <c r="Y28" i="14"/>
  <c r="Y28" i="17" s="1"/>
  <c r="X28" i="14"/>
  <c r="X28" i="17" s="1"/>
  <c r="Y27" i="14"/>
  <c r="Y27" i="17" s="1"/>
  <c r="X27" i="14"/>
  <c r="X27" i="17" s="1"/>
  <c r="Y15" i="14"/>
  <c r="Y15" i="17" s="1"/>
  <c r="X15" i="14"/>
  <c r="X15" i="17" s="1"/>
  <c r="Y29" i="18"/>
  <c r="Y26" i="23"/>
  <c r="Y24" i="25"/>
  <c r="Y24" i="28" s="1"/>
  <c r="Y14" i="24"/>
  <c r="X13" i="23"/>
  <c r="Y10" i="24"/>
  <c r="X9" i="23"/>
  <c r="Y8" i="23"/>
  <c r="Y7" i="25"/>
  <c r="X28" i="23"/>
  <c r="X24" i="23"/>
  <c r="Y23" i="23"/>
  <c r="X23" i="23"/>
  <c r="Y22" i="23"/>
  <c r="Y20" i="23"/>
  <c r="Y20" i="26" s="1"/>
  <c r="X5" i="21"/>
  <c r="Y33" i="24"/>
  <c r="Y22" i="24"/>
  <c r="Y20" i="21"/>
  <c r="X20" i="21"/>
  <c r="X18" i="24"/>
  <c r="Y17" i="24"/>
  <c r="Y18" i="21"/>
  <c r="Y33" i="25"/>
  <c r="Y33" i="28" s="1"/>
  <c r="X33" i="25"/>
  <c r="X33" i="28" s="1"/>
  <c r="Y26" i="25"/>
  <c r="Y26" i="28" s="1"/>
  <c r="X25" i="25"/>
  <c r="X25" i="28" s="1"/>
  <c r="Y23" i="25"/>
  <c r="X23" i="25"/>
  <c r="Y22" i="25"/>
  <c r="Y20" i="25"/>
  <c r="Y20" i="28" s="1"/>
  <c r="X20" i="25"/>
  <c r="X20" i="28" s="1"/>
  <c r="Y18" i="25"/>
  <c r="Y18" i="28" s="1"/>
  <c r="X18" i="25"/>
  <c r="X18" i="28" s="1"/>
  <c r="Y14" i="25"/>
  <c r="Y14" i="28" s="1"/>
  <c r="X14" i="25"/>
  <c r="X14" i="28" s="1"/>
  <c r="Y13" i="25"/>
  <c r="Y13" i="28" s="1"/>
  <c r="X13" i="25"/>
  <c r="X13" i="28" s="1"/>
  <c r="Y12" i="25"/>
  <c r="Y12" i="28" s="1"/>
  <c r="X12" i="25"/>
  <c r="X12" i="28" s="1"/>
  <c r="Y11" i="25"/>
  <c r="Y11" i="28" s="1"/>
  <c r="Y33" i="23"/>
  <c r="Y21" i="24"/>
  <c r="X21" i="24"/>
  <c r="Y20" i="24"/>
  <c r="Y20" i="27" s="1"/>
  <c r="X20" i="24"/>
  <c r="X20" i="27" s="1"/>
  <c r="Y18" i="24"/>
  <c r="Y28" i="25"/>
  <c r="Y28" i="28" s="1"/>
  <c r="X28" i="25"/>
  <c r="X28" i="28" s="1"/>
  <c r="Y27" i="25"/>
  <c r="Y27" i="28" s="1"/>
  <c r="X27" i="25"/>
  <c r="X27" i="28" s="1"/>
  <c r="X26" i="25"/>
  <c r="X26" i="28" s="1"/>
  <c r="Y25" i="25"/>
  <c r="Y25" i="28" s="1"/>
  <c r="X24" i="25"/>
  <c r="Y15" i="25"/>
  <c r="Y15" i="28" s="1"/>
  <c r="X15" i="25"/>
  <c r="X15" i="28" s="1"/>
  <c r="X11" i="25"/>
  <c r="X11" i="28" s="1"/>
  <c r="Y15" i="35"/>
  <c r="X15" i="35"/>
  <c r="Y15" i="34"/>
  <c r="X15" i="34"/>
  <c r="Y15" i="33"/>
  <c r="X15" i="33"/>
  <c r="Y15" i="32"/>
  <c r="X15" i="32"/>
  <c r="Y15" i="31"/>
  <c r="X15" i="31"/>
  <c r="Y15" i="30"/>
  <c r="X15" i="30"/>
  <c r="Y14" i="35"/>
  <c r="X14" i="35"/>
  <c r="Y14" i="34"/>
  <c r="X14" i="34"/>
  <c r="Y14" i="33"/>
  <c r="X14" i="33"/>
  <c r="Y14" i="32"/>
  <c r="Y14" i="31"/>
  <c r="X14" i="31"/>
  <c r="Y14" i="30"/>
  <c r="X14" i="30"/>
  <c r="Y12" i="35"/>
  <c r="X12" i="35"/>
  <c r="Y12" i="34"/>
  <c r="X12" i="34"/>
  <c r="Y12" i="33"/>
  <c r="X12" i="33"/>
  <c r="Y12" i="32"/>
  <c r="X12" i="32"/>
  <c r="Y12" i="31"/>
  <c r="X12" i="31"/>
  <c r="Y12" i="30"/>
  <c r="X12" i="30"/>
  <c r="Y10" i="35"/>
  <c r="X10" i="35"/>
  <c r="X10" i="34"/>
  <c r="Y10" i="33"/>
  <c r="X10" i="33"/>
  <c r="Y10" i="32"/>
  <c r="X10" i="32"/>
  <c r="Y10" i="31"/>
  <c r="X10" i="31"/>
  <c r="X10" i="30"/>
  <c r="Y9" i="35"/>
  <c r="X9" i="35"/>
  <c r="Y9" i="34"/>
  <c r="X9" i="34"/>
  <c r="Y9" i="33"/>
  <c r="X9" i="33"/>
  <c r="Y9" i="32"/>
  <c r="X9" i="32"/>
  <c r="Y9" i="31"/>
  <c r="X9" i="31"/>
  <c r="Y9" i="30"/>
  <c r="X9" i="30"/>
  <c r="Y8" i="32"/>
  <c r="Y10" i="30"/>
  <c r="X8" i="30"/>
  <c r="X14" i="32"/>
  <c r="Y10" i="34"/>
  <c r="Y49" i="38"/>
  <c r="X49" i="38"/>
  <c r="Y45" i="38"/>
  <c r="X45" i="38"/>
  <c r="Y40" i="39"/>
  <c r="X40" i="39"/>
  <c r="Y52" i="39"/>
  <c r="X52" i="39"/>
  <c r="Y47" i="39"/>
  <c r="X47" i="39"/>
  <c r="Y46" i="39"/>
  <c r="X46" i="39"/>
  <c r="Y32" i="39"/>
  <c r="X32" i="39"/>
  <c r="Y14" i="36"/>
  <c r="Y9" i="36"/>
  <c r="Y33" i="27" l="1"/>
  <c r="Y7" i="28"/>
  <c r="Y17" i="10"/>
  <c r="Y18" i="10"/>
  <c r="X7" i="12"/>
  <c r="X5" i="10"/>
  <c r="X8" i="12"/>
  <c r="Y24" i="12"/>
  <c r="X25" i="12"/>
  <c r="Y23" i="10"/>
  <c r="X25" i="24"/>
  <c r="X17" i="24"/>
  <c r="X17" i="27" s="1"/>
  <c r="X25" i="13"/>
  <c r="X12" i="12"/>
  <c r="Y25" i="13"/>
  <c r="X31" i="23"/>
  <c r="X26" i="13"/>
  <c r="Y5" i="10"/>
  <c r="Y10" i="13"/>
  <c r="Y26" i="13"/>
  <c r="X11" i="13"/>
  <c r="Y7" i="24"/>
  <c r="X11" i="12"/>
  <c r="X12" i="24"/>
  <c r="X12" i="13"/>
  <c r="X30" i="13"/>
  <c r="Y10" i="12"/>
  <c r="Y9" i="25"/>
  <c r="Y9" i="28" s="1"/>
  <c r="Y12" i="24"/>
  <c r="Y12" i="27" s="1"/>
  <c r="Y21" i="25"/>
  <c r="Y21" i="28" s="1"/>
  <c r="X10" i="14"/>
  <c r="X30" i="14"/>
  <c r="Y12" i="13"/>
  <c r="X8" i="24"/>
  <c r="X8" i="27" s="1"/>
  <c r="X7" i="14"/>
  <c r="X8" i="25"/>
  <c r="X8" i="28" s="1"/>
  <c r="X10" i="25"/>
  <c r="X10" i="28" s="1"/>
  <c r="X13" i="21"/>
  <c r="X31" i="24"/>
  <c r="X17" i="23"/>
  <c r="X22" i="24"/>
  <c r="Y10" i="14"/>
  <c r="X31" i="13"/>
  <c r="Y33" i="12"/>
  <c r="X25" i="23"/>
  <c r="X25" i="26" s="1"/>
  <c r="X8" i="13"/>
  <c r="X12" i="29"/>
  <c r="X5" i="30" s="1"/>
  <c r="Y26" i="24"/>
  <c r="Y26" i="27" s="1"/>
  <c r="Y11" i="24"/>
  <c r="Y11" i="27" s="1"/>
  <c r="X13" i="29"/>
  <c r="X5" i="31" s="1"/>
  <c r="Y13" i="29"/>
  <c r="Y5" i="29" s="1"/>
  <c r="Y17" i="23"/>
  <c r="Y17" i="26" s="1"/>
  <c r="X31" i="14"/>
  <c r="Y31" i="13"/>
  <c r="X7" i="21"/>
  <c r="Y8" i="13"/>
  <c r="Y8" i="25"/>
  <c r="Y8" i="28" s="1"/>
  <c r="Y52" i="38"/>
  <c r="X9" i="36"/>
  <c r="Y53" i="38"/>
  <c r="Y31" i="14"/>
  <c r="X32" i="10"/>
  <c r="X21" i="21"/>
  <c r="Y19" i="22"/>
  <c r="X9" i="21"/>
  <c r="Y31" i="23"/>
  <c r="X32" i="23"/>
  <c r="X32" i="26" s="1"/>
  <c r="X14" i="29"/>
  <c r="X6" i="29" s="1"/>
  <c r="Y14" i="21"/>
  <c r="Y32" i="21"/>
  <c r="X17" i="13"/>
  <c r="Y24" i="23"/>
  <c r="X23" i="21"/>
  <c r="Y8" i="24"/>
  <c r="Y23" i="28"/>
  <c r="X27" i="21"/>
  <c r="Y14" i="12"/>
  <c r="Y45" i="37"/>
  <c r="X15" i="21"/>
  <c r="X33" i="21"/>
  <c r="X33" i="10"/>
  <c r="Y33" i="21"/>
  <c r="Y12" i="23"/>
  <c r="Y12" i="26" s="1"/>
  <c r="X6" i="14"/>
  <c r="X10" i="12"/>
  <c r="X14" i="13"/>
  <c r="X13" i="24"/>
  <c r="X32" i="25"/>
  <c r="X11" i="24"/>
  <c r="X29" i="19"/>
  <c r="X71" i="6"/>
  <c r="X7" i="25"/>
  <c r="X7" i="28" s="1"/>
  <c r="X17" i="25"/>
  <c r="X17" i="28" s="1"/>
  <c r="Y31" i="21"/>
  <c r="Y6" i="23"/>
  <c r="Y6" i="26" s="1"/>
  <c r="Y10" i="23"/>
  <c r="Y10" i="26" s="1"/>
  <c r="Y14" i="23"/>
  <c r="Y14" i="26" s="1"/>
  <c r="Y19" i="19"/>
  <c r="Y5" i="23"/>
  <c r="Y5" i="26" s="1"/>
  <c r="X14" i="36"/>
  <c r="X12" i="36" s="1"/>
  <c r="X22" i="25"/>
  <c r="X22" i="28" s="1"/>
  <c r="X17" i="21"/>
  <c r="X32" i="21"/>
  <c r="X7" i="23"/>
  <c r="X11" i="23"/>
  <c r="X11" i="26" s="1"/>
  <c r="Y26" i="12"/>
  <c r="Y29" i="7"/>
  <c r="Y23" i="26"/>
  <c r="Y37" i="6"/>
  <c r="X33" i="24"/>
  <c r="Y30" i="14"/>
  <c r="Y24" i="13"/>
  <c r="Y30" i="13"/>
  <c r="X18" i="12"/>
  <c r="X23" i="14"/>
  <c r="X28" i="12"/>
  <c r="X33" i="12"/>
  <c r="X27" i="6"/>
  <c r="Y8" i="14"/>
  <c r="Y12" i="12"/>
  <c r="Y18" i="12"/>
  <c r="Y28" i="12"/>
  <c r="X82" i="6"/>
  <c r="X81" i="6" s="1"/>
  <c r="X91" i="6" s="1"/>
  <c r="X107" i="6"/>
  <c r="X24" i="28"/>
  <c r="X9" i="25"/>
  <c r="X9" i="28" s="1"/>
  <c r="X8" i="21"/>
  <c r="X9" i="14"/>
  <c r="X20" i="13"/>
  <c r="X24" i="14"/>
  <c r="Y8" i="36"/>
  <c r="X45" i="37"/>
  <c r="Y8" i="21"/>
  <c r="X71" i="29"/>
  <c r="X6" i="33" s="1"/>
  <c r="X20" i="6"/>
  <c r="Y8" i="33"/>
  <c r="X23" i="6"/>
  <c r="X162" i="6" s="1"/>
  <c r="Y115" i="6"/>
  <c r="X19" i="6"/>
  <c r="X21" i="6"/>
  <c r="X116" i="6"/>
  <c r="Y71" i="29"/>
  <c r="Y6" i="33" s="1"/>
  <c r="Y19" i="6"/>
  <c r="Y26" i="6"/>
  <c r="Y68" i="29"/>
  <c r="Y6" i="30" s="1"/>
  <c r="X101" i="6"/>
  <c r="X122" i="6" s="1"/>
  <c r="X118" i="6"/>
  <c r="Y73" i="29"/>
  <c r="Y6" i="35" s="1"/>
  <c r="Y118" i="6"/>
  <c r="X48" i="6"/>
  <c r="X47" i="6" s="1"/>
  <c r="X60" i="6" s="1"/>
  <c r="X37" i="6"/>
  <c r="X21" i="27"/>
  <c r="X29" i="8"/>
  <c r="X30" i="12"/>
  <c r="X30" i="10"/>
  <c r="X4" i="7"/>
  <c r="X4" i="12" s="1"/>
  <c r="X5" i="12"/>
  <c r="X32" i="14"/>
  <c r="X29" i="11"/>
  <c r="Y20" i="12"/>
  <c r="Y20" i="10"/>
  <c r="X33" i="6"/>
  <c r="X31" i="6" s="1"/>
  <c r="X5" i="24"/>
  <c r="X5" i="27" s="1"/>
  <c r="X5" i="23"/>
  <c r="X5" i="26" s="1"/>
  <c r="X30" i="23"/>
  <c r="X18" i="13"/>
  <c r="X20" i="10"/>
  <c r="X10" i="13"/>
  <c r="X14" i="10"/>
  <c r="X19" i="9"/>
  <c r="X24" i="13"/>
  <c r="X29" i="9"/>
  <c r="X29" i="13" s="1"/>
  <c r="Y8" i="12"/>
  <c r="X22" i="12"/>
  <c r="Y31" i="10"/>
  <c r="Y24" i="14"/>
  <c r="Y101" i="6"/>
  <c r="Y122" i="6" s="1"/>
  <c r="X117" i="6"/>
  <c r="X9" i="13"/>
  <c r="X23" i="13"/>
  <c r="X52" i="37"/>
  <c r="Y31" i="24"/>
  <c r="Y31" i="27" s="1"/>
  <c r="X21" i="25"/>
  <c r="Y12" i="21"/>
  <c r="X9" i="24"/>
  <c r="X12" i="21"/>
  <c r="X17" i="14"/>
  <c r="X5" i="13"/>
  <c r="X6" i="12"/>
  <c r="Y14" i="10"/>
  <c r="X4" i="8"/>
  <c r="X9" i="12"/>
  <c r="Y117" i="6"/>
  <c r="Y29" i="22"/>
  <c r="Y29" i="25" s="1"/>
  <c r="Y29" i="28" s="1"/>
  <c r="Y5" i="21"/>
  <c r="Y23" i="24"/>
  <c r="Y23" i="27" s="1"/>
  <c r="Y28" i="24"/>
  <c r="Y28" i="27" s="1"/>
  <c r="Y16" i="18"/>
  <c r="Y32" i="25"/>
  <c r="Y32" i="28" s="1"/>
  <c r="Y5" i="13"/>
  <c r="X5" i="14"/>
  <c r="X19" i="11"/>
  <c r="X4" i="9"/>
  <c r="X15" i="10"/>
  <c r="Y13" i="12"/>
  <c r="X27" i="10"/>
  <c r="Y11" i="12"/>
  <c r="Y21" i="27"/>
  <c r="X5" i="25"/>
  <c r="X5" i="28" s="1"/>
  <c r="X28" i="13"/>
  <c r="Y9" i="13"/>
  <c r="Y16" i="9"/>
  <c r="Y16" i="13" s="1"/>
  <c r="Y9" i="39"/>
  <c r="Y17" i="38"/>
  <c r="Y46" i="37"/>
  <c r="Y17" i="27"/>
  <c r="X6" i="25"/>
  <c r="X6" i="28" s="1"/>
  <c r="Y8" i="27"/>
  <c r="Y15" i="21"/>
  <c r="X51" i="39"/>
  <c r="Y32" i="24"/>
  <c r="Y32" i="27" s="1"/>
  <c r="Y16" i="22"/>
  <c r="X6" i="24"/>
  <c r="X6" i="27" s="1"/>
  <c r="X24" i="24"/>
  <c r="X30" i="24"/>
  <c r="X6" i="13"/>
  <c r="Y11" i="10"/>
  <c r="Y15" i="10"/>
  <c r="X8" i="14"/>
  <c r="Y22" i="26"/>
  <c r="X13" i="13"/>
  <c r="X9" i="39"/>
  <c r="X46" i="37"/>
  <c r="X21" i="23"/>
  <c r="Y13" i="13"/>
  <c r="X19" i="7"/>
  <c r="X27" i="12" s="1"/>
  <c r="X29" i="7"/>
  <c r="Y19" i="18"/>
  <c r="Y27" i="24" s="1"/>
  <c r="Y27" i="27" s="1"/>
  <c r="Y31" i="25"/>
  <c r="Y31" i="28" s="1"/>
  <c r="Y9" i="38"/>
  <c r="Y52" i="37"/>
  <c r="X32" i="24"/>
  <c r="X32" i="27" s="1"/>
  <c r="Y51" i="39"/>
  <c r="Y6" i="24"/>
  <c r="Y6" i="27" s="1"/>
  <c r="Y24" i="24"/>
  <c r="Y24" i="27" s="1"/>
  <c r="Y18" i="23"/>
  <c r="Y18" i="26" s="1"/>
  <c r="X16" i="9"/>
  <c r="X16" i="13" s="1"/>
  <c r="X19" i="8"/>
  <c r="X3" i="8" s="1"/>
  <c r="Y33" i="6"/>
  <c r="Y31" i="6" s="1"/>
  <c r="X103" i="6"/>
  <c r="X124" i="6" s="1"/>
  <c r="X17" i="37"/>
  <c r="X50" i="37" s="1"/>
  <c r="Y11" i="23"/>
  <c r="Y11" i="26" s="1"/>
  <c r="Y71" i="6"/>
  <c r="Y104" i="6"/>
  <c r="Y10" i="21"/>
  <c r="X21" i="10"/>
  <c r="X105" i="6"/>
  <c r="X8" i="33"/>
  <c r="Y9" i="21"/>
  <c r="Y25" i="21"/>
  <c r="Y13" i="23"/>
  <c r="Y13" i="26" s="1"/>
  <c r="Y21" i="10"/>
  <c r="Y9" i="12"/>
  <c r="Y105" i="6"/>
  <c r="X72" i="29"/>
  <c r="X6" i="34" s="1"/>
  <c r="X10" i="21"/>
  <c r="X26" i="21"/>
  <c r="X14" i="23"/>
  <c r="X14" i="26" s="1"/>
  <c r="X22" i="10"/>
  <c r="Y72" i="29"/>
  <c r="Y6" i="34" s="1"/>
  <c r="Y22" i="10"/>
  <c r="Y25" i="12"/>
  <c r="X29" i="18"/>
  <c r="X17" i="29"/>
  <c r="X5" i="35" s="1"/>
  <c r="X11" i="21"/>
  <c r="X23" i="10"/>
  <c r="X24" i="10"/>
  <c r="X104" i="6"/>
  <c r="Y8" i="30"/>
  <c r="Y24" i="10"/>
  <c r="X28" i="26"/>
  <c r="Y16" i="11"/>
  <c r="Y16" i="14" s="1"/>
  <c r="Y6" i="10"/>
  <c r="X25" i="10"/>
  <c r="X16" i="19"/>
  <c r="X7" i="10"/>
  <c r="Y25" i="10"/>
  <c r="Y19" i="9"/>
  <c r="X12" i="23"/>
  <c r="X12" i="26" s="1"/>
  <c r="Y22" i="21"/>
  <c r="Y13" i="21"/>
  <c r="Y16" i="19"/>
  <c r="X8" i="10"/>
  <c r="X26" i="10"/>
  <c r="X30" i="25"/>
  <c r="Y23" i="21"/>
  <c r="X14" i="21"/>
  <c r="X33" i="23"/>
  <c r="X4" i="11"/>
  <c r="Y8" i="10"/>
  <c r="Y26" i="10"/>
  <c r="X15" i="7"/>
  <c r="X15" i="13" s="1"/>
  <c r="Y19" i="7"/>
  <c r="Y27" i="12" s="1"/>
  <c r="Y17" i="37"/>
  <c r="X31" i="25"/>
  <c r="Y24" i="21"/>
  <c r="X7" i="13"/>
  <c r="X9" i="10"/>
  <c r="X115" i="6"/>
  <c r="X23" i="24"/>
  <c r="X23" i="27" s="1"/>
  <c r="X25" i="21"/>
  <c r="Y9" i="10"/>
  <c r="Y6" i="21"/>
  <c r="Y103" i="6"/>
  <c r="Y19" i="36"/>
  <c r="Y12" i="36" s="1"/>
  <c r="Y34" i="39"/>
  <c r="Y9" i="37"/>
  <c r="Y48" i="37" s="1"/>
  <c r="Y53" i="37"/>
  <c r="Y10" i="25"/>
  <c r="Y10" i="28" s="1"/>
  <c r="Y26" i="21"/>
  <c r="X10" i="10"/>
  <c r="Y30" i="10"/>
  <c r="X8" i="32"/>
  <c r="X34" i="39"/>
  <c r="Y27" i="21"/>
  <c r="Y19" i="11"/>
  <c r="Y10" i="10"/>
  <c r="X31" i="10"/>
  <c r="X102" i="6"/>
  <c r="X123" i="6" s="1"/>
  <c r="Y33" i="39"/>
  <c r="X30" i="21"/>
  <c r="X19" i="19"/>
  <c r="X11" i="10"/>
  <c r="X19" i="36"/>
  <c r="X9" i="37"/>
  <c r="X48" i="37" s="1"/>
  <c r="X12" i="10"/>
  <c r="Y23" i="6"/>
  <c r="Y70" i="29"/>
  <c r="Y6" i="32" s="1"/>
  <c r="X4" i="29"/>
  <c r="Y25" i="24"/>
  <c r="Y25" i="27" s="1"/>
  <c r="X29" i="22"/>
  <c r="Y12" i="10"/>
  <c r="X24" i="6"/>
  <c r="X17" i="38"/>
  <c r="X53" i="37"/>
  <c r="X17" i="39"/>
  <c r="X47" i="38"/>
  <c r="Y14" i="29"/>
  <c r="X7" i="24"/>
  <c r="X7" i="27" s="1"/>
  <c r="X26" i="24"/>
  <c r="X26" i="27" s="1"/>
  <c r="Y21" i="23"/>
  <c r="Y21" i="26" s="1"/>
  <c r="X13" i="10"/>
  <c r="Y24" i="6"/>
  <c r="Y17" i="39"/>
  <c r="Y47" i="38"/>
  <c r="X15" i="29"/>
  <c r="X7" i="29" s="1"/>
  <c r="Y17" i="25"/>
  <c r="Y17" i="28" s="1"/>
  <c r="Y25" i="23"/>
  <c r="Y25" i="26" s="1"/>
  <c r="X25" i="6"/>
  <c r="X51" i="38"/>
  <c r="Y15" i="29"/>
  <c r="Y5" i="33" s="1"/>
  <c r="X28" i="24"/>
  <c r="X28" i="27" s="1"/>
  <c r="X23" i="26"/>
  <c r="X4" i="19"/>
  <c r="X26" i="23"/>
  <c r="X26" i="26" s="1"/>
  <c r="Y9" i="14"/>
  <c r="Y25" i="6"/>
  <c r="Y49" i="37"/>
  <c r="X16" i="29"/>
  <c r="Y9" i="23"/>
  <c r="Y9" i="26" s="1"/>
  <c r="X26" i="6"/>
  <c r="X33" i="39"/>
  <c r="Y51" i="38"/>
  <c r="X9" i="38"/>
  <c r="X52" i="38"/>
  <c r="X68" i="29"/>
  <c r="X6" i="30" s="1"/>
  <c r="X10" i="23"/>
  <c r="X10" i="26" s="1"/>
  <c r="X5" i="32"/>
  <c r="Y12" i="29"/>
  <c r="Y16" i="29"/>
  <c r="X8" i="23"/>
  <c r="X8" i="26" s="1"/>
  <c r="Y30" i="23"/>
  <c r="Y30" i="26" s="1"/>
  <c r="X24" i="21"/>
  <c r="X29" i="20"/>
  <c r="X31" i="21"/>
  <c r="X4" i="18"/>
  <c r="X3" i="18" s="1"/>
  <c r="X15" i="18"/>
  <c r="X6" i="23"/>
  <c r="Y32" i="14"/>
  <c r="Y29" i="11"/>
  <c r="Y29" i="8"/>
  <c r="Y30" i="12"/>
  <c r="X69" i="29"/>
  <c r="X6" i="31" s="1"/>
  <c r="Y22" i="28"/>
  <c r="Y8" i="26"/>
  <c r="Y24" i="26"/>
  <c r="Y13" i="24"/>
  <c r="Y13" i="27" s="1"/>
  <c r="X4" i="22"/>
  <c r="Y48" i="6"/>
  <c r="Y102" i="6"/>
  <c r="X8" i="35"/>
  <c r="Y4" i="18"/>
  <c r="Y3" i="18" s="1"/>
  <c r="Y15" i="18"/>
  <c r="Y15" i="24" s="1"/>
  <c r="Y15" i="27" s="1"/>
  <c r="X16" i="14"/>
  <c r="X16" i="12"/>
  <c r="Y8" i="35"/>
  <c r="X8" i="34"/>
  <c r="Y26" i="26"/>
  <c r="Y31" i="26"/>
  <c r="Y5" i="25"/>
  <c r="Y5" i="28" s="1"/>
  <c r="X20" i="23"/>
  <c r="X20" i="26" s="1"/>
  <c r="Y30" i="25"/>
  <c r="Y30" i="28" s="1"/>
  <c r="Y11" i="21"/>
  <c r="Y19" i="20"/>
  <c r="Y21" i="21"/>
  <c r="Y19" i="8"/>
  <c r="Y21" i="12"/>
  <c r="Y82" i="6"/>
  <c r="Y116" i="6"/>
  <c r="X73" i="29"/>
  <c r="X6" i="35" s="1"/>
  <c r="Y4" i="19"/>
  <c r="Y7" i="23"/>
  <c r="Y7" i="26" s="1"/>
  <c r="Y21" i="6"/>
  <c r="Y20" i="6"/>
  <c r="Y69" i="29"/>
  <c r="Y6" i="31" s="1"/>
  <c r="Y7" i="27"/>
  <c r="Y5" i="24"/>
  <c r="Y5" i="27" s="1"/>
  <c r="Y32" i="12"/>
  <c r="Y7" i="10"/>
  <c r="Y4" i="9"/>
  <c r="Y23" i="12"/>
  <c r="Y23" i="14"/>
  <c r="X70" i="29"/>
  <c r="X6" i="32" s="1"/>
  <c r="Y29" i="20"/>
  <c r="Y30" i="21"/>
  <c r="Y30" i="24"/>
  <c r="Y30" i="27" s="1"/>
  <c r="X8" i="31"/>
  <c r="Y8" i="34"/>
  <c r="Y8" i="31"/>
  <c r="Y17" i="29"/>
  <c r="Y6" i="25"/>
  <c r="Y6" i="28" s="1"/>
  <c r="Y4" i="22"/>
  <c r="X22" i="21"/>
  <c r="X19" i="20"/>
  <c r="X19" i="18"/>
  <c r="X22" i="23"/>
  <c r="Y22" i="14"/>
  <c r="Y13" i="10"/>
  <c r="Y16" i="8"/>
  <c r="Y16" i="12" s="1"/>
  <c r="Y17" i="12"/>
  <c r="Y107" i="6"/>
  <c r="Y32" i="10"/>
  <c r="Y29" i="9"/>
  <c r="Y32" i="13"/>
  <c r="Y9" i="24"/>
  <c r="Y9" i="27" s="1"/>
  <c r="X4" i="20"/>
  <c r="X6" i="21"/>
  <c r="Y27" i="10"/>
  <c r="Y28" i="13"/>
  <c r="Y28" i="16" s="1"/>
  <c r="Y7" i="12"/>
  <c r="Y4" i="7"/>
  <c r="Y3" i="7" s="1"/>
  <c r="Y7" i="14"/>
  <c r="Y15" i="7"/>
  <c r="Y15" i="12" s="1"/>
  <c r="X10" i="24"/>
  <c r="X10" i="27" s="1"/>
  <c r="X19" i="22"/>
  <c r="Y4" i="20"/>
  <c r="Y16" i="20"/>
  <c r="Y17" i="21"/>
  <c r="Y32" i="23"/>
  <c r="Y32" i="26" s="1"/>
  <c r="Y29" i="19"/>
  <c r="Y29" i="23" s="1"/>
  <c r="Y29" i="26" s="1"/>
  <c r="Y4" i="11"/>
  <c r="Y5" i="14"/>
  <c r="Y4" i="8"/>
  <c r="Y5" i="12"/>
  <c r="Y139" i="6"/>
  <c r="Y10" i="16"/>
  <c r="Y149" i="6"/>
  <c r="X14" i="24"/>
  <c r="X14" i="27" s="1"/>
  <c r="Y10" i="27"/>
  <c r="Y14" i="27"/>
  <c r="Y18" i="27"/>
  <c r="Y22" i="27"/>
  <c r="Y33" i="26"/>
  <c r="X16" i="22"/>
  <c r="Y7" i="21"/>
  <c r="X16" i="20"/>
  <c r="X18" i="21"/>
  <c r="Y28" i="23"/>
  <c r="Y28" i="26" s="1"/>
  <c r="X16" i="18"/>
  <c r="X18" i="23"/>
  <c r="Y7" i="13"/>
  <c r="Y11" i="13"/>
  <c r="Y23" i="13"/>
  <c r="X149" i="6"/>
  <c r="X53" i="38"/>
  <c r="X45" i="39"/>
  <c r="X47" i="37"/>
  <c r="Y53" i="39"/>
  <c r="Y47" i="37"/>
  <c r="Y51" i="37"/>
  <c r="X53" i="39"/>
  <c r="Y49" i="39"/>
  <c r="X39" i="39"/>
  <c r="Y45" i="39"/>
  <c r="Y46" i="38"/>
  <c r="Y39" i="39"/>
  <c r="X49" i="39"/>
  <c r="X51" i="37"/>
  <c r="X49" i="37"/>
  <c r="X46" i="38"/>
  <c r="X4" i="13" l="1"/>
  <c r="X22" i="26"/>
  <c r="X31" i="28"/>
  <c r="X21" i="26"/>
  <c r="X94" i="6"/>
  <c r="X113" i="6"/>
  <c r="X31" i="26"/>
  <c r="X3" i="7"/>
  <c r="X92" i="6"/>
  <c r="Y5" i="37"/>
  <c r="Y37" i="37" s="1"/>
  <c r="Y16" i="25"/>
  <c r="Y16" i="28" s="1"/>
  <c r="X163" i="6"/>
  <c r="X30" i="26"/>
  <c r="X29" i="23"/>
  <c r="X29" i="26" s="1"/>
  <c r="Y5" i="39"/>
  <c r="Y37" i="39" s="1"/>
  <c r="X5" i="39"/>
  <c r="X9" i="29"/>
  <c r="X5" i="29"/>
  <c r="Y5" i="31"/>
  <c r="Y10" i="17"/>
  <c r="X22" i="27"/>
  <c r="X4" i="14"/>
  <c r="X4" i="17" s="1"/>
  <c r="X29" i="10"/>
  <c r="X89" i="6"/>
  <c r="X15" i="12"/>
  <c r="X15" i="15" s="1"/>
  <c r="X93" i="6"/>
  <c r="Y29" i="12"/>
  <c r="Y29" i="15" s="1"/>
  <c r="X114" i="6"/>
  <c r="X144" i="6" s="1"/>
  <c r="X19" i="10"/>
  <c r="Y29" i="14"/>
  <c r="Y29" i="17" s="1"/>
  <c r="X16" i="10"/>
  <c r="X25" i="27"/>
  <c r="Y16" i="23"/>
  <c r="Y16" i="26" s="1"/>
  <c r="Y24" i="15"/>
  <c r="X4" i="23"/>
  <c r="X4" i="26" s="1"/>
  <c r="X3" i="19"/>
  <c r="X13" i="26"/>
  <c r="X90" i="6"/>
  <c r="X17" i="26"/>
  <c r="X11" i="27"/>
  <c r="X27" i="13"/>
  <c r="X27" i="16" s="1"/>
  <c r="X33" i="27"/>
  <c r="X9" i="27"/>
  <c r="X13" i="27"/>
  <c r="X21" i="28"/>
  <c r="X30" i="27"/>
  <c r="X24" i="27"/>
  <c r="Y30" i="15"/>
  <c r="Y15" i="13"/>
  <c r="Y15" i="16" s="1"/>
  <c r="X33" i="26"/>
  <c r="X22" i="15"/>
  <c r="X18" i="26"/>
  <c r="X6" i="26"/>
  <c r="X23" i="28"/>
  <c r="X7" i="26"/>
  <c r="X30" i="28"/>
  <c r="X18" i="27"/>
  <c r="Y19" i="23"/>
  <c r="Y19" i="26" s="1"/>
  <c r="X57" i="6"/>
  <c r="X56" i="6"/>
  <c r="X19" i="13"/>
  <c r="X19" i="16" s="1"/>
  <c r="Y19" i="25"/>
  <c r="Y19" i="28" s="1"/>
  <c r="Y172" i="6"/>
  <c r="X9" i="26"/>
  <c r="X59" i="6"/>
  <c r="X61" i="6"/>
  <c r="Y19" i="14"/>
  <c r="Y19" i="17" s="1"/>
  <c r="X100" i="6"/>
  <c r="X130" i="6" s="1"/>
  <c r="Y48" i="39"/>
  <c r="X29" i="14"/>
  <c r="X29" i="17" s="1"/>
  <c r="X48" i="38"/>
  <c r="X99" i="6"/>
  <c r="X12" i="27"/>
  <c r="X24" i="26"/>
  <c r="X58" i="6"/>
  <c r="Y50" i="39"/>
  <c r="Y48" i="38"/>
  <c r="X19" i="14"/>
  <c r="X19" i="17" s="1"/>
  <c r="X31" i="27"/>
  <c r="X16" i="23"/>
  <c r="X16" i="26" s="1"/>
  <c r="X5" i="37"/>
  <c r="X40" i="37" s="1"/>
  <c r="X48" i="39"/>
  <c r="Y27" i="23"/>
  <c r="Y27" i="26" s="1"/>
  <c r="X55" i="6"/>
  <c r="X32" i="28"/>
  <c r="X161" i="6"/>
  <c r="Y5" i="16"/>
  <c r="X4" i="15"/>
  <c r="X169" i="6"/>
  <c r="X159" i="6"/>
  <c r="X155" i="6"/>
  <c r="X171" i="6"/>
  <c r="X131" i="6"/>
  <c r="X165" i="6"/>
  <c r="Y14" i="15"/>
  <c r="Y9" i="17"/>
  <c r="Y23" i="16"/>
  <c r="X156" i="6"/>
  <c r="X11" i="29"/>
  <c r="Y147" i="6"/>
  <c r="Y11" i="15"/>
  <c r="Y158" i="6"/>
  <c r="X164" i="6"/>
  <c r="X16" i="17"/>
  <c r="X172" i="6"/>
  <c r="Y12" i="15"/>
  <c r="X170" i="6"/>
  <c r="Y24" i="17"/>
  <c r="Y10" i="15"/>
  <c r="Y6" i="16"/>
  <c r="Y138" i="6"/>
  <c r="Y7" i="15"/>
  <c r="Y16" i="17"/>
  <c r="Y24" i="16"/>
  <c r="Y9" i="16"/>
  <c r="Y18" i="15"/>
  <c r="Y14" i="16"/>
  <c r="Y5" i="15"/>
  <c r="Y32" i="15"/>
  <c r="Y20" i="15"/>
  <c r="Y25" i="15"/>
  <c r="Y11" i="16"/>
  <c r="Y17" i="16"/>
  <c r="Y22" i="15"/>
  <c r="Y18" i="16"/>
  <c r="Y17" i="15"/>
  <c r="Y6" i="17"/>
  <c r="Y27" i="15"/>
  <c r="Y12" i="16"/>
  <c r="Y7" i="16"/>
  <c r="Y148" i="6"/>
  <c r="Y21" i="16"/>
  <c r="Y26" i="15"/>
  <c r="Y22" i="16"/>
  <c r="Y5" i="17"/>
  <c r="Y16" i="15"/>
  <c r="Y145" i="6"/>
  <c r="Y32" i="17"/>
  <c r="Y133" i="6"/>
  <c r="Y8" i="16"/>
  <c r="Y20" i="16"/>
  <c r="Y8" i="15"/>
  <c r="Y33" i="15"/>
  <c r="Y25" i="16"/>
  <c r="Y141" i="6"/>
  <c r="Y26" i="16"/>
  <c r="Y15" i="15"/>
  <c r="Y21" i="15"/>
  <c r="Y9" i="15"/>
  <c r="Y31" i="17"/>
  <c r="Y13" i="15"/>
  <c r="X27" i="15"/>
  <c r="X4" i="16"/>
  <c r="X32" i="17"/>
  <c r="Y8" i="17"/>
  <c r="Y33" i="16"/>
  <c r="Y17" i="17"/>
  <c r="Y30" i="16"/>
  <c r="Y7" i="17"/>
  <c r="Y32" i="16"/>
  <c r="Y22" i="17"/>
  <c r="Y23" i="17"/>
  <c r="Y31" i="16"/>
  <c r="Y28" i="15"/>
  <c r="Y30" i="17"/>
  <c r="Y140" i="6"/>
  <c r="Y13" i="16"/>
  <c r="Y20" i="17"/>
  <c r="Y6" i="15"/>
  <c r="Y21" i="17"/>
  <c r="Y31" i="15"/>
  <c r="Y23" i="15"/>
  <c r="Y16" i="16"/>
  <c r="Y50" i="38"/>
  <c r="X10" i="16"/>
  <c r="X6" i="15"/>
  <c r="X31" i="16"/>
  <c r="Y131" i="6"/>
  <c r="X11" i="16"/>
  <c r="X22" i="16"/>
  <c r="X10" i="15"/>
  <c r="X50" i="39"/>
  <c r="X29" i="16"/>
  <c r="X8" i="16"/>
  <c r="X36" i="39"/>
  <c r="X138" i="6"/>
  <c r="X146" i="6"/>
  <c r="Y19" i="13"/>
  <c r="Y19" i="16" s="1"/>
  <c r="X7" i="16"/>
  <c r="X29" i="12"/>
  <c r="X29" i="15" s="1"/>
  <c r="X3" i="9"/>
  <c r="X134" i="6"/>
  <c r="X28" i="15"/>
  <c r="X25" i="15"/>
  <c r="X24" i="15"/>
  <c r="X33" i="16"/>
  <c r="X148" i="6"/>
  <c r="X9" i="15"/>
  <c r="X50" i="38"/>
  <c r="X21" i="17"/>
  <c r="X7" i="15"/>
  <c r="X132" i="6"/>
  <c r="Y19" i="12"/>
  <c r="Y19" i="15" s="1"/>
  <c r="X23" i="17"/>
  <c r="X28" i="16"/>
  <c r="Y50" i="37"/>
  <c r="Y44" i="37" s="1"/>
  <c r="X4" i="10"/>
  <c r="X10" i="17"/>
  <c r="X14" i="16"/>
  <c r="X21" i="16"/>
  <c r="X135" i="6"/>
  <c r="X5" i="15"/>
  <c r="X30" i="17"/>
  <c r="X23" i="16"/>
  <c r="X19" i="12"/>
  <c r="X19" i="15" s="1"/>
  <c r="X30" i="15"/>
  <c r="X26" i="16"/>
  <c r="Y5" i="38"/>
  <c r="Y33" i="36" s="1"/>
  <c r="X145" i="6"/>
  <c r="Y27" i="13"/>
  <c r="Y27" i="16" s="1"/>
  <c r="X29" i="25"/>
  <c r="X29" i="28" s="1"/>
  <c r="X140" i="6"/>
  <c r="X16" i="15"/>
  <c r="X20" i="17"/>
  <c r="X32" i="16"/>
  <c r="X8" i="15"/>
  <c r="X23" i="15"/>
  <c r="Y31" i="36"/>
  <c r="Y34" i="36"/>
  <c r="Y32" i="36"/>
  <c r="X8" i="36"/>
  <c r="X3" i="11"/>
  <c r="X3" i="35"/>
  <c r="Y159" i="6"/>
  <c r="Y135" i="6"/>
  <c r="Y34" i="37"/>
  <c r="X5" i="38"/>
  <c r="X38" i="38" s="1"/>
  <c r="X44" i="37"/>
  <c r="X3" i="31"/>
  <c r="Y163" i="6"/>
  <c r="Y165" i="6"/>
  <c r="Y3" i="31"/>
  <c r="X158" i="6"/>
  <c r="X125" i="6"/>
  <c r="Y164" i="6"/>
  <c r="X3" i="32"/>
  <c r="X3" i="30"/>
  <c r="X3" i="33"/>
  <c r="Y171" i="6"/>
  <c r="Y162" i="6"/>
  <c r="Y38" i="37"/>
  <c r="Y157" i="6"/>
  <c r="Y124" i="6"/>
  <c r="Y134" i="6"/>
  <c r="Y125" i="6"/>
  <c r="X12" i="15"/>
  <c r="X13" i="16"/>
  <c r="X16" i="16"/>
  <c r="Y169" i="6"/>
  <c r="X35" i="39"/>
  <c r="X16" i="25"/>
  <c r="X16" i="28" s="1"/>
  <c r="X30" i="16"/>
  <c r="X9" i="17"/>
  <c r="X31" i="17"/>
  <c r="X147" i="6"/>
  <c r="X26" i="15"/>
  <c r="Y33" i="37"/>
  <c r="X5" i="33"/>
  <c r="X139" i="6"/>
  <c r="X22" i="17"/>
  <c r="X31" i="15"/>
  <c r="X6" i="16"/>
  <c r="X5" i="16"/>
  <c r="X7" i="17"/>
  <c r="X6" i="17"/>
  <c r="X21" i="15"/>
  <c r="X14" i="15"/>
  <c r="X20" i="15"/>
  <c r="X18" i="16"/>
  <c r="X18" i="15"/>
  <c r="X17" i="16"/>
  <c r="X141" i="6"/>
  <c r="X17" i="15"/>
  <c r="X20" i="16"/>
  <c r="X137" i="6"/>
  <c r="X13" i="15"/>
  <c r="X133" i="6"/>
  <c r="X157" i="6"/>
  <c r="X25" i="16"/>
  <c r="Y5" i="32"/>
  <c r="Y6" i="29"/>
  <c r="X17" i="17"/>
  <c r="X9" i="16"/>
  <c r="Y155" i="6"/>
  <c r="X8" i="29"/>
  <c r="X5" i="34"/>
  <c r="X15" i="16"/>
  <c r="X32" i="15"/>
  <c r="X33" i="15"/>
  <c r="X5" i="17"/>
  <c r="X11" i="15"/>
  <c r="X24" i="17"/>
  <c r="Y7" i="29"/>
  <c r="X12" i="16"/>
  <c r="X24" i="16"/>
  <c r="X8" i="17"/>
  <c r="X3" i="20"/>
  <c r="X4" i="24"/>
  <c r="X4" i="27" s="1"/>
  <c r="X4" i="21"/>
  <c r="Y137" i="6"/>
  <c r="Y161" i="6"/>
  <c r="Y9" i="29"/>
  <c r="Y5" i="35"/>
  <c r="Y146" i="6"/>
  <c r="Y170" i="6"/>
  <c r="Y100" i="6"/>
  <c r="Y47" i="6"/>
  <c r="X29" i="24"/>
  <c r="X29" i="27" s="1"/>
  <c r="X29" i="21"/>
  <c r="X143" i="6"/>
  <c r="X167" i="6"/>
  <c r="Y3" i="11"/>
  <c r="Y4" i="14"/>
  <c r="Y4" i="17" s="1"/>
  <c r="Y114" i="6"/>
  <c r="Y81" i="6"/>
  <c r="Y19" i="10"/>
  <c r="X16" i="24"/>
  <c r="X16" i="27" s="1"/>
  <c r="X16" i="21"/>
  <c r="X27" i="23"/>
  <c r="X27" i="26" s="1"/>
  <c r="X27" i="24"/>
  <c r="X27" i="27" s="1"/>
  <c r="X3" i="22"/>
  <c r="X4" i="25"/>
  <c r="X4" i="28" s="1"/>
  <c r="X19" i="21"/>
  <c r="X19" i="24"/>
  <c r="X19" i="27" s="1"/>
  <c r="X3" i="12"/>
  <c r="Y4" i="10"/>
  <c r="Y4" i="13"/>
  <c r="Y4" i="16" s="1"/>
  <c r="Y3" i="9"/>
  <c r="X19" i="23"/>
  <c r="X19" i="26" s="1"/>
  <c r="Y16" i="21"/>
  <c r="Y16" i="24"/>
  <c r="Y16" i="27" s="1"/>
  <c r="Y3" i="22"/>
  <c r="Y4" i="25"/>
  <c r="Y4" i="28" s="1"/>
  <c r="Y4" i="23"/>
  <c r="Y4" i="26" s="1"/>
  <c r="Y3" i="19"/>
  <c r="X15" i="23"/>
  <c r="X15" i="26" s="1"/>
  <c r="X15" i="24"/>
  <c r="X15" i="27" s="1"/>
  <c r="Y5" i="34"/>
  <c r="Y8" i="29"/>
  <c r="Y29" i="10"/>
  <c r="Y29" i="13"/>
  <c r="Y29" i="16" s="1"/>
  <c r="Y3" i="20"/>
  <c r="Y4" i="21"/>
  <c r="Y4" i="24"/>
  <c r="Y4" i="27" s="1"/>
  <c r="Y15" i="23"/>
  <c r="Y15" i="26" s="1"/>
  <c r="Y29" i="21"/>
  <c r="Y29" i="24"/>
  <c r="Y29" i="27" s="1"/>
  <c r="Y19" i="24"/>
  <c r="Y19" i="27" s="1"/>
  <c r="Y19" i="21"/>
  <c r="Y4" i="29"/>
  <c r="Y5" i="30"/>
  <c r="Y11" i="29"/>
  <c r="Y3" i="8"/>
  <c r="Y4" i="12"/>
  <c r="Y4" i="15" s="1"/>
  <c r="X19" i="25"/>
  <c r="X19" i="28" s="1"/>
  <c r="X129" i="6"/>
  <c r="X153" i="6"/>
  <c r="Y123" i="6"/>
  <c r="Y132" i="6"/>
  <c r="Y156" i="6"/>
  <c r="Y16" i="10"/>
  <c r="X31" i="36"/>
  <c r="X34" i="36"/>
  <c r="X32" i="36"/>
  <c r="Y39" i="37"/>
  <c r="Y40" i="37"/>
  <c r="Y32" i="37"/>
  <c r="Y36" i="37" l="1"/>
  <c r="Y35" i="37"/>
  <c r="Y38" i="39"/>
  <c r="X37" i="39"/>
  <c r="X31" i="39" s="1"/>
  <c r="X38" i="39"/>
  <c r="Y36" i="39"/>
  <c r="Y35" i="39"/>
  <c r="Y44" i="39"/>
  <c r="Y39" i="38"/>
  <c r="X3" i="29"/>
  <c r="X34" i="37"/>
  <c r="X168" i="6"/>
  <c r="X3" i="23"/>
  <c r="X3" i="14"/>
  <c r="X44" i="39"/>
  <c r="Y44" i="38"/>
  <c r="X38" i="37"/>
  <c r="X37" i="37"/>
  <c r="X33" i="37"/>
  <c r="X36" i="37"/>
  <c r="X32" i="37"/>
  <c r="X3" i="13"/>
  <c r="X3" i="16" s="1"/>
  <c r="X39" i="37"/>
  <c r="X3" i="10"/>
  <c r="X35" i="37"/>
  <c r="X154" i="6"/>
  <c r="X121" i="6"/>
  <c r="Y33" i="38"/>
  <c r="Y34" i="38"/>
  <c r="Y35" i="38"/>
  <c r="Y32" i="38"/>
  <c r="Y36" i="38"/>
  <c r="Y40" i="38"/>
  <c r="Y38" i="38"/>
  <c r="Y37" i="38"/>
  <c r="Y3" i="32"/>
  <c r="Y31" i="39"/>
  <c r="Y3" i="12"/>
  <c r="Y3" i="33"/>
  <c r="X36" i="38"/>
  <c r="X35" i="38"/>
  <c r="X44" i="38"/>
  <c r="X33" i="38"/>
  <c r="Y121" i="6"/>
  <c r="X39" i="38"/>
  <c r="X37" i="38"/>
  <c r="Y3" i="35"/>
  <c r="X32" i="38"/>
  <c r="Y3" i="14"/>
  <c r="Y3" i="34"/>
  <c r="Y3" i="25"/>
  <c r="X3" i="15"/>
  <c r="X34" i="38"/>
  <c r="X33" i="36"/>
  <c r="X3" i="34"/>
  <c r="X3" i="25"/>
  <c r="X40" i="38"/>
  <c r="Y3" i="23"/>
  <c r="Y3" i="10"/>
  <c r="Y3" i="13"/>
  <c r="Y144" i="6"/>
  <c r="Y168" i="6"/>
  <c r="Y99" i="6"/>
  <c r="Y61" i="6"/>
  <c r="Y57" i="6"/>
  <c r="Y60" i="6"/>
  <c r="Y55" i="6"/>
  <c r="Y59" i="6"/>
  <c r="Y58" i="6"/>
  <c r="Y3" i="24"/>
  <c r="Y3" i="21"/>
  <c r="Y56" i="6"/>
  <c r="Y3" i="30"/>
  <c r="Y3" i="29"/>
  <c r="Y130" i="6"/>
  <c r="Y154" i="6"/>
  <c r="Y93" i="6"/>
  <c r="Y89" i="6"/>
  <c r="Y113" i="6"/>
  <c r="Y91" i="6"/>
  <c r="Y94" i="6"/>
  <c r="Y92" i="6"/>
  <c r="Y90" i="6"/>
  <c r="X3" i="21"/>
  <c r="X3" i="24"/>
  <c r="Y31" i="37"/>
  <c r="X3" i="26" l="1"/>
  <c r="X3" i="17"/>
  <c r="X31" i="37"/>
  <c r="Y31" i="38"/>
  <c r="X31" i="38"/>
  <c r="Y3" i="27"/>
  <c r="Y3" i="28"/>
  <c r="Y3" i="16"/>
  <c r="X3" i="27"/>
  <c r="Y3" i="26"/>
  <c r="Y3" i="17"/>
  <c r="Y3" i="15"/>
  <c r="X3" i="28"/>
  <c r="Y143" i="6"/>
  <c r="Y167" i="6"/>
  <c r="Y129" i="6"/>
  <c r="Y153" i="6"/>
  <c r="Y14" i="6" l="1"/>
  <c r="X14" i="6"/>
  <c r="H9" i="36"/>
  <c r="C17" i="39"/>
  <c r="P9" i="36"/>
  <c r="C9" i="39"/>
  <c r="V9" i="39"/>
  <c r="K9" i="39"/>
  <c r="S17" i="39"/>
  <c r="N9" i="39"/>
  <c r="F9" i="39"/>
  <c r="T9" i="39"/>
  <c r="D9" i="39"/>
  <c r="L9" i="39"/>
  <c r="J17" i="39"/>
  <c r="R17" i="39"/>
  <c r="E17" i="39"/>
  <c r="M17" i="39"/>
  <c r="U17" i="39"/>
  <c r="H9" i="39"/>
  <c r="P9" i="39"/>
  <c r="S9" i="39"/>
  <c r="J9" i="39"/>
  <c r="J5" i="39" s="1"/>
  <c r="R9" i="39"/>
  <c r="R5" i="39" s="1"/>
  <c r="E9" i="39"/>
  <c r="E5" i="39" s="1"/>
  <c r="M9" i="39"/>
  <c r="M5" i="39" s="1"/>
  <c r="U9" i="39"/>
  <c r="U5" i="39" s="1"/>
  <c r="H17" i="37"/>
  <c r="K9" i="36"/>
  <c r="S9" i="36"/>
  <c r="C9" i="36"/>
  <c r="E9" i="36"/>
  <c r="M9" i="36"/>
  <c r="U9" i="36"/>
  <c r="K17" i="39"/>
  <c r="C17" i="38"/>
  <c r="B17" i="39"/>
  <c r="I17" i="39"/>
  <c r="Q17" i="39"/>
  <c r="Q9" i="36"/>
  <c r="B9" i="36"/>
  <c r="J9" i="36"/>
  <c r="R9" i="36"/>
  <c r="D9" i="36"/>
  <c r="L9" i="36"/>
  <c r="T9" i="36"/>
  <c r="I9" i="39"/>
  <c r="I5" i="39" s="1"/>
  <c r="Q9" i="39"/>
  <c r="I9" i="36"/>
  <c r="K9" i="38"/>
  <c r="K17" i="38"/>
  <c r="C9" i="38"/>
  <c r="S9" i="38"/>
  <c r="S17" i="38"/>
  <c r="F9" i="36"/>
  <c r="N9" i="36"/>
  <c r="V9" i="36"/>
  <c r="H9" i="38"/>
  <c r="P9" i="38"/>
  <c r="F17" i="39"/>
  <c r="N17" i="39"/>
  <c r="V17" i="39"/>
  <c r="D17" i="39"/>
  <c r="L17" i="39"/>
  <c r="T17" i="39"/>
  <c r="G17" i="39"/>
  <c r="O17" i="39"/>
  <c r="W17" i="39"/>
  <c r="H17" i="39"/>
  <c r="P17" i="39"/>
  <c r="B17" i="38"/>
  <c r="G9" i="39"/>
  <c r="O9" i="39"/>
  <c r="W9" i="39"/>
  <c r="B9" i="38"/>
  <c r="F17" i="38"/>
  <c r="N17" i="38"/>
  <c r="V17" i="38"/>
  <c r="D17" i="38"/>
  <c r="L17" i="38"/>
  <c r="T17" i="38"/>
  <c r="H17" i="38"/>
  <c r="P17" i="38"/>
  <c r="B9" i="39"/>
  <c r="G17" i="38"/>
  <c r="O17" i="38"/>
  <c r="W17" i="38"/>
  <c r="J17" i="38"/>
  <c r="R17" i="38"/>
  <c r="E17" i="38"/>
  <c r="M17" i="38"/>
  <c r="U17" i="38"/>
  <c r="B17" i="37"/>
  <c r="N9" i="38"/>
  <c r="D9" i="38"/>
  <c r="G9" i="36"/>
  <c r="O9" i="36"/>
  <c r="W9" i="36"/>
  <c r="P17" i="37"/>
  <c r="G9" i="38"/>
  <c r="O9" i="38"/>
  <c r="W9" i="38"/>
  <c r="J9" i="38"/>
  <c r="R9" i="38"/>
  <c r="E9" i="38"/>
  <c r="M9" i="38"/>
  <c r="U9" i="38"/>
  <c r="I17" i="38"/>
  <c r="Q17" i="38"/>
  <c r="F9" i="38"/>
  <c r="Q9" i="38"/>
  <c r="T9" i="38"/>
  <c r="V9" i="38"/>
  <c r="L9" i="38"/>
  <c r="B9" i="37"/>
  <c r="I9" i="38"/>
  <c r="H9" i="37"/>
  <c r="P9" i="37"/>
  <c r="G9" i="37"/>
  <c r="O9" i="37"/>
  <c r="W9" i="37"/>
  <c r="C17" i="37"/>
  <c r="K17" i="37"/>
  <c r="S17" i="37"/>
  <c r="F17" i="37"/>
  <c r="N17" i="37"/>
  <c r="V17" i="37"/>
  <c r="I17" i="37"/>
  <c r="Q17" i="37"/>
  <c r="D17" i="37"/>
  <c r="L17" i="37"/>
  <c r="T17" i="37"/>
  <c r="E17" i="37"/>
  <c r="M17" i="37"/>
  <c r="U17" i="37"/>
  <c r="C9" i="37"/>
  <c r="K9" i="37"/>
  <c r="S9" i="37"/>
  <c r="F9" i="37"/>
  <c r="N9" i="37"/>
  <c r="V9" i="37"/>
  <c r="I9" i="37"/>
  <c r="Q9" i="37"/>
  <c r="D9" i="37"/>
  <c r="L9" i="37"/>
  <c r="T9" i="37"/>
  <c r="J9" i="37"/>
  <c r="R9" i="37"/>
  <c r="G17" i="37"/>
  <c r="O17" i="37"/>
  <c r="W17" i="37"/>
  <c r="J17" i="37"/>
  <c r="R17" i="37"/>
  <c r="E9" i="37"/>
  <c r="M9" i="37"/>
  <c r="U9" i="37"/>
  <c r="D5" i="38" l="1"/>
  <c r="I5" i="38"/>
  <c r="X15" i="6"/>
  <c r="Y15" i="6"/>
  <c r="B5" i="38"/>
  <c r="Q5" i="39"/>
  <c r="S5" i="38"/>
  <c r="C5" i="39"/>
  <c r="S5" i="39"/>
  <c r="V5" i="39"/>
  <c r="N5" i="39"/>
  <c r="T5" i="39"/>
  <c r="K5" i="39"/>
  <c r="W5" i="38"/>
  <c r="N5" i="38"/>
  <c r="D5" i="39"/>
  <c r="F5" i="39"/>
  <c r="C5" i="38"/>
  <c r="P5" i="39"/>
  <c r="G5" i="38"/>
  <c r="B5" i="37"/>
  <c r="K5" i="38"/>
  <c r="V5" i="38"/>
  <c r="O5" i="38"/>
  <c r="L5" i="39"/>
  <c r="H5" i="39"/>
  <c r="U5" i="38"/>
  <c r="B5" i="39"/>
  <c r="F5" i="38"/>
  <c r="L5" i="38"/>
  <c r="R5" i="38"/>
  <c r="T5" i="38"/>
  <c r="W5" i="39"/>
  <c r="M5" i="38"/>
  <c r="P5" i="38"/>
  <c r="O5" i="39"/>
  <c r="Q5" i="38"/>
  <c r="J5" i="38"/>
  <c r="E5" i="38"/>
  <c r="H5" i="38"/>
  <c r="G5" i="39"/>
  <c r="B33" i="36"/>
  <c r="N14" i="36" l="1"/>
  <c r="F14" i="36"/>
  <c r="B14" i="36"/>
  <c r="S14" i="36"/>
  <c r="K14" i="36"/>
  <c r="V14" i="36"/>
  <c r="G14" i="36"/>
  <c r="O14" i="36"/>
  <c r="W14" i="36"/>
  <c r="H14" i="36"/>
  <c r="P14" i="36"/>
  <c r="I14" i="36"/>
  <c r="Q14" i="36"/>
  <c r="C14" i="36"/>
  <c r="D14" i="36"/>
  <c r="L14" i="36"/>
  <c r="T14" i="36"/>
  <c r="E19" i="36"/>
  <c r="F19" i="36"/>
  <c r="N19" i="36"/>
  <c r="V19" i="36"/>
  <c r="U19" i="36"/>
  <c r="G19" i="36"/>
  <c r="O19" i="36"/>
  <c r="W19" i="36"/>
  <c r="H19" i="36"/>
  <c r="P19" i="36"/>
  <c r="U14" i="36"/>
  <c r="I19" i="36"/>
  <c r="Q19" i="36"/>
  <c r="J14" i="36"/>
  <c r="R14" i="36"/>
  <c r="B19" i="36"/>
  <c r="J19" i="36"/>
  <c r="R19" i="36"/>
  <c r="E14" i="36"/>
  <c r="C19" i="36"/>
  <c r="K19" i="36"/>
  <c r="S19" i="36"/>
  <c r="M14" i="36"/>
  <c r="M19" i="36"/>
  <c r="D19" i="36"/>
  <c r="L19" i="36"/>
  <c r="T19" i="36"/>
  <c r="S12" i="36" l="1"/>
  <c r="N12" i="36"/>
  <c r="O12" i="36"/>
  <c r="G12" i="36"/>
  <c r="H12" i="36"/>
  <c r="Q12" i="36"/>
  <c r="B12" i="36"/>
  <c r="B31" i="36" s="1"/>
  <c r="W12" i="36"/>
  <c r="C12" i="36"/>
  <c r="P12" i="36"/>
  <c r="D12" i="36"/>
  <c r="M12" i="36"/>
  <c r="T12" i="36"/>
  <c r="L12" i="36"/>
  <c r="U12" i="36"/>
  <c r="J12" i="36"/>
  <c r="F12" i="36"/>
  <c r="E12" i="36"/>
  <c r="I12" i="36"/>
  <c r="K12" i="36"/>
  <c r="R12" i="36"/>
  <c r="V12" i="36"/>
  <c r="B32" i="36" l="1"/>
  <c r="T5" i="37"/>
  <c r="N5" i="37"/>
  <c r="C5" i="37"/>
  <c r="R5" i="37"/>
  <c r="O5" i="37"/>
  <c r="G5" i="37"/>
  <c r="M5" i="37"/>
  <c r="L5" i="37"/>
  <c r="D5" i="37"/>
  <c r="J5" i="37"/>
  <c r="W5" i="37"/>
  <c r="I5" i="37"/>
  <c r="H5" i="37" l="1"/>
  <c r="U5" i="37"/>
  <c r="P5" i="37"/>
  <c r="K5" i="37"/>
  <c r="E5" i="37"/>
  <c r="F5" i="37"/>
  <c r="V5" i="37"/>
  <c r="Q5" i="37"/>
  <c r="S5" i="37" l="1"/>
  <c r="Q67" i="6" l="1"/>
  <c r="I67" i="6"/>
  <c r="C33" i="6" l="1"/>
  <c r="K33" i="6"/>
  <c r="E33" i="6"/>
  <c r="M33" i="6"/>
  <c r="U33" i="6"/>
  <c r="G67" i="6"/>
  <c r="O67" i="6"/>
  <c r="W67" i="6"/>
  <c r="O33" i="6"/>
  <c r="E71" i="6"/>
  <c r="M71" i="6"/>
  <c r="U71" i="6"/>
  <c r="K37" i="6"/>
  <c r="S37" i="6"/>
  <c r="F67" i="6"/>
  <c r="V67" i="6"/>
  <c r="I33" i="6"/>
  <c r="Q33" i="6"/>
  <c r="H71" i="6"/>
  <c r="P71" i="6"/>
  <c r="H67" i="6"/>
  <c r="P67" i="6"/>
  <c r="C67" i="6"/>
  <c r="K67" i="6"/>
  <c r="S67" i="6"/>
  <c r="S33" i="6"/>
  <c r="F33" i="6"/>
  <c r="N33" i="6"/>
  <c r="V33" i="6"/>
  <c r="J67" i="6"/>
  <c r="R67" i="6"/>
  <c r="J33" i="6"/>
  <c r="R33" i="6"/>
  <c r="I37" i="6"/>
  <c r="Q37" i="6"/>
  <c r="C37" i="6"/>
  <c r="G33" i="6"/>
  <c r="W33" i="6"/>
  <c r="N67" i="6"/>
  <c r="C71" i="6"/>
  <c r="K71" i="6"/>
  <c r="S71" i="6"/>
  <c r="J71" i="6"/>
  <c r="R71" i="6"/>
  <c r="F37" i="6"/>
  <c r="N37" i="6"/>
  <c r="V37" i="6"/>
  <c r="H33" i="6"/>
  <c r="P33" i="6"/>
  <c r="D37" i="6"/>
  <c r="T37" i="6"/>
  <c r="D33" i="6"/>
  <c r="L33" i="6"/>
  <c r="T33" i="6"/>
  <c r="G37" i="6"/>
  <c r="O37" i="6"/>
  <c r="W37" i="6"/>
  <c r="J37" i="6"/>
  <c r="R37" i="6"/>
  <c r="L37" i="6"/>
  <c r="T71" i="6"/>
  <c r="W71" i="6"/>
  <c r="E67" i="6"/>
  <c r="M67" i="6"/>
  <c r="U67" i="6"/>
  <c r="D71" i="6"/>
  <c r="G71" i="6"/>
  <c r="F71" i="6"/>
  <c r="N71" i="6"/>
  <c r="V71" i="6"/>
  <c r="I71" i="6"/>
  <c r="Q71" i="6"/>
  <c r="L71" i="6"/>
  <c r="O71" i="6"/>
  <c r="E37" i="6"/>
  <c r="E31" i="6" s="1"/>
  <c r="M37" i="6"/>
  <c r="U37" i="6"/>
  <c r="H37" i="6"/>
  <c r="P37" i="6"/>
  <c r="D67" i="6"/>
  <c r="L67" i="6"/>
  <c r="T67" i="6"/>
  <c r="H31" i="6" l="1"/>
  <c r="N31" i="6"/>
  <c r="K31" i="6"/>
  <c r="T31" i="6"/>
  <c r="S31" i="6"/>
  <c r="F31" i="6"/>
  <c r="U31" i="6"/>
  <c r="M31" i="6"/>
  <c r="C31" i="6"/>
  <c r="W31" i="6"/>
  <c r="V31" i="6"/>
  <c r="D31" i="6"/>
  <c r="Q31" i="6"/>
  <c r="I31" i="6"/>
  <c r="O31" i="6"/>
  <c r="P31" i="6"/>
  <c r="G31" i="6"/>
  <c r="L31" i="6"/>
  <c r="R31" i="6"/>
  <c r="J31" i="6"/>
  <c r="W50" i="39" l="1"/>
  <c r="W46" i="39"/>
  <c r="W45" i="39"/>
  <c r="W39" i="39"/>
  <c r="W35" i="39"/>
  <c r="W32" i="39"/>
  <c r="W53" i="39"/>
  <c r="W52" i="39"/>
  <c r="W38" i="39"/>
  <c r="W37" i="39"/>
  <c r="W49" i="39"/>
  <c r="W48" i="39"/>
  <c r="W34" i="39"/>
  <c r="W33" i="39"/>
  <c r="W44" i="39"/>
  <c r="W49" i="38"/>
  <c r="W47" i="38"/>
  <c r="W45" i="38"/>
  <c r="W38" i="38"/>
  <c r="W36" i="38"/>
  <c r="W34" i="38"/>
  <c r="W32" i="38"/>
  <c r="W53" i="38"/>
  <c r="W39" i="38"/>
  <c r="W51" i="38"/>
  <c r="W50" i="38"/>
  <c r="W35" i="38"/>
  <c r="W46" i="38"/>
  <c r="W33" i="36"/>
  <c r="W49" i="37"/>
  <c r="W47" i="37"/>
  <c r="W45" i="37"/>
  <c r="W38" i="37"/>
  <c r="W36" i="37"/>
  <c r="W34" i="37"/>
  <c r="W32" i="37"/>
  <c r="W53" i="37"/>
  <c r="W39" i="37"/>
  <c r="W51" i="37"/>
  <c r="W50" i="37"/>
  <c r="W35" i="37"/>
  <c r="W46" i="37"/>
  <c r="W34" i="36"/>
  <c r="W32" i="36"/>
  <c r="W31" i="36"/>
  <c r="W36" i="39" l="1"/>
  <c r="W40" i="39"/>
  <c r="W47" i="39"/>
  <c r="W51" i="39"/>
  <c r="W33" i="38"/>
  <c r="W37" i="38"/>
  <c r="W44" i="38"/>
  <c r="W48" i="38"/>
  <c r="W52" i="38"/>
  <c r="W40" i="38"/>
  <c r="W33" i="37"/>
  <c r="W37" i="37"/>
  <c r="W48" i="37"/>
  <c r="W52" i="37"/>
  <c r="W40" i="37"/>
  <c r="W31" i="38" l="1"/>
  <c r="W44" i="37"/>
  <c r="W31" i="39"/>
  <c r="W31" i="37"/>
  <c r="T31" i="36" l="1"/>
  <c r="T34" i="36"/>
  <c r="V31" i="36"/>
  <c r="V34" i="36"/>
  <c r="U34" i="36"/>
  <c r="U31" i="36"/>
  <c r="S34" i="36"/>
  <c r="S31" i="36"/>
  <c r="R34" i="36"/>
  <c r="R31" i="36"/>
  <c r="S32" i="36" l="1"/>
  <c r="S51" i="37"/>
  <c r="S49" i="37"/>
  <c r="R45" i="37" l="1"/>
  <c r="R32" i="36"/>
  <c r="R49" i="37"/>
  <c r="R51" i="37"/>
  <c r="R46" i="37"/>
  <c r="V32" i="36"/>
  <c r="V49" i="37"/>
  <c r="V51" i="37"/>
  <c r="V48" i="37"/>
  <c r="R47" i="37"/>
  <c r="V52" i="37"/>
  <c r="U32" i="36"/>
  <c r="U49" i="37"/>
  <c r="U51" i="37"/>
  <c r="R52" i="37" l="1"/>
  <c r="T32" i="36"/>
  <c r="T51" i="37"/>
  <c r="T49" i="37"/>
  <c r="V46" i="37"/>
  <c r="T52" i="37"/>
  <c r="U52" i="37"/>
  <c r="V45" i="37"/>
  <c r="V50" i="37"/>
  <c r="T45" i="37"/>
  <c r="V47" i="37"/>
  <c r="T47" i="37" l="1"/>
  <c r="R50" i="37"/>
  <c r="U47" i="37"/>
  <c r="U48" i="37"/>
  <c r="T48" i="37"/>
  <c r="U45" i="37"/>
  <c r="U46" i="37"/>
  <c r="T46" i="37"/>
  <c r="S45" i="37"/>
  <c r="S52" i="37"/>
  <c r="S48" i="37" l="1"/>
  <c r="T50" i="37"/>
  <c r="S46" i="37"/>
  <c r="R48" i="37"/>
  <c r="S47" i="37"/>
  <c r="U50" i="37" l="1"/>
  <c r="S50" i="37" l="1"/>
  <c r="N31" i="36" l="1"/>
  <c r="N34" i="36"/>
  <c r="P34" i="36"/>
  <c r="P31" i="36"/>
  <c r="K34" i="36"/>
  <c r="K31" i="36"/>
  <c r="J34" i="36"/>
  <c r="J31" i="36"/>
  <c r="M34" i="36"/>
  <c r="M31" i="36"/>
  <c r="I34" i="36"/>
  <c r="I31" i="36"/>
  <c r="F34" i="36"/>
  <c r="F31" i="36"/>
  <c r="H34" i="36"/>
  <c r="H31" i="36"/>
  <c r="Q34" i="36"/>
  <c r="Q31" i="36"/>
  <c r="L34" i="36"/>
  <c r="L31" i="36"/>
  <c r="C34" i="36"/>
  <c r="C31" i="36"/>
  <c r="G34" i="36"/>
  <c r="G31" i="36"/>
  <c r="D31" i="36"/>
  <c r="D34" i="36"/>
  <c r="O34" i="36"/>
  <c r="O31" i="36"/>
  <c r="Q32" i="36" l="1"/>
  <c r="P32" i="36"/>
  <c r="O32" i="36"/>
  <c r="N32" i="36"/>
  <c r="M32" i="36"/>
  <c r="S53" i="37" l="1"/>
  <c r="S44" i="37" s="1"/>
  <c r="T53" i="37"/>
  <c r="T44" i="37" s="1"/>
  <c r="V53" i="37" l="1"/>
  <c r="V44" i="37" s="1"/>
  <c r="R53" i="37"/>
  <c r="R44" i="37" s="1"/>
  <c r="U53" i="37"/>
  <c r="U44" i="37" s="1"/>
  <c r="V36" i="37" l="1"/>
  <c r="V38" i="37"/>
  <c r="V35" i="37"/>
  <c r="V39" i="37"/>
  <c r="V37" i="37"/>
  <c r="V34" i="37"/>
  <c r="V32" i="37"/>
  <c r="V33" i="37"/>
  <c r="V40" i="37"/>
  <c r="S40" i="37"/>
  <c r="S38" i="37"/>
  <c r="S36" i="37"/>
  <c r="S32" i="37"/>
  <c r="S39" i="37"/>
  <c r="S35" i="37"/>
  <c r="S34" i="37"/>
  <c r="S33" i="37"/>
  <c r="S37" i="37"/>
  <c r="U36" i="37"/>
  <c r="U38" i="37"/>
  <c r="U39" i="37"/>
  <c r="U35" i="37"/>
  <c r="U32" i="37"/>
  <c r="U34" i="37"/>
  <c r="U33" i="37"/>
  <c r="U37" i="37"/>
  <c r="U40" i="37"/>
  <c r="R36" i="37"/>
  <c r="R38" i="37"/>
  <c r="R32" i="37"/>
  <c r="R34" i="37"/>
  <c r="R33" i="37"/>
  <c r="R39" i="37"/>
  <c r="R37" i="37"/>
  <c r="R35" i="37"/>
  <c r="R40" i="37"/>
  <c r="T40" i="37"/>
  <c r="T38" i="37"/>
  <c r="T36" i="37"/>
  <c r="T39" i="37"/>
  <c r="T32" i="37"/>
  <c r="T33" i="37"/>
  <c r="T34" i="37"/>
  <c r="T35" i="37"/>
  <c r="T37" i="37"/>
  <c r="R31" i="37" l="1"/>
  <c r="S31" i="37"/>
  <c r="V31" i="37"/>
  <c r="T31" i="37"/>
  <c r="U31" i="37"/>
  <c r="H32" i="36" l="1"/>
  <c r="F32" i="36"/>
  <c r="I32" i="36"/>
  <c r="D32" i="36"/>
  <c r="G32" i="36"/>
  <c r="C32" i="36"/>
  <c r="J32" i="36"/>
  <c r="L32" i="36"/>
  <c r="K32" i="36"/>
  <c r="D8" i="36" l="1"/>
  <c r="S49" i="39" l="1"/>
  <c r="R49" i="39"/>
  <c r="R47" i="39" l="1"/>
  <c r="R34" i="39"/>
  <c r="T32" i="39"/>
  <c r="T45" i="39"/>
  <c r="V49" i="39"/>
  <c r="S46" i="39"/>
  <c r="S33" i="39"/>
  <c r="V53" i="39"/>
  <c r="V40" i="39"/>
  <c r="T52" i="39"/>
  <c r="T39" i="39"/>
  <c r="V33" i="39"/>
  <c r="V46" i="39"/>
  <c r="U47" i="39"/>
  <c r="U34" i="39"/>
  <c r="S40" i="39"/>
  <c r="S53" i="39"/>
  <c r="R46" i="39"/>
  <c r="R33" i="39"/>
  <c r="T53" i="39"/>
  <c r="T40" i="39"/>
  <c r="T49" i="39"/>
  <c r="U40" i="39"/>
  <c r="U53" i="39"/>
  <c r="R52" i="39"/>
  <c r="R39" i="39"/>
  <c r="U52" i="39"/>
  <c r="U39" i="39"/>
  <c r="V52" i="39"/>
  <c r="V39" i="39"/>
  <c r="T51" i="39"/>
  <c r="S34" i="39"/>
  <c r="S47" i="39"/>
  <c r="T47" i="39"/>
  <c r="T34" i="39"/>
  <c r="U33" i="39"/>
  <c r="U46" i="39"/>
  <c r="U32" i="39"/>
  <c r="U45" i="39"/>
  <c r="S52" i="39"/>
  <c r="S39" i="39"/>
  <c r="S51" i="39"/>
  <c r="R51" i="39"/>
  <c r="V34" i="39"/>
  <c r="V47" i="39"/>
  <c r="R40" i="39"/>
  <c r="R53" i="39"/>
  <c r="T33" i="39"/>
  <c r="T46" i="39"/>
  <c r="V51" i="39"/>
  <c r="S32" i="39" l="1"/>
  <c r="S45" i="39"/>
  <c r="V45" i="39"/>
  <c r="V32" i="39"/>
  <c r="U49" i="39"/>
  <c r="R32" i="39"/>
  <c r="R45" i="39"/>
  <c r="U51" i="39"/>
  <c r="U50" i="39" l="1"/>
  <c r="V50" i="39"/>
  <c r="R48" i="39"/>
  <c r="R50" i="39"/>
  <c r="S50" i="39" l="1"/>
  <c r="S48" i="39"/>
  <c r="T50" i="39"/>
  <c r="V48" i="39"/>
  <c r="T48" i="39"/>
  <c r="U48" i="39"/>
  <c r="V35" i="39"/>
  <c r="U44" i="39" l="1"/>
  <c r="U38" i="39"/>
  <c r="U36" i="39"/>
  <c r="U37" i="39"/>
  <c r="U35" i="39"/>
  <c r="V44" i="39"/>
  <c r="V36" i="39"/>
  <c r="V38" i="39"/>
  <c r="V37" i="39"/>
  <c r="U31" i="39" l="1"/>
  <c r="V31" i="39"/>
  <c r="R36" i="39"/>
  <c r="R44" i="39"/>
  <c r="R38" i="39"/>
  <c r="R37" i="39"/>
  <c r="R35" i="39"/>
  <c r="T44" i="39"/>
  <c r="T38" i="39"/>
  <c r="T36" i="39"/>
  <c r="T35" i="39"/>
  <c r="T37" i="39"/>
  <c r="S36" i="39"/>
  <c r="S44" i="39"/>
  <c r="S38" i="39"/>
  <c r="S37" i="39"/>
  <c r="S35" i="39"/>
  <c r="S31" i="39" l="1"/>
  <c r="R31" i="39"/>
  <c r="T31" i="39"/>
  <c r="E34" i="36" l="1"/>
  <c r="E31" i="36"/>
  <c r="E32" i="36" l="1"/>
  <c r="E8" i="36" l="1"/>
  <c r="F8" i="36" l="1"/>
  <c r="G8" i="36" l="1"/>
  <c r="H8" i="36" l="1"/>
  <c r="I8" i="36" l="1"/>
  <c r="J8" i="36" l="1"/>
  <c r="K8" i="36" l="1"/>
  <c r="L8" i="36" l="1"/>
  <c r="M8" i="36" l="1"/>
  <c r="L33" i="36"/>
  <c r="G33" i="36"/>
  <c r="F33" i="36"/>
  <c r="I33" i="36" l="1"/>
  <c r="E33" i="36"/>
  <c r="D33" i="36"/>
  <c r="J33" i="36"/>
  <c r="C33" i="36"/>
  <c r="K33" i="36"/>
  <c r="H33" i="36"/>
  <c r="N8" i="36" l="1"/>
  <c r="M33" i="36"/>
  <c r="O8" i="36"/>
  <c r="N33" i="36" l="1"/>
  <c r="P8" i="36" l="1"/>
  <c r="O33" i="36" l="1"/>
  <c r="P33" i="36" l="1"/>
  <c r="Q8" i="36"/>
  <c r="R8" i="36" l="1"/>
  <c r="Q33" i="36" l="1"/>
  <c r="R49" i="38" l="1"/>
  <c r="R47" i="38" l="1"/>
  <c r="S8" i="36"/>
  <c r="R51" i="38"/>
  <c r="R53" i="38"/>
  <c r="R52" i="38"/>
  <c r="R45" i="38"/>
  <c r="R46" i="38"/>
  <c r="R36" i="38" l="1"/>
  <c r="R44" i="38"/>
  <c r="R33" i="36"/>
  <c r="R32" i="38"/>
  <c r="R39" i="38"/>
  <c r="R33" i="38"/>
  <c r="R38" i="38"/>
  <c r="R34" i="38"/>
  <c r="R48" i="38"/>
  <c r="R35" i="38"/>
  <c r="R37" i="38"/>
  <c r="R50" i="38"/>
  <c r="R40" i="38"/>
  <c r="T8" i="36" l="1"/>
  <c r="R31" i="38"/>
  <c r="S53" i="38"/>
  <c r="S47" i="38" l="1"/>
  <c r="S52" i="38"/>
  <c r="S45" i="38"/>
  <c r="S46" i="38"/>
  <c r="S51" i="38"/>
  <c r="S49" i="38"/>
  <c r="S36" i="38"/>
  <c r="U8" i="36"/>
  <c r="S39" i="38"/>
  <c r="S48" i="38" l="1"/>
  <c r="S35" i="38"/>
  <c r="S38" i="38"/>
  <c r="S40" i="38"/>
  <c r="S44" i="38"/>
  <c r="S33" i="36"/>
  <c r="S32" i="38"/>
  <c r="S34" i="38"/>
  <c r="S37" i="38"/>
  <c r="S50" i="38"/>
  <c r="S33" i="38"/>
  <c r="T53" i="38"/>
  <c r="T51" i="38" l="1"/>
  <c r="S31" i="38"/>
  <c r="T47" i="38"/>
  <c r="T52" i="38"/>
  <c r="T49" i="38"/>
  <c r="T46" i="38"/>
  <c r="T45" i="38"/>
  <c r="W8" i="36"/>
  <c r="V8" i="36"/>
  <c r="U45" i="38" l="1"/>
  <c r="U46" i="38"/>
  <c r="T50" i="38"/>
  <c r="U52" i="38"/>
  <c r="U49" i="38"/>
  <c r="U53" i="38"/>
  <c r="U51" i="38"/>
  <c r="T48" i="38"/>
  <c r="U47" i="38"/>
  <c r="T35" i="38"/>
  <c r="V47" i="38"/>
  <c r="V52" i="38" l="1"/>
  <c r="T40" i="38"/>
  <c r="T44" i="38"/>
  <c r="T33" i="36"/>
  <c r="T38" i="38"/>
  <c r="T39" i="38"/>
  <c r="T33" i="38"/>
  <c r="T32" i="38"/>
  <c r="T34" i="38"/>
  <c r="T36" i="38"/>
  <c r="V45" i="38"/>
  <c r="V38" i="38"/>
  <c r="V51" i="38"/>
  <c r="U48" i="38"/>
  <c r="U50" i="38"/>
  <c r="V49" i="38"/>
  <c r="V53" i="38"/>
  <c r="V46" i="38"/>
  <c r="T37" i="38"/>
  <c r="V34" i="38" l="1"/>
  <c r="V33" i="36"/>
  <c r="V44" i="38"/>
  <c r="V35" i="38"/>
  <c r="V48" i="38"/>
  <c r="T31" i="38"/>
  <c r="U44" i="38"/>
  <c r="U33" i="36"/>
  <c r="U38" i="38"/>
  <c r="U34" i="38"/>
  <c r="U32" i="38"/>
  <c r="U39" i="38"/>
  <c r="U40" i="38"/>
  <c r="U36" i="38"/>
  <c r="U33" i="38"/>
  <c r="V40" i="38"/>
  <c r="U37" i="38"/>
  <c r="U35" i="38"/>
  <c r="V39" i="38"/>
  <c r="V50" i="38"/>
  <c r="V37" i="38"/>
  <c r="V33" i="38"/>
  <c r="V36" i="38"/>
  <c r="V32" i="38"/>
  <c r="V31" i="38" l="1"/>
  <c r="U31" i="38"/>
  <c r="R15" i="30" l="1"/>
  <c r="V12" i="30"/>
  <c r="T10" i="30"/>
  <c r="R9" i="30"/>
  <c r="V14" i="31"/>
  <c r="T12" i="31"/>
  <c r="R10" i="31"/>
  <c r="V8" i="31"/>
  <c r="V15" i="32"/>
  <c r="T14" i="32"/>
  <c r="R12" i="32"/>
  <c r="V9" i="32"/>
  <c r="T8" i="32"/>
  <c r="T15" i="33"/>
  <c r="R14" i="33"/>
  <c r="V10" i="33"/>
  <c r="T9" i="33"/>
  <c r="R8" i="33"/>
  <c r="R15" i="34"/>
  <c r="V12" i="34"/>
  <c r="T10" i="34"/>
  <c r="R9" i="34"/>
  <c r="V14" i="35"/>
  <c r="T12" i="35"/>
  <c r="R10" i="35"/>
  <c r="V8" i="35"/>
  <c r="W15" i="35"/>
  <c r="V15" i="35"/>
  <c r="U15" i="35"/>
  <c r="T15" i="35"/>
  <c r="S15" i="35"/>
  <c r="R15" i="35"/>
  <c r="W15" i="34"/>
  <c r="V15" i="34"/>
  <c r="U15" i="34"/>
  <c r="T15" i="34"/>
  <c r="S15" i="34"/>
  <c r="W15" i="33"/>
  <c r="V15" i="33"/>
  <c r="U15" i="33"/>
  <c r="S15" i="33"/>
  <c r="R15" i="33"/>
  <c r="W15" i="32"/>
  <c r="U15" i="32"/>
  <c r="T15" i="32"/>
  <c r="S15" i="32"/>
  <c r="R15" i="32"/>
  <c r="W15" i="31"/>
  <c r="V15" i="31"/>
  <c r="U15" i="31"/>
  <c r="T15" i="31"/>
  <c r="S15" i="31"/>
  <c r="R15" i="31"/>
  <c r="W15" i="30"/>
  <c r="V15" i="30"/>
  <c r="U15" i="30"/>
  <c r="T15" i="30"/>
  <c r="S15" i="30"/>
  <c r="W14" i="35"/>
  <c r="U14" i="35"/>
  <c r="T14" i="35"/>
  <c r="S14" i="35"/>
  <c r="R14" i="35"/>
  <c r="W14" i="34"/>
  <c r="V14" i="34"/>
  <c r="U14" i="34"/>
  <c r="T14" i="34"/>
  <c r="S14" i="34"/>
  <c r="R14" i="34"/>
  <c r="W14" i="33"/>
  <c r="V14" i="33"/>
  <c r="U14" i="33"/>
  <c r="T14" i="33"/>
  <c r="S14" i="33"/>
  <c r="W14" i="32"/>
  <c r="V14" i="32"/>
  <c r="U14" i="32"/>
  <c r="S14" i="32"/>
  <c r="R14" i="32"/>
  <c r="W14" i="31"/>
  <c r="U14" i="31"/>
  <c r="T14" i="31"/>
  <c r="S14" i="31"/>
  <c r="R14" i="31"/>
  <c r="W14" i="30"/>
  <c r="V14" i="30"/>
  <c r="U14" i="30"/>
  <c r="T14" i="30"/>
  <c r="S14" i="30"/>
  <c r="R14" i="30"/>
  <c r="W12" i="35"/>
  <c r="V12" i="35"/>
  <c r="U12" i="35"/>
  <c r="S12" i="35"/>
  <c r="R12" i="35"/>
  <c r="W12" i="34"/>
  <c r="U12" i="34"/>
  <c r="T12" i="34"/>
  <c r="S12" i="34"/>
  <c r="R12" i="34"/>
  <c r="W12" i="33"/>
  <c r="V12" i="33"/>
  <c r="U12" i="33"/>
  <c r="T12" i="33"/>
  <c r="S12" i="33"/>
  <c r="R12" i="33"/>
  <c r="W12" i="32"/>
  <c r="V12" i="32"/>
  <c r="U12" i="32"/>
  <c r="T12" i="32"/>
  <c r="S12" i="32"/>
  <c r="W12" i="31"/>
  <c r="V12" i="31"/>
  <c r="U12" i="31"/>
  <c r="S12" i="31"/>
  <c r="R12" i="31"/>
  <c r="W12" i="30"/>
  <c r="U12" i="30"/>
  <c r="T12" i="30"/>
  <c r="S12" i="30"/>
  <c r="R12" i="30"/>
  <c r="W10" i="35"/>
  <c r="V10" i="35"/>
  <c r="U10" i="35"/>
  <c r="T10" i="35"/>
  <c r="S10" i="35"/>
  <c r="W10" i="34"/>
  <c r="V10" i="34"/>
  <c r="U10" i="34"/>
  <c r="S10" i="34"/>
  <c r="R10" i="34"/>
  <c r="W10" i="33"/>
  <c r="U10" i="33"/>
  <c r="T10" i="33"/>
  <c r="S10" i="33"/>
  <c r="R10" i="33"/>
  <c r="W10" i="32"/>
  <c r="V10" i="32"/>
  <c r="U10" i="32"/>
  <c r="T10" i="32"/>
  <c r="S10" i="32"/>
  <c r="R10" i="32"/>
  <c r="W10" i="31"/>
  <c r="V10" i="31"/>
  <c r="U10" i="31"/>
  <c r="T10" i="31"/>
  <c r="S10" i="31"/>
  <c r="W10" i="30"/>
  <c r="V10" i="30"/>
  <c r="U10" i="30"/>
  <c r="S10" i="30"/>
  <c r="R10" i="30"/>
  <c r="W9" i="35"/>
  <c r="V9" i="35"/>
  <c r="U9" i="35"/>
  <c r="T9" i="35"/>
  <c r="S9" i="35"/>
  <c r="R9" i="35"/>
  <c r="W9" i="34"/>
  <c r="V9" i="34"/>
  <c r="U9" i="34"/>
  <c r="T9" i="34"/>
  <c r="S9" i="34"/>
  <c r="W9" i="33"/>
  <c r="V9" i="33"/>
  <c r="U9" i="33"/>
  <c r="S9" i="33"/>
  <c r="R9" i="33"/>
  <c r="W9" i="32"/>
  <c r="U9" i="32"/>
  <c r="T9" i="32"/>
  <c r="S9" i="32"/>
  <c r="R9" i="32"/>
  <c r="W9" i="31"/>
  <c r="V9" i="31"/>
  <c r="U9" i="31"/>
  <c r="T9" i="31"/>
  <c r="S9" i="31"/>
  <c r="R9" i="31"/>
  <c r="W9" i="30"/>
  <c r="V9" i="30"/>
  <c r="U9" i="30"/>
  <c r="T9" i="30"/>
  <c r="S9" i="30"/>
  <c r="W73" i="29"/>
  <c r="W6" i="35" s="1"/>
  <c r="V73" i="29"/>
  <c r="V6" i="35" s="1"/>
  <c r="T73" i="29"/>
  <c r="T6" i="35" s="1"/>
  <c r="S73" i="29"/>
  <c r="S6" i="35" s="1"/>
  <c r="R73" i="29"/>
  <c r="R6" i="35" s="1"/>
  <c r="Q73" i="29"/>
  <c r="P73" i="29"/>
  <c r="O73" i="29"/>
  <c r="N73" i="29"/>
  <c r="M73" i="29"/>
  <c r="L73" i="29"/>
  <c r="K73" i="29"/>
  <c r="J73" i="29"/>
  <c r="I73" i="29"/>
  <c r="H73" i="29"/>
  <c r="G73" i="29"/>
  <c r="F73" i="29"/>
  <c r="E73" i="29"/>
  <c r="D73" i="29"/>
  <c r="W72" i="29"/>
  <c r="W6" i="34" s="1"/>
  <c r="V72" i="29"/>
  <c r="V6" i="34" s="1"/>
  <c r="U72" i="29"/>
  <c r="U6" i="34" s="1"/>
  <c r="T72" i="29"/>
  <c r="T6" i="34" s="1"/>
  <c r="S72" i="29"/>
  <c r="S6" i="34" s="1"/>
  <c r="R72" i="29"/>
  <c r="R6" i="34" s="1"/>
  <c r="Q72" i="29"/>
  <c r="P72" i="29"/>
  <c r="O72" i="29"/>
  <c r="N72" i="29"/>
  <c r="M72" i="29"/>
  <c r="L72" i="29"/>
  <c r="K72" i="29"/>
  <c r="J72" i="29"/>
  <c r="I72" i="29"/>
  <c r="H72" i="29"/>
  <c r="G72" i="29"/>
  <c r="F72" i="29"/>
  <c r="E72" i="29"/>
  <c r="D72" i="29"/>
  <c r="W71" i="29"/>
  <c r="W6" i="33" s="1"/>
  <c r="V71" i="29"/>
  <c r="V6" i="33" s="1"/>
  <c r="T71" i="29"/>
  <c r="T6" i="33" s="1"/>
  <c r="S71" i="29"/>
  <c r="S6" i="33" s="1"/>
  <c r="R71" i="29"/>
  <c r="R6" i="33" s="1"/>
  <c r="Q71" i="29"/>
  <c r="P71" i="29"/>
  <c r="O71" i="29"/>
  <c r="N71" i="29"/>
  <c r="M71" i="29"/>
  <c r="L71" i="29"/>
  <c r="K71" i="29"/>
  <c r="J71" i="29"/>
  <c r="I71" i="29"/>
  <c r="H71" i="29"/>
  <c r="G71" i="29"/>
  <c r="F71" i="29"/>
  <c r="E71" i="29"/>
  <c r="D71" i="29"/>
  <c r="W70" i="29"/>
  <c r="W6" i="32" s="1"/>
  <c r="V70" i="29"/>
  <c r="V6" i="32" s="1"/>
  <c r="U70" i="29"/>
  <c r="U6" i="32" s="1"/>
  <c r="T70" i="29"/>
  <c r="T6" i="32" s="1"/>
  <c r="S70" i="29"/>
  <c r="S6" i="32" s="1"/>
  <c r="R70" i="29"/>
  <c r="R6" i="32" s="1"/>
  <c r="Q70" i="29"/>
  <c r="P70" i="29"/>
  <c r="O70" i="29"/>
  <c r="N70" i="29"/>
  <c r="M70" i="29"/>
  <c r="L70" i="29"/>
  <c r="K70" i="29"/>
  <c r="J70" i="29"/>
  <c r="I70" i="29"/>
  <c r="H70" i="29"/>
  <c r="G70" i="29"/>
  <c r="F70" i="29"/>
  <c r="E70" i="29"/>
  <c r="D70" i="29"/>
  <c r="W69" i="29"/>
  <c r="W6" i="31" s="1"/>
  <c r="V69" i="29"/>
  <c r="V6" i="31" s="1"/>
  <c r="T69" i="29"/>
  <c r="T6" i="31" s="1"/>
  <c r="S69" i="29"/>
  <c r="S6" i="31" s="1"/>
  <c r="R69" i="29"/>
  <c r="R6" i="31" s="1"/>
  <c r="Q69" i="29"/>
  <c r="P69" i="29"/>
  <c r="O69" i="29"/>
  <c r="N69" i="29"/>
  <c r="M69" i="29"/>
  <c r="L69" i="29"/>
  <c r="K69" i="29"/>
  <c r="J69" i="29"/>
  <c r="I69" i="29"/>
  <c r="H69" i="29"/>
  <c r="G69" i="29"/>
  <c r="F69" i="29"/>
  <c r="E69" i="29"/>
  <c r="D69" i="29"/>
  <c r="W68" i="29"/>
  <c r="W6" i="30" s="1"/>
  <c r="V68" i="29"/>
  <c r="V6" i="30" s="1"/>
  <c r="U68" i="29"/>
  <c r="U6" i="30" s="1"/>
  <c r="T68" i="29"/>
  <c r="T6" i="30" s="1"/>
  <c r="S68" i="29"/>
  <c r="S6" i="30" s="1"/>
  <c r="R68" i="29"/>
  <c r="R6" i="30" s="1"/>
  <c r="Q68" i="29"/>
  <c r="P68" i="29"/>
  <c r="O68" i="29"/>
  <c r="N68" i="29"/>
  <c r="M68" i="29"/>
  <c r="L68" i="29"/>
  <c r="K68" i="29"/>
  <c r="J68" i="29"/>
  <c r="I68" i="29"/>
  <c r="H68" i="29"/>
  <c r="G68" i="29"/>
  <c r="F68" i="29"/>
  <c r="E68" i="29"/>
  <c r="D68" i="29"/>
  <c r="W17" i="29"/>
  <c r="W5" i="35" s="1"/>
  <c r="V17" i="29"/>
  <c r="V5" i="35" s="1"/>
  <c r="U17" i="29"/>
  <c r="T17" i="29"/>
  <c r="T5" i="35" s="1"/>
  <c r="S17" i="29"/>
  <c r="S5" i="35" s="1"/>
  <c r="R17" i="29"/>
  <c r="R5" i="35" s="1"/>
  <c r="Q17" i="29"/>
  <c r="Q9" i="29" s="1"/>
  <c r="P17" i="29"/>
  <c r="P9" i="29" s="1"/>
  <c r="O17" i="29"/>
  <c r="O9" i="29" s="1"/>
  <c r="N17" i="29"/>
  <c r="N9" i="29" s="1"/>
  <c r="M17" i="29"/>
  <c r="M9" i="29" s="1"/>
  <c r="L17" i="29"/>
  <c r="L9" i="29" s="1"/>
  <c r="K17" i="29"/>
  <c r="K9" i="29" s="1"/>
  <c r="J17" i="29"/>
  <c r="J9" i="29" s="1"/>
  <c r="I17" i="29"/>
  <c r="I9" i="29" s="1"/>
  <c r="H17" i="29"/>
  <c r="H9" i="29" s="1"/>
  <c r="G17" i="29"/>
  <c r="G9" i="29" s="1"/>
  <c r="F17" i="29"/>
  <c r="F9" i="29" s="1"/>
  <c r="E17" i="29"/>
  <c r="E9" i="29" s="1"/>
  <c r="D17" i="29"/>
  <c r="D9" i="29" s="1"/>
  <c r="W16" i="29"/>
  <c r="W5" i="34" s="1"/>
  <c r="V16" i="29"/>
  <c r="V5" i="34" s="1"/>
  <c r="U16" i="29"/>
  <c r="U5" i="34" s="1"/>
  <c r="T16" i="29"/>
  <c r="T8" i="29" s="1"/>
  <c r="S16" i="29"/>
  <c r="S5" i="34" s="1"/>
  <c r="R16" i="29"/>
  <c r="R5" i="34" s="1"/>
  <c r="Q16" i="29"/>
  <c r="Q8" i="29" s="1"/>
  <c r="P16" i="29"/>
  <c r="P8" i="29" s="1"/>
  <c r="O16" i="29"/>
  <c r="O8" i="29" s="1"/>
  <c r="N16" i="29"/>
  <c r="N8" i="29" s="1"/>
  <c r="M16" i="29"/>
  <c r="M8" i="29" s="1"/>
  <c r="L16" i="29"/>
  <c r="L8" i="29" s="1"/>
  <c r="K16" i="29"/>
  <c r="K8" i="29" s="1"/>
  <c r="J16" i="29"/>
  <c r="J8" i="29" s="1"/>
  <c r="I16" i="29"/>
  <c r="I8" i="29" s="1"/>
  <c r="H16" i="29"/>
  <c r="G16" i="29"/>
  <c r="G8" i="29" s="1"/>
  <c r="F16" i="29"/>
  <c r="F8" i="29" s="1"/>
  <c r="E16" i="29"/>
  <c r="E8" i="29" s="1"/>
  <c r="D16" i="29"/>
  <c r="D8" i="29" s="1"/>
  <c r="W15" i="29"/>
  <c r="W5" i="33" s="1"/>
  <c r="V15" i="29"/>
  <c r="V5" i="33" s="1"/>
  <c r="U15" i="29"/>
  <c r="T15" i="29"/>
  <c r="T5" i="33" s="1"/>
  <c r="S15" i="29"/>
  <c r="S5" i="33" s="1"/>
  <c r="R15" i="29"/>
  <c r="R5" i="33" s="1"/>
  <c r="Q15" i="29"/>
  <c r="Q7" i="29" s="1"/>
  <c r="P15" i="29"/>
  <c r="P7" i="29" s="1"/>
  <c r="O15" i="29"/>
  <c r="O7" i="29" s="1"/>
  <c r="N15" i="29"/>
  <c r="N7" i="29" s="1"/>
  <c r="M15" i="29"/>
  <c r="M7" i="29" s="1"/>
  <c r="L15" i="29"/>
  <c r="L7" i="29" s="1"/>
  <c r="K15" i="29"/>
  <c r="K7" i="29" s="1"/>
  <c r="J15" i="29"/>
  <c r="J7" i="29" s="1"/>
  <c r="I15" i="29"/>
  <c r="I7" i="29" s="1"/>
  <c r="H15" i="29"/>
  <c r="H7" i="29" s="1"/>
  <c r="G15" i="29"/>
  <c r="G7" i="29" s="1"/>
  <c r="F15" i="29"/>
  <c r="F7" i="29" s="1"/>
  <c r="E15" i="29"/>
  <c r="E7" i="29" s="1"/>
  <c r="D15" i="29"/>
  <c r="D7" i="29" s="1"/>
  <c r="W14" i="29"/>
  <c r="W5" i="32" s="1"/>
  <c r="V14" i="29"/>
  <c r="V5" i="32" s="1"/>
  <c r="U14" i="29"/>
  <c r="U5" i="32" s="1"/>
  <c r="T14" i="29"/>
  <c r="T6" i="29" s="1"/>
  <c r="S14" i="29"/>
  <c r="S5" i="32" s="1"/>
  <c r="R14" i="29"/>
  <c r="R5" i="32" s="1"/>
  <c r="Q14" i="29"/>
  <c r="Q6" i="29" s="1"/>
  <c r="P14" i="29"/>
  <c r="P6" i="29" s="1"/>
  <c r="O14" i="29"/>
  <c r="O6" i="29" s="1"/>
  <c r="N14" i="29"/>
  <c r="N6" i="29" s="1"/>
  <c r="M14" i="29"/>
  <c r="M6" i="29" s="1"/>
  <c r="L14" i="29"/>
  <c r="L6" i="29" s="1"/>
  <c r="K14" i="29"/>
  <c r="K6" i="29" s="1"/>
  <c r="J14" i="29"/>
  <c r="J6" i="29" s="1"/>
  <c r="I14" i="29"/>
  <c r="I6" i="29" s="1"/>
  <c r="H14" i="29"/>
  <c r="H6" i="29" s="1"/>
  <c r="G14" i="29"/>
  <c r="G6" i="29" s="1"/>
  <c r="F14" i="29"/>
  <c r="F6" i="29" s="1"/>
  <c r="E14" i="29"/>
  <c r="E6" i="29" s="1"/>
  <c r="D14" i="29"/>
  <c r="D6" i="29" s="1"/>
  <c r="W13" i="29"/>
  <c r="W5" i="31" s="1"/>
  <c r="V13" i="29"/>
  <c r="V5" i="31" s="1"/>
  <c r="U13" i="29"/>
  <c r="T13" i="29"/>
  <c r="T5" i="31" s="1"/>
  <c r="S13" i="29"/>
  <c r="S5" i="31" s="1"/>
  <c r="R13" i="29"/>
  <c r="R5" i="31" s="1"/>
  <c r="Q13" i="29"/>
  <c r="Q5" i="29" s="1"/>
  <c r="P13" i="29"/>
  <c r="P5" i="29" s="1"/>
  <c r="O13" i="29"/>
  <c r="O5" i="29" s="1"/>
  <c r="N13" i="29"/>
  <c r="M13" i="29"/>
  <c r="L13" i="29"/>
  <c r="L5" i="29" s="1"/>
  <c r="K13" i="29"/>
  <c r="J13" i="29"/>
  <c r="J5" i="29" s="1"/>
  <c r="I13" i="29"/>
  <c r="I5" i="29" s="1"/>
  <c r="H13" i="29"/>
  <c r="H5" i="29" s="1"/>
  <c r="G13" i="29"/>
  <c r="F13" i="29"/>
  <c r="F5" i="29" s="1"/>
  <c r="E13" i="29"/>
  <c r="D13" i="29"/>
  <c r="D5" i="29" s="1"/>
  <c r="W12" i="29"/>
  <c r="W5" i="30" s="1"/>
  <c r="V12" i="29"/>
  <c r="V5" i="30" s="1"/>
  <c r="U12" i="29"/>
  <c r="U5" i="30" s="1"/>
  <c r="T12" i="29"/>
  <c r="S12" i="29"/>
  <c r="S5" i="30" s="1"/>
  <c r="R12" i="29"/>
  <c r="R5" i="30" s="1"/>
  <c r="Q12" i="29"/>
  <c r="P12" i="29"/>
  <c r="P4" i="29" s="1"/>
  <c r="O12" i="29"/>
  <c r="O4" i="29" s="1"/>
  <c r="N12" i="29"/>
  <c r="N4" i="29" s="1"/>
  <c r="M12" i="29"/>
  <c r="M4" i="29" s="1"/>
  <c r="L12" i="29"/>
  <c r="K12" i="29"/>
  <c r="J12" i="29"/>
  <c r="I12" i="29"/>
  <c r="H12" i="29"/>
  <c r="H4" i="29" s="1"/>
  <c r="G12" i="29"/>
  <c r="G4" i="29" s="1"/>
  <c r="F12" i="29"/>
  <c r="F4" i="29" s="1"/>
  <c r="E12" i="29"/>
  <c r="E4" i="29" s="1"/>
  <c r="D12" i="29"/>
  <c r="H8" i="29"/>
  <c r="K5" i="29"/>
  <c r="C73" i="29"/>
  <c r="C72" i="29"/>
  <c r="C70" i="29"/>
  <c r="C17" i="29"/>
  <c r="C9" i="29" s="1"/>
  <c r="C16" i="29"/>
  <c r="C71" i="29"/>
  <c r="C14" i="29"/>
  <c r="C6" i="29" s="1"/>
  <c r="C13" i="29"/>
  <c r="C5" i="29" s="1"/>
  <c r="C68" i="29"/>
  <c r="C15" i="29"/>
  <c r="C7" i="29" s="1"/>
  <c r="B73" i="29"/>
  <c r="B70" i="29"/>
  <c r="B17" i="29"/>
  <c r="B9" i="29" s="1"/>
  <c r="B15" i="29"/>
  <c r="B12" i="29"/>
  <c r="B4" i="29" s="1"/>
  <c r="B68" i="29"/>
  <c r="B13" i="29"/>
  <c r="B5" i="29" s="1"/>
  <c r="B14" i="29"/>
  <c r="B6" i="29" s="1"/>
  <c r="B71" i="29"/>
  <c r="W28" i="25"/>
  <c r="W28" i="28" s="1"/>
  <c r="V28" i="25"/>
  <c r="V28" i="28" s="1"/>
  <c r="U28" i="25"/>
  <c r="U28" i="28" s="1"/>
  <c r="T28" i="25"/>
  <c r="T28" i="28" s="1"/>
  <c r="S28" i="25"/>
  <c r="S28" i="28" s="1"/>
  <c r="R28" i="25"/>
  <c r="R28" i="28" s="1"/>
  <c r="W27" i="25"/>
  <c r="W27" i="28" s="1"/>
  <c r="V27" i="25"/>
  <c r="V27" i="28" s="1"/>
  <c r="U27" i="25"/>
  <c r="U27" i="28" s="1"/>
  <c r="T27" i="25"/>
  <c r="T27" i="28" s="1"/>
  <c r="S27" i="25"/>
  <c r="S27" i="28" s="1"/>
  <c r="R27" i="25"/>
  <c r="R27" i="28" s="1"/>
  <c r="W15" i="25"/>
  <c r="W15" i="28" s="1"/>
  <c r="V15" i="25"/>
  <c r="V15" i="28" s="1"/>
  <c r="U15" i="25"/>
  <c r="U15" i="28" s="1"/>
  <c r="T15" i="25"/>
  <c r="T15" i="28" s="1"/>
  <c r="S15" i="25"/>
  <c r="S15" i="28" s="1"/>
  <c r="R15" i="25"/>
  <c r="R15" i="28" s="1"/>
  <c r="U10" i="24"/>
  <c r="R5" i="23"/>
  <c r="W33" i="25"/>
  <c r="W33" i="28" s="1"/>
  <c r="V33" i="25"/>
  <c r="V33" i="28" s="1"/>
  <c r="U33" i="25"/>
  <c r="U33" i="28" s="1"/>
  <c r="T33" i="25"/>
  <c r="T33" i="28" s="1"/>
  <c r="S33" i="25"/>
  <c r="S33" i="28" s="1"/>
  <c r="R33" i="25"/>
  <c r="R33" i="28" s="1"/>
  <c r="S29" i="22"/>
  <c r="W26" i="25"/>
  <c r="W26" i="28" s="1"/>
  <c r="V26" i="25"/>
  <c r="V26" i="28" s="1"/>
  <c r="U26" i="25"/>
  <c r="U26" i="28" s="1"/>
  <c r="T26" i="25"/>
  <c r="T26" i="28" s="1"/>
  <c r="S26" i="25"/>
  <c r="S26" i="28" s="1"/>
  <c r="R26" i="25"/>
  <c r="R26" i="28" s="1"/>
  <c r="W25" i="25"/>
  <c r="W25" i="28" s="1"/>
  <c r="V25" i="25"/>
  <c r="V25" i="28" s="1"/>
  <c r="U25" i="25"/>
  <c r="U25" i="28" s="1"/>
  <c r="T25" i="25"/>
  <c r="T25" i="28" s="1"/>
  <c r="S25" i="25"/>
  <c r="S25" i="28" s="1"/>
  <c r="R25" i="25"/>
  <c r="R25" i="28" s="1"/>
  <c r="W23" i="25"/>
  <c r="U22" i="25"/>
  <c r="W19" i="22"/>
  <c r="W18" i="25"/>
  <c r="W18" i="28" s="1"/>
  <c r="V18" i="25"/>
  <c r="V18" i="28" s="1"/>
  <c r="U18" i="25"/>
  <c r="U18" i="28" s="1"/>
  <c r="T18" i="25"/>
  <c r="T18" i="28" s="1"/>
  <c r="S18" i="25"/>
  <c r="S18" i="28" s="1"/>
  <c r="R18" i="25"/>
  <c r="R18" i="28" s="1"/>
  <c r="U16" i="22"/>
  <c r="R16" i="22"/>
  <c r="W14" i="25"/>
  <c r="W14" i="28" s="1"/>
  <c r="V14" i="25"/>
  <c r="V14" i="28" s="1"/>
  <c r="U14" i="25"/>
  <c r="U14" i="28" s="1"/>
  <c r="T14" i="25"/>
  <c r="T14" i="28" s="1"/>
  <c r="S14" i="25"/>
  <c r="S14" i="28" s="1"/>
  <c r="R14" i="25"/>
  <c r="R14" i="28" s="1"/>
  <c r="W13" i="25"/>
  <c r="W13" i="28" s="1"/>
  <c r="V13" i="25"/>
  <c r="V13" i="28" s="1"/>
  <c r="U13" i="25"/>
  <c r="U13" i="28" s="1"/>
  <c r="T13" i="25"/>
  <c r="T13" i="28" s="1"/>
  <c r="S13" i="25"/>
  <c r="S13" i="28" s="1"/>
  <c r="R13" i="25"/>
  <c r="R13" i="28" s="1"/>
  <c r="W12" i="25"/>
  <c r="W12" i="28" s="1"/>
  <c r="V12" i="25"/>
  <c r="V12" i="28" s="1"/>
  <c r="U12" i="25"/>
  <c r="U12" i="28" s="1"/>
  <c r="T12" i="25"/>
  <c r="T12" i="28" s="1"/>
  <c r="S12" i="25"/>
  <c r="S12" i="28" s="1"/>
  <c r="R12" i="25"/>
  <c r="R12" i="28" s="1"/>
  <c r="W11" i="25"/>
  <c r="W11" i="28" s="1"/>
  <c r="V11" i="25"/>
  <c r="V11" i="28" s="1"/>
  <c r="U11" i="25"/>
  <c r="U11" i="28" s="1"/>
  <c r="T11" i="25"/>
  <c r="T11" i="28" s="1"/>
  <c r="S11" i="25"/>
  <c r="S11" i="28" s="1"/>
  <c r="R11" i="25"/>
  <c r="R11" i="28" s="1"/>
  <c r="W10" i="25"/>
  <c r="U9" i="25"/>
  <c r="S8" i="25"/>
  <c r="T4" i="22"/>
  <c r="V33" i="21"/>
  <c r="T32" i="21"/>
  <c r="R31" i="21"/>
  <c r="T27" i="21"/>
  <c r="R18" i="21"/>
  <c r="T15" i="21"/>
  <c r="T7" i="21"/>
  <c r="R6" i="21"/>
  <c r="W33" i="21"/>
  <c r="U33" i="21"/>
  <c r="V32" i="21"/>
  <c r="U32" i="21"/>
  <c r="S32" i="21"/>
  <c r="T31" i="21"/>
  <c r="S31" i="21"/>
  <c r="W30" i="21"/>
  <c r="R30" i="21"/>
  <c r="W27" i="21"/>
  <c r="V27" i="21"/>
  <c r="U27" i="21"/>
  <c r="S27" i="21"/>
  <c r="V26" i="21"/>
  <c r="U26" i="21"/>
  <c r="T26" i="21"/>
  <c r="S26" i="21"/>
  <c r="W25" i="21"/>
  <c r="T25" i="21"/>
  <c r="S25" i="21"/>
  <c r="R25" i="21"/>
  <c r="W24" i="21"/>
  <c r="U24" i="21"/>
  <c r="R24" i="21"/>
  <c r="W23" i="21"/>
  <c r="V23" i="21"/>
  <c r="U23" i="21"/>
  <c r="S23" i="21"/>
  <c r="V22" i="21"/>
  <c r="U22" i="21"/>
  <c r="T22" i="21"/>
  <c r="S22" i="21"/>
  <c r="W21" i="21"/>
  <c r="T21" i="21"/>
  <c r="S21" i="21"/>
  <c r="R21" i="21"/>
  <c r="W20" i="21"/>
  <c r="U20" i="21"/>
  <c r="R20" i="21"/>
  <c r="W19" i="20"/>
  <c r="W17" i="21"/>
  <c r="W16" i="20"/>
  <c r="V15" i="21"/>
  <c r="U15" i="21"/>
  <c r="S15" i="21"/>
  <c r="T14" i="21"/>
  <c r="S14" i="21"/>
  <c r="W13" i="21"/>
  <c r="V13" i="21"/>
  <c r="R13" i="21"/>
  <c r="W12" i="21"/>
  <c r="U12" i="21"/>
  <c r="V11" i="21"/>
  <c r="U11" i="21"/>
  <c r="S11" i="21"/>
  <c r="U10" i="21"/>
  <c r="T10" i="21"/>
  <c r="S10" i="21"/>
  <c r="W9" i="21"/>
  <c r="R9" i="21"/>
  <c r="W8" i="21"/>
  <c r="U8" i="21"/>
  <c r="V7" i="21"/>
  <c r="U7" i="21"/>
  <c r="T7" i="24"/>
  <c r="S7" i="21"/>
  <c r="T6" i="21"/>
  <c r="S6" i="21"/>
  <c r="W5" i="21"/>
  <c r="R5" i="21"/>
  <c r="R33" i="23"/>
  <c r="T30" i="23"/>
  <c r="R26" i="23"/>
  <c r="V24" i="23"/>
  <c r="V21" i="23"/>
  <c r="U18" i="23"/>
  <c r="T18" i="23"/>
  <c r="R17" i="23"/>
  <c r="T16" i="19"/>
  <c r="T14" i="23"/>
  <c r="R14" i="23"/>
  <c r="R13" i="23"/>
  <c r="V12" i="23"/>
  <c r="V11" i="23"/>
  <c r="T11" i="23"/>
  <c r="T10" i="23"/>
  <c r="R10" i="23"/>
  <c r="R9" i="23"/>
  <c r="V8" i="21"/>
  <c r="V7" i="23"/>
  <c r="T6" i="23"/>
  <c r="S4" i="19"/>
  <c r="U29" i="18"/>
  <c r="T29" i="18"/>
  <c r="W29" i="18"/>
  <c r="R29" i="18"/>
  <c r="R19" i="18"/>
  <c r="T19" i="18"/>
  <c r="S19" i="18"/>
  <c r="V19" i="18"/>
  <c r="T16" i="18"/>
  <c r="S16" i="18"/>
  <c r="W16" i="18"/>
  <c r="V16" i="18"/>
  <c r="R16" i="18"/>
  <c r="U16" i="18"/>
  <c r="W4" i="18"/>
  <c r="W3" i="18" s="1"/>
  <c r="V4" i="18"/>
  <c r="V3" i="18" s="1"/>
  <c r="U4" i="18"/>
  <c r="U3" i="18" s="1"/>
  <c r="W28" i="14"/>
  <c r="W28" i="17" s="1"/>
  <c r="V28" i="14"/>
  <c r="V28" i="17" s="1"/>
  <c r="U28" i="14"/>
  <c r="U28" i="17" s="1"/>
  <c r="T28" i="14"/>
  <c r="T28" i="17" s="1"/>
  <c r="S28" i="14"/>
  <c r="S28" i="17" s="1"/>
  <c r="R28" i="14"/>
  <c r="R28" i="17" s="1"/>
  <c r="W27" i="14"/>
  <c r="W27" i="17" s="1"/>
  <c r="V27" i="14"/>
  <c r="V27" i="17" s="1"/>
  <c r="U27" i="14"/>
  <c r="U27" i="17" s="1"/>
  <c r="T27" i="14"/>
  <c r="T27" i="17" s="1"/>
  <c r="S27" i="14"/>
  <c r="S27" i="17" s="1"/>
  <c r="R27" i="14"/>
  <c r="R27" i="17" s="1"/>
  <c r="W15" i="14"/>
  <c r="W15" i="17" s="1"/>
  <c r="V15" i="14"/>
  <c r="V15" i="17" s="1"/>
  <c r="U15" i="14"/>
  <c r="U15" i="17" s="1"/>
  <c r="T15" i="14"/>
  <c r="T15" i="17" s="1"/>
  <c r="S15" i="14"/>
  <c r="S15" i="17" s="1"/>
  <c r="R15" i="14"/>
  <c r="R15" i="17" s="1"/>
  <c r="S30" i="13"/>
  <c r="L14" i="24"/>
  <c r="D14" i="24"/>
  <c r="K13" i="24"/>
  <c r="C13" i="24"/>
  <c r="J12" i="24"/>
  <c r="Q11" i="24"/>
  <c r="I11" i="24"/>
  <c r="P10" i="24"/>
  <c r="H10" i="24"/>
  <c r="O9" i="24"/>
  <c r="G9" i="24"/>
  <c r="N8" i="24"/>
  <c r="F8" i="24"/>
  <c r="M7" i="24"/>
  <c r="E7" i="24"/>
  <c r="N6" i="24"/>
  <c r="L6" i="24"/>
  <c r="D6" i="24"/>
  <c r="K5" i="24"/>
  <c r="C5" i="24"/>
  <c r="L14" i="23"/>
  <c r="D14" i="23"/>
  <c r="K13" i="23"/>
  <c r="C13" i="23"/>
  <c r="J12" i="23"/>
  <c r="Q11" i="23"/>
  <c r="I11" i="23"/>
  <c r="P10" i="23"/>
  <c r="H10" i="23"/>
  <c r="O9" i="23"/>
  <c r="G9" i="23"/>
  <c r="N8" i="23"/>
  <c r="F8" i="23"/>
  <c r="M7" i="23"/>
  <c r="E7" i="23"/>
  <c r="N6" i="23"/>
  <c r="L6" i="23"/>
  <c r="D6" i="23"/>
  <c r="K5" i="23"/>
  <c r="C5" i="23"/>
  <c r="W33" i="14"/>
  <c r="W33" i="17" s="1"/>
  <c r="V33" i="14"/>
  <c r="V33" i="17" s="1"/>
  <c r="U33" i="14"/>
  <c r="U33" i="17" s="1"/>
  <c r="T33" i="14"/>
  <c r="T33" i="17" s="1"/>
  <c r="S33" i="14"/>
  <c r="S33" i="17" s="1"/>
  <c r="R33" i="14"/>
  <c r="R33" i="17" s="1"/>
  <c r="S29" i="11"/>
  <c r="W26" i="14"/>
  <c r="W26" i="17" s="1"/>
  <c r="V26" i="14"/>
  <c r="V26" i="17" s="1"/>
  <c r="U26" i="14"/>
  <c r="U26" i="17" s="1"/>
  <c r="T26" i="14"/>
  <c r="T26" i="17" s="1"/>
  <c r="S26" i="14"/>
  <c r="S26" i="17" s="1"/>
  <c r="R26" i="14"/>
  <c r="R26" i="17" s="1"/>
  <c r="W25" i="14"/>
  <c r="W25" i="17" s="1"/>
  <c r="V25" i="14"/>
  <c r="V25" i="17" s="1"/>
  <c r="U25" i="14"/>
  <c r="U25" i="17" s="1"/>
  <c r="T25" i="14"/>
  <c r="T25" i="17" s="1"/>
  <c r="S25" i="14"/>
  <c r="S25" i="17" s="1"/>
  <c r="R25" i="14"/>
  <c r="R25" i="17" s="1"/>
  <c r="R19" i="11"/>
  <c r="W18" i="14"/>
  <c r="W18" i="17" s="1"/>
  <c r="U18" i="14"/>
  <c r="U18" i="17" s="1"/>
  <c r="T18" i="14"/>
  <c r="T18" i="17" s="1"/>
  <c r="S18" i="14"/>
  <c r="S18" i="17" s="1"/>
  <c r="R18" i="14"/>
  <c r="R18" i="17" s="1"/>
  <c r="U16" i="11"/>
  <c r="S16" i="11"/>
  <c r="W14" i="14"/>
  <c r="W14" i="17" s="1"/>
  <c r="V14" i="14"/>
  <c r="V14" i="17" s="1"/>
  <c r="U14" i="14"/>
  <c r="U14" i="17" s="1"/>
  <c r="T14" i="14"/>
  <c r="T14" i="17" s="1"/>
  <c r="S14" i="14"/>
  <c r="S14" i="17" s="1"/>
  <c r="R14" i="14"/>
  <c r="R14" i="17" s="1"/>
  <c r="W13" i="14"/>
  <c r="W13" i="17" s="1"/>
  <c r="V13" i="14"/>
  <c r="V13" i="17" s="1"/>
  <c r="U13" i="14"/>
  <c r="U13" i="17" s="1"/>
  <c r="T13" i="14"/>
  <c r="T13" i="17" s="1"/>
  <c r="S13" i="14"/>
  <c r="S13" i="17" s="1"/>
  <c r="R13" i="14"/>
  <c r="R13" i="17" s="1"/>
  <c r="W12" i="14"/>
  <c r="W12" i="17" s="1"/>
  <c r="V12" i="14"/>
  <c r="V12" i="17" s="1"/>
  <c r="U12" i="14"/>
  <c r="U12" i="17" s="1"/>
  <c r="T12" i="14"/>
  <c r="T12" i="17" s="1"/>
  <c r="S12" i="14"/>
  <c r="S12" i="17" s="1"/>
  <c r="R12" i="14"/>
  <c r="R12" i="17" s="1"/>
  <c r="W11" i="14"/>
  <c r="W11" i="17" s="1"/>
  <c r="V11" i="14"/>
  <c r="V11" i="17" s="1"/>
  <c r="U11" i="14"/>
  <c r="U11" i="17" s="1"/>
  <c r="T11" i="14"/>
  <c r="T11" i="17" s="1"/>
  <c r="S11" i="14"/>
  <c r="S11" i="17" s="1"/>
  <c r="R11" i="14"/>
  <c r="R11" i="17" s="1"/>
  <c r="W4" i="11"/>
  <c r="R32" i="10"/>
  <c r="V30" i="10"/>
  <c r="R23" i="10"/>
  <c r="V17" i="10"/>
  <c r="R15" i="10"/>
  <c r="V13" i="10"/>
  <c r="T12" i="10"/>
  <c r="R11" i="10"/>
  <c r="V9" i="10"/>
  <c r="T8" i="10"/>
  <c r="R7" i="10"/>
  <c r="V5" i="10"/>
  <c r="W29" i="9"/>
  <c r="W31" i="10"/>
  <c r="R31" i="10"/>
  <c r="U30" i="10"/>
  <c r="S30" i="10"/>
  <c r="V25" i="10"/>
  <c r="W24" i="10"/>
  <c r="T24" i="10"/>
  <c r="U19" i="9"/>
  <c r="W18" i="10"/>
  <c r="R18" i="10"/>
  <c r="U17" i="10"/>
  <c r="W16" i="9"/>
  <c r="W15" i="10"/>
  <c r="U15" i="10"/>
  <c r="T15" i="10"/>
  <c r="S15" i="10"/>
  <c r="U14" i="10"/>
  <c r="S14" i="13"/>
  <c r="R14" i="10"/>
  <c r="W13" i="10"/>
  <c r="S13" i="10"/>
  <c r="W12" i="10"/>
  <c r="V12" i="10"/>
  <c r="U12" i="10"/>
  <c r="W11" i="10"/>
  <c r="U11" i="10"/>
  <c r="T11" i="10"/>
  <c r="S11" i="10"/>
  <c r="U10" i="10"/>
  <c r="S10" i="10"/>
  <c r="R10" i="10"/>
  <c r="W9" i="10"/>
  <c r="S9" i="10"/>
  <c r="W8" i="13"/>
  <c r="V8" i="10"/>
  <c r="U8" i="10"/>
  <c r="W7" i="10"/>
  <c r="U7" i="10"/>
  <c r="T7" i="10"/>
  <c r="S7" i="10"/>
  <c r="U6" i="10"/>
  <c r="S6" i="10"/>
  <c r="R6" i="10"/>
  <c r="W5" i="10"/>
  <c r="S5" i="10"/>
  <c r="N33" i="13"/>
  <c r="F33" i="13"/>
  <c r="N32" i="13"/>
  <c r="F32" i="13"/>
  <c r="N31" i="13"/>
  <c r="F31" i="13"/>
  <c r="N30" i="13"/>
  <c r="F30" i="13"/>
  <c r="N26" i="13"/>
  <c r="F26" i="13"/>
  <c r="N25" i="13"/>
  <c r="M25" i="13"/>
  <c r="F25" i="13"/>
  <c r="N24" i="13"/>
  <c r="F24" i="13"/>
  <c r="N23" i="13"/>
  <c r="K23" i="13"/>
  <c r="F23" i="13"/>
  <c r="N22" i="13"/>
  <c r="F22" i="13"/>
  <c r="B22" i="13"/>
  <c r="N21" i="13"/>
  <c r="I21" i="13"/>
  <c r="F21" i="13"/>
  <c r="N20" i="13"/>
  <c r="F20" i="13"/>
  <c r="N18" i="13"/>
  <c r="F18" i="13"/>
  <c r="N17" i="13"/>
  <c r="F17" i="13"/>
  <c r="E17" i="13"/>
  <c r="N14" i="13"/>
  <c r="F14" i="13"/>
  <c r="N13" i="13"/>
  <c r="F13" i="13"/>
  <c r="N12" i="13"/>
  <c r="F12" i="13"/>
  <c r="N11" i="13"/>
  <c r="F11" i="13"/>
  <c r="N10" i="13"/>
  <c r="F10" i="13"/>
  <c r="N9" i="13"/>
  <c r="F9" i="13"/>
  <c r="N8" i="13"/>
  <c r="F8" i="13"/>
  <c r="N7" i="13"/>
  <c r="F7" i="13"/>
  <c r="N6" i="13"/>
  <c r="J6" i="13"/>
  <c r="F6" i="13"/>
  <c r="N5" i="13"/>
  <c r="F5" i="13"/>
  <c r="U33" i="12"/>
  <c r="S32" i="12"/>
  <c r="W31" i="12"/>
  <c r="R29" i="8"/>
  <c r="V26" i="12"/>
  <c r="U26" i="12"/>
  <c r="T25" i="12"/>
  <c r="R24" i="12"/>
  <c r="S21" i="12"/>
  <c r="U19" i="8"/>
  <c r="S16" i="8"/>
  <c r="R16" i="8"/>
  <c r="V15" i="10"/>
  <c r="V14" i="12"/>
  <c r="T14" i="10"/>
  <c r="T13" i="12"/>
  <c r="R13" i="10"/>
  <c r="R12" i="12"/>
  <c r="V11" i="10"/>
  <c r="V10" i="12"/>
  <c r="U10" i="12"/>
  <c r="T10" i="10"/>
  <c r="T9" i="12"/>
  <c r="R9" i="10"/>
  <c r="R8" i="12"/>
  <c r="V7" i="10"/>
  <c r="T6" i="10"/>
  <c r="S5" i="12"/>
  <c r="R5" i="10"/>
  <c r="W4" i="8"/>
  <c r="M33" i="12"/>
  <c r="I33" i="12"/>
  <c r="E33" i="12"/>
  <c r="Q32" i="12"/>
  <c r="N32" i="12"/>
  <c r="M32" i="12"/>
  <c r="I32" i="12"/>
  <c r="E32" i="12"/>
  <c r="Q31" i="12"/>
  <c r="M31" i="12"/>
  <c r="I31" i="12"/>
  <c r="E31" i="12"/>
  <c r="Q30" i="12"/>
  <c r="M30" i="12"/>
  <c r="I30" i="12"/>
  <c r="E30" i="12"/>
  <c r="J28" i="12"/>
  <c r="Q26" i="12"/>
  <c r="M26" i="12"/>
  <c r="I26" i="12"/>
  <c r="E26" i="12"/>
  <c r="Q25" i="12"/>
  <c r="M25" i="12"/>
  <c r="I25" i="12"/>
  <c r="E25" i="12"/>
  <c r="Q24" i="12"/>
  <c r="M24" i="12"/>
  <c r="I24" i="12"/>
  <c r="F24" i="12"/>
  <c r="E24" i="12"/>
  <c r="Q23" i="12"/>
  <c r="M23" i="12"/>
  <c r="I23" i="12"/>
  <c r="E23" i="12"/>
  <c r="Q22" i="12"/>
  <c r="M22" i="12"/>
  <c r="I22" i="12"/>
  <c r="E22" i="12"/>
  <c r="Q21" i="12"/>
  <c r="M21" i="12"/>
  <c r="I21" i="12"/>
  <c r="E21" i="12"/>
  <c r="Q20" i="12"/>
  <c r="M20" i="12"/>
  <c r="I20" i="12"/>
  <c r="E20" i="12"/>
  <c r="Q18" i="12"/>
  <c r="M18" i="12"/>
  <c r="I18" i="12"/>
  <c r="E18" i="12"/>
  <c r="Q17" i="12"/>
  <c r="O17" i="12"/>
  <c r="M17" i="12"/>
  <c r="I17" i="12"/>
  <c r="E17" i="12"/>
  <c r="Q14" i="12"/>
  <c r="M14" i="12"/>
  <c r="I14" i="12"/>
  <c r="E14" i="12"/>
  <c r="Q13" i="12"/>
  <c r="M13" i="12"/>
  <c r="I13" i="12"/>
  <c r="F13" i="12"/>
  <c r="E13" i="12"/>
  <c r="Q12" i="12"/>
  <c r="M12" i="12"/>
  <c r="I12" i="12"/>
  <c r="E12" i="12"/>
  <c r="Q11" i="12"/>
  <c r="M11" i="12"/>
  <c r="I11" i="12"/>
  <c r="E11" i="12"/>
  <c r="B11" i="12"/>
  <c r="Q10" i="12"/>
  <c r="M10" i="12"/>
  <c r="K10" i="12"/>
  <c r="I10" i="12"/>
  <c r="E10" i="12"/>
  <c r="C10" i="12"/>
  <c r="Q9" i="12"/>
  <c r="M9" i="12"/>
  <c r="J9" i="12"/>
  <c r="I9" i="12"/>
  <c r="E9" i="12"/>
  <c r="Q8" i="12"/>
  <c r="M8" i="12"/>
  <c r="I8" i="12"/>
  <c r="E8" i="12"/>
  <c r="Q7" i="12"/>
  <c r="M7" i="12"/>
  <c r="I7" i="12"/>
  <c r="E7" i="12"/>
  <c r="Q6" i="12"/>
  <c r="O6" i="12"/>
  <c r="M6" i="12"/>
  <c r="I6" i="12"/>
  <c r="G6" i="12"/>
  <c r="E6" i="12"/>
  <c r="Q5" i="12"/>
  <c r="N5" i="12"/>
  <c r="M5" i="12"/>
  <c r="I5" i="12"/>
  <c r="F5" i="12"/>
  <c r="E5" i="12"/>
  <c r="W29" i="7"/>
  <c r="U29" i="7"/>
  <c r="S29" i="7"/>
  <c r="W19" i="7"/>
  <c r="S19" i="7"/>
  <c r="V16" i="7"/>
  <c r="R16" i="7"/>
  <c r="U16" i="7"/>
  <c r="T16" i="7"/>
  <c r="S16" i="7"/>
  <c r="W9" i="14"/>
  <c r="W15" i="7"/>
  <c r="W15" i="12" s="1"/>
  <c r="U15" i="7"/>
  <c r="S15" i="7"/>
  <c r="W4" i="7"/>
  <c r="W3" i="7" s="1"/>
  <c r="D22" i="12"/>
  <c r="L11" i="12"/>
  <c r="H7" i="12"/>
  <c r="W119" i="6"/>
  <c r="W173" i="6" s="1"/>
  <c r="V119" i="6"/>
  <c r="V149" i="6" s="1"/>
  <c r="U119" i="6"/>
  <c r="U173" i="6" s="1"/>
  <c r="T119" i="6"/>
  <c r="T173" i="6" s="1"/>
  <c r="S119" i="6"/>
  <c r="S173" i="6" s="1"/>
  <c r="R119" i="6"/>
  <c r="R173" i="6" s="1"/>
  <c r="Q119" i="6"/>
  <c r="Q149" i="6" s="1"/>
  <c r="P119" i="6"/>
  <c r="P149" i="6" s="1"/>
  <c r="O119" i="6"/>
  <c r="O173" i="6" s="1"/>
  <c r="N119" i="6"/>
  <c r="N149" i="6" s="1"/>
  <c r="M119" i="6"/>
  <c r="M173" i="6" s="1"/>
  <c r="L119" i="6"/>
  <c r="L173" i="6" s="1"/>
  <c r="K119" i="6"/>
  <c r="K173" i="6" s="1"/>
  <c r="J119" i="6"/>
  <c r="J173" i="6" s="1"/>
  <c r="I119" i="6"/>
  <c r="I149" i="6" s="1"/>
  <c r="H119" i="6"/>
  <c r="H149" i="6" s="1"/>
  <c r="G119" i="6"/>
  <c r="G173" i="6" s="1"/>
  <c r="F119" i="6"/>
  <c r="F149" i="6" s="1"/>
  <c r="E119" i="6"/>
  <c r="E173" i="6" s="1"/>
  <c r="D119" i="6"/>
  <c r="D173" i="6" s="1"/>
  <c r="C119" i="6"/>
  <c r="C173" i="6" s="1"/>
  <c r="V105" i="6"/>
  <c r="U105" i="6"/>
  <c r="Q105" i="6"/>
  <c r="P105" i="6"/>
  <c r="N105" i="6"/>
  <c r="M105" i="6"/>
  <c r="I105" i="6"/>
  <c r="H105" i="6"/>
  <c r="F105" i="6"/>
  <c r="E105" i="6"/>
  <c r="W95" i="6"/>
  <c r="V95" i="6"/>
  <c r="U95" i="6"/>
  <c r="T95" i="6"/>
  <c r="S95" i="6"/>
  <c r="R95" i="6"/>
  <c r="Q95" i="6"/>
  <c r="P95" i="6"/>
  <c r="O95" i="6"/>
  <c r="N95" i="6"/>
  <c r="M95" i="6"/>
  <c r="L95" i="6"/>
  <c r="K95" i="6"/>
  <c r="J95" i="6"/>
  <c r="I95" i="6"/>
  <c r="H95" i="6"/>
  <c r="G95" i="6"/>
  <c r="F95" i="6"/>
  <c r="E95" i="6"/>
  <c r="D95" i="6"/>
  <c r="C95" i="6"/>
  <c r="S105" i="6"/>
  <c r="R105" i="6"/>
  <c r="O105" i="6"/>
  <c r="L105" i="6"/>
  <c r="K105" i="6"/>
  <c r="J105" i="6"/>
  <c r="G105" i="6"/>
  <c r="D105" i="6"/>
  <c r="C105" i="6"/>
  <c r="B105" i="6"/>
  <c r="R7" i="29" l="1"/>
  <c r="V4" i="29"/>
  <c r="T7" i="29"/>
  <c r="V8" i="29"/>
  <c r="W8" i="29"/>
  <c r="S7" i="29"/>
  <c r="N11" i="29"/>
  <c r="L11" i="29"/>
  <c r="U8" i="29"/>
  <c r="W4" i="29"/>
  <c r="J11" i="29"/>
  <c r="K11" i="29"/>
  <c r="R5" i="29"/>
  <c r="S5" i="29"/>
  <c r="T5" i="29"/>
  <c r="T11" i="29"/>
  <c r="U6" i="29"/>
  <c r="V6" i="29"/>
  <c r="W6" i="29"/>
  <c r="R9" i="29"/>
  <c r="S9" i="29"/>
  <c r="G11" i="29"/>
  <c r="T9" i="29"/>
  <c r="U11" i="29"/>
  <c r="V11" i="29"/>
  <c r="W11" i="29"/>
  <c r="U4" i="29"/>
  <c r="D11" i="29"/>
  <c r="W9" i="29"/>
  <c r="O11" i="29"/>
  <c r="G5" i="29"/>
  <c r="W5" i="29"/>
  <c r="S4" i="29"/>
  <c r="W7" i="29"/>
  <c r="W3" i="33" s="1"/>
  <c r="S6" i="29"/>
  <c r="S8" i="29"/>
  <c r="K4" i="29"/>
  <c r="S11" i="29"/>
  <c r="H173" i="6"/>
  <c r="P173" i="6"/>
  <c r="R4" i="29"/>
  <c r="V7" i="29"/>
  <c r="F11" i="29"/>
  <c r="J4" i="29"/>
  <c r="V5" i="29"/>
  <c r="N5" i="29"/>
  <c r="R8" i="29"/>
  <c r="R6" i="29"/>
  <c r="R3" i="32" s="1"/>
  <c r="V9" i="29"/>
  <c r="V3" i="35" s="1"/>
  <c r="R11" i="29"/>
  <c r="T3" i="33"/>
  <c r="T5" i="34"/>
  <c r="T5" i="30"/>
  <c r="G149" i="6"/>
  <c r="O149" i="6"/>
  <c r="W149" i="6"/>
  <c r="F173" i="6"/>
  <c r="N173" i="6"/>
  <c r="V173" i="6"/>
  <c r="J149" i="6"/>
  <c r="R149" i="6"/>
  <c r="I173" i="6"/>
  <c r="Q173" i="6"/>
  <c r="C149" i="6"/>
  <c r="K149" i="6"/>
  <c r="S149" i="6"/>
  <c r="D149" i="6"/>
  <c r="L149" i="6"/>
  <c r="T149" i="6"/>
  <c r="E149" i="6"/>
  <c r="M149" i="6"/>
  <c r="U149" i="6"/>
  <c r="G107" i="6"/>
  <c r="W17" i="12"/>
  <c r="W16" i="8"/>
  <c r="W16" i="10" s="1"/>
  <c r="W107" i="6"/>
  <c r="W105" i="6"/>
  <c r="O107" i="6"/>
  <c r="V107" i="6"/>
  <c r="I107" i="6"/>
  <c r="D107" i="6"/>
  <c r="J107" i="6"/>
  <c r="L107" i="6"/>
  <c r="F107" i="6"/>
  <c r="Q107" i="6"/>
  <c r="N107" i="6"/>
  <c r="T107" i="6"/>
  <c r="R107" i="6"/>
  <c r="T105" i="6"/>
  <c r="E107" i="6"/>
  <c r="M107" i="6"/>
  <c r="U107" i="6"/>
  <c r="H107" i="6"/>
  <c r="P107" i="6"/>
  <c r="C107" i="6"/>
  <c r="K107" i="6"/>
  <c r="S107" i="6"/>
  <c r="R15" i="7"/>
  <c r="R15" i="13" s="1"/>
  <c r="R4" i="7"/>
  <c r="R3" i="7" s="1"/>
  <c r="D11" i="12"/>
  <c r="L30" i="12"/>
  <c r="S29" i="8"/>
  <c r="S29" i="12" s="1"/>
  <c r="W17" i="10"/>
  <c r="R30" i="13"/>
  <c r="R29" i="9"/>
  <c r="R30" i="10"/>
  <c r="T31" i="13"/>
  <c r="T31" i="10"/>
  <c r="V32" i="13"/>
  <c r="V32" i="10"/>
  <c r="E28" i="12"/>
  <c r="M28" i="12"/>
  <c r="T4" i="8"/>
  <c r="T5" i="12"/>
  <c r="V4" i="8"/>
  <c r="V6" i="12"/>
  <c r="R16" i="12"/>
  <c r="W29" i="13"/>
  <c r="L8" i="13"/>
  <c r="D32" i="13"/>
  <c r="T20" i="13"/>
  <c r="V21" i="13"/>
  <c r="V19" i="9"/>
  <c r="R23" i="13"/>
  <c r="T24" i="13"/>
  <c r="V25" i="13"/>
  <c r="R28" i="13"/>
  <c r="R27" i="10"/>
  <c r="S16" i="12"/>
  <c r="U4" i="9"/>
  <c r="U5" i="13"/>
  <c r="U5" i="10"/>
  <c r="W6" i="13"/>
  <c r="W4" i="9"/>
  <c r="W6" i="10"/>
  <c r="S8" i="13"/>
  <c r="S8" i="10"/>
  <c r="U9" i="13"/>
  <c r="U9" i="10"/>
  <c r="W10" i="13"/>
  <c r="W10" i="10"/>
  <c r="S12" i="13"/>
  <c r="S12" i="10"/>
  <c r="U13" i="13"/>
  <c r="U13" i="10"/>
  <c r="W14" i="13"/>
  <c r="W14" i="10"/>
  <c r="R16" i="9"/>
  <c r="R17" i="13"/>
  <c r="R17" i="10"/>
  <c r="T18" i="13"/>
  <c r="T18" i="10"/>
  <c r="P7" i="12"/>
  <c r="P13" i="12"/>
  <c r="H26" i="12"/>
  <c r="W30" i="12"/>
  <c r="W29" i="8"/>
  <c r="W29" i="12" s="1"/>
  <c r="F28" i="13"/>
  <c r="N28" i="13"/>
  <c r="R29" i="7"/>
  <c r="R29" i="12" s="1"/>
  <c r="W30" i="10"/>
  <c r="S32" i="10"/>
  <c r="T20" i="10"/>
  <c r="R19" i="8"/>
  <c r="R20" i="12"/>
  <c r="T19" i="8"/>
  <c r="T21" i="12"/>
  <c r="V19" i="8"/>
  <c r="V22" i="12"/>
  <c r="P12" i="13"/>
  <c r="V21" i="10"/>
  <c r="S4" i="7"/>
  <c r="S3" i="7" s="1"/>
  <c r="D5" i="12"/>
  <c r="L5" i="12"/>
  <c r="D6" i="12"/>
  <c r="L6" i="12"/>
  <c r="D7" i="12"/>
  <c r="L7" i="12"/>
  <c r="D8" i="12"/>
  <c r="L8" i="12"/>
  <c r="D9" i="12"/>
  <c r="L9" i="12"/>
  <c r="D10" i="12"/>
  <c r="L10" i="12"/>
  <c r="D12" i="12"/>
  <c r="L12" i="12"/>
  <c r="D13" i="12"/>
  <c r="L13" i="12"/>
  <c r="D14" i="12"/>
  <c r="L14" i="12"/>
  <c r="D17" i="12"/>
  <c r="L17" i="12"/>
  <c r="D18" i="12"/>
  <c r="L18" i="12"/>
  <c r="D20" i="12"/>
  <c r="L20" i="12"/>
  <c r="D21" i="12"/>
  <c r="L21" i="12"/>
  <c r="L22" i="12"/>
  <c r="D23" i="12"/>
  <c r="L23" i="12"/>
  <c r="D24" i="12"/>
  <c r="L24" i="12"/>
  <c r="D25" i="12"/>
  <c r="L25" i="12"/>
  <c r="D26" i="12"/>
  <c r="L26" i="12"/>
  <c r="D28" i="12"/>
  <c r="L28" i="12"/>
  <c r="D30" i="12"/>
  <c r="D31" i="12"/>
  <c r="L31" i="12"/>
  <c r="D32" i="12"/>
  <c r="L32" i="12"/>
  <c r="D33" i="12"/>
  <c r="L33" i="12"/>
  <c r="U6" i="12"/>
  <c r="W7" i="12"/>
  <c r="S9" i="12"/>
  <c r="W11" i="12"/>
  <c r="S13" i="12"/>
  <c r="U14" i="12"/>
  <c r="V17" i="12"/>
  <c r="U22" i="12"/>
  <c r="W23" i="12"/>
  <c r="S25" i="12"/>
  <c r="W28" i="12"/>
  <c r="W27" i="12"/>
  <c r="V29" i="8"/>
  <c r="V30" i="12"/>
  <c r="R32" i="12"/>
  <c r="T33" i="12"/>
  <c r="E5" i="13"/>
  <c r="M5" i="13"/>
  <c r="E6" i="13"/>
  <c r="M6" i="13"/>
  <c r="E7" i="13"/>
  <c r="M7" i="13"/>
  <c r="E8" i="13"/>
  <c r="M8" i="13"/>
  <c r="E9" i="13"/>
  <c r="M9" i="13"/>
  <c r="E10" i="13"/>
  <c r="M10" i="13"/>
  <c r="E11" i="13"/>
  <c r="M11" i="13"/>
  <c r="E12" i="13"/>
  <c r="M12" i="13"/>
  <c r="E13" i="13"/>
  <c r="M13" i="13"/>
  <c r="E14" i="13"/>
  <c r="M14" i="13"/>
  <c r="M17" i="13"/>
  <c r="E18" i="13"/>
  <c r="M18" i="13"/>
  <c r="E20" i="13"/>
  <c r="M20" i="13"/>
  <c r="E21" i="13"/>
  <c r="M21" i="13"/>
  <c r="E22" i="13"/>
  <c r="M22" i="13"/>
  <c r="E23" i="13"/>
  <c r="M23" i="13"/>
  <c r="E24" i="13"/>
  <c r="M24" i="13"/>
  <c r="E25" i="13"/>
  <c r="E26" i="13"/>
  <c r="M26" i="13"/>
  <c r="E28" i="13"/>
  <c r="M28" i="13"/>
  <c r="E30" i="13"/>
  <c r="M30" i="13"/>
  <c r="E31" i="13"/>
  <c r="M31" i="13"/>
  <c r="E32" i="13"/>
  <c r="M32" i="13"/>
  <c r="E33" i="13"/>
  <c r="M33" i="13"/>
  <c r="T4" i="9"/>
  <c r="T5" i="13"/>
  <c r="V4" i="9"/>
  <c r="V6" i="13"/>
  <c r="R8" i="13"/>
  <c r="T9" i="13"/>
  <c r="V10" i="13"/>
  <c r="R12" i="13"/>
  <c r="T13" i="13"/>
  <c r="V14" i="13"/>
  <c r="S16" i="9"/>
  <c r="S18" i="13"/>
  <c r="S19" i="9"/>
  <c r="S20" i="13"/>
  <c r="U21" i="13"/>
  <c r="W22" i="13"/>
  <c r="S24" i="13"/>
  <c r="U25" i="13"/>
  <c r="W26" i="13"/>
  <c r="S29" i="9"/>
  <c r="S31" i="13"/>
  <c r="U32" i="13"/>
  <c r="U32" i="10"/>
  <c r="W33" i="13"/>
  <c r="W33" i="10"/>
  <c r="S20" i="10"/>
  <c r="U21" i="10"/>
  <c r="W22" i="10"/>
  <c r="S24" i="10"/>
  <c r="U25" i="10"/>
  <c r="W26" i="10"/>
  <c r="W4" i="14"/>
  <c r="S4" i="11"/>
  <c r="S6" i="14"/>
  <c r="U7" i="14"/>
  <c r="W8" i="14"/>
  <c r="S10" i="14"/>
  <c r="W24" i="13"/>
  <c r="W16" i="7"/>
  <c r="W16" i="13" s="1"/>
  <c r="F6" i="12"/>
  <c r="N6" i="12"/>
  <c r="F7" i="12"/>
  <c r="N7" i="12"/>
  <c r="F8" i="12"/>
  <c r="N8" i="12"/>
  <c r="F9" i="12"/>
  <c r="N9" i="12"/>
  <c r="F10" i="12"/>
  <c r="N10" i="12"/>
  <c r="F11" i="12"/>
  <c r="N11" i="12"/>
  <c r="F12" i="12"/>
  <c r="N12" i="12"/>
  <c r="N13" i="12"/>
  <c r="F14" i="12"/>
  <c r="N14" i="12"/>
  <c r="F17" i="12"/>
  <c r="N17" i="12"/>
  <c r="F18" i="12"/>
  <c r="N18" i="12"/>
  <c r="F20" i="12"/>
  <c r="N20" i="12"/>
  <c r="F21" i="12"/>
  <c r="N21" i="12"/>
  <c r="F22" i="12"/>
  <c r="N22" i="12"/>
  <c r="F23" i="12"/>
  <c r="N23" i="12"/>
  <c r="N24" i="12"/>
  <c r="F25" i="12"/>
  <c r="N25" i="12"/>
  <c r="F26" i="12"/>
  <c r="N26" i="12"/>
  <c r="F28" i="12"/>
  <c r="N28" i="12"/>
  <c r="F30" i="12"/>
  <c r="N30" i="12"/>
  <c r="F31" i="12"/>
  <c r="N31" i="12"/>
  <c r="F32" i="12"/>
  <c r="F33" i="12"/>
  <c r="N33" i="12"/>
  <c r="U4" i="8"/>
  <c r="U5" i="12"/>
  <c r="W6" i="12"/>
  <c r="S8" i="12"/>
  <c r="U9" i="12"/>
  <c r="W10" i="12"/>
  <c r="S12" i="12"/>
  <c r="U13" i="12"/>
  <c r="W14" i="12"/>
  <c r="R18" i="12"/>
  <c r="S19" i="8"/>
  <c r="S19" i="12" s="1"/>
  <c r="S20" i="12"/>
  <c r="U21" i="12"/>
  <c r="W22" i="12"/>
  <c r="S24" i="12"/>
  <c r="U25" i="12"/>
  <c r="W26" i="12"/>
  <c r="R31" i="12"/>
  <c r="T32" i="12"/>
  <c r="V33" i="12"/>
  <c r="G5" i="13"/>
  <c r="O5" i="13"/>
  <c r="G6" i="13"/>
  <c r="O6" i="13"/>
  <c r="G7" i="13"/>
  <c r="O7" i="13"/>
  <c r="G8" i="13"/>
  <c r="O8" i="13"/>
  <c r="G9" i="13"/>
  <c r="O9" i="13"/>
  <c r="G10" i="13"/>
  <c r="O10" i="13"/>
  <c r="G11" i="13"/>
  <c r="O11" i="13"/>
  <c r="G12" i="13"/>
  <c r="O12" i="13"/>
  <c r="G13" i="13"/>
  <c r="O13" i="13"/>
  <c r="G14" i="13"/>
  <c r="O14" i="13"/>
  <c r="G17" i="13"/>
  <c r="O17" i="13"/>
  <c r="G18" i="13"/>
  <c r="O18" i="13"/>
  <c r="G20" i="13"/>
  <c r="O20" i="13"/>
  <c r="G21" i="13"/>
  <c r="O21" i="13"/>
  <c r="G22" i="13"/>
  <c r="O22" i="13"/>
  <c r="G23" i="13"/>
  <c r="O23" i="13"/>
  <c r="G24" i="13"/>
  <c r="O24" i="13"/>
  <c r="G25" i="13"/>
  <c r="O25" i="13"/>
  <c r="G26" i="13"/>
  <c r="O26" i="13"/>
  <c r="G28" i="13"/>
  <c r="O28" i="13"/>
  <c r="G30" i="13"/>
  <c r="O30" i="13"/>
  <c r="G31" i="13"/>
  <c r="O31" i="13"/>
  <c r="G32" i="13"/>
  <c r="O32" i="13"/>
  <c r="G33" i="13"/>
  <c r="O33" i="13"/>
  <c r="V5" i="13"/>
  <c r="R7" i="13"/>
  <c r="T8" i="13"/>
  <c r="V9" i="13"/>
  <c r="R11" i="13"/>
  <c r="T12" i="13"/>
  <c r="V13" i="13"/>
  <c r="S17" i="13"/>
  <c r="U18" i="13"/>
  <c r="U20" i="13"/>
  <c r="W21" i="13"/>
  <c r="S23" i="13"/>
  <c r="U24" i="13"/>
  <c r="W25" i="13"/>
  <c r="S27" i="13"/>
  <c r="S28" i="13"/>
  <c r="U31" i="13"/>
  <c r="W32" i="13"/>
  <c r="U20" i="10"/>
  <c r="W21" i="10"/>
  <c r="S23" i="10"/>
  <c r="U24" i="10"/>
  <c r="W25" i="10"/>
  <c r="S27" i="10"/>
  <c r="T15" i="7"/>
  <c r="T15" i="13" s="1"/>
  <c r="V4" i="7"/>
  <c r="V3" i="7" s="1"/>
  <c r="R19" i="7"/>
  <c r="R27" i="13" s="1"/>
  <c r="T19" i="7"/>
  <c r="T27" i="12" s="1"/>
  <c r="V19" i="7"/>
  <c r="V27" i="12" s="1"/>
  <c r="G5" i="12"/>
  <c r="O5" i="12"/>
  <c r="G7" i="12"/>
  <c r="O7" i="12"/>
  <c r="G8" i="12"/>
  <c r="O8" i="12"/>
  <c r="G9" i="12"/>
  <c r="O9" i="12"/>
  <c r="G10" i="12"/>
  <c r="O10" i="12"/>
  <c r="G11" i="12"/>
  <c r="O11" i="12"/>
  <c r="G12" i="12"/>
  <c r="O12" i="12"/>
  <c r="G13" i="12"/>
  <c r="O13" i="12"/>
  <c r="G14" i="12"/>
  <c r="O14" i="12"/>
  <c r="G17" i="12"/>
  <c r="G18" i="12"/>
  <c r="O18" i="12"/>
  <c r="G20" i="12"/>
  <c r="O20" i="12"/>
  <c r="G21" i="12"/>
  <c r="O21" i="12"/>
  <c r="G22" i="12"/>
  <c r="O22" i="12"/>
  <c r="G23" i="12"/>
  <c r="O23" i="12"/>
  <c r="G24" i="12"/>
  <c r="O24" i="12"/>
  <c r="G25" i="12"/>
  <c r="O25" i="12"/>
  <c r="G26" i="12"/>
  <c r="O26" i="12"/>
  <c r="G28" i="12"/>
  <c r="O28" i="12"/>
  <c r="G30" i="12"/>
  <c r="O30" i="12"/>
  <c r="G31" i="12"/>
  <c r="O31" i="12"/>
  <c r="G32" i="12"/>
  <c r="O32" i="12"/>
  <c r="G33" i="12"/>
  <c r="O33" i="12"/>
  <c r="V5" i="12"/>
  <c r="R7" i="12"/>
  <c r="T8" i="12"/>
  <c r="V9" i="12"/>
  <c r="R11" i="12"/>
  <c r="T12" i="12"/>
  <c r="V13" i="12"/>
  <c r="S18" i="12"/>
  <c r="T20" i="12"/>
  <c r="V21" i="12"/>
  <c r="R23" i="12"/>
  <c r="T24" i="12"/>
  <c r="V25" i="12"/>
  <c r="R28" i="12"/>
  <c r="S31" i="12"/>
  <c r="U32" i="12"/>
  <c r="W33" i="12"/>
  <c r="H5" i="13"/>
  <c r="P5" i="13"/>
  <c r="H6" i="13"/>
  <c r="P6" i="13"/>
  <c r="H7" i="13"/>
  <c r="P7" i="13"/>
  <c r="H8" i="13"/>
  <c r="P8" i="13"/>
  <c r="H9" i="13"/>
  <c r="P9" i="13"/>
  <c r="H10" i="13"/>
  <c r="P10" i="13"/>
  <c r="H11" i="13"/>
  <c r="P11" i="13"/>
  <c r="H12" i="13"/>
  <c r="H13" i="13"/>
  <c r="P13" i="13"/>
  <c r="H14" i="13"/>
  <c r="P14" i="13"/>
  <c r="H17" i="13"/>
  <c r="P17" i="13"/>
  <c r="H18" i="13"/>
  <c r="P18" i="13"/>
  <c r="H20" i="13"/>
  <c r="P20" i="13"/>
  <c r="H21" i="13"/>
  <c r="P21" i="13"/>
  <c r="H22" i="13"/>
  <c r="P22" i="13"/>
  <c r="H23" i="13"/>
  <c r="P23" i="13"/>
  <c r="H24" i="13"/>
  <c r="P24" i="13"/>
  <c r="H25" i="13"/>
  <c r="P25" i="13"/>
  <c r="H26" i="13"/>
  <c r="P26" i="13"/>
  <c r="H28" i="13"/>
  <c r="P28" i="13"/>
  <c r="H30" i="13"/>
  <c r="P30" i="13"/>
  <c r="H31" i="13"/>
  <c r="P31" i="13"/>
  <c r="H32" i="13"/>
  <c r="P32" i="13"/>
  <c r="H33" i="13"/>
  <c r="P33" i="13"/>
  <c r="W5" i="13"/>
  <c r="S7" i="13"/>
  <c r="U8" i="13"/>
  <c r="W9" i="13"/>
  <c r="S11" i="13"/>
  <c r="U12" i="13"/>
  <c r="W13" i="13"/>
  <c r="S15" i="13"/>
  <c r="T16" i="9"/>
  <c r="T17" i="13"/>
  <c r="V16" i="9"/>
  <c r="V18" i="13"/>
  <c r="V20" i="13"/>
  <c r="R22" i="13"/>
  <c r="T23" i="13"/>
  <c r="V24" i="13"/>
  <c r="R26" i="13"/>
  <c r="T28" i="13"/>
  <c r="T29" i="9"/>
  <c r="T30" i="13"/>
  <c r="V29" i="9"/>
  <c r="V31" i="13"/>
  <c r="R33" i="10"/>
  <c r="R33" i="13"/>
  <c r="V20" i="10"/>
  <c r="R22" i="10"/>
  <c r="T23" i="10"/>
  <c r="V24" i="10"/>
  <c r="R26" i="10"/>
  <c r="T27" i="10"/>
  <c r="T21" i="14"/>
  <c r="U19" i="7"/>
  <c r="U19" i="12" s="1"/>
  <c r="H5" i="12"/>
  <c r="P5" i="12"/>
  <c r="H6" i="12"/>
  <c r="P6" i="12"/>
  <c r="H8" i="12"/>
  <c r="P8" i="12"/>
  <c r="H9" i="12"/>
  <c r="P9" i="12"/>
  <c r="H10" i="12"/>
  <c r="P10" i="12"/>
  <c r="H11" i="12"/>
  <c r="P11" i="12"/>
  <c r="H12" i="12"/>
  <c r="P12" i="12"/>
  <c r="H13" i="12"/>
  <c r="H14" i="12"/>
  <c r="P14" i="12"/>
  <c r="H17" i="12"/>
  <c r="P17" i="12"/>
  <c r="H18" i="12"/>
  <c r="P18" i="12"/>
  <c r="H20" i="12"/>
  <c r="P20" i="12"/>
  <c r="H21" i="12"/>
  <c r="P21" i="12"/>
  <c r="H22" i="12"/>
  <c r="P22" i="12"/>
  <c r="H23" i="12"/>
  <c r="P23" i="12"/>
  <c r="H24" i="12"/>
  <c r="P24" i="12"/>
  <c r="H25" i="12"/>
  <c r="P25" i="12"/>
  <c r="P26" i="12"/>
  <c r="H28" i="12"/>
  <c r="P28" i="12"/>
  <c r="H30" i="12"/>
  <c r="P30" i="12"/>
  <c r="H31" i="12"/>
  <c r="P31" i="12"/>
  <c r="H32" i="12"/>
  <c r="P32" i="12"/>
  <c r="H33" i="12"/>
  <c r="P33" i="12"/>
  <c r="W5" i="12"/>
  <c r="S7" i="12"/>
  <c r="U8" i="12"/>
  <c r="W9" i="12"/>
  <c r="S11" i="12"/>
  <c r="U12" i="12"/>
  <c r="W13" i="12"/>
  <c r="S15" i="12"/>
  <c r="R17" i="12"/>
  <c r="T18" i="12"/>
  <c r="U20" i="12"/>
  <c r="W21" i="12"/>
  <c r="S23" i="12"/>
  <c r="U24" i="12"/>
  <c r="W25" i="12"/>
  <c r="S27" i="12"/>
  <c r="S28" i="12"/>
  <c r="R30" i="12"/>
  <c r="T31" i="12"/>
  <c r="V32" i="12"/>
  <c r="I5" i="13"/>
  <c r="Q5" i="13"/>
  <c r="I6" i="13"/>
  <c r="Q6" i="13"/>
  <c r="I7" i="13"/>
  <c r="Q7" i="13"/>
  <c r="I8" i="13"/>
  <c r="Q8" i="13"/>
  <c r="I9" i="13"/>
  <c r="Q9" i="13"/>
  <c r="I10" i="13"/>
  <c r="Q10" i="13"/>
  <c r="I11" i="13"/>
  <c r="Q11" i="13"/>
  <c r="I12" i="13"/>
  <c r="Q12" i="13"/>
  <c r="I13" i="13"/>
  <c r="Q13" i="13"/>
  <c r="I14" i="13"/>
  <c r="Q14" i="13"/>
  <c r="I17" i="13"/>
  <c r="Q17" i="13"/>
  <c r="I18" i="13"/>
  <c r="Q18" i="13"/>
  <c r="I20" i="13"/>
  <c r="Q20" i="13"/>
  <c r="Q21" i="13"/>
  <c r="I22" i="13"/>
  <c r="Q22" i="13"/>
  <c r="I23" i="13"/>
  <c r="Q23" i="13"/>
  <c r="I24" i="13"/>
  <c r="Q24" i="13"/>
  <c r="I25" i="13"/>
  <c r="Q25" i="13"/>
  <c r="I26" i="13"/>
  <c r="Q26" i="13"/>
  <c r="I28" i="13"/>
  <c r="Q28" i="13"/>
  <c r="I30" i="13"/>
  <c r="Q30" i="13"/>
  <c r="I31" i="13"/>
  <c r="Q31" i="13"/>
  <c r="I32" i="13"/>
  <c r="Q32" i="13"/>
  <c r="I33" i="13"/>
  <c r="Q33" i="13"/>
  <c r="R6" i="13"/>
  <c r="T7" i="13"/>
  <c r="V8" i="13"/>
  <c r="R10" i="13"/>
  <c r="T11" i="13"/>
  <c r="V12" i="13"/>
  <c r="R14" i="13"/>
  <c r="U16" i="9"/>
  <c r="U17" i="13"/>
  <c r="W18" i="13"/>
  <c r="W19" i="9"/>
  <c r="W20" i="13"/>
  <c r="S22" i="13"/>
  <c r="U23" i="13"/>
  <c r="S26" i="13"/>
  <c r="U28" i="13"/>
  <c r="U29" i="9"/>
  <c r="U30" i="13"/>
  <c r="W31" i="13"/>
  <c r="S33" i="13"/>
  <c r="S33" i="10"/>
  <c r="W8" i="10"/>
  <c r="S14" i="10"/>
  <c r="S18" i="10"/>
  <c r="U19" i="10"/>
  <c r="W20" i="10"/>
  <c r="S22" i="10"/>
  <c r="U23" i="10"/>
  <c r="S26" i="10"/>
  <c r="U27" i="10"/>
  <c r="S31" i="10"/>
  <c r="W32" i="10"/>
  <c r="U4" i="11"/>
  <c r="I28" i="12"/>
  <c r="Q28" i="12"/>
  <c r="Q33" i="12"/>
  <c r="R6" i="12"/>
  <c r="T7" i="12"/>
  <c r="V8" i="12"/>
  <c r="R10" i="12"/>
  <c r="T11" i="12"/>
  <c r="V12" i="12"/>
  <c r="R14" i="12"/>
  <c r="S17" i="12"/>
  <c r="U18" i="12"/>
  <c r="V20" i="12"/>
  <c r="R22" i="12"/>
  <c r="T23" i="12"/>
  <c r="V24" i="12"/>
  <c r="R26" i="12"/>
  <c r="T28" i="12"/>
  <c r="S30" i="12"/>
  <c r="U31" i="12"/>
  <c r="W32" i="12"/>
  <c r="B5" i="13"/>
  <c r="J5" i="13"/>
  <c r="B6" i="13"/>
  <c r="B7" i="13"/>
  <c r="J7" i="13"/>
  <c r="B8" i="13"/>
  <c r="J8" i="13"/>
  <c r="B9" i="13"/>
  <c r="J9" i="13"/>
  <c r="B10" i="13"/>
  <c r="J10" i="13"/>
  <c r="B11" i="13"/>
  <c r="J11" i="13"/>
  <c r="B12" i="13"/>
  <c r="J12" i="13"/>
  <c r="B13" i="13"/>
  <c r="J13" i="13"/>
  <c r="B14" i="13"/>
  <c r="J14" i="13"/>
  <c r="B17" i="13"/>
  <c r="J17" i="13"/>
  <c r="B18" i="13"/>
  <c r="J18" i="13"/>
  <c r="B20" i="13"/>
  <c r="J20" i="13"/>
  <c r="B21" i="13"/>
  <c r="J21" i="13"/>
  <c r="J22" i="13"/>
  <c r="B23" i="13"/>
  <c r="J23" i="13"/>
  <c r="B24" i="13"/>
  <c r="J24" i="13"/>
  <c r="B25" i="13"/>
  <c r="J25" i="13"/>
  <c r="B26" i="13"/>
  <c r="J26" i="13"/>
  <c r="B28" i="13"/>
  <c r="J28" i="13"/>
  <c r="B30" i="13"/>
  <c r="J30" i="13"/>
  <c r="B31" i="13"/>
  <c r="J31" i="13"/>
  <c r="B32" i="13"/>
  <c r="J32" i="13"/>
  <c r="B33" i="13"/>
  <c r="J33" i="13"/>
  <c r="S4" i="9"/>
  <c r="S6" i="13"/>
  <c r="U7" i="13"/>
  <c r="S10" i="13"/>
  <c r="U11" i="13"/>
  <c r="W12" i="13"/>
  <c r="U15" i="13"/>
  <c r="V17" i="13"/>
  <c r="R21" i="13"/>
  <c r="T22" i="13"/>
  <c r="V23" i="13"/>
  <c r="R25" i="13"/>
  <c r="T26" i="13"/>
  <c r="V28" i="13"/>
  <c r="V30" i="13"/>
  <c r="R32" i="13"/>
  <c r="T33" i="13"/>
  <c r="R21" i="10"/>
  <c r="T22" i="10"/>
  <c r="V23" i="10"/>
  <c r="R25" i="10"/>
  <c r="T26" i="10"/>
  <c r="V27" i="10"/>
  <c r="T33" i="10"/>
  <c r="R29" i="11"/>
  <c r="R30" i="14"/>
  <c r="T29" i="11"/>
  <c r="T31" i="14"/>
  <c r="V29" i="11"/>
  <c r="V32" i="14"/>
  <c r="F17" i="23"/>
  <c r="N17" i="23"/>
  <c r="G18" i="23"/>
  <c r="O18" i="23"/>
  <c r="H20" i="23"/>
  <c r="P20" i="23"/>
  <c r="I21" i="23"/>
  <c r="Q21" i="23"/>
  <c r="J22" i="23"/>
  <c r="C23" i="23"/>
  <c r="K23" i="23"/>
  <c r="D24" i="23"/>
  <c r="L24" i="23"/>
  <c r="E25" i="23"/>
  <c r="M25" i="23"/>
  <c r="F26" i="23"/>
  <c r="N26" i="23"/>
  <c r="G28" i="23"/>
  <c r="O28" i="23"/>
  <c r="H30" i="23"/>
  <c r="P30" i="23"/>
  <c r="I31" i="23"/>
  <c r="Q31" i="23"/>
  <c r="J32" i="23"/>
  <c r="C33" i="23"/>
  <c r="K33" i="23"/>
  <c r="F17" i="24"/>
  <c r="N17" i="24"/>
  <c r="G18" i="24"/>
  <c r="O18" i="24"/>
  <c r="H20" i="24"/>
  <c r="P20" i="24"/>
  <c r="I21" i="24"/>
  <c r="Q21" i="24"/>
  <c r="J22" i="24"/>
  <c r="C23" i="24"/>
  <c r="K23" i="24"/>
  <c r="D24" i="24"/>
  <c r="L24" i="24"/>
  <c r="E25" i="24"/>
  <c r="M25" i="24"/>
  <c r="F26" i="24"/>
  <c r="N26" i="24"/>
  <c r="G28" i="24"/>
  <c r="O28" i="24"/>
  <c r="H30" i="24"/>
  <c r="P30" i="24"/>
  <c r="I31" i="24"/>
  <c r="Q31" i="24"/>
  <c r="J32" i="24"/>
  <c r="C33" i="24"/>
  <c r="K33" i="24"/>
  <c r="B5" i="12"/>
  <c r="J5" i="12"/>
  <c r="B6" i="12"/>
  <c r="J6" i="12"/>
  <c r="B7" i="12"/>
  <c r="J7" i="12"/>
  <c r="B8" i="12"/>
  <c r="J8" i="12"/>
  <c r="B9" i="12"/>
  <c r="B10" i="12"/>
  <c r="J10" i="12"/>
  <c r="J11" i="12"/>
  <c r="B12" i="12"/>
  <c r="J12" i="12"/>
  <c r="B13" i="12"/>
  <c r="J13" i="12"/>
  <c r="B14" i="12"/>
  <c r="J14" i="12"/>
  <c r="B17" i="12"/>
  <c r="J17" i="12"/>
  <c r="B18" i="12"/>
  <c r="J18" i="12"/>
  <c r="B20" i="12"/>
  <c r="J20" i="12"/>
  <c r="B21" i="12"/>
  <c r="J21" i="12"/>
  <c r="B22" i="12"/>
  <c r="J22" i="12"/>
  <c r="B23" i="12"/>
  <c r="J23" i="12"/>
  <c r="B24" i="12"/>
  <c r="J24" i="12"/>
  <c r="B25" i="12"/>
  <c r="J25" i="12"/>
  <c r="B26" i="12"/>
  <c r="J26" i="12"/>
  <c r="B28" i="12"/>
  <c r="B30" i="12"/>
  <c r="J30" i="12"/>
  <c r="B31" i="12"/>
  <c r="J31" i="12"/>
  <c r="B32" i="12"/>
  <c r="J32" i="12"/>
  <c r="B33" i="12"/>
  <c r="J33" i="12"/>
  <c r="W4" i="12"/>
  <c r="S4" i="8"/>
  <c r="S6" i="12"/>
  <c r="U7" i="12"/>
  <c r="W8" i="12"/>
  <c r="S10" i="12"/>
  <c r="U11" i="12"/>
  <c r="W12" i="12"/>
  <c r="S14" i="12"/>
  <c r="U15" i="12"/>
  <c r="T16" i="8"/>
  <c r="T16" i="12" s="1"/>
  <c r="T17" i="12"/>
  <c r="V16" i="8"/>
  <c r="V16" i="12" s="1"/>
  <c r="V18" i="12"/>
  <c r="W19" i="8"/>
  <c r="W19" i="12" s="1"/>
  <c r="W20" i="12"/>
  <c r="S22" i="12"/>
  <c r="U23" i="12"/>
  <c r="W24" i="12"/>
  <c r="S26" i="12"/>
  <c r="U28" i="12"/>
  <c r="T29" i="8"/>
  <c r="T30" i="12"/>
  <c r="V31" i="12"/>
  <c r="R33" i="12"/>
  <c r="C5" i="13"/>
  <c r="K5" i="13"/>
  <c r="C6" i="13"/>
  <c r="K6" i="13"/>
  <c r="C7" i="13"/>
  <c r="K7" i="13"/>
  <c r="C8" i="13"/>
  <c r="K8" i="13"/>
  <c r="C9" i="13"/>
  <c r="K9" i="13"/>
  <c r="C10" i="13"/>
  <c r="K10" i="13"/>
  <c r="C11" i="13"/>
  <c r="K11" i="13"/>
  <c r="C12" i="13"/>
  <c r="K12" i="13"/>
  <c r="C13" i="13"/>
  <c r="K13" i="13"/>
  <c r="C14" i="13"/>
  <c r="K14" i="13"/>
  <c r="C17" i="13"/>
  <c r="K17" i="13"/>
  <c r="C18" i="13"/>
  <c r="K18" i="13"/>
  <c r="C20" i="13"/>
  <c r="K20" i="13"/>
  <c r="C21" i="13"/>
  <c r="K21" i="13"/>
  <c r="C22" i="13"/>
  <c r="K22" i="13"/>
  <c r="C23" i="13"/>
  <c r="C24" i="13"/>
  <c r="K24" i="13"/>
  <c r="C25" i="13"/>
  <c r="K25" i="13"/>
  <c r="C26" i="13"/>
  <c r="K26" i="13"/>
  <c r="C28" i="13"/>
  <c r="K28" i="13"/>
  <c r="C30" i="13"/>
  <c r="K30" i="13"/>
  <c r="C31" i="13"/>
  <c r="K31" i="13"/>
  <c r="C32" i="13"/>
  <c r="K32" i="13"/>
  <c r="C33" i="13"/>
  <c r="K33" i="13"/>
  <c r="R4" i="9"/>
  <c r="R5" i="13"/>
  <c r="T6" i="13"/>
  <c r="V7" i="13"/>
  <c r="R9" i="13"/>
  <c r="T10" i="13"/>
  <c r="V11" i="13"/>
  <c r="R13" i="13"/>
  <c r="T14" i="13"/>
  <c r="W17" i="13"/>
  <c r="S21" i="13"/>
  <c r="U22" i="13"/>
  <c r="W23" i="13"/>
  <c r="S25" i="13"/>
  <c r="U26" i="13"/>
  <c r="W27" i="13"/>
  <c r="W28" i="13"/>
  <c r="W30" i="13"/>
  <c r="S32" i="13"/>
  <c r="U33" i="13"/>
  <c r="U33" i="10"/>
  <c r="S17" i="10"/>
  <c r="U18" i="10"/>
  <c r="S21" i="10"/>
  <c r="U22" i="10"/>
  <c r="W23" i="10"/>
  <c r="S25" i="10"/>
  <c r="U26" i="10"/>
  <c r="W27" i="10"/>
  <c r="U31" i="10"/>
  <c r="W5" i="14"/>
  <c r="S7" i="14"/>
  <c r="U8" i="14"/>
  <c r="U19" i="11"/>
  <c r="U20" i="14"/>
  <c r="W19" i="11"/>
  <c r="W19" i="14" s="1"/>
  <c r="W21" i="14"/>
  <c r="S23" i="14"/>
  <c r="S19" i="11"/>
  <c r="S19" i="14" s="1"/>
  <c r="U24" i="14"/>
  <c r="S29" i="14"/>
  <c r="T29" i="7"/>
  <c r="V29" i="7"/>
  <c r="C5" i="12"/>
  <c r="K5" i="12"/>
  <c r="C6" i="12"/>
  <c r="K6" i="12"/>
  <c r="C7" i="12"/>
  <c r="K7" i="12"/>
  <c r="C8" i="12"/>
  <c r="K8" i="12"/>
  <c r="C9" i="12"/>
  <c r="K9" i="12"/>
  <c r="C11" i="12"/>
  <c r="K11" i="12"/>
  <c r="C12" i="12"/>
  <c r="K12" i="12"/>
  <c r="C13" i="12"/>
  <c r="K13" i="12"/>
  <c r="C14" i="12"/>
  <c r="K14" i="12"/>
  <c r="C17" i="12"/>
  <c r="K17" i="12"/>
  <c r="C18" i="12"/>
  <c r="K18" i="12"/>
  <c r="C20" i="12"/>
  <c r="K20" i="12"/>
  <c r="C21" i="12"/>
  <c r="K21" i="12"/>
  <c r="C22" i="12"/>
  <c r="K22" i="12"/>
  <c r="C23" i="12"/>
  <c r="K23" i="12"/>
  <c r="C24" i="12"/>
  <c r="K24" i="12"/>
  <c r="C25" i="12"/>
  <c r="K25" i="12"/>
  <c r="C26" i="12"/>
  <c r="K26" i="12"/>
  <c r="C28" i="12"/>
  <c r="K28" i="12"/>
  <c r="C30" i="12"/>
  <c r="K30" i="12"/>
  <c r="C31" i="12"/>
  <c r="K31" i="12"/>
  <c r="C32" i="12"/>
  <c r="K32" i="12"/>
  <c r="C33" i="12"/>
  <c r="K33" i="12"/>
  <c r="R4" i="8"/>
  <c r="R5" i="12"/>
  <c r="T6" i="12"/>
  <c r="V7" i="12"/>
  <c r="R9" i="12"/>
  <c r="T10" i="12"/>
  <c r="V11" i="12"/>
  <c r="R13" i="12"/>
  <c r="T14" i="12"/>
  <c r="U16" i="8"/>
  <c r="U16" i="12" s="1"/>
  <c r="U17" i="12"/>
  <c r="W18" i="12"/>
  <c r="R21" i="12"/>
  <c r="T22" i="12"/>
  <c r="V23" i="12"/>
  <c r="R25" i="12"/>
  <c r="T26" i="12"/>
  <c r="V28" i="12"/>
  <c r="U29" i="8"/>
  <c r="U29" i="12" s="1"/>
  <c r="U30" i="12"/>
  <c r="S33" i="12"/>
  <c r="D5" i="13"/>
  <c r="L5" i="13"/>
  <c r="D6" i="13"/>
  <c r="L6" i="13"/>
  <c r="D7" i="13"/>
  <c r="L7" i="13"/>
  <c r="D8" i="13"/>
  <c r="D9" i="13"/>
  <c r="L9" i="13"/>
  <c r="D10" i="13"/>
  <c r="L10" i="13"/>
  <c r="D11" i="13"/>
  <c r="L11" i="13"/>
  <c r="D12" i="13"/>
  <c r="L12" i="13"/>
  <c r="D13" i="13"/>
  <c r="L13" i="13"/>
  <c r="D14" i="13"/>
  <c r="L14" i="13"/>
  <c r="D17" i="13"/>
  <c r="L17" i="13"/>
  <c r="D18" i="13"/>
  <c r="L18" i="13"/>
  <c r="D20" i="13"/>
  <c r="L20" i="13"/>
  <c r="D21" i="13"/>
  <c r="L21" i="13"/>
  <c r="D22" i="13"/>
  <c r="L22" i="13"/>
  <c r="D23" i="13"/>
  <c r="L23" i="13"/>
  <c r="D24" i="13"/>
  <c r="L24" i="13"/>
  <c r="D25" i="13"/>
  <c r="L25" i="13"/>
  <c r="D26" i="13"/>
  <c r="L26" i="13"/>
  <c r="D28" i="13"/>
  <c r="L28" i="13"/>
  <c r="D30" i="13"/>
  <c r="L30" i="13"/>
  <c r="D31" i="13"/>
  <c r="L31" i="13"/>
  <c r="L32" i="13"/>
  <c r="D33" i="13"/>
  <c r="L33" i="13"/>
  <c r="S5" i="13"/>
  <c r="U6" i="13"/>
  <c r="W7" i="13"/>
  <c r="S9" i="13"/>
  <c r="U10" i="13"/>
  <c r="W11" i="13"/>
  <c r="S13" i="13"/>
  <c r="U14" i="13"/>
  <c r="W15" i="13"/>
  <c r="R18" i="13"/>
  <c r="R19" i="9"/>
  <c r="R20" i="13"/>
  <c r="T19" i="9"/>
  <c r="T21" i="13"/>
  <c r="V22" i="13"/>
  <c r="R24" i="13"/>
  <c r="T25" i="13"/>
  <c r="V26" i="13"/>
  <c r="R31" i="13"/>
  <c r="T32" i="13"/>
  <c r="T32" i="10"/>
  <c r="V33" i="13"/>
  <c r="V33" i="10"/>
  <c r="T5" i="10"/>
  <c r="V6" i="10"/>
  <c r="R8" i="10"/>
  <c r="T9" i="10"/>
  <c r="V10" i="10"/>
  <c r="R12" i="10"/>
  <c r="T13" i="10"/>
  <c r="V14" i="10"/>
  <c r="T17" i="10"/>
  <c r="V18" i="10"/>
  <c r="R20" i="10"/>
  <c r="T21" i="10"/>
  <c r="V22" i="10"/>
  <c r="R24" i="10"/>
  <c r="T25" i="10"/>
  <c r="V26" i="10"/>
  <c r="T30" i="10"/>
  <c r="V31" i="10"/>
  <c r="R6" i="14"/>
  <c r="T7" i="14"/>
  <c r="V8" i="14"/>
  <c r="R10" i="14"/>
  <c r="R17" i="14"/>
  <c r="R16" i="11"/>
  <c r="R16" i="14" s="1"/>
  <c r="U16" i="14"/>
  <c r="T20" i="14"/>
  <c r="V21" i="14"/>
  <c r="R23" i="14"/>
  <c r="T24" i="14"/>
  <c r="S31" i="14"/>
  <c r="U32" i="14"/>
  <c r="J5" i="23"/>
  <c r="C6" i="23"/>
  <c r="K6" i="23"/>
  <c r="D7" i="23"/>
  <c r="L7" i="23"/>
  <c r="E8" i="23"/>
  <c r="M8" i="23"/>
  <c r="F9" i="23"/>
  <c r="N9" i="23"/>
  <c r="G10" i="23"/>
  <c r="O10" i="23"/>
  <c r="H11" i="23"/>
  <c r="P11" i="23"/>
  <c r="I12" i="23"/>
  <c r="Q12" i="23"/>
  <c r="J13" i="23"/>
  <c r="C14" i="23"/>
  <c r="K14" i="23"/>
  <c r="E17" i="23"/>
  <c r="M17" i="23"/>
  <c r="F18" i="23"/>
  <c r="N18" i="23"/>
  <c r="G20" i="23"/>
  <c r="O20" i="23"/>
  <c r="H21" i="23"/>
  <c r="P21" i="23"/>
  <c r="I22" i="23"/>
  <c r="Q22" i="23"/>
  <c r="J23" i="23"/>
  <c r="C24" i="23"/>
  <c r="K24" i="23"/>
  <c r="D25" i="23"/>
  <c r="L25" i="23"/>
  <c r="E26" i="23"/>
  <c r="M26" i="23"/>
  <c r="F28" i="23"/>
  <c r="N28" i="23"/>
  <c r="G30" i="23"/>
  <c r="O30" i="23"/>
  <c r="H31" i="23"/>
  <c r="P31" i="23"/>
  <c r="I32" i="23"/>
  <c r="Q32" i="23"/>
  <c r="J33" i="23"/>
  <c r="J5" i="24"/>
  <c r="C6" i="24"/>
  <c r="K6" i="24"/>
  <c r="D7" i="24"/>
  <c r="L7" i="24"/>
  <c r="E8" i="24"/>
  <c r="M8" i="24"/>
  <c r="F9" i="24"/>
  <c r="N9" i="24"/>
  <c r="G10" i="24"/>
  <c r="O10" i="24"/>
  <c r="H11" i="24"/>
  <c r="P11" i="24"/>
  <c r="I12" i="24"/>
  <c r="Q12" i="24"/>
  <c r="J13" i="24"/>
  <c r="C14" i="24"/>
  <c r="K14" i="24"/>
  <c r="E17" i="24"/>
  <c r="M17" i="24"/>
  <c r="F18" i="24"/>
  <c r="N18" i="24"/>
  <c r="G20" i="24"/>
  <c r="O20" i="24"/>
  <c r="H21" i="24"/>
  <c r="P21" i="24"/>
  <c r="I22" i="24"/>
  <c r="Q22" i="24"/>
  <c r="J23" i="24"/>
  <c r="C24" i="24"/>
  <c r="K24" i="24"/>
  <c r="D25" i="24"/>
  <c r="L25" i="24"/>
  <c r="E26" i="24"/>
  <c r="M26" i="24"/>
  <c r="F28" i="24"/>
  <c r="N28" i="24"/>
  <c r="G30" i="24"/>
  <c r="O30" i="24"/>
  <c r="H31" i="24"/>
  <c r="P31" i="24"/>
  <c r="I32" i="24"/>
  <c r="Q32" i="24"/>
  <c r="J33" i="24"/>
  <c r="R5" i="14"/>
  <c r="T6" i="14"/>
  <c r="V7" i="14"/>
  <c r="R9" i="14"/>
  <c r="T10" i="14"/>
  <c r="S17" i="14"/>
  <c r="V20" i="14"/>
  <c r="R22" i="14"/>
  <c r="T23" i="14"/>
  <c r="V24" i="14"/>
  <c r="S30" i="14"/>
  <c r="U31" i="14"/>
  <c r="W32" i="14"/>
  <c r="D5" i="23"/>
  <c r="L5" i="23"/>
  <c r="E6" i="23"/>
  <c r="M6" i="23"/>
  <c r="F7" i="23"/>
  <c r="N7" i="23"/>
  <c r="G8" i="23"/>
  <c r="O8" i="23"/>
  <c r="H9" i="23"/>
  <c r="P9" i="23"/>
  <c r="I10" i="23"/>
  <c r="Q10" i="23"/>
  <c r="J11" i="23"/>
  <c r="C12" i="23"/>
  <c r="K12" i="23"/>
  <c r="D13" i="23"/>
  <c r="L13" i="23"/>
  <c r="E14" i="23"/>
  <c r="M14" i="23"/>
  <c r="G17" i="23"/>
  <c r="O17" i="23"/>
  <c r="H18" i="23"/>
  <c r="P18" i="23"/>
  <c r="I20" i="23"/>
  <c r="Q20" i="23"/>
  <c r="J21" i="23"/>
  <c r="C22" i="23"/>
  <c r="K22" i="23"/>
  <c r="D23" i="23"/>
  <c r="L23" i="23"/>
  <c r="E24" i="23"/>
  <c r="M24" i="23"/>
  <c r="F25" i="23"/>
  <c r="N25" i="23"/>
  <c r="G26" i="23"/>
  <c r="O26" i="23"/>
  <c r="H28" i="23"/>
  <c r="P28" i="23"/>
  <c r="I30" i="23"/>
  <c r="Q30" i="23"/>
  <c r="J31" i="23"/>
  <c r="C32" i="23"/>
  <c r="K32" i="23"/>
  <c r="D33" i="23"/>
  <c r="L33" i="23"/>
  <c r="D5" i="24"/>
  <c r="L5" i="24"/>
  <c r="E6" i="24"/>
  <c r="M6" i="24"/>
  <c r="F7" i="24"/>
  <c r="N7" i="24"/>
  <c r="G8" i="24"/>
  <c r="O8" i="24"/>
  <c r="H9" i="24"/>
  <c r="P9" i="24"/>
  <c r="I10" i="24"/>
  <c r="Q10" i="24"/>
  <c r="J11" i="24"/>
  <c r="C12" i="24"/>
  <c r="K12" i="24"/>
  <c r="D13" i="24"/>
  <c r="L13" i="24"/>
  <c r="E14" i="24"/>
  <c r="M14" i="24"/>
  <c r="G17" i="24"/>
  <c r="O17" i="24"/>
  <c r="H18" i="24"/>
  <c r="P18" i="24"/>
  <c r="I20" i="24"/>
  <c r="Q20" i="24"/>
  <c r="J21" i="24"/>
  <c r="C22" i="24"/>
  <c r="K22" i="24"/>
  <c r="D23" i="24"/>
  <c r="L23" i="24"/>
  <c r="E24" i="24"/>
  <c r="M24" i="24"/>
  <c r="F25" i="24"/>
  <c r="N25" i="24"/>
  <c r="G26" i="24"/>
  <c r="O26" i="24"/>
  <c r="H28" i="24"/>
  <c r="P28" i="24"/>
  <c r="I30" i="24"/>
  <c r="Q30" i="24"/>
  <c r="J31" i="24"/>
  <c r="C32" i="24"/>
  <c r="K32" i="24"/>
  <c r="D33" i="24"/>
  <c r="L33" i="24"/>
  <c r="S5" i="14"/>
  <c r="U6" i="14"/>
  <c r="W7" i="14"/>
  <c r="S9" i="14"/>
  <c r="U10" i="14"/>
  <c r="T16" i="11"/>
  <c r="T16" i="14" s="1"/>
  <c r="T17" i="14"/>
  <c r="V16" i="11"/>
  <c r="V16" i="14" s="1"/>
  <c r="V18" i="14"/>
  <c r="V18" i="17" s="1"/>
  <c r="W20" i="14"/>
  <c r="S22" i="14"/>
  <c r="U23" i="14"/>
  <c r="W24" i="14"/>
  <c r="T30" i="14"/>
  <c r="V31" i="14"/>
  <c r="E5" i="23"/>
  <c r="M5" i="23"/>
  <c r="F6" i="23"/>
  <c r="G7" i="23"/>
  <c r="O7" i="23"/>
  <c r="H8" i="23"/>
  <c r="P8" i="23"/>
  <c r="I9" i="23"/>
  <c r="Q9" i="23"/>
  <c r="J10" i="23"/>
  <c r="C11" i="23"/>
  <c r="K11" i="23"/>
  <c r="D12" i="23"/>
  <c r="L12" i="23"/>
  <c r="E13" i="23"/>
  <c r="M13" i="23"/>
  <c r="F14" i="23"/>
  <c r="N14" i="23"/>
  <c r="H17" i="23"/>
  <c r="P17" i="23"/>
  <c r="I18" i="23"/>
  <c r="Q18" i="23"/>
  <c r="J20" i="23"/>
  <c r="C21" i="23"/>
  <c r="K21" i="23"/>
  <c r="D22" i="23"/>
  <c r="L22" i="23"/>
  <c r="E23" i="23"/>
  <c r="M23" i="23"/>
  <c r="F24" i="23"/>
  <c r="N24" i="23"/>
  <c r="G25" i="23"/>
  <c r="O25" i="23"/>
  <c r="H26" i="23"/>
  <c r="P26" i="23"/>
  <c r="I28" i="23"/>
  <c r="Q28" i="23"/>
  <c r="J30" i="23"/>
  <c r="C31" i="23"/>
  <c r="K31" i="23"/>
  <c r="D32" i="23"/>
  <c r="L32" i="23"/>
  <c r="E33" i="23"/>
  <c r="M33" i="23"/>
  <c r="E5" i="24"/>
  <c r="M5" i="24"/>
  <c r="F6" i="24"/>
  <c r="G7" i="24"/>
  <c r="O7" i="24"/>
  <c r="H8" i="24"/>
  <c r="P8" i="24"/>
  <c r="I9" i="24"/>
  <c r="Q9" i="24"/>
  <c r="J10" i="24"/>
  <c r="C11" i="24"/>
  <c r="K11" i="24"/>
  <c r="D12" i="24"/>
  <c r="L12" i="24"/>
  <c r="E13" i="24"/>
  <c r="M13" i="24"/>
  <c r="F14" i="24"/>
  <c r="N14" i="24"/>
  <c r="H17" i="24"/>
  <c r="P17" i="24"/>
  <c r="I18" i="24"/>
  <c r="Q18" i="24"/>
  <c r="J20" i="24"/>
  <c r="C21" i="24"/>
  <c r="K21" i="24"/>
  <c r="D22" i="24"/>
  <c r="L22" i="24"/>
  <c r="E23" i="24"/>
  <c r="M23" i="24"/>
  <c r="F24" i="24"/>
  <c r="N24" i="24"/>
  <c r="G25" i="24"/>
  <c r="O25" i="24"/>
  <c r="H26" i="24"/>
  <c r="P26" i="24"/>
  <c r="I28" i="24"/>
  <c r="Q28" i="24"/>
  <c r="J30" i="24"/>
  <c r="C31" i="24"/>
  <c r="K31" i="24"/>
  <c r="D32" i="24"/>
  <c r="L32" i="24"/>
  <c r="E33" i="24"/>
  <c r="M33" i="24"/>
  <c r="R20" i="14"/>
  <c r="T5" i="14"/>
  <c r="V6" i="14"/>
  <c r="R8" i="14"/>
  <c r="T9" i="14"/>
  <c r="V10" i="14"/>
  <c r="U17" i="14"/>
  <c r="R21" i="14"/>
  <c r="T22" i="14"/>
  <c r="V23" i="14"/>
  <c r="U29" i="11"/>
  <c r="U29" i="14" s="1"/>
  <c r="U30" i="14"/>
  <c r="W29" i="11"/>
  <c r="W29" i="14" s="1"/>
  <c r="W31" i="14"/>
  <c r="F5" i="23"/>
  <c r="N5" i="23"/>
  <c r="G6" i="23"/>
  <c r="O6" i="23"/>
  <c r="H7" i="23"/>
  <c r="P7" i="23"/>
  <c r="I8" i="23"/>
  <c r="Q8" i="23"/>
  <c r="J9" i="23"/>
  <c r="C10" i="23"/>
  <c r="K10" i="23"/>
  <c r="D11" i="23"/>
  <c r="L11" i="23"/>
  <c r="E12" i="23"/>
  <c r="M12" i="23"/>
  <c r="F13" i="23"/>
  <c r="N13" i="23"/>
  <c r="G14" i="23"/>
  <c r="O14" i="23"/>
  <c r="I17" i="23"/>
  <c r="Q17" i="23"/>
  <c r="J18" i="23"/>
  <c r="C20" i="23"/>
  <c r="K20" i="23"/>
  <c r="D21" i="23"/>
  <c r="L21" i="23"/>
  <c r="E22" i="23"/>
  <c r="M22" i="23"/>
  <c r="F23" i="23"/>
  <c r="N23" i="23"/>
  <c r="G24" i="23"/>
  <c r="O24" i="23"/>
  <c r="H25" i="23"/>
  <c r="P25" i="23"/>
  <c r="I26" i="23"/>
  <c r="Q26" i="23"/>
  <c r="J28" i="23"/>
  <c r="C30" i="23"/>
  <c r="K30" i="23"/>
  <c r="D31" i="23"/>
  <c r="L31" i="23"/>
  <c r="E32" i="23"/>
  <c r="M32" i="23"/>
  <c r="F33" i="23"/>
  <c r="N33" i="23"/>
  <c r="F5" i="24"/>
  <c r="N5" i="24"/>
  <c r="G6" i="24"/>
  <c r="O6" i="24"/>
  <c r="H7" i="24"/>
  <c r="P7" i="24"/>
  <c r="I8" i="24"/>
  <c r="Q8" i="24"/>
  <c r="J9" i="24"/>
  <c r="C10" i="24"/>
  <c r="K10" i="24"/>
  <c r="D11" i="24"/>
  <c r="L11" i="24"/>
  <c r="E12" i="24"/>
  <c r="M12" i="24"/>
  <c r="F13" i="24"/>
  <c r="N13" i="24"/>
  <c r="G14" i="24"/>
  <c r="O14" i="24"/>
  <c r="I17" i="24"/>
  <c r="Q17" i="24"/>
  <c r="J18" i="24"/>
  <c r="C20" i="24"/>
  <c r="K20" i="24"/>
  <c r="D21" i="24"/>
  <c r="L21" i="24"/>
  <c r="E22" i="24"/>
  <c r="M22" i="24"/>
  <c r="F23" i="24"/>
  <c r="N23" i="24"/>
  <c r="G24" i="24"/>
  <c r="O24" i="24"/>
  <c r="H25" i="24"/>
  <c r="P25" i="24"/>
  <c r="I26" i="24"/>
  <c r="Q26" i="24"/>
  <c r="J28" i="24"/>
  <c r="C30" i="24"/>
  <c r="K30" i="24"/>
  <c r="D31" i="24"/>
  <c r="L31" i="24"/>
  <c r="E32" i="24"/>
  <c r="M32" i="24"/>
  <c r="F33" i="24"/>
  <c r="N33" i="24"/>
  <c r="U5" i="14"/>
  <c r="W6" i="14"/>
  <c r="S8" i="14"/>
  <c r="U9" i="14"/>
  <c r="W10" i="14"/>
  <c r="V17" i="14"/>
  <c r="S21" i="14"/>
  <c r="U22" i="14"/>
  <c r="W23" i="14"/>
  <c r="V30" i="14"/>
  <c r="R32" i="14"/>
  <c r="G5" i="23"/>
  <c r="O5" i="23"/>
  <c r="H6" i="23"/>
  <c r="P6" i="23"/>
  <c r="I7" i="23"/>
  <c r="Q7" i="23"/>
  <c r="J8" i="23"/>
  <c r="C9" i="23"/>
  <c r="K9" i="23"/>
  <c r="D10" i="23"/>
  <c r="L10" i="23"/>
  <c r="E11" i="23"/>
  <c r="M11" i="23"/>
  <c r="F12" i="23"/>
  <c r="N12" i="23"/>
  <c r="G13" i="23"/>
  <c r="O13" i="23"/>
  <c r="H14" i="23"/>
  <c r="P14" i="23"/>
  <c r="J17" i="23"/>
  <c r="C18" i="23"/>
  <c r="K18" i="23"/>
  <c r="D20" i="23"/>
  <c r="L20" i="23"/>
  <c r="E21" i="23"/>
  <c r="M21" i="23"/>
  <c r="F22" i="23"/>
  <c r="N22" i="23"/>
  <c r="G23" i="23"/>
  <c r="O23" i="23"/>
  <c r="H24" i="23"/>
  <c r="P24" i="23"/>
  <c r="I25" i="23"/>
  <c r="Q25" i="23"/>
  <c r="J26" i="23"/>
  <c r="C28" i="23"/>
  <c r="K28" i="23"/>
  <c r="D30" i="23"/>
  <c r="L30" i="23"/>
  <c r="E31" i="23"/>
  <c r="M31" i="23"/>
  <c r="F32" i="23"/>
  <c r="N32" i="23"/>
  <c r="G33" i="23"/>
  <c r="O33" i="23"/>
  <c r="G5" i="24"/>
  <c r="O5" i="24"/>
  <c r="H6" i="24"/>
  <c r="P6" i="24"/>
  <c r="I7" i="24"/>
  <c r="Q7" i="24"/>
  <c r="J8" i="24"/>
  <c r="C9" i="24"/>
  <c r="K9" i="24"/>
  <c r="D10" i="24"/>
  <c r="L10" i="24"/>
  <c r="E11" i="24"/>
  <c r="M11" i="24"/>
  <c r="F12" i="24"/>
  <c r="N12" i="24"/>
  <c r="G13" i="24"/>
  <c r="O13" i="24"/>
  <c r="H14" i="24"/>
  <c r="P14" i="24"/>
  <c r="J17" i="24"/>
  <c r="C18" i="24"/>
  <c r="K18" i="24"/>
  <c r="D20" i="24"/>
  <c r="L20" i="24"/>
  <c r="E21" i="24"/>
  <c r="M21" i="24"/>
  <c r="F22" i="24"/>
  <c r="N22" i="24"/>
  <c r="G23" i="24"/>
  <c r="O23" i="24"/>
  <c r="H24" i="24"/>
  <c r="P24" i="24"/>
  <c r="I25" i="24"/>
  <c r="Q25" i="24"/>
  <c r="J26" i="24"/>
  <c r="C28" i="24"/>
  <c r="K28" i="24"/>
  <c r="D30" i="24"/>
  <c r="L30" i="24"/>
  <c r="E31" i="24"/>
  <c r="M31" i="24"/>
  <c r="F32" i="24"/>
  <c r="N32" i="24"/>
  <c r="G33" i="24"/>
  <c r="O33" i="24"/>
  <c r="V4" i="11"/>
  <c r="V5" i="14"/>
  <c r="R4" i="11"/>
  <c r="R7" i="14"/>
  <c r="T8" i="14"/>
  <c r="V9" i="14"/>
  <c r="W16" i="11"/>
  <c r="W17" i="14"/>
  <c r="T19" i="11"/>
  <c r="V19" i="11"/>
  <c r="V22" i="14"/>
  <c r="R24" i="14"/>
  <c r="W30" i="14"/>
  <c r="S32" i="14"/>
  <c r="H5" i="23"/>
  <c r="P5" i="23"/>
  <c r="I6" i="23"/>
  <c r="Q6" i="23"/>
  <c r="J7" i="23"/>
  <c r="C8" i="23"/>
  <c r="K8" i="23"/>
  <c r="D9" i="23"/>
  <c r="L9" i="23"/>
  <c r="E10" i="23"/>
  <c r="M10" i="23"/>
  <c r="F11" i="23"/>
  <c r="N11" i="23"/>
  <c r="G12" i="23"/>
  <c r="O12" i="23"/>
  <c r="H13" i="23"/>
  <c r="P13" i="23"/>
  <c r="I14" i="23"/>
  <c r="Q14" i="23"/>
  <c r="C17" i="23"/>
  <c r="K17" i="23"/>
  <c r="D18" i="23"/>
  <c r="L18" i="23"/>
  <c r="E20" i="23"/>
  <c r="M20" i="23"/>
  <c r="F21" i="23"/>
  <c r="N21" i="23"/>
  <c r="G22" i="23"/>
  <c r="O22" i="23"/>
  <c r="H23" i="23"/>
  <c r="P23" i="23"/>
  <c r="I24" i="23"/>
  <c r="Q24" i="23"/>
  <c r="J25" i="23"/>
  <c r="C26" i="23"/>
  <c r="K26" i="23"/>
  <c r="D28" i="23"/>
  <c r="L28" i="23"/>
  <c r="E30" i="23"/>
  <c r="M30" i="23"/>
  <c r="F31" i="23"/>
  <c r="N31" i="23"/>
  <c r="G32" i="23"/>
  <c r="O32" i="23"/>
  <c r="H33" i="23"/>
  <c r="P33" i="23"/>
  <c r="H5" i="24"/>
  <c r="P5" i="24"/>
  <c r="I6" i="24"/>
  <c r="Q6" i="24"/>
  <c r="J7" i="24"/>
  <c r="C8" i="24"/>
  <c r="K8" i="24"/>
  <c r="D9" i="24"/>
  <c r="L9" i="24"/>
  <c r="E10" i="24"/>
  <c r="M10" i="24"/>
  <c r="F11" i="24"/>
  <c r="N11" i="24"/>
  <c r="G12" i="24"/>
  <c r="O12" i="24"/>
  <c r="H13" i="24"/>
  <c r="P13" i="24"/>
  <c r="I14" i="24"/>
  <c r="Q14" i="24"/>
  <c r="C17" i="24"/>
  <c r="K17" i="24"/>
  <c r="D18" i="24"/>
  <c r="L18" i="24"/>
  <c r="E20" i="24"/>
  <c r="M20" i="24"/>
  <c r="F21" i="24"/>
  <c r="N21" i="24"/>
  <c r="G22" i="24"/>
  <c r="O22" i="24"/>
  <c r="H23" i="24"/>
  <c r="P23" i="24"/>
  <c r="I24" i="24"/>
  <c r="Q24" i="24"/>
  <c r="J25" i="24"/>
  <c r="C26" i="24"/>
  <c r="K26" i="24"/>
  <c r="D28" i="24"/>
  <c r="L28" i="24"/>
  <c r="E30" i="24"/>
  <c r="M30" i="24"/>
  <c r="F31" i="24"/>
  <c r="N31" i="24"/>
  <c r="G32" i="24"/>
  <c r="O32" i="24"/>
  <c r="H33" i="24"/>
  <c r="P33" i="24"/>
  <c r="T4" i="11"/>
  <c r="S16" i="14"/>
  <c r="S20" i="14"/>
  <c r="U21" i="14"/>
  <c r="W22" i="14"/>
  <c r="S24" i="14"/>
  <c r="R31" i="14"/>
  <c r="T32" i="14"/>
  <c r="I5" i="23"/>
  <c r="Q5" i="23"/>
  <c r="J6" i="23"/>
  <c r="C7" i="23"/>
  <c r="K7" i="23"/>
  <c r="D8" i="23"/>
  <c r="L8" i="23"/>
  <c r="E9" i="23"/>
  <c r="M9" i="23"/>
  <c r="F10" i="23"/>
  <c r="N10" i="23"/>
  <c r="G11" i="23"/>
  <c r="O11" i="23"/>
  <c r="H12" i="23"/>
  <c r="P12" i="23"/>
  <c r="I13" i="23"/>
  <c r="Q13" i="23"/>
  <c r="J14" i="23"/>
  <c r="D17" i="23"/>
  <c r="L17" i="23"/>
  <c r="E18" i="23"/>
  <c r="M18" i="23"/>
  <c r="F20" i="23"/>
  <c r="N20" i="23"/>
  <c r="G21" i="23"/>
  <c r="O21" i="23"/>
  <c r="H22" i="23"/>
  <c r="P22" i="23"/>
  <c r="I23" i="23"/>
  <c r="Q23" i="23"/>
  <c r="J24" i="23"/>
  <c r="C25" i="23"/>
  <c r="K25" i="23"/>
  <c r="D26" i="23"/>
  <c r="L26" i="23"/>
  <c r="E28" i="23"/>
  <c r="M28" i="23"/>
  <c r="F30" i="23"/>
  <c r="N30" i="23"/>
  <c r="G31" i="23"/>
  <c r="O31" i="23"/>
  <c r="H32" i="23"/>
  <c r="P32" i="23"/>
  <c r="I33" i="23"/>
  <c r="Q33" i="23"/>
  <c r="I5" i="24"/>
  <c r="Q5" i="24"/>
  <c r="J6" i="24"/>
  <c r="C7" i="24"/>
  <c r="K7" i="24"/>
  <c r="D8" i="24"/>
  <c r="L8" i="24"/>
  <c r="E9" i="24"/>
  <c r="M9" i="24"/>
  <c r="F10" i="24"/>
  <c r="N10" i="24"/>
  <c r="G11" i="24"/>
  <c r="O11" i="24"/>
  <c r="H12" i="24"/>
  <c r="P12" i="24"/>
  <c r="I13" i="24"/>
  <c r="Q13" i="24"/>
  <c r="J14" i="24"/>
  <c r="D17" i="24"/>
  <c r="L17" i="24"/>
  <c r="E18" i="24"/>
  <c r="M18" i="24"/>
  <c r="F20" i="24"/>
  <c r="N20" i="24"/>
  <c r="G21" i="24"/>
  <c r="O21" i="24"/>
  <c r="H22" i="24"/>
  <c r="P22" i="24"/>
  <c r="I23" i="24"/>
  <c r="Q23" i="24"/>
  <c r="J24" i="24"/>
  <c r="C25" i="24"/>
  <c r="K25" i="24"/>
  <c r="D26" i="24"/>
  <c r="L26" i="24"/>
  <c r="E28" i="24"/>
  <c r="M28" i="24"/>
  <c r="F30" i="24"/>
  <c r="N30" i="24"/>
  <c r="G31" i="24"/>
  <c r="O31" i="24"/>
  <c r="H32" i="24"/>
  <c r="P32" i="24"/>
  <c r="I33" i="24"/>
  <c r="Q33" i="24"/>
  <c r="S21" i="25"/>
  <c r="S19" i="22"/>
  <c r="S19" i="25" s="1"/>
  <c r="V31" i="23"/>
  <c r="V29" i="19"/>
  <c r="T5" i="24"/>
  <c r="T5" i="21"/>
  <c r="V6" i="24"/>
  <c r="V6" i="21"/>
  <c r="R8" i="24"/>
  <c r="R8" i="21"/>
  <c r="T9" i="24"/>
  <c r="T9" i="21"/>
  <c r="V10" i="24"/>
  <c r="V10" i="21"/>
  <c r="R12" i="24"/>
  <c r="R12" i="21"/>
  <c r="T13" i="24"/>
  <c r="T13" i="21"/>
  <c r="V14" i="24"/>
  <c r="V14" i="21"/>
  <c r="W16" i="24"/>
  <c r="S18" i="24"/>
  <c r="S18" i="21"/>
  <c r="T19" i="20"/>
  <c r="T20" i="24"/>
  <c r="T20" i="21"/>
  <c r="V21" i="24"/>
  <c r="V21" i="21"/>
  <c r="R23" i="24"/>
  <c r="R23" i="21"/>
  <c r="T24" i="24"/>
  <c r="T24" i="21"/>
  <c r="V25" i="24"/>
  <c r="V25" i="21"/>
  <c r="R28" i="24"/>
  <c r="R27" i="24"/>
  <c r="R27" i="21"/>
  <c r="T30" i="24"/>
  <c r="T30" i="21"/>
  <c r="V31" i="24"/>
  <c r="V31" i="21"/>
  <c r="R33" i="24"/>
  <c r="R33" i="21"/>
  <c r="R26" i="21"/>
  <c r="S4" i="22"/>
  <c r="U29" i="22"/>
  <c r="U29" i="25" s="1"/>
  <c r="U30" i="25"/>
  <c r="U4" i="22"/>
  <c r="U4" i="25" s="1"/>
  <c r="U5" i="25"/>
  <c r="W6" i="25"/>
  <c r="W4" i="22"/>
  <c r="W16" i="22"/>
  <c r="W16" i="25" s="1"/>
  <c r="W17" i="25"/>
  <c r="V19" i="19"/>
  <c r="V19" i="23" s="1"/>
  <c r="V20" i="23"/>
  <c r="R19" i="19"/>
  <c r="R19" i="23" s="1"/>
  <c r="R22" i="23"/>
  <c r="T23" i="23"/>
  <c r="T19" i="19"/>
  <c r="T19" i="23" s="1"/>
  <c r="T27" i="23"/>
  <c r="T28" i="23"/>
  <c r="S17" i="23"/>
  <c r="S16" i="19"/>
  <c r="S16" i="23" s="1"/>
  <c r="R10" i="21"/>
  <c r="V20" i="21"/>
  <c r="T11" i="21"/>
  <c r="R22" i="21"/>
  <c r="R4" i="19"/>
  <c r="R6" i="23"/>
  <c r="T4" i="19"/>
  <c r="T7" i="23"/>
  <c r="V8" i="23"/>
  <c r="V4" i="19"/>
  <c r="V4" i="23" s="1"/>
  <c r="V12" i="21"/>
  <c r="T23" i="21"/>
  <c r="R14" i="21"/>
  <c r="V24" i="21"/>
  <c r="U15" i="18"/>
  <c r="U15" i="23" s="1"/>
  <c r="W5" i="23"/>
  <c r="S7" i="23"/>
  <c r="U8" i="23"/>
  <c r="W9" i="23"/>
  <c r="S11" i="23"/>
  <c r="U12" i="23"/>
  <c r="W13" i="23"/>
  <c r="U20" i="23"/>
  <c r="W21" i="23"/>
  <c r="S23" i="23"/>
  <c r="U24" i="23"/>
  <c r="W25" i="23"/>
  <c r="S27" i="23"/>
  <c r="S28" i="23"/>
  <c r="S30" i="23"/>
  <c r="U31" i="23"/>
  <c r="W32" i="23"/>
  <c r="S4" i="20"/>
  <c r="S5" i="24"/>
  <c r="U4" i="20"/>
  <c r="U6" i="24"/>
  <c r="W4" i="20"/>
  <c r="W7" i="24"/>
  <c r="S9" i="24"/>
  <c r="W11" i="24"/>
  <c r="S13" i="24"/>
  <c r="U14" i="24"/>
  <c r="R18" i="24"/>
  <c r="S20" i="24"/>
  <c r="S20" i="27" s="1"/>
  <c r="U21" i="24"/>
  <c r="W22" i="24"/>
  <c r="S24" i="24"/>
  <c r="U25" i="24"/>
  <c r="W26" i="24"/>
  <c r="S29" i="20"/>
  <c r="S30" i="24"/>
  <c r="U31" i="24"/>
  <c r="W29" i="20"/>
  <c r="W32" i="24"/>
  <c r="T5" i="25"/>
  <c r="V6" i="25"/>
  <c r="R8" i="25"/>
  <c r="T9" i="25"/>
  <c r="V10" i="25"/>
  <c r="V16" i="22"/>
  <c r="V16" i="25" s="1"/>
  <c r="V17" i="25"/>
  <c r="R21" i="25"/>
  <c r="T22" i="25"/>
  <c r="V23" i="25"/>
  <c r="V31" i="25"/>
  <c r="S15" i="18"/>
  <c r="S15" i="23" s="1"/>
  <c r="S6" i="23"/>
  <c r="U7" i="23"/>
  <c r="W8" i="23"/>
  <c r="S10" i="23"/>
  <c r="U11" i="23"/>
  <c r="W12" i="23"/>
  <c r="S14" i="23"/>
  <c r="T17" i="23"/>
  <c r="V18" i="23"/>
  <c r="W19" i="19"/>
  <c r="W20" i="23"/>
  <c r="S22" i="23"/>
  <c r="U23" i="23"/>
  <c r="W24" i="23"/>
  <c r="S26" i="23"/>
  <c r="U28" i="23"/>
  <c r="U29" i="19"/>
  <c r="U29" i="23" s="1"/>
  <c r="U30" i="23"/>
  <c r="W29" i="19"/>
  <c r="W29" i="23" s="1"/>
  <c r="W31" i="23"/>
  <c r="S33" i="23"/>
  <c r="U5" i="24"/>
  <c r="W6" i="24"/>
  <c r="S8" i="24"/>
  <c r="U9" i="24"/>
  <c r="W10" i="24"/>
  <c r="S12" i="24"/>
  <c r="U13" i="24"/>
  <c r="W14" i="24"/>
  <c r="R16" i="20"/>
  <c r="R17" i="24"/>
  <c r="T16" i="20"/>
  <c r="T18" i="24"/>
  <c r="U20" i="24"/>
  <c r="W21" i="24"/>
  <c r="S23" i="24"/>
  <c r="U24" i="24"/>
  <c r="W25" i="24"/>
  <c r="S28" i="24"/>
  <c r="S27" i="24"/>
  <c r="U29" i="20"/>
  <c r="U30" i="24"/>
  <c r="W31" i="24"/>
  <c r="S33" i="24"/>
  <c r="V4" i="22"/>
  <c r="V4" i="25" s="1"/>
  <c r="V5" i="25"/>
  <c r="R4" i="22"/>
  <c r="R7" i="25"/>
  <c r="T8" i="25"/>
  <c r="V9" i="25"/>
  <c r="R16" i="25"/>
  <c r="R19" i="22"/>
  <c r="R19" i="25" s="1"/>
  <c r="R20" i="25"/>
  <c r="T21" i="25"/>
  <c r="V19" i="22"/>
  <c r="V19" i="25" s="1"/>
  <c r="V22" i="25"/>
  <c r="R24" i="25"/>
  <c r="V30" i="25"/>
  <c r="V13" i="24"/>
  <c r="U19" i="18"/>
  <c r="U27" i="23" s="1"/>
  <c r="U16" i="19"/>
  <c r="U16" i="23" s="1"/>
  <c r="U17" i="23"/>
  <c r="W16" i="19"/>
  <c r="W16" i="23" s="1"/>
  <c r="W18" i="23"/>
  <c r="R21" i="23"/>
  <c r="T22" i="23"/>
  <c r="V23" i="23"/>
  <c r="R25" i="23"/>
  <c r="T26" i="23"/>
  <c r="V27" i="23"/>
  <c r="V28" i="23"/>
  <c r="V30" i="23"/>
  <c r="R32" i="23"/>
  <c r="T33" i="23"/>
  <c r="V4" i="20"/>
  <c r="V5" i="24"/>
  <c r="R7" i="24"/>
  <c r="T8" i="24"/>
  <c r="V9" i="24"/>
  <c r="R11" i="24"/>
  <c r="T12" i="24"/>
  <c r="S16" i="20"/>
  <c r="S17" i="24"/>
  <c r="U16" i="20"/>
  <c r="U18" i="24"/>
  <c r="V20" i="24"/>
  <c r="R22" i="24"/>
  <c r="T23" i="24"/>
  <c r="V24" i="24"/>
  <c r="R26" i="24"/>
  <c r="T27" i="24"/>
  <c r="T28" i="24"/>
  <c r="V29" i="20"/>
  <c r="V30" i="24"/>
  <c r="R32" i="24"/>
  <c r="T33" i="24"/>
  <c r="R17" i="21"/>
  <c r="T18" i="21"/>
  <c r="W5" i="25"/>
  <c r="S7" i="25"/>
  <c r="U8" i="25"/>
  <c r="W9" i="25"/>
  <c r="U16" i="25"/>
  <c r="S20" i="25"/>
  <c r="S20" i="28" s="1"/>
  <c r="U21" i="25"/>
  <c r="W22" i="25"/>
  <c r="S24" i="25"/>
  <c r="W30" i="25"/>
  <c r="S32" i="25"/>
  <c r="S5" i="23"/>
  <c r="U6" i="23"/>
  <c r="W7" i="23"/>
  <c r="S9" i="23"/>
  <c r="U10" i="23"/>
  <c r="W11" i="23"/>
  <c r="S13" i="23"/>
  <c r="U14" i="23"/>
  <c r="V17" i="23"/>
  <c r="S21" i="23"/>
  <c r="U22" i="23"/>
  <c r="W23" i="23"/>
  <c r="S25" i="23"/>
  <c r="U26" i="23"/>
  <c r="W28" i="23"/>
  <c r="W30" i="23"/>
  <c r="S32" i="23"/>
  <c r="U33" i="23"/>
  <c r="W5" i="24"/>
  <c r="S7" i="24"/>
  <c r="U8" i="24"/>
  <c r="W9" i="24"/>
  <c r="S11" i="24"/>
  <c r="U12" i="24"/>
  <c r="W13" i="24"/>
  <c r="T17" i="24"/>
  <c r="V18" i="24"/>
  <c r="W20" i="24"/>
  <c r="S22" i="24"/>
  <c r="U23" i="24"/>
  <c r="W24" i="24"/>
  <c r="S26" i="24"/>
  <c r="U28" i="24"/>
  <c r="W30" i="24"/>
  <c r="S32" i="24"/>
  <c r="U33" i="24"/>
  <c r="S5" i="21"/>
  <c r="U6" i="21"/>
  <c r="W7" i="21"/>
  <c r="S9" i="21"/>
  <c r="W11" i="21"/>
  <c r="S13" i="21"/>
  <c r="U14" i="21"/>
  <c r="W15" i="21"/>
  <c r="S17" i="21"/>
  <c r="U18" i="21"/>
  <c r="S30" i="21"/>
  <c r="U31" i="21"/>
  <c r="W32" i="21"/>
  <c r="R6" i="25"/>
  <c r="T7" i="25"/>
  <c r="V8" i="25"/>
  <c r="R10" i="25"/>
  <c r="R17" i="25"/>
  <c r="T19" i="22"/>
  <c r="T19" i="25" s="1"/>
  <c r="T20" i="25"/>
  <c r="V21" i="25"/>
  <c r="R23" i="25"/>
  <c r="T24" i="25"/>
  <c r="R31" i="25"/>
  <c r="R15" i="18"/>
  <c r="R15" i="23" s="1"/>
  <c r="T4" i="18"/>
  <c r="T3" i="18" s="1"/>
  <c r="V15" i="18"/>
  <c r="V15" i="23" s="1"/>
  <c r="W19" i="18"/>
  <c r="W19" i="25" s="1"/>
  <c r="V29" i="18"/>
  <c r="T5" i="23"/>
  <c r="V6" i="23"/>
  <c r="R8" i="23"/>
  <c r="T9" i="23"/>
  <c r="V10" i="23"/>
  <c r="R12" i="23"/>
  <c r="T13" i="23"/>
  <c r="V14" i="23"/>
  <c r="W17" i="23"/>
  <c r="R20" i="23"/>
  <c r="T21" i="23"/>
  <c r="V22" i="23"/>
  <c r="R24" i="23"/>
  <c r="T25" i="23"/>
  <c r="V26" i="23"/>
  <c r="S29" i="19"/>
  <c r="R29" i="19"/>
  <c r="R29" i="23" s="1"/>
  <c r="R31" i="23"/>
  <c r="T29" i="19"/>
  <c r="T29" i="23" s="1"/>
  <c r="T32" i="23"/>
  <c r="V33" i="23"/>
  <c r="R6" i="24"/>
  <c r="V8" i="24"/>
  <c r="R10" i="24"/>
  <c r="T11" i="24"/>
  <c r="V12" i="24"/>
  <c r="R14" i="24"/>
  <c r="U17" i="24"/>
  <c r="W18" i="24"/>
  <c r="R19" i="20"/>
  <c r="R21" i="24"/>
  <c r="T22" i="24"/>
  <c r="V19" i="20"/>
  <c r="V23" i="24"/>
  <c r="R25" i="24"/>
  <c r="T26" i="24"/>
  <c r="V28" i="24"/>
  <c r="V27" i="24"/>
  <c r="R31" i="24"/>
  <c r="T32" i="24"/>
  <c r="V33" i="24"/>
  <c r="T17" i="21"/>
  <c r="V18" i="21"/>
  <c r="S6" i="25"/>
  <c r="U7" i="25"/>
  <c r="W8" i="25"/>
  <c r="S10" i="25"/>
  <c r="S16" i="22"/>
  <c r="S16" i="25" s="1"/>
  <c r="S17" i="25"/>
  <c r="U19" i="22"/>
  <c r="U20" i="25"/>
  <c r="W21" i="25"/>
  <c r="S23" i="25"/>
  <c r="U24" i="25"/>
  <c r="W29" i="22"/>
  <c r="W29" i="25" s="1"/>
  <c r="S31" i="25"/>
  <c r="S29" i="18"/>
  <c r="S29" i="25" s="1"/>
  <c r="U4" i="19"/>
  <c r="U5" i="23"/>
  <c r="W4" i="19"/>
  <c r="W6" i="23"/>
  <c r="S8" i="23"/>
  <c r="U9" i="23"/>
  <c r="W10" i="23"/>
  <c r="S12" i="23"/>
  <c r="U13" i="23"/>
  <c r="W14" i="23"/>
  <c r="T16" i="23"/>
  <c r="R16" i="19"/>
  <c r="R16" i="23" s="1"/>
  <c r="R18" i="23"/>
  <c r="S19" i="19"/>
  <c r="S19" i="23" s="1"/>
  <c r="S20" i="23"/>
  <c r="S20" i="26" s="1"/>
  <c r="U19" i="19"/>
  <c r="U19" i="23" s="1"/>
  <c r="U21" i="23"/>
  <c r="W22" i="23"/>
  <c r="S24" i="23"/>
  <c r="U25" i="23"/>
  <c r="W26" i="23"/>
  <c r="S31" i="23"/>
  <c r="U32" i="23"/>
  <c r="W33" i="23"/>
  <c r="S6" i="24"/>
  <c r="U7" i="24"/>
  <c r="W8" i="24"/>
  <c r="S10" i="24"/>
  <c r="U11" i="24"/>
  <c r="W12" i="24"/>
  <c r="S14" i="24"/>
  <c r="U15" i="24"/>
  <c r="V16" i="20"/>
  <c r="V17" i="24"/>
  <c r="S19" i="20"/>
  <c r="S21" i="24"/>
  <c r="U19" i="20"/>
  <c r="U22" i="24"/>
  <c r="W23" i="24"/>
  <c r="S25" i="24"/>
  <c r="U26" i="24"/>
  <c r="W28" i="24"/>
  <c r="S31" i="24"/>
  <c r="U32" i="24"/>
  <c r="W33" i="24"/>
  <c r="U5" i="21"/>
  <c r="W6" i="21"/>
  <c r="S8" i="21"/>
  <c r="U9" i="21"/>
  <c r="W10" i="21"/>
  <c r="S12" i="21"/>
  <c r="U13" i="21"/>
  <c r="W14" i="21"/>
  <c r="U17" i="21"/>
  <c r="W18" i="21"/>
  <c r="S20" i="21"/>
  <c r="U21" i="21"/>
  <c r="W22" i="21"/>
  <c r="S24" i="21"/>
  <c r="U25" i="21"/>
  <c r="W26" i="21"/>
  <c r="U30" i="21"/>
  <c r="W31" i="21"/>
  <c r="S33" i="21"/>
  <c r="R5" i="25"/>
  <c r="T6" i="25"/>
  <c r="V7" i="25"/>
  <c r="R9" i="25"/>
  <c r="T10" i="25"/>
  <c r="T16" i="22"/>
  <c r="T16" i="25" s="1"/>
  <c r="T17" i="25"/>
  <c r="V20" i="25"/>
  <c r="R22" i="25"/>
  <c r="T23" i="25"/>
  <c r="V24" i="25"/>
  <c r="R29" i="22"/>
  <c r="R29" i="25" s="1"/>
  <c r="R30" i="25"/>
  <c r="T15" i="18"/>
  <c r="T15" i="23" s="1"/>
  <c r="V5" i="23"/>
  <c r="R7" i="23"/>
  <c r="T8" i="23"/>
  <c r="V9" i="23"/>
  <c r="R11" i="23"/>
  <c r="T12" i="23"/>
  <c r="V13" i="23"/>
  <c r="V16" i="19"/>
  <c r="V16" i="23" s="1"/>
  <c r="S18" i="23"/>
  <c r="T20" i="23"/>
  <c r="R23" i="23"/>
  <c r="T24" i="23"/>
  <c r="V25" i="23"/>
  <c r="R27" i="23"/>
  <c r="R28" i="23"/>
  <c r="R30" i="23"/>
  <c r="T31" i="23"/>
  <c r="V32" i="23"/>
  <c r="R4" i="20"/>
  <c r="R5" i="24"/>
  <c r="T4" i="20"/>
  <c r="T6" i="24"/>
  <c r="V7" i="24"/>
  <c r="R9" i="24"/>
  <c r="T10" i="24"/>
  <c r="V11" i="24"/>
  <c r="R13" i="24"/>
  <c r="T14" i="24"/>
  <c r="W17" i="24"/>
  <c r="R20" i="24"/>
  <c r="T21" i="24"/>
  <c r="V22" i="24"/>
  <c r="R24" i="24"/>
  <c r="T25" i="24"/>
  <c r="V26" i="24"/>
  <c r="R29" i="20"/>
  <c r="R30" i="24"/>
  <c r="T29" i="20"/>
  <c r="T31" i="24"/>
  <c r="V32" i="24"/>
  <c r="V5" i="21"/>
  <c r="R7" i="21"/>
  <c r="T8" i="21"/>
  <c r="V9" i="21"/>
  <c r="R11" i="21"/>
  <c r="T12" i="21"/>
  <c r="R15" i="21"/>
  <c r="V17" i="21"/>
  <c r="V30" i="21"/>
  <c r="R32" i="21"/>
  <c r="T33" i="21"/>
  <c r="S5" i="25"/>
  <c r="U6" i="25"/>
  <c r="W7" i="25"/>
  <c r="S9" i="25"/>
  <c r="U10" i="25"/>
  <c r="U17" i="25"/>
  <c r="W20" i="25"/>
  <c r="S22" i="25"/>
  <c r="U23" i="25"/>
  <c r="W24" i="25"/>
  <c r="S30" i="25"/>
  <c r="R32" i="25"/>
  <c r="T32" i="25"/>
  <c r="U32" i="25"/>
  <c r="U32" i="28" s="1"/>
  <c r="T31" i="25"/>
  <c r="V29" i="22"/>
  <c r="V32" i="25"/>
  <c r="V32" i="28" s="1"/>
  <c r="U31" i="25"/>
  <c r="W32" i="25"/>
  <c r="W32" i="28" s="1"/>
  <c r="T29" i="22"/>
  <c r="T29" i="25" s="1"/>
  <c r="T30" i="25"/>
  <c r="W31" i="25"/>
  <c r="B72" i="29"/>
  <c r="B16" i="29"/>
  <c r="B8" i="29" s="1"/>
  <c r="T3" i="31"/>
  <c r="I11" i="29"/>
  <c r="I4" i="29"/>
  <c r="Q11" i="29"/>
  <c r="Q4" i="29"/>
  <c r="E5" i="29"/>
  <c r="E11" i="29"/>
  <c r="M5" i="29"/>
  <c r="M11" i="29"/>
  <c r="U5" i="31"/>
  <c r="U5" i="29"/>
  <c r="U7" i="29"/>
  <c r="U5" i="33"/>
  <c r="U5" i="35"/>
  <c r="U9" i="29"/>
  <c r="U69" i="29"/>
  <c r="U6" i="31" s="1"/>
  <c r="U8" i="31"/>
  <c r="U71" i="29"/>
  <c r="U6" i="33" s="1"/>
  <c r="U8" i="33"/>
  <c r="U73" i="29"/>
  <c r="U6" i="35" s="1"/>
  <c r="U8" i="35"/>
  <c r="V3" i="30"/>
  <c r="O3" i="29"/>
  <c r="F3" i="29"/>
  <c r="W8" i="34"/>
  <c r="S3" i="33"/>
  <c r="S8" i="32"/>
  <c r="W3" i="31"/>
  <c r="W8" i="30"/>
  <c r="W8" i="35"/>
  <c r="S8" i="33"/>
  <c r="U8" i="32"/>
  <c r="W8" i="31"/>
  <c r="B69" i="29"/>
  <c r="T3" i="34"/>
  <c r="R8" i="34"/>
  <c r="T8" i="33"/>
  <c r="V8" i="32"/>
  <c r="R3" i="31"/>
  <c r="R8" i="30"/>
  <c r="P3" i="29"/>
  <c r="S3" i="35"/>
  <c r="U3" i="34"/>
  <c r="S8" i="34"/>
  <c r="W8" i="32"/>
  <c r="S3" i="31"/>
  <c r="S8" i="30"/>
  <c r="G3" i="29"/>
  <c r="P11" i="29"/>
  <c r="R8" i="35"/>
  <c r="V3" i="34"/>
  <c r="T8" i="34"/>
  <c r="V8" i="33"/>
  <c r="T5" i="32"/>
  <c r="R8" i="31"/>
  <c r="T8" i="30"/>
  <c r="C69" i="29"/>
  <c r="H11" i="29"/>
  <c r="S8" i="35"/>
  <c r="W3" i="34"/>
  <c r="U8" i="34"/>
  <c r="W8" i="33"/>
  <c r="S8" i="31"/>
  <c r="W3" i="30"/>
  <c r="U8" i="30"/>
  <c r="B7" i="29"/>
  <c r="T8" i="35"/>
  <c r="V8" i="34"/>
  <c r="R3" i="33"/>
  <c r="T3" i="32"/>
  <c r="R8" i="32"/>
  <c r="T8" i="31"/>
  <c r="V8" i="30"/>
  <c r="H3" i="29"/>
  <c r="D4" i="29"/>
  <c r="L4" i="29"/>
  <c r="T4" i="29"/>
  <c r="C8" i="29"/>
  <c r="C12" i="29"/>
  <c r="W15" i="18"/>
  <c r="W15" i="24" s="1"/>
  <c r="R4" i="18"/>
  <c r="R3" i="18" s="1"/>
  <c r="S4" i="18"/>
  <c r="S3" i="18" s="1"/>
  <c r="V15" i="7"/>
  <c r="V15" i="12" s="1"/>
  <c r="T4" i="7"/>
  <c r="T3" i="7" s="1"/>
  <c r="U4" i="7"/>
  <c r="U3" i="7" s="1"/>
  <c r="N3" i="29" l="1"/>
  <c r="R3" i="35"/>
  <c r="T3" i="35"/>
  <c r="U3" i="32"/>
  <c r="K3" i="29"/>
  <c r="V3" i="32"/>
  <c r="W3" i="32"/>
  <c r="W3" i="35"/>
  <c r="V3" i="31"/>
  <c r="W3" i="8"/>
  <c r="W3" i="29"/>
  <c r="V4" i="14"/>
  <c r="U19" i="25"/>
  <c r="U3" i="30"/>
  <c r="R3" i="8"/>
  <c r="U27" i="24"/>
  <c r="R3" i="29"/>
  <c r="S3" i="30"/>
  <c r="T15" i="12"/>
  <c r="T19" i="14"/>
  <c r="T3" i="11"/>
  <c r="T27" i="13"/>
  <c r="S3" i="32"/>
  <c r="S15" i="24"/>
  <c r="S3" i="29"/>
  <c r="S3" i="34"/>
  <c r="U3" i="22"/>
  <c r="V3" i="19"/>
  <c r="R19" i="14"/>
  <c r="S3" i="8"/>
  <c r="S3" i="12" s="1"/>
  <c r="V3" i="33"/>
  <c r="V3" i="29"/>
  <c r="W16" i="14"/>
  <c r="W27" i="24"/>
  <c r="W19" i="24"/>
  <c r="W27" i="23"/>
  <c r="U27" i="13"/>
  <c r="R3" i="30"/>
  <c r="R3" i="34"/>
  <c r="J3" i="29"/>
  <c r="T15" i="24"/>
  <c r="V27" i="13"/>
  <c r="U27" i="12"/>
  <c r="U19" i="13"/>
  <c r="R15" i="12"/>
  <c r="V3" i="22"/>
  <c r="V3" i="25" s="1"/>
  <c r="R4" i="12"/>
  <c r="R27" i="12"/>
  <c r="S29" i="23"/>
  <c r="W16" i="21"/>
  <c r="V19" i="14"/>
  <c r="R4" i="14"/>
  <c r="V15" i="24"/>
  <c r="T3" i="29"/>
  <c r="T3" i="30"/>
  <c r="V3" i="20"/>
  <c r="V4" i="24"/>
  <c r="V4" i="21"/>
  <c r="S4" i="13"/>
  <c r="S4" i="10"/>
  <c r="S19" i="13"/>
  <c r="S19" i="10"/>
  <c r="R3" i="12"/>
  <c r="E3" i="29"/>
  <c r="R3" i="20"/>
  <c r="R4" i="24"/>
  <c r="R4" i="21"/>
  <c r="S19" i="24"/>
  <c r="S19" i="21"/>
  <c r="S3" i="19"/>
  <c r="T3" i="19"/>
  <c r="T4" i="23"/>
  <c r="R19" i="13"/>
  <c r="R19" i="10"/>
  <c r="V15" i="13"/>
  <c r="R29" i="14"/>
  <c r="U29" i="13"/>
  <c r="U29" i="10"/>
  <c r="V16" i="13"/>
  <c r="V16" i="10"/>
  <c r="V19" i="12"/>
  <c r="W29" i="10"/>
  <c r="T3" i="8"/>
  <c r="T4" i="12"/>
  <c r="R4" i="13"/>
  <c r="R4" i="10"/>
  <c r="S3" i="9"/>
  <c r="R15" i="24"/>
  <c r="R3" i="19"/>
  <c r="R4" i="23"/>
  <c r="T4" i="14"/>
  <c r="U16" i="13"/>
  <c r="U16" i="10"/>
  <c r="T16" i="13"/>
  <c r="T16" i="10"/>
  <c r="S29" i="13"/>
  <c r="S29" i="10"/>
  <c r="T19" i="12"/>
  <c r="R29" i="13"/>
  <c r="R29" i="10"/>
  <c r="W16" i="12"/>
  <c r="S3" i="20"/>
  <c r="S4" i="24"/>
  <c r="S4" i="21"/>
  <c r="L3" i="29"/>
  <c r="R3" i="9"/>
  <c r="I3" i="29"/>
  <c r="V16" i="24"/>
  <c r="V16" i="21"/>
  <c r="U3" i="19"/>
  <c r="U4" i="23"/>
  <c r="U29" i="24"/>
  <c r="U29" i="21"/>
  <c r="W19" i="23"/>
  <c r="W19" i="21"/>
  <c r="W3" i="22"/>
  <c r="W4" i="25"/>
  <c r="V29" i="23"/>
  <c r="S16" i="13"/>
  <c r="S16" i="10"/>
  <c r="U3" i="9"/>
  <c r="U4" i="13"/>
  <c r="U4" i="10"/>
  <c r="V19" i="13"/>
  <c r="V19" i="10"/>
  <c r="U3" i="33"/>
  <c r="T3" i="22"/>
  <c r="D3" i="29"/>
  <c r="U3" i="29"/>
  <c r="U3" i="31"/>
  <c r="R3" i="22"/>
  <c r="T29" i="24"/>
  <c r="T29" i="21"/>
  <c r="V19" i="24"/>
  <c r="V19" i="21"/>
  <c r="W15" i="23"/>
  <c r="T16" i="24"/>
  <c r="T16" i="21"/>
  <c r="W29" i="24"/>
  <c r="W29" i="21"/>
  <c r="S4" i="12"/>
  <c r="V29" i="14"/>
  <c r="S3" i="11"/>
  <c r="S4" i="14"/>
  <c r="V3" i="9"/>
  <c r="V4" i="13"/>
  <c r="V4" i="10"/>
  <c r="V29" i="12"/>
  <c r="R19" i="12"/>
  <c r="W3" i="19"/>
  <c r="W4" i="23"/>
  <c r="S16" i="24"/>
  <c r="S16" i="21"/>
  <c r="R4" i="25"/>
  <c r="W3" i="20"/>
  <c r="W4" i="24"/>
  <c r="W4" i="21"/>
  <c r="V29" i="13"/>
  <c r="V29" i="10"/>
  <c r="R16" i="13"/>
  <c r="R16" i="10"/>
  <c r="R3" i="11"/>
  <c r="T3" i="20"/>
  <c r="T4" i="24"/>
  <c r="T4" i="21"/>
  <c r="U19" i="24"/>
  <c r="U19" i="21"/>
  <c r="V29" i="24"/>
  <c r="V29" i="21"/>
  <c r="R16" i="24"/>
  <c r="R16" i="21"/>
  <c r="T19" i="24"/>
  <c r="T19" i="21"/>
  <c r="T19" i="13"/>
  <c r="T19" i="10"/>
  <c r="W3" i="12"/>
  <c r="T29" i="14"/>
  <c r="U3" i="8"/>
  <c r="U4" i="12"/>
  <c r="W3" i="11"/>
  <c r="T3" i="9"/>
  <c r="T4" i="13"/>
  <c r="T4" i="10"/>
  <c r="V4" i="12"/>
  <c r="Q3" i="29"/>
  <c r="S3" i="22"/>
  <c r="S4" i="25"/>
  <c r="V3" i="11"/>
  <c r="M3" i="29"/>
  <c r="R29" i="24"/>
  <c r="R29" i="21"/>
  <c r="V3" i="8"/>
  <c r="U3" i="35"/>
  <c r="V29" i="25"/>
  <c r="R19" i="24"/>
  <c r="R19" i="21"/>
  <c r="T4" i="25"/>
  <c r="U16" i="24"/>
  <c r="U16" i="21"/>
  <c r="S29" i="24"/>
  <c r="S29" i="21"/>
  <c r="U3" i="20"/>
  <c r="U4" i="24"/>
  <c r="U4" i="21"/>
  <c r="S4" i="23"/>
  <c r="U3" i="11"/>
  <c r="U19" i="14"/>
  <c r="T29" i="12"/>
  <c r="U4" i="14"/>
  <c r="W19" i="13"/>
  <c r="W19" i="10"/>
  <c r="T29" i="13"/>
  <c r="T29" i="10"/>
  <c r="W3" i="9"/>
  <c r="W4" i="13"/>
  <c r="W4" i="10"/>
  <c r="C11" i="29"/>
  <c r="C4" i="29"/>
  <c r="V3" i="23" l="1"/>
  <c r="T3" i="14"/>
  <c r="U3" i="25"/>
  <c r="W3" i="13"/>
  <c r="W3" i="10"/>
  <c r="U3" i="14"/>
  <c r="U3" i="13"/>
  <c r="U3" i="10"/>
  <c r="S3" i="24"/>
  <c r="S3" i="21"/>
  <c r="R3" i="23"/>
  <c r="R3" i="24"/>
  <c r="R3" i="21"/>
  <c r="V3" i="14"/>
  <c r="S3" i="25"/>
  <c r="R3" i="14"/>
  <c r="V3" i="24"/>
  <c r="V3" i="21"/>
  <c r="V3" i="12"/>
  <c r="U3" i="12"/>
  <c r="R3" i="13"/>
  <c r="R3" i="10"/>
  <c r="W3" i="23"/>
  <c r="R3" i="25"/>
  <c r="T3" i="23"/>
  <c r="U3" i="24"/>
  <c r="U3" i="21"/>
  <c r="U3" i="23"/>
  <c r="S3" i="23"/>
  <c r="V3" i="13"/>
  <c r="V3" i="10"/>
  <c r="T3" i="24"/>
  <c r="T3" i="21"/>
  <c r="T3" i="13"/>
  <c r="T3" i="10"/>
  <c r="W3" i="24"/>
  <c r="W3" i="21"/>
  <c r="W3" i="25"/>
  <c r="C3" i="29"/>
  <c r="W3" i="14"/>
  <c r="S3" i="14"/>
  <c r="T3" i="25"/>
  <c r="S3" i="13"/>
  <c r="S3" i="10"/>
  <c r="T3" i="12"/>
  <c r="W118" i="6"/>
  <c r="V118" i="6"/>
  <c r="U118" i="6"/>
  <c r="T118" i="6"/>
  <c r="S118" i="6"/>
  <c r="R118" i="6"/>
  <c r="Q118" i="6"/>
  <c r="P118" i="6"/>
  <c r="O118" i="6"/>
  <c r="N118" i="6"/>
  <c r="M118" i="6"/>
  <c r="L118" i="6"/>
  <c r="K118" i="6"/>
  <c r="J118" i="6"/>
  <c r="I118" i="6"/>
  <c r="H118" i="6"/>
  <c r="G118" i="6"/>
  <c r="F118" i="6"/>
  <c r="E118" i="6"/>
  <c r="D118" i="6"/>
  <c r="C118" i="6"/>
  <c r="Q104" i="6"/>
  <c r="P104" i="6"/>
  <c r="O104" i="6"/>
  <c r="N104" i="6"/>
  <c r="M104" i="6"/>
  <c r="L104" i="6"/>
  <c r="K104" i="6"/>
  <c r="J104" i="6"/>
  <c r="I104" i="6"/>
  <c r="H104" i="6"/>
  <c r="G104" i="6"/>
  <c r="F104" i="6"/>
  <c r="E104" i="6"/>
  <c r="D104" i="6"/>
  <c r="C104" i="6"/>
  <c r="W117" i="6"/>
  <c r="V117" i="6"/>
  <c r="U117" i="6"/>
  <c r="T117" i="6"/>
  <c r="S117" i="6"/>
  <c r="R117" i="6"/>
  <c r="Q117" i="6"/>
  <c r="P117" i="6"/>
  <c r="O117" i="6"/>
  <c r="N117" i="6"/>
  <c r="M117" i="6"/>
  <c r="L117" i="6"/>
  <c r="K117" i="6"/>
  <c r="J117" i="6"/>
  <c r="I117" i="6"/>
  <c r="H117" i="6"/>
  <c r="G117" i="6"/>
  <c r="F117" i="6"/>
  <c r="E117" i="6"/>
  <c r="D117" i="6"/>
  <c r="C117" i="6"/>
  <c r="Q103" i="6"/>
  <c r="P103" i="6"/>
  <c r="O103" i="6"/>
  <c r="N103" i="6"/>
  <c r="M103" i="6"/>
  <c r="L103" i="6"/>
  <c r="K103" i="6"/>
  <c r="J103" i="6"/>
  <c r="I103" i="6"/>
  <c r="H103" i="6"/>
  <c r="G103" i="6"/>
  <c r="F103" i="6"/>
  <c r="E103" i="6"/>
  <c r="D103" i="6"/>
  <c r="C103" i="6"/>
  <c r="W116" i="6"/>
  <c r="V116" i="6"/>
  <c r="U116" i="6"/>
  <c r="T116" i="6"/>
  <c r="S116" i="6"/>
  <c r="R116" i="6"/>
  <c r="Q116" i="6"/>
  <c r="P116" i="6"/>
  <c r="O116" i="6"/>
  <c r="N116" i="6"/>
  <c r="M116" i="6"/>
  <c r="L116" i="6"/>
  <c r="K116" i="6"/>
  <c r="J116" i="6"/>
  <c r="I116" i="6"/>
  <c r="H116" i="6"/>
  <c r="G116" i="6"/>
  <c r="F116" i="6"/>
  <c r="E116" i="6"/>
  <c r="D116" i="6"/>
  <c r="C116" i="6"/>
  <c r="P124" i="6" l="1"/>
  <c r="F125" i="6"/>
  <c r="N125" i="6"/>
  <c r="V104" i="6"/>
  <c r="J124" i="6"/>
  <c r="R103" i="6"/>
  <c r="H125" i="6"/>
  <c r="P125" i="6"/>
  <c r="C124" i="6"/>
  <c r="I125" i="6"/>
  <c r="Q125" i="6"/>
  <c r="H124" i="6"/>
  <c r="I124" i="6"/>
  <c r="W104" i="6"/>
  <c r="S103" i="6"/>
  <c r="D124" i="6"/>
  <c r="L124" i="6"/>
  <c r="T103" i="6"/>
  <c r="J125" i="6"/>
  <c r="R104" i="6"/>
  <c r="K124" i="6"/>
  <c r="U103" i="6"/>
  <c r="C125" i="6"/>
  <c r="K125" i="6"/>
  <c r="S104" i="6"/>
  <c r="G125" i="6"/>
  <c r="E124" i="6"/>
  <c r="F124" i="6"/>
  <c r="N124" i="6"/>
  <c r="V103" i="6"/>
  <c r="D125" i="6"/>
  <c r="L125" i="6"/>
  <c r="T104" i="6"/>
  <c r="Q124" i="6"/>
  <c r="O125" i="6"/>
  <c r="M124" i="6"/>
  <c r="G124" i="6"/>
  <c r="O124" i="6"/>
  <c r="W103" i="6"/>
  <c r="E125" i="6"/>
  <c r="M125" i="6"/>
  <c r="U104" i="6"/>
  <c r="Q102" i="6"/>
  <c r="P102" i="6"/>
  <c r="O102" i="6"/>
  <c r="N102" i="6"/>
  <c r="M102" i="6"/>
  <c r="L102" i="6"/>
  <c r="K102" i="6"/>
  <c r="J102" i="6"/>
  <c r="I102" i="6"/>
  <c r="H102" i="6"/>
  <c r="G102" i="6"/>
  <c r="F102" i="6"/>
  <c r="E102" i="6"/>
  <c r="D102" i="6"/>
  <c r="C102" i="6"/>
  <c r="W115" i="6"/>
  <c r="V115" i="6"/>
  <c r="U115" i="6"/>
  <c r="T115" i="6"/>
  <c r="R115" i="6"/>
  <c r="Q115" i="6"/>
  <c r="P115" i="6"/>
  <c r="O115" i="6"/>
  <c r="N115" i="6"/>
  <c r="M115" i="6"/>
  <c r="L115" i="6"/>
  <c r="K115" i="6"/>
  <c r="J115" i="6"/>
  <c r="I115" i="6"/>
  <c r="H115" i="6"/>
  <c r="G115" i="6"/>
  <c r="F115" i="6"/>
  <c r="E115" i="6"/>
  <c r="D115" i="6"/>
  <c r="Q101" i="6"/>
  <c r="P101" i="6"/>
  <c r="O101" i="6"/>
  <c r="N101" i="6"/>
  <c r="M101" i="6"/>
  <c r="L101" i="6"/>
  <c r="K101" i="6"/>
  <c r="J101" i="6"/>
  <c r="I101" i="6"/>
  <c r="H101" i="6"/>
  <c r="G101" i="6"/>
  <c r="F101" i="6"/>
  <c r="E101" i="6"/>
  <c r="D101" i="6"/>
  <c r="C101" i="6"/>
  <c r="H122" i="6" l="1"/>
  <c r="P122" i="6"/>
  <c r="C82" i="6"/>
  <c r="C114" i="6" s="1"/>
  <c r="C115" i="6"/>
  <c r="S82" i="6"/>
  <c r="S114" i="6" s="1"/>
  <c r="S115" i="6"/>
  <c r="F123" i="6"/>
  <c r="N123" i="6"/>
  <c r="V102" i="6"/>
  <c r="Q122" i="6"/>
  <c r="J122" i="6"/>
  <c r="R101" i="6"/>
  <c r="H123" i="6"/>
  <c r="P123" i="6"/>
  <c r="U125" i="6"/>
  <c r="O123" i="6"/>
  <c r="S125" i="6"/>
  <c r="C122" i="6"/>
  <c r="K122" i="6"/>
  <c r="S101" i="6"/>
  <c r="I123" i="6"/>
  <c r="Q123" i="6"/>
  <c r="S124" i="6"/>
  <c r="T125" i="6"/>
  <c r="D122" i="6"/>
  <c r="L122" i="6"/>
  <c r="T101" i="6"/>
  <c r="J123" i="6"/>
  <c r="R102" i="6"/>
  <c r="R124" i="6"/>
  <c r="G123" i="6"/>
  <c r="U124" i="6"/>
  <c r="T124" i="6"/>
  <c r="E122" i="6"/>
  <c r="M122" i="6"/>
  <c r="U101" i="6"/>
  <c r="C123" i="6"/>
  <c r="K123" i="6"/>
  <c r="S102" i="6"/>
  <c r="V124" i="6"/>
  <c r="V125" i="6"/>
  <c r="I122" i="6"/>
  <c r="F122" i="6"/>
  <c r="N122" i="6"/>
  <c r="V101" i="6"/>
  <c r="D123" i="6"/>
  <c r="L123" i="6"/>
  <c r="T102" i="6"/>
  <c r="W124" i="6"/>
  <c r="R125" i="6"/>
  <c r="W102" i="6"/>
  <c r="G122" i="6"/>
  <c r="O122" i="6"/>
  <c r="W101" i="6"/>
  <c r="E123" i="6"/>
  <c r="M123" i="6"/>
  <c r="U102" i="6"/>
  <c r="W125" i="6"/>
  <c r="I48" i="6"/>
  <c r="I100" i="6" s="1"/>
  <c r="Q48" i="6"/>
  <c r="Q100" i="6" s="1"/>
  <c r="H82" i="6"/>
  <c r="H114" i="6" s="1"/>
  <c r="P82" i="6"/>
  <c r="P114" i="6" s="1"/>
  <c r="N48" i="6"/>
  <c r="N100" i="6" s="1"/>
  <c r="E82" i="6"/>
  <c r="E114" i="6" s="1"/>
  <c r="B67" i="6"/>
  <c r="B71" i="6"/>
  <c r="J48" i="6"/>
  <c r="J100" i="6" s="1"/>
  <c r="R48" i="6"/>
  <c r="R100" i="6" s="1"/>
  <c r="I82" i="6"/>
  <c r="I114" i="6" s="1"/>
  <c r="E48" i="6"/>
  <c r="E100" i="6" s="1"/>
  <c r="M48" i="6"/>
  <c r="M100" i="6" s="1"/>
  <c r="U48" i="6"/>
  <c r="U100" i="6" s="1"/>
  <c r="V48" i="6"/>
  <c r="V100" i="6" s="1"/>
  <c r="C48" i="6"/>
  <c r="C100" i="6" s="1"/>
  <c r="K48" i="6"/>
  <c r="K100" i="6" s="1"/>
  <c r="S48" i="6"/>
  <c r="S100" i="6" s="1"/>
  <c r="R82" i="6"/>
  <c r="R114" i="6" s="1"/>
  <c r="T48" i="6"/>
  <c r="T100" i="6" s="1"/>
  <c r="U82" i="6"/>
  <c r="U114" i="6" s="1"/>
  <c r="D82" i="6"/>
  <c r="D114" i="6" s="1"/>
  <c r="L82" i="6"/>
  <c r="L114" i="6" s="1"/>
  <c r="T82" i="6"/>
  <c r="T114" i="6" s="1"/>
  <c r="K82" i="6"/>
  <c r="K114" i="6" s="1"/>
  <c r="J82" i="6"/>
  <c r="J114" i="6" s="1"/>
  <c r="L48" i="6"/>
  <c r="L100" i="6" s="1"/>
  <c r="G48" i="6"/>
  <c r="G100" i="6" s="1"/>
  <c r="O48" i="6"/>
  <c r="O100" i="6" s="1"/>
  <c r="W48" i="6"/>
  <c r="W100" i="6" s="1"/>
  <c r="F82" i="6"/>
  <c r="F114" i="6" s="1"/>
  <c r="N82" i="6"/>
  <c r="N114" i="6" s="1"/>
  <c r="V82" i="6"/>
  <c r="V114" i="6" s="1"/>
  <c r="F48" i="6"/>
  <c r="F100" i="6" s="1"/>
  <c r="M82" i="6"/>
  <c r="M114" i="6" s="1"/>
  <c r="H48" i="6"/>
  <c r="H100" i="6" s="1"/>
  <c r="P48" i="6"/>
  <c r="P100" i="6" s="1"/>
  <c r="G82" i="6"/>
  <c r="G114" i="6" s="1"/>
  <c r="O82" i="6"/>
  <c r="O114" i="6" s="1"/>
  <c r="W82" i="6"/>
  <c r="W114" i="6" s="1"/>
  <c r="Q82" i="6"/>
  <c r="Q114" i="6" s="1"/>
  <c r="D48" i="6"/>
  <c r="D100" i="6" s="1"/>
  <c r="C81" i="6" l="1"/>
  <c r="C113" i="6" s="1"/>
  <c r="S81" i="6"/>
  <c r="S113" i="6" s="1"/>
  <c r="C91" i="6"/>
  <c r="S90" i="6"/>
  <c r="H121" i="6"/>
  <c r="P121" i="6"/>
  <c r="W121" i="6"/>
  <c r="J121" i="6"/>
  <c r="N121" i="6"/>
  <c r="R123" i="6"/>
  <c r="O121" i="6"/>
  <c r="S121" i="6"/>
  <c r="S123" i="6"/>
  <c r="G121" i="6"/>
  <c r="D121" i="6"/>
  <c r="V122" i="6"/>
  <c r="T122" i="6"/>
  <c r="F121" i="6"/>
  <c r="C121" i="6"/>
  <c r="M121" i="6"/>
  <c r="I121" i="6"/>
  <c r="R122" i="6"/>
  <c r="U123" i="6"/>
  <c r="V121" i="6"/>
  <c r="K121" i="6"/>
  <c r="E121" i="6"/>
  <c r="W122" i="6"/>
  <c r="W123" i="6"/>
  <c r="S122" i="6"/>
  <c r="U121" i="6"/>
  <c r="L121" i="6"/>
  <c r="U122" i="6"/>
  <c r="V123" i="6"/>
  <c r="Q121" i="6"/>
  <c r="T121" i="6"/>
  <c r="R121" i="6"/>
  <c r="T123" i="6"/>
  <c r="Q47" i="6"/>
  <c r="Q99" i="6" s="1"/>
  <c r="G81" i="6"/>
  <c r="G113" i="6" s="1"/>
  <c r="W47" i="6"/>
  <c r="W99" i="6" s="1"/>
  <c r="L47" i="6"/>
  <c r="L99" i="6" s="1"/>
  <c r="U47" i="6"/>
  <c r="U99" i="6" s="1"/>
  <c r="R47" i="6"/>
  <c r="R99" i="6" s="1"/>
  <c r="F47" i="6"/>
  <c r="F99" i="6" s="1"/>
  <c r="J81" i="6"/>
  <c r="J113" i="6" s="1"/>
  <c r="T81" i="6"/>
  <c r="T113" i="6" s="1"/>
  <c r="T90" i="6"/>
  <c r="J47" i="6"/>
  <c r="J99" i="6" s="1"/>
  <c r="E81" i="6"/>
  <c r="E113" i="6" s="1"/>
  <c r="P81" i="6"/>
  <c r="P113" i="6" s="1"/>
  <c r="I47" i="6"/>
  <c r="I99" i="6" s="1"/>
  <c r="P47" i="6"/>
  <c r="P99" i="6" s="1"/>
  <c r="V81" i="6"/>
  <c r="V113" i="6" s="1"/>
  <c r="V90" i="6"/>
  <c r="O47" i="6"/>
  <c r="O99" i="6" s="1"/>
  <c r="S47" i="6"/>
  <c r="S99" i="6" s="1"/>
  <c r="M47" i="6"/>
  <c r="M99" i="6" s="1"/>
  <c r="Q81" i="6"/>
  <c r="Q113" i="6" s="1"/>
  <c r="N47" i="6"/>
  <c r="N99" i="6" s="1"/>
  <c r="H81" i="6"/>
  <c r="H113" i="6" s="1"/>
  <c r="R81" i="6"/>
  <c r="R113" i="6" s="1"/>
  <c r="R90" i="6"/>
  <c r="W81" i="6"/>
  <c r="W113" i="6" s="1"/>
  <c r="W90" i="6"/>
  <c r="H47" i="6"/>
  <c r="H99" i="6" s="1"/>
  <c r="N81" i="6"/>
  <c r="N113" i="6" s="1"/>
  <c r="G47" i="6"/>
  <c r="G99" i="6" s="1"/>
  <c r="L81" i="6"/>
  <c r="L113" i="6" s="1"/>
  <c r="U81" i="6"/>
  <c r="U113" i="6" s="1"/>
  <c r="K47" i="6"/>
  <c r="K99" i="6" s="1"/>
  <c r="E47" i="6"/>
  <c r="E99" i="6" s="1"/>
  <c r="S89" i="6"/>
  <c r="S93" i="6"/>
  <c r="S94" i="6"/>
  <c r="S92" i="6"/>
  <c r="D81" i="6"/>
  <c r="D113" i="6" s="1"/>
  <c r="V47" i="6"/>
  <c r="V99" i="6" s="1"/>
  <c r="I81" i="6"/>
  <c r="I113" i="6" s="1"/>
  <c r="M81" i="6"/>
  <c r="M113" i="6" s="1"/>
  <c r="D47" i="6"/>
  <c r="D99" i="6" s="1"/>
  <c r="O81" i="6"/>
  <c r="O113" i="6" s="1"/>
  <c r="F81" i="6"/>
  <c r="F113" i="6" s="1"/>
  <c r="K81" i="6"/>
  <c r="K113" i="6" s="1"/>
  <c r="T47" i="6"/>
  <c r="T99" i="6" s="1"/>
  <c r="C47" i="6"/>
  <c r="C99" i="6" s="1"/>
  <c r="C89" i="6"/>
  <c r="C92" i="6"/>
  <c r="C93" i="6"/>
  <c r="C94" i="6"/>
  <c r="G90" i="6" l="1"/>
  <c r="T56" i="6"/>
  <c r="L90" i="6"/>
  <c r="S91" i="6"/>
  <c r="O56" i="6"/>
  <c r="C90" i="6"/>
  <c r="O90" i="6"/>
  <c r="C56" i="6"/>
  <c r="H56" i="6"/>
  <c r="Q90" i="6"/>
  <c r="I56" i="6"/>
  <c r="U56" i="6"/>
  <c r="U90" i="6"/>
  <c r="F90" i="6"/>
  <c r="S56" i="6"/>
  <c r="D56" i="6"/>
  <c r="W56" i="6"/>
  <c r="V56" i="6"/>
  <c r="N56" i="6"/>
  <c r="J56" i="6"/>
  <c r="M90" i="6"/>
  <c r="K56" i="6"/>
  <c r="N90" i="6"/>
  <c r="H90" i="6"/>
  <c r="E90" i="6"/>
  <c r="F56" i="6"/>
  <c r="R56" i="6"/>
  <c r="D90" i="6"/>
  <c r="E56" i="6"/>
  <c r="G56" i="6"/>
  <c r="P90" i="6"/>
  <c r="J90" i="6"/>
  <c r="Q56" i="6"/>
  <c r="K90" i="6"/>
  <c r="M56" i="6"/>
  <c r="P56" i="6"/>
  <c r="L55" i="6"/>
  <c r="L61" i="6"/>
  <c r="L60" i="6"/>
  <c r="L59" i="6"/>
  <c r="L58" i="6"/>
  <c r="L57" i="6"/>
  <c r="F89" i="6"/>
  <c r="F94" i="6"/>
  <c r="F93" i="6"/>
  <c r="F92" i="6"/>
  <c r="F91" i="6"/>
  <c r="D89" i="6"/>
  <c r="D94" i="6"/>
  <c r="D93" i="6"/>
  <c r="D92" i="6"/>
  <c r="D91" i="6"/>
  <c r="K55" i="6"/>
  <c r="K61" i="6"/>
  <c r="K59" i="6"/>
  <c r="K60" i="6"/>
  <c r="K57" i="6"/>
  <c r="K58" i="6"/>
  <c r="N89" i="6"/>
  <c r="N94" i="6"/>
  <c r="N93" i="6"/>
  <c r="N92" i="6"/>
  <c r="N91" i="6"/>
  <c r="S61" i="6"/>
  <c r="S55" i="6"/>
  <c r="S59" i="6"/>
  <c r="S60" i="6"/>
  <c r="S57" i="6"/>
  <c r="S58" i="6"/>
  <c r="I61" i="6"/>
  <c r="I55" i="6"/>
  <c r="I60" i="6"/>
  <c r="I59" i="6"/>
  <c r="I58" i="6"/>
  <c r="I57" i="6"/>
  <c r="T89" i="6"/>
  <c r="T93" i="6"/>
  <c r="T92" i="6"/>
  <c r="T94" i="6"/>
  <c r="T91" i="6"/>
  <c r="C55" i="6"/>
  <c r="C61" i="6"/>
  <c r="C59" i="6"/>
  <c r="C60" i="6"/>
  <c r="C58" i="6"/>
  <c r="C57" i="6"/>
  <c r="M89" i="6"/>
  <c r="M93" i="6"/>
  <c r="M94" i="6"/>
  <c r="M92" i="6"/>
  <c r="M91" i="6"/>
  <c r="W55" i="6"/>
  <c r="W61" i="6"/>
  <c r="W59" i="6"/>
  <c r="W60" i="6"/>
  <c r="W58" i="6"/>
  <c r="W57" i="6"/>
  <c r="O89" i="6"/>
  <c r="O94" i="6"/>
  <c r="O92" i="6"/>
  <c r="O93" i="6"/>
  <c r="O91" i="6"/>
  <c r="I89" i="6"/>
  <c r="I93" i="6"/>
  <c r="I92" i="6"/>
  <c r="I94" i="6"/>
  <c r="I91" i="6"/>
  <c r="U89" i="6"/>
  <c r="U92" i="6"/>
  <c r="U93" i="6"/>
  <c r="U94" i="6"/>
  <c r="U91" i="6"/>
  <c r="H61" i="6"/>
  <c r="H55" i="6"/>
  <c r="H60" i="6"/>
  <c r="H59" i="6"/>
  <c r="H57" i="6"/>
  <c r="H58" i="6"/>
  <c r="R89" i="6"/>
  <c r="R94" i="6"/>
  <c r="R92" i="6"/>
  <c r="R93" i="6"/>
  <c r="R91" i="6"/>
  <c r="O55" i="6"/>
  <c r="O61" i="6"/>
  <c r="O59" i="6"/>
  <c r="O60" i="6"/>
  <c r="O58" i="6"/>
  <c r="O57" i="6"/>
  <c r="P89" i="6"/>
  <c r="P94" i="6"/>
  <c r="P92" i="6"/>
  <c r="P93" i="6"/>
  <c r="P91" i="6"/>
  <c r="J89" i="6"/>
  <c r="J94" i="6"/>
  <c r="J92" i="6"/>
  <c r="J93" i="6"/>
  <c r="J91" i="6"/>
  <c r="I90" i="6"/>
  <c r="R61" i="6"/>
  <c r="R55" i="6"/>
  <c r="R59" i="6"/>
  <c r="R60" i="6"/>
  <c r="R57" i="6"/>
  <c r="R58" i="6"/>
  <c r="G89" i="6"/>
  <c r="G94" i="6"/>
  <c r="G92" i="6"/>
  <c r="G93" i="6"/>
  <c r="G91" i="6"/>
  <c r="Q61" i="6"/>
  <c r="Q55" i="6"/>
  <c r="Q59" i="6"/>
  <c r="Q60" i="6"/>
  <c r="Q57" i="6"/>
  <c r="Q58" i="6"/>
  <c r="T61" i="6"/>
  <c r="T55" i="6"/>
  <c r="T60" i="6"/>
  <c r="T59" i="6"/>
  <c r="T58" i="6"/>
  <c r="T57" i="6"/>
  <c r="D55" i="6"/>
  <c r="D61" i="6"/>
  <c r="D59" i="6"/>
  <c r="D60" i="6"/>
  <c r="D58" i="6"/>
  <c r="D57" i="6"/>
  <c r="L89" i="6"/>
  <c r="L92" i="6"/>
  <c r="L94" i="6"/>
  <c r="L93" i="6"/>
  <c r="L91" i="6"/>
  <c r="W89" i="6"/>
  <c r="W93" i="6"/>
  <c r="W94" i="6"/>
  <c r="W92" i="6"/>
  <c r="W91" i="6"/>
  <c r="H89" i="6"/>
  <c r="H92" i="6"/>
  <c r="H93" i="6"/>
  <c r="H94" i="6"/>
  <c r="H91" i="6"/>
  <c r="Q89" i="6"/>
  <c r="Q93" i="6"/>
  <c r="Q94" i="6"/>
  <c r="Q92" i="6"/>
  <c r="Q91" i="6"/>
  <c r="V89" i="6"/>
  <c r="V94" i="6"/>
  <c r="V93" i="6"/>
  <c r="V92" i="6"/>
  <c r="V91" i="6"/>
  <c r="E89" i="6"/>
  <c r="E93" i="6"/>
  <c r="E94" i="6"/>
  <c r="E92" i="6"/>
  <c r="E91" i="6"/>
  <c r="F55" i="6"/>
  <c r="F61" i="6"/>
  <c r="F60" i="6"/>
  <c r="F59" i="6"/>
  <c r="F58" i="6"/>
  <c r="F57" i="6"/>
  <c r="V55" i="6"/>
  <c r="V61" i="6"/>
  <c r="V60" i="6"/>
  <c r="V59" i="6"/>
  <c r="V58" i="6"/>
  <c r="V57" i="6"/>
  <c r="U55" i="6"/>
  <c r="U61" i="6"/>
  <c r="U60" i="6"/>
  <c r="U59" i="6"/>
  <c r="U58" i="6"/>
  <c r="U57" i="6"/>
  <c r="K89" i="6"/>
  <c r="K94" i="6"/>
  <c r="K92" i="6"/>
  <c r="K93" i="6"/>
  <c r="K91" i="6"/>
  <c r="E61" i="6"/>
  <c r="E55" i="6"/>
  <c r="E60" i="6"/>
  <c r="E59" i="6"/>
  <c r="E58" i="6"/>
  <c r="E57" i="6"/>
  <c r="G55" i="6"/>
  <c r="G61" i="6"/>
  <c r="G59" i="6"/>
  <c r="G60" i="6"/>
  <c r="G58" i="6"/>
  <c r="G57" i="6"/>
  <c r="N55" i="6"/>
  <c r="N61" i="6"/>
  <c r="N60" i="6"/>
  <c r="N59" i="6"/>
  <c r="N58" i="6"/>
  <c r="N57" i="6"/>
  <c r="M61" i="6"/>
  <c r="M55" i="6"/>
  <c r="M59" i="6"/>
  <c r="M60" i="6"/>
  <c r="M58" i="6"/>
  <c r="M57" i="6"/>
  <c r="P61" i="6"/>
  <c r="P55" i="6"/>
  <c r="P60" i="6"/>
  <c r="P59" i="6"/>
  <c r="P58" i="6"/>
  <c r="P57" i="6"/>
  <c r="J55" i="6"/>
  <c r="J61" i="6"/>
  <c r="J59" i="6"/>
  <c r="J60" i="6"/>
  <c r="J57" i="6"/>
  <c r="J58" i="6"/>
  <c r="L56" i="6"/>
  <c r="W27" i="6" l="1"/>
  <c r="V27" i="6"/>
  <c r="U27" i="6"/>
  <c r="T27" i="6"/>
  <c r="S27" i="6"/>
  <c r="R27" i="6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D27" i="6"/>
  <c r="W26" i="6"/>
  <c r="V26" i="6"/>
  <c r="U26" i="6"/>
  <c r="T26" i="6"/>
  <c r="S26" i="6"/>
  <c r="R26" i="6"/>
  <c r="Q26" i="6"/>
  <c r="P26" i="6"/>
  <c r="O26" i="6"/>
  <c r="N26" i="6"/>
  <c r="M26" i="6"/>
  <c r="L26" i="6"/>
  <c r="K26" i="6"/>
  <c r="J26" i="6"/>
  <c r="I26" i="6"/>
  <c r="H26" i="6"/>
  <c r="G26" i="6"/>
  <c r="F26" i="6"/>
  <c r="E26" i="6"/>
  <c r="D26" i="6"/>
  <c r="W25" i="6"/>
  <c r="V25" i="6"/>
  <c r="U25" i="6"/>
  <c r="T25" i="6"/>
  <c r="S25" i="6"/>
  <c r="R25" i="6"/>
  <c r="Q25" i="6"/>
  <c r="P25" i="6"/>
  <c r="O25" i="6"/>
  <c r="N25" i="6"/>
  <c r="M25" i="6"/>
  <c r="L25" i="6"/>
  <c r="K25" i="6"/>
  <c r="J25" i="6"/>
  <c r="I25" i="6"/>
  <c r="H25" i="6"/>
  <c r="G25" i="6"/>
  <c r="F25" i="6"/>
  <c r="E25" i="6"/>
  <c r="D25" i="6"/>
  <c r="W24" i="6"/>
  <c r="V24" i="6"/>
  <c r="U24" i="6"/>
  <c r="T24" i="6"/>
  <c r="S24" i="6"/>
  <c r="R24" i="6"/>
  <c r="Q24" i="6"/>
  <c r="P24" i="6"/>
  <c r="O24" i="6"/>
  <c r="N24" i="6"/>
  <c r="M24" i="6"/>
  <c r="L24" i="6"/>
  <c r="K24" i="6"/>
  <c r="J24" i="6"/>
  <c r="I24" i="6"/>
  <c r="H24" i="6"/>
  <c r="G24" i="6"/>
  <c r="F24" i="6"/>
  <c r="E24" i="6"/>
  <c r="D24" i="6"/>
  <c r="W23" i="6"/>
  <c r="V23" i="6"/>
  <c r="U23" i="6"/>
  <c r="T23" i="6"/>
  <c r="S23" i="6"/>
  <c r="R23" i="6"/>
  <c r="Q23" i="6"/>
  <c r="P23" i="6"/>
  <c r="O23" i="6"/>
  <c r="N23" i="6"/>
  <c r="M23" i="6"/>
  <c r="L23" i="6"/>
  <c r="K23" i="6"/>
  <c r="J23" i="6"/>
  <c r="I23" i="6"/>
  <c r="H23" i="6"/>
  <c r="G23" i="6"/>
  <c r="F23" i="6"/>
  <c r="E23" i="6"/>
  <c r="D23" i="6"/>
  <c r="W21" i="6"/>
  <c r="V21" i="6"/>
  <c r="U21" i="6"/>
  <c r="T21" i="6"/>
  <c r="S21" i="6"/>
  <c r="R21" i="6"/>
  <c r="Q21" i="6"/>
  <c r="P21" i="6"/>
  <c r="O21" i="6"/>
  <c r="N21" i="6"/>
  <c r="M21" i="6"/>
  <c r="L21" i="6"/>
  <c r="K21" i="6"/>
  <c r="J21" i="6"/>
  <c r="I21" i="6"/>
  <c r="H21" i="6"/>
  <c r="G21" i="6"/>
  <c r="F21" i="6"/>
  <c r="E21" i="6"/>
  <c r="D21" i="6"/>
  <c r="W20" i="6"/>
  <c r="V20" i="6"/>
  <c r="U20" i="6"/>
  <c r="T20" i="6"/>
  <c r="S20" i="6"/>
  <c r="R20" i="6"/>
  <c r="Q20" i="6"/>
  <c r="P20" i="6"/>
  <c r="O20" i="6"/>
  <c r="N20" i="6"/>
  <c r="M20" i="6"/>
  <c r="L20" i="6"/>
  <c r="K20" i="6"/>
  <c r="J20" i="6"/>
  <c r="I20" i="6"/>
  <c r="H20" i="6"/>
  <c r="G20" i="6"/>
  <c r="F20" i="6"/>
  <c r="E20" i="6"/>
  <c r="D20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D19" i="6"/>
  <c r="W14" i="6"/>
  <c r="W15" i="6" s="1"/>
  <c r="V14" i="6"/>
  <c r="V15" i="6" s="1"/>
  <c r="U14" i="6"/>
  <c r="U15" i="6" s="1"/>
  <c r="T14" i="6"/>
  <c r="T15" i="6" s="1"/>
  <c r="S14" i="6"/>
  <c r="S15" i="6" s="1"/>
  <c r="R14" i="6"/>
  <c r="R15" i="6" s="1"/>
  <c r="Q14" i="6"/>
  <c r="Q15" i="6" s="1"/>
  <c r="P14" i="6"/>
  <c r="P15" i="6" s="1"/>
  <c r="O14" i="6"/>
  <c r="O15" i="6" s="1"/>
  <c r="N14" i="6"/>
  <c r="N15" i="6" s="1"/>
  <c r="M14" i="6"/>
  <c r="M15" i="6" s="1"/>
  <c r="L14" i="6"/>
  <c r="L15" i="6" s="1"/>
  <c r="K14" i="6"/>
  <c r="K15" i="6" s="1"/>
  <c r="J14" i="6"/>
  <c r="J15" i="6" s="1"/>
  <c r="I14" i="6"/>
  <c r="I15" i="6" s="1"/>
  <c r="H14" i="6"/>
  <c r="H15" i="6" s="1"/>
  <c r="G14" i="6"/>
  <c r="G15" i="6" s="1"/>
  <c r="F14" i="6"/>
  <c r="F15" i="6" s="1"/>
  <c r="E14" i="6"/>
  <c r="E15" i="6" s="1"/>
  <c r="D14" i="6"/>
  <c r="D15" i="6" s="1"/>
  <c r="C14" i="6"/>
  <c r="C15" i="6" s="1"/>
  <c r="B14" i="6"/>
  <c r="B15" i="6" s="1"/>
  <c r="B104" i="6"/>
  <c r="B103" i="6"/>
  <c r="B102" i="6"/>
  <c r="B101" i="6"/>
  <c r="H165" i="6" l="1"/>
  <c r="H164" i="6"/>
  <c r="H162" i="6"/>
  <c r="H163" i="6"/>
  <c r="H159" i="6"/>
  <c r="H161" i="6"/>
  <c r="H157" i="6"/>
  <c r="H170" i="6"/>
  <c r="H158" i="6"/>
  <c r="H171" i="6"/>
  <c r="H172" i="6"/>
  <c r="H156" i="6"/>
  <c r="H169" i="6"/>
  <c r="H155" i="6"/>
  <c r="H154" i="6"/>
  <c r="H168" i="6"/>
  <c r="H153" i="6"/>
  <c r="H167" i="6"/>
  <c r="P165" i="6"/>
  <c r="P164" i="6"/>
  <c r="P159" i="6"/>
  <c r="P163" i="6"/>
  <c r="P162" i="6"/>
  <c r="P161" i="6"/>
  <c r="P172" i="6"/>
  <c r="P170" i="6"/>
  <c r="P171" i="6"/>
  <c r="P158" i="6"/>
  <c r="P157" i="6"/>
  <c r="P155" i="6"/>
  <c r="P156" i="6"/>
  <c r="P169" i="6"/>
  <c r="P154" i="6"/>
  <c r="P168" i="6"/>
  <c r="P167" i="6"/>
  <c r="P153" i="6"/>
  <c r="D140" i="6"/>
  <c r="D138" i="6"/>
  <c r="D139" i="6"/>
  <c r="D141" i="6"/>
  <c r="D135" i="6"/>
  <c r="D137" i="6"/>
  <c r="D134" i="6"/>
  <c r="D148" i="6"/>
  <c r="D147" i="6"/>
  <c r="D146" i="6"/>
  <c r="D133" i="6"/>
  <c r="D131" i="6"/>
  <c r="D132" i="6"/>
  <c r="D145" i="6"/>
  <c r="D130" i="6"/>
  <c r="D144" i="6"/>
  <c r="D129" i="6"/>
  <c r="D143" i="6"/>
  <c r="L140" i="6"/>
  <c r="L141" i="6"/>
  <c r="L135" i="6"/>
  <c r="L139" i="6"/>
  <c r="L138" i="6"/>
  <c r="L137" i="6"/>
  <c r="L133" i="6"/>
  <c r="L134" i="6"/>
  <c r="L148" i="6"/>
  <c r="L146" i="6"/>
  <c r="L147" i="6"/>
  <c r="L145" i="6"/>
  <c r="L131" i="6"/>
  <c r="L132" i="6"/>
  <c r="L144" i="6"/>
  <c r="L130" i="6"/>
  <c r="L129" i="6"/>
  <c r="L143" i="6"/>
  <c r="T140" i="6"/>
  <c r="T13" i="15"/>
  <c r="T9" i="15"/>
  <c r="T25" i="15"/>
  <c r="T138" i="6"/>
  <c r="T141" i="6"/>
  <c r="T139" i="6"/>
  <c r="T32" i="15"/>
  <c r="T23" i="15"/>
  <c r="T24" i="15"/>
  <c r="T6" i="17"/>
  <c r="T30" i="16"/>
  <c r="T11" i="15"/>
  <c r="T21" i="16"/>
  <c r="T30" i="17"/>
  <c r="T22" i="15"/>
  <c r="T31" i="15"/>
  <c r="T6" i="16"/>
  <c r="T12" i="16"/>
  <c r="T5" i="17"/>
  <c r="T26" i="15"/>
  <c r="T22" i="16"/>
  <c r="T16" i="15"/>
  <c r="T14" i="15"/>
  <c r="T27" i="16"/>
  <c r="T5" i="15"/>
  <c r="T33" i="16"/>
  <c r="T17" i="17"/>
  <c r="T17" i="16"/>
  <c r="T5" i="16"/>
  <c r="T8" i="16"/>
  <c r="T135" i="6"/>
  <c r="T8" i="17"/>
  <c r="T33" i="15"/>
  <c r="T32" i="16"/>
  <c r="T10" i="17"/>
  <c r="T27" i="15"/>
  <c r="T23" i="16"/>
  <c r="T26" i="16"/>
  <c r="T6" i="15"/>
  <c r="T15" i="15"/>
  <c r="T137" i="6"/>
  <c r="T17" i="15"/>
  <c r="T32" i="17"/>
  <c r="T13" i="16"/>
  <c r="T19" i="17"/>
  <c r="T7" i="17"/>
  <c r="T30" i="15"/>
  <c r="T15" i="16"/>
  <c r="T10" i="16"/>
  <c r="T31" i="16"/>
  <c r="T20" i="16"/>
  <c r="T20" i="17"/>
  <c r="T31" i="17"/>
  <c r="T22" i="17"/>
  <c r="T14" i="16"/>
  <c r="T7" i="16"/>
  <c r="T7" i="15"/>
  <c r="T20" i="15"/>
  <c r="T21" i="15"/>
  <c r="T25" i="16"/>
  <c r="T8" i="15"/>
  <c r="T10" i="15"/>
  <c r="T21" i="17"/>
  <c r="T18" i="16"/>
  <c r="T18" i="15"/>
  <c r="T12" i="15"/>
  <c r="T24" i="16"/>
  <c r="T11" i="16"/>
  <c r="T23" i="17"/>
  <c r="T28" i="16"/>
  <c r="T24" i="17"/>
  <c r="T16" i="17"/>
  <c r="T28" i="15"/>
  <c r="T9" i="17"/>
  <c r="T9" i="16"/>
  <c r="T19" i="15"/>
  <c r="T29" i="15"/>
  <c r="T19" i="16"/>
  <c r="T4" i="15"/>
  <c r="T29" i="16"/>
  <c r="T4" i="17"/>
  <c r="T16" i="16"/>
  <c r="T4" i="16"/>
  <c r="T3" i="17"/>
  <c r="T29" i="17"/>
  <c r="T3" i="16"/>
  <c r="T146" i="6"/>
  <c r="T147" i="6"/>
  <c r="T3" i="15"/>
  <c r="T148" i="6"/>
  <c r="T145" i="6"/>
  <c r="T133" i="6"/>
  <c r="T134" i="6"/>
  <c r="T131" i="6"/>
  <c r="T130" i="6"/>
  <c r="T132" i="6"/>
  <c r="T144" i="6"/>
  <c r="T143" i="6"/>
  <c r="T129" i="6"/>
  <c r="Q164" i="6"/>
  <c r="Q162" i="6"/>
  <c r="Q159" i="6"/>
  <c r="Q165" i="6"/>
  <c r="Q163" i="6"/>
  <c r="Q161" i="6"/>
  <c r="Q158" i="6"/>
  <c r="Q172" i="6"/>
  <c r="Q170" i="6"/>
  <c r="Q171" i="6"/>
  <c r="Q157" i="6"/>
  <c r="Q155" i="6"/>
  <c r="Q156" i="6"/>
  <c r="Q169" i="6"/>
  <c r="Q154" i="6"/>
  <c r="Q168" i="6"/>
  <c r="Q153" i="6"/>
  <c r="Q167" i="6"/>
  <c r="E139" i="6"/>
  <c r="E138" i="6"/>
  <c r="E140" i="6"/>
  <c r="E141" i="6"/>
  <c r="E135" i="6"/>
  <c r="E137" i="6"/>
  <c r="E133" i="6"/>
  <c r="E148" i="6"/>
  <c r="E147" i="6"/>
  <c r="E146" i="6"/>
  <c r="E134" i="6"/>
  <c r="E131" i="6"/>
  <c r="E145" i="6"/>
  <c r="E132" i="6"/>
  <c r="E144" i="6"/>
  <c r="E130" i="6"/>
  <c r="E143" i="6"/>
  <c r="E129" i="6"/>
  <c r="M138" i="6"/>
  <c r="M135" i="6"/>
  <c r="M139" i="6"/>
  <c r="M140" i="6"/>
  <c r="M141" i="6"/>
  <c r="M137" i="6"/>
  <c r="M146" i="6"/>
  <c r="M134" i="6"/>
  <c r="M148" i="6"/>
  <c r="M147" i="6"/>
  <c r="M133" i="6"/>
  <c r="M131" i="6"/>
  <c r="M132" i="6"/>
  <c r="M145" i="6"/>
  <c r="M144" i="6"/>
  <c r="M130" i="6"/>
  <c r="M129" i="6"/>
  <c r="M143" i="6"/>
  <c r="U139" i="6"/>
  <c r="U138" i="6"/>
  <c r="U10" i="15"/>
  <c r="U33" i="15"/>
  <c r="U140" i="6"/>
  <c r="U141" i="6"/>
  <c r="U26" i="15"/>
  <c r="U135" i="6"/>
  <c r="U21" i="17"/>
  <c r="U23" i="15"/>
  <c r="U6" i="15"/>
  <c r="U33" i="16"/>
  <c r="U15" i="15"/>
  <c r="U24" i="16"/>
  <c r="U10" i="16"/>
  <c r="U27" i="16"/>
  <c r="U22" i="17"/>
  <c r="U28" i="16"/>
  <c r="U11" i="15"/>
  <c r="U16" i="17"/>
  <c r="U22" i="16"/>
  <c r="U30" i="16"/>
  <c r="U9" i="17"/>
  <c r="U29" i="17"/>
  <c r="U12" i="15"/>
  <c r="U30" i="17"/>
  <c r="U14" i="16"/>
  <c r="U5" i="16"/>
  <c r="U22" i="15"/>
  <c r="U29" i="15"/>
  <c r="U16" i="15"/>
  <c r="U7" i="17"/>
  <c r="U21" i="15"/>
  <c r="U23" i="17"/>
  <c r="U30" i="15"/>
  <c r="U17" i="15"/>
  <c r="U31" i="15"/>
  <c r="U19" i="15"/>
  <c r="U26" i="16"/>
  <c r="U32" i="15"/>
  <c r="U9" i="15"/>
  <c r="U20" i="17"/>
  <c r="U5" i="15"/>
  <c r="U11" i="16"/>
  <c r="U32" i="17"/>
  <c r="U24" i="15"/>
  <c r="U9" i="16"/>
  <c r="U8" i="17"/>
  <c r="U20" i="16"/>
  <c r="U23" i="16"/>
  <c r="U21" i="16"/>
  <c r="U137" i="6"/>
  <c r="U7" i="15"/>
  <c r="U8" i="16"/>
  <c r="U5" i="17"/>
  <c r="U17" i="16"/>
  <c r="U25" i="15"/>
  <c r="U24" i="17"/>
  <c r="U18" i="15"/>
  <c r="U20" i="15"/>
  <c r="U14" i="15"/>
  <c r="U12" i="16"/>
  <c r="U7" i="16"/>
  <c r="U13" i="15"/>
  <c r="U8" i="15"/>
  <c r="U6" i="16"/>
  <c r="U31" i="16"/>
  <c r="U32" i="16"/>
  <c r="U6" i="17"/>
  <c r="U17" i="17"/>
  <c r="U15" i="16"/>
  <c r="U10" i="17"/>
  <c r="U18" i="16"/>
  <c r="U28" i="15"/>
  <c r="U25" i="16"/>
  <c r="U13" i="16"/>
  <c r="U31" i="17"/>
  <c r="U19" i="16"/>
  <c r="U16" i="16"/>
  <c r="U29" i="16"/>
  <c r="U4" i="16"/>
  <c r="U4" i="17"/>
  <c r="U4" i="15"/>
  <c r="U19" i="17"/>
  <c r="U27" i="15"/>
  <c r="U3" i="16"/>
  <c r="U147" i="6"/>
  <c r="U146" i="6"/>
  <c r="U3" i="15"/>
  <c r="U3" i="17"/>
  <c r="U148" i="6"/>
  <c r="U134" i="6"/>
  <c r="U145" i="6"/>
  <c r="U133" i="6"/>
  <c r="U131" i="6"/>
  <c r="U130" i="6"/>
  <c r="U132" i="6"/>
  <c r="U144" i="6"/>
  <c r="U143" i="6"/>
  <c r="U129" i="6"/>
  <c r="F139" i="6"/>
  <c r="F141" i="6"/>
  <c r="F138" i="6"/>
  <c r="F140" i="6"/>
  <c r="F135" i="6"/>
  <c r="F137" i="6"/>
  <c r="F148" i="6"/>
  <c r="F146" i="6"/>
  <c r="F134" i="6"/>
  <c r="F133" i="6"/>
  <c r="F147" i="6"/>
  <c r="F131" i="6"/>
  <c r="F145" i="6"/>
  <c r="F132" i="6"/>
  <c r="F130" i="6"/>
  <c r="F144" i="6"/>
  <c r="F129" i="6"/>
  <c r="F143" i="6"/>
  <c r="N141" i="6"/>
  <c r="N135" i="6"/>
  <c r="N139" i="6"/>
  <c r="N138" i="6"/>
  <c r="N140" i="6"/>
  <c r="N137" i="6"/>
  <c r="N146" i="6"/>
  <c r="N147" i="6"/>
  <c r="N148" i="6"/>
  <c r="N134" i="6"/>
  <c r="N133" i="6"/>
  <c r="N131" i="6"/>
  <c r="N145" i="6"/>
  <c r="N132" i="6"/>
  <c r="N130" i="6"/>
  <c r="N144" i="6"/>
  <c r="N143" i="6"/>
  <c r="N129" i="6"/>
  <c r="V139" i="6"/>
  <c r="V141" i="6"/>
  <c r="V140" i="6"/>
  <c r="V138" i="6"/>
  <c r="V26" i="15"/>
  <c r="V135" i="6"/>
  <c r="V14" i="15"/>
  <c r="V10" i="15"/>
  <c r="V15" i="15"/>
  <c r="V24" i="17"/>
  <c r="V9" i="17"/>
  <c r="V30" i="17"/>
  <c r="V33" i="16"/>
  <c r="V27" i="15"/>
  <c r="V9" i="15"/>
  <c r="V6" i="16"/>
  <c r="V8" i="16"/>
  <c r="V21" i="15"/>
  <c r="V14" i="16"/>
  <c r="V31" i="15"/>
  <c r="V24" i="15"/>
  <c r="V20" i="16"/>
  <c r="V22" i="16"/>
  <c r="V23" i="17"/>
  <c r="V7" i="16"/>
  <c r="V12" i="15"/>
  <c r="V6" i="15"/>
  <c r="V21" i="16"/>
  <c r="V25" i="15"/>
  <c r="V6" i="17"/>
  <c r="V28" i="15"/>
  <c r="V9" i="16"/>
  <c r="V11" i="15"/>
  <c r="V5" i="15"/>
  <c r="V8" i="17"/>
  <c r="V31" i="16"/>
  <c r="V32" i="16"/>
  <c r="V4" i="17"/>
  <c r="V21" i="17"/>
  <c r="V33" i="15"/>
  <c r="V20" i="15"/>
  <c r="V22" i="15"/>
  <c r="V17" i="16"/>
  <c r="V11" i="16"/>
  <c r="V17" i="17"/>
  <c r="V7" i="15"/>
  <c r="V13" i="16"/>
  <c r="V22" i="17"/>
  <c r="V8" i="15"/>
  <c r="V23" i="15"/>
  <c r="V30" i="15"/>
  <c r="V26" i="16"/>
  <c r="V7" i="17"/>
  <c r="V23" i="16"/>
  <c r="V5" i="17"/>
  <c r="V10" i="17"/>
  <c r="V18" i="15"/>
  <c r="V13" i="15"/>
  <c r="V10" i="16"/>
  <c r="V137" i="6"/>
  <c r="V31" i="17"/>
  <c r="V17" i="15"/>
  <c r="V30" i="16"/>
  <c r="V16" i="17"/>
  <c r="V32" i="17"/>
  <c r="V18" i="16"/>
  <c r="V20" i="17"/>
  <c r="V32" i="15"/>
  <c r="V24" i="16"/>
  <c r="V28" i="16"/>
  <c r="V5" i="16"/>
  <c r="V25" i="16"/>
  <c r="V16" i="15"/>
  <c r="V12" i="16"/>
  <c r="V29" i="15"/>
  <c r="V29" i="16"/>
  <c r="V19" i="16"/>
  <c r="V4" i="16"/>
  <c r="V16" i="16"/>
  <c r="V15" i="16"/>
  <c r="V27" i="16"/>
  <c r="V19" i="17"/>
  <c r="V29" i="17"/>
  <c r="V19" i="15"/>
  <c r="V4" i="15"/>
  <c r="V3" i="16"/>
  <c r="V3" i="15"/>
  <c r="V147" i="6"/>
  <c r="V148" i="6"/>
  <c r="V146" i="6"/>
  <c r="V3" i="17"/>
  <c r="V134" i="6"/>
  <c r="V145" i="6"/>
  <c r="V133" i="6"/>
  <c r="V130" i="6"/>
  <c r="V131" i="6"/>
  <c r="V144" i="6"/>
  <c r="V132" i="6"/>
  <c r="V143" i="6"/>
  <c r="V129" i="6"/>
  <c r="R14" i="26"/>
  <c r="R26" i="26"/>
  <c r="R9" i="26"/>
  <c r="R17" i="26"/>
  <c r="R13" i="26"/>
  <c r="R10" i="26"/>
  <c r="R33" i="26"/>
  <c r="R5" i="26"/>
  <c r="R5" i="28"/>
  <c r="R20" i="26"/>
  <c r="R30" i="26"/>
  <c r="R23" i="28"/>
  <c r="R32" i="28"/>
  <c r="R9" i="28"/>
  <c r="R31" i="27"/>
  <c r="R21" i="26"/>
  <c r="R7" i="26"/>
  <c r="R7" i="27"/>
  <c r="R6" i="28"/>
  <c r="R21" i="27"/>
  <c r="R24" i="28"/>
  <c r="R24" i="26"/>
  <c r="R17" i="27"/>
  <c r="R25" i="27"/>
  <c r="R24" i="27"/>
  <c r="R10" i="27"/>
  <c r="R6" i="27"/>
  <c r="R7" i="28"/>
  <c r="R18" i="27"/>
  <c r="R5" i="27"/>
  <c r="R16" i="26"/>
  <c r="R32" i="27"/>
  <c r="R14" i="27"/>
  <c r="R26" i="27"/>
  <c r="R20" i="27"/>
  <c r="R30" i="27"/>
  <c r="R19" i="26"/>
  <c r="R17" i="28"/>
  <c r="R22" i="27"/>
  <c r="R13" i="27"/>
  <c r="R20" i="28"/>
  <c r="R8" i="28"/>
  <c r="R12" i="26"/>
  <c r="R23" i="26"/>
  <c r="R15" i="26"/>
  <c r="R25" i="26"/>
  <c r="R29" i="26"/>
  <c r="R16" i="28"/>
  <c r="R28" i="26"/>
  <c r="R27" i="26"/>
  <c r="R18" i="26"/>
  <c r="R8" i="27"/>
  <c r="R22" i="28"/>
  <c r="R31" i="28"/>
  <c r="R31" i="26"/>
  <c r="R9" i="27"/>
  <c r="R30" i="28"/>
  <c r="R29" i="28"/>
  <c r="R21" i="28"/>
  <c r="R11" i="27"/>
  <c r="R22" i="26"/>
  <c r="R12" i="27"/>
  <c r="R11" i="26"/>
  <c r="R8" i="26"/>
  <c r="R19" i="28"/>
  <c r="R6" i="26"/>
  <c r="R33" i="27"/>
  <c r="R27" i="27"/>
  <c r="R28" i="27"/>
  <c r="R10" i="28"/>
  <c r="R32" i="26"/>
  <c r="R23" i="27"/>
  <c r="R16" i="27"/>
  <c r="R29" i="27"/>
  <c r="R4" i="26"/>
  <c r="R4" i="28"/>
  <c r="R15" i="27"/>
  <c r="R4" i="27"/>
  <c r="R19" i="27"/>
  <c r="R3" i="28"/>
  <c r="R3" i="26"/>
  <c r="R3" i="27"/>
  <c r="R163" i="6"/>
  <c r="R164" i="6"/>
  <c r="R162" i="6"/>
  <c r="R159" i="6"/>
  <c r="R165" i="6"/>
  <c r="R161" i="6"/>
  <c r="R172" i="6"/>
  <c r="R170" i="6"/>
  <c r="R171" i="6"/>
  <c r="R157" i="6"/>
  <c r="R158" i="6"/>
  <c r="R169" i="6"/>
  <c r="R155" i="6"/>
  <c r="R168" i="6"/>
  <c r="R156" i="6"/>
  <c r="R154" i="6"/>
  <c r="R153" i="6"/>
  <c r="R167" i="6"/>
  <c r="K162" i="6"/>
  <c r="K165" i="6"/>
  <c r="K164" i="6"/>
  <c r="K159" i="6"/>
  <c r="K163" i="6"/>
  <c r="K161" i="6"/>
  <c r="K157" i="6"/>
  <c r="K170" i="6"/>
  <c r="K172" i="6"/>
  <c r="K158" i="6"/>
  <c r="K171" i="6"/>
  <c r="K156" i="6"/>
  <c r="K155" i="6"/>
  <c r="K169" i="6"/>
  <c r="K154" i="6"/>
  <c r="K168" i="6"/>
  <c r="K153" i="6"/>
  <c r="K167" i="6"/>
  <c r="S162" i="6"/>
  <c r="S165" i="6"/>
  <c r="S164" i="6"/>
  <c r="S159" i="6"/>
  <c r="S163" i="6"/>
  <c r="S161" i="6"/>
  <c r="S171" i="6"/>
  <c r="S170" i="6"/>
  <c r="S172" i="6"/>
  <c r="S158" i="6"/>
  <c r="S157" i="6"/>
  <c r="S155" i="6"/>
  <c r="S168" i="6"/>
  <c r="S167" i="6"/>
  <c r="S154" i="6"/>
  <c r="S156" i="6"/>
  <c r="S169" i="6"/>
  <c r="S153" i="6"/>
  <c r="G141" i="6"/>
  <c r="G138" i="6"/>
  <c r="G140" i="6"/>
  <c r="G135" i="6"/>
  <c r="G139" i="6"/>
  <c r="G137" i="6"/>
  <c r="G147" i="6"/>
  <c r="G148" i="6"/>
  <c r="G146" i="6"/>
  <c r="G133" i="6"/>
  <c r="G134" i="6"/>
  <c r="G131" i="6"/>
  <c r="G145" i="6"/>
  <c r="G132" i="6"/>
  <c r="G144" i="6"/>
  <c r="G130" i="6"/>
  <c r="G143" i="6"/>
  <c r="G129" i="6"/>
  <c r="O141" i="6"/>
  <c r="O135" i="6"/>
  <c r="O140" i="6"/>
  <c r="O138" i="6"/>
  <c r="O139" i="6"/>
  <c r="O137" i="6"/>
  <c r="O147" i="6"/>
  <c r="O148" i="6"/>
  <c r="O134" i="6"/>
  <c r="O146" i="6"/>
  <c r="O133" i="6"/>
  <c r="O145" i="6"/>
  <c r="O131" i="6"/>
  <c r="O132" i="6"/>
  <c r="O130" i="6"/>
  <c r="O144" i="6"/>
  <c r="O143" i="6"/>
  <c r="O129" i="6"/>
  <c r="W141" i="6"/>
  <c r="W139" i="6"/>
  <c r="W9" i="17"/>
  <c r="W138" i="6"/>
  <c r="W31" i="15"/>
  <c r="W8" i="16"/>
  <c r="W15" i="15"/>
  <c r="W140" i="6"/>
  <c r="W7" i="17"/>
  <c r="W19" i="17"/>
  <c r="W30" i="15"/>
  <c r="W18" i="16"/>
  <c r="W10" i="16"/>
  <c r="W6" i="17"/>
  <c r="W14" i="16"/>
  <c r="W23" i="17"/>
  <c r="W5" i="16"/>
  <c r="W32" i="16"/>
  <c r="W16" i="17"/>
  <c r="W6" i="15"/>
  <c r="W25" i="16"/>
  <c r="W11" i="16"/>
  <c r="W24" i="15"/>
  <c r="W7" i="15"/>
  <c r="W26" i="15"/>
  <c r="W31" i="16"/>
  <c r="W25" i="15"/>
  <c r="W14" i="15"/>
  <c r="W21" i="15"/>
  <c r="W9" i="16"/>
  <c r="W32" i="15"/>
  <c r="W20" i="15"/>
  <c r="W9" i="15"/>
  <c r="W32" i="17"/>
  <c r="W5" i="17"/>
  <c r="W33" i="16"/>
  <c r="W17" i="15"/>
  <c r="W12" i="16"/>
  <c r="W29" i="16"/>
  <c r="W8" i="15"/>
  <c r="W27" i="15"/>
  <c r="W26" i="16"/>
  <c r="W12" i="15"/>
  <c r="W22" i="16"/>
  <c r="W18" i="15"/>
  <c r="W11" i="15"/>
  <c r="W135" i="6"/>
  <c r="W23" i="15"/>
  <c r="W13" i="16"/>
  <c r="W16" i="16"/>
  <c r="W5" i="15"/>
  <c r="W8" i="17"/>
  <c r="W31" i="17"/>
  <c r="W22" i="17"/>
  <c r="W21" i="17"/>
  <c r="W29" i="15"/>
  <c r="W30" i="17"/>
  <c r="W28" i="16"/>
  <c r="W33" i="15"/>
  <c r="W19" i="15"/>
  <c r="W17" i="17"/>
  <c r="W23" i="16"/>
  <c r="W24" i="16"/>
  <c r="W28" i="15"/>
  <c r="W20" i="17"/>
  <c r="W30" i="16"/>
  <c r="W7" i="16"/>
  <c r="W22" i="15"/>
  <c r="W24" i="17"/>
  <c r="W10" i="17"/>
  <c r="W6" i="16"/>
  <c r="W20" i="16"/>
  <c r="W13" i="15"/>
  <c r="W17" i="16"/>
  <c r="W27" i="16"/>
  <c r="W10" i="15"/>
  <c r="W29" i="17"/>
  <c r="W15" i="16"/>
  <c r="W4" i="15"/>
  <c r="W21" i="16"/>
  <c r="W4" i="17"/>
  <c r="W137" i="6"/>
  <c r="W3" i="15"/>
  <c r="W16" i="15"/>
  <c r="W4" i="16"/>
  <c r="W19" i="16"/>
  <c r="W3" i="17"/>
  <c r="W3" i="16"/>
  <c r="W147" i="6"/>
  <c r="W148" i="6"/>
  <c r="W146" i="6"/>
  <c r="W145" i="6"/>
  <c r="W133" i="6"/>
  <c r="W134" i="6"/>
  <c r="W144" i="6"/>
  <c r="W132" i="6"/>
  <c r="W130" i="6"/>
  <c r="W131" i="6"/>
  <c r="W143" i="6"/>
  <c r="W129" i="6"/>
  <c r="S8" i="28"/>
  <c r="S30" i="27"/>
  <c r="S11" i="27"/>
  <c r="S33" i="26"/>
  <c r="S25" i="27"/>
  <c r="S23" i="27"/>
  <c r="S12" i="26"/>
  <c r="S12" i="27"/>
  <c r="S15" i="27"/>
  <c r="S19" i="28"/>
  <c r="S5" i="28"/>
  <c r="S10" i="27"/>
  <c r="S5" i="26"/>
  <c r="S28" i="27"/>
  <c r="S6" i="27"/>
  <c r="S29" i="28"/>
  <c r="S9" i="28"/>
  <c r="S9" i="26"/>
  <c r="S30" i="28"/>
  <c r="S31" i="27"/>
  <c r="S32" i="26"/>
  <c r="S7" i="26"/>
  <c r="S22" i="28"/>
  <c r="S5" i="27"/>
  <c r="S22" i="27"/>
  <c r="S14" i="26"/>
  <c r="S7" i="28"/>
  <c r="S17" i="28"/>
  <c r="S17" i="27"/>
  <c r="S22" i="26"/>
  <c r="S21" i="27"/>
  <c r="S21" i="26"/>
  <c r="S16" i="26"/>
  <c r="S14" i="27"/>
  <c r="S31" i="26"/>
  <c r="S27" i="27"/>
  <c r="S24" i="26"/>
  <c r="S32" i="27"/>
  <c r="S7" i="27"/>
  <c r="S19" i="26"/>
  <c r="S8" i="27"/>
  <c r="S23" i="28"/>
  <c r="S26" i="26"/>
  <c r="S13" i="26"/>
  <c r="S18" i="26"/>
  <c r="S25" i="26"/>
  <c r="S10" i="26"/>
  <c r="S6" i="28"/>
  <c r="S15" i="26"/>
  <c r="S33" i="27"/>
  <c r="S24" i="28"/>
  <c r="S16" i="28"/>
  <c r="S21" i="28"/>
  <c r="S18" i="27"/>
  <c r="S30" i="26"/>
  <c r="S28" i="26"/>
  <c r="S24" i="27"/>
  <c r="S10" i="28"/>
  <c r="S27" i="26"/>
  <c r="S6" i="26"/>
  <c r="S8" i="26"/>
  <c r="S11" i="26"/>
  <c r="S32" i="28"/>
  <c r="S31" i="28"/>
  <c r="S13" i="27"/>
  <c r="S9" i="27"/>
  <c r="S23" i="26"/>
  <c r="S26" i="27"/>
  <c r="S17" i="26"/>
  <c r="S4" i="26"/>
  <c r="S29" i="27"/>
  <c r="S19" i="27"/>
  <c r="S29" i="26"/>
  <c r="S4" i="27"/>
  <c r="S16" i="27"/>
  <c r="S4" i="28"/>
  <c r="S3" i="28"/>
  <c r="S3" i="26"/>
  <c r="S3" i="27"/>
  <c r="I164" i="6"/>
  <c r="I163" i="6"/>
  <c r="I159" i="6"/>
  <c r="I162" i="6"/>
  <c r="I165" i="6"/>
  <c r="I161" i="6"/>
  <c r="I157" i="6"/>
  <c r="I172" i="6"/>
  <c r="I171" i="6"/>
  <c r="I170" i="6"/>
  <c r="I158" i="6"/>
  <c r="I155" i="6"/>
  <c r="I156" i="6"/>
  <c r="I169" i="6"/>
  <c r="I154" i="6"/>
  <c r="I168" i="6"/>
  <c r="I153" i="6"/>
  <c r="I167" i="6"/>
  <c r="D165" i="6"/>
  <c r="D162" i="6"/>
  <c r="D164" i="6"/>
  <c r="D159" i="6"/>
  <c r="D163" i="6"/>
  <c r="D161" i="6"/>
  <c r="D157" i="6"/>
  <c r="D171" i="6"/>
  <c r="D172" i="6"/>
  <c r="D170" i="6"/>
  <c r="D158" i="6"/>
  <c r="D156" i="6"/>
  <c r="D169" i="6"/>
  <c r="D155" i="6"/>
  <c r="D168" i="6"/>
  <c r="D154" i="6"/>
  <c r="D153" i="6"/>
  <c r="D167" i="6"/>
  <c r="L162" i="6"/>
  <c r="L165" i="6"/>
  <c r="L159" i="6"/>
  <c r="L163" i="6"/>
  <c r="L164" i="6"/>
  <c r="L161" i="6"/>
  <c r="L158" i="6"/>
  <c r="L157" i="6"/>
  <c r="L171" i="6"/>
  <c r="L172" i="6"/>
  <c r="L170" i="6"/>
  <c r="L169" i="6"/>
  <c r="L155" i="6"/>
  <c r="L156" i="6"/>
  <c r="L154" i="6"/>
  <c r="L168" i="6"/>
  <c r="L153" i="6"/>
  <c r="L167" i="6"/>
  <c r="T162" i="6"/>
  <c r="T165" i="6"/>
  <c r="T164" i="6"/>
  <c r="T163" i="6"/>
  <c r="T161" i="6"/>
  <c r="T159" i="6"/>
  <c r="T172" i="6"/>
  <c r="T170" i="6"/>
  <c r="T171" i="6"/>
  <c r="T157" i="6"/>
  <c r="T158" i="6"/>
  <c r="T169" i="6"/>
  <c r="T155" i="6"/>
  <c r="T156" i="6"/>
  <c r="T154" i="6"/>
  <c r="T168" i="6"/>
  <c r="T153" i="6"/>
  <c r="T167" i="6"/>
  <c r="H139" i="6"/>
  <c r="H138" i="6"/>
  <c r="H140" i="6"/>
  <c r="H141" i="6"/>
  <c r="H135" i="6"/>
  <c r="H137" i="6"/>
  <c r="H134" i="6"/>
  <c r="H146" i="6"/>
  <c r="H147" i="6"/>
  <c r="H133" i="6"/>
  <c r="H148" i="6"/>
  <c r="H145" i="6"/>
  <c r="H132" i="6"/>
  <c r="H131" i="6"/>
  <c r="H144" i="6"/>
  <c r="H130" i="6"/>
  <c r="H143" i="6"/>
  <c r="H129" i="6"/>
  <c r="P139" i="6"/>
  <c r="P140" i="6"/>
  <c r="P135" i="6"/>
  <c r="P138" i="6"/>
  <c r="P141" i="6"/>
  <c r="P137" i="6"/>
  <c r="P148" i="6"/>
  <c r="P133" i="6"/>
  <c r="P146" i="6"/>
  <c r="P147" i="6"/>
  <c r="P134" i="6"/>
  <c r="P145" i="6"/>
  <c r="P131" i="6"/>
  <c r="P132" i="6"/>
  <c r="P144" i="6"/>
  <c r="P130" i="6"/>
  <c r="P129" i="6"/>
  <c r="P143" i="6"/>
  <c r="T6" i="26"/>
  <c r="T7" i="27"/>
  <c r="T11" i="26"/>
  <c r="T18" i="26"/>
  <c r="T10" i="26"/>
  <c r="T14" i="26"/>
  <c r="T30" i="26"/>
  <c r="T26" i="27"/>
  <c r="T9" i="28"/>
  <c r="T20" i="26"/>
  <c r="T10" i="28"/>
  <c r="T32" i="27"/>
  <c r="T21" i="28"/>
  <c r="T27" i="27"/>
  <c r="T22" i="27"/>
  <c r="T7" i="26"/>
  <c r="T14" i="27"/>
  <c r="T32" i="26"/>
  <c r="T26" i="26"/>
  <c r="T24" i="28"/>
  <c r="T30" i="28"/>
  <c r="T15" i="26"/>
  <c r="T31" i="27"/>
  <c r="T8" i="28"/>
  <c r="T31" i="28"/>
  <c r="T10" i="27"/>
  <c r="T7" i="28"/>
  <c r="T28" i="27"/>
  <c r="T32" i="28"/>
  <c r="T16" i="28"/>
  <c r="T21" i="27"/>
  <c r="T18" i="27"/>
  <c r="T25" i="26"/>
  <c r="T20" i="27"/>
  <c r="T24" i="26"/>
  <c r="T9" i="26"/>
  <c r="T29" i="26"/>
  <c r="T31" i="26"/>
  <c r="T11" i="27"/>
  <c r="T22" i="28"/>
  <c r="T33" i="26"/>
  <c r="T6" i="27"/>
  <c r="T13" i="26"/>
  <c r="T33" i="27"/>
  <c r="T13" i="27"/>
  <c r="T17" i="26"/>
  <c r="T16" i="26"/>
  <c r="T25" i="27"/>
  <c r="T21" i="26"/>
  <c r="T5" i="28"/>
  <c r="T22" i="26"/>
  <c r="T23" i="27"/>
  <c r="T23" i="26"/>
  <c r="T24" i="27"/>
  <c r="T6" i="28"/>
  <c r="T17" i="28"/>
  <c r="T5" i="26"/>
  <c r="T29" i="28"/>
  <c r="T23" i="28"/>
  <c r="T8" i="27"/>
  <c r="T12" i="26"/>
  <c r="T30" i="27"/>
  <c r="T5" i="27"/>
  <c r="T9" i="27"/>
  <c r="T20" i="28"/>
  <c r="T27" i="26"/>
  <c r="T8" i="26"/>
  <c r="T28" i="26"/>
  <c r="T19" i="26"/>
  <c r="T17" i="27"/>
  <c r="T12" i="27"/>
  <c r="T19" i="28"/>
  <c r="T4" i="27"/>
  <c r="T29" i="27"/>
  <c r="T16" i="27"/>
  <c r="T4" i="28"/>
  <c r="T4" i="26"/>
  <c r="T15" i="27"/>
  <c r="T19" i="27"/>
  <c r="T3" i="28"/>
  <c r="T3" i="26"/>
  <c r="T3" i="27"/>
  <c r="J162" i="6"/>
  <c r="J163" i="6"/>
  <c r="J164" i="6"/>
  <c r="J165" i="6"/>
  <c r="J159" i="6"/>
  <c r="J161" i="6"/>
  <c r="J157" i="6"/>
  <c r="J171" i="6"/>
  <c r="J172" i="6"/>
  <c r="J170" i="6"/>
  <c r="J158" i="6"/>
  <c r="J155" i="6"/>
  <c r="J169" i="6"/>
  <c r="J156" i="6"/>
  <c r="J168" i="6"/>
  <c r="J154" i="6"/>
  <c r="J167" i="6"/>
  <c r="J153" i="6"/>
  <c r="E165" i="6"/>
  <c r="E163" i="6"/>
  <c r="E164" i="6"/>
  <c r="E162" i="6"/>
  <c r="E159" i="6"/>
  <c r="E161" i="6"/>
  <c r="E157" i="6"/>
  <c r="E172" i="6"/>
  <c r="E170" i="6"/>
  <c r="E171" i="6"/>
  <c r="E158" i="6"/>
  <c r="E156" i="6"/>
  <c r="E155" i="6"/>
  <c r="E169" i="6"/>
  <c r="E154" i="6"/>
  <c r="E168" i="6"/>
  <c r="E167" i="6"/>
  <c r="E153" i="6"/>
  <c r="M165" i="6"/>
  <c r="M163" i="6"/>
  <c r="M164" i="6"/>
  <c r="M159" i="6"/>
  <c r="M162" i="6"/>
  <c r="M161" i="6"/>
  <c r="M157" i="6"/>
  <c r="M170" i="6"/>
  <c r="M158" i="6"/>
  <c r="M171" i="6"/>
  <c r="M172" i="6"/>
  <c r="M156" i="6"/>
  <c r="M155" i="6"/>
  <c r="M169" i="6"/>
  <c r="M154" i="6"/>
  <c r="M168" i="6"/>
  <c r="M153" i="6"/>
  <c r="M167" i="6"/>
  <c r="U163" i="6"/>
  <c r="U164" i="6"/>
  <c r="U165" i="6"/>
  <c r="U159" i="6"/>
  <c r="U162" i="6"/>
  <c r="U161" i="6"/>
  <c r="U171" i="6"/>
  <c r="U170" i="6"/>
  <c r="U172" i="6"/>
  <c r="U169" i="6"/>
  <c r="U158" i="6"/>
  <c r="U157" i="6"/>
  <c r="U155" i="6"/>
  <c r="U154" i="6"/>
  <c r="U156" i="6"/>
  <c r="U168" i="6"/>
  <c r="U167" i="6"/>
  <c r="U153" i="6"/>
  <c r="I139" i="6"/>
  <c r="I135" i="6"/>
  <c r="I141" i="6"/>
  <c r="I138" i="6"/>
  <c r="I140" i="6"/>
  <c r="I137" i="6"/>
  <c r="I147" i="6"/>
  <c r="I146" i="6"/>
  <c r="I148" i="6"/>
  <c r="I133" i="6"/>
  <c r="I134" i="6"/>
  <c r="I132" i="6"/>
  <c r="I131" i="6"/>
  <c r="I145" i="6"/>
  <c r="I130" i="6"/>
  <c r="I144" i="6"/>
  <c r="I129" i="6"/>
  <c r="I143" i="6"/>
  <c r="Q139" i="6"/>
  <c r="Q140" i="6"/>
  <c r="Q141" i="6"/>
  <c r="Q138" i="6"/>
  <c r="Q135" i="6"/>
  <c r="Q137" i="6"/>
  <c r="Q133" i="6"/>
  <c r="Q146" i="6"/>
  <c r="Q134" i="6"/>
  <c r="Q147" i="6"/>
  <c r="Q148" i="6"/>
  <c r="Q145" i="6"/>
  <c r="Q132" i="6"/>
  <c r="Q131" i="6"/>
  <c r="Q144" i="6"/>
  <c r="Q130" i="6"/>
  <c r="Q143" i="6"/>
  <c r="Q129" i="6"/>
  <c r="U18" i="26"/>
  <c r="U22" i="28"/>
  <c r="U10" i="27"/>
  <c r="U9" i="28"/>
  <c r="U23" i="28"/>
  <c r="U17" i="26"/>
  <c r="U5" i="26"/>
  <c r="U18" i="27"/>
  <c r="U30" i="27"/>
  <c r="U31" i="28"/>
  <c r="U17" i="27"/>
  <c r="U14" i="27"/>
  <c r="U20" i="28"/>
  <c r="U33" i="27"/>
  <c r="U17" i="28"/>
  <c r="U13" i="27"/>
  <c r="U20" i="27"/>
  <c r="U32" i="27"/>
  <c r="U33" i="26"/>
  <c r="U31" i="27"/>
  <c r="U5" i="28"/>
  <c r="U25" i="26"/>
  <c r="U16" i="28"/>
  <c r="U14" i="26"/>
  <c r="U21" i="26"/>
  <c r="U22" i="27"/>
  <c r="U22" i="26"/>
  <c r="U6" i="28"/>
  <c r="U31" i="26"/>
  <c r="U26" i="27"/>
  <c r="U16" i="26"/>
  <c r="U13" i="26"/>
  <c r="U23" i="26"/>
  <c r="U11" i="26"/>
  <c r="U30" i="26"/>
  <c r="U11" i="27"/>
  <c r="U6" i="26"/>
  <c r="U27" i="26"/>
  <c r="U5" i="27"/>
  <c r="U19" i="28"/>
  <c r="U10" i="28"/>
  <c r="U32" i="26"/>
  <c r="U21" i="28"/>
  <c r="U9" i="27"/>
  <c r="U4" i="28"/>
  <c r="U7" i="27"/>
  <c r="U15" i="27"/>
  <c r="U28" i="27"/>
  <c r="U9" i="26"/>
  <c r="U29" i="26"/>
  <c r="U28" i="26"/>
  <c r="U24" i="26"/>
  <c r="U23" i="27"/>
  <c r="U8" i="28"/>
  <c r="U26" i="26"/>
  <c r="U25" i="27"/>
  <c r="U19" i="26"/>
  <c r="U30" i="28"/>
  <c r="U29" i="28"/>
  <c r="U7" i="28"/>
  <c r="U15" i="26"/>
  <c r="U10" i="26"/>
  <c r="U21" i="27"/>
  <c r="U12" i="27"/>
  <c r="U6" i="27"/>
  <c r="U8" i="27"/>
  <c r="U7" i="26"/>
  <c r="U12" i="26"/>
  <c r="U27" i="27"/>
  <c r="U24" i="28"/>
  <c r="U24" i="27"/>
  <c r="U20" i="26"/>
  <c r="U8" i="26"/>
  <c r="U4" i="27"/>
  <c r="U4" i="26"/>
  <c r="U16" i="27"/>
  <c r="U29" i="27"/>
  <c r="U19" i="27"/>
  <c r="U3" i="28"/>
  <c r="U3" i="27"/>
  <c r="U3" i="26"/>
  <c r="F163" i="6"/>
  <c r="F162" i="6"/>
  <c r="F164" i="6"/>
  <c r="F165" i="6"/>
  <c r="F159" i="6"/>
  <c r="F161" i="6"/>
  <c r="F170" i="6"/>
  <c r="F158" i="6"/>
  <c r="F157" i="6"/>
  <c r="F171" i="6"/>
  <c r="F172" i="6"/>
  <c r="F156" i="6"/>
  <c r="F169" i="6"/>
  <c r="F155" i="6"/>
  <c r="F154" i="6"/>
  <c r="F168" i="6"/>
  <c r="F153" i="6"/>
  <c r="F167" i="6"/>
  <c r="N163" i="6"/>
  <c r="N162" i="6"/>
  <c r="N159" i="6"/>
  <c r="N165" i="6"/>
  <c r="N164" i="6"/>
  <c r="N161" i="6"/>
  <c r="N171" i="6"/>
  <c r="N170" i="6"/>
  <c r="N172" i="6"/>
  <c r="N157" i="6"/>
  <c r="N158" i="6"/>
  <c r="N155" i="6"/>
  <c r="N156" i="6"/>
  <c r="N169" i="6"/>
  <c r="N154" i="6"/>
  <c r="N168" i="6"/>
  <c r="N167" i="6"/>
  <c r="N153" i="6"/>
  <c r="V163" i="6"/>
  <c r="V159" i="6"/>
  <c r="V164" i="6"/>
  <c r="V162" i="6"/>
  <c r="V165" i="6"/>
  <c r="V161" i="6"/>
  <c r="V171" i="6"/>
  <c r="V172" i="6"/>
  <c r="V170" i="6"/>
  <c r="V169" i="6"/>
  <c r="V158" i="6"/>
  <c r="V157" i="6"/>
  <c r="V168" i="6"/>
  <c r="V156" i="6"/>
  <c r="V155" i="6"/>
  <c r="V154" i="6"/>
  <c r="V167" i="6"/>
  <c r="V153" i="6"/>
  <c r="J138" i="6"/>
  <c r="J140" i="6"/>
  <c r="J141" i="6"/>
  <c r="J135" i="6"/>
  <c r="J139" i="6"/>
  <c r="J137" i="6"/>
  <c r="J147" i="6"/>
  <c r="J146" i="6"/>
  <c r="J134" i="6"/>
  <c r="J148" i="6"/>
  <c r="J133" i="6"/>
  <c r="J145" i="6"/>
  <c r="J132" i="6"/>
  <c r="J131" i="6"/>
  <c r="J130" i="6"/>
  <c r="J144" i="6"/>
  <c r="J143" i="6"/>
  <c r="J129" i="6"/>
  <c r="R135" i="6"/>
  <c r="R141" i="6"/>
  <c r="R12" i="15"/>
  <c r="R8" i="15"/>
  <c r="R138" i="6"/>
  <c r="R140" i="6"/>
  <c r="R139" i="6"/>
  <c r="R24" i="15"/>
  <c r="R25" i="16"/>
  <c r="R5" i="17"/>
  <c r="R7" i="17"/>
  <c r="R10" i="17"/>
  <c r="R33" i="15"/>
  <c r="R32" i="17"/>
  <c r="R16" i="17"/>
  <c r="R20" i="16"/>
  <c r="R30" i="16"/>
  <c r="R23" i="16"/>
  <c r="R30" i="17"/>
  <c r="R24" i="16"/>
  <c r="R10" i="16"/>
  <c r="R31" i="15"/>
  <c r="R20" i="17"/>
  <c r="R32" i="16"/>
  <c r="R24" i="17"/>
  <c r="R21" i="16"/>
  <c r="R19" i="17"/>
  <c r="R9" i="17"/>
  <c r="R9" i="15"/>
  <c r="R137" i="6"/>
  <c r="R11" i="15"/>
  <c r="R5" i="15"/>
  <c r="R18" i="15"/>
  <c r="R22" i="15"/>
  <c r="R25" i="15"/>
  <c r="R6" i="15"/>
  <c r="R17" i="15"/>
  <c r="R22" i="17"/>
  <c r="R10" i="15"/>
  <c r="R13" i="15"/>
  <c r="R7" i="15"/>
  <c r="R33" i="16"/>
  <c r="R31" i="17"/>
  <c r="R23" i="17"/>
  <c r="R12" i="16"/>
  <c r="R6" i="17"/>
  <c r="R20" i="15"/>
  <c r="R26" i="16"/>
  <c r="R26" i="15"/>
  <c r="R22" i="16"/>
  <c r="R8" i="16"/>
  <c r="R17" i="17"/>
  <c r="R15" i="16"/>
  <c r="R21" i="17"/>
  <c r="R32" i="15"/>
  <c r="R31" i="16"/>
  <c r="R7" i="16"/>
  <c r="R18" i="16"/>
  <c r="R14" i="16"/>
  <c r="R14" i="15"/>
  <c r="R17" i="16"/>
  <c r="R23" i="15"/>
  <c r="R30" i="15"/>
  <c r="R9" i="16"/>
  <c r="R28" i="15"/>
  <c r="R8" i="17"/>
  <c r="R6" i="16"/>
  <c r="R27" i="16"/>
  <c r="R29" i="15"/>
  <c r="R5" i="16"/>
  <c r="R11" i="16"/>
  <c r="R13" i="16"/>
  <c r="R28" i="16"/>
  <c r="R21" i="15"/>
  <c r="R16" i="15"/>
  <c r="R19" i="16"/>
  <c r="R29" i="16"/>
  <c r="R4" i="17"/>
  <c r="R29" i="17"/>
  <c r="R16" i="16"/>
  <c r="R19" i="15"/>
  <c r="R4" i="15"/>
  <c r="R27" i="15"/>
  <c r="R3" i="15"/>
  <c r="R4" i="16"/>
  <c r="R15" i="15"/>
  <c r="R3" i="17"/>
  <c r="R148" i="6"/>
  <c r="R3" i="16"/>
  <c r="R146" i="6"/>
  <c r="R147" i="6"/>
  <c r="R133" i="6"/>
  <c r="R145" i="6"/>
  <c r="R134" i="6"/>
  <c r="R131" i="6"/>
  <c r="R130" i="6"/>
  <c r="R132" i="6"/>
  <c r="R144" i="6"/>
  <c r="R143" i="6"/>
  <c r="R129" i="6"/>
  <c r="V12" i="26"/>
  <c r="V21" i="26"/>
  <c r="V7" i="26"/>
  <c r="V11" i="26"/>
  <c r="V24" i="26"/>
  <c r="V17" i="26"/>
  <c r="V19" i="28"/>
  <c r="V8" i="28"/>
  <c r="V7" i="28"/>
  <c r="V16" i="28"/>
  <c r="V33" i="26"/>
  <c r="V6" i="26"/>
  <c r="V16" i="26"/>
  <c r="V27" i="27"/>
  <c r="V22" i="28"/>
  <c r="V5" i="28"/>
  <c r="V20" i="28"/>
  <c r="V8" i="27"/>
  <c r="V25" i="27"/>
  <c r="V8" i="26"/>
  <c r="V10" i="26"/>
  <c r="V26" i="27"/>
  <c r="V22" i="26"/>
  <c r="V31" i="28"/>
  <c r="V33" i="27"/>
  <c r="V18" i="27"/>
  <c r="V23" i="26"/>
  <c r="V14" i="26"/>
  <c r="V26" i="26"/>
  <c r="V30" i="27"/>
  <c r="V17" i="27"/>
  <c r="V5" i="27"/>
  <c r="V13" i="27"/>
  <c r="V7" i="27"/>
  <c r="V21" i="28"/>
  <c r="V9" i="26"/>
  <c r="V9" i="27"/>
  <c r="V20" i="27"/>
  <c r="V4" i="28"/>
  <c r="V23" i="27"/>
  <c r="V23" i="28"/>
  <c r="V32" i="27"/>
  <c r="V24" i="27"/>
  <c r="V25" i="26"/>
  <c r="V15" i="26"/>
  <c r="V31" i="27"/>
  <c r="V19" i="26"/>
  <c r="V28" i="27"/>
  <c r="V10" i="28"/>
  <c r="V27" i="26"/>
  <c r="V32" i="26"/>
  <c r="V9" i="28"/>
  <c r="V4" i="26"/>
  <c r="V10" i="27"/>
  <c r="V14" i="27"/>
  <c r="V5" i="26"/>
  <c r="V17" i="28"/>
  <c r="V30" i="26"/>
  <c r="V11" i="27"/>
  <c r="V12" i="27"/>
  <c r="V18" i="26"/>
  <c r="V6" i="27"/>
  <c r="V31" i="26"/>
  <c r="V28" i="26"/>
  <c r="V24" i="28"/>
  <c r="V13" i="26"/>
  <c r="V6" i="28"/>
  <c r="V22" i="27"/>
  <c r="V30" i="28"/>
  <c r="V20" i="26"/>
  <c r="V21" i="27"/>
  <c r="V4" i="27"/>
  <c r="V16" i="27"/>
  <c r="V15" i="27"/>
  <c r="V19" i="27"/>
  <c r="V3" i="28"/>
  <c r="V29" i="26"/>
  <c r="V29" i="27"/>
  <c r="V29" i="28"/>
  <c r="V3" i="26"/>
  <c r="V3" i="27"/>
  <c r="G163" i="6"/>
  <c r="G165" i="6"/>
  <c r="G162" i="6"/>
  <c r="G164" i="6"/>
  <c r="G159" i="6"/>
  <c r="G161" i="6"/>
  <c r="G157" i="6"/>
  <c r="G158" i="6"/>
  <c r="G171" i="6"/>
  <c r="G172" i="6"/>
  <c r="G170" i="6"/>
  <c r="G155" i="6"/>
  <c r="G169" i="6"/>
  <c r="G156" i="6"/>
  <c r="G154" i="6"/>
  <c r="G168" i="6"/>
  <c r="G167" i="6"/>
  <c r="G153" i="6"/>
  <c r="O163" i="6"/>
  <c r="O159" i="6"/>
  <c r="O162" i="6"/>
  <c r="O164" i="6"/>
  <c r="O165" i="6"/>
  <c r="O161" i="6"/>
  <c r="O171" i="6"/>
  <c r="O172" i="6"/>
  <c r="O157" i="6"/>
  <c r="O158" i="6"/>
  <c r="O170" i="6"/>
  <c r="O156" i="6"/>
  <c r="O169" i="6"/>
  <c r="O155" i="6"/>
  <c r="O154" i="6"/>
  <c r="O168" i="6"/>
  <c r="O167" i="6"/>
  <c r="O153" i="6"/>
  <c r="W163" i="6"/>
  <c r="W164" i="6"/>
  <c r="W165" i="6"/>
  <c r="W162" i="6"/>
  <c r="W159" i="6"/>
  <c r="W161" i="6"/>
  <c r="W171" i="6"/>
  <c r="W172" i="6"/>
  <c r="W170" i="6"/>
  <c r="W158" i="6"/>
  <c r="W169" i="6"/>
  <c r="W157" i="6"/>
  <c r="W154" i="6"/>
  <c r="W155" i="6"/>
  <c r="W156" i="6"/>
  <c r="W168" i="6"/>
  <c r="W167" i="6"/>
  <c r="W153" i="6"/>
  <c r="K141" i="6"/>
  <c r="K140" i="6"/>
  <c r="K138" i="6"/>
  <c r="K135" i="6"/>
  <c r="K139" i="6"/>
  <c r="K137" i="6"/>
  <c r="K147" i="6"/>
  <c r="K133" i="6"/>
  <c r="K134" i="6"/>
  <c r="K148" i="6"/>
  <c r="K146" i="6"/>
  <c r="K132" i="6"/>
  <c r="K145" i="6"/>
  <c r="K131" i="6"/>
  <c r="K144" i="6"/>
  <c r="K130" i="6"/>
  <c r="K129" i="6"/>
  <c r="K143" i="6"/>
  <c r="S140" i="6"/>
  <c r="S32" i="15"/>
  <c r="S138" i="6"/>
  <c r="S21" i="15"/>
  <c r="S30" i="16"/>
  <c r="S5" i="15"/>
  <c r="S135" i="6"/>
  <c r="S139" i="6"/>
  <c r="S14" i="16"/>
  <c r="S141" i="6"/>
  <c r="S15" i="15"/>
  <c r="S32" i="16"/>
  <c r="S18" i="16"/>
  <c r="S32" i="17"/>
  <c r="S10" i="16"/>
  <c r="S19" i="15"/>
  <c r="S21" i="16"/>
  <c r="S22" i="15"/>
  <c r="S12" i="15"/>
  <c r="S8" i="17"/>
  <c r="S25" i="15"/>
  <c r="S11" i="16"/>
  <c r="S10" i="17"/>
  <c r="S13" i="16"/>
  <c r="S26" i="15"/>
  <c r="S31" i="16"/>
  <c r="S5" i="17"/>
  <c r="S6" i="16"/>
  <c r="S29" i="17"/>
  <c r="S23" i="15"/>
  <c r="S27" i="15"/>
  <c r="S31" i="17"/>
  <c r="S8" i="16"/>
  <c r="S17" i="15"/>
  <c r="S15" i="16"/>
  <c r="S28" i="15"/>
  <c r="S17" i="16"/>
  <c r="S7" i="16"/>
  <c r="S24" i="15"/>
  <c r="S23" i="17"/>
  <c r="S29" i="15"/>
  <c r="S9" i="17"/>
  <c r="S27" i="16"/>
  <c r="S9" i="16"/>
  <c r="S24" i="16"/>
  <c r="S26" i="16"/>
  <c r="S18" i="15"/>
  <c r="S25" i="16"/>
  <c r="S30" i="17"/>
  <c r="S20" i="15"/>
  <c r="S20" i="17"/>
  <c r="S6" i="15"/>
  <c r="S23" i="16"/>
  <c r="S16" i="15"/>
  <c r="S30" i="15"/>
  <c r="S31" i="15"/>
  <c r="S8" i="15"/>
  <c r="S137" i="6"/>
  <c r="S7" i="17"/>
  <c r="S21" i="17"/>
  <c r="S10" i="15"/>
  <c r="S13" i="15"/>
  <c r="S33" i="16"/>
  <c r="S9" i="15"/>
  <c r="S14" i="15"/>
  <c r="S11" i="15"/>
  <c r="S6" i="17"/>
  <c r="S17" i="17"/>
  <c r="S33" i="15"/>
  <c r="S12" i="16"/>
  <c r="S22" i="16"/>
  <c r="S20" i="16"/>
  <c r="S22" i="17"/>
  <c r="S16" i="17"/>
  <c r="S19" i="17"/>
  <c r="S24" i="17"/>
  <c r="S7" i="15"/>
  <c r="S5" i="16"/>
  <c r="S28" i="16"/>
  <c r="S4" i="17"/>
  <c r="S29" i="16"/>
  <c r="S19" i="16"/>
  <c r="S3" i="15"/>
  <c r="S4" i="16"/>
  <c r="S4" i="15"/>
  <c r="S16" i="16"/>
  <c r="S147" i="6"/>
  <c r="S3" i="17"/>
  <c r="S146" i="6"/>
  <c r="S3" i="16"/>
  <c r="S148" i="6"/>
  <c r="S134" i="6"/>
  <c r="S133" i="6"/>
  <c r="S132" i="6"/>
  <c r="S144" i="6"/>
  <c r="S145" i="6"/>
  <c r="S143" i="6"/>
  <c r="S130" i="6"/>
  <c r="S131" i="6"/>
  <c r="S129" i="6"/>
  <c r="W23" i="28"/>
  <c r="W10" i="28"/>
  <c r="W28" i="27"/>
  <c r="W18" i="27"/>
  <c r="W31" i="28"/>
  <c r="W11" i="26"/>
  <c r="W11" i="27"/>
  <c r="W5" i="28"/>
  <c r="W23" i="26"/>
  <c r="W22" i="27"/>
  <c r="W8" i="28"/>
  <c r="W13" i="27"/>
  <c r="W18" i="26"/>
  <c r="W27" i="27"/>
  <c r="W28" i="26"/>
  <c r="W24" i="26"/>
  <c r="W30" i="28"/>
  <c r="W32" i="26"/>
  <c r="W29" i="26"/>
  <c r="W33" i="27"/>
  <c r="W24" i="28"/>
  <c r="W19" i="27"/>
  <c r="W31" i="26"/>
  <c r="W30" i="27"/>
  <c r="W22" i="28"/>
  <c r="W10" i="27"/>
  <c r="W7" i="28"/>
  <c r="W12" i="27"/>
  <c r="W16" i="27"/>
  <c r="W6" i="27"/>
  <c r="W8" i="27"/>
  <c r="W9" i="28"/>
  <c r="W25" i="27"/>
  <c r="W9" i="27"/>
  <c r="W7" i="26"/>
  <c r="W25" i="26"/>
  <c r="W6" i="26"/>
  <c r="W20" i="28"/>
  <c r="W27" i="26"/>
  <c r="W12" i="26"/>
  <c r="W23" i="27"/>
  <c r="W20" i="26"/>
  <c r="W17" i="27"/>
  <c r="W26" i="26"/>
  <c r="W9" i="26"/>
  <c r="W24" i="27"/>
  <c r="W26" i="27"/>
  <c r="W20" i="27"/>
  <c r="W10" i="26"/>
  <c r="W19" i="28"/>
  <c r="W30" i="26"/>
  <c r="W16" i="26"/>
  <c r="W14" i="26"/>
  <c r="W14" i="27"/>
  <c r="W21" i="27"/>
  <c r="W5" i="27"/>
  <c r="W32" i="27"/>
  <c r="W17" i="26"/>
  <c r="W8" i="26"/>
  <c r="W7" i="27"/>
  <c r="W31" i="27"/>
  <c r="W29" i="28"/>
  <c r="W22" i="26"/>
  <c r="W13" i="26"/>
  <c r="W6" i="28"/>
  <c r="W21" i="26"/>
  <c r="W16" i="28"/>
  <c r="W21" i="28"/>
  <c r="W5" i="26"/>
  <c r="W17" i="28"/>
  <c r="W15" i="27"/>
  <c r="W33" i="26"/>
  <c r="W29" i="27"/>
  <c r="W15" i="26"/>
  <c r="W4" i="26"/>
  <c r="W19" i="26"/>
  <c r="W4" i="28"/>
  <c r="W4" i="27"/>
  <c r="W3" i="26"/>
  <c r="W3" i="28"/>
  <c r="W3" i="27"/>
  <c r="B37" i="6" l="1"/>
  <c r="B33" i="6"/>
  <c r="C32" i="39" l="1"/>
  <c r="D32" i="39"/>
  <c r="E32" i="39"/>
  <c r="L45" i="39"/>
  <c r="M45" i="39"/>
  <c r="D33" i="39"/>
  <c r="E33" i="39"/>
  <c r="G33" i="39"/>
  <c r="L46" i="39"/>
  <c r="M46" i="39"/>
  <c r="D34" i="39"/>
  <c r="E34" i="39"/>
  <c r="L47" i="39"/>
  <c r="M47" i="39"/>
  <c r="D35" i="39"/>
  <c r="E35" i="39"/>
  <c r="L35" i="39"/>
  <c r="M35" i="39"/>
  <c r="D36" i="39"/>
  <c r="E36" i="39"/>
  <c r="L36" i="39"/>
  <c r="M36" i="39"/>
  <c r="D37" i="39"/>
  <c r="E37" i="39"/>
  <c r="L37" i="39"/>
  <c r="M37" i="39"/>
  <c r="C38" i="39"/>
  <c r="D38" i="39"/>
  <c r="E38" i="39"/>
  <c r="F38" i="39"/>
  <c r="I38" i="39"/>
  <c r="L38" i="39"/>
  <c r="M38" i="39"/>
  <c r="Q38" i="39"/>
  <c r="D39" i="39"/>
  <c r="E39" i="39"/>
  <c r="I52" i="39"/>
  <c r="L39" i="39"/>
  <c r="M39" i="39"/>
  <c r="Q52" i="39"/>
  <c r="C40" i="39"/>
  <c r="D40" i="39"/>
  <c r="E40" i="39"/>
  <c r="I40" i="39"/>
  <c r="L40" i="39"/>
  <c r="M53" i="39"/>
  <c r="Q40" i="39"/>
  <c r="H32" i="39"/>
  <c r="I32" i="39"/>
  <c r="P32" i="39"/>
  <c r="Q32" i="39"/>
  <c r="H33" i="39"/>
  <c r="I33" i="39"/>
  <c r="P33" i="39"/>
  <c r="Q33" i="39"/>
  <c r="H34" i="39"/>
  <c r="I34" i="39"/>
  <c r="P34" i="39"/>
  <c r="Q34" i="39"/>
  <c r="H35" i="39"/>
  <c r="I35" i="39"/>
  <c r="P35" i="39"/>
  <c r="Q35" i="39"/>
  <c r="H36" i="39"/>
  <c r="I36" i="39"/>
  <c r="P36" i="39"/>
  <c r="Q36" i="39"/>
  <c r="H37" i="39"/>
  <c r="I37" i="39"/>
  <c r="P37" i="39"/>
  <c r="Q37" i="39"/>
  <c r="H38" i="39"/>
  <c r="P38" i="39"/>
  <c r="H39" i="39"/>
  <c r="I39" i="39"/>
  <c r="P39" i="39"/>
  <c r="Q39" i="39"/>
  <c r="H40" i="39"/>
  <c r="P40" i="39"/>
  <c r="H45" i="39"/>
  <c r="I45" i="39"/>
  <c r="P45" i="39"/>
  <c r="Q45" i="39"/>
  <c r="H46" i="39"/>
  <c r="I46" i="39"/>
  <c r="P46" i="39"/>
  <c r="Q46" i="39"/>
  <c r="H47" i="39"/>
  <c r="I47" i="39"/>
  <c r="P47" i="39"/>
  <c r="Q47" i="39"/>
  <c r="H52" i="39"/>
  <c r="P52" i="39"/>
  <c r="D53" i="39"/>
  <c r="E53" i="39"/>
  <c r="H53" i="39"/>
  <c r="P53" i="39"/>
  <c r="B32" i="38"/>
  <c r="C32" i="38"/>
  <c r="D32" i="38"/>
  <c r="E32" i="38"/>
  <c r="F32" i="38"/>
  <c r="G32" i="38"/>
  <c r="H32" i="38"/>
  <c r="I32" i="38"/>
  <c r="J32" i="38"/>
  <c r="K32" i="38"/>
  <c r="L32" i="38"/>
  <c r="M32" i="38"/>
  <c r="N32" i="38"/>
  <c r="O32" i="38"/>
  <c r="P32" i="38"/>
  <c r="Q32" i="38"/>
  <c r="B33" i="38"/>
  <c r="C33" i="38"/>
  <c r="D33" i="38"/>
  <c r="E33" i="38"/>
  <c r="F33" i="38"/>
  <c r="G33" i="38"/>
  <c r="H33" i="38"/>
  <c r="I33" i="38"/>
  <c r="J33" i="38"/>
  <c r="K33" i="38"/>
  <c r="L33" i="38"/>
  <c r="M33" i="38"/>
  <c r="N33" i="38"/>
  <c r="O33" i="38"/>
  <c r="P33" i="38"/>
  <c r="Q33" i="38"/>
  <c r="B34" i="38"/>
  <c r="C34" i="38"/>
  <c r="D34" i="38"/>
  <c r="E34" i="38"/>
  <c r="F34" i="38"/>
  <c r="G34" i="38"/>
  <c r="H34" i="38"/>
  <c r="I34" i="38"/>
  <c r="J34" i="38"/>
  <c r="K34" i="38"/>
  <c r="L34" i="38"/>
  <c r="M34" i="38"/>
  <c r="N34" i="38"/>
  <c r="O34" i="38"/>
  <c r="P34" i="38"/>
  <c r="Q34" i="38"/>
  <c r="B35" i="38"/>
  <c r="C35" i="38"/>
  <c r="D35" i="38"/>
  <c r="E35" i="38"/>
  <c r="F35" i="38"/>
  <c r="G35" i="38"/>
  <c r="H35" i="38"/>
  <c r="I35" i="38"/>
  <c r="J35" i="38"/>
  <c r="K35" i="38"/>
  <c r="L35" i="38"/>
  <c r="M35" i="38"/>
  <c r="N35" i="38"/>
  <c r="O35" i="38"/>
  <c r="P35" i="38"/>
  <c r="Q35" i="38"/>
  <c r="B36" i="38"/>
  <c r="C36" i="38"/>
  <c r="D36" i="38"/>
  <c r="E36" i="38"/>
  <c r="F36" i="38"/>
  <c r="G36" i="38"/>
  <c r="H36" i="38"/>
  <c r="I36" i="38"/>
  <c r="J36" i="38"/>
  <c r="K36" i="38"/>
  <c r="L36" i="38"/>
  <c r="M36" i="38"/>
  <c r="N36" i="38"/>
  <c r="O36" i="38"/>
  <c r="P36" i="38"/>
  <c r="Q36" i="38"/>
  <c r="B37" i="38"/>
  <c r="C37" i="38"/>
  <c r="D37" i="38"/>
  <c r="E37" i="38"/>
  <c r="F37" i="38"/>
  <c r="G37" i="38"/>
  <c r="H37" i="38"/>
  <c r="I37" i="38"/>
  <c r="J37" i="38"/>
  <c r="K37" i="38"/>
  <c r="L37" i="38"/>
  <c r="M37" i="38"/>
  <c r="N37" i="38"/>
  <c r="O37" i="38"/>
  <c r="P37" i="38"/>
  <c r="Q37" i="38"/>
  <c r="B38" i="38"/>
  <c r="C38" i="38"/>
  <c r="D38" i="38"/>
  <c r="E38" i="38"/>
  <c r="F38" i="38"/>
  <c r="G38" i="38"/>
  <c r="H38" i="38"/>
  <c r="I38" i="38"/>
  <c r="J38" i="38"/>
  <c r="K38" i="38"/>
  <c r="L38" i="38"/>
  <c r="M38" i="38"/>
  <c r="N38" i="38"/>
  <c r="O38" i="38"/>
  <c r="P38" i="38"/>
  <c r="Q38" i="38"/>
  <c r="B39" i="38"/>
  <c r="C39" i="38"/>
  <c r="D39" i="38"/>
  <c r="E39" i="38"/>
  <c r="F39" i="38"/>
  <c r="G39" i="38"/>
  <c r="H39" i="38"/>
  <c r="I39" i="38"/>
  <c r="J39" i="38"/>
  <c r="K39" i="38"/>
  <c r="L39" i="38"/>
  <c r="M39" i="38"/>
  <c r="N39" i="38"/>
  <c r="O39" i="38"/>
  <c r="P39" i="38"/>
  <c r="Q39" i="38"/>
  <c r="B40" i="38"/>
  <c r="C40" i="38"/>
  <c r="D40" i="38"/>
  <c r="E40" i="38"/>
  <c r="F40" i="38"/>
  <c r="G40" i="38"/>
  <c r="H40" i="38"/>
  <c r="I40" i="38"/>
  <c r="J40" i="38"/>
  <c r="K40" i="38"/>
  <c r="L40" i="38"/>
  <c r="M40" i="38"/>
  <c r="N40" i="38"/>
  <c r="O40" i="38"/>
  <c r="P40" i="38"/>
  <c r="Q40" i="38"/>
  <c r="E32" i="37"/>
  <c r="F32" i="37"/>
  <c r="I32" i="37"/>
  <c r="J32" i="37"/>
  <c r="M32" i="37"/>
  <c r="N32" i="37"/>
  <c r="E33" i="37"/>
  <c r="I33" i="37"/>
  <c r="J33" i="37"/>
  <c r="M33" i="37"/>
  <c r="Q33" i="37"/>
  <c r="E34" i="37"/>
  <c r="I34" i="37"/>
  <c r="J34" i="37"/>
  <c r="M34" i="37"/>
  <c r="N34" i="37"/>
  <c r="F35" i="37"/>
  <c r="N35" i="37"/>
  <c r="F36" i="37"/>
  <c r="J36" i="37"/>
  <c r="Q36" i="37"/>
  <c r="B37" i="37"/>
  <c r="F37" i="37"/>
  <c r="N37" i="37"/>
  <c r="C38" i="37"/>
  <c r="J38" i="37"/>
  <c r="Q51" i="39"/>
  <c r="E39" i="37"/>
  <c r="F39" i="37"/>
  <c r="I39" i="37"/>
  <c r="M39" i="37"/>
  <c r="N39" i="37"/>
  <c r="Q39" i="37"/>
  <c r="C40" i="37"/>
  <c r="E40" i="37"/>
  <c r="I40" i="37"/>
  <c r="J40" i="37"/>
  <c r="M40" i="37"/>
  <c r="B32" i="37"/>
  <c r="C32" i="37"/>
  <c r="O32" i="37"/>
  <c r="F33" i="37"/>
  <c r="N33" i="37"/>
  <c r="O33" i="37"/>
  <c r="C34" i="37"/>
  <c r="O34" i="37"/>
  <c r="O35" i="37"/>
  <c r="C36" i="37"/>
  <c r="O36" i="37"/>
  <c r="M37" i="37"/>
  <c r="F38" i="37"/>
  <c r="Q38" i="37"/>
  <c r="O39" i="37"/>
  <c r="O40" i="37"/>
  <c r="F48" i="37"/>
  <c r="N48" i="37"/>
  <c r="A6" i="35"/>
  <c r="A8" i="35"/>
  <c r="A9" i="35"/>
  <c r="A10" i="35"/>
  <c r="A14" i="35"/>
  <c r="A15" i="35"/>
  <c r="A6" i="34"/>
  <c r="A8" i="34"/>
  <c r="A9" i="34"/>
  <c r="A10" i="34"/>
  <c r="A14" i="34"/>
  <c r="A15" i="34"/>
  <c r="A6" i="33"/>
  <c r="A8" i="33"/>
  <c r="A9" i="33"/>
  <c r="A10" i="33"/>
  <c r="A14" i="33"/>
  <c r="A15" i="33"/>
  <c r="A6" i="32"/>
  <c r="A8" i="32"/>
  <c r="A9" i="32"/>
  <c r="A10" i="32"/>
  <c r="A14" i="32"/>
  <c r="A15" i="32"/>
  <c r="A6" i="31"/>
  <c r="A8" i="31"/>
  <c r="A9" i="31"/>
  <c r="A10" i="31"/>
  <c r="A14" i="31"/>
  <c r="A15" i="31"/>
  <c r="A6" i="30"/>
  <c r="A8" i="30"/>
  <c r="A9" i="30"/>
  <c r="A10" i="30"/>
  <c r="A14" i="30"/>
  <c r="A15" i="30"/>
  <c r="B3" i="30"/>
  <c r="D3" i="30"/>
  <c r="F3" i="30"/>
  <c r="H3" i="30"/>
  <c r="J3" i="30"/>
  <c r="L3" i="30"/>
  <c r="O3" i="30"/>
  <c r="Q3" i="30"/>
  <c r="B3" i="31"/>
  <c r="C3" i="31"/>
  <c r="D3" i="31"/>
  <c r="E3" i="31"/>
  <c r="F3" i="31"/>
  <c r="G3" i="31"/>
  <c r="I3" i="31"/>
  <c r="J3" i="31"/>
  <c r="K3" i="31"/>
  <c r="L3" i="31"/>
  <c r="M3" i="31"/>
  <c r="N3" i="31"/>
  <c r="O3" i="31"/>
  <c r="P3" i="31"/>
  <c r="Q3" i="31"/>
  <c r="B3" i="32"/>
  <c r="C3" i="32"/>
  <c r="D3" i="32"/>
  <c r="E3" i="32"/>
  <c r="F3" i="32"/>
  <c r="G3" i="32"/>
  <c r="H3" i="32"/>
  <c r="I3" i="32"/>
  <c r="J3" i="32"/>
  <c r="K3" i="32"/>
  <c r="L3" i="32"/>
  <c r="M3" i="32"/>
  <c r="N3" i="32"/>
  <c r="O3" i="32"/>
  <c r="P3" i="32"/>
  <c r="Q3" i="32"/>
  <c r="B3" i="33"/>
  <c r="C3" i="33"/>
  <c r="D3" i="33"/>
  <c r="E3" i="33"/>
  <c r="F3" i="33"/>
  <c r="G3" i="33"/>
  <c r="H3" i="33"/>
  <c r="I3" i="33"/>
  <c r="J3" i="33"/>
  <c r="K3" i="33"/>
  <c r="L3" i="33"/>
  <c r="M3" i="33"/>
  <c r="N3" i="33"/>
  <c r="O3" i="33"/>
  <c r="P3" i="33"/>
  <c r="Q3" i="33"/>
  <c r="B3" i="34"/>
  <c r="C3" i="34"/>
  <c r="E3" i="34"/>
  <c r="F3" i="34"/>
  <c r="G3" i="34"/>
  <c r="H3" i="34"/>
  <c r="I3" i="34"/>
  <c r="J3" i="34"/>
  <c r="K3" i="34"/>
  <c r="L3" i="34"/>
  <c r="M3" i="34"/>
  <c r="N3" i="34"/>
  <c r="O3" i="34"/>
  <c r="P3" i="34"/>
  <c r="Q3" i="34"/>
  <c r="B3" i="35"/>
  <c r="C3" i="35"/>
  <c r="D3" i="35"/>
  <c r="E3" i="35"/>
  <c r="F3" i="35"/>
  <c r="G3" i="35"/>
  <c r="H3" i="35"/>
  <c r="I3" i="35"/>
  <c r="J3" i="35"/>
  <c r="K3" i="35"/>
  <c r="L3" i="35"/>
  <c r="M3" i="35"/>
  <c r="N3" i="35"/>
  <c r="O3" i="35"/>
  <c r="P3" i="35"/>
  <c r="Q3" i="35"/>
  <c r="G5" i="30"/>
  <c r="J5" i="30"/>
  <c r="K5" i="30"/>
  <c r="L5" i="30"/>
  <c r="N5" i="30"/>
  <c r="Q5" i="30"/>
  <c r="B5" i="31"/>
  <c r="C5" i="31"/>
  <c r="D5" i="31"/>
  <c r="E5" i="31"/>
  <c r="F5" i="31"/>
  <c r="G5" i="31"/>
  <c r="H5" i="31"/>
  <c r="I5" i="31"/>
  <c r="J5" i="31"/>
  <c r="K5" i="31"/>
  <c r="L5" i="31"/>
  <c r="M5" i="31"/>
  <c r="N5" i="31"/>
  <c r="O5" i="31"/>
  <c r="P5" i="31"/>
  <c r="Q5" i="31"/>
  <c r="B5" i="32"/>
  <c r="C5" i="32"/>
  <c r="D5" i="32"/>
  <c r="E5" i="32"/>
  <c r="F5" i="32"/>
  <c r="G5" i="32"/>
  <c r="H5" i="32"/>
  <c r="I5" i="32"/>
  <c r="J5" i="32"/>
  <c r="K5" i="32"/>
  <c r="L5" i="32"/>
  <c r="M5" i="32"/>
  <c r="N5" i="32"/>
  <c r="O5" i="32"/>
  <c r="P5" i="32"/>
  <c r="Q5" i="32"/>
  <c r="B5" i="33"/>
  <c r="C5" i="33"/>
  <c r="D5" i="33"/>
  <c r="E5" i="33"/>
  <c r="F5" i="33"/>
  <c r="G5" i="33"/>
  <c r="H5" i="33"/>
  <c r="I5" i="33"/>
  <c r="J5" i="33"/>
  <c r="K5" i="33"/>
  <c r="L5" i="33"/>
  <c r="M5" i="33"/>
  <c r="N5" i="33"/>
  <c r="O5" i="33"/>
  <c r="P5" i="33"/>
  <c r="Q5" i="33"/>
  <c r="B5" i="34"/>
  <c r="C5" i="34"/>
  <c r="D5" i="34"/>
  <c r="E5" i="34"/>
  <c r="F5" i="34"/>
  <c r="G5" i="34"/>
  <c r="H5" i="34"/>
  <c r="I5" i="34"/>
  <c r="J5" i="34"/>
  <c r="K5" i="34"/>
  <c r="L5" i="34"/>
  <c r="M5" i="34"/>
  <c r="N5" i="34"/>
  <c r="O5" i="34"/>
  <c r="P5" i="34"/>
  <c r="Q5" i="34"/>
  <c r="B5" i="35"/>
  <c r="C5" i="35"/>
  <c r="D5" i="35"/>
  <c r="E5" i="35"/>
  <c r="F5" i="35"/>
  <c r="G5" i="35"/>
  <c r="H5" i="35"/>
  <c r="I5" i="35"/>
  <c r="J5" i="35"/>
  <c r="K5" i="35"/>
  <c r="L5" i="35"/>
  <c r="M5" i="35"/>
  <c r="N5" i="35"/>
  <c r="O5" i="35"/>
  <c r="P5" i="35"/>
  <c r="Q5" i="35"/>
  <c r="D8" i="30"/>
  <c r="G8" i="30"/>
  <c r="I8" i="30"/>
  <c r="K8" i="30"/>
  <c r="M8" i="30"/>
  <c r="Q8" i="30"/>
  <c r="B8" i="31"/>
  <c r="E8" i="31"/>
  <c r="I8" i="31"/>
  <c r="M8" i="31"/>
  <c r="P8" i="31"/>
  <c r="Q8" i="31"/>
  <c r="B8" i="32"/>
  <c r="C8" i="32"/>
  <c r="D8" i="32"/>
  <c r="E8" i="32"/>
  <c r="F8" i="32"/>
  <c r="G8" i="32"/>
  <c r="H8" i="32"/>
  <c r="I8" i="32"/>
  <c r="L8" i="32"/>
  <c r="M8" i="32"/>
  <c r="O8" i="32"/>
  <c r="P8" i="32"/>
  <c r="Q8" i="32"/>
  <c r="C8" i="33"/>
  <c r="I8" i="33"/>
  <c r="K8" i="33"/>
  <c r="N8" i="33"/>
  <c r="O8" i="33"/>
  <c r="Q8" i="33"/>
  <c r="G8" i="34"/>
  <c r="I8" i="34"/>
  <c r="K8" i="34"/>
  <c r="M8" i="34"/>
  <c r="O8" i="34"/>
  <c r="Q8" i="34"/>
  <c r="B8" i="35"/>
  <c r="D8" i="35"/>
  <c r="E8" i="35"/>
  <c r="I8" i="35"/>
  <c r="M8" i="35"/>
  <c r="Q8" i="35"/>
  <c r="C9" i="30"/>
  <c r="D9" i="30"/>
  <c r="E9" i="30"/>
  <c r="F9" i="30"/>
  <c r="G9" i="30"/>
  <c r="H9" i="30"/>
  <c r="I9" i="30"/>
  <c r="J9" i="30"/>
  <c r="K9" i="30"/>
  <c r="L9" i="30"/>
  <c r="M9" i="30"/>
  <c r="N9" i="30"/>
  <c r="O9" i="30"/>
  <c r="P9" i="30"/>
  <c r="Q9" i="30"/>
  <c r="D9" i="31"/>
  <c r="E9" i="31"/>
  <c r="F9" i="31"/>
  <c r="G9" i="31"/>
  <c r="H9" i="31"/>
  <c r="I9" i="31"/>
  <c r="J9" i="31"/>
  <c r="K9" i="31"/>
  <c r="L9" i="31"/>
  <c r="M9" i="31"/>
  <c r="N9" i="31"/>
  <c r="O9" i="31"/>
  <c r="P9" i="31"/>
  <c r="C9" i="32"/>
  <c r="F9" i="32"/>
  <c r="G9" i="32"/>
  <c r="J9" i="32"/>
  <c r="K9" i="32"/>
  <c r="L9" i="32"/>
  <c r="N9" i="32"/>
  <c r="O9" i="32"/>
  <c r="P9" i="32"/>
  <c r="C9" i="33"/>
  <c r="E9" i="33"/>
  <c r="F9" i="33"/>
  <c r="G9" i="33"/>
  <c r="H9" i="33"/>
  <c r="I9" i="33"/>
  <c r="J9" i="33"/>
  <c r="K9" i="33"/>
  <c r="M9" i="33"/>
  <c r="N9" i="33"/>
  <c r="Q9" i="33"/>
  <c r="C9" i="34"/>
  <c r="D9" i="34"/>
  <c r="E9" i="34"/>
  <c r="F9" i="34"/>
  <c r="G9" i="34"/>
  <c r="H9" i="34"/>
  <c r="I9" i="34"/>
  <c r="J9" i="34"/>
  <c r="K9" i="34"/>
  <c r="L9" i="34"/>
  <c r="M9" i="34"/>
  <c r="N9" i="34"/>
  <c r="O9" i="34"/>
  <c r="P9" i="34"/>
  <c r="Q9" i="34"/>
  <c r="C9" i="35"/>
  <c r="D9" i="35"/>
  <c r="F9" i="35"/>
  <c r="G9" i="35"/>
  <c r="H9" i="35"/>
  <c r="I9" i="35"/>
  <c r="J9" i="35"/>
  <c r="K9" i="35"/>
  <c r="L9" i="35"/>
  <c r="M9" i="35"/>
  <c r="N9" i="35"/>
  <c r="O9" i="35"/>
  <c r="P9" i="35"/>
  <c r="Q9" i="35"/>
  <c r="E10" i="30"/>
  <c r="B12" i="30"/>
  <c r="C12" i="30"/>
  <c r="D12" i="30"/>
  <c r="E12" i="30"/>
  <c r="F12" i="30"/>
  <c r="G12" i="30"/>
  <c r="H12" i="30"/>
  <c r="I12" i="30"/>
  <c r="J12" i="30"/>
  <c r="K12" i="30"/>
  <c r="L12" i="30"/>
  <c r="M12" i="30"/>
  <c r="N12" i="30"/>
  <c r="O12" i="30"/>
  <c r="P12" i="30"/>
  <c r="Q12" i="30"/>
  <c r="B12" i="31"/>
  <c r="C12" i="31"/>
  <c r="D12" i="31"/>
  <c r="E12" i="31"/>
  <c r="F12" i="31"/>
  <c r="G12" i="31"/>
  <c r="H12" i="31"/>
  <c r="I12" i="31"/>
  <c r="J12" i="31"/>
  <c r="K12" i="31"/>
  <c r="L12" i="31"/>
  <c r="M12" i="31"/>
  <c r="N12" i="31"/>
  <c r="O12" i="31"/>
  <c r="P12" i="31"/>
  <c r="Q12" i="31"/>
  <c r="B12" i="32"/>
  <c r="C12" i="32"/>
  <c r="D12" i="32"/>
  <c r="E12" i="32"/>
  <c r="F12" i="32"/>
  <c r="G12" i="32"/>
  <c r="H12" i="32"/>
  <c r="I12" i="32"/>
  <c r="J12" i="32"/>
  <c r="K12" i="32"/>
  <c r="L12" i="32"/>
  <c r="M12" i="32"/>
  <c r="N12" i="32"/>
  <c r="O12" i="32"/>
  <c r="P12" i="32"/>
  <c r="Q12" i="32"/>
  <c r="B12" i="33"/>
  <c r="C12" i="33"/>
  <c r="D12" i="33"/>
  <c r="E12" i="33"/>
  <c r="F12" i="33"/>
  <c r="G12" i="33"/>
  <c r="H12" i="33"/>
  <c r="I12" i="33"/>
  <c r="J12" i="33"/>
  <c r="K12" i="33"/>
  <c r="L12" i="33"/>
  <c r="M12" i="33"/>
  <c r="N12" i="33"/>
  <c r="O12" i="33"/>
  <c r="P12" i="33"/>
  <c r="Q12" i="33"/>
  <c r="B12" i="34"/>
  <c r="C12" i="34"/>
  <c r="D12" i="34"/>
  <c r="E12" i="34"/>
  <c r="F12" i="34"/>
  <c r="G12" i="34"/>
  <c r="H12" i="34"/>
  <c r="I12" i="34"/>
  <c r="J12" i="34"/>
  <c r="K12" i="34"/>
  <c r="L12" i="34"/>
  <c r="M12" i="34"/>
  <c r="N12" i="34"/>
  <c r="O12" i="34"/>
  <c r="P12" i="34"/>
  <c r="Q12" i="34"/>
  <c r="B12" i="35"/>
  <c r="C12" i="35"/>
  <c r="D12" i="35"/>
  <c r="E12" i="35"/>
  <c r="F12" i="35"/>
  <c r="G12" i="35"/>
  <c r="H12" i="35"/>
  <c r="I12" i="35"/>
  <c r="J12" i="35"/>
  <c r="K12" i="35"/>
  <c r="L12" i="35"/>
  <c r="M12" i="35"/>
  <c r="N12" i="35"/>
  <c r="O12" i="35"/>
  <c r="P12" i="35"/>
  <c r="Q12" i="35"/>
  <c r="B14" i="30"/>
  <c r="C14" i="30"/>
  <c r="D14" i="30"/>
  <c r="E14" i="30"/>
  <c r="F14" i="30"/>
  <c r="G14" i="30"/>
  <c r="H14" i="30"/>
  <c r="I14" i="30"/>
  <c r="J14" i="30"/>
  <c r="K14" i="30"/>
  <c r="L14" i="30"/>
  <c r="M14" i="30"/>
  <c r="N14" i="30"/>
  <c r="O14" i="30"/>
  <c r="P14" i="30"/>
  <c r="Q14" i="30"/>
  <c r="B14" i="31"/>
  <c r="C14" i="31"/>
  <c r="D14" i="31"/>
  <c r="E14" i="31"/>
  <c r="F14" i="31"/>
  <c r="G14" i="31"/>
  <c r="H14" i="31"/>
  <c r="I14" i="31"/>
  <c r="J14" i="31"/>
  <c r="K14" i="31"/>
  <c r="L14" i="31"/>
  <c r="M14" i="31"/>
  <c r="N14" i="31"/>
  <c r="O14" i="31"/>
  <c r="P14" i="31"/>
  <c r="Q14" i="31"/>
  <c r="B14" i="32"/>
  <c r="C14" i="32"/>
  <c r="D14" i="32"/>
  <c r="E14" i="32"/>
  <c r="F14" i="32"/>
  <c r="G14" i="32"/>
  <c r="H14" i="32"/>
  <c r="I14" i="32"/>
  <c r="J14" i="32"/>
  <c r="K14" i="32"/>
  <c r="L14" i="32"/>
  <c r="M14" i="32"/>
  <c r="N14" i="32"/>
  <c r="O14" i="32"/>
  <c r="P14" i="32"/>
  <c r="Q14" i="32"/>
  <c r="B14" i="33"/>
  <c r="C14" i="33"/>
  <c r="D14" i="33"/>
  <c r="E14" i="33"/>
  <c r="F14" i="33"/>
  <c r="G14" i="33"/>
  <c r="H14" i="33"/>
  <c r="I14" i="33"/>
  <c r="J14" i="33"/>
  <c r="K14" i="33"/>
  <c r="L14" i="33"/>
  <c r="M14" i="33"/>
  <c r="N14" i="33"/>
  <c r="O14" i="33"/>
  <c r="P14" i="33"/>
  <c r="Q14" i="33"/>
  <c r="B14" i="34"/>
  <c r="C14" i="34"/>
  <c r="D14" i="34"/>
  <c r="E14" i="34"/>
  <c r="F14" i="34"/>
  <c r="G14" i="34"/>
  <c r="H14" i="34"/>
  <c r="I14" i="34"/>
  <c r="J14" i="34"/>
  <c r="K14" i="34"/>
  <c r="L14" i="34"/>
  <c r="M14" i="34"/>
  <c r="N14" i="34"/>
  <c r="O14" i="34"/>
  <c r="P14" i="34"/>
  <c r="Q14" i="34"/>
  <c r="B14" i="35"/>
  <c r="C14" i="35"/>
  <c r="D14" i="35"/>
  <c r="E14" i="35"/>
  <c r="F14" i="35"/>
  <c r="G14" i="35"/>
  <c r="H14" i="35"/>
  <c r="I14" i="35"/>
  <c r="J14" i="35"/>
  <c r="K14" i="35"/>
  <c r="L14" i="35"/>
  <c r="M14" i="35"/>
  <c r="N14" i="35"/>
  <c r="O14" i="35"/>
  <c r="P14" i="35"/>
  <c r="Q14" i="35"/>
  <c r="C15" i="30"/>
  <c r="D15" i="30"/>
  <c r="E15" i="30"/>
  <c r="F15" i="30"/>
  <c r="G15" i="30"/>
  <c r="H15" i="30"/>
  <c r="I15" i="30"/>
  <c r="J15" i="30"/>
  <c r="K15" i="30"/>
  <c r="L15" i="30"/>
  <c r="M15" i="30"/>
  <c r="N15" i="30"/>
  <c r="O15" i="30"/>
  <c r="P15" i="30"/>
  <c r="Q15" i="30"/>
  <c r="C15" i="31"/>
  <c r="D15" i="31"/>
  <c r="E15" i="31"/>
  <c r="F15" i="31"/>
  <c r="G15" i="31"/>
  <c r="H15" i="31"/>
  <c r="I15" i="31"/>
  <c r="J15" i="31"/>
  <c r="K15" i="31"/>
  <c r="L15" i="31"/>
  <c r="M15" i="31"/>
  <c r="N15" i="31"/>
  <c r="O15" i="31"/>
  <c r="P15" i="31"/>
  <c r="Q15" i="31"/>
  <c r="C15" i="32"/>
  <c r="D15" i="32"/>
  <c r="E15" i="32"/>
  <c r="F15" i="32"/>
  <c r="G15" i="32"/>
  <c r="H15" i="32"/>
  <c r="I15" i="32"/>
  <c r="J15" i="32"/>
  <c r="K15" i="32"/>
  <c r="L15" i="32"/>
  <c r="M15" i="32"/>
  <c r="N15" i="32"/>
  <c r="O15" i="32"/>
  <c r="P15" i="32"/>
  <c r="Q15" i="32"/>
  <c r="C15" i="33"/>
  <c r="D15" i="33"/>
  <c r="E15" i="33"/>
  <c r="F15" i="33"/>
  <c r="G15" i="33"/>
  <c r="H15" i="33"/>
  <c r="I15" i="33"/>
  <c r="J15" i="33"/>
  <c r="K15" i="33"/>
  <c r="L15" i="33"/>
  <c r="M15" i="33"/>
  <c r="N15" i="33"/>
  <c r="O15" i="33"/>
  <c r="P15" i="33"/>
  <c r="Q15" i="33"/>
  <c r="C15" i="34"/>
  <c r="D15" i="34"/>
  <c r="E15" i="34"/>
  <c r="F15" i="34"/>
  <c r="G15" i="34"/>
  <c r="H15" i="34"/>
  <c r="I15" i="34"/>
  <c r="J15" i="34"/>
  <c r="K15" i="34"/>
  <c r="L15" i="34"/>
  <c r="M15" i="34"/>
  <c r="N15" i="34"/>
  <c r="O15" i="34"/>
  <c r="P15" i="34"/>
  <c r="Q15" i="34"/>
  <c r="C15" i="35"/>
  <c r="D15" i="35"/>
  <c r="E15" i="35"/>
  <c r="F15" i="35"/>
  <c r="G15" i="35"/>
  <c r="H15" i="35"/>
  <c r="I15" i="35"/>
  <c r="J15" i="35"/>
  <c r="K15" i="35"/>
  <c r="L15" i="35"/>
  <c r="M15" i="35"/>
  <c r="N15" i="35"/>
  <c r="O15" i="35"/>
  <c r="P15" i="35"/>
  <c r="Q15" i="35"/>
  <c r="B6" i="30"/>
  <c r="C6" i="30"/>
  <c r="D6" i="30"/>
  <c r="E6" i="30"/>
  <c r="F6" i="30"/>
  <c r="G6" i="30"/>
  <c r="H6" i="30"/>
  <c r="I6" i="30"/>
  <c r="J6" i="30"/>
  <c r="K6" i="30"/>
  <c r="L6" i="30"/>
  <c r="M6" i="30"/>
  <c r="N6" i="30"/>
  <c r="O6" i="30"/>
  <c r="P6" i="30"/>
  <c r="Q6" i="30"/>
  <c r="B6" i="31"/>
  <c r="C6" i="31"/>
  <c r="D6" i="31"/>
  <c r="E6" i="31"/>
  <c r="F6" i="31"/>
  <c r="G6" i="31"/>
  <c r="H6" i="31"/>
  <c r="I6" i="31"/>
  <c r="J6" i="31"/>
  <c r="K6" i="31"/>
  <c r="L6" i="31"/>
  <c r="M6" i="31"/>
  <c r="N6" i="31"/>
  <c r="O6" i="31"/>
  <c r="P6" i="31"/>
  <c r="Q6" i="31"/>
  <c r="B6" i="32"/>
  <c r="C6" i="32"/>
  <c r="D6" i="32"/>
  <c r="E6" i="32"/>
  <c r="F6" i="32"/>
  <c r="G6" i="32"/>
  <c r="H6" i="32"/>
  <c r="I6" i="32"/>
  <c r="J6" i="32"/>
  <c r="K6" i="32"/>
  <c r="L6" i="32"/>
  <c r="M6" i="32"/>
  <c r="N6" i="32"/>
  <c r="O6" i="32"/>
  <c r="P6" i="32"/>
  <c r="Q6" i="32"/>
  <c r="B6" i="33"/>
  <c r="C6" i="33"/>
  <c r="D6" i="33"/>
  <c r="E6" i="33"/>
  <c r="F6" i="33"/>
  <c r="G6" i="33"/>
  <c r="H6" i="33"/>
  <c r="I6" i="33"/>
  <c r="J6" i="33"/>
  <c r="K6" i="33"/>
  <c r="L6" i="33"/>
  <c r="M6" i="33"/>
  <c r="N6" i="33"/>
  <c r="O6" i="33"/>
  <c r="P6" i="33"/>
  <c r="Q6" i="33"/>
  <c r="B6" i="34"/>
  <c r="C6" i="34"/>
  <c r="D6" i="34"/>
  <c r="E6" i="34"/>
  <c r="F6" i="34"/>
  <c r="G6" i="34"/>
  <c r="H6" i="34"/>
  <c r="I6" i="34"/>
  <c r="J6" i="34"/>
  <c r="K6" i="34"/>
  <c r="L6" i="34"/>
  <c r="M6" i="34"/>
  <c r="N6" i="34"/>
  <c r="O6" i="34"/>
  <c r="P6" i="34"/>
  <c r="Q6" i="34"/>
  <c r="B6" i="35"/>
  <c r="C6" i="35"/>
  <c r="D6" i="35"/>
  <c r="E6" i="35"/>
  <c r="F6" i="35"/>
  <c r="G6" i="35"/>
  <c r="H6" i="35"/>
  <c r="I6" i="35"/>
  <c r="J6" i="35"/>
  <c r="K6" i="35"/>
  <c r="L6" i="35"/>
  <c r="M6" i="35"/>
  <c r="N6" i="35"/>
  <c r="O6" i="35"/>
  <c r="P6" i="35"/>
  <c r="Q6" i="35"/>
  <c r="C15" i="25"/>
  <c r="C15" i="28" s="1"/>
  <c r="D15" i="25"/>
  <c r="D15" i="28" s="1"/>
  <c r="E15" i="25"/>
  <c r="E15" i="28" s="1"/>
  <c r="F15" i="25"/>
  <c r="F15" i="28" s="1"/>
  <c r="G15" i="25"/>
  <c r="G15" i="28" s="1"/>
  <c r="H15" i="25"/>
  <c r="H15" i="28" s="1"/>
  <c r="I15" i="25"/>
  <c r="I15" i="28" s="1"/>
  <c r="J15" i="25"/>
  <c r="J15" i="28" s="1"/>
  <c r="K15" i="25"/>
  <c r="K15" i="28" s="1"/>
  <c r="L15" i="25"/>
  <c r="L15" i="28" s="1"/>
  <c r="M15" i="25"/>
  <c r="M15" i="28" s="1"/>
  <c r="N15" i="25"/>
  <c r="N15" i="28" s="1"/>
  <c r="O15" i="25"/>
  <c r="O15" i="28" s="1"/>
  <c r="P15" i="25"/>
  <c r="P15" i="28" s="1"/>
  <c r="Q15" i="25"/>
  <c r="Q15" i="28" s="1"/>
  <c r="C27" i="25"/>
  <c r="C27" i="28" s="1"/>
  <c r="D27" i="25"/>
  <c r="D27" i="28" s="1"/>
  <c r="E27" i="25"/>
  <c r="E27" i="28" s="1"/>
  <c r="F27" i="25"/>
  <c r="F27" i="28" s="1"/>
  <c r="G27" i="25"/>
  <c r="G27" i="28" s="1"/>
  <c r="H27" i="25"/>
  <c r="H27" i="28" s="1"/>
  <c r="I27" i="25"/>
  <c r="I27" i="28" s="1"/>
  <c r="J27" i="25"/>
  <c r="J27" i="28" s="1"/>
  <c r="K27" i="25"/>
  <c r="K27" i="28" s="1"/>
  <c r="L27" i="25"/>
  <c r="L27" i="28" s="1"/>
  <c r="M27" i="25"/>
  <c r="M27" i="28" s="1"/>
  <c r="N27" i="25"/>
  <c r="N27" i="28" s="1"/>
  <c r="O27" i="25"/>
  <c r="O27" i="28" s="1"/>
  <c r="P27" i="25"/>
  <c r="P27" i="28" s="1"/>
  <c r="Q27" i="25"/>
  <c r="Q27" i="28" s="1"/>
  <c r="C28" i="25"/>
  <c r="C28" i="28" s="1"/>
  <c r="D28" i="25"/>
  <c r="D28" i="28" s="1"/>
  <c r="E28" i="25"/>
  <c r="E28" i="28" s="1"/>
  <c r="F28" i="25"/>
  <c r="F28" i="28" s="1"/>
  <c r="G28" i="25"/>
  <c r="G28" i="28" s="1"/>
  <c r="H28" i="25"/>
  <c r="H28" i="28" s="1"/>
  <c r="I28" i="25"/>
  <c r="I28" i="28" s="1"/>
  <c r="J28" i="25"/>
  <c r="J28" i="28" s="1"/>
  <c r="K28" i="25"/>
  <c r="K28" i="28" s="1"/>
  <c r="L28" i="25"/>
  <c r="L28" i="28" s="1"/>
  <c r="M28" i="25"/>
  <c r="M28" i="28" s="1"/>
  <c r="N28" i="25"/>
  <c r="N28" i="28" s="1"/>
  <c r="O28" i="25"/>
  <c r="O28" i="28" s="1"/>
  <c r="P28" i="25"/>
  <c r="P28" i="28" s="1"/>
  <c r="Q28" i="25"/>
  <c r="Q28" i="28" s="1"/>
  <c r="N6" i="25"/>
  <c r="N6" i="28" s="1"/>
  <c r="Q6" i="25"/>
  <c r="Q6" i="28" s="1"/>
  <c r="C11" i="25"/>
  <c r="C11" i="28" s="1"/>
  <c r="D11" i="25"/>
  <c r="D11" i="28" s="1"/>
  <c r="E11" i="25"/>
  <c r="E11" i="28" s="1"/>
  <c r="F11" i="25"/>
  <c r="F11" i="28" s="1"/>
  <c r="G11" i="25"/>
  <c r="G11" i="28" s="1"/>
  <c r="H11" i="25"/>
  <c r="H11" i="28" s="1"/>
  <c r="I11" i="25"/>
  <c r="I11" i="28" s="1"/>
  <c r="J11" i="25"/>
  <c r="J11" i="28" s="1"/>
  <c r="K11" i="25"/>
  <c r="K11" i="28" s="1"/>
  <c r="L11" i="25"/>
  <c r="L11" i="28" s="1"/>
  <c r="M11" i="25"/>
  <c r="M11" i="28" s="1"/>
  <c r="N11" i="25"/>
  <c r="N11" i="28" s="1"/>
  <c r="O11" i="25"/>
  <c r="O11" i="28" s="1"/>
  <c r="P11" i="25"/>
  <c r="P11" i="28" s="1"/>
  <c r="Q11" i="25"/>
  <c r="Q11" i="28" s="1"/>
  <c r="C12" i="25"/>
  <c r="C12" i="28" s="1"/>
  <c r="D12" i="25"/>
  <c r="D12" i="28" s="1"/>
  <c r="E12" i="25"/>
  <c r="E12" i="28" s="1"/>
  <c r="F12" i="25"/>
  <c r="F12" i="28" s="1"/>
  <c r="G12" i="25"/>
  <c r="G12" i="28" s="1"/>
  <c r="H12" i="25"/>
  <c r="H12" i="28" s="1"/>
  <c r="I12" i="25"/>
  <c r="I12" i="28" s="1"/>
  <c r="J12" i="25"/>
  <c r="J12" i="28" s="1"/>
  <c r="K12" i="25"/>
  <c r="K12" i="28" s="1"/>
  <c r="L12" i="25"/>
  <c r="L12" i="28" s="1"/>
  <c r="M12" i="25"/>
  <c r="M12" i="28" s="1"/>
  <c r="N12" i="25"/>
  <c r="N12" i="28" s="1"/>
  <c r="O12" i="25"/>
  <c r="O12" i="28" s="1"/>
  <c r="P12" i="25"/>
  <c r="P12" i="28" s="1"/>
  <c r="Q12" i="25"/>
  <c r="Q12" i="28" s="1"/>
  <c r="C13" i="25"/>
  <c r="C13" i="28" s="1"/>
  <c r="D13" i="25"/>
  <c r="D13" i="28" s="1"/>
  <c r="E13" i="25"/>
  <c r="E13" i="28" s="1"/>
  <c r="F13" i="25"/>
  <c r="F13" i="28" s="1"/>
  <c r="G13" i="25"/>
  <c r="G13" i="28" s="1"/>
  <c r="H13" i="25"/>
  <c r="H13" i="28" s="1"/>
  <c r="I13" i="25"/>
  <c r="I13" i="28" s="1"/>
  <c r="J13" i="25"/>
  <c r="J13" i="28" s="1"/>
  <c r="K13" i="25"/>
  <c r="K13" i="28" s="1"/>
  <c r="L13" i="25"/>
  <c r="L13" i="28" s="1"/>
  <c r="M13" i="25"/>
  <c r="M13" i="28" s="1"/>
  <c r="N13" i="25"/>
  <c r="N13" i="28" s="1"/>
  <c r="O13" i="25"/>
  <c r="O13" i="28" s="1"/>
  <c r="P13" i="25"/>
  <c r="P13" i="28" s="1"/>
  <c r="Q13" i="25"/>
  <c r="Q13" i="28" s="1"/>
  <c r="C14" i="25"/>
  <c r="C14" i="28" s="1"/>
  <c r="D14" i="25"/>
  <c r="D14" i="28" s="1"/>
  <c r="E14" i="25"/>
  <c r="E14" i="28" s="1"/>
  <c r="F14" i="25"/>
  <c r="F14" i="28" s="1"/>
  <c r="G14" i="25"/>
  <c r="G14" i="28" s="1"/>
  <c r="H14" i="25"/>
  <c r="H14" i="28" s="1"/>
  <c r="I14" i="25"/>
  <c r="I14" i="28" s="1"/>
  <c r="J14" i="25"/>
  <c r="J14" i="28" s="1"/>
  <c r="K14" i="25"/>
  <c r="K14" i="28" s="1"/>
  <c r="L14" i="25"/>
  <c r="L14" i="28" s="1"/>
  <c r="M14" i="25"/>
  <c r="M14" i="28" s="1"/>
  <c r="N14" i="25"/>
  <c r="N14" i="28" s="1"/>
  <c r="O14" i="25"/>
  <c r="O14" i="28" s="1"/>
  <c r="P14" i="25"/>
  <c r="P14" i="28" s="1"/>
  <c r="Q14" i="25"/>
  <c r="Q14" i="28" s="1"/>
  <c r="C18" i="25"/>
  <c r="C18" i="28" s="1"/>
  <c r="D18" i="25"/>
  <c r="D18" i="28" s="1"/>
  <c r="E18" i="25"/>
  <c r="E18" i="28" s="1"/>
  <c r="G18" i="25"/>
  <c r="G18" i="28" s="1"/>
  <c r="H18" i="25"/>
  <c r="H18" i="28" s="1"/>
  <c r="I18" i="25"/>
  <c r="I18" i="28" s="1"/>
  <c r="J18" i="25"/>
  <c r="J18" i="28" s="1"/>
  <c r="K18" i="25"/>
  <c r="K18" i="28" s="1"/>
  <c r="L18" i="25"/>
  <c r="L18" i="28" s="1"/>
  <c r="M18" i="25"/>
  <c r="M18" i="28" s="1"/>
  <c r="O18" i="25"/>
  <c r="O18" i="28" s="1"/>
  <c r="P18" i="25"/>
  <c r="P18" i="28" s="1"/>
  <c r="Q18" i="25"/>
  <c r="Q18" i="28" s="1"/>
  <c r="C25" i="25"/>
  <c r="C25" i="28" s="1"/>
  <c r="D25" i="25"/>
  <c r="D25" i="28" s="1"/>
  <c r="E25" i="25"/>
  <c r="E25" i="28" s="1"/>
  <c r="F25" i="25"/>
  <c r="F25" i="28" s="1"/>
  <c r="G25" i="25"/>
  <c r="G25" i="28" s="1"/>
  <c r="H25" i="25"/>
  <c r="H25" i="28" s="1"/>
  <c r="I25" i="25"/>
  <c r="I25" i="28" s="1"/>
  <c r="J25" i="25"/>
  <c r="J25" i="28" s="1"/>
  <c r="K25" i="25"/>
  <c r="K25" i="28" s="1"/>
  <c r="L25" i="25"/>
  <c r="L25" i="28" s="1"/>
  <c r="M25" i="25"/>
  <c r="M25" i="28" s="1"/>
  <c r="N25" i="25"/>
  <c r="N25" i="28" s="1"/>
  <c r="O25" i="25"/>
  <c r="O25" i="28" s="1"/>
  <c r="P25" i="25"/>
  <c r="P25" i="28" s="1"/>
  <c r="Q25" i="25"/>
  <c r="Q25" i="28" s="1"/>
  <c r="C26" i="25"/>
  <c r="C26" i="28" s="1"/>
  <c r="D26" i="25"/>
  <c r="D26" i="28" s="1"/>
  <c r="E26" i="25"/>
  <c r="E26" i="28" s="1"/>
  <c r="F26" i="25"/>
  <c r="F26" i="28" s="1"/>
  <c r="G26" i="25"/>
  <c r="G26" i="28" s="1"/>
  <c r="H26" i="25"/>
  <c r="H26" i="28" s="1"/>
  <c r="I26" i="25"/>
  <c r="I26" i="28" s="1"/>
  <c r="J26" i="25"/>
  <c r="J26" i="28" s="1"/>
  <c r="K26" i="25"/>
  <c r="K26" i="28" s="1"/>
  <c r="L26" i="25"/>
  <c r="L26" i="28" s="1"/>
  <c r="M26" i="25"/>
  <c r="M26" i="28" s="1"/>
  <c r="N26" i="25"/>
  <c r="N26" i="28" s="1"/>
  <c r="O26" i="25"/>
  <c r="O26" i="28" s="1"/>
  <c r="P26" i="25"/>
  <c r="P26" i="28" s="1"/>
  <c r="Q26" i="25"/>
  <c r="Q26" i="28" s="1"/>
  <c r="G32" i="25"/>
  <c r="G32" i="28" s="1"/>
  <c r="K32" i="25"/>
  <c r="K32" i="28" s="1"/>
  <c r="M32" i="25"/>
  <c r="M32" i="28" s="1"/>
  <c r="C33" i="25"/>
  <c r="C33" i="28" s="1"/>
  <c r="D33" i="25"/>
  <c r="D33" i="28" s="1"/>
  <c r="F33" i="25"/>
  <c r="F33" i="28" s="1"/>
  <c r="G33" i="25"/>
  <c r="G33" i="28" s="1"/>
  <c r="H33" i="25"/>
  <c r="H33" i="28" s="1"/>
  <c r="I33" i="25"/>
  <c r="I33" i="28" s="1"/>
  <c r="J33" i="25"/>
  <c r="J33" i="28" s="1"/>
  <c r="K33" i="25"/>
  <c r="K33" i="28" s="1"/>
  <c r="L33" i="25"/>
  <c r="L33" i="28" s="1"/>
  <c r="M33" i="25"/>
  <c r="M33" i="28" s="1"/>
  <c r="N33" i="25"/>
  <c r="N33" i="28" s="1"/>
  <c r="O33" i="25"/>
  <c r="O33" i="28" s="1"/>
  <c r="P33" i="25"/>
  <c r="P33" i="28" s="1"/>
  <c r="Q33" i="25"/>
  <c r="Q33" i="28" s="1"/>
  <c r="N6" i="27"/>
  <c r="I5" i="21"/>
  <c r="C6" i="21"/>
  <c r="F6" i="21"/>
  <c r="N6" i="26"/>
  <c r="Q6" i="26"/>
  <c r="G7" i="21"/>
  <c r="L8" i="21"/>
  <c r="P8" i="21"/>
  <c r="E9" i="21"/>
  <c r="I9" i="21"/>
  <c r="P12" i="21"/>
  <c r="E13" i="21"/>
  <c r="I13" i="21"/>
  <c r="M13" i="21"/>
  <c r="E15" i="21"/>
  <c r="O15" i="21"/>
  <c r="J30" i="21"/>
  <c r="O31" i="21"/>
  <c r="B15" i="14"/>
  <c r="B15" i="17" s="1"/>
  <c r="C15" i="14"/>
  <c r="C15" i="17" s="1"/>
  <c r="D15" i="14"/>
  <c r="D15" i="17" s="1"/>
  <c r="E15" i="14"/>
  <c r="E15" i="17" s="1"/>
  <c r="F15" i="14"/>
  <c r="F15" i="17" s="1"/>
  <c r="G15" i="14"/>
  <c r="G15" i="17" s="1"/>
  <c r="H15" i="14"/>
  <c r="H15" i="17" s="1"/>
  <c r="I15" i="14"/>
  <c r="I15" i="17" s="1"/>
  <c r="J15" i="14"/>
  <c r="J15" i="17" s="1"/>
  <c r="K15" i="14"/>
  <c r="K15" i="17" s="1"/>
  <c r="L15" i="14"/>
  <c r="L15" i="17" s="1"/>
  <c r="M15" i="14"/>
  <c r="M15" i="17" s="1"/>
  <c r="N15" i="14"/>
  <c r="N15" i="17" s="1"/>
  <c r="O15" i="14"/>
  <c r="O15" i="17" s="1"/>
  <c r="P15" i="14"/>
  <c r="P15" i="17" s="1"/>
  <c r="Q15" i="14"/>
  <c r="Q15" i="17" s="1"/>
  <c r="B27" i="14"/>
  <c r="B27" i="17" s="1"/>
  <c r="C27" i="14"/>
  <c r="C27" i="17" s="1"/>
  <c r="D27" i="14"/>
  <c r="D27" i="17" s="1"/>
  <c r="E27" i="14"/>
  <c r="E27" i="17" s="1"/>
  <c r="F27" i="14"/>
  <c r="F27" i="17" s="1"/>
  <c r="G27" i="14"/>
  <c r="G27" i="17" s="1"/>
  <c r="H27" i="14"/>
  <c r="H27" i="17" s="1"/>
  <c r="I27" i="14"/>
  <c r="I27" i="17" s="1"/>
  <c r="J27" i="14"/>
  <c r="J27" i="17" s="1"/>
  <c r="K27" i="14"/>
  <c r="K27" i="17" s="1"/>
  <c r="L27" i="14"/>
  <c r="L27" i="17" s="1"/>
  <c r="M27" i="14"/>
  <c r="M27" i="17" s="1"/>
  <c r="N27" i="14"/>
  <c r="N27" i="17" s="1"/>
  <c r="O27" i="14"/>
  <c r="O27" i="17" s="1"/>
  <c r="P27" i="14"/>
  <c r="P27" i="17" s="1"/>
  <c r="Q27" i="14"/>
  <c r="Q27" i="17" s="1"/>
  <c r="B28" i="14"/>
  <c r="B28" i="17" s="1"/>
  <c r="C28" i="14"/>
  <c r="C28" i="17" s="1"/>
  <c r="D28" i="14"/>
  <c r="D28" i="17" s="1"/>
  <c r="E28" i="14"/>
  <c r="E28" i="17" s="1"/>
  <c r="F28" i="14"/>
  <c r="F28" i="17" s="1"/>
  <c r="G28" i="14"/>
  <c r="G28" i="17" s="1"/>
  <c r="H28" i="14"/>
  <c r="H28" i="17" s="1"/>
  <c r="I28" i="14"/>
  <c r="I28" i="17" s="1"/>
  <c r="J28" i="14"/>
  <c r="J28" i="17" s="1"/>
  <c r="K28" i="14"/>
  <c r="K28" i="17" s="1"/>
  <c r="L28" i="14"/>
  <c r="L28" i="17" s="1"/>
  <c r="M28" i="14"/>
  <c r="M28" i="17" s="1"/>
  <c r="N28" i="14"/>
  <c r="N28" i="17" s="1"/>
  <c r="O28" i="14"/>
  <c r="O28" i="17" s="1"/>
  <c r="P28" i="14"/>
  <c r="P28" i="17" s="1"/>
  <c r="Q28" i="14"/>
  <c r="Q28" i="17" s="1"/>
  <c r="B11" i="14"/>
  <c r="B11" i="17" s="1"/>
  <c r="C11" i="14"/>
  <c r="C11" i="17" s="1"/>
  <c r="D11" i="14"/>
  <c r="D11" i="17" s="1"/>
  <c r="E11" i="14"/>
  <c r="E11" i="17" s="1"/>
  <c r="F11" i="14"/>
  <c r="F11" i="17" s="1"/>
  <c r="G11" i="14"/>
  <c r="G11" i="17" s="1"/>
  <c r="H11" i="14"/>
  <c r="H11" i="17" s="1"/>
  <c r="I11" i="14"/>
  <c r="I11" i="17" s="1"/>
  <c r="J11" i="14"/>
  <c r="J11" i="17" s="1"/>
  <c r="K11" i="14"/>
  <c r="K11" i="17" s="1"/>
  <c r="L11" i="14"/>
  <c r="L11" i="17" s="1"/>
  <c r="M11" i="14"/>
  <c r="M11" i="17" s="1"/>
  <c r="N11" i="14"/>
  <c r="N11" i="17" s="1"/>
  <c r="O11" i="14"/>
  <c r="O11" i="17" s="1"/>
  <c r="P11" i="14"/>
  <c r="P11" i="17" s="1"/>
  <c r="Q11" i="14"/>
  <c r="Q11" i="17" s="1"/>
  <c r="B12" i="14"/>
  <c r="B12" i="17" s="1"/>
  <c r="C12" i="14"/>
  <c r="C12" i="17" s="1"/>
  <c r="D12" i="14"/>
  <c r="D12" i="17" s="1"/>
  <c r="E12" i="14"/>
  <c r="E12" i="17" s="1"/>
  <c r="F12" i="14"/>
  <c r="F12" i="17" s="1"/>
  <c r="G12" i="14"/>
  <c r="G12" i="17" s="1"/>
  <c r="H12" i="14"/>
  <c r="H12" i="17" s="1"/>
  <c r="I12" i="14"/>
  <c r="I12" i="17" s="1"/>
  <c r="J12" i="14"/>
  <c r="J12" i="17" s="1"/>
  <c r="K12" i="14"/>
  <c r="K12" i="17" s="1"/>
  <c r="L12" i="14"/>
  <c r="L12" i="17" s="1"/>
  <c r="M12" i="14"/>
  <c r="M12" i="17" s="1"/>
  <c r="N12" i="14"/>
  <c r="N12" i="17" s="1"/>
  <c r="O12" i="14"/>
  <c r="O12" i="17" s="1"/>
  <c r="P12" i="14"/>
  <c r="P12" i="17" s="1"/>
  <c r="Q12" i="14"/>
  <c r="Q12" i="17" s="1"/>
  <c r="B13" i="14"/>
  <c r="B13" i="17" s="1"/>
  <c r="C13" i="14"/>
  <c r="C13" i="17" s="1"/>
  <c r="D13" i="14"/>
  <c r="D13" i="17" s="1"/>
  <c r="E13" i="14"/>
  <c r="E13" i="17" s="1"/>
  <c r="F13" i="14"/>
  <c r="F13" i="17" s="1"/>
  <c r="G13" i="14"/>
  <c r="G13" i="17" s="1"/>
  <c r="H13" i="14"/>
  <c r="H13" i="17" s="1"/>
  <c r="I13" i="14"/>
  <c r="I13" i="17" s="1"/>
  <c r="J13" i="14"/>
  <c r="J13" i="17" s="1"/>
  <c r="K13" i="14"/>
  <c r="K13" i="17" s="1"/>
  <c r="L13" i="14"/>
  <c r="L13" i="17" s="1"/>
  <c r="M13" i="14"/>
  <c r="M13" i="17" s="1"/>
  <c r="N13" i="14"/>
  <c r="N13" i="17" s="1"/>
  <c r="O13" i="14"/>
  <c r="O13" i="17" s="1"/>
  <c r="P13" i="14"/>
  <c r="P13" i="17" s="1"/>
  <c r="Q13" i="14"/>
  <c r="Q13" i="17" s="1"/>
  <c r="B14" i="14"/>
  <c r="B14" i="17" s="1"/>
  <c r="C14" i="14"/>
  <c r="C14" i="17" s="1"/>
  <c r="D14" i="14"/>
  <c r="D14" i="17" s="1"/>
  <c r="E14" i="14"/>
  <c r="E14" i="17" s="1"/>
  <c r="F14" i="14"/>
  <c r="F14" i="17" s="1"/>
  <c r="G14" i="14"/>
  <c r="G14" i="17" s="1"/>
  <c r="H14" i="14"/>
  <c r="H14" i="17" s="1"/>
  <c r="I14" i="14"/>
  <c r="I14" i="17" s="1"/>
  <c r="J14" i="14"/>
  <c r="J14" i="17" s="1"/>
  <c r="K14" i="14"/>
  <c r="K14" i="17" s="1"/>
  <c r="L14" i="14"/>
  <c r="L14" i="17" s="1"/>
  <c r="M14" i="14"/>
  <c r="M14" i="17" s="1"/>
  <c r="N14" i="14"/>
  <c r="N14" i="17" s="1"/>
  <c r="O14" i="14"/>
  <c r="O14" i="17" s="1"/>
  <c r="P14" i="14"/>
  <c r="P14" i="17" s="1"/>
  <c r="Q14" i="14"/>
  <c r="Q14" i="17" s="1"/>
  <c r="B18" i="14"/>
  <c r="B18" i="17" s="1"/>
  <c r="C18" i="14"/>
  <c r="C18" i="17" s="1"/>
  <c r="D18" i="14"/>
  <c r="D18" i="17" s="1"/>
  <c r="E18" i="14"/>
  <c r="E18" i="17" s="1"/>
  <c r="F18" i="14"/>
  <c r="F18" i="17" s="1"/>
  <c r="G18" i="14"/>
  <c r="G18" i="17" s="1"/>
  <c r="H18" i="14"/>
  <c r="H18" i="17" s="1"/>
  <c r="I18" i="14"/>
  <c r="I18" i="17" s="1"/>
  <c r="J18" i="14"/>
  <c r="J18" i="17" s="1"/>
  <c r="K18" i="14"/>
  <c r="K18" i="17" s="1"/>
  <c r="L18" i="14"/>
  <c r="L18" i="17" s="1"/>
  <c r="M18" i="14"/>
  <c r="M18" i="17" s="1"/>
  <c r="N18" i="14"/>
  <c r="N18" i="17" s="1"/>
  <c r="O18" i="14"/>
  <c r="O18" i="17" s="1"/>
  <c r="P18" i="14"/>
  <c r="P18" i="17" s="1"/>
  <c r="Q18" i="14"/>
  <c r="Q18" i="17" s="1"/>
  <c r="B25" i="14"/>
  <c r="B25" i="17" s="1"/>
  <c r="C25" i="14"/>
  <c r="C25" i="17" s="1"/>
  <c r="D25" i="14"/>
  <c r="D25" i="17" s="1"/>
  <c r="E25" i="14"/>
  <c r="E25" i="17" s="1"/>
  <c r="F25" i="14"/>
  <c r="F25" i="17" s="1"/>
  <c r="G25" i="14"/>
  <c r="G25" i="17" s="1"/>
  <c r="H25" i="14"/>
  <c r="H25" i="17" s="1"/>
  <c r="I25" i="14"/>
  <c r="I25" i="17" s="1"/>
  <c r="J25" i="14"/>
  <c r="J25" i="17" s="1"/>
  <c r="K25" i="14"/>
  <c r="K25" i="17" s="1"/>
  <c r="L25" i="14"/>
  <c r="L25" i="17" s="1"/>
  <c r="M25" i="14"/>
  <c r="M25" i="17" s="1"/>
  <c r="N25" i="14"/>
  <c r="N25" i="17" s="1"/>
  <c r="O25" i="14"/>
  <c r="O25" i="17" s="1"/>
  <c r="P25" i="14"/>
  <c r="P25" i="17" s="1"/>
  <c r="Q25" i="14"/>
  <c r="Q25" i="17" s="1"/>
  <c r="B26" i="14"/>
  <c r="B26" i="17" s="1"/>
  <c r="C26" i="14"/>
  <c r="C26" i="17" s="1"/>
  <c r="D26" i="14"/>
  <c r="D26" i="17" s="1"/>
  <c r="E26" i="14"/>
  <c r="E26" i="17" s="1"/>
  <c r="F26" i="14"/>
  <c r="F26" i="17" s="1"/>
  <c r="G26" i="14"/>
  <c r="G26" i="17" s="1"/>
  <c r="H26" i="14"/>
  <c r="H26" i="17" s="1"/>
  <c r="I26" i="14"/>
  <c r="I26" i="17" s="1"/>
  <c r="J26" i="14"/>
  <c r="J26" i="17" s="1"/>
  <c r="K26" i="14"/>
  <c r="K26" i="17" s="1"/>
  <c r="L26" i="14"/>
  <c r="L26" i="17" s="1"/>
  <c r="M26" i="14"/>
  <c r="M26" i="17" s="1"/>
  <c r="N26" i="14"/>
  <c r="N26" i="17" s="1"/>
  <c r="O26" i="14"/>
  <c r="O26" i="17" s="1"/>
  <c r="P26" i="14"/>
  <c r="P26" i="17" s="1"/>
  <c r="Q26" i="14"/>
  <c r="Q26" i="17" s="1"/>
  <c r="B33" i="14"/>
  <c r="B33" i="17" s="1"/>
  <c r="C33" i="14"/>
  <c r="C33" i="17" s="1"/>
  <c r="D33" i="14"/>
  <c r="D33" i="17" s="1"/>
  <c r="E33" i="14"/>
  <c r="E33" i="17" s="1"/>
  <c r="F33" i="14"/>
  <c r="F33" i="17" s="1"/>
  <c r="G33" i="14"/>
  <c r="G33" i="17" s="1"/>
  <c r="H33" i="14"/>
  <c r="H33" i="17" s="1"/>
  <c r="I33" i="14"/>
  <c r="I33" i="17" s="1"/>
  <c r="J33" i="14"/>
  <c r="J33" i="17" s="1"/>
  <c r="K33" i="14"/>
  <c r="K33" i="17" s="1"/>
  <c r="L33" i="14"/>
  <c r="L33" i="17" s="1"/>
  <c r="M33" i="14"/>
  <c r="M33" i="17" s="1"/>
  <c r="N33" i="14"/>
  <c r="N33" i="17" s="1"/>
  <c r="O33" i="14"/>
  <c r="O33" i="17" s="1"/>
  <c r="P33" i="14"/>
  <c r="P33" i="17" s="1"/>
  <c r="Q33" i="14"/>
  <c r="Q33" i="17" s="1"/>
  <c r="M5" i="14"/>
  <c r="M7" i="14"/>
  <c r="M8" i="14"/>
  <c r="M9" i="14"/>
  <c r="B15" i="7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M30" i="14"/>
  <c r="M31" i="14"/>
  <c r="B19" i="6"/>
  <c r="C19" i="6"/>
  <c r="B27" i="6"/>
  <c r="B95" i="6"/>
  <c r="O15" i="12" l="1"/>
  <c r="O15" i="13"/>
  <c r="N15" i="13"/>
  <c r="N15" i="12"/>
  <c r="F15" i="13"/>
  <c r="F15" i="12"/>
  <c r="L15" i="12"/>
  <c r="L15" i="15" s="1"/>
  <c r="L15" i="13"/>
  <c r="D15" i="12"/>
  <c r="D15" i="13"/>
  <c r="D15" i="16" s="1"/>
  <c r="K15" i="13"/>
  <c r="K15" i="12"/>
  <c r="C15" i="12"/>
  <c r="C15" i="13"/>
  <c r="J15" i="13"/>
  <c r="J15" i="12"/>
  <c r="B15" i="12"/>
  <c r="B15" i="13"/>
  <c r="E15" i="12"/>
  <c r="E15" i="13"/>
  <c r="Q15" i="12"/>
  <c r="Q15" i="13"/>
  <c r="I15" i="12"/>
  <c r="I15" i="13"/>
  <c r="I15" i="16" s="1"/>
  <c r="P15" i="12"/>
  <c r="P15" i="13"/>
  <c r="H15" i="13"/>
  <c r="H15" i="12"/>
  <c r="M15" i="12"/>
  <c r="M15" i="13"/>
  <c r="G15" i="12"/>
  <c r="G15" i="13"/>
  <c r="N47" i="37"/>
  <c r="L53" i="39"/>
  <c r="E52" i="39"/>
  <c r="E47" i="39"/>
  <c r="E46" i="39"/>
  <c r="E45" i="39"/>
  <c r="M34" i="39"/>
  <c r="M33" i="39"/>
  <c r="M32" i="39"/>
  <c r="O26" i="10"/>
  <c r="O18" i="10"/>
  <c r="G17" i="10"/>
  <c r="G15" i="10"/>
  <c r="O14" i="10"/>
  <c r="G13" i="10"/>
  <c r="O12" i="10"/>
  <c r="G11" i="10"/>
  <c r="O10" i="10"/>
  <c r="G9" i="10"/>
  <c r="O8" i="10"/>
  <c r="G7" i="10"/>
  <c r="O6" i="10"/>
  <c r="G5" i="10"/>
  <c r="D52" i="39"/>
  <c r="D47" i="39"/>
  <c r="D46" i="39"/>
  <c r="D45" i="39"/>
  <c r="L34" i="39"/>
  <c r="L33" i="39"/>
  <c r="L32" i="39"/>
  <c r="M40" i="39"/>
  <c r="J44" i="38"/>
  <c r="M52" i="39"/>
  <c r="Q31" i="14"/>
  <c r="Q7" i="14"/>
  <c r="I6" i="14"/>
  <c r="J47" i="37"/>
  <c r="L52" i="39"/>
  <c r="M50" i="39"/>
  <c r="E49" i="39"/>
  <c r="I8" i="21"/>
  <c r="J53" i="38"/>
  <c r="J52" i="38"/>
  <c r="J51" i="38"/>
  <c r="J50" i="38"/>
  <c r="J49" i="38"/>
  <c r="J47" i="38"/>
  <c r="L16" i="8"/>
  <c r="N16" i="19"/>
  <c r="F16" i="19"/>
  <c r="Q16" i="22"/>
  <c r="I16" i="22"/>
  <c r="E16" i="22"/>
  <c r="J14" i="21"/>
  <c r="B16" i="7"/>
  <c r="E29" i="9"/>
  <c r="O19" i="11"/>
  <c r="O16" i="11"/>
  <c r="G16" i="11"/>
  <c r="E32" i="25"/>
  <c r="K16" i="19"/>
  <c r="C16" i="19"/>
  <c r="H48" i="37"/>
  <c r="D46" i="37"/>
  <c r="E36" i="37"/>
  <c r="H15" i="18"/>
  <c r="D3" i="34"/>
  <c r="H3" i="31"/>
  <c r="M48" i="39"/>
  <c r="M35" i="37"/>
  <c r="Q44" i="39"/>
  <c r="M44" i="39"/>
  <c r="I44" i="39"/>
  <c r="E44" i="39"/>
  <c r="C21" i="14"/>
  <c r="G10" i="14"/>
  <c r="J10" i="25"/>
  <c r="Q9" i="25"/>
  <c r="M9" i="25"/>
  <c r="L8" i="25"/>
  <c r="O7" i="25"/>
  <c r="K7" i="25"/>
  <c r="G7" i="25"/>
  <c r="F6" i="25"/>
  <c r="F44" i="39"/>
  <c r="Q53" i="39"/>
  <c r="I53" i="39"/>
  <c r="O48" i="39"/>
  <c r="O44" i="39"/>
  <c r="K44" i="39"/>
  <c r="G44" i="39"/>
  <c r="C44" i="39"/>
  <c r="M12" i="21"/>
  <c r="H11" i="21"/>
  <c r="C10" i="21"/>
  <c r="H7" i="21"/>
  <c r="N5" i="21"/>
  <c r="G29" i="22"/>
  <c r="F16" i="22"/>
  <c r="O53" i="38"/>
  <c r="C53" i="38"/>
  <c r="O52" i="38"/>
  <c r="O51" i="38"/>
  <c r="C51" i="38"/>
  <c r="O50" i="38"/>
  <c r="O49" i="38"/>
  <c r="C49" i="38"/>
  <c r="O48" i="38"/>
  <c r="O47" i="38"/>
  <c r="C47" i="38"/>
  <c r="O46" i="38"/>
  <c r="O45" i="38"/>
  <c r="C45" i="38"/>
  <c r="O44" i="38"/>
  <c r="K44" i="38"/>
  <c r="G44" i="38"/>
  <c r="C44" i="38"/>
  <c r="C27" i="6"/>
  <c r="C8" i="26" s="1"/>
  <c r="B29" i="7"/>
  <c r="I28" i="15"/>
  <c r="M10" i="14"/>
  <c r="I33" i="21"/>
  <c r="Q53" i="38"/>
  <c r="Q40" i="37"/>
  <c r="M51" i="39"/>
  <c r="M38" i="37"/>
  <c r="I51" i="39"/>
  <c r="I38" i="37"/>
  <c r="E51" i="39"/>
  <c r="E38" i="37"/>
  <c r="Q50" i="39"/>
  <c r="Q37" i="37"/>
  <c r="I50" i="39"/>
  <c r="I37" i="37"/>
  <c r="E50" i="39"/>
  <c r="E37" i="37"/>
  <c r="Q49" i="39"/>
  <c r="Q49" i="38"/>
  <c r="M49" i="39"/>
  <c r="M36" i="37"/>
  <c r="I49" i="39"/>
  <c r="I36" i="37"/>
  <c r="Q48" i="39"/>
  <c r="Q35" i="37"/>
  <c r="I48" i="39"/>
  <c r="I35" i="37"/>
  <c r="E48" i="39"/>
  <c r="E35" i="37"/>
  <c r="Q47" i="38"/>
  <c r="Q34" i="37"/>
  <c r="Q45" i="38"/>
  <c r="Q32" i="37"/>
  <c r="L29" i="8"/>
  <c r="I24" i="14"/>
  <c r="E19" i="9"/>
  <c r="I10" i="34"/>
  <c r="G4" i="7"/>
  <c r="F20" i="10"/>
  <c r="P17" i="25"/>
  <c r="P16" i="18"/>
  <c r="B48" i="37"/>
  <c r="B51" i="37"/>
  <c r="B53" i="37"/>
  <c r="P15" i="21"/>
  <c r="H15" i="21"/>
  <c r="K14" i="21"/>
  <c r="G14" i="21"/>
  <c r="N13" i="21"/>
  <c r="J13" i="21"/>
  <c r="E12" i="21"/>
  <c r="L11" i="21"/>
  <c r="D11" i="21"/>
  <c r="K10" i="21"/>
  <c r="G10" i="21"/>
  <c r="F9" i="21"/>
  <c r="Q8" i="21"/>
  <c r="E8" i="21"/>
  <c r="O6" i="21"/>
  <c r="G6" i="21"/>
  <c r="O32" i="25"/>
  <c r="O32" i="28" s="1"/>
  <c r="C32" i="25"/>
  <c r="N31" i="25"/>
  <c r="J31" i="25"/>
  <c r="J31" i="28" s="1"/>
  <c r="F31" i="25"/>
  <c r="Q30" i="25"/>
  <c r="E30" i="25"/>
  <c r="B34" i="36"/>
  <c r="O38" i="37"/>
  <c r="Q25" i="21"/>
  <c r="M25" i="21"/>
  <c r="O23" i="21"/>
  <c r="K23" i="21"/>
  <c r="M21" i="21"/>
  <c r="I21" i="21"/>
  <c r="M33" i="21"/>
  <c r="P32" i="21"/>
  <c r="L32" i="21"/>
  <c r="K31" i="21"/>
  <c r="N30" i="21"/>
  <c r="F30" i="21"/>
  <c r="K21" i="21"/>
  <c r="H12" i="21"/>
  <c r="M9" i="21"/>
  <c r="D8" i="21"/>
  <c r="K7" i="21"/>
  <c r="M5" i="21"/>
  <c r="J21" i="25"/>
  <c r="J21" i="28" s="1"/>
  <c r="C29" i="18"/>
  <c r="Q29" i="18"/>
  <c r="M29" i="18"/>
  <c r="I29" i="18"/>
  <c r="P29" i="18"/>
  <c r="L29" i="18"/>
  <c r="H29" i="18"/>
  <c r="D29" i="18"/>
  <c r="O16" i="18"/>
  <c r="G16" i="18"/>
  <c r="E29" i="20"/>
  <c r="H27" i="21"/>
  <c r="I24" i="21"/>
  <c r="G22" i="21"/>
  <c r="L18" i="21"/>
  <c r="G17" i="21"/>
  <c r="N51" i="37"/>
  <c r="F51" i="37"/>
  <c r="J50" i="37"/>
  <c r="B45" i="38"/>
  <c r="B44" i="38"/>
  <c r="D19" i="8"/>
  <c r="G19" i="8"/>
  <c r="O19" i="7"/>
  <c r="O16" i="7"/>
  <c r="O16" i="14" s="1"/>
  <c r="G16" i="7"/>
  <c r="G16" i="14" s="1"/>
  <c r="J15" i="10"/>
  <c r="J14" i="10"/>
  <c r="F14" i="10"/>
  <c r="J13" i="10"/>
  <c r="J12" i="10"/>
  <c r="F12" i="10"/>
  <c r="J11" i="10"/>
  <c r="J10" i="10"/>
  <c r="F10" i="10"/>
  <c r="J9" i="10"/>
  <c r="F8" i="10"/>
  <c r="J7" i="10"/>
  <c r="B7" i="10"/>
  <c r="F6" i="10"/>
  <c r="G29" i="7"/>
  <c r="D29" i="8"/>
  <c r="Q25" i="15"/>
  <c r="I23" i="10"/>
  <c r="I21" i="10"/>
  <c r="P33" i="10"/>
  <c r="H32" i="10"/>
  <c r="D32" i="10"/>
  <c r="P31" i="10"/>
  <c r="H30" i="10"/>
  <c r="N26" i="10"/>
  <c r="J26" i="10"/>
  <c r="B25" i="10"/>
  <c r="J24" i="10"/>
  <c r="B23" i="10"/>
  <c r="N22" i="10"/>
  <c r="J22" i="10"/>
  <c r="J20" i="10"/>
  <c r="G29" i="11"/>
  <c r="O30" i="25"/>
  <c r="G30" i="25"/>
  <c r="O53" i="39"/>
  <c r="O40" i="39"/>
  <c r="O52" i="39"/>
  <c r="O39" i="39"/>
  <c r="G39" i="39"/>
  <c r="G52" i="39"/>
  <c r="C52" i="39"/>
  <c r="C39" i="39"/>
  <c r="O38" i="39"/>
  <c r="O51" i="39"/>
  <c r="O50" i="39"/>
  <c r="O37" i="39"/>
  <c r="C37" i="39"/>
  <c r="C50" i="39"/>
  <c r="O36" i="39"/>
  <c r="O49" i="39"/>
  <c r="C36" i="39"/>
  <c r="C49" i="39"/>
  <c r="C48" i="39"/>
  <c r="C35" i="39"/>
  <c r="O47" i="39"/>
  <c r="O34" i="39"/>
  <c r="C34" i="39"/>
  <c r="C47" i="39"/>
  <c r="O46" i="39"/>
  <c r="O33" i="39"/>
  <c r="C46" i="39"/>
  <c r="C33" i="39"/>
  <c r="O45" i="39"/>
  <c r="O32" i="39"/>
  <c r="D16" i="8"/>
  <c r="I18" i="16"/>
  <c r="Q17" i="16"/>
  <c r="I17" i="16"/>
  <c r="I13" i="16"/>
  <c r="I12" i="16"/>
  <c r="I11" i="16"/>
  <c r="Q10" i="16"/>
  <c r="I10" i="16"/>
  <c r="Q9" i="16"/>
  <c r="Q8" i="16"/>
  <c r="Q7" i="16"/>
  <c r="Q6" i="16"/>
  <c r="M32" i="14"/>
  <c r="M24" i="14"/>
  <c r="Q22" i="14"/>
  <c r="Q22" i="17" s="1"/>
  <c r="M22" i="14"/>
  <c r="M20" i="14"/>
  <c r="F4" i="22"/>
  <c r="M13" i="26"/>
  <c r="D33" i="15"/>
  <c r="D32" i="15"/>
  <c r="D31" i="15"/>
  <c r="D30" i="15"/>
  <c r="I32" i="15"/>
  <c r="I30" i="15"/>
  <c r="D4" i="8"/>
  <c r="H29" i="9"/>
  <c r="H16" i="9"/>
  <c r="G4" i="11"/>
  <c r="K24" i="25"/>
  <c r="J23" i="25"/>
  <c r="J23" i="28" s="1"/>
  <c r="F23" i="25"/>
  <c r="Q22" i="25"/>
  <c r="I22" i="25"/>
  <c r="H21" i="25"/>
  <c r="D21" i="25"/>
  <c r="Q5" i="16"/>
  <c r="Q32" i="14"/>
  <c r="Q32" i="17" s="1"/>
  <c r="Q10" i="14"/>
  <c r="Q8" i="14"/>
  <c r="Q8" i="17" s="1"/>
  <c r="I7" i="14"/>
  <c r="I7" i="17" s="1"/>
  <c r="D32" i="26"/>
  <c r="E28" i="26"/>
  <c r="H16" i="18"/>
  <c r="D16" i="18"/>
  <c r="M10" i="25"/>
  <c r="E10" i="25"/>
  <c r="L9" i="25"/>
  <c r="H9" i="25"/>
  <c r="D9" i="25"/>
  <c r="D9" i="28" s="1"/>
  <c r="G8" i="25"/>
  <c r="J7" i="25"/>
  <c r="F7" i="25"/>
  <c r="I6" i="25"/>
  <c r="D5" i="25"/>
  <c r="K32" i="21"/>
  <c r="C32" i="21"/>
  <c r="M24" i="26"/>
  <c r="E24" i="26"/>
  <c r="P23" i="26"/>
  <c r="D23" i="26"/>
  <c r="Q20" i="26"/>
  <c r="P14" i="26"/>
  <c r="D14" i="26"/>
  <c r="E11" i="26"/>
  <c r="N8" i="26"/>
  <c r="J8" i="26"/>
  <c r="M7" i="26"/>
  <c r="E7" i="26"/>
  <c r="P6" i="26"/>
  <c r="M29" i="20"/>
  <c r="N26" i="21"/>
  <c r="C18" i="21"/>
  <c r="F17" i="21"/>
  <c r="P16" i="22"/>
  <c r="L16" i="22"/>
  <c r="P10" i="25"/>
  <c r="L10" i="25"/>
  <c r="H10" i="25"/>
  <c r="D10" i="25"/>
  <c r="O9" i="25"/>
  <c r="K9" i="25"/>
  <c r="G9" i="25"/>
  <c r="C9" i="25"/>
  <c r="N8" i="25"/>
  <c r="J8" i="25"/>
  <c r="J8" i="28" s="1"/>
  <c r="F8" i="25"/>
  <c r="Q7" i="25"/>
  <c r="M7" i="25"/>
  <c r="M7" i="28" s="1"/>
  <c r="I7" i="25"/>
  <c r="E7" i="25"/>
  <c r="E7" i="28" s="1"/>
  <c r="P6" i="25"/>
  <c r="L6" i="25"/>
  <c r="H6" i="25"/>
  <c r="D6" i="25"/>
  <c r="D6" i="28" s="1"/>
  <c r="O5" i="25"/>
  <c r="K5" i="25"/>
  <c r="G5" i="25"/>
  <c r="N53" i="37"/>
  <c r="N40" i="37"/>
  <c r="F53" i="37"/>
  <c r="F40" i="37"/>
  <c r="B53" i="38"/>
  <c r="J39" i="37"/>
  <c r="J52" i="37"/>
  <c r="B52" i="38"/>
  <c r="B39" i="37"/>
  <c r="B51" i="38"/>
  <c r="B38" i="37"/>
  <c r="B50" i="38"/>
  <c r="N36" i="37"/>
  <c r="N49" i="37"/>
  <c r="B49" i="38"/>
  <c r="B36" i="37"/>
  <c r="B49" i="37"/>
  <c r="J35" i="37"/>
  <c r="J48" i="37"/>
  <c r="B48" i="38"/>
  <c r="B35" i="37"/>
  <c r="F34" i="37"/>
  <c r="F47" i="37"/>
  <c r="B47" i="38"/>
  <c r="B34" i="37"/>
  <c r="B46" i="38"/>
  <c r="B33" i="37"/>
  <c r="P33" i="27"/>
  <c r="E30" i="27"/>
  <c r="M32" i="27"/>
  <c r="N18" i="21"/>
  <c r="J18" i="21"/>
  <c r="F18" i="21"/>
  <c r="I16" i="20"/>
  <c r="E16" i="20"/>
  <c r="L15" i="21"/>
  <c r="O14" i="21"/>
  <c r="F13" i="21"/>
  <c r="I12" i="21"/>
  <c r="J9" i="21"/>
  <c r="P7" i="21"/>
  <c r="D7" i="21"/>
  <c r="F5" i="21"/>
  <c r="M32" i="21"/>
  <c r="D31" i="21"/>
  <c r="Q32" i="25"/>
  <c r="H31" i="25"/>
  <c r="C30" i="25"/>
  <c r="Q24" i="25"/>
  <c r="Q24" i="28" s="1"/>
  <c r="M24" i="25"/>
  <c r="M24" i="28" s="1"/>
  <c r="E24" i="25"/>
  <c r="P23" i="25"/>
  <c r="P23" i="28" s="1"/>
  <c r="L23" i="25"/>
  <c r="D23" i="25"/>
  <c r="D23" i="28" s="1"/>
  <c r="O22" i="25"/>
  <c r="K22" i="25"/>
  <c r="K22" i="28" s="1"/>
  <c r="C22" i="25"/>
  <c r="N21" i="25"/>
  <c r="Q20" i="25"/>
  <c r="I20" i="25"/>
  <c r="O9" i="33"/>
  <c r="O10" i="33"/>
  <c r="C8" i="30"/>
  <c r="D10" i="30"/>
  <c r="O5" i="30"/>
  <c r="C5" i="30"/>
  <c r="F49" i="37"/>
  <c r="B40" i="37"/>
  <c r="N38" i="37"/>
  <c r="J37" i="37"/>
  <c r="D15" i="18"/>
  <c r="G4" i="18"/>
  <c r="G3" i="18" s="1"/>
  <c r="M32" i="26"/>
  <c r="P31" i="26"/>
  <c r="Q33" i="21"/>
  <c r="H32" i="21"/>
  <c r="G31" i="21"/>
  <c r="Q27" i="21"/>
  <c r="C25" i="21"/>
  <c r="Q13" i="21"/>
  <c r="D12" i="21"/>
  <c r="Q9" i="21"/>
  <c r="O7" i="21"/>
  <c r="O18" i="21"/>
  <c r="P24" i="25"/>
  <c r="P24" i="28" s="1"/>
  <c r="L24" i="25"/>
  <c r="H24" i="25"/>
  <c r="D24" i="25"/>
  <c r="O23" i="25"/>
  <c r="K23" i="25"/>
  <c r="C23" i="25"/>
  <c r="N22" i="25"/>
  <c r="J22" i="25"/>
  <c r="F22" i="25"/>
  <c r="Q21" i="25"/>
  <c r="M21" i="25"/>
  <c r="I21" i="25"/>
  <c r="E21" i="25"/>
  <c r="D20" i="25"/>
  <c r="J48" i="38"/>
  <c r="J46" i="38"/>
  <c r="J45" i="38"/>
  <c r="O37" i="37"/>
  <c r="Q51" i="38"/>
  <c r="M53" i="38"/>
  <c r="I53" i="38"/>
  <c r="E53" i="38"/>
  <c r="Q52" i="38"/>
  <c r="M52" i="38"/>
  <c r="I52" i="38"/>
  <c r="E52" i="38"/>
  <c r="M51" i="38"/>
  <c r="I51" i="38"/>
  <c r="E51" i="38"/>
  <c r="Q50" i="38"/>
  <c r="M50" i="38"/>
  <c r="I50" i="38"/>
  <c r="E50" i="38"/>
  <c r="M49" i="38"/>
  <c r="I49" i="38"/>
  <c r="E49" i="38"/>
  <c r="Q48" i="38"/>
  <c r="M48" i="38"/>
  <c r="I48" i="38"/>
  <c r="E48" i="38"/>
  <c r="M47" i="38"/>
  <c r="I47" i="38"/>
  <c r="E47" i="38"/>
  <c r="Q46" i="38"/>
  <c r="M46" i="38"/>
  <c r="I46" i="38"/>
  <c r="E46" i="38"/>
  <c r="M45" i="38"/>
  <c r="I45" i="38"/>
  <c r="E45" i="38"/>
  <c r="D31" i="39"/>
  <c r="N44" i="39"/>
  <c r="J44" i="39"/>
  <c r="B44" i="39"/>
  <c r="H50" i="37"/>
  <c r="P53" i="37"/>
  <c r="H53" i="37"/>
  <c r="P52" i="37"/>
  <c r="H52" i="37"/>
  <c r="P51" i="37"/>
  <c r="H51" i="37"/>
  <c r="P50" i="37"/>
  <c r="P49" i="37"/>
  <c r="H49" i="37"/>
  <c r="P48" i="37"/>
  <c r="P47" i="37"/>
  <c r="H47" i="37"/>
  <c r="D45" i="37"/>
  <c r="L10" i="34"/>
  <c r="B19" i="7"/>
  <c r="C16" i="7"/>
  <c r="B4" i="7"/>
  <c r="B3" i="7" s="1"/>
  <c r="O16" i="8"/>
  <c r="L4" i="8"/>
  <c r="B19" i="11"/>
  <c r="O15" i="18"/>
  <c r="O4" i="18"/>
  <c r="O3" i="18" s="1"/>
  <c r="M19" i="19"/>
  <c r="E19" i="19"/>
  <c r="G26" i="21"/>
  <c r="J25" i="21"/>
  <c r="F25" i="21"/>
  <c r="M24" i="21"/>
  <c r="E24" i="21"/>
  <c r="O22" i="21"/>
  <c r="F21" i="21"/>
  <c r="E20" i="21"/>
  <c r="N16" i="20"/>
  <c r="Q24" i="21"/>
  <c r="C29" i="7"/>
  <c r="Q19" i="7"/>
  <c r="E19" i="7"/>
  <c r="G32" i="10"/>
  <c r="O31" i="10"/>
  <c r="H19" i="8"/>
  <c r="H32" i="14"/>
  <c r="Q23" i="14"/>
  <c r="Q23" i="17" s="1"/>
  <c r="I23" i="14"/>
  <c r="E22" i="14"/>
  <c r="I21" i="14"/>
  <c r="Q19" i="11"/>
  <c r="Q20" i="14"/>
  <c r="E20" i="14"/>
  <c r="K27" i="21"/>
  <c r="E21" i="21"/>
  <c r="F4" i="19"/>
  <c r="H20" i="21"/>
  <c r="G23" i="25"/>
  <c r="G19" i="22"/>
  <c r="J29" i="7"/>
  <c r="Q16" i="7"/>
  <c r="M16" i="7"/>
  <c r="I16" i="7"/>
  <c r="I17" i="14"/>
  <c r="E16" i="7"/>
  <c r="D14" i="15"/>
  <c r="H12" i="15"/>
  <c r="D10" i="15"/>
  <c r="D8" i="15"/>
  <c r="L6" i="15"/>
  <c r="D6" i="15"/>
  <c r="L4" i="7"/>
  <c r="L3" i="7" s="1"/>
  <c r="D4" i="7"/>
  <c r="E16" i="9"/>
  <c r="B4" i="9"/>
  <c r="O32" i="14"/>
  <c r="G31" i="14"/>
  <c r="C31" i="14"/>
  <c r="O29" i="11"/>
  <c r="D23" i="21"/>
  <c r="M30" i="25"/>
  <c r="M29" i="22"/>
  <c r="J19" i="7"/>
  <c r="K16" i="7"/>
  <c r="J4" i="7"/>
  <c r="J3" i="7" s="1"/>
  <c r="D11" i="26"/>
  <c r="L27" i="21"/>
  <c r="D27" i="21"/>
  <c r="K26" i="21"/>
  <c r="C26" i="21"/>
  <c r="N25" i="21"/>
  <c r="P23" i="21"/>
  <c r="L23" i="21"/>
  <c r="H23" i="21"/>
  <c r="C22" i="21"/>
  <c r="N21" i="21"/>
  <c r="J21" i="21"/>
  <c r="J21" i="27"/>
  <c r="Q20" i="21"/>
  <c r="M19" i="20"/>
  <c r="I20" i="21"/>
  <c r="F19" i="20"/>
  <c r="C6" i="25"/>
  <c r="O29" i="7"/>
  <c r="K29" i="7"/>
  <c r="M19" i="7"/>
  <c r="I19" i="7"/>
  <c r="O33" i="10"/>
  <c r="G33" i="10"/>
  <c r="O32" i="10"/>
  <c r="G31" i="10"/>
  <c r="O30" i="10"/>
  <c r="G30" i="10"/>
  <c r="C30" i="10"/>
  <c r="L19" i="8"/>
  <c r="M16" i="9"/>
  <c r="L32" i="14"/>
  <c r="L30" i="14"/>
  <c r="L30" i="17" s="1"/>
  <c r="Q24" i="14"/>
  <c r="Q24" i="17" s="1"/>
  <c r="E24" i="14"/>
  <c r="M23" i="14"/>
  <c r="E23" i="14"/>
  <c r="I22" i="14"/>
  <c r="Q21" i="14"/>
  <c r="M21" i="14"/>
  <c r="E21" i="14"/>
  <c r="M19" i="11"/>
  <c r="I19" i="11"/>
  <c r="I20" i="14"/>
  <c r="I9" i="25"/>
  <c r="E4" i="18"/>
  <c r="E3" i="18" s="1"/>
  <c r="O27" i="21"/>
  <c r="I25" i="21"/>
  <c r="N4" i="19"/>
  <c r="O33" i="21"/>
  <c r="I31" i="21"/>
  <c r="L24" i="21"/>
  <c r="J22" i="21"/>
  <c r="M20" i="21"/>
  <c r="J6" i="25"/>
  <c r="J6" i="28" s="1"/>
  <c r="G10" i="25"/>
  <c r="B107" i="6"/>
  <c r="B82" i="6"/>
  <c r="B81" i="6" s="1"/>
  <c r="B48" i="6"/>
  <c r="K19" i="7"/>
  <c r="G19" i="7"/>
  <c r="C19" i="7"/>
  <c r="L16" i="7"/>
  <c r="D16" i="7"/>
  <c r="O4" i="7"/>
  <c r="O3" i="7" s="1"/>
  <c r="C4" i="7"/>
  <c r="C3" i="7" s="1"/>
  <c r="G4" i="8"/>
  <c r="B19" i="9"/>
  <c r="C23" i="14"/>
  <c r="B4" i="11"/>
  <c r="O30" i="14"/>
  <c r="G6" i="14"/>
  <c r="K16" i="18"/>
  <c r="C16" i="18"/>
  <c r="I19" i="20"/>
  <c r="K18" i="21"/>
  <c r="J17" i="21"/>
  <c r="J16" i="20"/>
  <c r="O16" i="20"/>
  <c r="N17" i="21"/>
  <c r="L6" i="21"/>
  <c r="G25" i="10"/>
  <c r="O24" i="10"/>
  <c r="G23" i="10"/>
  <c r="O22" i="10"/>
  <c r="G21" i="10"/>
  <c r="O20" i="10"/>
  <c r="I17" i="15"/>
  <c r="M4" i="9"/>
  <c r="J16" i="11"/>
  <c r="B16" i="11"/>
  <c r="D9" i="14"/>
  <c r="D9" i="17" s="1"/>
  <c r="D4" i="11"/>
  <c r="Q4" i="18"/>
  <c r="Q3" i="18" s="1"/>
  <c r="L15" i="18"/>
  <c r="K29" i="19"/>
  <c r="G29" i="19"/>
  <c r="G30" i="26"/>
  <c r="P14" i="21"/>
  <c r="H14" i="21"/>
  <c r="N12" i="21"/>
  <c r="J12" i="21"/>
  <c r="P10" i="21"/>
  <c r="L10" i="21"/>
  <c r="D10" i="21"/>
  <c r="N8" i="21"/>
  <c r="J8" i="21"/>
  <c r="F8" i="21"/>
  <c r="H6" i="21"/>
  <c r="D6" i="21"/>
  <c r="G4" i="20"/>
  <c r="C13" i="21"/>
  <c r="P10" i="32"/>
  <c r="Q29" i="7"/>
  <c r="M29" i="7"/>
  <c r="I29" i="7"/>
  <c r="E29" i="7"/>
  <c r="D28" i="15"/>
  <c r="D26" i="15"/>
  <c r="H22" i="15"/>
  <c r="D22" i="15"/>
  <c r="D20" i="15"/>
  <c r="J16" i="7"/>
  <c r="Q4" i="7"/>
  <c r="M4" i="7"/>
  <c r="M3" i="7" s="1"/>
  <c r="I4" i="7"/>
  <c r="I3" i="7" s="1"/>
  <c r="E4" i="7"/>
  <c r="E3" i="7" s="1"/>
  <c r="I15" i="10"/>
  <c r="I13" i="10"/>
  <c r="I11" i="10"/>
  <c r="I7" i="10"/>
  <c r="I5" i="10"/>
  <c r="I29" i="9"/>
  <c r="M29" i="9"/>
  <c r="D28" i="16"/>
  <c r="H26" i="10"/>
  <c r="D26" i="10"/>
  <c r="P25" i="10"/>
  <c r="H24" i="10"/>
  <c r="D24" i="10"/>
  <c r="P23" i="10"/>
  <c r="H22" i="10"/>
  <c r="D22" i="10"/>
  <c r="P21" i="10"/>
  <c r="P20" i="10"/>
  <c r="H19" i="9"/>
  <c r="J18" i="10"/>
  <c r="N17" i="10"/>
  <c r="J17" i="10"/>
  <c r="F17" i="10"/>
  <c r="B16" i="9"/>
  <c r="P15" i="10"/>
  <c r="P14" i="10"/>
  <c r="P13" i="10"/>
  <c r="P12" i="10"/>
  <c r="P11" i="10"/>
  <c r="P10" i="10"/>
  <c r="P9" i="10"/>
  <c r="P7" i="10"/>
  <c r="D6" i="10"/>
  <c r="P4" i="9"/>
  <c r="H4" i="9"/>
  <c r="E4" i="9"/>
  <c r="I32" i="14"/>
  <c r="I32" i="17" s="1"/>
  <c r="E32" i="14"/>
  <c r="I31" i="14"/>
  <c r="E31" i="14"/>
  <c r="Q29" i="11"/>
  <c r="M29" i="11"/>
  <c r="I29" i="11"/>
  <c r="I30" i="14"/>
  <c r="I30" i="17" s="1"/>
  <c r="E30" i="14"/>
  <c r="O24" i="14"/>
  <c r="G23" i="14"/>
  <c r="O22" i="14"/>
  <c r="G21" i="14"/>
  <c r="O20" i="14"/>
  <c r="G19" i="11"/>
  <c r="Q16" i="11"/>
  <c r="Q17" i="14"/>
  <c r="M16" i="11"/>
  <c r="M17" i="14"/>
  <c r="I16" i="11"/>
  <c r="E17" i="14"/>
  <c r="C10" i="14"/>
  <c r="O9" i="14"/>
  <c r="O9" i="17" s="1"/>
  <c r="G8" i="14"/>
  <c r="C8" i="14"/>
  <c r="O7" i="14"/>
  <c r="C6" i="14"/>
  <c r="O5" i="14"/>
  <c r="O4" i="11"/>
  <c r="Q30" i="14"/>
  <c r="P16" i="19"/>
  <c r="P17" i="26"/>
  <c r="L16" i="19"/>
  <c r="E27" i="21"/>
  <c r="K25" i="21"/>
  <c r="M23" i="21"/>
  <c r="I23" i="21"/>
  <c r="P22" i="21"/>
  <c r="P22" i="27"/>
  <c r="G21" i="21"/>
  <c r="P18" i="27"/>
  <c r="P18" i="21"/>
  <c r="C17" i="21"/>
  <c r="N4" i="20"/>
  <c r="J4" i="20"/>
  <c r="O25" i="21"/>
  <c r="E29" i="22"/>
  <c r="E33" i="25"/>
  <c r="E33" i="28" s="1"/>
  <c r="P29" i="22"/>
  <c r="C29" i="22"/>
  <c r="N29" i="22"/>
  <c r="D17" i="25"/>
  <c r="H9" i="32"/>
  <c r="H10" i="32"/>
  <c r="D9" i="32"/>
  <c r="D10" i="32"/>
  <c r="C9" i="31"/>
  <c r="C10" i="31"/>
  <c r="E8" i="34"/>
  <c r="F10" i="34"/>
  <c r="E8" i="30"/>
  <c r="F10" i="30"/>
  <c r="M5" i="30"/>
  <c r="I5" i="30"/>
  <c r="E5" i="30"/>
  <c r="M19" i="22"/>
  <c r="D16" i="22"/>
  <c r="N10" i="25"/>
  <c r="P8" i="25"/>
  <c r="P8" i="28" s="1"/>
  <c r="H8" i="25"/>
  <c r="M4" i="22"/>
  <c r="B33" i="10"/>
  <c r="J32" i="10"/>
  <c r="F32" i="10"/>
  <c r="B31" i="10"/>
  <c r="N30" i="10"/>
  <c r="J30" i="10"/>
  <c r="F30" i="10"/>
  <c r="B29" i="9"/>
  <c r="Q22" i="16"/>
  <c r="Q21" i="16"/>
  <c r="I20" i="16"/>
  <c r="M19" i="9"/>
  <c r="P18" i="10"/>
  <c r="P17" i="10"/>
  <c r="O4" i="9"/>
  <c r="K4" i="9"/>
  <c r="G4" i="9"/>
  <c r="J29" i="11"/>
  <c r="B29" i="11"/>
  <c r="L24" i="14"/>
  <c r="H24" i="14"/>
  <c r="L22" i="14"/>
  <c r="H22" i="14"/>
  <c r="L20" i="14"/>
  <c r="H20" i="14"/>
  <c r="D19" i="11"/>
  <c r="G17" i="14"/>
  <c r="C16" i="11"/>
  <c r="I10" i="14"/>
  <c r="E10" i="14"/>
  <c r="Q9" i="14"/>
  <c r="Q9" i="17" s="1"/>
  <c r="I9" i="14"/>
  <c r="I9" i="17" s="1"/>
  <c r="E9" i="14"/>
  <c r="I8" i="14"/>
  <c r="E8" i="14"/>
  <c r="E7" i="14"/>
  <c r="Q6" i="14"/>
  <c r="Q6" i="17" s="1"/>
  <c r="M6" i="14"/>
  <c r="E6" i="14"/>
  <c r="Q4" i="11"/>
  <c r="Q5" i="14"/>
  <c r="M4" i="11"/>
  <c r="I4" i="11"/>
  <c r="I5" i="14"/>
  <c r="I5" i="17" s="1"/>
  <c r="E5" i="14"/>
  <c r="C17" i="14"/>
  <c r="N14" i="21"/>
  <c r="L12" i="21"/>
  <c r="K11" i="21"/>
  <c r="J10" i="21"/>
  <c r="H8" i="21"/>
  <c r="K4" i="19"/>
  <c r="Q5" i="26"/>
  <c r="F33" i="21"/>
  <c r="Q32" i="21"/>
  <c r="I32" i="21"/>
  <c r="E32" i="21"/>
  <c r="O30" i="21"/>
  <c r="K30" i="21"/>
  <c r="G30" i="21"/>
  <c r="C29" i="20"/>
  <c r="M20" i="25"/>
  <c r="P9" i="33"/>
  <c r="P10" i="33"/>
  <c r="L9" i="33"/>
  <c r="L10" i="33"/>
  <c r="D9" i="33"/>
  <c r="D10" i="33"/>
  <c r="P8" i="35"/>
  <c r="Q10" i="35"/>
  <c r="L8" i="35"/>
  <c r="M10" i="35"/>
  <c r="H8" i="35"/>
  <c r="I10" i="35"/>
  <c r="P8" i="34"/>
  <c r="P10" i="34"/>
  <c r="Q10" i="34"/>
  <c r="L8" i="34"/>
  <c r="M10" i="34"/>
  <c r="H8" i="34"/>
  <c r="H10" i="34"/>
  <c r="D8" i="34"/>
  <c r="E10" i="34"/>
  <c r="P8" i="33"/>
  <c r="Q10" i="33"/>
  <c r="L8" i="33"/>
  <c r="M10" i="33"/>
  <c r="H8" i="33"/>
  <c r="I10" i="33"/>
  <c r="E10" i="33"/>
  <c r="D8" i="33"/>
  <c r="L8" i="31"/>
  <c r="M10" i="31"/>
  <c r="I10" i="31"/>
  <c r="H8" i="31"/>
  <c r="D8" i="31"/>
  <c r="E10" i="31"/>
  <c r="P8" i="30"/>
  <c r="Q10" i="30"/>
  <c r="L8" i="30"/>
  <c r="L10" i="30"/>
  <c r="M10" i="30"/>
  <c r="H8" i="30"/>
  <c r="H10" i="30"/>
  <c r="I10" i="30"/>
  <c r="P5" i="30"/>
  <c r="H5" i="30"/>
  <c r="D5" i="30"/>
  <c r="C8" i="36"/>
  <c r="N19" i="18"/>
  <c r="C19" i="18"/>
  <c r="Q16" i="18"/>
  <c r="M16" i="18"/>
  <c r="I16" i="18"/>
  <c r="E16" i="18"/>
  <c r="P26" i="26"/>
  <c r="G25" i="26"/>
  <c r="E23" i="26"/>
  <c r="G18" i="26"/>
  <c r="J16" i="19"/>
  <c r="O16" i="19"/>
  <c r="P4" i="19"/>
  <c r="C4" i="19"/>
  <c r="F14" i="21"/>
  <c r="O11" i="21"/>
  <c r="F10" i="21"/>
  <c r="Q5" i="21"/>
  <c r="N6" i="21"/>
  <c r="I32" i="25"/>
  <c r="P31" i="25"/>
  <c r="L31" i="25"/>
  <c r="D31" i="25"/>
  <c r="D31" i="28" s="1"/>
  <c r="K30" i="25"/>
  <c r="N24" i="25"/>
  <c r="J24" i="25"/>
  <c r="J24" i="28" s="1"/>
  <c r="F24" i="25"/>
  <c r="Q23" i="25"/>
  <c r="M23" i="25"/>
  <c r="M23" i="28" s="1"/>
  <c r="I23" i="25"/>
  <c r="E23" i="25"/>
  <c r="E23" i="28" s="1"/>
  <c r="P22" i="25"/>
  <c r="P22" i="28" s="1"/>
  <c r="L22" i="25"/>
  <c r="H22" i="25"/>
  <c r="D22" i="25"/>
  <c r="D22" i="28" s="1"/>
  <c r="G21" i="25"/>
  <c r="C21" i="25"/>
  <c r="N17" i="25"/>
  <c r="J16" i="22"/>
  <c r="J17" i="25"/>
  <c r="F17" i="25"/>
  <c r="Q31" i="38"/>
  <c r="Q44" i="38"/>
  <c r="M44" i="38"/>
  <c r="E44" i="38"/>
  <c r="Q10" i="32"/>
  <c r="Q9" i="32"/>
  <c r="I10" i="32"/>
  <c r="K10" i="32"/>
  <c r="C19" i="19"/>
  <c r="P18" i="26"/>
  <c r="D15" i="21"/>
  <c r="Q12" i="21"/>
  <c r="P11" i="21"/>
  <c r="O10" i="21"/>
  <c r="M8" i="21"/>
  <c r="L7" i="21"/>
  <c r="K6" i="21"/>
  <c r="N9" i="25"/>
  <c r="P7" i="25"/>
  <c r="P7" i="28" s="1"/>
  <c r="J5" i="25"/>
  <c r="C10" i="35"/>
  <c r="C10" i="32"/>
  <c r="I9" i="32"/>
  <c r="H31" i="39"/>
  <c r="K40" i="39"/>
  <c r="K53" i="39"/>
  <c r="G40" i="39"/>
  <c r="G53" i="39"/>
  <c r="K39" i="39"/>
  <c r="K52" i="39"/>
  <c r="K38" i="39"/>
  <c r="K51" i="39"/>
  <c r="G51" i="39"/>
  <c r="G38" i="39"/>
  <c r="K37" i="39"/>
  <c r="K50" i="39"/>
  <c r="G50" i="39"/>
  <c r="G37" i="39"/>
  <c r="K36" i="39"/>
  <c r="K49" i="39"/>
  <c r="G49" i="39"/>
  <c r="G36" i="39"/>
  <c r="K35" i="39"/>
  <c r="K48" i="39"/>
  <c r="G48" i="39"/>
  <c r="G35" i="39"/>
  <c r="K34" i="39"/>
  <c r="K47" i="39"/>
  <c r="G34" i="39"/>
  <c r="G47" i="39"/>
  <c r="K33" i="39"/>
  <c r="K46" i="39"/>
  <c r="K32" i="39"/>
  <c r="K45" i="39"/>
  <c r="G32" i="39"/>
  <c r="G45" i="39"/>
  <c r="P3" i="30"/>
  <c r="K53" i="38"/>
  <c r="K40" i="37"/>
  <c r="G53" i="38"/>
  <c r="G40" i="37"/>
  <c r="K52" i="38"/>
  <c r="K39" i="37"/>
  <c r="G52" i="38"/>
  <c r="G39" i="37"/>
  <c r="C52" i="38"/>
  <c r="C39" i="37"/>
  <c r="K51" i="38"/>
  <c r="K38" i="37"/>
  <c r="G51" i="38"/>
  <c r="G38" i="37"/>
  <c r="K50" i="38"/>
  <c r="K37" i="37"/>
  <c r="G50" i="38"/>
  <c r="G37" i="37"/>
  <c r="C50" i="38"/>
  <c r="C37" i="37"/>
  <c r="K49" i="38"/>
  <c r="K36" i="37"/>
  <c r="G49" i="38"/>
  <c r="G36" i="37"/>
  <c r="K48" i="38"/>
  <c r="K35" i="37"/>
  <c r="G48" i="38"/>
  <c r="G35" i="37"/>
  <c r="C48" i="38"/>
  <c r="C35" i="37"/>
  <c r="K47" i="38"/>
  <c r="K34" i="37"/>
  <c r="G47" i="38"/>
  <c r="G34" i="37"/>
  <c r="K46" i="38"/>
  <c r="K33" i="37"/>
  <c r="G46" i="38"/>
  <c r="G33" i="37"/>
  <c r="C46" i="38"/>
  <c r="C33" i="37"/>
  <c r="K45" i="38"/>
  <c r="K32" i="37"/>
  <c r="G45" i="38"/>
  <c r="G32" i="37"/>
  <c r="P31" i="38"/>
  <c r="L31" i="38"/>
  <c r="H31" i="38"/>
  <c r="D31" i="38"/>
  <c r="C53" i="39"/>
  <c r="C51" i="39"/>
  <c r="G46" i="39"/>
  <c r="C45" i="39"/>
  <c r="O35" i="39"/>
  <c r="I31" i="39"/>
  <c r="J53" i="37"/>
  <c r="F52" i="37"/>
  <c r="J51" i="37"/>
  <c r="F50" i="37"/>
  <c r="J49" i="37"/>
  <c r="O31" i="38"/>
  <c r="K31" i="38"/>
  <c r="G31" i="38"/>
  <c r="C31" i="38"/>
  <c r="Q31" i="39"/>
  <c r="N52" i="37"/>
  <c r="B52" i="37"/>
  <c r="N50" i="37"/>
  <c r="B50" i="37"/>
  <c r="N31" i="38"/>
  <c r="J31" i="38"/>
  <c r="F31" i="38"/>
  <c r="B31" i="38"/>
  <c r="N53" i="38"/>
  <c r="F53" i="38"/>
  <c r="N52" i="38"/>
  <c r="F52" i="38"/>
  <c r="N51" i="38"/>
  <c r="F51" i="38"/>
  <c r="N50" i="38"/>
  <c r="F50" i="38"/>
  <c r="N49" i="38"/>
  <c r="F49" i="38"/>
  <c r="N48" i="38"/>
  <c r="F48" i="38"/>
  <c r="N47" i="38"/>
  <c r="F47" i="38"/>
  <c r="N46" i="38"/>
  <c r="F46" i="38"/>
  <c r="N45" i="38"/>
  <c r="F45" i="38"/>
  <c r="N44" i="38"/>
  <c r="F44" i="38"/>
  <c r="P31" i="39"/>
  <c r="E31" i="39"/>
  <c r="N29" i="7"/>
  <c r="F29" i="7"/>
  <c r="P19" i="7"/>
  <c r="H19" i="7"/>
  <c r="L19" i="7"/>
  <c r="N16" i="7"/>
  <c r="F16" i="7"/>
  <c r="P4" i="7"/>
  <c r="P3" i="7" s="1"/>
  <c r="H4" i="7"/>
  <c r="H3" i="7" s="1"/>
  <c r="M29" i="8"/>
  <c r="E29" i="8"/>
  <c r="Q29" i="8"/>
  <c r="G29" i="8"/>
  <c r="O27" i="10"/>
  <c r="G27" i="10"/>
  <c r="G26" i="10"/>
  <c r="O25" i="10"/>
  <c r="G24" i="10"/>
  <c r="O23" i="10"/>
  <c r="G22" i="10"/>
  <c r="O21" i="10"/>
  <c r="K19" i="8"/>
  <c r="G20" i="10"/>
  <c r="C19" i="8"/>
  <c r="M16" i="8"/>
  <c r="E16" i="8"/>
  <c r="Q16" i="8"/>
  <c r="G16" i="8"/>
  <c r="O15" i="10"/>
  <c r="G14" i="10"/>
  <c r="O13" i="10"/>
  <c r="G12" i="10"/>
  <c r="O11" i="10"/>
  <c r="G10" i="10"/>
  <c r="O9" i="10"/>
  <c r="G8" i="10"/>
  <c r="O7" i="10"/>
  <c r="G6" i="10"/>
  <c r="O5" i="10"/>
  <c r="K4" i="8"/>
  <c r="C4" i="8"/>
  <c r="L33" i="10"/>
  <c r="H33" i="10"/>
  <c r="H33" i="16"/>
  <c r="D33" i="10"/>
  <c r="P32" i="10"/>
  <c r="L32" i="10"/>
  <c r="L31" i="10"/>
  <c r="H31" i="10"/>
  <c r="D31" i="10"/>
  <c r="D31" i="16"/>
  <c r="P30" i="10"/>
  <c r="L30" i="10"/>
  <c r="L29" i="9"/>
  <c r="D30" i="10"/>
  <c r="D29" i="9"/>
  <c r="J27" i="10"/>
  <c r="B27" i="10"/>
  <c r="B26" i="10"/>
  <c r="J25" i="10"/>
  <c r="B24" i="10"/>
  <c r="J23" i="10"/>
  <c r="B22" i="10"/>
  <c r="J21" i="10"/>
  <c r="B21" i="10"/>
  <c r="N19" i="9"/>
  <c r="F19" i="9"/>
  <c r="B20" i="10"/>
  <c r="L18" i="10"/>
  <c r="H18" i="10"/>
  <c r="H18" i="16"/>
  <c r="D18" i="10"/>
  <c r="L17" i="10"/>
  <c r="L17" i="16"/>
  <c r="L16" i="9"/>
  <c r="H17" i="10"/>
  <c r="H17" i="16"/>
  <c r="D17" i="10"/>
  <c r="D17" i="16"/>
  <c r="D16" i="9"/>
  <c r="B15" i="10"/>
  <c r="B14" i="10"/>
  <c r="B13" i="10"/>
  <c r="B12" i="10"/>
  <c r="B11" i="10"/>
  <c r="B10" i="10"/>
  <c r="B9" i="10"/>
  <c r="J8" i="10"/>
  <c r="B8" i="10"/>
  <c r="J6" i="10"/>
  <c r="B6" i="10"/>
  <c r="N4" i="9"/>
  <c r="J5" i="10"/>
  <c r="F4" i="9"/>
  <c r="B5" i="10"/>
  <c r="K33" i="10"/>
  <c r="Q32" i="10"/>
  <c r="K31" i="10"/>
  <c r="Q30" i="10"/>
  <c r="Q27" i="10"/>
  <c r="F27" i="10"/>
  <c r="K26" i="10"/>
  <c r="Q25" i="10"/>
  <c r="F25" i="10"/>
  <c r="K24" i="10"/>
  <c r="Q23" i="10"/>
  <c r="F23" i="10"/>
  <c r="K22" i="10"/>
  <c r="Q21" i="10"/>
  <c r="F21" i="10"/>
  <c r="K20" i="10"/>
  <c r="K18" i="10"/>
  <c r="Q17" i="10"/>
  <c r="Q15" i="10"/>
  <c r="F15" i="10"/>
  <c r="K14" i="10"/>
  <c r="Q13" i="10"/>
  <c r="F13" i="10"/>
  <c r="K12" i="10"/>
  <c r="Q11" i="10"/>
  <c r="F11" i="10"/>
  <c r="K10" i="10"/>
  <c r="Q9" i="10"/>
  <c r="F9" i="10"/>
  <c r="K8" i="10"/>
  <c r="Q7" i="10"/>
  <c r="F7" i="10"/>
  <c r="K6" i="10"/>
  <c r="Q5" i="10"/>
  <c r="F5" i="10"/>
  <c r="P32" i="14"/>
  <c r="D32" i="14"/>
  <c r="D32" i="17" s="1"/>
  <c r="P31" i="14"/>
  <c r="L31" i="14"/>
  <c r="H31" i="14"/>
  <c r="H31" i="17" s="1"/>
  <c r="D31" i="14"/>
  <c r="D31" i="17" s="1"/>
  <c r="P30" i="14"/>
  <c r="P29" i="11"/>
  <c r="H29" i="11"/>
  <c r="D30" i="14"/>
  <c r="D30" i="17" s="1"/>
  <c r="L29" i="11"/>
  <c r="N24" i="14"/>
  <c r="J24" i="14"/>
  <c r="F24" i="14"/>
  <c r="B24" i="14"/>
  <c r="N23" i="14"/>
  <c r="J23" i="14"/>
  <c r="F23" i="14"/>
  <c r="B23" i="14"/>
  <c r="N22" i="14"/>
  <c r="J22" i="14"/>
  <c r="F22" i="14"/>
  <c r="B22" i="14"/>
  <c r="N21" i="14"/>
  <c r="J21" i="14"/>
  <c r="F21" i="14"/>
  <c r="B21" i="14"/>
  <c r="N20" i="14"/>
  <c r="N19" i="11"/>
  <c r="J20" i="14"/>
  <c r="F20" i="14"/>
  <c r="F19" i="11"/>
  <c r="B20" i="14"/>
  <c r="P17" i="14"/>
  <c r="P16" i="11"/>
  <c r="L17" i="14"/>
  <c r="L17" i="17" s="1"/>
  <c r="H17" i="14"/>
  <c r="H17" i="17" s="1"/>
  <c r="H16" i="11"/>
  <c r="D17" i="14"/>
  <c r="L16" i="11"/>
  <c r="N10" i="14"/>
  <c r="J10" i="14"/>
  <c r="F10" i="14"/>
  <c r="B10" i="14"/>
  <c r="N9" i="14"/>
  <c r="J9" i="14"/>
  <c r="F9" i="14"/>
  <c r="B9" i="14"/>
  <c r="N8" i="14"/>
  <c r="J8" i="14"/>
  <c r="F8" i="14"/>
  <c r="B8" i="14"/>
  <c r="N7" i="14"/>
  <c r="J7" i="14"/>
  <c r="F7" i="14"/>
  <c r="B7" i="14"/>
  <c r="N6" i="14"/>
  <c r="J6" i="14"/>
  <c r="F6" i="14"/>
  <c r="B6" i="14"/>
  <c r="N5" i="14"/>
  <c r="N4" i="11"/>
  <c r="J5" i="14"/>
  <c r="F5" i="14"/>
  <c r="F4" i="11"/>
  <c r="B5" i="14"/>
  <c r="D7" i="14"/>
  <c r="D5" i="14"/>
  <c r="D5" i="17" s="1"/>
  <c r="P32" i="25"/>
  <c r="O29" i="18"/>
  <c r="K29" i="18"/>
  <c r="G29" i="18"/>
  <c r="C31" i="25"/>
  <c r="N29" i="18"/>
  <c r="J29" i="18"/>
  <c r="J30" i="26"/>
  <c r="F29" i="18"/>
  <c r="J19" i="18"/>
  <c r="J10" i="28"/>
  <c r="D29" i="7"/>
  <c r="O29" i="8"/>
  <c r="I19" i="8"/>
  <c r="I19" i="12" s="1"/>
  <c r="I4" i="8"/>
  <c r="J29" i="9"/>
  <c r="E27" i="10"/>
  <c r="M25" i="10"/>
  <c r="E25" i="10"/>
  <c r="E24" i="10"/>
  <c r="M23" i="10"/>
  <c r="E23" i="10"/>
  <c r="M21" i="10"/>
  <c r="E21" i="10"/>
  <c r="E20" i="10"/>
  <c r="P19" i="9"/>
  <c r="P19" i="13" s="1"/>
  <c r="J16" i="9"/>
  <c r="J16" i="13" s="1"/>
  <c r="E15" i="10"/>
  <c r="E14" i="10"/>
  <c r="E13" i="10"/>
  <c r="E12" i="10"/>
  <c r="E11" i="10"/>
  <c r="E10" i="10"/>
  <c r="E9" i="10"/>
  <c r="I33" i="10"/>
  <c r="N32" i="10"/>
  <c r="C32" i="10"/>
  <c r="I31" i="10"/>
  <c r="N27" i="10"/>
  <c r="C27" i="10"/>
  <c r="I26" i="10"/>
  <c r="N25" i="10"/>
  <c r="C25" i="10"/>
  <c r="I24" i="10"/>
  <c r="N23" i="10"/>
  <c r="C23" i="10"/>
  <c r="I22" i="10"/>
  <c r="N21" i="10"/>
  <c r="C21" i="10"/>
  <c r="I20" i="10"/>
  <c r="I18" i="10"/>
  <c r="C17" i="10"/>
  <c r="N15" i="10"/>
  <c r="C15" i="10"/>
  <c r="I14" i="10"/>
  <c r="N13" i="10"/>
  <c r="C13" i="10"/>
  <c r="I12" i="10"/>
  <c r="N11" i="10"/>
  <c r="C11" i="10"/>
  <c r="I10" i="10"/>
  <c r="N9" i="10"/>
  <c r="C9" i="10"/>
  <c r="I8" i="10"/>
  <c r="N7" i="10"/>
  <c r="C7" i="10"/>
  <c r="I6" i="10"/>
  <c r="N5" i="10"/>
  <c r="C5" i="10"/>
  <c r="D26" i="16"/>
  <c r="P33" i="21"/>
  <c r="L33" i="21"/>
  <c r="H33" i="21"/>
  <c r="H29" i="19"/>
  <c r="D33" i="21"/>
  <c r="O32" i="21"/>
  <c r="O29" i="19"/>
  <c r="G32" i="21"/>
  <c r="C29" i="19"/>
  <c r="N31" i="21"/>
  <c r="N29" i="19"/>
  <c r="J31" i="21"/>
  <c r="J29" i="19"/>
  <c r="J29" i="23" s="1"/>
  <c r="F31" i="21"/>
  <c r="F29" i="19"/>
  <c r="F29" i="23" s="1"/>
  <c r="Q29" i="19"/>
  <c r="Q30" i="21"/>
  <c r="M29" i="19"/>
  <c r="M29" i="23" s="1"/>
  <c r="M30" i="21"/>
  <c r="I29" i="19"/>
  <c r="I30" i="21"/>
  <c r="E29" i="19"/>
  <c r="E30" i="21"/>
  <c r="D29" i="19"/>
  <c r="D33" i="27"/>
  <c r="C24" i="6"/>
  <c r="C25" i="6"/>
  <c r="C26" i="6"/>
  <c r="C8" i="16" s="1"/>
  <c r="C23" i="6"/>
  <c r="C20" i="6"/>
  <c r="C21" i="6"/>
  <c r="P29" i="7"/>
  <c r="H29" i="7"/>
  <c r="L29" i="7"/>
  <c r="N19" i="7"/>
  <c r="F19" i="7"/>
  <c r="P16" i="7"/>
  <c r="H16" i="7"/>
  <c r="N4" i="7"/>
  <c r="N3" i="7" s="1"/>
  <c r="F4" i="7"/>
  <c r="F3" i="7" s="1"/>
  <c r="K29" i="8"/>
  <c r="C29" i="8"/>
  <c r="M19" i="8"/>
  <c r="E19" i="8"/>
  <c r="E19" i="12" s="1"/>
  <c r="Q19" i="8"/>
  <c r="G18" i="10"/>
  <c r="O17" i="10"/>
  <c r="K16" i="8"/>
  <c r="C16" i="8"/>
  <c r="C16" i="12" s="1"/>
  <c r="M4" i="8"/>
  <c r="E4" i="8"/>
  <c r="Q4" i="8"/>
  <c r="J33" i="10"/>
  <c r="B32" i="10"/>
  <c r="J31" i="10"/>
  <c r="N29" i="9"/>
  <c r="F29" i="9"/>
  <c r="B30" i="10"/>
  <c r="P27" i="10"/>
  <c r="L27" i="10"/>
  <c r="H27" i="10"/>
  <c r="D27" i="10"/>
  <c r="P26" i="10"/>
  <c r="L26" i="10"/>
  <c r="L25" i="10"/>
  <c r="H25" i="10"/>
  <c r="H25" i="16"/>
  <c r="D25" i="10"/>
  <c r="D25" i="16"/>
  <c r="P24" i="10"/>
  <c r="L24" i="10"/>
  <c r="L23" i="10"/>
  <c r="L23" i="16"/>
  <c r="H23" i="10"/>
  <c r="D23" i="10"/>
  <c r="D23" i="16"/>
  <c r="P22" i="10"/>
  <c r="L22" i="10"/>
  <c r="L22" i="16"/>
  <c r="L21" i="10"/>
  <c r="H21" i="10"/>
  <c r="H21" i="16"/>
  <c r="D21" i="10"/>
  <c r="D21" i="16"/>
  <c r="L20" i="10"/>
  <c r="L20" i="16"/>
  <c r="L19" i="9"/>
  <c r="H20" i="10"/>
  <c r="D20" i="10"/>
  <c r="D20" i="16"/>
  <c r="D19" i="9"/>
  <c r="B18" i="10"/>
  <c r="N16" i="9"/>
  <c r="N16" i="13" s="1"/>
  <c r="F16" i="9"/>
  <c r="F16" i="13" s="1"/>
  <c r="B17" i="10"/>
  <c r="L15" i="10"/>
  <c r="H15" i="10"/>
  <c r="H15" i="16"/>
  <c r="D15" i="10"/>
  <c r="L14" i="10"/>
  <c r="L14" i="16"/>
  <c r="H14" i="10"/>
  <c r="D14" i="10"/>
  <c r="D14" i="16"/>
  <c r="L13" i="10"/>
  <c r="H13" i="10"/>
  <c r="H13" i="16"/>
  <c r="D13" i="10"/>
  <c r="D13" i="16"/>
  <c r="L12" i="10"/>
  <c r="H12" i="10"/>
  <c r="D12" i="10"/>
  <c r="D12" i="16"/>
  <c r="L11" i="10"/>
  <c r="H11" i="10"/>
  <c r="H11" i="16"/>
  <c r="D11" i="10"/>
  <c r="D11" i="16"/>
  <c r="L10" i="10"/>
  <c r="L10" i="16"/>
  <c r="H10" i="10"/>
  <c r="D10" i="10"/>
  <c r="D10" i="16"/>
  <c r="L9" i="10"/>
  <c r="H9" i="10"/>
  <c r="H9" i="16"/>
  <c r="D9" i="10"/>
  <c r="D9" i="16"/>
  <c r="P8" i="10"/>
  <c r="L8" i="10"/>
  <c r="H8" i="10"/>
  <c r="D8" i="10"/>
  <c r="D8" i="16"/>
  <c r="L7" i="10"/>
  <c r="H7" i="10"/>
  <c r="D7" i="10"/>
  <c r="D7" i="16"/>
  <c r="P6" i="10"/>
  <c r="L6" i="10"/>
  <c r="H6" i="10"/>
  <c r="P5" i="10"/>
  <c r="L5" i="10"/>
  <c r="L4" i="9"/>
  <c r="H5" i="10"/>
  <c r="D5" i="10"/>
  <c r="D5" i="16"/>
  <c r="D4" i="9"/>
  <c r="Q33" i="10"/>
  <c r="F33" i="10"/>
  <c r="K32" i="10"/>
  <c r="Q31" i="10"/>
  <c r="F31" i="10"/>
  <c r="K30" i="10"/>
  <c r="K27" i="10"/>
  <c r="Q26" i="10"/>
  <c r="F26" i="10"/>
  <c r="K25" i="10"/>
  <c r="Q24" i="10"/>
  <c r="F24" i="10"/>
  <c r="K23" i="10"/>
  <c r="Q22" i="10"/>
  <c r="F22" i="10"/>
  <c r="K21" i="10"/>
  <c r="Q20" i="10"/>
  <c r="Q18" i="10"/>
  <c r="F18" i="10"/>
  <c r="K17" i="10"/>
  <c r="K15" i="10"/>
  <c r="Q14" i="10"/>
  <c r="K13" i="10"/>
  <c r="Q12" i="10"/>
  <c r="K11" i="10"/>
  <c r="Q10" i="10"/>
  <c r="K9" i="10"/>
  <c r="Q8" i="10"/>
  <c r="K7" i="10"/>
  <c r="Q6" i="10"/>
  <c r="K5" i="10"/>
  <c r="N32" i="14"/>
  <c r="J32" i="14"/>
  <c r="F32" i="14"/>
  <c r="B32" i="14"/>
  <c r="N31" i="14"/>
  <c r="J31" i="14"/>
  <c r="F31" i="14"/>
  <c r="B31" i="14"/>
  <c r="N30" i="14"/>
  <c r="N29" i="11"/>
  <c r="J30" i="14"/>
  <c r="F30" i="14"/>
  <c r="F29" i="11"/>
  <c r="B30" i="14"/>
  <c r="P24" i="14"/>
  <c r="D24" i="14"/>
  <c r="D24" i="17" s="1"/>
  <c r="P23" i="14"/>
  <c r="L23" i="14"/>
  <c r="L23" i="17" s="1"/>
  <c r="H23" i="14"/>
  <c r="D23" i="14"/>
  <c r="D23" i="17" s="1"/>
  <c r="P22" i="14"/>
  <c r="D22" i="14"/>
  <c r="D22" i="17" s="1"/>
  <c r="P21" i="14"/>
  <c r="L21" i="14"/>
  <c r="H21" i="14"/>
  <c r="D21" i="14"/>
  <c r="D21" i="17" s="1"/>
  <c r="P20" i="14"/>
  <c r="P19" i="11"/>
  <c r="H19" i="11"/>
  <c r="D20" i="14"/>
  <c r="D20" i="17" s="1"/>
  <c r="L19" i="11"/>
  <c r="N17" i="14"/>
  <c r="N16" i="11"/>
  <c r="J17" i="14"/>
  <c r="F17" i="14"/>
  <c r="F16" i="11"/>
  <c r="B17" i="14"/>
  <c r="P10" i="14"/>
  <c r="L10" i="14"/>
  <c r="H10" i="14"/>
  <c r="D10" i="14"/>
  <c r="D10" i="17" s="1"/>
  <c r="P9" i="14"/>
  <c r="L9" i="14"/>
  <c r="H9" i="14"/>
  <c r="P8" i="14"/>
  <c r="L8" i="14"/>
  <c r="H8" i="14"/>
  <c r="D8" i="14"/>
  <c r="D8" i="17" s="1"/>
  <c r="P7" i="14"/>
  <c r="L7" i="14"/>
  <c r="L7" i="17" s="1"/>
  <c r="H7" i="14"/>
  <c r="P6" i="14"/>
  <c r="L6" i="14"/>
  <c r="H6" i="14"/>
  <c r="H6" i="17" s="1"/>
  <c r="D6" i="14"/>
  <c r="D6" i="17" s="1"/>
  <c r="P5" i="14"/>
  <c r="P4" i="11"/>
  <c r="L5" i="14"/>
  <c r="L5" i="17" s="1"/>
  <c r="H5" i="14"/>
  <c r="H4" i="11"/>
  <c r="L4" i="11"/>
  <c r="H20" i="15"/>
  <c r="D32" i="16"/>
  <c r="D24" i="16"/>
  <c r="D6" i="16"/>
  <c r="H30" i="14"/>
  <c r="G24" i="25"/>
  <c r="C24" i="25"/>
  <c r="E22" i="25"/>
  <c r="E22" i="26"/>
  <c r="P21" i="25"/>
  <c r="P21" i="28" s="1"/>
  <c r="P21" i="26"/>
  <c r="O19" i="18"/>
  <c r="O20" i="25"/>
  <c r="G20" i="25"/>
  <c r="G19" i="18"/>
  <c r="C20" i="25"/>
  <c r="D19" i="7"/>
  <c r="I29" i="8"/>
  <c r="D25" i="15"/>
  <c r="L23" i="15"/>
  <c r="D23" i="15"/>
  <c r="D21" i="15"/>
  <c r="O19" i="8"/>
  <c r="I16" i="8"/>
  <c r="D15" i="15"/>
  <c r="D13" i="15"/>
  <c r="D11" i="15"/>
  <c r="L9" i="15"/>
  <c r="D9" i="15"/>
  <c r="D7" i="15"/>
  <c r="D5" i="15"/>
  <c r="O4" i="8"/>
  <c r="M33" i="10"/>
  <c r="E33" i="10"/>
  <c r="E32" i="10"/>
  <c r="M31" i="10"/>
  <c r="E31" i="10"/>
  <c r="P29" i="9"/>
  <c r="J19" i="9"/>
  <c r="J19" i="13" s="1"/>
  <c r="E18" i="10"/>
  <c r="E17" i="10"/>
  <c r="P16" i="9"/>
  <c r="J4" i="9"/>
  <c r="J4" i="13" s="1"/>
  <c r="N33" i="10"/>
  <c r="C33" i="10"/>
  <c r="I32" i="10"/>
  <c r="N31" i="10"/>
  <c r="C31" i="10"/>
  <c r="I30" i="10"/>
  <c r="I27" i="10"/>
  <c r="C26" i="10"/>
  <c r="I25" i="10"/>
  <c r="N24" i="10"/>
  <c r="C24" i="10"/>
  <c r="C22" i="10"/>
  <c r="N20" i="10"/>
  <c r="C20" i="10"/>
  <c r="N18" i="10"/>
  <c r="C18" i="10"/>
  <c r="I17" i="10"/>
  <c r="N14" i="10"/>
  <c r="C14" i="10"/>
  <c r="N12" i="10"/>
  <c r="C12" i="10"/>
  <c r="N10" i="10"/>
  <c r="C10" i="10"/>
  <c r="I9" i="10"/>
  <c r="N8" i="10"/>
  <c r="C8" i="10"/>
  <c r="N6" i="10"/>
  <c r="C6" i="10"/>
  <c r="D29" i="11"/>
  <c r="J19" i="11"/>
  <c r="D16" i="11"/>
  <c r="J4" i="11"/>
  <c r="D30" i="16"/>
  <c r="H28" i="16"/>
  <c r="D22" i="16"/>
  <c r="K19" i="18"/>
  <c r="N30" i="25"/>
  <c r="D11" i="27"/>
  <c r="B24" i="6"/>
  <c r="B25" i="6"/>
  <c r="B26" i="6"/>
  <c r="B115" i="6"/>
  <c r="B116" i="6"/>
  <c r="B117" i="6"/>
  <c r="B118" i="6"/>
  <c r="B119" i="6"/>
  <c r="B23" i="6"/>
  <c r="B161" i="6" s="1"/>
  <c r="B20" i="6"/>
  <c r="B21" i="6"/>
  <c r="P29" i="8"/>
  <c r="P19" i="8"/>
  <c r="P16" i="8"/>
  <c r="P4" i="8"/>
  <c r="Q29" i="9"/>
  <c r="Q19" i="9"/>
  <c r="Q16" i="9"/>
  <c r="I14" i="16"/>
  <c r="Q13" i="16"/>
  <c r="I8" i="16"/>
  <c r="Q4" i="9"/>
  <c r="M32" i="10"/>
  <c r="M30" i="10"/>
  <c r="M27" i="10"/>
  <c r="M26" i="10"/>
  <c r="M24" i="10"/>
  <c r="M22" i="10"/>
  <c r="M20" i="10"/>
  <c r="M18" i="10"/>
  <c r="M17" i="10"/>
  <c r="M15" i="10"/>
  <c r="M14" i="10"/>
  <c r="M13" i="10"/>
  <c r="M12" i="10"/>
  <c r="M11" i="10"/>
  <c r="M10" i="10"/>
  <c r="M9" i="10"/>
  <c r="M8" i="10"/>
  <c r="M7" i="10"/>
  <c r="M6" i="10"/>
  <c r="M5" i="10"/>
  <c r="K32" i="14"/>
  <c r="G32" i="14"/>
  <c r="C32" i="14"/>
  <c r="O31" i="14"/>
  <c r="K31" i="14"/>
  <c r="K31" i="17" s="1"/>
  <c r="K30" i="14"/>
  <c r="G30" i="14"/>
  <c r="C30" i="14"/>
  <c r="C29" i="11"/>
  <c r="K24" i="14"/>
  <c r="G24" i="14"/>
  <c r="C24" i="14"/>
  <c r="O23" i="14"/>
  <c r="K23" i="14"/>
  <c r="K22" i="14"/>
  <c r="G22" i="14"/>
  <c r="C22" i="14"/>
  <c r="O21" i="14"/>
  <c r="K21" i="14"/>
  <c r="K20" i="14"/>
  <c r="G20" i="14"/>
  <c r="C20" i="14"/>
  <c r="C19" i="11"/>
  <c r="O17" i="14"/>
  <c r="K17" i="14"/>
  <c r="O10" i="14"/>
  <c r="K10" i="14"/>
  <c r="K9" i="14"/>
  <c r="G9" i="14"/>
  <c r="C9" i="14"/>
  <c r="O8" i="14"/>
  <c r="K8" i="14"/>
  <c r="K7" i="14"/>
  <c r="G7" i="14"/>
  <c r="C7" i="14"/>
  <c r="O6" i="14"/>
  <c r="K6" i="14"/>
  <c r="K6" i="17" s="1"/>
  <c r="K5" i="14"/>
  <c r="G5" i="14"/>
  <c r="C5" i="14"/>
  <c r="C4" i="11"/>
  <c r="F19" i="18"/>
  <c r="P19" i="18"/>
  <c r="L19" i="18"/>
  <c r="H19" i="18"/>
  <c r="F13" i="27"/>
  <c r="P11" i="27"/>
  <c r="E8" i="27"/>
  <c r="K15" i="18"/>
  <c r="G6" i="26"/>
  <c r="G15" i="18"/>
  <c r="C4" i="18"/>
  <c r="C3" i="18" s="1"/>
  <c r="C15" i="18"/>
  <c r="N4" i="18"/>
  <c r="N3" i="18" s="1"/>
  <c r="N15" i="18"/>
  <c r="J4" i="18"/>
  <c r="J3" i="18" s="1"/>
  <c r="J15" i="18"/>
  <c r="F4" i="18"/>
  <c r="F3" i="18" s="1"/>
  <c r="F15" i="18"/>
  <c r="D4" i="18"/>
  <c r="D3" i="18" s="1"/>
  <c r="P29" i="19"/>
  <c r="P29" i="23" s="1"/>
  <c r="J26" i="21"/>
  <c r="J26" i="26"/>
  <c r="F26" i="21"/>
  <c r="P24" i="26"/>
  <c r="H24" i="21"/>
  <c r="D24" i="21"/>
  <c r="G23" i="21"/>
  <c r="G19" i="19"/>
  <c r="N19" i="19"/>
  <c r="J19" i="19"/>
  <c r="F22" i="21"/>
  <c r="Q19" i="19"/>
  <c r="Q21" i="21"/>
  <c r="P19" i="19"/>
  <c r="L19" i="19"/>
  <c r="H19" i="19"/>
  <c r="D19" i="19"/>
  <c r="D20" i="21"/>
  <c r="D20" i="26"/>
  <c r="I19" i="19"/>
  <c r="K33" i="21"/>
  <c r="G33" i="21"/>
  <c r="G29" i="20"/>
  <c r="C33" i="21"/>
  <c r="N32" i="21"/>
  <c r="N29" i="20"/>
  <c r="J32" i="21"/>
  <c r="J29" i="20"/>
  <c r="F32" i="21"/>
  <c r="Q31" i="21"/>
  <c r="Q29" i="20"/>
  <c r="M31" i="21"/>
  <c r="E31" i="21"/>
  <c r="P30" i="21"/>
  <c r="P29" i="20"/>
  <c r="P30" i="27"/>
  <c r="L30" i="21"/>
  <c r="L29" i="20"/>
  <c r="H30" i="21"/>
  <c r="H29" i="20"/>
  <c r="D30" i="21"/>
  <c r="D29" i="20"/>
  <c r="I29" i="20"/>
  <c r="M27" i="21"/>
  <c r="G27" i="21"/>
  <c r="E25" i="21"/>
  <c r="C23" i="21"/>
  <c r="P20" i="21"/>
  <c r="L32" i="25"/>
  <c r="L29" i="22"/>
  <c r="H32" i="25"/>
  <c r="H29" i="22"/>
  <c r="D32" i="25"/>
  <c r="D32" i="28" s="1"/>
  <c r="O31" i="25"/>
  <c r="O29" i="22"/>
  <c r="K31" i="25"/>
  <c r="G31" i="25"/>
  <c r="J29" i="22"/>
  <c r="J30" i="25"/>
  <c r="F30" i="25"/>
  <c r="F29" i="22"/>
  <c r="Q29" i="22"/>
  <c r="P20" i="25"/>
  <c r="P20" i="28" s="1"/>
  <c r="P19" i="22"/>
  <c r="L19" i="22"/>
  <c r="H20" i="25"/>
  <c r="H19" i="22"/>
  <c r="D19" i="22"/>
  <c r="I19" i="22"/>
  <c r="O10" i="25"/>
  <c r="K10" i="25"/>
  <c r="C10" i="25"/>
  <c r="J9" i="25"/>
  <c r="F9" i="25"/>
  <c r="Q8" i="25"/>
  <c r="M8" i="25"/>
  <c r="M8" i="28" s="1"/>
  <c r="I8" i="25"/>
  <c r="E8" i="25"/>
  <c r="L7" i="25"/>
  <c r="H7" i="25"/>
  <c r="D7" i="25"/>
  <c r="O6" i="25"/>
  <c r="K6" i="25"/>
  <c r="G6" i="25"/>
  <c r="N4" i="22"/>
  <c r="N5" i="25"/>
  <c r="F5" i="25"/>
  <c r="Q4" i="22"/>
  <c r="F18" i="25"/>
  <c r="F18" i="28" s="1"/>
  <c r="K3" i="30"/>
  <c r="G3" i="30"/>
  <c r="C3" i="30"/>
  <c r="N40" i="39"/>
  <c r="N53" i="39"/>
  <c r="J40" i="39"/>
  <c r="J53" i="39"/>
  <c r="F40" i="39"/>
  <c r="F53" i="39"/>
  <c r="B40" i="39"/>
  <c r="B53" i="39"/>
  <c r="N39" i="39"/>
  <c r="N52" i="39"/>
  <c r="J39" i="39"/>
  <c r="J52" i="39"/>
  <c r="F39" i="39"/>
  <c r="F52" i="39"/>
  <c r="B39" i="39"/>
  <c r="B52" i="39"/>
  <c r="N38" i="39"/>
  <c r="N51" i="39"/>
  <c r="J38" i="39"/>
  <c r="J51" i="39"/>
  <c r="B38" i="39"/>
  <c r="B51" i="39"/>
  <c r="N37" i="39"/>
  <c r="N50" i="39"/>
  <c r="J37" i="39"/>
  <c r="J50" i="39"/>
  <c r="F37" i="39"/>
  <c r="F50" i="39"/>
  <c r="B37" i="39"/>
  <c r="B50" i="39"/>
  <c r="N36" i="39"/>
  <c r="N49" i="39"/>
  <c r="J36" i="39"/>
  <c r="J49" i="39"/>
  <c r="F36" i="39"/>
  <c r="F49" i="39"/>
  <c r="B36" i="39"/>
  <c r="B49" i="39"/>
  <c r="N35" i="39"/>
  <c r="N48" i="39"/>
  <c r="J35" i="39"/>
  <c r="J48" i="39"/>
  <c r="F35" i="39"/>
  <c r="F48" i="39"/>
  <c r="B35" i="39"/>
  <c r="B48" i="39"/>
  <c r="N34" i="39"/>
  <c r="N47" i="39"/>
  <c r="J34" i="39"/>
  <c r="J47" i="39"/>
  <c r="F34" i="39"/>
  <c r="F47" i="39"/>
  <c r="B34" i="39"/>
  <c r="B47" i="39"/>
  <c r="N33" i="39"/>
  <c r="N46" i="39"/>
  <c r="J33" i="39"/>
  <c r="J46" i="39"/>
  <c r="F33" i="39"/>
  <c r="F46" i="39"/>
  <c r="B33" i="39"/>
  <c r="B46" i="39"/>
  <c r="N32" i="39"/>
  <c r="N45" i="39"/>
  <c r="J32" i="39"/>
  <c r="J45" i="39"/>
  <c r="F32" i="39"/>
  <c r="F45" i="39"/>
  <c r="B32" i="39"/>
  <c r="B45" i="39"/>
  <c r="K4" i="7"/>
  <c r="K3" i="7" s="1"/>
  <c r="H29" i="8"/>
  <c r="H16" i="8"/>
  <c r="H4" i="8"/>
  <c r="G33" i="16"/>
  <c r="K32" i="16"/>
  <c r="G32" i="16"/>
  <c r="G31" i="16"/>
  <c r="K30" i="16"/>
  <c r="G30" i="16"/>
  <c r="I19" i="9"/>
  <c r="I19" i="13" s="1"/>
  <c r="I16" i="9"/>
  <c r="K14" i="16"/>
  <c r="K12" i="16"/>
  <c r="K10" i="16"/>
  <c r="I4" i="9"/>
  <c r="I4" i="13" s="1"/>
  <c r="E30" i="10"/>
  <c r="E26" i="10"/>
  <c r="E22" i="10"/>
  <c r="E8" i="10"/>
  <c r="E7" i="10"/>
  <c r="E6" i="10"/>
  <c r="E5" i="10"/>
  <c r="K29" i="11"/>
  <c r="K19" i="11"/>
  <c r="K16" i="11"/>
  <c r="K4" i="11"/>
  <c r="P5" i="25"/>
  <c r="P5" i="28" s="1"/>
  <c r="P15" i="18"/>
  <c r="P4" i="18"/>
  <c r="P3" i="18" s="1"/>
  <c r="L4" i="18"/>
  <c r="L3" i="18" s="1"/>
  <c r="H4" i="18"/>
  <c r="H3" i="18" s="1"/>
  <c r="H5" i="25"/>
  <c r="K4" i="18"/>
  <c r="K3" i="18" s="1"/>
  <c r="O19" i="19"/>
  <c r="H16" i="19"/>
  <c r="H16" i="23" s="1"/>
  <c r="D16" i="19"/>
  <c r="D16" i="23" s="1"/>
  <c r="E14" i="26"/>
  <c r="P13" i="26"/>
  <c r="J11" i="26"/>
  <c r="M10" i="26"/>
  <c r="P9" i="26"/>
  <c r="J7" i="26"/>
  <c r="M6" i="26"/>
  <c r="E6" i="26"/>
  <c r="P5" i="26"/>
  <c r="L4" i="19"/>
  <c r="H4" i="19"/>
  <c r="D4" i="19"/>
  <c r="J4" i="19"/>
  <c r="O29" i="20"/>
  <c r="P26" i="27"/>
  <c r="P26" i="21"/>
  <c r="L26" i="21"/>
  <c r="H26" i="21"/>
  <c r="D26" i="21"/>
  <c r="N24" i="21"/>
  <c r="J24" i="27"/>
  <c r="J24" i="21"/>
  <c r="F24" i="21"/>
  <c r="Q23" i="21"/>
  <c r="L22" i="21"/>
  <c r="H22" i="21"/>
  <c r="H19" i="20"/>
  <c r="D22" i="21"/>
  <c r="O21" i="21"/>
  <c r="N20" i="21"/>
  <c r="N19" i="20"/>
  <c r="J20" i="27"/>
  <c r="J19" i="20"/>
  <c r="J20" i="21"/>
  <c r="F20" i="21"/>
  <c r="Q19" i="20"/>
  <c r="Q18" i="21"/>
  <c r="Q16" i="20"/>
  <c r="Q16" i="24" s="1"/>
  <c r="M18" i="27"/>
  <c r="M18" i="21"/>
  <c r="I18" i="21"/>
  <c r="E18" i="21"/>
  <c r="P17" i="21"/>
  <c r="P16" i="20"/>
  <c r="P17" i="27"/>
  <c r="L17" i="21"/>
  <c r="L16" i="20"/>
  <c r="H17" i="21"/>
  <c r="H16" i="20"/>
  <c r="H16" i="24" s="1"/>
  <c r="D17" i="21"/>
  <c r="D16" i="20"/>
  <c r="D16" i="24" s="1"/>
  <c r="D17" i="27"/>
  <c r="M16" i="20"/>
  <c r="Q15" i="21"/>
  <c r="M15" i="21"/>
  <c r="I15" i="21"/>
  <c r="D14" i="27"/>
  <c r="D14" i="21"/>
  <c r="O13" i="21"/>
  <c r="K13" i="27"/>
  <c r="K13" i="21"/>
  <c r="G13" i="27"/>
  <c r="G13" i="21"/>
  <c r="F12" i="21"/>
  <c r="Q11" i="21"/>
  <c r="M11" i="21"/>
  <c r="I11" i="21"/>
  <c r="E11" i="27"/>
  <c r="E11" i="21"/>
  <c r="P10" i="27"/>
  <c r="O9" i="21"/>
  <c r="K9" i="27"/>
  <c r="K9" i="21"/>
  <c r="G9" i="21"/>
  <c r="C9" i="21"/>
  <c r="Q7" i="21"/>
  <c r="M7" i="27"/>
  <c r="M7" i="21"/>
  <c r="I7" i="21"/>
  <c r="E7" i="27"/>
  <c r="E7" i="21"/>
  <c r="P6" i="27"/>
  <c r="P6" i="21"/>
  <c r="O5" i="21"/>
  <c r="O4" i="20"/>
  <c r="K4" i="20"/>
  <c r="K5" i="21"/>
  <c r="G5" i="21"/>
  <c r="C5" i="21"/>
  <c r="C4" i="20"/>
  <c r="C4" i="24" s="1"/>
  <c r="I27" i="21"/>
  <c r="C27" i="21"/>
  <c r="G25" i="21"/>
  <c r="P24" i="21"/>
  <c r="E23" i="21"/>
  <c r="N22" i="21"/>
  <c r="C21" i="21"/>
  <c r="L20" i="21"/>
  <c r="L14" i="21"/>
  <c r="H10" i="21"/>
  <c r="K29" i="22"/>
  <c r="O21" i="25"/>
  <c r="O21" i="28" s="1"/>
  <c r="O19" i="22"/>
  <c r="K21" i="25"/>
  <c r="K19" i="22"/>
  <c r="N20" i="25"/>
  <c r="N19" i="22"/>
  <c r="J20" i="25"/>
  <c r="J20" i="28" s="1"/>
  <c r="J19" i="22"/>
  <c r="F20" i="25"/>
  <c r="F19" i="22"/>
  <c r="Q19" i="22"/>
  <c r="C19" i="22"/>
  <c r="N18" i="25"/>
  <c r="N18" i="28" s="1"/>
  <c r="N16" i="22"/>
  <c r="M17" i="25"/>
  <c r="M16" i="22"/>
  <c r="I17" i="25"/>
  <c r="E17" i="25"/>
  <c r="I10" i="25"/>
  <c r="K8" i="25"/>
  <c r="C8" i="25"/>
  <c r="I4" i="22"/>
  <c r="E6" i="25"/>
  <c r="E6" i="28" s="1"/>
  <c r="J4" i="22"/>
  <c r="P11" i="26"/>
  <c r="J13" i="27"/>
  <c r="L20" i="25"/>
  <c r="Q17" i="25"/>
  <c r="F51" i="39"/>
  <c r="L17" i="25"/>
  <c r="L16" i="18"/>
  <c r="L16" i="25" s="1"/>
  <c r="J28" i="26"/>
  <c r="P25" i="26"/>
  <c r="O24" i="26"/>
  <c r="K19" i="19"/>
  <c r="Q16" i="19"/>
  <c r="Q16" i="23" s="1"/>
  <c r="Q17" i="21"/>
  <c r="M16" i="19"/>
  <c r="I16" i="19"/>
  <c r="E16" i="19"/>
  <c r="E16" i="23" s="1"/>
  <c r="K17" i="21"/>
  <c r="K16" i="20"/>
  <c r="C16" i="20"/>
  <c r="C16" i="24" s="1"/>
  <c r="N15" i="21"/>
  <c r="J15" i="21"/>
  <c r="F15" i="21"/>
  <c r="Q14" i="21"/>
  <c r="M14" i="21"/>
  <c r="M14" i="27"/>
  <c r="I14" i="21"/>
  <c r="E14" i="21"/>
  <c r="P13" i="21"/>
  <c r="L13" i="21"/>
  <c r="H13" i="21"/>
  <c r="D13" i="21"/>
  <c r="O12" i="21"/>
  <c r="K12" i="21"/>
  <c r="G12" i="21"/>
  <c r="C12" i="21"/>
  <c r="N11" i="21"/>
  <c r="J11" i="21"/>
  <c r="F11" i="21"/>
  <c r="Q10" i="21"/>
  <c r="M10" i="21"/>
  <c r="M10" i="27"/>
  <c r="I10" i="21"/>
  <c r="E10" i="27"/>
  <c r="E10" i="21"/>
  <c r="P9" i="21"/>
  <c r="L9" i="21"/>
  <c r="H9" i="21"/>
  <c r="D9" i="27"/>
  <c r="D9" i="21"/>
  <c r="O8" i="21"/>
  <c r="K8" i="21"/>
  <c r="G8" i="21"/>
  <c r="C8" i="21"/>
  <c r="N7" i="21"/>
  <c r="J7" i="21"/>
  <c r="F7" i="21"/>
  <c r="Q6" i="27"/>
  <c r="Q6" i="21"/>
  <c r="Q4" i="20"/>
  <c r="M6" i="21"/>
  <c r="I6" i="21"/>
  <c r="E6" i="21"/>
  <c r="E6" i="27"/>
  <c r="P5" i="27"/>
  <c r="P5" i="21"/>
  <c r="P4" i="20"/>
  <c r="L5" i="21"/>
  <c r="L4" i="20"/>
  <c r="H5" i="21"/>
  <c r="H4" i="20"/>
  <c r="D5" i="21"/>
  <c r="D4" i="20"/>
  <c r="M4" i="20"/>
  <c r="E4" i="20"/>
  <c r="E4" i="24" s="1"/>
  <c r="N33" i="21"/>
  <c r="P31" i="21"/>
  <c r="C30" i="21"/>
  <c r="D18" i="21"/>
  <c r="M17" i="21"/>
  <c r="E17" i="21"/>
  <c r="G15" i="21"/>
  <c r="C11" i="21"/>
  <c r="H17" i="25"/>
  <c r="P10" i="28"/>
  <c r="C5" i="25"/>
  <c r="C4" i="22"/>
  <c r="K4" i="22"/>
  <c r="E4" i="22"/>
  <c r="G26" i="26"/>
  <c r="E13" i="26"/>
  <c r="P8" i="26"/>
  <c r="L18" i="27"/>
  <c r="E14" i="27"/>
  <c r="L5" i="27"/>
  <c r="M9" i="32"/>
  <c r="M10" i="32"/>
  <c r="E10" i="32"/>
  <c r="E9" i="32"/>
  <c r="N8" i="35"/>
  <c r="O10" i="35"/>
  <c r="N10" i="35"/>
  <c r="J8" i="35"/>
  <c r="J10" i="35"/>
  <c r="K10" i="35"/>
  <c r="F8" i="35"/>
  <c r="G10" i="35"/>
  <c r="F10" i="35"/>
  <c r="N8" i="34"/>
  <c r="O10" i="34"/>
  <c r="N10" i="34"/>
  <c r="K10" i="34"/>
  <c r="J8" i="34"/>
  <c r="J10" i="34"/>
  <c r="F8" i="34"/>
  <c r="G10" i="34"/>
  <c r="B8" i="34"/>
  <c r="C10" i="34"/>
  <c r="J8" i="33"/>
  <c r="K10" i="33"/>
  <c r="F8" i="33"/>
  <c r="G10" i="33"/>
  <c r="B8" i="33"/>
  <c r="C10" i="33"/>
  <c r="N10" i="32"/>
  <c r="N8" i="32"/>
  <c r="O10" i="32"/>
  <c r="J8" i="32"/>
  <c r="J10" i="32"/>
  <c r="G10" i="32"/>
  <c r="F10" i="32"/>
  <c r="N8" i="31"/>
  <c r="N10" i="31"/>
  <c r="O10" i="31"/>
  <c r="K10" i="31"/>
  <c r="J8" i="31"/>
  <c r="J10" i="31"/>
  <c r="F8" i="31"/>
  <c r="F10" i="31"/>
  <c r="G10" i="31"/>
  <c r="O10" i="30"/>
  <c r="N8" i="30"/>
  <c r="N10" i="30"/>
  <c r="J8" i="30"/>
  <c r="K10" i="30"/>
  <c r="J10" i="30"/>
  <c r="G10" i="30"/>
  <c r="F8" i="30"/>
  <c r="C10" i="30"/>
  <c r="F5" i="30"/>
  <c r="B5" i="30"/>
  <c r="B11" i="29"/>
  <c r="B8" i="30"/>
  <c r="D19" i="18"/>
  <c r="Q15" i="18"/>
  <c r="M15" i="18"/>
  <c r="M5" i="25"/>
  <c r="M5" i="28" s="1"/>
  <c r="M4" i="18"/>
  <c r="M3" i="18" s="1"/>
  <c r="I15" i="18"/>
  <c r="I5" i="25"/>
  <c r="E15" i="18"/>
  <c r="E5" i="25"/>
  <c r="E5" i="28" s="1"/>
  <c r="I4" i="18"/>
  <c r="I3" i="18" s="1"/>
  <c r="E31" i="26"/>
  <c r="P30" i="26"/>
  <c r="L29" i="19"/>
  <c r="J14" i="26"/>
  <c r="P12" i="26"/>
  <c r="F10" i="26"/>
  <c r="M9" i="26"/>
  <c r="E9" i="26"/>
  <c r="D8" i="26"/>
  <c r="Q4" i="19"/>
  <c r="M4" i="19"/>
  <c r="I4" i="19"/>
  <c r="E4" i="19"/>
  <c r="E5" i="21"/>
  <c r="O4" i="19"/>
  <c r="J33" i="27"/>
  <c r="J33" i="21"/>
  <c r="H31" i="21"/>
  <c r="D31" i="27"/>
  <c r="K29" i="20"/>
  <c r="K29" i="24" s="1"/>
  <c r="N27" i="21"/>
  <c r="J27" i="21"/>
  <c r="J28" i="27"/>
  <c r="F27" i="21"/>
  <c r="Q26" i="21"/>
  <c r="M26" i="21"/>
  <c r="I26" i="21"/>
  <c r="E26" i="27"/>
  <c r="E26" i="21"/>
  <c r="P25" i="21"/>
  <c r="P25" i="27"/>
  <c r="L25" i="21"/>
  <c r="H25" i="21"/>
  <c r="D25" i="21"/>
  <c r="O24" i="21"/>
  <c r="K24" i="21"/>
  <c r="G24" i="21"/>
  <c r="C24" i="21"/>
  <c r="N23" i="21"/>
  <c r="J23" i="21"/>
  <c r="J23" i="27"/>
  <c r="F23" i="21"/>
  <c r="Q22" i="21"/>
  <c r="M22" i="21"/>
  <c r="I22" i="21"/>
  <c r="E22" i="21"/>
  <c r="P21" i="27"/>
  <c r="P21" i="21"/>
  <c r="P19" i="20"/>
  <c r="L21" i="21"/>
  <c r="L21" i="27"/>
  <c r="H21" i="21"/>
  <c r="D21" i="21"/>
  <c r="D21" i="27"/>
  <c r="O20" i="21"/>
  <c r="O19" i="20"/>
  <c r="K20" i="21"/>
  <c r="K19" i="20"/>
  <c r="G20" i="21"/>
  <c r="G19" i="20"/>
  <c r="C20" i="21"/>
  <c r="C19" i="20"/>
  <c r="C19" i="24" s="1"/>
  <c r="L19" i="20"/>
  <c r="D19" i="20"/>
  <c r="G16" i="20"/>
  <c r="E12" i="27"/>
  <c r="P7" i="27"/>
  <c r="J5" i="27"/>
  <c r="I4" i="20"/>
  <c r="L31" i="21"/>
  <c r="H18" i="21"/>
  <c r="O17" i="21"/>
  <c r="I17" i="21"/>
  <c r="K15" i="21"/>
  <c r="C15" i="21"/>
  <c r="G11" i="21"/>
  <c r="N10" i="21"/>
  <c r="C7" i="21"/>
  <c r="J6" i="21"/>
  <c r="I30" i="25"/>
  <c r="I29" i="22"/>
  <c r="I29" i="25" s="1"/>
  <c r="O24" i="25"/>
  <c r="N23" i="25"/>
  <c r="M22" i="25"/>
  <c r="M22" i="28" s="1"/>
  <c r="L21" i="25"/>
  <c r="K20" i="25"/>
  <c r="F10" i="25"/>
  <c r="E9" i="25"/>
  <c r="D8" i="25"/>
  <c r="C7" i="25"/>
  <c r="Q5" i="25"/>
  <c r="O4" i="22"/>
  <c r="G4" i="22"/>
  <c r="P28" i="26"/>
  <c r="O24" i="27"/>
  <c r="E24" i="27"/>
  <c r="P9" i="27"/>
  <c r="N29" i="8"/>
  <c r="N29" i="12" s="1"/>
  <c r="J29" i="8"/>
  <c r="F29" i="8"/>
  <c r="B29" i="8"/>
  <c r="N19" i="8"/>
  <c r="J19" i="8"/>
  <c r="J19" i="12" s="1"/>
  <c r="F19" i="8"/>
  <c r="B19" i="8"/>
  <c r="N16" i="8"/>
  <c r="J16" i="8"/>
  <c r="J16" i="12" s="1"/>
  <c r="F16" i="8"/>
  <c r="F16" i="12" s="1"/>
  <c r="B16" i="8"/>
  <c r="N4" i="8"/>
  <c r="J4" i="8"/>
  <c r="F4" i="8"/>
  <c r="B4" i="8"/>
  <c r="O29" i="9"/>
  <c r="K29" i="9"/>
  <c r="G29" i="9"/>
  <c r="C29" i="9"/>
  <c r="O19" i="9"/>
  <c r="K19" i="9"/>
  <c r="K19" i="13" s="1"/>
  <c r="G19" i="9"/>
  <c r="C19" i="9"/>
  <c r="O16" i="9"/>
  <c r="K16" i="9"/>
  <c r="K16" i="13" s="1"/>
  <c r="G16" i="9"/>
  <c r="C16" i="9"/>
  <c r="C4" i="9"/>
  <c r="E29" i="11"/>
  <c r="E19" i="11"/>
  <c r="E16" i="11"/>
  <c r="E4" i="11"/>
  <c r="E29" i="18"/>
  <c r="Q19" i="18"/>
  <c r="M19" i="18"/>
  <c r="I19" i="18"/>
  <c r="E19" i="18"/>
  <c r="N16" i="18"/>
  <c r="J16" i="18"/>
  <c r="F16" i="18"/>
  <c r="F19" i="19"/>
  <c r="G16" i="19"/>
  <c r="J12" i="26"/>
  <c r="G4" i="19"/>
  <c r="E33" i="27"/>
  <c r="P32" i="27"/>
  <c r="D32" i="27"/>
  <c r="K31" i="27"/>
  <c r="J30" i="27"/>
  <c r="F29" i="20"/>
  <c r="F29" i="24" s="1"/>
  <c r="P28" i="27"/>
  <c r="D28" i="27"/>
  <c r="K26" i="27"/>
  <c r="J25" i="27"/>
  <c r="G22" i="27"/>
  <c r="E20" i="27"/>
  <c r="E19" i="20"/>
  <c r="F16" i="20"/>
  <c r="J9" i="27"/>
  <c r="F4" i="20"/>
  <c r="E33" i="21"/>
  <c r="D32" i="21"/>
  <c r="C31" i="21"/>
  <c r="P27" i="21"/>
  <c r="O26" i="21"/>
  <c r="K22" i="21"/>
  <c r="G18" i="21"/>
  <c r="C14" i="21"/>
  <c r="N9" i="21"/>
  <c r="J5" i="21"/>
  <c r="N32" i="25"/>
  <c r="J32" i="25"/>
  <c r="J32" i="28" s="1"/>
  <c r="F32" i="25"/>
  <c r="Q31" i="25"/>
  <c r="M31" i="25"/>
  <c r="M31" i="28" s="1"/>
  <c r="I31" i="25"/>
  <c r="E31" i="25"/>
  <c r="E31" i="28" s="1"/>
  <c r="P30" i="25"/>
  <c r="P30" i="28" s="1"/>
  <c r="L30" i="25"/>
  <c r="H30" i="25"/>
  <c r="D30" i="25"/>
  <c r="D29" i="22"/>
  <c r="I24" i="25"/>
  <c r="H23" i="25"/>
  <c r="G22" i="25"/>
  <c r="F21" i="25"/>
  <c r="E20" i="25"/>
  <c r="E20" i="28" s="1"/>
  <c r="E19" i="22"/>
  <c r="O17" i="25"/>
  <c r="O16" i="22"/>
  <c r="K17" i="25"/>
  <c r="K17" i="28" s="1"/>
  <c r="K16" i="22"/>
  <c r="G17" i="25"/>
  <c r="G16" i="22"/>
  <c r="C17" i="25"/>
  <c r="C16" i="22"/>
  <c r="H16" i="22"/>
  <c r="Q10" i="25"/>
  <c r="P9" i="25"/>
  <c r="P9" i="28" s="1"/>
  <c r="O8" i="25"/>
  <c r="N7" i="25"/>
  <c r="M6" i="25"/>
  <c r="M6" i="28" s="1"/>
  <c r="P4" i="22"/>
  <c r="L5" i="25"/>
  <c r="L4" i="22"/>
  <c r="H4" i="22"/>
  <c r="D4" i="22"/>
  <c r="E20" i="26"/>
  <c r="B3" i="29"/>
  <c r="N3" i="30"/>
  <c r="J26" i="27"/>
  <c r="E25" i="27"/>
  <c r="P24" i="27"/>
  <c r="D24" i="27"/>
  <c r="K23" i="27"/>
  <c r="J22" i="27"/>
  <c r="E21" i="27"/>
  <c r="P20" i="27"/>
  <c r="L20" i="27"/>
  <c r="D20" i="27"/>
  <c r="J18" i="27"/>
  <c r="M17" i="27"/>
  <c r="E17" i="27"/>
  <c r="J14" i="27"/>
  <c r="E13" i="27"/>
  <c r="P12" i="27"/>
  <c r="D12" i="27"/>
  <c r="K11" i="27"/>
  <c r="J10" i="27"/>
  <c r="E9" i="27"/>
  <c r="P8" i="27"/>
  <c r="D8" i="27"/>
  <c r="O7" i="27"/>
  <c r="G7" i="27"/>
  <c r="J6" i="27"/>
  <c r="M5" i="27"/>
  <c r="I5" i="27"/>
  <c r="E5" i="27"/>
  <c r="G28" i="27"/>
  <c r="E9" i="35"/>
  <c r="E10" i="35"/>
  <c r="Q9" i="31"/>
  <c r="Q10" i="31"/>
  <c r="O8" i="35"/>
  <c r="P10" i="35"/>
  <c r="K8" i="35"/>
  <c r="L10" i="35"/>
  <c r="G8" i="35"/>
  <c r="H10" i="35"/>
  <c r="C8" i="35"/>
  <c r="D10" i="35"/>
  <c r="C8" i="34"/>
  <c r="D10" i="34"/>
  <c r="G8" i="33"/>
  <c r="H10" i="33"/>
  <c r="K8" i="32"/>
  <c r="L10" i="32"/>
  <c r="O8" i="31"/>
  <c r="P10" i="31"/>
  <c r="K8" i="31"/>
  <c r="L10" i="31"/>
  <c r="G8" i="31"/>
  <c r="C8" i="31"/>
  <c r="O8" i="30"/>
  <c r="P53" i="38"/>
  <c r="P40" i="37"/>
  <c r="L53" i="38"/>
  <c r="L40" i="37"/>
  <c r="L53" i="37"/>
  <c r="H53" i="38"/>
  <c r="H40" i="37"/>
  <c r="D53" i="38"/>
  <c r="D40" i="37"/>
  <c r="D53" i="37"/>
  <c r="P52" i="38"/>
  <c r="P39" i="37"/>
  <c r="L52" i="38"/>
  <c r="L39" i="37"/>
  <c r="L52" i="37"/>
  <c r="H52" i="38"/>
  <c r="H39" i="37"/>
  <c r="D52" i="38"/>
  <c r="D39" i="37"/>
  <c r="D52" i="37"/>
  <c r="P51" i="38"/>
  <c r="P51" i="39"/>
  <c r="P38" i="37"/>
  <c r="L51" i="38"/>
  <c r="L51" i="39"/>
  <c r="L38" i="37"/>
  <c r="L51" i="37"/>
  <c r="H51" i="38"/>
  <c r="H51" i="39"/>
  <c r="H38" i="37"/>
  <c r="D51" i="38"/>
  <c r="D51" i="39"/>
  <c r="D38" i="37"/>
  <c r="D51" i="37"/>
  <c r="P50" i="38"/>
  <c r="P50" i="39"/>
  <c r="P37" i="37"/>
  <c r="L50" i="38"/>
  <c r="L50" i="39"/>
  <c r="L37" i="37"/>
  <c r="L50" i="37"/>
  <c r="H50" i="38"/>
  <c r="H50" i="39"/>
  <c r="H37" i="37"/>
  <c r="D50" i="38"/>
  <c r="D50" i="39"/>
  <c r="D37" i="37"/>
  <c r="D50" i="37"/>
  <c r="P49" i="38"/>
  <c r="P49" i="39"/>
  <c r="P36" i="37"/>
  <c r="L49" i="38"/>
  <c r="L49" i="39"/>
  <c r="L36" i="37"/>
  <c r="L49" i="37"/>
  <c r="H49" i="38"/>
  <c r="H49" i="39"/>
  <c r="H36" i="37"/>
  <c r="D49" i="38"/>
  <c r="D49" i="39"/>
  <c r="D36" i="37"/>
  <c r="D49" i="37"/>
  <c r="P48" i="38"/>
  <c r="P48" i="39"/>
  <c r="P35" i="37"/>
  <c r="L48" i="38"/>
  <c r="L48" i="39"/>
  <c r="L35" i="37"/>
  <c r="L48" i="37"/>
  <c r="H48" i="38"/>
  <c r="H48" i="39"/>
  <c r="H35" i="37"/>
  <c r="D48" i="38"/>
  <c r="D48" i="39"/>
  <c r="D35" i="37"/>
  <c r="D48" i="37"/>
  <c r="P47" i="38"/>
  <c r="P34" i="37"/>
  <c r="L47" i="38"/>
  <c r="L34" i="37"/>
  <c r="L47" i="37"/>
  <c r="H47" i="38"/>
  <c r="H34" i="37"/>
  <c r="D47" i="38"/>
  <c r="D34" i="37"/>
  <c r="D47" i="37"/>
  <c r="P46" i="38"/>
  <c r="P46" i="37"/>
  <c r="P33" i="37"/>
  <c r="L46" i="38"/>
  <c r="L46" i="37"/>
  <c r="L33" i="37"/>
  <c r="H46" i="38"/>
  <c r="H46" i="37"/>
  <c r="H33" i="37"/>
  <c r="D46" i="38"/>
  <c r="D33" i="37"/>
  <c r="P45" i="38"/>
  <c r="P45" i="37"/>
  <c r="P32" i="37"/>
  <c r="L45" i="38"/>
  <c r="L45" i="37"/>
  <c r="L32" i="37"/>
  <c r="H45" i="38"/>
  <c r="H45" i="37"/>
  <c r="H32" i="37"/>
  <c r="D45" i="38"/>
  <c r="D32" i="37"/>
  <c r="P44" i="38"/>
  <c r="P44" i="39"/>
  <c r="L44" i="38"/>
  <c r="L44" i="39"/>
  <c r="H44" i="38"/>
  <c r="H44" i="39"/>
  <c r="D44" i="38"/>
  <c r="D44" i="39"/>
  <c r="M31" i="38"/>
  <c r="I31" i="38"/>
  <c r="E31" i="38"/>
  <c r="M8" i="33"/>
  <c r="N10" i="33"/>
  <c r="J10" i="33"/>
  <c r="E8" i="33"/>
  <c r="F10" i="33"/>
  <c r="M3" i="30"/>
  <c r="I3" i="30"/>
  <c r="E3" i="30"/>
  <c r="I44" i="38"/>
  <c r="Q45" i="37"/>
  <c r="Q46" i="37"/>
  <c r="I45" i="37"/>
  <c r="I46" i="37"/>
  <c r="Q53" i="37"/>
  <c r="M53" i="37"/>
  <c r="I53" i="37"/>
  <c r="E53" i="37"/>
  <c r="Q52" i="37"/>
  <c r="M52" i="37"/>
  <c r="I52" i="37"/>
  <c r="E52" i="37"/>
  <c r="Q47" i="37"/>
  <c r="M47" i="37"/>
  <c r="I47" i="37"/>
  <c r="E47" i="37"/>
  <c r="M46" i="37"/>
  <c r="E46" i="37"/>
  <c r="M45" i="37"/>
  <c r="E45" i="37"/>
  <c r="O45" i="37"/>
  <c r="O46" i="37"/>
  <c r="O47" i="37"/>
  <c r="O48" i="37"/>
  <c r="O49" i="37"/>
  <c r="O50" i="37"/>
  <c r="O51" i="37"/>
  <c r="O52" i="37"/>
  <c r="O53" i="37"/>
  <c r="K45" i="37"/>
  <c r="K46" i="37"/>
  <c r="K47" i="37"/>
  <c r="K48" i="37"/>
  <c r="K49" i="37"/>
  <c r="K50" i="37"/>
  <c r="K51" i="37"/>
  <c r="K52" i="37"/>
  <c r="K53" i="37"/>
  <c r="G45" i="37"/>
  <c r="G46" i="37"/>
  <c r="G47" i="37"/>
  <c r="G48" i="37"/>
  <c r="G49" i="37"/>
  <c r="G50" i="37"/>
  <c r="G51" i="37"/>
  <c r="G52" i="37"/>
  <c r="G53" i="37"/>
  <c r="C45" i="37"/>
  <c r="C46" i="37"/>
  <c r="C47" i="37"/>
  <c r="C48" i="37"/>
  <c r="C49" i="37"/>
  <c r="C50" i="37"/>
  <c r="C51" i="37"/>
  <c r="C52" i="37"/>
  <c r="C53" i="37"/>
  <c r="N45" i="37"/>
  <c r="N46" i="37"/>
  <c r="J45" i="37"/>
  <c r="J46" i="37"/>
  <c r="F45" i="37"/>
  <c r="F46" i="37"/>
  <c r="B45" i="37"/>
  <c r="B46" i="37"/>
  <c r="B47" i="37"/>
  <c r="Q51" i="37"/>
  <c r="M51" i="37"/>
  <c r="I51" i="37"/>
  <c r="E51" i="37"/>
  <c r="Q50" i="37"/>
  <c r="M50" i="37"/>
  <c r="I50" i="37"/>
  <c r="E50" i="37"/>
  <c r="Q49" i="37"/>
  <c r="M49" i="37"/>
  <c r="I49" i="37"/>
  <c r="E49" i="37"/>
  <c r="Q48" i="37"/>
  <c r="M48" i="37"/>
  <c r="I48" i="37"/>
  <c r="E48" i="37"/>
  <c r="J19" i="24" l="1"/>
  <c r="K29" i="12"/>
  <c r="P29" i="25"/>
  <c r="P29" i="28" s="1"/>
  <c r="K29" i="13"/>
  <c r="K16" i="24"/>
  <c r="O4" i="24"/>
  <c r="I29" i="24"/>
  <c r="E19" i="14"/>
  <c r="J29" i="12"/>
  <c r="O4" i="23"/>
  <c r="N19" i="24"/>
  <c r="N19" i="23"/>
  <c r="G16" i="12"/>
  <c r="C4" i="13"/>
  <c r="O4" i="12"/>
  <c r="C16" i="13"/>
  <c r="E4" i="23"/>
  <c r="H4" i="12"/>
  <c r="J29" i="13"/>
  <c r="C4" i="12"/>
  <c r="F4" i="24"/>
  <c r="P29" i="24"/>
  <c r="G19" i="24"/>
  <c r="G19" i="27" s="1"/>
  <c r="P29" i="12"/>
  <c r="H29" i="23"/>
  <c r="H29" i="26" s="1"/>
  <c r="O29" i="13"/>
  <c r="O29" i="16" s="1"/>
  <c r="P19" i="24"/>
  <c r="P19" i="27" s="1"/>
  <c r="J19" i="23"/>
  <c r="J19" i="26" s="1"/>
  <c r="P29" i="13"/>
  <c r="P29" i="16" s="1"/>
  <c r="H29" i="24"/>
  <c r="H29" i="27" s="1"/>
  <c r="G19" i="23"/>
  <c r="G19" i="26" s="1"/>
  <c r="O29" i="23"/>
  <c r="O29" i="26" s="1"/>
  <c r="O29" i="12"/>
  <c r="O29" i="15" s="1"/>
  <c r="C17" i="16"/>
  <c r="E4" i="13"/>
  <c r="P4" i="12"/>
  <c r="O4" i="13"/>
  <c r="O4" i="16" s="1"/>
  <c r="K4" i="24"/>
  <c r="D16" i="13"/>
  <c r="O16" i="24"/>
  <c r="B16" i="13"/>
  <c r="M29" i="24"/>
  <c r="L19" i="24"/>
  <c r="N29" i="13"/>
  <c r="K19" i="12"/>
  <c r="K19" i="15" s="1"/>
  <c r="H29" i="12"/>
  <c r="D16" i="25"/>
  <c r="O29" i="24"/>
  <c r="J4" i="12"/>
  <c r="H4" i="23"/>
  <c r="Q16" i="13"/>
  <c r="O16" i="12"/>
  <c r="N4" i="12"/>
  <c r="N4" i="15" s="1"/>
  <c r="L4" i="23"/>
  <c r="L4" i="26" s="1"/>
  <c r="N29" i="24"/>
  <c r="N29" i="27" s="1"/>
  <c r="D16" i="14"/>
  <c r="D16" i="17" s="1"/>
  <c r="K16" i="12"/>
  <c r="K16" i="15" s="1"/>
  <c r="I29" i="23"/>
  <c r="C19" i="23"/>
  <c r="C19" i="26" s="1"/>
  <c r="F4" i="12"/>
  <c r="E19" i="24"/>
  <c r="E19" i="27" s="1"/>
  <c r="P16" i="25"/>
  <c r="G29" i="12"/>
  <c r="G29" i="13"/>
  <c r="I4" i="23"/>
  <c r="I4" i="26" s="1"/>
  <c r="G16" i="13"/>
  <c r="G16" i="16" s="1"/>
  <c r="N29" i="23"/>
  <c r="C19" i="13"/>
  <c r="K19" i="24"/>
  <c r="K19" i="27" s="1"/>
  <c r="O19" i="23"/>
  <c r="O19" i="26" s="1"/>
  <c r="Q29" i="24"/>
  <c r="G29" i="24"/>
  <c r="G29" i="27" s="1"/>
  <c r="C19" i="12"/>
  <c r="C19" i="15" s="1"/>
  <c r="P16" i="23"/>
  <c r="P16" i="26" s="1"/>
  <c r="M4" i="14"/>
  <c r="O16" i="13"/>
  <c r="O16" i="23"/>
  <c r="O16" i="26" s="1"/>
  <c r="F19" i="12"/>
  <c r="F19" i="15" s="1"/>
  <c r="M16" i="24"/>
  <c r="J4" i="23"/>
  <c r="J4" i="26" s="1"/>
  <c r="P19" i="12"/>
  <c r="P19" i="15" s="1"/>
  <c r="H4" i="24"/>
  <c r="M4" i="12"/>
  <c r="M4" i="15" s="1"/>
  <c r="O19" i="24"/>
  <c r="O19" i="27" s="1"/>
  <c r="P16" i="24"/>
  <c r="P16" i="27" s="1"/>
  <c r="L19" i="13"/>
  <c r="G4" i="23"/>
  <c r="P4" i="24"/>
  <c r="P4" i="27" s="1"/>
  <c r="C29" i="24"/>
  <c r="C29" i="27" s="1"/>
  <c r="G4" i="24"/>
  <c r="I4" i="24"/>
  <c r="C9" i="17"/>
  <c r="C20" i="17"/>
  <c r="C28" i="16"/>
  <c r="C5" i="16"/>
  <c r="C18" i="16"/>
  <c r="C6" i="26"/>
  <c r="C24" i="17"/>
  <c r="C13" i="15"/>
  <c r="C6" i="16"/>
  <c r="C20" i="26"/>
  <c r="C7" i="26"/>
  <c r="C23" i="27"/>
  <c r="C5" i="17"/>
  <c r="C30" i="17"/>
  <c r="M29" i="13"/>
  <c r="D19" i="24"/>
  <c r="D19" i="27" s="1"/>
  <c r="D4" i="24"/>
  <c r="D4" i="27" s="1"/>
  <c r="P19" i="23"/>
  <c r="P19" i="26" s="1"/>
  <c r="N16" i="14"/>
  <c r="D4" i="13"/>
  <c r="D4" i="16" s="1"/>
  <c r="N16" i="12"/>
  <c r="N16" i="15" s="1"/>
  <c r="E16" i="12"/>
  <c r="E16" i="15" s="1"/>
  <c r="I16" i="14"/>
  <c r="I16" i="17" s="1"/>
  <c r="Q4" i="23"/>
  <c r="J29" i="24"/>
  <c r="J29" i="27" s="1"/>
  <c r="P16" i="13"/>
  <c r="P16" i="16" s="1"/>
  <c r="C29" i="12"/>
  <c r="G16" i="24"/>
  <c r="I4" i="12"/>
  <c r="L16" i="13"/>
  <c r="L16" i="16" s="1"/>
  <c r="B29" i="13"/>
  <c r="B29" i="16" s="1"/>
  <c r="L4" i="24"/>
  <c r="Q29" i="23"/>
  <c r="Q29" i="26" s="1"/>
  <c r="G16" i="25"/>
  <c r="G16" i="28" s="1"/>
  <c r="Q4" i="24"/>
  <c r="D4" i="23"/>
  <c r="C29" i="13"/>
  <c r="B29" i="12"/>
  <c r="H19" i="24"/>
  <c r="H19" i="27" s="1"/>
  <c r="Q4" i="12"/>
  <c r="B4" i="14"/>
  <c r="B4" i="17" s="1"/>
  <c r="N19" i="12"/>
  <c r="D29" i="25"/>
  <c r="D29" i="28" s="1"/>
  <c r="F16" i="24"/>
  <c r="D29" i="24"/>
  <c r="D29" i="27" s="1"/>
  <c r="G19" i="14"/>
  <c r="G19" i="17" s="1"/>
  <c r="D29" i="23"/>
  <c r="D29" i="26" s="1"/>
  <c r="I16" i="13"/>
  <c r="I16" i="16" s="1"/>
  <c r="B4" i="13"/>
  <c r="B4" i="16" s="1"/>
  <c r="M4" i="23"/>
  <c r="M4" i="26" s="1"/>
  <c r="B4" i="12"/>
  <c r="B4" i="15" s="1"/>
  <c r="I16" i="23"/>
  <c r="Q4" i="13"/>
  <c r="Q4" i="16" s="1"/>
  <c r="L31" i="39"/>
  <c r="Q31" i="37"/>
  <c r="C28" i="26"/>
  <c r="C10" i="26"/>
  <c r="C21" i="26"/>
  <c r="C8" i="28"/>
  <c r="C11" i="26"/>
  <c r="C21" i="27"/>
  <c r="C30" i="28"/>
  <c r="C9" i="28"/>
  <c r="C9" i="27"/>
  <c r="C22" i="26"/>
  <c r="C11" i="27"/>
  <c r="C33" i="26"/>
  <c r="C5" i="27"/>
  <c r="C12" i="26"/>
  <c r="C24" i="26"/>
  <c r="B114" i="6"/>
  <c r="B144" i="6" s="1"/>
  <c r="C23" i="26"/>
  <c r="C22" i="28"/>
  <c r="C20" i="28"/>
  <c r="C25" i="26"/>
  <c r="C7" i="27"/>
  <c r="C5" i="26"/>
  <c r="C7" i="28"/>
  <c r="C6" i="27"/>
  <c r="C24" i="27"/>
  <c r="C5" i="28"/>
  <c r="C25" i="27"/>
  <c r="C24" i="28"/>
  <c r="C18" i="26"/>
  <c r="C26" i="27"/>
  <c r="C9" i="26"/>
  <c r="C12" i="27"/>
  <c r="C13" i="27"/>
  <c r="C18" i="27"/>
  <c r="C20" i="27"/>
  <c r="C8" i="27"/>
  <c r="C10" i="28"/>
  <c r="C33" i="27"/>
  <c r="C32" i="26"/>
  <c r="C21" i="28"/>
  <c r="C17" i="27"/>
  <c r="C23" i="28"/>
  <c r="C32" i="27"/>
  <c r="C31" i="28"/>
  <c r="C28" i="27"/>
  <c r="C22" i="27"/>
  <c r="C13" i="26"/>
  <c r="C30" i="27"/>
  <c r="C17" i="28"/>
  <c r="C31" i="27"/>
  <c r="C32" i="28"/>
  <c r="C14" i="27"/>
  <c r="C10" i="27"/>
  <c r="C14" i="26"/>
  <c r="C31" i="26"/>
  <c r="C26" i="26"/>
  <c r="C165" i="6"/>
  <c r="C162" i="6"/>
  <c r="C159" i="6"/>
  <c r="C163" i="6"/>
  <c r="C164" i="6"/>
  <c r="C161" i="6"/>
  <c r="C172" i="6"/>
  <c r="C158" i="6"/>
  <c r="C170" i="6"/>
  <c r="C171" i="6"/>
  <c r="C157" i="6"/>
  <c r="C155" i="6"/>
  <c r="C156" i="6"/>
  <c r="C154" i="6"/>
  <c r="C169" i="6"/>
  <c r="C168" i="6"/>
  <c r="C167" i="6"/>
  <c r="C153" i="6"/>
  <c r="C140" i="6"/>
  <c r="C135" i="6"/>
  <c r="C138" i="6"/>
  <c r="C139" i="6"/>
  <c r="C141" i="6"/>
  <c r="C137" i="6"/>
  <c r="C148" i="6"/>
  <c r="C146" i="6"/>
  <c r="C147" i="6"/>
  <c r="C133" i="6"/>
  <c r="C134" i="6"/>
  <c r="C131" i="6"/>
  <c r="C132" i="6"/>
  <c r="C145" i="6"/>
  <c r="C143" i="6"/>
  <c r="C144" i="6"/>
  <c r="C130" i="6"/>
  <c r="C129" i="6"/>
  <c r="M19" i="23"/>
  <c r="F4" i="23"/>
  <c r="F4" i="26" s="1"/>
  <c r="N16" i="23"/>
  <c r="N16" i="26" s="1"/>
  <c r="J4" i="24"/>
  <c r="J4" i="27" s="1"/>
  <c r="H4" i="13"/>
  <c r="H19" i="13"/>
  <c r="H19" i="16" s="1"/>
  <c r="I19" i="24"/>
  <c r="I19" i="27" s="1"/>
  <c r="K16" i="23"/>
  <c r="E29" i="13"/>
  <c r="L16" i="24"/>
  <c r="L16" i="27" s="1"/>
  <c r="M4" i="13"/>
  <c r="M4" i="16" s="1"/>
  <c r="D27" i="13"/>
  <c r="D27" i="16" s="1"/>
  <c r="D27" i="12"/>
  <c r="D27" i="15" s="1"/>
  <c r="M27" i="12"/>
  <c r="M27" i="15" s="1"/>
  <c r="M27" i="13"/>
  <c r="M27" i="16" s="1"/>
  <c r="G16" i="23"/>
  <c r="G16" i="26" s="1"/>
  <c r="M27" i="23"/>
  <c r="M27" i="26" s="1"/>
  <c r="M27" i="24"/>
  <c r="M27" i="27" s="1"/>
  <c r="O19" i="13"/>
  <c r="O19" i="16" s="1"/>
  <c r="E15" i="24"/>
  <c r="E15" i="27" s="1"/>
  <c r="E15" i="23"/>
  <c r="E15" i="26" s="1"/>
  <c r="Q19" i="13"/>
  <c r="Q19" i="16" s="1"/>
  <c r="I29" i="12"/>
  <c r="I29" i="15" s="1"/>
  <c r="D19" i="13"/>
  <c r="D19" i="16" s="1"/>
  <c r="E4" i="12"/>
  <c r="M19" i="12"/>
  <c r="M19" i="15" s="1"/>
  <c r="N27" i="12"/>
  <c r="N27" i="13"/>
  <c r="E29" i="23"/>
  <c r="E29" i="26" s="1"/>
  <c r="N19" i="13"/>
  <c r="N19" i="16" s="1"/>
  <c r="M16" i="12"/>
  <c r="M16" i="15" s="1"/>
  <c r="E29" i="12"/>
  <c r="E29" i="15" s="1"/>
  <c r="P27" i="13"/>
  <c r="P27" i="16" s="1"/>
  <c r="P27" i="12"/>
  <c r="P27" i="15" s="1"/>
  <c r="N27" i="23"/>
  <c r="N27" i="26" s="1"/>
  <c r="N27" i="24"/>
  <c r="N27" i="27" s="1"/>
  <c r="C27" i="12"/>
  <c r="C27" i="15" s="1"/>
  <c r="C27" i="13"/>
  <c r="L19" i="12"/>
  <c r="L19" i="15" s="1"/>
  <c r="I27" i="13"/>
  <c r="I27" i="12"/>
  <c r="I27" i="15" s="1"/>
  <c r="E27" i="12"/>
  <c r="E27" i="13"/>
  <c r="E27" i="16" s="1"/>
  <c r="E19" i="23"/>
  <c r="E19" i="26" s="1"/>
  <c r="D15" i="23"/>
  <c r="D15" i="24"/>
  <c r="D15" i="27" s="1"/>
  <c r="E19" i="13"/>
  <c r="E19" i="16" s="1"/>
  <c r="C16" i="23"/>
  <c r="C16" i="26" s="1"/>
  <c r="F16" i="23"/>
  <c r="F16" i="26" s="1"/>
  <c r="F3" i="19"/>
  <c r="F3" i="23" s="1"/>
  <c r="F3" i="26" s="1"/>
  <c r="F19" i="23"/>
  <c r="F19" i="26" s="1"/>
  <c r="B16" i="10"/>
  <c r="B16" i="12"/>
  <c r="Q27" i="13"/>
  <c r="Q27" i="16" s="1"/>
  <c r="Q27" i="12"/>
  <c r="Q27" i="15" s="1"/>
  <c r="F29" i="12"/>
  <c r="F29" i="15" s="1"/>
  <c r="L29" i="23"/>
  <c r="L29" i="26" s="1"/>
  <c r="I15" i="24"/>
  <c r="I15" i="27" s="1"/>
  <c r="I15" i="23"/>
  <c r="I15" i="26" s="1"/>
  <c r="M4" i="24"/>
  <c r="M4" i="27" s="1"/>
  <c r="I19" i="23"/>
  <c r="I19" i="26" s="1"/>
  <c r="Q19" i="23"/>
  <c r="G15" i="23"/>
  <c r="G15" i="24"/>
  <c r="G15" i="27" s="1"/>
  <c r="H27" i="23"/>
  <c r="H27" i="26" s="1"/>
  <c r="H27" i="24"/>
  <c r="H27" i="27" s="1"/>
  <c r="Q29" i="13"/>
  <c r="I16" i="12"/>
  <c r="I16" i="15" s="1"/>
  <c r="F29" i="13"/>
  <c r="F29" i="16" s="1"/>
  <c r="D29" i="13"/>
  <c r="C4" i="23"/>
  <c r="C4" i="26" s="1"/>
  <c r="K4" i="23"/>
  <c r="K4" i="26" s="1"/>
  <c r="M19" i="13"/>
  <c r="M19" i="16" s="1"/>
  <c r="N4" i="21"/>
  <c r="N4" i="24"/>
  <c r="P4" i="13"/>
  <c r="G29" i="23"/>
  <c r="B19" i="13"/>
  <c r="B19" i="16" s="1"/>
  <c r="K27" i="12"/>
  <c r="K27" i="15" s="1"/>
  <c r="K27" i="13"/>
  <c r="K27" i="16" s="1"/>
  <c r="H15" i="23"/>
  <c r="H15" i="26" s="1"/>
  <c r="H15" i="24"/>
  <c r="L16" i="12"/>
  <c r="L16" i="15" s="1"/>
  <c r="P15" i="23"/>
  <c r="P15" i="26" s="1"/>
  <c r="P15" i="24"/>
  <c r="P15" i="27" s="1"/>
  <c r="M29" i="12"/>
  <c r="M29" i="15" s="1"/>
  <c r="H16" i="12"/>
  <c r="H16" i="15" s="1"/>
  <c r="J15" i="24"/>
  <c r="J15" i="27" s="1"/>
  <c r="J15" i="23"/>
  <c r="J15" i="26" s="1"/>
  <c r="L27" i="23"/>
  <c r="L27" i="26" s="1"/>
  <c r="L27" i="24"/>
  <c r="L27" i="27" s="1"/>
  <c r="O19" i="12"/>
  <c r="G27" i="24"/>
  <c r="G27" i="27" s="1"/>
  <c r="G27" i="23"/>
  <c r="G27" i="26" s="1"/>
  <c r="L4" i="13"/>
  <c r="K4" i="12"/>
  <c r="K4" i="15" s="1"/>
  <c r="P4" i="23"/>
  <c r="P4" i="26" s="1"/>
  <c r="K29" i="23"/>
  <c r="G4" i="12"/>
  <c r="G4" i="15" s="1"/>
  <c r="B47" i="6"/>
  <c r="B58" i="6" s="1"/>
  <c r="B100" i="6"/>
  <c r="B121" i="6" s="1"/>
  <c r="O15" i="23"/>
  <c r="O15" i="26" s="1"/>
  <c r="O15" i="24"/>
  <c r="O15" i="27" s="1"/>
  <c r="E29" i="24"/>
  <c r="E29" i="27" s="1"/>
  <c r="K27" i="23"/>
  <c r="K27" i="24"/>
  <c r="K27" i="27" s="1"/>
  <c r="B27" i="12"/>
  <c r="B27" i="15" s="1"/>
  <c r="B27" i="13"/>
  <c r="B27" i="16" s="1"/>
  <c r="Q19" i="24"/>
  <c r="Q19" i="27" s="1"/>
  <c r="K15" i="23"/>
  <c r="K15" i="24"/>
  <c r="K15" i="27" s="1"/>
  <c r="P27" i="23"/>
  <c r="P27" i="26" s="1"/>
  <c r="P27" i="24"/>
  <c r="P27" i="27" s="1"/>
  <c r="P16" i="12"/>
  <c r="F4" i="13"/>
  <c r="F4" i="16" s="1"/>
  <c r="L29" i="13"/>
  <c r="L29" i="16" s="1"/>
  <c r="L15" i="23"/>
  <c r="L15" i="26" s="1"/>
  <c r="L15" i="24"/>
  <c r="J27" i="12"/>
  <c r="J27" i="15" s="1"/>
  <c r="J27" i="13"/>
  <c r="J27" i="16" s="1"/>
  <c r="E16" i="24"/>
  <c r="E16" i="27" s="1"/>
  <c r="D16" i="12"/>
  <c r="D16" i="15" s="1"/>
  <c r="M15" i="23"/>
  <c r="M15" i="26" s="1"/>
  <c r="M15" i="24"/>
  <c r="M15" i="27" s="1"/>
  <c r="D19" i="23"/>
  <c r="N15" i="23"/>
  <c r="N15" i="26" s="1"/>
  <c r="N15" i="24"/>
  <c r="N15" i="27" s="1"/>
  <c r="F27" i="23"/>
  <c r="F27" i="26" s="1"/>
  <c r="F27" i="24"/>
  <c r="F27" i="27" s="1"/>
  <c r="C29" i="23"/>
  <c r="C29" i="26" s="1"/>
  <c r="J16" i="23"/>
  <c r="J16" i="26" s="1"/>
  <c r="G4" i="13"/>
  <c r="G4" i="16" s="1"/>
  <c r="N4" i="23"/>
  <c r="N4" i="26" s="1"/>
  <c r="H19" i="12"/>
  <c r="H19" i="15" s="1"/>
  <c r="L4" i="12"/>
  <c r="L4" i="15" s="1"/>
  <c r="I16" i="24"/>
  <c r="I16" i="27" s="1"/>
  <c r="H16" i="13"/>
  <c r="H16" i="16" s="1"/>
  <c r="L29" i="12"/>
  <c r="L29" i="15" s="1"/>
  <c r="M19" i="21"/>
  <c r="M19" i="24"/>
  <c r="M19" i="27" s="1"/>
  <c r="E27" i="23"/>
  <c r="E27" i="26" s="1"/>
  <c r="E27" i="24"/>
  <c r="E27" i="27" s="1"/>
  <c r="G19" i="13"/>
  <c r="G19" i="16" s="1"/>
  <c r="Q15" i="23"/>
  <c r="Q15" i="26" s="1"/>
  <c r="Q15" i="24"/>
  <c r="Q15" i="27" s="1"/>
  <c r="M16" i="23"/>
  <c r="M16" i="26" s="1"/>
  <c r="H19" i="23"/>
  <c r="O27" i="24"/>
  <c r="O27" i="27" s="1"/>
  <c r="O27" i="23"/>
  <c r="O27" i="26" s="1"/>
  <c r="Q19" i="12"/>
  <c r="Q19" i="15" s="1"/>
  <c r="J27" i="24"/>
  <c r="J27" i="27" s="1"/>
  <c r="J27" i="23"/>
  <c r="N4" i="13"/>
  <c r="N4" i="16" s="1"/>
  <c r="Q16" i="12"/>
  <c r="Q16" i="15" s="1"/>
  <c r="L27" i="13"/>
  <c r="L27" i="12"/>
  <c r="L27" i="15" s="1"/>
  <c r="K4" i="13"/>
  <c r="K4" i="16" s="1"/>
  <c r="I29" i="13"/>
  <c r="I29" i="16" s="1"/>
  <c r="J16" i="24"/>
  <c r="J16" i="27" s="1"/>
  <c r="H29" i="13"/>
  <c r="H29" i="16" s="1"/>
  <c r="Q27" i="23"/>
  <c r="Q27" i="26" s="1"/>
  <c r="Q27" i="24"/>
  <c r="Q27" i="27" s="1"/>
  <c r="K19" i="23"/>
  <c r="K19" i="26" s="1"/>
  <c r="F15" i="23"/>
  <c r="F15" i="26" s="1"/>
  <c r="F15" i="24"/>
  <c r="F15" i="27" s="1"/>
  <c r="G27" i="13"/>
  <c r="G27" i="16" s="1"/>
  <c r="G27" i="12"/>
  <c r="G27" i="15" s="1"/>
  <c r="O27" i="13"/>
  <c r="O27" i="16" s="1"/>
  <c r="O27" i="12"/>
  <c r="O27" i="15" s="1"/>
  <c r="B19" i="12"/>
  <c r="I27" i="23"/>
  <c r="I27" i="24"/>
  <c r="I27" i="27" s="1"/>
  <c r="D27" i="23"/>
  <c r="D27" i="26" s="1"/>
  <c r="D27" i="24"/>
  <c r="L29" i="24"/>
  <c r="L29" i="27" s="1"/>
  <c r="L19" i="23"/>
  <c r="L19" i="26" s="1"/>
  <c r="C15" i="24"/>
  <c r="C15" i="27" s="1"/>
  <c r="C15" i="23"/>
  <c r="F27" i="13"/>
  <c r="F27" i="16" s="1"/>
  <c r="F27" i="12"/>
  <c r="F27" i="15" s="1"/>
  <c r="F19" i="13"/>
  <c r="F19" i="16" s="1"/>
  <c r="Q29" i="12"/>
  <c r="Q29" i="15" s="1"/>
  <c r="H27" i="13"/>
  <c r="H27" i="16" s="1"/>
  <c r="H27" i="12"/>
  <c r="H27" i="15" s="1"/>
  <c r="C27" i="24"/>
  <c r="C27" i="27" s="1"/>
  <c r="C27" i="23"/>
  <c r="C27" i="26" s="1"/>
  <c r="L16" i="23"/>
  <c r="L16" i="26" s="1"/>
  <c r="M16" i="13"/>
  <c r="M16" i="16" s="1"/>
  <c r="F19" i="24"/>
  <c r="F19" i="27" s="1"/>
  <c r="E16" i="13"/>
  <c r="E16" i="16" s="1"/>
  <c r="N16" i="21"/>
  <c r="N16" i="24"/>
  <c r="N16" i="27" s="1"/>
  <c r="D4" i="12"/>
  <c r="D4" i="15" s="1"/>
  <c r="D29" i="12"/>
  <c r="D29" i="15" s="1"/>
  <c r="G19" i="12"/>
  <c r="G19" i="15" s="1"/>
  <c r="D19" i="12"/>
  <c r="D19" i="15" s="1"/>
  <c r="M31" i="39"/>
  <c r="M31" i="37"/>
  <c r="N19" i="25"/>
  <c r="C16" i="25"/>
  <c r="C16" i="28" s="1"/>
  <c r="C19" i="14"/>
  <c r="C19" i="17" s="1"/>
  <c r="J6" i="15"/>
  <c r="J8" i="15"/>
  <c r="J10" i="15"/>
  <c r="J12" i="15"/>
  <c r="J14" i="15"/>
  <c r="N9" i="26"/>
  <c r="N21" i="27"/>
  <c r="N33" i="27"/>
  <c r="J5" i="15"/>
  <c r="J7" i="15"/>
  <c r="J9" i="15"/>
  <c r="J11" i="15"/>
  <c r="J13" i="15"/>
  <c r="J15" i="15"/>
  <c r="N23" i="26"/>
  <c r="N10" i="26"/>
  <c r="Q31" i="26"/>
  <c r="N30" i="27"/>
  <c r="Q18" i="27"/>
  <c r="Q5" i="27"/>
  <c r="N14" i="27"/>
  <c r="Q25" i="27"/>
  <c r="O17" i="28"/>
  <c r="O24" i="28"/>
  <c r="O25" i="26"/>
  <c r="O6" i="26"/>
  <c r="O17" i="26"/>
  <c r="F24" i="28"/>
  <c r="I28" i="26"/>
  <c r="O25" i="27"/>
  <c r="I20" i="26"/>
  <c r="O23" i="27"/>
  <c r="I29" i="28"/>
  <c r="F32" i="26"/>
  <c r="O8" i="26"/>
  <c r="F6" i="26"/>
  <c r="O30" i="27"/>
  <c r="O33" i="27"/>
  <c r="O14" i="26"/>
  <c r="I18" i="26"/>
  <c r="O30" i="28"/>
  <c r="F21" i="28"/>
  <c r="F10" i="28"/>
  <c r="O32" i="26"/>
  <c r="O20" i="26"/>
  <c r="O12" i="26"/>
  <c r="O8" i="28"/>
  <c r="O7" i="26"/>
  <c r="I24" i="28"/>
  <c r="O16" i="27"/>
  <c r="O18" i="27"/>
  <c r="O10" i="26"/>
  <c r="F8" i="26"/>
  <c r="Q9" i="27"/>
  <c r="Q17" i="27"/>
  <c r="Q10" i="28"/>
  <c r="Q31" i="28"/>
  <c r="N23" i="27"/>
  <c r="N28" i="27"/>
  <c r="Q13" i="26"/>
  <c r="N28" i="26"/>
  <c r="N20" i="28"/>
  <c r="Q23" i="28"/>
  <c r="N8" i="27"/>
  <c r="N11" i="26"/>
  <c r="N5" i="27"/>
  <c r="Q32" i="28"/>
  <c r="Q5" i="28"/>
  <c r="N23" i="28"/>
  <c r="Q11" i="27"/>
  <c r="Q14" i="26"/>
  <c r="N5" i="28"/>
  <c r="N13" i="26"/>
  <c r="N30" i="28"/>
  <c r="N18" i="27"/>
  <c r="Q21" i="27"/>
  <c r="N32" i="28"/>
  <c r="Q22" i="27"/>
  <c r="H30" i="26"/>
  <c r="Q9" i="28"/>
  <c r="N20" i="27"/>
  <c r="Q30" i="27"/>
  <c r="N22" i="26"/>
  <c r="N24" i="28"/>
  <c r="N14" i="26"/>
  <c r="N12" i="27"/>
  <c r="N17" i="27"/>
  <c r="N10" i="27"/>
  <c r="N11" i="27"/>
  <c r="Q8" i="28"/>
  <c r="N26" i="27"/>
  <c r="N7" i="28"/>
  <c r="Q17" i="26"/>
  <c r="N9" i="27"/>
  <c r="N32" i="26"/>
  <c r="Q10" i="27"/>
  <c r="Q14" i="27"/>
  <c r="N18" i="26"/>
  <c r="Q26" i="26"/>
  <c r="N24" i="27"/>
  <c r="N7" i="26"/>
  <c r="N22" i="27"/>
  <c r="Q33" i="27"/>
  <c r="Q7" i="27"/>
  <c r="Q10" i="26"/>
  <c r="Q25" i="26"/>
  <c r="N32" i="27"/>
  <c r="Q13" i="27"/>
  <c r="N13" i="27"/>
  <c r="Q17" i="28"/>
  <c r="N19" i="28"/>
  <c r="Q23" i="27"/>
  <c r="Q28" i="27"/>
  <c r="N5" i="26"/>
  <c r="Q8" i="26"/>
  <c r="O26" i="26"/>
  <c r="K9" i="17"/>
  <c r="L24" i="16"/>
  <c r="L24" i="15"/>
  <c r="K20" i="16"/>
  <c r="K22" i="16"/>
  <c r="K24" i="16"/>
  <c r="K26" i="16"/>
  <c r="L11" i="15"/>
  <c r="L10" i="17"/>
  <c r="L33" i="15"/>
  <c r="L18" i="15"/>
  <c r="L5" i="16"/>
  <c r="L25" i="15"/>
  <c r="L8" i="17"/>
  <c r="L6" i="16"/>
  <c r="L7" i="16"/>
  <c r="L12" i="16"/>
  <c r="L26" i="16"/>
  <c r="L30" i="16"/>
  <c r="L31" i="16"/>
  <c r="L22" i="17"/>
  <c r="O23" i="17"/>
  <c r="K20" i="17"/>
  <c r="L21" i="17"/>
  <c r="L13" i="16"/>
  <c r="K9" i="16"/>
  <c r="K11" i="16"/>
  <c r="K13" i="16"/>
  <c r="K15" i="16"/>
  <c r="K31" i="16"/>
  <c r="K33" i="16"/>
  <c r="K7" i="17"/>
  <c r="K17" i="17"/>
  <c r="K32" i="17"/>
  <c r="L7" i="15"/>
  <c r="L6" i="17"/>
  <c r="L26" i="15"/>
  <c r="L14" i="15"/>
  <c r="K28" i="16"/>
  <c r="K17" i="16"/>
  <c r="L9" i="16"/>
  <c r="L25" i="16"/>
  <c r="L20" i="17"/>
  <c r="L12" i="15"/>
  <c r="K18" i="16"/>
  <c r="K8" i="17"/>
  <c r="L13" i="15"/>
  <c r="L21" i="15"/>
  <c r="L11" i="16"/>
  <c r="L15" i="16"/>
  <c r="L21" i="16"/>
  <c r="L17" i="15"/>
  <c r="L24" i="17"/>
  <c r="L5" i="15"/>
  <c r="L8" i="16"/>
  <c r="K21" i="16"/>
  <c r="K23" i="16"/>
  <c r="K25" i="16"/>
  <c r="L9" i="17"/>
  <c r="L22" i="15"/>
  <c r="L10" i="15"/>
  <c r="L31" i="15"/>
  <c r="O30" i="16"/>
  <c r="O32" i="16"/>
  <c r="O6" i="17"/>
  <c r="O31" i="17"/>
  <c r="O24" i="15"/>
  <c r="E9" i="15"/>
  <c r="O20" i="16"/>
  <c r="O22" i="16"/>
  <c r="O24" i="16"/>
  <c r="O26" i="16"/>
  <c r="O6" i="15"/>
  <c r="O30" i="15"/>
  <c r="O31" i="16"/>
  <c r="O33" i="16"/>
  <c r="O17" i="17"/>
  <c r="O17" i="15"/>
  <c r="O21" i="16"/>
  <c r="O23" i="16"/>
  <c r="O25" i="16"/>
  <c r="O22" i="15"/>
  <c r="Q9" i="26"/>
  <c r="N12" i="26"/>
  <c r="E31" i="37"/>
  <c r="K7" i="28"/>
  <c r="Q8" i="27"/>
  <c r="Q26" i="27"/>
  <c r="N9" i="28"/>
  <c r="N26" i="26"/>
  <c r="Q30" i="28"/>
  <c r="H26" i="27"/>
  <c r="N22" i="28"/>
  <c r="Q23" i="26"/>
  <c r="N21" i="26"/>
  <c r="N31" i="28"/>
  <c r="E29" i="10"/>
  <c r="H17" i="27"/>
  <c r="Q22" i="26"/>
  <c r="N31" i="26"/>
  <c r="Q20" i="27"/>
  <c r="G17" i="27"/>
  <c r="P23" i="27"/>
  <c r="N31" i="27"/>
  <c r="E18" i="27"/>
  <c r="P17" i="28"/>
  <c r="N10" i="28"/>
  <c r="N25" i="27"/>
  <c r="O30" i="26"/>
  <c r="N8" i="28"/>
  <c r="O5" i="26"/>
  <c r="Q7" i="26"/>
  <c r="Q22" i="28"/>
  <c r="O17" i="27"/>
  <c r="P7" i="26"/>
  <c r="H17" i="26"/>
  <c r="N24" i="26"/>
  <c r="Q32" i="27"/>
  <c r="N25" i="26"/>
  <c r="O16" i="25"/>
  <c r="O16" i="28" s="1"/>
  <c r="K19" i="14"/>
  <c r="K19" i="17" s="1"/>
  <c r="H16" i="25"/>
  <c r="H16" i="28" s="1"/>
  <c r="K29" i="14"/>
  <c r="K29" i="17" s="1"/>
  <c r="L16" i="14"/>
  <c r="L16" i="17" s="1"/>
  <c r="I16" i="25"/>
  <c r="I16" i="28" s="1"/>
  <c r="M29" i="14"/>
  <c r="M29" i="17" s="1"/>
  <c r="O19" i="25"/>
  <c r="O19" i="28" s="1"/>
  <c r="K16" i="25"/>
  <c r="K16" i="28" s="1"/>
  <c r="O3" i="9"/>
  <c r="O3" i="13" s="1"/>
  <c r="D16" i="26"/>
  <c r="H4" i="10"/>
  <c r="P29" i="26"/>
  <c r="L19" i="14"/>
  <c r="L19" i="17" s="1"/>
  <c r="C29" i="25"/>
  <c r="C29" i="28" s="1"/>
  <c r="Q29" i="14"/>
  <c r="Q29" i="17" s="1"/>
  <c r="H14" i="26"/>
  <c r="E20" i="16"/>
  <c r="O32" i="17"/>
  <c r="D6" i="26"/>
  <c r="P13" i="27"/>
  <c r="O26" i="27"/>
  <c r="Q12" i="26"/>
  <c r="E30" i="28"/>
  <c r="E3" i="9"/>
  <c r="E3" i="13" s="1"/>
  <c r="I31" i="37"/>
  <c r="F33" i="26"/>
  <c r="Q16" i="14"/>
  <c r="Q16" i="17" s="1"/>
  <c r="G21" i="28"/>
  <c r="Q19" i="14"/>
  <c r="Q19" i="17" s="1"/>
  <c r="O22" i="27"/>
  <c r="H31" i="28"/>
  <c r="L9" i="28"/>
  <c r="E6" i="16"/>
  <c r="I32" i="26"/>
  <c r="E26" i="15"/>
  <c r="D18" i="27"/>
  <c r="M29" i="27"/>
  <c r="Q16" i="25"/>
  <c r="Q16" i="28" s="1"/>
  <c r="E25" i="16"/>
  <c r="E23" i="17"/>
  <c r="E6" i="17"/>
  <c r="E22" i="16"/>
  <c r="E7" i="17"/>
  <c r="E6" i="15"/>
  <c r="E13" i="15"/>
  <c r="E8" i="16"/>
  <c r="E25" i="15"/>
  <c r="I24" i="16"/>
  <c r="I22" i="16"/>
  <c r="I21" i="17"/>
  <c r="I6" i="17"/>
  <c r="I33" i="16"/>
  <c r="I20" i="15"/>
  <c r="I12" i="15"/>
  <c r="I21" i="16"/>
  <c r="I32" i="16"/>
  <c r="I25" i="27"/>
  <c r="I24" i="27"/>
  <c r="I11" i="26"/>
  <c r="I20" i="17"/>
  <c r="E8" i="17"/>
  <c r="E31" i="17"/>
  <c r="G21" i="16"/>
  <c r="G24" i="16"/>
  <c r="G26" i="16"/>
  <c r="I31" i="17"/>
  <c r="E23" i="16"/>
  <c r="E5" i="15"/>
  <c r="I6" i="16"/>
  <c r="I7" i="16"/>
  <c r="I26" i="15"/>
  <c r="I23" i="16"/>
  <c r="M25" i="27"/>
  <c r="I20" i="27"/>
  <c r="M31" i="26"/>
  <c r="I5" i="28"/>
  <c r="I10" i="27"/>
  <c r="H13" i="27"/>
  <c r="Q16" i="26"/>
  <c r="I32" i="27"/>
  <c r="I10" i="28"/>
  <c r="M17" i="28"/>
  <c r="I18" i="27"/>
  <c r="E9" i="17"/>
  <c r="E20" i="17"/>
  <c r="E28" i="16"/>
  <c r="H11" i="15"/>
  <c r="H30" i="17"/>
  <c r="I11" i="15"/>
  <c r="H21" i="17"/>
  <c r="H5" i="16"/>
  <c r="H8" i="16"/>
  <c r="E20" i="15"/>
  <c r="I19" i="15"/>
  <c r="H31" i="15"/>
  <c r="H33" i="15"/>
  <c r="I30" i="27"/>
  <c r="D18" i="26"/>
  <c r="I23" i="28"/>
  <c r="D9" i="26"/>
  <c r="D22" i="26"/>
  <c r="H26" i="26"/>
  <c r="I22" i="17"/>
  <c r="H10" i="15"/>
  <c r="M24" i="27"/>
  <c r="E7" i="16"/>
  <c r="E10" i="16"/>
  <c r="E31" i="16"/>
  <c r="I13" i="27"/>
  <c r="I33" i="27"/>
  <c r="E19" i="17"/>
  <c r="I30" i="28"/>
  <c r="I6" i="27"/>
  <c r="I28" i="27"/>
  <c r="G20" i="16"/>
  <c r="G22" i="16"/>
  <c r="G23" i="16"/>
  <c r="G25" i="16"/>
  <c r="E24" i="16"/>
  <c r="G22" i="15"/>
  <c r="I23" i="17"/>
  <c r="I5" i="16"/>
  <c r="I31" i="16"/>
  <c r="M10" i="28"/>
  <c r="M23" i="26"/>
  <c r="I9" i="16"/>
  <c r="I25" i="15"/>
  <c r="H18" i="15"/>
  <c r="M9" i="28"/>
  <c r="I9" i="27"/>
  <c r="M13" i="27"/>
  <c r="I21" i="27"/>
  <c r="D30" i="28"/>
  <c r="M33" i="27"/>
  <c r="D5" i="27"/>
  <c r="I26" i="27"/>
  <c r="M30" i="28"/>
  <c r="I24" i="17"/>
  <c r="I20" i="28"/>
  <c r="F6" i="27"/>
  <c r="M9" i="27"/>
  <c r="I17" i="27"/>
  <c r="M21" i="27"/>
  <c r="M28" i="26"/>
  <c r="I31" i="28"/>
  <c r="I8" i="27"/>
  <c r="M12" i="27"/>
  <c r="I22" i="27"/>
  <c r="D8" i="28"/>
  <c r="D25" i="27"/>
  <c r="I5" i="26"/>
  <c r="I13" i="26"/>
  <c r="D30" i="26"/>
  <c r="M6" i="27"/>
  <c r="D13" i="27"/>
  <c r="M17" i="26"/>
  <c r="M22" i="26"/>
  <c r="M25" i="26"/>
  <c r="I7" i="27"/>
  <c r="M11" i="27"/>
  <c r="I10" i="26"/>
  <c r="D13" i="26"/>
  <c r="M14" i="26"/>
  <c r="E22" i="17"/>
  <c r="D7" i="28"/>
  <c r="Q29" i="25"/>
  <c r="Q29" i="28" s="1"/>
  <c r="L29" i="25"/>
  <c r="L29" i="28" s="1"/>
  <c r="D7" i="27"/>
  <c r="I30" i="16"/>
  <c r="H9" i="15"/>
  <c r="H25" i="15"/>
  <c r="L24" i="28"/>
  <c r="I8" i="15"/>
  <c r="H24" i="16"/>
  <c r="I21" i="15"/>
  <c r="I10" i="17"/>
  <c r="H20" i="17"/>
  <c r="H24" i="17"/>
  <c r="I26" i="16"/>
  <c r="I22" i="15"/>
  <c r="M3" i="11"/>
  <c r="M3" i="14" s="1"/>
  <c r="M3" i="17" s="1"/>
  <c r="E32" i="17"/>
  <c r="E30" i="16"/>
  <c r="H24" i="15"/>
  <c r="E29" i="16"/>
  <c r="G4" i="27"/>
  <c r="I18" i="15"/>
  <c r="H7" i="15"/>
  <c r="H15" i="15"/>
  <c r="H23" i="15"/>
  <c r="H30" i="16"/>
  <c r="H9" i="17"/>
  <c r="H10" i="17"/>
  <c r="F16" i="14"/>
  <c r="F16" i="17" s="1"/>
  <c r="H10" i="16"/>
  <c r="H12" i="16"/>
  <c r="H14" i="16"/>
  <c r="H20" i="16"/>
  <c r="E28" i="15"/>
  <c r="H32" i="16"/>
  <c r="I13" i="15"/>
  <c r="H17" i="15"/>
  <c r="H30" i="15"/>
  <c r="H32" i="15"/>
  <c r="H26" i="16"/>
  <c r="I23" i="15"/>
  <c r="H31" i="16"/>
  <c r="E17" i="15"/>
  <c r="H22" i="17"/>
  <c r="B29" i="14"/>
  <c r="B29" i="17" s="1"/>
  <c r="I6" i="15"/>
  <c r="I9" i="15"/>
  <c r="I10" i="15"/>
  <c r="I14" i="15"/>
  <c r="H28" i="15"/>
  <c r="E21" i="17"/>
  <c r="H8" i="15"/>
  <c r="I17" i="17"/>
  <c r="H32" i="17"/>
  <c r="D22" i="27"/>
  <c r="D26" i="27"/>
  <c r="D5" i="26"/>
  <c r="D17" i="26"/>
  <c r="G9" i="16"/>
  <c r="G10" i="16"/>
  <c r="G11" i="16"/>
  <c r="G12" i="16"/>
  <c r="G13" i="16"/>
  <c r="G14" i="16"/>
  <c r="G15" i="16"/>
  <c r="F9" i="28"/>
  <c r="D24" i="26"/>
  <c r="E32" i="16"/>
  <c r="H5" i="15"/>
  <c r="H13" i="15"/>
  <c r="H21" i="15"/>
  <c r="G24" i="26"/>
  <c r="H22" i="16"/>
  <c r="H5" i="17"/>
  <c r="H7" i="17"/>
  <c r="H8" i="17"/>
  <c r="H23" i="17"/>
  <c r="H6" i="16"/>
  <c r="H7" i="16"/>
  <c r="H23" i="16"/>
  <c r="E27" i="15"/>
  <c r="D25" i="26"/>
  <c r="I5" i="15"/>
  <c r="D15" i="26"/>
  <c r="I7" i="15"/>
  <c r="I15" i="15"/>
  <c r="I8" i="17"/>
  <c r="I28" i="16"/>
  <c r="I24" i="15"/>
  <c r="H26" i="15"/>
  <c r="D4" i="14"/>
  <c r="D4" i="17" s="1"/>
  <c r="I25" i="16"/>
  <c r="H6" i="15"/>
  <c r="H14" i="15"/>
  <c r="D24" i="28"/>
  <c r="I31" i="15"/>
  <c r="I33" i="15"/>
  <c r="D18" i="15"/>
  <c r="M4" i="10"/>
  <c r="G6" i="27"/>
  <c r="G30" i="27"/>
  <c r="G11" i="26"/>
  <c r="G8" i="27"/>
  <c r="E16" i="26"/>
  <c r="C19" i="25"/>
  <c r="C19" i="28" s="1"/>
  <c r="G20" i="27"/>
  <c r="I9" i="28"/>
  <c r="J5" i="28"/>
  <c r="J5" i="26"/>
  <c r="J9" i="26"/>
  <c r="J17" i="26"/>
  <c r="J17" i="27"/>
  <c r="J25" i="26"/>
  <c r="J22" i="28"/>
  <c r="J11" i="27"/>
  <c r="J13" i="26"/>
  <c r="E16" i="25"/>
  <c r="E16" i="28" s="1"/>
  <c r="G10" i="28"/>
  <c r="G23" i="26"/>
  <c r="G17" i="28"/>
  <c r="G22" i="28"/>
  <c r="G31" i="27"/>
  <c r="G9" i="26"/>
  <c r="E16" i="14"/>
  <c r="E16" i="17" s="1"/>
  <c r="B4" i="10"/>
  <c r="G33" i="26"/>
  <c r="G12" i="27"/>
  <c r="G30" i="28"/>
  <c r="G5" i="27"/>
  <c r="G9" i="27"/>
  <c r="G8" i="28"/>
  <c r="G23" i="28"/>
  <c r="P3" i="19"/>
  <c r="P3" i="23" s="1"/>
  <c r="P3" i="26" s="1"/>
  <c r="G14" i="27"/>
  <c r="G28" i="26"/>
  <c r="C15" i="26"/>
  <c r="G11" i="27"/>
  <c r="G23" i="27"/>
  <c r="G10" i="27"/>
  <c r="G32" i="27"/>
  <c r="G8" i="26"/>
  <c r="G9" i="28"/>
  <c r="G5" i="26"/>
  <c r="I6" i="26"/>
  <c r="I26" i="26"/>
  <c r="I6" i="28"/>
  <c r="I33" i="26"/>
  <c r="I32" i="28"/>
  <c r="I9" i="26"/>
  <c r="I21" i="28"/>
  <c r="D3" i="8"/>
  <c r="I8" i="28"/>
  <c r="J9" i="28"/>
  <c r="J30" i="28"/>
  <c r="J32" i="27"/>
  <c r="I12" i="26"/>
  <c r="I30" i="26"/>
  <c r="P15" i="16"/>
  <c r="P23" i="16"/>
  <c r="G20" i="28"/>
  <c r="G24" i="27"/>
  <c r="H19" i="14"/>
  <c r="H19" i="17" s="1"/>
  <c r="J31" i="27"/>
  <c r="I23" i="26"/>
  <c r="J24" i="26"/>
  <c r="I23" i="27"/>
  <c r="O4" i="14"/>
  <c r="O4" i="17" s="1"/>
  <c r="O29" i="14"/>
  <c r="O29" i="17" s="1"/>
  <c r="E16" i="10"/>
  <c r="G6" i="28"/>
  <c r="G33" i="27"/>
  <c r="I12" i="27"/>
  <c r="P8" i="15"/>
  <c r="P12" i="15"/>
  <c r="P20" i="15"/>
  <c r="P24" i="15"/>
  <c r="G24" i="28"/>
  <c r="J23" i="26"/>
  <c r="J31" i="26"/>
  <c r="G29" i="25"/>
  <c r="G29" i="28" s="1"/>
  <c r="P21" i="16"/>
  <c r="P17" i="17"/>
  <c r="P30" i="17"/>
  <c r="P31" i="17"/>
  <c r="J17" i="28"/>
  <c r="J20" i="26"/>
  <c r="J8" i="27"/>
  <c r="K16" i="26"/>
  <c r="I25" i="26"/>
  <c r="E11" i="16"/>
  <c r="E29" i="25"/>
  <c r="E29" i="28" s="1"/>
  <c r="K3" i="9"/>
  <c r="K3" i="13" s="1"/>
  <c r="J6" i="26"/>
  <c r="I31" i="26"/>
  <c r="J32" i="26"/>
  <c r="J7" i="27"/>
  <c r="I14" i="27"/>
  <c r="I31" i="27"/>
  <c r="I21" i="26"/>
  <c r="I17" i="28"/>
  <c r="K29" i="25"/>
  <c r="K29" i="28" s="1"/>
  <c r="I11" i="27"/>
  <c r="H29" i="10"/>
  <c r="J12" i="27"/>
  <c r="J22" i="26"/>
  <c r="G14" i="26"/>
  <c r="I17" i="26"/>
  <c r="J18" i="26"/>
  <c r="I29" i="26"/>
  <c r="G31" i="26"/>
  <c r="K31" i="37"/>
  <c r="J10" i="26"/>
  <c r="G4" i="10"/>
  <c r="E18" i="15"/>
  <c r="J33" i="26"/>
  <c r="O18" i="26"/>
  <c r="N31" i="37"/>
  <c r="J21" i="26"/>
  <c r="J7" i="28"/>
  <c r="H3" i="9"/>
  <c r="H3" i="13" s="1"/>
  <c r="E33" i="26"/>
  <c r="E12" i="16"/>
  <c r="E15" i="16"/>
  <c r="E18" i="16"/>
  <c r="F25" i="27"/>
  <c r="F26" i="27"/>
  <c r="H7" i="27"/>
  <c r="F30" i="27"/>
  <c r="L8" i="26"/>
  <c r="H6" i="28"/>
  <c r="F17" i="27"/>
  <c r="L12" i="26"/>
  <c r="H24" i="28"/>
  <c r="F5" i="26"/>
  <c r="F13" i="26"/>
  <c r="P5" i="15"/>
  <c r="P9" i="15"/>
  <c r="P17" i="15"/>
  <c r="P25" i="15"/>
  <c r="F22" i="28"/>
  <c r="P9" i="17"/>
  <c r="P6" i="16"/>
  <c r="P12" i="16"/>
  <c r="F25" i="26"/>
  <c r="F10" i="27"/>
  <c r="H12" i="27"/>
  <c r="F22" i="27"/>
  <c r="H24" i="27"/>
  <c r="L5" i="28"/>
  <c r="H23" i="28"/>
  <c r="H30" i="28"/>
  <c r="F21" i="27"/>
  <c r="L28" i="27"/>
  <c r="L32" i="27"/>
  <c r="F24" i="26"/>
  <c r="F23" i="27"/>
  <c r="F28" i="27"/>
  <c r="L6" i="28"/>
  <c r="H17" i="28"/>
  <c r="L33" i="27"/>
  <c r="L10" i="26"/>
  <c r="F28" i="26"/>
  <c r="L17" i="28"/>
  <c r="L22" i="28"/>
  <c r="L5" i="26"/>
  <c r="F7" i="26"/>
  <c r="H9" i="28"/>
  <c r="H7" i="28"/>
  <c r="H32" i="28"/>
  <c r="P6" i="15"/>
  <c r="P10" i="15"/>
  <c r="P14" i="15"/>
  <c r="P18" i="15"/>
  <c r="P22" i="15"/>
  <c r="P26" i="15"/>
  <c r="P7" i="16"/>
  <c r="P14" i="16"/>
  <c r="P7" i="17"/>
  <c r="P8" i="17"/>
  <c r="P22" i="17"/>
  <c r="P23" i="17"/>
  <c r="P22" i="16"/>
  <c r="P26" i="16"/>
  <c r="P17" i="16"/>
  <c r="F8" i="27"/>
  <c r="G13" i="26"/>
  <c r="G20" i="26"/>
  <c r="G7" i="28"/>
  <c r="G22" i="26"/>
  <c r="P22" i="26"/>
  <c r="P31" i="27"/>
  <c r="P6" i="28"/>
  <c r="P14" i="27"/>
  <c r="P16" i="28"/>
  <c r="Q20" i="28"/>
  <c r="Q28" i="26"/>
  <c r="Q21" i="28"/>
  <c r="F31" i="27"/>
  <c r="F6" i="28"/>
  <c r="F12" i="26"/>
  <c r="F9" i="26"/>
  <c r="F17" i="26"/>
  <c r="F31" i="28"/>
  <c r="F14" i="27"/>
  <c r="F32" i="28"/>
  <c r="L11" i="27"/>
  <c r="H28" i="27"/>
  <c r="H32" i="27"/>
  <c r="L25" i="27"/>
  <c r="F8" i="28"/>
  <c r="L31" i="28"/>
  <c r="F12" i="27"/>
  <c r="F7" i="28"/>
  <c r="F30" i="28"/>
  <c r="F22" i="26"/>
  <c r="P13" i="15"/>
  <c r="P21" i="15"/>
  <c r="F18" i="26"/>
  <c r="P31" i="16"/>
  <c r="P33" i="16"/>
  <c r="P10" i="17"/>
  <c r="H25" i="26"/>
  <c r="H33" i="26"/>
  <c r="P32" i="16"/>
  <c r="H8" i="27"/>
  <c r="L12" i="27"/>
  <c r="F18" i="27"/>
  <c r="L30" i="28"/>
  <c r="F5" i="27"/>
  <c r="F11" i="27"/>
  <c r="H6" i="26"/>
  <c r="L23" i="28"/>
  <c r="F20" i="28"/>
  <c r="H10" i="27"/>
  <c r="F20" i="27"/>
  <c r="L22" i="27"/>
  <c r="F24" i="27"/>
  <c r="F5" i="28"/>
  <c r="H30" i="27"/>
  <c r="P25" i="16"/>
  <c r="P5" i="17"/>
  <c r="P6" i="17"/>
  <c r="P5" i="16"/>
  <c r="P8" i="16"/>
  <c r="H8" i="28"/>
  <c r="O5" i="16"/>
  <c r="Q30" i="26"/>
  <c r="P9" i="16"/>
  <c r="O10" i="15"/>
  <c r="O32" i="15"/>
  <c r="P30" i="15"/>
  <c r="P32" i="15"/>
  <c r="P32" i="28"/>
  <c r="O20" i="15"/>
  <c r="P32" i="17"/>
  <c r="O15" i="15"/>
  <c r="K31" i="15"/>
  <c r="H31" i="26"/>
  <c r="Q7" i="28"/>
  <c r="Q33" i="26"/>
  <c r="F23" i="28"/>
  <c r="N20" i="26"/>
  <c r="N33" i="26"/>
  <c r="N7" i="27"/>
  <c r="G31" i="28"/>
  <c r="Q31" i="27"/>
  <c r="F32" i="27"/>
  <c r="H20" i="26"/>
  <c r="P20" i="26"/>
  <c r="Q21" i="26"/>
  <c r="H24" i="26"/>
  <c r="F26" i="26"/>
  <c r="G15" i="26"/>
  <c r="H11" i="27"/>
  <c r="K5" i="17"/>
  <c r="K23" i="17"/>
  <c r="K24" i="17"/>
  <c r="K30" i="17"/>
  <c r="P7" i="15"/>
  <c r="P11" i="15"/>
  <c r="P15" i="15"/>
  <c r="P23" i="15"/>
  <c r="P28" i="15"/>
  <c r="P11" i="16"/>
  <c r="P10" i="16"/>
  <c r="P18" i="16"/>
  <c r="P20" i="17"/>
  <c r="P21" i="17"/>
  <c r="P24" i="17"/>
  <c r="P24" i="16"/>
  <c r="P28" i="16"/>
  <c r="F30" i="26"/>
  <c r="F31" i="26"/>
  <c r="P33" i="26"/>
  <c r="P32" i="26"/>
  <c r="Q12" i="27"/>
  <c r="G17" i="26"/>
  <c r="H18" i="26"/>
  <c r="F21" i="26"/>
  <c r="F17" i="28"/>
  <c r="P31" i="28"/>
  <c r="F11" i="26"/>
  <c r="F20" i="26"/>
  <c r="G21" i="26"/>
  <c r="H22" i="26"/>
  <c r="G7" i="26"/>
  <c r="E32" i="27"/>
  <c r="H8" i="26"/>
  <c r="Q24" i="16"/>
  <c r="Q23" i="15"/>
  <c r="Q24" i="15"/>
  <c r="F9" i="27"/>
  <c r="G25" i="27"/>
  <c r="E28" i="27"/>
  <c r="E18" i="26"/>
  <c r="Q30" i="17"/>
  <c r="O20" i="17"/>
  <c r="Q32" i="16"/>
  <c r="Q5" i="15"/>
  <c r="Q6" i="15"/>
  <c r="Q7" i="15"/>
  <c r="Q8" i="15"/>
  <c r="Q9" i="15"/>
  <c r="Q10" i="15"/>
  <c r="Q11" i="15"/>
  <c r="Q12" i="15"/>
  <c r="Q13" i="15"/>
  <c r="Q14" i="15"/>
  <c r="Q15" i="15"/>
  <c r="G18" i="27"/>
  <c r="O30" i="17"/>
  <c r="L28" i="16"/>
  <c r="I22" i="26"/>
  <c r="F23" i="26"/>
  <c r="G32" i="26"/>
  <c r="P13" i="16"/>
  <c r="D17" i="15"/>
  <c r="P31" i="15"/>
  <c r="P33" i="15"/>
  <c r="N30" i="26"/>
  <c r="D7" i="17"/>
  <c r="P20" i="16"/>
  <c r="O12" i="15"/>
  <c r="O28" i="15"/>
  <c r="D17" i="17"/>
  <c r="L31" i="17"/>
  <c r="D18" i="16"/>
  <c r="L18" i="16"/>
  <c r="P30" i="16"/>
  <c r="L32" i="16"/>
  <c r="D33" i="16"/>
  <c r="L33" i="16"/>
  <c r="C17" i="26"/>
  <c r="I24" i="26"/>
  <c r="N17" i="28"/>
  <c r="F33" i="27"/>
  <c r="F14" i="26"/>
  <c r="G21" i="27"/>
  <c r="I14" i="26"/>
  <c r="Q18" i="26"/>
  <c r="L20" i="15"/>
  <c r="D24" i="15"/>
  <c r="L28" i="15"/>
  <c r="L32" i="17"/>
  <c r="C6" i="28"/>
  <c r="L8" i="15"/>
  <c r="D12" i="15"/>
  <c r="C30" i="26"/>
  <c r="Q32" i="26"/>
  <c r="N21" i="28"/>
  <c r="I7" i="28"/>
  <c r="P10" i="26"/>
  <c r="Q11" i="26"/>
  <c r="Q24" i="26"/>
  <c r="I22" i="28"/>
  <c r="L30" i="15"/>
  <c r="L32" i="15"/>
  <c r="F7" i="27"/>
  <c r="Q24" i="27"/>
  <c r="I8" i="26"/>
  <c r="G10" i="26"/>
  <c r="N17" i="26"/>
  <c r="Q28" i="15"/>
  <c r="P3" i="9"/>
  <c r="P3" i="13" s="1"/>
  <c r="K18" i="26"/>
  <c r="L27" i="16"/>
  <c r="G3" i="7"/>
  <c r="G10" i="17"/>
  <c r="G7" i="16"/>
  <c r="O31" i="37"/>
  <c r="J31" i="37"/>
  <c r="E32" i="28"/>
  <c r="E21" i="28"/>
  <c r="E24" i="28"/>
  <c r="E21" i="26"/>
  <c r="E26" i="26"/>
  <c r="E32" i="26"/>
  <c r="E10" i="28"/>
  <c r="E12" i="26"/>
  <c r="E25" i="26"/>
  <c r="G16" i="17"/>
  <c r="Q18" i="16"/>
  <c r="Q18" i="15"/>
  <c r="Q20" i="16"/>
  <c r="Q12" i="16"/>
  <c r="Q26" i="15"/>
  <c r="Q22" i="15"/>
  <c r="Q30" i="16"/>
  <c r="Q25" i="16"/>
  <c r="Q15" i="16"/>
  <c r="Q11" i="16"/>
  <c r="Q10" i="17"/>
  <c r="Q7" i="17"/>
  <c r="Q31" i="17"/>
  <c r="Q14" i="16"/>
  <c r="Q23" i="16"/>
  <c r="M29" i="25"/>
  <c r="M29" i="28" s="1"/>
  <c r="K14" i="26"/>
  <c r="K30" i="27"/>
  <c r="K23" i="28"/>
  <c r="O16" i="15"/>
  <c r="K6" i="27"/>
  <c r="G22" i="17"/>
  <c r="E22" i="27"/>
  <c r="G5" i="15"/>
  <c r="G13" i="15"/>
  <c r="B30" i="17"/>
  <c r="N29" i="14"/>
  <c r="N29" i="17" s="1"/>
  <c r="E17" i="26"/>
  <c r="G23" i="15"/>
  <c r="N29" i="25"/>
  <c r="N29" i="28" s="1"/>
  <c r="G30" i="15"/>
  <c r="Q26" i="16"/>
  <c r="Q21" i="15"/>
  <c r="Q17" i="17"/>
  <c r="Q31" i="16"/>
  <c r="Q33" i="16"/>
  <c r="E9" i="28"/>
  <c r="E5" i="26"/>
  <c r="L9" i="27"/>
  <c r="E17" i="28"/>
  <c r="K12" i="26"/>
  <c r="F17" i="15"/>
  <c r="F18" i="15"/>
  <c r="F20" i="15"/>
  <c r="F21" i="15"/>
  <c r="F22" i="15"/>
  <c r="F23" i="15"/>
  <c r="F24" i="15"/>
  <c r="F25" i="15"/>
  <c r="F26" i="15"/>
  <c r="E8" i="28"/>
  <c r="E22" i="28"/>
  <c r="G31" i="15"/>
  <c r="K30" i="15"/>
  <c r="E30" i="26"/>
  <c r="G9" i="15"/>
  <c r="G17" i="15"/>
  <c r="G20" i="15"/>
  <c r="C17" i="17"/>
  <c r="Q20" i="15"/>
  <c r="E10" i="26"/>
  <c r="Q21" i="17"/>
  <c r="C16" i="14"/>
  <c r="C16" i="17" s="1"/>
  <c r="F31" i="37"/>
  <c r="G5" i="28"/>
  <c r="O9" i="26"/>
  <c r="G12" i="26"/>
  <c r="Q30" i="15"/>
  <c r="Q31" i="15"/>
  <c r="Q32" i="15"/>
  <c r="Q33" i="15"/>
  <c r="C31" i="39"/>
  <c r="H29" i="25"/>
  <c r="H29" i="28" s="1"/>
  <c r="E31" i="27"/>
  <c r="E8" i="26"/>
  <c r="G7" i="17"/>
  <c r="G32" i="17"/>
  <c r="Q28" i="16"/>
  <c r="G7" i="15"/>
  <c r="G8" i="15"/>
  <c r="Q5" i="17"/>
  <c r="E23" i="27"/>
  <c r="Q17" i="15"/>
  <c r="Q20" i="17"/>
  <c r="G4" i="14"/>
  <c r="G4" i="17" s="1"/>
  <c r="E19" i="25"/>
  <c r="E19" i="28" s="1"/>
  <c r="J28" i="15"/>
  <c r="K14" i="27"/>
  <c r="K7" i="26"/>
  <c r="K28" i="27"/>
  <c r="K23" i="26"/>
  <c r="K8" i="28"/>
  <c r="L19" i="25"/>
  <c r="L19" i="28" s="1"/>
  <c r="K10" i="26"/>
  <c r="J31" i="17"/>
  <c r="J32" i="17"/>
  <c r="K23" i="15"/>
  <c r="K6" i="16"/>
  <c r="N29" i="26"/>
  <c r="J11" i="16"/>
  <c r="M20" i="26"/>
  <c r="M8" i="26"/>
  <c r="M18" i="15"/>
  <c r="M8" i="17"/>
  <c r="M26" i="16"/>
  <c r="M10" i="16"/>
  <c r="M22" i="15"/>
  <c r="M32" i="16"/>
  <c r="K20" i="28"/>
  <c r="K33" i="26"/>
  <c r="K30" i="26"/>
  <c r="K9" i="28"/>
  <c r="K22" i="27"/>
  <c r="K20" i="26"/>
  <c r="M24" i="17"/>
  <c r="K5" i="27"/>
  <c r="K21" i="27"/>
  <c r="K8" i="26"/>
  <c r="F29" i="25"/>
  <c r="F29" i="28" s="1"/>
  <c r="K33" i="27"/>
  <c r="M7" i="16"/>
  <c r="M8" i="16"/>
  <c r="K27" i="26"/>
  <c r="K17" i="15"/>
  <c r="M21" i="16"/>
  <c r="D16" i="28"/>
  <c r="J26" i="16"/>
  <c r="D19" i="14"/>
  <c r="D19" i="17" s="1"/>
  <c r="J31" i="16"/>
  <c r="K18" i="27"/>
  <c r="K20" i="27"/>
  <c r="K9" i="26"/>
  <c r="K26" i="26"/>
  <c r="K5" i="28"/>
  <c r="K7" i="27"/>
  <c r="K10" i="27"/>
  <c r="H44" i="37"/>
  <c r="K13" i="26"/>
  <c r="K15" i="26"/>
  <c r="K8" i="27"/>
  <c r="K12" i="27"/>
  <c r="K17" i="27"/>
  <c r="K22" i="26"/>
  <c r="K21" i="28"/>
  <c r="K21" i="26"/>
  <c r="M23" i="17"/>
  <c r="J30" i="15"/>
  <c r="J31" i="15"/>
  <c r="J32" i="15"/>
  <c r="J33" i="15"/>
  <c r="K31" i="28"/>
  <c r="K6" i="26"/>
  <c r="P4" i="10"/>
  <c r="K11" i="26"/>
  <c r="B31" i="37"/>
  <c r="K5" i="26"/>
  <c r="K24" i="28"/>
  <c r="D31" i="26"/>
  <c r="D10" i="27"/>
  <c r="D12" i="26"/>
  <c r="D5" i="28"/>
  <c r="D26" i="26"/>
  <c r="D23" i="27"/>
  <c r="D21" i="28"/>
  <c r="D20" i="28"/>
  <c r="D28" i="26"/>
  <c r="D10" i="26"/>
  <c r="D10" i="28"/>
  <c r="M22" i="27"/>
  <c r="M20" i="27"/>
  <c r="M26" i="27"/>
  <c r="M12" i="26"/>
  <c r="M21" i="28"/>
  <c r="M30" i="27"/>
  <c r="M33" i="26"/>
  <c r="M11" i="26"/>
  <c r="M5" i="26"/>
  <c r="M8" i="27"/>
  <c r="M12" i="16"/>
  <c r="M13" i="16"/>
  <c r="M15" i="16"/>
  <c r="M17" i="16"/>
  <c r="G3" i="11"/>
  <c r="G29" i="14"/>
  <c r="O19" i="14"/>
  <c r="O19" i="17" s="1"/>
  <c r="D29" i="14"/>
  <c r="D29" i="17" s="1"/>
  <c r="O4" i="10"/>
  <c r="K32" i="26"/>
  <c r="D21" i="26"/>
  <c r="B5" i="17"/>
  <c r="J5" i="17"/>
  <c r="B6" i="17"/>
  <c r="B8" i="17"/>
  <c r="J9" i="17"/>
  <c r="B20" i="17"/>
  <c r="J21" i="17"/>
  <c r="J22" i="17"/>
  <c r="J23" i="17"/>
  <c r="J24" i="17"/>
  <c r="B6" i="16"/>
  <c r="B8" i="16"/>
  <c r="J21" i="16"/>
  <c r="J23" i="16"/>
  <c r="E33" i="15"/>
  <c r="D6" i="27"/>
  <c r="K24" i="15"/>
  <c r="G6" i="17"/>
  <c r="M19" i="14"/>
  <c r="M19" i="17" s="1"/>
  <c r="I7" i="26"/>
  <c r="J9" i="16"/>
  <c r="F29" i="14"/>
  <c r="F29" i="17" s="1"/>
  <c r="K24" i="26"/>
  <c r="D33" i="26"/>
  <c r="K7" i="15"/>
  <c r="K8" i="15"/>
  <c r="K20" i="15"/>
  <c r="M30" i="15"/>
  <c r="O31" i="39"/>
  <c r="K25" i="26"/>
  <c r="M20" i="28"/>
  <c r="C29" i="21"/>
  <c r="M4" i="17"/>
  <c r="E10" i="17"/>
  <c r="J29" i="14"/>
  <c r="J29" i="17" s="1"/>
  <c r="E26" i="16"/>
  <c r="E22" i="15"/>
  <c r="E23" i="15"/>
  <c r="K25" i="27"/>
  <c r="M28" i="27"/>
  <c r="M18" i="26"/>
  <c r="E17" i="17"/>
  <c r="E30" i="17"/>
  <c r="E7" i="15"/>
  <c r="E10" i="15"/>
  <c r="E11" i="15"/>
  <c r="E14" i="15"/>
  <c r="E15" i="15"/>
  <c r="K18" i="15"/>
  <c r="K28" i="26"/>
  <c r="K33" i="15"/>
  <c r="G26" i="27"/>
  <c r="J17" i="15"/>
  <c r="J18" i="15"/>
  <c r="J20" i="15"/>
  <c r="J21" i="15"/>
  <c r="J22" i="15"/>
  <c r="J23" i="15"/>
  <c r="J24" i="15"/>
  <c r="J25" i="15"/>
  <c r="J26" i="15"/>
  <c r="M21" i="26"/>
  <c r="K6" i="28"/>
  <c r="L7" i="28"/>
  <c r="K10" i="28"/>
  <c r="O29" i="25"/>
  <c r="O29" i="28" s="1"/>
  <c r="D30" i="27"/>
  <c r="M31" i="27"/>
  <c r="D7" i="26"/>
  <c r="K10" i="17"/>
  <c r="K21" i="17"/>
  <c r="K22" i="17"/>
  <c r="K24" i="27"/>
  <c r="C30" i="15"/>
  <c r="M26" i="26"/>
  <c r="M30" i="26"/>
  <c r="F29" i="26"/>
  <c r="K31" i="26"/>
  <c r="G26" i="15"/>
  <c r="E31" i="15"/>
  <c r="C31" i="37"/>
  <c r="K31" i="39"/>
  <c r="K32" i="27"/>
  <c r="K17" i="26"/>
  <c r="K30" i="28"/>
  <c r="C3" i="19"/>
  <c r="E5" i="17"/>
  <c r="E21" i="15"/>
  <c r="D17" i="28"/>
  <c r="M23" i="27"/>
  <c r="E24" i="17"/>
  <c r="K32" i="15"/>
  <c r="J16" i="14"/>
  <c r="J16" i="17" s="1"/>
  <c r="J16" i="21"/>
  <c r="H19" i="10"/>
  <c r="L31" i="37"/>
  <c r="P44" i="37"/>
  <c r="Q3" i="11"/>
  <c r="B30" i="15"/>
  <c r="B31" i="15"/>
  <c r="B32" i="15"/>
  <c r="B33" i="15"/>
  <c r="L17" i="26"/>
  <c r="L11" i="26"/>
  <c r="L7" i="27"/>
  <c r="L24" i="26"/>
  <c r="L6" i="27"/>
  <c r="L28" i="26"/>
  <c r="L14" i="27"/>
  <c r="L14" i="26"/>
  <c r="L10" i="28"/>
  <c r="N27" i="16"/>
  <c r="N27" i="15"/>
  <c r="J27" i="26"/>
  <c r="B20" i="16"/>
  <c r="B22" i="16"/>
  <c r="M31" i="15"/>
  <c r="M14" i="16"/>
  <c r="M11" i="16"/>
  <c r="M9" i="16"/>
  <c r="M10" i="15"/>
  <c r="M18" i="16"/>
  <c r="M17" i="17"/>
  <c r="M7" i="17"/>
  <c r="M22" i="17"/>
  <c r="M5" i="17"/>
  <c r="M33" i="16"/>
  <c r="O8" i="16"/>
  <c r="O22" i="17"/>
  <c r="O6" i="16"/>
  <c r="O5" i="17"/>
  <c r="M24" i="16"/>
  <c r="L23" i="27"/>
  <c r="O7" i="28"/>
  <c r="O13" i="26"/>
  <c r="O23" i="28"/>
  <c r="O6" i="27"/>
  <c r="O22" i="26"/>
  <c r="O10" i="27"/>
  <c r="O22" i="28"/>
  <c r="O5" i="28"/>
  <c r="O21" i="26"/>
  <c r="O28" i="27"/>
  <c r="O28" i="26"/>
  <c r="O32" i="27"/>
  <c r="O9" i="28"/>
  <c r="B19" i="14"/>
  <c r="B19" i="17" s="1"/>
  <c r="D44" i="37"/>
  <c r="C29" i="14"/>
  <c r="C29" i="17" s="1"/>
  <c r="O3" i="11"/>
  <c r="O3" i="14" s="1"/>
  <c r="O3" i="17" s="1"/>
  <c r="L3" i="8"/>
  <c r="E19" i="15"/>
  <c r="J29" i="26"/>
  <c r="I19" i="14"/>
  <c r="I19" i="17" s="1"/>
  <c r="I3" i="11"/>
  <c r="I3" i="14" s="1"/>
  <c r="I3" i="17" s="1"/>
  <c r="D3" i="7"/>
  <c r="M44" i="37"/>
  <c r="B31" i="16"/>
  <c r="M19" i="10"/>
  <c r="L25" i="26"/>
  <c r="E29" i="21"/>
  <c r="M29" i="26"/>
  <c r="M29" i="21"/>
  <c r="E4" i="16"/>
  <c r="K29" i="26"/>
  <c r="L32" i="26"/>
  <c r="M23" i="16"/>
  <c r="O5" i="15"/>
  <c r="O11" i="15"/>
  <c r="O13" i="15"/>
  <c r="O25" i="15"/>
  <c r="M29" i="10"/>
  <c r="M33" i="15"/>
  <c r="I29" i="10"/>
  <c r="O7" i="17"/>
  <c r="M16" i="14"/>
  <c r="M16" i="17" s="1"/>
  <c r="O24" i="17"/>
  <c r="M31" i="16"/>
  <c r="Q3" i="7"/>
  <c r="Q4" i="14"/>
  <c r="Q4" i="17" s="1"/>
  <c r="B16" i="14"/>
  <c r="B16" i="17" s="1"/>
  <c r="B3" i="11"/>
  <c r="B3" i="14" s="1"/>
  <c r="B3" i="17" s="1"/>
  <c r="O16" i="21"/>
  <c r="B3" i="9"/>
  <c r="B3" i="13" s="1"/>
  <c r="B19" i="10"/>
  <c r="I27" i="16"/>
  <c r="H32" i="26"/>
  <c r="H6" i="27"/>
  <c r="H13" i="26"/>
  <c r="H5" i="27"/>
  <c r="H22" i="28"/>
  <c r="H10" i="28"/>
  <c r="H18" i="27"/>
  <c r="H28" i="26"/>
  <c r="H23" i="26"/>
  <c r="H21" i="28"/>
  <c r="H33" i="27"/>
  <c r="H7" i="26"/>
  <c r="H10" i="26"/>
  <c r="L7" i="26"/>
  <c r="H5" i="28"/>
  <c r="O9" i="16"/>
  <c r="O11" i="16"/>
  <c r="O12" i="16"/>
  <c r="O13" i="16"/>
  <c r="O14" i="16"/>
  <c r="O15" i="16"/>
  <c r="B5" i="15"/>
  <c r="B6" i="15"/>
  <c r="B7" i="15"/>
  <c r="B8" i="15"/>
  <c r="B9" i="15"/>
  <c r="B10" i="15"/>
  <c r="B11" i="15"/>
  <c r="B12" i="15"/>
  <c r="B13" i="15"/>
  <c r="B14" i="15"/>
  <c r="B15" i="15"/>
  <c r="N17" i="15"/>
  <c r="N18" i="15"/>
  <c r="N20" i="15"/>
  <c r="N21" i="15"/>
  <c r="N22" i="15"/>
  <c r="N23" i="15"/>
  <c r="N24" i="15"/>
  <c r="N25" i="15"/>
  <c r="N26" i="15"/>
  <c r="O6" i="28"/>
  <c r="O10" i="28"/>
  <c r="H19" i="25"/>
  <c r="H19" i="28" s="1"/>
  <c r="J29" i="25"/>
  <c r="J29" i="28" s="1"/>
  <c r="O31" i="28"/>
  <c r="H11" i="26"/>
  <c r="O8" i="17"/>
  <c r="P29" i="15"/>
  <c r="O31" i="15"/>
  <c r="O16" i="17"/>
  <c r="B30" i="16"/>
  <c r="J33" i="16"/>
  <c r="O26" i="15"/>
  <c r="O31" i="26"/>
  <c r="B7" i="17"/>
  <c r="B9" i="17"/>
  <c r="B10" i="17"/>
  <c r="H16" i="14"/>
  <c r="H16" i="17" s="1"/>
  <c r="B21" i="17"/>
  <c r="B22" i="17"/>
  <c r="B23" i="17"/>
  <c r="B24" i="17"/>
  <c r="L29" i="14"/>
  <c r="L29" i="17" s="1"/>
  <c r="B9" i="16"/>
  <c r="B10" i="16"/>
  <c r="B11" i="16"/>
  <c r="B12" i="16"/>
  <c r="B13" i="16"/>
  <c r="B14" i="16"/>
  <c r="B15" i="16"/>
  <c r="O7" i="15"/>
  <c r="K13" i="15"/>
  <c r="O21" i="15"/>
  <c r="O23" i="15"/>
  <c r="E24" i="15"/>
  <c r="E17" i="16"/>
  <c r="G31" i="39"/>
  <c r="M3" i="9"/>
  <c r="O28" i="16"/>
  <c r="E29" i="14"/>
  <c r="E29" i="17" s="1"/>
  <c r="L13" i="27"/>
  <c r="L21" i="28"/>
  <c r="H21" i="27"/>
  <c r="O11" i="26"/>
  <c r="L30" i="26"/>
  <c r="O33" i="26"/>
  <c r="I16" i="26"/>
  <c r="L21" i="26"/>
  <c r="H15" i="27"/>
  <c r="K19" i="25"/>
  <c r="K19" i="28" s="1"/>
  <c r="L17" i="27"/>
  <c r="O21" i="27"/>
  <c r="H5" i="26"/>
  <c r="H9" i="26"/>
  <c r="L13" i="26"/>
  <c r="O10" i="16"/>
  <c r="L8" i="27"/>
  <c r="O11" i="27"/>
  <c r="H20" i="27"/>
  <c r="L24" i="27"/>
  <c r="O14" i="27"/>
  <c r="H23" i="27"/>
  <c r="O31" i="27"/>
  <c r="B28" i="15"/>
  <c r="O20" i="27"/>
  <c r="H25" i="27"/>
  <c r="H31" i="27"/>
  <c r="H12" i="26"/>
  <c r="H9" i="27"/>
  <c r="O8" i="27"/>
  <c r="O12" i="27"/>
  <c r="L16" i="28"/>
  <c r="L20" i="28"/>
  <c r="O5" i="27"/>
  <c r="M16" i="25"/>
  <c r="M16" i="28" s="1"/>
  <c r="O9" i="27"/>
  <c r="O13" i="27"/>
  <c r="H22" i="27"/>
  <c r="L26" i="27"/>
  <c r="L9" i="26"/>
  <c r="H16" i="26"/>
  <c r="K16" i="14"/>
  <c r="K16" i="17" s="1"/>
  <c r="O17" i="16"/>
  <c r="O18" i="16"/>
  <c r="B17" i="15"/>
  <c r="B18" i="15"/>
  <c r="B20" i="15"/>
  <c r="B21" i="15"/>
  <c r="B22" i="15"/>
  <c r="B23" i="15"/>
  <c r="B24" i="15"/>
  <c r="B25" i="15"/>
  <c r="B26" i="15"/>
  <c r="B31" i="39"/>
  <c r="J31" i="39"/>
  <c r="H14" i="27"/>
  <c r="O23" i="26"/>
  <c r="H20" i="28"/>
  <c r="L32" i="28"/>
  <c r="I16" i="21"/>
  <c r="L30" i="27"/>
  <c r="L20" i="26"/>
  <c r="O10" i="17"/>
  <c r="O21" i="17"/>
  <c r="J7" i="16"/>
  <c r="O14" i="15"/>
  <c r="O33" i="15"/>
  <c r="J19" i="14"/>
  <c r="J19" i="17" s="1"/>
  <c r="G19" i="25"/>
  <c r="G19" i="28" s="1"/>
  <c r="O20" i="28"/>
  <c r="J17" i="16"/>
  <c r="B33" i="16"/>
  <c r="O8" i="15"/>
  <c r="J17" i="17"/>
  <c r="B31" i="17"/>
  <c r="B32" i="17"/>
  <c r="H21" i="26"/>
  <c r="J12" i="16"/>
  <c r="M29" i="16"/>
  <c r="O18" i="15"/>
  <c r="K8" i="16"/>
  <c r="F4" i="25"/>
  <c r="F4" i="28" s="1"/>
  <c r="E14" i="16"/>
  <c r="B21" i="16"/>
  <c r="J25" i="16"/>
  <c r="B26" i="16"/>
  <c r="O9" i="15"/>
  <c r="K14" i="15"/>
  <c r="E30" i="15"/>
  <c r="E32" i="15"/>
  <c r="G31" i="37"/>
  <c r="I4" i="14"/>
  <c r="I4" i="17" s="1"/>
  <c r="I29" i="14"/>
  <c r="I29" i="17" s="1"/>
  <c r="K44" i="37"/>
  <c r="I44" i="37"/>
  <c r="D10" i="31"/>
  <c r="H3" i="22"/>
  <c r="H3" i="25" s="1"/>
  <c r="H3" i="28" s="1"/>
  <c r="H4" i="25"/>
  <c r="H4" i="28" s="1"/>
  <c r="E19" i="21"/>
  <c r="G16" i="10"/>
  <c r="G19" i="10"/>
  <c r="G29" i="16"/>
  <c r="G29" i="10"/>
  <c r="F4" i="15"/>
  <c r="F3" i="8"/>
  <c r="F16" i="15"/>
  <c r="G16" i="21"/>
  <c r="G16" i="27"/>
  <c r="O3" i="19"/>
  <c r="O4" i="26"/>
  <c r="I3" i="19"/>
  <c r="D27" i="27"/>
  <c r="E4" i="25"/>
  <c r="E4" i="28" s="1"/>
  <c r="E3" i="22"/>
  <c r="E3" i="25" s="1"/>
  <c r="E3" i="28" s="1"/>
  <c r="E4" i="27"/>
  <c r="E3" i="20"/>
  <c r="E3" i="24" s="1"/>
  <c r="E4" i="21"/>
  <c r="H4" i="27"/>
  <c r="H4" i="21"/>
  <c r="H3" i="20"/>
  <c r="H3" i="24" s="1"/>
  <c r="P3" i="20"/>
  <c r="P3" i="24" s="1"/>
  <c r="P4" i="21"/>
  <c r="K16" i="27"/>
  <c r="K16" i="21"/>
  <c r="J4" i="25"/>
  <c r="J4" i="28" s="1"/>
  <c r="J3" i="22"/>
  <c r="J3" i="25" s="1"/>
  <c r="J3" i="28" s="1"/>
  <c r="F16" i="25"/>
  <c r="F16" i="28" s="1"/>
  <c r="Q19" i="25"/>
  <c r="Q19" i="28" s="1"/>
  <c r="L16" i="21"/>
  <c r="P16" i="21"/>
  <c r="N19" i="27"/>
  <c r="N19" i="21"/>
  <c r="N3" i="20"/>
  <c r="N3" i="24" s="1"/>
  <c r="J3" i="19"/>
  <c r="K4" i="14"/>
  <c r="K4" i="17" s="1"/>
  <c r="K3" i="11"/>
  <c r="K3" i="14" s="1"/>
  <c r="J4" i="21"/>
  <c r="Q29" i="27"/>
  <c r="Q29" i="21"/>
  <c r="J29" i="21"/>
  <c r="G29" i="21"/>
  <c r="I19" i="21"/>
  <c r="Q3" i="9"/>
  <c r="Q4" i="10"/>
  <c r="Q29" i="16"/>
  <c r="Q29" i="10"/>
  <c r="B148" i="6"/>
  <c r="B172" i="6"/>
  <c r="B135" i="6"/>
  <c r="B159" i="6"/>
  <c r="B122" i="6"/>
  <c r="B131" i="6"/>
  <c r="B155" i="6"/>
  <c r="M4" i="25"/>
  <c r="M4" i="28" s="1"/>
  <c r="J4" i="16"/>
  <c r="J4" i="10"/>
  <c r="J3" i="9"/>
  <c r="J3" i="13" s="1"/>
  <c r="N17" i="17"/>
  <c r="F16" i="16"/>
  <c r="F16" i="10"/>
  <c r="D19" i="10"/>
  <c r="F30" i="16"/>
  <c r="F32" i="16"/>
  <c r="N33" i="16"/>
  <c r="Q4" i="15"/>
  <c r="Q3" i="8"/>
  <c r="B89" i="6"/>
  <c r="B91" i="6"/>
  <c r="B92" i="6"/>
  <c r="B93" i="6"/>
  <c r="B94" i="6"/>
  <c r="B113" i="6"/>
  <c r="G3" i="20"/>
  <c r="G3" i="24" s="1"/>
  <c r="I4" i="15"/>
  <c r="I3" i="8"/>
  <c r="C31" i="17"/>
  <c r="F4" i="14"/>
  <c r="F4" i="17" s="1"/>
  <c r="F3" i="11"/>
  <c r="F3" i="14" s="1"/>
  <c r="F3" i="17" s="1"/>
  <c r="N4" i="14"/>
  <c r="N4" i="17" s="1"/>
  <c r="N3" i="11"/>
  <c r="N3" i="14" s="1"/>
  <c r="N3" i="17" s="1"/>
  <c r="F6" i="17"/>
  <c r="F8" i="17"/>
  <c r="F20" i="17"/>
  <c r="F3" i="9"/>
  <c r="F3" i="13" s="1"/>
  <c r="F4" i="10"/>
  <c r="N5" i="16"/>
  <c r="N7" i="16"/>
  <c r="N20" i="16"/>
  <c r="F24" i="16"/>
  <c r="N25" i="16"/>
  <c r="D29" i="10"/>
  <c r="D29" i="16"/>
  <c r="C4" i="15"/>
  <c r="C3" i="8"/>
  <c r="C3" i="12" s="1"/>
  <c r="C20" i="15"/>
  <c r="C22" i="15"/>
  <c r="N32" i="16"/>
  <c r="C23" i="15"/>
  <c r="M7" i="15"/>
  <c r="M11" i="15"/>
  <c r="M15" i="15"/>
  <c r="F44" i="37"/>
  <c r="N44" i="37"/>
  <c r="O44" i="37"/>
  <c r="D31" i="37"/>
  <c r="P31" i="37"/>
  <c r="L3" i="22"/>
  <c r="L3" i="25" s="1"/>
  <c r="L3" i="28" s="1"/>
  <c r="L4" i="25"/>
  <c r="L4" i="28" s="1"/>
  <c r="F29" i="27"/>
  <c r="F29" i="21"/>
  <c r="G4" i="26"/>
  <c r="G3" i="19"/>
  <c r="N28" i="15"/>
  <c r="K16" i="16"/>
  <c r="K16" i="10"/>
  <c r="K19" i="16"/>
  <c r="K19" i="10"/>
  <c r="K29" i="16"/>
  <c r="K29" i="10"/>
  <c r="J4" i="15"/>
  <c r="J3" i="8"/>
  <c r="J16" i="15"/>
  <c r="J19" i="15"/>
  <c r="J29" i="15"/>
  <c r="D19" i="21"/>
  <c r="G19" i="21"/>
  <c r="O19" i="21"/>
  <c r="M9" i="17"/>
  <c r="M32" i="17"/>
  <c r="K4" i="25"/>
  <c r="K4" i="28" s="1"/>
  <c r="K3" i="22"/>
  <c r="K3" i="25" s="1"/>
  <c r="K3" i="28" s="1"/>
  <c r="M3" i="20"/>
  <c r="M3" i="24" s="1"/>
  <c r="M4" i="21"/>
  <c r="Q3" i="20"/>
  <c r="Q3" i="24" s="1"/>
  <c r="Q4" i="21"/>
  <c r="Q4" i="27"/>
  <c r="C16" i="21"/>
  <c r="C16" i="27"/>
  <c r="M20" i="17"/>
  <c r="M30" i="17"/>
  <c r="N16" i="25"/>
  <c r="N16" i="28" s="1"/>
  <c r="F19" i="25"/>
  <c r="F19" i="28" s="1"/>
  <c r="F3" i="22"/>
  <c r="F3" i="25" s="1"/>
  <c r="F3" i="28" s="1"/>
  <c r="K4" i="21"/>
  <c r="K3" i="20"/>
  <c r="K3" i="24" s="1"/>
  <c r="K4" i="27"/>
  <c r="M16" i="27"/>
  <c r="M16" i="21"/>
  <c r="H19" i="21"/>
  <c r="D3" i="19"/>
  <c r="D4" i="26"/>
  <c r="L3" i="19"/>
  <c r="M21" i="17"/>
  <c r="I4" i="16"/>
  <c r="I3" i="9"/>
  <c r="I3" i="13" s="1"/>
  <c r="I4" i="10"/>
  <c r="C9" i="16"/>
  <c r="C10" i="16"/>
  <c r="C11" i="16"/>
  <c r="C12" i="16"/>
  <c r="C13" i="16"/>
  <c r="C14" i="16"/>
  <c r="C15" i="16"/>
  <c r="I16" i="10"/>
  <c r="F5" i="15"/>
  <c r="F6" i="15"/>
  <c r="F7" i="15"/>
  <c r="F8" i="15"/>
  <c r="F9" i="15"/>
  <c r="F10" i="15"/>
  <c r="F11" i="15"/>
  <c r="F12" i="15"/>
  <c r="F13" i="15"/>
  <c r="F14" i="15"/>
  <c r="F15" i="15"/>
  <c r="H29" i="15"/>
  <c r="N30" i="15"/>
  <c r="N31" i="15"/>
  <c r="N32" i="15"/>
  <c r="N33" i="15"/>
  <c r="N4" i="25"/>
  <c r="N4" i="28" s="1"/>
  <c r="N3" i="22"/>
  <c r="N3" i="25" s="1"/>
  <c r="N3" i="28" s="1"/>
  <c r="P29" i="27"/>
  <c r="P29" i="21"/>
  <c r="H19" i="26"/>
  <c r="N3" i="19"/>
  <c r="N19" i="26"/>
  <c r="G5" i="17"/>
  <c r="C7" i="17"/>
  <c r="G24" i="17"/>
  <c r="G30" i="17"/>
  <c r="C32" i="17"/>
  <c r="M5" i="16"/>
  <c r="M6" i="16"/>
  <c r="Q19" i="10"/>
  <c r="G5" i="16"/>
  <c r="B147" i="6"/>
  <c r="B171" i="6"/>
  <c r="B125" i="6"/>
  <c r="B134" i="6"/>
  <c r="B158" i="6"/>
  <c r="N4" i="27"/>
  <c r="G29" i="26"/>
  <c r="C21" i="17"/>
  <c r="J14" i="16"/>
  <c r="B23" i="16"/>
  <c r="G11" i="15"/>
  <c r="J4" i="14"/>
  <c r="J4" i="17" s="1"/>
  <c r="J3" i="11"/>
  <c r="J3" i="14" s="1"/>
  <c r="J3" i="17" s="1"/>
  <c r="C8" i="17"/>
  <c r="J19" i="10"/>
  <c r="J19" i="16"/>
  <c r="M30" i="16"/>
  <c r="F19" i="21"/>
  <c r="L15" i="27"/>
  <c r="M6" i="17"/>
  <c r="B25" i="16"/>
  <c r="J28" i="16"/>
  <c r="C7" i="15"/>
  <c r="M17" i="15"/>
  <c r="F17" i="17"/>
  <c r="P19" i="14"/>
  <c r="P19" i="17" s="1"/>
  <c r="N30" i="17"/>
  <c r="N31" i="17"/>
  <c r="N32" i="17"/>
  <c r="D4" i="10"/>
  <c r="D3" i="9"/>
  <c r="H16" i="10"/>
  <c r="F17" i="16"/>
  <c r="B18" i="16"/>
  <c r="L19" i="10"/>
  <c r="L19" i="16"/>
  <c r="N29" i="16"/>
  <c r="N29" i="10"/>
  <c r="N31" i="16"/>
  <c r="F33" i="16"/>
  <c r="E4" i="15"/>
  <c r="E3" i="8"/>
  <c r="M6" i="15"/>
  <c r="G18" i="15"/>
  <c r="C29" i="15"/>
  <c r="C31" i="15"/>
  <c r="C33" i="15"/>
  <c r="G4" i="21"/>
  <c r="L33" i="26"/>
  <c r="C23" i="17"/>
  <c r="G8" i="16"/>
  <c r="J20" i="16"/>
  <c r="J30" i="16"/>
  <c r="J16" i="10"/>
  <c r="J16" i="16"/>
  <c r="M20" i="16"/>
  <c r="M28" i="16"/>
  <c r="G6" i="16"/>
  <c r="J16" i="25"/>
  <c r="J16" i="28" s="1"/>
  <c r="J15" i="16"/>
  <c r="N22" i="16"/>
  <c r="J32" i="16"/>
  <c r="C11" i="15"/>
  <c r="G32" i="15"/>
  <c r="F5" i="17"/>
  <c r="N5" i="17"/>
  <c r="J6" i="17"/>
  <c r="N7" i="17"/>
  <c r="J8" i="17"/>
  <c r="F9" i="17"/>
  <c r="N10" i="17"/>
  <c r="J20" i="17"/>
  <c r="F21" i="17"/>
  <c r="F22" i="17"/>
  <c r="F23" i="17"/>
  <c r="F24" i="17"/>
  <c r="J5" i="16"/>
  <c r="J6" i="16"/>
  <c r="J8" i="16"/>
  <c r="F9" i="16"/>
  <c r="F10" i="16"/>
  <c r="F11" i="16"/>
  <c r="F12" i="16"/>
  <c r="F13" i="16"/>
  <c r="F14" i="16"/>
  <c r="F15" i="16"/>
  <c r="D16" i="10"/>
  <c r="D16" i="16"/>
  <c r="F19" i="10"/>
  <c r="F22" i="16"/>
  <c r="N23" i="16"/>
  <c r="F25" i="16"/>
  <c r="B28" i="16"/>
  <c r="K3" i="8"/>
  <c r="K4" i="10"/>
  <c r="G6" i="15"/>
  <c r="G10" i="15"/>
  <c r="K11" i="15"/>
  <c r="C12" i="15"/>
  <c r="K12" i="15"/>
  <c r="G14" i="15"/>
  <c r="K21" i="15"/>
  <c r="G24" i="15"/>
  <c r="K26" i="15"/>
  <c r="G28" i="15"/>
  <c r="E13" i="16"/>
  <c r="E5" i="16"/>
  <c r="E21" i="16"/>
  <c r="M24" i="15"/>
  <c r="E33" i="16"/>
  <c r="H4" i="16"/>
  <c r="N24" i="16"/>
  <c r="B16" i="16"/>
  <c r="C25" i="15"/>
  <c r="E8" i="15"/>
  <c r="E12" i="15"/>
  <c r="C17" i="15"/>
  <c r="C44" i="37"/>
  <c r="Q44" i="37"/>
  <c r="P10" i="30"/>
  <c r="H10" i="31"/>
  <c r="F4" i="27"/>
  <c r="F3" i="20"/>
  <c r="F3" i="24" s="1"/>
  <c r="F4" i="21"/>
  <c r="F16" i="27"/>
  <c r="F16" i="21"/>
  <c r="E4" i="14"/>
  <c r="E4" i="17" s="1"/>
  <c r="E3" i="11"/>
  <c r="E3" i="14" s="1"/>
  <c r="C4" i="16"/>
  <c r="C3" i="9"/>
  <c r="C3" i="13" s="1"/>
  <c r="C4" i="10"/>
  <c r="O16" i="16"/>
  <c r="O16" i="10"/>
  <c r="O19" i="10"/>
  <c r="O29" i="10"/>
  <c r="N3" i="8"/>
  <c r="N19" i="15"/>
  <c r="N29" i="15"/>
  <c r="G3" i="22"/>
  <c r="G3" i="25" s="1"/>
  <c r="G3" i="28" s="1"/>
  <c r="G4" i="25"/>
  <c r="G4" i="28" s="1"/>
  <c r="L19" i="27"/>
  <c r="L19" i="21"/>
  <c r="P19" i="21"/>
  <c r="M3" i="19"/>
  <c r="C3" i="22"/>
  <c r="C3" i="25" s="1"/>
  <c r="C3" i="28" s="1"/>
  <c r="C4" i="25"/>
  <c r="C4" i="28" s="1"/>
  <c r="D4" i="21"/>
  <c r="D3" i="20"/>
  <c r="D3" i="24" s="1"/>
  <c r="L4" i="27"/>
  <c r="L4" i="21"/>
  <c r="L3" i="20"/>
  <c r="L3" i="24" s="1"/>
  <c r="I4" i="25"/>
  <c r="I4" i="28" s="1"/>
  <c r="I3" i="22"/>
  <c r="I3" i="25" s="1"/>
  <c r="I3" i="28" s="1"/>
  <c r="H16" i="27"/>
  <c r="H16" i="21"/>
  <c r="Q19" i="21"/>
  <c r="J19" i="21"/>
  <c r="J19" i="27"/>
  <c r="I19" i="16"/>
  <c r="I19" i="10"/>
  <c r="Q4" i="25"/>
  <c r="Q4" i="28" s="1"/>
  <c r="Q3" i="22"/>
  <c r="Q3" i="25" s="1"/>
  <c r="Q3" i="28" s="1"/>
  <c r="I19" i="25"/>
  <c r="I19" i="28" s="1"/>
  <c r="J3" i="20"/>
  <c r="J3" i="24" s="1"/>
  <c r="I29" i="27"/>
  <c r="I29" i="21"/>
  <c r="L29" i="21"/>
  <c r="Q16" i="16"/>
  <c r="Q16" i="10"/>
  <c r="B146" i="6"/>
  <c r="B170" i="6"/>
  <c r="B124" i="6"/>
  <c r="B133" i="6"/>
  <c r="B157" i="6"/>
  <c r="O3" i="8"/>
  <c r="O4" i="15"/>
  <c r="L4" i="14"/>
  <c r="L4" i="17" s="1"/>
  <c r="L3" i="11"/>
  <c r="L3" i="14" s="1"/>
  <c r="L3" i="17" s="1"/>
  <c r="P4" i="14"/>
  <c r="P4" i="17" s="1"/>
  <c r="P3" i="11"/>
  <c r="P3" i="14" s="1"/>
  <c r="P3" i="17" s="1"/>
  <c r="F30" i="17"/>
  <c r="L4" i="10"/>
  <c r="L4" i="16"/>
  <c r="L3" i="9"/>
  <c r="L3" i="13" s="1"/>
  <c r="N16" i="16"/>
  <c r="N16" i="10"/>
  <c r="F18" i="16"/>
  <c r="F31" i="16"/>
  <c r="C16" i="15"/>
  <c r="E16" i="21"/>
  <c r="E19" i="10"/>
  <c r="J29" i="10"/>
  <c r="J29" i="16"/>
  <c r="F5" i="16"/>
  <c r="F7" i="17"/>
  <c r="F10" i="17"/>
  <c r="N19" i="14"/>
  <c r="N19" i="17" s="1"/>
  <c r="H29" i="14"/>
  <c r="H29" i="17" s="1"/>
  <c r="N6" i="16"/>
  <c r="N8" i="16"/>
  <c r="N9" i="16"/>
  <c r="N10" i="16"/>
  <c r="N11" i="16"/>
  <c r="N12" i="16"/>
  <c r="N13" i="16"/>
  <c r="N14" i="16"/>
  <c r="N15" i="16"/>
  <c r="L16" i="10"/>
  <c r="F20" i="16"/>
  <c r="N21" i="16"/>
  <c r="F23" i="16"/>
  <c r="F28" i="16"/>
  <c r="L29" i="10"/>
  <c r="C8" i="15"/>
  <c r="G16" i="15"/>
  <c r="C26" i="15"/>
  <c r="G8" i="17"/>
  <c r="G17" i="17"/>
  <c r="M21" i="15"/>
  <c r="M25" i="15"/>
  <c r="G31" i="17"/>
  <c r="C9" i="15"/>
  <c r="G3" i="8"/>
  <c r="D3" i="11"/>
  <c r="G21" i="17"/>
  <c r="M8" i="15"/>
  <c r="M12" i="15"/>
  <c r="B44" i="37"/>
  <c r="J44" i="37"/>
  <c r="G44" i="37"/>
  <c r="E44" i="37"/>
  <c r="H31" i="37"/>
  <c r="L44" i="37"/>
  <c r="D4" i="25"/>
  <c r="D4" i="28" s="1"/>
  <c r="D3" i="22"/>
  <c r="D3" i="25" s="1"/>
  <c r="D3" i="28" s="1"/>
  <c r="P4" i="25"/>
  <c r="P4" i="28" s="1"/>
  <c r="P3" i="22"/>
  <c r="P3" i="25" s="1"/>
  <c r="P3" i="28" s="1"/>
  <c r="I27" i="26"/>
  <c r="G28" i="16"/>
  <c r="F28" i="15"/>
  <c r="C16" i="16"/>
  <c r="C16" i="10"/>
  <c r="C19" i="16"/>
  <c r="C19" i="10"/>
  <c r="C29" i="16"/>
  <c r="C29" i="10"/>
  <c r="B3" i="8"/>
  <c r="B16" i="15"/>
  <c r="B19" i="15"/>
  <c r="B29" i="15"/>
  <c r="O3" i="22"/>
  <c r="O3" i="25" s="1"/>
  <c r="O3" i="28" s="1"/>
  <c r="O4" i="25"/>
  <c r="O4" i="28" s="1"/>
  <c r="I4" i="21"/>
  <c r="I3" i="20"/>
  <c r="I3" i="24" s="1"/>
  <c r="I4" i="27"/>
  <c r="C19" i="27"/>
  <c r="C19" i="21"/>
  <c r="K19" i="21"/>
  <c r="K29" i="21"/>
  <c r="K29" i="27"/>
  <c r="E4" i="26"/>
  <c r="E3" i="19"/>
  <c r="Q3" i="19"/>
  <c r="Q4" i="26"/>
  <c r="J19" i="25"/>
  <c r="J19" i="28" s="1"/>
  <c r="C4" i="21"/>
  <c r="C3" i="20"/>
  <c r="C3" i="24" s="1"/>
  <c r="C4" i="27"/>
  <c r="O4" i="27"/>
  <c r="O4" i="21"/>
  <c r="O3" i="20"/>
  <c r="O3" i="24" s="1"/>
  <c r="D16" i="27"/>
  <c r="D16" i="21"/>
  <c r="Q16" i="27"/>
  <c r="Q16" i="21"/>
  <c r="O29" i="21"/>
  <c r="O29" i="27"/>
  <c r="H4" i="26"/>
  <c r="H3" i="19"/>
  <c r="M31" i="17"/>
  <c r="G3" i="9"/>
  <c r="C7" i="16"/>
  <c r="G17" i="16"/>
  <c r="G18" i="16"/>
  <c r="C20" i="16"/>
  <c r="C21" i="16"/>
  <c r="C22" i="16"/>
  <c r="C23" i="16"/>
  <c r="C24" i="16"/>
  <c r="C25" i="16"/>
  <c r="C26" i="16"/>
  <c r="C27" i="16"/>
  <c r="C30" i="16"/>
  <c r="C31" i="16"/>
  <c r="C32" i="16"/>
  <c r="C33" i="16"/>
  <c r="H3" i="8"/>
  <c r="H3" i="12" s="1"/>
  <c r="H4" i="15"/>
  <c r="N5" i="15"/>
  <c r="N6" i="15"/>
  <c r="N7" i="15"/>
  <c r="N8" i="15"/>
  <c r="N9" i="15"/>
  <c r="N10" i="15"/>
  <c r="N11" i="15"/>
  <c r="N12" i="15"/>
  <c r="N13" i="15"/>
  <c r="N14" i="15"/>
  <c r="N15" i="15"/>
  <c r="F30" i="15"/>
  <c r="F31" i="15"/>
  <c r="F32" i="15"/>
  <c r="F33" i="15"/>
  <c r="F31" i="39"/>
  <c r="N31" i="39"/>
  <c r="D19" i="25"/>
  <c r="D19" i="28" s="1"/>
  <c r="P19" i="25"/>
  <c r="P19" i="28" s="1"/>
  <c r="D29" i="21"/>
  <c r="H29" i="21"/>
  <c r="N29" i="21"/>
  <c r="D19" i="26"/>
  <c r="Q19" i="26"/>
  <c r="C4" i="14"/>
  <c r="C4" i="17" s="1"/>
  <c r="C3" i="11"/>
  <c r="C3" i="14" s="1"/>
  <c r="C3" i="17" s="1"/>
  <c r="G9" i="17"/>
  <c r="G20" i="17"/>
  <c r="C22" i="17"/>
  <c r="P4" i="15"/>
  <c r="P3" i="8"/>
  <c r="P3" i="12" s="1"/>
  <c r="P16" i="15"/>
  <c r="B162" i="6"/>
  <c r="B163" i="6"/>
  <c r="B164" i="6"/>
  <c r="B165" i="6"/>
  <c r="B149" i="6"/>
  <c r="B173" i="6"/>
  <c r="B145" i="6"/>
  <c r="B169" i="6"/>
  <c r="B123" i="6"/>
  <c r="B132" i="6"/>
  <c r="B156" i="6"/>
  <c r="B138" i="6"/>
  <c r="B139" i="6"/>
  <c r="B140" i="6"/>
  <c r="B141" i="6"/>
  <c r="M3" i="22"/>
  <c r="M3" i="25" s="1"/>
  <c r="M3" i="28" s="1"/>
  <c r="J10" i="16"/>
  <c r="J18" i="16"/>
  <c r="M25" i="16"/>
  <c r="C5" i="15"/>
  <c r="C6" i="17"/>
  <c r="C10" i="17"/>
  <c r="G23" i="17"/>
  <c r="P16" i="10"/>
  <c r="P29" i="10"/>
  <c r="O19" i="15"/>
  <c r="L6" i="26"/>
  <c r="L22" i="26"/>
  <c r="L18" i="26"/>
  <c r="L26" i="26"/>
  <c r="L31" i="27"/>
  <c r="L31" i="26"/>
  <c r="L10" i="27"/>
  <c r="K3" i="19"/>
  <c r="M19" i="26"/>
  <c r="M10" i="17"/>
  <c r="J13" i="16"/>
  <c r="N26" i="16"/>
  <c r="G21" i="15"/>
  <c r="G33" i="15"/>
  <c r="H4" i="14"/>
  <c r="H4" i="17" s="1"/>
  <c r="H3" i="11"/>
  <c r="H3" i="14" s="1"/>
  <c r="H3" i="17" s="1"/>
  <c r="B17" i="17"/>
  <c r="N16" i="17"/>
  <c r="J30" i="17"/>
  <c r="F31" i="17"/>
  <c r="F32" i="17"/>
  <c r="B17" i="16"/>
  <c r="N17" i="16"/>
  <c r="N18" i="16"/>
  <c r="F29" i="10"/>
  <c r="B32" i="16"/>
  <c r="M3" i="8"/>
  <c r="M3" i="12" s="1"/>
  <c r="M14" i="15"/>
  <c r="C18" i="15"/>
  <c r="M20" i="15"/>
  <c r="M26" i="15"/>
  <c r="K29" i="15"/>
  <c r="C32" i="15"/>
  <c r="K5" i="16"/>
  <c r="B90" i="6"/>
  <c r="J22" i="16"/>
  <c r="N28" i="16"/>
  <c r="G15" i="15"/>
  <c r="E4" i="10"/>
  <c r="P19" i="10"/>
  <c r="P19" i="16"/>
  <c r="M22" i="16"/>
  <c r="K7" i="16"/>
  <c r="B130" i="6"/>
  <c r="B154" i="6"/>
  <c r="B137" i="6"/>
  <c r="L23" i="26"/>
  <c r="M19" i="25"/>
  <c r="M19" i="28" s="1"/>
  <c r="L8" i="28"/>
  <c r="B7" i="16"/>
  <c r="J24" i="16"/>
  <c r="N30" i="16"/>
  <c r="G25" i="15"/>
  <c r="N6" i="17"/>
  <c r="J7" i="17"/>
  <c r="N8" i="17"/>
  <c r="N9" i="17"/>
  <c r="J10" i="17"/>
  <c r="P16" i="14"/>
  <c r="P16" i="17" s="1"/>
  <c r="F19" i="14"/>
  <c r="F19" i="17" s="1"/>
  <c r="N20" i="17"/>
  <c r="N21" i="17"/>
  <c r="N22" i="17"/>
  <c r="N23" i="17"/>
  <c r="N24" i="17"/>
  <c r="P29" i="14"/>
  <c r="P29" i="17" s="1"/>
  <c r="B5" i="16"/>
  <c r="N3" i="9"/>
  <c r="N3" i="13" s="1"/>
  <c r="N4" i="10"/>
  <c r="F6" i="16"/>
  <c r="F7" i="16"/>
  <c r="F8" i="16"/>
  <c r="M16" i="10"/>
  <c r="N19" i="10"/>
  <c r="F21" i="16"/>
  <c r="B24" i="16"/>
  <c r="F26" i="16"/>
  <c r="K5" i="15"/>
  <c r="C6" i="15"/>
  <c r="K6" i="15"/>
  <c r="K9" i="15"/>
  <c r="C10" i="15"/>
  <c r="K10" i="15"/>
  <c r="G12" i="15"/>
  <c r="C14" i="15"/>
  <c r="K15" i="15"/>
  <c r="K22" i="15"/>
  <c r="C24" i="15"/>
  <c r="K25" i="15"/>
  <c r="C28" i="15"/>
  <c r="K28" i="15"/>
  <c r="G29" i="15"/>
  <c r="O7" i="16"/>
  <c r="B29" i="10"/>
  <c r="M23" i="15"/>
  <c r="M28" i="15"/>
  <c r="P4" i="16"/>
  <c r="C15" i="15"/>
  <c r="E9" i="16"/>
  <c r="C21" i="15"/>
  <c r="M32" i="15"/>
  <c r="M5" i="15"/>
  <c r="M9" i="15"/>
  <c r="M13" i="15"/>
  <c r="G3" i="13" l="1"/>
  <c r="Q3" i="13"/>
  <c r="Q3" i="12"/>
  <c r="D3" i="13"/>
  <c r="B57" i="6"/>
  <c r="B55" i="6"/>
  <c r="B61" i="6"/>
  <c r="B60" i="6"/>
  <c r="B168" i="6"/>
  <c r="B59" i="6"/>
  <c r="D3" i="12"/>
  <c r="D3" i="15" s="1"/>
  <c r="E3" i="23"/>
  <c r="E3" i="26" s="1"/>
  <c r="O3" i="12"/>
  <c r="O3" i="15" s="1"/>
  <c r="L3" i="12"/>
  <c r="L3" i="15" s="1"/>
  <c r="C3" i="23"/>
  <c r="C3" i="26" s="1"/>
  <c r="L3" i="23"/>
  <c r="L3" i="26" s="1"/>
  <c r="J3" i="12"/>
  <c r="J3" i="15" s="1"/>
  <c r="O3" i="23"/>
  <c r="O3" i="26" s="1"/>
  <c r="K3" i="23"/>
  <c r="K3" i="26" s="1"/>
  <c r="N3" i="12"/>
  <c r="N3" i="15" s="1"/>
  <c r="J3" i="23"/>
  <c r="J3" i="26" s="1"/>
  <c r="M3" i="23"/>
  <c r="M3" i="26" s="1"/>
  <c r="D3" i="23"/>
  <c r="D3" i="26" s="1"/>
  <c r="G3" i="23"/>
  <c r="G3" i="26" s="1"/>
  <c r="I3" i="12"/>
  <c r="I3" i="15" s="1"/>
  <c r="F3" i="12"/>
  <c r="F3" i="15" s="1"/>
  <c r="M3" i="13"/>
  <c r="Q3" i="23"/>
  <c r="Q3" i="26" s="1"/>
  <c r="B56" i="6"/>
  <c r="B99" i="6"/>
  <c r="B129" i="6" s="1"/>
  <c r="H3" i="23"/>
  <c r="H3" i="26" s="1"/>
  <c r="G3" i="12"/>
  <c r="G3" i="15" s="1"/>
  <c r="B3" i="12"/>
  <c r="B3" i="15" s="1"/>
  <c r="K3" i="12"/>
  <c r="K3" i="15" s="1"/>
  <c r="E3" i="12"/>
  <c r="E3" i="15" s="1"/>
  <c r="N3" i="23"/>
  <c r="N3" i="26" s="1"/>
  <c r="I3" i="23"/>
  <c r="I3" i="26" s="1"/>
  <c r="G3" i="14"/>
  <c r="G3" i="17" s="1"/>
  <c r="Q3" i="15"/>
  <c r="G29" i="17"/>
  <c r="O3" i="10"/>
  <c r="B3" i="10"/>
  <c r="H3" i="10"/>
  <c r="B3" i="16"/>
  <c r="Q3" i="14"/>
  <c r="Q3" i="17" s="1"/>
  <c r="D3" i="14"/>
  <c r="D3" i="17" s="1"/>
  <c r="E3" i="16"/>
  <c r="I3" i="27"/>
  <c r="I3" i="21"/>
  <c r="E3" i="17"/>
  <c r="Q3" i="27"/>
  <c r="Q3" i="21"/>
  <c r="J3" i="10"/>
  <c r="Q3" i="10"/>
  <c r="N3" i="27"/>
  <c r="N3" i="21"/>
  <c r="H3" i="27"/>
  <c r="H3" i="21"/>
  <c r="E3" i="27"/>
  <c r="E3" i="21"/>
  <c r="H3" i="16"/>
  <c r="D3" i="27"/>
  <c r="D3" i="21"/>
  <c r="F3" i="21"/>
  <c r="F3" i="27"/>
  <c r="K3" i="27"/>
  <c r="K3" i="21"/>
  <c r="C3" i="15"/>
  <c r="G3" i="27"/>
  <c r="G3" i="21"/>
  <c r="B143" i="6"/>
  <c r="B167" i="6"/>
  <c r="K3" i="10"/>
  <c r="N3" i="10"/>
  <c r="M3" i="10"/>
  <c r="O3" i="27"/>
  <c r="O3" i="21"/>
  <c r="C3" i="27"/>
  <c r="C3" i="21"/>
  <c r="P3" i="16"/>
  <c r="J3" i="21"/>
  <c r="J3" i="27"/>
  <c r="L3" i="27"/>
  <c r="L3" i="21"/>
  <c r="C3" i="10"/>
  <c r="D3" i="10"/>
  <c r="M3" i="21"/>
  <c r="M3" i="27"/>
  <c r="K3" i="16"/>
  <c r="P3" i="27"/>
  <c r="P3" i="21"/>
  <c r="E3" i="10"/>
  <c r="P3" i="15"/>
  <c r="H3" i="15"/>
  <c r="G3" i="10"/>
  <c r="P3" i="10"/>
  <c r="L3" i="10"/>
  <c r="I3" i="10"/>
  <c r="F3" i="10"/>
  <c r="K3" i="17"/>
  <c r="O3" i="16"/>
  <c r="B153" i="6" l="1"/>
  <c r="M3" i="16"/>
  <c r="N3" i="16"/>
  <c r="Q3" i="16"/>
  <c r="F3" i="16"/>
  <c r="I3" i="16"/>
  <c r="L3" i="16"/>
  <c r="G3" i="16"/>
  <c r="C3" i="16"/>
  <c r="M3" i="15"/>
  <c r="J3" i="16"/>
  <c r="D3" i="16"/>
  <c r="B11" i="4"/>
  <c r="B36" i="4"/>
  <c r="B16" i="4"/>
  <c r="B27" i="4"/>
  <c r="B33" i="4"/>
  <c r="B15" i="4"/>
  <c r="B44" i="4"/>
  <c r="B29" i="4"/>
  <c r="B8" i="4"/>
  <c r="B42" i="4"/>
  <c r="B21" i="4"/>
  <c r="B9" i="4"/>
  <c r="B23" i="4"/>
  <c r="B34" i="4"/>
  <c r="B14" i="4"/>
  <c r="B24" i="4"/>
  <c r="B17" i="4"/>
  <c r="B22" i="4"/>
  <c r="B10" i="4"/>
  <c r="B43" i="4"/>
  <c r="B13" i="4"/>
  <c r="B37" i="4"/>
  <c r="B38" i="4"/>
  <c r="B20" i="4"/>
  <c r="B4" i="4"/>
  <c r="B45" i="4"/>
  <c r="B35" i="4"/>
  <c r="B25" i="4"/>
  <c r="B26" i="4"/>
  <c r="B7" i="4"/>
  <c r="B30" i="4"/>
  <c r="B12" i="4"/>
  <c r="B28" i="4"/>
  <c r="B39" i="4"/>
  <c r="B31" i="6" l="1"/>
</calcChain>
</file>

<file path=xl/sharedStrings.xml><?xml version="1.0" encoding="utf-8"?>
<sst xmlns="http://schemas.openxmlformats.org/spreadsheetml/2006/main" count="2101" uniqueCount="1057">
  <si>
    <t>detailed split of CO2 emissions</t>
  </si>
  <si>
    <t>detailed split of useful energy demand</t>
  </si>
  <si>
    <t>detailed split of final energy consumption</t>
  </si>
  <si>
    <t>ICT and multimedia</t>
  </si>
  <si>
    <t>Miscellaneous building technologies</t>
  </si>
  <si>
    <t>Building lighting</t>
  </si>
  <si>
    <t>Street lighting</t>
  </si>
  <si>
    <t>Ventilation and others</t>
  </si>
  <si>
    <t>Services / specific electric uses</t>
  </si>
  <si>
    <t>Services sector: Specific electric uses</t>
  </si>
  <si>
    <t>Thermal energy service per useful surface area</t>
  </si>
  <si>
    <t>Final energy consumption per useful surface area</t>
  </si>
  <si>
    <t>Thermal energy service per building</t>
  </si>
  <si>
    <t>Final energy consumption per building</t>
  </si>
  <si>
    <t>System efficiency indicator of total stock</t>
  </si>
  <si>
    <t>Thermal energy service</t>
  </si>
  <si>
    <t>Final energy consumption</t>
  </si>
  <si>
    <t>Number of new and renovated buildings</t>
  </si>
  <si>
    <t>Services sector: Thermal uses in new and renovated buildings</t>
  </si>
  <si>
    <t>Number of buildings</t>
  </si>
  <si>
    <t>Services sector: Thermal uses</t>
  </si>
  <si>
    <t>Services sector summary</t>
  </si>
  <si>
    <t>Click on the link to jump to the sheet</t>
  </si>
  <si>
    <t>Energy intensity (toe/physical output index)</t>
  </si>
  <si>
    <t>Electricity</t>
  </si>
  <si>
    <t>Geothermal</t>
  </si>
  <si>
    <t>Solar</t>
  </si>
  <si>
    <t>LPG</t>
  </si>
  <si>
    <t>Liquids</t>
  </si>
  <si>
    <t>Solids</t>
  </si>
  <si>
    <t>Ratio of energy service to energy consumption (system efficiency indicator)</t>
  </si>
  <si>
    <t>Cooling</t>
  </si>
  <si>
    <t>Space heating</t>
  </si>
  <si>
    <t>Specific electricity uses</t>
  </si>
  <si>
    <t>Catering</t>
  </si>
  <si>
    <t>Hot water</t>
  </si>
  <si>
    <t>Thermal uses</t>
  </si>
  <si>
    <t>Emissions per capita (kg CO2 / capita)</t>
  </si>
  <si>
    <t>Thermal energy service per capita (kWh useful / capita)</t>
  </si>
  <si>
    <t>Energy consumption per capita (kWh / capita)</t>
  </si>
  <si>
    <t>Emissions per useful surface area (kg CO2 / sqm)</t>
  </si>
  <si>
    <t>Thermal energy service per useful surface area (kWh useful / sqm)</t>
  </si>
  <si>
    <t>Energy consumption per useful surface area (kWh / sqm)</t>
  </si>
  <si>
    <t>Emissions per building (kg CO2 / representative building cell)</t>
  </si>
  <si>
    <t>Thermal energy service per building (kWh useful / representative building cell)</t>
  </si>
  <si>
    <t>Energy consumption per building (kWh / representative building cell)</t>
  </si>
  <si>
    <t>Additional building indicators</t>
  </si>
  <si>
    <t>Share of emissions in end-uses (in %)</t>
  </si>
  <si>
    <t>Emissions by end-uses (kt of CO2)</t>
  </si>
  <si>
    <t>Liquid biofuels</t>
  </si>
  <si>
    <t>Biogas</t>
  </si>
  <si>
    <t>Renewable energies and wastes</t>
  </si>
  <si>
    <t>Liquified petroleum gas (LPG)</t>
  </si>
  <si>
    <t>Emissions by fuel - Eurostat structure (kt of CO2)</t>
  </si>
  <si>
    <t>Emissions</t>
  </si>
  <si>
    <t>Shares of energy consumption in end-uses (in %)</t>
  </si>
  <si>
    <t>Energy consumption by end-uses (ktoe)</t>
  </si>
  <si>
    <t>Energy consumption by fuel - Eurostat structure (ktoe)</t>
  </si>
  <si>
    <t>Energy consumption</t>
  </si>
  <si>
    <t>New and renovated buildings useful surface area (in sqm/representative building cell)</t>
  </si>
  <si>
    <t>Services useful surface area (in sqm/representative building cell)</t>
  </si>
  <si>
    <t>Services useful surface area (in sqm/employee)</t>
  </si>
  <si>
    <t>Services useful surface area (in sqm/capita)</t>
  </si>
  <si>
    <t>Representative building cell size (employees/representative building cell)</t>
  </si>
  <si>
    <t>Indicators</t>
  </si>
  <si>
    <t>Relative heating degree-days</t>
  </si>
  <si>
    <t>Actual heating degree-days</t>
  </si>
  <si>
    <t>New and renovated buildings useful surface area (in 000 sqm)</t>
  </si>
  <si>
    <t>Total services useful surface area (in 000 sqm)</t>
  </si>
  <si>
    <t>Number of representative building cells</t>
  </si>
  <si>
    <t>Employment data (employees)</t>
  </si>
  <si>
    <t>Population (inhabitants)</t>
  </si>
  <si>
    <t>Electric space cooling</t>
  </si>
  <si>
    <t>Gas heat pumps</t>
  </si>
  <si>
    <t>Space cooling</t>
  </si>
  <si>
    <t>Circulation, other electricity</t>
  </si>
  <si>
    <t>Conventional electric heating</t>
  </si>
  <si>
    <t>Advanced electric heating</t>
  </si>
  <si>
    <t>Conventional gas heaters</t>
  </si>
  <si>
    <t>Stock of buildings</t>
  </si>
  <si>
    <t>Electricity in circulation and other use</t>
  </si>
  <si>
    <t>Final energy consumption (ktoe)</t>
  </si>
  <si>
    <t>Thermal energy service (ktoe useful)</t>
  </si>
  <si>
    <t>Ratio of energy service to energy consumption</t>
  </si>
  <si>
    <t>CO2 emissions (kt CO2)</t>
  </si>
  <si>
    <t>Solar (as of solar equiped buildings)</t>
  </si>
  <si>
    <t>Solar (as of total)</t>
  </si>
  <si>
    <t>Final energy consumption (kWh / representative building cell)</t>
  </si>
  <si>
    <t>Thermal energy service (kWh useful / representative building cell)</t>
  </si>
  <si>
    <t>CO2 emissions (kg CO2 / representative building cell)</t>
  </si>
  <si>
    <t>Final energy consumption (kWh / sqm)</t>
  </si>
  <si>
    <t>Thermal energy service (kWh useful / sqm)</t>
  </si>
  <si>
    <t>CO2 emissions (kg CO2 / sqm)</t>
  </si>
  <si>
    <t>ICT and multimedia (unit per capita)</t>
  </si>
  <si>
    <t>Miscellaneous building technologies (sqm per building cell)</t>
  </si>
  <si>
    <t>Street lighting (unit per capita)</t>
  </si>
  <si>
    <t>Ventilation and others (sqm per building cell)</t>
  </si>
  <si>
    <t>Penetration factor</t>
  </si>
  <si>
    <t>ICT and multimedia (W per appliance)</t>
  </si>
  <si>
    <t>Miscellaneous building technologies (W per serviced m2)</t>
  </si>
  <si>
    <t>Street lighting (W per appliance)</t>
  </si>
  <si>
    <t>Ventilation and others (W per serviced m2)</t>
  </si>
  <si>
    <t>W per new appliance (in average operating mode)</t>
  </si>
  <si>
    <t>W per appliance (in average operating mode)</t>
  </si>
  <si>
    <t>Operating hours per appliance</t>
  </si>
  <si>
    <t>Number of replaced appliances</t>
  </si>
  <si>
    <t>Number of new appliances</t>
  </si>
  <si>
    <t>Stock of appliances</t>
  </si>
  <si>
    <t>Total MW installed (in average operating mode)</t>
  </si>
  <si>
    <t>Lumens per useful surface area (lumen per sqm)</t>
  </si>
  <si>
    <t>Emission intensity (kt of CO2 / ktoe)</t>
  </si>
  <si>
    <t>Useful energy demand intensity (toe useful / physical output index)</t>
  </si>
  <si>
    <t>Energy intensity (toe / physical output index)</t>
  </si>
  <si>
    <t>Residual fuel oil and other liquids</t>
  </si>
  <si>
    <t>by fuel (EUROSTAT DATA)</t>
  </si>
  <si>
    <t>Energy consumption (ktoe)</t>
  </si>
  <si>
    <t>Idle capacity (production index)</t>
  </si>
  <si>
    <t>Decommissioned capacity (production index)</t>
  </si>
  <si>
    <t>Capacity investment (production index)</t>
  </si>
  <si>
    <t>Installed capacity (production index)</t>
  </si>
  <si>
    <t>Physical output (index)</t>
  </si>
  <si>
    <t>Specific heat uses</t>
  </si>
  <si>
    <t>Low enthalpy heat</t>
  </si>
  <si>
    <t>Motor drives</t>
  </si>
  <si>
    <t>Ventilation</t>
  </si>
  <si>
    <t>Lighting</t>
  </si>
  <si>
    <t>Agriculture, forestry and fishing</t>
  </si>
  <si>
    <t>Market shares of energy uses (%)</t>
  </si>
  <si>
    <t>Biomass</t>
  </si>
  <si>
    <t>Fuel oil and other liquids</t>
  </si>
  <si>
    <t>Detailed split of energy consumption (ktoe)</t>
  </si>
  <si>
    <t>Ratio of useful energy demand to final energy consumption (system efficiency indicator)</t>
  </si>
  <si>
    <t>Market shares of useful energy demand (%)</t>
  </si>
  <si>
    <t>Detailed split of useful energy demand (ktoe)</t>
  </si>
  <si>
    <t>Emission intensity (kt of CO2 per ktoe)</t>
  </si>
  <si>
    <t>Market shares of CO2 emissions by subsector (%)</t>
  </si>
  <si>
    <t>Detailed split of CO2 emissions by subsector (kt of CO2)</t>
  </si>
  <si>
    <t>Services and Agriculture sector</t>
  </si>
  <si>
    <t>Legal Notice</t>
  </si>
  <si>
    <t>Neither the European Commission nor any person acting on behalf of the Commission is responsible for the use which might be made of this information.</t>
  </si>
  <si>
    <t>Building lighting (W per appliance)</t>
  </si>
  <si>
    <t>Building lighting (unit per building cell)</t>
  </si>
  <si>
    <t>Prepared by JRC C.6</t>
  </si>
  <si>
    <t>The information made available is property of the Joint Research Centre of the European Commission.</t>
  </si>
  <si>
    <t>Use conditions</t>
  </si>
  <si>
    <t>This work is licensed under</t>
  </si>
  <si>
    <t>CC BY 4.0</t>
  </si>
  <si>
    <t>Mean heating degree-days over period 2000- 2020</t>
  </si>
  <si>
    <t>Value added per capita relative to EU</t>
  </si>
  <si>
    <t>Natural gas</t>
  </si>
  <si>
    <t>Code</t>
  </si>
  <si>
    <t>Ambient heat</t>
  </si>
  <si>
    <t>Solar and geothermal</t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</si>
  <si>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</si>
  <si>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building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</si>
  <si>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useful surface area</t>
    </r>
  </si>
  <si>
    <t>Street lighting (thousand units)</t>
  </si>
  <si>
    <t>ICT and multimedia (thousand units)</t>
  </si>
  <si>
    <t>Ventilation and others (serviced million m2)</t>
  </si>
  <si>
    <t>Miscellaneous building technologies (serviced million m2)</t>
  </si>
  <si>
    <t>Building lighting (million units)</t>
  </si>
  <si>
    <t>Diesel oil</t>
  </si>
  <si>
    <t>Distributed heat</t>
  </si>
  <si>
    <t>Diesel oil and other liquids (without biofuels)</t>
  </si>
  <si>
    <t>Biomass and waste</t>
  </si>
  <si>
    <t>Diesel oil (without biofuels)</t>
  </si>
  <si>
    <t>Diesel oil and liquid biofuels</t>
  </si>
  <si>
    <t>Pumping devices (diesel oil and liquid biofuels)</t>
  </si>
  <si>
    <t>Farming machine drives (diesel oil and liquid biofuels)</t>
  </si>
  <si>
    <t>Natural gas and biogas</t>
  </si>
  <si>
    <t>Pumping devices (electricity)</t>
  </si>
  <si>
    <t>Commercial refrigeration</t>
  </si>
  <si>
    <t>Commercial refrigeration (thousand units)</t>
  </si>
  <si>
    <t>Commercial refrigeration (W per appliance)</t>
  </si>
  <si>
    <t>Commercial refrigeration (unit per capita)</t>
  </si>
  <si>
    <t>Agriculture, forestry and fishing summary</t>
  </si>
  <si>
    <t>JRC-IDEES-2023 - Integrated Database of the European Energy System</t>
  </si>
  <si>
    <t>v2023-1.00</t>
  </si>
  <si>
    <t>Gross domestic product (M€2023)</t>
  </si>
  <si>
    <t>Value added (M€2023)</t>
  </si>
  <si>
    <t>GDP per capita (€2023)</t>
  </si>
  <si>
    <t>Value added per employee (€2023)</t>
  </si>
  <si>
    <t>Value added per capita (€2023)</t>
  </si>
  <si>
    <t>Value added intensity (toe / M€2023)</t>
  </si>
  <si>
    <t>Data centers - final energy consumption (ktoe)</t>
  </si>
  <si>
    <t>IT</t>
  </si>
  <si>
    <t>Italy</t>
  </si>
  <si>
    <t>IT - Services sector summary</t>
  </si>
  <si>
    <t>Macro.number.IT.Population</t>
  </si>
  <si>
    <t>Macro.Meuro2015.IT.GDP</t>
  </si>
  <si>
    <t>Macro.Meuro2015.IT.VA</t>
  </si>
  <si>
    <t>Macro.number.IT.Employees</t>
  </si>
  <si>
    <t>NUM.number.IT.Ser.Bld</t>
  </si>
  <si>
    <t>SurfaceArea.ksqm.IT.Ser.Bld</t>
  </si>
  <si>
    <t>NUM.number.IT.Ser.BldNew</t>
  </si>
  <si>
    <t>SurfaceArea.ksqm.IT.Ser.BldNew</t>
  </si>
  <si>
    <t>HDD.Celsius.IT.Actual</t>
  </si>
  <si>
    <t>HDD.Celsius.IT.Mean</t>
  </si>
  <si>
    <t>HDD.ratio.IT.Relative</t>
  </si>
  <si>
    <t>FEC.ktoe.IT.ES.Ser</t>
  </si>
  <si>
    <t>FEC.ktoe.IT.ES.Ser.Solids</t>
  </si>
  <si>
    <t>FEC.ktoe.IT.ES.Ser.LPG</t>
  </si>
  <si>
    <t>FEC.ktoe.IT.ES.Ser.Oil</t>
  </si>
  <si>
    <t>FEC.ktoe.IT.ES.Ser.NG</t>
  </si>
  <si>
    <t>FEC.ktoe.IT.ES.Ser.Biomass_Waste</t>
  </si>
  <si>
    <t>FEC.ktoe.IT.ES.Ser.Biogas</t>
  </si>
  <si>
    <t>FEC.ktoe.IT.ES.Ser.LiqBio</t>
  </si>
  <si>
    <t>FEC.ktoe.IT.ES.Ser.Solar</t>
  </si>
  <si>
    <t>FEC.ktoe.IT.ES.Ser.Geo</t>
  </si>
  <si>
    <t>FEC.ktoe.IT.ES.Ser.Ambient</t>
  </si>
  <si>
    <t>FEC.ktoe.IT.ES.Ser.Steam_Distr</t>
  </si>
  <si>
    <t>FEC.ktoe.IT.ES.Ser.Elec</t>
  </si>
  <si>
    <t>FEC.ktoe.IT.Ser</t>
  </si>
  <si>
    <t>FEC.ktoe.IT.Ser.Bld.Thermal</t>
  </si>
  <si>
    <t>FEC.ktoe.IT.Ser.Bld.Thermal.SH</t>
  </si>
  <si>
    <t>FEC.ktoe.IT.Ser.Bld.Thermal.SC</t>
  </si>
  <si>
    <t>FEC.ktoe.IT.Ser.Bld.Thermal.HW</t>
  </si>
  <si>
    <t>FEC.ktoe.IT.Ser.Bld.Thermal.CA</t>
  </si>
  <si>
    <t>FEC.ktoe.IT.Ser.SEU</t>
  </si>
  <si>
    <t>EMI.ktCO2.IT.ES.Ser</t>
  </si>
  <si>
    <t>EMI.ktCO2.IT.ES.Ser.Solids</t>
  </si>
  <si>
    <t>EMI.ktCO2.IT.ES.Ser.LPG</t>
  </si>
  <si>
    <t>EMI.ktCO2.IT.ES.Ser.Oil</t>
  </si>
  <si>
    <t>EMI.ktCO2.IT.ES.Ser.NG</t>
  </si>
  <si>
    <t>EMI.ktCO2.IT.ES.Ser.Biomass_Waste</t>
  </si>
  <si>
    <t>EMI.ktCO2.IT.ES.Ser.Biogas</t>
  </si>
  <si>
    <t>EMI.ktCO2.IT.ES.Ser.LiqBio</t>
  </si>
  <si>
    <t>EMI.ktCO2.IT.ES.Ser.Solar</t>
  </si>
  <si>
    <t>EMI.ktCO2.IT.ES.Ser.Geo</t>
  </si>
  <si>
    <t>EMI.ktCO2.IT.ES.Ser.Ambient</t>
  </si>
  <si>
    <t>EMI.ktCO2.IT.ES.Ser.Steam_Distr</t>
  </si>
  <si>
    <t>EMI.ktCO2.IT.ES.Ser.Elec</t>
  </si>
  <si>
    <t>EMI.ktCO2.IT.Ser</t>
  </si>
  <si>
    <t>EMI.ktCO2.IT.Ser.Bld.Thermal</t>
  </si>
  <si>
    <t>EMI.ktCO2.IT.Ser.Bld.Thermal.SH</t>
  </si>
  <si>
    <t>EMI.ktCO2.IT.Ser.Bld.Thermal.SC</t>
  </si>
  <si>
    <t>EMI.ktCO2.IT.Ser.Bld.Thermal.HW</t>
  </si>
  <si>
    <t>EMI.ktCO2.IT.Ser.Bld.Thermal.CA</t>
  </si>
  <si>
    <t>EMI.ktCO2.IT.Ser.SEU</t>
  </si>
  <si>
    <t>Eff.ratio.IT.Ser.Bld.Thermal</t>
  </si>
  <si>
    <t>Eff.ratio.IT.Ser.Bld.Thermal.SH</t>
  </si>
  <si>
    <t>Eff.ratio.IT.Ser.Bld.Thermal.SC</t>
  </si>
  <si>
    <t>Eff.ratio.IT.Ser.Bld.Thermal.HW</t>
  </si>
  <si>
    <t>Eff.ratio.IT.Ser.Bld.Thermal.CA</t>
  </si>
  <si>
    <t>IT - Number of buildings</t>
  </si>
  <si>
    <t>NUM.number.IT.Ser.Bld.Thermal</t>
  </si>
  <si>
    <t>NUM.number.IT.Ser.Bld.Thermal.SH</t>
  </si>
  <si>
    <t>NUM.number.IT.Ser.Bld.Thermal.SH.Solids</t>
  </si>
  <si>
    <t>NUM.number.IT.Ser.Bld.Thermal.SH.LPG</t>
  </si>
  <si>
    <t>NUM.number.IT.Ser.Bld.Thermal.SH.Oil</t>
  </si>
  <si>
    <t>NUM.number.IT.Ser.Bld.Thermal.SH.GasHP</t>
  </si>
  <si>
    <t>NUM.number.IT.Ser.Bld.Thermal.SH.GasTH</t>
  </si>
  <si>
    <t>NUM.number.IT.Ser.Bld.Thermal.SH.Biomass</t>
  </si>
  <si>
    <t>NUM.number.IT.Ser.Bld.Thermal.SH.Geo</t>
  </si>
  <si>
    <t>NUM.number.IT.Ser.Bld.Thermal.SH.DistrHeat</t>
  </si>
  <si>
    <t>NUM.number.IT.Ser.Bld.Thermal.SH.AdvElc</t>
  </si>
  <si>
    <t>NUM.number.IT.Ser.Bld.Thermal.SH.ConvElc</t>
  </si>
  <si>
    <t>NUM.number.IT.Ser.Bld.Thermal.SC</t>
  </si>
  <si>
    <t>NUM.number.IT.Ser.Bld.Thermal.SC.GasHP</t>
  </si>
  <si>
    <t>NUM.number.IT.Ser.Bld.Thermal.SC.AC</t>
  </si>
  <si>
    <t>NUM.number.IT.Ser.Bld.Thermal.HW</t>
  </si>
  <si>
    <t>NUM.number.IT.Ser.Bld.Thermal.HW.Solids</t>
  </si>
  <si>
    <t>NUM.number.IT.Ser.Bld.Thermal.HW.LPG</t>
  </si>
  <si>
    <t>NUM.number.IT.Ser.Bld.Thermal.HW.Oil</t>
  </si>
  <si>
    <t>NUM.number.IT.Ser.Bld.Thermal.HW.Gas</t>
  </si>
  <si>
    <t>NUM.number.IT.Ser.Bld.Thermal.HW.Biomass</t>
  </si>
  <si>
    <t>NUM.number.IT.Ser.Bld.Thermal.HW.DistrHeat</t>
  </si>
  <si>
    <t>NUM.number.IT.Ser.Bld.Thermal.HW.Elc</t>
  </si>
  <si>
    <t>NUM.number.IT.Ser.Bld.Thermal.HW.Solar</t>
  </si>
  <si>
    <t>NUM.number.IT.Ser.Bld.Thermal.CA</t>
  </si>
  <si>
    <t>NUM.number.IT.Ser.Bld.Thermal.CA.LPG</t>
  </si>
  <si>
    <t>NUM.number.IT.Ser.Bld.Thermal.CA.Gas</t>
  </si>
  <si>
    <t>NUM.number.IT.Ser.Bld.Thermal.CA.Biomass</t>
  </si>
  <si>
    <t>NUM.number.IT.Ser.Bld.Thermal.CA.Elc</t>
  </si>
  <si>
    <t>IT - Final energy consumption</t>
  </si>
  <si>
    <t>FEC.ktoe.IT.Ser.Bld.Thermal.SH.Solids.Solids</t>
  </si>
  <si>
    <t>FEC.ktoe.IT.Ser.Bld.Thermal.SH.LPG.LPG</t>
  </si>
  <si>
    <t>FEC.ktoe.IT.Ser.Bld.Thermal.SH.Oil.Oil_LiqBio</t>
  </si>
  <si>
    <t>FEC.ktoe.IT.Ser.Bld.Thermal.SH.GasHP.NG_Biogas</t>
  </si>
  <si>
    <t>FEC.ktoe.IT.Ser.Bld.Thermal.SH.GasTH.NG_Biogas</t>
  </si>
  <si>
    <t>FEC.ktoe.IT.Ser.Bld.Thermal.SH.Biomass.Biomass_Waste</t>
  </si>
  <si>
    <t>FEC.ktoe.IT.Ser.Bld.Thermal.SH.Geo.Geo</t>
  </si>
  <si>
    <t>FEC.ktoe.IT.Ser.Bld.Thermal.SH.DistrHeat.Steam_Distr</t>
  </si>
  <si>
    <t>FEC.ktoe.IT.Ser.Bld.Thermal.SH.AdvElc.Elec</t>
  </si>
  <si>
    <t>FEC.ktoe.IT.Ser.Bld.Thermal.SH.ConvElc.Elec</t>
  </si>
  <si>
    <t>FEC.ktoe.IT.Ser.Bld.Thermal.SH.TotalCirculation.Elec</t>
  </si>
  <si>
    <t>FEC.ktoe.IT.Ser.Bld.Thermal.SC.GasHP.NG_Biogas</t>
  </si>
  <si>
    <t>FEC.ktoe.IT.Ser.Bld.Thermal.SC.AC.Elec</t>
  </si>
  <si>
    <t>FEC.ktoe.IT.Ser.Bld.Thermal.HW.Solids.Solids</t>
  </si>
  <si>
    <t>FEC.ktoe.IT.Ser.Bld.Thermal.HW.LPG.LPG</t>
  </si>
  <si>
    <t>FEC.ktoe.IT.Ser.Bld.Thermal.HW.Oil.Oil_LiqBio</t>
  </si>
  <si>
    <t>FEC.ktoe.IT.Ser.Bld.Thermal.HW.Gas.NG_Biogas</t>
  </si>
  <si>
    <t>FEC.ktoe.IT.Ser.Bld.Thermal.HW.Biomass.Biomass_Waste</t>
  </si>
  <si>
    <t>FEC.ktoe.IT.Ser.Bld.Thermal.HW.DistrHeat.Steam_Distr</t>
  </si>
  <si>
    <t>FEC.ktoe.IT.Ser.Bld.Thermal.HW.Elc.Elec</t>
  </si>
  <si>
    <t>FEC.ktoe.IT.Ser.Bld.Thermal.HW.TotalSolar.Solar</t>
  </si>
  <si>
    <t>FEC.ktoe.IT.Ser.Bld.Thermal.CA.LPG</t>
  </si>
  <si>
    <t>FEC.ktoe.IT.Ser.Bld.Thermal.CA.Gas.NG_Biogas</t>
  </si>
  <si>
    <t>FEC.ktoe.IT.Ser.Bld.Thermal.CA.Biomass.Biomass_Waste</t>
  </si>
  <si>
    <t>FEC.ktoe.IT.Ser.Bld.Thermal.CA.Elc.Elec</t>
  </si>
  <si>
    <t>IT - Thermal energy service</t>
  </si>
  <si>
    <t>TES.ktoe.IT.Ser.Bld.Thermal</t>
  </si>
  <si>
    <t>TES.ktoe.IT.Ser.Bld.Thermal.SH</t>
  </si>
  <si>
    <t>TES.ktoe.IT.Ser.Bld.Thermal.SH.Solids.Solids</t>
  </si>
  <si>
    <t>TES.ktoe.IT.Ser.Bld.Thermal.SH.LPG.LPG</t>
  </si>
  <si>
    <t>TES.ktoe.IT.Ser.Bld.Thermal.SH.Oil.Oil_LiqBio</t>
  </si>
  <si>
    <t>TES.ktoe.IT.Ser.Bld.Thermal.SH.GasHP.NG_Biogas</t>
  </si>
  <si>
    <t>TES.ktoe.IT.Ser.Bld.Thermal.SH.GasTH.NG_Biogas</t>
  </si>
  <si>
    <t>TES.ktoe.IT.Ser.Bld.Thermal.SH.Biomass.Biomass_Waste</t>
  </si>
  <si>
    <t>TES.ktoe.IT.Ser.Bld.Thermal.SH.Geo.Geo</t>
  </si>
  <si>
    <t>TES.ktoe.IT.Ser.Bld.Thermal.SH.DistrHeat.Steam_Distr</t>
  </si>
  <si>
    <t>TES.ktoe.IT.Ser.Bld.Thermal.SH.AdvElc.Elec</t>
  </si>
  <si>
    <t>TES.ktoe.IT.Ser.Bld.Thermal.SH.ConvElc.Elec</t>
  </si>
  <si>
    <t>TES.ktoe.IT.Ser.Bld.Thermal.SH.TotalCirculation.Elec</t>
  </si>
  <si>
    <t>TES.ktoe.IT.Ser.Bld.Thermal.SC</t>
  </si>
  <si>
    <t>TES.ktoe.IT.Ser.Bld.Thermal.SC.GasHP.NG_Biogas</t>
  </si>
  <si>
    <t>TES.ktoe.IT.Ser.Bld.Thermal.SC.AC.Elec</t>
  </si>
  <si>
    <t>TES.ktoe.IT.Ser.Bld.Thermal.HW</t>
  </si>
  <si>
    <t>TES.ktoe.IT.Ser.Bld.Thermal.HW.Solids.Solids</t>
  </si>
  <si>
    <t>TES.ktoe.IT.Ser.Bld.Thermal.HW.LPG.LPG</t>
  </si>
  <si>
    <t>TES.ktoe.IT.Ser.Bld.Thermal.HW.Oil.Oil_LiqBio</t>
  </si>
  <si>
    <t>TES.ktoe.IT.Ser.Bld.Thermal.HW.Gas.NG_Biogas</t>
  </si>
  <si>
    <t>TES.ktoe.IT.Ser.Bld.Thermal.HW.Biomass.Biomass_Waste</t>
  </si>
  <si>
    <t>TES.ktoe.IT.Ser.Bld.Thermal.HW.DistrHeat.Steam_Distr</t>
  </si>
  <si>
    <t>TES.ktoe.IT.Ser.Bld.Thermal.HW.Elc.Elec</t>
  </si>
  <si>
    <t>TES.ktoe.IT.Ser.Bld.Thermal.HW.TotalSolar.Solar</t>
  </si>
  <si>
    <t>TES.ktoe.IT.Ser.Bld.Thermal.CA</t>
  </si>
  <si>
    <t>TES.ktoe.IT.Ser.Bld.Thermal.CA.LPG</t>
  </si>
  <si>
    <t>TES.ktoe.IT.Ser.Bld.Thermal.CA.Gas.NG_Biogas</t>
  </si>
  <si>
    <t>TES.ktoe.IT.Ser.Bld.Thermal.CA.Biomass.Biomass_Waste</t>
  </si>
  <si>
    <t>TES.ktoe.IT.Ser.Bld.Thermal.CA.Elc.Elec</t>
  </si>
  <si>
    <t>IT - System efficiency indicator of total stock</t>
  </si>
  <si>
    <t>Eff.ratio.IT.Ser.Bld.Thermal.SH.Solids.Solids</t>
  </si>
  <si>
    <t>Eff.ratio.IT.Ser.Bld.Thermal.SH.LPG.LPG</t>
  </si>
  <si>
    <t>Eff.ratio.IT.Ser.Bld.Thermal.SH.Oil.Oil_LiqBio</t>
  </si>
  <si>
    <t>Eff.ratio.IT.Ser.Bld.Thermal.SH.GasHP.NG_Biogas</t>
  </si>
  <si>
    <t>Eff.ratio.IT.Ser.Bld.Thermal.SH.GasTH.NG_Biogas</t>
  </si>
  <si>
    <t>Eff.ratio.IT.Ser.Bld.Thermal.SH.Biomass.Biomass_Waste</t>
  </si>
  <si>
    <t>Eff.ratio.IT.Ser.Bld.Thermal.SH.Geo.Geo</t>
  </si>
  <si>
    <t>Eff.ratio.IT.Ser.Bld.Thermal.SH.DistrHeat.Steam_Distr</t>
  </si>
  <si>
    <t>Eff.ratio.IT.Ser.Bld.Thermal.SH.AdvElc.Elec</t>
  </si>
  <si>
    <t>Eff.ratio.IT.Ser.Bld.Thermal.SH.ConvElc.Elec</t>
  </si>
  <si>
    <t>Eff.ratio.IT.Ser.Bld.Thermal.SH.TotalCirculation.Elec</t>
  </si>
  <si>
    <t>Eff.ratio.IT.Ser.Bld.Thermal.SC.GasHP.NG_Biogas</t>
  </si>
  <si>
    <t>Eff.ratio.IT.Ser.Bld.Thermal.SC.AC.Elec</t>
  </si>
  <si>
    <t>Eff.ratio.IT.Ser.Bld.Thermal.HW.Solids.Solids</t>
  </si>
  <si>
    <t>Eff.ratio.IT.Ser.Bld.Thermal.HW.LPG.LPG</t>
  </si>
  <si>
    <t>Eff.ratio.IT.Ser.Bld.Thermal.HW.Oil.Oil_LiqBio</t>
  </si>
  <si>
    <t>Eff.ratio.IT.Ser.Bld.Thermal.HW.Gas.NG_Biogas</t>
  </si>
  <si>
    <t>Eff.ratio.IT.Ser.Bld.Thermal.HW.Biomass.Biomass_Waste</t>
  </si>
  <si>
    <t>Eff.ratio.IT.Ser.Bld.Thermal.HW.DistrHeat.Steam_Distr</t>
  </si>
  <si>
    <t>Eff.ratio.IT.Ser.Bld.Thermal.HW.Elc.Elec</t>
  </si>
  <si>
    <t>Eff.ratio.IT.Ser.Bld.Thermal.HW.TotalSolar.Solar</t>
  </si>
  <si>
    <t>Eff.ratio.IT.Ser.Bld.Thermal.CA.LPG</t>
  </si>
  <si>
    <t>Eff.ratio.IT.Ser.Bld.Thermal.CA.Gas.NG_Biogas</t>
  </si>
  <si>
    <t>Eff.ratio.IT.Ser.Bld.Thermal.CA.Biomass.Biomass_Waste</t>
  </si>
  <si>
    <t>Eff.ratio.IT.Ser.Bld.Thermal.CA.Elc.Elec</t>
  </si>
  <si>
    <t>IT - CO2 emissions</t>
  </si>
  <si>
    <t>EMI.ktCO2.IT.Ser.Bld.Thermal.SH.Solids.Solids</t>
  </si>
  <si>
    <t>EMI.ktCO2.IT.Ser.Bld.Thermal.SH.LPG.LPG</t>
  </si>
  <si>
    <t>EMI.ktCO2.IT.Ser.Bld.Thermal.SH.Oil.Oil_LiqBio</t>
  </si>
  <si>
    <t>EMI.ktCO2.IT.Ser.Bld.Thermal.SH.GasHP.NG_Biogas</t>
  </si>
  <si>
    <t>EMI.ktCO2.IT.Ser.Bld.Thermal.SH.GasTH.NG_Biogas</t>
  </si>
  <si>
    <t>EMI.ktCO2.IT.Ser.Bld.Thermal.SH.Biomass.Biomass_Waste</t>
  </si>
  <si>
    <t>EMI.ktCO2.IT.Ser.Bld.Thermal.SH.Geo.Geo</t>
  </si>
  <si>
    <t>EMI.ktCO2.IT.Ser.Bld.Thermal.SH.DistrHeat.Steam_Distr</t>
  </si>
  <si>
    <t>EMI.ktCO2.IT.Ser.Bld.Thermal.SH.AdvElc.Elec</t>
  </si>
  <si>
    <t>EMI.ktCO2.IT.Ser.Bld.Thermal.SH.ConvElc.Elec</t>
  </si>
  <si>
    <t>EMI.ktCO2.IT.Ser.Bld.Thermal.SH.TotalCirculation.Elec</t>
  </si>
  <si>
    <t>EMI.ktCO2.IT.Ser.Bld.Thermal.SC.GasHP.NG_Biogas</t>
  </si>
  <si>
    <t>EMI.ktCO2.IT.Ser.Bld.Thermal.SC.AC.Elec</t>
  </si>
  <si>
    <t>EMI.ktCO2.IT.Ser.Bld.Thermal.HW.Solids.Solids</t>
  </si>
  <si>
    <t>EMI.ktCO2.IT.Ser.Bld.Thermal.HW.LPG.LPG</t>
  </si>
  <si>
    <t>EMI.ktCO2.IT.Ser.Bld.Thermal.HW.Oil.Oil_LiqBio</t>
  </si>
  <si>
    <t>EMI.ktCO2.IT.Ser.Bld.Thermal.HW.Gas.NG_Biogas</t>
  </si>
  <si>
    <t>EMI.ktCO2.IT.Ser.Bld.Thermal.HW.Biomass.Biomass_Waste</t>
  </si>
  <si>
    <t>EMI.ktCO2.IT.Ser.Bld.Thermal.HW.DistrHeat.Steam_Distr</t>
  </si>
  <si>
    <t>EMI.ktCO2.IT.Ser.Bld.Thermal.HW.Elc.Elec</t>
  </si>
  <si>
    <t>EMI.ktCO2.IT.Ser.Bld.Thermal.HW.TotalSolar.Solar</t>
  </si>
  <si>
    <t>EMI.ktCO2.IT.Ser.Bld.Thermal.CA.LPG</t>
  </si>
  <si>
    <t>EMI.ktCO2.IT.Ser.Bld.Thermal.CA.Gas.NG_Biogas</t>
  </si>
  <si>
    <t>EMI.ktCO2.IT.Ser.Bld.Thermal.CA.Biomass.Biomass_Waste</t>
  </si>
  <si>
    <t>EMI.ktCO2.IT.Ser.Bld.Thermal.CA.Elc.Elec</t>
  </si>
  <si>
    <t>IT - Final energy consumption per building</t>
  </si>
  <si>
    <t>FEC_per_building.kWh.IT.Ser.Bld.Thermal</t>
  </si>
  <si>
    <t>FEC_per_building.kWh.IT.Ser.Bld.Thermal.SH</t>
  </si>
  <si>
    <t>FEC_per_building.kWh.IT.Ser.Bld.Thermal.SH.Solids.Solids</t>
  </si>
  <si>
    <t>FEC_per_building.kWh.IT.Ser.Bld.Thermal.SH.LPG.LPG</t>
  </si>
  <si>
    <t>FEC_per_building.kWh.IT.Ser.Bld.Thermal.SH.Oil.Oil_LiqBio</t>
  </si>
  <si>
    <t>FEC_per_building.kWh.IT.Ser.Bld.Thermal.SH.GasHP.NG_Biogas</t>
  </si>
  <si>
    <t>FEC_per_building.kWh.IT.Ser.Bld.Thermal.SH.GasTH.NG_Biogas</t>
  </si>
  <si>
    <t>FEC_per_building.kWh.IT.Ser.Bld.Thermal.SH.Biomass.Biomass_Waste</t>
  </si>
  <si>
    <t>FEC_per_building.kWh.IT.Ser.Bld.Thermal.SH.Geo.Geo</t>
  </si>
  <si>
    <t>FEC_per_building.kWh.IT.Ser.Bld.Thermal.SH.DistrHeat.Steam_Distr</t>
  </si>
  <si>
    <t>FEC_per_building.kWh.IT.Ser.Bld.Thermal.SH.AdvElc.Elec</t>
  </si>
  <si>
    <t>FEC_per_building.kWh.IT.Ser.Bld.Thermal.SH.ConvElc.Elec</t>
  </si>
  <si>
    <t>FEC_per_building.kWh.IT.Ser.Bld.Thermal.SH.TotalCirculation.Elec</t>
  </si>
  <si>
    <t>FEC_per_building.kWh.IT.Ser.Bld.Thermal.SC</t>
  </si>
  <si>
    <t>FEC_per_building.kWh.IT.Ser.Bld.Thermal.SC.GasHP.NG_Biogas</t>
  </si>
  <si>
    <t>FEC_per_building.kWh.IT.Ser.Bld.Thermal.SC.AC.Elec</t>
  </si>
  <si>
    <t>FEC_per_building.kWh.IT.Ser.Bld.Thermal.HW</t>
  </si>
  <si>
    <t>FEC_per_building.kWh.IT.Ser.Bld.Thermal.HW.Solids.Solids</t>
  </si>
  <si>
    <t>FEC_per_building.kWh.IT.Ser.Bld.Thermal.HW.LPG.LPG</t>
  </si>
  <si>
    <t>FEC_per_building.kWh.IT.Ser.Bld.Thermal.HW.Oil.Oil_LiqBio</t>
  </si>
  <si>
    <t>FEC_per_building.kWh.IT.Ser.Bld.Thermal.HW.Gas.NG_Biogas</t>
  </si>
  <si>
    <t>FEC_per_building.kWh.IT.Ser.Bld.Thermal.HW.Biomass.Biomass_Waste</t>
  </si>
  <si>
    <t>FEC_per_building.kWh.IT.Ser.Bld.Thermal.HW.DistrHeat.Steam_Distr</t>
  </si>
  <si>
    <t>FEC_per_building.kWh.IT.Ser.Bld.Thermal.HW.Elc.Elec</t>
  </si>
  <si>
    <t>FEC_per_building.kWh.IT.Ser.Bld.Thermal.HW.TotalSolar.Solar</t>
  </si>
  <si>
    <t>FEC_per_building.kWh.IT.Ser.Bld.Thermal.CA</t>
  </si>
  <si>
    <t>FEC_per_building.kWh.IT.Ser.Bld.Thermal.CA.LPG</t>
  </si>
  <si>
    <t>FEC_per_building.kWh.IT.Ser.Bld.Thermal.CA.Gas.NG_Biogas</t>
  </si>
  <si>
    <t>FEC_per_building.kWh.IT.Ser.Bld.Thermal.CA.Biomass.Biomass_Waste</t>
  </si>
  <si>
    <t>FEC_per_building.kWh.IT.Ser.Bld.Thermal.CA.Elc.Elec</t>
  </si>
  <si>
    <t>IT - Thermal energy service per building</t>
  </si>
  <si>
    <t>TES_per_building.kWh.IT.Ser.Bld.Thermal</t>
  </si>
  <si>
    <t>TES_per_building.kWh.IT.Ser.Bld.Thermal.SH</t>
  </si>
  <si>
    <t>TES_per_building.kWh.IT.Ser.Bld.Thermal.SH.Solids.Solids</t>
  </si>
  <si>
    <t>TES_per_building.kWh.IT.Ser.Bld.Thermal.SH.LPG.LPG</t>
  </si>
  <si>
    <t>TES_per_building.kWh.IT.Ser.Bld.Thermal.SH.Oil.Oil_LiqBio</t>
  </si>
  <si>
    <t>TES_per_building.kWh.IT.Ser.Bld.Thermal.SH.GasHP.NG_Biogas</t>
  </si>
  <si>
    <t>TES_per_building.kWh.IT.Ser.Bld.Thermal.SH.GasTH.NG_Biogas</t>
  </si>
  <si>
    <t>TES_per_building.kWh.IT.Ser.Bld.Thermal.SH.Biomass.Biomass_Waste</t>
  </si>
  <si>
    <t>TES_per_building.kWh.IT.Ser.Bld.Thermal.SH.Geo.Geo</t>
  </si>
  <si>
    <t>TES_per_building.kWh.IT.Ser.Bld.Thermal.SH.DistrHeat.Steam_Distr</t>
  </si>
  <si>
    <t>TES_per_building.kWh.IT.Ser.Bld.Thermal.SH.AdvElc.Elec</t>
  </si>
  <si>
    <t>TES_per_building.kWh.IT.Ser.Bld.Thermal.SH.ConvElc.Elec</t>
  </si>
  <si>
    <t>TES_per_building.kWh.IT.Ser.Bld.Thermal.SH.TotalCirculation.Elec</t>
  </si>
  <si>
    <t>TES_per_building.kWh.IT.Ser.Bld.Thermal.SC</t>
  </si>
  <si>
    <t>TES_per_building.kWh.IT.Ser.Bld.Thermal.SC.GasHP.NG_Biogas</t>
  </si>
  <si>
    <t>TES_per_building.kWh.IT.Ser.Bld.Thermal.SC.AC.Elec</t>
  </si>
  <si>
    <t>TES_per_building.kWh.IT.Ser.Bld.Thermal.HW</t>
  </si>
  <si>
    <t>TES_per_building.kWh.IT.Ser.Bld.Thermal.HW.Solids.Solids</t>
  </si>
  <si>
    <t>TES_per_building.kWh.IT.Ser.Bld.Thermal.HW.LPG.LPG</t>
  </si>
  <si>
    <t>TES_per_building.kWh.IT.Ser.Bld.Thermal.HW.Oil.Oil_LiqBio</t>
  </si>
  <si>
    <t>TES_per_building.kWh.IT.Ser.Bld.Thermal.HW.Gas.NG_Biogas</t>
  </si>
  <si>
    <t>TES_per_building.kWh.IT.Ser.Bld.Thermal.HW.Biomass.Biomass_Waste</t>
  </si>
  <si>
    <t>TES_per_building.kWh.IT.Ser.Bld.Thermal.HW.DistrHeat.Steam_Distr</t>
  </si>
  <si>
    <t>TES_per_building.kWh.IT.Ser.Bld.Thermal.HW.Elc.Elec</t>
  </si>
  <si>
    <t>TES_per_building.kWh.IT.Ser.Bld.Thermal.HW.TotalSolar.Solar</t>
  </si>
  <si>
    <t>TES_per_building.kWh.IT.Ser.Bld.Thermal.CA</t>
  </si>
  <si>
    <t>TES_per_building.kWh.IT.Ser.Bld.Thermal.CA.LPG</t>
  </si>
  <si>
    <t>TES_per_building.kWh.IT.Ser.Bld.Thermal.CA.Gas.NG_Biogas</t>
  </si>
  <si>
    <t>TES_per_building.kWh.IT.Ser.Bld.Thermal.CA.Biomass.Biomass_Waste</t>
  </si>
  <si>
    <t>TES_per_building.kWh.IT.Ser.Bld.Thermal.CA.Elc.Elec</t>
  </si>
  <si>
    <t>IT - CO2 emissions per building</t>
  </si>
  <si>
    <t>EMI_per_building.kgCO2.IT.Ser.Bld.Thermal</t>
  </si>
  <si>
    <t>EMI_per_building.kgCO2.IT.Ser.Bld.Thermal.SH</t>
  </si>
  <si>
    <t>EMI_per_building.kgCO2.IT.Ser.Bld.Thermal.SH.Solids.Solids</t>
  </si>
  <si>
    <t>EMI_per_building.kgCO2.IT.Ser.Bld.Thermal.SH.LPG.LPG</t>
  </si>
  <si>
    <t>EMI_per_building.kgCO2.IT.Ser.Bld.Thermal.SH.Oil.Oil_LiqBio</t>
  </si>
  <si>
    <t>EMI_per_building.kgCO2.IT.Ser.Bld.Thermal.SH.GasHP.NG_Biogas</t>
  </si>
  <si>
    <t>EMI_per_building.kgCO2.IT.Ser.Bld.Thermal.SH.GasTH.NG_Biogas</t>
  </si>
  <si>
    <t>EMI_per_building.kgCO2.IT.Ser.Bld.Thermal.SH.Biomass.Biomass_Waste</t>
  </si>
  <si>
    <t>EMI_per_building.kgCO2.IT.Ser.Bld.Thermal.SH.Geo.Geo</t>
  </si>
  <si>
    <t>EMI_per_building.kgCO2.IT.Ser.Bld.Thermal.SH.DistrHeat.Steam_Distr</t>
  </si>
  <si>
    <t>EMI_per_building.kgCO2.IT.Ser.Bld.Thermal.SH.AdvElc.Elec</t>
  </si>
  <si>
    <t>EMI_per_building.kgCO2.IT.Ser.Bld.Thermal.SH.ConvElc.Elec</t>
  </si>
  <si>
    <t>EMI_per_building.kgCO2.IT.Ser.Bld.Thermal.SH.TotalCirculation.Elec</t>
  </si>
  <si>
    <t>EMI_per_building.kgCO2.IT.Ser.Bld.Thermal.SC</t>
  </si>
  <si>
    <t>EMI_per_building.kgCO2.IT.Ser.Bld.Thermal.SC.GasHP.NG_Biogas</t>
  </si>
  <si>
    <t>EMI_per_building.kgCO2.IT.Ser.Bld.Thermal.SC.AC.Elec</t>
  </si>
  <si>
    <t>EMI_per_building.kgCO2.IT.Ser.Bld.Thermal.HW</t>
  </si>
  <si>
    <t>EMI_per_building.kgCO2.IT.Ser.Bld.Thermal.HW.Solids.Solids</t>
  </si>
  <si>
    <t>EMI_per_building.kgCO2.IT.Ser.Bld.Thermal.HW.LPG.LPG</t>
  </si>
  <si>
    <t>EMI_per_building.kgCO2.IT.Ser.Bld.Thermal.HW.Oil.Oil_LiqBio</t>
  </si>
  <si>
    <t>EMI_per_building.kgCO2.IT.Ser.Bld.Thermal.HW.Gas.NG_Biogas</t>
  </si>
  <si>
    <t>EMI_per_building.kgCO2.IT.Ser.Bld.Thermal.HW.Biomass.Biomass_Waste</t>
  </si>
  <si>
    <t>EMI_per_building.kgCO2.IT.Ser.Bld.Thermal.HW.DistrHeat.Steam_Distr</t>
  </si>
  <si>
    <t>EMI_per_building.kgCO2.IT.Ser.Bld.Thermal.HW.Elc.Elec</t>
  </si>
  <si>
    <t>EMI_per_building.kgCO2.IT.Ser.Bld.Thermal.HW.TotalSolar.Solar</t>
  </si>
  <si>
    <t>EMI_per_building.kgCO2.IT.Ser.Bld.Thermal.CA</t>
  </si>
  <si>
    <t>EMI_per_building.kgCO2.IT.Ser.Bld.Thermal.CA.LPG</t>
  </si>
  <si>
    <t>EMI_per_building.kgCO2.IT.Ser.Bld.Thermal.CA.Gas.NG_Biogas</t>
  </si>
  <si>
    <t>EMI_per_building.kgCO2.IT.Ser.Bld.Thermal.CA.Biomass.Biomass_Waste</t>
  </si>
  <si>
    <t>EMI_per_building.kgCO2.IT.Ser.Bld.Thermal.CA.Elc.Elec</t>
  </si>
  <si>
    <t>IT - Final energy consumption per useful surface area</t>
  </si>
  <si>
    <t>FEC_per_sqm.kWh.IT.Ser.Bld.Thermal</t>
  </si>
  <si>
    <t>FEC_per_sqm.kWh.IT.Ser.Bld.Thermal.SH</t>
  </si>
  <si>
    <t>FEC_per_sqm.kWh.IT.Ser.Bld.Thermal.SH.Solids.Solids</t>
  </si>
  <si>
    <t>FEC_per_sqm.kWh.IT.Ser.Bld.Thermal.SH.LPG.LPG</t>
  </si>
  <si>
    <t>FEC_per_sqm.kWh.IT.Ser.Bld.Thermal.SH.Oil.Oil_LiqBio</t>
  </si>
  <si>
    <t>FEC_per_sqm.kWh.IT.Ser.Bld.Thermal.SH.GasHP.NG_Biogas</t>
  </si>
  <si>
    <t>FEC_per_sqm.kWh.IT.Ser.Bld.Thermal.SH.GasTH.NG_Biogas</t>
  </si>
  <si>
    <t>FEC_per_sqm.kWh.IT.Ser.Bld.Thermal.SH.Biomass.Biomass_Waste</t>
  </si>
  <si>
    <t>FEC_per_sqm.kWh.IT.Ser.Bld.Thermal.SH.Geo.Geo</t>
  </si>
  <si>
    <t>FEC_per_sqm.kWh.IT.Ser.Bld.Thermal.SH.DistrHeat.Steam_Distr</t>
  </si>
  <si>
    <t>FEC_per_sqm.kWh.IT.Ser.Bld.Thermal.SH.AdvElc.Elec</t>
  </si>
  <si>
    <t>FEC_per_sqm.kWh.IT.Ser.Bld.Thermal.SH.ConvElc.Elec</t>
  </si>
  <si>
    <t>FEC_per_sqm.kWh.IT.Ser.Bld.Thermal.SH.TotalCirculation.Elec</t>
  </si>
  <si>
    <t>FEC_per_sqm.kWh.IT.Ser.Bld.Thermal.SC</t>
  </si>
  <si>
    <t>FEC_per_sqm.kWh.IT.Ser.Bld.Thermal.SC.GasHP.NG_Biogas</t>
  </si>
  <si>
    <t>FEC_per_sqm.kWh.IT.Ser.Bld.Thermal.SC.AC.Elec</t>
  </si>
  <si>
    <t>FEC_per_sqm.kWh.IT.Ser.Bld.Thermal.HW</t>
  </si>
  <si>
    <t>FEC_per_sqm.kWh.IT.Ser.Bld.Thermal.HW.Solids.Solids</t>
  </si>
  <si>
    <t>FEC_per_sqm.kWh.IT.Ser.Bld.Thermal.HW.LPG.LPG</t>
  </si>
  <si>
    <t>FEC_per_sqm.kWh.IT.Ser.Bld.Thermal.HW.Oil.Oil_LiqBio</t>
  </si>
  <si>
    <t>FEC_per_sqm.kWh.IT.Ser.Bld.Thermal.HW.Gas.NG_Biogas</t>
  </si>
  <si>
    <t>FEC_per_sqm.kWh.IT.Ser.Bld.Thermal.HW.Biomass.Biomass_Waste</t>
  </si>
  <si>
    <t>FEC_per_sqm.kWh.IT.Ser.Bld.Thermal.HW.DistrHeat.Steam_Distr</t>
  </si>
  <si>
    <t>FEC_per_sqm.kWh.IT.Ser.Bld.Thermal.HW.Elc.Elec</t>
  </si>
  <si>
    <t>FEC_per_sqm.kWh.IT.Ser.Bld.Thermal.HW.TotalSolar.Solar</t>
  </si>
  <si>
    <t>FEC_per_sqm.kWh.IT.Ser.Bld.Thermal.CA</t>
  </si>
  <si>
    <t>FEC_per_sqm.kWh.IT.Ser.Bld.Thermal.CA.LPG</t>
  </si>
  <si>
    <t>FEC_per_sqm.kWh.IT.Ser.Bld.Thermal.CA.Gas.NG_Biogas</t>
  </si>
  <si>
    <t>FEC_per_sqm.kWh.IT.Ser.Bld.Thermal.CA.Biomass.Biomass_Waste</t>
  </si>
  <si>
    <t>FEC_per_sqm.kWh.IT.Ser.Bld.Thermal.CA.Elc.Elec</t>
  </si>
  <si>
    <t>IT - Thermal energy service per useful surface area</t>
  </si>
  <si>
    <t>TES_per_sqm.kWh.IT.Ser.Bld.Thermal</t>
  </si>
  <si>
    <t>TES_per_sqm.kWh.IT.Ser.Bld.Thermal.SH</t>
  </si>
  <si>
    <t>TES_per_sqm.kWh.IT.Ser.Bld.Thermal.SH.Solids.Solids</t>
  </si>
  <si>
    <t>TES_per_sqm.kWh.IT.Ser.Bld.Thermal.SH.LPG.LPG</t>
  </si>
  <si>
    <t>TES_per_sqm.kWh.IT.Ser.Bld.Thermal.SH.Oil.Oil_LiqBio</t>
  </si>
  <si>
    <t>TES_per_sqm.kWh.IT.Ser.Bld.Thermal.SH.GasHP.NG_Biogas</t>
  </si>
  <si>
    <t>TES_per_sqm.kWh.IT.Ser.Bld.Thermal.SH.GasTH.NG_Biogas</t>
  </si>
  <si>
    <t>TES_per_sqm.kWh.IT.Ser.Bld.Thermal.SH.Biomass.Biomass_Waste</t>
  </si>
  <si>
    <t>TES_per_sqm.kWh.IT.Ser.Bld.Thermal.SH.Geo.Geo</t>
  </si>
  <si>
    <t>TES_per_sqm.kWh.IT.Ser.Bld.Thermal.SH.DistrHeat.Steam_Distr</t>
  </si>
  <si>
    <t>TES_per_sqm.kWh.IT.Ser.Bld.Thermal.SH.AdvElc.Elec</t>
  </si>
  <si>
    <t>TES_per_sqm.kWh.IT.Ser.Bld.Thermal.SH.ConvElc.Elec</t>
  </si>
  <si>
    <t>TES_per_sqm.kWh.IT.Ser.Bld.Thermal.SH.TotalCirculation.Elec</t>
  </si>
  <si>
    <t>TES_per_sqm.kWh.IT.Ser.Bld.Thermal.SC</t>
  </si>
  <si>
    <t>TES_per_sqm.kWh.IT.Ser.Bld.Thermal.SC.GasHP.NG_Biogas</t>
  </si>
  <si>
    <t>TES_per_sqm.kWh.IT.Ser.Bld.Thermal.SC.AC.Elec</t>
  </si>
  <si>
    <t>TES_per_sqm.kWh.IT.Ser.Bld.Thermal.HW</t>
  </si>
  <si>
    <t>TES_per_sqm.kWh.IT.Ser.Bld.Thermal.HW.Solids.Solids</t>
  </si>
  <si>
    <t>TES_per_sqm.kWh.IT.Ser.Bld.Thermal.HW.LPG.LPG</t>
  </si>
  <si>
    <t>TES_per_sqm.kWh.IT.Ser.Bld.Thermal.HW.Oil.Oil_LiqBio</t>
  </si>
  <si>
    <t>TES_per_sqm.kWh.IT.Ser.Bld.Thermal.HW.Gas.NG_Biogas</t>
  </si>
  <si>
    <t>TES_per_sqm.kWh.IT.Ser.Bld.Thermal.HW.Biomass.Biomass_Waste</t>
  </si>
  <si>
    <t>TES_per_sqm.kWh.IT.Ser.Bld.Thermal.HW.DistrHeat.Steam_Distr</t>
  </si>
  <si>
    <t>TES_per_sqm.kWh.IT.Ser.Bld.Thermal.HW.Elc.Elec</t>
  </si>
  <si>
    <t>TES_per_sqm.kWh.IT.Ser.Bld.Thermal.HW.TotalSolar.Solar</t>
  </si>
  <si>
    <t>TES_per_sqm.kWh.IT.Ser.Bld.Thermal.CA</t>
  </si>
  <si>
    <t>TES_per_sqm.kWh.IT.Ser.Bld.Thermal.CA.LPG</t>
  </si>
  <si>
    <t>TES_per_sqm.kWh.IT.Ser.Bld.Thermal.CA.Gas.NG_Biogas</t>
  </si>
  <si>
    <t>TES_per_sqm.kWh.IT.Ser.Bld.Thermal.CA.Biomass.Biomass_Waste</t>
  </si>
  <si>
    <t>TES_per_sqm.kWh.IT.Ser.Bld.Thermal.CA.Elc.Elec</t>
  </si>
  <si>
    <t>IT - CO2 emissions per useful surface area</t>
  </si>
  <si>
    <t>EMI_per_sqm.kgCO2.IT.Ser.Bld.Thermal</t>
  </si>
  <si>
    <t>EMI_per_sqm.kgCO2.IT.Ser.Bld.Thermal.SH</t>
  </si>
  <si>
    <t>EMI_per_sqm.kgCO2.IT.Ser.Bld.Thermal.SH.Solids.Solids</t>
  </si>
  <si>
    <t>EMI_per_sqm.kgCO2.IT.Ser.Bld.Thermal.SH.LPG.LPG</t>
  </si>
  <si>
    <t>EMI_per_sqm.kgCO2.IT.Ser.Bld.Thermal.SH.Oil.Oil_LiqBio</t>
  </si>
  <si>
    <t>EMI_per_sqm.kgCO2.IT.Ser.Bld.Thermal.SH.GasHP.NG_Biogas</t>
  </si>
  <si>
    <t>EMI_per_sqm.kgCO2.IT.Ser.Bld.Thermal.SH.GasTH.NG_Biogas</t>
  </si>
  <si>
    <t>EMI_per_sqm.kgCO2.IT.Ser.Bld.Thermal.SH.Biomass.Biomass_Waste</t>
  </si>
  <si>
    <t>EMI_per_sqm.kgCO2.IT.Ser.Bld.Thermal.SH.Geo.Geo</t>
  </si>
  <si>
    <t>EMI_per_sqm.kgCO2.IT.Ser.Bld.Thermal.SH.DistrHeat.Steam_Distr</t>
  </si>
  <si>
    <t>EMI_per_sqm.kgCO2.IT.Ser.Bld.Thermal.SH.AdvElc.Elec</t>
  </si>
  <si>
    <t>EMI_per_sqm.kgCO2.IT.Ser.Bld.Thermal.SH.ConvElc.Elec</t>
  </si>
  <si>
    <t>EMI_per_sqm.kgCO2.IT.Ser.Bld.Thermal.SH.TotalCirculation.Elec</t>
  </si>
  <si>
    <t>EMI_per_sqm.kgCO2.IT.Ser.Bld.Thermal.SC</t>
  </si>
  <si>
    <t>EMI_per_sqm.kgCO2.IT.Ser.Bld.Thermal.SC.GasHP.NG_Biogas</t>
  </si>
  <si>
    <t>EMI_per_sqm.kgCO2.IT.Ser.Bld.Thermal.SC.AC.Elec</t>
  </si>
  <si>
    <t>EMI_per_sqm.kgCO2.IT.Ser.Bld.Thermal.HW</t>
  </si>
  <si>
    <t>EMI_per_sqm.kgCO2.IT.Ser.Bld.Thermal.HW.Solids.Solids</t>
  </si>
  <si>
    <t>EMI_per_sqm.kgCO2.IT.Ser.Bld.Thermal.HW.LPG.LPG</t>
  </si>
  <si>
    <t>EMI_per_sqm.kgCO2.IT.Ser.Bld.Thermal.HW.Oil.Oil_LiqBio</t>
  </si>
  <si>
    <t>EMI_per_sqm.kgCO2.IT.Ser.Bld.Thermal.HW.Gas.NG_Biogas</t>
  </si>
  <si>
    <t>EMI_per_sqm.kgCO2.IT.Ser.Bld.Thermal.HW.Biomass.Biomass_Waste</t>
  </si>
  <si>
    <t>EMI_per_sqm.kgCO2.IT.Ser.Bld.Thermal.HW.DistrHeat.Steam_Distr</t>
  </si>
  <si>
    <t>EMI_per_sqm.kgCO2.IT.Ser.Bld.Thermal.HW.Elc.Elec</t>
  </si>
  <si>
    <t>EMI_per_sqm.kgCO2.IT.Ser.Bld.Thermal.HW.TotalSolar.Solar</t>
  </si>
  <si>
    <t>EMI_per_sqm.kgCO2.IT.Ser.Bld.Thermal.CA</t>
  </si>
  <si>
    <t>EMI_per_sqm.kgCO2.IT.Ser.Bld.Thermal.CA.LPG</t>
  </si>
  <si>
    <t>EMI_per_sqm.kgCO2.IT.Ser.Bld.Thermal.CA.Gas.NG_Biogas</t>
  </si>
  <si>
    <t>EMI_per_sqm.kgCO2.IT.Ser.Bld.Thermal.CA.Biomass.Biomass_Waste</t>
  </si>
  <si>
    <t>EMI_per_sqm.kgCO2.IT.Ser.Bld.Thermal.CA.Elc.Elec</t>
  </si>
  <si>
    <t>IT - Number of new and renovated buildings</t>
  </si>
  <si>
    <t>NUM.number.IT.Ser.BldNew.Thermal</t>
  </si>
  <si>
    <t>NUM.number.IT.Ser.BldNew.Thermal.SH</t>
  </si>
  <si>
    <t>NUM.number.IT.Ser.BldNew.Thermal.SH.Solids</t>
  </si>
  <si>
    <t>NUM.number.IT.Ser.BldNew.Thermal.SH.LPG</t>
  </si>
  <si>
    <t>NUM.number.IT.Ser.BldNew.Thermal.SH.Oil</t>
  </si>
  <si>
    <t>NUM.number.IT.Ser.BldNew.Thermal.SH.GasHP</t>
  </si>
  <si>
    <t>NUM.number.IT.Ser.BldNew.Thermal.SH.GasTH</t>
  </si>
  <si>
    <t>NUM.number.IT.Ser.BldNew.Thermal.SH.Biomass</t>
  </si>
  <si>
    <t>NUM.number.IT.Ser.BldNew.Thermal.SH.Geo</t>
  </si>
  <si>
    <t>NUM.number.IT.Ser.BldNew.Thermal.SH.DistrHeat</t>
  </si>
  <si>
    <t>NUM.number.IT.Ser.BldNew.Thermal.SH.AdvElc</t>
  </si>
  <si>
    <t>NUM.number.IT.Ser.BldNew.Thermal.SH.ConvElc</t>
  </si>
  <si>
    <t>NUM.number.IT.Ser.BldNew.Thermal.SC</t>
  </si>
  <si>
    <t>NUM.number.IT.Ser.BldNew.Thermal.SC.GasHP</t>
  </si>
  <si>
    <t>NUM.number.IT.Ser.BldNew.Thermal.SC.AC</t>
  </si>
  <si>
    <t>NUM.number.IT.Ser.BldNew.Thermal.HW</t>
  </si>
  <si>
    <t>NUM.number.IT.Ser.BldNew.Thermal.HW.Solids</t>
  </si>
  <si>
    <t>NUM.number.IT.Ser.BldNew.Thermal.HW.LPG</t>
  </si>
  <si>
    <t>NUM.number.IT.Ser.BldNew.Thermal.HW.Oil</t>
  </si>
  <si>
    <t>NUM.number.IT.Ser.BldNew.Thermal.HW.Gas</t>
  </si>
  <si>
    <t>NUM.number.IT.Ser.BldNew.Thermal.HW.Biomass</t>
  </si>
  <si>
    <t>NUM.number.IT.Ser.BldNew.Thermal.HW.DistrHeat</t>
  </si>
  <si>
    <t>NUM.number.IT.Ser.BldNew.Thermal.HW.Elc</t>
  </si>
  <si>
    <t>NUM.number.IT.Ser.BldNew.Thermal.HW.Solar</t>
  </si>
  <si>
    <t>NUM.number.IT.Ser.BldNew.Thermal.CA</t>
  </si>
  <si>
    <t>NUM.number.IT.Ser.BldNew.Thermal.CA.LPG</t>
  </si>
  <si>
    <t>NUM.number.IT.Ser.BldNew.Thermal.CA.Gas</t>
  </si>
  <si>
    <t>NUM.number.IT.Ser.BldNew.Thermal.CA.Biomass</t>
  </si>
  <si>
    <t>NUM.number.IT.Ser.BldNew.Thermal.CA.Elc</t>
  </si>
  <si>
    <t>IT - Final energy consumption in new and renovated buildings</t>
  </si>
  <si>
    <t>FEC.ktoe.IT.Ser.BldNew.Thermal</t>
  </si>
  <si>
    <t>FEC.ktoe.IT.Ser.BldNew.Thermal.SH</t>
  </si>
  <si>
    <t>FEC.ktoe.IT.Ser.BldNew.Thermal.SH.Solids.Solids</t>
  </si>
  <si>
    <t>FEC.ktoe.IT.Ser.BldNew.Thermal.SH.LPG.LPG</t>
  </si>
  <si>
    <t>FEC.ktoe.IT.Ser.BldNew.Thermal.SH.Oil.Oil_LiqBio</t>
  </si>
  <si>
    <t>FEC.ktoe.IT.Ser.BldNew.Thermal.SH.GasHP.NG_Biogas</t>
  </si>
  <si>
    <t>FEC.ktoe.IT.Ser.BldNew.Thermal.SH.GasTH.NG_Biogas</t>
  </si>
  <si>
    <t>FEC.ktoe.IT.Ser.BldNew.Thermal.SH.Biomass.Biomass_Waste</t>
  </si>
  <si>
    <t>FEC.ktoe.IT.Ser.BldNew.Thermal.SH.Geo.Geo</t>
  </si>
  <si>
    <t>FEC.ktoe.IT.Ser.BldNew.Thermal.SH.DistrHeat.Steam_Distr</t>
  </si>
  <si>
    <t>FEC.ktoe.IT.Ser.BldNew.Thermal.SH.AdvElc.Elec</t>
  </si>
  <si>
    <t>FEC.ktoe.IT.Ser.BldNew.Thermal.SH.ConvElc.Elec</t>
  </si>
  <si>
    <t>FEC.ktoe.IT.Ser.BldNew.Thermal.SH.TotalCirculation.Elec</t>
  </si>
  <si>
    <t>FEC.ktoe.IT.Ser.BldNew.Thermal.SC</t>
  </si>
  <si>
    <t>FEC.ktoe.IT.Ser.BldNew.Thermal.SC.GasHP.NG_Biogas</t>
  </si>
  <si>
    <t>FEC.ktoe.IT.Ser.BldNew.Thermal.SC.AC.Elec</t>
  </si>
  <si>
    <t>FEC.ktoe.IT.Ser.BldNew.Thermal.HW</t>
  </si>
  <si>
    <t>FEC.ktoe.IT.Ser.BldNew.Thermal.HW.Solids.Solids</t>
  </si>
  <si>
    <t>FEC.ktoe.IT.Ser.BldNew.Thermal.HW.LPG.LPG</t>
  </si>
  <si>
    <t>FEC.ktoe.IT.Ser.BldNew.Thermal.HW.Oil.Oil_LiqBio</t>
  </si>
  <si>
    <t>FEC.ktoe.IT.Ser.BldNew.Thermal.HW.Gas.NG_Biogas</t>
  </si>
  <si>
    <t>FEC.ktoe.IT.Ser.BldNew.Thermal.HW.Biomass.Biomass_Waste</t>
  </si>
  <si>
    <t>FEC.ktoe.IT.Ser.BldNew.Thermal.HW.DistrHeat.Steam_Distr</t>
  </si>
  <si>
    <t>FEC.ktoe.IT.Ser.BldNew.Thermal.HW.Elc.Elec</t>
  </si>
  <si>
    <t>FEC.ktoe.IT.Ser.BldNew.Thermal.HW.TotalSolar.Solar</t>
  </si>
  <si>
    <t>FEC.ktoe.IT.Ser.BldNew.Thermal.CA</t>
  </si>
  <si>
    <t>FEC.ktoe.IT.Ser.BldNew.Thermal.CA.LPG</t>
  </si>
  <si>
    <t>FEC.ktoe.IT.Ser.BldNew.Thermal.CA.Gas.NG_Biogas</t>
  </si>
  <si>
    <t>FEC.ktoe.IT.Ser.BldNew.Thermal.CA.Biomass.Biomass_Waste</t>
  </si>
  <si>
    <t>FEC.ktoe.IT.Ser.BldNew.Thermal.CA.Elc.Elec</t>
  </si>
  <si>
    <t>IT - Thermal energy service in new and renovated buildings</t>
  </si>
  <si>
    <t>TES.ktoe.IT.Ser.BldNew.Thermal</t>
  </si>
  <si>
    <t>TES.ktoe.IT.Ser.BldNew.Thermal.SH</t>
  </si>
  <si>
    <t>TES.ktoe.IT.Ser.BldNew.Thermal.SH.Solids.Solids</t>
  </si>
  <si>
    <t>TES.ktoe.IT.Ser.BldNew.Thermal.SH.LPG.LPG</t>
  </si>
  <si>
    <t>TES.ktoe.IT.Ser.BldNew.Thermal.SH.Oil.Oil_LiqBio</t>
  </si>
  <si>
    <t>TES.ktoe.IT.Ser.BldNew.Thermal.SH.GasHP.NG_Biogas</t>
  </si>
  <si>
    <t>TES.ktoe.IT.Ser.BldNew.Thermal.SH.GasTH.NG_Biogas</t>
  </si>
  <si>
    <t>TES.ktoe.IT.Ser.BldNew.Thermal.SH.Biomass.Biomass_Waste</t>
  </si>
  <si>
    <t>TES.ktoe.IT.Ser.BldNew.Thermal.SH.Geo.Geo</t>
  </si>
  <si>
    <t>TES.ktoe.IT.Ser.BldNew.Thermal.SH.DistrHeat.Steam_Distr</t>
  </si>
  <si>
    <t>TES.ktoe.IT.Ser.BldNew.Thermal.SH.AdvElc.Elec</t>
  </si>
  <si>
    <t>TES.ktoe.IT.Ser.BldNew.Thermal.SH.ConvElc.Elec</t>
  </si>
  <si>
    <t>TES.ktoe.IT.Ser.BldNew.Thermal.SH.TotalCirculation.Elec</t>
  </si>
  <si>
    <t>TES.ktoe.IT.Ser.BldNew.Thermal.SC</t>
  </si>
  <si>
    <t>TES.ktoe.IT.Ser.BldNew.Thermal.SC.GasHP.NG_Biogas</t>
  </si>
  <si>
    <t>TES.ktoe.IT.Ser.BldNew.Thermal.SC.AC.Elec</t>
  </si>
  <si>
    <t>TES.ktoe.IT.Ser.BldNew.Thermal.HW</t>
  </si>
  <si>
    <t>TES.ktoe.IT.Ser.BldNew.Thermal.HW.Solids.Solids</t>
  </si>
  <si>
    <t>TES.ktoe.IT.Ser.BldNew.Thermal.HW.LPG.LPG</t>
  </si>
  <si>
    <t>TES.ktoe.IT.Ser.BldNew.Thermal.HW.Oil.Oil_LiqBio</t>
  </si>
  <si>
    <t>TES.ktoe.IT.Ser.BldNew.Thermal.HW.Gas.NG_Biogas</t>
  </si>
  <si>
    <t>TES.ktoe.IT.Ser.BldNew.Thermal.HW.Biomass.Biomass_Waste</t>
  </si>
  <si>
    <t>TES.ktoe.IT.Ser.BldNew.Thermal.HW.DistrHeat.Steam_Distr</t>
  </si>
  <si>
    <t>TES.ktoe.IT.Ser.BldNew.Thermal.HW.Elc.Elec</t>
  </si>
  <si>
    <t>TES.ktoe.IT.Ser.BldNew.Thermal.HW.TotalSolar.Solar</t>
  </si>
  <si>
    <t>TES.ktoe.IT.Ser.BldNew.Thermal.CA</t>
  </si>
  <si>
    <t>TES.ktoe.IT.Ser.BldNew.Thermal.CA.LPG</t>
  </si>
  <si>
    <t>TES.ktoe.IT.Ser.BldNew.Thermal.CA.Gas.NG_Biogas</t>
  </si>
  <si>
    <t>TES.ktoe.IT.Ser.BldNew.Thermal.CA.Biomass.Biomass_Waste</t>
  </si>
  <si>
    <t>TES.ktoe.IT.Ser.BldNew.Thermal.CA.Elc.Elec</t>
  </si>
  <si>
    <t>IT - System efficiency indicator of new and renovated buildings</t>
  </si>
  <si>
    <t>Eff.ratio.IT.Ser.BldNew.Thermal</t>
  </si>
  <si>
    <t>Eff.ratio.IT.Ser.BldNew.Thermal.SH</t>
  </si>
  <si>
    <t>Eff.ratio.IT.Ser.BldNew.Thermal.SH.Solids.Solids</t>
  </si>
  <si>
    <t>Eff.ratio.IT.Ser.BldNew.Thermal.SH.LPG.LPG</t>
  </si>
  <si>
    <t>Eff.ratio.IT.Ser.BldNew.Thermal.SH.Oil.Oil_LiqBio</t>
  </si>
  <si>
    <t>Eff.ratio.IT.Ser.BldNew.Thermal.SH.GasHP.NG_Biogas</t>
  </si>
  <si>
    <t>Eff.ratio.IT.Ser.BldNew.Thermal.SH.GasTH.NG_Biogas</t>
  </si>
  <si>
    <t>Eff.ratio.IT.Ser.BldNew.Thermal.SH.Biomass.Biomass_Waste</t>
  </si>
  <si>
    <t>Eff.ratio.IT.Ser.BldNew.Thermal.SH.Geo.Geo</t>
  </si>
  <si>
    <t>Eff.ratio.IT.Ser.BldNew.Thermal.SH.DistrHeat.Steam_Distr</t>
  </si>
  <si>
    <t>Eff.ratio.IT.Ser.BldNew.Thermal.SH.AdvElc.Elec</t>
  </si>
  <si>
    <t>Eff.ratio.IT.Ser.BldNew.Thermal.SH.ConvElc.Elec</t>
  </si>
  <si>
    <t>Eff.ratio.IT.Ser.BldNew.Thermal.SH.TotalCirculation.Elec</t>
  </si>
  <si>
    <t>Eff.ratio.IT.Ser.BldNew.Thermal.SC</t>
  </si>
  <si>
    <t>Eff.ratio.IT.Ser.BldNew.Thermal.SC.GasHP.NG_Biogas</t>
  </si>
  <si>
    <t>Eff.ratio.IT.Ser.BldNew.Thermal.SC.AC.Elec</t>
  </si>
  <si>
    <t>Eff.ratio.IT.Ser.BldNew.Thermal.HW</t>
  </si>
  <si>
    <t>Eff.ratio.IT.Ser.BldNew.Thermal.HW.Solids.Solids</t>
  </si>
  <si>
    <t>Eff.ratio.IT.Ser.BldNew.Thermal.HW.LPG.LPG</t>
  </si>
  <si>
    <t>Eff.ratio.IT.Ser.BldNew.Thermal.HW.Oil.Oil_LiqBio</t>
  </si>
  <si>
    <t>Eff.ratio.IT.Ser.BldNew.Thermal.HW.Gas.NG_Biogas</t>
  </si>
  <si>
    <t>Eff.ratio.IT.Ser.BldNew.Thermal.HW.Biomass.Biomass_Waste</t>
  </si>
  <si>
    <t>Eff.ratio.IT.Ser.BldNew.Thermal.HW.DistrHeat.Steam_Distr</t>
  </si>
  <si>
    <t>Eff.ratio.IT.Ser.BldNew.Thermal.HW.Elc.Elec</t>
  </si>
  <si>
    <t>Eff.ratio.IT.Ser.BldNew.Thermal.HW.TotalSolar.Solar</t>
  </si>
  <si>
    <t>Eff.ratio.IT.Ser.BldNew.Thermal.CA</t>
  </si>
  <si>
    <t>Eff.ratio.IT.Ser.BldNew.Thermal.CA.LPG</t>
  </si>
  <si>
    <t>Eff.ratio.IT.Ser.BldNew.Thermal.CA.Gas.NG_Biogas</t>
  </si>
  <si>
    <t>Eff.ratio.IT.Ser.BldNew.Thermal.CA.Biomass.Biomass_Waste</t>
  </si>
  <si>
    <t>Eff.ratio.IT.Ser.BldNew.Thermal.CA.Elc.Elec</t>
  </si>
  <si>
    <t>IT - CO2 emissions in new and renovated buildings</t>
  </si>
  <si>
    <t>EMI.ktCO2.IT.Ser.BldNew.Thermal</t>
  </si>
  <si>
    <t>EMI.ktCO2.IT.Ser.BldNew.Thermal.SH</t>
  </si>
  <si>
    <t>EMI.ktCO2.IT.Ser.BldNew.Thermal.SH.Solids.Solids</t>
  </si>
  <si>
    <t>EMI.ktCO2.IT.Ser.BldNew.Thermal.SH.LPG.LPG</t>
  </si>
  <si>
    <t>EMI.ktCO2.IT.Ser.BldNew.Thermal.SH.Oil.Oil_LiqBio</t>
  </si>
  <si>
    <t>EMI.ktCO2.IT.Ser.BldNew.Thermal.SH.GasHP.NG_Biogas</t>
  </si>
  <si>
    <t>EMI.ktCO2.IT.Ser.BldNew.Thermal.SH.GasTH.NG_Biogas</t>
  </si>
  <si>
    <t>EMI.ktCO2.IT.Ser.BldNew.Thermal.SH.Biomass.Biomass_Waste</t>
  </si>
  <si>
    <t>EMI.ktCO2.IT.Ser.BldNew.Thermal.SH.Geo.Geo</t>
  </si>
  <si>
    <t>EMI.ktCO2.IT.Ser.BldNew.Thermal.SH.DistrHeat.Steam_Distr</t>
  </si>
  <si>
    <t>EMI.ktCO2.IT.Ser.BldNew.Thermal.SH.AdvElc.Elec</t>
  </si>
  <si>
    <t>EMI.ktCO2.IT.Ser.BldNew.Thermal.SH.ConvElc.Elec</t>
  </si>
  <si>
    <t>EMI.ktCO2.IT.Ser.BldNew.Thermal.SH.TotalCirculation.Elec</t>
  </si>
  <si>
    <t>EMI.ktCO2.IT.Ser.BldNew.Thermal.SC</t>
  </si>
  <si>
    <t>EMI.ktCO2.IT.Ser.BldNew.Thermal.SC.GasHP.NG_Biogas</t>
  </si>
  <si>
    <t>EMI.ktCO2.IT.Ser.BldNew.Thermal.SC.AC.Elec</t>
  </si>
  <si>
    <t>EMI.ktCO2.IT.Ser.BldNew.Thermal.HW</t>
  </si>
  <si>
    <t>EMI.ktCO2.IT.Ser.BldNew.Thermal.HW.Solids.Solids</t>
  </si>
  <si>
    <t>EMI.ktCO2.IT.Ser.BldNew.Thermal.HW.LPG.LPG</t>
  </si>
  <si>
    <t>EMI.ktCO2.IT.Ser.BldNew.Thermal.HW.Oil.Oil_LiqBio</t>
  </si>
  <si>
    <t>EMI.ktCO2.IT.Ser.BldNew.Thermal.HW.Gas.NG_Biogas</t>
  </si>
  <si>
    <t>EMI.ktCO2.IT.Ser.BldNew.Thermal.HW.Biomass.Biomass_Waste</t>
  </si>
  <si>
    <t>EMI.ktCO2.IT.Ser.BldNew.Thermal.HW.DistrHeat.Steam_Distr</t>
  </si>
  <si>
    <t>EMI.ktCO2.IT.Ser.BldNew.Thermal.HW.Elc.Elec</t>
  </si>
  <si>
    <t>EMI.ktCO2.IT.Ser.BldNew.Thermal.HW.TotalSolar.Solar</t>
  </si>
  <si>
    <t>EMI.ktCO2.IT.Ser.BldNew.Thermal.CA</t>
  </si>
  <si>
    <t>EMI.ktCO2.IT.Ser.BldNew.Thermal.CA.LPG</t>
  </si>
  <si>
    <t>EMI.ktCO2.IT.Ser.BldNew.Thermal.CA.Gas.NG_Biogas</t>
  </si>
  <si>
    <t>EMI.ktCO2.IT.Ser.BldNew.Thermal.CA.Biomass.Biomass_Waste</t>
  </si>
  <si>
    <t>EMI.ktCO2.IT.Ser.BldNew.Thermal.CA.Elc.Elec</t>
  </si>
  <si>
    <t>IT - Final energy consumption of new and renovated buildings (per building)</t>
  </si>
  <si>
    <t>FEC_per_building.kWh.IT.Ser.BldNew.Thermal</t>
  </si>
  <si>
    <t>FEC_per_building.kWh.IT.Ser.BldNew.Thermal.SH</t>
  </si>
  <si>
    <t>FEC_per_building.kWh.IT.Ser.BldNew.Thermal.SH.Solids.Solids</t>
  </si>
  <si>
    <t>FEC_per_building.kWh.IT.Ser.BldNew.Thermal.SH.LPG.LPG</t>
  </si>
  <si>
    <t>FEC_per_building.kWh.IT.Ser.BldNew.Thermal.SH.Oil.Oil_LiqBio</t>
  </si>
  <si>
    <t>FEC_per_building.kWh.IT.Ser.BldNew.Thermal.SH.GasHP.NG_Biogas</t>
  </si>
  <si>
    <t>FEC_per_building.kWh.IT.Ser.BldNew.Thermal.SH.GasTH.NG_Biogas</t>
  </si>
  <si>
    <t>FEC_per_building.kWh.IT.Ser.BldNew.Thermal.SH.Biomass.Biomass_Waste</t>
  </si>
  <si>
    <t>FEC_per_building.kWh.IT.Ser.BldNew.Thermal.SH.Geo.Geo</t>
  </si>
  <si>
    <t>FEC_per_building.kWh.IT.Ser.BldNew.Thermal.SH.DistrHeat.Steam_Distr</t>
  </si>
  <si>
    <t>FEC_per_building.kWh.IT.Ser.BldNew.Thermal.SH.AdvElc.Elec</t>
  </si>
  <si>
    <t>FEC_per_building.kWh.IT.Ser.BldNew.Thermal.SH.ConvElc.Elec</t>
  </si>
  <si>
    <t>FEC_per_building.kWh.IT.Ser.BldNew.Thermal.SH.TotalCirculation.Elec</t>
  </si>
  <si>
    <t>FEC_per_building.kWh.IT.Ser.BldNew.Thermal.SC</t>
  </si>
  <si>
    <t>FEC_per_building.kWh.IT.Ser.BldNew.Thermal.SC.GasHP.NG_Biogas</t>
  </si>
  <si>
    <t>FEC_per_building.kWh.IT.Ser.BldNew.Thermal.SC.AC.Elec</t>
  </si>
  <si>
    <t>FEC_per_building.kWh.IT.Ser.BldNew.Thermal.HW</t>
  </si>
  <si>
    <t>FEC_per_building.kWh.IT.Ser.BldNew.Thermal.HW.Solids.Solids</t>
  </si>
  <si>
    <t>FEC_per_building.kWh.IT.Ser.BldNew.Thermal.HW.LPG.LPG</t>
  </si>
  <si>
    <t>FEC_per_building.kWh.IT.Ser.BldNew.Thermal.HW.Oil.Oil_LiqBio</t>
  </si>
  <si>
    <t>FEC_per_building.kWh.IT.Ser.BldNew.Thermal.HW.Gas.NG_Biogas</t>
  </si>
  <si>
    <t>FEC_per_building.kWh.IT.Ser.BldNew.Thermal.HW.Biomass.Biomass_Waste</t>
  </si>
  <si>
    <t>FEC_per_building.kWh.IT.Ser.BldNew.Thermal.HW.DistrHeat.Steam_Distr</t>
  </si>
  <si>
    <t>FEC_per_building.kWh.IT.Ser.BldNew.Thermal.HW.Elc.Elec</t>
  </si>
  <si>
    <t>FEC_per_building.kWh.IT.Ser.BldNew.Thermal.HW.TotalSolar.Solar</t>
  </si>
  <si>
    <t>FEC_per_building.kWh.IT.Ser.BldNew.Thermal.CA</t>
  </si>
  <si>
    <t>FEC_per_building.kWh.IT.Ser.BldNew.Thermal.CA.LPG</t>
  </si>
  <si>
    <t>FEC_per_building.kWh.IT.Ser.BldNew.Thermal.CA.Gas.NG_Biogas</t>
  </si>
  <si>
    <t>FEC_per_building.kWh.IT.Ser.BldNew.Thermal.CA.Biomass.Biomass_Waste</t>
  </si>
  <si>
    <t>FEC_per_building.kWh.IT.Ser.BldNew.Thermal.CA.Elc.Elec</t>
  </si>
  <si>
    <t>IT - Thermal energy service of new and renovated buildings (per building)</t>
  </si>
  <si>
    <t>TES_per_building.kWh.IT.Ser.BldNew.Thermal</t>
  </si>
  <si>
    <t>TES_per_building.kWh.IT.Ser.BldNew.Thermal.SH</t>
  </si>
  <si>
    <t>TES_per_building.kWh.IT.Ser.BldNew.Thermal.SH.Solids.Solids</t>
  </si>
  <si>
    <t>TES_per_building.kWh.IT.Ser.BldNew.Thermal.SH.LPG.LPG</t>
  </si>
  <si>
    <t>TES_per_building.kWh.IT.Ser.BldNew.Thermal.SH.Oil.Oil_LiqBio</t>
  </si>
  <si>
    <t>TES_per_building.kWh.IT.Ser.BldNew.Thermal.SH.GasHP.NG_Biogas</t>
  </si>
  <si>
    <t>TES_per_building.kWh.IT.Ser.BldNew.Thermal.SH.GasTH.NG_Biogas</t>
  </si>
  <si>
    <t>TES_per_building.kWh.IT.Ser.BldNew.Thermal.SH.Biomass.Biomass_Waste</t>
  </si>
  <si>
    <t>TES_per_building.kWh.IT.Ser.BldNew.Thermal.SH.Geo.Geo</t>
  </si>
  <si>
    <t>TES_per_building.kWh.IT.Ser.BldNew.Thermal.SH.DistrHeat.Steam_Distr</t>
  </si>
  <si>
    <t>TES_per_building.kWh.IT.Ser.BldNew.Thermal.SH.AdvElc.Elec</t>
  </si>
  <si>
    <t>TES_per_building.kWh.IT.Ser.BldNew.Thermal.SH.ConvElc.Elec</t>
  </si>
  <si>
    <t>TES_per_building.kWh.IT.Ser.BldNew.Thermal.SH.TotalCirculation.Elec</t>
  </si>
  <si>
    <t>TES_per_building.kWh.IT.Ser.BldNew.Thermal.SC</t>
  </si>
  <si>
    <t>TES_per_building.kWh.IT.Ser.BldNew.Thermal.SC.GasHP.NG_Biogas</t>
  </si>
  <si>
    <t>TES_per_building.kWh.IT.Ser.BldNew.Thermal.SC.AC.Elec</t>
  </si>
  <si>
    <t>TES_per_building.kWh.IT.Ser.BldNew.Thermal.HW</t>
  </si>
  <si>
    <t>TES_per_building.kWh.IT.Ser.BldNew.Thermal.HW.Solids.Solids</t>
  </si>
  <si>
    <t>TES_per_building.kWh.IT.Ser.BldNew.Thermal.HW.LPG.LPG</t>
  </si>
  <si>
    <t>TES_per_building.kWh.IT.Ser.BldNew.Thermal.HW.Oil.Oil_LiqBio</t>
  </si>
  <si>
    <t>TES_per_building.kWh.IT.Ser.BldNew.Thermal.HW.Gas.NG_Biogas</t>
  </si>
  <si>
    <t>TES_per_building.kWh.IT.Ser.BldNew.Thermal.HW.Biomass.Biomass_Waste</t>
  </si>
  <si>
    <t>TES_per_building.kWh.IT.Ser.BldNew.Thermal.HW.DistrHeat.Steam_Distr</t>
  </si>
  <si>
    <t>TES_per_building.kWh.IT.Ser.BldNew.Thermal.HW.Elc.Elec</t>
  </si>
  <si>
    <t>TES_per_building.kWh.IT.Ser.BldNew.Thermal.HW.TotalSolar.Solar</t>
  </si>
  <si>
    <t>TES_per_building.kWh.IT.Ser.BldNew.Thermal.CA</t>
  </si>
  <si>
    <t>TES_per_building.kWh.IT.Ser.BldNew.Thermal.CA.LPG</t>
  </si>
  <si>
    <t>TES_per_building.kWh.IT.Ser.BldNew.Thermal.CA.Gas.NG_Biogas</t>
  </si>
  <si>
    <t>TES_per_building.kWh.IT.Ser.BldNew.Thermal.CA.Biomass.Biomass_Waste</t>
  </si>
  <si>
    <t>TES_per_building.kWh.IT.Ser.BldNew.Thermal.CA.Elc.Elec</t>
  </si>
  <si>
    <t>IT - CO2 emissions in new and renovated buildings (per building)</t>
  </si>
  <si>
    <t>EMI_per_building.kgCO2.IT.Ser.BldNew.Thermal</t>
  </si>
  <si>
    <t>EMI_per_building.kgCO2.IT.Ser.BldNew.Thermal.SH</t>
  </si>
  <si>
    <t>EMI_per_building.kgCO2.IT.Ser.BldNew.Thermal.SH.Solids.Solids</t>
  </si>
  <si>
    <t>EMI_per_building.kgCO2.IT.Ser.BldNew.Thermal.SH.LPG.LPG</t>
  </si>
  <si>
    <t>EMI_per_building.kgCO2.IT.Ser.BldNew.Thermal.SH.Oil.Oil_LiqBio</t>
  </si>
  <si>
    <t>EMI_per_building.kgCO2.IT.Ser.BldNew.Thermal.SH.GasHP.NG_Biogas</t>
  </si>
  <si>
    <t>EMI_per_building.kgCO2.IT.Ser.BldNew.Thermal.SH.GasTH.NG_Biogas</t>
  </si>
  <si>
    <t>EMI_per_building.kgCO2.IT.Ser.BldNew.Thermal.SH.Biomass.Biomass_Waste</t>
  </si>
  <si>
    <t>EMI_per_building.kgCO2.IT.Ser.BldNew.Thermal.SH.Geo.Geo</t>
  </si>
  <si>
    <t>EMI_per_building.kgCO2.IT.Ser.BldNew.Thermal.SH.DistrHeat.Steam_Distr</t>
  </si>
  <si>
    <t>EMI_per_building.kgCO2.IT.Ser.BldNew.Thermal.SH.AdvElc.Elec</t>
  </si>
  <si>
    <t>EMI_per_building.kgCO2.IT.Ser.BldNew.Thermal.SH.ConvElc.Elec</t>
  </si>
  <si>
    <t>EMI_per_building.kgCO2.IT.Ser.BldNew.Thermal.SH.TotalCirculation.Elec</t>
  </si>
  <si>
    <t>EMI_per_building.kgCO2.IT.Ser.BldNew.Thermal.SC</t>
  </si>
  <si>
    <t>EMI_per_building.kgCO2.IT.Ser.BldNew.Thermal.SC.GasHP.NG_Biogas</t>
  </si>
  <si>
    <t>EMI_per_building.kgCO2.IT.Ser.BldNew.Thermal.SC.AC.Elec</t>
  </si>
  <si>
    <t>EMI_per_building.kgCO2.IT.Ser.BldNew.Thermal.HW</t>
  </si>
  <si>
    <t>EMI_per_building.kgCO2.IT.Ser.BldNew.Thermal.HW.Solids.Solids</t>
  </si>
  <si>
    <t>EMI_per_building.kgCO2.IT.Ser.BldNew.Thermal.HW.LPG.LPG</t>
  </si>
  <si>
    <t>EMI_per_building.kgCO2.IT.Ser.BldNew.Thermal.HW.Oil.Oil_LiqBio</t>
  </si>
  <si>
    <t>EMI_per_building.kgCO2.IT.Ser.BldNew.Thermal.HW.Gas.NG_Biogas</t>
  </si>
  <si>
    <t>EMI_per_building.kgCO2.IT.Ser.BldNew.Thermal.HW.Biomass.Biomass_Waste</t>
  </si>
  <si>
    <t>EMI_per_building.kgCO2.IT.Ser.BldNew.Thermal.HW.DistrHeat.Steam_Distr</t>
  </si>
  <si>
    <t>EMI_per_building.kgCO2.IT.Ser.BldNew.Thermal.HW.Elc.Elec</t>
  </si>
  <si>
    <t>EMI_per_building.kgCO2.IT.Ser.BldNew.Thermal.HW.TotalSolar.Solar</t>
  </si>
  <si>
    <t>EMI_per_building.kgCO2.IT.Ser.BldNew.Thermal.CA</t>
  </si>
  <si>
    <t>EMI_per_building.kgCO2.IT.Ser.BldNew.Thermal.CA.LPG</t>
  </si>
  <si>
    <t>EMI_per_building.kgCO2.IT.Ser.BldNew.Thermal.CA.Gas.NG_Biogas</t>
  </si>
  <si>
    <t>EMI_per_building.kgCO2.IT.Ser.BldNew.Thermal.CA.Biomass.Biomass_Waste</t>
  </si>
  <si>
    <t>EMI_per_building.kgCO2.IT.Ser.BldNew.Thermal.CA.Elc.Elec</t>
  </si>
  <si>
    <t>IT - Final energy consumption in new and renovated buildings per surface area</t>
  </si>
  <si>
    <t>FEC_per_sqm.kWh.IT.Ser.BldNew.Thermal</t>
  </si>
  <si>
    <t>FEC_per_sqm.kWh.IT.Ser.BldNew.Thermal.SH</t>
  </si>
  <si>
    <t>FEC_per_sqm.kWh.IT.Ser.BldNew.Thermal.SH.Solids.Solids</t>
  </si>
  <si>
    <t>FEC_per_sqm.kWh.IT.Ser.BldNew.Thermal.SH.LPG.LPG</t>
  </si>
  <si>
    <t>FEC_per_sqm.kWh.IT.Ser.BldNew.Thermal.SH.Oil.Oil_LiqBio</t>
  </si>
  <si>
    <t>FEC_per_sqm.kWh.IT.Ser.BldNew.Thermal.SH.GasHP.NG_Biogas</t>
  </si>
  <si>
    <t>FEC_per_sqm.kWh.IT.Ser.BldNew.Thermal.SH.GasTH.NG_Biogas</t>
  </si>
  <si>
    <t>FEC_per_sqm.kWh.IT.Ser.BldNew.Thermal.SH.Biomass.Biomass_Waste</t>
  </si>
  <si>
    <t>FEC_per_sqm.kWh.IT.Ser.BldNew.Thermal.SH.Geo.Geo</t>
  </si>
  <si>
    <t>FEC_per_sqm.kWh.IT.Ser.BldNew.Thermal.SH.DistrHeat.Steam_Distr</t>
  </si>
  <si>
    <t>FEC_per_sqm.kWh.IT.Ser.BldNew.Thermal.SH.AdvElc.Elec</t>
  </si>
  <si>
    <t>FEC_per_sqm.kWh.IT.Ser.BldNew.Thermal.SH.ConvElc.Elec</t>
  </si>
  <si>
    <t>FEC_per_sqm.kWh.IT.Ser.BldNew.Thermal.SH.TotalCirculation.Elec</t>
  </si>
  <si>
    <t>FEC_per_sqm.kWh.IT.Ser.BldNew.Thermal.SC</t>
  </si>
  <si>
    <t>FEC_per_sqm.kWh.IT.Ser.BldNew.Thermal.SC.GasHP.NG_Biogas</t>
  </si>
  <si>
    <t>FEC_per_sqm.kWh.IT.Ser.BldNew.Thermal.SC.AC.Elec</t>
  </si>
  <si>
    <t>FEC_per_sqm.kWh.IT.Ser.BldNew.Thermal.HW</t>
  </si>
  <si>
    <t>FEC_per_sqm.kWh.IT.Ser.BldNew.Thermal.HW.Solids.Solids</t>
  </si>
  <si>
    <t>FEC_per_sqm.kWh.IT.Ser.BldNew.Thermal.HW.LPG.LPG</t>
  </si>
  <si>
    <t>FEC_per_sqm.kWh.IT.Ser.BldNew.Thermal.HW.Oil.Oil_LiqBio</t>
  </si>
  <si>
    <t>FEC_per_sqm.kWh.IT.Ser.BldNew.Thermal.HW.Gas.NG_Biogas</t>
  </si>
  <si>
    <t>FEC_per_sqm.kWh.IT.Ser.BldNew.Thermal.HW.Biomass.Biomass_Waste</t>
  </si>
  <si>
    <t>FEC_per_sqm.kWh.IT.Ser.BldNew.Thermal.HW.DistrHeat.Steam_Distr</t>
  </si>
  <si>
    <t>FEC_per_sqm.kWh.IT.Ser.BldNew.Thermal.HW.Elc.Elec</t>
  </si>
  <si>
    <t>FEC_per_sqm.kWh.IT.Ser.BldNew.Thermal.HW.TotalSolar.Solar</t>
  </si>
  <si>
    <t>FEC_per_sqm.kWh.IT.Ser.BldNew.Thermal.CA</t>
  </si>
  <si>
    <t>FEC_per_sqm.kWh.IT.Ser.BldNew.Thermal.CA.LPG</t>
  </si>
  <si>
    <t>FEC_per_sqm.kWh.IT.Ser.BldNew.Thermal.CA.Gas.NG_Biogas</t>
  </si>
  <si>
    <t>FEC_per_sqm.kWh.IT.Ser.BldNew.Thermal.CA.Biomass.Biomass_Waste</t>
  </si>
  <si>
    <t>FEC_per_sqm.kWh.IT.Ser.BldNew.Thermal.CA.Elc.Elec</t>
  </si>
  <si>
    <t>IT - Thermal energy service in new and renovated buildings per surface area</t>
  </si>
  <si>
    <t>TES_per_sqm.kWh.IT.Ser.BldNew.Thermal</t>
  </si>
  <si>
    <t>TES_per_sqm.kWh.IT.Ser.BldNew.Thermal.SH</t>
  </si>
  <si>
    <t>TES_per_sqm.kWh.IT.Ser.BldNew.Thermal.SH.Solids.Solids</t>
  </si>
  <si>
    <t>TES_per_sqm.kWh.IT.Ser.BldNew.Thermal.SH.LPG.LPG</t>
  </si>
  <si>
    <t>TES_per_sqm.kWh.IT.Ser.BldNew.Thermal.SH.Oil.Oil_LiqBio</t>
  </si>
  <si>
    <t>TES_per_sqm.kWh.IT.Ser.BldNew.Thermal.SH.GasHP.NG_Biogas</t>
  </si>
  <si>
    <t>TES_per_sqm.kWh.IT.Ser.BldNew.Thermal.SH.GasTH.NG_Biogas</t>
  </si>
  <si>
    <t>TES_per_sqm.kWh.IT.Ser.BldNew.Thermal.SH.Biomass.Biomass_Waste</t>
  </si>
  <si>
    <t>TES_per_sqm.kWh.IT.Ser.BldNew.Thermal.SH.Geo.Geo</t>
  </si>
  <si>
    <t>TES_per_sqm.kWh.IT.Ser.BldNew.Thermal.SH.DistrHeat.Steam_Distr</t>
  </si>
  <si>
    <t>TES_per_sqm.kWh.IT.Ser.BldNew.Thermal.SH.AdvElc.Elec</t>
  </si>
  <si>
    <t>TES_per_sqm.kWh.IT.Ser.BldNew.Thermal.SH.ConvElc.Elec</t>
  </si>
  <si>
    <t>TES_per_sqm.kWh.IT.Ser.BldNew.Thermal.SH.TotalCirculation.Elec</t>
  </si>
  <si>
    <t>TES_per_sqm.kWh.IT.Ser.BldNew.Thermal.SC</t>
  </si>
  <si>
    <t>TES_per_sqm.kWh.IT.Ser.BldNew.Thermal.SC.GasHP.NG_Biogas</t>
  </si>
  <si>
    <t>TES_per_sqm.kWh.IT.Ser.BldNew.Thermal.SC.AC.Elec</t>
  </si>
  <si>
    <t>TES_per_sqm.kWh.IT.Ser.BldNew.Thermal.HW</t>
  </si>
  <si>
    <t>TES_per_sqm.kWh.IT.Ser.BldNew.Thermal.HW.Solids.Solids</t>
  </si>
  <si>
    <t>TES_per_sqm.kWh.IT.Ser.BldNew.Thermal.HW.LPG.LPG</t>
  </si>
  <si>
    <t>TES_per_sqm.kWh.IT.Ser.BldNew.Thermal.HW.Oil.Oil_LiqBio</t>
  </si>
  <si>
    <t>TES_per_sqm.kWh.IT.Ser.BldNew.Thermal.HW.Gas.NG_Biogas</t>
  </si>
  <si>
    <t>TES_per_sqm.kWh.IT.Ser.BldNew.Thermal.HW.Biomass.Biomass_Waste</t>
  </si>
  <si>
    <t>TES_per_sqm.kWh.IT.Ser.BldNew.Thermal.HW.DistrHeat.Steam_Distr</t>
  </si>
  <si>
    <t>TES_per_sqm.kWh.IT.Ser.BldNew.Thermal.HW.Elc.Elec</t>
  </si>
  <si>
    <t>TES_per_sqm.kWh.IT.Ser.BldNew.Thermal.HW.TotalSolar.Solar</t>
  </si>
  <si>
    <t>TES_per_sqm.kWh.IT.Ser.BldNew.Thermal.CA</t>
  </si>
  <si>
    <t>TES_per_sqm.kWh.IT.Ser.BldNew.Thermal.CA.LPG</t>
  </si>
  <si>
    <t>TES_per_sqm.kWh.IT.Ser.BldNew.Thermal.CA.Gas.NG_Biogas</t>
  </si>
  <si>
    <t>TES_per_sqm.kWh.IT.Ser.BldNew.Thermal.CA.Biomass.Biomass_Waste</t>
  </si>
  <si>
    <t>TES_per_sqm.kWh.IT.Ser.BldNew.Thermal.CA.Elc.Elec</t>
  </si>
  <si>
    <t>IT - CO2 emissions in new and renovated buildings per surface area</t>
  </si>
  <si>
    <t>EMI_per_sqm.kgCO2.IT.Ser.BldNew.Thermal</t>
  </si>
  <si>
    <t>EMI_per_sqm.kgCO2.IT.Ser.BldNew.Thermal.SH</t>
  </si>
  <si>
    <t>EMI_per_sqm.kgCO2.IT.Ser.BldNew.Thermal.SH.Solids.Solids</t>
  </si>
  <si>
    <t>EMI_per_sqm.kgCO2.IT.Ser.BldNew.Thermal.SH.LPG.LPG</t>
  </si>
  <si>
    <t>EMI_per_sqm.kgCO2.IT.Ser.BldNew.Thermal.SH.Oil.Oil_LiqBio</t>
  </si>
  <si>
    <t>EMI_per_sqm.kgCO2.IT.Ser.BldNew.Thermal.SH.GasHP.NG_Biogas</t>
  </si>
  <si>
    <t>EMI_per_sqm.kgCO2.IT.Ser.BldNew.Thermal.SH.GasTH.NG_Biogas</t>
  </si>
  <si>
    <t>EMI_per_sqm.kgCO2.IT.Ser.BldNew.Thermal.SH.Biomass.Biomass_Waste</t>
  </si>
  <si>
    <t>EMI_per_sqm.kgCO2.IT.Ser.BldNew.Thermal.SH.Geo.Geo</t>
  </si>
  <si>
    <t>EMI_per_sqm.kgCO2.IT.Ser.BldNew.Thermal.SH.DistrHeat.Steam_Distr</t>
  </si>
  <si>
    <t>EMI_per_sqm.kgCO2.IT.Ser.BldNew.Thermal.SH.AdvElc.Elec</t>
  </si>
  <si>
    <t>EMI_per_sqm.kgCO2.IT.Ser.BldNew.Thermal.SH.ConvElc.Elec</t>
  </si>
  <si>
    <t>EMI_per_sqm.kgCO2.IT.Ser.BldNew.Thermal.SH.TotalCirculation.Elec</t>
  </si>
  <si>
    <t>EMI_per_sqm.kgCO2.IT.Ser.BldNew.Thermal.SC</t>
  </si>
  <si>
    <t>EMI_per_sqm.kgCO2.IT.Ser.BldNew.Thermal.SC.GasHP.NG_Biogas</t>
  </si>
  <si>
    <t>EMI_per_sqm.kgCO2.IT.Ser.BldNew.Thermal.SC.AC.Elec</t>
  </si>
  <si>
    <t>EMI_per_sqm.kgCO2.IT.Ser.BldNew.Thermal.HW</t>
  </si>
  <si>
    <t>EMI_per_sqm.kgCO2.IT.Ser.BldNew.Thermal.HW.Solids.Solids</t>
  </si>
  <si>
    <t>EMI_per_sqm.kgCO2.IT.Ser.BldNew.Thermal.HW.LPG.LPG</t>
  </si>
  <si>
    <t>EMI_per_sqm.kgCO2.IT.Ser.BldNew.Thermal.HW.Oil.Oil_LiqBio</t>
  </si>
  <si>
    <t>EMI_per_sqm.kgCO2.IT.Ser.BldNew.Thermal.HW.Gas.NG_Biogas</t>
  </si>
  <si>
    <t>EMI_per_sqm.kgCO2.IT.Ser.BldNew.Thermal.HW.Biomass.Biomass_Waste</t>
  </si>
  <si>
    <t>EMI_per_sqm.kgCO2.IT.Ser.BldNew.Thermal.HW.DistrHeat.Steam_Distr</t>
  </si>
  <si>
    <t>EMI_per_sqm.kgCO2.IT.Ser.BldNew.Thermal.HW.Elc.Elec</t>
  </si>
  <si>
    <t>EMI_per_sqm.kgCO2.IT.Ser.BldNew.Thermal.HW.TotalSolar.Solar</t>
  </si>
  <si>
    <t>EMI_per_sqm.kgCO2.IT.Ser.BldNew.Thermal.CA</t>
  </si>
  <si>
    <t>EMI_per_sqm.kgCO2.IT.Ser.BldNew.Thermal.CA.LPG</t>
  </si>
  <si>
    <t>EMI_per_sqm.kgCO2.IT.Ser.BldNew.Thermal.CA.Gas.NG_Biogas</t>
  </si>
  <si>
    <t>EMI_per_sqm.kgCO2.IT.Ser.BldNew.Thermal.CA.Biomass.Biomass_Waste</t>
  </si>
  <si>
    <t>EMI_per_sqm.kgCO2.IT.Ser.BldNew.Thermal.CA.Elc.Elec</t>
  </si>
  <si>
    <t>FEC.ktoe.IT.Ser.SEU.VE</t>
  </si>
  <si>
    <t>FEC.ktoe.IT.Ser.SEU.SL</t>
  </si>
  <si>
    <t>FEC.ktoe.IT.Ser.SEU.BL</t>
  </si>
  <si>
    <t>FEC.ktoe.IT.Ser.SEU.CR</t>
  </si>
  <si>
    <t>FEC.ktoe.IT.Ser.SEU.BT</t>
  </si>
  <si>
    <t>FEC.ktoe.IT.Ser.SEU.IT</t>
  </si>
  <si>
    <t>Size.MW.IT.Ser.SEU</t>
  </si>
  <si>
    <t>Size.MW.IT.Ser.SEU.VE</t>
  </si>
  <si>
    <t>Size.MW.IT.Ser.SEU.SL</t>
  </si>
  <si>
    <t>Size.MW.IT.Ser.SEU.BL</t>
  </si>
  <si>
    <t>Size.MW.IT.Ser.SEU.CR</t>
  </si>
  <si>
    <t>Size.MW.IT.Ser.SEU.BT</t>
  </si>
  <si>
    <t>Size.MW.IT.Ser.SEU.IT</t>
  </si>
  <si>
    <t>NUM.Msqm.IT.Ser.SEU.VE</t>
  </si>
  <si>
    <t>NUM.k.IT.Ser.SEU.SL</t>
  </si>
  <si>
    <t>NUM.M.IT.Ser.SEU.BL</t>
  </si>
  <si>
    <t>NUM.k.IT.Ser.SEU.CR</t>
  </si>
  <si>
    <t>NUM.Msqm.IT.Ser.SEU.BT</t>
  </si>
  <si>
    <t>NUM.k.IT.Ser.SEU.IT</t>
  </si>
  <si>
    <t>NUM.Msqm.IT.Ser.SEUnew.VE</t>
  </si>
  <si>
    <t>NUM.k.IT.Ser.SEUnew.SL</t>
  </si>
  <si>
    <t>NUM.M.IT.Ser.SEUnew.BL</t>
  </si>
  <si>
    <t>NUM.k.IT.Ser.SEUnew.CR</t>
  </si>
  <si>
    <t>NUM.Msqm.IT.Ser.SEUnew.BT</t>
  </si>
  <si>
    <t>NUM.k.IT.Ser.SEUnew.IT</t>
  </si>
  <si>
    <t>NUM.Msqm.IT.Ser.SEUrepl.VE</t>
  </si>
  <si>
    <t>NUM.k.IT.Ser.SEUrepl.SL</t>
  </si>
  <si>
    <t>NUM.M.IT.Ser.SEUrepl.BL</t>
  </si>
  <si>
    <t>NUM.k.IT.Ser.SEUrepl.CR</t>
  </si>
  <si>
    <t>NUM.Msqm.IT.Ser.SEUrepl.BT</t>
  </si>
  <si>
    <t>NUM.k.IT.Ser.SEUrepl.IT</t>
  </si>
  <si>
    <t>Op.hours.IT.Ser.SEU.VE</t>
  </si>
  <si>
    <t>Op.hours.IT.Ser.SEU.SL</t>
  </si>
  <si>
    <t>Op.hours.IT.Ser.SEU.BL</t>
  </si>
  <si>
    <t>Op.hours.IT.Ser.SEU.CR</t>
  </si>
  <si>
    <t>Op.hours.IT.Ser.SEU.BT</t>
  </si>
  <si>
    <t>Op.hours.IT.Ser.SEU.IT</t>
  </si>
  <si>
    <t>Size_per_appl.W.IT.Ser.SEU.VE</t>
  </si>
  <si>
    <t>Size_per_appl.W.IT.Ser.SEU.SL</t>
  </si>
  <si>
    <t>Size_per_appl.W.IT.Ser.SEU.BL</t>
  </si>
  <si>
    <t>Size_per_appl.W.IT.Ser.SEU.CR</t>
  </si>
  <si>
    <t>Size_per_appl.W.IT.Ser.SEU.BT</t>
  </si>
  <si>
    <t>Size_per_appl.W.IT.Ser.SEU.IT</t>
  </si>
  <si>
    <t>Size_per_appl.W.IT.Ser.SEUnew.VE</t>
  </si>
  <si>
    <t>Size_per_appl.W.IT.Ser.SEUnew.SL</t>
  </si>
  <si>
    <t>Size_per_appl.W.IT.Ser.SEUnew.BL</t>
  </si>
  <si>
    <t>Size_per_appl.W.IT.Ser.SEUnew.CR</t>
  </si>
  <si>
    <t>Size_per_appl.W.IT.Ser.SEUnew.BT</t>
  </si>
  <si>
    <t>Size_per_appl.W.IT.Ser.SEUnew.IT</t>
  </si>
  <si>
    <t>NUM.sqm_per_building.IT.Ser.SEU.VE</t>
  </si>
  <si>
    <t>NUM.number_per_capita.IT.Ser.SEU.SL</t>
  </si>
  <si>
    <t>NUM.number_per_building.IT.Ser.SEU.BL</t>
  </si>
  <si>
    <t>NUM.number_per_capita.IT.Ser.SEU.CR</t>
  </si>
  <si>
    <t>NUM.sqm_per_building.IT.Ser.SEU.BT</t>
  </si>
  <si>
    <t>NUM.number_per_capita.IT.Ser.SEU.IT</t>
  </si>
  <si>
    <t>Lumens_per_sqm.lumen.IT.Ser.SEU.BL</t>
  </si>
  <si>
    <t>FEC.ktoe.IT.Ser.SEU.IT.DataCenters</t>
  </si>
  <si>
    <t>IT - Services / specific electric uses</t>
  </si>
  <si>
    <t>IT - Ventilation and others</t>
  </si>
  <si>
    <t>IT - Street lighting</t>
  </si>
  <si>
    <t>IT - Building lighting</t>
  </si>
  <si>
    <t>IT - Commercial refrigeration</t>
  </si>
  <si>
    <t>IT - Miscellaneous building technologies</t>
  </si>
  <si>
    <t>IT - ICT and multimedia</t>
  </si>
  <si>
    <t>IT - Agriculture, forestry and fishing</t>
  </si>
  <si>
    <t>VA.Meuro2015.Meuro2023.IT.AGR.AGR</t>
  </si>
  <si>
    <t>OUTPUT.index.index.IT.AGR.AGR</t>
  </si>
  <si>
    <t>CAP.index.index.IT.AGR.AGR</t>
  </si>
  <si>
    <t>NEWCAP.index.index.IT.AGR.AGR</t>
  </si>
  <si>
    <t>CAPOUT.index.IT.AGR.AGR</t>
  </si>
  <si>
    <t>CAPIDLE.index.IT.AGR.AGR</t>
  </si>
  <si>
    <t>FEC.ktoe.IT.ES.AGR</t>
  </si>
  <si>
    <t>FEC.ktoe.IT.ES.AGR.Solids</t>
  </si>
  <si>
    <t>FEC.ktoe.IT.ES.AGR.LPG</t>
  </si>
  <si>
    <t>FEC.ktoe.IT.ES.AGR.Diesel</t>
  </si>
  <si>
    <t>FEC.ktoe.IT.ES.AGR.RFO</t>
  </si>
  <si>
    <t>FEC.ktoe.IT.ES.AGR.NG</t>
  </si>
  <si>
    <t>FEC.ktoe.IT.ES.AGR.Biomass_Waste</t>
  </si>
  <si>
    <t>FEC.ktoe.IT.ES.AGR.Biogas</t>
  </si>
  <si>
    <t>FEC.ktoe.IT.ES.AGR.LiqBio</t>
  </si>
  <si>
    <t>FEC.ktoe.IT.ES.AGR.Solar</t>
  </si>
  <si>
    <t>FEC.ktoe.IT.ES.AGR.Geo</t>
  </si>
  <si>
    <t>FEC.ktoe.IT.ES.AGR.Ambient</t>
  </si>
  <si>
    <t>FEC.ktoe.IT.ES.AGR.Steam_Distr</t>
  </si>
  <si>
    <t>FEC.ktoe.IT.ES.AGR.Elec</t>
  </si>
  <si>
    <t>IT - Agriculture, forestry and fishing / final energy consumption</t>
  </si>
  <si>
    <t>FEC.ktoe.ktoe.IT.AGR.AGR.LIGHT.GENERIC.ELEC</t>
  </si>
  <si>
    <t>FEC.ktoe.ktoe.IT.AGR.AGR.FANS.GENERIC.ELEC</t>
  </si>
  <si>
    <t>FEC.ktoe.ktoe.IT.AGR.AGR.MOTOR.GENERIC.ELEC</t>
  </si>
  <si>
    <t>FEC.ktoe.ktoe.IT.AGR.AGR.LOW_ENTH.THERM.DIESEL_LIQBIO</t>
  </si>
  <si>
    <t>FEC.ktoe.ktoe.IT.AGR.AGR.LOW_ENTH.THERM.NG_BIOGAS</t>
  </si>
  <si>
    <t>FEC.ktoe.ktoe.IT.AGR.AGR.LOW_ENTH.THERM.SOLAR_GEO</t>
  </si>
  <si>
    <t>FEC.ktoe.ktoe.IT.AGR.AGR.LOW_ENTH.HP.AMBIENT</t>
  </si>
  <si>
    <t>FEC.ktoe.ktoe.IT.AGR.AGR.LOW_ENTH.THERM.STEAM_DISTR</t>
  </si>
  <si>
    <t>FEC.ktoe.ktoe.IT.AGR.AGR.LOW_ENTH.THERM.ELEC</t>
  </si>
  <si>
    <t>FEC.ktoe.ktoe.IT.AGR.AGR.FARM_DRIVES.MECH.DIESEL_LIQBIO</t>
  </si>
  <si>
    <t>FEC.ktoe.ktoe.IT.AGR.AGR.HEAT_USE.THERM.SOLIDS</t>
  </si>
  <si>
    <t>FEC.ktoe.ktoe.IT.AGR.AGR.HEAT_USE.THERM.LPG</t>
  </si>
  <si>
    <t>FEC.ktoe.ktoe.IT.AGR.AGR.HEAT_USE.THERM.DIESEL_LIQBIO</t>
  </si>
  <si>
    <t>FEC.ktoe.ktoe.IT.AGR.AGR.HEAT_USE.THERM.RFO</t>
  </si>
  <si>
    <t>FEC.ktoe.ktoe.IT.AGR.AGR.HEAT_USE.THERM.NG_BIOGAS</t>
  </si>
  <si>
    <t>FEC.ktoe.ktoe.IT.AGR.AGR.HEAT_USE.THERM.BIOMASS_WASTE</t>
  </si>
  <si>
    <t>FEC.ktoe.ktoe.IT.AGR.AGR.HEAT_USE.THERM.SOLAR_GEO</t>
  </si>
  <si>
    <t>FEC.ktoe.ktoe.IT.AGR.AGR.FARM_PUMP.MECH.DIESEL_LIQBIO</t>
  </si>
  <si>
    <t>FEC.ktoe.ktoe.IT.AGR.AGR.FARM_PUMP_ELEC.MECH.ELEC</t>
  </si>
  <si>
    <t>FEC.ktoe.ktoe.IT.AGR.AGR.GENERIC.MECH.ELEC</t>
  </si>
  <si>
    <t>IT - Agriculture, forestry and fishing / useful energy demand</t>
  </si>
  <si>
    <t>UED.ktoe.ktoe.IT.AGR.AGR.LIGHT.GENERIC.ELEC</t>
  </si>
  <si>
    <t>UED.ktoe.ktoe.IT.AGR.AGR.FANS.GENERIC.ELEC</t>
  </si>
  <si>
    <t>UED.ktoe.ktoe.IT.AGR.AGR.MOTOR.GENERIC.ELEC</t>
  </si>
  <si>
    <t>UED.ktoe.ktoe.IT.AGR.AGR.LOW_ENTH.THERM.DIESEL_LIQBIO</t>
  </si>
  <si>
    <t>UED.ktoe.ktoe.IT.AGR.AGR.LOW_ENTH.THERM.NG_BIOGAS</t>
  </si>
  <si>
    <t>UED.ktoe.ktoe.IT.AGR.AGR.LOW_ENTH.THERM.SOLAR_GEO</t>
  </si>
  <si>
    <t>UED.ktoe.ktoe.IT.AGR.AGR.LOW_ENTH.HP.AMBIENT</t>
  </si>
  <si>
    <t>UED.ktoe.ktoe.IT.AGR.AGR.LOW_ENTH.THERM.STEAM_DISTR</t>
  </si>
  <si>
    <t>UED.ktoe.ktoe.IT.AGR.AGR.LOW_ENTH.THERM.ELEC</t>
  </si>
  <si>
    <t>UED.ktoe.ktoe.IT.AGR.AGR.FARM_DRIVES.MECH.DIESEL_LIQBIO</t>
  </si>
  <si>
    <t>UED.ktoe.ktoe.IT.AGR.AGR.HEAT_USE.THERM.SOLIDS</t>
  </si>
  <si>
    <t>UED.ktoe.ktoe.IT.AGR.AGR.HEAT_USE.THERM.LPG</t>
  </si>
  <si>
    <t>UED.ktoe.ktoe.IT.AGR.AGR.HEAT_USE.THERM.DIESEL_LIQBIO</t>
  </si>
  <si>
    <t>UED.ktoe.ktoe.IT.AGR.AGR.HEAT_USE.THERM.RFO</t>
  </si>
  <si>
    <t>UED.ktoe.ktoe.IT.AGR.AGR.HEAT_USE.THERM.NG_BIOGAS</t>
  </si>
  <si>
    <t>UED.ktoe.ktoe.IT.AGR.AGR.HEAT_USE.THERM.BIOMASS_WASTE</t>
  </si>
  <si>
    <t>UED.ktoe.ktoe.IT.AGR.AGR.HEAT_USE.THERM.SOLAR_GEO</t>
  </si>
  <si>
    <t>UED.ktoe.ktoe.IT.AGR.AGR.FARM_PUMP.MECH.DIESEL_LIQBIO</t>
  </si>
  <si>
    <t>UED.ktoe.ktoe.IT.AGR.AGR.FARM_PUMP_ELEC.MECH.ELEC</t>
  </si>
  <si>
    <t>UED.ktoe.ktoe.IT.AGR.AGR.GENERIC.MECH.ELEC</t>
  </si>
  <si>
    <t>IT - Agriculture, forestry and fishing / CO2 emissions</t>
  </si>
  <si>
    <t>FUEL_EMI.ktCO2.ktCO2.IT.AGR.AGR.LIGHT.GENERIC.ELEC</t>
  </si>
  <si>
    <t>FUEL_EMI.ktCO2.ktCO2.IT.AGR.AGR.FANS.GENERIC.ELEC</t>
  </si>
  <si>
    <t>FUEL_EMI.ktCO2.ktCO2.IT.AGR.AGR.MOTOR.GENERIC.ELEC</t>
  </si>
  <si>
    <t>FUEL_EMI.ktCO2.ktCO2.IT.AGR.AGR.LOW_ENTH.THERM.DIESEL_LIQBIO</t>
  </si>
  <si>
    <t>FUEL_EMI.ktCO2.ktCO2.IT.AGR.AGR.LOW_ENTH.THERM.NG_BIOGAS</t>
  </si>
  <si>
    <t>FUEL_EMI.ktCO2.ktCO2.IT.AGR.AGR.LOW_ENTH.THERM.SOLAR_GEO</t>
  </si>
  <si>
    <t>FUEL_EMI.ktCO2.ktCO2.IT.AGR.AGR.LOW_ENTH.HP.AMBIENT</t>
  </si>
  <si>
    <t>FUEL_EMI.ktCO2.ktCO2.IT.AGR.AGR.LOW_ENTH.THERM.STEAM_DISTR</t>
  </si>
  <si>
    <t>FUEL_EMI.ktCO2.ktCO2.IT.AGR.AGR.LOW_ENTH.THERM.ELEC</t>
  </si>
  <si>
    <t>FUEL_EMI.ktCO2.ktCO2.IT.AGR.AGR.FARM_DRIVES.MECH.DIESEL_LIQBIO</t>
  </si>
  <si>
    <t>FUEL_EMI.ktCO2.ktCO2.IT.AGR.AGR.HEAT_USE.THERM.SOLIDS</t>
  </si>
  <si>
    <t>FUEL_EMI.ktCO2.ktCO2.IT.AGR.AGR.HEAT_USE.THERM.LPG</t>
  </si>
  <si>
    <t>FUEL_EMI.ktCO2.ktCO2.IT.AGR.AGR.HEAT_USE.THERM.DIESEL_LIQBIO</t>
  </si>
  <si>
    <t>FUEL_EMI.ktCO2.ktCO2.IT.AGR.AGR.HEAT_USE.THERM.RFO</t>
  </si>
  <si>
    <t>FUEL_EMI.ktCO2.ktCO2.IT.AGR.AGR.HEAT_USE.THERM.NG_BIOGAS</t>
  </si>
  <si>
    <t>FUEL_EMI.ktCO2.ktCO2.IT.AGR.AGR.HEAT_USE.THERM.BIOMASS_WASTE</t>
  </si>
  <si>
    <t>FUEL_EMI.ktCO2.ktCO2.IT.AGR.AGR.HEAT_USE.THERM.SOLAR_GEO</t>
  </si>
  <si>
    <t>FUEL_EMI.ktCO2.ktCO2.IT.AGR.AGR.FARM_PUMP.MECH.DIESEL_LIQBIO</t>
  </si>
  <si>
    <t>FUEL_EMI.ktCO2.ktCO2.IT.AGR.AGR.FARM_PUMP_ELEC.MECH.ELEC</t>
  </si>
  <si>
    <t>FUEL_EMI.ktCO2.ktCO2.IT.AGR.AGR.GENERIC.MECH.ELEC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</si>
</sst>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0;\-#,##0.000;&quot;&quot;"/>
    <numFmt numFmtId="168" formatCode="0.0%;\-0.0%;&quot;-&quot;"/>
    <numFmt numFmtId="169" formatCode="#,##0;\-#,##0;&quot;-&quot;"/>
    <numFmt numFmtId="170" formatCode="#,##0.0;\-#,##0.0;&quot;&quot;"/>
    <numFmt numFmtId="171" formatCode="0.000;\-0.000;&quot;-&quot;"/>
    <numFmt numFmtId="172" formatCode="0.0;\-0.0;&quot;-&quot;"/>
    <numFmt numFmtId="173" formatCode="#,##0;\-#,##0;&quot;&quot;"/>
    <numFmt numFmtId="174" formatCode="#,##0.00;\-#,##0.00;&quot;-&quot;"/>
    <numFmt numFmtId="175" formatCode="#,##0.000000000000000000_ ;\-#,##0.000000000000000000\ "/>
    <numFmt numFmtId="176" formatCode="0.00%;\-0.00%;&quot;-&quot;"/>
    <numFmt numFmtId="177" formatCode="mmmm\ yyyy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sz val="8"/>
      <color theme="3" tint="-0.499984740745262"/>
      <name val="Calibri"/>
      <family val="2"/>
      <scheme val="minor"/>
    </font>
    <font>
      <sz val="10"/>
      <color theme="3" tint="-0.499984740745262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sz val="9"/>
      <color rgb="FFBE0000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9"/>
      <color rgb="FF050505"/>
      <name val="Calibri"/>
      <family val="2"/>
      <scheme val="minor"/>
    </font>
    <font>
      <sz val="10"/>
      <color rgb="FFBE0000"/>
      <name val="Calibri"/>
      <family val="2"/>
      <scheme val="minor"/>
    </font>
    <font>
      <sz val="8"/>
      <color rgb="FF006EBE"/>
      <name val="Calibri"/>
      <family val="2"/>
      <scheme val="minor"/>
    </font>
    <font>
      <sz val="8"/>
      <color rgb="FF506428"/>
      <name val="Calibri"/>
      <family val="2"/>
      <scheme val="minor"/>
    </font>
    <font>
      <sz val="8"/>
      <color rgb="FF828282"/>
      <name val="Calibri"/>
      <family val="2"/>
      <scheme val="minor"/>
    </font>
    <font>
      <b/>
      <sz val="14"/>
      <color rgb="FF006EBE"/>
      <name val="Calibri"/>
      <family val="2"/>
      <scheme val="minor"/>
    </font>
    <font>
      <i/>
      <sz val="9"/>
      <color rgb="FF050505"/>
      <name val="Calibri"/>
      <family val="2"/>
      <scheme val="minor"/>
    </font>
    <font>
      <b/>
      <sz val="9"/>
      <color rgb="FF050505"/>
      <name val="Calibri"/>
      <family val="2"/>
      <scheme val="minor"/>
    </font>
    <font>
      <vertAlign val="subscript"/>
      <sz val="9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sz val="16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CD7C3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0" fontId="9" fillId="0" borderId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" fillId="0" borderId="0"/>
  </cellStyleXfs>
  <cellXfs count="313">
    <xf numFmtId="0" fontId="0" fillId="0" borderId="0" xfId="0"/>
    <xf numFmtId="0" fontId="10" fillId="2" borderId="0" xfId="5" applyFont="1" applyFill="1" applyAlignment="1">
      <alignment vertical="center"/>
    </xf>
    <xf numFmtId="0" fontId="10" fillId="2" borderId="0" xfId="5" applyNumberFormat="1" applyFont="1" applyFill="1" applyAlignment="1">
      <alignment vertical="center"/>
    </xf>
    <xf numFmtId="166" fontId="10" fillId="2" borderId="0" xfId="5" applyNumberFormat="1" applyFont="1" applyFill="1" applyAlignment="1">
      <alignment vertical="center"/>
    </xf>
    <xf numFmtId="0" fontId="11" fillId="2" borderId="0" xfId="5" applyFont="1" applyFill="1" applyBorder="1" applyAlignment="1">
      <alignment horizontal="left" vertical="center"/>
    </xf>
    <xf numFmtId="0" fontId="11" fillId="2" borderId="0" xfId="5" applyFont="1" applyFill="1" applyAlignment="1">
      <alignment horizontal="left" vertical="center"/>
    </xf>
    <xf numFmtId="3" fontId="10" fillId="2" borderId="0" xfId="5" applyNumberFormat="1" applyFont="1" applyFill="1" applyAlignment="1">
      <alignment vertical="center"/>
    </xf>
    <xf numFmtId="0" fontId="10" fillId="2" borderId="0" xfId="5" applyNumberFormat="1" applyFont="1" applyFill="1" applyAlignment="1">
      <alignment vertical="center" shrinkToFit="1"/>
    </xf>
    <xf numFmtId="0" fontId="10" fillId="2" borderId="2" xfId="5" applyNumberFormat="1" applyFont="1" applyFill="1" applyBorder="1" applyAlignment="1">
      <alignment vertical="center" shrinkToFit="1"/>
    </xf>
    <xf numFmtId="0" fontId="10" fillId="2" borderId="5" xfId="5" applyNumberFormat="1" applyFont="1" applyFill="1" applyBorder="1" applyAlignment="1">
      <alignment vertical="center" shrinkToFit="1"/>
    </xf>
    <xf numFmtId="0" fontId="10" fillId="2" borderId="0" xfId="5" applyNumberFormat="1" applyFont="1" applyFill="1" applyBorder="1" applyAlignment="1">
      <alignment vertical="center" shrinkToFit="1"/>
    </xf>
    <xf numFmtId="0" fontId="10" fillId="2" borderId="1" xfId="5" applyNumberFormat="1" applyFont="1" applyFill="1" applyBorder="1" applyAlignment="1">
      <alignment vertical="center" shrinkToFit="1"/>
    </xf>
    <xf numFmtId="0" fontId="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0" fillId="2" borderId="0" xfId="0" applyFill="1"/>
    <xf numFmtId="0" fontId="6" fillId="2" borderId="1" xfId="0" applyFont="1" applyFill="1" applyBorder="1"/>
    <xf numFmtId="0" fontId="5" fillId="2" borderId="0" xfId="0" applyFont="1" applyFill="1"/>
    <xf numFmtId="0" fontId="4" fillId="2" borderId="0" xfId="3" applyFont="1" applyFill="1"/>
    <xf numFmtId="0" fontId="3" fillId="2" borderId="0" xfId="3" applyFill="1"/>
    <xf numFmtId="0" fontId="4" fillId="2" borderId="0" xfId="3" applyFont="1" applyFill="1" applyAlignment="1">
      <alignment horizontal="left"/>
    </xf>
    <xf numFmtId="0" fontId="4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left" indent="1"/>
    </xf>
    <xf numFmtId="0" fontId="14" fillId="2" borderId="0" xfId="3" applyFont="1" applyFill="1"/>
    <xf numFmtId="0" fontId="14" fillId="2" borderId="0" xfId="3" applyFont="1" applyFill="1" applyAlignment="1">
      <alignment horizontal="left" indent="1"/>
    </xf>
    <xf numFmtId="0" fontId="14" fillId="2" borderId="0" xfId="3" applyFont="1" applyFill="1" applyAlignment="1">
      <alignment horizontal="left" indent="2"/>
    </xf>
    <xf numFmtId="1" fontId="16" fillId="3" borderId="2" xfId="5" applyNumberFormat="1" applyFont="1" applyFill="1" applyBorder="1" applyAlignment="1">
      <alignment horizontal="center" vertical="center"/>
    </xf>
    <xf numFmtId="0" fontId="15" fillId="3" borderId="2" xfId="5" applyFont="1" applyFill="1" applyBorder="1" applyAlignment="1">
      <alignment horizontal="left" vertical="center" wrapText="1"/>
    </xf>
    <xf numFmtId="172" fontId="10" fillId="2" borderId="0" xfId="5" applyNumberFormat="1" applyFont="1" applyFill="1" applyBorder="1" applyAlignment="1">
      <alignment vertical="center"/>
    </xf>
    <xf numFmtId="0" fontId="12" fillId="2" borderId="2" xfId="5" applyNumberFormat="1" applyFont="1" applyFill="1" applyBorder="1" applyAlignment="1">
      <alignment horizontal="left" vertical="center"/>
    </xf>
    <xf numFmtId="0" fontId="11" fillId="2" borderId="2" xfId="5" applyNumberFormat="1" applyFont="1" applyFill="1" applyBorder="1" applyAlignment="1">
      <alignment vertical="center"/>
    </xf>
    <xf numFmtId="0" fontId="11" fillId="2" borderId="2" xfId="5" applyNumberFormat="1" applyFont="1" applyFill="1" applyBorder="1" applyAlignment="1">
      <alignment vertical="center" shrinkToFit="1"/>
    </xf>
    <xf numFmtId="0" fontId="16" fillId="2" borderId="5" xfId="5" applyFont="1" applyFill="1" applyBorder="1" applyAlignment="1">
      <alignment horizontal="left" vertical="center"/>
    </xf>
    <xf numFmtId="169" fontId="17" fillId="2" borderId="5" xfId="5" applyNumberFormat="1" applyFont="1" applyFill="1" applyBorder="1" applyAlignment="1">
      <alignment vertical="center"/>
    </xf>
    <xf numFmtId="0" fontId="16" fillId="2" borderId="0" xfId="5" applyFont="1" applyFill="1" applyBorder="1" applyAlignment="1">
      <alignment horizontal="left" vertical="center"/>
    </xf>
    <xf numFmtId="169" fontId="17" fillId="2" borderId="0" xfId="5" applyNumberFormat="1" applyFont="1" applyFill="1" applyBorder="1" applyAlignment="1">
      <alignment vertical="center"/>
    </xf>
    <xf numFmtId="0" fontId="16" fillId="2" borderId="1" xfId="5" applyFont="1" applyFill="1" applyBorder="1" applyAlignment="1">
      <alignment horizontal="left" vertical="center"/>
    </xf>
    <xf numFmtId="169" fontId="17" fillId="2" borderId="1" xfId="5" applyNumberFormat="1" applyFont="1" applyFill="1" applyBorder="1" applyAlignment="1">
      <alignment vertical="center"/>
    </xf>
    <xf numFmtId="0" fontId="16" fillId="2" borderId="3" xfId="5" applyFont="1" applyFill="1" applyBorder="1" applyAlignment="1">
      <alignment horizontal="left" vertical="center"/>
    </xf>
    <xf numFmtId="169" fontId="17" fillId="2" borderId="3" xfId="5" applyNumberFormat="1" applyFont="1" applyFill="1" applyBorder="1" applyAlignment="1">
      <alignment vertical="center"/>
    </xf>
    <xf numFmtId="173" fontId="17" fillId="2" borderId="0" xfId="5" applyNumberFormat="1" applyFont="1" applyFill="1" applyBorder="1" applyAlignment="1">
      <alignment vertical="center"/>
    </xf>
    <xf numFmtId="173" fontId="17" fillId="2" borderId="1" xfId="5" applyNumberFormat="1" applyFont="1" applyFill="1" applyBorder="1" applyAlignment="1">
      <alignment vertical="center"/>
    </xf>
    <xf numFmtId="172" fontId="17" fillId="2" borderId="5" xfId="5" applyNumberFormat="1" applyFont="1" applyFill="1" applyBorder="1" applyAlignment="1">
      <alignment vertical="center"/>
    </xf>
    <xf numFmtId="172" fontId="17" fillId="2" borderId="0" xfId="5" applyNumberFormat="1" applyFont="1" applyFill="1" applyBorder="1" applyAlignment="1">
      <alignment vertical="center"/>
    </xf>
    <xf numFmtId="0" fontId="18" fillId="2" borderId="1" xfId="5" applyFont="1" applyFill="1" applyBorder="1" applyAlignment="1">
      <alignment horizontal="left" vertical="center"/>
    </xf>
    <xf numFmtId="171" fontId="17" fillId="2" borderId="1" xfId="5" applyNumberFormat="1" applyFont="1" applyFill="1" applyBorder="1" applyAlignment="1">
      <alignment vertical="center"/>
    </xf>
    <xf numFmtId="0" fontId="15" fillId="4" borderId="2" xfId="5" applyNumberFormat="1" applyFont="1" applyFill="1" applyBorder="1" applyAlignment="1">
      <alignment horizontal="left" vertical="center"/>
    </xf>
    <xf numFmtId="0" fontId="19" fillId="4" borderId="2" xfId="5" applyNumberFormat="1" applyFont="1" applyFill="1" applyBorder="1" applyAlignment="1">
      <alignment vertical="center"/>
    </xf>
    <xf numFmtId="0" fontId="16" fillId="2" borderId="5" xfId="5" applyFont="1" applyFill="1" applyBorder="1" applyAlignment="1">
      <alignment horizontal="left" vertical="center" indent="1"/>
    </xf>
    <xf numFmtId="0" fontId="16" fillId="2" borderId="0" xfId="5" applyFont="1" applyFill="1" applyBorder="1" applyAlignment="1">
      <alignment horizontal="left" vertical="center" indent="1"/>
    </xf>
    <xf numFmtId="0" fontId="16" fillId="2" borderId="1" xfId="5" applyFont="1" applyFill="1" applyBorder="1" applyAlignment="1">
      <alignment horizontal="left" vertical="center" indent="1"/>
    </xf>
    <xf numFmtId="165" fontId="17" fillId="2" borderId="1" xfId="5" applyNumberFormat="1" applyFont="1" applyFill="1" applyBorder="1" applyAlignment="1">
      <alignment vertical="center"/>
    </xf>
    <xf numFmtId="165" fontId="17" fillId="2" borderId="5" xfId="5" applyNumberFormat="1" applyFont="1" applyFill="1" applyBorder="1" applyAlignment="1">
      <alignment vertical="center"/>
    </xf>
    <xf numFmtId="165" fontId="17" fillId="2" borderId="0" xfId="5" applyNumberFormat="1" applyFont="1" applyFill="1" applyBorder="1" applyAlignment="1">
      <alignment vertical="center"/>
    </xf>
    <xf numFmtId="166" fontId="17" fillId="2" borderId="0" xfId="5" applyNumberFormat="1" applyFont="1" applyFill="1" applyBorder="1" applyAlignment="1">
      <alignment vertical="center"/>
    </xf>
    <xf numFmtId="167" fontId="17" fillId="2" borderId="1" xfId="5" applyNumberFormat="1" applyFont="1" applyFill="1" applyBorder="1" applyAlignment="1">
      <alignment vertical="center"/>
    </xf>
    <xf numFmtId="170" fontId="17" fillId="2" borderId="1" xfId="5" applyNumberFormat="1" applyFont="1" applyFill="1" applyBorder="1" applyAlignment="1">
      <alignment vertical="center"/>
    </xf>
    <xf numFmtId="0" fontId="17" fillId="2" borderId="5" xfId="5" applyFont="1" applyFill="1" applyBorder="1" applyAlignment="1">
      <alignment horizontal="left" vertical="center" indent="2"/>
    </xf>
    <xf numFmtId="166" fontId="17" fillId="2" borderId="5" xfId="5" applyNumberFormat="1" applyFont="1" applyFill="1" applyBorder="1" applyAlignment="1">
      <alignment vertical="center"/>
    </xf>
    <xf numFmtId="0" fontId="17" fillId="2" borderId="0" xfId="5" applyFont="1" applyFill="1" applyBorder="1" applyAlignment="1">
      <alignment horizontal="left" vertical="center" indent="2"/>
    </xf>
    <xf numFmtId="0" fontId="17" fillId="2" borderId="0" xfId="5" applyFont="1" applyFill="1" applyBorder="1" applyAlignment="1">
      <alignment horizontal="left" vertical="center" indent="3"/>
    </xf>
    <xf numFmtId="0" fontId="17" fillId="2" borderId="1" xfId="5" applyFont="1" applyFill="1" applyBorder="1" applyAlignment="1">
      <alignment horizontal="left" vertical="center" indent="2"/>
    </xf>
    <xf numFmtId="166" fontId="17" fillId="2" borderId="1" xfId="5" applyNumberFormat="1" applyFont="1" applyFill="1" applyBorder="1" applyAlignment="1">
      <alignment vertical="center"/>
    </xf>
    <xf numFmtId="166" fontId="17" fillId="2" borderId="4" xfId="1" applyNumberFormat="1" applyFont="1" applyFill="1" applyBorder="1" applyAlignment="1">
      <alignment vertical="center"/>
    </xf>
    <xf numFmtId="166" fontId="17" fillId="2" borderId="0" xfId="1" applyNumberFormat="1" applyFont="1" applyFill="1" applyBorder="1" applyAlignment="1">
      <alignment vertical="center"/>
    </xf>
    <xf numFmtId="0" fontId="17" fillId="2" borderId="3" xfId="5" applyFont="1" applyFill="1" applyBorder="1" applyAlignment="1">
      <alignment horizontal="left" vertical="center" indent="3"/>
    </xf>
    <xf numFmtId="166" fontId="17" fillId="2" borderId="3" xfId="1" applyNumberFormat="1" applyFont="1" applyFill="1" applyBorder="1" applyAlignment="1">
      <alignment vertical="center"/>
    </xf>
    <xf numFmtId="166" fontId="17" fillId="2" borderId="1" xfId="1" applyNumberFormat="1" applyFont="1" applyFill="1" applyBorder="1" applyAlignment="1">
      <alignment vertical="center"/>
    </xf>
    <xf numFmtId="0" fontId="18" fillId="2" borderId="2" xfId="5" applyFont="1" applyFill="1" applyBorder="1" applyAlignment="1">
      <alignment horizontal="left" vertical="center" indent="2"/>
    </xf>
    <xf numFmtId="168" fontId="17" fillId="2" borderId="2" xfId="5" applyNumberFormat="1" applyFont="1" applyFill="1" applyBorder="1" applyAlignment="1">
      <alignment vertical="center"/>
    </xf>
    <xf numFmtId="168" fontId="17" fillId="2" borderId="5" xfId="5" applyNumberFormat="1" applyFont="1" applyFill="1" applyBorder="1" applyAlignment="1">
      <alignment vertical="center"/>
    </xf>
    <xf numFmtId="168" fontId="17" fillId="2" borderId="0" xfId="5" applyNumberFormat="1" applyFont="1" applyFill="1" applyBorder="1" applyAlignment="1">
      <alignment vertical="center"/>
    </xf>
    <xf numFmtId="168" fontId="17" fillId="2" borderId="1" xfId="5" applyNumberFormat="1" applyFont="1" applyFill="1" applyBorder="1" applyAlignment="1">
      <alignment vertical="center"/>
    </xf>
    <xf numFmtId="0" fontId="17" fillId="2" borderId="1" xfId="5" applyFont="1" applyFill="1" applyBorder="1" applyAlignment="1">
      <alignment horizontal="left" vertical="center" indent="3"/>
    </xf>
    <xf numFmtId="167" fontId="17" fillId="2" borderId="5" xfId="5" applyNumberFormat="1" applyFont="1" applyFill="1" applyBorder="1" applyAlignment="1">
      <alignment vertical="center"/>
    </xf>
    <xf numFmtId="167" fontId="17" fillId="2" borderId="0" xfId="5" applyNumberFormat="1" applyFont="1" applyFill="1" applyBorder="1" applyAlignment="1">
      <alignment vertical="center"/>
    </xf>
    <xf numFmtId="0" fontId="18" fillId="2" borderId="4" xfId="5" applyFont="1" applyFill="1" applyBorder="1" applyAlignment="1">
      <alignment horizontal="left" vertical="center" indent="2"/>
    </xf>
    <xf numFmtId="0" fontId="18" fillId="2" borderId="1" xfId="5" applyFont="1" applyFill="1" applyBorder="1" applyAlignment="1">
      <alignment horizontal="left" vertical="center" indent="2"/>
    </xf>
    <xf numFmtId="0" fontId="20" fillId="5" borderId="2" xfId="5" applyFont="1" applyFill="1" applyBorder="1" applyAlignment="1">
      <alignment horizontal="left" vertical="center" indent="1"/>
    </xf>
    <xf numFmtId="166" fontId="21" fillId="5" borderId="2" xfId="5" applyNumberFormat="1" applyFont="1" applyFill="1" applyBorder="1" applyAlignment="1">
      <alignment vertical="center"/>
    </xf>
    <xf numFmtId="0" fontId="20" fillId="5" borderId="5" xfId="5" applyFont="1" applyFill="1" applyBorder="1" applyAlignment="1">
      <alignment horizontal="left" vertical="center" indent="1"/>
    </xf>
    <xf numFmtId="166" fontId="21" fillId="5" borderId="5" xfId="5" applyNumberFormat="1" applyFont="1" applyFill="1" applyBorder="1" applyAlignment="1">
      <alignment vertical="center"/>
    </xf>
    <xf numFmtId="168" fontId="22" fillId="5" borderId="2" xfId="2" applyNumberFormat="1" applyFont="1" applyFill="1" applyBorder="1" applyAlignment="1">
      <alignment vertical="center"/>
    </xf>
    <xf numFmtId="0" fontId="20" fillId="5" borderId="4" xfId="5" applyFont="1" applyFill="1" applyBorder="1" applyAlignment="1">
      <alignment horizontal="left" vertical="center" indent="1"/>
    </xf>
    <xf numFmtId="166" fontId="21" fillId="5" borderId="4" xfId="5" applyNumberFormat="1" applyFont="1" applyFill="1" applyBorder="1" applyAlignment="1">
      <alignment vertical="center"/>
    </xf>
    <xf numFmtId="167" fontId="22" fillId="5" borderId="2" xfId="1" applyNumberFormat="1" applyFont="1" applyFill="1" applyBorder="1" applyAlignment="1">
      <alignment vertical="center"/>
    </xf>
    <xf numFmtId="1" fontId="16" fillId="3" borderId="2" xfId="5" applyNumberFormat="1" applyFont="1" applyFill="1" applyBorder="1" applyAlignment="1">
      <alignment horizontal="center" vertical="center" shrinkToFit="1"/>
    </xf>
    <xf numFmtId="169" fontId="17" fillId="2" borderId="5" xfId="5" applyNumberFormat="1" applyFont="1" applyFill="1" applyBorder="1" applyAlignment="1">
      <alignment vertical="center" shrinkToFit="1"/>
    </xf>
    <xf numFmtId="169" fontId="17" fillId="2" borderId="0" xfId="5" applyNumberFormat="1" applyFont="1" applyFill="1" applyBorder="1" applyAlignment="1">
      <alignment vertical="center" shrinkToFit="1"/>
    </xf>
    <xf numFmtId="169" fontId="17" fillId="2" borderId="1" xfId="5" applyNumberFormat="1" applyFont="1" applyFill="1" applyBorder="1" applyAlignment="1">
      <alignment vertical="center" shrinkToFit="1"/>
    </xf>
    <xf numFmtId="169" fontId="17" fillId="2" borderId="3" xfId="5" applyNumberFormat="1" applyFont="1" applyFill="1" applyBorder="1" applyAlignment="1">
      <alignment vertical="center" shrinkToFit="1"/>
    </xf>
    <xf numFmtId="173" fontId="17" fillId="2" borderId="0" xfId="5" applyNumberFormat="1" applyFont="1" applyFill="1" applyBorder="1" applyAlignment="1">
      <alignment vertical="center" shrinkToFit="1"/>
    </xf>
    <xf numFmtId="173" fontId="17" fillId="2" borderId="1" xfId="5" applyNumberFormat="1" applyFont="1" applyFill="1" applyBorder="1" applyAlignment="1">
      <alignment vertical="center" shrinkToFit="1"/>
    </xf>
    <xf numFmtId="172" fontId="17" fillId="2" borderId="5" xfId="5" applyNumberFormat="1" applyFont="1" applyFill="1" applyBorder="1" applyAlignment="1">
      <alignment vertical="center" shrinkToFit="1"/>
    </xf>
    <xf numFmtId="172" fontId="17" fillId="2" borderId="0" xfId="5" applyNumberFormat="1" applyFont="1" applyFill="1" applyBorder="1" applyAlignment="1">
      <alignment vertical="center" shrinkToFit="1"/>
    </xf>
    <xf numFmtId="171" fontId="17" fillId="2" borderId="1" xfId="5" applyNumberFormat="1" applyFont="1" applyFill="1" applyBorder="1" applyAlignment="1">
      <alignment vertical="center" shrinkToFit="1"/>
    </xf>
    <xf numFmtId="0" fontId="19" fillId="4" borderId="2" xfId="5" applyNumberFormat="1" applyFont="1" applyFill="1" applyBorder="1" applyAlignment="1">
      <alignment vertical="center" shrinkToFit="1"/>
    </xf>
    <xf numFmtId="165" fontId="17" fillId="2" borderId="1" xfId="5" applyNumberFormat="1" applyFont="1" applyFill="1" applyBorder="1" applyAlignment="1">
      <alignment vertical="center" shrinkToFit="1"/>
    </xf>
    <xf numFmtId="165" fontId="17" fillId="2" borderId="5" xfId="5" applyNumberFormat="1" applyFont="1" applyFill="1" applyBorder="1" applyAlignment="1">
      <alignment vertical="center" shrinkToFit="1"/>
    </xf>
    <xf numFmtId="165" fontId="17" fillId="2" borderId="0" xfId="5" applyNumberFormat="1" applyFont="1" applyFill="1" applyBorder="1" applyAlignment="1">
      <alignment vertical="center" shrinkToFit="1"/>
    </xf>
    <xf numFmtId="166" fontId="17" fillId="2" borderId="0" xfId="5" applyNumberFormat="1" applyFont="1" applyFill="1" applyBorder="1" applyAlignment="1">
      <alignment vertical="center" shrinkToFit="1"/>
    </xf>
    <xf numFmtId="170" fontId="17" fillId="2" borderId="1" xfId="5" applyNumberFormat="1" applyFont="1" applyFill="1" applyBorder="1" applyAlignment="1">
      <alignment vertical="center" shrinkToFit="1"/>
    </xf>
    <xf numFmtId="166" fontId="21" fillId="5" borderId="2" xfId="5" applyNumberFormat="1" applyFont="1" applyFill="1" applyBorder="1" applyAlignment="1">
      <alignment vertical="center" shrinkToFit="1"/>
    </xf>
    <xf numFmtId="166" fontId="17" fillId="2" borderId="5" xfId="5" applyNumberFormat="1" applyFont="1" applyFill="1" applyBorder="1" applyAlignment="1">
      <alignment vertical="center" shrinkToFit="1"/>
    </xf>
    <xf numFmtId="166" fontId="17" fillId="2" borderId="1" xfId="5" applyNumberFormat="1" applyFont="1" applyFill="1" applyBorder="1" applyAlignment="1">
      <alignment vertical="center" shrinkToFit="1"/>
    </xf>
    <xf numFmtId="166" fontId="10" fillId="2" borderId="0" xfId="5" applyNumberFormat="1" applyFont="1" applyFill="1" applyAlignment="1">
      <alignment vertical="center" shrinkToFit="1"/>
    </xf>
    <xf numFmtId="166" fontId="21" fillId="5" borderId="5" xfId="5" applyNumberFormat="1" applyFont="1" applyFill="1" applyBorder="1" applyAlignment="1">
      <alignment vertical="center" shrinkToFit="1"/>
    </xf>
    <xf numFmtId="166" fontId="17" fillId="2" borderId="4" xfId="1" applyNumberFormat="1" applyFont="1" applyFill="1" applyBorder="1" applyAlignment="1">
      <alignment vertical="center" shrinkToFit="1"/>
    </xf>
    <xf numFmtId="166" fontId="17" fillId="2" borderId="0" xfId="1" applyNumberFormat="1" applyFont="1" applyFill="1" applyBorder="1" applyAlignment="1">
      <alignment vertical="center" shrinkToFit="1"/>
    </xf>
    <xf numFmtId="166" fontId="17" fillId="2" borderId="3" xfId="1" applyNumberFormat="1" applyFont="1" applyFill="1" applyBorder="1" applyAlignment="1">
      <alignment vertical="center" shrinkToFit="1"/>
    </xf>
    <xf numFmtId="166" fontId="17" fillId="2" borderId="1" xfId="1" applyNumberFormat="1" applyFont="1" applyFill="1" applyBorder="1" applyAlignment="1">
      <alignment vertical="center" shrinkToFit="1"/>
    </xf>
    <xf numFmtId="168" fontId="22" fillId="5" borderId="2" xfId="2" applyNumberFormat="1" applyFont="1" applyFill="1" applyBorder="1" applyAlignment="1">
      <alignment vertical="center" shrinkToFit="1"/>
    </xf>
    <xf numFmtId="168" fontId="17" fillId="2" borderId="2" xfId="5" applyNumberFormat="1" applyFont="1" applyFill="1" applyBorder="1" applyAlignment="1">
      <alignment vertical="center" shrinkToFit="1"/>
    </xf>
    <xf numFmtId="168" fontId="17" fillId="2" borderId="5" xfId="5" applyNumberFormat="1" applyFont="1" applyFill="1" applyBorder="1" applyAlignment="1">
      <alignment vertical="center" shrinkToFit="1"/>
    </xf>
    <xf numFmtId="168" fontId="17" fillId="2" borderId="0" xfId="5" applyNumberFormat="1" applyFont="1" applyFill="1" applyBorder="1" applyAlignment="1">
      <alignment vertical="center" shrinkToFit="1"/>
    </xf>
    <xf numFmtId="168" fontId="17" fillId="2" borderId="1" xfId="5" applyNumberFormat="1" applyFont="1" applyFill="1" applyBorder="1" applyAlignment="1">
      <alignment vertical="center" shrinkToFit="1"/>
    </xf>
    <xf numFmtId="166" fontId="21" fillId="5" borderId="4" xfId="5" applyNumberFormat="1" applyFont="1" applyFill="1" applyBorder="1" applyAlignment="1">
      <alignment vertical="center" shrinkToFit="1"/>
    </xf>
    <xf numFmtId="0" fontId="10" fillId="2" borderId="0" xfId="5" applyFont="1" applyFill="1" applyAlignment="1">
      <alignment vertical="center" shrinkToFit="1"/>
    </xf>
    <xf numFmtId="167" fontId="22" fillId="5" borderId="2" xfId="1" applyNumberFormat="1" applyFont="1" applyFill="1" applyBorder="1" applyAlignment="1">
      <alignment vertical="center" shrinkToFit="1"/>
    </xf>
    <xf numFmtId="167" fontId="17" fillId="2" borderId="5" xfId="5" applyNumberFormat="1" applyFont="1" applyFill="1" applyBorder="1" applyAlignment="1">
      <alignment vertical="center" shrinkToFit="1"/>
    </xf>
    <xf numFmtId="167" fontId="17" fillId="2" borderId="0" xfId="5" applyNumberFormat="1" applyFont="1" applyFill="1" applyBorder="1" applyAlignment="1">
      <alignment vertical="center" shrinkToFit="1"/>
    </xf>
    <xf numFmtId="167" fontId="17" fillId="2" borderId="1" xfId="5" applyNumberFormat="1" applyFont="1" applyFill="1" applyBorder="1" applyAlignment="1">
      <alignment vertical="center" shrinkToFit="1"/>
    </xf>
    <xf numFmtId="0" fontId="24" fillId="6" borderId="2" xfId="5" applyFont="1" applyFill="1" applyBorder="1" applyAlignment="1">
      <alignment horizontal="left" vertical="center"/>
    </xf>
    <xf numFmtId="169" fontId="22" fillId="6" borderId="2" xfId="1" applyNumberFormat="1" applyFont="1" applyFill="1" applyBorder="1" applyAlignment="1">
      <alignment vertical="center"/>
    </xf>
    <xf numFmtId="166" fontId="22" fillId="6" borderId="2" xfId="1" applyNumberFormat="1" applyFont="1" applyFill="1" applyBorder="1" applyAlignment="1">
      <alignment vertical="center"/>
    </xf>
    <xf numFmtId="165" fontId="22" fillId="6" borderId="2" xfId="1" applyNumberFormat="1" applyFont="1" applyFill="1" applyBorder="1" applyAlignment="1">
      <alignment vertical="center"/>
    </xf>
    <xf numFmtId="0" fontId="25" fillId="2" borderId="0" xfId="5" applyFont="1" applyFill="1" applyBorder="1" applyAlignment="1">
      <alignment horizontal="left" vertical="center" indent="2"/>
    </xf>
    <xf numFmtId="0" fontId="25" fillId="2" borderId="7" xfId="5" applyFont="1" applyFill="1" applyBorder="1" applyAlignment="1">
      <alignment horizontal="left" vertical="center" indent="2"/>
    </xf>
    <xf numFmtId="0" fontId="16" fillId="5" borderId="2" xfId="5" applyFont="1" applyFill="1" applyBorder="1" applyAlignment="1">
      <alignment horizontal="left" vertical="center" indent="1"/>
    </xf>
    <xf numFmtId="166" fontId="17" fillId="5" borderId="2" xfId="1" applyNumberFormat="1" applyFont="1" applyFill="1" applyBorder="1" applyAlignment="1">
      <alignment vertical="center"/>
    </xf>
    <xf numFmtId="0" fontId="17" fillId="2" borderId="0" xfId="5" applyFont="1" applyFill="1" applyAlignment="1">
      <alignment horizontal="left" vertical="center" indent="2"/>
    </xf>
    <xf numFmtId="166" fontId="17" fillId="2" borderId="0" xfId="1" applyNumberFormat="1" applyFont="1" applyFill="1" applyAlignment="1">
      <alignment vertical="center"/>
    </xf>
    <xf numFmtId="0" fontId="17" fillId="2" borderId="7" xfId="5" applyFont="1" applyFill="1" applyBorder="1" applyAlignment="1">
      <alignment horizontal="left" vertical="center" indent="2"/>
    </xf>
    <xf numFmtId="166" fontId="17" fillId="2" borderId="7" xfId="1" applyNumberFormat="1" applyFont="1" applyFill="1" applyBorder="1" applyAlignment="1">
      <alignment vertical="center"/>
    </xf>
    <xf numFmtId="165" fontId="17" fillId="5" borderId="2" xfId="1" applyNumberFormat="1" applyFont="1" applyFill="1" applyBorder="1" applyAlignment="1">
      <alignment vertical="center"/>
    </xf>
    <xf numFmtId="165" fontId="17" fillId="2" borderId="0" xfId="1" applyNumberFormat="1" applyFont="1" applyFill="1" applyAlignment="1">
      <alignment vertical="center"/>
    </xf>
    <xf numFmtId="165" fontId="17" fillId="2" borderId="0" xfId="1" applyNumberFormat="1" applyFont="1" applyFill="1" applyBorder="1" applyAlignment="1">
      <alignment vertical="center"/>
    </xf>
    <xf numFmtId="165" fontId="17" fillId="2" borderId="7" xfId="1" applyNumberFormat="1" applyFont="1" applyFill="1" applyBorder="1" applyAlignment="1">
      <alignment vertical="center"/>
    </xf>
    <xf numFmtId="169" fontId="17" fillId="5" borderId="2" xfId="1" applyNumberFormat="1" applyFont="1" applyFill="1" applyBorder="1" applyAlignment="1">
      <alignment vertical="center"/>
    </xf>
    <xf numFmtId="169" fontId="17" fillId="2" borderId="0" xfId="1" applyNumberFormat="1" applyFont="1" applyFill="1" applyAlignment="1">
      <alignment vertical="center"/>
    </xf>
    <xf numFmtId="169" fontId="17" fillId="2" borderId="0" xfId="1" applyNumberFormat="1" applyFont="1" applyFill="1" applyBorder="1" applyAlignment="1">
      <alignment vertical="center"/>
    </xf>
    <xf numFmtId="0" fontId="18" fillId="2" borderId="7" xfId="5" applyFont="1" applyFill="1" applyBorder="1" applyAlignment="1">
      <alignment horizontal="left" vertical="center" indent="2"/>
    </xf>
    <xf numFmtId="169" fontId="18" fillId="2" borderId="7" xfId="1" applyNumberFormat="1" applyFont="1" applyFill="1" applyBorder="1" applyAlignment="1">
      <alignment vertical="center"/>
    </xf>
    <xf numFmtId="0" fontId="18" fillId="2" borderId="6" xfId="5" applyFont="1" applyFill="1" applyBorder="1" applyAlignment="1">
      <alignment horizontal="left" vertical="center" indent="2"/>
    </xf>
    <xf numFmtId="166" fontId="18" fillId="2" borderId="6" xfId="1" applyNumberFormat="1" applyFont="1" applyFill="1" applyBorder="1" applyAlignment="1">
      <alignment vertical="center"/>
    </xf>
    <xf numFmtId="166" fontId="18" fillId="2" borderId="1" xfId="1" applyNumberFormat="1" applyFont="1" applyFill="1" applyBorder="1" applyAlignment="1">
      <alignment vertical="center"/>
    </xf>
    <xf numFmtId="166" fontId="17" fillId="2" borderId="6" xfId="1" applyNumberFormat="1" applyFont="1" applyFill="1" applyBorder="1" applyAlignment="1">
      <alignment vertical="center"/>
    </xf>
    <xf numFmtId="165" fontId="17" fillId="2" borderId="6" xfId="1" applyNumberFormat="1" applyFont="1" applyFill="1" applyBorder="1" applyAlignment="1">
      <alignment vertical="center"/>
    </xf>
    <xf numFmtId="165" fontId="17" fillId="2" borderId="1" xfId="1" applyNumberFormat="1" applyFont="1" applyFill="1" applyBorder="1" applyAlignment="1">
      <alignment vertical="center"/>
    </xf>
    <xf numFmtId="169" fontId="18" fillId="2" borderId="6" xfId="1" applyNumberFormat="1" applyFont="1" applyFill="1" applyBorder="1" applyAlignment="1">
      <alignment vertical="center"/>
    </xf>
    <xf numFmtId="169" fontId="18" fillId="2" borderId="1" xfId="1" applyNumberFormat="1" applyFont="1" applyFill="1" applyBorder="1" applyAlignment="1">
      <alignment vertical="center"/>
    </xf>
    <xf numFmtId="169" fontId="17" fillId="2" borderId="1" xfId="1" applyNumberFormat="1" applyFont="1" applyFill="1" applyBorder="1" applyAlignment="1">
      <alignment vertical="center"/>
    </xf>
    <xf numFmtId="165" fontId="18" fillId="2" borderId="6" xfId="1" applyNumberFormat="1" applyFont="1" applyFill="1" applyBorder="1" applyAlignment="1">
      <alignment vertical="center"/>
    </xf>
    <xf numFmtId="166" fontId="22" fillId="6" borderId="2" xfId="1" applyNumberFormat="1" applyFont="1" applyFill="1" applyBorder="1" applyAlignment="1">
      <alignment vertical="center" shrinkToFit="1"/>
    </xf>
    <xf numFmtId="166" fontId="17" fillId="5" borderId="2" xfId="1" applyNumberFormat="1" applyFont="1" applyFill="1" applyBorder="1" applyAlignment="1">
      <alignment vertical="center" shrinkToFit="1"/>
    </xf>
    <xf numFmtId="166" fontId="17" fillId="2" borderId="0" xfId="1" applyNumberFormat="1" applyFont="1" applyFill="1" applyAlignment="1">
      <alignment vertical="center" shrinkToFit="1"/>
    </xf>
    <xf numFmtId="166" fontId="17" fillId="2" borderId="7" xfId="1" applyNumberFormat="1" applyFont="1" applyFill="1" applyBorder="1" applyAlignment="1">
      <alignment vertical="center" shrinkToFit="1"/>
    </xf>
    <xf numFmtId="166" fontId="18" fillId="2" borderId="6" xfId="1" applyNumberFormat="1" applyFont="1" applyFill="1" applyBorder="1" applyAlignment="1">
      <alignment vertical="center" shrinkToFit="1"/>
    </xf>
    <xf numFmtId="166" fontId="18" fillId="2" borderId="1" xfId="1" applyNumberFormat="1" applyFont="1" applyFill="1" applyBorder="1" applyAlignment="1">
      <alignment vertical="center" shrinkToFit="1"/>
    </xf>
    <xf numFmtId="166" fontId="17" fillId="2" borderId="6" xfId="1" applyNumberFormat="1" applyFont="1" applyFill="1" applyBorder="1" applyAlignment="1">
      <alignment vertical="center" shrinkToFit="1"/>
    </xf>
    <xf numFmtId="165" fontId="22" fillId="6" borderId="2" xfId="1" applyNumberFormat="1" applyFont="1" applyFill="1" applyBorder="1" applyAlignment="1">
      <alignment vertical="center" shrinkToFit="1"/>
    </xf>
    <xf numFmtId="165" fontId="17" fillId="5" borderId="2" xfId="1" applyNumberFormat="1" applyFont="1" applyFill="1" applyBorder="1" applyAlignment="1">
      <alignment vertical="center" shrinkToFit="1"/>
    </xf>
    <xf numFmtId="165" fontId="17" fillId="2" borderId="0" xfId="1" applyNumberFormat="1" applyFont="1" applyFill="1" applyAlignment="1">
      <alignment vertical="center" shrinkToFit="1"/>
    </xf>
    <xf numFmtId="165" fontId="17" fillId="2" borderId="0" xfId="1" applyNumberFormat="1" applyFont="1" applyFill="1" applyBorder="1" applyAlignment="1">
      <alignment vertical="center" shrinkToFit="1"/>
    </xf>
    <xf numFmtId="165" fontId="17" fillId="2" borderId="7" xfId="1" applyNumberFormat="1" applyFont="1" applyFill="1" applyBorder="1" applyAlignment="1">
      <alignment vertical="center" shrinkToFit="1"/>
    </xf>
    <xf numFmtId="165" fontId="17" fillId="2" borderId="6" xfId="1" applyNumberFormat="1" applyFont="1" applyFill="1" applyBorder="1" applyAlignment="1">
      <alignment vertical="center" shrinkToFit="1"/>
    </xf>
    <xf numFmtId="165" fontId="17" fillId="2" borderId="1" xfId="1" applyNumberFormat="1" applyFont="1" applyFill="1" applyBorder="1" applyAlignment="1">
      <alignment vertical="center" shrinkToFit="1"/>
    </xf>
    <xf numFmtId="169" fontId="22" fillId="6" borderId="2" xfId="1" applyNumberFormat="1" applyFont="1" applyFill="1" applyBorder="1" applyAlignment="1">
      <alignment vertical="center" shrinkToFit="1"/>
    </xf>
    <xf numFmtId="169" fontId="17" fillId="5" borderId="2" xfId="1" applyNumberFormat="1" applyFont="1" applyFill="1" applyBorder="1" applyAlignment="1">
      <alignment vertical="center" shrinkToFit="1"/>
    </xf>
    <xf numFmtId="169" fontId="17" fillId="2" borderId="0" xfId="1" applyNumberFormat="1" applyFont="1" applyFill="1" applyAlignment="1">
      <alignment vertical="center" shrinkToFit="1"/>
    </xf>
    <xf numFmtId="169" fontId="17" fillId="2" borderId="0" xfId="1" applyNumberFormat="1" applyFont="1" applyFill="1" applyBorder="1" applyAlignment="1">
      <alignment vertical="center" shrinkToFit="1"/>
    </xf>
    <xf numFmtId="169" fontId="18" fillId="2" borderId="7" xfId="1" applyNumberFormat="1" applyFont="1" applyFill="1" applyBorder="1" applyAlignment="1">
      <alignment vertical="center" shrinkToFit="1"/>
    </xf>
    <xf numFmtId="169" fontId="18" fillId="2" borderId="6" xfId="1" applyNumberFormat="1" applyFont="1" applyFill="1" applyBorder="1" applyAlignment="1">
      <alignment vertical="center" shrinkToFit="1"/>
    </xf>
    <xf numFmtId="169" fontId="18" fillId="2" borderId="1" xfId="1" applyNumberFormat="1" applyFont="1" applyFill="1" applyBorder="1" applyAlignment="1">
      <alignment vertical="center" shrinkToFit="1"/>
    </xf>
    <xf numFmtId="169" fontId="17" fillId="2" borderId="1" xfId="1" applyNumberFormat="1" applyFont="1" applyFill="1" applyBorder="1" applyAlignment="1">
      <alignment vertical="center" shrinkToFit="1"/>
    </xf>
    <xf numFmtId="165" fontId="18" fillId="2" borderId="6" xfId="1" applyNumberFormat="1" applyFont="1" applyFill="1" applyBorder="1" applyAlignment="1">
      <alignment vertical="center" shrinkToFit="1"/>
    </xf>
    <xf numFmtId="169" fontId="10" fillId="2" borderId="0" xfId="5" applyNumberFormat="1" applyFont="1" applyFill="1" applyAlignment="1">
      <alignment vertical="center"/>
    </xf>
    <xf numFmtId="0" fontId="15" fillId="6" borderId="2" xfId="5" applyFont="1" applyFill="1" applyBorder="1" applyAlignment="1">
      <alignment horizontal="left" vertical="center"/>
    </xf>
    <xf numFmtId="166" fontId="16" fillId="6" borderId="2" xfId="5" applyNumberFormat="1" applyFont="1" applyFill="1" applyBorder="1" applyAlignment="1">
      <alignment vertical="center"/>
    </xf>
    <xf numFmtId="166" fontId="17" fillId="2" borderId="0" xfId="5" applyNumberFormat="1" applyFont="1" applyFill="1" applyAlignment="1">
      <alignment vertical="center"/>
    </xf>
    <xf numFmtId="169" fontId="17" fillId="2" borderId="0" xfId="5" applyNumberFormat="1" applyFont="1" applyFill="1" applyAlignment="1">
      <alignment vertical="center"/>
    </xf>
    <xf numFmtId="173" fontId="17" fillId="2" borderId="0" xfId="5" applyNumberFormat="1" applyFont="1" applyFill="1" applyAlignment="1">
      <alignment vertical="center"/>
    </xf>
    <xf numFmtId="172" fontId="16" fillId="6" borderId="2" xfId="5" applyNumberFormat="1" applyFont="1" applyFill="1" applyBorder="1" applyAlignment="1">
      <alignment vertical="center"/>
    </xf>
    <xf numFmtId="172" fontId="17" fillId="2" borderId="0" xfId="5" applyNumberFormat="1" applyFont="1" applyFill="1" applyAlignment="1">
      <alignment vertical="center"/>
    </xf>
    <xf numFmtId="172" fontId="17" fillId="2" borderId="1" xfId="5" applyNumberFormat="1" applyFont="1" applyFill="1" applyBorder="1" applyAlignment="1">
      <alignment vertical="center"/>
    </xf>
    <xf numFmtId="165" fontId="16" fillId="6" borderId="2" xfId="2" applyNumberFormat="1" applyFont="1" applyFill="1" applyBorder="1" applyAlignment="1">
      <alignment vertical="center"/>
    </xf>
    <xf numFmtId="165" fontId="17" fillId="2" borderId="0" xfId="5" applyNumberFormat="1" applyFont="1" applyFill="1" applyAlignment="1">
      <alignment vertical="center"/>
    </xf>
    <xf numFmtId="166" fontId="16" fillId="6" borderId="2" xfId="5" applyNumberFormat="1" applyFont="1" applyFill="1" applyBorder="1" applyAlignment="1">
      <alignment vertical="center" shrinkToFit="1"/>
    </xf>
    <xf numFmtId="166" fontId="17" fillId="2" borderId="0" xfId="5" applyNumberFormat="1" applyFont="1" applyFill="1" applyAlignment="1">
      <alignment vertical="center" shrinkToFit="1"/>
    </xf>
    <xf numFmtId="169" fontId="17" fillId="2" borderId="0" xfId="5" applyNumberFormat="1" applyFont="1" applyFill="1" applyAlignment="1">
      <alignment vertical="center" shrinkToFit="1"/>
    </xf>
    <xf numFmtId="173" fontId="17" fillId="2" borderId="0" xfId="5" applyNumberFormat="1" applyFont="1" applyFill="1" applyAlignment="1">
      <alignment vertical="center" shrinkToFit="1"/>
    </xf>
    <xf numFmtId="172" fontId="16" fillId="6" borderId="2" xfId="5" applyNumberFormat="1" applyFont="1" applyFill="1" applyBorder="1" applyAlignment="1">
      <alignment vertical="center" shrinkToFit="1"/>
    </xf>
    <xf numFmtId="172" fontId="17" fillId="2" borderId="0" xfId="5" applyNumberFormat="1" applyFont="1" applyFill="1" applyAlignment="1">
      <alignment vertical="center" shrinkToFit="1"/>
    </xf>
    <xf numFmtId="172" fontId="17" fillId="2" borderId="1" xfId="5" applyNumberFormat="1" applyFont="1" applyFill="1" applyBorder="1" applyAlignment="1">
      <alignment vertical="center" shrinkToFit="1"/>
    </xf>
    <xf numFmtId="165" fontId="16" fillId="6" borderId="2" xfId="2" applyNumberFormat="1" applyFont="1" applyFill="1" applyBorder="1" applyAlignment="1">
      <alignment vertical="center" shrinkToFit="1"/>
    </xf>
    <xf numFmtId="165" fontId="17" fillId="2" borderId="0" xfId="5" applyNumberFormat="1" applyFont="1" applyFill="1" applyAlignment="1">
      <alignment vertical="center" shrinkToFit="1"/>
    </xf>
    <xf numFmtId="0" fontId="23" fillId="2" borderId="2" xfId="5" applyFont="1" applyFill="1" applyBorder="1" applyAlignment="1">
      <alignment horizontal="left" vertical="center"/>
    </xf>
    <xf numFmtId="166" fontId="17" fillId="2" borderId="2" xfId="5" applyNumberFormat="1" applyFont="1" applyFill="1" applyBorder="1" applyAlignment="1">
      <alignment vertical="center"/>
    </xf>
    <xf numFmtId="0" fontId="23" fillId="2" borderId="5" xfId="5" applyFont="1" applyFill="1" applyBorder="1" applyAlignment="1">
      <alignment horizontal="left" vertical="center"/>
    </xf>
    <xf numFmtId="0" fontId="23" fillId="2" borderId="7" xfId="5" applyFont="1" applyFill="1" applyBorder="1" applyAlignment="1">
      <alignment horizontal="left" vertical="center"/>
    </xf>
    <xf numFmtId="165" fontId="17" fillId="2" borderId="7" xfId="5" applyNumberFormat="1" applyFont="1" applyFill="1" applyBorder="1" applyAlignment="1">
      <alignment vertical="center"/>
    </xf>
    <xf numFmtId="0" fontId="23" fillId="2" borderId="0" xfId="5" applyFont="1" applyFill="1" applyBorder="1" applyAlignment="1">
      <alignment horizontal="left" vertical="center"/>
    </xf>
    <xf numFmtId="0" fontId="23" fillId="2" borderId="1" xfId="5" applyFont="1" applyFill="1" applyBorder="1" applyAlignment="1">
      <alignment horizontal="left" vertical="center"/>
    </xf>
    <xf numFmtId="172" fontId="17" fillId="2" borderId="2" xfId="5" applyNumberFormat="1" applyFont="1" applyFill="1" applyBorder="1" applyAlignment="1">
      <alignment vertical="center"/>
    </xf>
    <xf numFmtId="166" fontId="17" fillId="2" borderId="2" xfId="5" applyNumberFormat="1" applyFont="1" applyFill="1" applyBorder="1" applyAlignment="1">
      <alignment vertical="center" shrinkToFit="1"/>
    </xf>
    <xf numFmtId="165" fontId="17" fillId="2" borderId="7" xfId="5" applyNumberFormat="1" applyFont="1" applyFill="1" applyBorder="1" applyAlignment="1">
      <alignment vertical="center" shrinkToFit="1"/>
    </xf>
    <xf numFmtId="169" fontId="10" fillId="2" borderId="0" xfId="5" applyNumberFormat="1" applyFont="1" applyFill="1" applyAlignment="1">
      <alignment vertical="center" shrinkToFit="1"/>
    </xf>
    <xf numFmtId="172" fontId="17" fillId="2" borderId="2" xfId="5" applyNumberFormat="1" applyFont="1" applyFill="1" applyBorder="1" applyAlignment="1">
      <alignment vertical="center" shrinkToFit="1"/>
    </xf>
    <xf numFmtId="172" fontId="10" fillId="2" borderId="0" xfId="5" applyNumberFormat="1" applyFont="1" applyFill="1" applyBorder="1" applyAlignment="1">
      <alignment vertical="center" shrinkToFit="1"/>
    </xf>
    <xf numFmtId="0" fontId="13" fillId="2" borderId="2" xfId="5" applyNumberFormat="1" applyFont="1" applyFill="1" applyBorder="1" applyAlignment="1">
      <alignment vertical="center" shrinkToFit="1"/>
    </xf>
    <xf numFmtId="0" fontId="13" fillId="2" borderId="5" xfId="5" applyNumberFormat="1" applyFont="1" applyFill="1" applyBorder="1" applyAlignment="1">
      <alignment vertical="center" shrinkToFit="1"/>
    </xf>
    <xf numFmtId="0" fontId="13" fillId="2" borderId="6" xfId="5" applyNumberFormat="1" applyFont="1" applyFill="1" applyBorder="1" applyAlignment="1">
      <alignment vertical="center" shrinkToFit="1"/>
    </xf>
    <xf numFmtId="0" fontId="13" fillId="2" borderId="3" xfId="5" applyNumberFormat="1" applyFont="1" applyFill="1" applyBorder="1" applyAlignment="1">
      <alignment vertical="center" shrinkToFit="1"/>
    </xf>
    <xf numFmtId="0" fontId="13" fillId="2" borderId="1" xfId="5" applyNumberFormat="1" applyFont="1" applyFill="1" applyBorder="1" applyAlignment="1">
      <alignment vertical="center" shrinkToFit="1"/>
    </xf>
    <xf numFmtId="175" fontId="10" fillId="2" borderId="0" xfId="5" applyNumberFormat="1" applyFont="1" applyFill="1" applyAlignment="1">
      <alignment vertical="center"/>
    </xf>
    <xf numFmtId="0" fontId="13" fillId="2" borderId="0" xfId="5" applyNumberFormat="1" applyFont="1" applyFill="1" applyBorder="1" applyAlignment="1">
      <alignment vertical="center" shrinkToFit="1"/>
    </xf>
    <xf numFmtId="174" fontId="17" fillId="2" borderId="1" xfId="5" applyNumberFormat="1" applyFont="1" applyFill="1" applyBorder="1" applyAlignment="1">
      <alignment vertical="center"/>
    </xf>
    <xf numFmtId="0" fontId="16" fillId="6" borderId="2" xfId="5" applyFont="1" applyFill="1" applyBorder="1" applyAlignment="1">
      <alignment horizontal="left" vertical="center"/>
    </xf>
    <xf numFmtId="166" fontId="17" fillId="6" borderId="2" xfId="5" applyNumberFormat="1" applyFont="1" applyFill="1" applyBorder="1" applyAlignment="1">
      <alignment vertical="center"/>
    </xf>
    <xf numFmtId="0" fontId="16" fillId="6" borderId="5" xfId="5" applyFont="1" applyFill="1" applyBorder="1" applyAlignment="1">
      <alignment horizontal="left" vertical="center"/>
    </xf>
    <xf numFmtId="166" fontId="17" fillId="6" borderId="5" xfId="5" applyNumberFormat="1" applyFont="1" applyFill="1" applyBorder="1" applyAlignment="1">
      <alignment vertical="center"/>
    </xf>
    <xf numFmtId="0" fontId="16" fillId="6" borderId="1" xfId="5" applyFont="1" applyFill="1" applyBorder="1" applyAlignment="1">
      <alignment horizontal="left" vertical="center"/>
    </xf>
    <xf numFmtId="166" fontId="17" fillId="6" borderId="1" xfId="5" applyNumberFormat="1" applyFont="1" applyFill="1" applyBorder="1" applyAlignment="1">
      <alignment vertical="center"/>
    </xf>
    <xf numFmtId="0" fontId="16" fillId="5" borderId="6" xfId="5" applyFont="1" applyFill="1" applyBorder="1" applyAlignment="1">
      <alignment horizontal="left" vertical="center" indent="1"/>
    </xf>
    <xf numFmtId="166" fontId="17" fillId="5" borderId="6" xfId="5" applyNumberFormat="1" applyFont="1" applyFill="1" applyBorder="1" applyAlignment="1">
      <alignment vertical="center"/>
    </xf>
    <xf numFmtId="0" fontId="16" fillId="5" borderId="3" xfId="5" applyFont="1" applyFill="1" applyBorder="1" applyAlignment="1">
      <alignment horizontal="left" vertical="center" indent="1"/>
    </xf>
    <xf numFmtId="166" fontId="17" fillId="5" borderId="3" xfId="5" applyNumberFormat="1" applyFont="1" applyFill="1" applyBorder="1" applyAlignment="1">
      <alignment vertical="center"/>
    </xf>
    <xf numFmtId="0" fontId="18" fillId="5" borderId="2" xfId="5" applyFont="1" applyFill="1" applyBorder="1" applyAlignment="1">
      <alignment horizontal="left" vertical="center" indent="1"/>
    </xf>
    <xf numFmtId="166" fontId="17" fillId="5" borderId="2" xfId="5" applyNumberFormat="1" applyFont="1" applyFill="1" applyBorder="1" applyAlignment="1">
      <alignment vertical="center"/>
    </xf>
    <xf numFmtId="3" fontId="17" fillId="6" borderId="2" xfId="5" applyNumberFormat="1" applyFont="1" applyFill="1" applyBorder="1" applyAlignment="1">
      <alignment vertical="center"/>
    </xf>
    <xf numFmtId="165" fontId="19" fillId="6" borderId="2" xfId="5" applyNumberFormat="1" applyFont="1" applyFill="1" applyBorder="1" applyAlignment="1">
      <alignment vertical="center"/>
    </xf>
    <xf numFmtId="0" fontId="15" fillId="6" borderId="2" xfId="5" applyNumberFormat="1" applyFont="1" applyFill="1" applyBorder="1" applyAlignment="1">
      <alignment horizontal="left" vertical="center"/>
    </xf>
    <xf numFmtId="0" fontId="24" fillId="5" borderId="2" xfId="5" applyFont="1" applyFill="1" applyBorder="1" applyAlignment="1">
      <alignment horizontal="left" vertical="center" indent="1"/>
    </xf>
    <xf numFmtId="0" fontId="22" fillId="5" borderId="2" xfId="5" applyFont="1" applyFill="1" applyBorder="1" applyAlignment="1">
      <alignment horizontal="left" vertical="center" indent="1"/>
    </xf>
    <xf numFmtId="176" fontId="22" fillId="5" borderId="2" xfId="2" applyNumberFormat="1" applyFont="1" applyFill="1" applyBorder="1" applyAlignment="1">
      <alignment vertical="center"/>
    </xf>
    <xf numFmtId="174" fontId="22" fillId="5" borderId="2" xfId="2" applyNumberFormat="1" applyFont="1" applyFill="1" applyBorder="1" applyAlignment="1">
      <alignment vertical="center"/>
    </xf>
    <xf numFmtId="165" fontId="22" fillId="5" borderId="2" xfId="2" applyNumberFormat="1" applyFont="1" applyFill="1" applyBorder="1" applyAlignment="1">
      <alignment vertical="center"/>
    </xf>
    <xf numFmtId="0" fontId="26" fillId="2" borderId="5" xfId="5" applyFont="1" applyFill="1" applyBorder="1" applyAlignment="1">
      <alignment horizontal="left" vertical="center" indent="2"/>
    </xf>
    <xf numFmtId="166" fontId="26" fillId="2" borderId="5" xfId="5" applyNumberFormat="1" applyFont="1" applyFill="1" applyBorder="1" applyAlignment="1">
      <alignment vertical="center"/>
    </xf>
    <xf numFmtId="0" fontId="26" fillId="2" borderId="0" xfId="5" applyFont="1" applyFill="1" applyBorder="1" applyAlignment="1">
      <alignment horizontal="left" vertical="center" indent="2"/>
    </xf>
    <xf numFmtId="166" fontId="26" fillId="2" borderId="0" xfId="5" applyNumberFormat="1" applyFont="1" applyFill="1" applyBorder="1" applyAlignment="1">
      <alignment vertical="center"/>
    </xf>
    <xf numFmtId="0" fontId="26" fillId="2" borderId="3" xfId="5" applyFont="1" applyFill="1" applyBorder="1" applyAlignment="1">
      <alignment horizontal="left" vertical="center" indent="2"/>
    </xf>
    <xf numFmtId="166" fontId="26" fillId="2" borderId="3" xfId="5" applyNumberFormat="1" applyFont="1" applyFill="1" applyBorder="1" applyAlignment="1">
      <alignment vertical="center"/>
    </xf>
    <xf numFmtId="176" fontId="26" fillId="2" borderId="5" xfId="5" applyNumberFormat="1" applyFont="1" applyFill="1" applyBorder="1" applyAlignment="1">
      <alignment vertical="center"/>
    </xf>
    <xf numFmtId="176" fontId="26" fillId="2" borderId="0" xfId="5" applyNumberFormat="1" applyFont="1" applyFill="1" applyBorder="1" applyAlignment="1">
      <alignment vertical="center"/>
    </xf>
    <xf numFmtId="176" fontId="26" fillId="2" borderId="3" xfId="5" applyNumberFormat="1" applyFont="1" applyFill="1" applyBorder="1" applyAlignment="1">
      <alignment vertical="center"/>
    </xf>
    <xf numFmtId="174" fontId="26" fillId="2" borderId="5" xfId="5" applyNumberFormat="1" applyFont="1" applyFill="1" applyBorder="1" applyAlignment="1">
      <alignment vertical="center"/>
    </xf>
    <xf numFmtId="174" fontId="26" fillId="2" borderId="0" xfId="5" applyNumberFormat="1" applyFont="1" applyFill="1" applyBorder="1" applyAlignment="1">
      <alignment vertical="center"/>
    </xf>
    <xf numFmtId="174" fontId="26" fillId="2" borderId="3" xfId="5" applyNumberFormat="1" applyFont="1" applyFill="1" applyBorder="1" applyAlignment="1">
      <alignment vertical="center"/>
    </xf>
    <xf numFmtId="165" fontId="26" fillId="2" borderId="5" xfId="5" applyNumberFormat="1" applyFont="1" applyFill="1" applyBorder="1" applyAlignment="1">
      <alignment vertical="center"/>
    </xf>
    <xf numFmtId="165" fontId="26" fillId="2" borderId="0" xfId="5" applyNumberFormat="1" applyFont="1" applyFill="1" applyBorder="1" applyAlignment="1">
      <alignment vertical="center"/>
    </xf>
    <xf numFmtId="165" fontId="26" fillId="2" borderId="3" xfId="5" applyNumberFormat="1" applyFont="1" applyFill="1" applyBorder="1" applyAlignment="1">
      <alignment vertical="center"/>
    </xf>
    <xf numFmtId="0" fontId="27" fillId="2" borderId="0" xfId="5" applyFont="1" applyFill="1" applyBorder="1" applyAlignment="1">
      <alignment horizontal="left" vertical="center" indent="3"/>
    </xf>
    <xf numFmtId="166" fontId="27" fillId="2" borderId="0" xfId="5" applyNumberFormat="1" applyFont="1" applyFill="1" applyAlignment="1">
      <alignment vertical="center"/>
    </xf>
    <xf numFmtId="166" fontId="27" fillId="2" borderId="0" xfId="5" applyNumberFormat="1" applyFont="1" applyFill="1" applyBorder="1" applyAlignment="1">
      <alignment vertical="center"/>
    </xf>
    <xf numFmtId="0" fontId="25" fillId="2" borderId="8" xfId="5" applyFont="1" applyFill="1" applyBorder="1" applyAlignment="1">
      <alignment horizontal="left" vertical="center" indent="2"/>
    </xf>
    <xf numFmtId="166" fontId="25" fillId="2" borderId="8" xfId="5" applyNumberFormat="1" applyFont="1" applyFill="1" applyBorder="1" applyAlignment="1">
      <alignment vertical="center"/>
    </xf>
    <xf numFmtId="166" fontId="25" fillId="2" borderId="7" xfId="5" applyNumberFormat="1" applyFont="1" applyFill="1" applyBorder="1" applyAlignment="1">
      <alignment vertical="center"/>
    </xf>
    <xf numFmtId="176" fontId="25" fillId="2" borderId="0" xfId="5" applyNumberFormat="1" applyFont="1" applyFill="1" applyBorder="1" applyAlignment="1">
      <alignment vertical="center"/>
    </xf>
    <xf numFmtId="0" fontId="25" fillId="2" borderId="1" xfId="5" applyFont="1" applyFill="1" applyBorder="1" applyAlignment="1">
      <alignment horizontal="left" vertical="center" indent="2"/>
    </xf>
    <xf numFmtId="176" fontId="25" fillId="2" borderId="1" xfId="5" applyNumberFormat="1" applyFont="1" applyFill="1" applyBorder="1" applyAlignment="1">
      <alignment vertical="center"/>
    </xf>
    <xf numFmtId="174" fontId="25" fillId="2" borderId="0" xfId="5" applyNumberFormat="1" applyFont="1" applyFill="1" applyBorder="1" applyAlignment="1">
      <alignment vertical="center"/>
    </xf>
    <xf numFmtId="174" fontId="25" fillId="2" borderId="1" xfId="5" applyNumberFormat="1" applyFont="1" applyFill="1" applyBorder="1" applyAlignment="1">
      <alignment vertical="center"/>
    </xf>
    <xf numFmtId="165" fontId="25" fillId="2" borderId="0" xfId="5" applyNumberFormat="1" applyFont="1" applyFill="1" applyBorder="1" applyAlignment="1">
      <alignment vertical="center"/>
    </xf>
    <xf numFmtId="165" fontId="25" fillId="2" borderId="1" xfId="5" applyNumberFormat="1" applyFont="1" applyFill="1" applyBorder="1" applyAlignment="1">
      <alignment vertical="center"/>
    </xf>
    <xf numFmtId="165" fontId="19" fillId="6" borderId="2" xfId="5" applyNumberFormat="1" applyFont="1" applyFill="1" applyBorder="1" applyAlignment="1">
      <alignment vertical="center" shrinkToFit="1"/>
    </xf>
    <xf numFmtId="166" fontId="26" fillId="2" borderId="5" xfId="5" applyNumberFormat="1" applyFont="1" applyFill="1" applyBorder="1" applyAlignment="1">
      <alignment vertical="center" shrinkToFit="1"/>
    </xf>
    <xf numFmtId="166" fontId="26" fillId="2" borderId="0" xfId="5" applyNumberFormat="1" applyFont="1" applyFill="1" applyBorder="1" applyAlignment="1">
      <alignment vertical="center" shrinkToFit="1"/>
    </xf>
    <xf numFmtId="166" fontId="26" fillId="2" borderId="3" xfId="5" applyNumberFormat="1" applyFont="1" applyFill="1" applyBorder="1" applyAlignment="1">
      <alignment vertical="center" shrinkToFit="1"/>
    </xf>
    <xf numFmtId="166" fontId="27" fillId="2" borderId="0" xfId="5" applyNumberFormat="1" applyFont="1" applyFill="1" applyAlignment="1">
      <alignment vertical="center" shrinkToFit="1"/>
    </xf>
    <xf numFmtId="166" fontId="27" fillId="2" borderId="0" xfId="5" applyNumberFormat="1" applyFont="1" applyFill="1" applyBorder="1" applyAlignment="1">
      <alignment vertical="center" shrinkToFit="1"/>
    </xf>
    <xf numFmtId="166" fontId="25" fillId="2" borderId="8" xfId="5" applyNumberFormat="1" applyFont="1" applyFill="1" applyBorder="1" applyAlignment="1">
      <alignment vertical="center" shrinkToFit="1"/>
    </xf>
    <xf numFmtId="166" fontId="25" fillId="2" borderId="7" xfId="5" applyNumberFormat="1" applyFont="1" applyFill="1" applyBorder="1" applyAlignment="1">
      <alignment vertical="center" shrinkToFit="1"/>
    </xf>
    <xf numFmtId="176" fontId="22" fillId="5" borderId="2" xfId="2" applyNumberFormat="1" applyFont="1" applyFill="1" applyBorder="1" applyAlignment="1">
      <alignment vertical="center" shrinkToFit="1"/>
    </xf>
    <xf numFmtId="176" fontId="26" fillId="2" borderId="5" xfId="5" applyNumberFormat="1" applyFont="1" applyFill="1" applyBorder="1" applyAlignment="1">
      <alignment vertical="center" shrinkToFit="1"/>
    </xf>
    <xf numFmtId="176" fontId="26" fillId="2" borderId="0" xfId="5" applyNumberFormat="1" applyFont="1" applyFill="1" applyBorder="1" applyAlignment="1">
      <alignment vertical="center" shrinkToFit="1"/>
    </xf>
    <xf numFmtId="176" fontId="26" fillId="2" borderId="3" xfId="5" applyNumberFormat="1" applyFont="1" applyFill="1" applyBorder="1" applyAlignment="1">
      <alignment vertical="center" shrinkToFit="1"/>
    </xf>
    <xf numFmtId="176" fontId="25" fillId="2" borderId="0" xfId="5" applyNumberFormat="1" applyFont="1" applyFill="1" applyBorder="1" applyAlignment="1">
      <alignment vertical="center" shrinkToFit="1"/>
    </xf>
    <xf numFmtId="176" fontId="25" fillId="2" borderId="1" xfId="5" applyNumberFormat="1" applyFont="1" applyFill="1" applyBorder="1" applyAlignment="1">
      <alignment vertical="center" shrinkToFit="1"/>
    </xf>
    <xf numFmtId="174" fontId="22" fillId="5" borderId="2" xfId="2" applyNumberFormat="1" applyFont="1" applyFill="1" applyBorder="1" applyAlignment="1">
      <alignment vertical="center" shrinkToFit="1"/>
    </xf>
    <xf numFmtId="174" fontId="26" fillId="2" borderId="5" xfId="5" applyNumberFormat="1" applyFont="1" applyFill="1" applyBorder="1" applyAlignment="1">
      <alignment vertical="center" shrinkToFit="1"/>
    </xf>
    <xf numFmtId="174" fontId="26" fillId="2" borderId="0" xfId="5" applyNumberFormat="1" applyFont="1" applyFill="1" applyBorder="1" applyAlignment="1">
      <alignment vertical="center" shrinkToFit="1"/>
    </xf>
    <xf numFmtId="174" fontId="26" fillId="2" borderId="3" xfId="5" applyNumberFormat="1" applyFont="1" applyFill="1" applyBorder="1" applyAlignment="1">
      <alignment vertical="center" shrinkToFit="1"/>
    </xf>
    <xf numFmtId="174" fontId="25" fillId="2" borderId="0" xfId="5" applyNumberFormat="1" applyFont="1" applyFill="1" applyBorder="1" applyAlignment="1">
      <alignment vertical="center" shrinkToFit="1"/>
    </xf>
    <xf numFmtId="174" fontId="25" fillId="2" borderId="1" xfId="5" applyNumberFormat="1" applyFont="1" applyFill="1" applyBorder="1" applyAlignment="1">
      <alignment vertical="center" shrinkToFit="1"/>
    </xf>
    <xf numFmtId="165" fontId="22" fillId="5" borderId="2" xfId="2" applyNumberFormat="1" applyFont="1" applyFill="1" applyBorder="1" applyAlignment="1">
      <alignment vertical="center" shrinkToFit="1"/>
    </xf>
    <xf numFmtId="165" fontId="26" fillId="2" borderId="5" xfId="5" applyNumberFormat="1" applyFont="1" applyFill="1" applyBorder="1" applyAlignment="1">
      <alignment vertical="center" shrinkToFit="1"/>
    </xf>
    <xf numFmtId="165" fontId="26" fillId="2" borderId="0" xfId="5" applyNumberFormat="1" applyFont="1" applyFill="1" applyBorder="1" applyAlignment="1">
      <alignment vertical="center" shrinkToFit="1"/>
    </xf>
    <xf numFmtId="165" fontId="26" fillId="2" borderId="3" xfId="5" applyNumberFormat="1" applyFont="1" applyFill="1" applyBorder="1" applyAlignment="1">
      <alignment vertical="center" shrinkToFit="1"/>
    </xf>
    <xf numFmtId="165" fontId="25" fillId="2" borderId="0" xfId="5" applyNumberFormat="1" applyFont="1" applyFill="1" applyBorder="1" applyAlignment="1">
      <alignment vertical="center" shrinkToFit="1"/>
    </xf>
    <xf numFmtId="165" fontId="25" fillId="2" borderId="1" xfId="5" applyNumberFormat="1" applyFont="1" applyFill="1" applyBorder="1" applyAlignment="1">
      <alignment vertical="center" shrinkToFit="1"/>
    </xf>
    <xf numFmtId="0" fontId="28" fillId="2" borderId="0" xfId="0" applyFont="1" applyFill="1"/>
    <xf numFmtId="0" fontId="29" fillId="2" borderId="1" xfId="0" applyFont="1" applyFill="1" applyBorder="1"/>
    <xf numFmtId="0" fontId="23" fillId="2" borderId="0" xfId="0" applyFont="1" applyFill="1"/>
    <xf numFmtId="0" fontId="30" fillId="2" borderId="0" xfId="0" applyFont="1" applyFill="1" applyAlignment="1">
      <alignment horizontal="left"/>
    </xf>
    <xf numFmtId="0" fontId="23" fillId="2" borderId="0" xfId="0" applyFont="1" applyFill="1" applyAlignment="1">
      <alignment horizontal="left"/>
    </xf>
    <xf numFmtId="0" fontId="23" fillId="2" borderId="0" xfId="0" applyFont="1" applyFill="1" applyAlignment="1">
      <alignment horizontal="left" indent="1"/>
    </xf>
    <xf numFmtId="0" fontId="32" fillId="2" borderId="0" xfId="6" applyFont="1" applyFill="1"/>
    <xf numFmtId="0" fontId="17" fillId="2" borderId="0" xfId="6" applyFont="1" applyFill="1" applyAlignment="1">
      <alignment vertical="center"/>
    </xf>
    <xf numFmtId="0" fontId="17" fillId="2" borderId="0" xfId="6" applyFont="1" applyFill="1" applyAlignment="1">
      <alignment horizontal="center" vertical="center"/>
    </xf>
    <xf numFmtId="0" fontId="33" fillId="2" borderId="2" xfId="6" applyFont="1" applyFill="1" applyBorder="1" applyAlignment="1">
      <alignment vertical="center"/>
    </xf>
    <xf numFmtId="0" fontId="34" fillId="2" borderId="2" xfId="6" applyFont="1" applyFill="1" applyBorder="1" applyAlignment="1">
      <alignment vertical="center"/>
    </xf>
    <xf numFmtId="0" fontId="35" fillId="2" borderId="0" xfId="6" applyFont="1" applyFill="1" applyAlignment="1">
      <alignment vertical="center"/>
    </xf>
    <xf numFmtId="0" fontId="34" fillId="2" borderId="0" xfId="6" applyFont="1" applyFill="1" applyAlignment="1">
      <alignment vertical="center"/>
    </xf>
    <xf numFmtId="0" fontId="15" fillId="2" borderId="0" xfId="6" applyFont="1" applyFill="1" applyAlignment="1">
      <alignment vertical="center"/>
    </xf>
    <xf numFmtId="0" fontId="19" fillId="2" borderId="0" xfId="6" applyFont="1" applyFill="1" applyAlignment="1">
      <alignment vertical="center"/>
    </xf>
    <xf numFmtId="0" fontId="38" fillId="2" borderId="0" xfId="9" applyFont="1" applyFill="1" applyAlignment="1">
      <alignment vertical="center"/>
    </xf>
    <xf numFmtId="0" fontId="39" fillId="2" borderId="0" xfId="3" applyFont="1" applyFill="1" applyAlignment="1">
      <alignment horizontal="left" vertical="center" indent="1"/>
    </xf>
    <xf numFmtId="166" fontId="17" fillId="7" borderId="0" xfId="5" applyNumberFormat="1" applyFont="1" applyFill="1" applyBorder="1" applyAlignment="1">
      <alignment vertical="center"/>
    </xf>
    <xf numFmtId="0" fontId="36" fillId="2" borderId="0" xfId="6" applyFont="1" applyFill="1" applyAlignment="1">
      <alignment horizontal="left" vertical="center"/>
    </xf>
    <xf numFmtId="177" fontId="37" fillId="2" borderId="0" xfId="6" quotePrefix="1" applyNumberFormat="1" applyFont="1" applyFill="1" applyAlignment="1">
      <alignment horizontal="left" vertical="center"/>
    </xf>
    <xf numFmtId="0" fontId="40" fillId="0" borderId="0" xfId="6" applyFont="1" applyAlignment="1">
      <alignment horizontal="left" vertical="center"/>
    </xf>
  </cellXfs>
  <cellStyles count="10">
    <cellStyle name="Comma" xfId="1" builtinId="3"/>
    <cellStyle name="Comma 2" xfId="4"/>
    <cellStyle name="Hyperlink" xfId="3" builtinId="8"/>
    <cellStyle name="Normal" xfId="0" builtinId="0"/>
    <cellStyle name="Normal 2" xfId="5"/>
    <cellStyle name="Normal 2 2" xfId="9"/>
    <cellStyle name="Normal 3" xfId="6"/>
    <cellStyle name="Percent" xfId="2" builtinId="5"/>
    <cellStyle name="Percent 2" xfId="7"/>
    <cellStyle name="Percent 3" xfId="8"/>
  </cellStyles>
  <dxfs count="0"/>
  <tableStyles count="0" defaultTableStyle="TableStyleMedium2" defaultPivotStyle="PivotStyleLight16"/>
  <colors>
    <mruColors>
      <color rgb="FF0564C3"/>
      <color rgb="FF050505"/>
      <color rgb="FF006EBE"/>
      <color rgb="FF506428"/>
      <color rgb="FFBE0000"/>
      <color rgb="FFF0F0F0"/>
      <color rgb="FFD7D7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77561" cy="201185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99"/>
    <col min="5" max="21" width="9.7109375" style="299" customWidth="1"/>
    <col min="22" max="22" width="9.7109375" style="300" customWidth="1"/>
    <col min="23" max="23" width="107.42578125" style="299" customWidth="1"/>
    <col min="24" max="24" width="44.7109375" style="299" customWidth="1"/>
    <col min="25" max="26" width="9.7109375" style="299" customWidth="1"/>
    <col min="27" max="16384" width="9.140625" style="299"/>
  </cols>
  <sheetData>
    <row r="2" spans="1:23" ht="21" x14ac:dyDescent="0.35">
      <c r="A2" s="298"/>
      <c r="B2" s="312"/>
      <c r="C2" s="312"/>
      <c r="D2" s="312"/>
      <c r="E2" s="312"/>
      <c r="F2" s="312"/>
      <c r="G2" s="312"/>
      <c r="H2" s="312"/>
      <c r="I2" s="312"/>
      <c r="J2" s="312"/>
      <c r="K2" s="312"/>
    </row>
    <row r="3" spans="1:23" ht="15" customHeight="1" x14ac:dyDescent="0.25">
      <c r="B3" s="312"/>
      <c r="C3" s="312"/>
      <c r="D3" s="312"/>
      <c r="E3" s="312"/>
      <c r="F3" s="312"/>
      <c r="G3" s="312"/>
      <c r="H3" s="312"/>
      <c r="I3" s="312"/>
      <c r="J3" s="312"/>
      <c r="K3" s="312"/>
    </row>
    <row r="6" spans="1:23" ht="31.5" x14ac:dyDescent="0.25">
      <c r="A6" s="301"/>
      <c r="B6" s="302" t="s">
        <v>176</v>
      </c>
      <c r="C6" s="302"/>
      <c r="D6" s="302"/>
      <c r="E6" s="302"/>
      <c r="F6" s="302"/>
      <c r="G6" s="302"/>
      <c r="H6" s="302"/>
      <c r="I6" s="302"/>
      <c r="J6" s="302"/>
      <c r="K6" s="302"/>
      <c r="L6" s="302"/>
      <c r="M6" s="302"/>
      <c r="N6" s="302"/>
      <c r="O6" s="302"/>
      <c r="P6" s="302"/>
      <c r="Q6" s="302"/>
      <c r="V6" s="299"/>
    </row>
    <row r="7" spans="1:23" ht="15" customHeight="1" x14ac:dyDescent="0.25">
      <c r="V7" s="299"/>
    </row>
    <row r="8" spans="1:23" ht="15" customHeight="1" x14ac:dyDescent="0.25">
      <c r="V8" s="299"/>
    </row>
    <row r="9" spans="1:23" ht="15" customHeight="1" x14ac:dyDescent="0.25">
      <c r="V9" s="299"/>
    </row>
    <row r="10" spans="1:23" ht="28.5" x14ac:dyDescent="0.25">
      <c r="C10" s="303" t="s">
        <v>186</v>
      </c>
      <c r="V10" s="299"/>
    </row>
    <row r="11" spans="1:23" ht="15" customHeight="1" x14ac:dyDescent="0.25">
      <c r="V11" s="299"/>
    </row>
    <row r="15" spans="1:23" ht="30" customHeight="1" x14ac:dyDescent="0.25">
      <c r="C15" s="303" t="s">
        <v>137</v>
      </c>
    </row>
    <row r="16" spans="1:23" ht="15" customHeight="1" x14ac:dyDescent="0.25">
      <c r="W16" s="304"/>
    </row>
    <row r="17" spans="12:32" ht="15" customHeight="1" x14ac:dyDescent="0.25">
      <c r="W17" s="304"/>
    </row>
    <row r="28" spans="12:32" ht="21" x14ac:dyDescent="0.25">
      <c r="L28" s="310" t="s">
        <v>142</v>
      </c>
      <c r="M28" s="310"/>
      <c r="N28" s="310"/>
      <c r="O28" s="310"/>
    </row>
    <row r="29" spans="12:32" ht="15" customHeight="1" x14ac:dyDescent="0.25">
      <c r="V29" s="299"/>
    </row>
    <row r="30" spans="12:32" ht="18.75" x14ac:dyDescent="0.25">
      <c r="L30" s="311">
        <v>45967.476701388892</v>
      </c>
      <c r="M30" s="311"/>
      <c r="N30" s="311"/>
      <c r="O30" s="311"/>
      <c r="V30" s="299"/>
    </row>
    <row r="31" spans="12:32" ht="15" customHeight="1" x14ac:dyDescent="0.25">
      <c r="L31" s="305" t="s">
        <v>177</v>
      </c>
      <c r="V31" s="299"/>
      <c r="AA31" s="306"/>
      <c r="AB31" s="306"/>
      <c r="AC31" s="306"/>
      <c r="AD31" s="306"/>
      <c r="AE31" s="306"/>
      <c r="AF31" s="306"/>
    </row>
    <row r="32" spans="12:32" ht="15" customHeight="1" x14ac:dyDescent="0.25">
      <c r="V32" s="299"/>
    </row>
    <row r="33" spans="2:32" ht="15" customHeight="1" x14ac:dyDescent="0.25">
      <c r="B33" s="307" t="s">
        <v>138</v>
      </c>
      <c r="V33" s="299"/>
    </row>
    <row r="34" spans="2:32" ht="15" customHeight="1" x14ac:dyDescent="0.25">
      <c r="B34" s="307"/>
      <c r="V34" s="307"/>
    </row>
    <row r="35" spans="2:32" ht="15" customHeight="1" x14ac:dyDescent="0.25">
      <c r="B35" s="307" t="s">
        <v>143</v>
      </c>
      <c r="V35" s="307"/>
    </row>
    <row r="36" spans="2:32" ht="15" customHeight="1" x14ac:dyDescent="0.25">
      <c r="B36" s="307" t="s">
        <v>139</v>
      </c>
      <c r="E36" s="306"/>
      <c r="F36" s="306"/>
      <c r="G36" s="306"/>
      <c r="H36" s="306"/>
      <c r="I36" s="306"/>
      <c r="J36" s="306"/>
      <c r="K36" s="306"/>
      <c r="L36" s="306"/>
      <c r="M36" s="306"/>
      <c r="N36" s="306"/>
      <c r="O36" s="306"/>
      <c r="P36" s="306"/>
      <c r="Q36" s="306"/>
      <c r="R36" s="306"/>
      <c r="S36" s="306"/>
      <c r="T36" s="306"/>
      <c r="U36" s="306"/>
      <c r="W36" s="306"/>
      <c r="X36" s="306"/>
      <c r="Y36" s="306"/>
      <c r="Z36" s="306"/>
    </row>
    <row r="38" spans="2:32" ht="15" customHeight="1" x14ac:dyDescent="0.25">
      <c r="B38" s="307" t="s">
        <v>144</v>
      </c>
    </row>
    <row r="39" spans="2:32" ht="15" customHeight="1" x14ac:dyDescent="0.25">
      <c r="B39" s="307" t="s">
        <v>145</v>
      </c>
    </row>
    <row r="40" spans="2:32" ht="15" customHeight="1" x14ac:dyDescent="0.25">
      <c r="B40" s="308" t="s">
        <v>146</v>
      </c>
      <c r="AA40" s="306"/>
      <c r="AB40" s="306"/>
      <c r="AC40" s="306"/>
      <c r="AD40" s="306"/>
      <c r="AE40" s="306"/>
      <c r="AF40" s="306"/>
    </row>
  </sheetData>
  <mergeCells count="3">
    <mergeCell ref="L28:O28"/>
    <mergeCell ref="L30:O30"/>
    <mergeCell ref="B2:K3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45"/>
  <sheetViews>
    <sheetView showGridLines="0" zoomScale="115" zoomScaleNormal="115" workbookViewId="0"/>
  </sheetViews>
  <sheetFormatPr defaultRowHeight="15" x14ac:dyDescent="0.25"/>
  <cols>
    <col min="1" max="1" width="7.7109375" style="15" customWidth="1"/>
    <col min="2" max="2" width="15.85546875" style="15" customWidth="1"/>
    <col min="3" max="3" width="2.85546875" style="15" customWidth="1"/>
    <col min="4" max="4" width="54.7109375" style="15" customWidth="1"/>
    <col min="5" max="16384" width="9.140625" style="15"/>
  </cols>
  <sheetData>
    <row r="1" spans="1:4" ht="18.75" x14ac:dyDescent="0.3">
      <c r="A1" s="292" t="s">
        <v>185</v>
      </c>
      <c r="B1" s="292" t="s">
        <v>186</v>
      </c>
      <c r="C1" s="13"/>
      <c r="D1" s="14"/>
    </row>
    <row r="2" spans="1:4" ht="18.75" x14ac:dyDescent="0.3">
      <c r="A2" s="12"/>
      <c r="B2" s="13"/>
      <c r="C2" s="13"/>
      <c r="D2" s="14"/>
    </row>
    <row r="3" spans="1:4" ht="18.75" x14ac:dyDescent="0.3">
      <c r="A3" s="12"/>
      <c r="B3" s="293" t="s">
        <v>22</v>
      </c>
      <c r="C3" s="16"/>
      <c r="D3" s="16"/>
    </row>
    <row r="4" spans="1:4" ht="15" customHeight="1" x14ac:dyDescent="0.3">
      <c r="A4" s="17"/>
      <c r="B4" s="24" t="str">
        <f ca="1">HYPERLINK("#"&amp;CELL("address",SER_summary!$B$2),MID(CELL("filename",SER_summary!$B$2),FIND("]",CELL("filename",SER_summary!$B$2))+1,256))</f>
        <v>SER_summary</v>
      </c>
      <c r="C4" s="18"/>
      <c r="D4" s="294" t="s">
        <v>21</v>
      </c>
    </row>
    <row r="5" spans="1:4" x14ac:dyDescent="0.25">
      <c r="A5" s="19"/>
      <c r="B5" s="20"/>
      <c r="C5" s="21"/>
      <c r="D5" s="22"/>
    </row>
    <row r="6" spans="1:4" x14ac:dyDescent="0.25">
      <c r="A6" s="19"/>
      <c r="B6" s="295" t="s">
        <v>20</v>
      </c>
      <c r="C6" s="21"/>
      <c r="D6" s="22"/>
    </row>
    <row r="7" spans="1:4" x14ac:dyDescent="0.25">
      <c r="A7" s="19"/>
      <c r="B7" s="25" t="str">
        <f ca="1">HYPERLINK("#"&amp;CELL("address",SER_hh_num!$B$2),MID(CELL("filename",SER_hh_num!$B$2),FIND("]",CELL("filename",SER_hh_num!$B$2))+1,256))</f>
        <v>SER_hh_num</v>
      </c>
      <c r="C7" s="21"/>
      <c r="D7" s="296" t="s">
        <v>19</v>
      </c>
    </row>
    <row r="8" spans="1:4" x14ac:dyDescent="0.25">
      <c r="B8" s="25" t="str">
        <f ca="1">HYPERLINK("#"&amp;CELL("address",SER_hh_fec!$B$2),MID(CELL("filename",SER_hh_fec!$B$2),FIND("]",CELL("filename",SER_hh_fec!$B$2))+1,256))</f>
        <v>SER_hh_fec</v>
      </c>
      <c r="C8" s="21"/>
      <c r="D8" s="296" t="s">
        <v>16</v>
      </c>
    </row>
    <row r="9" spans="1:4" x14ac:dyDescent="0.25">
      <c r="B9" s="25" t="str">
        <f ca="1">HYPERLINK("#"&amp;CELL("address",SER_hh_tes!$B$2),MID(CELL("filename",SER_hh_tes!$B$2),FIND("]",CELL("filename",SER_hh_tes!$B$2))+1,256))</f>
        <v>SER_hh_tes</v>
      </c>
      <c r="C9" s="21"/>
      <c r="D9" s="296" t="s">
        <v>15</v>
      </c>
    </row>
    <row r="10" spans="1:4" x14ac:dyDescent="0.25">
      <c r="B10" s="25" t="str">
        <f ca="1">HYPERLINK("#"&amp;CELL("address",SER_hh_eff!$B$2),MID(CELL("filename",SER_hh_eff!$B$2),FIND("]",CELL("filename",SER_hh_eff!$B$2))+1,256))</f>
        <v>SER_hh_eff</v>
      </c>
      <c r="C10" s="21"/>
      <c r="D10" s="296" t="s">
        <v>14</v>
      </c>
    </row>
    <row r="11" spans="1:4" x14ac:dyDescent="0.25">
      <c r="B11" s="25" t="str">
        <f ca="1">HYPERLINK("#"&amp;CELL("address",SER_hh_emi!$B$2),MID(CELL("filename",SER_hh_emi!$B$2),FIND("]",CELL("filename",SER_hh_emi!$B$2))+1,256))</f>
        <v>SER_hh_emi</v>
      </c>
      <c r="C11" s="21"/>
      <c r="D11" s="296" t="s">
        <v>153</v>
      </c>
    </row>
    <row r="12" spans="1:4" x14ac:dyDescent="0.25">
      <c r="B12" s="25" t="str">
        <f ca="1">HYPERLINK("#"&amp;CELL("address",SER_hh_fech!$B$2),MID(CELL("filename",SER_hh_fech!$B$2),FIND("]",CELL("filename",SER_hh_fech!$B$2))+1,256))</f>
        <v>SER_hh_fech</v>
      </c>
      <c r="C12" s="21"/>
      <c r="D12" s="296" t="s">
        <v>13</v>
      </c>
    </row>
    <row r="13" spans="1:4" x14ac:dyDescent="0.25">
      <c r="B13" s="25" t="str">
        <f ca="1">HYPERLINK("#"&amp;CELL("address",SER_hh_tesh!$B$2),MID(CELL("filename",SER_hh_tesh!$B$2),FIND("]",CELL("filename",SER_hh_tesh!$B$2))+1,256))</f>
        <v>SER_hh_tesh</v>
      </c>
      <c r="C13" s="21"/>
      <c r="D13" s="296" t="s">
        <v>12</v>
      </c>
    </row>
    <row r="14" spans="1:4" x14ac:dyDescent="0.25">
      <c r="B14" s="25" t="str">
        <f ca="1">HYPERLINK("#"&amp;CELL("address",SER_hh_emih!$B$2),MID(CELL("filename",SER_hh_emih!$B$2),FIND("]",CELL("filename",SER_hh_emih!$B$2))+1,256))</f>
        <v>SER_hh_emih</v>
      </c>
      <c r="C14" s="21"/>
      <c r="D14" s="296" t="s">
        <v>154</v>
      </c>
    </row>
    <row r="15" spans="1:4" x14ac:dyDescent="0.25">
      <c r="B15" s="25" t="str">
        <f ca="1">HYPERLINK("#"&amp;CELL("address",SER_hh_fecs!$B$2),MID(CELL("filename",SER_hh_fecs!$B$2),FIND("]",CELL("filename",SER_hh_fecs!$B$2))+1,256))</f>
        <v>SER_hh_fecs</v>
      </c>
      <c r="C15" s="21"/>
      <c r="D15" s="296" t="s">
        <v>11</v>
      </c>
    </row>
    <row r="16" spans="1:4" x14ac:dyDescent="0.25">
      <c r="B16" s="25" t="str">
        <f ca="1">HYPERLINK("#"&amp;CELL("address",SER_hh_tess!$B$2),MID(CELL("filename",SER_hh_tess!$B$2),FIND("]",CELL("filename",SER_hh_tess!$B$2))+1,256))</f>
        <v>SER_hh_tess</v>
      </c>
      <c r="C16" s="21"/>
      <c r="D16" s="296" t="s">
        <v>10</v>
      </c>
    </row>
    <row r="17" spans="1:4" x14ac:dyDescent="0.25">
      <c r="B17" s="25" t="str">
        <f ca="1">HYPERLINK("#"&amp;CELL("address",SER_hh_emis!$B$2),MID(CELL("filename",SER_hh_emis!$B$2),FIND("]",CELL("filename",SER_hh_emis!$B$2))+1,256))</f>
        <v>SER_hh_emis</v>
      </c>
      <c r="C17" s="21"/>
      <c r="D17" s="296" t="s">
        <v>155</v>
      </c>
    </row>
    <row r="18" spans="1:4" x14ac:dyDescent="0.25">
      <c r="B18" s="21"/>
      <c r="C18" s="21"/>
      <c r="D18" s="23"/>
    </row>
    <row r="19" spans="1:4" x14ac:dyDescent="0.25">
      <c r="A19" s="19"/>
      <c r="B19" s="295" t="s">
        <v>18</v>
      </c>
      <c r="C19" s="21"/>
      <c r="D19" s="22"/>
    </row>
    <row r="20" spans="1:4" x14ac:dyDescent="0.25">
      <c r="A20" s="19"/>
      <c r="B20" s="25" t="str">
        <f ca="1">HYPERLINK("#"&amp;CELL("address",SER_hh_num_in!$B$2),MID(CELL("filename",SER_hh_num_in!$B$2),FIND("]",CELL("filename",SER_hh_num_in!$B$2))+1,256))</f>
        <v>SER_hh_num_in</v>
      </c>
      <c r="C20" s="21"/>
      <c r="D20" s="296" t="s">
        <v>17</v>
      </c>
    </row>
    <row r="21" spans="1:4" x14ac:dyDescent="0.25">
      <c r="B21" s="25" t="str">
        <f ca="1">HYPERLINK("#"&amp;CELL("address",SER_hh_fec_in!$B$2),MID(CELL("filename",SER_hh_fec_in!$B$2),FIND("]",CELL("filename",SER_hh_fec_in!$B$2))+1,256))</f>
        <v>SER_hh_fec_in</v>
      </c>
      <c r="C21" s="21"/>
      <c r="D21" s="296" t="s">
        <v>16</v>
      </c>
    </row>
    <row r="22" spans="1:4" x14ac:dyDescent="0.25">
      <c r="B22" s="25" t="str">
        <f ca="1">HYPERLINK("#"&amp;CELL("address",SER_hh_tes_in!$B$2),MID(CELL("filename",SER_hh_tes_in!$B$2),FIND("]",CELL("filename",SER_hh_tes_in!$B$2))+1,256))</f>
        <v>SER_hh_tes_in</v>
      </c>
      <c r="C22" s="21"/>
      <c r="D22" s="296" t="s">
        <v>15</v>
      </c>
    </row>
    <row r="23" spans="1:4" x14ac:dyDescent="0.25">
      <c r="B23" s="25" t="str">
        <f ca="1">HYPERLINK("#"&amp;CELL("address",SER_hh_eff_in!$B$2),MID(CELL("filename",SER_hh_eff_in!$B$2),FIND("]",CELL("filename",SER_hh_eff_in!$B$2))+1,256))</f>
        <v>SER_hh_eff_in</v>
      </c>
      <c r="C23" s="21"/>
      <c r="D23" s="296" t="s">
        <v>14</v>
      </c>
    </row>
    <row r="24" spans="1:4" x14ac:dyDescent="0.25">
      <c r="B24" s="25" t="str">
        <f ca="1">HYPERLINK("#"&amp;CELL("address",SER_hh_emi_in!$B$2),MID(CELL("filename",SER_hh_emi_in!$B$2),FIND("]",CELL("filename",SER_hh_emi_in!$B$2))+1,256))</f>
        <v>SER_hh_emi_in</v>
      </c>
      <c r="C24" s="21"/>
      <c r="D24" s="296" t="s">
        <v>153</v>
      </c>
    </row>
    <row r="25" spans="1:4" x14ac:dyDescent="0.25">
      <c r="B25" s="25" t="str">
        <f ca="1">HYPERLINK("#"&amp;CELL("address",SER_hh_fech_in!$B$2),MID(CELL("filename",SER_hh_fech_in!$B$2),FIND("]",CELL("filename",SER_hh_fech_in!$B$2))+1,256))</f>
        <v>SER_hh_fech_in</v>
      </c>
      <c r="C25" s="21"/>
      <c r="D25" s="296" t="s">
        <v>13</v>
      </c>
    </row>
    <row r="26" spans="1:4" x14ac:dyDescent="0.25">
      <c r="B26" s="25" t="str">
        <f ca="1">HYPERLINK("#"&amp;CELL("address",SER_hh_tesh_in!$B$2),MID(CELL("filename",SER_hh_tesh_in!$B$2),FIND("]",CELL("filename",SER_hh_tesh_in!$B$2))+1,256))</f>
        <v>SER_hh_tesh_in</v>
      </c>
      <c r="C26" s="21"/>
      <c r="D26" s="296" t="s">
        <v>12</v>
      </c>
    </row>
    <row r="27" spans="1:4" x14ac:dyDescent="0.25">
      <c r="B27" s="25" t="str">
        <f ca="1">HYPERLINK("#"&amp;CELL("address",SER_hh_emih_in!$B$2),MID(CELL("filename",SER_hh_emih_in!$B$2),FIND("]",CELL("filename",SER_hh_emih_in!$B$2))+1,256))</f>
        <v>SER_hh_emih_in</v>
      </c>
      <c r="C27" s="21"/>
      <c r="D27" s="296" t="s">
        <v>154</v>
      </c>
    </row>
    <row r="28" spans="1:4" x14ac:dyDescent="0.25">
      <c r="B28" s="25" t="str">
        <f ca="1">HYPERLINK("#"&amp;CELL("address",SER_hh_fecs_in!$B$2),MID(CELL("filename",SER_hh_fecs_in!$B$2),FIND("]",CELL("filename",SER_hh_fecs_in!$B$2))+1,256))</f>
        <v>SER_hh_fecs_in</v>
      </c>
      <c r="C28" s="21"/>
      <c r="D28" s="296" t="s">
        <v>11</v>
      </c>
    </row>
    <row r="29" spans="1:4" x14ac:dyDescent="0.25">
      <c r="B29" s="25" t="str">
        <f ca="1">HYPERLINK("#"&amp;CELL("address",SER_hh_tess_in!$B$2),MID(CELL("filename",SER_hh_tess_in!$B$2),FIND("]",CELL("filename",SER_hh_tess_in!$B$2))+1,256))</f>
        <v>SER_hh_tess_in</v>
      </c>
      <c r="C29" s="21"/>
      <c r="D29" s="296" t="s">
        <v>10</v>
      </c>
    </row>
    <row r="30" spans="1:4" x14ac:dyDescent="0.25">
      <c r="B30" s="25" t="str">
        <f ca="1">HYPERLINK("#"&amp;CELL("address",SER_hh_emis_in!$B$2),MID(CELL("filename",SER_hh_emis_in!$B$2),FIND("]",CELL("filename",SER_hh_emis_in!$B$2))+1,256))</f>
        <v>SER_hh_emis_in</v>
      </c>
      <c r="C30" s="21"/>
      <c r="D30" s="296" t="s">
        <v>155</v>
      </c>
    </row>
    <row r="31" spans="1:4" x14ac:dyDescent="0.25">
      <c r="B31" s="21"/>
      <c r="C31" s="21"/>
      <c r="D31" s="23"/>
    </row>
    <row r="32" spans="1:4" x14ac:dyDescent="0.25">
      <c r="B32" s="295" t="s">
        <v>9</v>
      </c>
      <c r="C32" s="21"/>
      <c r="D32" s="23"/>
    </row>
    <row r="33" spans="2:4" x14ac:dyDescent="0.25">
      <c r="B33" s="25" t="str">
        <f ca="1">HYPERLINK("#"&amp;CELL("address",'SER_se-appl'!$B$2),MID(CELL("filename",'SER_se-appl'!$B$2),FIND("]",CELL("filename",'SER_se-appl'!$B$2))+1,256))</f>
        <v>SER_se-appl</v>
      </c>
      <c r="C33" s="18"/>
      <c r="D33" s="296" t="s">
        <v>8</v>
      </c>
    </row>
    <row r="34" spans="2:4" x14ac:dyDescent="0.25">
      <c r="B34" s="25" t="str">
        <f ca="1">HYPERLINK("#"&amp;CELL("address",SER_VE!$B$2),MID(CELL("filename",SER_VE!$B$2),FIND("]",CELL("filename",SER_VE!$B$2))+1,256))</f>
        <v>SER_VE</v>
      </c>
      <c r="C34" s="18"/>
      <c r="D34" s="296" t="s">
        <v>7</v>
      </c>
    </row>
    <row r="35" spans="2:4" x14ac:dyDescent="0.25">
      <c r="B35" s="25" t="str">
        <f ca="1">HYPERLINK("#"&amp;CELL("address",SER_SL!$B$2),MID(CELL("filename",SER_SL!$B$2),FIND("]",CELL("filename",SER_SL!$B$2))+1,256))</f>
        <v>SER_SL</v>
      </c>
      <c r="C35" s="18"/>
      <c r="D35" s="296" t="s">
        <v>6</v>
      </c>
    </row>
    <row r="36" spans="2:4" x14ac:dyDescent="0.25">
      <c r="B36" s="25" t="str">
        <f ca="1">HYPERLINK("#"&amp;CELL("address",SER_BL!$B$2),MID(CELL("filename",SER_BL!$B$2),FIND("]",CELL("filename",SER_BL!$B$2))+1,256))</f>
        <v>SER_BL</v>
      </c>
      <c r="C36" s="18"/>
      <c r="D36" s="296" t="s">
        <v>5</v>
      </c>
    </row>
    <row r="37" spans="2:4" x14ac:dyDescent="0.25">
      <c r="B37" s="25" t="str">
        <f ca="1">HYPERLINK("#"&amp;CELL("address",SER_CR!$B$2),MID(CELL("filename",SER_CR!$B$2),FIND("]",CELL("filename",SER_CR!$B$2))+1,256))</f>
        <v>SER_CR</v>
      </c>
      <c r="C37" s="18"/>
      <c r="D37" s="296" t="s">
        <v>171</v>
      </c>
    </row>
    <row r="38" spans="2:4" x14ac:dyDescent="0.25">
      <c r="B38" s="25" t="str">
        <f ca="1">HYPERLINK("#"&amp;CELL("address",SER_BT!$B$2),MID(CELL("filename",SER_BT!$B$2),FIND("]",CELL("filename",SER_BT!$B$2))+1,256))</f>
        <v>SER_BT</v>
      </c>
      <c r="C38" s="18"/>
      <c r="D38" s="296" t="s">
        <v>4</v>
      </c>
    </row>
    <row r="39" spans="2:4" x14ac:dyDescent="0.25">
      <c r="B39" s="25" t="str">
        <f ca="1">HYPERLINK("#"&amp;CELL("address",SER_IT!$B$2),MID(CELL("filename",SER_IT!$B$2),FIND("]",CELL("filename",SER_IT!$B$2))+1,256))</f>
        <v>SER_IT</v>
      </c>
      <c r="C39" s="18"/>
      <c r="D39" s="296" t="s">
        <v>3</v>
      </c>
    </row>
    <row r="41" spans="2:4" x14ac:dyDescent="0.25">
      <c r="B41" s="295" t="s">
        <v>126</v>
      </c>
    </row>
    <row r="42" spans="2:4" x14ac:dyDescent="0.25">
      <c r="B42" s="25" t="str">
        <f ca="1">HYPERLINK("#"&amp;CELL("address",AGR!$B$2),MID(CELL("filename",AGR!$B$2),FIND("]",CELL("filename",AGR!$B$2))+1,256))</f>
        <v>AGR</v>
      </c>
      <c r="D42" s="294" t="s">
        <v>175</v>
      </c>
    </row>
    <row r="43" spans="2:4" x14ac:dyDescent="0.25">
      <c r="B43" s="26" t="str">
        <f ca="1">HYPERLINK("#"&amp;CELL("address",AGR_fec!$B$2),MID(CELL("filename",AGR_fec!$B$2),FIND("]",CELL("filename",AGR_fec!$B$2))+1,256))</f>
        <v>AGR_fec</v>
      </c>
      <c r="D43" s="297" t="s">
        <v>2</v>
      </c>
    </row>
    <row r="44" spans="2:4" x14ac:dyDescent="0.25">
      <c r="B44" s="26" t="str">
        <f ca="1">HYPERLINK("#"&amp;CELL("address",AGR_ued!$B$2),MID(CELL("filename",AGR_ued!$B$2),FIND("]",CELL("filename",AGR_ued!$B$2))+1,256))</f>
        <v>AGR_ued</v>
      </c>
      <c r="D44" s="297" t="s">
        <v>1</v>
      </c>
    </row>
    <row r="45" spans="2:4" x14ac:dyDescent="0.25">
      <c r="B45" s="26" t="str">
        <f ca="1">HYPERLINK("#"&amp;CELL("address",AGR_emi!$B$2),MID(CELL("filename",AGR_emi!$B$2),FIND("]",CELL("filename",AGR_emi!$B$2))+1,256))</f>
        <v>AGR_emi</v>
      </c>
      <c r="D45" s="297" t="s">
        <v>0</v>
      </c>
    </row>
  </sheetData>
  <pageMargins left="0.39370078740157483" right="0.39370078740157483" top="0.39370078740157483" bottom="0.3937007874015748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9" tint="0.79998168889431442"/>
    <pageSetUpPr fitToPage="1"/>
  </sheetPr>
  <dimension ref="A1:DA173"/>
  <sheetViews>
    <sheetView showGridLines="0" zoomScaleNormal="100" workbookViewId="0">
      <pane xSplit="1" ySplit="1" topLeftCell="H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187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" customHeight="1" x14ac:dyDescent="0.25">
      <c r="A3" s="33" t="s">
        <v>71</v>
      </c>
      <c r="B3" s="34">
        <v>56923524</v>
      </c>
      <c r="C3" s="34">
        <v>56960692</v>
      </c>
      <c r="D3" s="34">
        <v>56993270</v>
      </c>
      <c r="E3" s="34">
        <v>57186378</v>
      </c>
      <c r="F3" s="34">
        <v>57611990</v>
      </c>
      <c r="G3" s="34">
        <v>58044368</v>
      </c>
      <c r="H3" s="34">
        <v>58288996</v>
      </c>
      <c r="I3" s="34">
        <v>58510725</v>
      </c>
      <c r="J3" s="34">
        <v>59001769</v>
      </c>
      <c r="K3" s="34">
        <v>59420592</v>
      </c>
      <c r="L3" s="34">
        <v>59690316</v>
      </c>
      <c r="M3" s="34">
        <v>59948497</v>
      </c>
      <c r="N3" s="34">
        <v>60105185</v>
      </c>
      <c r="O3" s="34">
        <v>60277309</v>
      </c>
      <c r="P3" s="34">
        <v>60345917</v>
      </c>
      <c r="Q3" s="34">
        <v>60295497</v>
      </c>
      <c r="R3" s="34">
        <v>60163712</v>
      </c>
      <c r="S3" s="34">
        <v>60066734</v>
      </c>
      <c r="T3" s="34">
        <v>59937769</v>
      </c>
      <c r="U3" s="34">
        <v>59816673</v>
      </c>
      <c r="V3" s="34">
        <v>59641488</v>
      </c>
      <c r="W3" s="34">
        <v>59236213</v>
      </c>
      <c r="X3" s="34">
        <v>59030133</v>
      </c>
      <c r="Y3" s="34">
        <v>58997201</v>
      </c>
      <c r="DA3" s="88" t="s">
        <v>188</v>
      </c>
    </row>
    <row r="4" spans="1:105" ht="12" customHeight="1" x14ac:dyDescent="0.25">
      <c r="A4" s="35" t="s">
        <v>178</v>
      </c>
      <c r="B4" s="36">
        <v>1969957.9842664299</v>
      </c>
      <c r="C4" s="36">
        <v>2009480.3532437547</v>
      </c>
      <c r="D4" s="36">
        <v>2014916.0783287871</v>
      </c>
      <c r="E4" s="36">
        <v>2016259.3844741483</v>
      </c>
      <c r="F4" s="36">
        <v>2045965.0658453098</v>
      </c>
      <c r="G4" s="36">
        <v>2061575.7959610713</v>
      </c>
      <c r="H4" s="36">
        <v>2098664.462021511</v>
      </c>
      <c r="I4" s="36">
        <v>2129356.1645174962</v>
      </c>
      <c r="J4" s="36">
        <v>2107561.8033092604</v>
      </c>
      <c r="K4" s="36">
        <v>1995757.5438424486</v>
      </c>
      <c r="L4" s="36">
        <v>2026286.8950536237</v>
      </c>
      <c r="M4" s="36">
        <v>2040375.7564327028</v>
      </c>
      <c r="N4" s="36">
        <v>1976602.9713443918</v>
      </c>
      <c r="O4" s="36">
        <v>1940662.3793554751</v>
      </c>
      <c r="P4" s="36">
        <v>1940645.860599861</v>
      </c>
      <c r="Q4" s="36">
        <v>1957827.5478929998</v>
      </c>
      <c r="R4" s="36">
        <v>1982033.9888224953</v>
      </c>
      <c r="S4" s="36">
        <v>2013813.5527866858</v>
      </c>
      <c r="T4" s="36">
        <v>2030473.2828077392</v>
      </c>
      <c r="U4" s="36">
        <v>2039168.2091186696</v>
      </c>
      <c r="V4" s="36">
        <v>1858342.1321336736</v>
      </c>
      <c r="W4" s="36">
        <v>2024302.3348074444</v>
      </c>
      <c r="X4" s="36">
        <v>2121897.5791537352</v>
      </c>
      <c r="Y4" s="36">
        <v>2142601.7000000002</v>
      </c>
      <c r="DA4" s="89" t="s">
        <v>189</v>
      </c>
    </row>
    <row r="5" spans="1:105" ht="12" customHeight="1" x14ac:dyDescent="0.25">
      <c r="A5" s="35" t="s">
        <v>179</v>
      </c>
      <c r="B5" s="36">
        <v>1228668.4439959989</v>
      </c>
      <c r="C5" s="36">
        <v>1260228.9771014624</v>
      </c>
      <c r="D5" s="36">
        <v>1270186.7483776067</v>
      </c>
      <c r="E5" s="36">
        <v>1283640.1451699177</v>
      </c>
      <c r="F5" s="36">
        <v>1305939.9362245686</v>
      </c>
      <c r="G5" s="36">
        <v>1325770.3409671711</v>
      </c>
      <c r="H5" s="36">
        <v>1348610.3548643084</v>
      </c>
      <c r="I5" s="36">
        <v>1364481.4660080965</v>
      </c>
      <c r="J5" s="36">
        <v>1360586.1586381204</v>
      </c>
      <c r="K5" s="36">
        <v>1322579.6125627349</v>
      </c>
      <c r="L5" s="36">
        <v>1345921.7841069817</v>
      </c>
      <c r="M5" s="36">
        <v>1356295.5983408932</v>
      </c>
      <c r="N5" s="36">
        <v>1325492.1805171394</v>
      </c>
      <c r="O5" s="36">
        <v>1307305.4247659782</v>
      </c>
      <c r="P5" s="36">
        <v>1316196.5672559319</v>
      </c>
      <c r="Q5" s="36">
        <v>1325265.5019700001</v>
      </c>
      <c r="R5" s="36">
        <v>1339269.3113012582</v>
      </c>
      <c r="S5" s="36">
        <v>1360548.1361082678</v>
      </c>
      <c r="T5" s="36">
        <v>1371114.7317907384</v>
      </c>
      <c r="U5" s="36">
        <v>1381207.9792560823</v>
      </c>
      <c r="V5" s="36">
        <v>1269414.3022431256</v>
      </c>
      <c r="W5" s="36">
        <v>1351395.0844453466</v>
      </c>
      <c r="X5" s="36">
        <v>1404398.1552036938</v>
      </c>
      <c r="Y5" s="36">
        <v>1414651.542192498</v>
      </c>
      <c r="DA5" s="89" t="s">
        <v>190</v>
      </c>
    </row>
    <row r="6" spans="1:105" ht="12" customHeight="1" x14ac:dyDescent="0.25">
      <c r="A6" s="37" t="s">
        <v>70</v>
      </c>
      <c r="B6" s="38">
        <v>15811000.000000002</v>
      </c>
      <c r="C6" s="38">
        <v>16148500.000000004</v>
      </c>
      <c r="D6" s="38">
        <v>16523200</v>
      </c>
      <c r="E6" s="38">
        <v>16857000</v>
      </c>
      <c r="F6" s="38">
        <v>16979300.000000004</v>
      </c>
      <c r="G6" s="38">
        <v>17075100</v>
      </c>
      <c r="H6" s="38">
        <v>17479000</v>
      </c>
      <c r="I6" s="38">
        <v>17733300.000000004</v>
      </c>
      <c r="J6" s="38">
        <v>17856900</v>
      </c>
      <c r="K6" s="38">
        <v>17695300</v>
      </c>
      <c r="L6" s="38">
        <v>17729700</v>
      </c>
      <c r="M6" s="38">
        <v>17881900</v>
      </c>
      <c r="N6" s="38">
        <v>18003600</v>
      </c>
      <c r="O6" s="38">
        <v>17819199.999999996</v>
      </c>
      <c r="P6" s="38">
        <v>17945700</v>
      </c>
      <c r="Q6" s="38">
        <v>18144900</v>
      </c>
      <c r="R6" s="38">
        <v>18428300</v>
      </c>
      <c r="S6" s="38">
        <v>18726200</v>
      </c>
      <c r="T6" s="38">
        <v>18912899.999999996</v>
      </c>
      <c r="U6" s="38">
        <v>19057400</v>
      </c>
      <c r="V6" s="38">
        <v>18600000</v>
      </c>
      <c r="W6" s="38">
        <v>18751900</v>
      </c>
      <c r="X6" s="38">
        <v>19074000</v>
      </c>
      <c r="Y6" s="38">
        <v>19475700</v>
      </c>
      <c r="DA6" s="90" t="s">
        <v>191</v>
      </c>
    </row>
    <row r="7" spans="1:105" s="2" customFormat="1" ht="12" customHeight="1" x14ac:dyDescent="0.25">
      <c r="DA7" s="7"/>
    </row>
    <row r="8" spans="1:105" ht="12" customHeight="1" x14ac:dyDescent="0.25">
      <c r="A8" s="33" t="s">
        <v>69</v>
      </c>
      <c r="B8" s="34">
        <v>560630.92586591316</v>
      </c>
      <c r="C8" s="34">
        <v>569930.70012286073</v>
      </c>
      <c r="D8" s="34">
        <v>579592.12967373536</v>
      </c>
      <c r="E8" s="34">
        <v>585919.47199467896</v>
      </c>
      <c r="F8" s="34">
        <v>590077.97858302016</v>
      </c>
      <c r="G8" s="34">
        <v>592915.42432537139</v>
      </c>
      <c r="H8" s="34">
        <v>605943.92879110784</v>
      </c>
      <c r="I8" s="34">
        <v>616608.19487047626</v>
      </c>
      <c r="J8" s="34">
        <v>619868.73999800812</v>
      </c>
      <c r="K8" s="34">
        <v>619733.56173573481</v>
      </c>
      <c r="L8" s="34">
        <v>623093.49500217196</v>
      </c>
      <c r="M8" s="34">
        <v>628061.71176296624</v>
      </c>
      <c r="N8" s="34">
        <v>630339.81939663494</v>
      </c>
      <c r="O8" s="34">
        <v>628304.61462974234</v>
      </c>
      <c r="P8" s="34">
        <v>636026.78457838378</v>
      </c>
      <c r="Q8" s="34">
        <v>638144.82424571074</v>
      </c>
      <c r="R8" s="34">
        <v>638276.42670124164</v>
      </c>
      <c r="S8" s="34">
        <v>641181.97692381672</v>
      </c>
      <c r="T8" s="34">
        <v>643268.97870794521</v>
      </c>
      <c r="U8" s="34">
        <v>644900.56672284775</v>
      </c>
      <c r="V8" s="34">
        <v>646018.61</v>
      </c>
      <c r="W8" s="34">
        <v>646934.17557687254</v>
      </c>
      <c r="X8" s="34">
        <v>647680.29390233709</v>
      </c>
      <c r="Y8" s="34">
        <v>648339.30285318429</v>
      </c>
      <c r="DA8" s="88" t="s">
        <v>192</v>
      </c>
    </row>
    <row r="9" spans="1:105" ht="12" customHeight="1" x14ac:dyDescent="0.25">
      <c r="A9" s="39" t="s">
        <v>68</v>
      </c>
      <c r="B9" s="40">
        <v>504567.83327932179</v>
      </c>
      <c r="C9" s="40">
        <v>512937.63011057465</v>
      </c>
      <c r="D9" s="40">
        <v>521632.91670636181</v>
      </c>
      <c r="E9" s="40">
        <v>527327.52479521104</v>
      </c>
      <c r="F9" s="40">
        <v>531070.18072471814</v>
      </c>
      <c r="G9" s="40">
        <v>533623.88189283432</v>
      </c>
      <c r="H9" s="40">
        <v>545349.53591199708</v>
      </c>
      <c r="I9" s="40">
        <v>554947.37538342865</v>
      </c>
      <c r="J9" s="40">
        <v>557881.86599820724</v>
      </c>
      <c r="K9" s="40">
        <v>557760.2055621614</v>
      </c>
      <c r="L9" s="40">
        <v>560784.14550195471</v>
      </c>
      <c r="M9" s="40">
        <v>565255.54058666958</v>
      </c>
      <c r="N9" s="40">
        <v>567305.83745697141</v>
      </c>
      <c r="O9" s="40">
        <v>565474.15316676814</v>
      </c>
      <c r="P9" s="40">
        <v>572424.10612054542</v>
      </c>
      <c r="Q9" s="40">
        <v>574330.34182113968</v>
      </c>
      <c r="R9" s="40">
        <v>574448.78403111757</v>
      </c>
      <c r="S9" s="40">
        <v>577063.77923143504</v>
      </c>
      <c r="T9" s="40">
        <v>578942.08083715069</v>
      </c>
      <c r="U9" s="40">
        <v>580410.51005056303</v>
      </c>
      <c r="V9" s="40">
        <v>581416.74899999995</v>
      </c>
      <c r="W9" s="40">
        <v>582240.75801918528</v>
      </c>
      <c r="X9" s="40">
        <v>582912.2645121034</v>
      </c>
      <c r="Y9" s="40">
        <v>583505.37256786588</v>
      </c>
      <c r="DA9" s="91" t="s">
        <v>193</v>
      </c>
    </row>
    <row r="10" spans="1:105" ht="12" customHeight="1" x14ac:dyDescent="0.25">
      <c r="A10" s="35" t="s">
        <v>17</v>
      </c>
      <c r="B10" s="41"/>
      <c r="C10" s="41">
        <v>11542.175670495013</v>
      </c>
      <c r="D10" s="41">
        <v>11941.143536422667</v>
      </c>
      <c r="E10" s="41">
        <v>8645.7716067630226</v>
      </c>
      <c r="F10" s="41">
        <v>6502.1849830334886</v>
      </c>
      <c r="G10" s="41">
        <v>5197.6763306377361</v>
      </c>
      <c r="H10" s="41">
        <v>15400.237425842588</v>
      </c>
      <c r="I10" s="41">
        <v>13088.180531144768</v>
      </c>
      <c r="J10" s="41">
        <v>5727.1025187376608</v>
      </c>
      <c r="K10" s="41">
        <v>2479.4624912962918</v>
      </c>
      <c r="L10" s="41">
        <v>5838.8346664250985</v>
      </c>
      <c r="M10" s="41">
        <v>7460.5843521810784</v>
      </c>
      <c r="N10" s="41">
        <v>4790.3939664994459</v>
      </c>
      <c r="O10" s="41">
        <v>2521.2637937632694</v>
      </c>
      <c r="P10" s="41">
        <v>10235.297918434551</v>
      </c>
      <c r="Q10" s="41">
        <v>4662.027659075673</v>
      </c>
      <c r="R10" s="41">
        <v>3404.1400157654125</v>
      </c>
      <c r="S10" s="41">
        <v>6178.7626671969529</v>
      </c>
      <c r="T10" s="41">
        <v>5375.1144863018926</v>
      </c>
      <c r="U10" s="41">
        <v>4930.4032903282668</v>
      </c>
      <c r="V10" s="41">
        <v>4425.2256706023463</v>
      </c>
      <c r="W10" s="41">
        <v>4228.4815255905314</v>
      </c>
      <c r="X10" s="41">
        <v>4063.7294822691697</v>
      </c>
      <c r="Y10" s="41">
        <v>3980.4463554744234</v>
      </c>
      <c r="DA10" s="92" t="s">
        <v>194</v>
      </c>
    </row>
    <row r="11" spans="1:105" ht="12" customHeight="1" x14ac:dyDescent="0.25">
      <c r="A11" s="37" t="s">
        <v>67</v>
      </c>
      <c r="B11" s="42"/>
      <c r="C11" s="42">
        <v>10387.958103445513</v>
      </c>
      <c r="D11" s="42">
        <v>10747.029182780399</v>
      </c>
      <c r="E11" s="42">
        <v>7781.1944460867198</v>
      </c>
      <c r="F11" s="42">
        <v>5851.9664847301401</v>
      </c>
      <c r="G11" s="42">
        <v>4677.9086975739629</v>
      </c>
      <c r="H11" s="42">
        <v>13860.213683258329</v>
      </c>
      <c r="I11" s="42">
        <v>11779.362478030293</v>
      </c>
      <c r="J11" s="42">
        <v>5154.3922668638943</v>
      </c>
      <c r="K11" s="42">
        <v>2231.5162421666632</v>
      </c>
      <c r="L11" s="42">
        <v>5254.9511997825884</v>
      </c>
      <c r="M11" s="42">
        <v>6714.5259169629708</v>
      </c>
      <c r="N11" s="42">
        <v>4311.3545698495009</v>
      </c>
      <c r="O11" s="42">
        <v>2269.137414386943</v>
      </c>
      <c r="P11" s="42">
        <v>9211.768126591096</v>
      </c>
      <c r="Q11" s="42">
        <v>4195.8248931681055</v>
      </c>
      <c r="R11" s="42">
        <v>3063.7260141888714</v>
      </c>
      <c r="S11" s="42">
        <v>5560.8864004772577</v>
      </c>
      <c r="T11" s="42">
        <v>4837.6030376717044</v>
      </c>
      <c r="U11" s="42">
        <v>4437.3629612954401</v>
      </c>
      <c r="V11" s="42">
        <v>3982.7031035421119</v>
      </c>
      <c r="W11" s="42">
        <v>3805.6333730314777</v>
      </c>
      <c r="X11" s="42">
        <v>3657.3565340422529</v>
      </c>
      <c r="Y11" s="42">
        <v>3582.4017199269811</v>
      </c>
      <c r="DA11" s="93" t="s">
        <v>195</v>
      </c>
    </row>
    <row r="12" spans="1:105" s="2" customFormat="1" ht="12" customHeight="1" x14ac:dyDescent="0.25">
      <c r="DA12" s="7"/>
    </row>
    <row r="13" spans="1:105" ht="12" customHeight="1" x14ac:dyDescent="0.25">
      <c r="A13" s="33" t="s">
        <v>66</v>
      </c>
      <c r="B13" s="43">
        <v>1848.2</v>
      </c>
      <c r="C13" s="43">
        <v>1877.19</v>
      </c>
      <c r="D13" s="43">
        <v>1804.77</v>
      </c>
      <c r="E13" s="43">
        <v>2007.84</v>
      </c>
      <c r="F13" s="43">
        <v>2006.05</v>
      </c>
      <c r="G13" s="43">
        <v>2162.84</v>
      </c>
      <c r="H13" s="43">
        <v>1949</v>
      </c>
      <c r="I13" s="43">
        <v>1836.76</v>
      </c>
      <c r="J13" s="43">
        <v>1896.16</v>
      </c>
      <c r="K13" s="43">
        <v>1947.26</v>
      </c>
      <c r="L13" s="43">
        <v>2074.34</v>
      </c>
      <c r="M13" s="43">
        <v>1856.24</v>
      </c>
      <c r="N13" s="43">
        <v>1952.79</v>
      </c>
      <c r="O13" s="43">
        <v>1932.55</v>
      </c>
      <c r="P13" s="43">
        <v>1631.87</v>
      </c>
      <c r="Q13" s="43">
        <v>1808.06</v>
      </c>
      <c r="R13" s="43">
        <v>1766.12</v>
      </c>
      <c r="S13" s="43">
        <v>1879.86</v>
      </c>
      <c r="T13" s="43">
        <v>1746.84</v>
      </c>
      <c r="U13" s="43">
        <v>1813.91</v>
      </c>
      <c r="V13" s="43">
        <v>1748.95</v>
      </c>
      <c r="W13" s="43">
        <v>1916.57</v>
      </c>
      <c r="X13" s="43">
        <v>1734.67</v>
      </c>
      <c r="Y13" s="43">
        <v>1688.65</v>
      </c>
      <c r="DA13" s="94" t="s">
        <v>196</v>
      </c>
    </row>
    <row r="14" spans="1:105" ht="12" customHeight="1" x14ac:dyDescent="0.25">
      <c r="A14" s="35" t="s">
        <v>147</v>
      </c>
      <c r="B14" s="44">
        <f>AVERAGE($B$13:$V$13)</f>
        <v>1883.2190476190476</v>
      </c>
      <c r="C14" s="44">
        <f t="shared" ref="C14:Y14" si="0">AVERAGE($B$13:$V$13)</f>
        <v>1883.2190476190476</v>
      </c>
      <c r="D14" s="44">
        <f t="shared" si="0"/>
        <v>1883.2190476190476</v>
      </c>
      <c r="E14" s="44">
        <f t="shared" si="0"/>
        <v>1883.2190476190476</v>
      </c>
      <c r="F14" s="44">
        <f t="shared" si="0"/>
        <v>1883.2190476190476</v>
      </c>
      <c r="G14" s="44">
        <f t="shared" si="0"/>
        <v>1883.2190476190476</v>
      </c>
      <c r="H14" s="44">
        <f t="shared" si="0"/>
        <v>1883.2190476190476</v>
      </c>
      <c r="I14" s="44">
        <f t="shared" si="0"/>
        <v>1883.2190476190476</v>
      </c>
      <c r="J14" s="44">
        <f t="shared" si="0"/>
        <v>1883.2190476190476</v>
      </c>
      <c r="K14" s="44">
        <f t="shared" si="0"/>
        <v>1883.2190476190476</v>
      </c>
      <c r="L14" s="44">
        <f t="shared" si="0"/>
        <v>1883.2190476190476</v>
      </c>
      <c r="M14" s="44">
        <f t="shared" si="0"/>
        <v>1883.2190476190476</v>
      </c>
      <c r="N14" s="44">
        <f t="shared" si="0"/>
        <v>1883.2190476190476</v>
      </c>
      <c r="O14" s="44">
        <f t="shared" si="0"/>
        <v>1883.2190476190476</v>
      </c>
      <c r="P14" s="44">
        <f t="shared" si="0"/>
        <v>1883.2190476190476</v>
      </c>
      <c r="Q14" s="44">
        <f t="shared" si="0"/>
        <v>1883.2190476190476</v>
      </c>
      <c r="R14" s="44">
        <f t="shared" si="0"/>
        <v>1883.2190476190476</v>
      </c>
      <c r="S14" s="44">
        <f t="shared" si="0"/>
        <v>1883.2190476190476</v>
      </c>
      <c r="T14" s="44">
        <f t="shared" si="0"/>
        <v>1883.2190476190476</v>
      </c>
      <c r="U14" s="44">
        <f t="shared" si="0"/>
        <v>1883.2190476190476</v>
      </c>
      <c r="V14" s="44">
        <f t="shared" si="0"/>
        <v>1883.2190476190476</v>
      </c>
      <c r="W14" s="44">
        <f t="shared" si="0"/>
        <v>1883.2190476190476</v>
      </c>
      <c r="X14" s="44">
        <f t="shared" si="0"/>
        <v>1883.2190476190476</v>
      </c>
      <c r="Y14" s="44">
        <f t="shared" si="0"/>
        <v>1883.2190476190476</v>
      </c>
      <c r="DA14" s="95" t="s">
        <v>197</v>
      </c>
    </row>
    <row r="15" spans="1:105" ht="12" customHeight="1" x14ac:dyDescent="0.25">
      <c r="A15" s="45" t="s">
        <v>65</v>
      </c>
      <c r="B15" s="46">
        <f>B13/B14</f>
        <v>0.9814046870100841</v>
      </c>
      <c r="C15" s="46">
        <f t="shared" ref="C15:W15" si="1">C13/C14</f>
        <v>0.99679854150441494</v>
      </c>
      <c r="D15" s="46">
        <f t="shared" si="1"/>
        <v>0.95834311058066735</v>
      </c>
      <c r="E15" s="46">
        <f t="shared" si="1"/>
        <v>1.0661744328353679</v>
      </c>
      <c r="F15" s="46">
        <f t="shared" si="1"/>
        <v>1.0652239326785948</v>
      </c>
      <c r="G15" s="46">
        <f t="shared" si="1"/>
        <v>1.1484803123324805</v>
      </c>
      <c r="H15" s="46">
        <f t="shared" si="1"/>
        <v>1.0349300589669159</v>
      </c>
      <c r="I15" s="46">
        <f t="shared" si="1"/>
        <v>0.97532998209752297</v>
      </c>
      <c r="J15" s="46">
        <f t="shared" si="1"/>
        <v>1.0068717191435133</v>
      </c>
      <c r="K15" s="46">
        <f t="shared" si="1"/>
        <v>1.0340061090938515</v>
      </c>
      <c r="L15" s="46">
        <f t="shared" si="1"/>
        <v>1.1014863101680001</v>
      </c>
      <c r="M15" s="46">
        <f t="shared" si="1"/>
        <v>0.98567397263045042</v>
      </c>
      <c r="N15" s="46">
        <f t="shared" si="1"/>
        <v>1.0369425704720387</v>
      </c>
      <c r="O15" s="46">
        <f t="shared" si="1"/>
        <v>1.0261950156267383</v>
      </c>
      <c r="P15" s="46">
        <f t="shared" si="1"/>
        <v>0.86653222951582387</v>
      </c>
      <c r="Q15" s="46">
        <f t="shared" si="1"/>
        <v>0.9600901192487028</v>
      </c>
      <c r="R15" s="46">
        <f t="shared" si="1"/>
        <v>0.93781974127380674</v>
      </c>
      <c r="S15" s="46">
        <f t="shared" si="1"/>
        <v>0.99821632665446192</v>
      </c>
      <c r="T15" s="46">
        <f t="shared" si="1"/>
        <v>0.92758195187571424</v>
      </c>
      <c r="U15" s="46">
        <f t="shared" si="1"/>
        <v>0.96319650244262611</v>
      </c>
      <c r="V15" s="46">
        <f t="shared" si="1"/>
        <v>0.92870237384822341</v>
      </c>
      <c r="W15" s="46">
        <f t="shared" si="1"/>
        <v>1.0177095449534233</v>
      </c>
      <c r="X15" s="46">
        <f t="shared" ref="X15:Y15" si="2">X13/X14</f>
        <v>0.92111961282100563</v>
      </c>
      <c r="Y15" s="46">
        <f t="shared" si="2"/>
        <v>0.89668273169547585</v>
      </c>
      <c r="DA15" s="96" t="s">
        <v>198</v>
      </c>
    </row>
    <row r="16" spans="1:105" s="2" customFormat="1" ht="12" customHeight="1" x14ac:dyDescent="0.25">
      <c r="DA16" s="7"/>
    </row>
    <row r="17" spans="1:105" s="2" customFormat="1" ht="12.95" customHeight="1" x14ac:dyDescent="0.25">
      <c r="A17" s="47" t="s">
        <v>64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DA17" s="97"/>
    </row>
    <row r="18" spans="1:105" s="2" customFormat="1" ht="12" customHeight="1" x14ac:dyDescent="0.25">
      <c r="DA18" s="7"/>
    </row>
    <row r="19" spans="1:105" ht="12" customHeight="1" x14ac:dyDescent="0.25">
      <c r="A19" s="49" t="s">
        <v>180</v>
      </c>
      <c r="B19" s="34">
        <f t="shared" ref="B19:C19" si="3">B4*1000000/B3</f>
        <v>34607.098187849893</v>
      </c>
      <c r="C19" s="34">
        <f t="shared" si="3"/>
        <v>35278.36974388855</v>
      </c>
      <c r="D19" s="34">
        <f t="shared" ref="D19:W19" si="4">D4*1000000/D3</f>
        <v>35353.579086246275</v>
      </c>
      <c r="E19" s="34">
        <f t="shared" si="4"/>
        <v>35257.686445435451</v>
      </c>
      <c r="F19" s="34">
        <f t="shared" si="4"/>
        <v>35512.83449582821</v>
      </c>
      <c r="G19" s="34">
        <f t="shared" si="4"/>
        <v>35517.240810703137</v>
      </c>
      <c r="H19" s="34">
        <f t="shared" si="4"/>
        <v>36004.470930010721</v>
      </c>
      <c r="I19" s="34">
        <f t="shared" si="4"/>
        <v>36392.578702750587</v>
      </c>
      <c r="J19" s="34">
        <f t="shared" si="4"/>
        <v>35720.315492731424</v>
      </c>
      <c r="K19" s="34">
        <f t="shared" si="4"/>
        <v>33586.968366832305</v>
      </c>
      <c r="L19" s="34">
        <f t="shared" si="4"/>
        <v>33946.660544628779</v>
      </c>
      <c r="M19" s="34">
        <f t="shared" si="4"/>
        <v>34035.478094349935</v>
      </c>
      <c r="N19" s="34">
        <f t="shared" si="4"/>
        <v>32885.731428068837</v>
      </c>
      <c r="O19" s="34">
        <f t="shared" si="4"/>
        <v>32195.57096278925</v>
      </c>
      <c r="P19" s="34">
        <f t="shared" si="4"/>
        <v>32158.693695877737</v>
      </c>
      <c r="Q19" s="34">
        <f t="shared" si="4"/>
        <v>32470.543329180946</v>
      </c>
      <c r="R19" s="34">
        <f t="shared" si="4"/>
        <v>32944.010981611231</v>
      </c>
      <c r="S19" s="34">
        <f t="shared" si="4"/>
        <v>33526.270177877253</v>
      </c>
      <c r="T19" s="34">
        <f t="shared" si="4"/>
        <v>33876.357373390711</v>
      </c>
      <c r="U19" s="34">
        <f t="shared" si="4"/>
        <v>34090.298019728878</v>
      </c>
      <c r="V19" s="34">
        <f t="shared" si="4"/>
        <v>31158.547421447191</v>
      </c>
      <c r="W19" s="34">
        <f t="shared" si="4"/>
        <v>34173.392124298094</v>
      </c>
      <c r="X19" s="34">
        <f t="shared" ref="X19:Y19" si="5">X4*1000000/X3</f>
        <v>35946.007086816746</v>
      </c>
      <c r="Y19" s="34">
        <f t="shared" si="5"/>
        <v>36317.00595423163</v>
      </c>
      <c r="DA19" s="88"/>
    </row>
    <row r="20" spans="1:105" ht="12" customHeight="1" x14ac:dyDescent="0.25">
      <c r="A20" s="50" t="s">
        <v>181</v>
      </c>
      <c r="B20" s="36">
        <f t="shared" ref="B20:C20" si="6">B5*1000000/B6</f>
        <v>77709.723862880201</v>
      </c>
      <c r="C20" s="36">
        <f t="shared" si="6"/>
        <v>78040.002297517553</v>
      </c>
      <c r="D20" s="36">
        <f t="shared" ref="D20:W20" si="7">D5*1000000/D6</f>
        <v>76872.927058778369</v>
      </c>
      <c r="E20" s="36">
        <f t="shared" si="7"/>
        <v>76148.789533719988</v>
      </c>
      <c r="F20" s="36">
        <f t="shared" si="7"/>
        <v>76913.649928122381</v>
      </c>
      <c r="G20" s="36">
        <f t="shared" si="7"/>
        <v>77643.4891138073</v>
      </c>
      <c r="H20" s="36">
        <f t="shared" si="7"/>
        <v>77156.036092700291</v>
      </c>
      <c r="I20" s="36">
        <f t="shared" si="7"/>
        <v>76944.588204569722</v>
      </c>
      <c r="J20" s="36">
        <f t="shared" si="7"/>
        <v>76193.861120245972</v>
      </c>
      <c r="K20" s="36">
        <f t="shared" si="7"/>
        <v>74741.858717441064</v>
      </c>
      <c r="L20" s="36">
        <f t="shared" si="7"/>
        <v>75913.398653501281</v>
      </c>
      <c r="M20" s="36">
        <f t="shared" si="7"/>
        <v>75847.398673568969</v>
      </c>
      <c r="N20" s="36">
        <f t="shared" si="7"/>
        <v>73623.729727228972</v>
      </c>
      <c r="O20" s="36">
        <f t="shared" si="7"/>
        <v>73364.989717045581</v>
      </c>
      <c r="P20" s="36">
        <f t="shared" si="7"/>
        <v>73343.283753541618</v>
      </c>
      <c r="Q20" s="36">
        <f t="shared" si="7"/>
        <v>73037.90607663861</v>
      </c>
      <c r="R20" s="36">
        <f t="shared" si="7"/>
        <v>72674.598921292694</v>
      </c>
      <c r="S20" s="36">
        <f t="shared" si="7"/>
        <v>72654.790406396802</v>
      </c>
      <c r="T20" s="36">
        <f t="shared" si="7"/>
        <v>72496.271422718826</v>
      </c>
      <c r="U20" s="36">
        <f t="shared" si="7"/>
        <v>72476.202381021663</v>
      </c>
      <c r="V20" s="36">
        <f t="shared" si="7"/>
        <v>68248.080765759441</v>
      </c>
      <c r="W20" s="36">
        <f t="shared" si="7"/>
        <v>72067.101704112472</v>
      </c>
      <c r="X20" s="36">
        <f t="shared" ref="X20:Y20" si="8">X5*1000000/X6</f>
        <v>73628.927084182331</v>
      </c>
      <c r="Y20" s="36">
        <f t="shared" si="8"/>
        <v>72636.749497707293</v>
      </c>
      <c r="DA20" s="89"/>
    </row>
    <row r="21" spans="1:105" ht="12" customHeight="1" x14ac:dyDescent="0.25">
      <c r="A21" s="50" t="s">
        <v>182</v>
      </c>
      <c r="B21" s="36">
        <f t="shared" ref="B21:C21" si="9">B5*1000000/B3</f>
        <v>21584.546381843804</v>
      </c>
      <c r="C21" s="36">
        <f t="shared" si="9"/>
        <v>22124.537691737707</v>
      </c>
      <c r="D21" s="36">
        <f t="shared" ref="D21:W21" si="10">D5*1000000/D3</f>
        <v>22286.609425597209</v>
      </c>
      <c r="E21" s="36">
        <f t="shared" si="10"/>
        <v>22446.606867983799</v>
      </c>
      <c r="F21" s="36">
        <f t="shared" si="10"/>
        <v>22667.849803913537</v>
      </c>
      <c r="G21" s="36">
        <f t="shared" si="10"/>
        <v>22840.63702730248</v>
      </c>
      <c r="H21" s="36">
        <f t="shared" si="10"/>
        <v>23136.620072582969</v>
      </c>
      <c r="I21" s="36">
        <f t="shared" si="10"/>
        <v>23320.194135487065</v>
      </c>
      <c r="J21" s="36">
        <f t="shared" si="10"/>
        <v>23060.090937919511</v>
      </c>
      <c r="K21" s="36">
        <f t="shared" si="10"/>
        <v>22257.933959371101</v>
      </c>
      <c r="L21" s="36">
        <f t="shared" si="10"/>
        <v>22548.411104189527</v>
      </c>
      <c r="M21" s="36">
        <f t="shared" si="10"/>
        <v>22624.347001408445</v>
      </c>
      <c r="N21" s="36">
        <f t="shared" si="10"/>
        <v>22052.875812912636</v>
      </c>
      <c r="O21" s="36">
        <f t="shared" si="10"/>
        <v>21688.18493151342</v>
      </c>
      <c r="P21" s="36">
        <f t="shared" si="10"/>
        <v>21810.863645603924</v>
      </c>
      <c r="Q21" s="36">
        <f t="shared" si="10"/>
        <v>21979.510376537739</v>
      </c>
      <c r="R21" s="36">
        <f t="shared" si="10"/>
        <v>22260.41689883194</v>
      </c>
      <c r="S21" s="36">
        <f t="shared" si="10"/>
        <v>22650.609505558732</v>
      </c>
      <c r="T21" s="36">
        <f t="shared" si="10"/>
        <v>22875.638427428596</v>
      </c>
      <c r="U21" s="36">
        <f t="shared" si="10"/>
        <v>23090.685422375169</v>
      </c>
      <c r="V21" s="36">
        <f t="shared" si="10"/>
        <v>21284.081682253229</v>
      </c>
      <c r="W21" s="36">
        <f t="shared" si="10"/>
        <v>22813.664412432081</v>
      </c>
      <c r="X21" s="36">
        <f t="shared" ref="X21:Y21" si="11">X5*1000000/X3</f>
        <v>23791.207707488884</v>
      </c>
      <c r="Y21" s="36">
        <f t="shared" si="11"/>
        <v>23978.282328893842</v>
      </c>
      <c r="DA21" s="89"/>
    </row>
    <row r="22" spans="1:105" ht="12" customHeight="1" x14ac:dyDescent="0.25">
      <c r="A22" s="51" t="s">
        <v>148</v>
      </c>
      <c r="B22" s="52">
        <v>1.1776929715356177</v>
      </c>
      <c r="C22" s="52">
        <v>1.1770512202939154</v>
      </c>
      <c r="D22" s="52">
        <v>1.1622228058315864</v>
      </c>
      <c r="E22" s="52">
        <v>1.1577746174349854</v>
      </c>
      <c r="F22" s="52">
        <v>1.1426762960616814</v>
      </c>
      <c r="G22" s="52">
        <v>1.1270681084118661</v>
      </c>
      <c r="H22" s="52">
        <v>1.1077445582237946</v>
      </c>
      <c r="I22" s="52">
        <v>1.0833405019160267</v>
      </c>
      <c r="J22" s="52">
        <v>1.0570218069135398</v>
      </c>
      <c r="K22" s="52">
        <v>1.043862815733402</v>
      </c>
      <c r="L22" s="52">
        <v>1.041813566862152</v>
      </c>
      <c r="M22" s="52">
        <v>1.0247315263255974</v>
      </c>
      <c r="N22" s="52">
        <v>1.002023906824983</v>
      </c>
      <c r="O22" s="52">
        <v>0.97978249865168676</v>
      </c>
      <c r="P22" s="52">
        <v>0.96930200611666861</v>
      </c>
      <c r="Q22" s="52">
        <v>0.96082839215058202</v>
      </c>
      <c r="R22" s="52">
        <v>0.95700180115768285</v>
      </c>
      <c r="S22" s="52">
        <v>0.94828833211285868</v>
      </c>
      <c r="T22" s="52">
        <v>0.93749089135087105</v>
      </c>
      <c r="U22" s="52">
        <v>0.92870160543646929</v>
      </c>
      <c r="V22" s="52">
        <v>0.90446962380032514</v>
      </c>
      <c r="W22" s="52">
        <v>0.91350432100828838</v>
      </c>
      <c r="X22" s="52">
        <v>0.92389111290584736</v>
      </c>
      <c r="Y22" s="52">
        <v>0.9289891419122539</v>
      </c>
      <c r="DA22" s="98"/>
    </row>
    <row r="23" spans="1:105" ht="12" customHeight="1" x14ac:dyDescent="0.25">
      <c r="A23" s="49" t="s">
        <v>63</v>
      </c>
      <c r="B23" s="53">
        <f t="shared" ref="B23:C23" si="12">B6/B8</f>
        <v>28.202154520069303</v>
      </c>
      <c r="C23" s="53">
        <f t="shared" si="12"/>
        <v>28.334146583994947</v>
      </c>
      <c r="D23" s="53">
        <f t="shared" ref="D23:W23" si="13">D6/D8</f>
        <v>28.508323619406735</v>
      </c>
      <c r="E23" s="53">
        <f t="shared" si="13"/>
        <v>28.770165194566339</v>
      </c>
      <c r="F23" s="53">
        <f t="shared" si="13"/>
        <v>28.774671511675681</v>
      </c>
      <c r="G23" s="53">
        <f t="shared" si="13"/>
        <v>28.798542421844264</v>
      </c>
      <c r="H23" s="53">
        <f t="shared" si="13"/>
        <v>28.845903341042771</v>
      </c>
      <c r="I23" s="53">
        <f t="shared" si="13"/>
        <v>28.759429646771128</v>
      </c>
      <c r="J23" s="53">
        <f t="shared" si="13"/>
        <v>28.807550450208833</v>
      </c>
      <c r="K23" s="53">
        <f t="shared" si="13"/>
        <v>28.553076826175801</v>
      </c>
      <c r="L23" s="53">
        <f t="shared" si="13"/>
        <v>28.454317276957287</v>
      </c>
      <c r="M23" s="53">
        <f t="shared" si="13"/>
        <v>28.47156523808081</v>
      </c>
      <c r="N23" s="53">
        <f t="shared" si="13"/>
        <v>28.561736774353164</v>
      </c>
      <c r="O23" s="53">
        <f t="shared" si="13"/>
        <v>28.360765757706215</v>
      </c>
      <c r="P23" s="53">
        <f t="shared" si="13"/>
        <v>28.215321170626545</v>
      </c>
      <c r="Q23" s="53">
        <f t="shared" si="13"/>
        <v>28.433827730950149</v>
      </c>
      <c r="R23" s="53">
        <f t="shared" si="13"/>
        <v>28.871973378746986</v>
      </c>
      <c r="S23" s="53">
        <f t="shared" si="13"/>
        <v>29.205749185032051</v>
      </c>
      <c r="T23" s="53">
        <f t="shared" si="13"/>
        <v>29.401231251642194</v>
      </c>
      <c r="U23" s="53">
        <f t="shared" si="13"/>
        <v>29.550912161300833</v>
      </c>
      <c r="V23" s="53">
        <f t="shared" si="13"/>
        <v>28.791740225564091</v>
      </c>
      <c r="W23" s="53">
        <f t="shared" si="13"/>
        <v>28.985792848675665</v>
      </c>
      <c r="X23" s="53">
        <f t="shared" ref="X23:Y23" si="14">X6/X8</f>
        <v>29.449714897264027</v>
      </c>
      <c r="Y23" s="53">
        <f t="shared" si="14"/>
        <v>30.039363515819819</v>
      </c>
      <c r="DA23" s="99"/>
    </row>
    <row r="24" spans="1:105" ht="12" customHeight="1" x14ac:dyDescent="0.25">
      <c r="A24" s="50" t="s">
        <v>62</v>
      </c>
      <c r="B24" s="54">
        <f t="shared" ref="B24:C24" si="15">B9*1000/B3</f>
        <v>8.8639598855355786</v>
      </c>
      <c r="C24" s="54">
        <f t="shared" si="15"/>
        <v>9.0051158456883673</v>
      </c>
      <c r="D24" s="54">
        <f t="shared" ref="D24:W24" si="16">D9*1000/D3</f>
        <v>9.1525353205099798</v>
      </c>
      <c r="E24" s="54">
        <f t="shared" si="16"/>
        <v>9.2212086730726508</v>
      </c>
      <c r="F24" s="54">
        <f t="shared" si="16"/>
        <v>9.2180495887178715</v>
      </c>
      <c r="G24" s="54">
        <f t="shared" si="16"/>
        <v>9.1933791387449393</v>
      </c>
      <c r="H24" s="54">
        <f t="shared" si="16"/>
        <v>9.3559603584868238</v>
      </c>
      <c r="I24" s="54">
        <f t="shared" si="16"/>
        <v>9.4845410885513495</v>
      </c>
      <c r="J24" s="54">
        <f t="shared" si="16"/>
        <v>9.45534134744684</v>
      </c>
      <c r="K24" s="54">
        <f t="shared" si="16"/>
        <v>9.3866484124251315</v>
      </c>
      <c r="L24" s="54">
        <f t="shared" si="16"/>
        <v>9.3948932269340748</v>
      </c>
      <c r="M24" s="54">
        <f t="shared" si="16"/>
        <v>9.4290193895381496</v>
      </c>
      <c r="N24" s="54">
        <f t="shared" si="16"/>
        <v>9.4385507249827345</v>
      </c>
      <c r="O24" s="54">
        <f t="shared" si="16"/>
        <v>9.3812109821752028</v>
      </c>
      <c r="P24" s="54">
        <f t="shared" si="16"/>
        <v>9.4857139401916015</v>
      </c>
      <c r="Q24" s="54">
        <f t="shared" si="16"/>
        <v>9.525260929869102</v>
      </c>
      <c r="R24" s="54">
        <f t="shared" si="16"/>
        <v>9.5480941074765724</v>
      </c>
      <c r="S24" s="54">
        <f t="shared" si="16"/>
        <v>9.6070443788642663</v>
      </c>
      <c r="T24" s="54">
        <f t="shared" si="16"/>
        <v>9.6590528892917362</v>
      </c>
      <c r="U24" s="54">
        <f t="shared" si="16"/>
        <v>9.7031560088700175</v>
      </c>
      <c r="V24" s="54">
        <f t="shared" si="16"/>
        <v>9.7485285578387977</v>
      </c>
      <c r="W24" s="54">
        <f t="shared" si="16"/>
        <v>9.8291353976187725</v>
      </c>
      <c r="X24" s="54">
        <f t="shared" ref="X24:Y24" si="17">X9*1000/X3</f>
        <v>9.8748255321075327</v>
      </c>
      <c r="Y24" s="54">
        <f t="shared" si="17"/>
        <v>9.8903907757906317</v>
      </c>
      <c r="DA24" s="100"/>
    </row>
    <row r="25" spans="1:105" ht="12" customHeight="1" x14ac:dyDescent="0.25">
      <c r="A25" s="50" t="s">
        <v>61</v>
      </c>
      <c r="B25" s="54">
        <f t="shared" ref="B25:C25" si="18">B9*1000/B6</f>
        <v>31.912455460079801</v>
      </c>
      <c r="C25" s="54">
        <f t="shared" si="18"/>
        <v>31.763794167295696</v>
      </c>
      <c r="D25" s="54">
        <f t="shared" ref="D25:W25" si="19">D9*1000/D6</f>
        <v>31.569727214241905</v>
      </c>
      <c r="E25" s="54">
        <f t="shared" si="19"/>
        <v>31.28240640654986</v>
      </c>
      <c r="F25" s="54">
        <f t="shared" si="19"/>
        <v>31.27750736041639</v>
      </c>
      <c r="G25" s="54">
        <f t="shared" si="19"/>
        <v>31.251581653567726</v>
      </c>
      <c r="H25" s="54">
        <f t="shared" si="19"/>
        <v>31.200270948681109</v>
      </c>
      <c r="I25" s="54">
        <f t="shared" si="19"/>
        <v>31.294083751102647</v>
      </c>
      <c r="J25" s="54">
        <f t="shared" si="19"/>
        <v>31.241809384507235</v>
      </c>
      <c r="K25" s="54">
        <f t="shared" si="19"/>
        <v>31.520245803245011</v>
      </c>
      <c r="L25" s="54">
        <f t="shared" si="19"/>
        <v>31.629646610035966</v>
      </c>
      <c r="M25" s="54">
        <f t="shared" si="19"/>
        <v>31.61048549576217</v>
      </c>
      <c r="N25" s="54">
        <f t="shared" si="19"/>
        <v>31.51068883206533</v>
      </c>
      <c r="O25" s="54">
        <f t="shared" si="19"/>
        <v>31.733980940040425</v>
      </c>
      <c r="P25" s="54">
        <f t="shared" si="19"/>
        <v>31.897563545615128</v>
      </c>
      <c r="Q25" s="54">
        <f t="shared" si="19"/>
        <v>31.652439077709975</v>
      </c>
      <c r="R25" s="54">
        <f t="shared" si="19"/>
        <v>31.172098567481402</v>
      </c>
      <c r="S25" s="54">
        <f t="shared" si="19"/>
        <v>30.815850478550644</v>
      </c>
      <c r="T25" s="54">
        <f t="shared" si="19"/>
        <v>30.610962932027917</v>
      </c>
      <c r="U25" s="54">
        <f t="shared" si="19"/>
        <v>30.455912666500307</v>
      </c>
      <c r="V25" s="54">
        <f t="shared" si="19"/>
        <v>31.258965</v>
      </c>
      <c r="W25" s="54">
        <f t="shared" si="19"/>
        <v>31.049694058691937</v>
      </c>
      <c r="X25" s="54">
        <f t="shared" ref="X25:Y25" si="20">X9*1000/X6</f>
        <v>30.560567500896688</v>
      </c>
      <c r="Y25" s="54">
        <f t="shared" si="20"/>
        <v>29.960688066044654</v>
      </c>
      <c r="DA25" s="100"/>
    </row>
    <row r="26" spans="1:105" ht="12" customHeight="1" x14ac:dyDescent="0.25">
      <c r="A26" s="50" t="s">
        <v>60</v>
      </c>
      <c r="B26" s="55">
        <f t="shared" ref="B26:C26" si="21">B9*1000/B8</f>
        <v>899.99999999999989</v>
      </c>
      <c r="C26" s="55">
        <f t="shared" si="21"/>
        <v>900</v>
      </c>
      <c r="D26" s="55">
        <f t="shared" ref="D26:W26" si="22">D9*1000/D8</f>
        <v>900</v>
      </c>
      <c r="E26" s="55">
        <f t="shared" si="22"/>
        <v>899.99999999999989</v>
      </c>
      <c r="F26" s="55">
        <f t="shared" si="22"/>
        <v>900</v>
      </c>
      <c r="G26" s="55">
        <f t="shared" si="22"/>
        <v>900.00000000000011</v>
      </c>
      <c r="H26" s="55">
        <f t="shared" si="22"/>
        <v>900</v>
      </c>
      <c r="I26" s="55">
        <f t="shared" si="22"/>
        <v>900.00000000000011</v>
      </c>
      <c r="J26" s="55">
        <f t="shared" si="22"/>
        <v>899.99999999999989</v>
      </c>
      <c r="K26" s="55">
        <f t="shared" si="22"/>
        <v>900.00000000000023</v>
      </c>
      <c r="L26" s="55">
        <f t="shared" si="22"/>
        <v>899.99999999999989</v>
      </c>
      <c r="M26" s="55">
        <f t="shared" si="22"/>
        <v>899.99999999999989</v>
      </c>
      <c r="N26" s="55">
        <f t="shared" si="22"/>
        <v>900</v>
      </c>
      <c r="O26" s="55">
        <f t="shared" si="22"/>
        <v>900.00000000000011</v>
      </c>
      <c r="P26" s="55">
        <f t="shared" si="22"/>
        <v>900</v>
      </c>
      <c r="Q26" s="55">
        <f t="shared" si="22"/>
        <v>900</v>
      </c>
      <c r="R26" s="55">
        <f t="shared" si="22"/>
        <v>900.00000000000011</v>
      </c>
      <c r="S26" s="55">
        <f t="shared" si="22"/>
        <v>900</v>
      </c>
      <c r="T26" s="55">
        <f t="shared" si="22"/>
        <v>900</v>
      </c>
      <c r="U26" s="55">
        <f t="shared" si="22"/>
        <v>900</v>
      </c>
      <c r="V26" s="55">
        <f t="shared" si="22"/>
        <v>900</v>
      </c>
      <c r="W26" s="55">
        <f t="shared" si="22"/>
        <v>900</v>
      </c>
      <c r="X26" s="55">
        <f t="shared" ref="X26:Y26" si="23">X9*1000/X8</f>
        <v>900.00000000000011</v>
      </c>
      <c r="Y26" s="55">
        <f t="shared" si="23"/>
        <v>900</v>
      </c>
      <c r="DA26" s="101"/>
    </row>
    <row r="27" spans="1:105" ht="12" customHeight="1" x14ac:dyDescent="0.25">
      <c r="A27" s="51" t="s">
        <v>59</v>
      </c>
      <c r="B27" s="56" t="str">
        <f t="shared" ref="B27:C27" si="24">IF(SUM(B11)=0,"",B11*1000/B10)</f>
        <v/>
      </c>
      <c r="C27" s="57">
        <f t="shared" si="24"/>
        <v>900.00000000000011</v>
      </c>
      <c r="D27" s="57">
        <f t="shared" ref="D27:W27" si="25">IF(SUM(D11)=0,"",D11*1000/D10)</f>
        <v>900</v>
      </c>
      <c r="E27" s="57">
        <f t="shared" si="25"/>
        <v>899.99999999999989</v>
      </c>
      <c r="F27" s="57">
        <f t="shared" si="25"/>
        <v>900.00000000000011</v>
      </c>
      <c r="G27" s="57">
        <f t="shared" si="25"/>
        <v>900</v>
      </c>
      <c r="H27" s="57">
        <f t="shared" si="25"/>
        <v>900</v>
      </c>
      <c r="I27" s="57">
        <f t="shared" si="25"/>
        <v>900.00000000000011</v>
      </c>
      <c r="J27" s="57">
        <f t="shared" si="25"/>
        <v>900</v>
      </c>
      <c r="K27" s="57">
        <f t="shared" si="25"/>
        <v>900.00000000000023</v>
      </c>
      <c r="L27" s="57">
        <f t="shared" si="25"/>
        <v>900</v>
      </c>
      <c r="M27" s="57">
        <f t="shared" si="25"/>
        <v>900</v>
      </c>
      <c r="N27" s="57">
        <f t="shared" si="25"/>
        <v>899.99999999999977</v>
      </c>
      <c r="O27" s="57">
        <f t="shared" si="25"/>
        <v>900.00000000000023</v>
      </c>
      <c r="P27" s="57">
        <f t="shared" si="25"/>
        <v>900</v>
      </c>
      <c r="Q27" s="57">
        <f t="shared" si="25"/>
        <v>900</v>
      </c>
      <c r="R27" s="57">
        <f t="shared" si="25"/>
        <v>900</v>
      </c>
      <c r="S27" s="57">
        <f t="shared" si="25"/>
        <v>900</v>
      </c>
      <c r="T27" s="57">
        <f t="shared" si="25"/>
        <v>900.00000000000023</v>
      </c>
      <c r="U27" s="57">
        <f t="shared" si="25"/>
        <v>899.99999999999989</v>
      </c>
      <c r="V27" s="57">
        <f t="shared" si="25"/>
        <v>900</v>
      </c>
      <c r="W27" s="57">
        <f t="shared" si="25"/>
        <v>899.99999999999989</v>
      </c>
      <c r="X27" s="57">
        <f t="shared" ref="X27:Y27" si="26">IF(SUM(X11)=0,"",X11*1000/X10)</f>
        <v>900</v>
      </c>
      <c r="Y27" s="57">
        <f t="shared" si="26"/>
        <v>900</v>
      </c>
      <c r="DA27" s="102"/>
    </row>
    <row r="28" spans="1:105" s="2" customFormat="1" ht="12" customHeight="1" x14ac:dyDescent="0.25">
      <c r="DA28" s="7"/>
    </row>
    <row r="29" spans="1:105" s="2" customFormat="1" ht="12.95" customHeight="1" x14ac:dyDescent="0.25">
      <c r="A29" s="47" t="s">
        <v>58</v>
      </c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DA29" s="97"/>
    </row>
    <row r="30" spans="1:105" s="2" customFormat="1" ht="12" customHeight="1" x14ac:dyDescent="0.25">
      <c r="DA30" s="7"/>
    </row>
    <row r="31" spans="1:105" ht="12.95" customHeight="1" x14ac:dyDescent="0.25">
      <c r="A31" s="79" t="s">
        <v>57</v>
      </c>
      <c r="B31" s="80">
        <f>SUM(B32:B33,B36:B37,B44:B45)</f>
        <v>12017.077472055029</v>
      </c>
      <c r="C31" s="80">
        <f t="shared" ref="C31:W31" si="27">SUM(C32:C33,C36:C37,C44:C45)</f>
        <v>12396.309802235597</v>
      </c>
      <c r="D31" s="80">
        <f t="shared" si="27"/>
        <v>12386.326139294926</v>
      </c>
      <c r="E31" s="80">
        <f t="shared" si="27"/>
        <v>13725.561220980224</v>
      </c>
      <c r="F31" s="80">
        <f t="shared" si="27"/>
        <v>14009.080825451418</v>
      </c>
      <c r="G31" s="80">
        <f t="shared" si="27"/>
        <v>15631.496646603609</v>
      </c>
      <c r="H31" s="80">
        <f t="shared" si="27"/>
        <v>16163.824419604469</v>
      </c>
      <c r="I31" s="80">
        <f t="shared" si="27"/>
        <v>15771.333705932931</v>
      </c>
      <c r="J31" s="80">
        <f t="shared" si="27"/>
        <v>17643.6562338779</v>
      </c>
      <c r="K31" s="80">
        <f t="shared" si="27"/>
        <v>17543.515305245055</v>
      </c>
      <c r="L31" s="80">
        <f t="shared" si="27"/>
        <v>17620.049785682604</v>
      </c>
      <c r="M31" s="80">
        <f t="shared" si="27"/>
        <v>16382.458364939597</v>
      </c>
      <c r="N31" s="80">
        <f t="shared" si="27"/>
        <v>16562.03930256849</v>
      </c>
      <c r="O31" s="80">
        <f t="shared" si="27"/>
        <v>16431.049621869093</v>
      </c>
      <c r="P31" s="80">
        <f t="shared" si="27"/>
        <v>15202.483483270022</v>
      </c>
      <c r="Q31" s="80">
        <f t="shared" si="27"/>
        <v>15982.712290142481</v>
      </c>
      <c r="R31" s="80">
        <f t="shared" si="27"/>
        <v>16040.992461063975</v>
      </c>
      <c r="S31" s="80">
        <f t="shared" si="27"/>
        <v>16253.85739614104</v>
      </c>
      <c r="T31" s="80">
        <f t="shared" si="27"/>
        <v>17075.404900886555</v>
      </c>
      <c r="U31" s="80">
        <f t="shared" si="27"/>
        <v>16332.168581060652</v>
      </c>
      <c r="V31" s="80">
        <f t="shared" si="27"/>
        <v>14642.161062769819</v>
      </c>
      <c r="W31" s="80">
        <f t="shared" si="27"/>
        <v>15176.643445641083</v>
      </c>
      <c r="X31" s="80">
        <f t="shared" ref="X31:Y31" si="28">SUM(X32:X33,X36:X37,X44:X45)</f>
        <v>14545.870419371116</v>
      </c>
      <c r="Y31" s="80">
        <f t="shared" si="28"/>
        <v>14884.186128764391</v>
      </c>
      <c r="DA31" s="103" t="s">
        <v>199</v>
      </c>
    </row>
    <row r="32" spans="1:105" ht="12" customHeight="1" x14ac:dyDescent="0.25">
      <c r="A32" s="58" t="s">
        <v>29</v>
      </c>
      <c r="B32" s="59">
        <v>0</v>
      </c>
      <c r="C32" s="59">
        <v>0</v>
      </c>
      <c r="D32" s="59">
        <v>0</v>
      </c>
      <c r="E32" s="59">
        <v>0</v>
      </c>
      <c r="F32" s="59">
        <v>0</v>
      </c>
      <c r="G32" s="59">
        <v>0</v>
      </c>
      <c r="H32" s="59">
        <v>0</v>
      </c>
      <c r="I32" s="59">
        <v>0</v>
      </c>
      <c r="J32" s="59">
        <v>0</v>
      </c>
      <c r="K32" s="59">
        <v>0</v>
      </c>
      <c r="L32" s="59">
        <v>0</v>
      </c>
      <c r="M32" s="59">
        <v>0</v>
      </c>
      <c r="N32" s="59">
        <v>0</v>
      </c>
      <c r="O32" s="59">
        <v>0</v>
      </c>
      <c r="P32" s="59">
        <v>0</v>
      </c>
      <c r="Q32" s="59">
        <v>0</v>
      </c>
      <c r="R32" s="59">
        <v>0</v>
      </c>
      <c r="S32" s="59">
        <v>0</v>
      </c>
      <c r="T32" s="59">
        <v>0</v>
      </c>
      <c r="U32" s="59">
        <v>0</v>
      </c>
      <c r="V32" s="59">
        <v>0</v>
      </c>
      <c r="W32" s="59">
        <v>0</v>
      </c>
      <c r="X32" s="59">
        <v>0</v>
      </c>
      <c r="Y32" s="59">
        <v>0</v>
      </c>
      <c r="DA32" s="104" t="s">
        <v>200</v>
      </c>
    </row>
    <row r="33" spans="1:105" ht="12" customHeight="1" x14ac:dyDescent="0.25">
      <c r="A33" s="60" t="s">
        <v>28</v>
      </c>
      <c r="B33" s="55">
        <f>SUM(B34:B35)</f>
        <v>1128.7618228718829</v>
      </c>
      <c r="C33" s="55">
        <f t="shared" ref="C33:W33" si="29">SUM(C34:C35)</f>
        <v>972.67601031814263</v>
      </c>
      <c r="D33" s="55">
        <f t="shared" si="29"/>
        <v>1020.9276870163369</v>
      </c>
      <c r="E33" s="55">
        <f t="shared" si="29"/>
        <v>1169.0694754944109</v>
      </c>
      <c r="F33" s="55">
        <f t="shared" si="29"/>
        <v>1176.8367153912295</v>
      </c>
      <c r="G33" s="55">
        <f t="shared" si="29"/>
        <v>1213.6238177128116</v>
      </c>
      <c r="H33" s="55">
        <f t="shared" si="29"/>
        <v>1184.2122957867584</v>
      </c>
      <c r="I33" s="55">
        <f t="shared" si="29"/>
        <v>1107.3898538263111</v>
      </c>
      <c r="J33" s="55">
        <f t="shared" si="29"/>
        <v>1148.4188306104902</v>
      </c>
      <c r="K33" s="55">
        <f t="shared" si="29"/>
        <v>947.31057609630261</v>
      </c>
      <c r="L33" s="55">
        <f t="shared" si="29"/>
        <v>959.37704213241602</v>
      </c>
      <c r="M33" s="55">
        <f t="shared" si="29"/>
        <v>869.28443680137559</v>
      </c>
      <c r="N33" s="55">
        <f t="shared" si="29"/>
        <v>756.85967325881336</v>
      </c>
      <c r="O33" s="55">
        <f t="shared" si="29"/>
        <v>711.11590713671535</v>
      </c>
      <c r="P33" s="55">
        <f t="shared" si="29"/>
        <v>686.26165090283735</v>
      </c>
      <c r="Q33" s="55">
        <f t="shared" si="29"/>
        <v>689.85864144453978</v>
      </c>
      <c r="R33" s="55">
        <f t="shared" si="29"/>
        <v>703.84058469475497</v>
      </c>
      <c r="S33" s="55">
        <f t="shared" si="29"/>
        <v>631.62605331040402</v>
      </c>
      <c r="T33" s="55">
        <f t="shared" si="29"/>
        <v>635.29045571797064</v>
      </c>
      <c r="U33" s="55">
        <f t="shared" si="29"/>
        <v>576.52949269131568</v>
      </c>
      <c r="V33" s="55">
        <f t="shared" si="29"/>
        <v>543.87618228718827</v>
      </c>
      <c r="W33" s="55">
        <f t="shared" si="29"/>
        <v>657.43998280309552</v>
      </c>
      <c r="X33" s="55">
        <f t="shared" ref="X33:Y33" si="30">SUM(X34:X35)</f>
        <v>677.37747205503013</v>
      </c>
      <c r="Y33" s="55">
        <f t="shared" si="30"/>
        <v>673.47050730868443</v>
      </c>
      <c r="DA33" s="101"/>
    </row>
    <row r="34" spans="1:105" ht="12" customHeight="1" x14ac:dyDescent="0.25">
      <c r="A34" s="61" t="s">
        <v>52</v>
      </c>
      <c r="B34" s="55">
        <v>672.39896818572652</v>
      </c>
      <c r="C34" s="55">
        <v>650.42510748065342</v>
      </c>
      <c r="D34" s="55">
        <v>628.45133276010313</v>
      </c>
      <c r="E34" s="55">
        <v>672.39896818572652</v>
      </c>
      <c r="F34" s="55">
        <v>651.52381771281159</v>
      </c>
      <c r="G34" s="55">
        <v>664.70816852966459</v>
      </c>
      <c r="H34" s="55">
        <v>614.16835769561476</v>
      </c>
      <c r="I34" s="55">
        <v>582.30627687016329</v>
      </c>
      <c r="J34" s="55">
        <v>561.43112639724848</v>
      </c>
      <c r="K34" s="55">
        <v>592.19449699054167</v>
      </c>
      <c r="L34" s="55">
        <v>587.79974204643156</v>
      </c>
      <c r="M34" s="55">
        <v>533.96388650042991</v>
      </c>
      <c r="N34" s="55">
        <v>444.9699054170249</v>
      </c>
      <c r="O34" s="55">
        <v>450.46337059329318</v>
      </c>
      <c r="P34" s="55">
        <v>430.68693035253648</v>
      </c>
      <c r="Q34" s="55">
        <v>410.91049011177978</v>
      </c>
      <c r="R34" s="55">
        <v>431.78564058469482</v>
      </c>
      <c r="S34" s="55">
        <v>443.10765262252789</v>
      </c>
      <c r="T34" s="55">
        <v>430.86706792777301</v>
      </c>
      <c r="U34" s="55">
        <v>431.72846087704221</v>
      </c>
      <c r="V34" s="55">
        <v>434.61143594153049</v>
      </c>
      <c r="W34" s="55">
        <v>482.58907996560617</v>
      </c>
      <c r="X34" s="55">
        <v>448.04402407566641</v>
      </c>
      <c r="Y34" s="55">
        <v>446.83000859845231</v>
      </c>
      <c r="DA34" s="101" t="s">
        <v>201</v>
      </c>
    </row>
    <row r="35" spans="1:105" ht="12" customHeight="1" x14ac:dyDescent="0.25">
      <c r="A35" s="61" t="s">
        <v>163</v>
      </c>
      <c r="B35" s="55">
        <v>456.36285468615642</v>
      </c>
      <c r="C35" s="55">
        <v>322.25090283748921</v>
      </c>
      <c r="D35" s="55">
        <v>392.47635425623378</v>
      </c>
      <c r="E35" s="55">
        <v>496.67050730868436</v>
      </c>
      <c r="F35" s="55">
        <v>525.31289767841793</v>
      </c>
      <c r="G35" s="55">
        <v>548.91564918314702</v>
      </c>
      <c r="H35" s="55">
        <v>570.04393809114367</v>
      </c>
      <c r="I35" s="55">
        <v>525.08357695614779</v>
      </c>
      <c r="J35" s="55">
        <v>586.98770421324173</v>
      </c>
      <c r="K35" s="55">
        <v>355.11607910576095</v>
      </c>
      <c r="L35" s="55">
        <v>371.57730008598446</v>
      </c>
      <c r="M35" s="55">
        <v>335.32055030094568</v>
      </c>
      <c r="N35" s="55">
        <v>311.88976784178845</v>
      </c>
      <c r="O35" s="55">
        <v>260.65253654342217</v>
      </c>
      <c r="P35" s="55">
        <v>255.57472055030087</v>
      </c>
      <c r="Q35" s="55">
        <v>278.94815133276001</v>
      </c>
      <c r="R35" s="55">
        <v>272.05494411006015</v>
      </c>
      <c r="S35" s="55">
        <v>188.51840068787612</v>
      </c>
      <c r="T35" s="55">
        <v>204.42338779019764</v>
      </c>
      <c r="U35" s="55">
        <v>144.80103181427347</v>
      </c>
      <c r="V35" s="55">
        <v>109.26474634565778</v>
      </c>
      <c r="W35" s="55">
        <v>174.85090283748934</v>
      </c>
      <c r="X35" s="55">
        <v>229.33344797936371</v>
      </c>
      <c r="Y35" s="55">
        <v>226.64049871023212</v>
      </c>
      <c r="DA35" s="101" t="s">
        <v>202</v>
      </c>
    </row>
    <row r="36" spans="1:105" ht="12" customHeight="1" x14ac:dyDescent="0.25">
      <c r="A36" s="60" t="s">
        <v>149</v>
      </c>
      <c r="B36" s="55">
        <v>5571.7540842648323</v>
      </c>
      <c r="C36" s="55">
        <v>5860.5116079105755</v>
      </c>
      <c r="D36" s="55">
        <v>5467.4333619948402</v>
      </c>
      <c r="E36" s="55">
        <v>6230.0945829750644</v>
      </c>
      <c r="F36" s="55">
        <v>6205.7179707652622</v>
      </c>
      <c r="G36" s="55">
        <v>7434.3723129836626</v>
      </c>
      <c r="H36" s="55">
        <v>7562.854686156491</v>
      </c>
      <c r="I36" s="55">
        <v>7071.109200343938</v>
      </c>
      <c r="J36" s="55">
        <v>8623.387790197763</v>
      </c>
      <c r="K36" s="55">
        <v>8610.2536543422175</v>
      </c>
      <c r="L36" s="55">
        <v>8613.8435081685293</v>
      </c>
      <c r="M36" s="55">
        <v>7254.4711951848658</v>
      </c>
      <c r="N36" s="55">
        <v>7276.4402407566631</v>
      </c>
      <c r="O36" s="55">
        <v>7258.9853826311264</v>
      </c>
      <c r="P36" s="55">
        <v>6012.1023215821151</v>
      </c>
      <c r="Q36" s="55">
        <v>6499.1616509028372</v>
      </c>
      <c r="R36" s="55">
        <v>6542.0249355116084</v>
      </c>
      <c r="S36" s="55">
        <v>6589.3911994484115</v>
      </c>
      <c r="T36" s="55">
        <v>7247.2888489986644</v>
      </c>
      <c r="U36" s="55">
        <v>7081.5285899479768</v>
      </c>
      <c r="V36" s="55">
        <v>6680.6559118002388</v>
      </c>
      <c r="W36" s="55">
        <v>5878.6878069830454</v>
      </c>
      <c r="X36" s="55">
        <v>4989.1972383980665</v>
      </c>
      <c r="Y36" s="55">
        <v>5539.644096230063</v>
      </c>
      <c r="DA36" s="101" t="s">
        <v>203</v>
      </c>
    </row>
    <row r="37" spans="1:105" ht="12" customHeight="1" x14ac:dyDescent="0.25">
      <c r="A37" s="60" t="s">
        <v>51</v>
      </c>
      <c r="B37" s="55">
        <f>SUM(B38:B42)</f>
        <v>141.75503009458296</v>
      </c>
      <c r="C37" s="55">
        <f t="shared" ref="C37:W37" si="31">SUM(C38:C42)</f>
        <v>144.97944969905421</v>
      </c>
      <c r="D37" s="55">
        <f t="shared" si="31"/>
        <v>144.74067067927777</v>
      </c>
      <c r="E37" s="55">
        <f t="shared" si="31"/>
        <v>145.31375752364579</v>
      </c>
      <c r="F37" s="55">
        <f t="shared" si="31"/>
        <v>143.42691315563198</v>
      </c>
      <c r="G37" s="55">
        <f t="shared" si="31"/>
        <v>145.48099742046432</v>
      </c>
      <c r="H37" s="55">
        <f t="shared" si="31"/>
        <v>149.39810834049868</v>
      </c>
      <c r="I37" s="55">
        <f t="shared" si="31"/>
        <v>151.14170249355115</v>
      </c>
      <c r="J37" s="55">
        <f t="shared" si="31"/>
        <v>154.48546861564915</v>
      </c>
      <c r="K37" s="55">
        <f t="shared" si="31"/>
        <v>162.79733447979365</v>
      </c>
      <c r="L37" s="55">
        <f t="shared" si="31"/>
        <v>124.70137575236458</v>
      </c>
      <c r="M37" s="55">
        <f t="shared" si="31"/>
        <v>128.40352536543423</v>
      </c>
      <c r="N37" s="55">
        <f t="shared" si="31"/>
        <v>153.93628546861561</v>
      </c>
      <c r="O37" s="55">
        <f t="shared" si="31"/>
        <v>171.06147893379193</v>
      </c>
      <c r="P37" s="55">
        <f t="shared" si="31"/>
        <v>194.06233877901974</v>
      </c>
      <c r="Q37" s="55">
        <f t="shared" si="31"/>
        <v>189.73920894239035</v>
      </c>
      <c r="R37" s="55">
        <f t="shared" si="31"/>
        <v>204.59544282029233</v>
      </c>
      <c r="S37" s="55">
        <f t="shared" si="31"/>
        <v>210.74302239165704</v>
      </c>
      <c r="T37" s="55">
        <f t="shared" si="31"/>
        <v>212.8469205628142</v>
      </c>
      <c r="U37" s="55">
        <f t="shared" si="31"/>
        <v>220.05644874505725</v>
      </c>
      <c r="V37" s="55">
        <f t="shared" si="31"/>
        <v>219.12379585238378</v>
      </c>
      <c r="W37" s="55">
        <f t="shared" si="31"/>
        <v>244.54976825341143</v>
      </c>
      <c r="X37" s="55">
        <f t="shared" ref="X37:Y37" si="32">SUM(X38:X42)</f>
        <v>254.64394818834711</v>
      </c>
      <c r="Y37" s="55">
        <f t="shared" si="32"/>
        <v>251.69674641826003</v>
      </c>
      <c r="DA37" s="101"/>
    </row>
    <row r="38" spans="1:105" ht="12" customHeight="1" x14ac:dyDescent="0.25">
      <c r="A38" s="61" t="s">
        <v>164</v>
      </c>
      <c r="B38" s="55">
        <v>7.4042132416165032</v>
      </c>
      <c r="C38" s="55">
        <v>7.7625107480653526</v>
      </c>
      <c r="D38" s="55">
        <v>7.1415305245055833</v>
      </c>
      <c r="E38" s="55">
        <v>7.2608770421324209</v>
      </c>
      <c r="F38" s="55">
        <v>7.4758383490971596</v>
      </c>
      <c r="G38" s="55">
        <v>7.6669819432502209</v>
      </c>
      <c r="H38" s="55">
        <v>10.007652622527928</v>
      </c>
      <c r="I38" s="55">
        <v>8.0969045571796983</v>
      </c>
      <c r="J38" s="55">
        <v>8.3356835769561428</v>
      </c>
      <c r="K38" s="55">
        <v>12.849871023215826</v>
      </c>
      <c r="L38" s="55">
        <v>20.612381771281179</v>
      </c>
      <c r="M38" s="55">
        <v>21.281169389509898</v>
      </c>
      <c r="N38" s="55">
        <v>21.209544282029228</v>
      </c>
      <c r="O38" s="55">
        <v>35.46861564918315</v>
      </c>
      <c r="P38" s="55">
        <v>59.424849527085101</v>
      </c>
      <c r="Q38" s="55">
        <v>50.611435941530516</v>
      </c>
      <c r="R38" s="55">
        <v>64.273430782459144</v>
      </c>
      <c r="S38" s="55">
        <v>65.598452278589775</v>
      </c>
      <c r="T38" s="55">
        <v>64.370421324161271</v>
      </c>
      <c r="U38" s="55">
        <v>70.97987962166826</v>
      </c>
      <c r="V38" s="55">
        <v>73.126397248495778</v>
      </c>
      <c r="W38" s="55">
        <v>94.01006018916587</v>
      </c>
      <c r="X38" s="55">
        <v>103.23104041272586</v>
      </c>
      <c r="Y38" s="55">
        <v>95.213585554600058</v>
      </c>
      <c r="DA38" s="101" t="s">
        <v>204</v>
      </c>
    </row>
    <row r="39" spans="1:105" ht="12" customHeight="1" x14ac:dyDescent="0.25">
      <c r="A39" s="61" t="s">
        <v>50</v>
      </c>
      <c r="B39" s="55">
        <v>0</v>
      </c>
      <c r="C39" s="55">
        <v>0</v>
      </c>
      <c r="D39" s="55">
        <v>0</v>
      </c>
      <c r="E39" s="55">
        <v>0</v>
      </c>
      <c r="F39" s="55">
        <v>0</v>
      </c>
      <c r="G39" s="55">
        <v>0</v>
      </c>
      <c r="H39" s="55">
        <v>0</v>
      </c>
      <c r="I39" s="55">
        <v>0</v>
      </c>
      <c r="J39" s="55">
        <v>0</v>
      </c>
      <c r="K39" s="55">
        <v>0</v>
      </c>
      <c r="L39" s="55">
        <v>1.1942390369733451</v>
      </c>
      <c r="M39" s="55">
        <v>2.9855546001719691</v>
      </c>
      <c r="N39" s="55">
        <v>24.648925193465171</v>
      </c>
      <c r="O39" s="55">
        <v>24.768357695614789</v>
      </c>
      <c r="P39" s="55">
        <v>24.768357695614789</v>
      </c>
      <c r="Q39" s="55">
        <v>24.768357695614789</v>
      </c>
      <c r="R39" s="55">
        <v>24.195098882201201</v>
      </c>
      <c r="S39" s="55">
        <v>23.499342254081874</v>
      </c>
      <c r="T39" s="55">
        <v>25.870394337535153</v>
      </c>
      <c r="U39" s="55">
        <v>24.809759149184377</v>
      </c>
      <c r="V39" s="55">
        <v>29.582953204059976</v>
      </c>
      <c r="W39" s="55">
        <v>35.541857677315228</v>
      </c>
      <c r="X39" s="55">
        <v>38.602245694795812</v>
      </c>
      <c r="Y39" s="55">
        <v>46.401303597967825</v>
      </c>
      <c r="DA39" s="101" t="s">
        <v>205</v>
      </c>
    </row>
    <row r="40" spans="1:105" ht="12" customHeight="1" x14ac:dyDescent="0.25">
      <c r="A40" s="61" t="s">
        <v>49</v>
      </c>
      <c r="B40" s="55">
        <v>0</v>
      </c>
      <c r="C40" s="55">
        <v>0</v>
      </c>
      <c r="D40" s="55">
        <v>0</v>
      </c>
      <c r="E40" s="55">
        <v>0</v>
      </c>
      <c r="F40" s="55">
        <v>0</v>
      </c>
      <c r="G40" s="55">
        <v>0</v>
      </c>
      <c r="H40" s="55">
        <v>0</v>
      </c>
      <c r="I40" s="55">
        <v>0</v>
      </c>
      <c r="J40" s="55">
        <v>0</v>
      </c>
      <c r="K40" s="55">
        <v>0</v>
      </c>
      <c r="L40" s="55">
        <v>0</v>
      </c>
      <c r="M40" s="55">
        <v>0</v>
      </c>
      <c r="N40" s="55">
        <v>0</v>
      </c>
      <c r="O40" s="55">
        <v>0</v>
      </c>
      <c r="P40" s="55">
        <v>0</v>
      </c>
      <c r="Q40" s="55">
        <v>0</v>
      </c>
      <c r="R40" s="55">
        <v>0</v>
      </c>
      <c r="S40" s="55">
        <v>0</v>
      </c>
      <c r="T40" s="55">
        <v>0</v>
      </c>
      <c r="U40" s="55">
        <v>0</v>
      </c>
      <c r="V40" s="55">
        <v>0</v>
      </c>
      <c r="W40" s="55">
        <v>0.19845227858985379</v>
      </c>
      <c r="X40" s="55">
        <v>0.28220120378331898</v>
      </c>
      <c r="Y40" s="55">
        <v>0.16130696474634559</v>
      </c>
      <c r="DA40" s="101" t="s">
        <v>206</v>
      </c>
    </row>
    <row r="41" spans="1:105" ht="12" customHeight="1" x14ac:dyDescent="0.25">
      <c r="A41" s="61" t="s">
        <v>26</v>
      </c>
      <c r="B41" s="55">
        <v>2.2929492691315558</v>
      </c>
      <c r="C41" s="55">
        <v>2.5556319862424761</v>
      </c>
      <c r="D41" s="55">
        <v>2.937833190025795</v>
      </c>
      <c r="E41" s="55">
        <v>3.3915735167669818</v>
      </c>
      <c r="F41" s="55">
        <v>3.893207222699913</v>
      </c>
      <c r="G41" s="55">
        <v>5.7561478933791914</v>
      </c>
      <c r="H41" s="55">
        <v>7.3325881341358556</v>
      </c>
      <c r="I41" s="55">
        <v>10.98693035253654</v>
      </c>
      <c r="J41" s="55">
        <v>14.09191745485812</v>
      </c>
      <c r="K41" s="55">
        <v>17.889595872742909</v>
      </c>
      <c r="L41" s="55">
        <v>26.822355975924332</v>
      </c>
      <c r="M41" s="55">
        <v>28.064402407566639</v>
      </c>
      <c r="N41" s="55">
        <v>31.073860705073081</v>
      </c>
      <c r="O41" s="55">
        <v>33.629492691315562</v>
      </c>
      <c r="P41" s="55">
        <v>35.898538263112627</v>
      </c>
      <c r="Q41" s="55">
        <v>38.000343938091142</v>
      </c>
      <c r="R41" s="55">
        <v>40.030610490111783</v>
      </c>
      <c r="S41" s="55">
        <v>41.754342218400687</v>
      </c>
      <c r="T41" s="55">
        <v>43.684264832330179</v>
      </c>
      <c r="U41" s="55">
        <v>45.58933791917454</v>
      </c>
      <c r="V41" s="55">
        <v>43.261306964746353</v>
      </c>
      <c r="W41" s="55">
        <v>44.432416165090281</v>
      </c>
      <c r="X41" s="55">
        <v>44.678761822871877</v>
      </c>
      <c r="Y41" s="55">
        <v>44.469819432502142</v>
      </c>
      <c r="DA41" s="101" t="s">
        <v>207</v>
      </c>
    </row>
    <row r="42" spans="1:105" ht="12" customHeight="1" x14ac:dyDescent="0.25">
      <c r="A42" s="61" t="s">
        <v>25</v>
      </c>
      <c r="B42" s="55">
        <v>132.05786758383491</v>
      </c>
      <c r="C42" s="55">
        <v>134.66130696474639</v>
      </c>
      <c r="D42" s="55">
        <v>134.66130696474639</v>
      </c>
      <c r="E42" s="55">
        <v>134.66130696474639</v>
      </c>
      <c r="F42" s="55">
        <v>132.05786758383491</v>
      </c>
      <c r="G42" s="55">
        <v>132.05786758383491</v>
      </c>
      <c r="H42" s="55">
        <v>132.05786758383491</v>
      </c>
      <c r="I42" s="55">
        <v>132.05786758383491</v>
      </c>
      <c r="J42" s="55">
        <v>132.05786758383491</v>
      </c>
      <c r="K42" s="55">
        <v>132.05786758383491</v>
      </c>
      <c r="L42" s="55">
        <v>76.072398968185723</v>
      </c>
      <c r="M42" s="55">
        <v>76.072398968185723</v>
      </c>
      <c r="N42" s="55">
        <v>77.003955288048147</v>
      </c>
      <c r="O42" s="55">
        <v>77.19501289767841</v>
      </c>
      <c r="P42" s="55">
        <v>73.970593293207216</v>
      </c>
      <c r="Q42" s="55">
        <v>76.359071367153916</v>
      </c>
      <c r="R42" s="55">
        <v>76.096302665520199</v>
      </c>
      <c r="S42" s="55">
        <v>79.890885640584685</v>
      </c>
      <c r="T42" s="55">
        <v>78.921840068787617</v>
      </c>
      <c r="U42" s="55">
        <v>78.677472055030094</v>
      </c>
      <c r="V42" s="55">
        <v>73.153138435081672</v>
      </c>
      <c r="W42" s="55">
        <v>70.366981943250209</v>
      </c>
      <c r="X42" s="55">
        <v>67.849699054170244</v>
      </c>
      <c r="Y42" s="55">
        <v>65.450730868443671</v>
      </c>
      <c r="DA42" s="101" t="s">
        <v>208</v>
      </c>
    </row>
    <row r="43" spans="1:105" ht="12" customHeight="1" x14ac:dyDescent="0.25">
      <c r="A43" s="61" t="s">
        <v>151</v>
      </c>
      <c r="B43" s="309">
        <v>2.31936609144919</v>
      </c>
      <c r="C43" s="309">
        <v>4.6902710342699585</v>
      </c>
      <c r="D43" s="55">
        <v>13.503200720765358</v>
      </c>
      <c r="E43" s="55">
        <v>16.515897740028016</v>
      </c>
      <c r="F43" s="55">
        <v>35.481268410368401</v>
      </c>
      <c r="G43" s="55">
        <v>69.527143974542582</v>
      </c>
      <c r="H43" s="55">
        <v>95.427309680127408</v>
      </c>
      <c r="I43" s="55">
        <v>112.83887423367317</v>
      </c>
      <c r="J43" s="55">
        <v>130.31029721823455</v>
      </c>
      <c r="K43" s="55">
        <v>174.80463850210509</v>
      </c>
      <c r="L43" s="55">
        <v>206.99417519135861</v>
      </c>
      <c r="M43" s="55">
        <v>321.35141197750488</v>
      </c>
      <c r="N43" s="55">
        <v>531.64812203914244</v>
      </c>
      <c r="O43" s="55">
        <v>698.7062034637795</v>
      </c>
      <c r="P43" s="55">
        <v>1159.0718796393437</v>
      </c>
      <c r="Q43" s="55">
        <v>2151.8436697973402</v>
      </c>
      <c r="R43" s="55">
        <v>2288.3990138496829</v>
      </c>
      <c r="S43" s="55">
        <v>2548.6674978503852</v>
      </c>
      <c r="T43" s="55">
        <v>2496.4920894239067</v>
      </c>
      <c r="U43" s="55">
        <v>2402.3334479793593</v>
      </c>
      <c r="V43" s="55">
        <v>2380.0477214101466</v>
      </c>
      <c r="W43" s="55">
        <v>1953.3625967325904</v>
      </c>
      <c r="X43" s="55">
        <v>1974.5134135855537</v>
      </c>
      <c r="Y43" s="55">
        <v>2019.0157351676694</v>
      </c>
      <c r="DA43" s="101" t="s">
        <v>209</v>
      </c>
    </row>
    <row r="44" spans="1:105" ht="12" customHeight="1" x14ac:dyDescent="0.25">
      <c r="A44" s="60" t="s">
        <v>162</v>
      </c>
      <c r="B44" s="55">
        <v>0</v>
      </c>
      <c r="C44" s="55">
        <v>0</v>
      </c>
      <c r="D44" s="55">
        <v>0</v>
      </c>
      <c r="E44" s="55">
        <v>0</v>
      </c>
      <c r="F44" s="55">
        <v>68.739810834049862</v>
      </c>
      <c r="G44" s="55">
        <v>70.00576096302666</v>
      </c>
      <c r="H44" s="55">
        <v>97.281943250214951</v>
      </c>
      <c r="I44" s="55">
        <v>100.93628546861559</v>
      </c>
      <c r="J44" s="55">
        <v>100.76913155631986</v>
      </c>
      <c r="K44" s="55">
        <v>92.027343078245906</v>
      </c>
      <c r="L44" s="55">
        <v>78.651934651762673</v>
      </c>
      <c r="M44" s="55">
        <v>173.49767841788483</v>
      </c>
      <c r="N44" s="55">
        <v>139.89200343938094</v>
      </c>
      <c r="O44" s="55">
        <v>190.95726569217541</v>
      </c>
      <c r="P44" s="55">
        <v>276.87016337059327</v>
      </c>
      <c r="Q44" s="55">
        <v>237.8188306104901</v>
      </c>
      <c r="R44" s="55">
        <v>256.85494411006022</v>
      </c>
      <c r="S44" s="55">
        <v>324.48950988822008</v>
      </c>
      <c r="T44" s="55">
        <v>398.77506448839205</v>
      </c>
      <c r="U44" s="55">
        <v>311.02020636285476</v>
      </c>
      <c r="V44" s="55">
        <v>307.60180567497844</v>
      </c>
      <c r="W44" s="55">
        <v>247.67669819432501</v>
      </c>
      <c r="X44" s="55">
        <v>244.42347377472058</v>
      </c>
      <c r="Y44" s="55">
        <v>253.76801375752365</v>
      </c>
      <c r="DA44" s="101" t="s">
        <v>210</v>
      </c>
    </row>
    <row r="45" spans="1:105" ht="12" customHeight="1" x14ac:dyDescent="0.25">
      <c r="A45" s="62" t="s">
        <v>24</v>
      </c>
      <c r="B45" s="63">
        <v>5174.8065348237315</v>
      </c>
      <c r="C45" s="63">
        <v>5418.1427343078249</v>
      </c>
      <c r="D45" s="63">
        <v>5753.2244196044712</v>
      </c>
      <c r="E45" s="63">
        <v>6181.0834049871019</v>
      </c>
      <c r="F45" s="63">
        <v>6414.3594153052445</v>
      </c>
      <c r="G45" s="63">
        <v>6768.0137575236449</v>
      </c>
      <c r="H45" s="63">
        <v>7170.0773860705076</v>
      </c>
      <c r="I45" s="63">
        <v>7340.7566638005164</v>
      </c>
      <c r="J45" s="63">
        <v>7616.5950128976783</v>
      </c>
      <c r="K45" s="63">
        <v>7731.126397248494</v>
      </c>
      <c r="L45" s="63">
        <v>7843.4759249775288</v>
      </c>
      <c r="M45" s="63">
        <v>7956.8015291700349</v>
      </c>
      <c r="N45" s="63">
        <v>8234.9110996450145</v>
      </c>
      <c r="O45" s="63">
        <v>8098.9295874752852</v>
      </c>
      <c r="P45" s="63">
        <v>8033.1870086354556</v>
      </c>
      <c r="Q45" s="63">
        <v>8366.1339582422224</v>
      </c>
      <c r="R45" s="63">
        <v>8333.6765539272601</v>
      </c>
      <c r="S45" s="63">
        <v>8497.6076111023485</v>
      </c>
      <c r="T45" s="63">
        <v>8581.2036111187135</v>
      </c>
      <c r="U45" s="63">
        <v>8143.0338433134475</v>
      </c>
      <c r="V45" s="63">
        <v>6890.9033671550305</v>
      </c>
      <c r="W45" s="63">
        <v>8148.2891894072054</v>
      </c>
      <c r="X45" s="63">
        <v>8380.2282869549526</v>
      </c>
      <c r="Y45" s="63">
        <v>8165.6067650498608</v>
      </c>
      <c r="DA45" s="105" t="s">
        <v>211</v>
      </c>
    </row>
    <row r="46" spans="1:105" s="2" customFormat="1" ht="12" customHeight="1" x14ac:dyDescent="0.25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DA46" s="106"/>
    </row>
    <row r="47" spans="1:105" ht="12.95" customHeight="1" x14ac:dyDescent="0.25">
      <c r="A47" s="81" t="s">
        <v>56</v>
      </c>
      <c r="B47" s="82">
        <f t="shared" ref="B47" si="33">SUM(B48,B53)</f>
        <v>12017.077472055031</v>
      </c>
      <c r="C47" s="82">
        <f t="shared" ref="C47:W47" si="34">SUM(C48,C53)</f>
        <v>12396.309802235597</v>
      </c>
      <c r="D47" s="82">
        <f t="shared" si="34"/>
        <v>12386.326139294924</v>
      </c>
      <c r="E47" s="82">
        <f t="shared" si="34"/>
        <v>13725.561220980222</v>
      </c>
      <c r="F47" s="82">
        <f t="shared" si="34"/>
        <v>14009.080825451418</v>
      </c>
      <c r="G47" s="82">
        <f t="shared" si="34"/>
        <v>15631.496646603611</v>
      </c>
      <c r="H47" s="82">
        <f t="shared" si="34"/>
        <v>16163.824419604471</v>
      </c>
      <c r="I47" s="82">
        <f t="shared" si="34"/>
        <v>15771.333705932935</v>
      </c>
      <c r="J47" s="82">
        <f t="shared" si="34"/>
        <v>17643.656233877911</v>
      </c>
      <c r="K47" s="82">
        <f t="shared" si="34"/>
        <v>17543.515305245055</v>
      </c>
      <c r="L47" s="82">
        <f t="shared" si="34"/>
        <v>17620.049785682608</v>
      </c>
      <c r="M47" s="82">
        <f t="shared" si="34"/>
        <v>16382.458364939597</v>
      </c>
      <c r="N47" s="82">
        <f t="shared" si="34"/>
        <v>16562.03930256849</v>
      </c>
      <c r="O47" s="82">
        <f t="shared" si="34"/>
        <v>16431.049621869101</v>
      </c>
      <c r="P47" s="82">
        <f t="shared" si="34"/>
        <v>15202.483483270023</v>
      </c>
      <c r="Q47" s="82">
        <f t="shared" si="34"/>
        <v>15982.712290142477</v>
      </c>
      <c r="R47" s="82">
        <f t="shared" si="34"/>
        <v>16040.992461063983</v>
      </c>
      <c r="S47" s="82">
        <f t="shared" si="34"/>
        <v>16253.857396141037</v>
      </c>
      <c r="T47" s="82">
        <f t="shared" si="34"/>
        <v>17075.404900886562</v>
      </c>
      <c r="U47" s="82">
        <f t="shared" si="34"/>
        <v>16332.16858106065</v>
      </c>
      <c r="V47" s="82">
        <f t="shared" si="34"/>
        <v>14642.161062769817</v>
      </c>
      <c r="W47" s="82">
        <f t="shared" si="34"/>
        <v>15176.643445641075</v>
      </c>
      <c r="X47" s="82">
        <f t="shared" ref="X47:Y47" si="35">SUM(X48,X53)</f>
        <v>14545.870419371115</v>
      </c>
      <c r="Y47" s="82">
        <f t="shared" si="35"/>
        <v>14884.186128764393</v>
      </c>
      <c r="DA47" s="107" t="s">
        <v>212</v>
      </c>
    </row>
    <row r="48" spans="1:105" ht="12" customHeight="1" x14ac:dyDescent="0.25">
      <c r="A48" s="77" t="s">
        <v>36</v>
      </c>
      <c r="B48" s="64">
        <f t="shared" ref="B48" si="36">SUM(B49:B52)</f>
        <v>9435.0648692743925</v>
      </c>
      <c r="C48" s="64">
        <f t="shared" ref="C48:W48" si="37">SUM(C49:C52)</f>
        <v>9731.9852274545501</v>
      </c>
      <c r="D48" s="64">
        <f t="shared" si="37"/>
        <v>9633.0365200531014</v>
      </c>
      <c r="E48" s="64">
        <f t="shared" si="37"/>
        <v>10876.706256800615</v>
      </c>
      <c r="F48" s="64">
        <f t="shared" si="37"/>
        <v>11061.748210607242</v>
      </c>
      <c r="G48" s="64">
        <f t="shared" si="37"/>
        <v>12596.260059104086</v>
      </c>
      <c r="H48" s="64">
        <f t="shared" si="37"/>
        <v>13008.959080587356</v>
      </c>
      <c r="I48" s="64">
        <f t="shared" si="37"/>
        <v>12514.53418886934</v>
      </c>
      <c r="J48" s="64">
        <f t="shared" si="37"/>
        <v>14308.309029033104</v>
      </c>
      <c r="K48" s="64">
        <f t="shared" si="37"/>
        <v>14152.778254081395</v>
      </c>
      <c r="L48" s="64">
        <f t="shared" si="37"/>
        <v>14176.493117864553</v>
      </c>
      <c r="M48" s="64">
        <f t="shared" si="37"/>
        <v>12895.932558386048</v>
      </c>
      <c r="N48" s="64">
        <f t="shared" si="37"/>
        <v>13043.00514173744</v>
      </c>
      <c r="O48" s="64">
        <f t="shared" si="37"/>
        <v>12876.442711321939</v>
      </c>
      <c r="P48" s="64">
        <f t="shared" si="37"/>
        <v>11562.605936507734</v>
      </c>
      <c r="Q48" s="64">
        <f t="shared" si="37"/>
        <v>12280.515676073743</v>
      </c>
      <c r="R48" s="64">
        <f t="shared" si="37"/>
        <v>12336.630954962966</v>
      </c>
      <c r="S48" s="64">
        <f t="shared" si="37"/>
        <v>12498.758447834847</v>
      </c>
      <c r="T48" s="64">
        <f t="shared" si="37"/>
        <v>13370.357465292589</v>
      </c>
      <c r="U48" s="64">
        <f t="shared" si="37"/>
        <v>12684.565605077416</v>
      </c>
      <c r="V48" s="64">
        <f t="shared" si="37"/>
        <v>11288.314873907884</v>
      </c>
      <c r="W48" s="64">
        <f t="shared" si="37"/>
        <v>11807.099157615445</v>
      </c>
      <c r="X48" s="64">
        <f t="shared" ref="X48:Y48" si="38">SUM(X49:X52)</f>
        <v>11177.467584957993</v>
      </c>
      <c r="Y48" s="64">
        <f t="shared" si="38"/>
        <v>11554.28568824465</v>
      </c>
      <c r="DA48" s="108" t="s">
        <v>213</v>
      </c>
    </row>
    <row r="49" spans="1:105" ht="12" customHeight="1" x14ac:dyDescent="0.25">
      <c r="A49" s="61" t="s">
        <v>32</v>
      </c>
      <c r="B49" s="65">
        <v>6305.6473138382898</v>
      </c>
      <c r="C49" s="65">
        <v>6538.0852803348835</v>
      </c>
      <c r="D49" s="65">
        <v>6414.0938407834246</v>
      </c>
      <c r="E49" s="65">
        <v>7491.5722000594142</v>
      </c>
      <c r="F49" s="65">
        <v>7820.5098333918031</v>
      </c>
      <c r="G49" s="65">
        <v>9302.5187773192265</v>
      </c>
      <c r="H49" s="65">
        <v>9655.9841413272206</v>
      </c>
      <c r="I49" s="65">
        <v>9060.7280812816844</v>
      </c>
      <c r="J49" s="65">
        <v>10808.016425325255</v>
      </c>
      <c r="K49" s="65">
        <v>10607.370311042094</v>
      </c>
      <c r="L49" s="65">
        <v>10658.651930877182</v>
      </c>
      <c r="M49" s="65">
        <v>9310.2763067366323</v>
      </c>
      <c r="N49" s="65">
        <v>9325.9449772995722</v>
      </c>
      <c r="O49" s="65">
        <v>9265.2976357933931</v>
      </c>
      <c r="P49" s="65">
        <v>7895.8803613489563</v>
      </c>
      <c r="Q49" s="65">
        <v>8444.0291079927738</v>
      </c>
      <c r="R49" s="65">
        <v>8597.2244471086979</v>
      </c>
      <c r="S49" s="65">
        <v>8687.0822365853237</v>
      </c>
      <c r="T49" s="65">
        <v>9683.7781839766649</v>
      </c>
      <c r="U49" s="65">
        <v>9020.6183677365407</v>
      </c>
      <c r="V49" s="65">
        <v>8064.5299293751023</v>
      </c>
      <c r="W49" s="65">
        <v>8119.3644643784537</v>
      </c>
      <c r="X49" s="65">
        <v>7370.705893508647</v>
      </c>
      <c r="Y49" s="65">
        <v>7811.1996242849436</v>
      </c>
      <c r="DA49" s="109" t="s">
        <v>214</v>
      </c>
    </row>
    <row r="50" spans="1:105" ht="12" customHeight="1" x14ac:dyDescent="0.25">
      <c r="A50" s="61" t="s">
        <v>31</v>
      </c>
      <c r="B50" s="65">
        <v>149.05110265289528</v>
      </c>
      <c r="C50" s="65">
        <v>169.13562270296083</v>
      </c>
      <c r="D50" s="65">
        <v>155.16110894310171</v>
      </c>
      <c r="E50" s="65">
        <v>365.36458460247775</v>
      </c>
      <c r="F50" s="65">
        <v>169.79465399816411</v>
      </c>
      <c r="G50" s="65">
        <v>171.949800202902</v>
      </c>
      <c r="H50" s="65">
        <v>212.63387898479559</v>
      </c>
      <c r="I50" s="65">
        <v>206.06554340980102</v>
      </c>
      <c r="J50" s="65">
        <v>244.38942032620167</v>
      </c>
      <c r="K50" s="65">
        <v>263.87933925501295</v>
      </c>
      <c r="L50" s="65">
        <v>223.50995717052294</v>
      </c>
      <c r="M50" s="65">
        <v>249.30255217395901</v>
      </c>
      <c r="N50" s="65">
        <v>398.042800729872</v>
      </c>
      <c r="O50" s="65">
        <v>236.18987077050494</v>
      </c>
      <c r="P50" s="65">
        <v>203.87328432181181</v>
      </c>
      <c r="Q50" s="65">
        <v>358.00254942321612</v>
      </c>
      <c r="R50" s="65">
        <v>224.71434924063868</v>
      </c>
      <c r="S50" s="65">
        <v>335.45938895928202</v>
      </c>
      <c r="T50" s="65">
        <v>250.767638478371</v>
      </c>
      <c r="U50" s="65">
        <v>328.57602450406591</v>
      </c>
      <c r="V50" s="65">
        <v>234.52354443635107</v>
      </c>
      <c r="W50" s="65">
        <v>287.13693323855153</v>
      </c>
      <c r="X50" s="65">
        <v>370.5795549256963</v>
      </c>
      <c r="Y50" s="65">
        <v>299.089782391146</v>
      </c>
      <c r="DA50" s="109" t="s">
        <v>215</v>
      </c>
    </row>
    <row r="51" spans="1:105" ht="12" customHeight="1" x14ac:dyDescent="0.25">
      <c r="A51" s="61" t="s">
        <v>35</v>
      </c>
      <c r="B51" s="65">
        <v>1491.6059897828998</v>
      </c>
      <c r="C51" s="65">
        <v>1533.6651659581798</v>
      </c>
      <c r="D51" s="65">
        <v>1564.9082841249774</v>
      </c>
      <c r="E51" s="65">
        <v>1554.6172124397876</v>
      </c>
      <c r="F51" s="65">
        <v>1580.6746352634361</v>
      </c>
      <c r="G51" s="65">
        <v>1560.9746234786812</v>
      </c>
      <c r="H51" s="65">
        <v>1582.622578124221</v>
      </c>
      <c r="I51" s="65">
        <v>1625.3208051681829</v>
      </c>
      <c r="J51" s="65">
        <v>1615.8930287539106</v>
      </c>
      <c r="K51" s="65">
        <v>1593.7963621625377</v>
      </c>
      <c r="L51" s="65">
        <v>1590.3093959968676</v>
      </c>
      <c r="M51" s="65">
        <v>1609.065736324955</v>
      </c>
      <c r="N51" s="65">
        <v>1576.5170230812846</v>
      </c>
      <c r="O51" s="65">
        <v>1607.2456810018498</v>
      </c>
      <c r="P51" s="65">
        <v>1633.751256759537</v>
      </c>
      <c r="Q51" s="65">
        <v>1630.3074489300113</v>
      </c>
      <c r="R51" s="65">
        <v>1649.4818330581265</v>
      </c>
      <c r="S51" s="65">
        <v>1610.8705209078253</v>
      </c>
      <c r="T51" s="65">
        <v>1586.6013703806143</v>
      </c>
      <c r="U51" s="65">
        <v>1486.2817583579495</v>
      </c>
      <c r="V51" s="65">
        <v>1329.2143382009378</v>
      </c>
      <c r="W51" s="65">
        <v>1538.7248035893592</v>
      </c>
      <c r="X51" s="65">
        <v>1556.2954901672024</v>
      </c>
      <c r="Y51" s="65">
        <v>1546.3890019598555</v>
      </c>
      <c r="DA51" s="109" t="s">
        <v>216</v>
      </c>
    </row>
    <row r="52" spans="1:105" ht="12" customHeight="1" x14ac:dyDescent="0.25">
      <c r="A52" s="66" t="s">
        <v>34</v>
      </c>
      <c r="B52" s="67">
        <v>1488.7604630003066</v>
      </c>
      <c r="C52" s="67">
        <v>1491.0991584585256</v>
      </c>
      <c r="D52" s="67">
        <v>1498.8732862015972</v>
      </c>
      <c r="E52" s="67">
        <v>1465.1522596989353</v>
      </c>
      <c r="F52" s="67">
        <v>1490.7690879538395</v>
      </c>
      <c r="G52" s="67">
        <v>1560.8168581032762</v>
      </c>
      <c r="H52" s="67">
        <v>1557.7184821511187</v>
      </c>
      <c r="I52" s="67">
        <v>1622.4197590096728</v>
      </c>
      <c r="J52" s="67">
        <v>1640.0101546277342</v>
      </c>
      <c r="K52" s="67">
        <v>1687.7322416217526</v>
      </c>
      <c r="L52" s="67">
        <v>1704.0218338199795</v>
      </c>
      <c r="M52" s="67">
        <v>1727.287963150502</v>
      </c>
      <c r="N52" s="67">
        <v>1742.5003406267108</v>
      </c>
      <c r="O52" s="67">
        <v>1767.7095237561907</v>
      </c>
      <c r="P52" s="67">
        <v>1829.1010340774278</v>
      </c>
      <c r="Q52" s="67">
        <v>1848.1765697277422</v>
      </c>
      <c r="R52" s="67">
        <v>1865.2103255555021</v>
      </c>
      <c r="S52" s="67">
        <v>1865.3463013824162</v>
      </c>
      <c r="T52" s="67">
        <v>1849.2102724569377</v>
      </c>
      <c r="U52" s="67">
        <v>1849.0894544788607</v>
      </c>
      <c r="V52" s="67">
        <v>1660.0470618954937</v>
      </c>
      <c r="W52" s="67">
        <v>1861.8729564090802</v>
      </c>
      <c r="X52" s="67">
        <v>1879.8866463564466</v>
      </c>
      <c r="Y52" s="67">
        <v>1897.6072796087055</v>
      </c>
      <c r="DA52" s="110" t="s">
        <v>217</v>
      </c>
    </row>
    <row r="53" spans="1:105" ht="12" customHeight="1" x14ac:dyDescent="0.25">
      <c r="A53" s="78" t="s">
        <v>33</v>
      </c>
      <c r="B53" s="68">
        <v>2582.0126027806377</v>
      </c>
      <c r="C53" s="68">
        <v>2664.3245747810474</v>
      </c>
      <c r="D53" s="68">
        <v>2753.2896192418229</v>
      </c>
      <c r="E53" s="68">
        <v>2848.8549641796076</v>
      </c>
      <c r="F53" s="68">
        <v>2947.3326148441756</v>
      </c>
      <c r="G53" s="68">
        <v>3035.2365874995253</v>
      </c>
      <c r="H53" s="68">
        <v>3154.8653390171148</v>
      </c>
      <c r="I53" s="68">
        <v>3256.799517063595</v>
      </c>
      <c r="J53" s="68">
        <v>3335.3472048448079</v>
      </c>
      <c r="K53" s="68">
        <v>3390.7370511636591</v>
      </c>
      <c r="L53" s="68">
        <v>3443.5566678180558</v>
      </c>
      <c r="M53" s="68">
        <v>3486.525806553549</v>
      </c>
      <c r="N53" s="68">
        <v>3519.0341608310491</v>
      </c>
      <c r="O53" s="68">
        <v>3554.6069105471615</v>
      </c>
      <c r="P53" s="68">
        <v>3639.8775467622895</v>
      </c>
      <c r="Q53" s="68">
        <v>3702.196614068735</v>
      </c>
      <c r="R53" s="68">
        <v>3704.3615061010159</v>
      </c>
      <c r="S53" s="68">
        <v>3755.0989483061903</v>
      </c>
      <c r="T53" s="68">
        <v>3705.0474355939741</v>
      </c>
      <c r="U53" s="68">
        <v>3647.602975983234</v>
      </c>
      <c r="V53" s="68">
        <v>3353.8461888619331</v>
      </c>
      <c r="W53" s="68">
        <v>3369.5442880256314</v>
      </c>
      <c r="X53" s="68">
        <v>3368.402834413122</v>
      </c>
      <c r="Y53" s="68">
        <v>3329.9004405197429</v>
      </c>
      <c r="DA53" s="111" t="s">
        <v>218</v>
      </c>
    </row>
    <row r="54" spans="1:105" s="2" customFormat="1" ht="12" customHeight="1" x14ac:dyDescent="0.25">
      <c r="DA54" s="7"/>
    </row>
    <row r="55" spans="1:105" ht="12.95" customHeight="1" x14ac:dyDescent="0.25">
      <c r="A55" s="79" t="s">
        <v>55</v>
      </c>
      <c r="B55" s="83">
        <f t="shared" ref="B55" si="39">IF(B47=0,0,B47/B$47)</f>
        <v>1</v>
      </c>
      <c r="C55" s="83">
        <f t="shared" ref="C55:W55" si="40">IF(C47=0,0,C47/C$47)</f>
        <v>1</v>
      </c>
      <c r="D55" s="83">
        <f t="shared" si="40"/>
        <v>1</v>
      </c>
      <c r="E55" s="83">
        <f t="shared" si="40"/>
        <v>1</v>
      </c>
      <c r="F55" s="83">
        <f t="shared" si="40"/>
        <v>1</v>
      </c>
      <c r="G55" s="83">
        <f t="shared" si="40"/>
        <v>1</v>
      </c>
      <c r="H55" s="83">
        <f t="shared" si="40"/>
        <v>1</v>
      </c>
      <c r="I55" s="83">
        <f t="shared" si="40"/>
        <v>1</v>
      </c>
      <c r="J55" s="83">
        <f t="shared" si="40"/>
        <v>1</v>
      </c>
      <c r="K55" s="83">
        <f t="shared" si="40"/>
        <v>1</v>
      </c>
      <c r="L55" s="83">
        <f t="shared" si="40"/>
        <v>1</v>
      </c>
      <c r="M55" s="83">
        <f t="shared" si="40"/>
        <v>1</v>
      </c>
      <c r="N55" s="83">
        <f t="shared" si="40"/>
        <v>1</v>
      </c>
      <c r="O55" s="83">
        <f t="shared" si="40"/>
        <v>1</v>
      </c>
      <c r="P55" s="83">
        <f t="shared" si="40"/>
        <v>1</v>
      </c>
      <c r="Q55" s="83">
        <f t="shared" si="40"/>
        <v>1</v>
      </c>
      <c r="R55" s="83">
        <f t="shared" si="40"/>
        <v>1</v>
      </c>
      <c r="S55" s="83">
        <f t="shared" si="40"/>
        <v>1</v>
      </c>
      <c r="T55" s="83">
        <f t="shared" si="40"/>
        <v>1</v>
      </c>
      <c r="U55" s="83">
        <f t="shared" si="40"/>
        <v>1</v>
      </c>
      <c r="V55" s="83">
        <f t="shared" si="40"/>
        <v>1</v>
      </c>
      <c r="W55" s="83">
        <f t="shared" si="40"/>
        <v>1</v>
      </c>
      <c r="X55" s="83">
        <f t="shared" ref="X55:Y55" si="41">IF(X47=0,0,X47/X$47)</f>
        <v>1</v>
      </c>
      <c r="Y55" s="83">
        <f t="shared" si="41"/>
        <v>1</v>
      </c>
      <c r="DA55" s="112"/>
    </row>
    <row r="56" spans="1:105" ht="12" customHeight="1" x14ac:dyDescent="0.25">
      <c r="A56" s="69" t="s">
        <v>36</v>
      </c>
      <c r="B56" s="70">
        <f t="shared" ref="B56" si="42">IF(B48=0,0,B48/B$47)</f>
        <v>0.7851380580024595</v>
      </c>
      <c r="C56" s="70">
        <f t="shared" ref="C56:W56" si="43">IF(C48=0,0,C48/C$47)</f>
        <v>0.78507115284416717</v>
      </c>
      <c r="D56" s="70">
        <f t="shared" si="43"/>
        <v>0.77771539451822069</v>
      </c>
      <c r="E56" s="70">
        <f t="shared" si="43"/>
        <v>0.79244164094179359</v>
      </c>
      <c r="F56" s="70">
        <f t="shared" si="43"/>
        <v>0.78961270538966977</v>
      </c>
      <c r="G56" s="70">
        <f t="shared" si="43"/>
        <v>0.80582559328002568</v>
      </c>
      <c r="H56" s="70">
        <f t="shared" si="43"/>
        <v>0.80481937584086216</v>
      </c>
      <c r="I56" s="70">
        <f t="shared" si="43"/>
        <v>0.79349878851156153</v>
      </c>
      <c r="J56" s="70">
        <f t="shared" si="43"/>
        <v>0.81096054238233539</v>
      </c>
      <c r="K56" s="70">
        <f t="shared" si="43"/>
        <v>0.80672419454327271</v>
      </c>
      <c r="L56" s="70">
        <f t="shared" si="43"/>
        <v>0.80456600805883305</v>
      </c>
      <c r="M56" s="70">
        <f t="shared" si="43"/>
        <v>0.78717932749243991</v>
      </c>
      <c r="N56" s="70">
        <f t="shared" si="43"/>
        <v>0.78752410276642038</v>
      </c>
      <c r="O56" s="70">
        <f t="shared" si="43"/>
        <v>0.78366525618569638</v>
      </c>
      <c r="P56" s="70">
        <f t="shared" si="43"/>
        <v>0.76057349111624495</v>
      </c>
      <c r="Q56" s="70">
        <f t="shared" si="43"/>
        <v>0.76836243142835603</v>
      </c>
      <c r="R56" s="70">
        <f t="shared" si="43"/>
        <v>0.76906905759774224</v>
      </c>
      <c r="S56" s="70">
        <f t="shared" si="43"/>
        <v>0.76897182885351767</v>
      </c>
      <c r="T56" s="70">
        <f t="shared" si="43"/>
        <v>0.78301847264531887</v>
      </c>
      <c r="U56" s="70">
        <f t="shared" si="43"/>
        <v>0.77666144224024714</v>
      </c>
      <c r="V56" s="70">
        <f t="shared" si="43"/>
        <v>0.77094595705618507</v>
      </c>
      <c r="W56" s="70">
        <f t="shared" si="43"/>
        <v>0.77797829275659725</v>
      </c>
      <c r="X56" s="70">
        <f t="shared" ref="X56:Y56" si="44">IF(X48=0,0,X48/X$47)</f>
        <v>0.76842892605949986</v>
      </c>
      <c r="Y56" s="70">
        <f t="shared" si="44"/>
        <v>0.77627930666060718</v>
      </c>
      <c r="DA56" s="113"/>
    </row>
    <row r="57" spans="1:105" ht="12" customHeight="1" x14ac:dyDescent="0.25">
      <c r="A57" s="61" t="s">
        <v>32</v>
      </c>
      <c r="B57" s="71">
        <f t="shared" ref="B57" si="45">IF(B49=0,0,B49/B$47)</f>
        <v>0.52472386306085506</v>
      </c>
      <c r="C57" s="71">
        <f t="shared" ref="C57:W57" si="46">IF(C49=0,0,C49/C$47)</f>
        <v>0.52742190092375563</v>
      </c>
      <c r="D57" s="71">
        <f t="shared" si="46"/>
        <v>0.51783666671226036</v>
      </c>
      <c r="E57" s="71">
        <f t="shared" si="46"/>
        <v>0.54581172160801428</v>
      </c>
      <c r="F57" s="71">
        <f t="shared" si="46"/>
        <v>0.558245750084021</v>
      </c>
      <c r="G57" s="71">
        <f t="shared" si="46"/>
        <v>0.5951137621451279</v>
      </c>
      <c r="H57" s="71">
        <f t="shared" si="46"/>
        <v>0.59738239482580957</v>
      </c>
      <c r="I57" s="71">
        <f t="shared" si="46"/>
        <v>0.57450614198044503</v>
      </c>
      <c r="J57" s="71">
        <f t="shared" si="46"/>
        <v>0.61257237627270145</v>
      </c>
      <c r="K57" s="71">
        <f t="shared" si="46"/>
        <v>0.60463197520457979</v>
      </c>
      <c r="L57" s="71">
        <f t="shared" si="46"/>
        <v>0.604916107532114</v>
      </c>
      <c r="M57" s="71">
        <f t="shared" si="46"/>
        <v>0.5683076434158213</v>
      </c>
      <c r="N57" s="71">
        <f t="shared" si="46"/>
        <v>0.5630915859409461</v>
      </c>
      <c r="O57" s="71">
        <f t="shared" si="46"/>
        <v>0.56388957790387506</v>
      </c>
      <c r="P57" s="71">
        <f t="shared" si="46"/>
        <v>0.51938095312112575</v>
      </c>
      <c r="Q57" s="71">
        <f t="shared" si="46"/>
        <v>0.52832266230561675</v>
      </c>
      <c r="R57" s="71">
        <f t="shared" si="46"/>
        <v>0.53595339988947621</v>
      </c>
      <c r="S57" s="71">
        <f t="shared" si="46"/>
        <v>0.53446280626577891</v>
      </c>
      <c r="T57" s="71">
        <f t="shared" si="46"/>
        <v>0.56711850993787438</v>
      </c>
      <c r="U57" s="71">
        <f t="shared" si="46"/>
        <v>0.55232214405361713</v>
      </c>
      <c r="V57" s="71">
        <f t="shared" si="46"/>
        <v>0.55077456768868227</v>
      </c>
      <c r="W57" s="71">
        <f t="shared" si="46"/>
        <v>0.53499078985811177</v>
      </c>
      <c r="X57" s="71">
        <f t="shared" ref="X57:Y57" si="47">IF(X49=0,0,X49/X$47)</f>
        <v>0.50672154233499056</v>
      </c>
      <c r="Y57" s="71">
        <f t="shared" si="47"/>
        <v>0.52479857190104817</v>
      </c>
      <c r="DA57" s="114"/>
    </row>
    <row r="58" spans="1:105" ht="12" customHeight="1" x14ac:dyDescent="0.25">
      <c r="A58" s="61" t="s">
        <v>31</v>
      </c>
      <c r="B58" s="72">
        <f t="shared" ref="B58" si="48">IF(B50=0,0,B50/B$47)</f>
        <v>1.2403273840873905E-2</v>
      </c>
      <c r="C58" s="72">
        <f t="shared" ref="C58:W58" si="49">IF(C50=0,0,C50/C$47)</f>
        <v>1.3644029989671465E-2</v>
      </c>
      <c r="D58" s="72">
        <f t="shared" si="49"/>
        <v>1.2526806350662913E-2</v>
      </c>
      <c r="E58" s="72">
        <f t="shared" si="49"/>
        <v>2.6619281989285749E-2</v>
      </c>
      <c r="F58" s="72">
        <f t="shared" si="49"/>
        <v>1.2120327958254375E-2</v>
      </c>
      <c r="G58" s="72">
        <f t="shared" si="49"/>
        <v>1.1000213485012837E-2</v>
      </c>
      <c r="H58" s="72">
        <f t="shared" si="49"/>
        <v>1.3154923826498651E-2</v>
      </c>
      <c r="I58" s="72">
        <f t="shared" si="49"/>
        <v>1.3065828626293179E-2</v>
      </c>
      <c r="J58" s="72">
        <f t="shared" si="49"/>
        <v>1.3851404555079974E-2</v>
      </c>
      <c r="K58" s="72">
        <f t="shared" si="49"/>
        <v>1.5041417564478647E-2</v>
      </c>
      <c r="L58" s="72">
        <f t="shared" si="49"/>
        <v>1.2684978753700161E-2</v>
      </c>
      <c r="M58" s="72">
        <f t="shared" si="49"/>
        <v>1.521765211425753E-2</v>
      </c>
      <c r="N58" s="72">
        <f t="shared" si="49"/>
        <v>2.4033441381107117E-2</v>
      </c>
      <c r="O58" s="72">
        <f t="shared" si="49"/>
        <v>1.4374606382792809E-2</v>
      </c>
      <c r="P58" s="72">
        <f t="shared" si="49"/>
        <v>1.3410524967592931E-2</v>
      </c>
      <c r="Q58" s="72">
        <f t="shared" si="49"/>
        <v>2.2399361442802065E-2</v>
      </c>
      <c r="R58" s="72">
        <f t="shared" si="49"/>
        <v>1.4008755991007654E-2</v>
      </c>
      <c r="S58" s="72">
        <f t="shared" si="49"/>
        <v>2.0638755514055772E-2</v>
      </c>
      <c r="T58" s="72">
        <f t="shared" si="49"/>
        <v>1.4685897050988878E-2</v>
      </c>
      <c r="U58" s="72">
        <f t="shared" si="49"/>
        <v>2.0118334125273116E-2</v>
      </c>
      <c r="V58" s="72">
        <f t="shared" si="49"/>
        <v>1.6017003462191592E-2</v>
      </c>
      <c r="W58" s="72">
        <f t="shared" si="49"/>
        <v>1.8919659954258258E-2</v>
      </c>
      <c r="X58" s="72">
        <f t="shared" ref="X58:Y58" si="50">IF(X50=0,0,X50/X$47)</f>
        <v>2.5476615990761602E-2</v>
      </c>
      <c r="Y58" s="72">
        <f t="shared" si="50"/>
        <v>2.0094466691271809E-2</v>
      </c>
      <c r="DA58" s="115"/>
    </row>
    <row r="59" spans="1:105" ht="12" customHeight="1" x14ac:dyDescent="0.25">
      <c r="A59" s="61" t="s">
        <v>35</v>
      </c>
      <c r="B59" s="72">
        <f t="shared" ref="B59" si="51">IF(B51=0,0,B51/B$47)</f>
        <v>0.12412385567551987</v>
      </c>
      <c r="C59" s="72">
        <f t="shared" ref="C59:W59" si="52">IF(C51=0,0,C51/C$47)</f>
        <v>0.12371949317381475</v>
      </c>
      <c r="D59" s="72">
        <f t="shared" si="52"/>
        <v>0.12634160174100323</v>
      </c>
      <c r="E59" s="72">
        <f t="shared" si="52"/>
        <v>0.11326438222893762</v>
      </c>
      <c r="F59" s="72">
        <f t="shared" si="52"/>
        <v>0.11283214473227238</v>
      </c>
      <c r="G59" s="72">
        <f t="shared" si="52"/>
        <v>9.9860855218738609E-2</v>
      </c>
      <c r="H59" s="72">
        <f t="shared" si="52"/>
        <v>9.7911393803852512E-2</v>
      </c>
      <c r="I59" s="72">
        <f t="shared" si="52"/>
        <v>0.10305538107768032</v>
      </c>
      <c r="J59" s="72">
        <f t="shared" si="52"/>
        <v>9.1584930432457898E-2</v>
      </c>
      <c r="K59" s="72">
        <f t="shared" si="52"/>
        <v>9.0848175775013237E-2</v>
      </c>
      <c r="L59" s="72">
        <f t="shared" si="52"/>
        <v>9.0255669838634242E-2</v>
      </c>
      <c r="M59" s="72">
        <f t="shared" si="52"/>
        <v>9.8218820428596143E-2</v>
      </c>
      <c r="N59" s="72">
        <f t="shared" si="52"/>
        <v>9.5188581205503706E-2</v>
      </c>
      <c r="O59" s="72">
        <f t="shared" si="52"/>
        <v>9.7817590354219802E-2</v>
      </c>
      <c r="P59" s="72">
        <f t="shared" si="52"/>
        <v>0.10746607674709477</v>
      </c>
      <c r="Q59" s="72">
        <f t="shared" si="52"/>
        <v>0.10200442949445584</v>
      </c>
      <c r="R59" s="72">
        <f t="shared" si="52"/>
        <v>0.10282916328661612</v>
      </c>
      <c r="S59" s="72">
        <f t="shared" si="52"/>
        <v>9.910696775832889E-2</v>
      </c>
      <c r="T59" s="72">
        <f t="shared" si="52"/>
        <v>9.2917349813370298E-2</v>
      </c>
      <c r="U59" s="72">
        <f t="shared" si="52"/>
        <v>9.1003331920140318E-2</v>
      </c>
      <c r="V59" s="72">
        <f t="shared" si="52"/>
        <v>9.0779928762065809E-2</v>
      </c>
      <c r="W59" s="72">
        <f t="shared" si="52"/>
        <v>0.10138768885891568</v>
      </c>
      <c r="X59" s="72">
        <f t="shared" ref="X59:Y59" si="53">IF(X51=0,0,X51/X$47)</f>
        <v>0.10699225589791059</v>
      </c>
      <c r="Y59" s="72">
        <f t="shared" si="53"/>
        <v>0.10389476378364992</v>
      </c>
      <c r="DA59" s="115"/>
    </row>
    <row r="60" spans="1:105" ht="12" customHeight="1" x14ac:dyDescent="0.25">
      <c r="A60" s="61" t="s">
        <v>34</v>
      </c>
      <c r="B60" s="73">
        <f t="shared" ref="B60" si="54">IF(B52=0,0,B52/B$47)</f>
        <v>0.12388706542521065</v>
      </c>
      <c r="C60" s="73">
        <f t="shared" ref="C60:W60" si="55">IF(C52=0,0,C52/C$47)</f>
        <v>0.12028572875692532</v>
      </c>
      <c r="D60" s="73">
        <f t="shared" si="55"/>
        <v>0.12101031971429413</v>
      </c>
      <c r="E60" s="73">
        <f t="shared" si="55"/>
        <v>0.10674625511555587</v>
      </c>
      <c r="F60" s="73">
        <f t="shared" si="55"/>
        <v>0.10641448261512204</v>
      </c>
      <c r="G60" s="73">
        <f t="shared" si="55"/>
        <v>9.9850762431146239E-2</v>
      </c>
      <c r="H60" s="73">
        <f t="shared" si="55"/>
        <v>9.6370663384701391E-2</v>
      </c>
      <c r="I60" s="73">
        <f t="shared" si="55"/>
        <v>0.10287143682714311</v>
      </c>
      <c r="J60" s="73">
        <f t="shared" si="55"/>
        <v>9.2951831122095901E-2</v>
      </c>
      <c r="K60" s="73">
        <f t="shared" si="55"/>
        <v>9.6202625999201222E-2</v>
      </c>
      <c r="L60" s="73">
        <f t="shared" si="55"/>
        <v>9.6709251934384649E-2</v>
      </c>
      <c r="M60" s="73">
        <f t="shared" si="55"/>
        <v>0.10543521153376487</v>
      </c>
      <c r="N60" s="73">
        <f t="shared" si="55"/>
        <v>0.10521049423886338</v>
      </c>
      <c r="O60" s="73">
        <f t="shared" si="55"/>
        <v>0.10758348154480872</v>
      </c>
      <c r="P60" s="73">
        <f t="shared" si="55"/>
        <v>0.12031593628043145</v>
      </c>
      <c r="Q60" s="73">
        <f t="shared" si="55"/>
        <v>0.11563597818548148</v>
      </c>
      <c r="R60" s="73">
        <f t="shared" si="55"/>
        <v>0.11627773843064225</v>
      </c>
      <c r="S60" s="73">
        <f t="shared" si="55"/>
        <v>0.11476329931535412</v>
      </c>
      <c r="T60" s="73">
        <f t="shared" si="55"/>
        <v>0.10829671584308527</v>
      </c>
      <c r="U60" s="73">
        <f t="shared" si="55"/>
        <v>0.11321763214121663</v>
      </c>
      <c r="V60" s="73">
        <f t="shared" si="55"/>
        <v>0.11337445714324544</v>
      </c>
      <c r="W60" s="73">
        <f t="shared" si="55"/>
        <v>0.12268015408531152</v>
      </c>
      <c r="X60" s="73">
        <f t="shared" ref="X60:Y60" si="56">IF(X52=0,0,X52/X$47)</f>
        <v>0.12923851183583709</v>
      </c>
      <c r="Y60" s="73">
        <f t="shared" si="56"/>
        <v>0.12749150428463735</v>
      </c>
      <c r="DA60" s="116"/>
    </row>
    <row r="61" spans="1:105" ht="12" customHeight="1" x14ac:dyDescent="0.25">
      <c r="A61" s="69" t="s">
        <v>33</v>
      </c>
      <c r="B61" s="70">
        <f t="shared" ref="B61" si="57">IF(B53=0,0,B53/B$47)</f>
        <v>0.21486194199754041</v>
      </c>
      <c r="C61" s="70">
        <f t="shared" ref="C61:W61" si="58">IF(C53=0,0,C53/C$47)</f>
        <v>0.21492884715583288</v>
      </c>
      <c r="D61" s="70">
        <f t="shared" si="58"/>
        <v>0.22228460548177931</v>
      </c>
      <c r="E61" s="70">
        <f t="shared" si="58"/>
        <v>0.20755835905820647</v>
      </c>
      <c r="F61" s="70">
        <f t="shared" si="58"/>
        <v>0.21038729461033023</v>
      </c>
      <c r="G61" s="70">
        <f t="shared" si="58"/>
        <v>0.19417440671997438</v>
      </c>
      <c r="H61" s="70">
        <f t="shared" si="58"/>
        <v>0.19518062415913787</v>
      </c>
      <c r="I61" s="70">
        <f t="shared" si="58"/>
        <v>0.20650121148843847</v>
      </c>
      <c r="J61" s="70">
        <f t="shared" si="58"/>
        <v>0.18903945761766464</v>
      </c>
      <c r="K61" s="70">
        <f t="shared" si="58"/>
        <v>0.19327580545672718</v>
      </c>
      <c r="L61" s="70">
        <f t="shared" si="58"/>
        <v>0.19543399194116698</v>
      </c>
      <c r="M61" s="70">
        <f t="shared" si="58"/>
        <v>0.21282067250756012</v>
      </c>
      <c r="N61" s="70">
        <f t="shared" si="58"/>
        <v>0.21247589723357962</v>
      </c>
      <c r="O61" s="70">
        <f t="shared" si="58"/>
        <v>0.21633474381430357</v>
      </c>
      <c r="P61" s="70">
        <f t="shared" si="58"/>
        <v>0.23942650888375505</v>
      </c>
      <c r="Q61" s="70">
        <f t="shared" si="58"/>
        <v>0.23163756857164397</v>
      </c>
      <c r="R61" s="70">
        <f t="shared" si="58"/>
        <v>0.23093094240225767</v>
      </c>
      <c r="S61" s="70">
        <f t="shared" si="58"/>
        <v>0.23102817114648241</v>
      </c>
      <c r="T61" s="70">
        <f t="shared" si="58"/>
        <v>0.21698152735468115</v>
      </c>
      <c r="U61" s="70">
        <f t="shared" si="58"/>
        <v>0.22333855775975281</v>
      </c>
      <c r="V61" s="70">
        <f t="shared" si="58"/>
        <v>0.22905404294381496</v>
      </c>
      <c r="W61" s="70">
        <f t="shared" si="58"/>
        <v>0.22202170724340284</v>
      </c>
      <c r="X61" s="70">
        <f t="shared" ref="X61:Y61" si="59">IF(X53=0,0,X53/X$47)</f>
        <v>0.23157107394050014</v>
      </c>
      <c r="Y61" s="70">
        <f t="shared" si="59"/>
        <v>0.22372069333939279</v>
      </c>
      <c r="DA61" s="113"/>
    </row>
    <row r="62" spans="1:105" s="2" customFormat="1" ht="12" customHeight="1" x14ac:dyDescent="0.25">
      <c r="DA62" s="7"/>
    </row>
    <row r="63" spans="1:105" s="2" customFormat="1" ht="12.95" customHeight="1" x14ac:dyDescent="0.25">
      <c r="A63" s="47" t="s">
        <v>54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DA63" s="97"/>
    </row>
    <row r="64" spans="1:105" s="2" customFormat="1" ht="12" customHeight="1" x14ac:dyDescent="0.25">
      <c r="DA64" s="7"/>
    </row>
    <row r="65" spans="1:105" ht="12.95" customHeight="1" x14ac:dyDescent="0.25">
      <c r="A65" s="79" t="s">
        <v>53</v>
      </c>
      <c r="B65" s="80">
        <v>16263.801720000003</v>
      </c>
      <c r="C65" s="80">
        <v>16476.04594656</v>
      </c>
      <c r="D65" s="80">
        <v>15712.413492600001</v>
      </c>
      <c r="E65" s="80">
        <v>17939.038277520001</v>
      </c>
      <c r="F65" s="80">
        <v>17913.980258280004</v>
      </c>
      <c r="G65" s="80">
        <v>20905.90756236</v>
      </c>
      <c r="H65" s="80">
        <v>21142.080441720002</v>
      </c>
      <c r="I65" s="80">
        <v>19765.301832000001</v>
      </c>
      <c r="J65" s="80">
        <v>23549.796985320001</v>
      </c>
      <c r="K65" s="80">
        <v>22879.722359520001</v>
      </c>
      <c r="L65" s="80">
        <v>22925.816019720001</v>
      </c>
      <c r="M65" s="80">
        <v>19476.447390720001</v>
      </c>
      <c r="N65" s="80">
        <v>19220.049671760004</v>
      </c>
      <c r="O65" s="80">
        <v>19037.720671920004</v>
      </c>
      <c r="P65" s="80">
        <v>16040.953305720001</v>
      </c>
      <c r="Q65" s="80">
        <v>17204.547701520001</v>
      </c>
      <c r="R65" s="80">
        <v>17336.958008400004</v>
      </c>
      <c r="S65" s="80">
        <v>17224.349790390192</v>
      </c>
      <c r="T65" s="80">
        <v>18785.96005718605</v>
      </c>
      <c r="U65" s="80">
        <v>18217.299487721142</v>
      </c>
      <c r="V65" s="80">
        <v>17175.676036545661</v>
      </c>
      <c r="W65" s="80">
        <v>15650.140614545184</v>
      </c>
      <c r="X65" s="80">
        <v>13695.07203340374</v>
      </c>
      <c r="Y65" s="80">
        <v>14960.840046755875</v>
      </c>
      <c r="DA65" s="103" t="s">
        <v>219</v>
      </c>
    </row>
    <row r="66" spans="1:105" ht="12" customHeight="1" x14ac:dyDescent="0.25">
      <c r="A66" s="58" t="s">
        <v>29</v>
      </c>
      <c r="B66" s="59">
        <v>0</v>
      </c>
      <c r="C66" s="59">
        <v>0</v>
      </c>
      <c r="D66" s="59">
        <v>0</v>
      </c>
      <c r="E66" s="59">
        <v>0</v>
      </c>
      <c r="F66" s="59">
        <v>0</v>
      </c>
      <c r="G66" s="59">
        <v>0</v>
      </c>
      <c r="H66" s="59">
        <v>0</v>
      </c>
      <c r="I66" s="59">
        <v>0</v>
      </c>
      <c r="J66" s="59">
        <v>0</v>
      </c>
      <c r="K66" s="59">
        <v>0</v>
      </c>
      <c r="L66" s="59">
        <v>0</v>
      </c>
      <c r="M66" s="59">
        <v>0</v>
      </c>
      <c r="N66" s="59">
        <v>0</v>
      </c>
      <c r="O66" s="59">
        <v>0</v>
      </c>
      <c r="P66" s="59">
        <v>0</v>
      </c>
      <c r="Q66" s="59">
        <v>0</v>
      </c>
      <c r="R66" s="59">
        <v>0</v>
      </c>
      <c r="S66" s="59">
        <v>0</v>
      </c>
      <c r="T66" s="59">
        <v>0</v>
      </c>
      <c r="U66" s="59">
        <v>0</v>
      </c>
      <c r="V66" s="59">
        <v>0</v>
      </c>
      <c r="W66" s="59">
        <v>0</v>
      </c>
      <c r="X66" s="59">
        <v>0</v>
      </c>
      <c r="Y66" s="59">
        <v>0</v>
      </c>
      <c r="DA66" s="104" t="s">
        <v>220</v>
      </c>
    </row>
    <row r="67" spans="1:105" ht="12" customHeight="1" x14ac:dyDescent="0.25">
      <c r="A67" s="60" t="s">
        <v>28</v>
      </c>
      <c r="B67" s="55">
        <f>SUM(B68:B69)</f>
        <v>3176.8947000000003</v>
      </c>
      <c r="C67" s="55">
        <f t="shared" ref="C67:W67" si="60">SUM(C68:C69)</f>
        <v>2710.9067565599998</v>
      </c>
      <c r="D67" s="55">
        <f t="shared" si="60"/>
        <v>2870.5344426000001</v>
      </c>
      <c r="E67" s="55">
        <f t="shared" si="60"/>
        <v>3305.82451752</v>
      </c>
      <c r="F67" s="55">
        <f t="shared" si="60"/>
        <v>3338.0221582800004</v>
      </c>
      <c r="G67" s="55">
        <f t="shared" si="60"/>
        <v>3444.0925323600004</v>
      </c>
      <c r="H67" s="55">
        <f t="shared" si="60"/>
        <v>3378.4866817200004</v>
      </c>
      <c r="I67" s="55">
        <f t="shared" si="60"/>
        <v>3156.7173119999998</v>
      </c>
      <c r="J67" s="55">
        <f t="shared" si="60"/>
        <v>3295.2285853200001</v>
      </c>
      <c r="K67" s="55">
        <f t="shared" si="60"/>
        <v>2656.00334952</v>
      </c>
      <c r="L67" s="55">
        <f t="shared" si="60"/>
        <v>2693.6651797200002</v>
      </c>
      <c r="M67" s="55">
        <f t="shared" si="60"/>
        <v>2437.1831707199999</v>
      </c>
      <c r="N67" s="55">
        <f t="shared" si="60"/>
        <v>2129.1846717600001</v>
      </c>
      <c r="O67" s="55">
        <f t="shared" si="60"/>
        <v>1987.8535519200002</v>
      </c>
      <c r="P67" s="55">
        <f t="shared" si="60"/>
        <v>1919.7586357199998</v>
      </c>
      <c r="Q67" s="55">
        <f t="shared" si="60"/>
        <v>1939.3506115199998</v>
      </c>
      <c r="R67" s="55">
        <f t="shared" si="60"/>
        <v>1971.0838584000003</v>
      </c>
      <c r="S67" s="55">
        <f t="shared" si="60"/>
        <v>1747.2220059599997</v>
      </c>
      <c r="T67" s="55">
        <f t="shared" si="60"/>
        <v>1763.5656945600003</v>
      </c>
      <c r="U67" s="55">
        <f t="shared" si="60"/>
        <v>1584.2419596000004</v>
      </c>
      <c r="V67" s="55">
        <f t="shared" si="60"/>
        <v>1484.1861703200002</v>
      </c>
      <c r="W67" s="55">
        <f t="shared" si="60"/>
        <v>1808.6795434800003</v>
      </c>
      <c r="X67" s="55">
        <f t="shared" ref="X67:Y67" si="61">SUM(X68:X69)</f>
        <v>1880.2216972800002</v>
      </c>
      <c r="Y67" s="55">
        <f t="shared" si="61"/>
        <v>1868.1143104800003</v>
      </c>
      <c r="DA67" s="101"/>
    </row>
    <row r="68" spans="1:105" ht="12" customHeight="1" x14ac:dyDescent="0.25">
      <c r="A68" s="61" t="s">
        <v>52</v>
      </c>
      <c r="B68" s="55">
        <v>1776.3912</v>
      </c>
      <c r="C68" s="55">
        <v>1718.3390990400001</v>
      </c>
      <c r="D68" s="55">
        <v>1660.2872252400002</v>
      </c>
      <c r="E68" s="55">
        <v>1776.3912</v>
      </c>
      <c r="F68" s="55">
        <v>1721.24174952</v>
      </c>
      <c r="G68" s="55">
        <v>1756.0731009600001</v>
      </c>
      <c r="H68" s="55">
        <v>1622.5534504800003</v>
      </c>
      <c r="I68" s="55">
        <v>1538.3779495200001</v>
      </c>
      <c r="J68" s="55">
        <v>1483.2284990400001</v>
      </c>
      <c r="K68" s="55">
        <v>1564.5013495200001</v>
      </c>
      <c r="L68" s="55">
        <v>1552.8909747600001</v>
      </c>
      <c r="M68" s="55">
        <v>1410.6636000000001</v>
      </c>
      <c r="N68" s="55">
        <v>1175.5530000000001</v>
      </c>
      <c r="O68" s="55">
        <v>1190.06602524</v>
      </c>
      <c r="P68" s="55">
        <v>1137.8192252399999</v>
      </c>
      <c r="Q68" s="55">
        <v>1085.5724252399998</v>
      </c>
      <c r="R68" s="55">
        <v>1140.7218757200003</v>
      </c>
      <c r="S68" s="55">
        <v>1170.63316872</v>
      </c>
      <c r="T68" s="55">
        <v>1138.2951254400002</v>
      </c>
      <c r="U68" s="55">
        <v>1140.5708143200004</v>
      </c>
      <c r="V68" s="55">
        <v>1148.1872619600001</v>
      </c>
      <c r="W68" s="55">
        <v>1274.9379987600003</v>
      </c>
      <c r="X68" s="55">
        <v>1183.6744243200003</v>
      </c>
      <c r="Y68" s="55">
        <v>1180.4671522800002</v>
      </c>
      <c r="DA68" s="101" t="s">
        <v>221</v>
      </c>
    </row>
    <row r="69" spans="1:105" ht="12" customHeight="1" x14ac:dyDescent="0.25">
      <c r="A69" s="61" t="s">
        <v>163</v>
      </c>
      <c r="B69" s="55">
        <v>1400.5035000000003</v>
      </c>
      <c r="C69" s="55">
        <v>992.56765751999978</v>
      </c>
      <c r="D69" s="55">
        <v>1210.2472173599999</v>
      </c>
      <c r="E69" s="55">
        <v>1529.4333175199999</v>
      </c>
      <c r="F69" s="55">
        <v>1616.7804087600005</v>
      </c>
      <c r="G69" s="55">
        <v>1688.0194314000003</v>
      </c>
      <c r="H69" s="55">
        <v>1755.9332312400002</v>
      </c>
      <c r="I69" s="55">
        <v>1618.3393624799996</v>
      </c>
      <c r="J69" s="55">
        <v>1812.00008628</v>
      </c>
      <c r="K69" s="55">
        <v>1091.502</v>
      </c>
      <c r="L69" s="55">
        <v>1140.7742049600001</v>
      </c>
      <c r="M69" s="55">
        <v>1026.5195707199998</v>
      </c>
      <c r="N69" s="55">
        <v>953.63167176000002</v>
      </c>
      <c r="O69" s="55">
        <v>797.78752668000016</v>
      </c>
      <c r="P69" s="55">
        <v>781.93941047999988</v>
      </c>
      <c r="Q69" s="55">
        <v>853.77818628</v>
      </c>
      <c r="R69" s="55">
        <v>830.36198267999998</v>
      </c>
      <c r="S69" s="55">
        <v>576.58883723999975</v>
      </c>
      <c r="T69" s="55">
        <v>625.27056912000012</v>
      </c>
      <c r="U69" s="55">
        <v>443.67114528000002</v>
      </c>
      <c r="V69" s="55">
        <v>335.99890836000009</v>
      </c>
      <c r="W69" s="55">
        <v>533.74154472000009</v>
      </c>
      <c r="X69" s="55">
        <v>696.54727295999987</v>
      </c>
      <c r="Y69" s="55">
        <v>687.64715820000015</v>
      </c>
      <c r="DA69" s="101" t="s">
        <v>222</v>
      </c>
    </row>
    <row r="70" spans="1:105" ht="12" customHeight="1" x14ac:dyDescent="0.25">
      <c r="A70" s="60" t="s">
        <v>149</v>
      </c>
      <c r="B70" s="55">
        <v>13086.907020000002</v>
      </c>
      <c r="C70" s="55">
        <v>13765.13919</v>
      </c>
      <c r="D70" s="55">
        <v>12841.87905</v>
      </c>
      <c r="E70" s="55">
        <v>14633.213760000002</v>
      </c>
      <c r="F70" s="55">
        <v>14575.958100000002</v>
      </c>
      <c r="G70" s="55">
        <v>17461.815030000002</v>
      </c>
      <c r="H70" s="55">
        <v>17763.59376</v>
      </c>
      <c r="I70" s="55">
        <v>16608.58452</v>
      </c>
      <c r="J70" s="55">
        <v>20254.5684</v>
      </c>
      <c r="K70" s="55">
        <v>20223.719010000001</v>
      </c>
      <c r="L70" s="55">
        <v>20232.150840000002</v>
      </c>
      <c r="M70" s="55">
        <v>17039.264220000001</v>
      </c>
      <c r="N70" s="55">
        <v>17090.865000000002</v>
      </c>
      <c r="O70" s="55">
        <v>17049.867120000003</v>
      </c>
      <c r="P70" s="55">
        <v>14121.194670000001</v>
      </c>
      <c r="Q70" s="55">
        <v>15265.197090000001</v>
      </c>
      <c r="R70" s="55">
        <v>15365.874150000003</v>
      </c>
      <c r="S70" s="55">
        <v>15477.127784430193</v>
      </c>
      <c r="T70" s="55">
        <v>17022.394362626052</v>
      </c>
      <c r="U70" s="55">
        <v>16633.057528121142</v>
      </c>
      <c r="V70" s="55">
        <v>15691.489866225662</v>
      </c>
      <c r="W70" s="55">
        <v>13807.831351865183</v>
      </c>
      <c r="X70" s="55">
        <v>11718.600529723741</v>
      </c>
      <c r="Y70" s="55">
        <v>13011.487247075873</v>
      </c>
      <c r="DA70" s="101" t="s">
        <v>223</v>
      </c>
    </row>
    <row r="71" spans="1:105" ht="12" customHeight="1" x14ac:dyDescent="0.25">
      <c r="A71" s="60" t="s">
        <v>51</v>
      </c>
      <c r="B71" s="55">
        <f>SUM(B72:B76)</f>
        <v>0</v>
      </c>
      <c r="C71" s="55">
        <f t="shared" ref="C71:W71" si="62">SUM(C72:C76)</f>
        <v>0</v>
      </c>
      <c r="D71" s="55">
        <f t="shared" si="62"/>
        <v>0</v>
      </c>
      <c r="E71" s="55">
        <f t="shared" si="62"/>
        <v>0</v>
      </c>
      <c r="F71" s="55">
        <f t="shared" si="62"/>
        <v>0</v>
      </c>
      <c r="G71" s="55">
        <f t="shared" si="62"/>
        <v>0</v>
      </c>
      <c r="H71" s="55">
        <f t="shared" si="62"/>
        <v>0</v>
      </c>
      <c r="I71" s="55">
        <f t="shared" si="62"/>
        <v>0</v>
      </c>
      <c r="J71" s="55">
        <f t="shared" si="62"/>
        <v>0</v>
      </c>
      <c r="K71" s="55">
        <f t="shared" si="62"/>
        <v>0</v>
      </c>
      <c r="L71" s="55">
        <f t="shared" si="62"/>
        <v>0</v>
      </c>
      <c r="M71" s="55">
        <f t="shared" si="62"/>
        <v>0</v>
      </c>
      <c r="N71" s="55">
        <f t="shared" si="62"/>
        <v>0</v>
      </c>
      <c r="O71" s="55">
        <f t="shared" si="62"/>
        <v>0</v>
      </c>
      <c r="P71" s="55">
        <f t="shared" si="62"/>
        <v>0</v>
      </c>
      <c r="Q71" s="55">
        <f t="shared" si="62"/>
        <v>0</v>
      </c>
      <c r="R71" s="55">
        <f t="shared" si="62"/>
        <v>0</v>
      </c>
      <c r="S71" s="55">
        <f t="shared" si="62"/>
        <v>0</v>
      </c>
      <c r="T71" s="55">
        <f t="shared" si="62"/>
        <v>0</v>
      </c>
      <c r="U71" s="55">
        <f t="shared" si="62"/>
        <v>0</v>
      </c>
      <c r="V71" s="55">
        <f t="shared" si="62"/>
        <v>0</v>
      </c>
      <c r="W71" s="55">
        <f t="shared" si="62"/>
        <v>33.629719200000004</v>
      </c>
      <c r="X71" s="55">
        <f t="shared" ref="X71:Y71" si="63">SUM(X72:X76)</f>
        <v>96.249806399999983</v>
      </c>
      <c r="Y71" s="55">
        <f t="shared" si="63"/>
        <v>81.238489200000004</v>
      </c>
      <c r="DA71" s="101"/>
    </row>
    <row r="72" spans="1:105" ht="12" customHeight="1" x14ac:dyDescent="0.25">
      <c r="A72" s="61" t="s">
        <v>164</v>
      </c>
      <c r="B72" s="55">
        <v>0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33.629719200000004</v>
      </c>
      <c r="X72" s="55">
        <v>96.249806399999983</v>
      </c>
      <c r="Y72" s="55">
        <v>81.238489200000004</v>
      </c>
      <c r="DA72" s="101" t="s">
        <v>224</v>
      </c>
    </row>
    <row r="73" spans="1:105" ht="12" customHeight="1" x14ac:dyDescent="0.25">
      <c r="A73" s="61" t="s">
        <v>50</v>
      </c>
      <c r="B73" s="55">
        <v>0</v>
      </c>
      <c r="C73" s="55">
        <v>0</v>
      </c>
      <c r="D73" s="55">
        <v>0</v>
      </c>
      <c r="E73" s="55">
        <v>0</v>
      </c>
      <c r="F73" s="55">
        <v>0</v>
      </c>
      <c r="G73" s="55">
        <v>0</v>
      </c>
      <c r="H73" s="55">
        <v>0</v>
      </c>
      <c r="I73" s="55">
        <v>0</v>
      </c>
      <c r="J73" s="55">
        <v>0</v>
      </c>
      <c r="K73" s="55">
        <v>0</v>
      </c>
      <c r="L73" s="55">
        <v>0</v>
      </c>
      <c r="M73" s="55">
        <v>0</v>
      </c>
      <c r="N73" s="55">
        <v>0</v>
      </c>
      <c r="O73" s="55">
        <v>0</v>
      </c>
      <c r="P73" s="55">
        <v>0</v>
      </c>
      <c r="Q73" s="55">
        <v>0</v>
      </c>
      <c r="R73" s="55">
        <v>0</v>
      </c>
      <c r="S73" s="55">
        <v>0</v>
      </c>
      <c r="T73" s="55">
        <v>0</v>
      </c>
      <c r="U73" s="55">
        <v>0</v>
      </c>
      <c r="V73" s="55">
        <v>0</v>
      </c>
      <c r="W73" s="55">
        <v>0</v>
      </c>
      <c r="X73" s="55">
        <v>0</v>
      </c>
      <c r="Y73" s="55">
        <v>0</v>
      </c>
      <c r="DA73" s="101" t="s">
        <v>225</v>
      </c>
    </row>
    <row r="74" spans="1:105" ht="12" customHeight="1" x14ac:dyDescent="0.25">
      <c r="A74" s="61" t="s">
        <v>49</v>
      </c>
      <c r="B74" s="55">
        <v>0</v>
      </c>
      <c r="C74" s="55">
        <v>0</v>
      </c>
      <c r="D74" s="55">
        <v>0</v>
      </c>
      <c r="E74" s="55">
        <v>0</v>
      </c>
      <c r="F74" s="55">
        <v>0</v>
      </c>
      <c r="G74" s="55">
        <v>0</v>
      </c>
      <c r="H74" s="55">
        <v>0</v>
      </c>
      <c r="I74" s="55">
        <v>0</v>
      </c>
      <c r="J74" s="55">
        <v>0</v>
      </c>
      <c r="K74" s="55">
        <v>0</v>
      </c>
      <c r="L74" s="55">
        <v>0</v>
      </c>
      <c r="M74" s="55">
        <v>0</v>
      </c>
      <c r="N74" s="55">
        <v>0</v>
      </c>
      <c r="O74" s="55">
        <v>0</v>
      </c>
      <c r="P74" s="55">
        <v>0</v>
      </c>
      <c r="Q74" s="55">
        <v>0</v>
      </c>
      <c r="R74" s="55">
        <v>0</v>
      </c>
      <c r="S74" s="55">
        <v>0</v>
      </c>
      <c r="T74" s="55">
        <v>0</v>
      </c>
      <c r="U74" s="55">
        <v>0</v>
      </c>
      <c r="V74" s="55">
        <v>0</v>
      </c>
      <c r="W74" s="55">
        <v>0</v>
      </c>
      <c r="X74" s="55">
        <v>0</v>
      </c>
      <c r="Y74" s="55">
        <v>0</v>
      </c>
      <c r="DA74" s="101" t="s">
        <v>226</v>
      </c>
    </row>
    <row r="75" spans="1:105" ht="12" customHeight="1" x14ac:dyDescent="0.25">
      <c r="A75" s="61" t="s">
        <v>26</v>
      </c>
      <c r="B75" s="55">
        <v>0</v>
      </c>
      <c r="C75" s="55">
        <v>0</v>
      </c>
      <c r="D75" s="55">
        <v>0</v>
      </c>
      <c r="E75" s="55">
        <v>0</v>
      </c>
      <c r="F75" s="55">
        <v>0</v>
      </c>
      <c r="G75" s="55">
        <v>0</v>
      </c>
      <c r="H75" s="55">
        <v>0</v>
      </c>
      <c r="I75" s="55">
        <v>0</v>
      </c>
      <c r="J75" s="55">
        <v>0</v>
      </c>
      <c r="K75" s="55">
        <v>0</v>
      </c>
      <c r="L75" s="55">
        <v>0</v>
      </c>
      <c r="M75" s="55">
        <v>0</v>
      </c>
      <c r="N75" s="55">
        <v>0</v>
      </c>
      <c r="O75" s="55">
        <v>0</v>
      </c>
      <c r="P75" s="55">
        <v>0</v>
      </c>
      <c r="Q75" s="55">
        <v>0</v>
      </c>
      <c r="R75" s="55">
        <v>0</v>
      </c>
      <c r="S75" s="55">
        <v>0</v>
      </c>
      <c r="T75" s="55">
        <v>0</v>
      </c>
      <c r="U75" s="55">
        <v>0</v>
      </c>
      <c r="V75" s="55">
        <v>0</v>
      </c>
      <c r="W75" s="55">
        <v>0</v>
      </c>
      <c r="X75" s="55">
        <v>0</v>
      </c>
      <c r="Y75" s="55">
        <v>0</v>
      </c>
      <c r="DA75" s="101" t="s">
        <v>227</v>
      </c>
    </row>
    <row r="76" spans="1:105" ht="12" customHeight="1" x14ac:dyDescent="0.25">
      <c r="A76" s="61" t="s">
        <v>25</v>
      </c>
      <c r="B76" s="55">
        <v>0</v>
      </c>
      <c r="C76" s="55">
        <v>0</v>
      </c>
      <c r="D76" s="55">
        <v>0</v>
      </c>
      <c r="E76" s="55">
        <v>0</v>
      </c>
      <c r="F76" s="55">
        <v>0</v>
      </c>
      <c r="G76" s="55">
        <v>0</v>
      </c>
      <c r="H76" s="55">
        <v>0</v>
      </c>
      <c r="I76" s="55">
        <v>0</v>
      </c>
      <c r="J76" s="55">
        <v>0</v>
      </c>
      <c r="K76" s="55">
        <v>0</v>
      </c>
      <c r="L76" s="55">
        <v>0</v>
      </c>
      <c r="M76" s="55">
        <v>0</v>
      </c>
      <c r="N76" s="55">
        <v>0</v>
      </c>
      <c r="O76" s="55">
        <v>0</v>
      </c>
      <c r="P76" s="55">
        <v>0</v>
      </c>
      <c r="Q76" s="55">
        <v>0</v>
      </c>
      <c r="R76" s="55">
        <v>0</v>
      </c>
      <c r="S76" s="55">
        <v>0</v>
      </c>
      <c r="T76" s="55">
        <v>0</v>
      </c>
      <c r="U76" s="55">
        <v>0</v>
      </c>
      <c r="V76" s="55">
        <v>0</v>
      </c>
      <c r="W76" s="55">
        <v>0</v>
      </c>
      <c r="X76" s="55">
        <v>0</v>
      </c>
      <c r="Y76" s="55">
        <v>0</v>
      </c>
      <c r="DA76" s="101" t="s">
        <v>228</v>
      </c>
    </row>
    <row r="77" spans="1:105" ht="12" customHeight="1" x14ac:dyDescent="0.25">
      <c r="A77" s="61" t="s">
        <v>151</v>
      </c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DA77" s="101" t="s">
        <v>229</v>
      </c>
    </row>
    <row r="78" spans="1:105" ht="12" customHeight="1" x14ac:dyDescent="0.25">
      <c r="A78" s="60" t="s">
        <v>162</v>
      </c>
      <c r="B78" s="55">
        <v>0</v>
      </c>
      <c r="C78" s="55">
        <v>0</v>
      </c>
      <c r="D78" s="55">
        <v>0</v>
      </c>
      <c r="E78" s="55">
        <v>0</v>
      </c>
      <c r="F78" s="55">
        <v>0</v>
      </c>
      <c r="G78" s="55">
        <v>0</v>
      </c>
      <c r="H78" s="55">
        <v>0</v>
      </c>
      <c r="I78" s="55">
        <v>0</v>
      </c>
      <c r="J78" s="55">
        <v>0</v>
      </c>
      <c r="K78" s="55">
        <v>0</v>
      </c>
      <c r="L78" s="55">
        <v>0</v>
      </c>
      <c r="M78" s="55">
        <v>0</v>
      </c>
      <c r="N78" s="55">
        <v>0</v>
      </c>
      <c r="O78" s="55">
        <v>0</v>
      </c>
      <c r="P78" s="55">
        <v>0</v>
      </c>
      <c r="Q78" s="55">
        <v>0</v>
      </c>
      <c r="R78" s="55">
        <v>0</v>
      </c>
      <c r="S78" s="55">
        <v>0</v>
      </c>
      <c r="T78" s="55">
        <v>0</v>
      </c>
      <c r="U78" s="55">
        <v>0</v>
      </c>
      <c r="V78" s="55">
        <v>0</v>
      </c>
      <c r="W78" s="55">
        <v>0</v>
      </c>
      <c r="X78" s="55">
        <v>0</v>
      </c>
      <c r="Y78" s="55">
        <v>0</v>
      </c>
      <c r="DA78" s="101" t="s">
        <v>230</v>
      </c>
    </row>
    <row r="79" spans="1:105" ht="12" customHeight="1" x14ac:dyDescent="0.25">
      <c r="A79" s="62" t="s">
        <v>24</v>
      </c>
      <c r="B79" s="63">
        <v>0</v>
      </c>
      <c r="C79" s="63">
        <v>0</v>
      </c>
      <c r="D79" s="63">
        <v>0</v>
      </c>
      <c r="E79" s="63">
        <v>0</v>
      </c>
      <c r="F79" s="63">
        <v>0</v>
      </c>
      <c r="G79" s="63">
        <v>0</v>
      </c>
      <c r="H79" s="63">
        <v>0</v>
      </c>
      <c r="I79" s="63">
        <v>0</v>
      </c>
      <c r="J79" s="63">
        <v>0</v>
      </c>
      <c r="K79" s="63">
        <v>0</v>
      </c>
      <c r="L79" s="63">
        <v>0</v>
      </c>
      <c r="M79" s="63">
        <v>0</v>
      </c>
      <c r="N79" s="63">
        <v>0</v>
      </c>
      <c r="O79" s="63">
        <v>0</v>
      </c>
      <c r="P79" s="63">
        <v>0</v>
      </c>
      <c r="Q79" s="63">
        <v>0</v>
      </c>
      <c r="R79" s="63">
        <v>0</v>
      </c>
      <c r="S79" s="63">
        <v>0</v>
      </c>
      <c r="T79" s="63">
        <v>0</v>
      </c>
      <c r="U79" s="63">
        <v>0</v>
      </c>
      <c r="V79" s="63">
        <v>0</v>
      </c>
      <c r="W79" s="63">
        <v>0</v>
      </c>
      <c r="X79" s="63">
        <v>0</v>
      </c>
      <c r="Y79" s="63">
        <v>0</v>
      </c>
      <c r="DA79" s="105" t="s">
        <v>231</v>
      </c>
    </row>
    <row r="80" spans="1:105" s="2" customFormat="1" ht="12" customHeight="1" x14ac:dyDescent="0.25">
      <c r="DA80" s="7"/>
    </row>
    <row r="81" spans="1:105" ht="12.95" customHeight="1" x14ac:dyDescent="0.25">
      <c r="A81" s="81" t="s">
        <v>48</v>
      </c>
      <c r="B81" s="82">
        <f t="shared" ref="B81" si="64">B82+B87</f>
        <v>16263.801720000003</v>
      </c>
      <c r="C81" s="82">
        <f t="shared" ref="C81:W81" si="65">C82+C87</f>
        <v>16476.04594656</v>
      </c>
      <c r="D81" s="82">
        <f t="shared" si="65"/>
        <v>15712.413492599997</v>
      </c>
      <c r="E81" s="82">
        <f t="shared" si="65"/>
        <v>17939.038277520005</v>
      </c>
      <c r="F81" s="82">
        <f t="shared" si="65"/>
        <v>17913.980258280004</v>
      </c>
      <c r="G81" s="82">
        <f t="shared" si="65"/>
        <v>20905.90756236</v>
      </c>
      <c r="H81" s="82">
        <f t="shared" si="65"/>
        <v>21142.080441719998</v>
      </c>
      <c r="I81" s="82">
        <f t="shared" si="65"/>
        <v>19765.301832000008</v>
      </c>
      <c r="J81" s="82">
        <f t="shared" si="65"/>
        <v>23549.796985320012</v>
      </c>
      <c r="K81" s="82">
        <f t="shared" si="65"/>
        <v>22879.722359520001</v>
      </c>
      <c r="L81" s="82">
        <f t="shared" si="65"/>
        <v>22925.816019720012</v>
      </c>
      <c r="M81" s="82">
        <f t="shared" si="65"/>
        <v>19476.447390720004</v>
      </c>
      <c r="N81" s="82">
        <f t="shared" si="65"/>
        <v>19220.04967176</v>
      </c>
      <c r="O81" s="82">
        <f t="shared" si="65"/>
        <v>19037.720671920015</v>
      </c>
      <c r="P81" s="82">
        <f t="shared" si="65"/>
        <v>16040.953305719999</v>
      </c>
      <c r="Q81" s="82">
        <f t="shared" si="65"/>
        <v>17204.547701519998</v>
      </c>
      <c r="R81" s="82">
        <f t="shared" si="65"/>
        <v>17336.958008400012</v>
      </c>
      <c r="S81" s="82">
        <f t="shared" si="65"/>
        <v>17224.349790390188</v>
      </c>
      <c r="T81" s="82">
        <f t="shared" si="65"/>
        <v>18785.960057186065</v>
      </c>
      <c r="U81" s="82">
        <f t="shared" si="65"/>
        <v>18217.299487721139</v>
      </c>
      <c r="V81" s="82">
        <f t="shared" si="65"/>
        <v>17175.67603654565</v>
      </c>
      <c r="W81" s="82">
        <f t="shared" si="65"/>
        <v>15650.140614545177</v>
      </c>
      <c r="X81" s="82">
        <f t="shared" ref="X81:Y81" si="66">X82+X87</f>
        <v>13695.072033403729</v>
      </c>
      <c r="Y81" s="82">
        <f t="shared" si="66"/>
        <v>14960.840046755879</v>
      </c>
      <c r="DA81" s="107" t="s">
        <v>232</v>
      </c>
    </row>
    <row r="82" spans="1:105" ht="12" customHeight="1" x14ac:dyDescent="0.25">
      <c r="A82" s="77" t="s">
        <v>36</v>
      </c>
      <c r="B82" s="64">
        <f t="shared" ref="B82" si="67">SUM(B83:B86)</f>
        <v>16263.801720000003</v>
      </c>
      <c r="C82" s="64">
        <f t="shared" ref="C82:W82" si="68">SUM(C83:C86)</f>
        <v>16476.04594656</v>
      </c>
      <c r="D82" s="64">
        <f t="shared" si="68"/>
        <v>15712.413492599997</v>
      </c>
      <c r="E82" s="64">
        <f t="shared" si="68"/>
        <v>17939.038277520005</v>
      </c>
      <c r="F82" s="64">
        <f t="shared" si="68"/>
        <v>17913.980258280004</v>
      </c>
      <c r="G82" s="64">
        <f t="shared" si="68"/>
        <v>20905.90756236</v>
      </c>
      <c r="H82" s="64">
        <f t="shared" si="68"/>
        <v>21142.080441719998</v>
      </c>
      <c r="I82" s="64">
        <f t="shared" si="68"/>
        <v>19765.301832000008</v>
      </c>
      <c r="J82" s="64">
        <f t="shared" si="68"/>
        <v>23549.796985320012</v>
      </c>
      <c r="K82" s="64">
        <f t="shared" si="68"/>
        <v>22879.722359520001</v>
      </c>
      <c r="L82" s="64">
        <f t="shared" si="68"/>
        <v>22925.816019720012</v>
      </c>
      <c r="M82" s="64">
        <f t="shared" si="68"/>
        <v>19476.447390720004</v>
      </c>
      <c r="N82" s="64">
        <f t="shared" si="68"/>
        <v>19220.04967176</v>
      </c>
      <c r="O82" s="64">
        <f t="shared" si="68"/>
        <v>19037.720671920015</v>
      </c>
      <c r="P82" s="64">
        <f t="shared" si="68"/>
        <v>16040.953305719999</v>
      </c>
      <c r="Q82" s="64">
        <f t="shared" si="68"/>
        <v>17204.547701519998</v>
      </c>
      <c r="R82" s="64">
        <f t="shared" si="68"/>
        <v>17336.958008400012</v>
      </c>
      <c r="S82" s="64">
        <f t="shared" si="68"/>
        <v>17224.349790390188</v>
      </c>
      <c r="T82" s="64">
        <f t="shared" si="68"/>
        <v>18785.960057186065</v>
      </c>
      <c r="U82" s="64">
        <f t="shared" si="68"/>
        <v>18217.299487721139</v>
      </c>
      <c r="V82" s="64">
        <f t="shared" si="68"/>
        <v>17175.67603654565</v>
      </c>
      <c r="W82" s="64">
        <f t="shared" si="68"/>
        <v>15650.140614545177</v>
      </c>
      <c r="X82" s="64">
        <f t="shared" ref="X82:Y82" si="69">SUM(X83:X86)</f>
        <v>13695.072033403729</v>
      </c>
      <c r="Y82" s="64">
        <f t="shared" si="69"/>
        <v>14960.840046755879</v>
      </c>
      <c r="DA82" s="108" t="s">
        <v>233</v>
      </c>
    </row>
    <row r="83" spans="1:105" ht="12" customHeight="1" x14ac:dyDescent="0.25">
      <c r="A83" s="61" t="s">
        <v>32</v>
      </c>
      <c r="B83" s="65">
        <v>10924.223010755284</v>
      </c>
      <c r="C83" s="65">
        <v>11229.331730156673</v>
      </c>
      <c r="D83" s="65">
        <v>10699.045455230778</v>
      </c>
      <c r="E83" s="65">
        <v>13400.365990382166</v>
      </c>
      <c r="F83" s="65">
        <v>13579.418362637649</v>
      </c>
      <c r="G83" s="65">
        <v>16421.117314249605</v>
      </c>
      <c r="H83" s="65">
        <v>16855.688484317368</v>
      </c>
      <c r="I83" s="65">
        <v>15225.804106237158</v>
      </c>
      <c r="J83" s="65">
        <v>19173.953123478765</v>
      </c>
      <c r="K83" s="65">
        <v>18291.451494743575</v>
      </c>
      <c r="L83" s="65">
        <v>18335.466759597643</v>
      </c>
      <c r="M83" s="65">
        <v>14795.241388892346</v>
      </c>
      <c r="N83" s="65">
        <v>14539.169276519875</v>
      </c>
      <c r="O83" s="65">
        <v>14259.364863139323</v>
      </c>
      <c r="P83" s="65">
        <v>10937.757352862685</v>
      </c>
      <c r="Q83" s="65">
        <v>12050.89858166307</v>
      </c>
      <c r="R83" s="65">
        <v>12092.146807528945</v>
      </c>
      <c r="S83" s="65">
        <v>11916.006708083554</v>
      </c>
      <c r="T83" s="65">
        <v>13615.961537088795</v>
      </c>
      <c r="U83" s="65">
        <v>13101.697093075813</v>
      </c>
      <c r="V83" s="65">
        <v>12471.059423078124</v>
      </c>
      <c r="W83" s="65">
        <v>10953.875760552615</v>
      </c>
      <c r="X83" s="65">
        <v>8953.7010903192931</v>
      </c>
      <c r="Y83" s="65">
        <v>10181.97418108163</v>
      </c>
      <c r="DA83" s="109" t="s">
        <v>234</v>
      </c>
    </row>
    <row r="84" spans="1:105" ht="12" customHeight="1" x14ac:dyDescent="0.25">
      <c r="A84" s="61" t="s">
        <v>31</v>
      </c>
      <c r="B84" s="65">
        <v>1.0112558920605279</v>
      </c>
      <c r="C84" s="65">
        <v>1.7405307139656436</v>
      </c>
      <c r="D84" s="65">
        <v>1.626783895158094</v>
      </c>
      <c r="E84" s="65">
        <v>4.9366890684812139</v>
      </c>
      <c r="F84" s="65">
        <v>2.9479154792096169</v>
      </c>
      <c r="G84" s="65">
        <v>3.3180247492499255</v>
      </c>
      <c r="H84" s="65">
        <v>4.8616192993499112</v>
      </c>
      <c r="I84" s="65">
        <v>5.4078105803517085</v>
      </c>
      <c r="J84" s="65">
        <v>7.5899839458585543</v>
      </c>
      <c r="K84" s="65">
        <v>9.6759470139708821</v>
      </c>
      <c r="L84" s="65">
        <v>9.2990831488816887</v>
      </c>
      <c r="M84" s="65">
        <v>11.447431911462349</v>
      </c>
      <c r="N84" s="65">
        <v>19.88573402580386</v>
      </c>
      <c r="O84" s="65">
        <v>13.435817859284898</v>
      </c>
      <c r="P84" s="65">
        <v>12.939419751316812</v>
      </c>
      <c r="Q84" s="65">
        <v>24.827356663134147</v>
      </c>
      <c r="R84" s="65">
        <v>17.438434574103344</v>
      </c>
      <c r="S84" s="65">
        <v>27.854515717093758</v>
      </c>
      <c r="T84" s="65">
        <v>21.963146536905111</v>
      </c>
      <c r="U84" s="65">
        <v>29.550455409690151</v>
      </c>
      <c r="V84" s="65">
        <v>21.640064970229254</v>
      </c>
      <c r="W84" s="65">
        <v>26.536681182932476</v>
      </c>
      <c r="X84" s="65">
        <v>36.697494426073277</v>
      </c>
      <c r="Y84" s="65">
        <v>33.820477500373798</v>
      </c>
      <c r="DA84" s="109" t="s">
        <v>235</v>
      </c>
    </row>
    <row r="85" spans="1:105" ht="12" customHeight="1" x14ac:dyDescent="0.25">
      <c r="A85" s="61" t="s">
        <v>35</v>
      </c>
      <c r="B85" s="65">
        <v>2089.4738606804217</v>
      </c>
      <c r="C85" s="65">
        <v>2087.7154099280729</v>
      </c>
      <c r="D85" s="65">
        <v>2051.3867282117499</v>
      </c>
      <c r="E85" s="65">
        <v>2015.2787580417876</v>
      </c>
      <c r="F85" s="65">
        <v>1982.1585929318576</v>
      </c>
      <c r="G85" s="65">
        <v>1991.3692169040507</v>
      </c>
      <c r="H85" s="65">
        <v>1982.6851390810934</v>
      </c>
      <c r="I85" s="65">
        <v>1951.9206879517039</v>
      </c>
      <c r="J85" s="65">
        <v>1949.8629977581274</v>
      </c>
      <c r="K85" s="65">
        <v>1904.0867831609633</v>
      </c>
      <c r="L85" s="65">
        <v>1856.7617926628345</v>
      </c>
      <c r="M85" s="65">
        <v>1858.3191101702071</v>
      </c>
      <c r="N85" s="65">
        <v>1830.1257499061735</v>
      </c>
      <c r="O85" s="65">
        <v>1823.4887514650807</v>
      </c>
      <c r="P85" s="65">
        <v>1809.3473531150789</v>
      </c>
      <c r="Q85" s="65">
        <v>1810.094723612802</v>
      </c>
      <c r="R85" s="65">
        <v>1825.7417913583452</v>
      </c>
      <c r="S85" s="65">
        <v>1893.33699433886</v>
      </c>
      <c r="T85" s="65">
        <v>1978.1311053940242</v>
      </c>
      <c r="U85" s="65">
        <v>1704.7169291731468</v>
      </c>
      <c r="V85" s="65">
        <v>1570.0853785213212</v>
      </c>
      <c r="W85" s="65">
        <v>1642.9478354968944</v>
      </c>
      <c r="X85" s="65">
        <v>1646.7455167700148</v>
      </c>
      <c r="Y85" s="65">
        <v>1649.0631254740613</v>
      </c>
      <c r="DA85" s="109" t="s">
        <v>236</v>
      </c>
    </row>
    <row r="86" spans="1:105" ht="12" customHeight="1" x14ac:dyDescent="0.25">
      <c r="A86" s="66" t="s">
        <v>34</v>
      </c>
      <c r="B86" s="67">
        <v>3249.093592672235</v>
      </c>
      <c r="C86" s="67">
        <v>3157.2582757612886</v>
      </c>
      <c r="D86" s="67">
        <v>2960.3545252623107</v>
      </c>
      <c r="E86" s="67">
        <v>2518.4568400275684</v>
      </c>
      <c r="F86" s="67">
        <v>2349.4553872312872</v>
      </c>
      <c r="G86" s="67">
        <v>2490.103006457095</v>
      </c>
      <c r="H86" s="67">
        <v>2298.8451990221884</v>
      </c>
      <c r="I86" s="67">
        <v>2582.1692272307946</v>
      </c>
      <c r="J86" s="67">
        <v>2418.3908801372636</v>
      </c>
      <c r="K86" s="67">
        <v>2674.5081346014922</v>
      </c>
      <c r="L86" s="67">
        <v>2724.2883843106538</v>
      </c>
      <c r="M86" s="67">
        <v>2811.4394597459905</v>
      </c>
      <c r="N86" s="67">
        <v>2830.8689113081477</v>
      </c>
      <c r="O86" s="67">
        <v>2941.4312394563271</v>
      </c>
      <c r="P86" s="67">
        <v>3280.9091799909174</v>
      </c>
      <c r="Q86" s="67">
        <v>3318.7270395809919</v>
      </c>
      <c r="R86" s="67">
        <v>3401.6309749386169</v>
      </c>
      <c r="S86" s="67">
        <v>3387.1515722506779</v>
      </c>
      <c r="T86" s="67">
        <v>3169.9042681663391</v>
      </c>
      <c r="U86" s="67">
        <v>3381.3350100624903</v>
      </c>
      <c r="V86" s="67">
        <v>3112.8911699759728</v>
      </c>
      <c r="W86" s="67">
        <v>3026.7803373127344</v>
      </c>
      <c r="X86" s="67">
        <v>3057.9279318883473</v>
      </c>
      <c r="Y86" s="67">
        <v>3095.9822626998125</v>
      </c>
      <c r="DA86" s="110" t="s">
        <v>237</v>
      </c>
    </row>
    <row r="87" spans="1:105" ht="12" customHeight="1" x14ac:dyDescent="0.25">
      <c r="A87" s="78" t="s">
        <v>33</v>
      </c>
      <c r="B87" s="68">
        <v>0</v>
      </c>
      <c r="C87" s="68">
        <v>0</v>
      </c>
      <c r="D87" s="68">
        <v>0</v>
      </c>
      <c r="E87" s="68">
        <v>0</v>
      </c>
      <c r="F87" s="68">
        <v>0</v>
      </c>
      <c r="G87" s="68">
        <v>0</v>
      </c>
      <c r="H87" s="68">
        <v>0</v>
      </c>
      <c r="I87" s="68">
        <v>0</v>
      </c>
      <c r="J87" s="68">
        <v>0</v>
      </c>
      <c r="K87" s="68">
        <v>0</v>
      </c>
      <c r="L87" s="68">
        <v>0</v>
      </c>
      <c r="M87" s="68">
        <v>0</v>
      </c>
      <c r="N87" s="68">
        <v>0</v>
      </c>
      <c r="O87" s="68">
        <v>0</v>
      </c>
      <c r="P87" s="68">
        <v>0</v>
      </c>
      <c r="Q87" s="68">
        <v>0</v>
      </c>
      <c r="R87" s="68">
        <v>0</v>
      </c>
      <c r="S87" s="68">
        <v>0</v>
      </c>
      <c r="T87" s="68">
        <v>0</v>
      </c>
      <c r="U87" s="68">
        <v>0</v>
      </c>
      <c r="V87" s="68">
        <v>0</v>
      </c>
      <c r="W87" s="68">
        <v>0</v>
      </c>
      <c r="X87" s="68">
        <v>0</v>
      </c>
      <c r="Y87" s="68">
        <v>0</v>
      </c>
      <c r="DA87" s="111" t="s">
        <v>238</v>
      </c>
    </row>
    <row r="88" spans="1:105" s="2" customFormat="1" ht="12" customHeight="1" x14ac:dyDescent="0.25">
      <c r="DA88" s="7"/>
    </row>
    <row r="89" spans="1:105" ht="12.95" customHeight="1" x14ac:dyDescent="0.25">
      <c r="A89" s="79" t="s">
        <v>47</v>
      </c>
      <c r="B89" s="83">
        <f t="shared" ref="B89" si="70">IF(B81=0,0,B81/B$81)</f>
        <v>1</v>
      </c>
      <c r="C89" s="83">
        <f t="shared" ref="C89:W89" si="71">IF(C81=0,0,C81/C$81)</f>
        <v>1</v>
      </c>
      <c r="D89" s="83">
        <f t="shared" si="71"/>
        <v>1</v>
      </c>
      <c r="E89" s="83">
        <f t="shared" si="71"/>
        <v>1</v>
      </c>
      <c r="F89" s="83">
        <f t="shared" si="71"/>
        <v>1</v>
      </c>
      <c r="G89" s="83">
        <f t="shared" si="71"/>
        <v>1</v>
      </c>
      <c r="H89" s="83">
        <f t="shared" si="71"/>
        <v>1</v>
      </c>
      <c r="I89" s="83">
        <f t="shared" si="71"/>
        <v>1</v>
      </c>
      <c r="J89" s="83">
        <f t="shared" si="71"/>
        <v>1</v>
      </c>
      <c r="K89" s="83">
        <f t="shared" si="71"/>
        <v>1</v>
      </c>
      <c r="L89" s="83">
        <f t="shared" si="71"/>
        <v>1</v>
      </c>
      <c r="M89" s="83">
        <f t="shared" si="71"/>
        <v>1</v>
      </c>
      <c r="N89" s="83">
        <f t="shared" si="71"/>
        <v>1</v>
      </c>
      <c r="O89" s="83">
        <f t="shared" si="71"/>
        <v>1</v>
      </c>
      <c r="P89" s="83">
        <f t="shared" si="71"/>
        <v>1</v>
      </c>
      <c r="Q89" s="83">
        <f t="shared" si="71"/>
        <v>1</v>
      </c>
      <c r="R89" s="83">
        <f t="shared" si="71"/>
        <v>1</v>
      </c>
      <c r="S89" s="83">
        <f t="shared" si="71"/>
        <v>1</v>
      </c>
      <c r="T89" s="83">
        <f t="shared" si="71"/>
        <v>1</v>
      </c>
      <c r="U89" s="83">
        <f t="shared" si="71"/>
        <v>1</v>
      </c>
      <c r="V89" s="83">
        <f t="shared" si="71"/>
        <v>1</v>
      </c>
      <c r="W89" s="83">
        <f t="shared" si="71"/>
        <v>1</v>
      </c>
      <c r="X89" s="83">
        <f t="shared" ref="X89:Y89" si="72">IF(X81=0,0,X81/X$81)</f>
        <v>1</v>
      </c>
      <c r="Y89" s="83">
        <f t="shared" si="72"/>
        <v>1</v>
      </c>
      <c r="DA89" s="112"/>
    </row>
    <row r="90" spans="1:105" ht="12" customHeight="1" x14ac:dyDescent="0.25">
      <c r="A90" s="69" t="s">
        <v>36</v>
      </c>
      <c r="B90" s="70">
        <f t="shared" ref="B90" si="73">IF(B82=0,0,B82/B$81)</f>
        <v>1</v>
      </c>
      <c r="C90" s="70">
        <f t="shared" ref="C90:W90" si="74">IF(C82=0,0,C82/C$81)</f>
        <v>1</v>
      </c>
      <c r="D90" s="70">
        <f t="shared" si="74"/>
        <v>1</v>
      </c>
      <c r="E90" s="70">
        <f t="shared" si="74"/>
        <v>1</v>
      </c>
      <c r="F90" s="70">
        <f t="shared" si="74"/>
        <v>1</v>
      </c>
      <c r="G90" s="70">
        <f t="shared" si="74"/>
        <v>1</v>
      </c>
      <c r="H90" s="70">
        <f t="shared" si="74"/>
        <v>1</v>
      </c>
      <c r="I90" s="70">
        <f t="shared" si="74"/>
        <v>1</v>
      </c>
      <c r="J90" s="70">
        <f t="shared" si="74"/>
        <v>1</v>
      </c>
      <c r="K90" s="70">
        <f t="shared" si="74"/>
        <v>1</v>
      </c>
      <c r="L90" s="70">
        <f t="shared" si="74"/>
        <v>1</v>
      </c>
      <c r="M90" s="70">
        <f t="shared" si="74"/>
        <v>1</v>
      </c>
      <c r="N90" s="70">
        <f t="shared" si="74"/>
        <v>1</v>
      </c>
      <c r="O90" s="70">
        <f t="shared" si="74"/>
        <v>1</v>
      </c>
      <c r="P90" s="70">
        <f t="shared" si="74"/>
        <v>1</v>
      </c>
      <c r="Q90" s="70">
        <f t="shared" si="74"/>
        <v>1</v>
      </c>
      <c r="R90" s="70">
        <f t="shared" si="74"/>
        <v>1</v>
      </c>
      <c r="S90" s="70">
        <f t="shared" si="74"/>
        <v>1</v>
      </c>
      <c r="T90" s="70">
        <f t="shared" si="74"/>
        <v>1</v>
      </c>
      <c r="U90" s="70">
        <f t="shared" si="74"/>
        <v>1</v>
      </c>
      <c r="V90" s="70">
        <f t="shared" si="74"/>
        <v>1</v>
      </c>
      <c r="W90" s="70">
        <f t="shared" si="74"/>
        <v>1</v>
      </c>
      <c r="X90" s="70">
        <f t="shared" ref="X90:Y90" si="75">IF(X82=0,0,X82/X$81)</f>
        <v>1</v>
      </c>
      <c r="Y90" s="70">
        <f t="shared" si="75"/>
        <v>1</v>
      </c>
      <c r="DA90" s="113"/>
    </row>
    <row r="91" spans="1:105" ht="12" customHeight="1" x14ac:dyDescent="0.25">
      <c r="A91" s="61" t="s">
        <v>32</v>
      </c>
      <c r="B91" s="71">
        <f t="shared" ref="B91" si="76">IF(B83=0,0,B83/B$81)</f>
        <v>0.6716893871942311</v>
      </c>
      <c r="C91" s="71">
        <f t="shared" ref="C91:W91" si="77">IF(C83=0,0,C83/C$81)</f>
        <v>0.68155501426610321</v>
      </c>
      <c r="D91" s="71">
        <f t="shared" si="77"/>
        <v>0.68092947402826809</v>
      </c>
      <c r="E91" s="71">
        <f t="shared" si="77"/>
        <v>0.74699467067722369</v>
      </c>
      <c r="F91" s="71">
        <f t="shared" si="77"/>
        <v>0.75803468390901674</v>
      </c>
      <c r="G91" s="71">
        <f t="shared" si="77"/>
        <v>0.78547737118167371</v>
      </c>
      <c r="H91" s="71">
        <f t="shared" si="77"/>
        <v>0.79725779734787949</v>
      </c>
      <c r="I91" s="71">
        <f t="shared" si="77"/>
        <v>0.77032995679259464</v>
      </c>
      <c r="J91" s="71">
        <f t="shared" si="77"/>
        <v>0.81418761849331567</v>
      </c>
      <c r="K91" s="71">
        <f t="shared" si="77"/>
        <v>0.79946125251527378</v>
      </c>
      <c r="L91" s="71">
        <f t="shared" si="77"/>
        <v>0.79977378967998758</v>
      </c>
      <c r="M91" s="71">
        <f t="shared" si="77"/>
        <v>0.75964785014857861</v>
      </c>
      <c r="N91" s="71">
        <f t="shared" si="77"/>
        <v>0.75645846523915394</v>
      </c>
      <c r="O91" s="71">
        <f t="shared" si="77"/>
        <v>0.74900588725263717</v>
      </c>
      <c r="P91" s="71">
        <f t="shared" si="77"/>
        <v>0.68186454660162998</v>
      </c>
      <c r="Q91" s="71">
        <f t="shared" si="77"/>
        <v>0.70044843902512999</v>
      </c>
      <c r="R91" s="71">
        <f t="shared" si="77"/>
        <v>0.6974780005621587</v>
      </c>
      <c r="S91" s="71">
        <f t="shared" si="77"/>
        <v>0.69181169989544311</v>
      </c>
      <c r="T91" s="71">
        <f t="shared" si="77"/>
        <v>0.72479455378594693</v>
      </c>
      <c r="U91" s="71">
        <f t="shared" si="77"/>
        <v>0.71918986136812679</v>
      </c>
      <c r="V91" s="71">
        <f t="shared" si="77"/>
        <v>0.72608841693000914</v>
      </c>
      <c r="W91" s="71">
        <f t="shared" si="77"/>
        <v>0.69992187484706225</v>
      </c>
      <c r="X91" s="71">
        <f t="shared" ref="X91:Y91" si="78">IF(X83=0,0,X83/X$81)</f>
        <v>0.65378999602778787</v>
      </c>
      <c r="Y91" s="71">
        <f t="shared" si="78"/>
        <v>0.68057503116541229</v>
      </c>
      <c r="DA91" s="114"/>
    </row>
    <row r="92" spans="1:105" ht="12" customHeight="1" x14ac:dyDescent="0.25">
      <c r="A92" s="61" t="s">
        <v>31</v>
      </c>
      <c r="B92" s="72">
        <f t="shared" ref="B92" si="79">IF(B84=0,0,B84/B$81)</f>
        <v>6.2178321493981407E-5</v>
      </c>
      <c r="C92" s="72">
        <f t="shared" ref="C92:W92" si="80">IF(C84=0,0,C84/C$81)</f>
        <v>1.0564007405727377E-4</v>
      </c>
      <c r="D92" s="72">
        <f t="shared" si="80"/>
        <v>1.035349468065013E-4</v>
      </c>
      <c r="E92" s="72">
        <f t="shared" si="80"/>
        <v>2.751925154576174E-4</v>
      </c>
      <c r="F92" s="72">
        <f t="shared" si="80"/>
        <v>1.6455949134180071E-4</v>
      </c>
      <c r="G92" s="72">
        <f t="shared" si="80"/>
        <v>1.5871230365640076E-4</v>
      </c>
      <c r="H92" s="72">
        <f t="shared" si="80"/>
        <v>2.2994990075604868E-4</v>
      </c>
      <c r="I92" s="72">
        <f t="shared" si="80"/>
        <v>2.7360121420440275E-4</v>
      </c>
      <c r="J92" s="72">
        <f t="shared" si="80"/>
        <v>3.2229509029694999E-4</v>
      </c>
      <c r="K92" s="72">
        <f t="shared" si="80"/>
        <v>4.2290491387649319E-4</v>
      </c>
      <c r="L92" s="72">
        <f t="shared" si="80"/>
        <v>4.056162337202275E-4</v>
      </c>
      <c r="M92" s="72">
        <f t="shared" si="80"/>
        <v>5.8775769943119802E-4</v>
      </c>
      <c r="N92" s="72">
        <f t="shared" si="80"/>
        <v>1.0346348924905198E-3</v>
      </c>
      <c r="O92" s="72">
        <f t="shared" si="80"/>
        <v>7.057471895310592E-4</v>
      </c>
      <c r="P92" s="72">
        <f t="shared" si="80"/>
        <v>8.0664905038422999E-4</v>
      </c>
      <c r="Q92" s="72">
        <f t="shared" si="80"/>
        <v>1.443069419426858E-3</v>
      </c>
      <c r="R92" s="72">
        <f t="shared" si="80"/>
        <v>1.0058531932565196E-3</v>
      </c>
      <c r="S92" s="72">
        <f t="shared" si="80"/>
        <v>1.6171591993930797E-3</v>
      </c>
      <c r="T92" s="72">
        <f t="shared" si="80"/>
        <v>1.1691255847477275E-3</v>
      </c>
      <c r="U92" s="72">
        <f t="shared" si="80"/>
        <v>1.6221095464565322E-3</v>
      </c>
      <c r="V92" s="72">
        <f t="shared" si="80"/>
        <v>1.2599250780105816E-3</v>
      </c>
      <c r="W92" s="72">
        <f t="shared" si="80"/>
        <v>1.6956193453156194E-3</v>
      </c>
      <c r="X92" s="72">
        <f t="shared" ref="X92:Y92" si="81">IF(X84=0,0,X84/X$81)</f>
        <v>2.679613099994232E-3</v>
      </c>
      <c r="Y92" s="72">
        <f t="shared" si="81"/>
        <v>2.2606001664797867E-3</v>
      </c>
      <c r="DA92" s="115"/>
    </row>
    <row r="93" spans="1:105" ht="12" customHeight="1" x14ac:dyDescent="0.25">
      <c r="A93" s="61" t="s">
        <v>35</v>
      </c>
      <c r="B93" s="72">
        <f t="shared" ref="B93" si="82">IF(B85=0,0,B85/B$81)</f>
        <v>0.12847388923285652</v>
      </c>
      <c r="C93" s="72">
        <f t="shared" ref="C93:W93" si="83">IF(C85=0,0,C85/C$81)</f>
        <v>0.12671216241442704</v>
      </c>
      <c r="D93" s="72">
        <f t="shared" si="83"/>
        <v>0.13055834669688918</v>
      </c>
      <c r="E93" s="72">
        <f t="shared" si="83"/>
        <v>0.11234040124476456</v>
      </c>
      <c r="F93" s="72">
        <f t="shared" si="83"/>
        <v>0.11064869807566556</v>
      </c>
      <c r="G93" s="72">
        <f t="shared" si="83"/>
        <v>9.52538994522968E-2</v>
      </c>
      <c r="H93" s="72">
        <f t="shared" si="83"/>
        <v>9.3779093526133311E-2</v>
      </c>
      <c r="I93" s="72">
        <f t="shared" si="83"/>
        <v>9.87549142706005E-2</v>
      </c>
      <c r="J93" s="72">
        <f t="shared" si="83"/>
        <v>8.2797444027801717E-2</v>
      </c>
      <c r="K93" s="72">
        <f t="shared" si="83"/>
        <v>8.3221586050789359E-2</v>
      </c>
      <c r="L93" s="72">
        <f t="shared" si="83"/>
        <v>8.0989997959754659E-2</v>
      </c>
      <c r="M93" s="72">
        <f t="shared" si="83"/>
        <v>9.5413659015434471E-2</v>
      </c>
      <c r="N93" s="72">
        <f t="shared" si="83"/>
        <v>9.521961603435268E-2</v>
      </c>
      <c r="O93" s="72">
        <f t="shared" si="83"/>
        <v>9.5782934464138034E-2</v>
      </c>
      <c r="P93" s="72">
        <f t="shared" si="83"/>
        <v>0.11279550028176248</v>
      </c>
      <c r="Q93" s="72">
        <f t="shared" si="83"/>
        <v>0.10521024760522374</v>
      </c>
      <c r="R93" s="72">
        <f t="shared" si="83"/>
        <v>0.10530923536145997</v>
      </c>
      <c r="S93" s="72">
        <f t="shared" si="83"/>
        <v>0.10992211708306057</v>
      </c>
      <c r="T93" s="72">
        <f t="shared" si="83"/>
        <v>0.10529837705245962</v>
      </c>
      <c r="U93" s="72">
        <f t="shared" si="83"/>
        <v>9.3576818579623369E-2</v>
      </c>
      <c r="V93" s="72">
        <f t="shared" si="83"/>
        <v>9.1413308866594975E-2</v>
      </c>
      <c r="W93" s="72">
        <f t="shared" si="83"/>
        <v>0.10497974912570085</v>
      </c>
      <c r="X93" s="72">
        <f t="shared" ref="X93:Y93" si="84">IF(X85=0,0,X85/X$81)</f>
        <v>0.12024365499892431</v>
      </c>
      <c r="Y93" s="72">
        <f t="shared" si="84"/>
        <v>0.1102253028787408</v>
      </c>
      <c r="DA93" s="115"/>
    </row>
    <row r="94" spans="1:105" ht="12" customHeight="1" x14ac:dyDescent="0.25">
      <c r="A94" s="61" t="s">
        <v>34</v>
      </c>
      <c r="B94" s="73">
        <f t="shared" ref="B94" si="85">IF(B86=0,0,B86/B$81)</f>
        <v>0.19977454525141827</v>
      </c>
      <c r="C94" s="73">
        <f t="shared" ref="C94:W94" si="86">IF(C86=0,0,C86/C$81)</f>
        <v>0.19162718324541247</v>
      </c>
      <c r="D94" s="73">
        <f t="shared" si="86"/>
        <v>0.18840864432803625</v>
      </c>
      <c r="E94" s="73">
        <f t="shared" si="86"/>
        <v>0.14038973556255405</v>
      </c>
      <c r="F94" s="73">
        <f t="shared" si="86"/>
        <v>0.13115205852397585</v>
      </c>
      <c r="G94" s="73">
        <f t="shared" si="86"/>
        <v>0.11911001706237313</v>
      </c>
      <c r="H94" s="73">
        <f t="shared" si="86"/>
        <v>0.10873315922523127</v>
      </c>
      <c r="I94" s="73">
        <f t="shared" si="86"/>
        <v>0.13064152772260046</v>
      </c>
      <c r="J94" s="73">
        <f t="shared" si="86"/>
        <v>0.10269264238858579</v>
      </c>
      <c r="K94" s="73">
        <f t="shared" si="86"/>
        <v>0.11689425652006039</v>
      </c>
      <c r="L94" s="73">
        <f t="shared" si="86"/>
        <v>0.11883059612653757</v>
      </c>
      <c r="M94" s="73">
        <f t="shared" si="86"/>
        <v>0.14435073313655572</v>
      </c>
      <c r="N94" s="73">
        <f t="shared" si="86"/>
        <v>0.1472872838340028</v>
      </c>
      <c r="O94" s="73">
        <f t="shared" si="86"/>
        <v>0.15450543109369377</v>
      </c>
      <c r="P94" s="73">
        <f t="shared" si="86"/>
        <v>0.20453330406622325</v>
      </c>
      <c r="Q94" s="73">
        <f t="shared" si="86"/>
        <v>0.19289824395021946</v>
      </c>
      <c r="R94" s="73">
        <f t="shared" si="86"/>
        <v>0.19620691088312475</v>
      </c>
      <c r="S94" s="73">
        <f t="shared" si="86"/>
        <v>0.19664902382210317</v>
      </c>
      <c r="T94" s="73">
        <f t="shared" si="86"/>
        <v>0.16873794357684568</v>
      </c>
      <c r="U94" s="73">
        <f t="shared" si="86"/>
        <v>0.18561121050579338</v>
      </c>
      <c r="V94" s="73">
        <f t="shared" si="86"/>
        <v>0.1812383491253852</v>
      </c>
      <c r="W94" s="73">
        <f t="shared" si="86"/>
        <v>0.19340275668192125</v>
      </c>
      <c r="X94" s="73">
        <f t="shared" ref="X94:Y94" si="87">IF(X86=0,0,X86/X$81)</f>
        <v>0.22328673587329353</v>
      </c>
      <c r="Y94" s="73">
        <f t="shared" si="87"/>
        <v>0.20693906578936708</v>
      </c>
      <c r="DA94" s="116"/>
    </row>
    <row r="95" spans="1:105" ht="12" customHeight="1" x14ac:dyDescent="0.25">
      <c r="A95" s="69" t="s">
        <v>33</v>
      </c>
      <c r="B95" s="70">
        <f t="shared" ref="B95" si="88">IF(B87=0,0,B87/B$81)</f>
        <v>0</v>
      </c>
      <c r="C95" s="70">
        <f t="shared" ref="C95:W95" si="89">IF(C87=0,0,C87/C$81)</f>
        <v>0</v>
      </c>
      <c r="D95" s="70">
        <f t="shared" si="89"/>
        <v>0</v>
      </c>
      <c r="E95" s="70">
        <f t="shared" si="89"/>
        <v>0</v>
      </c>
      <c r="F95" s="70">
        <f t="shared" si="89"/>
        <v>0</v>
      </c>
      <c r="G95" s="70">
        <f t="shared" si="89"/>
        <v>0</v>
      </c>
      <c r="H95" s="70">
        <f t="shared" si="89"/>
        <v>0</v>
      </c>
      <c r="I95" s="70">
        <f t="shared" si="89"/>
        <v>0</v>
      </c>
      <c r="J95" s="70">
        <f t="shared" si="89"/>
        <v>0</v>
      </c>
      <c r="K95" s="70">
        <f t="shared" si="89"/>
        <v>0</v>
      </c>
      <c r="L95" s="70">
        <f t="shared" si="89"/>
        <v>0</v>
      </c>
      <c r="M95" s="70">
        <f t="shared" si="89"/>
        <v>0</v>
      </c>
      <c r="N95" s="70">
        <f t="shared" si="89"/>
        <v>0</v>
      </c>
      <c r="O95" s="70">
        <f t="shared" si="89"/>
        <v>0</v>
      </c>
      <c r="P95" s="70">
        <f t="shared" si="89"/>
        <v>0</v>
      </c>
      <c r="Q95" s="70">
        <f t="shared" si="89"/>
        <v>0</v>
      </c>
      <c r="R95" s="70">
        <f t="shared" si="89"/>
        <v>0</v>
      </c>
      <c r="S95" s="70">
        <f t="shared" si="89"/>
        <v>0</v>
      </c>
      <c r="T95" s="70">
        <f t="shared" si="89"/>
        <v>0</v>
      </c>
      <c r="U95" s="70">
        <f t="shared" si="89"/>
        <v>0</v>
      </c>
      <c r="V95" s="70">
        <f t="shared" si="89"/>
        <v>0</v>
      </c>
      <c r="W95" s="70">
        <f t="shared" si="89"/>
        <v>0</v>
      </c>
      <c r="X95" s="70">
        <f t="shared" ref="X95:Y95" si="90">IF(X87=0,0,X87/X$81)</f>
        <v>0</v>
      </c>
      <c r="Y95" s="70">
        <f t="shared" si="90"/>
        <v>0</v>
      </c>
      <c r="DA95" s="113"/>
    </row>
    <row r="96" spans="1:105" s="2" customFormat="1" ht="12" customHeight="1" x14ac:dyDescent="0.25">
      <c r="DA96" s="7"/>
    </row>
    <row r="97" spans="1:105" s="2" customFormat="1" ht="12.95" customHeight="1" x14ac:dyDescent="0.25">
      <c r="A97" s="47" t="s">
        <v>46</v>
      </c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DA97" s="97"/>
    </row>
    <row r="98" spans="1:105" s="2" customFormat="1" ht="12" customHeight="1" x14ac:dyDescent="0.25">
      <c r="DA98" s="7"/>
    </row>
    <row r="99" spans="1:105" ht="12.95" customHeight="1" x14ac:dyDescent="0.25">
      <c r="A99" s="81" t="s">
        <v>45</v>
      </c>
      <c r="B99" s="82">
        <f t="shared" ref="B99:B105" si="91">B47*11630*1000/B$8</f>
        <v>249288.08696048683</v>
      </c>
      <c r="C99" s="82">
        <f t="shared" ref="C99:W99" si="92">C47*11630*1000/C$8</f>
        <v>252958.97022027639</v>
      </c>
      <c r="D99" s="82">
        <f t="shared" si="92"/>
        <v>248541.97568398734</v>
      </c>
      <c r="E99" s="82">
        <f t="shared" si="92"/>
        <v>272440.64181135397</v>
      </c>
      <c r="F99" s="82">
        <f t="shared" si="92"/>
        <v>276108.60922354757</v>
      </c>
      <c r="G99" s="82">
        <f t="shared" si="92"/>
        <v>306610.85635754617</v>
      </c>
      <c r="H99" s="82">
        <f t="shared" si="92"/>
        <v>310235.43444859853</v>
      </c>
      <c r="I99" s="82">
        <f t="shared" si="92"/>
        <v>297467.03421372641</v>
      </c>
      <c r="J99" s="82">
        <f t="shared" si="92"/>
        <v>331030.92438676534</v>
      </c>
      <c r="K99" s="82">
        <f t="shared" si="92"/>
        <v>329223.87231789524</v>
      </c>
      <c r="L99" s="82">
        <f t="shared" si="92"/>
        <v>328877.09573468496</v>
      </c>
      <c r="M99" s="82">
        <f t="shared" si="92"/>
        <v>303358.71016470081</v>
      </c>
      <c r="N99" s="82">
        <f t="shared" si="92"/>
        <v>305575.6770582021</v>
      </c>
      <c r="O99" s="82">
        <f t="shared" si="92"/>
        <v>304140.86201634555</v>
      </c>
      <c r="P99" s="82">
        <f t="shared" si="92"/>
        <v>277983.39189069322</v>
      </c>
      <c r="Q99" s="82">
        <f t="shared" si="92"/>
        <v>291280.18730554864</v>
      </c>
      <c r="R99" s="82">
        <f t="shared" si="92"/>
        <v>292282.0497795007</v>
      </c>
      <c r="S99" s="82">
        <f t="shared" si="92"/>
        <v>294818.58243120968</v>
      </c>
      <c r="T99" s="82">
        <f t="shared" si="92"/>
        <v>308715.27396857808</v>
      </c>
      <c r="U99" s="82">
        <f t="shared" si="92"/>
        <v>294530.86320416472</v>
      </c>
      <c r="V99" s="82">
        <f t="shared" si="92"/>
        <v>263596.63719287131</v>
      </c>
      <c r="W99" s="82">
        <f t="shared" si="92"/>
        <v>272832.02825916006</v>
      </c>
      <c r="X99" s="82">
        <f t="shared" ref="X99:Y99" si="93">X47*11630*1000/X$8</f>
        <v>261191.32320365883</v>
      </c>
      <c r="Y99" s="82">
        <f t="shared" si="93"/>
        <v>266994.58742628305</v>
      </c>
      <c r="DA99" s="107"/>
    </row>
    <row r="100" spans="1:105" ht="12" customHeight="1" x14ac:dyDescent="0.25">
      <c r="A100" s="77" t="s">
        <v>36</v>
      </c>
      <c r="B100" s="64">
        <f t="shared" si="91"/>
        <v>195725.56447930489</v>
      </c>
      <c r="C100" s="64">
        <f t="shared" ref="C100:W100" si="94">C48*11630*1000/C$8</f>
        <v>198590.79037310573</v>
      </c>
      <c r="D100" s="64">
        <f t="shared" si="94"/>
        <v>193294.92067341023</v>
      </c>
      <c r="E100" s="64">
        <f t="shared" si="94"/>
        <v>215893.30925622475</v>
      </c>
      <c r="F100" s="64">
        <f t="shared" si="94"/>
        <v>218018.86591038454</v>
      </c>
      <c r="G100" s="64">
        <f t="shared" si="94"/>
        <v>247074.87523041639</v>
      </c>
      <c r="H100" s="64">
        <f t="shared" si="94"/>
        <v>249683.48871663978</v>
      </c>
      <c r="I100" s="64">
        <f t="shared" si="94"/>
        <v>236039.73127071912</v>
      </c>
      <c r="J100" s="64">
        <f t="shared" si="94"/>
        <v>268453.01798601705</v>
      </c>
      <c r="K100" s="64">
        <f t="shared" si="94"/>
        <v>265592.8632200713</v>
      </c>
      <c r="L100" s="64">
        <f t="shared" si="94"/>
        <v>264603.33205723809</v>
      </c>
      <c r="M100" s="64">
        <f t="shared" si="94"/>
        <v>238797.70545642311</v>
      </c>
      <c r="N100" s="64">
        <f t="shared" si="94"/>
        <v>240648.210902502</v>
      </c>
      <c r="O100" s="64">
        <f t="shared" si="94"/>
        <v>238344.626548578</v>
      </c>
      <c r="P100" s="64">
        <f t="shared" si="94"/>
        <v>211426.79884263981</v>
      </c>
      <c r="Q100" s="64">
        <f t="shared" si="94"/>
        <v>223808.75294499827</v>
      </c>
      <c r="R100" s="64">
        <f t="shared" si="94"/>
        <v>224785.080576657</v>
      </c>
      <c r="S100" s="64">
        <f t="shared" si="94"/>
        <v>226707.18451212888</v>
      </c>
      <c r="T100" s="64">
        <f t="shared" si="94"/>
        <v>241729.76230515717</v>
      </c>
      <c r="U100" s="64">
        <f t="shared" si="94"/>
        <v>228750.76500041151</v>
      </c>
      <c r="V100" s="64">
        <f t="shared" si="94"/>
        <v>203218.76173745011</v>
      </c>
      <c r="W100" s="64">
        <f t="shared" si="94"/>
        <v>212257.39555438104</v>
      </c>
      <c r="X100" s="64">
        <f t="shared" ref="X100:Y100" si="95">X48*11630*1000/X$8</f>
        <v>200706.96798544726</v>
      </c>
      <c r="Y100" s="64">
        <f t="shared" si="95"/>
        <v>207262.37320940988</v>
      </c>
      <c r="DA100" s="108"/>
    </row>
    <row r="101" spans="1:105" ht="12" customHeight="1" x14ac:dyDescent="0.25">
      <c r="A101" s="61" t="s">
        <v>32</v>
      </c>
      <c r="B101" s="65">
        <f t="shared" si="91"/>
        <v>130807.40800495702</v>
      </c>
      <c r="C101" s="65">
        <f t="shared" ref="C101:W101" si="96">C49*11630*1000/C$8</f>
        <v>133416.10092929384</v>
      </c>
      <c r="D101" s="65">
        <f t="shared" si="96"/>
        <v>128704.14822627569</v>
      </c>
      <c r="E101" s="65">
        <f t="shared" si="96"/>
        <v>148701.29574304746</v>
      </c>
      <c r="F101" s="65">
        <f t="shared" si="96"/>
        <v>154136.45766065514</v>
      </c>
      <c r="G101" s="65">
        <f t="shared" si="96"/>
        <v>182468.34024147876</v>
      </c>
      <c r="H101" s="65">
        <f t="shared" si="96"/>
        <v>185329.18679072926</v>
      </c>
      <c r="I101" s="65">
        <f t="shared" si="96"/>
        <v>170896.63819249297</v>
      </c>
      <c r="J101" s="65">
        <f t="shared" si="96"/>
        <v>202780.39997134978</v>
      </c>
      <c r="K101" s="65">
        <f t="shared" si="96"/>
        <v>199059.28020406936</v>
      </c>
      <c r="L101" s="65">
        <f t="shared" si="96"/>
        <v>198943.052608292</v>
      </c>
      <c r="M101" s="65">
        <f t="shared" si="96"/>
        <v>172401.07368336426</v>
      </c>
      <c r="N101" s="65">
        <f t="shared" si="96"/>
        <v>172067.09261968138</v>
      </c>
      <c r="O101" s="65">
        <f t="shared" si="96"/>
        <v>171501.8623057178</v>
      </c>
      <c r="P101" s="65">
        <f t="shared" si="96"/>
        <v>144379.27903203169</v>
      </c>
      <c r="Q101" s="65">
        <f t="shared" si="96"/>
        <v>153889.92403414613</v>
      </c>
      <c r="R101" s="65">
        <f t="shared" si="96"/>
        <v>156649.5583059885</v>
      </c>
      <c r="S101" s="65">
        <f t="shared" si="96"/>
        <v>157569.56690548317</v>
      </c>
      <c r="T101" s="65">
        <f t="shared" si="96"/>
        <v>175078.14616812268</v>
      </c>
      <c r="U101" s="65">
        <f t="shared" si="96"/>
        <v>162675.91785488688</v>
      </c>
      <c r="V101" s="65">
        <f t="shared" si="96"/>
        <v>145182.32389409409</v>
      </c>
      <c r="W101" s="65">
        <f t="shared" si="96"/>
        <v>145962.62229695873</v>
      </c>
      <c r="X101" s="65">
        <f t="shared" ref="X101:Y101" si="97">X49*11630*1000/X$8</f>
        <v>132351.27013827499</v>
      </c>
      <c r="Y101" s="65">
        <f t="shared" si="97"/>
        <v>140118.37818662284</v>
      </c>
      <c r="DA101" s="109"/>
    </row>
    <row r="102" spans="1:105" ht="12" customHeight="1" x14ac:dyDescent="0.25">
      <c r="A102" s="61" t="s">
        <v>31</v>
      </c>
      <c r="B102" s="65">
        <f t="shared" si="91"/>
        <v>3091.9884078385057</v>
      </c>
      <c r="C102" s="65">
        <f t="shared" ref="C102:W102" si="98">C50*11630*1000/C$8</f>
        <v>3451.3797758418618</v>
      </c>
      <c r="D102" s="65">
        <f t="shared" si="98"/>
        <v>3113.43719940448</v>
      </c>
      <c r="E102" s="65">
        <f t="shared" si="98"/>
        <v>7252.1742697184254</v>
      </c>
      <c r="F102" s="65">
        <f t="shared" si="98"/>
        <v>3346.526895886896</v>
      </c>
      <c r="G102" s="65">
        <f t="shared" si="98"/>
        <v>3372.7848767556138</v>
      </c>
      <c r="H102" s="65">
        <f t="shared" si="98"/>
        <v>4081.123508452029</v>
      </c>
      <c r="I102" s="65">
        <f t="shared" si="98"/>
        <v>3886.6532910082392</v>
      </c>
      <c r="J102" s="65">
        <f t="shared" si="98"/>
        <v>4585.243253923175</v>
      </c>
      <c r="K102" s="65">
        <f t="shared" si="98"/>
        <v>4951.9937357280642</v>
      </c>
      <c r="L102" s="65">
        <f t="shared" si="98"/>
        <v>4171.7989719730922</v>
      </c>
      <c r="M102" s="65">
        <f t="shared" si="98"/>
        <v>4616.4073171162963</v>
      </c>
      <c r="N102" s="65">
        <f t="shared" si="98"/>
        <v>7344.0351220704197</v>
      </c>
      <c r="O102" s="65">
        <f t="shared" si="98"/>
        <v>4371.9051764082678</v>
      </c>
      <c r="P102" s="65">
        <f t="shared" si="98"/>
        <v>3727.9032175263123</v>
      </c>
      <c r="Q102" s="65">
        <f t="shared" si="98"/>
        <v>6524.4901965840691</v>
      </c>
      <c r="R102" s="65">
        <f t="shared" si="98"/>
        <v>4094.5079159125771</v>
      </c>
      <c r="S102" s="65">
        <f t="shared" si="98"/>
        <v>6084.6886437982366</v>
      </c>
      <c r="T102" s="65">
        <f t="shared" si="98"/>
        <v>4533.7607315703644</v>
      </c>
      <c r="U102" s="65">
        <f t="shared" si="98"/>
        <v>5925.4703161464959</v>
      </c>
      <c r="V102" s="65">
        <f t="shared" si="98"/>
        <v>4222.0282505402793</v>
      </c>
      <c r="W102" s="65">
        <f t="shared" si="98"/>
        <v>5161.8891992938889</v>
      </c>
      <c r="X102" s="65">
        <f t="shared" ref="X102:Y102" si="99">X50*11630*1000/X$8</f>
        <v>6654.2710413785171</v>
      </c>
      <c r="Y102" s="65">
        <f t="shared" si="99"/>
        <v>5365.1138437873033</v>
      </c>
      <c r="DA102" s="109"/>
    </row>
    <row r="103" spans="1:105" ht="12" customHeight="1" x14ac:dyDescent="0.25">
      <c r="A103" s="61" t="s">
        <v>35</v>
      </c>
      <c r="B103" s="65">
        <f t="shared" si="91"/>
        <v>30942.598527509916</v>
      </c>
      <c r="C103" s="65">
        <f t="shared" ref="C103:W103" si="100">C51*11630*1000/C$8</f>
        <v>31295.955589422694</v>
      </c>
      <c r="D103" s="65">
        <f t="shared" si="100"/>
        <v>31401.191307788435</v>
      </c>
      <c r="E103" s="65">
        <f t="shared" si="100"/>
        <v>30857.820988818286</v>
      </c>
      <c r="F103" s="65">
        <f t="shared" si="100"/>
        <v>31153.926557737756</v>
      </c>
      <c r="G103" s="65">
        <f t="shared" si="100"/>
        <v>30618.422335214382</v>
      </c>
      <c r="H103" s="65">
        <f t="shared" si="100"/>
        <v>30375.583794206006</v>
      </c>
      <c r="I103" s="65">
        <f t="shared" si="100"/>
        <v>30655.578568942947</v>
      </c>
      <c r="J103" s="65">
        <f t="shared" si="100"/>
        <v>30317.444180954131</v>
      </c>
      <c r="K103" s="65">
        <f t="shared" si="100"/>
        <v>29909.388221666657</v>
      </c>
      <c r="L103" s="65">
        <f t="shared" si="100"/>
        <v>29683.022570118628</v>
      </c>
      <c r="M103" s="65">
        <f t="shared" si="100"/>
        <v>29795.534679117289</v>
      </c>
      <c r="N103" s="65">
        <f t="shared" si="100"/>
        <v>29087.315150081446</v>
      </c>
      <c r="O103" s="65">
        <f t="shared" si="100"/>
        <v>29750.326250694179</v>
      </c>
      <c r="P103" s="65">
        <f t="shared" si="100"/>
        <v>29873.784527342967</v>
      </c>
      <c r="Q103" s="65">
        <f t="shared" si="100"/>
        <v>29711.869329140729</v>
      </c>
      <c r="R103" s="65">
        <f t="shared" si="100"/>
        <v>30055.118622523136</v>
      </c>
      <c r="S103" s="65">
        <f t="shared" si="100"/>
        <v>29218.575743566129</v>
      </c>
      <c r="T103" s="65">
        <f t="shared" si="100"/>
        <v>28685.005104068816</v>
      </c>
      <c r="U103" s="65">
        <f t="shared" si="100"/>
        <v>26803.289904894038</v>
      </c>
      <c r="V103" s="65">
        <f t="shared" si="100"/>
        <v>23929.283946288957</v>
      </c>
      <c r="W103" s="65">
        <f t="shared" si="100"/>
        <v>27661.808791886615</v>
      </c>
      <c r="X103" s="65">
        <f t="shared" ref="X103:Y103" si="101">X51*11630*1000/X$8</f>
        <v>27945.44889051974</v>
      </c>
      <c r="Y103" s="65">
        <f t="shared" si="101"/>
        <v>27739.33959216674</v>
      </c>
      <c r="DA103" s="109"/>
    </row>
    <row r="104" spans="1:105" ht="12" customHeight="1" x14ac:dyDescent="0.25">
      <c r="A104" s="66" t="s">
        <v>34</v>
      </c>
      <c r="B104" s="67">
        <f t="shared" si="91"/>
        <v>30883.569538999433</v>
      </c>
      <c r="C104" s="67">
        <f t="shared" ref="C104:W104" si="102">C52*11630*1000/C$8</f>
        <v>30427.354078547316</v>
      </c>
      <c r="D104" s="67">
        <f t="shared" si="102"/>
        <v>30076.143939941627</v>
      </c>
      <c r="E104" s="67">
        <f t="shared" si="102"/>
        <v>29082.018254640567</v>
      </c>
      <c r="F104" s="67">
        <f t="shared" si="102"/>
        <v>29381.954796104728</v>
      </c>
      <c r="G104" s="67">
        <f t="shared" si="102"/>
        <v>30615.327776967646</v>
      </c>
      <c r="H104" s="67">
        <f t="shared" si="102"/>
        <v>29897.594623252477</v>
      </c>
      <c r="I104" s="67">
        <f t="shared" si="102"/>
        <v>30600.861218274971</v>
      </c>
      <c r="J104" s="67">
        <f t="shared" si="102"/>
        <v>30769.930579789907</v>
      </c>
      <c r="K104" s="67">
        <f t="shared" si="102"/>
        <v>31672.20105860725</v>
      </c>
      <c r="L104" s="67">
        <f t="shared" si="102"/>
        <v>31805.457906854383</v>
      </c>
      <c r="M104" s="67">
        <f t="shared" si="102"/>
        <v>31984.689776825297</v>
      </c>
      <c r="N104" s="67">
        <f t="shared" si="102"/>
        <v>32149.768010668737</v>
      </c>
      <c r="O104" s="67">
        <f t="shared" si="102"/>
        <v>32720.532815757728</v>
      </c>
      <c r="P104" s="67">
        <f t="shared" si="102"/>
        <v>33445.832065738854</v>
      </c>
      <c r="Q104" s="67">
        <f t="shared" si="102"/>
        <v>33682.469385127377</v>
      </c>
      <c r="R104" s="67">
        <f t="shared" si="102"/>
        <v>33985.895732232733</v>
      </c>
      <c r="S104" s="67">
        <f t="shared" si="102"/>
        <v>33834.353219281322</v>
      </c>
      <c r="T104" s="67">
        <f t="shared" si="102"/>
        <v>33432.850301395323</v>
      </c>
      <c r="U104" s="67">
        <f t="shared" si="102"/>
        <v>33346.086924484116</v>
      </c>
      <c r="V104" s="67">
        <f t="shared" si="102"/>
        <v>29885.125646526791</v>
      </c>
      <c r="W104" s="67">
        <f t="shared" si="102"/>
        <v>33471.075266241824</v>
      </c>
      <c r="X104" s="67">
        <f t="shared" ref="X104:Y104" si="103">X52*11630*1000/X$8</f>
        <v>33755.977915274016</v>
      </c>
      <c r="Y104" s="67">
        <f t="shared" si="103"/>
        <v>34039.541586832944</v>
      </c>
      <c r="DA104" s="110"/>
    </row>
    <row r="105" spans="1:105" ht="12" customHeight="1" x14ac:dyDescent="0.25">
      <c r="A105" s="78" t="s">
        <v>33</v>
      </c>
      <c r="B105" s="68">
        <f t="shared" si="91"/>
        <v>53562.522481181928</v>
      </c>
      <c r="C105" s="68">
        <f t="shared" ref="C105:W105" si="104">C53*11630*1000/C$8</f>
        <v>54368.179847170664</v>
      </c>
      <c r="D105" s="68">
        <f t="shared" si="104"/>
        <v>55247.055010577118</v>
      </c>
      <c r="E105" s="68">
        <f t="shared" si="104"/>
        <v>56547.332555129229</v>
      </c>
      <c r="F105" s="68">
        <f t="shared" si="104"/>
        <v>58089.743313163046</v>
      </c>
      <c r="G105" s="68">
        <f t="shared" si="104"/>
        <v>59535.981127129824</v>
      </c>
      <c r="H105" s="68">
        <f t="shared" si="104"/>
        <v>60551.945731958753</v>
      </c>
      <c r="I105" s="68">
        <f t="shared" si="104"/>
        <v>61427.302943007271</v>
      </c>
      <c r="J105" s="68">
        <f t="shared" si="104"/>
        <v>62577.906400748267</v>
      </c>
      <c r="K105" s="68">
        <f t="shared" si="104"/>
        <v>63631.00909782391</v>
      </c>
      <c r="L105" s="68">
        <f t="shared" si="104"/>
        <v>64273.763677446819</v>
      </c>
      <c r="M105" s="68">
        <f t="shared" si="104"/>
        <v>64561.004708277636</v>
      </c>
      <c r="N105" s="68">
        <f t="shared" si="104"/>
        <v>64927.466155700058</v>
      </c>
      <c r="O105" s="68">
        <f t="shared" si="104"/>
        <v>65796.235467767576</v>
      </c>
      <c r="P105" s="68">
        <f t="shared" si="104"/>
        <v>66556.593048053415</v>
      </c>
      <c r="Q105" s="68">
        <f t="shared" si="104"/>
        <v>67471.434360550309</v>
      </c>
      <c r="R105" s="68">
        <f t="shared" si="104"/>
        <v>67496.969202843669</v>
      </c>
      <c r="S105" s="68">
        <f t="shared" si="104"/>
        <v>68111.397919080846</v>
      </c>
      <c r="T105" s="68">
        <f t="shared" si="104"/>
        <v>66985.511663420897</v>
      </c>
      <c r="U105" s="68">
        <f t="shared" si="104"/>
        <v>65780.098203753194</v>
      </c>
      <c r="V105" s="68">
        <f t="shared" si="104"/>
        <v>60377.875455421134</v>
      </c>
      <c r="W105" s="68">
        <f t="shared" si="104"/>
        <v>60574.63270477904</v>
      </c>
      <c r="X105" s="68">
        <f t="shared" ref="X105:Y105" si="105">X53*11630*1000/X$8</f>
        <v>60484.355218211545</v>
      </c>
      <c r="Y105" s="68">
        <f t="shared" si="105"/>
        <v>59732.214216873166</v>
      </c>
      <c r="DA105" s="111"/>
    </row>
    <row r="106" spans="1:105" s="2" customFormat="1" ht="12" customHeight="1" x14ac:dyDescent="0.25">
      <c r="DA106" s="7"/>
    </row>
    <row r="107" spans="1:105" ht="12.95" customHeight="1" x14ac:dyDescent="0.25">
      <c r="A107" s="84" t="s">
        <v>44</v>
      </c>
      <c r="B107" s="85">
        <f t="shared" ref="B107" si="106">SUM(B108:B111)</f>
        <v>117779.10340130446</v>
      </c>
      <c r="C107" s="85">
        <f t="shared" ref="C107:W107" si="107">SUM(C108:C111)</f>
        <v>121164.55046035026</v>
      </c>
      <c r="D107" s="85">
        <f t="shared" si="107"/>
        <v>119897.49887424814</v>
      </c>
      <c r="E107" s="85">
        <f t="shared" si="107"/>
        <v>139476.40128798631</v>
      </c>
      <c r="F107" s="85">
        <f t="shared" si="107"/>
        <v>137546.32747142177</v>
      </c>
      <c r="G107" s="85">
        <f t="shared" si="107"/>
        <v>156153.20080829741</v>
      </c>
      <c r="H107" s="85">
        <f t="shared" si="107"/>
        <v>161801.64354691459</v>
      </c>
      <c r="I107" s="85">
        <f t="shared" si="107"/>
        <v>156275.26234309963</v>
      </c>
      <c r="J107" s="85">
        <f t="shared" si="107"/>
        <v>178335.95267475065</v>
      </c>
      <c r="K107" s="85">
        <f t="shared" si="107"/>
        <v>180625.04272885216</v>
      </c>
      <c r="L107" s="85">
        <f t="shared" si="107"/>
        <v>180818.02652459647</v>
      </c>
      <c r="M107" s="85">
        <f t="shared" si="107"/>
        <v>172053.79665077932</v>
      </c>
      <c r="N107" s="85">
        <f t="shared" si="107"/>
        <v>186647.87380336062</v>
      </c>
      <c r="O107" s="85">
        <f t="shared" si="107"/>
        <v>183484.67737080093</v>
      </c>
      <c r="P107" s="85">
        <f t="shared" si="107"/>
        <v>175584.10128483339</v>
      </c>
      <c r="Q107" s="85">
        <f t="shared" si="107"/>
        <v>211592.32247045546</v>
      </c>
      <c r="R107" s="85">
        <f t="shared" si="107"/>
        <v>209527.85697562943</v>
      </c>
      <c r="S107" s="85">
        <f t="shared" si="107"/>
        <v>225155.87443041123</v>
      </c>
      <c r="T107" s="85">
        <f t="shared" si="107"/>
        <v>233188.46847781321</v>
      </c>
      <c r="U107" s="85">
        <f t="shared" si="107"/>
        <v>229089.80792116473</v>
      </c>
      <c r="V107" s="85">
        <f t="shared" si="107"/>
        <v>207189.60920756642</v>
      </c>
      <c r="W107" s="85">
        <f t="shared" si="107"/>
        <v>213641.05216676259</v>
      </c>
      <c r="X107" s="85">
        <f t="shared" ref="X107:Y107" si="108">SUM(X108:X111)</f>
        <v>214317.80411121488</v>
      </c>
      <c r="Y107" s="85">
        <f t="shared" si="108"/>
        <v>218632.41306916156</v>
      </c>
      <c r="DA107" s="117"/>
    </row>
    <row r="108" spans="1:105" ht="12" customHeight="1" x14ac:dyDescent="0.25">
      <c r="A108" s="61" t="s">
        <v>32</v>
      </c>
      <c r="B108" s="65">
        <v>73725.470232923748</v>
      </c>
      <c r="C108" s="65">
        <v>75919.493190901107</v>
      </c>
      <c r="D108" s="65">
        <v>74621.054015138201</v>
      </c>
      <c r="E108" s="65">
        <v>85415.528823785353</v>
      </c>
      <c r="F108" s="65">
        <v>90393.004116138254</v>
      </c>
      <c r="G108" s="65">
        <v>107992.6922609969</v>
      </c>
      <c r="H108" s="65">
        <v>111591.61562935243</v>
      </c>
      <c r="I108" s="65">
        <v>105344.85667074348</v>
      </c>
      <c r="J108" s="65">
        <v>124528.77432445883</v>
      </c>
      <c r="K108" s="65">
        <v>125213.68071639605</v>
      </c>
      <c r="L108" s="65">
        <v>127079.76676996129</v>
      </c>
      <c r="M108" s="65">
        <v>116185.29540275586</v>
      </c>
      <c r="N108" s="65">
        <v>121972.09973652879</v>
      </c>
      <c r="O108" s="65">
        <v>126452.47801245382</v>
      </c>
      <c r="P108" s="65">
        <v>119769.15412544522</v>
      </c>
      <c r="Q108" s="65">
        <v>145546.67819414139</v>
      </c>
      <c r="R108" s="65">
        <v>150570.23403105454</v>
      </c>
      <c r="S108" s="65">
        <v>158754.31222734434</v>
      </c>
      <c r="T108" s="65">
        <v>171928.48916369164</v>
      </c>
      <c r="U108" s="65">
        <v>163339.87459401845</v>
      </c>
      <c r="V108" s="65">
        <v>151893.45879789369</v>
      </c>
      <c r="W108" s="65">
        <v>147468.42001671376</v>
      </c>
      <c r="X108" s="65">
        <v>140750.89597626691</v>
      </c>
      <c r="Y108" s="65">
        <v>149670.61179658541</v>
      </c>
      <c r="DA108" s="109"/>
    </row>
    <row r="109" spans="1:105" ht="12" customHeight="1" x14ac:dyDescent="0.25">
      <c r="A109" s="61" t="s">
        <v>31</v>
      </c>
      <c r="B109" s="65">
        <v>5733.5913128236371</v>
      </c>
      <c r="C109" s="65">
        <v>6665.3790452297062</v>
      </c>
      <c r="D109" s="65">
        <v>6294.569216328151</v>
      </c>
      <c r="E109" s="65">
        <v>15276.026076198315</v>
      </c>
      <c r="F109" s="65">
        <v>7394.8666679646149</v>
      </c>
      <c r="G109" s="65">
        <v>7807.9000001854756</v>
      </c>
      <c r="H109" s="65">
        <v>9997.8236998611665</v>
      </c>
      <c r="I109" s="65">
        <v>10090.272759339612</v>
      </c>
      <c r="J109" s="65">
        <v>12575.572713969166</v>
      </c>
      <c r="K109" s="65">
        <v>13860.876569938517</v>
      </c>
      <c r="L109" s="65">
        <v>11994.918817189895</v>
      </c>
      <c r="M109" s="65">
        <v>13759.003838719595</v>
      </c>
      <c r="N109" s="65">
        <v>22634.875193109576</v>
      </c>
      <c r="O109" s="65">
        <v>13902.870253421077</v>
      </c>
      <c r="P109" s="65">
        <v>12272.22518664681</v>
      </c>
      <c r="Q109" s="65">
        <v>22219.667299291526</v>
      </c>
      <c r="R109" s="65">
        <v>14462.450565738773</v>
      </c>
      <c r="S109" s="65">
        <v>22226.698748960731</v>
      </c>
      <c r="T109" s="65">
        <v>17044.994627609933</v>
      </c>
      <c r="U109" s="65">
        <v>22860.348128972531</v>
      </c>
      <c r="V109" s="65">
        <v>16689.798493537714</v>
      </c>
      <c r="W109" s="65">
        <v>20855.252300961372</v>
      </c>
      <c r="X109" s="65">
        <v>27269.519731061806</v>
      </c>
      <c r="Y109" s="65">
        <v>22187.19027632548</v>
      </c>
      <c r="DA109" s="109"/>
    </row>
    <row r="110" spans="1:105" ht="12" customHeight="1" x14ac:dyDescent="0.25">
      <c r="A110" s="61" t="s">
        <v>35</v>
      </c>
      <c r="B110" s="65">
        <v>18444.310611998157</v>
      </c>
      <c r="C110" s="65">
        <v>18808.124522882445</v>
      </c>
      <c r="D110" s="65">
        <v>19048.837947709548</v>
      </c>
      <c r="E110" s="65">
        <v>18844.573676670774</v>
      </c>
      <c r="F110" s="65">
        <v>19228.552017797661</v>
      </c>
      <c r="G110" s="65">
        <v>18994.620554438781</v>
      </c>
      <c r="H110" s="65">
        <v>19020.036679055029</v>
      </c>
      <c r="I110" s="65">
        <v>19428.988737526706</v>
      </c>
      <c r="J110" s="65">
        <v>19372.0691922242</v>
      </c>
      <c r="K110" s="65">
        <v>19314.186626329218</v>
      </c>
      <c r="L110" s="65">
        <v>19429.843660803261</v>
      </c>
      <c r="M110" s="65">
        <v>19742.259277029698</v>
      </c>
      <c r="N110" s="65">
        <v>19551.801477577457</v>
      </c>
      <c r="O110" s="65">
        <v>20327.761284446271</v>
      </c>
      <c r="P110" s="65">
        <v>20595.29010742663</v>
      </c>
      <c r="Q110" s="65">
        <v>20688.474446037213</v>
      </c>
      <c r="R110" s="65">
        <v>21197.066284311837</v>
      </c>
      <c r="S110" s="65">
        <v>20905.635398237937</v>
      </c>
      <c r="T110" s="65">
        <v>20837.664159191707</v>
      </c>
      <c r="U110" s="65">
        <v>19888.053674860977</v>
      </c>
      <c r="V110" s="65">
        <v>18061.649556720447</v>
      </c>
      <c r="W110" s="65">
        <v>21346.638068987319</v>
      </c>
      <c r="X110" s="65">
        <v>22006.504254268984</v>
      </c>
      <c r="Y110" s="65">
        <v>22211.504862680435</v>
      </c>
      <c r="DA110" s="109"/>
    </row>
    <row r="111" spans="1:105" ht="12" customHeight="1" x14ac:dyDescent="0.25">
      <c r="A111" s="74" t="s">
        <v>34</v>
      </c>
      <c r="B111" s="68">
        <v>19875.731243558912</v>
      </c>
      <c r="C111" s="68">
        <v>19771.553701337009</v>
      </c>
      <c r="D111" s="68">
        <v>19933.037695072246</v>
      </c>
      <c r="E111" s="68">
        <v>19940.272711331894</v>
      </c>
      <c r="F111" s="68">
        <v>20529.904669521242</v>
      </c>
      <c r="G111" s="68">
        <v>21357.987992676241</v>
      </c>
      <c r="H111" s="68">
        <v>21192.167538645976</v>
      </c>
      <c r="I111" s="68">
        <v>21411.144175489826</v>
      </c>
      <c r="J111" s="68">
        <v>21859.536444098427</v>
      </c>
      <c r="K111" s="68">
        <v>22236.29881618838</v>
      </c>
      <c r="L111" s="68">
        <v>22313.49727664204</v>
      </c>
      <c r="M111" s="68">
        <v>22367.238132274149</v>
      </c>
      <c r="N111" s="68">
        <v>22489.097396144778</v>
      </c>
      <c r="O111" s="68">
        <v>22801.567820479733</v>
      </c>
      <c r="P111" s="68">
        <v>22947.431865314724</v>
      </c>
      <c r="Q111" s="68">
        <v>23137.502530985344</v>
      </c>
      <c r="R111" s="68">
        <v>23298.106094524275</v>
      </c>
      <c r="S111" s="68">
        <v>23269.228055868221</v>
      </c>
      <c r="T111" s="68">
        <v>23377.320527319906</v>
      </c>
      <c r="U111" s="68">
        <v>23001.531523312795</v>
      </c>
      <c r="V111" s="68">
        <v>20544.702359414576</v>
      </c>
      <c r="W111" s="68">
        <v>23970.741780100143</v>
      </c>
      <c r="X111" s="68">
        <v>24290.884149617199</v>
      </c>
      <c r="Y111" s="68">
        <v>24563.106133570232</v>
      </c>
      <c r="DA111" s="111"/>
    </row>
    <row r="112" spans="1:105" s="2" customFormat="1" ht="12" customHeight="1" x14ac:dyDescent="0.25">
      <c r="DA112" s="7"/>
    </row>
    <row r="113" spans="1:105" ht="12.95" customHeight="1" x14ac:dyDescent="0.25">
      <c r="A113" s="81" t="s">
        <v>43</v>
      </c>
      <c r="B113" s="82">
        <f t="shared" ref="B113" si="109">B81*1000000/B$8</f>
        <v>29009.819062121875</v>
      </c>
      <c r="C113" s="82">
        <f t="shared" ref="C113:W113" si="110">C81*1000000/C$8</f>
        <v>28908.858468245766</v>
      </c>
      <c r="D113" s="82">
        <f t="shared" si="110"/>
        <v>27109.432112966831</v>
      </c>
      <c r="E113" s="82">
        <f t="shared" si="110"/>
        <v>30616.900674847206</v>
      </c>
      <c r="F113" s="82">
        <f t="shared" si="110"/>
        <v>30358.665987328692</v>
      </c>
      <c r="G113" s="82">
        <f t="shared" si="110"/>
        <v>35259.510386573391</v>
      </c>
      <c r="H113" s="82">
        <f t="shared" si="110"/>
        <v>34891.1498856002</v>
      </c>
      <c r="I113" s="82">
        <f t="shared" si="110"/>
        <v>32054.88022447038</v>
      </c>
      <c r="J113" s="82">
        <f t="shared" si="110"/>
        <v>37991.586711399068</v>
      </c>
      <c r="K113" s="82">
        <f t="shared" si="110"/>
        <v>36918.64338513316</v>
      </c>
      <c r="L113" s="82">
        <f t="shared" si="110"/>
        <v>36793.540943065214</v>
      </c>
      <c r="M113" s="82">
        <f t="shared" si="110"/>
        <v>31010.403955448437</v>
      </c>
      <c r="N113" s="82">
        <f t="shared" si="110"/>
        <v>30491.568326046014</v>
      </c>
      <c r="O113" s="82">
        <f t="shared" si="110"/>
        <v>30300.144593301888</v>
      </c>
      <c r="P113" s="82">
        <f t="shared" si="110"/>
        <v>25220.562552807263</v>
      </c>
      <c r="Q113" s="82">
        <f t="shared" si="110"/>
        <v>26960.255803775934</v>
      </c>
      <c r="R113" s="82">
        <f t="shared" si="110"/>
        <v>27162.146811533323</v>
      </c>
      <c r="S113" s="82">
        <f t="shared" si="110"/>
        <v>26863.434111212908</v>
      </c>
      <c r="T113" s="82">
        <f t="shared" si="110"/>
        <v>29203.895538253841</v>
      </c>
      <c r="U113" s="82">
        <f t="shared" si="110"/>
        <v>28248.22992526567</v>
      </c>
      <c r="V113" s="82">
        <f t="shared" si="110"/>
        <v>26586.967884014441</v>
      </c>
      <c r="W113" s="82">
        <f t="shared" si="110"/>
        <v>24191.241095881065</v>
      </c>
      <c r="X113" s="82">
        <f t="shared" ref="X113:Y113" si="111">X81*1000000/X$8</f>
        <v>21144.802709512096</v>
      </c>
      <c r="Y113" s="82">
        <f t="shared" si="111"/>
        <v>23075.633361909178</v>
      </c>
      <c r="DA113" s="107"/>
    </row>
    <row r="114" spans="1:105" ht="12" customHeight="1" x14ac:dyDescent="0.25">
      <c r="A114" s="77" t="s">
        <v>36</v>
      </c>
      <c r="B114" s="64">
        <f t="shared" ref="B114" si="112">B82*1000000/B$8</f>
        <v>29009.819062121875</v>
      </c>
      <c r="C114" s="64">
        <f t="shared" ref="C114:W114" si="113">C82*1000000/C$8</f>
        <v>28908.858468245766</v>
      </c>
      <c r="D114" s="64">
        <f t="shared" si="113"/>
        <v>27109.432112966831</v>
      </c>
      <c r="E114" s="64">
        <f t="shared" si="113"/>
        <v>30616.900674847206</v>
      </c>
      <c r="F114" s="64">
        <f t="shared" si="113"/>
        <v>30358.665987328692</v>
      </c>
      <c r="G114" s="64">
        <f t="shared" si="113"/>
        <v>35259.510386573391</v>
      </c>
      <c r="H114" s="64">
        <f t="shared" si="113"/>
        <v>34891.1498856002</v>
      </c>
      <c r="I114" s="64">
        <f t="shared" si="113"/>
        <v>32054.88022447038</v>
      </c>
      <c r="J114" s="64">
        <f t="shared" si="113"/>
        <v>37991.586711399068</v>
      </c>
      <c r="K114" s="64">
        <f t="shared" si="113"/>
        <v>36918.64338513316</v>
      </c>
      <c r="L114" s="64">
        <f t="shared" si="113"/>
        <v>36793.540943065214</v>
      </c>
      <c r="M114" s="64">
        <f t="shared" si="113"/>
        <v>31010.403955448437</v>
      </c>
      <c r="N114" s="64">
        <f t="shared" si="113"/>
        <v>30491.568326046014</v>
      </c>
      <c r="O114" s="64">
        <f t="shared" si="113"/>
        <v>30300.144593301888</v>
      </c>
      <c r="P114" s="64">
        <f t="shared" si="113"/>
        <v>25220.562552807263</v>
      </c>
      <c r="Q114" s="64">
        <f t="shared" si="113"/>
        <v>26960.255803775934</v>
      </c>
      <c r="R114" s="64">
        <f t="shared" si="113"/>
        <v>27162.146811533323</v>
      </c>
      <c r="S114" s="64">
        <f t="shared" si="113"/>
        <v>26863.434111212908</v>
      </c>
      <c r="T114" s="64">
        <f t="shared" si="113"/>
        <v>29203.895538253841</v>
      </c>
      <c r="U114" s="64">
        <f t="shared" si="113"/>
        <v>28248.22992526567</v>
      </c>
      <c r="V114" s="64">
        <f t="shared" si="113"/>
        <v>26586.967884014441</v>
      </c>
      <c r="W114" s="64">
        <f t="shared" si="113"/>
        <v>24191.241095881065</v>
      </c>
      <c r="X114" s="64">
        <f t="shared" ref="X114:Y114" si="114">X82*1000000/X$8</f>
        <v>21144.802709512096</v>
      </c>
      <c r="Y114" s="64">
        <f t="shared" si="114"/>
        <v>23075.633361909178</v>
      </c>
      <c r="DA114" s="108"/>
    </row>
    <row r="115" spans="1:105" ht="12" customHeight="1" x14ac:dyDescent="0.25">
      <c r="A115" s="61" t="s">
        <v>32</v>
      </c>
      <c r="B115" s="65">
        <f t="shared" ref="B115" si="115">B83*1000000/B$8</f>
        <v>19485.587588452167</v>
      </c>
      <c r="C115" s="65">
        <f t="shared" ref="C115:W115" si="116">C83*1000000/C$8</f>
        <v>19702.977445742003</v>
      </c>
      <c r="D115" s="65">
        <f t="shared" si="116"/>
        <v>18459.611349887542</v>
      </c>
      <c r="E115" s="65">
        <f t="shared" si="116"/>
        <v>22870.661636764755</v>
      </c>
      <c r="F115" s="65">
        <f t="shared" si="116"/>
        <v>23012.921775604125</v>
      </c>
      <c r="G115" s="65">
        <f t="shared" si="116"/>
        <v>27695.547527598585</v>
      </c>
      <c r="H115" s="65">
        <f t="shared" si="116"/>
        <v>27817.24130472833</v>
      </c>
      <c r="I115" s="65">
        <f t="shared" si="116"/>
        <v>24692.834498308064</v>
      </c>
      <c r="J115" s="65">
        <f t="shared" si="116"/>
        <v>30932.279507336305</v>
      </c>
      <c r="K115" s="65">
        <f t="shared" si="116"/>
        <v>29515.024881843288</v>
      </c>
      <c r="L115" s="65">
        <f t="shared" si="116"/>
        <v>29426.509675781046</v>
      </c>
      <c r="M115" s="65">
        <f t="shared" si="116"/>
        <v>23556.986696995384</v>
      </c>
      <c r="N115" s="65">
        <f t="shared" si="116"/>
        <v>23065.604978655567</v>
      </c>
      <c r="O115" s="65">
        <f t="shared" si="116"/>
        <v>22694.986684989279</v>
      </c>
      <c r="P115" s="65">
        <f t="shared" si="116"/>
        <v>17197.007450107976</v>
      </c>
      <c r="Q115" s="65">
        <f t="shared" si="116"/>
        <v>18884.269093473056</v>
      </c>
      <c r="R115" s="65">
        <f t="shared" si="116"/>
        <v>18944.999849084074</v>
      </c>
      <c r="S115" s="65">
        <f t="shared" si="116"/>
        <v>18584.438017507433</v>
      </c>
      <c r="T115" s="65">
        <f t="shared" si="116"/>
        <v>21166.824435460097</v>
      </c>
      <c r="U115" s="65">
        <f t="shared" si="116"/>
        <v>20315.840563846788</v>
      </c>
      <c r="V115" s="65">
        <f t="shared" si="116"/>
        <v>19304.489421873041</v>
      </c>
      <c r="W115" s="65">
        <f t="shared" si="116"/>
        <v>16931.97882270638</v>
      </c>
      <c r="X115" s="65">
        <f t="shared" ref="X115:Y115" si="117">X83*1000000/X$8</f>
        <v>13824.260479460274</v>
      </c>
      <c r="Y115" s="65">
        <f t="shared" si="117"/>
        <v>15704.699894442969</v>
      </c>
      <c r="DA115" s="109"/>
    </row>
    <row r="116" spans="1:105" ht="12" customHeight="1" x14ac:dyDescent="0.25">
      <c r="A116" s="61" t="s">
        <v>31</v>
      </c>
      <c r="B116" s="65">
        <f t="shared" ref="B116" si="118">B84*1000000/B$8</f>
        <v>1.8037818561268439</v>
      </c>
      <c r="C116" s="65">
        <f t="shared" ref="C116:W116" si="119">C84*1000000/C$8</f>
        <v>3.0539339494967286</v>
      </c>
      <c r="D116" s="65">
        <f t="shared" si="119"/>
        <v>2.8067736117704789</v>
      </c>
      <c r="E116" s="65">
        <f t="shared" si="119"/>
        <v>8.4255419122272261</v>
      </c>
      <c r="F116" s="65">
        <f t="shared" si="119"/>
        <v>4.9958066326904351</v>
      </c>
      <c r="G116" s="65">
        <f t="shared" si="119"/>
        <v>5.5961181192498524</v>
      </c>
      <c r="H116" s="65">
        <f t="shared" si="119"/>
        <v>8.0232164534581862</v>
      </c>
      <c r="I116" s="65">
        <f t="shared" si="119"/>
        <v>8.7702541505917946</v>
      </c>
      <c r="J116" s="65">
        <f t="shared" si="119"/>
        <v>12.244501869674769</v>
      </c>
      <c r="K116" s="65">
        <f t="shared" si="119"/>
        <v>15.613075701226705</v>
      </c>
      <c r="L116" s="65">
        <f t="shared" si="119"/>
        <v>14.924057502557099</v>
      </c>
      <c r="M116" s="65">
        <f t="shared" si="119"/>
        <v>18.226603687286499</v>
      </c>
      <c r="N116" s="65">
        <f t="shared" si="119"/>
        <v>31.547640516885963</v>
      </c>
      <c r="O116" s="65">
        <f t="shared" si="119"/>
        <v>21.384241889107528</v>
      </c>
      <c r="P116" s="65">
        <f t="shared" si="119"/>
        <v>20.344142833378051</v>
      </c>
      <c r="Q116" s="65">
        <f t="shared" si="119"/>
        <v>38.905520690354521</v>
      </c>
      <c r="R116" s="65">
        <f t="shared" si="119"/>
        <v>27.321132106083187</v>
      </c>
      <c r="S116" s="65">
        <f t="shared" si="119"/>
        <v>43.442449600237822</v>
      </c>
      <c r="T116" s="65">
        <f t="shared" si="119"/>
        <v>34.143021448072567</v>
      </c>
      <c r="U116" s="65">
        <f t="shared" si="119"/>
        <v>45.821723432272542</v>
      </c>
      <c r="V116" s="65">
        <f t="shared" si="119"/>
        <v>33.497587585331722</v>
      </c>
      <c r="W116" s="65">
        <f t="shared" si="119"/>
        <v>41.019136389370161</v>
      </c>
      <c r="X116" s="65">
        <f t="shared" ref="X116:Y116" si="120">X84*1000000/X$8</f>
        <v>56.65989033720215</v>
      </c>
      <c r="Y116" s="65">
        <f t="shared" si="120"/>
        <v>52.164780619558407</v>
      </c>
      <c r="DA116" s="109"/>
    </row>
    <row r="117" spans="1:105" ht="12" customHeight="1" x14ac:dyDescent="0.25">
      <c r="A117" s="61" t="s">
        <v>35</v>
      </c>
      <c r="B117" s="65">
        <f t="shared" ref="B117" si="121">B85*1000000/B$8</f>
        <v>3727.0042808522549</v>
      </c>
      <c r="C117" s="65">
        <f t="shared" ref="C117:W117" si="122">C85*1000000/C$8</f>
        <v>3663.1039694440419</v>
      </c>
      <c r="D117" s="65">
        <f t="shared" si="122"/>
        <v>3539.3626365605046</v>
      </c>
      <c r="E117" s="65">
        <f t="shared" si="122"/>
        <v>3439.5149066834383</v>
      </c>
      <c r="F117" s="65">
        <f t="shared" si="122"/>
        <v>3359.1468668119101</v>
      </c>
      <c r="G117" s="65">
        <f t="shared" si="122"/>
        <v>3358.6058570998762</v>
      </c>
      <c r="H117" s="65">
        <f t="shared" si="122"/>
        <v>3272.0604083560365</v>
      </c>
      <c r="I117" s="65">
        <f t="shared" si="122"/>
        <v>3165.5769485219403</v>
      </c>
      <c r="J117" s="65">
        <f t="shared" si="122"/>
        <v>3145.6062742644403</v>
      </c>
      <c r="K117" s="65">
        <f t="shared" si="122"/>
        <v>3072.4280573542651</v>
      </c>
      <c r="L117" s="65">
        <f t="shared" si="122"/>
        <v>2979.9088059110009</v>
      </c>
      <c r="M117" s="65">
        <f t="shared" si="122"/>
        <v>2958.8161089360378</v>
      </c>
      <c r="N117" s="65">
        <f t="shared" si="122"/>
        <v>2903.3954282913314</v>
      </c>
      <c r="O117" s="65">
        <f t="shared" si="122"/>
        <v>2902.2367638341416</v>
      </c>
      <c r="P117" s="65">
        <f t="shared" si="122"/>
        <v>2844.7659705313799</v>
      </c>
      <c r="Q117" s="65">
        <f t="shared" si="122"/>
        <v>2836.4951886154367</v>
      </c>
      <c r="R117" s="65">
        <f t="shared" si="122"/>
        <v>2860.4249114982922</v>
      </c>
      <c r="S117" s="65">
        <f t="shared" si="122"/>
        <v>2952.8855496258288</v>
      </c>
      <c r="T117" s="65">
        <f t="shared" si="122"/>
        <v>3075.1228037876958</v>
      </c>
      <c r="U117" s="65">
        <f t="shared" si="122"/>
        <v>2643.3794869120734</v>
      </c>
      <c r="V117" s="65">
        <f t="shared" si="122"/>
        <v>2430.4027070076531</v>
      </c>
      <c r="W117" s="65">
        <f t="shared" si="122"/>
        <v>2539.5904212849391</v>
      </c>
      <c r="X117" s="65">
        <f t="shared" ref="X117:Y117" si="123">X85*1000000/X$8</f>
        <v>2542.5283620228925</v>
      </c>
      <c r="Y117" s="65">
        <f t="shared" si="123"/>
        <v>2543.5186764352147</v>
      </c>
      <c r="DA117" s="109"/>
    </row>
    <row r="118" spans="1:105" ht="12" customHeight="1" x14ac:dyDescent="0.25">
      <c r="A118" s="66" t="s">
        <v>34</v>
      </c>
      <c r="B118" s="67">
        <f t="shared" ref="B118" si="124">B86*1000000/B$8</f>
        <v>5795.4234109613226</v>
      </c>
      <c r="C118" s="67">
        <f t="shared" ref="C118:W118" si="125">C86*1000000/C$8</f>
        <v>5539.7231191102255</v>
      </c>
      <c r="D118" s="67">
        <f t="shared" si="125"/>
        <v>5107.6513529070126</v>
      </c>
      <c r="E118" s="67">
        <f t="shared" si="125"/>
        <v>4298.2985894867816</v>
      </c>
      <c r="F118" s="67">
        <f t="shared" si="125"/>
        <v>3981.6015382799678</v>
      </c>
      <c r="G118" s="67">
        <f t="shared" si="125"/>
        <v>4199.7608837556791</v>
      </c>
      <c r="H118" s="67">
        <f t="shared" si="125"/>
        <v>3793.8249560623758</v>
      </c>
      <c r="I118" s="67">
        <f t="shared" si="125"/>
        <v>4187.6985234897838</v>
      </c>
      <c r="J118" s="67">
        <f t="shared" si="125"/>
        <v>3901.4564279286533</v>
      </c>
      <c r="K118" s="67">
        <f t="shared" si="125"/>
        <v>4315.5773702343868</v>
      </c>
      <c r="L118" s="67">
        <f t="shared" si="125"/>
        <v>4372.1984038706059</v>
      </c>
      <c r="M118" s="67">
        <f t="shared" si="125"/>
        <v>4476.374545829729</v>
      </c>
      <c r="N118" s="67">
        <f t="shared" si="125"/>
        <v>4491.0202785822303</v>
      </c>
      <c r="O118" s="67">
        <f t="shared" si="125"/>
        <v>4681.5369025893624</v>
      </c>
      <c r="P118" s="67">
        <f t="shared" si="125"/>
        <v>5158.4449893345318</v>
      </c>
      <c r="Q118" s="67">
        <f t="shared" si="125"/>
        <v>5200.5860009970902</v>
      </c>
      <c r="R118" s="67">
        <f t="shared" si="125"/>
        <v>5329.400918844869</v>
      </c>
      <c r="S118" s="67">
        <f t="shared" si="125"/>
        <v>5282.668094479407</v>
      </c>
      <c r="T118" s="67">
        <f t="shared" si="125"/>
        <v>4927.8052775579717</v>
      </c>
      <c r="U118" s="67">
        <f t="shared" si="125"/>
        <v>5243.1881510745388</v>
      </c>
      <c r="V118" s="67">
        <f t="shared" si="125"/>
        <v>4818.5781675484131</v>
      </c>
      <c r="W118" s="67">
        <f t="shared" si="125"/>
        <v>4678.6527155003805</v>
      </c>
      <c r="X118" s="67">
        <f t="shared" ref="X118:Y118" si="126">X86*1000000/X$8</f>
        <v>4721.3539776917287</v>
      </c>
      <c r="Y118" s="67">
        <f t="shared" si="126"/>
        <v>4775.2500104114379</v>
      </c>
      <c r="DA118" s="110"/>
    </row>
    <row r="119" spans="1:105" ht="12" customHeight="1" x14ac:dyDescent="0.25">
      <c r="A119" s="78" t="s">
        <v>33</v>
      </c>
      <c r="B119" s="68">
        <f t="shared" ref="B119" si="127">B87*1000000/B$8</f>
        <v>0</v>
      </c>
      <c r="C119" s="68">
        <f t="shared" ref="C119:W119" si="128">C87*1000000/C$8</f>
        <v>0</v>
      </c>
      <c r="D119" s="68">
        <f t="shared" si="128"/>
        <v>0</v>
      </c>
      <c r="E119" s="68">
        <f t="shared" si="128"/>
        <v>0</v>
      </c>
      <c r="F119" s="68">
        <f t="shared" si="128"/>
        <v>0</v>
      </c>
      <c r="G119" s="68">
        <f t="shared" si="128"/>
        <v>0</v>
      </c>
      <c r="H119" s="68">
        <f t="shared" si="128"/>
        <v>0</v>
      </c>
      <c r="I119" s="68">
        <f t="shared" si="128"/>
        <v>0</v>
      </c>
      <c r="J119" s="68">
        <f t="shared" si="128"/>
        <v>0</v>
      </c>
      <c r="K119" s="68">
        <f t="shared" si="128"/>
        <v>0</v>
      </c>
      <c r="L119" s="68">
        <f t="shared" si="128"/>
        <v>0</v>
      </c>
      <c r="M119" s="68">
        <f t="shared" si="128"/>
        <v>0</v>
      </c>
      <c r="N119" s="68">
        <f t="shared" si="128"/>
        <v>0</v>
      </c>
      <c r="O119" s="68">
        <f t="shared" si="128"/>
        <v>0</v>
      </c>
      <c r="P119" s="68">
        <f t="shared" si="128"/>
        <v>0</v>
      </c>
      <c r="Q119" s="68">
        <f t="shared" si="128"/>
        <v>0</v>
      </c>
      <c r="R119" s="68">
        <f t="shared" si="128"/>
        <v>0</v>
      </c>
      <c r="S119" s="68">
        <f t="shared" si="128"/>
        <v>0</v>
      </c>
      <c r="T119" s="68">
        <f t="shared" si="128"/>
        <v>0</v>
      </c>
      <c r="U119" s="68">
        <f t="shared" si="128"/>
        <v>0</v>
      </c>
      <c r="V119" s="68">
        <f t="shared" si="128"/>
        <v>0</v>
      </c>
      <c r="W119" s="68">
        <f t="shared" si="128"/>
        <v>0</v>
      </c>
      <c r="X119" s="68">
        <f t="shared" ref="X119:Y119" si="129">X87*1000000/X$8</f>
        <v>0</v>
      </c>
      <c r="Y119" s="68">
        <f t="shared" si="129"/>
        <v>0</v>
      </c>
      <c r="DA119" s="111"/>
    </row>
    <row r="121" spans="1:105" ht="12.95" customHeight="1" x14ac:dyDescent="0.25">
      <c r="A121" s="79" t="s">
        <v>30</v>
      </c>
      <c r="B121" s="86">
        <f t="shared" ref="B121" si="130">IF(B107=0,"",B107/B100)</f>
        <v>0.60175636082407558</v>
      </c>
      <c r="C121" s="86">
        <f t="shared" ref="C121:W121" si="131">IF(C107=0,"",C107/C100)</f>
        <v>0.61012169916193171</v>
      </c>
      <c r="D121" s="86">
        <f t="shared" si="131"/>
        <v>0.62028271853467953</v>
      </c>
      <c r="E121" s="86">
        <f t="shared" si="131"/>
        <v>0.64604318572213859</v>
      </c>
      <c r="F121" s="86">
        <f t="shared" si="131"/>
        <v>0.63089185835853046</v>
      </c>
      <c r="G121" s="86">
        <f t="shared" si="131"/>
        <v>0.63200760766416453</v>
      </c>
      <c r="H121" s="86">
        <f t="shared" si="131"/>
        <v>0.64802700562446747</v>
      </c>
      <c r="I121" s="86">
        <f t="shared" si="131"/>
        <v>0.66207185333499696</v>
      </c>
      <c r="J121" s="86">
        <f t="shared" si="131"/>
        <v>0.66430973290097139</v>
      </c>
      <c r="K121" s="86">
        <f t="shared" si="131"/>
        <v>0.68008244099234527</v>
      </c>
      <c r="L121" s="86">
        <f t="shared" si="131"/>
        <v>0.68335506253368927</v>
      </c>
      <c r="M121" s="86">
        <f t="shared" si="131"/>
        <v>0.72050020883545085</v>
      </c>
      <c r="N121" s="86">
        <f t="shared" si="131"/>
        <v>0.77560466002791317</v>
      </c>
      <c r="O121" s="86">
        <f t="shared" si="131"/>
        <v>0.76982930149425521</v>
      </c>
      <c r="P121" s="86">
        <f t="shared" si="131"/>
        <v>0.83047230647197512</v>
      </c>
      <c r="Q121" s="86">
        <f t="shared" si="131"/>
        <v>0.94541576093967583</v>
      </c>
      <c r="R121" s="86">
        <f t="shared" si="131"/>
        <v>0.93212528357359337</v>
      </c>
      <c r="S121" s="86">
        <f t="shared" si="131"/>
        <v>0.99315720811823394</v>
      </c>
      <c r="T121" s="86">
        <f t="shared" si="131"/>
        <v>0.96466594040430353</v>
      </c>
      <c r="U121" s="86">
        <f t="shared" si="131"/>
        <v>1.0014821498881221</v>
      </c>
      <c r="V121" s="86">
        <f t="shared" si="131"/>
        <v>1.0195397680616047</v>
      </c>
      <c r="W121" s="86">
        <f t="shared" si="131"/>
        <v>1.0065187675028597</v>
      </c>
      <c r="X121" s="86">
        <f t="shared" ref="X121:Y121" si="132">IF(X107=0,"",X107/X100)</f>
        <v>1.0678144673420331</v>
      </c>
      <c r="Y121" s="86">
        <f t="shared" si="132"/>
        <v>1.0548581958398393</v>
      </c>
      <c r="DA121" s="119" t="s">
        <v>239</v>
      </c>
    </row>
    <row r="122" spans="1:105" ht="12" customHeight="1" x14ac:dyDescent="0.25">
      <c r="A122" s="61" t="s">
        <v>32</v>
      </c>
      <c r="B122" s="75">
        <f t="shared" ref="B122" si="133">IF(B108=0,"",B108/B101)</f>
        <v>0.56361846287887518</v>
      </c>
      <c r="C122" s="75">
        <f t="shared" ref="C122:W122" si="134">IF(C108=0,"",C108/C101)</f>
        <v>0.56904296154731693</v>
      </c>
      <c r="D122" s="75">
        <f t="shared" si="134"/>
        <v>0.57978748193839402</v>
      </c>
      <c r="E122" s="75">
        <f t="shared" si="134"/>
        <v>0.57441011792783225</v>
      </c>
      <c r="F122" s="75">
        <f t="shared" si="134"/>
        <v>0.58644791432242682</v>
      </c>
      <c r="G122" s="75">
        <f t="shared" si="134"/>
        <v>0.59184345140685379</v>
      </c>
      <c r="H122" s="75">
        <f t="shared" si="134"/>
        <v>0.60212650560734338</v>
      </c>
      <c r="I122" s="75">
        <f t="shared" si="134"/>
        <v>0.61642439421240169</v>
      </c>
      <c r="J122" s="75">
        <f t="shared" si="134"/>
        <v>0.61410656228142924</v>
      </c>
      <c r="K122" s="75">
        <f t="shared" si="134"/>
        <v>0.62902709478317664</v>
      </c>
      <c r="L122" s="75">
        <f t="shared" si="134"/>
        <v>0.63877458953127864</v>
      </c>
      <c r="M122" s="75">
        <f t="shared" si="134"/>
        <v>0.67392443051801654</v>
      </c>
      <c r="N122" s="75">
        <f t="shared" si="134"/>
        <v>0.70886360593145381</v>
      </c>
      <c r="O122" s="75">
        <f t="shared" si="134"/>
        <v>0.73732422675994436</v>
      </c>
      <c r="P122" s="75">
        <f t="shared" si="134"/>
        <v>0.82954531237736329</v>
      </c>
      <c r="Q122" s="75">
        <f t="shared" si="134"/>
        <v>0.94578432673633994</v>
      </c>
      <c r="R122" s="75">
        <f t="shared" si="134"/>
        <v>0.96119156452992338</v>
      </c>
      <c r="S122" s="75">
        <f t="shared" si="134"/>
        <v>1.0075188714745396</v>
      </c>
      <c r="T122" s="75">
        <f t="shared" si="134"/>
        <v>0.98200999340370843</v>
      </c>
      <c r="U122" s="75">
        <f t="shared" si="134"/>
        <v>1.0040814691436002</v>
      </c>
      <c r="V122" s="75">
        <f t="shared" si="134"/>
        <v>1.0462255646816561</v>
      </c>
      <c r="W122" s="75">
        <f t="shared" si="134"/>
        <v>1.0103163241113298</v>
      </c>
      <c r="X122" s="75">
        <f t="shared" ref="X122:Y122" si="135">IF(X108=0,"",X108/X101)</f>
        <v>1.0634646409453898</v>
      </c>
      <c r="Y122" s="75">
        <f t="shared" si="135"/>
        <v>1.06817259615466</v>
      </c>
      <c r="DA122" s="120" t="s">
        <v>240</v>
      </c>
    </row>
    <row r="123" spans="1:105" ht="12" customHeight="1" x14ac:dyDescent="0.25">
      <c r="A123" s="61" t="s">
        <v>31</v>
      </c>
      <c r="B123" s="76">
        <f t="shared" ref="B123" si="136">IF(B109=0,"",B109/B102)</f>
        <v>1.854337907053079</v>
      </c>
      <c r="C123" s="76">
        <f t="shared" ref="C123:W123" si="137">IF(C109=0,"",C109/C102)</f>
        <v>1.9312215630063152</v>
      </c>
      <c r="D123" s="76">
        <f t="shared" si="137"/>
        <v>2.0217427920280966</v>
      </c>
      <c r="E123" s="76">
        <f t="shared" si="137"/>
        <v>2.106406369739847</v>
      </c>
      <c r="F123" s="76">
        <f t="shared" si="137"/>
        <v>2.2097138012108606</v>
      </c>
      <c r="G123" s="76">
        <f t="shared" si="137"/>
        <v>2.3149712434954157</v>
      </c>
      <c r="H123" s="76">
        <f t="shared" si="137"/>
        <v>2.4497723921257513</v>
      </c>
      <c r="I123" s="76">
        <f t="shared" si="137"/>
        <v>2.5961340011169578</v>
      </c>
      <c r="J123" s="76">
        <f t="shared" si="137"/>
        <v>2.7426184430257639</v>
      </c>
      <c r="K123" s="76">
        <f t="shared" si="137"/>
        <v>2.7990496978891328</v>
      </c>
      <c r="L123" s="76">
        <f t="shared" si="137"/>
        <v>2.8752389311599029</v>
      </c>
      <c r="M123" s="76">
        <f t="shared" si="137"/>
        <v>2.9804570726905331</v>
      </c>
      <c r="N123" s="76">
        <f t="shared" si="137"/>
        <v>3.0820761089617972</v>
      </c>
      <c r="O123" s="76">
        <f t="shared" si="137"/>
        <v>3.1800484439699033</v>
      </c>
      <c r="P123" s="76">
        <f t="shared" si="137"/>
        <v>3.2919913609748082</v>
      </c>
      <c r="Q123" s="76">
        <f t="shared" si="137"/>
        <v>3.4055790766495058</v>
      </c>
      <c r="R123" s="76">
        <f t="shared" si="137"/>
        <v>3.5321584089587494</v>
      </c>
      <c r="S123" s="76">
        <f t="shared" si="137"/>
        <v>3.652890073778071</v>
      </c>
      <c r="T123" s="76">
        <f t="shared" si="137"/>
        <v>3.7595708368372667</v>
      </c>
      <c r="U123" s="76">
        <f t="shared" si="137"/>
        <v>3.8579803643062167</v>
      </c>
      <c r="V123" s="76">
        <f t="shared" si="137"/>
        <v>3.9530286163769688</v>
      </c>
      <c r="W123" s="76">
        <f t="shared" si="137"/>
        <v>4.0402363351414499</v>
      </c>
      <c r="X123" s="76">
        <f t="shared" ref="X123:Y123" si="138">IF(X109=0,"",X109/X102)</f>
        <v>4.098047639101364</v>
      </c>
      <c r="Y123" s="76">
        <f t="shared" si="138"/>
        <v>4.1354556347425531</v>
      </c>
      <c r="DA123" s="121" t="s">
        <v>241</v>
      </c>
    </row>
    <row r="124" spans="1:105" ht="12" customHeight="1" x14ac:dyDescent="0.25">
      <c r="A124" s="61" t="s">
        <v>35</v>
      </c>
      <c r="B124" s="76">
        <f t="shared" ref="B124" si="139">IF(B110=0,"",B110/B103)</f>
        <v>0.59608150219187328</v>
      </c>
      <c r="C124" s="76">
        <f t="shared" ref="C124:W124" si="140">IF(C110=0,"",C110/C103)</f>
        <v>0.6009762018335415</v>
      </c>
      <c r="D124" s="76">
        <f t="shared" si="140"/>
        <v>0.60662787475151825</v>
      </c>
      <c r="E124" s="76">
        <f t="shared" si="140"/>
        <v>0.61069035572859598</v>
      </c>
      <c r="F124" s="76">
        <f t="shared" si="140"/>
        <v>0.61721118787903906</v>
      </c>
      <c r="G124" s="76">
        <f t="shared" si="140"/>
        <v>0.62036575060867805</v>
      </c>
      <c r="H124" s="76">
        <f t="shared" si="140"/>
        <v>0.62616201248724668</v>
      </c>
      <c r="I124" s="76">
        <f t="shared" si="140"/>
        <v>0.63378313652870155</v>
      </c>
      <c r="J124" s="76">
        <f t="shared" si="140"/>
        <v>0.63897435010019821</v>
      </c>
      <c r="K124" s="76">
        <f t="shared" si="140"/>
        <v>0.64575665952063266</v>
      </c>
      <c r="L124" s="76">
        <f t="shared" si="140"/>
        <v>0.65457766691061103</v>
      </c>
      <c r="M124" s="76">
        <f t="shared" si="140"/>
        <v>0.66259120669065885</v>
      </c>
      <c r="N124" s="76">
        <f t="shared" si="140"/>
        <v>0.67217621759506774</v>
      </c>
      <c r="O124" s="76">
        <f t="shared" si="140"/>
        <v>0.6832786004816318</v>
      </c>
      <c r="P124" s="76">
        <f t="shared" si="140"/>
        <v>0.68941014448892846</v>
      </c>
      <c r="Q124" s="76">
        <f t="shared" si="140"/>
        <v>0.69630336000927495</v>
      </c>
      <c r="R124" s="76">
        <f t="shared" si="140"/>
        <v>0.70527308677553768</v>
      </c>
      <c r="S124" s="76">
        <f t="shared" si="140"/>
        <v>0.71549125397877467</v>
      </c>
      <c r="T124" s="76">
        <f t="shared" si="140"/>
        <v>0.72643055434687698</v>
      </c>
      <c r="U124" s="76">
        <f t="shared" si="140"/>
        <v>0.74200046880176451</v>
      </c>
      <c r="V124" s="76">
        <f t="shared" si="140"/>
        <v>0.75479272999815428</v>
      </c>
      <c r="W124" s="76">
        <f t="shared" si="140"/>
        <v>0.77170073112675208</v>
      </c>
      <c r="X124" s="76">
        <f t="shared" ref="X124:Y124" si="141">IF(X110=0,"",X110/X103)</f>
        <v>0.78748079304371121</v>
      </c>
      <c r="Y124" s="76">
        <f t="shared" si="141"/>
        <v>0.80072219415608226</v>
      </c>
      <c r="DA124" s="121" t="s">
        <v>242</v>
      </c>
    </row>
    <row r="125" spans="1:105" ht="12" customHeight="1" x14ac:dyDescent="0.25">
      <c r="A125" s="74" t="s">
        <v>34</v>
      </c>
      <c r="B125" s="56">
        <f t="shared" ref="B125" si="142">IF(B111=0,"",B111/B104)</f>
        <v>0.64356975376373049</v>
      </c>
      <c r="C125" s="56">
        <f t="shared" ref="C125:W125" si="143">IF(C111=0,"",C111/C104)</f>
        <v>0.64979536670514715</v>
      </c>
      <c r="D125" s="56">
        <f t="shared" si="143"/>
        <v>0.66275243711015874</v>
      </c>
      <c r="E125" s="56">
        <f t="shared" si="143"/>
        <v>0.68565642648099434</v>
      </c>
      <c r="F125" s="56">
        <f t="shared" si="143"/>
        <v>0.69872494229835813</v>
      </c>
      <c r="G125" s="56">
        <f t="shared" si="143"/>
        <v>0.69762401853963374</v>
      </c>
      <c r="H125" s="56">
        <f t="shared" si="143"/>
        <v>0.7088251682349066</v>
      </c>
      <c r="I125" s="56">
        <f t="shared" si="143"/>
        <v>0.69969090159799141</v>
      </c>
      <c r="J125" s="56">
        <f t="shared" si="143"/>
        <v>0.71041877677995335</v>
      </c>
      <c r="K125" s="56">
        <f t="shared" si="143"/>
        <v>0.70207620793520553</v>
      </c>
      <c r="L125" s="56">
        <f t="shared" si="143"/>
        <v>0.70156189362182597</v>
      </c>
      <c r="M125" s="56">
        <f t="shared" si="143"/>
        <v>0.69931077300866828</v>
      </c>
      <c r="N125" s="56">
        <f t="shared" si="143"/>
        <v>0.69951040980083856</v>
      </c>
      <c r="O125" s="56">
        <f t="shared" si="143"/>
        <v>0.6968580844593959</v>
      </c>
      <c r="P125" s="56">
        <f t="shared" si="143"/>
        <v>0.68610736967795605</v>
      </c>
      <c r="Q125" s="56">
        <f t="shared" si="143"/>
        <v>0.68693011389484993</v>
      </c>
      <c r="R125" s="56">
        <f t="shared" si="143"/>
        <v>0.6855227909272964</v>
      </c>
      <c r="S125" s="56">
        <f t="shared" si="143"/>
        <v>0.68773970363966319</v>
      </c>
      <c r="T125" s="56">
        <f t="shared" si="143"/>
        <v>0.69923205220537987</v>
      </c>
      <c r="U125" s="56">
        <f t="shared" si="143"/>
        <v>0.68978202975966252</v>
      </c>
      <c r="V125" s="56">
        <f t="shared" si="143"/>
        <v>0.68745577992248641</v>
      </c>
      <c r="W125" s="56">
        <f t="shared" si="143"/>
        <v>0.71616288360704372</v>
      </c>
      <c r="X125" s="56">
        <f t="shared" ref="X125:Y125" si="144">IF(X111=0,"",X111/X104)</f>
        <v>0.71960244228699943</v>
      </c>
      <c r="Y125" s="56">
        <f t="shared" si="144"/>
        <v>0.7216050801069438</v>
      </c>
      <c r="DA125" s="122" t="s">
        <v>243</v>
      </c>
    </row>
    <row r="126" spans="1:105" s="2" customFormat="1" ht="12" customHeight="1" x14ac:dyDescent="0.25">
      <c r="DA126" s="7"/>
    </row>
    <row r="127" spans="1:105" s="2" customFormat="1" ht="6.6" customHeight="1" x14ac:dyDescent="0.25">
      <c r="A127" s="30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DA127" s="32"/>
    </row>
    <row r="128" spans="1:105" s="2" customFormat="1" ht="12" customHeight="1" x14ac:dyDescent="0.25">
      <c r="DA128" s="7"/>
    </row>
    <row r="129" spans="1:105" ht="12.95" customHeight="1" x14ac:dyDescent="0.25">
      <c r="A129" s="81" t="s">
        <v>42</v>
      </c>
      <c r="B129" s="82">
        <f t="shared" ref="B129" si="145">IF(B99=0,0,B99/B$26)</f>
        <v>276.98676328942986</v>
      </c>
      <c r="C129" s="82">
        <f t="shared" ref="C129:W129" si="146">IF(C99=0,0,C99/C$26)</f>
        <v>281.06552246697379</v>
      </c>
      <c r="D129" s="82">
        <f t="shared" si="146"/>
        <v>276.15775075998596</v>
      </c>
      <c r="E129" s="82">
        <f t="shared" si="146"/>
        <v>302.71182423483776</v>
      </c>
      <c r="F129" s="82">
        <f t="shared" si="146"/>
        <v>306.78734358171954</v>
      </c>
      <c r="G129" s="82">
        <f t="shared" si="146"/>
        <v>340.67872928616237</v>
      </c>
      <c r="H129" s="82">
        <f t="shared" si="146"/>
        <v>344.70603827622057</v>
      </c>
      <c r="I129" s="82">
        <f t="shared" si="146"/>
        <v>330.51892690414041</v>
      </c>
      <c r="J129" s="82">
        <f t="shared" si="146"/>
        <v>367.81213820751708</v>
      </c>
      <c r="K129" s="82">
        <f t="shared" si="146"/>
        <v>365.80430257543907</v>
      </c>
      <c r="L129" s="82">
        <f t="shared" si="146"/>
        <v>365.41899526076111</v>
      </c>
      <c r="M129" s="82">
        <f t="shared" si="146"/>
        <v>337.06523351633427</v>
      </c>
      <c r="N129" s="82">
        <f t="shared" si="146"/>
        <v>339.52853006466898</v>
      </c>
      <c r="O129" s="82">
        <f t="shared" si="146"/>
        <v>337.93429112927276</v>
      </c>
      <c r="P129" s="82">
        <f t="shared" si="146"/>
        <v>308.87043543410357</v>
      </c>
      <c r="Q129" s="82">
        <f t="shared" si="146"/>
        <v>323.6446525617207</v>
      </c>
      <c r="R129" s="82">
        <f t="shared" si="146"/>
        <v>324.75783308833405</v>
      </c>
      <c r="S129" s="82">
        <f t="shared" si="146"/>
        <v>327.57620270134407</v>
      </c>
      <c r="T129" s="82">
        <f t="shared" si="146"/>
        <v>343.01697107619788</v>
      </c>
      <c r="U129" s="82">
        <f t="shared" si="146"/>
        <v>327.25651467129416</v>
      </c>
      <c r="V129" s="82">
        <f t="shared" si="146"/>
        <v>292.8851524365237</v>
      </c>
      <c r="W129" s="82">
        <f t="shared" si="146"/>
        <v>303.1466980657334</v>
      </c>
      <c r="X129" s="82">
        <f t="shared" ref="X129:Y129" si="147">IF(X99=0,0,X99/X$26)</f>
        <v>290.21258133739866</v>
      </c>
      <c r="Y129" s="82">
        <f t="shared" si="147"/>
        <v>296.66065269587006</v>
      </c>
      <c r="DA129" s="107"/>
    </row>
    <row r="130" spans="1:105" ht="12" customHeight="1" x14ac:dyDescent="0.25">
      <c r="A130" s="77" t="s">
        <v>36</v>
      </c>
      <c r="B130" s="64">
        <f t="shared" ref="B130" si="148">IF(B100=0,0,B100/B$26)</f>
        <v>217.47284942144989</v>
      </c>
      <c r="C130" s="64">
        <f t="shared" ref="C130:W130" si="149">IF(C100=0,0,C100/C$26)</f>
        <v>220.65643374789525</v>
      </c>
      <c r="D130" s="64">
        <f t="shared" si="149"/>
        <v>214.77213408156692</v>
      </c>
      <c r="E130" s="64">
        <f t="shared" si="149"/>
        <v>239.88145472913862</v>
      </c>
      <c r="F130" s="64">
        <f t="shared" si="149"/>
        <v>242.24318434487171</v>
      </c>
      <c r="G130" s="64">
        <f t="shared" si="149"/>
        <v>274.52763914490708</v>
      </c>
      <c r="H130" s="64">
        <f t="shared" si="149"/>
        <v>277.4260985740442</v>
      </c>
      <c r="I130" s="64">
        <f t="shared" si="149"/>
        <v>262.26636807857676</v>
      </c>
      <c r="J130" s="64">
        <f t="shared" si="149"/>
        <v>298.28113109557455</v>
      </c>
      <c r="K130" s="64">
        <f t="shared" si="149"/>
        <v>295.10318135563472</v>
      </c>
      <c r="L130" s="64">
        <f t="shared" si="149"/>
        <v>294.00370228582011</v>
      </c>
      <c r="M130" s="64">
        <f t="shared" si="149"/>
        <v>265.33078384047013</v>
      </c>
      <c r="N130" s="64">
        <f t="shared" si="149"/>
        <v>267.38690100278001</v>
      </c>
      <c r="O130" s="64">
        <f t="shared" si="149"/>
        <v>264.82736283175331</v>
      </c>
      <c r="P130" s="64">
        <f t="shared" si="149"/>
        <v>234.91866538071091</v>
      </c>
      <c r="Q130" s="64">
        <f t="shared" si="149"/>
        <v>248.67639216110919</v>
      </c>
      <c r="R130" s="64">
        <f t="shared" si="149"/>
        <v>249.76120064072995</v>
      </c>
      <c r="S130" s="64">
        <f t="shared" si="149"/>
        <v>251.89687168014319</v>
      </c>
      <c r="T130" s="64">
        <f t="shared" si="149"/>
        <v>268.58862478350795</v>
      </c>
      <c r="U130" s="64">
        <f t="shared" si="149"/>
        <v>254.16751666712389</v>
      </c>
      <c r="V130" s="64">
        <f t="shared" si="149"/>
        <v>225.79862415272234</v>
      </c>
      <c r="W130" s="64">
        <f t="shared" si="149"/>
        <v>235.84155061597895</v>
      </c>
      <c r="X130" s="64">
        <f t="shared" ref="X130:Y130" si="150">IF(X100=0,0,X100/X$26)</f>
        <v>223.00774220605248</v>
      </c>
      <c r="Y130" s="64">
        <f t="shared" si="150"/>
        <v>230.2915257882332</v>
      </c>
      <c r="DA130" s="108"/>
    </row>
    <row r="131" spans="1:105" ht="12" customHeight="1" x14ac:dyDescent="0.25">
      <c r="A131" s="61" t="s">
        <v>32</v>
      </c>
      <c r="B131" s="65">
        <f t="shared" ref="B131" si="151">IF(B101=0,0,B101/B$26)</f>
        <v>145.34156444995227</v>
      </c>
      <c r="C131" s="65">
        <f t="shared" ref="C131:W131" si="152">IF(C101=0,0,C101/C$26)</f>
        <v>148.24011214365981</v>
      </c>
      <c r="D131" s="65">
        <f t="shared" si="152"/>
        <v>143.00460914030631</v>
      </c>
      <c r="E131" s="65">
        <f t="shared" si="152"/>
        <v>165.22366193671942</v>
      </c>
      <c r="F131" s="65">
        <f t="shared" si="152"/>
        <v>171.26273073406128</v>
      </c>
      <c r="G131" s="65">
        <f t="shared" si="152"/>
        <v>202.7426002683097</v>
      </c>
      <c r="H131" s="65">
        <f t="shared" si="152"/>
        <v>205.92131865636586</v>
      </c>
      <c r="I131" s="65">
        <f t="shared" si="152"/>
        <v>189.8851535472144</v>
      </c>
      <c r="J131" s="65">
        <f t="shared" si="152"/>
        <v>225.31155552372201</v>
      </c>
      <c r="K131" s="65">
        <f t="shared" si="152"/>
        <v>221.17697800452146</v>
      </c>
      <c r="L131" s="65">
        <f t="shared" si="152"/>
        <v>221.04783623143558</v>
      </c>
      <c r="M131" s="65">
        <f t="shared" si="152"/>
        <v>191.55674853707143</v>
      </c>
      <c r="N131" s="65">
        <f t="shared" si="152"/>
        <v>191.18565846631265</v>
      </c>
      <c r="O131" s="65">
        <f t="shared" si="152"/>
        <v>190.55762478413087</v>
      </c>
      <c r="P131" s="65">
        <f t="shared" si="152"/>
        <v>160.42142114670187</v>
      </c>
      <c r="Q131" s="65">
        <f t="shared" si="152"/>
        <v>170.98880448238458</v>
      </c>
      <c r="R131" s="65">
        <f t="shared" si="152"/>
        <v>174.05506478443164</v>
      </c>
      <c r="S131" s="65">
        <f t="shared" si="152"/>
        <v>175.07729656164796</v>
      </c>
      <c r="T131" s="65">
        <f t="shared" si="152"/>
        <v>194.53127352013632</v>
      </c>
      <c r="U131" s="65">
        <f t="shared" si="152"/>
        <v>180.7510198387632</v>
      </c>
      <c r="V131" s="65">
        <f t="shared" si="152"/>
        <v>161.31369321566009</v>
      </c>
      <c r="W131" s="65">
        <f t="shared" si="152"/>
        <v>162.18069144106525</v>
      </c>
      <c r="X131" s="65">
        <f t="shared" ref="X131:Y131" si="153">IF(X101=0,0,X101/X$26)</f>
        <v>147.05696682030552</v>
      </c>
      <c r="Y131" s="65">
        <f t="shared" si="153"/>
        <v>155.68708687402537</v>
      </c>
      <c r="DA131" s="109"/>
    </row>
    <row r="132" spans="1:105" ht="12" customHeight="1" x14ac:dyDescent="0.25">
      <c r="A132" s="61" t="s">
        <v>31</v>
      </c>
      <c r="B132" s="65">
        <f t="shared" ref="B132" si="154">IF(B102=0,0,B102/B$26)</f>
        <v>3.435542675376118</v>
      </c>
      <c r="C132" s="65">
        <f t="shared" ref="C132:W132" si="155">IF(C102=0,0,C102/C$26)</f>
        <v>3.8348664176020688</v>
      </c>
      <c r="D132" s="65">
        <f t="shared" si="155"/>
        <v>3.4593746660049778</v>
      </c>
      <c r="E132" s="65">
        <f t="shared" si="155"/>
        <v>8.0579714107982507</v>
      </c>
      <c r="F132" s="65">
        <f t="shared" si="155"/>
        <v>3.7183632176521066</v>
      </c>
      <c r="G132" s="65">
        <f t="shared" si="155"/>
        <v>3.7475387519506818</v>
      </c>
      <c r="H132" s="65">
        <f t="shared" si="155"/>
        <v>4.5345816760578099</v>
      </c>
      <c r="I132" s="65">
        <f t="shared" si="155"/>
        <v>4.318503656675821</v>
      </c>
      <c r="J132" s="65">
        <f t="shared" si="155"/>
        <v>5.094714726581306</v>
      </c>
      <c r="K132" s="65">
        <f t="shared" si="155"/>
        <v>5.5022152619200702</v>
      </c>
      <c r="L132" s="65">
        <f t="shared" si="155"/>
        <v>4.635332191081214</v>
      </c>
      <c r="M132" s="65">
        <f t="shared" si="155"/>
        <v>5.129341463462552</v>
      </c>
      <c r="N132" s="65">
        <f t="shared" si="155"/>
        <v>8.160039024522689</v>
      </c>
      <c r="O132" s="65">
        <f t="shared" si="155"/>
        <v>4.8576724182314077</v>
      </c>
      <c r="P132" s="65">
        <f t="shared" si="155"/>
        <v>4.1421146861403466</v>
      </c>
      <c r="Q132" s="65">
        <f t="shared" si="155"/>
        <v>7.2494335517600765</v>
      </c>
      <c r="R132" s="65">
        <f t="shared" si="155"/>
        <v>4.5494532399028627</v>
      </c>
      <c r="S132" s="65">
        <f t="shared" si="155"/>
        <v>6.7607651597758185</v>
      </c>
      <c r="T132" s="65">
        <f t="shared" si="155"/>
        <v>5.037511923967072</v>
      </c>
      <c r="U132" s="65">
        <f t="shared" si="155"/>
        <v>6.5838559068294398</v>
      </c>
      <c r="V132" s="65">
        <f t="shared" si="155"/>
        <v>4.6911425006003107</v>
      </c>
      <c r="W132" s="65">
        <f t="shared" si="155"/>
        <v>5.7354324436598763</v>
      </c>
      <c r="X132" s="65">
        <f t="shared" ref="X132:Y132" si="156">IF(X102=0,0,X102/X$26)</f>
        <v>7.393634490420574</v>
      </c>
      <c r="Y132" s="65">
        <f t="shared" si="156"/>
        <v>5.9612376042081143</v>
      </c>
      <c r="DA132" s="109"/>
    </row>
    <row r="133" spans="1:105" ht="12" customHeight="1" x14ac:dyDescent="0.25">
      <c r="A133" s="61" t="s">
        <v>35</v>
      </c>
      <c r="B133" s="65">
        <f t="shared" ref="B133" si="157">IF(B103=0,0,B103/B$26)</f>
        <v>34.380665030566576</v>
      </c>
      <c r="C133" s="65">
        <f t="shared" ref="C133:W133" si="158">IF(C103=0,0,C103/C$26)</f>
        <v>34.773283988247435</v>
      </c>
      <c r="D133" s="65">
        <f t="shared" si="158"/>
        <v>34.890212564209371</v>
      </c>
      <c r="E133" s="65">
        <f t="shared" si="158"/>
        <v>34.286467765353656</v>
      </c>
      <c r="F133" s="65">
        <f t="shared" si="158"/>
        <v>34.615473953041949</v>
      </c>
      <c r="G133" s="65">
        <f t="shared" si="158"/>
        <v>34.020469261349312</v>
      </c>
      <c r="H133" s="65">
        <f t="shared" si="158"/>
        <v>33.750648660228897</v>
      </c>
      <c r="I133" s="65">
        <f t="shared" si="158"/>
        <v>34.061753965492159</v>
      </c>
      <c r="J133" s="65">
        <f t="shared" si="158"/>
        <v>33.686049089949037</v>
      </c>
      <c r="K133" s="65">
        <f t="shared" si="158"/>
        <v>33.232653579629613</v>
      </c>
      <c r="L133" s="65">
        <f t="shared" si="158"/>
        <v>32.981136189020702</v>
      </c>
      <c r="M133" s="65">
        <f t="shared" si="158"/>
        <v>33.10614964346366</v>
      </c>
      <c r="N133" s="65">
        <f t="shared" si="158"/>
        <v>32.319239055646051</v>
      </c>
      <c r="O133" s="65">
        <f t="shared" si="158"/>
        <v>33.05591805632686</v>
      </c>
      <c r="P133" s="65">
        <f t="shared" si="158"/>
        <v>33.193093919269963</v>
      </c>
      <c r="Q133" s="65">
        <f t="shared" si="158"/>
        <v>33.0131881434897</v>
      </c>
      <c r="R133" s="65">
        <f t="shared" si="158"/>
        <v>33.394576247247926</v>
      </c>
      <c r="S133" s="65">
        <f t="shared" si="158"/>
        <v>32.465084159517922</v>
      </c>
      <c r="T133" s="65">
        <f t="shared" si="158"/>
        <v>31.872227893409796</v>
      </c>
      <c r="U133" s="65">
        <f t="shared" si="158"/>
        <v>29.781433227660042</v>
      </c>
      <c r="V133" s="65">
        <f t="shared" si="158"/>
        <v>26.588093273654398</v>
      </c>
      <c r="W133" s="65">
        <f t="shared" si="158"/>
        <v>30.735343102096238</v>
      </c>
      <c r="X133" s="65">
        <f t="shared" ref="X133:Y133" si="159">IF(X103=0,0,X103/X$26)</f>
        <v>31.05049876724415</v>
      </c>
      <c r="Y133" s="65">
        <f t="shared" si="159"/>
        <v>30.821488435740822</v>
      </c>
      <c r="DA133" s="109"/>
    </row>
    <row r="134" spans="1:105" ht="12" customHeight="1" x14ac:dyDescent="0.25">
      <c r="A134" s="66" t="s">
        <v>34</v>
      </c>
      <c r="B134" s="67">
        <f t="shared" ref="B134" si="160">IF(B104=0,0,B104/B$26)</f>
        <v>34.315077265554926</v>
      </c>
      <c r="C134" s="67">
        <f t="shared" ref="C134:W134" si="161">IF(C104=0,0,C104/C$26)</f>
        <v>33.808171198385907</v>
      </c>
      <c r="D134" s="67">
        <f t="shared" si="161"/>
        <v>33.41793771104625</v>
      </c>
      <c r="E134" s="67">
        <f t="shared" si="161"/>
        <v>32.3133536162673</v>
      </c>
      <c r="F134" s="67">
        <f t="shared" si="161"/>
        <v>32.646616440116368</v>
      </c>
      <c r="G134" s="67">
        <f t="shared" si="161"/>
        <v>34.017030863297379</v>
      </c>
      <c r="H134" s="67">
        <f t="shared" si="161"/>
        <v>33.219549581391639</v>
      </c>
      <c r="I134" s="67">
        <f t="shared" si="161"/>
        <v>34.000956909194407</v>
      </c>
      <c r="J134" s="67">
        <f t="shared" si="161"/>
        <v>34.188811755322121</v>
      </c>
      <c r="K134" s="67">
        <f t="shared" si="161"/>
        <v>35.191334509563603</v>
      </c>
      <c r="L134" s="67">
        <f t="shared" si="161"/>
        <v>35.339397674282651</v>
      </c>
      <c r="M134" s="67">
        <f t="shared" si="161"/>
        <v>35.538544196472557</v>
      </c>
      <c r="N134" s="67">
        <f t="shared" si="161"/>
        <v>35.721964456298593</v>
      </c>
      <c r="O134" s="67">
        <f t="shared" si="161"/>
        <v>36.356147573064135</v>
      </c>
      <c r="P134" s="67">
        <f t="shared" si="161"/>
        <v>37.16203562859873</v>
      </c>
      <c r="Q134" s="67">
        <f t="shared" si="161"/>
        <v>37.424965983474863</v>
      </c>
      <c r="R134" s="67">
        <f t="shared" si="161"/>
        <v>37.762106369147475</v>
      </c>
      <c r="S134" s="67">
        <f t="shared" si="161"/>
        <v>37.593725799201472</v>
      </c>
      <c r="T134" s="67">
        <f t="shared" si="161"/>
        <v>37.147611445994805</v>
      </c>
      <c r="U134" s="67">
        <f t="shared" si="161"/>
        <v>37.051207693871241</v>
      </c>
      <c r="V134" s="67">
        <f t="shared" si="161"/>
        <v>33.205695162807544</v>
      </c>
      <c r="W134" s="67">
        <f t="shared" si="161"/>
        <v>37.190083629157584</v>
      </c>
      <c r="X134" s="67">
        <f t="shared" ref="X134:Y134" si="162">IF(X104=0,0,X104/X$26)</f>
        <v>37.506642128082234</v>
      </c>
      <c r="Y134" s="67">
        <f t="shared" si="162"/>
        <v>37.821712874258829</v>
      </c>
      <c r="DA134" s="110"/>
    </row>
    <row r="135" spans="1:105" ht="12" customHeight="1" x14ac:dyDescent="0.25">
      <c r="A135" s="78" t="s">
        <v>33</v>
      </c>
      <c r="B135" s="68">
        <f t="shared" ref="B135" si="163">IF(B105=0,0,B105/B$26)</f>
        <v>59.51391386797993</v>
      </c>
      <c r="C135" s="68">
        <f t="shared" ref="C135:W135" si="164">IF(C105=0,0,C105/C$26)</f>
        <v>60.409088719078518</v>
      </c>
      <c r="D135" s="68">
        <f t="shared" si="164"/>
        <v>61.385616678419019</v>
      </c>
      <c r="E135" s="68">
        <f t="shared" si="164"/>
        <v>62.830369505699153</v>
      </c>
      <c r="F135" s="68">
        <f t="shared" si="164"/>
        <v>64.544159236847833</v>
      </c>
      <c r="G135" s="68">
        <f t="shared" si="164"/>
        <v>66.151090141255352</v>
      </c>
      <c r="H135" s="68">
        <f t="shared" si="164"/>
        <v>67.279939702176392</v>
      </c>
      <c r="I135" s="68">
        <f t="shared" si="164"/>
        <v>68.252558825563625</v>
      </c>
      <c r="J135" s="68">
        <f t="shared" si="164"/>
        <v>69.531007111942529</v>
      </c>
      <c r="K135" s="68">
        <f t="shared" si="164"/>
        <v>70.701121219804321</v>
      </c>
      <c r="L135" s="68">
        <f t="shared" si="164"/>
        <v>71.415292974940925</v>
      </c>
      <c r="M135" s="68">
        <f t="shared" si="164"/>
        <v>71.734449675864056</v>
      </c>
      <c r="N135" s="68">
        <f t="shared" si="164"/>
        <v>72.141629061888949</v>
      </c>
      <c r="O135" s="68">
        <f t="shared" si="164"/>
        <v>73.106928297519516</v>
      </c>
      <c r="P135" s="68">
        <f t="shared" si="164"/>
        <v>73.951770053392679</v>
      </c>
      <c r="Q135" s="68">
        <f t="shared" si="164"/>
        <v>74.968260400611456</v>
      </c>
      <c r="R135" s="68">
        <f t="shared" si="164"/>
        <v>74.996632447604071</v>
      </c>
      <c r="S135" s="68">
        <f t="shared" si="164"/>
        <v>75.679331021200937</v>
      </c>
      <c r="T135" s="68">
        <f t="shared" si="164"/>
        <v>74.428346292689881</v>
      </c>
      <c r="U135" s="68">
        <f t="shared" si="164"/>
        <v>73.088998004170222</v>
      </c>
      <c r="V135" s="68">
        <f t="shared" si="164"/>
        <v>67.086528283801258</v>
      </c>
      <c r="W135" s="68">
        <f t="shared" si="164"/>
        <v>67.305147449754486</v>
      </c>
      <c r="X135" s="68">
        <f t="shared" ref="X135:Y135" si="165">IF(X105=0,0,X105/X$26)</f>
        <v>67.204839131346148</v>
      </c>
      <c r="Y135" s="68">
        <f t="shared" si="165"/>
        <v>66.369126907636854</v>
      </c>
      <c r="DA135" s="111"/>
    </row>
    <row r="136" spans="1:105" s="2" customFormat="1" ht="12" customHeight="1" x14ac:dyDescent="0.25">
      <c r="DA136" s="7"/>
    </row>
    <row r="137" spans="1:105" ht="12.95" customHeight="1" x14ac:dyDescent="0.25">
      <c r="A137" s="84" t="s">
        <v>41</v>
      </c>
      <c r="B137" s="85">
        <f t="shared" ref="B137" si="166">IF(B107=0,0,B107/B$26)</f>
        <v>130.86567044589387</v>
      </c>
      <c r="C137" s="85">
        <f t="shared" ref="C137:W137" si="167">IF(C107=0,0,C107/C$26)</f>
        <v>134.62727828927808</v>
      </c>
      <c r="D137" s="85">
        <f t="shared" si="167"/>
        <v>133.21944319360904</v>
      </c>
      <c r="E137" s="85">
        <f t="shared" si="167"/>
        <v>154.97377920887371</v>
      </c>
      <c r="F137" s="85">
        <f t="shared" si="167"/>
        <v>152.8292527460242</v>
      </c>
      <c r="G137" s="85">
        <f t="shared" si="167"/>
        <v>173.50355645366378</v>
      </c>
      <c r="H137" s="85">
        <f t="shared" si="167"/>
        <v>179.77960394101621</v>
      </c>
      <c r="I137" s="85">
        <f t="shared" si="167"/>
        <v>173.63918038122179</v>
      </c>
      <c r="J137" s="85">
        <f t="shared" si="167"/>
        <v>198.15105852750074</v>
      </c>
      <c r="K137" s="85">
        <f t="shared" si="167"/>
        <v>200.6944919209468</v>
      </c>
      <c r="L137" s="85">
        <f t="shared" si="167"/>
        <v>200.90891836066277</v>
      </c>
      <c r="M137" s="85">
        <f t="shared" si="167"/>
        <v>191.17088516753259</v>
      </c>
      <c r="N137" s="85">
        <f t="shared" si="167"/>
        <v>207.38652644817847</v>
      </c>
      <c r="O137" s="85">
        <f t="shared" si="167"/>
        <v>203.87186374533434</v>
      </c>
      <c r="P137" s="85">
        <f t="shared" si="167"/>
        <v>195.09344587203711</v>
      </c>
      <c r="Q137" s="85">
        <f t="shared" si="167"/>
        <v>235.10258052272829</v>
      </c>
      <c r="R137" s="85">
        <f t="shared" si="167"/>
        <v>232.80872997292155</v>
      </c>
      <c r="S137" s="85">
        <f t="shared" si="167"/>
        <v>250.17319381156804</v>
      </c>
      <c r="T137" s="85">
        <f t="shared" si="167"/>
        <v>259.09829830868136</v>
      </c>
      <c r="U137" s="85">
        <f t="shared" si="167"/>
        <v>254.54423102351637</v>
      </c>
      <c r="V137" s="85">
        <f t="shared" si="167"/>
        <v>230.21067689729603</v>
      </c>
      <c r="W137" s="85">
        <f t="shared" si="167"/>
        <v>237.37894685195843</v>
      </c>
      <c r="X137" s="85">
        <f t="shared" ref="X137:Y137" si="168">IF(X107=0,0,X107/X$26)</f>
        <v>238.1308934569054</v>
      </c>
      <c r="Y137" s="85">
        <f t="shared" si="168"/>
        <v>242.9249034101795</v>
      </c>
      <c r="DA137" s="117"/>
    </row>
    <row r="138" spans="1:105" ht="12" customHeight="1" x14ac:dyDescent="0.25">
      <c r="A138" s="61" t="s">
        <v>32</v>
      </c>
      <c r="B138" s="65">
        <f t="shared" ref="B138" si="169">IF(B108=0,0,B108/B$26)</f>
        <v>81.917189147693065</v>
      </c>
      <c r="C138" s="65">
        <f t="shared" ref="C138:W138" si="170">IF(C108=0,0,C108/C$26)</f>
        <v>84.354992434334562</v>
      </c>
      <c r="D138" s="65">
        <f t="shared" si="170"/>
        <v>82.91228223904244</v>
      </c>
      <c r="E138" s="65">
        <f t="shared" si="170"/>
        <v>94.906143137539289</v>
      </c>
      <c r="F138" s="65">
        <f t="shared" si="170"/>
        <v>100.43667124015361</v>
      </c>
      <c r="G138" s="65">
        <f t="shared" si="170"/>
        <v>119.99188028999654</v>
      </c>
      <c r="H138" s="65">
        <f t="shared" si="170"/>
        <v>123.9906840326138</v>
      </c>
      <c r="I138" s="65">
        <f t="shared" si="170"/>
        <v>117.04984074527052</v>
      </c>
      <c r="J138" s="65">
        <f t="shared" si="170"/>
        <v>138.36530480495429</v>
      </c>
      <c r="K138" s="65">
        <f t="shared" si="170"/>
        <v>139.1263119071067</v>
      </c>
      <c r="L138" s="65">
        <f t="shared" si="170"/>
        <v>141.19974085551257</v>
      </c>
      <c r="M138" s="65">
        <f t="shared" si="170"/>
        <v>129.09477266972874</v>
      </c>
      <c r="N138" s="65">
        <f t="shared" si="170"/>
        <v>135.52455526280977</v>
      </c>
      <c r="O138" s="65">
        <f t="shared" si="170"/>
        <v>140.50275334717091</v>
      </c>
      <c r="P138" s="65">
        <f t="shared" si="170"/>
        <v>133.07683791716136</v>
      </c>
      <c r="Q138" s="65">
        <f t="shared" si="170"/>
        <v>161.71853132682378</v>
      </c>
      <c r="R138" s="65">
        <f t="shared" si="170"/>
        <v>167.30026003450502</v>
      </c>
      <c r="S138" s="65">
        <f t="shared" si="170"/>
        <v>176.39368025260484</v>
      </c>
      <c r="T138" s="65">
        <f t="shared" si="170"/>
        <v>191.03165462632404</v>
      </c>
      <c r="U138" s="65">
        <f t="shared" si="170"/>
        <v>181.4887495489094</v>
      </c>
      <c r="V138" s="65">
        <f t="shared" si="170"/>
        <v>168.77050977543743</v>
      </c>
      <c r="W138" s="65">
        <f t="shared" si="170"/>
        <v>163.85380001857084</v>
      </c>
      <c r="X138" s="65">
        <f t="shared" ref="X138:Y138" si="171">IF(X108=0,0,X108/X$26)</f>
        <v>156.38988441807433</v>
      </c>
      <c r="Y138" s="65">
        <f t="shared" si="171"/>
        <v>166.30067977398377</v>
      </c>
      <c r="DA138" s="109"/>
    </row>
    <row r="139" spans="1:105" ht="12" customHeight="1" x14ac:dyDescent="0.25">
      <c r="A139" s="61" t="s">
        <v>31</v>
      </c>
      <c r="B139" s="65">
        <f t="shared" ref="B139" si="172">IF(B109=0,0,B109/B$26)</f>
        <v>6.3706570142484864</v>
      </c>
      <c r="C139" s="65">
        <f t="shared" ref="C139:W139" si="173">IF(C109=0,0,C109/C$26)</f>
        <v>7.405976716921896</v>
      </c>
      <c r="D139" s="65">
        <f t="shared" si="173"/>
        <v>6.9939657959201682</v>
      </c>
      <c r="E139" s="65">
        <f t="shared" si="173"/>
        <v>16.973362306887019</v>
      </c>
      <c r="F139" s="65">
        <f t="shared" si="173"/>
        <v>8.2165185199606832</v>
      </c>
      <c r="G139" s="65">
        <f t="shared" si="173"/>
        <v>8.6754444446505268</v>
      </c>
      <c r="H139" s="65">
        <f t="shared" si="173"/>
        <v>11.10869299984574</v>
      </c>
      <c r="I139" s="65">
        <f t="shared" si="173"/>
        <v>11.211414177044013</v>
      </c>
      <c r="J139" s="65">
        <f t="shared" si="173"/>
        <v>13.972858571076854</v>
      </c>
      <c r="K139" s="65">
        <f t="shared" si="173"/>
        <v>15.400973966598348</v>
      </c>
      <c r="L139" s="65">
        <f t="shared" si="173"/>
        <v>13.327687574655441</v>
      </c>
      <c r="M139" s="65">
        <f t="shared" si="173"/>
        <v>15.287782043021773</v>
      </c>
      <c r="N139" s="65">
        <f t="shared" si="173"/>
        <v>25.149861325677307</v>
      </c>
      <c r="O139" s="65">
        <f t="shared" si="173"/>
        <v>15.447633614912306</v>
      </c>
      <c r="P139" s="65">
        <f t="shared" si="173"/>
        <v>13.635805762940901</v>
      </c>
      <c r="Q139" s="65">
        <f t="shared" si="173"/>
        <v>24.68851922143503</v>
      </c>
      <c r="R139" s="65">
        <f t="shared" si="173"/>
        <v>16.069389517487522</v>
      </c>
      <c r="S139" s="65">
        <f t="shared" si="173"/>
        <v>24.696331943289699</v>
      </c>
      <c r="T139" s="65">
        <f t="shared" si="173"/>
        <v>18.938882919566591</v>
      </c>
      <c r="U139" s="65">
        <f t="shared" si="173"/>
        <v>25.400386809969479</v>
      </c>
      <c r="V139" s="65">
        <f t="shared" si="173"/>
        <v>18.544220548375236</v>
      </c>
      <c r="W139" s="65">
        <f t="shared" si="173"/>
        <v>23.172502556623748</v>
      </c>
      <c r="X139" s="65">
        <f t="shared" ref="X139:Y139" si="174">IF(X109=0,0,X109/X$26)</f>
        <v>30.299466367846446</v>
      </c>
      <c r="Y139" s="65">
        <f t="shared" si="174"/>
        <v>24.652433640361643</v>
      </c>
      <c r="DA139" s="109"/>
    </row>
    <row r="140" spans="1:105" ht="12" customHeight="1" x14ac:dyDescent="0.25">
      <c r="A140" s="61" t="s">
        <v>35</v>
      </c>
      <c r="B140" s="65">
        <f t="shared" ref="B140" si="175">IF(B110=0,0,B110/B$26)</f>
        <v>20.493678457775733</v>
      </c>
      <c r="C140" s="65">
        <f t="shared" ref="C140:W140" si="176">IF(C110=0,0,C110/C$26)</f>
        <v>20.89791613653605</v>
      </c>
      <c r="D140" s="65">
        <f t="shared" si="176"/>
        <v>21.165375497455052</v>
      </c>
      <c r="E140" s="65">
        <f t="shared" si="176"/>
        <v>20.938415196300863</v>
      </c>
      <c r="F140" s="65">
        <f t="shared" si="176"/>
        <v>21.365057797552957</v>
      </c>
      <c r="G140" s="65">
        <f t="shared" si="176"/>
        <v>21.10513394937642</v>
      </c>
      <c r="H140" s="65">
        <f t="shared" si="176"/>
        <v>21.13337408783892</v>
      </c>
      <c r="I140" s="65">
        <f t="shared" si="176"/>
        <v>21.587765263918559</v>
      </c>
      <c r="J140" s="65">
        <f t="shared" si="176"/>
        <v>21.524521324693559</v>
      </c>
      <c r="K140" s="65">
        <f t="shared" si="176"/>
        <v>21.460207362588015</v>
      </c>
      <c r="L140" s="65">
        <f t="shared" si="176"/>
        <v>21.588715178670292</v>
      </c>
      <c r="M140" s="65">
        <f t="shared" si="176"/>
        <v>21.93584364114411</v>
      </c>
      <c r="N140" s="65">
        <f t="shared" si="176"/>
        <v>21.724223863974952</v>
      </c>
      <c r="O140" s="65">
        <f t="shared" si="176"/>
        <v>22.586401427162521</v>
      </c>
      <c r="P140" s="65">
        <f t="shared" si="176"/>
        <v>22.883655674918479</v>
      </c>
      <c r="Q140" s="65">
        <f t="shared" si="176"/>
        <v>22.987193828930238</v>
      </c>
      <c r="R140" s="65">
        <f t="shared" si="176"/>
        <v>23.552295871457595</v>
      </c>
      <c r="S140" s="65">
        <f t="shared" si="176"/>
        <v>23.228483775819932</v>
      </c>
      <c r="T140" s="65">
        <f t="shared" si="176"/>
        <v>23.152960176879674</v>
      </c>
      <c r="U140" s="65">
        <f t="shared" si="176"/>
        <v>22.097837416512196</v>
      </c>
      <c r="V140" s="65">
        <f t="shared" si="176"/>
        <v>20.068499507467163</v>
      </c>
      <c r="W140" s="65">
        <f t="shared" si="176"/>
        <v>23.718486743319243</v>
      </c>
      <c r="X140" s="65">
        <f t="shared" ref="X140:Y140" si="177">IF(X110=0,0,X110/X$26)</f>
        <v>24.451671393632203</v>
      </c>
      <c r="Y140" s="65">
        <f t="shared" si="177"/>
        <v>24.679449847422706</v>
      </c>
      <c r="DA140" s="109"/>
    </row>
    <row r="141" spans="1:105" ht="12" customHeight="1" x14ac:dyDescent="0.25">
      <c r="A141" s="74" t="s">
        <v>34</v>
      </c>
      <c r="B141" s="68">
        <f t="shared" ref="B141" si="178">IF(B111=0,0,B111/B$26)</f>
        <v>22.08414582617657</v>
      </c>
      <c r="C141" s="68">
        <f t="shared" ref="C141:W141" si="179">IF(C111=0,0,C111/C$26)</f>
        <v>21.968393001485566</v>
      </c>
      <c r="D141" s="68">
        <f t="shared" si="179"/>
        <v>22.147819661191384</v>
      </c>
      <c r="E141" s="68">
        <f t="shared" si="179"/>
        <v>22.155858568146552</v>
      </c>
      <c r="F141" s="68">
        <f t="shared" si="179"/>
        <v>22.811005188356937</v>
      </c>
      <c r="G141" s="68">
        <f t="shared" si="179"/>
        <v>23.731097769640265</v>
      </c>
      <c r="H141" s="68">
        <f t="shared" si="179"/>
        <v>23.546852820717749</v>
      </c>
      <c r="I141" s="68">
        <f t="shared" si="179"/>
        <v>23.790160194988694</v>
      </c>
      <c r="J141" s="68">
        <f t="shared" si="179"/>
        <v>24.288373826776034</v>
      </c>
      <c r="K141" s="68">
        <f t="shared" si="179"/>
        <v>24.706998684653751</v>
      </c>
      <c r="L141" s="68">
        <f t="shared" si="179"/>
        <v>24.792774751824492</v>
      </c>
      <c r="M141" s="68">
        <f t="shared" si="179"/>
        <v>24.852486813637945</v>
      </c>
      <c r="N141" s="68">
        <f t="shared" si="179"/>
        <v>24.987885995716422</v>
      </c>
      <c r="O141" s="68">
        <f t="shared" si="179"/>
        <v>25.335075356088588</v>
      </c>
      <c r="P141" s="68">
        <f t="shared" si="179"/>
        <v>25.497146517016361</v>
      </c>
      <c r="Q141" s="68">
        <f t="shared" si="179"/>
        <v>25.70833614553927</v>
      </c>
      <c r="R141" s="68">
        <f t="shared" si="179"/>
        <v>25.886784549471415</v>
      </c>
      <c r="S141" s="68">
        <f t="shared" si="179"/>
        <v>25.854697839853579</v>
      </c>
      <c r="T141" s="68">
        <f t="shared" si="179"/>
        <v>25.974800585911005</v>
      </c>
      <c r="U141" s="68">
        <f t="shared" si="179"/>
        <v>25.557257248125328</v>
      </c>
      <c r="V141" s="68">
        <f t="shared" si="179"/>
        <v>22.827447066016195</v>
      </c>
      <c r="W141" s="68">
        <f t="shared" si="179"/>
        <v>26.634157533444604</v>
      </c>
      <c r="X141" s="68">
        <f t="shared" ref="X141:Y141" si="180">IF(X111=0,0,X111/X$26)</f>
        <v>26.989871277352439</v>
      </c>
      <c r="Y141" s="68">
        <f t="shared" si="180"/>
        <v>27.29234014841137</v>
      </c>
      <c r="DA141" s="111"/>
    </row>
    <row r="142" spans="1:105" s="2" customFormat="1" ht="12" customHeight="1" x14ac:dyDescent="0.25">
      <c r="DA142" s="7"/>
    </row>
    <row r="143" spans="1:105" ht="12.95" customHeight="1" x14ac:dyDescent="0.25">
      <c r="A143" s="81" t="s">
        <v>40</v>
      </c>
      <c r="B143" s="82">
        <f t="shared" ref="B143" si="181">IF(B113=0,0,B113/B$26)</f>
        <v>32.233132291246534</v>
      </c>
      <c r="C143" s="82">
        <f t="shared" ref="C143:W143" si="182">IF(C113=0,0,C113/C$26)</f>
        <v>32.120953853606409</v>
      </c>
      <c r="D143" s="82">
        <f t="shared" si="182"/>
        <v>30.121591236629811</v>
      </c>
      <c r="E143" s="82">
        <f t="shared" si="182"/>
        <v>34.018778527608013</v>
      </c>
      <c r="F143" s="82">
        <f t="shared" si="182"/>
        <v>33.731851097031878</v>
      </c>
      <c r="G143" s="82">
        <f t="shared" si="182"/>
        <v>39.177233762859316</v>
      </c>
      <c r="H143" s="82">
        <f t="shared" si="182"/>
        <v>38.767944317333559</v>
      </c>
      <c r="I143" s="82">
        <f t="shared" si="182"/>
        <v>35.616533582744864</v>
      </c>
      <c r="J143" s="82">
        <f t="shared" si="182"/>
        <v>42.21287412377675</v>
      </c>
      <c r="K143" s="82">
        <f t="shared" si="182"/>
        <v>41.020714872370171</v>
      </c>
      <c r="L143" s="82">
        <f t="shared" si="182"/>
        <v>40.881712158961356</v>
      </c>
      <c r="M143" s="82">
        <f t="shared" si="182"/>
        <v>34.45600439494271</v>
      </c>
      <c r="N143" s="82">
        <f t="shared" si="182"/>
        <v>33.879520362273347</v>
      </c>
      <c r="O143" s="82">
        <f t="shared" si="182"/>
        <v>33.666827325890985</v>
      </c>
      <c r="P143" s="82">
        <f t="shared" si="182"/>
        <v>28.022847280896958</v>
      </c>
      <c r="Q143" s="82">
        <f t="shared" si="182"/>
        <v>29.95583978197326</v>
      </c>
      <c r="R143" s="82">
        <f t="shared" si="182"/>
        <v>30.180163123925912</v>
      </c>
      <c r="S143" s="82">
        <f t="shared" si="182"/>
        <v>29.848260123569897</v>
      </c>
      <c r="T143" s="82">
        <f t="shared" si="182"/>
        <v>32.448772820282045</v>
      </c>
      <c r="U143" s="82">
        <f t="shared" si="182"/>
        <v>31.38692213918408</v>
      </c>
      <c r="V143" s="82">
        <f t="shared" si="182"/>
        <v>29.541075426682713</v>
      </c>
      <c r="W143" s="82">
        <f t="shared" si="182"/>
        <v>26.879156773201185</v>
      </c>
      <c r="X143" s="82">
        <f t="shared" ref="X143:Y143" si="183">IF(X113=0,0,X113/X$26)</f>
        <v>23.494225232791216</v>
      </c>
      <c r="Y143" s="82">
        <f t="shared" si="183"/>
        <v>25.639592624343532</v>
      </c>
      <c r="DA143" s="107"/>
    </row>
    <row r="144" spans="1:105" ht="12" customHeight="1" x14ac:dyDescent="0.25">
      <c r="A144" s="77" t="s">
        <v>36</v>
      </c>
      <c r="B144" s="64">
        <f t="shared" ref="B144" si="184">IF(B114=0,0,B114/B$26)</f>
        <v>32.233132291246534</v>
      </c>
      <c r="C144" s="64">
        <f t="shared" ref="C144:W144" si="185">IF(C114=0,0,C114/C$26)</f>
        <v>32.120953853606409</v>
      </c>
      <c r="D144" s="64">
        <f t="shared" si="185"/>
        <v>30.121591236629811</v>
      </c>
      <c r="E144" s="64">
        <f t="shared" si="185"/>
        <v>34.018778527608013</v>
      </c>
      <c r="F144" s="64">
        <f t="shared" si="185"/>
        <v>33.731851097031878</v>
      </c>
      <c r="G144" s="64">
        <f t="shared" si="185"/>
        <v>39.177233762859316</v>
      </c>
      <c r="H144" s="64">
        <f t="shared" si="185"/>
        <v>38.767944317333559</v>
      </c>
      <c r="I144" s="64">
        <f t="shared" si="185"/>
        <v>35.616533582744864</v>
      </c>
      <c r="J144" s="64">
        <f t="shared" si="185"/>
        <v>42.21287412377675</v>
      </c>
      <c r="K144" s="64">
        <f t="shared" si="185"/>
        <v>41.020714872370171</v>
      </c>
      <c r="L144" s="64">
        <f t="shared" si="185"/>
        <v>40.881712158961356</v>
      </c>
      <c r="M144" s="64">
        <f t="shared" si="185"/>
        <v>34.45600439494271</v>
      </c>
      <c r="N144" s="64">
        <f t="shared" si="185"/>
        <v>33.879520362273347</v>
      </c>
      <c r="O144" s="64">
        <f t="shared" si="185"/>
        <v>33.666827325890985</v>
      </c>
      <c r="P144" s="64">
        <f t="shared" si="185"/>
        <v>28.022847280896958</v>
      </c>
      <c r="Q144" s="64">
        <f t="shared" si="185"/>
        <v>29.95583978197326</v>
      </c>
      <c r="R144" s="64">
        <f t="shared" si="185"/>
        <v>30.180163123925912</v>
      </c>
      <c r="S144" s="64">
        <f t="shared" si="185"/>
        <v>29.848260123569897</v>
      </c>
      <c r="T144" s="64">
        <f t="shared" si="185"/>
        <v>32.448772820282045</v>
      </c>
      <c r="U144" s="64">
        <f t="shared" si="185"/>
        <v>31.38692213918408</v>
      </c>
      <c r="V144" s="64">
        <f t="shared" si="185"/>
        <v>29.541075426682713</v>
      </c>
      <c r="W144" s="64">
        <f t="shared" si="185"/>
        <v>26.879156773201185</v>
      </c>
      <c r="X144" s="64">
        <f t="shared" ref="X144:Y144" si="186">IF(X114=0,0,X114/X$26)</f>
        <v>23.494225232791216</v>
      </c>
      <c r="Y144" s="64">
        <f t="shared" si="186"/>
        <v>25.639592624343532</v>
      </c>
      <c r="DA144" s="108"/>
    </row>
    <row r="145" spans="1:105" ht="12" customHeight="1" x14ac:dyDescent="0.25">
      <c r="A145" s="61" t="s">
        <v>32</v>
      </c>
      <c r="B145" s="65">
        <f t="shared" ref="B145" si="187">IF(B115=0,0,B115/B$26)</f>
        <v>21.650652876057965</v>
      </c>
      <c r="C145" s="65">
        <f t="shared" ref="C145:W145" si="188">IF(C115=0,0,C115/C$26)</f>
        <v>21.89219716193556</v>
      </c>
      <c r="D145" s="65">
        <f t="shared" si="188"/>
        <v>20.510679277652823</v>
      </c>
      <c r="E145" s="65">
        <f t="shared" si="188"/>
        <v>25.411846263071954</v>
      </c>
      <c r="F145" s="65">
        <f t="shared" si="188"/>
        <v>25.569913084004583</v>
      </c>
      <c r="G145" s="65">
        <f t="shared" si="188"/>
        <v>30.772830586220646</v>
      </c>
      <c r="H145" s="65">
        <f t="shared" si="188"/>
        <v>30.908045894142589</v>
      </c>
      <c r="I145" s="65">
        <f t="shared" si="188"/>
        <v>27.436482775897847</v>
      </c>
      <c r="J145" s="65">
        <f t="shared" si="188"/>
        <v>34.3691994525959</v>
      </c>
      <c r="K145" s="65">
        <f t="shared" si="188"/>
        <v>32.794472090936978</v>
      </c>
      <c r="L145" s="65">
        <f t="shared" si="188"/>
        <v>32.696121861978945</v>
      </c>
      <c r="M145" s="65">
        <f t="shared" si="188"/>
        <v>26.174429663328208</v>
      </c>
      <c r="N145" s="65">
        <f t="shared" si="188"/>
        <v>25.628449976283964</v>
      </c>
      <c r="O145" s="65">
        <f t="shared" si="188"/>
        <v>25.216651872210306</v>
      </c>
      <c r="P145" s="65">
        <f t="shared" si="188"/>
        <v>19.107786055675529</v>
      </c>
      <c r="Q145" s="65">
        <f t="shared" si="188"/>
        <v>20.982521214970063</v>
      </c>
      <c r="R145" s="65">
        <f t="shared" si="188"/>
        <v>21.049999832315635</v>
      </c>
      <c r="S145" s="65">
        <f t="shared" si="188"/>
        <v>20.649375575008261</v>
      </c>
      <c r="T145" s="65">
        <f t="shared" si="188"/>
        <v>23.518693817177887</v>
      </c>
      <c r="U145" s="65">
        <f t="shared" si="188"/>
        <v>22.573156182051989</v>
      </c>
      <c r="V145" s="65">
        <f t="shared" si="188"/>
        <v>21.449432690970045</v>
      </c>
      <c r="W145" s="65">
        <f t="shared" si="188"/>
        <v>18.81330980300709</v>
      </c>
      <c r="X145" s="65">
        <f t="shared" ref="X145:Y145" si="189">IF(X115=0,0,X115/X$26)</f>
        <v>15.360289421622525</v>
      </c>
      <c r="Y145" s="65">
        <f t="shared" si="189"/>
        <v>17.449666549381078</v>
      </c>
      <c r="DA145" s="109"/>
    </row>
    <row r="146" spans="1:105" ht="12" customHeight="1" x14ac:dyDescent="0.25">
      <c r="A146" s="61" t="s">
        <v>31</v>
      </c>
      <c r="B146" s="65">
        <f t="shared" ref="B146" si="190">IF(B116=0,0,B116/B$26)</f>
        <v>2.0042020623631603E-3</v>
      </c>
      <c r="C146" s="65">
        <f t="shared" ref="C146:W146" si="191">IF(C116=0,0,C116/C$26)</f>
        <v>3.3932599438852538E-3</v>
      </c>
      <c r="D146" s="65">
        <f t="shared" si="191"/>
        <v>3.1186373464116434E-3</v>
      </c>
      <c r="E146" s="65">
        <f t="shared" si="191"/>
        <v>9.36171323580803E-3</v>
      </c>
      <c r="F146" s="65">
        <f t="shared" si="191"/>
        <v>5.5508962585449281E-3</v>
      </c>
      <c r="G146" s="65">
        <f t="shared" si="191"/>
        <v>6.2179090213887239E-3</v>
      </c>
      <c r="H146" s="65">
        <f t="shared" si="191"/>
        <v>8.9146849482868735E-3</v>
      </c>
      <c r="I146" s="65">
        <f t="shared" si="191"/>
        <v>9.744726833990882E-3</v>
      </c>
      <c r="J146" s="65">
        <f t="shared" si="191"/>
        <v>1.3605002077416412E-2</v>
      </c>
      <c r="K146" s="65">
        <f t="shared" si="191"/>
        <v>1.7347861890251892E-2</v>
      </c>
      <c r="L146" s="65">
        <f t="shared" si="191"/>
        <v>1.6582286113952335E-2</v>
      </c>
      <c r="M146" s="65">
        <f t="shared" si="191"/>
        <v>2.025178187476278E-2</v>
      </c>
      <c r="N146" s="65">
        <f t="shared" si="191"/>
        <v>3.5052933907651067E-2</v>
      </c>
      <c r="O146" s="65">
        <f t="shared" si="191"/>
        <v>2.3760268765675028E-2</v>
      </c>
      <c r="P146" s="65">
        <f t="shared" si="191"/>
        <v>2.2604603148197833E-2</v>
      </c>
      <c r="Q146" s="65">
        <f t="shared" si="191"/>
        <v>4.3228356322616138E-2</v>
      </c>
      <c r="R146" s="65">
        <f t="shared" si="191"/>
        <v>3.0356813451203536E-2</v>
      </c>
      <c r="S146" s="65">
        <f t="shared" si="191"/>
        <v>4.826938844470869E-2</v>
      </c>
      <c r="T146" s="65">
        <f t="shared" si="191"/>
        <v>3.7936690497858409E-2</v>
      </c>
      <c r="U146" s="65">
        <f t="shared" si="191"/>
        <v>5.0913026035858379E-2</v>
      </c>
      <c r="V146" s="65">
        <f t="shared" si="191"/>
        <v>3.7219541761479694E-2</v>
      </c>
      <c r="W146" s="65">
        <f t="shared" si="191"/>
        <v>4.5576818210411291E-2</v>
      </c>
      <c r="X146" s="65">
        <f t="shared" ref="X146:Y146" si="192">IF(X116=0,0,X116/X$26)</f>
        <v>6.2955433708002384E-2</v>
      </c>
      <c r="Y146" s="65">
        <f t="shared" si="192"/>
        <v>5.7960867355064893E-2</v>
      </c>
      <c r="DA146" s="109"/>
    </row>
    <row r="147" spans="1:105" ht="12" customHeight="1" x14ac:dyDescent="0.25">
      <c r="A147" s="61" t="s">
        <v>35</v>
      </c>
      <c r="B147" s="65">
        <f t="shared" ref="B147" si="193">IF(B117=0,0,B117/B$26)</f>
        <v>4.1411158676136166</v>
      </c>
      <c r="C147" s="65">
        <f t="shared" ref="C147:W147" si="194">IF(C117=0,0,C117/C$26)</f>
        <v>4.0701155216044906</v>
      </c>
      <c r="D147" s="65">
        <f t="shared" si="194"/>
        <v>3.9326251517338942</v>
      </c>
      <c r="E147" s="65">
        <f t="shared" si="194"/>
        <v>3.8216832296482655</v>
      </c>
      <c r="F147" s="65">
        <f t="shared" si="194"/>
        <v>3.7323854075687888</v>
      </c>
      <c r="G147" s="65">
        <f t="shared" si="194"/>
        <v>3.7317842856665284</v>
      </c>
      <c r="H147" s="65">
        <f t="shared" si="194"/>
        <v>3.6356226759511516</v>
      </c>
      <c r="I147" s="65">
        <f t="shared" si="194"/>
        <v>3.5173077205799332</v>
      </c>
      <c r="J147" s="65">
        <f t="shared" si="194"/>
        <v>3.4951180825160453</v>
      </c>
      <c r="K147" s="65">
        <f t="shared" si="194"/>
        <v>3.4138089526158493</v>
      </c>
      <c r="L147" s="65">
        <f t="shared" si="194"/>
        <v>3.3110097843455568</v>
      </c>
      <c r="M147" s="65">
        <f t="shared" si="194"/>
        <v>3.2875734543733759</v>
      </c>
      <c r="N147" s="65">
        <f t="shared" si="194"/>
        <v>3.2259949203237017</v>
      </c>
      <c r="O147" s="65">
        <f t="shared" si="194"/>
        <v>3.2247075153712679</v>
      </c>
      <c r="P147" s="65">
        <f t="shared" si="194"/>
        <v>3.1608510783682</v>
      </c>
      <c r="Q147" s="65">
        <f t="shared" si="194"/>
        <v>3.1516613206838184</v>
      </c>
      <c r="R147" s="65">
        <f t="shared" si="194"/>
        <v>3.1782499016647687</v>
      </c>
      <c r="S147" s="65">
        <f t="shared" si="194"/>
        <v>3.2809839440286988</v>
      </c>
      <c r="T147" s="65">
        <f t="shared" si="194"/>
        <v>3.4168031153196621</v>
      </c>
      <c r="U147" s="65">
        <f t="shared" si="194"/>
        <v>2.9370883187911927</v>
      </c>
      <c r="V147" s="65">
        <f t="shared" si="194"/>
        <v>2.7004474522307258</v>
      </c>
      <c r="W147" s="65">
        <f t="shared" si="194"/>
        <v>2.8217671347610436</v>
      </c>
      <c r="X147" s="65">
        <f t="shared" ref="X147:Y147" si="195">IF(X117=0,0,X117/X$26)</f>
        <v>2.8250315133587689</v>
      </c>
      <c r="Y147" s="65">
        <f t="shared" si="195"/>
        <v>2.8261318627057941</v>
      </c>
      <c r="DA147" s="109"/>
    </row>
    <row r="148" spans="1:105" ht="12" customHeight="1" x14ac:dyDescent="0.25">
      <c r="A148" s="66" t="s">
        <v>34</v>
      </c>
      <c r="B148" s="67">
        <f t="shared" ref="B148" si="196">IF(B118=0,0,B118/B$26)</f>
        <v>6.4393593455125817</v>
      </c>
      <c r="C148" s="67">
        <f t="shared" ref="C148:W148" si="197">IF(C118=0,0,C118/C$26)</f>
        <v>6.1552479101224726</v>
      </c>
      <c r="D148" s="67">
        <f t="shared" si="197"/>
        <v>5.6751681698966809</v>
      </c>
      <c r="E148" s="67">
        <f t="shared" si="197"/>
        <v>4.7758873216519797</v>
      </c>
      <c r="F148" s="67">
        <f t="shared" si="197"/>
        <v>4.4240017091999642</v>
      </c>
      <c r="G148" s="67">
        <f t="shared" si="197"/>
        <v>4.6664009819507539</v>
      </c>
      <c r="H148" s="67">
        <f t="shared" si="197"/>
        <v>4.215361062291529</v>
      </c>
      <c r="I148" s="67">
        <f t="shared" si="197"/>
        <v>4.6529983594330924</v>
      </c>
      <c r="J148" s="67">
        <f t="shared" si="197"/>
        <v>4.3349515865873931</v>
      </c>
      <c r="K148" s="67">
        <f t="shared" si="197"/>
        <v>4.7950859669270951</v>
      </c>
      <c r="L148" s="67">
        <f t="shared" si="197"/>
        <v>4.8579982265228958</v>
      </c>
      <c r="M148" s="67">
        <f t="shared" si="197"/>
        <v>4.9737494953663663</v>
      </c>
      <c r="N148" s="67">
        <f t="shared" si="197"/>
        <v>4.9900225317580338</v>
      </c>
      <c r="O148" s="67">
        <f t="shared" si="197"/>
        <v>5.201707669543735</v>
      </c>
      <c r="P148" s="67">
        <f t="shared" si="197"/>
        <v>5.7316055437050357</v>
      </c>
      <c r="Q148" s="67">
        <f t="shared" si="197"/>
        <v>5.7784288899967668</v>
      </c>
      <c r="R148" s="67">
        <f t="shared" si="197"/>
        <v>5.9215565764942983</v>
      </c>
      <c r="S148" s="67">
        <f t="shared" si="197"/>
        <v>5.86963121608823</v>
      </c>
      <c r="T148" s="67">
        <f t="shared" si="197"/>
        <v>5.475339197286635</v>
      </c>
      <c r="U148" s="67">
        <f t="shared" si="197"/>
        <v>5.8257646123050435</v>
      </c>
      <c r="V148" s="67">
        <f t="shared" si="197"/>
        <v>5.3539757417204594</v>
      </c>
      <c r="W148" s="67">
        <f t="shared" si="197"/>
        <v>5.1985030172226452</v>
      </c>
      <c r="X148" s="67">
        <f t="shared" ref="X148:Y148" si="198">IF(X118=0,0,X118/X$26)</f>
        <v>5.2459488641019201</v>
      </c>
      <c r="Y148" s="67">
        <f t="shared" si="198"/>
        <v>5.3058333449015977</v>
      </c>
      <c r="DA148" s="110"/>
    </row>
    <row r="149" spans="1:105" ht="12" customHeight="1" x14ac:dyDescent="0.25">
      <c r="A149" s="78" t="s">
        <v>33</v>
      </c>
      <c r="B149" s="68">
        <f t="shared" ref="B149" si="199">IF(B119=0,0,B119/B$26)</f>
        <v>0</v>
      </c>
      <c r="C149" s="68">
        <f t="shared" ref="C149:W149" si="200">IF(C119=0,0,C119/C$26)</f>
        <v>0</v>
      </c>
      <c r="D149" s="68">
        <f t="shared" si="200"/>
        <v>0</v>
      </c>
      <c r="E149" s="68">
        <f t="shared" si="200"/>
        <v>0</v>
      </c>
      <c r="F149" s="68">
        <f t="shared" si="200"/>
        <v>0</v>
      </c>
      <c r="G149" s="68">
        <f t="shared" si="200"/>
        <v>0</v>
      </c>
      <c r="H149" s="68">
        <f t="shared" si="200"/>
        <v>0</v>
      </c>
      <c r="I149" s="68">
        <f t="shared" si="200"/>
        <v>0</v>
      </c>
      <c r="J149" s="68">
        <f t="shared" si="200"/>
        <v>0</v>
      </c>
      <c r="K149" s="68">
        <f t="shared" si="200"/>
        <v>0</v>
      </c>
      <c r="L149" s="68">
        <f t="shared" si="200"/>
        <v>0</v>
      </c>
      <c r="M149" s="68">
        <f t="shared" si="200"/>
        <v>0</v>
      </c>
      <c r="N149" s="68">
        <f t="shared" si="200"/>
        <v>0</v>
      </c>
      <c r="O149" s="68">
        <f t="shared" si="200"/>
        <v>0</v>
      </c>
      <c r="P149" s="68">
        <f t="shared" si="200"/>
        <v>0</v>
      </c>
      <c r="Q149" s="68">
        <f t="shared" si="200"/>
        <v>0</v>
      </c>
      <c r="R149" s="68">
        <f t="shared" si="200"/>
        <v>0</v>
      </c>
      <c r="S149" s="68">
        <f t="shared" si="200"/>
        <v>0</v>
      </c>
      <c r="T149" s="68">
        <f t="shared" si="200"/>
        <v>0</v>
      </c>
      <c r="U149" s="68">
        <f t="shared" si="200"/>
        <v>0</v>
      </c>
      <c r="V149" s="68">
        <f t="shared" si="200"/>
        <v>0</v>
      </c>
      <c r="W149" s="68">
        <f t="shared" si="200"/>
        <v>0</v>
      </c>
      <c r="X149" s="68">
        <f t="shared" ref="X149:Y149" si="201">IF(X119=0,0,X119/X$26)</f>
        <v>0</v>
      </c>
      <c r="Y149" s="68">
        <f t="shared" si="201"/>
        <v>0</v>
      </c>
      <c r="DA149" s="111"/>
    </row>
    <row r="151" spans="1:105" s="2" customFormat="1" ht="6.6" customHeight="1" x14ac:dyDescent="0.25">
      <c r="A151" s="30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DA151" s="32"/>
    </row>
    <row r="152" spans="1:105" s="2" customFormat="1" ht="12" customHeight="1" x14ac:dyDescent="0.25">
      <c r="DA152" s="7"/>
    </row>
    <row r="153" spans="1:105" ht="12.95" customHeight="1" x14ac:dyDescent="0.25">
      <c r="A153" s="81" t="s">
        <v>39</v>
      </c>
      <c r="B153" s="82">
        <f t="shared" ref="B153" si="202">IF(B99=0,0,B99/B$23)</f>
        <v>8839.3277465055962</v>
      </c>
      <c r="C153" s="82">
        <f t="shared" ref="C153:W153" si="203">IF(C99=0,0,C99/C$23)</f>
        <v>8927.7074031643788</v>
      </c>
      <c r="D153" s="82">
        <f t="shared" si="203"/>
        <v>8718.2248595913607</v>
      </c>
      <c r="E153" s="82">
        <f t="shared" si="203"/>
        <v>9469.5543097822847</v>
      </c>
      <c r="F153" s="82">
        <f t="shared" si="203"/>
        <v>9595.5433969598253</v>
      </c>
      <c r="G153" s="82">
        <f t="shared" si="203"/>
        <v>10646.749125920198</v>
      </c>
      <c r="H153" s="82">
        <f t="shared" si="203"/>
        <v>10754.921791864523</v>
      </c>
      <c r="I153" s="82">
        <f t="shared" si="203"/>
        <v>10343.286979862743</v>
      </c>
      <c r="J153" s="82">
        <f t="shared" si="203"/>
        <v>11491.116711187278</v>
      </c>
      <c r="K153" s="82">
        <f t="shared" si="203"/>
        <v>11530.241533062452</v>
      </c>
      <c r="L153" s="82">
        <f t="shared" si="203"/>
        <v>11558.073684692281</v>
      </c>
      <c r="M153" s="82">
        <f t="shared" si="203"/>
        <v>10654.795675193775</v>
      </c>
      <c r="N153" s="82">
        <f t="shared" si="203"/>
        <v>10698.777860476324</v>
      </c>
      <c r="O153" s="82">
        <f t="shared" si="203"/>
        <v>10724.000353682413</v>
      </c>
      <c r="P153" s="82">
        <f t="shared" si="203"/>
        <v>9852.2143416211329</v>
      </c>
      <c r="Q153" s="82">
        <f t="shared" si="203"/>
        <v>10244.142648036475</v>
      </c>
      <c r="R153" s="82">
        <f t="shared" si="203"/>
        <v>10123.383183591222</v>
      </c>
      <c r="S153" s="82">
        <f t="shared" si="203"/>
        <v>10094.539282776017</v>
      </c>
      <c r="T153" s="82">
        <f t="shared" si="203"/>
        <v>10500.079786669985</v>
      </c>
      <c r="U153" s="82">
        <f t="shared" si="203"/>
        <v>9966.8958303722102</v>
      </c>
      <c r="V153" s="82">
        <f t="shared" si="203"/>
        <v>9155.2867290329577</v>
      </c>
      <c r="W153" s="82">
        <f t="shared" si="203"/>
        <v>9412.6122298436803</v>
      </c>
      <c r="X153" s="82">
        <f t="shared" ref="X153:Y153" si="204">IF(X99=0,0,X99/X$23)</f>
        <v>8869.0611815710436</v>
      </c>
      <c r="Y153" s="82">
        <f t="shared" si="204"/>
        <v>8888.1572768901715</v>
      </c>
      <c r="DA153" s="107"/>
    </row>
    <row r="154" spans="1:105" ht="12" customHeight="1" x14ac:dyDescent="0.25">
      <c r="A154" s="77" t="s">
        <v>36</v>
      </c>
      <c r="B154" s="64">
        <f t="shared" ref="B154" si="205">IF(B100=0,0,B100/B$23)</f>
        <v>6940.0926209386616</v>
      </c>
      <c r="C154" s="64">
        <f t="shared" ref="C154:W154" si="206">IF(C100=0,0,C100/C$23)</f>
        <v>7008.8855432576647</v>
      </c>
      <c r="D154" s="64">
        <f t="shared" si="206"/>
        <v>6780.2976861756542</v>
      </c>
      <c r="E154" s="64">
        <f t="shared" si="206"/>
        <v>7504.0691562313068</v>
      </c>
      <c r="F154" s="64">
        <f t="shared" si="206"/>
        <v>7576.7629813574304</v>
      </c>
      <c r="G154" s="64">
        <f t="shared" si="206"/>
        <v>8579.4229308982394</v>
      </c>
      <c r="H154" s="64">
        <f t="shared" si="206"/>
        <v>8655.7694437456921</v>
      </c>
      <c r="I154" s="64">
        <f t="shared" si="206"/>
        <v>8207.3856877484959</v>
      </c>
      <c r="J154" s="64">
        <f t="shared" si="206"/>
        <v>9318.8422406831523</v>
      </c>
      <c r="K154" s="64">
        <f t="shared" si="206"/>
        <v>9301.7248136491962</v>
      </c>
      <c r="L154" s="64">
        <f t="shared" si="206"/>
        <v>9299.2332053427144</v>
      </c>
      <c r="M154" s="64">
        <f t="shared" si="206"/>
        <v>8387.2348941683904</v>
      </c>
      <c r="N154" s="64">
        <f t="shared" si="206"/>
        <v>8425.5454352688594</v>
      </c>
      <c r="O154" s="64">
        <f t="shared" si="206"/>
        <v>8404.0264845040292</v>
      </c>
      <c r="P154" s="64">
        <f t="shared" si="206"/>
        <v>7493.3330570323224</v>
      </c>
      <c r="Q154" s="64">
        <f t="shared" si="206"/>
        <v>7871.2143529442228</v>
      </c>
      <c r="R154" s="64">
        <f t="shared" si="206"/>
        <v>7785.5807647053334</v>
      </c>
      <c r="S154" s="64">
        <f t="shared" si="206"/>
        <v>7762.4163337099508</v>
      </c>
      <c r="T154" s="64">
        <f t="shared" si="206"/>
        <v>8221.7564372123179</v>
      </c>
      <c r="U154" s="64">
        <f t="shared" si="206"/>
        <v>7740.9036902751868</v>
      </c>
      <c r="V154" s="64">
        <f t="shared" si="206"/>
        <v>7058.2312894381021</v>
      </c>
      <c r="W154" s="64">
        <f t="shared" si="206"/>
        <v>7322.8079929536543</v>
      </c>
      <c r="X154" s="64">
        <f t="shared" ref="X154:Y154" si="207">IF(X100=0,0,X100/X$23)</f>
        <v>6815.2431589106345</v>
      </c>
      <c r="Y154" s="64">
        <f t="shared" si="207"/>
        <v>6899.6925683947329</v>
      </c>
      <c r="DA154" s="108"/>
    </row>
    <row r="155" spans="1:105" ht="12" customHeight="1" x14ac:dyDescent="0.25">
      <c r="A155" s="61" t="s">
        <v>32</v>
      </c>
      <c r="B155" s="65">
        <f t="shared" ref="B155" si="208">IF(B101=0,0,B101/B$23)</f>
        <v>4638.2062020074191</v>
      </c>
      <c r="C155" s="65">
        <f t="shared" ref="C155:W155" si="209">IF(C101=0,0,C101/C$23)</f>
        <v>4708.6684094680422</v>
      </c>
      <c r="D155" s="65">
        <f t="shared" si="209"/>
        <v>4514.6165009387551</v>
      </c>
      <c r="E155" s="65">
        <f t="shared" si="209"/>
        <v>5168.5937406828607</v>
      </c>
      <c r="F155" s="65">
        <f t="shared" si="209"/>
        <v>5356.6713210996122</v>
      </c>
      <c r="G155" s="65">
        <f t="shared" si="209"/>
        <v>6336.0269269417231</v>
      </c>
      <c r="H155" s="65">
        <f t="shared" si="209"/>
        <v>6424.800936188316</v>
      </c>
      <c r="I155" s="65">
        <f t="shared" si="209"/>
        <v>5942.2818981975133</v>
      </c>
      <c r="J155" s="65">
        <f t="shared" si="209"/>
        <v>7039.1406697989405</v>
      </c>
      <c r="K155" s="65">
        <f t="shared" si="209"/>
        <v>6971.5527127214318</v>
      </c>
      <c r="L155" s="65">
        <f t="shared" si="209"/>
        <v>6991.6649439134117</v>
      </c>
      <c r="M155" s="65">
        <f t="shared" si="209"/>
        <v>6055.2018212464582</v>
      </c>
      <c r="N155" s="65">
        <f t="shared" si="209"/>
        <v>6024.391793085495</v>
      </c>
      <c r="O155" s="65">
        <f t="shared" si="209"/>
        <v>6047.1520328789838</v>
      </c>
      <c r="P155" s="65">
        <f t="shared" si="209"/>
        <v>5117.0524751048088</v>
      </c>
      <c r="Q155" s="65">
        <f t="shared" si="209"/>
        <v>5412.2127168491397</v>
      </c>
      <c r="R155" s="65">
        <f t="shared" si="209"/>
        <v>5425.6616356296645</v>
      </c>
      <c r="S155" s="65">
        <f t="shared" si="209"/>
        <v>5395.1557930326126</v>
      </c>
      <c r="T155" s="65">
        <f t="shared" si="209"/>
        <v>5954.7896028450768</v>
      </c>
      <c r="U155" s="65">
        <f t="shared" si="209"/>
        <v>5504.9372745902365</v>
      </c>
      <c r="V155" s="65">
        <f t="shared" si="209"/>
        <v>5042.4990902490563</v>
      </c>
      <c r="W155" s="65">
        <f t="shared" si="209"/>
        <v>5035.6608514721938</v>
      </c>
      <c r="X155" s="65">
        <f t="shared" ref="X155:Y155" si="210">IF(X101=0,0,X101/X$23)</f>
        <v>4494.1443609890721</v>
      </c>
      <c r="Y155" s="65">
        <f t="shared" si="210"/>
        <v>4664.4922457438697</v>
      </c>
      <c r="DA155" s="109"/>
    </row>
    <row r="156" spans="1:105" ht="12" customHeight="1" x14ac:dyDescent="0.25">
      <c r="A156" s="61" t="s">
        <v>31</v>
      </c>
      <c r="B156" s="65">
        <f t="shared" ref="B156" si="211">IF(B102=0,0,B102/B$23)</f>
        <v>109.63660260914376</v>
      </c>
      <c r="C156" s="65">
        <f t="shared" ref="C156:W156" si="212">IF(C102=0,0,C102/C$23)</f>
        <v>121.80990754778674</v>
      </c>
      <c r="D156" s="65">
        <f t="shared" si="212"/>
        <v>109.21151453763633</v>
      </c>
      <c r="E156" s="65">
        <f t="shared" si="212"/>
        <v>252.07273648495087</v>
      </c>
      <c r="F156" s="65">
        <f t="shared" si="212"/>
        <v>116.30113290881535</v>
      </c>
      <c r="G156" s="65">
        <f t="shared" si="212"/>
        <v>117.11651330649602</v>
      </c>
      <c r="H156" s="65">
        <f t="shared" si="212"/>
        <v>141.48017693192816</v>
      </c>
      <c r="I156" s="65">
        <f t="shared" si="212"/>
        <v>135.14361511145617</v>
      </c>
      <c r="J156" s="65">
        <f t="shared" si="212"/>
        <v>159.16810635629506</v>
      </c>
      <c r="K156" s="65">
        <f t="shared" si="212"/>
        <v>173.43117751808674</v>
      </c>
      <c r="L156" s="65">
        <f t="shared" si="212"/>
        <v>146.61391912402252</v>
      </c>
      <c r="M156" s="65">
        <f t="shared" si="212"/>
        <v>162.14097393359452</v>
      </c>
      <c r="N156" s="65">
        <f t="shared" si="212"/>
        <v>257.12845055924436</v>
      </c>
      <c r="O156" s="65">
        <f t="shared" si="212"/>
        <v>154.15328393311557</v>
      </c>
      <c r="P156" s="65">
        <f t="shared" si="212"/>
        <v>132.12336641438736</v>
      </c>
      <c r="Q156" s="65">
        <f t="shared" si="212"/>
        <v>229.46225384499246</v>
      </c>
      <c r="R156" s="65">
        <f t="shared" si="212"/>
        <v>141.81600482239966</v>
      </c>
      <c r="S156" s="65">
        <f t="shared" si="212"/>
        <v>208.33872828424617</v>
      </c>
      <c r="T156" s="65">
        <f t="shared" si="212"/>
        <v>154.20309077420467</v>
      </c>
      <c r="U156" s="65">
        <f t="shared" si="212"/>
        <v>200.51734050721961</v>
      </c>
      <c r="V156" s="65">
        <f t="shared" si="212"/>
        <v>146.64025923627759</v>
      </c>
      <c r="W156" s="65">
        <f t="shared" si="212"/>
        <v>178.08342266993503</v>
      </c>
      <c r="X156" s="65">
        <f t="shared" ref="X156:Y156" si="213">IF(X102=0,0,X102/X$23)</f>
        <v>225.95366592145584</v>
      </c>
      <c r="Y156" s="65">
        <f t="shared" si="213"/>
        <v>178.60278034725468</v>
      </c>
      <c r="DA156" s="109"/>
    </row>
    <row r="157" spans="1:105" ht="12" customHeight="1" x14ac:dyDescent="0.25">
      <c r="A157" s="61" t="s">
        <v>35</v>
      </c>
      <c r="B157" s="65">
        <f t="shared" ref="B157" si="214">IF(B103=0,0,B103/B$23)</f>
        <v>1097.171441475879</v>
      </c>
      <c r="C157" s="65">
        <f t="shared" ref="C157:W157" si="215">IF(C103=0,0,C103/C$23)</f>
        <v>1104.5314351236109</v>
      </c>
      <c r="D157" s="65">
        <f t="shared" si="215"/>
        <v>1101.4744930990053</v>
      </c>
      <c r="E157" s="65">
        <f t="shared" si="215"/>
        <v>1072.5632188808645</v>
      </c>
      <c r="F157" s="65">
        <f t="shared" si="215"/>
        <v>1082.6857413505716</v>
      </c>
      <c r="G157" s="65">
        <f t="shared" si="215"/>
        <v>1063.1934730137489</v>
      </c>
      <c r="H157" s="65">
        <f t="shared" si="215"/>
        <v>1053.0293828928825</v>
      </c>
      <c r="I157" s="65">
        <f t="shared" si="215"/>
        <v>1065.9313813055644</v>
      </c>
      <c r="J157" s="65">
        <f t="shared" si="215"/>
        <v>1052.4131245853412</v>
      </c>
      <c r="K157" s="65">
        <f t="shared" si="215"/>
        <v>1047.5014095240156</v>
      </c>
      <c r="L157" s="65">
        <f t="shared" si="215"/>
        <v>1043.1816824561931</v>
      </c>
      <c r="M157" s="65">
        <f t="shared" si="215"/>
        <v>1046.50146312524</v>
      </c>
      <c r="N157" s="65">
        <f t="shared" si="215"/>
        <v>1018.4014851715957</v>
      </c>
      <c r="O157" s="65">
        <f t="shared" si="215"/>
        <v>1048.9958735550147</v>
      </c>
      <c r="P157" s="65">
        <f t="shared" si="215"/>
        <v>1058.7788225654847</v>
      </c>
      <c r="Q157" s="65">
        <f t="shared" si="215"/>
        <v>1044.947926472785</v>
      </c>
      <c r="R157" s="65">
        <f t="shared" si="215"/>
        <v>1040.9790223984855</v>
      </c>
      <c r="S157" s="65">
        <f t="shared" si="215"/>
        <v>1000.4391792332673</v>
      </c>
      <c r="T157" s="65">
        <f t="shared" si="215"/>
        <v>975.63958660631351</v>
      </c>
      <c r="U157" s="65">
        <f t="shared" si="215"/>
        <v>907.02072946482463</v>
      </c>
      <c r="V157" s="65">
        <f t="shared" si="215"/>
        <v>831.11627705789817</v>
      </c>
      <c r="W157" s="65">
        <f t="shared" si="215"/>
        <v>954.32300010901577</v>
      </c>
      <c r="X157" s="65">
        <f t="shared" ref="X157:Y157" si="216">IF(X103=0,0,X103/X$23)</f>
        <v>948.92086351287435</v>
      </c>
      <c r="Y157" s="65">
        <f t="shared" si="216"/>
        <v>923.43300075443335</v>
      </c>
      <c r="DA157" s="109"/>
    </row>
    <row r="158" spans="1:105" ht="12" customHeight="1" x14ac:dyDescent="0.25">
      <c r="A158" s="66" t="s">
        <v>34</v>
      </c>
      <c r="B158" s="67">
        <f t="shared" ref="B158" si="217">IF(B104=0,0,B104/B$23)</f>
        <v>1095.0783748462186</v>
      </c>
      <c r="C158" s="67">
        <f t="shared" ref="C158:W158" si="218">IF(C104=0,0,C104/C$23)</f>
        <v>1073.8757911182247</v>
      </c>
      <c r="D158" s="67">
        <f t="shared" si="218"/>
        <v>1054.9951776002576</v>
      </c>
      <c r="E158" s="67">
        <f t="shared" si="218"/>
        <v>1010.8394601826313</v>
      </c>
      <c r="F158" s="67">
        <f t="shared" si="218"/>
        <v>1021.1047859984304</v>
      </c>
      <c r="G158" s="67">
        <f t="shared" si="218"/>
        <v>1063.0860176362717</v>
      </c>
      <c r="H158" s="67">
        <f t="shared" si="218"/>
        <v>1036.4589477325651</v>
      </c>
      <c r="I158" s="67">
        <f t="shared" si="218"/>
        <v>1064.0287931339619</v>
      </c>
      <c r="J158" s="67">
        <f t="shared" si="218"/>
        <v>1068.120339942574</v>
      </c>
      <c r="K158" s="67">
        <f t="shared" si="218"/>
        <v>1109.2395138856637</v>
      </c>
      <c r="L158" s="67">
        <f t="shared" si="218"/>
        <v>1117.7726598490872</v>
      </c>
      <c r="M158" s="67">
        <f t="shared" si="218"/>
        <v>1123.3906358630986</v>
      </c>
      <c r="N158" s="67">
        <f t="shared" si="218"/>
        <v>1125.623706452523</v>
      </c>
      <c r="O158" s="67">
        <f t="shared" si="218"/>
        <v>1153.7252941369143</v>
      </c>
      <c r="P158" s="67">
        <f t="shared" si="218"/>
        <v>1185.3783929476413</v>
      </c>
      <c r="Q158" s="67">
        <f t="shared" si="218"/>
        <v>1184.5914557773062</v>
      </c>
      <c r="R158" s="67">
        <f t="shared" si="218"/>
        <v>1177.1241018547823</v>
      </c>
      <c r="S158" s="67">
        <f t="shared" si="218"/>
        <v>1158.4826331598242</v>
      </c>
      <c r="T158" s="67">
        <f t="shared" si="218"/>
        <v>1137.1241569867229</v>
      </c>
      <c r="U158" s="67">
        <f t="shared" si="218"/>
        <v>1128.4283457129068</v>
      </c>
      <c r="V158" s="67">
        <f t="shared" si="218"/>
        <v>1037.9756628948703</v>
      </c>
      <c r="W158" s="67">
        <f t="shared" si="218"/>
        <v>1154.7407187025103</v>
      </c>
      <c r="X158" s="67">
        <f t="shared" ref="X158:Y158" si="219">IF(X104=0,0,X104/X$23)</f>
        <v>1146.2242684872326</v>
      </c>
      <c r="Y158" s="67">
        <f t="shared" si="219"/>
        <v>1133.1645415491739</v>
      </c>
      <c r="DA158" s="110"/>
    </row>
    <row r="159" spans="1:105" ht="12" customHeight="1" x14ac:dyDescent="0.25">
      <c r="A159" s="78" t="s">
        <v>33</v>
      </c>
      <c r="B159" s="68">
        <f t="shared" ref="B159" si="220">IF(B105=0,0,B105/B$23)</f>
        <v>1899.235125566935</v>
      </c>
      <c r="C159" s="68">
        <f t="shared" ref="C159:W159" si="221">IF(C105=0,0,C105/C$23)</f>
        <v>1918.8218599067145</v>
      </c>
      <c r="D159" s="68">
        <f t="shared" si="221"/>
        <v>1937.9271734157066</v>
      </c>
      <c r="E159" s="68">
        <f t="shared" si="221"/>
        <v>1965.4851535509781</v>
      </c>
      <c r="F159" s="68">
        <f t="shared" si="221"/>
        <v>2018.7804156023956</v>
      </c>
      <c r="G159" s="68">
        <f t="shared" si="221"/>
        <v>2067.3261950219608</v>
      </c>
      <c r="H159" s="68">
        <f t="shared" si="221"/>
        <v>2099.1523481188306</v>
      </c>
      <c r="I159" s="68">
        <f t="shared" si="221"/>
        <v>2135.9012921142485</v>
      </c>
      <c r="J159" s="68">
        <f t="shared" si="221"/>
        <v>2172.274470504125</v>
      </c>
      <c r="K159" s="68">
        <f t="shared" si="221"/>
        <v>2228.5167194132541</v>
      </c>
      <c r="L159" s="68">
        <f t="shared" si="221"/>
        <v>2258.8404793495656</v>
      </c>
      <c r="M159" s="68">
        <f t="shared" si="221"/>
        <v>2267.5607810253819</v>
      </c>
      <c r="N159" s="68">
        <f t="shared" si="221"/>
        <v>2273.2324252074641</v>
      </c>
      <c r="O159" s="68">
        <f t="shared" si="221"/>
        <v>2319.9738691783864</v>
      </c>
      <c r="P159" s="68">
        <f t="shared" si="221"/>
        <v>2358.881284588811</v>
      </c>
      <c r="Q159" s="68">
        <f t="shared" si="221"/>
        <v>2372.9282950922511</v>
      </c>
      <c r="R159" s="68">
        <f t="shared" si="221"/>
        <v>2337.8024188858881</v>
      </c>
      <c r="S159" s="68">
        <f t="shared" si="221"/>
        <v>2332.1229490660676</v>
      </c>
      <c r="T159" s="68">
        <f t="shared" si="221"/>
        <v>2278.3233494576675</v>
      </c>
      <c r="U159" s="68">
        <f t="shared" si="221"/>
        <v>2225.9921400970234</v>
      </c>
      <c r="V159" s="68">
        <f t="shared" si="221"/>
        <v>2097.0554395948534</v>
      </c>
      <c r="W159" s="68">
        <f t="shared" si="221"/>
        <v>2089.8042368900265</v>
      </c>
      <c r="X159" s="68">
        <f t="shared" ref="X159:Y159" si="222">IF(X105=0,0,X105/X$23)</f>
        <v>2053.8180226604072</v>
      </c>
      <c r="Y159" s="68">
        <f t="shared" si="222"/>
        <v>1988.4647084954386</v>
      </c>
      <c r="DA159" s="111"/>
    </row>
    <row r="160" spans="1:105" s="2" customFormat="1" ht="12" customHeight="1" x14ac:dyDescent="0.25">
      <c r="DA160" s="7"/>
    </row>
    <row r="161" spans="1:105" ht="12.95" customHeight="1" x14ac:dyDescent="0.25">
      <c r="A161" s="84" t="s">
        <v>38</v>
      </c>
      <c r="B161" s="85">
        <f t="shared" ref="B161" si="223">IF(B107=0,0,B107/B$23)</f>
        <v>4176.2448793580688</v>
      </c>
      <c r="C161" s="85">
        <f t="shared" ref="C161:W161" si="224">IF(C107=0,0,C107/C$23)</f>
        <v>4276.2731568838653</v>
      </c>
      <c r="D161" s="85">
        <f t="shared" si="224"/>
        <v>4205.7014812554326</v>
      </c>
      <c r="E161" s="85">
        <f t="shared" si="224"/>
        <v>4847.9527435709142</v>
      </c>
      <c r="F161" s="85">
        <f t="shared" si="224"/>
        <v>4780.118077650709</v>
      </c>
      <c r="G161" s="85">
        <f t="shared" si="224"/>
        <v>5422.2605616960709</v>
      </c>
      <c r="H161" s="85">
        <f t="shared" si="224"/>
        <v>5609.1723540062831</v>
      </c>
      <c r="I161" s="85">
        <f t="shared" si="224"/>
        <v>5433.8790533227748</v>
      </c>
      <c r="J161" s="85">
        <f t="shared" si="224"/>
        <v>6190.5975998545146</v>
      </c>
      <c r="K161" s="85">
        <f t="shared" si="224"/>
        <v>6325.9397167056131</v>
      </c>
      <c r="L161" s="85">
        <f t="shared" si="224"/>
        <v>6354.6780885523303</v>
      </c>
      <c r="M161" s="85">
        <f t="shared" si="224"/>
        <v>6043.0044928003044</v>
      </c>
      <c r="N161" s="85">
        <f t="shared" si="224"/>
        <v>6534.8923028714389</v>
      </c>
      <c r="O161" s="85">
        <f t="shared" si="224"/>
        <v>6469.665838304958</v>
      </c>
      <c r="P161" s="85">
        <f t="shared" si="224"/>
        <v>6223.0055870363285</v>
      </c>
      <c r="Q161" s="85">
        <f t="shared" si="224"/>
        <v>7441.5701070080604</v>
      </c>
      <c r="R161" s="85">
        <f t="shared" si="224"/>
        <v>7257.1366780860726</v>
      </c>
      <c r="S161" s="85">
        <f t="shared" si="224"/>
        <v>7709.2997342387516</v>
      </c>
      <c r="T161" s="85">
        <f t="shared" si="224"/>
        <v>7931.2484052785567</v>
      </c>
      <c r="U161" s="85">
        <f t="shared" si="224"/>
        <v>7752.3768698136928</v>
      </c>
      <c r="V161" s="85">
        <f t="shared" si="224"/>
        <v>7196.1474917588848</v>
      </c>
      <c r="W161" s="85">
        <f t="shared" si="224"/>
        <v>7370.5436757278021</v>
      </c>
      <c r="X161" s="85">
        <f t="shared" ref="X161:Y161" si="225">IF(X107=0,0,X107/X$23)</f>
        <v>7277.415243538595</v>
      </c>
      <c r="Y161" s="85">
        <f t="shared" si="225"/>
        <v>7278.197254546415</v>
      </c>
      <c r="DA161" s="117"/>
    </row>
    <row r="162" spans="1:105" ht="12" customHeight="1" x14ac:dyDescent="0.25">
      <c r="A162" s="61" t="s">
        <v>32</v>
      </c>
      <c r="B162" s="65">
        <f t="shared" ref="B162" si="226">IF(B108=0,0,B108/B$23)</f>
        <v>2614.1786500906874</v>
      </c>
      <c r="C162" s="65">
        <f t="shared" ref="C162:W162" si="227">IF(C108=0,0,C108/C$23)</f>
        <v>2679.4346166679888</v>
      </c>
      <c r="D162" s="65">
        <f t="shared" si="227"/>
        <v>2617.5181329968036</v>
      </c>
      <c r="E162" s="65">
        <f t="shared" si="227"/>
        <v>2968.8925401066972</v>
      </c>
      <c r="F162" s="65">
        <f t="shared" si="227"/>
        <v>3141.408723969626</v>
      </c>
      <c r="G162" s="65">
        <f t="shared" si="227"/>
        <v>3749.9360446479509</v>
      </c>
      <c r="H162" s="65">
        <f t="shared" si="227"/>
        <v>3868.5429369298586</v>
      </c>
      <c r="I162" s="65">
        <f t="shared" si="227"/>
        <v>3662.967519335723</v>
      </c>
      <c r="J162" s="65">
        <f t="shared" si="227"/>
        <v>4322.7824781456247</v>
      </c>
      <c r="K162" s="65">
        <f t="shared" si="227"/>
        <v>4385.2955490109362</v>
      </c>
      <c r="L162" s="65">
        <f t="shared" si="227"/>
        <v>4466.0979046885204</v>
      </c>
      <c r="M162" s="65">
        <f t="shared" si="227"/>
        <v>4080.7484390551754</v>
      </c>
      <c r="N162" s="65">
        <f t="shared" si="227"/>
        <v>4270.4720899904405</v>
      </c>
      <c r="O162" s="65">
        <f t="shared" si="227"/>
        <v>4458.7116967423217</v>
      </c>
      <c r="P162" s="65">
        <f t="shared" si="227"/>
        <v>4244.826893912179</v>
      </c>
      <c r="Q162" s="65">
        <f t="shared" si="227"/>
        <v>5118.7859605590211</v>
      </c>
      <c r="R162" s="65">
        <f t="shared" si="227"/>
        <v>5215.1001961608599</v>
      </c>
      <c r="S162" s="65">
        <f t="shared" si="227"/>
        <v>5435.7212760255416</v>
      </c>
      <c r="T162" s="65">
        <f t="shared" si="227"/>
        <v>5847.6628986103651</v>
      </c>
      <c r="U162" s="65">
        <f t="shared" si="227"/>
        <v>5527.4055062139314</v>
      </c>
      <c r="V162" s="65">
        <f t="shared" si="227"/>
        <v>5275.5914581025563</v>
      </c>
      <c r="W162" s="65">
        <f t="shared" si="227"/>
        <v>5087.6103609307156</v>
      </c>
      <c r="X162" s="65">
        <f t="shared" ref="X162:Y162" si="228">IF(X108=0,0,X108/X$23)</f>
        <v>4779.363619215992</v>
      </c>
      <c r="Y162" s="65">
        <f t="shared" si="228"/>
        <v>4982.482791879509</v>
      </c>
      <c r="DA162" s="109"/>
    </row>
    <row r="163" spans="1:105" ht="12" customHeight="1" x14ac:dyDescent="0.25">
      <c r="A163" s="61" t="s">
        <v>31</v>
      </c>
      <c r="B163" s="65">
        <f t="shared" ref="B163" si="229">IF(B109=0,0,B109/B$23)</f>
        <v>203.30330821864979</v>
      </c>
      <c r="C163" s="65">
        <f t="shared" ref="C163:W163" si="230">IF(C109=0,0,C109/C$23)</f>
        <v>235.24192004409144</v>
      </c>
      <c r="D163" s="65">
        <f t="shared" si="230"/>
        <v>220.79759232293796</v>
      </c>
      <c r="E163" s="65">
        <f t="shared" si="230"/>
        <v>530.96761776965445</v>
      </c>
      <c r="F163" s="65">
        <f t="shared" si="230"/>
        <v>256.99221848506789</v>
      </c>
      <c r="G163" s="65">
        <f t="shared" si="230"/>
        <v>271.12136044298649</v>
      </c>
      <c r="H163" s="65">
        <f t="shared" si="230"/>
        <v>346.59423148090423</v>
      </c>
      <c r="I163" s="65">
        <f t="shared" si="230"/>
        <v>350.85093422471488</v>
      </c>
      <c r="J163" s="65">
        <f t="shared" si="230"/>
        <v>436.53738403426115</v>
      </c>
      <c r="K163" s="65">
        <f t="shared" si="230"/>
        <v>485.44248503655729</v>
      </c>
      <c r="L163" s="65">
        <f t="shared" si="230"/>
        <v>421.55004811531893</v>
      </c>
      <c r="M163" s="65">
        <f t="shared" si="230"/>
        <v>483.25421253331314</v>
      </c>
      <c r="N163" s="65">
        <f t="shared" si="230"/>
        <v>792.48945440301179</v>
      </c>
      <c r="O163" s="65">
        <f t="shared" si="230"/>
        <v>490.21491070435485</v>
      </c>
      <c r="P163" s="65">
        <f t="shared" si="230"/>
        <v>434.94898081907235</v>
      </c>
      <c r="Q163" s="65">
        <f t="shared" si="230"/>
        <v>781.45185057534388</v>
      </c>
      <c r="R163" s="65">
        <f t="shared" si="230"/>
        <v>500.91659395837348</v>
      </c>
      <c r="S163" s="65">
        <f t="shared" si="230"/>
        <v>761.03847253306947</v>
      </c>
      <c r="T163" s="65">
        <f t="shared" si="230"/>
        <v>579.73744302486966</v>
      </c>
      <c r="U163" s="65">
        <f t="shared" si="230"/>
        <v>773.59196237975675</v>
      </c>
      <c r="V163" s="65">
        <f t="shared" si="230"/>
        <v>579.67314107394236</v>
      </c>
      <c r="W163" s="65">
        <f t="shared" si="230"/>
        <v>719.49911495742401</v>
      </c>
      <c r="X163" s="65">
        <f t="shared" ref="X163:Y163" si="231">IF(X109=0,0,X109/X$23)</f>
        <v>925.9688871757204</v>
      </c>
      <c r="Y163" s="65">
        <f t="shared" si="231"/>
        <v>738.6038743677409</v>
      </c>
      <c r="DA163" s="109"/>
    </row>
    <row r="164" spans="1:105" ht="12" customHeight="1" x14ac:dyDescent="0.25">
      <c r="A164" s="61" t="s">
        <v>35</v>
      </c>
      <c r="B164" s="65">
        <f t="shared" ref="B164" si="232">IF(B110=0,0,B110/B$23)</f>
        <v>654.00360099696502</v>
      </c>
      <c r="C164" s="65">
        <f t="shared" ref="C164:W164" si="233">IF(C110=0,0,C110/C$23)</f>
        <v>663.79710668633845</v>
      </c>
      <c r="D164" s="65">
        <f t="shared" si="233"/>
        <v>668.18513084165556</v>
      </c>
      <c r="E164" s="65">
        <f t="shared" si="233"/>
        <v>655.00401367976315</v>
      </c>
      <c r="F164" s="65">
        <f t="shared" si="233"/>
        <v>668.2457525186843</v>
      </c>
      <c r="G164" s="65">
        <f t="shared" si="233"/>
        <v>659.5688169284216</v>
      </c>
      <c r="H164" s="65">
        <f t="shared" si="233"/>
        <v>659.36699760041074</v>
      </c>
      <c r="I164" s="65">
        <f t="shared" si="233"/>
        <v>675.56933416821198</v>
      </c>
      <c r="J164" s="65">
        <f t="shared" si="233"/>
        <v>672.46499231883729</v>
      </c>
      <c r="K164" s="65">
        <f t="shared" si="233"/>
        <v>676.43101105738265</v>
      </c>
      <c r="L164" s="65">
        <f t="shared" si="233"/>
        <v>682.84343186606088</v>
      </c>
      <c r="M164" s="65">
        <f t="shared" si="233"/>
        <v>693.40266725569279</v>
      </c>
      <c r="N164" s="65">
        <f t="shared" si="233"/>
        <v>684.5452582958427</v>
      </c>
      <c r="O164" s="65">
        <f t="shared" si="233"/>
        <v>716.75643239367719</v>
      </c>
      <c r="P164" s="65">
        <f t="shared" si="233"/>
        <v>729.93286104668834</v>
      </c>
      <c r="Q164" s="65">
        <f t="shared" si="233"/>
        <v>727.60075223772492</v>
      </c>
      <c r="R164" s="65">
        <f t="shared" si="233"/>
        <v>734.17448839556141</v>
      </c>
      <c r="S164" s="65">
        <f t="shared" si="233"/>
        <v>715.80548287910642</v>
      </c>
      <c r="T164" s="65">
        <f t="shared" si="233"/>
        <v>708.73440574118229</v>
      </c>
      <c r="U164" s="65">
        <f t="shared" si="233"/>
        <v>673.00980647581821</v>
      </c>
      <c r="V164" s="65">
        <f t="shared" si="233"/>
        <v>627.32052370643328</v>
      </c>
      <c r="W164" s="65">
        <f t="shared" si="233"/>
        <v>736.45175691520296</v>
      </c>
      <c r="X164" s="65">
        <f t="shared" ref="X164:Y164" si="234">IF(X110=0,0,X110/X$23)</f>
        <v>747.25695413484152</v>
      </c>
      <c r="Y164" s="65">
        <f t="shared" si="234"/>
        <v>739.413298520225</v>
      </c>
      <c r="DA164" s="109"/>
    </row>
    <row r="165" spans="1:105" ht="12" customHeight="1" x14ac:dyDescent="0.25">
      <c r="A165" s="74" t="s">
        <v>34</v>
      </c>
      <c r="B165" s="68">
        <f t="shared" ref="B165" si="235">IF(B111=0,0,B111/B$23)</f>
        <v>704.75932005176708</v>
      </c>
      <c r="C165" s="68">
        <f t="shared" ref="C165:W165" si="236">IF(C111=0,0,C111/C$23)</f>
        <v>697.79951348544682</v>
      </c>
      <c r="D165" s="68">
        <f t="shared" si="236"/>
        <v>699.20062509403556</v>
      </c>
      <c r="E165" s="68">
        <f t="shared" si="236"/>
        <v>693.08857201480032</v>
      </c>
      <c r="F165" s="68">
        <f t="shared" si="236"/>
        <v>713.47138267733055</v>
      </c>
      <c r="G165" s="68">
        <f t="shared" si="236"/>
        <v>741.63433967671176</v>
      </c>
      <c r="H165" s="68">
        <f t="shared" si="236"/>
        <v>734.66818799510975</v>
      </c>
      <c r="I165" s="68">
        <f t="shared" si="236"/>
        <v>744.49126559412468</v>
      </c>
      <c r="J165" s="68">
        <f t="shared" si="236"/>
        <v>758.81274535579132</v>
      </c>
      <c r="K165" s="68">
        <f t="shared" si="236"/>
        <v>778.77067160073739</v>
      </c>
      <c r="L165" s="68">
        <f t="shared" si="236"/>
        <v>784.18670388243083</v>
      </c>
      <c r="M165" s="68">
        <f t="shared" si="236"/>
        <v>785.59917395612297</v>
      </c>
      <c r="N165" s="68">
        <f t="shared" si="236"/>
        <v>787.38550018214312</v>
      </c>
      <c r="O165" s="68">
        <f t="shared" si="236"/>
        <v>803.98279846460309</v>
      </c>
      <c r="P165" s="68">
        <f t="shared" si="236"/>
        <v>813.29685125838876</v>
      </c>
      <c r="Q165" s="68">
        <f t="shared" si="236"/>
        <v>813.73154363597098</v>
      </c>
      <c r="R165" s="68">
        <f t="shared" si="236"/>
        <v>806.94539957127756</v>
      </c>
      <c r="S165" s="68">
        <f t="shared" si="236"/>
        <v>796.73450280103418</v>
      </c>
      <c r="T165" s="68">
        <f t="shared" si="236"/>
        <v>795.11365790213881</v>
      </c>
      <c r="U165" s="68">
        <f t="shared" si="236"/>
        <v>778.369594744187</v>
      </c>
      <c r="V165" s="68">
        <f t="shared" si="236"/>
        <v>713.56236887595287</v>
      </c>
      <c r="W165" s="68">
        <f t="shared" si="236"/>
        <v>826.98244292445997</v>
      </c>
      <c r="X165" s="68">
        <f t="shared" ref="X165:Y165" si="237">IF(X111=0,0,X111/X$23)</f>
        <v>824.82578301204205</v>
      </c>
      <c r="Y165" s="68">
        <f t="shared" si="237"/>
        <v>817.69728977893988</v>
      </c>
      <c r="DA165" s="111"/>
    </row>
    <row r="166" spans="1:105" s="2" customFormat="1" ht="12" customHeight="1" x14ac:dyDescent="0.25">
      <c r="DA166" s="7"/>
    </row>
    <row r="167" spans="1:105" ht="12.95" customHeight="1" x14ac:dyDescent="0.25">
      <c r="A167" s="81" t="s">
        <v>37</v>
      </c>
      <c r="B167" s="82">
        <f t="shared" ref="B167" si="238">IF(B113=0,0,B113/B$23)</f>
        <v>1028.6383985832649</v>
      </c>
      <c r="C167" s="82">
        <f t="shared" ref="C167:W167" si="239">IF(C113=0,0,C113/C$23)</f>
        <v>1020.2833666631574</v>
      </c>
      <c r="D167" s="82">
        <f t="shared" si="239"/>
        <v>950.93041859930258</v>
      </c>
      <c r="E167" s="82">
        <f t="shared" si="239"/>
        <v>1064.1892553550458</v>
      </c>
      <c r="F167" s="82">
        <f t="shared" si="239"/>
        <v>1055.0482209678844</v>
      </c>
      <c r="G167" s="82">
        <f t="shared" si="239"/>
        <v>1224.3505199009085</v>
      </c>
      <c r="H167" s="82">
        <f t="shared" si="239"/>
        <v>1209.5703668241888</v>
      </c>
      <c r="I167" s="82">
        <f t="shared" si="239"/>
        <v>1114.5867848623777</v>
      </c>
      <c r="J167" s="82">
        <f t="shared" si="239"/>
        <v>1318.806566947231</v>
      </c>
      <c r="K167" s="82">
        <f t="shared" si="239"/>
        <v>1292.9830158019361</v>
      </c>
      <c r="L167" s="82">
        <f t="shared" si="239"/>
        <v>1293.0741084011581</v>
      </c>
      <c r="M167" s="82">
        <f t="shared" si="239"/>
        <v>1089.1710271682543</v>
      </c>
      <c r="N167" s="82">
        <f t="shared" si="239"/>
        <v>1067.5670239152169</v>
      </c>
      <c r="O167" s="82">
        <f t="shared" si="239"/>
        <v>1068.3824566714566</v>
      </c>
      <c r="P167" s="82">
        <f t="shared" si="239"/>
        <v>893.86055187147883</v>
      </c>
      <c r="Q167" s="82">
        <f t="shared" si="239"/>
        <v>948.17539372054944</v>
      </c>
      <c r="R167" s="82">
        <f t="shared" si="239"/>
        <v>940.7790196816859</v>
      </c>
      <c r="S167" s="82">
        <f t="shared" si="239"/>
        <v>919.79952101281549</v>
      </c>
      <c r="T167" s="82">
        <f t="shared" si="239"/>
        <v>993.28818199144871</v>
      </c>
      <c r="U167" s="82">
        <f t="shared" si="239"/>
        <v>955.91735954123533</v>
      </c>
      <c r="V167" s="82">
        <f t="shared" si="239"/>
        <v>923.42344282503495</v>
      </c>
      <c r="W167" s="82">
        <f t="shared" si="239"/>
        <v>834.58959436351392</v>
      </c>
      <c r="X167" s="82">
        <f t="shared" ref="X167:Y167" si="240">IF(X113=0,0,X113/X$23)</f>
        <v>717.99685610798622</v>
      </c>
      <c r="Y167" s="82">
        <f t="shared" si="240"/>
        <v>768.17983675841572</v>
      </c>
      <c r="DA167" s="107"/>
    </row>
    <row r="168" spans="1:105" ht="12" customHeight="1" x14ac:dyDescent="0.25">
      <c r="A168" s="77" t="s">
        <v>36</v>
      </c>
      <c r="B168" s="64">
        <f t="shared" ref="B168" si="241">IF(B114=0,0,B114/B$23)</f>
        <v>1028.6383985832649</v>
      </c>
      <c r="C168" s="64">
        <f t="shared" ref="C168:W168" si="242">IF(C114=0,0,C114/C$23)</f>
        <v>1020.2833666631574</v>
      </c>
      <c r="D168" s="64">
        <f t="shared" si="242"/>
        <v>950.93041859930258</v>
      </c>
      <c r="E168" s="64">
        <f t="shared" si="242"/>
        <v>1064.1892553550458</v>
      </c>
      <c r="F168" s="64">
        <f t="shared" si="242"/>
        <v>1055.0482209678844</v>
      </c>
      <c r="G168" s="64">
        <f t="shared" si="242"/>
        <v>1224.3505199009085</v>
      </c>
      <c r="H168" s="64">
        <f t="shared" si="242"/>
        <v>1209.5703668241888</v>
      </c>
      <c r="I168" s="64">
        <f t="shared" si="242"/>
        <v>1114.5867848623777</v>
      </c>
      <c r="J168" s="64">
        <f t="shared" si="242"/>
        <v>1318.806566947231</v>
      </c>
      <c r="K168" s="64">
        <f t="shared" si="242"/>
        <v>1292.9830158019361</v>
      </c>
      <c r="L168" s="64">
        <f t="shared" si="242"/>
        <v>1293.0741084011581</v>
      </c>
      <c r="M168" s="64">
        <f t="shared" si="242"/>
        <v>1089.1710271682543</v>
      </c>
      <c r="N168" s="64">
        <f t="shared" si="242"/>
        <v>1067.5670239152169</v>
      </c>
      <c r="O168" s="64">
        <f t="shared" si="242"/>
        <v>1068.3824566714566</v>
      </c>
      <c r="P168" s="64">
        <f t="shared" si="242"/>
        <v>893.86055187147883</v>
      </c>
      <c r="Q168" s="64">
        <f t="shared" si="242"/>
        <v>948.17539372054944</v>
      </c>
      <c r="R168" s="64">
        <f t="shared" si="242"/>
        <v>940.7790196816859</v>
      </c>
      <c r="S168" s="64">
        <f t="shared" si="242"/>
        <v>919.79952101281549</v>
      </c>
      <c r="T168" s="64">
        <f t="shared" si="242"/>
        <v>993.28818199144871</v>
      </c>
      <c r="U168" s="64">
        <f t="shared" si="242"/>
        <v>955.91735954123533</v>
      </c>
      <c r="V168" s="64">
        <f t="shared" si="242"/>
        <v>923.42344282503495</v>
      </c>
      <c r="W168" s="64">
        <f t="shared" si="242"/>
        <v>834.58959436351392</v>
      </c>
      <c r="X168" s="64">
        <f t="shared" ref="X168:Y168" si="243">IF(X114=0,0,X114/X$23)</f>
        <v>717.99685610798622</v>
      </c>
      <c r="Y168" s="64">
        <f t="shared" si="243"/>
        <v>768.17983675841572</v>
      </c>
      <c r="DA168" s="108"/>
    </row>
    <row r="169" spans="1:105" ht="12" customHeight="1" x14ac:dyDescent="0.25">
      <c r="A169" s="61" t="s">
        <v>32</v>
      </c>
      <c r="B169" s="65">
        <f t="shared" ref="B169" si="244">IF(B115=0,0,B115/B$23)</f>
        <v>690.92549558884843</v>
      </c>
      <c r="C169" s="65">
        <f t="shared" ref="C169:W169" si="245">IF(C115=0,0,C115/C$23)</f>
        <v>695.37924452157608</v>
      </c>
      <c r="D169" s="65">
        <f t="shared" si="245"/>
        <v>647.51654977430383</v>
      </c>
      <c r="E169" s="65">
        <f t="shared" si="245"/>
        <v>794.94370234218218</v>
      </c>
      <c r="F169" s="65">
        <f t="shared" si="245"/>
        <v>799.76314469016074</v>
      </c>
      <c r="G169" s="65">
        <f t="shared" si="245"/>
        <v>961.69962777668093</v>
      </c>
      <c r="H169" s="65">
        <f t="shared" si="245"/>
        <v>964.33940639151933</v>
      </c>
      <c r="I169" s="65">
        <f t="shared" si="245"/>
        <v>858.5995898246324</v>
      </c>
      <c r="J169" s="65">
        <f t="shared" si="245"/>
        <v>1073.7559779961114</v>
      </c>
      <c r="K169" s="65">
        <f t="shared" si="245"/>
        <v>1033.6898212939921</v>
      </c>
      <c r="L169" s="65">
        <f t="shared" si="245"/>
        <v>1034.1667800130651</v>
      </c>
      <c r="M169" s="65">
        <f t="shared" si="245"/>
        <v>827.38642923248347</v>
      </c>
      <c r="N169" s="65">
        <f t="shared" si="245"/>
        <v>807.57011245083618</v>
      </c>
      <c r="O169" s="65">
        <f t="shared" si="245"/>
        <v>800.22474988435647</v>
      </c>
      <c r="P169" s="65">
        <f t="shared" si="245"/>
        <v>609.49181992692877</v>
      </c>
      <c r="Q169" s="65">
        <f t="shared" si="245"/>
        <v>664.14797445359693</v>
      </c>
      <c r="R169" s="65">
        <f t="shared" si="245"/>
        <v>656.17266961840994</v>
      </c>
      <c r="S169" s="65">
        <f t="shared" si="245"/>
        <v>636.32807019489019</v>
      </c>
      <c r="T169" s="65">
        <f t="shared" si="245"/>
        <v>719.92986464734645</v>
      </c>
      <c r="U169" s="65">
        <f t="shared" si="245"/>
        <v>687.48607328784681</v>
      </c>
      <c r="V169" s="65">
        <f t="shared" si="245"/>
        <v>670.48706575688846</v>
      </c>
      <c r="W169" s="65">
        <f t="shared" si="245"/>
        <v>584.14751361475999</v>
      </c>
      <c r="X169" s="65">
        <f t="shared" ref="X169:Y169" si="246">IF(X115=0,0,X115/X$23)</f>
        <v>469.41916170280456</v>
      </c>
      <c r="Y169" s="65">
        <f t="shared" si="246"/>
        <v>522.80401634250018</v>
      </c>
      <c r="DA169" s="109"/>
    </row>
    <row r="170" spans="1:105" ht="12" customHeight="1" x14ac:dyDescent="0.25">
      <c r="A170" s="61" t="s">
        <v>31</v>
      </c>
      <c r="B170" s="65">
        <f t="shared" ref="B170" si="247">IF(B116=0,0,B116/B$23)</f>
        <v>6.3959009048164428E-2</v>
      </c>
      <c r="C170" s="65">
        <f t="shared" ref="C170:W170" si="248">IF(C116=0,0,C116/C$23)</f>
        <v>0.10778281041370055</v>
      </c>
      <c r="D170" s="65">
        <f t="shared" si="248"/>
        <v>9.8454530306362809E-2</v>
      </c>
      <c r="E170" s="65">
        <f t="shared" si="248"/>
        <v>0.29285691810412379</v>
      </c>
      <c r="F170" s="65">
        <f t="shared" si="248"/>
        <v>0.1736181985835468</v>
      </c>
      <c r="G170" s="65">
        <f t="shared" si="248"/>
        <v>0.19431949149638511</v>
      </c>
      <c r="H170" s="65">
        <f t="shared" si="248"/>
        <v>0.27814058580867967</v>
      </c>
      <c r="I170" s="65">
        <f t="shared" si="248"/>
        <v>0.30495229767452797</v>
      </c>
      <c r="J170" s="65">
        <f t="shared" si="248"/>
        <v>0.42504488157846848</v>
      </c>
      <c r="K170" s="65">
        <f t="shared" si="248"/>
        <v>0.54680887094148622</v>
      </c>
      <c r="L170" s="65">
        <f t="shared" si="248"/>
        <v>0.52449184977081897</v>
      </c>
      <c r="M170" s="65">
        <f t="shared" si="248"/>
        <v>0.64016865721552807</v>
      </c>
      <c r="N170" s="65">
        <f t="shared" si="248"/>
        <v>1.1045420930149448</v>
      </c>
      <c r="O170" s="65">
        <f t="shared" si="248"/>
        <v>0.75400791614016915</v>
      </c>
      <c r="P170" s="65">
        <f t="shared" si="248"/>
        <v>0.72103176534305213</v>
      </c>
      <c r="Q170" s="65">
        <f t="shared" si="248"/>
        <v>1.368282914931146</v>
      </c>
      <c r="R170" s="65">
        <f t="shared" si="248"/>
        <v>0.94628558109556193</v>
      </c>
      <c r="S170" s="65">
        <f t="shared" si="248"/>
        <v>1.4874622570032232</v>
      </c>
      <c r="T170" s="65">
        <f t="shared" si="248"/>
        <v>1.1612786265937594</v>
      </c>
      <c r="U170" s="65">
        <f t="shared" si="248"/>
        <v>1.5506026745353592</v>
      </c>
      <c r="V170" s="65">
        <f t="shared" si="248"/>
        <v>1.163444353238132</v>
      </c>
      <c r="W170" s="65">
        <f t="shared" si="248"/>
        <v>1.4151462616018899</v>
      </c>
      <c r="X170" s="65">
        <f t="shared" ref="X170:Y170" si="249">IF(X116=0,0,X116/X$23)</f>
        <v>1.9239537813816334</v>
      </c>
      <c r="Y170" s="65">
        <f t="shared" si="249"/>
        <v>1.7365474668624901</v>
      </c>
      <c r="DA170" s="109"/>
    </row>
    <row r="171" spans="1:105" ht="12" customHeight="1" x14ac:dyDescent="0.25">
      <c r="A171" s="61" t="s">
        <v>35</v>
      </c>
      <c r="B171" s="65">
        <f t="shared" ref="B171" si="250">IF(B117=0,0,B117/B$23)</f>
        <v>132.15317568024926</v>
      </c>
      <c r="C171" s="65">
        <f t="shared" ref="C171:W171" si="251">IF(C117=0,0,C117/C$23)</f>
        <v>129.28231166536042</v>
      </c>
      <c r="D171" s="65">
        <f t="shared" si="251"/>
        <v>124.1519032761057</v>
      </c>
      <c r="E171" s="65">
        <f t="shared" si="251"/>
        <v>119.55144794695306</v>
      </c>
      <c r="F171" s="65">
        <f t="shared" si="251"/>
        <v>116.73971205714354</v>
      </c>
      <c r="G171" s="65">
        <f t="shared" si="251"/>
        <v>116.62416131700843</v>
      </c>
      <c r="H171" s="65">
        <f t="shared" si="251"/>
        <v>113.43241255684498</v>
      </c>
      <c r="I171" s="65">
        <f t="shared" si="251"/>
        <v>110.07092238622837</v>
      </c>
      <c r="J171" s="65">
        <f t="shared" si="251"/>
        <v>109.19381291031071</v>
      </c>
      <c r="K171" s="65">
        <f t="shared" si="251"/>
        <v>107.60409731176998</v>
      </c>
      <c r="L171" s="65">
        <f t="shared" si="251"/>
        <v>104.72606940122137</v>
      </c>
      <c r="M171" s="65">
        <f t="shared" si="251"/>
        <v>103.92179299572233</v>
      </c>
      <c r="N171" s="65">
        <f t="shared" si="251"/>
        <v>101.65332210814356</v>
      </c>
      <c r="O171" s="65">
        <f t="shared" si="251"/>
        <v>102.33280682999693</v>
      </c>
      <c r="P171" s="65">
        <f t="shared" si="251"/>
        <v>100.82344813047575</v>
      </c>
      <c r="Q171" s="65">
        <f t="shared" si="251"/>
        <v>99.757767946519522</v>
      </c>
      <c r="R171" s="65">
        <f t="shared" si="251"/>
        <v>99.072719206782239</v>
      </c>
      <c r="S171" s="65">
        <f t="shared" si="251"/>
        <v>101.10631064171375</v>
      </c>
      <c r="T171" s="65">
        <f t="shared" si="251"/>
        <v>104.59163350908769</v>
      </c>
      <c r="U171" s="65">
        <f t="shared" si="251"/>
        <v>89.451705330902783</v>
      </c>
      <c r="V171" s="65">
        <f t="shared" si="251"/>
        <v>84.413192393619426</v>
      </c>
      <c r="W171" s="65">
        <f t="shared" si="251"/>
        <v>87.615006239202145</v>
      </c>
      <c r="X171" s="65">
        <f t="shared" ref="X171:Y171" si="252">IF(X117=0,0,X117/X$23)</f>
        <v>86.334566256160983</v>
      </c>
      <c r="Y171" s="65">
        <f t="shared" si="252"/>
        <v>84.672855172038027</v>
      </c>
      <c r="DA171" s="109"/>
    </row>
    <row r="172" spans="1:105" ht="12" customHeight="1" x14ac:dyDescent="0.25">
      <c r="A172" s="66" t="s">
        <v>34</v>
      </c>
      <c r="B172" s="67">
        <f t="shared" ref="B172" si="253">IF(B118=0,0,B118/B$23)</f>
        <v>205.49576830511887</v>
      </c>
      <c r="C172" s="67">
        <f t="shared" ref="C172:W172" si="254">IF(C118=0,0,C118/C$23)</f>
        <v>195.51402766580722</v>
      </c>
      <c r="D172" s="67">
        <f t="shared" si="254"/>
        <v>179.16351101858666</v>
      </c>
      <c r="E172" s="67">
        <f t="shared" si="254"/>
        <v>149.40124814780617</v>
      </c>
      <c r="F172" s="67">
        <f t="shared" si="254"/>
        <v>138.37174602199659</v>
      </c>
      <c r="G172" s="67">
        <f t="shared" si="254"/>
        <v>145.83241131572262</v>
      </c>
      <c r="H172" s="67">
        <f t="shared" si="254"/>
        <v>131.5204072900159</v>
      </c>
      <c r="I172" s="67">
        <f t="shared" si="254"/>
        <v>145.61132035384242</v>
      </c>
      <c r="J172" s="67">
        <f t="shared" si="254"/>
        <v>135.43173115923054</v>
      </c>
      <c r="K172" s="67">
        <f t="shared" si="254"/>
        <v>151.14228832523284</v>
      </c>
      <c r="L172" s="67">
        <f t="shared" si="254"/>
        <v>153.65676713710067</v>
      </c>
      <c r="M172" s="67">
        <f t="shared" si="254"/>
        <v>157.22263628283292</v>
      </c>
      <c r="N172" s="67">
        <f t="shared" si="254"/>
        <v>157.23904726322226</v>
      </c>
      <c r="O172" s="67">
        <f t="shared" si="254"/>
        <v>165.07089204096297</v>
      </c>
      <c r="P172" s="67">
        <f t="shared" si="254"/>
        <v>182.8242520487313</v>
      </c>
      <c r="Q172" s="67">
        <f t="shared" si="254"/>
        <v>182.90136840550193</v>
      </c>
      <c r="R172" s="67">
        <f t="shared" si="254"/>
        <v>184.58734527539798</v>
      </c>
      <c r="S172" s="67">
        <f t="shared" si="254"/>
        <v>180.87767791920828</v>
      </c>
      <c r="T172" s="67">
        <f t="shared" si="254"/>
        <v>167.60540520842068</v>
      </c>
      <c r="U172" s="67">
        <f t="shared" si="254"/>
        <v>177.42897824795043</v>
      </c>
      <c r="V172" s="67">
        <f t="shared" si="254"/>
        <v>167.35974032128885</v>
      </c>
      <c r="W172" s="67">
        <f t="shared" si="254"/>
        <v>161.41192824795007</v>
      </c>
      <c r="X172" s="67">
        <f t="shared" ref="X172:Y172" si="255">IF(X118=0,0,X118/X$23)</f>
        <v>160.31917436763905</v>
      </c>
      <c r="Y172" s="67">
        <f t="shared" si="255"/>
        <v>158.96641777701507</v>
      </c>
      <c r="DA172" s="110"/>
    </row>
    <row r="173" spans="1:105" ht="12" customHeight="1" x14ac:dyDescent="0.25">
      <c r="A173" s="78" t="s">
        <v>33</v>
      </c>
      <c r="B173" s="68">
        <f t="shared" ref="B173" si="256">IF(B119=0,0,B119/B$23)</f>
        <v>0</v>
      </c>
      <c r="C173" s="68">
        <f t="shared" ref="C173:W173" si="257">IF(C119=0,0,C119/C$23)</f>
        <v>0</v>
      </c>
      <c r="D173" s="68">
        <f t="shared" si="257"/>
        <v>0</v>
      </c>
      <c r="E173" s="68">
        <f t="shared" si="257"/>
        <v>0</v>
      </c>
      <c r="F173" s="68">
        <f t="shared" si="257"/>
        <v>0</v>
      </c>
      <c r="G173" s="68">
        <f t="shared" si="257"/>
        <v>0</v>
      </c>
      <c r="H173" s="68">
        <f t="shared" si="257"/>
        <v>0</v>
      </c>
      <c r="I173" s="68">
        <f t="shared" si="257"/>
        <v>0</v>
      </c>
      <c r="J173" s="68">
        <f t="shared" si="257"/>
        <v>0</v>
      </c>
      <c r="K173" s="68">
        <f t="shared" si="257"/>
        <v>0</v>
      </c>
      <c r="L173" s="68">
        <f t="shared" si="257"/>
        <v>0</v>
      </c>
      <c r="M173" s="68">
        <f t="shared" si="257"/>
        <v>0</v>
      </c>
      <c r="N173" s="68">
        <f t="shared" si="257"/>
        <v>0</v>
      </c>
      <c r="O173" s="68">
        <f t="shared" si="257"/>
        <v>0</v>
      </c>
      <c r="P173" s="68">
        <f t="shared" si="257"/>
        <v>0</v>
      </c>
      <c r="Q173" s="68">
        <f t="shared" si="257"/>
        <v>0</v>
      </c>
      <c r="R173" s="68">
        <f t="shared" si="257"/>
        <v>0</v>
      </c>
      <c r="S173" s="68">
        <f t="shared" si="257"/>
        <v>0</v>
      </c>
      <c r="T173" s="68">
        <f t="shared" si="257"/>
        <v>0</v>
      </c>
      <c r="U173" s="68">
        <f t="shared" si="257"/>
        <v>0</v>
      </c>
      <c r="V173" s="68">
        <f t="shared" si="257"/>
        <v>0</v>
      </c>
      <c r="W173" s="68">
        <f t="shared" si="257"/>
        <v>0</v>
      </c>
      <c r="X173" s="68">
        <f t="shared" ref="X173:Y173" si="258">IF(X119=0,0,X119/X$23)</f>
        <v>0</v>
      </c>
      <c r="Y173" s="68">
        <f t="shared" si="258"/>
        <v>0</v>
      </c>
      <c r="DA173" s="111"/>
    </row>
  </sheetData>
  <pageMargins left="0.39370078740157483" right="0.39370078740157483" top="0.39370078740157483" bottom="0.39370078740157483" header="0.31496062992125984" footer="0.31496062992125984"/>
  <pageSetup paperSize="9" scale="39" orientation="portrait" horizontalDpi="1200" verticalDpi="1200" r:id="rId1"/>
  <headerFooter alignWithMargins="0"/>
  <ignoredErrors>
    <ignoredError sqref="B31:Y31 B33:Y33 B37:Y37 B48:Y48 B67:Y67 B82:Y82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244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79</v>
      </c>
      <c r="B3" s="124">
        <f t="shared" ref="B3:Y3" si="0">B4</f>
        <v>560630.92586591316</v>
      </c>
      <c r="C3" s="124">
        <f t="shared" si="0"/>
        <v>569930.70012286084</v>
      </c>
      <c r="D3" s="124">
        <f t="shared" si="0"/>
        <v>579592.12967373536</v>
      </c>
      <c r="E3" s="124">
        <f t="shared" si="0"/>
        <v>585919.47199467896</v>
      </c>
      <c r="F3" s="124">
        <f t="shared" si="0"/>
        <v>590077.97858302016</v>
      </c>
      <c r="G3" s="124">
        <f t="shared" si="0"/>
        <v>592915.42432537116</v>
      </c>
      <c r="H3" s="124">
        <f t="shared" si="0"/>
        <v>605943.92879110784</v>
      </c>
      <c r="I3" s="124">
        <f t="shared" si="0"/>
        <v>616608.19487047615</v>
      </c>
      <c r="J3" s="124">
        <f t="shared" si="0"/>
        <v>619868.73999800812</v>
      </c>
      <c r="K3" s="124">
        <f t="shared" si="0"/>
        <v>619733.56173573469</v>
      </c>
      <c r="L3" s="124">
        <f t="shared" si="0"/>
        <v>623093.49500217184</v>
      </c>
      <c r="M3" s="124">
        <f t="shared" si="0"/>
        <v>628061.71176296636</v>
      </c>
      <c r="N3" s="124">
        <f t="shared" si="0"/>
        <v>630339.8193966347</v>
      </c>
      <c r="O3" s="124">
        <f t="shared" si="0"/>
        <v>628304.61462974222</v>
      </c>
      <c r="P3" s="124">
        <f t="shared" si="0"/>
        <v>636026.78457838355</v>
      </c>
      <c r="Q3" s="124">
        <f t="shared" si="0"/>
        <v>638144.82424571062</v>
      </c>
      <c r="R3" s="124">
        <f t="shared" si="0"/>
        <v>638276.42670124164</v>
      </c>
      <c r="S3" s="124">
        <f t="shared" si="0"/>
        <v>641181.97692381695</v>
      </c>
      <c r="T3" s="124">
        <f t="shared" si="0"/>
        <v>643268.97870794532</v>
      </c>
      <c r="U3" s="124">
        <f t="shared" si="0"/>
        <v>644900.56672284787</v>
      </c>
      <c r="V3" s="124">
        <f t="shared" si="0"/>
        <v>646018.6100000001</v>
      </c>
      <c r="W3" s="124">
        <f t="shared" si="0"/>
        <v>646934.17557687254</v>
      </c>
      <c r="X3" s="124">
        <f t="shared" si="0"/>
        <v>647680.29390233743</v>
      </c>
      <c r="Y3" s="124">
        <f t="shared" si="0"/>
        <v>648339.30285318417</v>
      </c>
      <c r="DA3" s="168" t="s">
        <v>245</v>
      </c>
    </row>
    <row r="4" spans="1:105" ht="12.95" customHeight="1" x14ac:dyDescent="0.25">
      <c r="A4" s="129" t="s">
        <v>32</v>
      </c>
      <c r="B4" s="139">
        <f t="shared" ref="B4:Q4" si="1">SUM(B5:B14)</f>
        <v>560630.92586591316</v>
      </c>
      <c r="C4" s="139">
        <f t="shared" si="1"/>
        <v>569930.70012286084</v>
      </c>
      <c r="D4" s="139">
        <f t="shared" si="1"/>
        <v>579592.12967373536</v>
      </c>
      <c r="E4" s="139">
        <f t="shared" si="1"/>
        <v>585919.47199467896</v>
      </c>
      <c r="F4" s="139">
        <f t="shared" si="1"/>
        <v>590077.97858302016</v>
      </c>
      <c r="G4" s="139">
        <f t="shared" si="1"/>
        <v>592915.42432537116</v>
      </c>
      <c r="H4" s="139">
        <f t="shared" si="1"/>
        <v>605943.92879110784</v>
      </c>
      <c r="I4" s="139">
        <f t="shared" si="1"/>
        <v>616608.19487047615</v>
      </c>
      <c r="J4" s="139">
        <f t="shared" si="1"/>
        <v>619868.73999800812</v>
      </c>
      <c r="K4" s="139">
        <f t="shared" si="1"/>
        <v>619733.56173573469</v>
      </c>
      <c r="L4" s="139">
        <f t="shared" si="1"/>
        <v>623093.49500217184</v>
      </c>
      <c r="M4" s="139">
        <f t="shared" si="1"/>
        <v>628061.71176296636</v>
      </c>
      <c r="N4" s="139">
        <f t="shared" si="1"/>
        <v>630339.8193966347</v>
      </c>
      <c r="O4" s="139">
        <f t="shared" si="1"/>
        <v>628304.61462974222</v>
      </c>
      <c r="P4" s="139">
        <f t="shared" si="1"/>
        <v>636026.78457838355</v>
      </c>
      <c r="Q4" s="139">
        <f t="shared" si="1"/>
        <v>638144.82424571062</v>
      </c>
      <c r="R4" s="139">
        <f t="shared" ref="R4:W4" si="2">SUM(R5:R14)</f>
        <v>638276.42670124164</v>
      </c>
      <c r="S4" s="139">
        <f t="shared" si="2"/>
        <v>641181.97692381695</v>
      </c>
      <c r="T4" s="139">
        <f t="shared" si="2"/>
        <v>643268.97870794532</v>
      </c>
      <c r="U4" s="139">
        <f t="shared" si="2"/>
        <v>644900.56672284787</v>
      </c>
      <c r="V4" s="139">
        <f t="shared" si="2"/>
        <v>646018.6100000001</v>
      </c>
      <c r="W4" s="139">
        <f t="shared" si="2"/>
        <v>646934.17557687254</v>
      </c>
      <c r="X4" s="139">
        <f t="shared" ref="X4:Y4" si="3">SUM(X5:X14)</f>
        <v>647680.29390233743</v>
      </c>
      <c r="Y4" s="139">
        <f t="shared" si="3"/>
        <v>648339.30285318417</v>
      </c>
      <c r="DA4" s="169" t="s">
        <v>246</v>
      </c>
    </row>
    <row r="5" spans="1:105" ht="12" customHeight="1" x14ac:dyDescent="0.25">
      <c r="A5" s="131" t="s">
        <v>29</v>
      </c>
      <c r="B5" s="140">
        <v>0</v>
      </c>
      <c r="C5" s="140">
        <v>0</v>
      </c>
      <c r="D5" s="140">
        <v>0</v>
      </c>
      <c r="E5" s="140">
        <v>0</v>
      </c>
      <c r="F5" s="140">
        <v>0</v>
      </c>
      <c r="G5" s="140">
        <v>0</v>
      </c>
      <c r="H5" s="140">
        <v>0</v>
      </c>
      <c r="I5" s="140">
        <v>0</v>
      </c>
      <c r="J5" s="140">
        <v>0</v>
      </c>
      <c r="K5" s="140">
        <v>0</v>
      </c>
      <c r="L5" s="140">
        <v>0</v>
      </c>
      <c r="M5" s="140">
        <v>0</v>
      </c>
      <c r="N5" s="140">
        <v>0</v>
      </c>
      <c r="O5" s="140">
        <v>0</v>
      </c>
      <c r="P5" s="140">
        <v>0</v>
      </c>
      <c r="Q5" s="140">
        <v>0</v>
      </c>
      <c r="R5" s="140">
        <v>0</v>
      </c>
      <c r="S5" s="140">
        <v>0</v>
      </c>
      <c r="T5" s="140">
        <v>0</v>
      </c>
      <c r="U5" s="140">
        <v>0</v>
      </c>
      <c r="V5" s="140">
        <v>0</v>
      </c>
      <c r="W5" s="140">
        <v>0</v>
      </c>
      <c r="X5" s="140">
        <v>0</v>
      </c>
      <c r="Y5" s="140">
        <v>0</v>
      </c>
      <c r="DA5" s="170" t="s">
        <v>247</v>
      </c>
    </row>
    <row r="6" spans="1:105" ht="12" customHeight="1" x14ac:dyDescent="0.25">
      <c r="A6" s="131" t="s">
        <v>52</v>
      </c>
      <c r="B6" s="140">
        <v>23416.630811502073</v>
      </c>
      <c r="C6" s="140">
        <v>22811.955694870736</v>
      </c>
      <c r="D6" s="140">
        <v>22420.700434178521</v>
      </c>
      <c r="E6" s="140">
        <v>22098.003012482011</v>
      </c>
      <c r="F6" s="140">
        <v>21089.611453370177</v>
      </c>
      <c r="G6" s="140">
        <v>19811.152394903926</v>
      </c>
      <c r="H6" s="140">
        <v>18486.796110889802</v>
      </c>
      <c r="I6" s="140">
        <v>17600.769504114909</v>
      </c>
      <c r="J6" s="140">
        <v>17081.756437882752</v>
      </c>
      <c r="K6" s="140">
        <v>16741.666207448856</v>
      </c>
      <c r="L6" s="140">
        <v>16070.885439329641</v>
      </c>
      <c r="M6" s="140">
        <v>14843.033948381672</v>
      </c>
      <c r="N6" s="140">
        <v>12984.787707049205</v>
      </c>
      <c r="O6" s="140">
        <v>11398.617679661875</v>
      </c>
      <c r="P6" s="140">
        <v>9799.8726355862927</v>
      </c>
      <c r="Q6" s="140">
        <v>8476.7439141989817</v>
      </c>
      <c r="R6" s="140">
        <v>7877.5385994128819</v>
      </c>
      <c r="S6" s="140">
        <v>7632.2450882925823</v>
      </c>
      <c r="T6" s="140">
        <v>7591.4819830822644</v>
      </c>
      <c r="U6" s="140">
        <v>8005.9514318008432</v>
      </c>
      <c r="V6" s="140">
        <v>8519.1256887757099</v>
      </c>
      <c r="W6" s="140">
        <v>9095.5284780288184</v>
      </c>
      <c r="X6" s="140">
        <v>9436.7283110650515</v>
      </c>
      <c r="Y6" s="140">
        <v>9952.1620738804068</v>
      </c>
      <c r="DA6" s="170" t="s">
        <v>248</v>
      </c>
    </row>
    <row r="7" spans="1:105" ht="12" customHeight="1" x14ac:dyDescent="0.25">
      <c r="A7" s="131" t="s">
        <v>161</v>
      </c>
      <c r="B7" s="140">
        <v>22211.592094023774</v>
      </c>
      <c r="C7" s="140">
        <v>22806.859327169444</v>
      </c>
      <c r="D7" s="140">
        <v>23941.344083985376</v>
      </c>
      <c r="E7" s="140">
        <v>26154.670695338344</v>
      </c>
      <c r="F7" s="140">
        <v>27190.133134722721</v>
      </c>
      <c r="G7" s="140">
        <v>27224.760650260039</v>
      </c>
      <c r="H7" s="140">
        <v>26741.068425472804</v>
      </c>
      <c r="I7" s="140">
        <v>25073.393455263231</v>
      </c>
      <c r="J7" s="140">
        <v>22629.057060979572</v>
      </c>
      <c r="K7" s="140">
        <v>18291.795208154963</v>
      </c>
      <c r="L7" s="140">
        <v>16241.798374237398</v>
      </c>
      <c r="M7" s="140">
        <v>14695.047416699963</v>
      </c>
      <c r="N7" s="140">
        <v>13633.729100867497</v>
      </c>
      <c r="O7" s="140">
        <v>12217.37214859851</v>
      </c>
      <c r="P7" s="140">
        <v>11503.964075023123</v>
      </c>
      <c r="Q7" s="140">
        <v>10521.382710718353</v>
      </c>
      <c r="R7" s="140">
        <v>9519.2639019496128</v>
      </c>
      <c r="S7" s="140">
        <v>7723.4028064521499</v>
      </c>
      <c r="T7" s="140">
        <v>6648.9894980025174</v>
      </c>
      <c r="U7" s="140">
        <v>5857.3179062839499</v>
      </c>
      <c r="V7" s="140">
        <v>6324.6951215160298</v>
      </c>
      <c r="W7" s="140">
        <v>8110.415636037148</v>
      </c>
      <c r="X7" s="140">
        <v>10634.0121637014</v>
      </c>
      <c r="Y7" s="140">
        <v>11194.856525779524</v>
      </c>
      <c r="DA7" s="170" t="s">
        <v>249</v>
      </c>
    </row>
    <row r="8" spans="1:105" ht="12" customHeight="1" x14ac:dyDescent="0.25">
      <c r="A8" s="131" t="s">
        <v>73</v>
      </c>
      <c r="B8" s="140">
        <v>438.6436992049513</v>
      </c>
      <c r="C8" s="140">
        <v>560.84584743380083</v>
      </c>
      <c r="D8" s="140">
        <v>744.97688975760946</v>
      </c>
      <c r="E8" s="140">
        <v>907.89000443438442</v>
      </c>
      <c r="F8" s="140">
        <v>1040.0645806476014</v>
      </c>
      <c r="G8" s="140">
        <v>1160.3702322150996</v>
      </c>
      <c r="H8" s="140">
        <v>1309.1566916989245</v>
      </c>
      <c r="I8" s="140">
        <v>1499.0174688707359</v>
      </c>
      <c r="J8" s="140">
        <v>1663.5238252497036</v>
      </c>
      <c r="K8" s="140">
        <v>1959.3668868423829</v>
      </c>
      <c r="L8" s="140">
        <v>2412.6801894337209</v>
      </c>
      <c r="M8" s="140">
        <v>3194.9126993702826</v>
      </c>
      <c r="N8" s="140">
        <v>4333.7705880090753</v>
      </c>
      <c r="O8" s="140">
        <v>5872.7032187344485</v>
      </c>
      <c r="P8" s="140">
        <v>7587.2587019075318</v>
      </c>
      <c r="Q8" s="140">
        <v>8771.960817567875</v>
      </c>
      <c r="R8" s="140">
        <v>9260.7490118899877</v>
      </c>
      <c r="S8" s="140">
        <v>9484.8261523414567</v>
      </c>
      <c r="T8" s="140">
        <v>9973.6381455281535</v>
      </c>
      <c r="U8" s="140">
        <v>11307.987132958524</v>
      </c>
      <c r="V8" s="140">
        <v>13224.77048903859</v>
      </c>
      <c r="W8" s="140">
        <v>15000.948264366712</v>
      </c>
      <c r="X8" s="140">
        <v>15684.801213150706</v>
      </c>
      <c r="Y8" s="140">
        <v>15913.23632965198</v>
      </c>
      <c r="DA8" s="170" t="s">
        <v>250</v>
      </c>
    </row>
    <row r="9" spans="1:105" ht="12" customHeight="1" x14ac:dyDescent="0.25">
      <c r="A9" s="131" t="s">
        <v>78</v>
      </c>
      <c r="B9" s="140">
        <v>311128.31824799167</v>
      </c>
      <c r="C9" s="140">
        <v>319202.47561271489</v>
      </c>
      <c r="D9" s="140">
        <v>326488.8461008856</v>
      </c>
      <c r="E9" s="140">
        <v>337066.27606420894</v>
      </c>
      <c r="F9" s="140">
        <v>336495.30915046105</v>
      </c>
      <c r="G9" s="140">
        <v>338242.25890234596</v>
      </c>
      <c r="H9" s="140">
        <v>346227.31457447773</v>
      </c>
      <c r="I9" s="140">
        <v>354853.09208136809</v>
      </c>
      <c r="J9" s="140">
        <v>361578.91030109191</v>
      </c>
      <c r="K9" s="140">
        <v>358827.07975383033</v>
      </c>
      <c r="L9" s="140">
        <v>352220.37654832687</v>
      </c>
      <c r="M9" s="140">
        <v>333881.97131320712</v>
      </c>
      <c r="N9" s="140">
        <v>312424.94604344293</v>
      </c>
      <c r="O9" s="140">
        <v>283624.51200852898</v>
      </c>
      <c r="P9" s="140">
        <v>256387.61750576049</v>
      </c>
      <c r="Q9" s="140">
        <v>231971.19880712673</v>
      </c>
      <c r="R9" s="140">
        <v>220244.87093813869</v>
      </c>
      <c r="S9" s="140">
        <v>227471.33701896304</v>
      </c>
      <c r="T9" s="140">
        <v>235795.15940396232</v>
      </c>
      <c r="U9" s="140">
        <v>240914.71201069932</v>
      </c>
      <c r="V9" s="140">
        <v>237487.23538994798</v>
      </c>
      <c r="W9" s="140">
        <v>215459.84109578375</v>
      </c>
      <c r="X9" s="140">
        <v>206181.92877196308</v>
      </c>
      <c r="Y9" s="140">
        <v>216894.43817735242</v>
      </c>
      <c r="DA9" s="170" t="s">
        <v>251</v>
      </c>
    </row>
    <row r="10" spans="1:105" ht="12" customHeight="1" x14ac:dyDescent="0.25">
      <c r="A10" s="131" t="s">
        <v>128</v>
      </c>
      <c r="B10" s="140">
        <v>735.02209748665416</v>
      </c>
      <c r="C10" s="140">
        <v>730.01340922972599</v>
      </c>
      <c r="D10" s="140">
        <v>686.56983758164665</v>
      </c>
      <c r="E10" s="140">
        <v>636.37532816535168</v>
      </c>
      <c r="F10" s="140">
        <v>607.53951807919827</v>
      </c>
      <c r="G10" s="140">
        <v>582.37066952995974</v>
      </c>
      <c r="H10" s="140">
        <v>595.51452648025349</v>
      </c>
      <c r="I10" s="140">
        <v>592.52948742271542</v>
      </c>
      <c r="J10" s="140">
        <v>662.00808045115127</v>
      </c>
      <c r="K10" s="140">
        <v>858.44428038079718</v>
      </c>
      <c r="L10" s="140">
        <v>1118.0635398237559</v>
      </c>
      <c r="M10" s="140">
        <v>1374.0933921532408</v>
      </c>
      <c r="N10" s="140">
        <v>1759.0784648033477</v>
      </c>
      <c r="O10" s="140">
        <v>2311.8942708855411</v>
      </c>
      <c r="P10" s="140">
        <v>2969.365523232063</v>
      </c>
      <c r="Q10" s="140">
        <v>3038.4886286477144</v>
      </c>
      <c r="R10" s="140">
        <v>3169.5223848821142</v>
      </c>
      <c r="S10" s="140">
        <v>3121.6705047205714</v>
      </c>
      <c r="T10" s="140">
        <v>3171.6180721571782</v>
      </c>
      <c r="U10" s="140">
        <v>3481.6712216843321</v>
      </c>
      <c r="V10" s="140">
        <v>4008.0459410380618</v>
      </c>
      <c r="W10" s="140">
        <v>4687.5445043508571</v>
      </c>
      <c r="X10" s="140">
        <v>5013.2792728757731</v>
      </c>
      <c r="Y10" s="140">
        <v>5190.3935856372045</v>
      </c>
      <c r="DA10" s="170" t="s">
        <v>252</v>
      </c>
    </row>
    <row r="11" spans="1:105" ht="12" customHeight="1" x14ac:dyDescent="0.25">
      <c r="A11" s="131" t="s">
        <v>25</v>
      </c>
      <c r="B11" s="140">
        <v>16089.590874163776</v>
      </c>
      <c r="C11" s="140">
        <v>16135.971372061473</v>
      </c>
      <c r="D11" s="140">
        <v>15548.265322242749</v>
      </c>
      <c r="E11" s="140">
        <v>14359.410657872857</v>
      </c>
      <c r="F11" s="140">
        <v>13102.733805755182</v>
      </c>
      <c r="G11" s="140">
        <v>11835.413473320621</v>
      </c>
      <c r="H11" s="140">
        <v>11141.080977402109</v>
      </c>
      <c r="I11" s="140">
        <v>10795.864523275477</v>
      </c>
      <c r="J11" s="140">
        <v>9789.2459687131177</v>
      </c>
      <c r="K11" s="140">
        <v>8726.5356552303401</v>
      </c>
      <c r="L11" s="140">
        <v>6973.2780824725933</v>
      </c>
      <c r="M11" s="140">
        <v>6319.7918316575151</v>
      </c>
      <c r="N11" s="140">
        <v>5938.4348832510532</v>
      </c>
      <c r="O11" s="140">
        <v>5840.266304024135</v>
      </c>
      <c r="P11" s="140">
        <v>5631.572577437154</v>
      </c>
      <c r="Q11" s="140">
        <v>5237.7531227513628</v>
      </c>
      <c r="R11" s="140">
        <v>4947.2616331140725</v>
      </c>
      <c r="S11" s="140">
        <v>4751.5652458963641</v>
      </c>
      <c r="T11" s="140">
        <v>4604.2723465223598</v>
      </c>
      <c r="U11" s="140">
        <v>4601.5503119991236</v>
      </c>
      <c r="V11" s="140">
        <v>4600.3912035960757</v>
      </c>
      <c r="W11" s="140">
        <v>4573.7610426203746</v>
      </c>
      <c r="X11" s="140">
        <v>4520.550773489138</v>
      </c>
      <c r="Y11" s="140">
        <v>4355.2798081630326</v>
      </c>
      <c r="DA11" s="170" t="s">
        <v>253</v>
      </c>
    </row>
    <row r="12" spans="1:105" ht="12" customHeight="1" x14ac:dyDescent="0.25">
      <c r="A12" s="131" t="s">
        <v>162</v>
      </c>
      <c r="B12" s="140">
        <v>0</v>
      </c>
      <c r="C12" s="140">
        <v>0</v>
      </c>
      <c r="D12" s="140">
        <v>0</v>
      </c>
      <c r="E12" s="140">
        <v>0</v>
      </c>
      <c r="F12" s="140">
        <v>4196.9207295288725</v>
      </c>
      <c r="G12" s="140">
        <v>5557.4157152116104</v>
      </c>
      <c r="H12" s="140">
        <v>6870.1967439113951</v>
      </c>
      <c r="I12" s="140">
        <v>7168.3903577819447</v>
      </c>
      <c r="J12" s="140">
        <v>6727.8280210805169</v>
      </c>
      <c r="K12" s="140">
        <v>6763.7993918270013</v>
      </c>
      <c r="L12" s="140">
        <v>7251.7073512283596</v>
      </c>
      <c r="M12" s="140">
        <v>9754.5793643961333</v>
      </c>
      <c r="N12" s="140">
        <v>11185.97483039189</v>
      </c>
      <c r="O12" s="140">
        <v>13364.598361007611</v>
      </c>
      <c r="P12" s="140">
        <v>14392.873898728118</v>
      </c>
      <c r="Q12" s="140">
        <v>15195.358367653316</v>
      </c>
      <c r="R12" s="140">
        <v>15937.684468667801</v>
      </c>
      <c r="S12" s="140">
        <v>17029.418565840493</v>
      </c>
      <c r="T12" s="140">
        <v>17811.018595090631</v>
      </c>
      <c r="U12" s="140">
        <v>17646.127245399122</v>
      </c>
      <c r="V12" s="140">
        <v>17177.59138999151</v>
      </c>
      <c r="W12" s="140">
        <v>15959.42627033411</v>
      </c>
      <c r="X12" s="140">
        <v>15406.17355241726</v>
      </c>
      <c r="Y12" s="140">
        <v>15474.132253142774</v>
      </c>
      <c r="DA12" s="170" t="s">
        <v>254</v>
      </c>
    </row>
    <row r="13" spans="1:105" ht="12" customHeight="1" x14ac:dyDescent="0.25">
      <c r="A13" s="131" t="s">
        <v>77</v>
      </c>
      <c r="B13" s="140">
        <v>1195.4814954587334</v>
      </c>
      <c r="C13" s="140">
        <v>2177.24422189795</v>
      </c>
      <c r="D13" s="140">
        <v>3969.408985317164</v>
      </c>
      <c r="E13" s="140">
        <v>5986.0284918863208</v>
      </c>
      <c r="F13" s="140">
        <v>9543.1862106228527</v>
      </c>
      <c r="G13" s="140">
        <v>13845.298653769491</v>
      </c>
      <c r="H13" s="140">
        <v>17761.380092784595</v>
      </c>
      <c r="I13" s="140">
        <v>21186.050065066807</v>
      </c>
      <c r="J13" s="140">
        <v>23606.681301385815</v>
      </c>
      <c r="K13" s="140">
        <v>29001.629686410393</v>
      </c>
      <c r="L13" s="140">
        <v>38140.515923877494</v>
      </c>
      <c r="M13" s="140">
        <v>54394.825359632552</v>
      </c>
      <c r="N13" s="140">
        <v>79393.049968726322</v>
      </c>
      <c r="O13" s="140">
        <v>114921.74205374838</v>
      </c>
      <c r="P13" s="140">
        <v>164475.83980869097</v>
      </c>
      <c r="Q13" s="140">
        <v>214488.8177095601</v>
      </c>
      <c r="R13" s="140">
        <v>238354.34941908572</v>
      </c>
      <c r="S13" s="140">
        <v>243190.10358633558</v>
      </c>
      <c r="T13" s="140">
        <v>241948.92083223991</v>
      </c>
      <c r="U13" s="140">
        <v>240648.45536432767</v>
      </c>
      <c r="V13" s="140">
        <v>240025.46719111761</v>
      </c>
      <c r="W13" s="140">
        <v>236124.91703968775</v>
      </c>
      <c r="X13" s="140">
        <v>227829.39774760834</v>
      </c>
      <c r="Y13" s="140">
        <v>207089.82355477475</v>
      </c>
      <c r="DA13" s="170" t="s">
        <v>255</v>
      </c>
    </row>
    <row r="14" spans="1:105" ht="12" customHeight="1" x14ac:dyDescent="0.25">
      <c r="A14" s="60" t="s">
        <v>76</v>
      </c>
      <c r="B14" s="141">
        <v>185415.64654608149</v>
      </c>
      <c r="C14" s="141">
        <v>185505.33463748277</v>
      </c>
      <c r="D14" s="141">
        <v>185792.01801978669</v>
      </c>
      <c r="E14" s="141">
        <v>178710.81774029075</v>
      </c>
      <c r="F14" s="141">
        <v>176812.47999983249</v>
      </c>
      <c r="G14" s="141">
        <v>174656.38363381455</v>
      </c>
      <c r="H14" s="141">
        <v>176811.42064799028</v>
      </c>
      <c r="I14" s="141">
        <v>177839.08792731227</v>
      </c>
      <c r="J14" s="141">
        <v>176129.7290011736</v>
      </c>
      <c r="K14" s="141">
        <v>178563.24466560967</v>
      </c>
      <c r="L14" s="141">
        <v>182664.189553442</v>
      </c>
      <c r="M14" s="141">
        <v>189603.45643746798</v>
      </c>
      <c r="N14" s="141">
        <v>188686.04781009341</v>
      </c>
      <c r="O14" s="141">
        <v>178752.90858455267</v>
      </c>
      <c r="P14" s="141">
        <v>163278.4198520178</v>
      </c>
      <c r="Q14" s="141">
        <v>140443.12016748619</v>
      </c>
      <c r="R14" s="141">
        <v>128965.18634410077</v>
      </c>
      <c r="S14" s="141">
        <v>120777.40795497465</v>
      </c>
      <c r="T14" s="141">
        <v>115723.87983135995</v>
      </c>
      <c r="U14" s="141">
        <v>112436.794097695</v>
      </c>
      <c r="V14" s="141">
        <v>114651.28758497845</v>
      </c>
      <c r="W14" s="141">
        <v>137921.79324566296</v>
      </c>
      <c r="X14" s="141">
        <v>152973.42209606667</v>
      </c>
      <c r="Y14" s="141">
        <v>162274.98054480206</v>
      </c>
      <c r="DA14" s="171" t="s">
        <v>256</v>
      </c>
    </row>
    <row r="15" spans="1:105" ht="12" hidden="1" customHeight="1" x14ac:dyDescent="0.25">
      <c r="A15" s="142" t="s">
        <v>75</v>
      </c>
      <c r="B15" s="143">
        <f t="shared" ref="B15:Q15" si="4">SUM(B5:B12)</f>
        <v>374019.79782437289</v>
      </c>
      <c r="C15" s="143">
        <f t="shared" si="4"/>
        <v>382248.1212634801</v>
      </c>
      <c r="D15" s="143">
        <f t="shared" si="4"/>
        <v>389830.70266863151</v>
      </c>
      <c r="E15" s="143">
        <f t="shared" si="4"/>
        <v>401222.62576250191</v>
      </c>
      <c r="F15" s="143">
        <f t="shared" si="4"/>
        <v>403722.3123725648</v>
      </c>
      <c r="G15" s="143">
        <f t="shared" si="4"/>
        <v>404413.74203778716</v>
      </c>
      <c r="H15" s="143">
        <f t="shared" si="4"/>
        <v>411371.12805033301</v>
      </c>
      <c r="I15" s="143">
        <f t="shared" si="4"/>
        <v>417583.05687809712</v>
      </c>
      <c r="J15" s="143">
        <f t="shared" si="4"/>
        <v>420132.32969544875</v>
      </c>
      <c r="K15" s="143">
        <f t="shared" si="4"/>
        <v>412168.68738371466</v>
      </c>
      <c r="L15" s="143">
        <f t="shared" si="4"/>
        <v>402288.78952485236</v>
      </c>
      <c r="M15" s="143">
        <f t="shared" si="4"/>
        <v>384063.42996586586</v>
      </c>
      <c r="N15" s="143">
        <f t="shared" si="4"/>
        <v>362260.72161781497</v>
      </c>
      <c r="O15" s="143">
        <f t="shared" si="4"/>
        <v>334629.96399144118</v>
      </c>
      <c r="P15" s="143">
        <f t="shared" si="4"/>
        <v>308272.52491767477</v>
      </c>
      <c r="Q15" s="143">
        <f t="shared" si="4"/>
        <v>283212.88636866433</v>
      </c>
      <c r="R15" s="143">
        <f t="shared" ref="R15:W15" si="5">SUM(R5:R12)</f>
        <v>270956.89093805518</v>
      </c>
      <c r="S15" s="143">
        <f t="shared" si="5"/>
        <v>277214.46538250666</v>
      </c>
      <c r="T15" s="143">
        <f t="shared" si="5"/>
        <v>285596.17804434546</v>
      </c>
      <c r="U15" s="143">
        <f t="shared" si="5"/>
        <v>291815.31726082519</v>
      </c>
      <c r="V15" s="143">
        <f t="shared" si="5"/>
        <v>291341.85522390396</v>
      </c>
      <c r="W15" s="143">
        <f t="shared" si="5"/>
        <v>272887.4652915218</v>
      </c>
      <c r="X15" s="143">
        <f t="shared" ref="X15:Y15" si="6">SUM(X5:X12)</f>
        <v>266877.47405866242</v>
      </c>
      <c r="Y15" s="143">
        <f t="shared" si="6"/>
        <v>278974.49875360739</v>
      </c>
      <c r="DA15" s="172"/>
    </row>
    <row r="16" spans="1:105" ht="12.95" customHeight="1" x14ac:dyDescent="0.25">
      <c r="A16" s="129" t="s">
        <v>74</v>
      </c>
      <c r="B16" s="139">
        <f t="shared" ref="B16:Q16" si="7">SUM(B17:B18)</f>
        <v>140050.16815618164</v>
      </c>
      <c r="C16" s="139">
        <f t="shared" si="7"/>
        <v>151074.2484969568</v>
      </c>
      <c r="D16" s="139">
        <f t="shared" si="7"/>
        <v>164711.07905815629</v>
      </c>
      <c r="E16" s="139">
        <f t="shared" si="7"/>
        <v>173547.05639188885</v>
      </c>
      <c r="F16" s="139">
        <f t="shared" si="7"/>
        <v>187344.39085752805</v>
      </c>
      <c r="G16" s="139">
        <f t="shared" si="7"/>
        <v>197549.06921723526</v>
      </c>
      <c r="H16" s="139">
        <f t="shared" si="7"/>
        <v>219354.40869028229</v>
      </c>
      <c r="I16" s="139">
        <f t="shared" si="7"/>
        <v>243979.36093718882</v>
      </c>
      <c r="J16" s="139">
        <f t="shared" si="7"/>
        <v>258982.861248242</v>
      </c>
      <c r="K16" s="139">
        <f t="shared" si="7"/>
        <v>277435.31053552229</v>
      </c>
      <c r="L16" s="139">
        <f t="shared" si="7"/>
        <v>295803.17272618017</v>
      </c>
      <c r="M16" s="139">
        <f t="shared" si="7"/>
        <v>314233.70727598196</v>
      </c>
      <c r="N16" s="139">
        <f t="shared" si="7"/>
        <v>326818.50513730489</v>
      </c>
      <c r="O16" s="139">
        <f t="shared" si="7"/>
        <v>334503.02298822982</v>
      </c>
      <c r="P16" s="139">
        <f t="shared" si="7"/>
        <v>343892.27589556825</v>
      </c>
      <c r="Q16" s="139">
        <f t="shared" si="7"/>
        <v>347530.9340419661</v>
      </c>
      <c r="R16" s="139">
        <f t="shared" ref="R16:W16" si="8">SUM(R17:R18)</f>
        <v>351160.54932422098</v>
      </c>
      <c r="S16" s="139">
        <f t="shared" si="8"/>
        <v>352318.7707035286</v>
      </c>
      <c r="T16" s="139">
        <f t="shared" si="8"/>
        <v>352449.00118466577</v>
      </c>
      <c r="U16" s="139">
        <f t="shared" si="8"/>
        <v>353524.27861999738</v>
      </c>
      <c r="V16" s="139">
        <f t="shared" si="8"/>
        <v>354066.88452357776</v>
      </c>
      <c r="W16" s="139">
        <f t="shared" si="8"/>
        <v>354184.02272212092</v>
      </c>
      <c r="X16" s="139">
        <f t="shared" ref="X16:Y16" si="9">SUM(X17:X18)</f>
        <v>349417.89395292697</v>
      </c>
      <c r="Y16" s="139">
        <f t="shared" si="9"/>
        <v>354414.54464259202</v>
      </c>
      <c r="DA16" s="169" t="s">
        <v>257</v>
      </c>
    </row>
    <row r="17" spans="1:105" ht="12.95" customHeight="1" x14ac:dyDescent="0.25">
      <c r="A17" s="131" t="s">
        <v>73</v>
      </c>
      <c r="B17" s="140">
        <v>240.91275643373501</v>
      </c>
      <c r="C17" s="140">
        <v>391.47449536257454</v>
      </c>
      <c r="D17" s="140">
        <v>419.5923201380453</v>
      </c>
      <c r="E17" s="140">
        <v>558.20224336476326</v>
      </c>
      <c r="F17" s="140">
        <v>752.20633964984177</v>
      </c>
      <c r="G17" s="140">
        <v>850.84141165984238</v>
      </c>
      <c r="H17" s="140">
        <v>1074.7103121141392</v>
      </c>
      <c r="I17" s="140">
        <v>1313.3835910118803</v>
      </c>
      <c r="J17" s="140">
        <v>1584.0913293723811</v>
      </c>
      <c r="K17" s="140">
        <v>1988.7617312282932</v>
      </c>
      <c r="L17" s="140">
        <v>2371.0047181749223</v>
      </c>
      <c r="M17" s="140">
        <v>2716.4909572925671</v>
      </c>
      <c r="N17" s="140">
        <v>3014.3074864482583</v>
      </c>
      <c r="O17" s="140">
        <v>3455.5737061152554</v>
      </c>
      <c r="P17" s="140">
        <v>3886.1556406969953</v>
      </c>
      <c r="Q17" s="140">
        <v>4197.374863726568</v>
      </c>
      <c r="R17" s="140">
        <v>4548.7884886081929</v>
      </c>
      <c r="S17" s="140">
        <v>4831.8152167213902</v>
      </c>
      <c r="T17" s="140">
        <v>5038.0337242785927</v>
      </c>
      <c r="U17" s="140">
        <v>5188.1661658030162</v>
      </c>
      <c r="V17" s="140">
        <v>5309.458800589543</v>
      </c>
      <c r="W17" s="140">
        <v>5368.3744127656755</v>
      </c>
      <c r="X17" s="140">
        <v>5647.6901487317973</v>
      </c>
      <c r="Y17" s="140">
        <v>6040.0571099508616</v>
      </c>
      <c r="DA17" s="170" t="s">
        <v>258</v>
      </c>
    </row>
    <row r="18" spans="1:105" ht="12" customHeight="1" x14ac:dyDescent="0.25">
      <c r="A18" s="131" t="s">
        <v>72</v>
      </c>
      <c r="B18" s="140">
        <v>139809.2553997479</v>
      </c>
      <c r="C18" s="140">
        <v>150682.77400159423</v>
      </c>
      <c r="D18" s="140">
        <v>164291.48673801825</v>
      </c>
      <c r="E18" s="140">
        <v>172988.85414852409</v>
      </c>
      <c r="F18" s="140">
        <v>186592.1845178782</v>
      </c>
      <c r="G18" s="140">
        <v>196698.22780557541</v>
      </c>
      <c r="H18" s="140">
        <v>218279.69837816816</v>
      </c>
      <c r="I18" s="140">
        <v>242665.97734617692</v>
      </c>
      <c r="J18" s="140">
        <v>257398.76991886963</v>
      </c>
      <c r="K18" s="140">
        <v>275446.54880429403</v>
      </c>
      <c r="L18" s="140">
        <v>293432.16800800525</v>
      </c>
      <c r="M18" s="140">
        <v>311517.2163186894</v>
      </c>
      <c r="N18" s="140">
        <v>323804.19765085663</v>
      </c>
      <c r="O18" s="140">
        <v>331047.44928211457</v>
      </c>
      <c r="P18" s="140">
        <v>340006.12025487126</v>
      </c>
      <c r="Q18" s="140">
        <v>343333.55917823955</v>
      </c>
      <c r="R18" s="140">
        <v>346611.76083561277</v>
      </c>
      <c r="S18" s="140">
        <v>347486.95548680722</v>
      </c>
      <c r="T18" s="140">
        <v>347410.96746038715</v>
      </c>
      <c r="U18" s="140">
        <v>348336.11245419434</v>
      </c>
      <c r="V18" s="140">
        <v>348757.42572298821</v>
      </c>
      <c r="W18" s="140">
        <v>348815.64830935525</v>
      </c>
      <c r="X18" s="140">
        <v>343770.20380419516</v>
      </c>
      <c r="Y18" s="140">
        <v>348374.48753264116</v>
      </c>
      <c r="DA18" s="170" t="s">
        <v>259</v>
      </c>
    </row>
    <row r="19" spans="1:105" ht="12.95" customHeight="1" x14ac:dyDescent="0.25">
      <c r="A19" s="129" t="s">
        <v>35</v>
      </c>
      <c r="B19" s="139">
        <f t="shared" ref="B19:Q19" si="10">SUM(B20:B26)</f>
        <v>560630.92586591304</v>
      </c>
      <c r="C19" s="139">
        <f t="shared" si="10"/>
        <v>569930.70012286073</v>
      </c>
      <c r="D19" s="139">
        <f t="shared" si="10"/>
        <v>579592.12967373547</v>
      </c>
      <c r="E19" s="139">
        <f t="shared" si="10"/>
        <v>585919.47199467896</v>
      </c>
      <c r="F19" s="139">
        <f t="shared" si="10"/>
        <v>590077.97858302016</v>
      </c>
      <c r="G19" s="139">
        <f t="shared" si="10"/>
        <v>592915.42432537128</v>
      </c>
      <c r="H19" s="139">
        <f t="shared" si="10"/>
        <v>605943.92879110784</v>
      </c>
      <c r="I19" s="139">
        <f t="shared" si="10"/>
        <v>616608.19487047638</v>
      </c>
      <c r="J19" s="139">
        <f t="shared" si="10"/>
        <v>619868.73999800812</v>
      </c>
      <c r="K19" s="139">
        <f t="shared" si="10"/>
        <v>619733.56173573493</v>
      </c>
      <c r="L19" s="139">
        <f t="shared" si="10"/>
        <v>623093.49500217196</v>
      </c>
      <c r="M19" s="139">
        <f t="shared" si="10"/>
        <v>628061.71176296612</v>
      </c>
      <c r="N19" s="139">
        <f t="shared" si="10"/>
        <v>630339.81939663482</v>
      </c>
      <c r="O19" s="139">
        <f t="shared" si="10"/>
        <v>628304.61462974222</v>
      </c>
      <c r="P19" s="139">
        <f t="shared" si="10"/>
        <v>636026.78457838413</v>
      </c>
      <c r="Q19" s="139">
        <f t="shared" si="10"/>
        <v>638144.82424571074</v>
      </c>
      <c r="R19" s="139">
        <f t="shared" ref="R19:W19" si="11">SUM(R20:R26)</f>
        <v>638276.42670124175</v>
      </c>
      <c r="S19" s="139">
        <f t="shared" si="11"/>
        <v>641181.97692381684</v>
      </c>
      <c r="T19" s="139">
        <f t="shared" si="11"/>
        <v>643268.97870794497</v>
      </c>
      <c r="U19" s="139">
        <f t="shared" si="11"/>
        <v>644900.56672284787</v>
      </c>
      <c r="V19" s="139">
        <f t="shared" si="11"/>
        <v>646018.61000000034</v>
      </c>
      <c r="W19" s="139">
        <f t="shared" si="11"/>
        <v>646934.17557687289</v>
      </c>
      <c r="X19" s="139">
        <f t="shared" ref="X19:Y19" si="12">SUM(X20:X26)</f>
        <v>647680.29390233662</v>
      </c>
      <c r="Y19" s="139">
        <f t="shared" si="12"/>
        <v>648339.3028531844</v>
      </c>
      <c r="DA19" s="169" t="s">
        <v>260</v>
      </c>
    </row>
    <row r="20" spans="1:105" ht="12" customHeight="1" x14ac:dyDescent="0.25">
      <c r="A20" s="131" t="s">
        <v>29</v>
      </c>
      <c r="B20" s="140">
        <v>0</v>
      </c>
      <c r="C20" s="140">
        <v>0</v>
      </c>
      <c r="D20" s="140">
        <v>0</v>
      </c>
      <c r="E20" s="140">
        <v>0</v>
      </c>
      <c r="F20" s="140">
        <v>0</v>
      </c>
      <c r="G20" s="140">
        <v>0</v>
      </c>
      <c r="H20" s="140">
        <v>0</v>
      </c>
      <c r="I20" s="140">
        <v>0</v>
      </c>
      <c r="J20" s="140">
        <v>0</v>
      </c>
      <c r="K20" s="140">
        <v>0</v>
      </c>
      <c r="L20" s="140">
        <v>0</v>
      </c>
      <c r="M20" s="140">
        <v>0</v>
      </c>
      <c r="N20" s="140">
        <v>0</v>
      </c>
      <c r="O20" s="140">
        <v>0</v>
      </c>
      <c r="P20" s="140">
        <v>0</v>
      </c>
      <c r="Q20" s="140">
        <v>0</v>
      </c>
      <c r="R20" s="140">
        <v>0</v>
      </c>
      <c r="S20" s="140">
        <v>0</v>
      </c>
      <c r="T20" s="140">
        <v>0</v>
      </c>
      <c r="U20" s="140">
        <v>0</v>
      </c>
      <c r="V20" s="140">
        <v>0</v>
      </c>
      <c r="W20" s="140">
        <v>0</v>
      </c>
      <c r="X20" s="140">
        <v>0</v>
      </c>
      <c r="Y20" s="140">
        <v>0</v>
      </c>
      <c r="DA20" s="170" t="s">
        <v>261</v>
      </c>
    </row>
    <row r="21" spans="1:105" s="2" customFormat="1" ht="12" customHeight="1" x14ac:dyDescent="0.25">
      <c r="A21" s="131" t="s">
        <v>52</v>
      </c>
      <c r="B21" s="140">
        <v>30806.23349454904</v>
      </c>
      <c r="C21" s="140">
        <v>29840.630362262116</v>
      </c>
      <c r="D21" s="140">
        <v>28036.88802760687</v>
      </c>
      <c r="E21" s="140">
        <v>26587.30786355499</v>
      </c>
      <c r="F21" s="140">
        <v>25578.986281691479</v>
      </c>
      <c r="G21" s="140">
        <v>24841.161455578014</v>
      </c>
      <c r="H21" s="140">
        <v>23911.306685865729</v>
      </c>
      <c r="I21" s="140">
        <v>22313.580509167401</v>
      </c>
      <c r="J21" s="140">
        <v>20893.198565925308</v>
      </c>
      <c r="K21" s="140">
        <v>19265.065999399591</v>
      </c>
      <c r="L21" s="140">
        <v>17763.885556270732</v>
      </c>
      <c r="M21" s="140">
        <v>16152.533473131431</v>
      </c>
      <c r="N21" s="140">
        <v>14131.997379572835</v>
      </c>
      <c r="O21" s="140">
        <v>12312.498950034811</v>
      </c>
      <c r="P21" s="140">
        <v>10644.070925634749</v>
      </c>
      <c r="Q21" s="140">
        <v>9887.3732000606215</v>
      </c>
      <c r="R21" s="140">
        <v>9934.7101727335485</v>
      </c>
      <c r="S21" s="140">
        <v>10279.756699886684</v>
      </c>
      <c r="T21" s="140">
        <v>10468.936744338616</v>
      </c>
      <c r="U21" s="140">
        <v>10626.74309375717</v>
      </c>
      <c r="V21" s="140">
        <v>10408.279571517854</v>
      </c>
      <c r="W21" s="140">
        <v>10022.941841609936</v>
      </c>
      <c r="X21" s="140">
        <v>9623.1276276734316</v>
      </c>
      <c r="Y21" s="140">
        <v>9674.3152079591673</v>
      </c>
      <c r="DA21" s="170" t="s">
        <v>262</v>
      </c>
    </row>
    <row r="22" spans="1:105" ht="12" customHeight="1" x14ac:dyDescent="0.25">
      <c r="A22" s="131" t="s">
        <v>161</v>
      </c>
      <c r="B22" s="140">
        <v>33536.571509172638</v>
      </c>
      <c r="C22" s="140">
        <v>31127.470616047092</v>
      </c>
      <c r="D22" s="140">
        <v>27794.878005360843</v>
      </c>
      <c r="E22" s="140">
        <v>25142.385037531694</v>
      </c>
      <c r="F22" s="140">
        <v>22799.527460063928</v>
      </c>
      <c r="G22" s="140">
        <v>21305.175557994218</v>
      </c>
      <c r="H22" s="140">
        <v>20242.572810101112</v>
      </c>
      <c r="I22" s="140">
        <v>19026.752179345778</v>
      </c>
      <c r="J22" s="140">
        <v>17668.087596101512</v>
      </c>
      <c r="K22" s="140">
        <v>15842.210838772473</v>
      </c>
      <c r="L22" s="140">
        <v>14354.593974994335</v>
      </c>
      <c r="M22" s="140">
        <v>13418.91509879467</v>
      </c>
      <c r="N22" s="140">
        <v>12898.75321236132</v>
      </c>
      <c r="O22" s="140">
        <v>12452.968166891571</v>
      </c>
      <c r="P22" s="140">
        <v>11820.726670365852</v>
      </c>
      <c r="Q22" s="140">
        <v>11177.003036488519</v>
      </c>
      <c r="R22" s="140">
        <v>10581.542814378325</v>
      </c>
      <c r="S22" s="140">
        <v>10229.307662709934</v>
      </c>
      <c r="T22" s="140">
        <v>9754.2198590180305</v>
      </c>
      <c r="U22" s="140">
        <v>9045.309134291545</v>
      </c>
      <c r="V22" s="140">
        <v>8260.2148618831925</v>
      </c>
      <c r="W22" s="140">
        <v>7754.8543197709032</v>
      </c>
      <c r="X22" s="140">
        <v>7617.6805911902084</v>
      </c>
      <c r="Y22" s="140">
        <v>7777.4137352570779</v>
      </c>
      <c r="DA22" s="170" t="s">
        <v>263</v>
      </c>
    </row>
    <row r="23" spans="1:105" ht="12" customHeight="1" x14ac:dyDescent="0.25">
      <c r="A23" s="131" t="s">
        <v>149</v>
      </c>
      <c r="B23" s="140">
        <v>222808.98429631026</v>
      </c>
      <c r="C23" s="140">
        <v>223466.71321127281</v>
      </c>
      <c r="D23" s="140">
        <v>225386.55229816007</v>
      </c>
      <c r="E23" s="140">
        <v>227975.04010165454</v>
      </c>
      <c r="F23" s="140">
        <v>230053.50735297866</v>
      </c>
      <c r="G23" s="140">
        <v>233953.06139112721</v>
      </c>
      <c r="H23" s="140">
        <v>236654.15959481357</v>
      </c>
      <c r="I23" s="140">
        <v>238842.74705484623</v>
      </c>
      <c r="J23" s="140">
        <v>241827.38408777551</v>
      </c>
      <c r="K23" s="140">
        <v>244760.80568442869</v>
      </c>
      <c r="L23" s="140">
        <v>247543.46014311264</v>
      </c>
      <c r="M23" s="140">
        <v>250378.20177874403</v>
      </c>
      <c r="N23" s="140">
        <v>253682.03571884939</v>
      </c>
      <c r="O23" s="140">
        <v>254545.15435952475</v>
      </c>
      <c r="P23" s="140">
        <v>255680.96711242202</v>
      </c>
      <c r="Q23" s="140">
        <v>259194.59200976364</v>
      </c>
      <c r="R23" s="140">
        <v>266624.05739748239</v>
      </c>
      <c r="S23" s="140">
        <v>277218.16405836231</v>
      </c>
      <c r="T23" s="140">
        <v>281217.82434267428</v>
      </c>
      <c r="U23" s="140">
        <v>281539.32662382955</v>
      </c>
      <c r="V23" s="140">
        <v>276970.69350161322</v>
      </c>
      <c r="W23" s="140">
        <v>254361.98522143415</v>
      </c>
      <c r="X23" s="140">
        <v>255924.060785165</v>
      </c>
      <c r="Y23" s="140">
        <v>256607.90720777534</v>
      </c>
      <c r="DA23" s="170" t="s">
        <v>264</v>
      </c>
    </row>
    <row r="24" spans="1:105" ht="12" customHeight="1" x14ac:dyDescent="0.25">
      <c r="A24" s="131" t="s">
        <v>128</v>
      </c>
      <c r="B24" s="140">
        <v>0</v>
      </c>
      <c r="C24" s="140">
        <v>0</v>
      </c>
      <c r="D24" s="140">
        <v>0</v>
      </c>
      <c r="E24" s="140">
        <v>0</v>
      </c>
      <c r="F24" s="140">
        <v>0</v>
      </c>
      <c r="G24" s="140">
        <v>0</v>
      </c>
      <c r="H24" s="140">
        <v>0</v>
      </c>
      <c r="I24" s="140">
        <v>0</v>
      </c>
      <c r="J24" s="140">
        <v>0</v>
      </c>
      <c r="K24" s="140">
        <v>0</v>
      </c>
      <c r="L24" s="140">
        <v>0</v>
      </c>
      <c r="M24" s="140">
        <v>0</v>
      </c>
      <c r="N24" s="140">
        <v>0</v>
      </c>
      <c r="O24" s="140">
        <v>0</v>
      </c>
      <c r="P24" s="140">
        <v>0</v>
      </c>
      <c r="Q24" s="140">
        <v>0</v>
      </c>
      <c r="R24" s="140">
        <v>0</v>
      </c>
      <c r="S24" s="140">
        <v>0</v>
      </c>
      <c r="T24" s="140">
        <v>0</v>
      </c>
      <c r="U24" s="140">
        <v>0</v>
      </c>
      <c r="V24" s="140">
        <v>0</v>
      </c>
      <c r="W24" s="140">
        <v>0</v>
      </c>
      <c r="X24" s="140">
        <v>0</v>
      </c>
      <c r="Y24" s="140">
        <v>0</v>
      </c>
      <c r="DA24" s="170" t="s">
        <v>265</v>
      </c>
    </row>
    <row r="25" spans="1:105" ht="12" customHeight="1" x14ac:dyDescent="0.25">
      <c r="A25" s="131" t="s">
        <v>162</v>
      </c>
      <c r="B25" s="140">
        <v>0</v>
      </c>
      <c r="C25" s="140">
        <v>0</v>
      </c>
      <c r="D25" s="140">
        <v>0</v>
      </c>
      <c r="E25" s="140">
        <v>0</v>
      </c>
      <c r="F25" s="140">
        <v>3792.2326696099103</v>
      </c>
      <c r="G25" s="140">
        <v>4941.8080299104013</v>
      </c>
      <c r="H25" s="140">
        <v>5521.9591544542109</v>
      </c>
      <c r="I25" s="140">
        <v>5682.6374537873735</v>
      </c>
      <c r="J25" s="140">
        <v>6052.2405482224649</v>
      </c>
      <c r="K25" s="140">
        <v>6821.3882264493532</v>
      </c>
      <c r="L25" s="140">
        <v>7759.451374121797</v>
      </c>
      <c r="M25" s="140">
        <v>9209.6683995400672</v>
      </c>
      <c r="N25" s="140">
        <v>11174.675047273349</v>
      </c>
      <c r="O25" s="140">
        <v>13435.396764572937</v>
      </c>
      <c r="P25" s="140">
        <v>15329.537554439079</v>
      </c>
      <c r="Q25" s="140">
        <v>16608.988903043286</v>
      </c>
      <c r="R25" s="140">
        <v>17750.125295419468</v>
      </c>
      <c r="S25" s="140">
        <v>18572.343431568013</v>
      </c>
      <c r="T25" s="140">
        <v>19113.445185844063</v>
      </c>
      <c r="U25" s="140">
        <v>18501.617464547653</v>
      </c>
      <c r="V25" s="140">
        <v>16995.487814785483</v>
      </c>
      <c r="W25" s="140">
        <v>14189.97664164764</v>
      </c>
      <c r="X25" s="140">
        <v>12057.125577822206</v>
      </c>
      <c r="Y25" s="140">
        <v>11698.854710115214</v>
      </c>
      <c r="DA25" s="170" t="s">
        <v>266</v>
      </c>
    </row>
    <row r="26" spans="1:105" ht="12" customHeight="1" x14ac:dyDescent="0.25">
      <c r="A26" s="131" t="s">
        <v>24</v>
      </c>
      <c r="B26" s="141">
        <v>273479.13656588114</v>
      </c>
      <c r="C26" s="141">
        <v>285495.88593327871</v>
      </c>
      <c r="D26" s="141">
        <v>298373.81134260772</v>
      </c>
      <c r="E26" s="141">
        <v>306214.73899193772</v>
      </c>
      <c r="F26" s="141">
        <v>307853.72481867619</v>
      </c>
      <c r="G26" s="141">
        <v>307874.21789076144</v>
      </c>
      <c r="H26" s="141">
        <v>319613.93054587313</v>
      </c>
      <c r="I26" s="141">
        <v>330742.47767332959</v>
      </c>
      <c r="J26" s="141">
        <v>333427.82919998339</v>
      </c>
      <c r="K26" s="141">
        <v>333044.09098668478</v>
      </c>
      <c r="L26" s="141">
        <v>335672.1039536724</v>
      </c>
      <c r="M26" s="141">
        <v>338902.39301275596</v>
      </c>
      <c r="N26" s="141">
        <v>338452.35803857795</v>
      </c>
      <c r="O26" s="141">
        <v>335558.59638871811</v>
      </c>
      <c r="P26" s="141">
        <v>342551.48231552239</v>
      </c>
      <c r="Q26" s="141">
        <v>341276.86709635466</v>
      </c>
      <c r="R26" s="141">
        <v>333385.99102122802</v>
      </c>
      <c r="S26" s="141">
        <v>324882.40507128986</v>
      </c>
      <c r="T26" s="141">
        <v>322714.55257606995</v>
      </c>
      <c r="U26" s="141">
        <v>325187.57040642196</v>
      </c>
      <c r="V26" s="141">
        <v>333383.93425020052</v>
      </c>
      <c r="W26" s="141">
        <v>360604.41755241033</v>
      </c>
      <c r="X26" s="141">
        <v>362458.29932048579</v>
      </c>
      <c r="Y26" s="141">
        <v>362580.81199207756</v>
      </c>
      <c r="DA26" s="171" t="s">
        <v>267</v>
      </c>
    </row>
    <row r="27" spans="1:105" ht="12" customHeight="1" x14ac:dyDescent="0.25">
      <c r="A27" s="144" t="s">
        <v>26</v>
      </c>
      <c r="B27" s="150">
        <v>1771.1566352664172</v>
      </c>
      <c r="C27" s="150">
        <v>1880.1864178841067</v>
      </c>
      <c r="D27" s="150">
        <v>2205.1725406573601</v>
      </c>
      <c r="E27" s="150">
        <v>2479.7584978020359</v>
      </c>
      <c r="F27" s="150">
        <v>2920.0372978523928</v>
      </c>
      <c r="G27" s="150">
        <v>4204.0378308976515</v>
      </c>
      <c r="H27" s="150">
        <v>5323.0403708070544</v>
      </c>
      <c r="I27" s="150">
        <v>7702.8754981733964</v>
      </c>
      <c r="J27" s="150">
        <v>10383.551998758165</v>
      </c>
      <c r="K27" s="150">
        <v>12623.506683576174</v>
      </c>
      <c r="L27" s="150">
        <v>18656.143058509413</v>
      </c>
      <c r="M27" s="150">
        <v>20017.821905609111</v>
      </c>
      <c r="N27" s="150">
        <v>21142.575990070061</v>
      </c>
      <c r="O27" s="150">
        <v>21828.231258334861</v>
      </c>
      <c r="P27" s="150">
        <v>25416.164906729118</v>
      </c>
      <c r="Q27" s="150">
        <v>24570.682795249617</v>
      </c>
      <c r="R27" s="150">
        <v>25084.875314163233</v>
      </c>
      <c r="S27" s="150">
        <v>26903.387219779775</v>
      </c>
      <c r="T27" s="150">
        <v>27838.851415571742</v>
      </c>
      <c r="U27" s="150">
        <v>31305.680469578016</v>
      </c>
      <c r="V27" s="150">
        <v>33382.29604300364</v>
      </c>
      <c r="W27" s="150">
        <v>30245.904984771139</v>
      </c>
      <c r="X27" s="150">
        <v>23869.861213294509</v>
      </c>
      <c r="Y27" s="150">
        <v>28198.966498135589</v>
      </c>
      <c r="DA27" s="173" t="s">
        <v>268</v>
      </c>
    </row>
    <row r="28" spans="1:105" ht="12" hidden="1" customHeight="1" x14ac:dyDescent="0.25">
      <c r="A28" s="78" t="s">
        <v>26</v>
      </c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2"/>
      <c r="U28" s="152"/>
      <c r="V28" s="152"/>
      <c r="W28" s="152"/>
      <c r="X28" s="152"/>
      <c r="Y28" s="152"/>
      <c r="DA28" s="175"/>
    </row>
    <row r="29" spans="1:105" ht="12.95" customHeight="1" x14ac:dyDescent="0.25">
      <c r="A29" s="129" t="s">
        <v>34</v>
      </c>
      <c r="B29" s="139">
        <f t="shared" ref="B29:Q29" si="13">SUM(B30:B33)</f>
        <v>560630.92586591304</v>
      </c>
      <c r="C29" s="139">
        <f t="shared" si="13"/>
        <v>569930.70012286073</v>
      </c>
      <c r="D29" s="139">
        <f t="shared" si="13"/>
        <v>579592.12967373524</v>
      </c>
      <c r="E29" s="139">
        <f t="shared" si="13"/>
        <v>585919.47199467896</v>
      </c>
      <c r="F29" s="139">
        <f t="shared" si="13"/>
        <v>590077.97858302016</v>
      </c>
      <c r="G29" s="139">
        <f t="shared" si="13"/>
        <v>592915.42432537128</v>
      </c>
      <c r="H29" s="139">
        <f t="shared" si="13"/>
        <v>605943.92879110761</v>
      </c>
      <c r="I29" s="139">
        <f t="shared" si="13"/>
        <v>616608.19487047638</v>
      </c>
      <c r="J29" s="139">
        <f t="shared" si="13"/>
        <v>619868.73999800789</v>
      </c>
      <c r="K29" s="139">
        <f t="shared" si="13"/>
        <v>619733.56173573469</v>
      </c>
      <c r="L29" s="139">
        <f t="shared" si="13"/>
        <v>623093.49500217207</v>
      </c>
      <c r="M29" s="139">
        <f t="shared" si="13"/>
        <v>628061.71176296589</v>
      </c>
      <c r="N29" s="139">
        <f t="shared" si="13"/>
        <v>630339.81939663482</v>
      </c>
      <c r="O29" s="139">
        <f t="shared" si="13"/>
        <v>628304.61462974222</v>
      </c>
      <c r="P29" s="139">
        <f t="shared" si="13"/>
        <v>636026.7845783839</v>
      </c>
      <c r="Q29" s="139">
        <f t="shared" si="13"/>
        <v>638144.82424571097</v>
      </c>
      <c r="R29" s="139">
        <f t="shared" ref="R29:W29" si="14">SUM(R30:R33)</f>
        <v>638276.42670124152</v>
      </c>
      <c r="S29" s="139">
        <f t="shared" si="14"/>
        <v>641181.97692381695</v>
      </c>
      <c r="T29" s="139">
        <f t="shared" si="14"/>
        <v>643268.97870794521</v>
      </c>
      <c r="U29" s="139">
        <f t="shared" si="14"/>
        <v>644900.56672284799</v>
      </c>
      <c r="V29" s="139">
        <f t="shared" si="14"/>
        <v>646018.61</v>
      </c>
      <c r="W29" s="139">
        <f t="shared" si="14"/>
        <v>646934.17557687277</v>
      </c>
      <c r="X29" s="139">
        <f t="shared" ref="X29:Y29" si="15">SUM(X30:X33)</f>
        <v>647680.29390233697</v>
      </c>
      <c r="Y29" s="139">
        <f t="shared" si="15"/>
        <v>648339.30285318464</v>
      </c>
      <c r="DA29" s="169" t="s">
        <v>269</v>
      </c>
    </row>
    <row r="30" spans="1:105" ht="12" customHeight="1" x14ac:dyDescent="0.25">
      <c r="A30" s="131" t="s">
        <v>52</v>
      </c>
      <c r="B30" s="140">
        <v>98356.935253972013</v>
      </c>
      <c r="C30" s="140">
        <v>96199.993893059378</v>
      </c>
      <c r="D30" s="140">
        <v>94442.007993049003</v>
      </c>
      <c r="E30" s="140">
        <v>91081.515263572728</v>
      </c>
      <c r="F30" s="140">
        <v>85330.374741376945</v>
      </c>
      <c r="G30" s="140">
        <v>78686.819340464863</v>
      </c>
      <c r="H30" s="140">
        <v>71036.164823438507</v>
      </c>
      <c r="I30" s="140">
        <v>66646.076001646608</v>
      </c>
      <c r="J30" s="140">
        <v>63630.228812091445</v>
      </c>
      <c r="K30" s="140">
        <v>62302.169111702722</v>
      </c>
      <c r="L30" s="140">
        <v>62524.313791009525</v>
      </c>
      <c r="M30" s="140">
        <v>63312.161183279961</v>
      </c>
      <c r="N30" s="140">
        <v>62985.851345529496</v>
      </c>
      <c r="O30" s="140">
        <v>63788.047845615794</v>
      </c>
      <c r="P30" s="140">
        <v>67347.183491109638</v>
      </c>
      <c r="Q30" s="140">
        <v>69545.83601497396</v>
      </c>
      <c r="R30" s="140">
        <v>70799.75187098817</v>
      </c>
      <c r="S30" s="140">
        <v>71282.244580692553</v>
      </c>
      <c r="T30" s="140">
        <v>72523.681504222317</v>
      </c>
      <c r="U30" s="140">
        <v>73583.808851155511</v>
      </c>
      <c r="V30" s="140">
        <v>74997.926282804634</v>
      </c>
      <c r="W30" s="140">
        <v>73732.405536608887</v>
      </c>
      <c r="X30" s="140">
        <v>71239.320964510669</v>
      </c>
      <c r="Y30" s="140">
        <v>70897.47410134798</v>
      </c>
      <c r="DA30" s="170" t="s">
        <v>270</v>
      </c>
    </row>
    <row r="31" spans="1:105" ht="12" customHeight="1" x14ac:dyDescent="0.25">
      <c r="A31" s="131" t="s">
        <v>149</v>
      </c>
      <c r="B31" s="140">
        <v>393198.67235925765</v>
      </c>
      <c r="C31" s="140">
        <v>380298.88804141205</v>
      </c>
      <c r="D31" s="140">
        <v>342286.31796064484</v>
      </c>
      <c r="E31" s="140">
        <v>303693.34592459275</v>
      </c>
      <c r="F31" s="140">
        <v>275714.78660763142</v>
      </c>
      <c r="G31" s="140">
        <v>267433.8222204569</v>
      </c>
      <c r="H31" s="140">
        <v>273102.76950848143</v>
      </c>
      <c r="I31" s="140">
        <v>289164.63328116096</v>
      </c>
      <c r="J31" s="140">
        <v>294069.91945271596</v>
      </c>
      <c r="K31" s="140">
        <v>301627.32869995793</v>
      </c>
      <c r="L31" s="140">
        <v>309880.18081117579</v>
      </c>
      <c r="M31" s="140">
        <v>321240.57492232451</v>
      </c>
      <c r="N31" s="140">
        <v>332388.94968314725</v>
      </c>
      <c r="O31" s="140">
        <v>340813.29333643091</v>
      </c>
      <c r="P31" s="140">
        <v>362070.91709141532</v>
      </c>
      <c r="Q31" s="140">
        <v>371084.37379837385</v>
      </c>
      <c r="R31" s="140">
        <v>372353.26171347906</v>
      </c>
      <c r="S31" s="140">
        <v>371402.99115788372</v>
      </c>
      <c r="T31" s="140">
        <v>372068.18817634432</v>
      </c>
      <c r="U31" s="140">
        <v>369087.21866176411</v>
      </c>
      <c r="V31" s="140">
        <v>360463.33730798494</v>
      </c>
      <c r="W31" s="140">
        <v>348001.47221703548</v>
      </c>
      <c r="X31" s="140">
        <v>323487.9578278336</v>
      </c>
      <c r="Y31" s="140">
        <v>319377.79406596249</v>
      </c>
      <c r="DA31" s="170" t="s">
        <v>271</v>
      </c>
    </row>
    <row r="32" spans="1:105" ht="12" customHeight="1" x14ac:dyDescent="0.25">
      <c r="A32" s="131" t="s">
        <v>128</v>
      </c>
      <c r="B32" s="140">
        <v>0</v>
      </c>
      <c r="C32" s="140">
        <v>0</v>
      </c>
      <c r="D32" s="140">
        <v>0</v>
      </c>
      <c r="E32" s="140">
        <v>0</v>
      </c>
      <c r="F32" s="140">
        <v>0</v>
      </c>
      <c r="G32" s="140">
        <v>0</v>
      </c>
      <c r="H32" s="140">
        <v>0</v>
      </c>
      <c r="I32" s="140">
        <v>0</v>
      </c>
      <c r="J32" s="140">
        <v>0</v>
      </c>
      <c r="K32" s="140">
        <v>0</v>
      </c>
      <c r="L32" s="140">
        <v>0</v>
      </c>
      <c r="M32" s="140">
        <v>0</v>
      </c>
      <c r="N32" s="140">
        <v>0</v>
      </c>
      <c r="O32" s="140">
        <v>0</v>
      </c>
      <c r="P32" s="140">
        <v>0</v>
      </c>
      <c r="Q32" s="140">
        <v>0</v>
      </c>
      <c r="R32" s="140">
        <v>0</v>
      </c>
      <c r="S32" s="140">
        <v>0</v>
      </c>
      <c r="T32" s="140">
        <v>0</v>
      </c>
      <c r="U32" s="140">
        <v>0</v>
      </c>
      <c r="V32" s="140">
        <v>0</v>
      </c>
      <c r="W32" s="140">
        <v>0</v>
      </c>
      <c r="X32" s="140">
        <v>0</v>
      </c>
      <c r="Y32" s="140">
        <v>0</v>
      </c>
      <c r="DA32" s="170" t="s">
        <v>272</v>
      </c>
    </row>
    <row r="33" spans="1:105" ht="12" customHeight="1" x14ac:dyDescent="0.25">
      <c r="A33" s="62" t="s">
        <v>24</v>
      </c>
      <c r="B33" s="152">
        <v>69075.318252683413</v>
      </c>
      <c r="C33" s="152">
        <v>93431.818188389254</v>
      </c>
      <c r="D33" s="152">
        <v>142863.80372004147</v>
      </c>
      <c r="E33" s="152">
        <v>191144.61080651349</v>
      </c>
      <c r="F33" s="152">
        <v>229032.81723401183</v>
      </c>
      <c r="G33" s="152">
        <v>246794.78276444951</v>
      </c>
      <c r="H33" s="152">
        <v>261804.9944591877</v>
      </c>
      <c r="I33" s="152">
        <v>260797.48558766881</v>
      </c>
      <c r="J33" s="152">
        <v>262168.59173320048</v>
      </c>
      <c r="K33" s="152">
        <v>255804.06392407409</v>
      </c>
      <c r="L33" s="152">
        <v>250689.00039998675</v>
      </c>
      <c r="M33" s="152">
        <v>243508.97565736147</v>
      </c>
      <c r="N33" s="152">
        <v>234965.01836795802</v>
      </c>
      <c r="O33" s="152">
        <v>223703.27344769551</v>
      </c>
      <c r="P33" s="152">
        <v>206608.683995859</v>
      </c>
      <c r="Q33" s="152">
        <v>197514.61443236319</v>
      </c>
      <c r="R33" s="152">
        <v>195123.41311677426</v>
      </c>
      <c r="S33" s="152">
        <v>198496.74118524071</v>
      </c>
      <c r="T33" s="152">
        <v>198677.10902737858</v>
      </c>
      <c r="U33" s="152">
        <v>202229.53920992839</v>
      </c>
      <c r="V33" s="152">
        <v>210557.34640921038</v>
      </c>
      <c r="W33" s="152">
        <v>225200.29782322841</v>
      </c>
      <c r="X33" s="152">
        <v>252953.01510999267</v>
      </c>
      <c r="Y33" s="152">
        <v>258064.03468587421</v>
      </c>
      <c r="DA33" s="175" t="s">
        <v>273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B15:Y15 B19:Y19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274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81</v>
      </c>
      <c r="B3" s="125">
        <f t="shared" ref="B3:Q3" si="0">SUM(B4,B16,B19,B29)</f>
        <v>9435.0648692743925</v>
      </c>
      <c r="C3" s="125">
        <f t="shared" si="0"/>
        <v>9731.9852274545501</v>
      </c>
      <c r="D3" s="125">
        <f t="shared" si="0"/>
        <v>9633.0365200531014</v>
      </c>
      <c r="E3" s="125">
        <f t="shared" si="0"/>
        <v>10876.706256800615</v>
      </c>
      <c r="F3" s="125">
        <f t="shared" si="0"/>
        <v>11061.748210607242</v>
      </c>
      <c r="G3" s="125">
        <f t="shared" si="0"/>
        <v>12596.260059104086</v>
      </c>
      <c r="H3" s="125">
        <f t="shared" si="0"/>
        <v>13008.959080587356</v>
      </c>
      <c r="I3" s="125">
        <f t="shared" si="0"/>
        <v>12514.534188869344</v>
      </c>
      <c r="J3" s="125">
        <f t="shared" si="0"/>
        <v>14308.309029033104</v>
      </c>
      <c r="K3" s="125">
        <f t="shared" si="0"/>
        <v>14152.778254081395</v>
      </c>
      <c r="L3" s="125">
        <f t="shared" si="0"/>
        <v>14176.493117864553</v>
      </c>
      <c r="M3" s="125">
        <f t="shared" si="0"/>
        <v>12895.932558386048</v>
      </c>
      <c r="N3" s="125">
        <f t="shared" si="0"/>
        <v>13043.00514173744</v>
      </c>
      <c r="O3" s="125">
        <f t="shared" si="0"/>
        <v>12876.442711321939</v>
      </c>
      <c r="P3" s="125">
        <f t="shared" si="0"/>
        <v>11562.605936507734</v>
      </c>
      <c r="Q3" s="125">
        <f t="shared" si="0"/>
        <v>12280.515676073743</v>
      </c>
      <c r="R3" s="125">
        <f t="shared" ref="R3:W3" si="1">SUM(R4,R16,R19,R29)</f>
        <v>12336.630954962966</v>
      </c>
      <c r="S3" s="125">
        <f t="shared" si="1"/>
        <v>12498.758447834849</v>
      </c>
      <c r="T3" s="125">
        <f t="shared" si="1"/>
        <v>13370.357465292587</v>
      </c>
      <c r="U3" s="125">
        <f t="shared" si="1"/>
        <v>12684.565605077416</v>
      </c>
      <c r="V3" s="125">
        <f t="shared" si="1"/>
        <v>11288.314873907884</v>
      </c>
      <c r="W3" s="125">
        <f t="shared" si="1"/>
        <v>11807.099157615445</v>
      </c>
      <c r="X3" s="125">
        <f t="shared" ref="X3:Y3" si="2">SUM(X4,X16,X19,X29)</f>
        <v>11177.467584957993</v>
      </c>
      <c r="Y3" s="125">
        <f t="shared" si="2"/>
        <v>11554.28568824465</v>
      </c>
      <c r="DA3" s="154" t="s">
        <v>213</v>
      </c>
    </row>
    <row r="4" spans="1:105" ht="12.95" customHeight="1" x14ac:dyDescent="0.25">
      <c r="A4" s="129" t="s">
        <v>32</v>
      </c>
      <c r="B4" s="130">
        <f t="shared" ref="B4:Q4" si="3">SUM(B5:B15)</f>
        <v>6305.6473138382908</v>
      </c>
      <c r="C4" s="130">
        <f t="shared" si="3"/>
        <v>6538.0852803348835</v>
      </c>
      <c r="D4" s="130">
        <f t="shared" si="3"/>
        <v>6414.0938407834246</v>
      </c>
      <c r="E4" s="130">
        <f t="shared" si="3"/>
        <v>7491.5722000594142</v>
      </c>
      <c r="F4" s="130">
        <f t="shared" si="3"/>
        <v>7820.5098333918031</v>
      </c>
      <c r="G4" s="130">
        <f t="shared" si="3"/>
        <v>9302.5187773192265</v>
      </c>
      <c r="H4" s="130">
        <f t="shared" si="3"/>
        <v>9655.9841413272206</v>
      </c>
      <c r="I4" s="130">
        <f t="shared" si="3"/>
        <v>9060.7280812816862</v>
      </c>
      <c r="J4" s="130">
        <f t="shared" si="3"/>
        <v>10808.016425325257</v>
      </c>
      <c r="K4" s="130">
        <f t="shared" si="3"/>
        <v>10607.370311042094</v>
      </c>
      <c r="L4" s="130">
        <f t="shared" si="3"/>
        <v>10658.651930877182</v>
      </c>
      <c r="M4" s="130">
        <f t="shared" si="3"/>
        <v>9310.2763067366323</v>
      </c>
      <c r="N4" s="130">
        <f t="shared" si="3"/>
        <v>9325.9449772995722</v>
      </c>
      <c r="O4" s="130">
        <f t="shared" si="3"/>
        <v>9265.2976357933949</v>
      </c>
      <c r="P4" s="130">
        <f t="shared" si="3"/>
        <v>7895.8803613489572</v>
      </c>
      <c r="Q4" s="130">
        <f t="shared" si="3"/>
        <v>8444.0291079927738</v>
      </c>
      <c r="R4" s="130">
        <f t="shared" ref="R4:W4" si="4">SUM(R5:R15)</f>
        <v>8597.224447108696</v>
      </c>
      <c r="S4" s="130">
        <f t="shared" si="4"/>
        <v>8687.0822365853255</v>
      </c>
      <c r="T4" s="130">
        <f t="shared" si="4"/>
        <v>9683.7781839766649</v>
      </c>
      <c r="U4" s="130">
        <f t="shared" si="4"/>
        <v>9020.6183677365407</v>
      </c>
      <c r="V4" s="130">
        <f t="shared" si="4"/>
        <v>8064.5299293751023</v>
      </c>
      <c r="W4" s="130">
        <f t="shared" si="4"/>
        <v>8119.3644643784537</v>
      </c>
      <c r="X4" s="130">
        <f t="shared" ref="X4:Y4" si="5">SUM(X5:X15)</f>
        <v>7370.705893508647</v>
      </c>
      <c r="Y4" s="130">
        <f t="shared" si="5"/>
        <v>7811.1996242849445</v>
      </c>
      <c r="DA4" s="155" t="s">
        <v>214</v>
      </c>
    </row>
    <row r="5" spans="1:105" ht="12" customHeight="1" x14ac:dyDescent="0.25">
      <c r="A5" s="131" t="s">
        <v>29</v>
      </c>
      <c r="B5" s="132">
        <v>0</v>
      </c>
      <c r="C5" s="132">
        <v>0</v>
      </c>
      <c r="D5" s="132">
        <v>0</v>
      </c>
      <c r="E5" s="132">
        <v>0</v>
      </c>
      <c r="F5" s="132">
        <v>0</v>
      </c>
      <c r="G5" s="132">
        <v>0</v>
      </c>
      <c r="H5" s="132">
        <v>0</v>
      </c>
      <c r="I5" s="132">
        <v>0</v>
      </c>
      <c r="J5" s="132">
        <v>0</v>
      </c>
      <c r="K5" s="132">
        <v>0</v>
      </c>
      <c r="L5" s="132">
        <v>0</v>
      </c>
      <c r="M5" s="132">
        <v>0</v>
      </c>
      <c r="N5" s="132">
        <v>0</v>
      </c>
      <c r="O5" s="132">
        <v>0</v>
      </c>
      <c r="P5" s="132">
        <v>0</v>
      </c>
      <c r="Q5" s="132">
        <v>0</v>
      </c>
      <c r="R5" s="132">
        <v>0</v>
      </c>
      <c r="S5" s="132">
        <v>0</v>
      </c>
      <c r="T5" s="132">
        <v>0</v>
      </c>
      <c r="U5" s="132">
        <v>0</v>
      </c>
      <c r="V5" s="132">
        <v>0</v>
      </c>
      <c r="W5" s="132">
        <v>0</v>
      </c>
      <c r="X5" s="132">
        <v>0</v>
      </c>
      <c r="Y5" s="132">
        <v>0</v>
      </c>
      <c r="DA5" s="156" t="s">
        <v>275</v>
      </c>
    </row>
    <row r="6" spans="1:105" ht="12" customHeight="1" x14ac:dyDescent="0.25">
      <c r="A6" s="131" t="s">
        <v>52</v>
      </c>
      <c r="B6" s="132">
        <v>305.32709831962836</v>
      </c>
      <c r="C6" s="132">
        <v>301.3957448261184</v>
      </c>
      <c r="D6" s="132">
        <v>281.72440025173438</v>
      </c>
      <c r="E6" s="132">
        <v>336.35811893369703</v>
      </c>
      <c r="F6" s="132">
        <v>329.4976639326008</v>
      </c>
      <c r="G6" s="132">
        <v>360.2996560490048</v>
      </c>
      <c r="H6" s="132">
        <v>340.64326965953114</v>
      </c>
      <c r="I6" s="132">
        <v>305.29608944966526</v>
      </c>
      <c r="J6" s="132">
        <v>346.20713291433401</v>
      </c>
      <c r="K6" s="132">
        <v>340.45937370761419</v>
      </c>
      <c r="L6" s="132">
        <v>338.06807320656509</v>
      </c>
      <c r="M6" s="132">
        <v>281.13108313676577</v>
      </c>
      <c r="N6" s="132">
        <v>227.05929483813739</v>
      </c>
      <c r="O6" s="132">
        <v>220.72118013527117</v>
      </c>
      <c r="P6" s="132">
        <v>177.00067417806005</v>
      </c>
      <c r="Q6" s="132">
        <v>160.70909958883635</v>
      </c>
      <c r="R6" s="132">
        <v>175.00051086140857</v>
      </c>
      <c r="S6" s="132">
        <v>181.15261899889879</v>
      </c>
      <c r="T6" s="132">
        <v>171.59151553726872</v>
      </c>
      <c r="U6" s="132">
        <v>179.13384132201233</v>
      </c>
      <c r="V6" s="132">
        <v>175.14498143174509</v>
      </c>
      <c r="W6" s="132">
        <v>219.75686125982875</v>
      </c>
      <c r="X6" s="132">
        <v>185.15405175475135</v>
      </c>
      <c r="Y6" s="132">
        <v>182.4072536427108</v>
      </c>
      <c r="DA6" s="156" t="s">
        <v>276</v>
      </c>
    </row>
    <row r="7" spans="1:105" ht="12" customHeight="1" x14ac:dyDescent="0.25">
      <c r="A7" s="131" t="s">
        <v>161</v>
      </c>
      <c r="B7" s="132">
        <v>352.45666879074713</v>
      </c>
      <c r="C7" s="132">
        <v>225.70634978649022</v>
      </c>
      <c r="D7" s="132">
        <v>308.78242725644566</v>
      </c>
      <c r="E7" s="132">
        <v>419.11637362342896</v>
      </c>
      <c r="F7" s="132">
        <v>456.24847100470379</v>
      </c>
      <c r="G7" s="132">
        <v>484.39340473761331</v>
      </c>
      <c r="H7" s="132">
        <v>506.78595325268958</v>
      </c>
      <c r="I7" s="132">
        <v>465.66523996453742</v>
      </c>
      <c r="J7" s="132">
        <v>530.29446349760042</v>
      </c>
      <c r="K7" s="132">
        <v>307.51585187558021</v>
      </c>
      <c r="L7" s="132">
        <v>329.79464255784404</v>
      </c>
      <c r="M7" s="132">
        <v>295.24345247985133</v>
      </c>
      <c r="N7" s="132">
        <v>273.93787576446738</v>
      </c>
      <c r="O7" s="132">
        <v>223.23887548017913</v>
      </c>
      <c r="P7" s="132">
        <v>220.0767761142109</v>
      </c>
      <c r="Q7" s="132">
        <v>245.42960368813988</v>
      </c>
      <c r="R7" s="132">
        <v>240.61347206492428</v>
      </c>
      <c r="S7" s="132">
        <v>157.2069062502168</v>
      </c>
      <c r="T7" s="132">
        <v>174.07189814941918</v>
      </c>
      <c r="U7" s="132">
        <v>118.52291998670852</v>
      </c>
      <c r="V7" s="132">
        <v>88.621269463549822</v>
      </c>
      <c r="W7" s="132">
        <v>153.05181358521662</v>
      </c>
      <c r="X7" s="132">
        <v>206.86496156067525</v>
      </c>
      <c r="Y7" s="132">
        <v>204.33139572168517</v>
      </c>
      <c r="DA7" s="156" t="s">
        <v>277</v>
      </c>
    </row>
    <row r="8" spans="1:105" ht="12" customHeight="1" x14ac:dyDescent="0.25">
      <c r="A8" s="131" t="s">
        <v>73</v>
      </c>
      <c r="B8" s="132">
        <v>2.3255396960731707</v>
      </c>
      <c r="C8" s="132">
        <v>3.0763310595546285</v>
      </c>
      <c r="D8" s="132">
        <v>3.5212799059438349</v>
      </c>
      <c r="E8" s="132">
        <v>4.6327572634045149</v>
      </c>
      <c r="F8" s="132">
        <v>5.2098110696234317</v>
      </c>
      <c r="G8" s="132">
        <v>5.9641121714969358</v>
      </c>
      <c r="H8" s="132">
        <v>6.7066019248881172</v>
      </c>
      <c r="I8" s="132">
        <v>7.4466001810429594</v>
      </c>
      <c r="J8" s="132">
        <v>8.2729482962795551</v>
      </c>
      <c r="K8" s="132">
        <v>9.1483174033146071</v>
      </c>
      <c r="L8" s="132">
        <v>10.167797535534335</v>
      </c>
      <c r="M8" s="132">
        <v>12.133893769148074</v>
      </c>
      <c r="N8" s="132">
        <v>15.18070913965634</v>
      </c>
      <c r="O8" s="132">
        <v>20.304062535069214</v>
      </c>
      <c r="P8" s="132">
        <v>27.166476784543939</v>
      </c>
      <c r="Q8" s="132">
        <v>36.803305982945894</v>
      </c>
      <c r="R8" s="132">
        <v>37.079401206412022</v>
      </c>
      <c r="S8" s="132">
        <v>38.171525506378224</v>
      </c>
      <c r="T8" s="132">
        <v>39.887449027865209</v>
      </c>
      <c r="U8" s="132">
        <v>42.102074390078791</v>
      </c>
      <c r="V8" s="132">
        <v>46.914474070941068</v>
      </c>
      <c r="W8" s="132">
        <v>53.442630114001474</v>
      </c>
      <c r="X8" s="132">
        <v>51.738301651683216</v>
      </c>
      <c r="Y8" s="132">
        <v>50.97700852667419</v>
      </c>
      <c r="DA8" s="156" t="s">
        <v>278</v>
      </c>
    </row>
    <row r="9" spans="1:105" ht="12" customHeight="1" x14ac:dyDescent="0.25">
      <c r="A9" s="131" t="s">
        <v>78</v>
      </c>
      <c r="B9" s="132">
        <v>3844.7350797347494</v>
      </c>
      <c r="C9" s="132">
        <v>4142.8299556114325</v>
      </c>
      <c r="D9" s="132">
        <v>3829.3375484729736</v>
      </c>
      <c r="E9" s="132">
        <v>4772.7688351916395</v>
      </c>
      <c r="F9" s="132">
        <v>4807.7736632575579</v>
      </c>
      <c r="G9" s="132">
        <v>5945.8758894798057</v>
      </c>
      <c r="H9" s="132">
        <v>6121.8305952361052</v>
      </c>
      <c r="I9" s="132">
        <v>5520.5130284418165</v>
      </c>
      <c r="J9" s="132">
        <v>7068.6873575572081</v>
      </c>
      <c r="K9" s="132">
        <v>6993.0837137925137</v>
      </c>
      <c r="L9" s="132">
        <v>6985.8092845082892</v>
      </c>
      <c r="M9" s="132">
        <v>5588.2316529806985</v>
      </c>
      <c r="N9" s="132">
        <v>5581.774685449579</v>
      </c>
      <c r="O9" s="132">
        <v>5530.3327828095662</v>
      </c>
      <c r="P9" s="132">
        <v>4161.0123263407995</v>
      </c>
      <c r="Q9" s="132">
        <v>4610.9349153141284</v>
      </c>
      <c r="R9" s="132">
        <v>4618.8049780272004</v>
      </c>
      <c r="S9" s="132">
        <v>4643.2408339634403</v>
      </c>
      <c r="T9" s="132">
        <v>5356.6206527433887</v>
      </c>
      <c r="U9" s="132">
        <v>5198.1447811413427</v>
      </c>
      <c r="V9" s="132">
        <v>4971.743894155311</v>
      </c>
      <c r="W9" s="132">
        <v>4175.4064938892589</v>
      </c>
      <c r="X9" s="132">
        <v>3269.3936849956563</v>
      </c>
      <c r="Y9" s="132">
        <v>3812.5793889756383</v>
      </c>
      <c r="DA9" s="156" t="s">
        <v>279</v>
      </c>
    </row>
    <row r="10" spans="1:105" ht="12" customHeight="1" x14ac:dyDescent="0.25">
      <c r="A10" s="131" t="s">
        <v>128</v>
      </c>
      <c r="B10" s="132">
        <v>7.4042132416165032</v>
      </c>
      <c r="C10" s="132">
        <v>7.7625107480653508</v>
      </c>
      <c r="D10" s="132">
        <v>7.1415305245055825</v>
      </c>
      <c r="E10" s="132">
        <v>7.2608770421324191</v>
      </c>
      <c r="F10" s="132">
        <v>7.4758383490971596</v>
      </c>
      <c r="G10" s="132">
        <v>7.66698194325022</v>
      </c>
      <c r="H10" s="132">
        <v>10.007652622527921</v>
      </c>
      <c r="I10" s="132">
        <v>8.0969045571797018</v>
      </c>
      <c r="J10" s="132">
        <v>8.3356835769561339</v>
      </c>
      <c r="K10" s="132">
        <v>12.84987102321583</v>
      </c>
      <c r="L10" s="132">
        <v>20.612381771281179</v>
      </c>
      <c r="M10" s="132">
        <v>21.281169389509902</v>
      </c>
      <c r="N10" s="132">
        <v>21.209544282029224</v>
      </c>
      <c r="O10" s="132">
        <v>35.468615649183128</v>
      </c>
      <c r="P10" s="132">
        <v>59.424849527085158</v>
      </c>
      <c r="Q10" s="132">
        <v>50.611435941530544</v>
      </c>
      <c r="R10" s="132">
        <v>64.273430782459116</v>
      </c>
      <c r="S10" s="132">
        <v>65.598452278589818</v>
      </c>
      <c r="T10" s="132">
        <v>64.370421324161299</v>
      </c>
      <c r="U10" s="132">
        <v>70.979879621668246</v>
      </c>
      <c r="V10" s="132">
        <v>73.126397248495763</v>
      </c>
      <c r="W10" s="132">
        <v>94.010060189165785</v>
      </c>
      <c r="X10" s="132">
        <v>103.2310404127258</v>
      </c>
      <c r="Y10" s="132">
        <v>95.213585554600073</v>
      </c>
      <c r="DA10" s="156" t="s">
        <v>280</v>
      </c>
    </row>
    <row r="11" spans="1:105" ht="12" customHeight="1" x14ac:dyDescent="0.25">
      <c r="A11" s="131" t="s">
        <v>25</v>
      </c>
      <c r="B11" s="132">
        <v>132.05786758383491</v>
      </c>
      <c r="C11" s="132">
        <v>134.66130696474639</v>
      </c>
      <c r="D11" s="132">
        <v>134.66130696474636</v>
      </c>
      <c r="E11" s="132">
        <v>134.66130696474639</v>
      </c>
      <c r="F11" s="132">
        <v>132.05786758383491</v>
      </c>
      <c r="G11" s="132">
        <v>132.05786758383491</v>
      </c>
      <c r="H11" s="132">
        <v>132.05786758383488</v>
      </c>
      <c r="I11" s="132">
        <v>132.05786758383485</v>
      </c>
      <c r="J11" s="132">
        <v>132.05786758383482</v>
      </c>
      <c r="K11" s="132">
        <v>132.05786758383488</v>
      </c>
      <c r="L11" s="132">
        <v>76.072398968185709</v>
      </c>
      <c r="M11" s="132">
        <v>76.072398968185766</v>
      </c>
      <c r="N11" s="132">
        <v>77.003955288048203</v>
      </c>
      <c r="O11" s="132">
        <v>77.195012897678438</v>
      </c>
      <c r="P11" s="132">
        <v>73.970593293207244</v>
      </c>
      <c r="Q11" s="132">
        <v>76.359071367153973</v>
      </c>
      <c r="R11" s="132">
        <v>76.096302665520113</v>
      </c>
      <c r="S11" s="132">
        <v>79.890885640584798</v>
      </c>
      <c r="T11" s="132">
        <v>78.921840068787546</v>
      </c>
      <c r="U11" s="132">
        <v>78.677472055030094</v>
      </c>
      <c r="V11" s="132">
        <v>73.153138435081715</v>
      </c>
      <c r="W11" s="132">
        <v>70.366981943250266</v>
      </c>
      <c r="X11" s="132">
        <v>67.849699054170244</v>
      </c>
      <c r="Y11" s="132">
        <v>65.450730868443713</v>
      </c>
      <c r="DA11" s="156" t="s">
        <v>281</v>
      </c>
    </row>
    <row r="12" spans="1:105" ht="12" customHeight="1" x14ac:dyDescent="0.25">
      <c r="A12" s="131" t="s">
        <v>162</v>
      </c>
      <c r="B12" s="132">
        <v>0</v>
      </c>
      <c r="C12" s="132">
        <v>0</v>
      </c>
      <c r="D12" s="132">
        <v>0</v>
      </c>
      <c r="E12" s="132">
        <v>0</v>
      </c>
      <c r="F12" s="132">
        <v>58.001038073188475</v>
      </c>
      <c r="G12" s="132">
        <v>58.936775986071879</v>
      </c>
      <c r="H12" s="132">
        <v>86.233197172660624</v>
      </c>
      <c r="I12" s="132">
        <v>89.785972936170907</v>
      </c>
      <c r="J12" s="132">
        <v>89.289499102522086</v>
      </c>
      <c r="K12" s="132">
        <v>78.043814436648944</v>
      </c>
      <c r="L12" s="132">
        <v>63.538062704341279</v>
      </c>
      <c r="M12" s="132">
        <v>155.73790492644429</v>
      </c>
      <c r="N12" s="132">
        <v>118.22595818600541</v>
      </c>
      <c r="O12" s="132">
        <v>161.90696763585666</v>
      </c>
      <c r="P12" s="132">
        <v>243.32462715523306</v>
      </c>
      <c r="Q12" s="132">
        <v>203.40467946985055</v>
      </c>
      <c r="R12" s="132">
        <v>218.55122443474039</v>
      </c>
      <c r="S12" s="132">
        <v>285.16178718558444</v>
      </c>
      <c r="T12" s="132">
        <v>358.06858875983625</v>
      </c>
      <c r="U12" s="132">
        <v>272.78435494752802</v>
      </c>
      <c r="V12" s="132">
        <v>274.15670606873306</v>
      </c>
      <c r="W12" s="132">
        <v>221.66720291033721</v>
      </c>
      <c r="X12" s="132">
        <v>217.74160964314868</v>
      </c>
      <c r="Y12" s="132">
        <v>228.66731404124306</v>
      </c>
      <c r="DA12" s="156" t="s">
        <v>282</v>
      </c>
    </row>
    <row r="13" spans="1:105" ht="12" customHeight="1" x14ac:dyDescent="0.25">
      <c r="A13" s="131" t="s">
        <v>77</v>
      </c>
      <c r="B13" s="132">
        <v>4.003114210753469</v>
      </c>
      <c r="C13" s="132">
        <v>6.3825017792914798</v>
      </c>
      <c r="D13" s="132">
        <v>16.611445501274861</v>
      </c>
      <c r="E13" s="132">
        <v>17.617882438280407</v>
      </c>
      <c r="F13" s="132">
        <v>36.126277172060078</v>
      </c>
      <c r="G13" s="132">
        <v>67.178791569498429</v>
      </c>
      <c r="H13" s="132">
        <v>87.113906020729047</v>
      </c>
      <c r="I13" s="132">
        <v>97.602343976958849</v>
      </c>
      <c r="J13" s="132">
        <v>108.03702518819377</v>
      </c>
      <c r="K13" s="132">
        <v>135.7081782333988</v>
      </c>
      <c r="L13" s="132">
        <v>146.56136953472443</v>
      </c>
      <c r="M13" s="132">
        <v>206.69091852527535</v>
      </c>
      <c r="N13" s="132">
        <v>310.3017994966159</v>
      </c>
      <c r="O13" s="132">
        <v>365.69556771411612</v>
      </c>
      <c r="P13" s="132">
        <v>556.52704272193716</v>
      </c>
      <c r="Q13" s="132">
        <v>973.51848637179569</v>
      </c>
      <c r="R13" s="132">
        <v>999.34483201437752</v>
      </c>
      <c r="S13" s="132">
        <v>1094.7790442843907</v>
      </c>
      <c r="T13" s="132">
        <v>1052.9853068250266</v>
      </c>
      <c r="U13" s="132">
        <v>990.66513813432141</v>
      </c>
      <c r="V13" s="132">
        <v>954.28558167254027</v>
      </c>
      <c r="W13" s="132">
        <v>750.35838067726638</v>
      </c>
      <c r="X13" s="132">
        <v>748.30633701243687</v>
      </c>
      <c r="Y13" s="132">
        <v>757.93931202385158</v>
      </c>
      <c r="DA13" s="156" t="s">
        <v>283</v>
      </c>
    </row>
    <row r="14" spans="1:105" ht="12" customHeight="1" x14ac:dyDescent="0.25">
      <c r="A14" s="60" t="s">
        <v>76</v>
      </c>
      <c r="B14" s="65">
        <v>1611.6986836756637</v>
      </c>
      <c r="C14" s="65">
        <v>1669.3855539214228</v>
      </c>
      <c r="D14" s="65">
        <v>1788.4399798719487</v>
      </c>
      <c r="E14" s="65">
        <v>1744.8709331761684</v>
      </c>
      <c r="F14" s="65">
        <v>1933.5226277379836</v>
      </c>
      <c r="G14" s="65">
        <v>2174.4606870616462</v>
      </c>
      <c r="H14" s="65">
        <v>2297.4109516054855</v>
      </c>
      <c r="I14" s="65">
        <v>2373.7142742752544</v>
      </c>
      <c r="J14" s="65">
        <v>2440.6644742591079</v>
      </c>
      <c r="K14" s="65">
        <v>2525.1602802799907</v>
      </c>
      <c r="L14" s="65">
        <v>2614.743765162254</v>
      </c>
      <c r="M14" s="65">
        <v>2614.2003062546401</v>
      </c>
      <c r="N14" s="65">
        <v>2642.1965283687364</v>
      </c>
      <c r="O14" s="65">
        <v>2571.8133850064082</v>
      </c>
      <c r="P14" s="65">
        <v>2332.178082821843</v>
      </c>
      <c r="Q14" s="65">
        <v>2036.9428871817893</v>
      </c>
      <c r="R14" s="65">
        <v>2117.8388445548917</v>
      </c>
      <c r="S14" s="65">
        <v>2090.7547336622456</v>
      </c>
      <c r="T14" s="65">
        <v>2326.6057976043094</v>
      </c>
      <c r="U14" s="65">
        <v>2009.2440968829735</v>
      </c>
      <c r="V14" s="65">
        <v>1347.9624237600055</v>
      </c>
      <c r="W14" s="65">
        <v>2328.5280247341138</v>
      </c>
      <c r="X14" s="65">
        <v>2476.2892474616974</v>
      </c>
      <c r="Y14" s="65">
        <v>2361.5884125362732</v>
      </c>
      <c r="DA14" s="109" t="s">
        <v>284</v>
      </c>
    </row>
    <row r="15" spans="1:105" ht="12" customHeight="1" x14ac:dyDescent="0.25">
      <c r="A15" s="133" t="s">
        <v>80</v>
      </c>
      <c r="B15" s="134">
        <v>45.639048585223584</v>
      </c>
      <c r="C15" s="134">
        <v>46.885025637761977</v>
      </c>
      <c r="D15" s="134">
        <v>43.873922033852047</v>
      </c>
      <c r="E15" s="134">
        <v>54.285115425917304</v>
      </c>
      <c r="F15" s="134">
        <v>54.596575211153507</v>
      </c>
      <c r="G15" s="134">
        <v>65.68461073700368</v>
      </c>
      <c r="H15" s="134">
        <v>67.194146248768718</v>
      </c>
      <c r="I15" s="134">
        <v>60.549759915223866</v>
      </c>
      <c r="J15" s="134">
        <v>76.169973349218694</v>
      </c>
      <c r="K15" s="134">
        <v>73.343042705981063</v>
      </c>
      <c r="L15" s="134">
        <v>73.284154928162721</v>
      </c>
      <c r="M15" s="134">
        <v>59.553526306113547</v>
      </c>
      <c r="N15" s="134">
        <v>59.054626486297458</v>
      </c>
      <c r="O15" s="134">
        <v>58.621185930065202</v>
      </c>
      <c r="P15" s="134">
        <v>45.19891241203598</v>
      </c>
      <c r="Q15" s="134">
        <v>49.315623086601825</v>
      </c>
      <c r="R15" s="134">
        <v>49.621450496763764</v>
      </c>
      <c r="S15" s="134">
        <v>51.125448814994961</v>
      </c>
      <c r="T15" s="134">
        <v>60.654713936601283</v>
      </c>
      <c r="U15" s="134">
        <v>60.363809254875321</v>
      </c>
      <c r="V15" s="134">
        <v>59.421063068698381</v>
      </c>
      <c r="W15" s="134">
        <v>52.7760150760149</v>
      </c>
      <c r="X15" s="134">
        <v>44.13695996170248</v>
      </c>
      <c r="Y15" s="134">
        <v>52.045222393823941</v>
      </c>
      <c r="DA15" s="157" t="s">
        <v>285</v>
      </c>
    </row>
    <row r="16" spans="1:105" ht="12.95" customHeight="1" x14ac:dyDescent="0.25">
      <c r="A16" s="129" t="s">
        <v>74</v>
      </c>
      <c r="B16" s="130">
        <f t="shared" ref="B16:Q16" si="6">SUM(B17:B18)</f>
        <v>149.05110265289528</v>
      </c>
      <c r="C16" s="130">
        <f t="shared" si="6"/>
        <v>169.13562270296083</v>
      </c>
      <c r="D16" s="130">
        <f t="shared" si="6"/>
        <v>155.16110894310171</v>
      </c>
      <c r="E16" s="130">
        <f t="shared" si="6"/>
        <v>365.36458460247775</v>
      </c>
      <c r="F16" s="130">
        <f t="shared" si="6"/>
        <v>169.79465399816411</v>
      </c>
      <c r="G16" s="130">
        <f t="shared" si="6"/>
        <v>171.949800202902</v>
      </c>
      <c r="H16" s="130">
        <f t="shared" si="6"/>
        <v>212.63387898479559</v>
      </c>
      <c r="I16" s="130">
        <f t="shared" si="6"/>
        <v>206.06554340980102</v>
      </c>
      <c r="J16" s="130">
        <f t="shared" si="6"/>
        <v>244.38942032620167</v>
      </c>
      <c r="K16" s="130">
        <f t="shared" si="6"/>
        <v>263.87933925501295</v>
      </c>
      <c r="L16" s="130">
        <f t="shared" si="6"/>
        <v>223.50995717052294</v>
      </c>
      <c r="M16" s="130">
        <f t="shared" si="6"/>
        <v>249.30255217395901</v>
      </c>
      <c r="N16" s="130">
        <f t="shared" si="6"/>
        <v>398.042800729872</v>
      </c>
      <c r="O16" s="130">
        <f t="shared" si="6"/>
        <v>236.18987077050494</v>
      </c>
      <c r="P16" s="130">
        <f t="shared" si="6"/>
        <v>203.87328432181181</v>
      </c>
      <c r="Q16" s="130">
        <f t="shared" si="6"/>
        <v>358.00254942321612</v>
      </c>
      <c r="R16" s="130">
        <f t="shared" ref="R16:W16" si="7">SUM(R17:R18)</f>
        <v>224.71434924063868</v>
      </c>
      <c r="S16" s="130">
        <f t="shared" si="7"/>
        <v>335.45938895928202</v>
      </c>
      <c r="T16" s="130">
        <f t="shared" si="7"/>
        <v>250.767638478371</v>
      </c>
      <c r="U16" s="130">
        <f t="shared" si="7"/>
        <v>328.57602450406591</v>
      </c>
      <c r="V16" s="130">
        <f t="shared" si="7"/>
        <v>234.52354443635107</v>
      </c>
      <c r="W16" s="130">
        <f t="shared" si="7"/>
        <v>287.13693323855153</v>
      </c>
      <c r="X16" s="130">
        <f t="shared" ref="X16:Y16" si="8">SUM(X17:X18)</f>
        <v>370.5795549256963</v>
      </c>
      <c r="Y16" s="130">
        <f t="shared" si="8"/>
        <v>299.089782391146</v>
      </c>
      <c r="DA16" s="155" t="s">
        <v>215</v>
      </c>
    </row>
    <row r="17" spans="1:105" ht="12.95" customHeight="1" x14ac:dyDescent="0.25">
      <c r="A17" s="131" t="s">
        <v>73</v>
      </c>
      <c r="B17" s="132">
        <v>0.43054246035478611</v>
      </c>
      <c r="C17" s="132">
        <v>0.74103140639005305</v>
      </c>
      <c r="D17" s="132">
        <v>0.69260366855295052</v>
      </c>
      <c r="E17" s="132">
        <v>2.101796661198847</v>
      </c>
      <c r="F17" s="132">
        <v>1.2550757857645192</v>
      </c>
      <c r="G17" s="132">
        <v>1.4126499042189318</v>
      </c>
      <c r="H17" s="132">
        <v>2.069835687370353</v>
      </c>
      <c r="I17" s="132">
        <v>2.3023767680138381</v>
      </c>
      <c r="J17" s="132">
        <v>3.2314376487288516</v>
      </c>
      <c r="K17" s="132">
        <v>4.1195369701818487</v>
      </c>
      <c r="L17" s="132">
        <v>3.9596359762024367</v>
      </c>
      <c r="M17" s="132">
        <v>4.8757529034635194</v>
      </c>
      <c r="N17" s="132">
        <v>8.4950362227284799</v>
      </c>
      <c r="O17" s="132">
        <v>5.739821190284748</v>
      </c>
      <c r="P17" s="132">
        <v>5.5316568837862778</v>
      </c>
      <c r="Q17" s="132">
        <v>10.610536910453842</v>
      </c>
      <c r="R17" s="132">
        <v>7.451876629416688</v>
      </c>
      <c r="S17" s="132">
        <v>11.901359612380704</v>
      </c>
      <c r="T17" s="132">
        <v>9.3841946582064413</v>
      </c>
      <c r="U17" s="132">
        <v>12.625191379043329</v>
      </c>
      <c r="V17" s="132">
        <v>9.254061038333921</v>
      </c>
      <c r="W17" s="132">
        <v>11.366305327341168</v>
      </c>
      <c r="X17" s="132">
        <v>15.744853071398415</v>
      </c>
      <c r="Y17" s="132">
        <v>14.519687040650014</v>
      </c>
      <c r="DA17" s="156" t="s">
        <v>286</v>
      </c>
    </row>
    <row r="18" spans="1:105" ht="12" customHeight="1" x14ac:dyDescent="0.25">
      <c r="A18" s="131" t="s">
        <v>72</v>
      </c>
      <c r="B18" s="132">
        <v>148.62056019254049</v>
      </c>
      <c r="C18" s="132">
        <v>168.39459129657078</v>
      </c>
      <c r="D18" s="132">
        <v>154.46850527454876</v>
      </c>
      <c r="E18" s="132">
        <v>363.26278794127893</v>
      </c>
      <c r="F18" s="132">
        <v>168.53957821239959</v>
      </c>
      <c r="G18" s="132">
        <v>170.53715029868306</v>
      </c>
      <c r="H18" s="132">
        <v>210.56404329742523</v>
      </c>
      <c r="I18" s="132">
        <v>203.76316664178719</v>
      </c>
      <c r="J18" s="132">
        <v>241.15798267747283</v>
      </c>
      <c r="K18" s="132">
        <v>259.7598022848311</v>
      </c>
      <c r="L18" s="132">
        <v>219.5503211943205</v>
      </c>
      <c r="M18" s="132">
        <v>244.42679927049551</v>
      </c>
      <c r="N18" s="132">
        <v>389.54776450714354</v>
      </c>
      <c r="O18" s="132">
        <v>230.4500495802202</v>
      </c>
      <c r="P18" s="132">
        <v>198.34162743802554</v>
      </c>
      <c r="Q18" s="132">
        <v>347.39201251276228</v>
      </c>
      <c r="R18" s="132">
        <v>217.26247261122199</v>
      </c>
      <c r="S18" s="132">
        <v>323.55802934690132</v>
      </c>
      <c r="T18" s="132">
        <v>241.38344382016456</v>
      </c>
      <c r="U18" s="132">
        <v>315.9508331250226</v>
      </c>
      <c r="V18" s="132">
        <v>225.26948339801714</v>
      </c>
      <c r="W18" s="132">
        <v>275.77062791121034</v>
      </c>
      <c r="X18" s="132">
        <v>354.83470185429786</v>
      </c>
      <c r="Y18" s="132">
        <v>284.57009535049599</v>
      </c>
      <c r="DA18" s="156" t="s">
        <v>287</v>
      </c>
    </row>
    <row r="19" spans="1:105" ht="12.95" customHeight="1" x14ac:dyDescent="0.25">
      <c r="A19" s="129" t="s">
        <v>35</v>
      </c>
      <c r="B19" s="130">
        <f t="shared" ref="B19:Q19" si="9">SUM(B20:B27)</f>
        <v>1491.6059897828998</v>
      </c>
      <c r="C19" s="130">
        <f t="shared" si="9"/>
        <v>1533.6651659581798</v>
      </c>
      <c r="D19" s="130">
        <f t="shared" si="9"/>
        <v>1564.9082841249774</v>
      </c>
      <c r="E19" s="130">
        <f t="shared" si="9"/>
        <v>1554.6172124397881</v>
      </c>
      <c r="F19" s="130">
        <f t="shared" si="9"/>
        <v>1580.6746352634359</v>
      </c>
      <c r="G19" s="130">
        <f t="shared" si="9"/>
        <v>1560.9746234786815</v>
      </c>
      <c r="H19" s="130">
        <f t="shared" si="9"/>
        <v>1582.6225781242206</v>
      </c>
      <c r="I19" s="130">
        <f t="shared" si="9"/>
        <v>1625.3208051681829</v>
      </c>
      <c r="J19" s="130">
        <f t="shared" si="9"/>
        <v>1615.8930287539104</v>
      </c>
      <c r="K19" s="130">
        <f t="shared" si="9"/>
        <v>1593.7963621625374</v>
      </c>
      <c r="L19" s="130">
        <f t="shared" si="9"/>
        <v>1590.3093959968676</v>
      </c>
      <c r="M19" s="130">
        <f t="shared" si="9"/>
        <v>1609.065736324955</v>
      </c>
      <c r="N19" s="130">
        <f t="shared" si="9"/>
        <v>1576.5170230812842</v>
      </c>
      <c r="O19" s="130">
        <f t="shared" si="9"/>
        <v>1607.2456810018498</v>
      </c>
      <c r="P19" s="130">
        <f t="shared" si="9"/>
        <v>1633.7512567595372</v>
      </c>
      <c r="Q19" s="130">
        <f t="shared" si="9"/>
        <v>1630.3074489300116</v>
      </c>
      <c r="R19" s="130">
        <f t="shared" ref="R19:W19" si="10">SUM(R20:R27)</f>
        <v>1649.4818330581272</v>
      </c>
      <c r="S19" s="130">
        <f t="shared" si="10"/>
        <v>1610.8705209078253</v>
      </c>
      <c r="T19" s="130">
        <f t="shared" si="10"/>
        <v>1586.6013703806136</v>
      </c>
      <c r="U19" s="130">
        <f t="shared" si="10"/>
        <v>1486.2817583579497</v>
      </c>
      <c r="V19" s="130">
        <f t="shared" si="10"/>
        <v>1329.2143382009381</v>
      </c>
      <c r="W19" s="130">
        <f t="shared" si="10"/>
        <v>1538.7248035893592</v>
      </c>
      <c r="X19" s="130">
        <f t="shared" ref="X19:Y19" si="11">SUM(X20:X27)</f>
        <v>1556.2954901672022</v>
      </c>
      <c r="Y19" s="130">
        <f t="shared" si="11"/>
        <v>1546.3890019598555</v>
      </c>
      <c r="DA19" s="155" t="s">
        <v>216</v>
      </c>
    </row>
    <row r="20" spans="1:105" ht="12" customHeight="1" x14ac:dyDescent="0.25">
      <c r="A20" s="131" t="s">
        <v>29</v>
      </c>
      <c r="B20" s="132">
        <v>0</v>
      </c>
      <c r="C20" s="132">
        <v>0</v>
      </c>
      <c r="D20" s="132">
        <v>0</v>
      </c>
      <c r="E20" s="132">
        <v>0</v>
      </c>
      <c r="F20" s="132">
        <v>0</v>
      </c>
      <c r="G20" s="132">
        <v>0</v>
      </c>
      <c r="H20" s="132">
        <v>0</v>
      </c>
      <c r="I20" s="132">
        <v>0</v>
      </c>
      <c r="J20" s="132">
        <v>0</v>
      </c>
      <c r="K20" s="132">
        <v>0</v>
      </c>
      <c r="L20" s="132">
        <v>0</v>
      </c>
      <c r="M20" s="132">
        <v>0</v>
      </c>
      <c r="N20" s="132">
        <v>0</v>
      </c>
      <c r="O20" s="132">
        <v>0</v>
      </c>
      <c r="P20" s="132">
        <v>0</v>
      </c>
      <c r="Q20" s="132">
        <v>0</v>
      </c>
      <c r="R20" s="132">
        <v>0</v>
      </c>
      <c r="S20" s="132">
        <v>0</v>
      </c>
      <c r="T20" s="132">
        <v>0</v>
      </c>
      <c r="U20" s="132">
        <v>0</v>
      </c>
      <c r="V20" s="132">
        <v>0</v>
      </c>
      <c r="W20" s="132">
        <v>0</v>
      </c>
      <c r="X20" s="132">
        <v>0</v>
      </c>
      <c r="Y20" s="132">
        <v>0</v>
      </c>
      <c r="DA20" s="156" t="s">
        <v>288</v>
      </c>
    </row>
    <row r="21" spans="1:105" s="2" customFormat="1" ht="12" customHeight="1" x14ac:dyDescent="0.25">
      <c r="A21" s="131" t="s">
        <v>52</v>
      </c>
      <c r="B21" s="132">
        <v>88.179713643586624</v>
      </c>
      <c r="C21" s="132">
        <v>87.044322690090155</v>
      </c>
      <c r="D21" s="132">
        <v>81.36315799458832</v>
      </c>
      <c r="E21" s="132">
        <v>75.227320504857204</v>
      </c>
      <c r="F21" s="132">
        <v>73.692962871948836</v>
      </c>
      <c r="G21" s="132">
        <v>72.697076944056349</v>
      </c>
      <c r="H21" s="132">
        <v>71.016134162561386</v>
      </c>
      <c r="I21" s="132">
        <v>63.647075925887613</v>
      </c>
      <c r="J21" s="132">
        <v>61.492590325552946</v>
      </c>
      <c r="K21" s="132">
        <v>54.763548920321639</v>
      </c>
      <c r="L21" s="132">
        <v>50.951016099978084</v>
      </c>
      <c r="M21" s="132">
        <v>48.123465879832217</v>
      </c>
      <c r="N21" s="132">
        <v>38.867563507824997</v>
      </c>
      <c r="O21" s="132">
        <v>36.025851864614012</v>
      </c>
      <c r="P21" s="132">
        <v>28.889842216173587</v>
      </c>
      <c r="Q21" s="132">
        <v>26.230750540272858</v>
      </c>
      <c r="R21" s="132">
        <v>29.685115993178677</v>
      </c>
      <c r="S21" s="132">
        <v>29.981894956224782</v>
      </c>
      <c r="T21" s="132">
        <v>27.884539570805575</v>
      </c>
      <c r="U21" s="132">
        <v>28.023006067205756</v>
      </c>
      <c r="V21" s="132">
        <v>23.995301660381855</v>
      </c>
      <c r="W21" s="132">
        <v>25.228320119650849</v>
      </c>
      <c r="X21" s="132">
        <v>24.672131091864909</v>
      </c>
      <c r="Y21" s="132">
        <v>25.037773676457046</v>
      </c>
      <c r="DA21" s="156" t="s">
        <v>289</v>
      </c>
    </row>
    <row r="22" spans="1:105" ht="12" customHeight="1" x14ac:dyDescent="0.25">
      <c r="A22" s="131" t="s">
        <v>161</v>
      </c>
      <c r="B22" s="132">
        <v>103.90618589540929</v>
      </c>
      <c r="C22" s="132">
        <v>96.544553050999042</v>
      </c>
      <c r="D22" s="132">
        <v>83.693926999788147</v>
      </c>
      <c r="E22" s="132">
        <v>77.554133685255437</v>
      </c>
      <c r="F22" s="132">
        <v>69.064426673714223</v>
      </c>
      <c r="G22" s="132">
        <v>64.522244445533644</v>
      </c>
      <c r="H22" s="132">
        <v>63.257984838454028</v>
      </c>
      <c r="I22" s="132">
        <v>59.418336991610268</v>
      </c>
      <c r="J22" s="132">
        <v>56.693240715641217</v>
      </c>
      <c r="K22" s="132">
        <v>47.600227230180664</v>
      </c>
      <c r="L22" s="132">
        <v>41.782657528140192</v>
      </c>
      <c r="M22" s="132">
        <v>40.077097821094149</v>
      </c>
      <c r="N22" s="132">
        <v>37.951892077321048</v>
      </c>
      <c r="O22" s="132">
        <v>37.413661063243076</v>
      </c>
      <c r="P22" s="132">
        <v>35.497944436089846</v>
      </c>
      <c r="Q22" s="132">
        <v>33.518547644620206</v>
      </c>
      <c r="R22" s="132">
        <v>31.44147204513601</v>
      </c>
      <c r="S22" s="132">
        <v>31.311494437659437</v>
      </c>
      <c r="T22" s="132">
        <v>30.351489640778397</v>
      </c>
      <c r="U22" s="132">
        <v>26.278111827565095</v>
      </c>
      <c r="V22" s="132">
        <v>20.643476882107947</v>
      </c>
      <c r="W22" s="132">
        <v>21.997541530862453</v>
      </c>
      <c r="X22" s="132">
        <v>22.750687622471698</v>
      </c>
      <c r="Y22" s="132">
        <v>22.470409953293348</v>
      </c>
      <c r="DA22" s="156" t="s">
        <v>290</v>
      </c>
    </row>
    <row r="23" spans="1:105" ht="12" customHeight="1" x14ac:dyDescent="0.25">
      <c r="A23" s="131" t="s">
        <v>149</v>
      </c>
      <c r="B23" s="132">
        <v>654.65201008836584</v>
      </c>
      <c r="C23" s="132">
        <v>664.33554911800741</v>
      </c>
      <c r="D23" s="132">
        <v>671.98533600201017</v>
      </c>
      <c r="E23" s="132">
        <v>671.71464228205014</v>
      </c>
      <c r="F23" s="132">
        <v>670.51768253031332</v>
      </c>
      <c r="G23" s="132">
        <v>681.58139146651683</v>
      </c>
      <c r="H23" s="132">
        <v>681.29115977144977</v>
      </c>
      <c r="I23" s="132">
        <v>681.47393119412334</v>
      </c>
      <c r="J23" s="132">
        <v>686.4790720612416</v>
      </c>
      <c r="K23" s="132">
        <v>686.77868149952326</v>
      </c>
      <c r="L23" s="132">
        <v>678.68867233923459</v>
      </c>
      <c r="M23" s="132">
        <v>685.09890738579691</v>
      </c>
      <c r="N23" s="132">
        <v>688.37851815573458</v>
      </c>
      <c r="O23" s="132">
        <v>689.42010655364493</v>
      </c>
      <c r="P23" s="132">
        <v>694.44515339739223</v>
      </c>
      <c r="Q23" s="132">
        <v>700.12470978653505</v>
      </c>
      <c r="R23" s="132">
        <v>705.66391979584273</v>
      </c>
      <c r="S23" s="132">
        <v>734.20194127903903</v>
      </c>
      <c r="T23" s="132">
        <v>774.05418517489602</v>
      </c>
      <c r="U23" s="132">
        <v>662.29643401484736</v>
      </c>
      <c r="V23" s="132">
        <v>617.16890231369348</v>
      </c>
      <c r="W23" s="132">
        <v>646.43788825193019</v>
      </c>
      <c r="X23" s="132">
        <v>648.95101089732213</v>
      </c>
      <c r="Y23" s="132">
        <v>650.32333164603665</v>
      </c>
      <c r="DA23" s="156" t="s">
        <v>291</v>
      </c>
    </row>
    <row r="24" spans="1:105" ht="12" customHeight="1" x14ac:dyDescent="0.25">
      <c r="A24" s="131" t="s">
        <v>128</v>
      </c>
      <c r="B24" s="132">
        <v>0</v>
      </c>
      <c r="C24" s="132">
        <v>0</v>
      </c>
      <c r="D24" s="132">
        <v>0</v>
      </c>
      <c r="E24" s="132">
        <v>0</v>
      </c>
      <c r="F24" s="132">
        <v>0</v>
      </c>
      <c r="G24" s="132">
        <v>0</v>
      </c>
      <c r="H24" s="132">
        <v>0</v>
      </c>
      <c r="I24" s="132">
        <v>0</v>
      </c>
      <c r="J24" s="132">
        <v>0</v>
      </c>
      <c r="K24" s="132">
        <v>0</v>
      </c>
      <c r="L24" s="132">
        <v>0</v>
      </c>
      <c r="M24" s="132">
        <v>0</v>
      </c>
      <c r="N24" s="132">
        <v>0</v>
      </c>
      <c r="O24" s="132">
        <v>0</v>
      </c>
      <c r="P24" s="132">
        <v>0</v>
      </c>
      <c r="Q24" s="132">
        <v>0</v>
      </c>
      <c r="R24" s="132">
        <v>0</v>
      </c>
      <c r="S24" s="132">
        <v>0</v>
      </c>
      <c r="T24" s="132">
        <v>0</v>
      </c>
      <c r="U24" s="132">
        <v>0</v>
      </c>
      <c r="V24" s="132">
        <v>0</v>
      </c>
      <c r="W24" s="132">
        <v>0</v>
      </c>
      <c r="X24" s="132">
        <v>0</v>
      </c>
      <c r="Y24" s="132">
        <v>0</v>
      </c>
      <c r="DA24" s="156" t="s">
        <v>292</v>
      </c>
    </row>
    <row r="25" spans="1:105" ht="12" customHeight="1" x14ac:dyDescent="0.25">
      <c r="A25" s="131" t="s">
        <v>162</v>
      </c>
      <c r="B25" s="132">
        <v>0</v>
      </c>
      <c r="C25" s="132">
        <v>0</v>
      </c>
      <c r="D25" s="132">
        <v>0</v>
      </c>
      <c r="E25" s="132">
        <v>0</v>
      </c>
      <c r="F25" s="132">
        <v>10.738772760861387</v>
      </c>
      <c r="G25" s="132">
        <v>11.068984976954782</v>
      </c>
      <c r="H25" s="132">
        <v>11.048746077554345</v>
      </c>
      <c r="I25" s="132">
        <v>11.150312532444719</v>
      </c>
      <c r="J25" s="132">
        <v>11.479632453797745</v>
      </c>
      <c r="K25" s="132">
        <v>13.983528641596941</v>
      </c>
      <c r="L25" s="132">
        <v>15.113871947421419</v>
      </c>
      <c r="M25" s="132">
        <v>17.75977349144059</v>
      </c>
      <c r="N25" s="132">
        <v>21.666045253375511</v>
      </c>
      <c r="O25" s="132">
        <v>29.050298056318752</v>
      </c>
      <c r="P25" s="132">
        <v>33.545536215360237</v>
      </c>
      <c r="Q25" s="132">
        <v>34.41415114063976</v>
      </c>
      <c r="R25" s="132">
        <v>38.303719675320053</v>
      </c>
      <c r="S25" s="132">
        <v>39.327722702635846</v>
      </c>
      <c r="T25" s="132">
        <v>40.706475728555709</v>
      </c>
      <c r="U25" s="132">
        <v>38.235851415326948</v>
      </c>
      <c r="V25" s="132">
        <v>33.445099606245279</v>
      </c>
      <c r="W25" s="132">
        <v>26.00949528398802</v>
      </c>
      <c r="X25" s="132">
        <v>26.681864131572105</v>
      </c>
      <c r="Y25" s="132">
        <v>25.100699716280804</v>
      </c>
      <c r="DA25" s="156" t="s">
        <v>293</v>
      </c>
    </row>
    <row r="26" spans="1:105" ht="12" customHeight="1" x14ac:dyDescent="0.25">
      <c r="A26" s="131" t="s">
        <v>24</v>
      </c>
      <c r="B26" s="65">
        <v>642.57513088640633</v>
      </c>
      <c r="C26" s="65">
        <v>683.18510911284056</v>
      </c>
      <c r="D26" s="65">
        <v>724.92802993856515</v>
      </c>
      <c r="E26" s="65">
        <v>726.72954245085816</v>
      </c>
      <c r="F26" s="65">
        <v>752.76758320389831</v>
      </c>
      <c r="G26" s="65">
        <v>725.34877775224049</v>
      </c>
      <c r="H26" s="65">
        <v>748.67596514006516</v>
      </c>
      <c r="I26" s="65">
        <v>798.64421817158052</v>
      </c>
      <c r="J26" s="65">
        <v>785.65657574281875</v>
      </c>
      <c r="K26" s="65">
        <v>772.78077999817219</v>
      </c>
      <c r="L26" s="65">
        <v>776.95082210616886</v>
      </c>
      <c r="M26" s="65">
        <v>789.94208933922437</v>
      </c>
      <c r="N26" s="65">
        <v>758.57914338195508</v>
      </c>
      <c r="O26" s="65">
        <v>781.70627077271342</v>
      </c>
      <c r="P26" s="65">
        <v>805.47424223140854</v>
      </c>
      <c r="Q26" s="65">
        <v>798.01894587985248</v>
      </c>
      <c r="R26" s="65">
        <v>804.3569950585379</v>
      </c>
      <c r="S26" s="65">
        <v>734.29312531386529</v>
      </c>
      <c r="T26" s="65">
        <v>669.92041543324785</v>
      </c>
      <c r="U26" s="65">
        <v>685.85901711383008</v>
      </c>
      <c r="V26" s="65">
        <v>590.70025077376295</v>
      </c>
      <c r="W26" s="65">
        <v>774.61914223783754</v>
      </c>
      <c r="X26" s="65">
        <v>788.56103460109955</v>
      </c>
      <c r="Y26" s="65">
        <v>778.98696753528543</v>
      </c>
      <c r="DA26" s="109" t="s">
        <v>294</v>
      </c>
    </row>
    <row r="27" spans="1:105" ht="12" customHeight="1" x14ac:dyDescent="0.25">
      <c r="A27" s="144" t="s">
        <v>26</v>
      </c>
      <c r="B27" s="145">
        <v>2.2929492691315554</v>
      </c>
      <c r="C27" s="145">
        <v>2.5556319862424757</v>
      </c>
      <c r="D27" s="145">
        <v>2.937833190025795</v>
      </c>
      <c r="E27" s="145">
        <v>3.3915735167669814</v>
      </c>
      <c r="F27" s="145">
        <v>3.893207222699913</v>
      </c>
      <c r="G27" s="145">
        <v>5.7561478933791905</v>
      </c>
      <c r="H27" s="145">
        <v>7.3325881341358548</v>
      </c>
      <c r="I27" s="145">
        <v>10.98693035253654</v>
      </c>
      <c r="J27" s="145">
        <v>14.091917454858121</v>
      </c>
      <c r="K27" s="145">
        <v>17.889595872742905</v>
      </c>
      <c r="L27" s="145">
        <v>26.822355975924335</v>
      </c>
      <c r="M27" s="145">
        <v>28.064402407566625</v>
      </c>
      <c r="N27" s="145">
        <v>31.073860705073088</v>
      </c>
      <c r="O27" s="145">
        <v>33.629492691315569</v>
      </c>
      <c r="P27" s="145">
        <v>35.89853826311262</v>
      </c>
      <c r="Q27" s="145">
        <v>38.000343938091135</v>
      </c>
      <c r="R27" s="145">
        <v>40.030610490111741</v>
      </c>
      <c r="S27" s="145">
        <v>41.754342218400694</v>
      </c>
      <c r="T27" s="145">
        <v>43.684264832330179</v>
      </c>
      <c r="U27" s="145">
        <v>45.589337919174561</v>
      </c>
      <c r="V27" s="145">
        <v>43.26130696474636</v>
      </c>
      <c r="W27" s="145">
        <v>44.432416165090288</v>
      </c>
      <c r="X27" s="145">
        <v>44.67876182287187</v>
      </c>
      <c r="Y27" s="145">
        <v>44.469819432502177</v>
      </c>
      <c r="DA27" s="158" t="s">
        <v>295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DA28" s="111"/>
    </row>
    <row r="29" spans="1:105" ht="12.95" customHeight="1" x14ac:dyDescent="0.25">
      <c r="A29" s="129" t="s">
        <v>34</v>
      </c>
      <c r="B29" s="130">
        <f t="shared" ref="B29:Q29" si="12">SUM(B30:B33)</f>
        <v>1488.7604630003066</v>
      </c>
      <c r="C29" s="130">
        <f t="shared" si="12"/>
        <v>1491.0991584585256</v>
      </c>
      <c r="D29" s="130">
        <f t="shared" si="12"/>
        <v>1498.8732862015972</v>
      </c>
      <c r="E29" s="130">
        <f t="shared" si="12"/>
        <v>1465.1522596989353</v>
      </c>
      <c r="F29" s="130">
        <f t="shared" si="12"/>
        <v>1490.7690879538395</v>
      </c>
      <c r="G29" s="130">
        <f t="shared" si="12"/>
        <v>1560.8168581032762</v>
      </c>
      <c r="H29" s="130">
        <f t="shared" si="12"/>
        <v>1557.7184821511187</v>
      </c>
      <c r="I29" s="130">
        <f t="shared" si="12"/>
        <v>1622.4197590096728</v>
      </c>
      <c r="J29" s="130">
        <f t="shared" si="12"/>
        <v>1640.0101546277342</v>
      </c>
      <c r="K29" s="130">
        <f t="shared" si="12"/>
        <v>1687.7322416217526</v>
      </c>
      <c r="L29" s="130">
        <f t="shared" si="12"/>
        <v>1704.0218338199795</v>
      </c>
      <c r="M29" s="130">
        <f t="shared" si="12"/>
        <v>1727.287963150502</v>
      </c>
      <c r="N29" s="130">
        <f t="shared" si="12"/>
        <v>1742.5003406267108</v>
      </c>
      <c r="O29" s="130">
        <f t="shared" si="12"/>
        <v>1767.7095237561907</v>
      </c>
      <c r="P29" s="130">
        <f t="shared" si="12"/>
        <v>1829.1010340774278</v>
      </c>
      <c r="Q29" s="130">
        <f t="shared" si="12"/>
        <v>1848.1765697277422</v>
      </c>
      <c r="R29" s="130">
        <f t="shared" ref="R29:W29" si="13">SUM(R30:R33)</f>
        <v>1865.2103255555021</v>
      </c>
      <c r="S29" s="130">
        <f t="shared" si="13"/>
        <v>1865.3463013824162</v>
      </c>
      <c r="T29" s="130">
        <f t="shared" si="13"/>
        <v>1849.2102724569377</v>
      </c>
      <c r="U29" s="130">
        <f t="shared" si="13"/>
        <v>1849.0894544788607</v>
      </c>
      <c r="V29" s="130">
        <f t="shared" si="13"/>
        <v>1660.0470618954937</v>
      </c>
      <c r="W29" s="130">
        <f t="shared" si="13"/>
        <v>1861.8729564090802</v>
      </c>
      <c r="X29" s="130">
        <f t="shared" ref="X29:Y29" si="14">SUM(X30:X33)</f>
        <v>1879.8866463564466</v>
      </c>
      <c r="Y29" s="130">
        <f t="shared" si="14"/>
        <v>1897.6072796087055</v>
      </c>
      <c r="DA29" s="155" t="s">
        <v>217</v>
      </c>
    </row>
    <row r="30" spans="1:105" ht="12" customHeight="1" x14ac:dyDescent="0.25">
      <c r="A30" s="131" t="s">
        <v>52</v>
      </c>
      <c r="B30" s="132">
        <v>278.89215622251152</v>
      </c>
      <c r="C30" s="132">
        <v>261.98503996444492</v>
      </c>
      <c r="D30" s="132">
        <v>265.36377451378041</v>
      </c>
      <c r="E30" s="132">
        <v>260.81352874717214</v>
      </c>
      <c r="F30" s="132">
        <v>248.33319090826203</v>
      </c>
      <c r="G30" s="132">
        <v>231.7114355366034</v>
      </c>
      <c r="H30" s="132">
        <v>202.5089538735223</v>
      </c>
      <c r="I30" s="132">
        <v>213.36311149461028</v>
      </c>
      <c r="J30" s="132">
        <v>153.73140315736163</v>
      </c>
      <c r="K30" s="132">
        <v>196.97157436260588</v>
      </c>
      <c r="L30" s="132">
        <v>198.78065273988838</v>
      </c>
      <c r="M30" s="132">
        <v>204.70933748383192</v>
      </c>
      <c r="N30" s="132">
        <v>179.04304707106235</v>
      </c>
      <c r="O30" s="132">
        <v>193.71633859340787</v>
      </c>
      <c r="P30" s="132">
        <v>224.79641395830271</v>
      </c>
      <c r="Q30" s="132">
        <v>223.97063998267058</v>
      </c>
      <c r="R30" s="132">
        <v>227.10001373010766</v>
      </c>
      <c r="S30" s="132">
        <v>231.97313866740421</v>
      </c>
      <c r="T30" s="132">
        <v>231.39101281969869</v>
      </c>
      <c r="U30" s="132">
        <v>224.57161348782415</v>
      </c>
      <c r="V30" s="132">
        <v>235.47115284940375</v>
      </c>
      <c r="W30" s="132">
        <v>237.603898586127</v>
      </c>
      <c r="X30" s="132">
        <v>238.21784122905012</v>
      </c>
      <c r="Y30" s="132">
        <v>239.38498127928483</v>
      </c>
      <c r="DA30" s="156" t="s">
        <v>296</v>
      </c>
    </row>
    <row r="31" spans="1:105" ht="12" customHeight="1" x14ac:dyDescent="0.25">
      <c r="A31" s="131" t="s">
        <v>149</v>
      </c>
      <c r="B31" s="132">
        <v>1069.610912285289</v>
      </c>
      <c r="C31" s="132">
        <v>1049.5287407151907</v>
      </c>
      <c r="D31" s="132">
        <v>961.89659394535863</v>
      </c>
      <c r="E31" s="132">
        <v>778.8765515767717</v>
      </c>
      <c r="F31" s="132">
        <v>720.96173812200368</v>
      </c>
      <c r="G31" s="132">
        <v>799.53826996162445</v>
      </c>
      <c r="H31" s="132">
        <v>750.95649353667784</v>
      </c>
      <c r="I31" s="132">
        <v>859.37326375894543</v>
      </c>
      <c r="J31" s="132">
        <v>856.7169746343111</v>
      </c>
      <c r="K31" s="132">
        <v>917.1234046766856</v>
      </c>
      <c r="L31" s="132">
        <v>936.41235684624689</v>
      </c>
      <c r="M31" s="132">
        <v>967.11654274593309</v>
      </c>
      <c r="N31" s="132">
        <v>1007.2602169824297</v>
      </c>
      <c r="O31" s="132">
        <v>1037.9569672381815</v>
      </c>
      <c r="P31" s="132">
        <v>1148.7150658712078</v>
      </c>
      <c r="Q31" s="132">
        <v>1165.4565406043887</v>
      </c>
      <c r="R31" s="132">
        <v>1197.2198587349399</v>
      </c>
      <c r="S31" s="132">
        <v>1185.3748813412519</v>
      </c>
      <c r="T31" s="132">
        <v>1093.2127617318476</v>
      </c>
      <c r="U31" s="132">
        <v>1191.1698681718476</v>
      </c>
      <c r="V31" s="132">
        <v>1065.1575334260133</v>
      </c>
      <c r="W31" s="132">
        <v>1027.5763470778254</v>
      </c>
      <c r="X31" s="132">
        <v>1041.9716334767979</v>
      </c>
      <c r="Y31" s="132">
        <v>1057.6459836390327</v>
      </c>
      <c r="DA31" s="156" t="s">
        <v>297</v>
      </c>
    </row>
    <row r="32" spans="1:105" ht="12" customHeight="1" x14ac:dyDescent="0.25">
      <c r="A32" s="131" t="s">
        <v>128</v>
      </c>
      <c r="B32" s="132">
        <v>0</v>
      </c>
      <c r="C32" s="132">
        <v>0</v>
      </c>
      <c r="D32" s="132">
        <v>0</v>
      </c>
      <c r="E32" s="132">
        <v>0</v>
      </c>
      <c r="F32" s="132">
        <v>0</v>
      </c>
      <c r="G32" s="132">
        <v>0</v>
      </c>
      <c r="H32" s="132">
        <v>0</v>
      </c>
      <c r="I32" s="132">
        <v>0</v>
      </c>
      <c r="J32" s="132">
        <v>0</v>
      </c>
      <c r="K32" s="132">
        <v>0</v>
      </c>
      <c r="L32" s="132">
        <v>0</v>
      </c>
      <c r="M32" s="132">
        <v>0</v>
      </c>
      <c r="N32" s="132">
        <v>0</v>
      </c>
      <c r="O32" s="132">
        <v>0</v>
      </c>
      <c r="P32" s="132">
        <v>0</v>
      </c>
      <c r="Q32" s="132">
        <v>0</v>
      </c>
      <c r="R32" s="132">
        <v>0</v>
      </c>
      <c r="S32" s="132">
        <v>0</v>
      </c>
      <c r="T32" s="132">
        <v>0</v>
      </c>
      <c r="U32" s="132">
        <v>0</v>
      </c>
      <c r="V32" s="132">
        <v>0</v>
      </c>
      <c r="W32" s="132">
        <v>0</v>
      </c>
      <c r="X32" s="132">
        <v>0</v>
      </c>
      <c r="Y32" s="132">
        <v>0</v>
      </c>
      <c r="DA32" s="156" t="s">
        <v>298</v>
      </c>
    </row>
    <row r="33" spans="1:105" ht="12" customHeight="1" x14ac:dyDescent="0.25">
      <c r="A33" s="62" t="s">
        <v>24</v>
      </c>
      <c r="B33" s="68">
        <v>140.25739449250622</v>
      </c>
      <c r="C33" s="68">
        <v>179.58537777888998</v>
      </c>
      <c r="D33" s="68">
        <v>271.61291774245825</v>
      </c>
      <c r="E33" s="68">
        <v>425.46217937499131</v>
      </c>
      <c r="F33" s="68">
        <v>521.4741589235739</v>
      </c>
      <c r="G33" s="68">
        <v>529.56715260504848</v>
      </c>
      <c r="H33" s="68">
        <v>604.25303474091868</v>
      </c>
      <c r="I33" s="68">
        <v>549.683383756117</v>
      </c>
      <c r="J33" s="68">
        <v>629.56177683606131</v>
      </c>
      <c r="K33" s="68">
        <v>573.63726258246095</v>
      </c>
      <c r="L33" s="68">
        <v>568.82882423384422</v>
      </c>
      <c r="M33" s="68">
        <v>555.46208292073698</v>
      </c>
      <c r="N33" s="68">
        <v>556.19707657321874</v>
      </c>
      <c r="O33" s="68">
        <v>536.03621792460126</v>
      </c>
      <c r="P33" s="68">
        <v>455.58955424791736</v>
      </c>
      <c r="Q33" s="68">
        <v>458.74938914068298</v>
      </c>
      <c r="R33" s="68">
        <v>440.89045309045468</v>
      </c>
      <c r="S33" s="68">
        <v>447.99828137376016</v>
      </c>
      <c r="T33" s="68">
        <v>524.60649790539128</v>
      </c>
      <c r="U33" s="68">
        <v>433.34797281918884</v>
      </c>
      <c r="V33" s="68">
        <v>359.41837562007674</v>
      </c>
      <c r="W33" s="68">
        <v>596.69271074512767</v>
      </c>
      <c r="X33" s="68">
        <v>599.69717165059842</v>
      </c>
      <c r="Y33" s="68">
        <v>600.57631469038813</v>
      </c>
      <c r="DA33" s="111" t="s">
        <v>299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300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82</v>
      </c>
      <c r="B3" s="125">
        <f t="shared" ref="B3:Q3" si="0">SUM(B4,B16,B19,B29)</f>
        <v>5677.6102998736369</v>
      </c>
      <c r="C3" s="125">
        <f t="shared" si="0"/>
        <v>5937.6953631933884</v>
      </c>
      <c r="D3" s="125">
        <f t="shared" si="0"/>
        <v>5975.2060804023886</v>
      </c>
      <c r="E3" s="125">
        <f t="shared" si="0"/>
        <v>7026.8219603073849</v>
      </c>
      <c r="F3" s="125">
        <f t="shared" si="0"/>
        <v>6978.7668852841525</v>
      </c>
      <c r="G3" s="125">
        <f t="shared" si="0"/>
        <v>7960.9321854700402</v>
      </c>
      <c r="H3" s="125">
        <f t="shared" si="0"/>
        <v>8430.1567992842502</v>
      </c>
      <c r="I3" s="125">
        <f t="shared" si="0"/>
        <v>8285.5208440489059</v>
      </c>
      <c r="J3" s="125">
        <f t="shared" si="0"/>
        <v>9505.1489493415356</v>
      </c>
      <c r="K3" s="125">
        <f t="shared" si="0"/>
        <v>9625.0559818590555</v>
      </c>
      <c r="L3" s="125">
        <f t="shared" si="0"/>
        <v>9687.5783410667464</v>
      </c>
      <c r="M3" s="125">
        <f t="shared" si="0"/>
        <v>9291.5221014450362</v>
      </c>
      <c r="N3" s="125">
        <f t="shared" si="0"/>
        <v>10116.215568699587</v>
      </c>
      <c r="O3" s="125">
        <f t="shared" si="0"/>
        <v>9912.6628981877584</v>
      </c>
      <c r="P3" s="125">
        <f t="shared" si="0"/>
        <v>9602.4240209181298</v>
      </c>
      <c r="Q3" s="125">
        <f t="shared" si="0"/>
        <v>11610.193072626877</v>
      </c>
      <c r="R3" s="125">
        <f t="shared" ref="R3:W3" si="1">SUM(R4,R16,R19,R29)</f>
        <v>11499.285627237623</v>
      </c>
      <c r="S3" s="125">
        <f t="shared" si="1"/>
        <v>12413.23204499585</v>
      </c>
      <c r="T3" s="125">
        <f t="shared" si="1"/>
        <v>12897.928457798176</v>
      </c>
      <c r="U3" s="125">
        <f t="shared" si="1"/>
        <v>12703.366032569864</v>
      </c>
      <c r="V3" s="125">
        <f t="shared" si="1"/>
        <v>11508.885928350406</v>
      </c>
      <c r="W3" s="125">
        <f t="shared" si="1"/>
        <v>11884.066891907154</v>
      </c>
      <c r="X3" s="125">
        <f t="shared" ref="X3:Y3" si="2">SUM(X4,X16,X19,X29)</f>
        <v>11935.461595464765</v>
      </c>
      <c r="Y3" s="125">
        <f t="shared" si="2"/>
        <v>12188.13295531983</v>
      </c>
      <c r="DA3" s="154" t="s">
        <v>301</v>
      </c>
    </row>
    <row r="4" spans="1:105" ht="12.95" customHeight="1" x14ac:dyDescent="0.25">
      <c r="A4" s="129" t="s">
        <v>32</v>
      </c>
      <c r="B4" s="130">
        <f t="shared" ref="B4:Q4" si="3">SUM(B5:B15)</f>
        <v>3553.9792464818433</v>
      </c>
      <c r="C4" s="130">
        <f t="shared" si="3"/>
        <v>3720.4514107706818</v>
      </c>
      <c r="D4" s="130">
        <f t="shared" si="3"/>
        <v>3718.8113168643849</v>
      </c>
      <c r="E4" s="130">
        <f t="shared" si="3"/>
        <v>4303.2348709009948</v>
      </c>
      <c r="F4" s="130">
        <f t="shared" si="3"/>
        <v>4586.3216807306508</v>
      </c>
      <c r="G4" s="130">
        <f t="shared" si="3"/>
        <v>5505.6348199456761</v>
      </c>
      <c r="H4" s="130">
        <f t="shared" si="3"/>
        <v>5814.1239892172816</v>
      </c>
      <c r="I4" s="130">
        <f t="shared" si="3"/>
        <v>5585.2538186273587</v>
      </c>
      <c r="J4" s="130">
        <f t="shared" si="3"/>
        <v>6637.2738120377126</v>
      </c>
      <c r="K4" s="130">
        <f t="shared" si="3"/>
        <v>6672.3233300441279</v>
      </c>
      <c r="L4" s="130">
        <f t="shared" si="3"/>
        <v>6808.4760121028412</v>
      </c>
      <c r="M4" s="130">
        <f t="shared" si="3"/>
        <v>6274.4226579828683</v>
      </c>
      <c r="N4" s="130">
        <f t="shared" si="3"/>
        <v>6610.8229853269031</v>
      </c>
      <c r="O4" s="130">
        <f t="shared" si="3"/>
        <v>6831.5284150121024</v>
      </c>
      <c r="P4" s="130">
        <f t="shared" si="3"/>
        <v>6549.9905408495079</v>
      </c>
      <c r="Q4" s="130">
        <f t="shared" si="3"/>
        <v>7986.2303848450019</v>
      </c>
      <c r="R4" s="130">
        <f t="shared" ref="R4:W4" si="4">SUM(R5:R15)</f>
        <v>8263.5796169313126</v>
      </c>
      <c r="S4" s="130">
        <f t="shared" si="4"/>
        <v>8752.399291410964</v>
      </c>
      <c r="T4" s="130">
        <f t="shared" si="4"/>
        <v>9509.5669505699025</v>
      </c>
      <c r="U4" s="130">
        <f t="shared" si="4"/>
        <v>9057.4357432606521</v>
      </c>
      <c r="V4" s="130">
        <f t="shared" si="4"/>
        <v>8437.3173792525813</v>
      </c>
      <c r="W4" s="130">
        <f t="shared" si="4"/>
        <v>8203.126459770996</v>
      </c>
      <c r="X4" s="130">
        <f t="shared" ref="X4:Y4" si="5">SUM(X5:X15)</f>
        <v>7838.4850965542446</v>
      </c>
      <c r="Y4" s="130">
        <f t="shared" si="5"/>
        <v>8343.7093817547502</v>
      </c>
      <c r="DA4" s="155" t="s">
        <v>302</v>
      </c>
    </row>
    <row r="5" spans="1:105" ht="12" customHeight="1" x14ac:dyDescent="0.25">
      <c r="A5" s="131" t="s">
        <v>29</v>
      </c>
      <c r="B5" s="132">
        <v>0</v>
      </c>
      <c r="C5" s="132">
        <v>0</v>
      </c>
      <c r="D5" s="132">
        <v>0</v>
      </c>
      <c r="E5" s="132">
        <v>0</v>
      </c>
      <c r="F5" s="132">
        <v>0</v>
      </c>
      <c r="G5" s="132">
        <v>0</v>
      </c>
      <c r="H5" s="132">
        <v>0</v>
      </c>
      <c r="I5" s="132">
        <v>0</v>
      </c>
      <c r="J5" s="132">
        <v>0</v>
      </c>
      <c r="K5" s="132">
        <v>0</v>
      </c>
      <c r="L5" s="132">
        <v>0</v>
      </c>
      <c r="M5" s="132">
        <v>0</v>
      </c>
      <c r="N5" s="132">
        <v>0</v>
      </c>
      <c r="O5" s="132">
        <v>0</v>
      </c>
      <c r="P5" s="132">
        <v>0</v>
      </c>
      <c r="Q5" s="132">
        <v>0</v>
      </c>
      <c r="R5" s="132">
        <v>0</v>
      </c>
      <c r="S5" s="132">
        <v>0</v>
      </c>
      <c r="T5" s="132">
        <v>0</v>
      </c>
      <c r="U5" s="132">
        <v>0</v>
      </c>
      <c r="V5" s="132">
        <v>0</v>
      </c>
      <c r="W5" s="132">
        <v>0</v>
      </c>
      <c r="X5" s="132">
        <v>0</v>
      </c>
      <c r="Y5" s="132">
        <v>0</v>
      </c>
      <c r="DA5" s="156" t="s">
        <v>303</v>
      </c>
    </row>
    <row r="6" spans="1:105" ht="12" customHeight="1" x14ac:dyDescent="0.25">
      <c r="A6" s="131" t="s">
        <v>52</v>
      </c>
      <c r="B6" s="132">
        <v>147.32957439895409</v>
      </c>
      <c r="C6" s="132">
        <v>146.22411476783623</v>
      </c>
      <c r="D6" s="132">
        <v>137.64943117990131</v>
      </c>
      <c r="E6" s="132">
        <v>165.68895968387082</v>
      </c>
      <c r="F6" s="132">
        <v>163.26623227858562</v>
      </c>
      <c r="G6" s="132">
        <v>179.5088730895651</v>
      </c>
      <c r="H6" s="132">
        <v>170.77825134446095</v>
      </c>
      <c r="I6" s="132">
        <v>154.61712501674162</v>
      </c>
      <c r="J6" s="132">
        <v>177.84295827981188</v>
      </c>
      <c r="K6" s="132">
        <v>177.95546235735802</v>
      </c>
      <c r="L6" s="132">
        <v>179.90022975349498</v>
      </c>
      <c r="M6" s="132">
        <v>152.43537559834675</v>
      </c>
      <c r="N6" s="132">
        <v>125.70153614403324</v>
      </c>
      <c r="O6" s="132">
        <v>125.20211079554197</v>
      </c>
      <c r="P6" s="132">
        <v>100.60278481548424</v>
      </c>
      <c r="Q6" s="132">
        <v>91.474989071408757</v>
      </c>
      <c r="R6" s="132">
        <v>99.8425499209918</v>
      </c>
      <c r="S6" s="132">
        <v>105.10301229849267</v>
      </c>
      <c r="T6" s="132">
        <v>101.88892353233273</v>
      </c>
      <c r="U6" s="132">
        <v>109.62130213022709</v>
      </c>
      <c r="V6" s="132">
        <v>110.20035495691553</v>
      </c>
      <c r="W6" s="132">
        <v>142.06184383481019</v>
      </c>
      <c r="X6" s="132">
        <v>122.63077604460275</v>
      </c>
      <c r="Y6" s="132">
        <v>123.92654076081372</v>
      </c>
      <c r="DA6" s="156" t="s">
        <v>304</v>
      </c>
    </row>
    <row r="7" spans="1:105" ht="12" customHeight="1" x14ac:dyDescent="0.25">
      <c r="A7" s="131" t="s">
        <v>161</v>
      </c>
      <c r="B7" s="132">
        <v>164.67443109903505</v>
      </c>
      <c r="C7" s="132">
        <v>106.54919931124337</v>
      </c>
      <c r="D7" s="132">
        <v>147.61084666031593</v>
      </c>
      <c r="E7" s="132">
        <v>203.55003892382646</v>
      </c>
      <c r="F7" s="132">
        <v>224.1289007095512</v>
      </c>
      <c r="G7" s="132">
        <v>240.05665315673897</v>
      </c>
      <c r="H7" s="132">
        <v>253.15016848723414</v>
      </c>
      <c r="I7" s="132">
        <v>233.83391582747467</v>
      </c>
      <c r="J7" s="132">
        <v>267.68160347715474</v>
      </c>
      <c r="K7" s="132">
        <v>156.14510055763202</v>
      </c>
      <c r="L7" s="132">
        <v>168.20988929607785</v>
      </c>
      <c r="M7" s="132">
        <v>151.92063956904281</v>
      </c>
      <c r="N7" s="132">
        <v>143.76489684264365</v>
      </c>
      <c r="O7" s="132">
        <v>119.47261835459618</v>
      </c>
      <c r="P7" s="132">
        <v>118.33236479345187</v>
      </c>
      <c r="Q7" s="132">
        <v>133.11405920125503</v>
      </c>
      <c r="R7" s="132">
        <v>132.97185960240165</v>
      </c>
      <c r="S7" s="132">
        <v>88.411379918303865</v>
      </c>
      <c r="T7" s="132">
        <v>101.7253641106133</v>
      </c>
      <c r="U7" s="132">
        <v>72.568986901505468</v>
      </c>
      <c r="V7" s="132">
        <v>56.978603161719754</v>
      </c>
      <c r="W7" s="132">
        <v>101.75671902733801</v>
      </c>
      <c r="X7" s="132">
        <v>139.72433580216617</v>
      </c>
      <c r="Y7" s="132">
        <v>138.4470870319802</v>
      </c>
      <c r="DA7" s="156" t="s">
        <v>305</v>
      </c>
    </row>
    <row r="8" spans="1:105" ht="12" customHeight="1" x14ac:dyDescent="0.25">
      <c r="A8" s="131" t="s">
        <v>73</v>
      </c>
      <c r="B8" s="132">
        <v>2.3876203958827373</v>
      </c>
      <c r="C8" s="132">
        <v>3.6305581209258597</v>
      </c>
      <c r="D8" s="132">
        <v>4.770648923115262</v>
      </c>
      <c r="E8" s="132">
        <v>6.9028850039514209</v>
      </c>
      <c r="F8" s="132">
        <v>8.3283915176253736</v>
      </c>
      <c r="G8" s="132">
        <v>10.127549186664815</v>
      </c>
      <c r="H8" s="132">
        <v>12.109959758378213</v>
      </c>
      <c r="I8" s="132">
        <v>14.32515329382792</v>
      </c>
      <c r="J8" s="132">
        <v>16.801686511362469</v>
      </c>
      <c r="K8" s="132">
        <v>19.868331991400829</v>
      </c>
      <c r="L8" s="132">
        <v>23.721115962533158</v>
      </c>
      <c r="M8" s="132">
        <v>30.63952378133347</v>
      </c>
      <c r="N8" s="132">
        <v>41.403046716438084</v>
      </c>
      <c r="O8" s="132">
        <v>59.425982355123175</v>
      </c>
      <c r="P8" s="132">
        <v>83.747760528333487</v>
      </c>
      <c r="Q8" s="132">
        <v>117.61573669510642</v>
      </c>
      <c r="R8" s="132">
        <v>121.19109488693348</v>
      </c>
      <c r="S8" s="132">
        <v>127.2460253547727</v>
      </c>
      <c r="T8" s="132">
        <v>136.32095077348322</v>
      </c>
      <c r="U8" s="132">
        <v>149.18018857356199</v>
      </c>
      <c r="V8" s="132">
        <v>172.53047310686284</v>
      </c>
      <c r="W8" s="132">
        <v>202.44115433748505</v>
      </c>
      <c r="X8" s="132">
        <v>199.64683279101934</v>
      </c>
      <c r="Y8" s="132">
        <v>199.84222957044415</v>
      </c>
      <c r="DA8" s="156" t="s">
        <v>306</v>
      </c>
    </row>
    <row r="9" spans="1:105" ht="12" customHeight="1" x14ac:dyDescent="0.25">
      <c r="A9" s="131" t="s">
        <v>78</v>
      </c>
      <c r="B9" s="132">
        <v>1941.6463391198213</v>
      </c>
      <c r="C9" s="132">
        <v>2111.8939430934506</v>
      </c>
      <c r="D9" s="132">
        <v>1970.7671400648305</v>
      </c>
      <c r="E9" s="132">
        <v>2482.8205653018631</v>
      </c>
      <c r="F9" s="132">
        <v>2522.1808800108638</v>
      </c>
      <c r="G9" s="132">
        <v>3149.5789038851208</v>
      </c>
      <c r="H9" s="132">
        <v>3280.9398418144556</v>
      </c>
      <c r="I9" s="132">
        <v>2995.4901253249286</v>
      </c>
      <c r="J9" s="132">
        <v>3884.5826275722889</v>
      </c>
      <c r="K9" s="132">
        <v>3888.5460003205676</v>
      </c>
      <c r="L9" s="132">
        <v>3933.1005045841816</v>
      </c>
      <c r="M9" s="132">
        <v>3184.9376287647124</v>
      </c>
      <c r="N9" s="132">
        <v>3229.9909275044188</v>
      </c>
      <c r="O9" s="132">
        <v>3242.0125056377974</v>
      </c>
      <c r="P9" s="132">
        <v>2443.8220479866663</v>
      </c>
      <c r="Q9" s="132">
        <v>2713.6253901302275</v>
      </c>
      <c r="R9" s="132">
        <v>2733.9772988295636</v>
      </c>
      <c r="S9" s="132">
        <v>2861.1501625272967</v>
      </c>
      <c r="T9" s="132">
        <v>3439.2939071196274</v>
      </c>
      <c r="U9" s="132">
        <v>3465.3672868053482</v>
      </c>
      <c r="V9" s="132">
        <v>3416.026370638237</v>
      </c>
      <c r="W9" s="132">
        <v>2929.6224252872526</v>
      </c>
      <c r="X9" s="132">
        <v>2364.5896308146321</v>
      </c>
      <c r="Y9" s="132">
        <v>2860.220630126536</v>
      </c>
      <c r="DA9" s="156" t="s">
        <v>307</v>
      </c>
    </row>
    <row r="10" spans="1:105" ht="12" customHeight="1" x14ac:dyDescent="0.25">
      <c r="A10" s="131" t="s">
        <v>128</v>
      </c>
      <c r="B10" s="132">
        <v>4.5796869879775137</v>
      </c>
      <c r="C10" s="132">
        <v>4.8209772786374119</v>
      </c>
      <c r="D10" s="132">
        <v>4.4416574315344937</v>
      </c>
      <c r="E10" s="132">
        <v>4.5208348382593311</v>
      </c>
      <c r="F10" s="132">
        <v>4.6689976689502473</v>
      </c>
      <c r="G10" s="132">
        <v>4.8061557079646784</v>
      </c>
      <c r="H10" s="132">
        <v>6.3160010661583588</v>
      </c>
      <c r="I10" s="132">
        <v>5.1392089193252692</v>
      </c>
      <c r="J10" s="132">
        <v>5.3394211289597937</v>
      </c>
      <c r="K10" s="132">
        <v>8.3185393973873687</v>
      </c>
      <c r="L10" s="132">
        <v>13.443001615015378</v>
      </c>
      <c r="M10" s="132">
        <v>13.945455714563886</v>
      </c>
      <c r="N10" s="132">
        <v>13.948866967853187</v>
      </c>
      <c r="O10" s="132">
        <v>23.376298335225489</v>
      </c>
      <c r="P10" s="132">
        <v>39.177375450439008</v>
      </c>
      <c r="Q10" s="132">
        <v>33.369507091568323</v>
      </c>
      <c r="R10" s="132">
        <v>42.383152661390191</v>
      </c>
      <c r="S10" s="132">
        <v>43.259818152819321</v>
      </c>
      <c r="T10" s="132">
        <v>42.456661013213292</v>
      </c>
      <c r="U10" s="132">
        <v>46.835526423504426</v>
      </c>
      <c r="V10" s="132">
        <v>48.279851058444621</v>
      </c>
      <c r="W10" s="132">
        <v>62.105403115056497</v>
      </c>
      <c r="X10" s="132">
        <v>68.29119116834076</v>
      </c>
      <c r="Y10" s="132">
        <v>63.100851618599904</v>
      </c>
      <c r="DA10" s="156" t="s">
        <v>308</v>
      </c>
    </row>
    <row r="11" spans="1:105" ht="12" customHeight="1" x14ac:dyDescent="0.25">
      <c r="A11" s="131" t="s">
        <v>25</v>
      </c>
      <c r="B11" s="132">
        <v>101.66134420163743</v>
      </c>
      <c r="C11" s="132">
        <v>104.16348991101809</v>
      </c>
      <c r="D11" s="132">
        <v>104.45151518985462</v>
      </c>
      <c r="E11" s="132">
        <v>104.54717908109593</v>
      </c>
      <c r="F11" s="132">
        <v>102.60990303583067</v>
      </c>
      <c r="G11" s="132">
        <v>102.707279721048</v>
      </c>
      <c r="H11" s="132">
        <v>103.09329551325308</v>
      </c>
      <c r="I11" s="132">
        <v>103.68563522548894</v>
      </c>
      <c r="J11" s="132">
        <v>104.07092088387519</v>
      </c>
      <c r="K11" s="132">
        <v>104.52842655872296</v>
      </c>
      <c r="L11" s="132">
        <v>60.477243792339408</v>
      </c>
      <c r="M11" s="132">
        <v>60.953088359643836</v>
      </c>
      <c r="N11" s="132">
        <v>62.497443779665026</v>
      </c>
      <c r="O11" s="132">
        <v>63.40961592348738</v>
      </c>
      <c r="P11" s="132">
        <v>60.77200353639001</v>
      </c>
      <c r="Q11" s="132">
        <v>62.746609158546214</v>
      </c>
      <c r="R11" s="132">
        <v>62.551159438188719</v>
      </c>
      <c r="S11" s="132">
        <v>65.708548077004721</v>
      </c>
      <c r="T11" s="132">
        <v>64.933632376803843</v>
      </c>
      <c r="U11" s="132">
        <v>64.753200133563922</v>
      </c>
      <c r="V11" s="132">
        <v>60.229872631228531</v>
      </c>
      <c r="W11" s="132">
        <v>57.963280377334243</v>
      </c>
      <c r="X11" s="132">
        <v>55.93652111296349</v>
      </c>
      <c r="Y11" s="132">
        <v>54.004855332236176</v>
      </c>
      <c r="DA11" s="156" t="s">
        <v>309</v>
      </c>
    </row>
    <row r="12" spans="1:105" ht="12" customHeight="1" x14ac:dyDescent="0.25">
      <c r="A12" s="131" t="s">
        <v>162</v>
      </c>
      <c r="B12" s="132">
        <v>0</v>
      </c>
      <c r="C12" s="132">
        <v>0</v>
      </c>
      <c r="D12" s="132">
        <v>0</v>
      </c>
      <c r="E12" s="132">
        <v>0</v>
      </c>
      <c r="F12" s="132">
        <v>46.999287313108731</v>
      </c>
      <c r="G12" s="132">
        <v>47.794577883982299</v>
      </c>
      <c r="H12" s="132">
        <v>70.005051284392735</v>
      </c>
      <c r="I12" s="132">
        <v>72.91470245583406</v>
      </c>
      <c r="J12" s="132">
        <v>72.51220379603258</v>
      </c>
      <c r="K12" s="132">
        <v>63.384438187165365</v>
      </c>
      <c r="L12" s="132">
        <v>51.665866287466386</v>
      </c>
      <c r="M12" s="132">
        <v>127.37089039321862</v>
      </c>
      <c r="N12" s="132">
        <v>97.037568926705049</v>
      </c>
      <c r="O12" s="132">
        <v>133.64734308044393</v>
      </c>
      <c r="P12" s="132">
        <v>201.61017333094549</v>
      </c>
      <c r="Q12" s="132">
        <v>169.23987159400104</v>
      </c>
      <c r="R12" s="132">
        <v>182.71180675027384</v>
      </c>
      <c r="S12" s="132">
        <v>239.9237899586721</v>
      </c>
      <c r="T12" s="132">
        <v>303.23278687809562</v>
      </c>
      <c r="U12" s="132">
        <v>232.29946167908017</v>
      </c>
      <c r="V12" s="132">
        <v>235.0189326978595</v>
      </c>
      <c r="W12" s="132">
        <v>190.44543286917093</v>
      </c>
      <c r="X12" s="132">
        <v>187.53947538917797</v>
      </c>
      <c r="Y12" s="132">
        <v>197.83272302509786</v>
      </c>
      <c r="DA12" s="156" t="s">
        <v>310</v>
      </c>
    </row>
    <row r="13" spans="1:105" ht="12" customHeight="1" x14ac:dyDescent="0.25">
      <c r="A13" s="131" t="s">
        <v>77</v>
      </c>
      <c r="B13" s="132">
        <v>6.2603996023930923</v>
      </c>
      <c r="C13" s="132">
        <v>10.518545752190207</v>
      </c>
      <c r="D13" s="132">
        <v>28.865277204868793</v>
      </c>
      <c r="E13" s="132">
        <v>31.86365243776152</v>
      </c>
      <c r="F13" s="132">
        <v>68.488965134426536</v>
      </c>
      <c r="G13" s="132">
        <v>132.54249852887312</v>
      </c>
      <c r="H13" s="132">
        <v>177.13785786736636</v>
      </c>
      <c r="I13" s="132">
        <v>203.56266509784706</v>
      </c>
      <c r="J13" s="132">
        <v>229.81858419134539</v>
      </c>
      <c r="K13" s="132">
        <v>299.79280214741766</v>
      </c>
      <c r="L13" s="132">
        <v>340.00222629908421</v>
      </c>
      <c r="M13" s="132">
        <v>509.53670049059485</v>
      </c>
      <c r="N13" s="132">
        <v>815.72758395897654</v>
      </c>
      <c r="O13" s="132">
        <v>1025.2798513578416</v>
      </c>
      <c r="P13" s="132">
        <v>1659.0176386174912</v>
      </c>
      <c r="Q13" s="132">
        <v>3044.5497254569755</v>
      </c>
      <c r="R13" s="132">
        <v>3203.6321521835389</v>
      </c>
      <c r="S13" s="132">
        <v>3554.3720422863812</v>
      </c>
      <c r="T13" s="132">
        <v>3453.0438945033152</v>
      </c>
      <c r="U13" s="132">
        <v>3285.9204719301974</v>
      </c>
      <c r="V13" s="132">
        <v>3208.7173040467646</v>
      </c>
      <c r="W13" s="132">
        <v>2554.7224531863731</v>
      </c>
      <c r="X13" s="132">
        <v>2574.9112194586546</v>
      </c>
      <c r="Y13" s="132">
        <v>2628.089826147751</v>
      </c>
      <c r="DA13" s="156" t="s">
        <v>311</v>
      </c>
    </row>
    <row r="14" spans="1:105" ht="12" customHeight="1" x14ac:dyDescent="0.25">
      <c r="A14" s="60" t="s">
        <v>76</v>
      </c>
      <c r="B14" s="65">
        <v>1139.8008020909188</v>
      </c>
      <c r="C14" s="65">
        <v>1185.7655568976181</v>
      </c>
      <c r="D14" s="65">
        <v>1276.3808781761115</v>
      </c>
      <c r="E14" s="65">
        <v>1249.0556402044494</v>
      </c>
      <c r="F14" s="65">
        <v>1391.0535478505558</v>
      </c>
      <c r="G14" s="65">
        <v>1572.8277180487148</v>
      </c>
      <c r="H14" s="65">
        <v>1673.3994158328139</v>
      </c>
      <c r="I14" s="65">
        <v>1741.135527550666</v>
      </c>
      <c r="J14" s="65">
        <v>1802.4538328476626</v>
      </c>
      <c r="K14" s="65">
        <v>1880.4411858204953</v>
      </c>
      <c r="L14" s="65">
        <v>1964.671779584485</v>
      </c>
      <c r="M14" s="65">
        <v>1983.1298290052978</v>
      </c>
      <c r="N14" s="65">
        <v>2021.6964879998725</v>
      </c>
      <c r="O14" s="65">
        <v>1981.08090324198</v>
      </c>
      <c r="P14" s="65">
        <v>1797.7094793782694</v>
      </c>
      <c r="Q14" s="65">
        <v>1571.1788733593107</v>
      </c>
      <c r="R14" s="65">
        <v>1634.6970921612681</v>
      </c>
      <c r="S14" s="65">
        <v>1616.0990640222269</v>
      </c>
      <c r="T14" s="65">
        <v>1806.016116325816</v>
      </c>
      <c r="U14" s="65">
        <v>1570.5255094287879</v>
      </c>
      <c r="V14" s="65">
        <v>1069.9145538858529</v>
      </c>
      <c r="W14" s="65">
        <v>1909.231732660161</v>
      </c>
      <c r="X14" s="65">
        <v>2081.0781540109842</v>
      </c>
      <c r="Y14" s="65">
        <v>2026.199415747466</v>
      </c>
      <c r="DA14" s="109" t="s">
        <v>312</v>
      </c>
    </row>
    <row r="15" spans="1:105" ht="12" customHeight="1" x14ac:dyDescent="0.25">
      <c r="A15" s="133" t="s">
        <v>80</v>
      </c>
      <c r="B15" s="134">
        <v>45.639048585223584</v>
      </c>
      <c r="C15" s="134">
        <v>46.885025637761977</v>
      </c>
      <c r="D15" s="134">
        <v>43.873922033852047</v>
      </c>
      <c r="E15" s="134">
        <v>54.285115425917304</v>
      </c>
      <c r="F15" s="134">
        <v>54.596575211153507</v>
      </c>
      <c r="G15" s="134">
        <v>65.68461073700368</v>
      </c>
      <c r="H15" s="134">
        <v>67.194146248768718</v>
      </c>
      <c r="I15" s="134">
        <v>60.549759915223866</v>
      </c>
      <c r="J15" s="134">
        <v>76.169973349218694</v>
      </c>
      <c r="K15" s="134">
        <v>73.343042705981063</v>
      </c>
      <c r="L15" s="134">
        <v>73.284154928162721</v>
      </c>
      <c r="M15" s="134">
        <v>59.553526306113547</v>
      </c>
      <c r="N15" s="134">
        <v>59.054626486297458</v>
      </c>
      <c r="O15" s="134">
        <v>58.621185930065202</v>
      </c>
      <c r="P15" s="134">
        <v>45.19891241203598</v>
      </c>
      <c r="Q15" s="134">
        <v>49.315623086601825</v>
      </c>
      <c r="R15" s="134">
        <v>49.621450496763764</v>
      </c>
      <c r="S15" s="134">
        <v>51.125448814994961</v>
      </c>
      <c r="T15" s="134">
        <v>60.654713936601283</v>
      </c>
      <c r="U15" s="134">
        <v>60.363809254875321</v>
      </c>
      <c r="V15" s="134">
        <v>59.421063068698381</v>
      </c>
      <c r="W15" s="134">
        <v>52.7760150760149</v>
      </c>
      <c r="X15" s="134">
        <v>44.13695996170248</v>
      </c>
      <c r="Y15" s="134">
        <v>52.045222393823941</v>
      </c>
      <c r="DA15" s="157" t="s">
        <v>313</v>
      </c>
    </row>
    <row r="16" spans="1:105" ht="12.95" customHeight="1" x14ac:dyDescent="0.25">
      <c r="A16" s="129" t="s">
        <v>74</v>
      </c>
      <c r="B16" s="130">
        <f t="shared" ref="B16:Q16" si="6">SUM(B17:B18)</f>
        <v>276.3911097373234</v>
      </c>
      <c r="C16" s="130">
        <f t="shared" si="6"/>
        <v>326.63836163645846</v>
      </c>
      <c r="D16" s="130">
        <f t="shared" si="6"/>
        <v>313.69585360880211</v>
      </c>
      <c r="E16" s="130">
        <f t="shared" si="6"/>
        <v>769.60628828401218</v>
      </c>
      <c r="F16" s="130">
        <f t="shared" si="6"/>
        <v>375.19759031156605</v>
      </c>
      <c r="G16" s="130">
        <f t="shared" si="6"/>
        <v>398.05884279450026</v>
      </c>
      <c r="H16" s="130">
        <f t="shared" si="6"/>
        <v>520.90460636756018</v>
      </c>
      <c r="I16" s="130">
        <f t="shared" si="6"/>
        <v>534.97376370482687</v>
      </c>
      <c r="J16" s="130">
        <f t="shared" si="6"/>
        <v>670.26693146701621</v>
      </c>
      <c r="K16" s="130">
        <f t="shared" si="6"/>
        <v>738.61138482092792</v>
      </c>
      <c r="L16" s="130">
        <f t="shared" si="6"/>
        <v>642.64453035857002</v>
      </c>
      <c r="M16" s="130">
        <f t="shared" si="6"/>
        <v>743.0355548666771</v>
      </c>
      <c r="N16" s="130">
        <f t="shared" si="6"/>
        <v>1226.7982064737798</v>
      </c>
      <c r="O16" s="130">
        <f t="shared" si="6"/>
        <v>751.09523102519654</v>
      </c>
      <c r="P16" s="130">
        <f t="shared" si="6"/>
        <v>671.14909072096498</v>
      </c>
      <c r="Q16" s="130">
        <f t="shared" si="6"/>
        <v>1219.2059917028853</v>
      </c>
      <c r="R16" s="130">
        <f t="shared" ref="R16:W16" si="7">SUM(R17:R18)</f>
        <v>793.72667828401507</v>
      </c>
      <c r="S16" s="130">
        <f t="shared" si="7"/>
        <v>1225.3962720850186</v>
      </c>
      <c r="T16" s="130">
        <f t="shared" si="7"/>
        <v>942.7787004458346</v>
      </c>
      <c r="U16" s="130">
        <f t="shared" si="7"/>
        <v>1267.6398507184849</v>
      </c>
      <c r="V16" s="130">
        <f t="shared" si="7"/>
        <v>927.07828237105139</v>
      </c>
      <c r="W16" s="130">
        <f t="shared" si="7"/>
        <v>1160.1010708314807</v>
      </c>
      <c r="X16" s="130">
        <f t="shared" ref="X16:Y16" si="8">SUM(X17:X18)</f>
        <v>1518.6526701624848</v>
      </c>
      <c r="Y16" s="130">
        <f t="shared" si="8"/>
        <v>1236.8725258833886</v>
      </c>
      <c r="DA16" s="155" t="s">
        <v>314</v>
      </c>
    </row>
    <row r="17" spans="1:105" ht="12.95" customHeight="1" x14ac:dyDescent="0.25">
      <c r="A17" s="131" t="s">
        <v>73</v>
      </c>
      <c r="B17" s="132">
        <v>0.47544494217487665</v>
      </c>
      <c r="C17" s="132">
        <v>0.84640889536027508</v>
      </c>
      <c r="D17" s="132">
        <v>0.79912275352104334</v>
      </c>
      <c r="E17" s="132">
        <v>2.4753860166671964</v>
      </c>
      <c r="F17" s="132">
        <v>1.5064555963682045</v>
      </c>
      <c r="G17" s="132">
        <v>1.7144345406083692</v>
      </c>
      <c r="H17" s="132">
        <v>2.5521326671150675</v>
      </c>
      <c r="I17" s="132">
        <v>2.8798573788013075</v>
      </c>
      <c r="J17" s="132">
        <v>4.0997463283043647</v>
      </c>
      <c r="K17" s="132">
        <v>5.2946470784014954</v>
      </c>
      <c r="L17" s="132">
        <v>5.1511050389944169</v>
      </c>
      <c r="M17" s="132">
        <v>6.4234018152674448</v>
      </c>
      <c r="N17" s="132">
        <v>11.314986636315439</v>
      </c>
      <c r="O17" s="132">
        <v>7.7591673401539989</v>
      </c>
      <c r="P17" s="132">
        <v>7.584322206544142</v>
      </c>
      <c r="Q17" s="132">
        <v>14.725205966353833</v>
      </c>
      <c r="R17" s="132">
        <v>10.490728188723052</v>
      </c>
      <c r="S17" s="132">
        <v>16.998476259299625</v>
      </c>
      <c r="T17" s="132">
        <v>13.608236637779953</v>
      </c>
      <c r="U17" s="132">
        <v>18.603322549038936</v>
      </c>
      <c r="V17" s="132">
        <v>13.855885150612647</v>
      </c>
      <c r="W17" s="132">
        <v>17.279863907681349</v>
      </c>
      <c r="X17" s="132">
        <v>24.332364932192124</v>
      </c>
      <c r="Y17" s="132">
        <v>22.792013117351772</v>
      </c>
      <c r="DA17" s="156" t="s">
        <v>315</v>
      </c>
    </row>
    <row r="18" spans="1:105" ht="12" customHeight="1" x14ac:dyDescent="0.25">
      <c r="A18" s="131" t="s">
        <v>72</v>
      </c>
      <c r="B18" s="132">
        <v>275.91566479514853</v>
      </c>
      <c r="C18" s="132">
        <v>325.79195274109816</v>
      </c>
      <c r="D18" s="132">
        <v>312.89673085528108</v>
      </c>
      <c r="E18" s="132">
        <v>767.13090226734494</v>
      </c>
      <c r="F18" s="132">
        <v>373.69113471519785</v>
      </c>
      <c r="G18" s="132">
        <v>396.34440825389191</v>
      </c>
      <c r="H18" s="132">
        <v>518.3524737004451</v>
      </c>
      <c r="I18" s="132">
        <v>532.0939063260256</v>
      </c>
      <c r="J18" s="132">
        <v>666.16718513871183</v>
      </c>
      <c r="K18" s="132">
        <v>733.31673774252647</v>
      </c>
      <c r="L18" s="132">
        <v>637.49342531957564</v>
      </c>
      <c r="M18" s="132">
        <v>736.61215305140968</v>
      </c>
      <c r="N18" s="132">
        <v>1215.4832198374645</v>
      </c>
      <c r="O18" s="132">
        <v>743.33606368504252</v>
      </c>
      <c r="P18" s="132">
        <v>663.56476851442085</v>
      </c>
      <c r="Q18" s="132">
        <v>1204.4807857365315</v>
      </c>
      <c r="R18" s="132">
        <v>783.23595009529197</v>
      </c>
      <c r="S18" s="132">
        <v>1208.397795825719</v>
      </c>
      <c r="T18" s="132">
        <v>929.17046380805459</v>
      </c>
      <c r="U18" s="132">
        <v>1249.036528169446</v>
      </c>
      <c r="V18" s="132">
        <v>913.22239722043878</v>
      </c>
      <c r="W18" s="132">
        <v>1142.8212069237993</v>
      </c>
      <c r="X18" s="132">
        <v>1494.3203052302927</v>
      </c>
      <c r="Y18" s="132">
        <v>1214.0805127660367</v>
      </c>
      <c r="DA18" s="156" t="s">
        <v>316</v>
      </c>
    </row>
    <row r="19" spans="1:105" ht="12.95" customHeight="1" x14ac:dyDescent="0.25">
      <c r="A19" s="129" t="s">
        <v>35</v>
      </c>
      <c r="B19" s="130">
        <f t="shared" ref="B19:Q19" si="9">SUM(B20:B27)</f>
        <v>889.11873906818653</v>
      </c>
      <c r="C19" s="130">
        <f t="shared" si="9"/>
        <v>921.69626632195479</v>
      </c>
      <c r="D19" s="130">
        <f t="shared" si="9"/>
        <v>949.31698657978029</v>
      </c>
      <c r="E19" s="130">
        <f t="shared" si="9"/>
        <v>949.38973848665239</v>
      </c>
      <c r="F19" s="130">
        <f t="shared" si="9"/>
        <v>975.6100692812123</v>
      </c>
      <c r="G19" s="130">
        <f t="shared" si="9"/>
        <v>968.37519397545111</v>
      </c>
      <c r="H19" s="130">
        <f t="shared" si="9"/>
        <v>990.97813852601735</v>
      </c>
      <c r="I19" s="130">
        <f t="shared" si="9"/>
        <v>1030.1009177648461</v>
      </c>
      <c r="J19" s="130">
        <f t="shared" si="9"/>
        <v>1032.5141978794709</v>
      </c>
      <c r="K19" s="130">
        <f t="shared" si="9"/>
        <v>1029.2046147862168</v>
      </c>
      <c r="L19" s="130">
        <f t="shared" si="9"/>
        <v>1040.9810140976524</v>
      </c>
      <c r="M19" s="130">
        <f t="shared" si="9"/>
        <v>1066.1528078761451</v>
      </c>
      <c r="N19" s="130">
        <f t="shared" si="9"/>
        <v>1059.6972495490133</v>
      </c>
      <c r="O19" s="130">
        <f t="shared" si="9"/>
        <v>1098.1965795450906</v>
      </c>
      <c r="P19" s="130">
        <f t="shared" si="9"/>
        <v>1126.3246899815617</v>
      </c>
      <c r="Q19" s="130">
        <f t="shared" si="9"/>
        <v>1135.1885545381165</v>
      </c>
      <c r="R19" s="130">
        <f t="shared" ref="R19:W19" si="10">SUM(R20:R27)</f>
        <v>1163.3351439810774</v>
      </c>
      <c r="S19" s="130">
        <f t="shared" si="10"/>
        <v>1152.5637690017818</v>
      </c>
      <c r="T19" s="130">
        <f t="shared" si="10"/>
        <v>1152.5557130131042</v>
      </c>
      <c r="U19" s="130">
        <f t="shared" si="10"/>
        <v>1102.8217614731095</v>
      </c>
      <c r="V19" s="130">
        <f t="shared" si="10"/>
        <v>1003.2813190833764</v>
      </c>
      <c r="W19" s="130">
        <f t="shared" si="10"/>
        <v>1187.4350559327777</v>
      </c>
      <c r="X19" s="130">
        <f t="shared" ref="X19:Y19" si="11">SUM(X20:X27)</f>
        <v>1225.5528068072194</v>
      </c>
      <c r="Y19" s="130">
        <f t="shared" si="11"/>
        <v>1238.2279946681294</v>
      </c>
      <c r="DA19" s="155" t="s">
        <v>317</v>
      </c>
    </row>
    <row r="20" spans="1:105" ht="12" customHeight="1" x14ac:dyDescent="0.25">
      <c r="A20" s="131" t="s">
        <v>29</v>
      </c>
      <c r="B20" s="132">
        <v>0</v>
      </c>
      <c r="C20" s="132">
        <v>0</v>
      </c>
      <c r="D20" s="132">
        <v>0</v>
      </c>
      <c r="E20" s="132">
        <v>0</v>
      </c>
      <c r="F20" s="132">
        <v>0</v>
      </c>
      <c r="G20" s="132">
        <v>0</v>
      </c>
      <c r="H20" s="132">
        <v>0</v>
      </c>
      <c r="I20" s="132">
        <v>0</v>
      </c>
      <c r="J20" s="132">
        <v>0</v>
      </c>
      <c r="K20" s="132">
        <v>0</v>
      </c>
      <c r="L20" s="132">
        <v>0</v>
      </c>
      <c r="M20" s="132">
        <v>0</v>
      </c>
      <c r="N20" s="132">
        <v>0</v>
      </c>
      <c r="O20" s="132">
        <v>0</v>
      </c>
      <c r="P20" s="132">
        <v>0</v>
      </c>
      <c r="Q20" s="132">
        <v>0</v>
      </c>
      <c r="R20" s="132">
        <v>0</v>
      </c>
      <c r="S20" s="132">
        <v>0</v>
      </c>
      <c r="T20" s="132">
        <v>0</v>
      </c>
      <c r="U20" s="132">
        <v>0</v>
      </c>
      <c r="V20" s="132">
        <v>0</v>
      </c>
      <c r="W20" s="132">
        <v>0</v>
      </c>
      <c r="X20" s="132">
        <v>0</v>
      </c>
      <c r="Y20" s="132">
        <v>0</v>
      </c>
      <c r="DA20" s="156" t="s">
        <v>318</v>
      </c>
    </row>
    <row r="21" spans="1:105" s="2" customFormat="1" ht="12" customHeight="1" x14ac:dyDescent="0.25">
      <c r="A21" s="131" t="s">
        <v>52</v>
      </c>
      <c r="B21" s="132">
        <v>49.329114405584342</v>
      </c>
      <c r="C21" s="132">
        <v>48.78275372350118</v>
      </c>
      <c r="D21" s="132">
        <v>45.644698442987689</v>
      </c>
      <c r="E21" s="132">
        <v>42.278187225470518</v>
      </c>
      <c r="F21" s="132">
        <v>41.536279913109382</v>
      </c>
      <c r="G21" s="132">
        <v>41.134302913054853</v>
      </c>
      <c r="H21" s="132">
        <v>40.34995506302019</v>
      </c>
      <c r="I21" s="132">
        <v>36.291044642497589</v>
      </c>
      <c r="J21" s="132">
        <v>35.23158765493141</v>
      </c>
      <c r="K21" s="132">
        <v>31.549322613960094</v>
      </c>
      <c r="L21" s="132">
        <v>29.571275980891201</v>
      </c>
      <c r="M21" s="132">
        <v>28.213819944207977</v>
      </c>
      <c r="N21" s="132">
        <v>23.085014044442868</v>
      </c>
      <c r="O21" s="132">
        <v>21.737251411167872</v>
      </c>
      <c r="P21" s="132">
        <v>17.454912041906201</v>
      </c>
      <c r="Q21" s="132">
        <v>15.860749375264872</v>
      </c>
      <c r="R21" s="132">
        <v>18.172897751303495</v>
      </c>
      <c r="S21" s="132">
        <v>18.91454533557819</v>
      </c>
      <c r="T21" s="132">
        <v>18.080685884257782</v>
      </c>
      <c r="U21" s="132">
        <v>18.728703694617153</v>
      </c>
      <c r="V21" s="132">
        <v>16.490910374430275</v>
      </c>
      <c r="W21" s="132">
        <v>17.797417478271225</v>
      </c>
      <c r="X21" s="132">
        <v>17.825415454792182</v>
      </c>
      <c r="Y21" s="132">
        <v>18.544459133853387</v>
      </c>
      <c r="DA21" s="156" t="s">
        <v>319</v>
      </c>
    </row>
    <row r="22" spans="1:105" ht="12" customHeight="1" x14ac:dyDescent="0.25">
      <c r="A22" s="131" t="s">
        <v>161</v>
      </c>
      <c r="B22" s="132">
        <v>54.777998111863447</v>
      </c>
      <c r="C22" s="132">
        <v>50.910162640386638</v>
      </c>
      <c r="D22" s="132">
        <v>44.134774900233182</v>
      </c>
      <c r="E22" s="132">
        <v>40.89789468451329</v>
      </c>
      <c r="F22" s="132">
        <v>36.421770702415252</v>
      </c>
      <c r="G22" s="132">
        <v>34.086310492033498</v>
      </c>
      <c r="H22" s="132">
        <v>33.579518744566528</v>
      </c>
      <c r="I22" s="132">
        <v>31.712019384873049</v>
      </c>
      <c r="J22" s="132">
        <v>30.447971656348088</v>
      </c>
      <c r="K22" s="132">
        <v>25.727665082066942</v>
      </c>
      <c r="L22" s="132">
        <v>22.808576873455245</v>
      </c>
      <c r="M22" s="132">
        <v>22.254067731148876</v>
      </c>
      <c r="N22" s="132">
        <v>21.644164181594764</v>
      </c>
      <c r="O22" s="132">
        <v>21.989391449563101</v>
      </c>
      <c r="P22" s="132">
        <v>20.879324910326677</v>
      </c>
      <c r="Q22" s="132">
        <v>19.724879243984581</v>
      </c>
      <c r="R22" s="132">
        <v>18.513724571263545</v>
      </c>
      <c r="S22" s="132">
        <v>18.457335329175514</v>
      </c>
      <c r="T22" s="132">
        <v>17.924916490712519</v>
      </c>
      <c r="U22" s="132">
        <v>15.562002432697813</v>
      </c>
      <c r="V22" s="132">
        <v>12.271881708706307</v>
      </c>
      <c r="W22" s="132">
        <v>13.352345189443108</v>
      </c>
      <c r="X22" s="132">
        <v>14.392559247916578</v>
      </c>
      <c r="Y22" s="132">
        <v>14.876988143012531</v>
      </c>
      <c r="DA22" s="156" t="s">
        <v>320</v>
      </c>
    </row>
    <row r="23" spans="1:105" ht="12" customHeight="1" x14ac:dyDescent="0.25">
      <c r="A23" s="131" t="s">
        <v>149</v>
      </c>
      <c r="B23" s="132">
        <v>352.87810582896691</v>
      </c>
      <c r="C23" s="132">
        <v>360.77821433110614</v>
      </c>
      <c r="D23" s="132">
        <v>368.08589668324214</v>
      </c>
      <c r="E23" s="132">
        <v>371.45175574246201</v>
      </c>
      <c r="F23" s="132">
        <v>374.49410159793757</v>
      </c>
      <c r="G23" s="132">
        <v>384.97957898422379</v>
      </c>
      <c r="H23" s="132">
        <v>389.2449381218579</v>
      </c>
      <c r="I23" s="132">
        <v>394.05273606286602</v>
      </c>
      <c r="J23" s="132">
        <v>402.20621459631008</v>
      </c>
      <c r="K23" s="132">
        <v>408.09845787890669</v>
      </c>
      <c r="L23" s="132">
        <v>409.41658443456879</v>
      </c>
      <c r="M23" s="132">
        <v>420.52926214960041</v>
      </c>
      <c r="N23" s="132">
        <v>431.29544822671971</v>
      </c>
      <c r="O23" s="132">
        <v>440.73992022955127</v>
      </c>
      <c r="P23" s="132">
        <v>447.42848656408722</v>
      </c>
      <c r="Q23" s="132">
        <v>456.73999707513656</v>
      </c>
      <c r="R23" s="132">
        <v>468.67114061412246</v>
      </c>
      <c r="S23" s="132">
        <v>498.83076575816426</v>
      </c>
      <c r="T23" s="132">
        <v>536.26741830806702</v>
      </c>
      <c r="U23" s="132">
        <v>467.16496125434276</v>
      </c>
      <c r="V23" s="132">
        <v>442.48781932047604</v>
      </c>
      <c r="W23" s="132">
        <v>467.95932988112878</v>
      </c>
      <c r="X23" s="132">
        <v>479.01758612931559</v>
      </c>
      <c r="Y23" s="132">
        <v>488.75370040740233</v>
      </c>
      <c r="DA23" s="156" t="s">
        <v>321</v>
      </c>
    </row>
    <row r="24" spans="1:105" ht="12" customHeight="1" x14ac:dyDescent="0.25">
      <c r="A24" s="131" t="s">
        <v>128</v>
      </c>
      <c r="B24" s="132">
        <v>0</v>
      </c>
      <c r="C24" s="132">
        <v>0</v>
      </c>
      <c r="D24" s="132">
        <v>0</v>
      </c>
      <c r="E24" s="132">
        <v>0</v>
      </c>
      <c r="F24" s="132">
        <v>0</v>
      </c>
      <c r="G24" s="132">
        <v>0</v>
      </c>
      <c r="H24" s="132">
        <v>0</v>
      </c>
      <c r="I24" s="132">
        <v>0</v>
      </c>
      <c r="J24" s="132">
        <v>0</v>
      </c>
      <c r="K24" s="132">
        <v>0</v>
      </c>
      <c r="L24" s="132">
        <v>0</v>
      </c>
      <c r="M24" s="132">
        <v>0</v>
      </c>
      <c r="N24" s="132">
        <v>0</v>
      </c>
      <c r="O24" s="132">
        <v>0</v>
      </c>
      <c r="P24" s="132">
        <v>0</v>
      </c>
      <c r="Q24" s="132">
        <v>0</v>
      </c>
      <c r="R24" s="132">
        <v>0</v>
      </c>
      <c r="S24" s="132">
        <v>0</v>
      </c>
      <c r="T24" s="132">
        <v>0</v>
      </c>
      <c r="U24" s="132">
        <v>0</v>
      </c>
      <c r="V24" s="132">
        <v>0</v>
      </c>
      <c r="W24" s="132">
        <v>0</v>
      </c>
      <c r="X24" s="132">
        <v>0</v>
      </c>
      <c r="Y24" s="132">
        <v>0</v>
      </c>
      <c r="DA24" s="156" t="s">
        <v>322</v>
      </c>
    </row>
    <row r="25" spans="1:105" ht="12" customHeight="1" x14ac:dyDescent="0.25">
      <c r="A25" s="131" t="s">
        <v>162</v>
      </c>
      <c r="B25" s="132">
        <v>0</v>
      </c>
      <c r="C25" s="132">
        <v>0</v>
      </c>
      <c r="D25" s="132">
        <v>0</v>
      </c>
      <c r="E25" s="132">
        <v>0</v>
      </c>
      <c r="F25" s="132">
        <v>8.7858883984991856</v>
      </c>
      <c r="G25" s="132">
        <v>9.0627258129551791</v>
      </c>
      <c r="H25" s="132">
        <v>9.0515720268196809</v>
      </c>
      <c r="I25" s="132">
        <v>9.1371856441927353</v>
      </c>
      <c r="J25" s="132">
        <v>9.4143687412558403</v>
      </c>
      <c r="K25" s="132">
        <v>11.487926828784396</v>
      </c>
      <c r="L25" s="132">
        <v>12.443597316153685</v>
      </c>
      <c r="M25" s="132">
        <v>14.673037811816052</v>
      </c>
      <c r="N25" s="132">
        <v>17.983833123732229</v>
      </c>
      <c r="O25" s="132">
        <v>24.245632057402357</v>
      </c>
      <c r="P25" s="132">
        <v>28.142019877696445</v>
      </c>
      <c r="Q25" s="132">
        <v>29.003444147091837</v>
      </c>
      <c r="R25" s="132">
        <v>32.437798579857123</v>
      </c>
      <c r="S25" s="132">
        <v>33.465984926149716</v>
      </c>
      <c r="T25" s="132">
        <v>34.816814933978826</v>
      </c>
      <c r="U25" s="132">
        <v>32.82544522154889</v>
      </c>
      <c r="V25" s="132">
        <v>28.803740486619375</v>
      </c>
      <c r="W25" s="132">
        <v>22.43789875586479</v>
      </c>
      <c r="X25" s="132">
        <v>23.03272936672866</v>
      </c>
      <c r="Y25" s="132">
        <v>21.67978382888866</v>
      </c>
      <c r="DA25" s="156" t="s">
        <v>323</v>
      </c>
    </row>
    <row r="26" spans="1:105" ht="12" customHeight="1" x14ac:dyDescent="0.25">
      <c r="A26" s="131" t="s">
        <v>24</v>
      </c>
      <c r="B26" s="65">
        <v>429.84057145264023</v>
      </c>
      <c r="C26" s="65">
        <v>458.66950364071829</v>
      </c>
      <c r="D26" s="65">
        <v>488.51378336329145</v>
      </c>
      <c r="E26" s="65">
        <v>491.3703273174396</v>
      </c>
      <c r="F26" s="65">
        <v>510.47882144655102</v>
      </c>
      <c r="G26" s="65">
        <v>493.35612787980455</v>
      </c>
      <c r="H26" s="65">
        <v>511.41956643561718</v>
      </c>
      <c r="I26" s="65">
        <v>547.92100167788021</v>
      </c>
      <c r="J26" s="65">
        <v>541.12213777576744</v>
      </c>
      <c r="K26" s="65">
        <v>534.45164650975585</v>
      </c>
      <c r="L26" s="65">
        <v>539.91862351665918</v>
      </c>
      <c r="M26" s="65">
        <v>552.41821783180524</v>
      </c>
      <c r="N26" s="65">
        <v>534.61492926745086</v>
      </c>
      <c r="O26" s="65">
        <v>555.85489170609048</v>
      </c>
      <c r="P26" s="65">
        <v>576.5214083244324</v>
      </c>
      <c r="Q26" s="65">
        <v>575.8591407585476</v>
      </c>
      <c r="R26" s="65">
        <v>585.50897197441918</v>
      </c>
      <c r="S26" s="65">
        <v>541.1407954343133</v>
      </c>
      <c r="T26" s="65">
        <v>501.7816125637579</v>
      </c>
      <c r="U26" s="65">
        <v>522.95131095072827</v>
      </c>
      <c r="V26" s="65">
        <v>459.96566022839806</v>
      </c>
      <c r="W26" s="65">
        <v>621.45564846297964</v>
      </c>
      <c r="X26" s="65">
        <v>646.60575478559463</v>
      </c>
      <c r="Y26" s="65">
        <v>649.90324372247051</v>
      </c>
      <c r="DA26" s="109" t="s">
        <v>324</v>
      </c>
    </row>
    <row r="27" spans="1:105" ht="12" customHeight="1" x14ac:dyDescent="0.25">
      <c r="A27" s="144" t="s">
        <v>26</v>
      </c>
      <c r="B27" s="145">
        <v>2.2929492691315554</v>
      </c>
      <c r="C27" s="145">
        <v>2.5556319862424757</v>
      </c>
      <c r="D27" s="145">
        <v>2.937833190025795</v>
      </c>
      <c r="E27" s="145">
        <v>3.3915735167669814</v>
      </c>
      <c r="F27" s="145">
        <v>3.893207222699913</v>
      </c>
      <c r="G27" s="145">
        <v>5.7561478933791905</v>
      </c>
      <c r="H27" s="145">
        <v>7.3325881341358548</v>
      </c>
      <c r="I27" s="145">
        <v>10.98693035253654</v>
      </c>
      <c r="J27" s="145">
        <v>14.091917454858121</v>
      </c>
      <c r="K27" s="145">
        <v>17.889595872742905</v>
      </c>
      <c r="L27" s="145">
        <v>26.822355975924335</v>
      </c>
      <c r="M27" s="145">
        <v>28.064402407566625</v>
      </c>
      <c r="N27" s="145">
        <v>31.073860705073088</v>
      </c>
      <c r="O27" s="145">
        <v>33.629492691315569</v>
      </c>
      <c r="P27" s="145">
        <v>35.89853826311262</v>
      </c>
      <c r="Q27" s="145">
        <v>38.000343938091135</v>
      </c>
      <c r="R27" s="145">
        <v>40.030610490111741</v>
      </c>
      <c r="S27" s="145">
        <v>41.754342218400694</v>
      </c>
      <c r="T27" s="145">
        <v>43.684264832330179</v>
      </c>
      <c r="U27" s="145">
        <v>45.589337919174561</v>
      </c>
      <c r="V27" s="145">
        <v>43.26130696474636</v>
      </c>
      <c r="W27" s="145">
        <v>44.432416165090288</v>
      </c>
      <c r="X27" s="145">
        <v>44.67876182287187</v>
      </c>
      <c r="Y27" s="145">
        <v>44.469819432502177</v>
      </c>
      <c r="DA27" s="158" t="s">
        <v>325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DA28" s="111"/>
    </row>
    <row r="29" spans="1:105" ht="12.95" customHeight="1" x14ac:dyDescent="0.25">
      <c r="A29" s="129" t="s">
        <v>34</v>
      </c>
      <c r="B29" s="130">
        <f t="shared" ref="B29:Q29" si="12">SUM(B30:B33)</f>
        <v>958.12120458628431</v>
      </c>
      <c r="C29" s="130">
        <f t="shared" si="12"/>
        <v>968.90932446429406</v>
      </c>
      <c r="D29" s="130">
        <f t="shared" si="12"/>
        <v>993.3819233494213</v>
      </c>
      <c r="E29" s="130">
        <f t="shared" si="12"/>
        <v>1004.5910626357256</v>
      </c>
      <c r="F29" s="130">
        <f t="shared" si="12"/>
        <v>1041.6375449607226</v>
      </c>
      <c r="G29" s="130">
        <f t="shared" si="12"/>
        <v>1088.8633287544126</v>
      </c>
      <c r="H29" s="130">
        <f t="shared" si="12"/>
        <v>1104.1500651733897</v>
      </c>
      <c r="I29" s="130">
        <f t="shared" si="12"/>
        <v>1135.1923439518741</v>
      </c>
      <c r="J29" s="130">
        <f t="shared" si="12"/>
        <v>1165.0940079573365</v>
      </c>
      <c r="K29" s="130">
        <f t="shared" si="12"/>
        <v>1184.916652207784</v>
      </c>
      <c r="L29" s="130">
        <f t="shared" si="12"/>
        <v>1195.4767845076815</v>
      </c>
      <c r="M29" s="130">
        <f t="shared" si="12"/>
        <v>1207.9110807193454</v>
      </c>
      <c r="N29" s="130">
        <f t="shared" si="12"/>
        <v>1218.8971273498908</v>
      </c>
      <c r="O29" s="130">
        <f t="shared" si="12"/>
        <v>1231.8426726053697</v>
      </c>
      <c r="P29" s="130">
        <f t="shared" si="12"/>
        <v>1254.9596993660939</v>
      </c>
      <c r="Q29" s="130">
        <f t="shared" si="12"/>
        <v>1269.5681415408717</v>
      </c>
      <c r="R29" s="130">
        <f t="shared" ref="R29:W29" si="13">SUM(R30:R33)</f>
        <v>1278.6441880412185</v>
      </c>
      <c r="S29" s="130">
        <f t="shared" si="13"/>
        <v>1282.8727124980853</v>
      </c>
      <c r="T29" s="130">
        <f t="shared" si="13"/>
        <v>1293.0270937693344</v>
      </c>
      <c r="U29" s="130">
        <f t="shared" si="13"/>
        <v>1275.4686771176162</v>
      </c>
      <c r="V29" s="130">
        <f t="shared" si="13"/>
        <v>1141.2089476433985</v>
      </c>
      <c r="W29" s="130">
        <f t="shared" si="13"/>
        <v>1333.404305371899</v>
      </c>
      <c r="X29" s="130">
        <f t="shared" ref="X29:Y29" si="14">SUM(X30:X33)</f>
        <v>1352.7710219408157</v>
      </c>
      <c r="Y29" s="130">
        <f t="shared" si="14"/>
        <v>1369.3230530135606</v>
      </c>
      <c r="DA29" s="155" t="s">
        <v>326</v>
      </c>
    </row>
    <row r="30" spans="1:105" ht="12" customHeight="1" x14ac:dyDescent="0.25">
      <c r="A30" s="131" t="s">
        <v>52</v>
      </c>
      <c r="B30" s="132">
        <v>171.22399211989361</v>
      </c>
      <c r="C30" s="132">
        <v>160.98135590502082</v>
      </c>
      <c r="D30" s="132">
        <v>163.21126312217021</v>
      </c>
      <c r="E30" s="132">
        <v>160.55034312464349</v>
      </c>
      <c r="F30" s="132">
        <v>152.98086675454425</v>
      </c>
      <c r="G30" s="132">
        <v>142.85315336410227</v>
      </c>
      <c r="H30" s="132">
        <v>124.95634890773889</v>
      </c>
      <c r="I30" s="132">
        <v>131.82762466668134</v>
      </c>
      <c r="J30" s="132">
        <v>95.136268547336101</v>
      </c>
      <c r="K30" s="132">
        <v>122.12015918745716</v>
      </c>
      <c r="L30" s="132">
        <v>123.38988468902421</v>
      </c>
      <c r="M30" s="132">
        <v>127.08073270233491</v>
      </c>
      <c r="N30" s="132">
        <v>111.15849794474755</v>
      </c>
      <c r="O30" s="132">
        <v>120.28500652042381</v>
      </c>
      <c r="P30" s="132">
        <v>139.60325779933379</v>
      </c>
      <c r="Q30" s="132">
        <v>139.11057310724289</v>
      </c>
      <c r="R30" s="132">
        <v>141.0854466535844</v>
      </c>
      <c r="S30" s="132">
        <v>144.16326064185742</v>
      </c>
      <c r="T30" s="132">
        <v>143.88726216150684</v>
      </c>
      <c r="U30" s="132">
        <v>139.76322647853365</v>
      </c>
      <c r="V30" s="132">
        <v>146.6910870611228</v>
      </c>
      <c r="W30" s="132">
        <v>148.13990873585567</v>
      </c>
      <c r="X30" s="132">
        <v>148.62386016357297</v>
      </c>
      <c r="Y30" s="132">
        <v>149.46345153764662</v>
      </c>
      <c r="DA30" s="156" t="s">
        <v>327</v>
      </c>
    </row>
    <row r="31" spans="1:105" ht="12" customHeight="1" x14ac:dyDescent="0.25">
      <c r="A31" s="131" t="s">
        <v>149</v>
      </c>
      <c r="B31" s="132">
        <v>671.61165796003218</v>
      </c>
      <c r="C31" s="132">
        <v>659.49584869065052</v>
      </c>
      <c r="D31" s="132">
        <v>604.53407988243612</v>
      </c>
      <c r="E31" s="132">
        <v>489.60665796967186</v>
      </c>
      <c r="F31" s="132">
        <v>453.47931625889521</v>
      </c>
      <c r="G31" s="132">
        <v>503.59351176441919</v>
      </c>
      <c r="H31" s="132">
        <v>473.84902865529159</v>
      </c>
      <c r="I31" s="132">
        <v>543.30277050388497</v>
      </c>
      <c r="J31" s="132">
        <v>542.52012638639394</v>
      </c>
      <c r="K31" s="132">
        <v>581.72808136965057</v>
      </c>
      <c r="L31" s="132">
        <v>594.54793425154935</v>
      </c>
      <c r="M31" s="132">
        <v>614.0776811346725</v>
      </c>
      <c r="N31" s="132">
        <v>639.61198919059746</v>
      </c>
      <c r="O31" s="132">
        <v>659.15739128373593</v>
      </c>
      <c r="P31" s="132">
        <v>729.55750328589545</v>
      </c>
      <c r="Q31" s="132">
        <v>740.27894589783614</v>
      </c>
      <c r="R31" s="132">
        <v>760.63834369885217</v>
      </c>
      <c r="S31" s="132">
        <v>753.45338091788733</v>
      </c>
      <c r="T31" s="132">
        <v>695.35904800315825</v>
      </c>
      <c r="U31" s="132">
        <v>758.28376790486459</v>
      </c>
      <c r="V31" s="132">
        <v>678.58095872053173</v>
      </c>
      <c r="W31" s="132">
        <v>655.10005175105584</v>
      </c>
      <c r="X31" s="132">
        <v>664.59047992852447</v>
      </c>
      <c r="Y31" s="132">
        <v>675.09616373692143</v>
      </c>
      <c r="DA31" s="156" t="s">
        <v>328</v>
      </c>
    </row>
    <row r="32" spans="1:105" ht="12" customHeight="1" x14ac:dyDescent="0.25">
      <c r="A32" s="131" t="s">
        <v>128</v>
      </c>
      <c r="B32" s="132">
        <v>0</v>
      </c>
      <c r="C32" s="132">
        <v>0</v>
      </c>
      <c r="D32" s="132">
        <v>0</v>
      </c>
      <c r="E32" s="132">
        <v>0</v>
      </c>
      <c r="F32" s="132">
        <v>0</v>
      </c>
      <c r="G32" s="132">
        <v>0</v>
      </c>
      <c r="H32" s="132">
        <v>0</v>
      </c>
      <c r="I32" s="132">
        <v>0</v>
      </c>
      <c r="J32" s="132">
        <v>0</v>
      </c>
      <c r="K32" s="132">
        <v>0</v>
      </c>
      <c r="L32" s="132">
        <v>0</v>
      </c>
      <c r="M32" s="132">
        <v>0</v>
      </c>
      <c r="N32" s="132">
        <v>0</v>
      </c>
      <c r="O32" s="132">
        <v>0</v>
      </c>
      <c r="P32" s="132">
        <v>0</v>
      </c>
      <c r="Q32" s="132">
        <v>0</v>
      </c>
      <c r="R32" s="132">
        <v>0</v>
      </c>
      <c r="S32" s="132">
        <v>0</v>
      </c>
      <c r="T32" s="132">
        <v>0</v>
      </c>
      <c r="U32" s="132">
        <v>0</v>
      </c>
      <c r="V32" s="132">
        <v>0</v>
      </c>
      <c r="W32" s="132">
        <v>0</v>
      </c>
      <c r="X32" s="132">
        <v>0</v>
      </c>
      <c r="Y32" s="132">
        <v>0</v>
      </c>
      <c r="DA32" s="156" t="s">
        <v>329</v>
      </c>
    </row>
    <row r="33" spans="1:105" ht="12" customHeight="1" x14ac:dyDescent="0.25">
      <c r="A33" s="62" t="s">
        <v>24</v>
      </c>
      <c r="B33" s="68">
        <v>115.28555450635847</v>
      </c>
      <c r="C33" s="68">
        <v>148.43211986862281</v>
      </c>
      <c r="D33" s="68">
        <v>225.636580344815</v>
      </c>
      <c r="E33" s="68">
        <v>354.43406154141036</v>
      </c>
      <c r="F33" s="68">
        <v>435.17736194728309</v>
      </c>
      <c r="G33" s="68">
        <v>442.41666362589126</v>
      </c>
      <c r="H33" s="68">
        <v>505.34468761035936</v>
      </c>
      <c r="I33" s="68">
        <v>460.06194878130782</v>
      </c>
      <c r="J33" s="68">
        <v>527.43761302360645</v>
      </c>
      <c r="K33" s="68">
        <v>481.06841165067624</v>
      </c>
      <c r="L33" s="68">
        <v>477.53896556710782</v>
      </c>
      <c r="M33" s="68">
        <v>466.75266688233791</v>
      </c>
      <c r="N33" s="68">
        <v>468.12664021454572</v>
      </c>
      <c r="O33" s="68">
        <v>452.40027480120989</v>
      </c>
      <c r="P33" s="68">
        <v>385.79893828086455</v>
      </c>
      <c r="Q33" s="68">
        <v>390.17862253579261</v>
      </c>
      <c r="R33" s="68">
        <v>376.9203976887818</v>
      </c>
      <c r="S33" s="68">
        <v>385.25607093834054</v>
      </c>
      <c r="T33" s="68">
        <v>453.78078360466941</v>
      </c>
      <c r="U33" s="68">
        <v>377.42168273421794</v>
      </c>
      <c r="V33" s="68">
        <v>315.9369018617441</v>
      </c>
      <c r="W33" s="68">
        <v>530.16434488498749</v>
      </c>
      <c r="X33" s="68">
        <v>539.5566818487182</v>
      </c>
      <c r="Y33" s="68">
        <v>544.76343773899271</v>
      </c>
      <c r="DA33" s="111" t="s">
        <v>330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331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83</v>
      </c>
      <c r="B3" s="126">
        <f>IF(SER_hh_tes!B3=0,"",SER_hh_tes!B3/SER_hh_fec!B3)</f>
        <v>0.60175636082407513</v>
      </c>
      <c r="C3" s="126">
        <f>IF(SER_hh_tes!C3=0,"",SER_hh_tes!C3/SER_hh_fec!C3)</f>
        <v>0.61012169916193171</v>
      </c>
      <c r="D3" s="126">
        <f>IF(SER_hh_tes!D3=0,"",SER_hh_tes!D3/SER_hh_fec!D3)</f>
        <v>0.62028271853467976</v>
      </c>
      <c r="E3" s="126">
        <f>IF(SER_hh_tes!E3=0,"",SER_hh_tes!E3/SER_hh_fec!E3)</f>
        <v>0.64604318572213848</v>
      </c>
      <c r="F3" s="126">
        <f>IF(SER_hh_tes!F3=0,"",SER_hh_tes!F3/SER_hh_fec!F3)</f>
        <v>0.63089185835853057</v>
      </c>
      <c r="G3" s="126">
        <f>IF(SER_hh_tes!G3=0,"",SER_hh_tes!G3/SER_hh_fec!G3)</f>
        <v>0.63200760766416442</v>
      </c>
      <c r="H3" s="126">
        <f>IF(SER_hh_tes!H3=0,"",SER_hh_tes!H3/SER_hh_fec!H3)</f>
        <v>0.64802700562446747</v>
      </c>
      <c r="I3" s="126">
        <f>IF(SER_hh_tes!I3=0,"",SER_hh_tes!I3/SER_hh_fec!I3)</f>
        <v>0.66207185333499674</v>
      </c>
      <c r="J3" s="126">
        <f>IF(SER_hh_tes!J3=0,"",SER_hh_tes!J3/SER_hh_fec!J3)</f>
        <v>0.66430973290097117</v>
      </c>
      <c r="K3" s="126">
        <f>IF(SER_hh_tes!K3=0,"",SER_hh_tes!K3/SER_hh_fec!K3)</f>
        <v>0.68008244099234516</v>
      </c>
      <c r="L3" s="126">
        <f>IF(SER_hh_tes!L3=0,"",SER_hh_tes!L3/SER_hh_fec!L3)</f>
        <v>0.68335506253368916</v>
      </c>
      <c r="M3" s="126">
        <f>IF(SER_hh_tes!M3=0,"",SER_hh_tes!M3/SER_hh_fec!M3)</f>
        <v>0.72050020883545074</v>
      </c>
      <c r="N3" s="126">
        <f>IF(SER_hh_tes!N3=0,"",SER_hh_tes!N3/SER_hh_fec!N3)</f>
        <v>0.77560466002791284</v>
      </c>
      <c r="O3" s="126">
        <f>IF(SER_hh_tes!O3=0,"",SER_hh_tes!O3/SER_hh_fec!O3)</f>
        <v>0.76982930149425488</v>
      </c>
      <c r="P3" s="126">
        <f>IF(SER_hh_tes!P3=0,"",SER_hh_tes!P3/SER_hh_fec!P3)</f>
        <v>0.83047230647197512</v>
      </c>
      <c r="Q3" s="126">
        <f>IF(SER_hh_tes!Q3=0,"",SER_hh_tes!Q3/SER_hh_fec!Q3)</f>
        <v>0.94541576093967594</v>
      </c>
      <c r="R3" s="126">
        <f>IF(SER_hh_tes!R3=0,"",SER_hh_tes!R3/SER_hh_fec!R3)</f>
        <v>0.93212528357359326</v>
      </c>
      <c r="S3" s="126">
        <f>IF(SER_hh_tes!S3=0,"",SER_hh_tes!S3/SER_hh_fec!S3)</f>
        <v>0.99315720811823394</v>
      </c>
      <c r="T3" s="126">
        <f>IF(SER_hh_tes!T3=0,"",SER_hh_tes!T3/SER_hh_fec!T3)</f>
        <v>0.96466594040430376</v>
      </c>
      <c r="U3" s="126">
        <f>IF(SER_hh_tes!U3=0,"",SER_hh_tes!U3/SER_hh_fec!U3)</f>
        <v>1.0014821498881226</v>
      </c>
      <c r="V3" s="126">
        <f>IF(SER_hh_tes!V3=0,"",SER_hh_tes!V3/SER_hh_fec!V3)</f>
        <v>1.0195397680616047</v>
      </c>
      <c r="W3" s="126">
        <f>IF(SER_hh_tes!W3=0,"",SER_hh_tes!W3/SER_hh_fec!W3)</f>
        <v>1.00651876750286</v>
      </c>
      <c r="X3" s="126">
        <f>IF(SER_hh_tes!X3=0,"",SER_hh_tes!X3/SER_hh_fec!X3)</f>
        <v>1.0678144673420336</v>
      </c>
      <c r="Y3" s="126">
        <f>IF(SER_hh_tes!Y3=0,"",SER_hh_tes!Y3/SER_hh_fec!Y3)</f>
        <v>1.0548581958398395</v>
      </c>
      <c r="DA3" s="161" t="s">
        <v>239</v>
      </c>
    </row>
    <row r="4" spans="1:105" ht="12.95" customHeight="1" x14ac:dyDescent="0.25">
      <c r="A4" s="129" t="s">
        <v>32</v>
      </c>
      <c r="B4" s="135">
        <f>IF(SER_hh_tes!B4=0,"",SER_hh_tes!B4/SER_hh_fec!B4)</f>
        <v>0.56361846287887485</v>
      </c>
      <c r="C4" s="135">
        <f>IF(SER_hh_tes!C4=0,"",SER_hh_tes!C4/SER_hh_fec!C4)</f>
        <v>0.56904296154731693</v>
      </c>
      <c r="D4" s="135">
        <f>IF(SER_hh_tes!D4=0,"",SER_hh_tes!D4/SER_hh_fec!D4)</f>
        <v>0.57978748193839413</v>
      </c>
      <c r="E4" s="135">
        <f>IF(SER_hh_tes!E4=0,"",SER_hh_tes!E4/SER_hh_fec!E4)</f>
        <v>0.57441011792783181</v>
      </c>
      <c r="F4" s="135">
        <f>IF(SER_hh_tes!F4=0,"",SER_hh_tes!F4/SER_hh_fec!F4)</f>
        <v>0.5864479143224266</v>
      </c>
      <c r="G4" s="135">
        <f>IF(SER_hh_tes!G4=0,"",SER_hh_tes!G4/SER_hh_fec!G4)</f>
        <v>0.59184345140685379</v>
      </c>
      <c r="H4" s="135">
        <f>IF(SER_hh_tes!H4=0,"",SER_hh_tes!H4/SER_hh_fec!H4)</f>
        <v>0.60212650560734315</v>
      </c>
      <c r="I4" s="135">
        <f>IF(SER_hh_tes!I4=0,"",SER_hh_tes!I4/SER_hh_fec!I4)</f>
        <v>0.61642439421240158</v>
      </c>
      <c r="J4" s="135">
        <f>IF(SER_hh_tes!J4=0,"",SER_hh_tes!J4/SER_hh_fec!J4)</f>
        <v>0.61410656228142901</v>
      </c>
      <c r="K4" s="135">
        <f>IF(SER_hh_tes!K4=0,"",SER_hh_tes!K4/SER_hh_fec!K4)</f>
        <v>0.62902709478317653</v>
      </c>
      <c r="L4" s="135">
        <f>IF(SER_hh_tes!L4=0,"",SER_hh_tes!L4/SER_hh_fec!L4)</f>
        <v>0.63877458953127852</v>
      </c>
      <c r="M4" s="135">
        <f>IF(SER_hh_tes!M4=0,"",SER_hh_tes!M4/SER_hh_fec!M4)</f>
        <v>0.67392443051801665</v>
      </c>
      <c r="N4" s="135">
        <f>IF(SER_hh_tes!N4=0,"",SER_hh_tes!N4/SER_hh_fec!N4)</f>
        <v>0.70886360593145359</v>
      </c>
      <c r="O4" s="135">
        <f>IF(SER_hh_tes!O4=0,"",SER_hh_tes!O4/SER_hh_fec!O4)</f>
        <v>0.73732422675994402</v>
      </c>
      <c r="P4" s="135">
        <f>IF(SER_hh_tes!P4=0,"",SER_hh_tes!P4/SER_hh_fec!P4)</f>
        <v>0.82954531237736318</v>
      </c>
      <c r="Q4" s="135">
        <f>IF(SER_hh_tes!Q4=0,"",SER_hh_tes!Q4/SER_hh_fec!Q4)</f>
        <v>0.94578432673633983</v>
      </c>
      <c r="R4" s="135">
        <f>IF(SER_hh_tes!R4=0,"",SER_hh_tes!R4/SER_hh_fec!R4)</f>
        <v>0.96119156452992327</v>
      </c>
      <c r="S4" s="135">
        <f>IF(SER_hh_tes!S4=0,"",SER_hh_tes!S4/SER_hh_fec!S4)</f>
        <v>1.0075188714745393</v>
      </c>
      <c r="T4" s="135">
        <f>IF(SER_hh_tes!T4=0,"",SER_hh_tes!T4/SER_hh_fec!T4)</f>
        <v>0.98200999340370865</v>
      </c>
      <c r="U4" s="135">
        <f>IF(SER_hh_tes!U4=0,"",SER_hh_tes!U4/SER_hh_fec!U4)</f>
        <v>1.0040814691436004</v>
      </c>
      <c r="V4" s="135">
        <f>IF(SER_hh_tes!V4=0,"",SER_hh_tes!V4/SER_hh_fec!V4)</f>
        <v>1.0462255646816558</v>
      </c>
      <c r="W4" s="135">
        <f>IF(SER_hh_tes!W4=0,"",SER_hh_tes!W4/SER_hh_fec!W4)</f>
        <v>1.0103163241113298</v>
      </c>
      <c r="X4" s="135">
        <f>IF(SER_hh_tes!X4=0,"",SER_hh_tes!X4/SER_hh_fec!X4)</f>
        <v>1.0634646409453903</v>
      </c>
      <c r="Y4" s="135">
        <f>IF(SER_hh_tes!Y4=0,"",SER_hh_tes!Y4/SER_hh_fec!Y4)</f>
        <v>1.0681725961546595</v>
      </c>
      <c r="DA4" s="162" t="s">
        <v>240</v>
      </c>
    </row>
    <row r="5" spans="1:105" ht="12" customHeight="1" x14ac:dyDescent="0.25">
      <c r="A5" s="131" t="s">
        <v>29</v>
      </c>
      <c r="B5" s="136" t="str">
        <f>IF(SER_hh_tes!B5=0,"",SER_hh_tes!B5/SER_hh_fec!B5)</f>
        <v/>
      </c>
      <c r="C5" s="136" t="str">
        <f>IF(SER_hh_tes!C5=0,"",SER_hh_tes!C5/SER_hh_fec!C5)</f>
        <v/>
      </c>
      <c r="D5" s="136" t="str">
        <f>IF(SER_hh_tes!D5=0,"",SER_hh_tes!D5/SER_hh_fec!D5)</f>
        <v/>
      </c>
      <c r="E5" s="136" t="str">
        <f>IF(SER_hh_tes!E5=0,"",SER_hh_tes!E5/SER_hh_fec!E5)</f>
        <v/>
      </c>
      <c r="F5" s="136" t="str">
        <f>IF(SER_hh_tes!F5=0,"",SER_hh_tes!F5/SER_hh_fec!F5)</f>
        <v/>
      </c>
      <c r="G5" s="136" t="str">
        <f>IF(SER_hh_tes!G5=0,"",SER_hh_tes!G5/SER_hh_fec!G5)</f>
        <v/>
      </c>
      <c r="H5" s="136" t="str">
        <f>IF(SER_hh_tes!H5=0,"",SER_hh_tes!H5/SER_hh_fec!H5)</f>
        <v/>
      </c>
      <c r="I5" s="136" t="str">
        <f>IF(SER_hh_tes!I5=0,"",SER_hh_tes!I5/SER_hh_fec!I5)</f>
        <v/>
      </c>
      <c r="J5" s="136" t="str">
        <f>IF(SER_hh_tes!J5=0,"",SER_hh_tes!J5/SER_hh_fec!J5)</f>
        <v/>
      </c>
      <c r="K5" s="136" t="str">
        <f>IF(SER_hh_tes!K5=0,"",SER_hh_tes!K5/SER_hh_fec!K5)</f>
        <v/>
      </c>
      <c r="L5" s="136" t="str">
        <f>IF(SER_hh_tes!L5=0,"",SER_hh_tes!L5/SER_hh_fec!L5)</f>
        <v/>
      </c>
      <c r="M5" s="136" t="str">
        <f>IF(SER_hh_tes!M5=0,"",SER_hh_tes!M5/SER_hh_fec!M5)</f>
        <v/>
      </c>
      <c r="N5" s="136" t="str">
        <f>IF(SER_hh_tes!N5=0,"",SER_hh_tes!N5/SER_hh_fec!N5)</f>
        <v/>
      </c>
      <c r="O5" s="136" t="str">
        <f>IF(SER_hh_tes!O5=0,"",SER_hh_tes!O5/SER_hh_fec!O5)</f>
        <v/>
      </c>
      <c r="P5" s="136" t="str">
        <f>IF(SER_hh_tes!P5=0,"",SER_hh_tes!P5/SER_hh_fec!P5)</f>
        <v/>
      </c>
      <c r="Q5" s="136" t="str">
        <f>IF(SER_hh_tes!Q5=0,"",SER_hh_tes!Q5/SER_hh_fec!Q5)</f>
        <v/>
      </c>
      <c r="R5" s="136" t="str">
        <f>IF(SER_hh_tes!R5=0,"",SER_hh_tes!R5/SER_hh_fec!R5)</f>
        <v/>
      </c>
      <c r="S5" s="136" t="str">
        <f>IF(SER_hh_tes!S5=0,"",SER_hh_tes!S5/SER_hh_fec!S5)</f>
        <v/>
      </c>
      <c r="T5" s="136" t="str">
        <f>IF(SER_hh_tes!T5=0,"",SER_hh_tes!T5/SER_hh_fec!T5)</f>
        <v/>
      </c>
      <c r="U5" s="136" t="str">
        <f>IF(SER_hh_tes!U5=0,"",SER_hh_tes!U5/SER_hh_fec!U5)</f>
        <v/>
      </c>
      <c r="V5" s="136" t="str">
        <f>IF(SER_hh_tes!V5=0,"",SER_hh_tes!V5/SER_hh_fec!V5)</f>
        <v/>
      </c>
      <c r="W5" s="136" t="str">
        <f>IF(SER_hh_tes!W5=0,"",SER_hh_tes!W5/SER_hh_fec!W5)</f>
        <v/>
      </c>
      <c r="X5" s="136" t="str">
        <f>IF(SER_hh_tes!X5=0,"",SER_hh_tes!X5/SER_hh_fec!X5)</f>
        <v/>
      </c>
      <c r="Y5" s="136" t="str">
        <f>IF(SER_hh_tes!Y5=0,"",SER_hh_tes!Y5/SER_hh_fec!Y5)</f>
        <v/>
      </c>
      <c r="DA5" s="163" t="s">
        <v>332</v>
      </c>
    </row>
    <row r="6" spans="1:105" ht="12" customHeight="1" x14ac:dyDescent="0.25">
      <c r="A6" s="131" t="s">
        <v>52</v>
      </c>
      <c r="B6" s="136">
        <f>IF(SER_hh_tes!B6=0,"",SER_hh_tes!B6/SER_hh_fec!B6)</f>
        <v>0.48253029360899935</v>
      </c>
      <c r="C6" s="136">
        <f>IF(SER_hh_tes!C6=0,"",SER_hh_tes!C6/SER_hh_fec!C6)</f>
        <v>0.48515653348787663</v>
      </c>
      <c r="D6" s="136">
        <f>IF(SER_hh_tes!D6=0,"",SER_hh_tes!D6/SER_hh_fec!D6)</f>
        <v>0.48859605719953575</v>
      </c>
      <c r="E6" s="136">
        <f>IF(SER_hh_tes!E6=0,"",SER_hh_tes!E6/SER_hh_fec!E6)</f>
        <v>0.49259687921055195</v>
      </c>
      <c r="F6" s="136">
        <f>IF(SER_hh_tes!F6=0,"",SER_hh_tes!F6/SER_hh_fec!F6)</f>
        <v>0.49550042428216412</v>
      </c>
      <c r="G6" s="136">
        <f>IF(SER_hh_tes!G6=0,"",SER_hh_tes!G6/SER_hh_fec!G6)</f>
        <v>0.49822105038354486</v>
      </c>
      <c r="H6" s="136">
        <f>IF(SER_hh_tes!H6=0,"",SER_hh_tes!H6/SER_hh_fec!H6)</f>
        <v>0.50134045365156277</v>
      </c>
      <c r="I6" s="136">
        <f>IF(SER_hh_tes!I6=0,"",SER_hh_tes!I6/SER_hh_fec!I6)</f>
        <v>0.50644973964605478</v>
      </c>
      <c r="J6" s="136">
        <f>IF(SER_hh_tes!J6=0,"",SER_hh_tes!J6/SER_hh_fec!J6)</f>
        <v>0.51368946902609769</v>
      </c>
      <c r="K6" s="136">
        <f>IF(SER_hh_tes!K6=0,"",SER_hh_tes!K6/SER_hh_fec!K6)</f>
        <v>0.52269220970307551</v>
      </c>
      <c r="L6" s="136">
        <f>IF(SER_hh_tes!L6=0,"",SER_hh_tes!L6/SER_hh_fec!L6)</f>
        <v>0.53214202703954538</v>
      </c>
      <c r="M6" s="136">
        <f>IF(SER_hh_tes!M6=0,"",SER_hh_tes!M6/SER_hh_fec!M6)</f>
        <v>0.54222170632120881</v>
      </c>
      <c r="N6" s="136">
        <f>IF(SER_hh_tes!N6=0,"",SER_hh_tes!N6/SER_hh_fec!N6)</f>
        <v>0.55360665254263852</v>
      </c>
      <c r="O6" s="136">
        <f>IF(SER_hh_tes!O6=0,"",SER_hh_tes!O6/SER_hh_fec!O6)</f>
        <v>0.56724103558530548</v>
      </c>
      <c r="P6" s="136">
        <f>IF(SER_hh_tes!P6=0,"",SER_hh_tes!P6/SER_hh_fec!P6)</f>
        <v>0.56837515044874531</v>
      </c>
      <c r="Q6" s="136">
        <f>IF(SER_hh_tes!Q6=0,"",SER_hh_tes!Q6/SER_hh_fec!Q6)</f>
        <v>0.56919607729395216</v>
      </c>
      <c r="R6" s="136">
        <f>IF(SER_hh_tes!R6=0,"",SER_hh_tes!R6/SER_hh_fec!R6)</f>
        <v>0.57052719120381301</v>
      </c>
      <c r="S6" s="136">
        <f>IF(SER_hh_tes!S6=0,"",SER_hh_tes!S6/SER_hh_fec!S6)</f>
        <v>0.58019041004939365</v>
      </c>
      <c r="T6" s="136">
        <f>IF(SER_hh_tes!T6=0,"",SER_hh_tes!T6/SER_hh_fec!T6)</f>
        <v>0.59378765443797843</v>
      </c>
      <c r="U6" s="136">
        <f>IF(SER_hh_tes!U6=0,"",SER_hh_tes!U6/SER_hh_fec!U6)</f>
        <v>0.61195194230871774</v>
      </c>
      <c r="V6" s="136">
        <f>IF(SER_hh_tes!V6=0,"",SER_hh_tes!V6/SER_hh_fec!V6)</f>
        <v>0.62919504776025326</v>
      </c>
      <c r="W6" s="136">
        <f>IF(SER_hh_tes!W6=0,"",SER_hh_tes!W6/SER_hh_fec!W6)</f>
        <v>0.64645009498403727</v>
      </c>
      <c r="X6" s="136">
        <f>IF(SER_hh_tes!X6=0,"",SER_hh_tes!X6/SER_hh_fec!X6)</f>
        <v>0.66231753981292962</v>
      </c>
      <c r="Y6" s="136">
        <f>IF(SER_hh_tes!Y6=0,"",SER_hh_tes!Y6/SER_hh_fec!Y6)</f>
        <v>0.67939480632472082</v>
      </c>
      <c r="DA6" s="163" t="s">
        <v>333</v>
      </c>
    </row>
    <row r="7" spans="1:105" ht="12" customHeight="1" x14ac:dyDescent="0.25">
      <c r="A7" s="131" t="s">
        <v>161</v>
      </c>
      <c r="B7" s="136">
        <f>IF(SER_hh_tes!B7=0,"",SER_hh_tes!B7/SER_hh_fec!B7)</f>
        <v>0.46721893974661022</v>
      </c>
      <c r="C7" s="136">
        <f>IF(SER_hh_tes!C7=0,"",SER_hh_tes!C7/SER_hh_fec!C7)</f>
        <v>0.47207001226166184</v>
      </c>
      <c r="D7" s="136">
        <f>IF(SER_hh_tes!D7=0,"",SER_hh_tes!D7/SER_hh_fec!D7)</f>
        <v>0.47804160350655006</v>
      </c>
      <c r="E7" s="136">
        <f>IF(SER_hh_tes!E7=0,"",SER_hh_tes!E7/SER_hh_fec!E7)</f>
        <v>0.48566472639580943</v>
      </c>
      <c r="F7" s="136">
        <f>IF(SER_hh_tes!F7=0,"",SER_hh_tes!F7/SER_hh_fec!F7)</f>
        <v>0.49124307247758536</v>
      </c>
      <c r="G7" s="136">
        <f>IF(SER_hh_tes!G7=0,"",SER_hh_tes!G7/SER_hh_fec!G7)</f>
        <v>0.4955820017549023</v>
      </c>
      <c r="H7" s="136">
        <f>IF(SER_hh_tes!H7=0,"",SER_hh_tes!H7/SER_hh_fec!H7)</f>
        <v>0.49952088620935081</v>
      </c>
      <c r="I7" s="136">
        <f>IF(SER_hh_tes!I7=0,"",SER_hh_tes!I7/SER_hh_fec!I7)</f>
        <v>0.50215024820251175</v>
      </c>
      <c r="J7" s="136">
        <f>IF(SER_hh_tes!J7=0,"",SER_hh_tes!J7/SER_hh_fec!J7)</f>
        <v>0.50477917817892892</v>
      </c>
      <c r="K7" s="136">
        <f>IF(SER_hh_tes!K7=0,"",SER_hh_tes!K7/SER_hh_fec!K7)</f>
        <v>0.50776276931833664</v>
      </c>
      <c r="L7" s="136">
        <f>IF(SER_hh_tes!L7=0,"",SER_hh_tes!L7/SER_hh_fec!L7)</f>
        <v>0.51004433544300165</v>
      </c>
      <c r="M7" s="136">
        <f>IF(SER_hh_tes!M7=0,"",SER_hh_tes!M7/SER_hh_fec!M7)</f>
        <v>0.51456057126079879</v>
      </c>
      <c r="N7" s="136">
        <f>IF(SER_hh_tes!N7=0,"",SER_hh_tes!N7/SER_hh_fec!N7)</f>
        <v>0.52480839475536101</v>
      </c>
      <c r="O7" s="136">
        <f>IF(SER_hh_tes!O7=0,"",SER_hh_tes!O7/SER_hh_fec!O7)</f>
        <v>0.53517837382765299</v>
      </c>
      <c r="P7" s="136">
        <f>IF(SER_hh_tes!P7=0,"",SER_hh_tes!P7/SER_hh_fec!P7)</f>
        <v>0.53768674224872404</v>
      </c>
      <c r="Q7" s="136">
        <f>IF(SER_hh_tes!Q7=0,"",SER_hh_tes!Q7/SER_hh_fec!Q7)</f>
        <v>0.54237165036699941</v>
      </c>
      <c r="R7" s="136">
        <f>IF(SER_hh_tes!R7=0,"",SER_hh_tes!R7/SER_hh_fec!R7)</f>
        <v>0.55263680151093997</v>
      </c>
      <c r="S7" s="136">
        <f>IF(SER_hh_tes!S7=0,"",SER_hh_tes!S7/SER_hh_fec!S7)</f>
        <v>0.56238865090051948</v>
      </c>
      <c r="T7" s="136">
        <f>IF(SER_hh_tes!T7=0,"",SER_hh_tes!T7/SER_hh_fec!T7)</f>
        <v>0.58438705610767028</v>
      </c>
      <c r="U7" s="136">
        <f>IF(SER_hh_tes!U7=0,"",SER_hh_tes!U7/SER_hh_fec!U7)</f>
        <v>0.61227808857260313</v>
      </c>
      <c r="V7" s="136">
        <f>IF(SER_hh_tes!V7=0,"",SER_hh_tes!V7/SER_hh_fec!V7)</f>
        <v>0.64294501203410559</v>
      </c>
      <c r="W7" s="136">
        <f>IF(SER_hh_tes!W7=0,"",SER_hh_tes!W7/SER_hh_fec!W7)</f>
        <v>0.66485144242137073</v>
      </c>
      <c r="X7" s="136">
        <f>IF(SER_hh_tes!X7=0,"",SER_hh_tes!X7/SER_hh_fec!X7)</f>
        <v>0.67543741940649449</v>
      </c>
      <c r="Y7" s="136">
        <f>IF(SER_hh_tes!Y7=0,"",SER_hh_tes!Y7/SER_hh_fec!Y7)</f>
        <v>0.67756150024324024</v>
      </c>
      <c r="DA7" s="163" t="s">
        <v>334</v>
      </c>
    </row>
    <row r="8" spans="1:105" ht="12" customHeight="1" x14ac:dyDescent="0.25">
      <c r="A8" s="131" t="s">
        <v>73</v>
      </c>
      <c r="B8" s="136">
        <f>IF(SER_hh_tes!B8=0,"",SER_hh_tes!B8/SER_hh_fec!B8)</f>
        <v>1.0266951795810642</v>
      </c>
      <c r="C8" s="136">
        <f>IF(SER_hh_tes!C8=0,"",SER_hh_tes!C8/SER_hh_fec!C8)</f>
        <v>1.1801584584500047</v>
      </c>
      <c r="D8" s="136">
        <f>IF(SER_hh_tes!D8=0,"",SER_hh_tes!D8/SER_hh_fec!D8)</f>
        <v>1.3548053692245603</v>
      </c>
      <c r="E8" s="136">
        <f>IF(SER_hh_tes!E8=0,"",SER_hh_tes!E8/SER_hh_fec!E8)</f>
        <v>1.4900165520173698</v>
      </c>
      <c r="F8" s="136">
        <f>IF(SER_hh_tes!F8=0,"",SER_hh_tes!F8/SER_hh_fec!F8)</f>
        <v>1.5985976086897438</v>
      </c>
      <c r="G8" s="136">
        <f>IF(SER_hh_tes!G8=0,"",SER_hh_tes!G8/SER_hh_fec!G8)</f>
        <v>1.6980816080330186</v>
      </c>
      <c r="H8" s="136">
        <f>IF(SER_hh_tes!H8=0,"",SER_hh_tes!H8/SER_hh_fec!H8)</f>
        <v>1.8056774345646343</v>
      </c>
      <c r="I8" s="136">
        <f>IF(SER_hh_tes!I8=0,"",SER_hh_tes!I8/SER_hh_fec!I8)</f>
        <v>1.923717259628885</v>
      </c>
      <c r="J8" s="136">
        <f>IF(SER_hh_tes!J8=0,"",SER_hh_tes!J8/SER_hh_fec!J8)</f>
        <v>2.030918834452089</v>
      </c>
      <c r="K8" s="136">
        <f>IF(SER_hh_tes!K8=0,"",SER_hh_tes!K8/SER_hh_fec!K8)</f>
        <v>2.1718017768165936</v>
      </c>
      <c r="L8" s="136">
        <f>IF(SER_hh_tes!L8=0,"",SER_hh_tes!L8/SER_hh_fec!L8)</f>
        <v>2.3329650181991526</v>
      </c>
      <c r="M8" s="136">
        <f>IF(SER_hh_tes!M8=0,"",SER_hh_tes!M8/SER_hh_fec!M8)</f>
        <v>2.5251188418377497</v>
      </c>
      <c r="N8" s="136">
        <f>IF(SER_hh_tes!N8=0,"",SER_hh_tes!N8/SER_hh_fec!N8)</f>
        <v>2.7273460241907621</v>
      </c>
      <c r="O8" s="136">
        <f>IF(SER_hh_tes!O8=0,"",SER_hh_tes!O8/SER_hh_fec!O8)</f>
        <v>2.9268025673424964</v>
      </c>
      <c r="P8" s="136">
        <f>IF(SER_hh_tes!P8=0,"",SER_hh_tes!P8/SER_hh_fec!P8)</f>
        <v>3.0827611983892158</v>
      </c>
      <c r="Q8" s="136">
        <f>IF(SER_hh_tes!Q8=0,"",SER_hh_tes!Q8/SER_hh_fec!Q8)</f>
        <v>3.1957927026883892</v>
      </c>
      <c r="R8" s="136">
        <f>IF(SER_hh_tes!R8=0,"",SER_hh_tes!R8/SER_hh_fec!R8)</f>
        <v>3.268421035504109</v>
      </c>
      <c r="S8" s="136">
        <f>IF(SER_hh_tes!S8=0,"",SER_hh_tes!S8/SER_hh_fec!S8)</f>
        <v>3.3335326180115774</v>
      </c>
      <c r="T8" s="136">
        <f>IF(SER_hh_tes!T8=0,"",SER_hh_tes!T8/SER_hh_fec!T8)</f>
        <v>3.4176402376158466</v>
      </c>
      <c r="U8" s="136">
        <f>IF(SER_hh_tes!U8=0,"",SER_hh_tes!U8/SER_hh_fec!U8)</f>
        <v>3.5432978240311073</v>
      </c>
      <c r="V8" s="136">
        <f>IF(SER_hh_tes!V8=0,"",SER_hh_tes!V8/SER_hh_fec!V8)</f>
        <v>3.6775531757208508</v>
      </c>
      <c r="W8" s="136">
        <f>IF(SER_hh_tes!W8=0,"",SER_hh_tes!W8/SER_hh_fec!W8)</f>
        <v>3.7880088219020367</v>
      </c>
      <c r="X8" s="136">
        <f>IF(SER_hh_tes!X8=0,"",SER_hh_tes!X8/SER_hh_fec!X8)</f>
        <v>3.8587821095307286</v>
      </c>
      <c r="Y8" s="136">
        <f>IF(SER_hh_tes!Y8=0,"",SER_hh_tes!Y8/SER_hh_fec!Y8)</f>
        <v>3.9202423866413199</v>
      </c>
      <c r="DA8" s="163" t="s">
        <v>335</v>
      </c>
    </row>
    <row r="9" spans="1:105" ht="12" customHeight="1" x14ac:dyDescent="0.25">
      <c r="A9" s="131" t="s">
        <v>78</v>
      </c>
      <c r="B9" s="136">
        <f>IF(SER_hh_tes!B9=0,"",SER_hh_tes!B9/SER_hh_fec!B9)</f>
        <v>0.50501433749078406</v>
      </c>
      <c r="C9" s="136">
        <f>IF(SER_hh_tes!C9=0,"",SER_hh_tes!C9/SER_hh_fec!C9)</f>
        <v>0.50977084884522139</v>
      </c>
      <c r="D9" s="136">
        <f>IF(SER_hh_tes!D9=0,"",SER_hh_tes!D9/SER_hh_fec!D9)</f>
        <v>0.51464962676134784</v>
      </c>
      <c r="E9" s="136">
        <f>IF(SER_hh_tes!E9=0,"",SER_hh_tes!E9/SER_hh_fec!E9)</f>
        <v>0.52020549308715291</v>
      </c>
      <c r="F9" s="136">
        <f>IF(SER_hh_tes!F9=0,"",SER_hh_tes!F9/SER_hh_fec!F9)</f>
        <v>0.52460474570301074</v>
      </c>
      <c r="G9" s="136">
        <f>IF(SER_hh_tes!G9=0,"",SER_hh_tes!G9/SER_hh_fec!G9)</f>
        <v>0.52970814770246943</v>
      </c>
      <c r="H9" s="136">
        <f>IF(SER_hh_tes!H9=0,"",SER_hh_tes!H9/SER_hh_fec!H9)</f>
        <v>0.5359409723568016</v>
      </c>
      <c r="I9" s="136">
        <f>IF(SER_hh_tes!I9=0,"",SER_hh_tes!I9/SER_hh_fec!I9)</f>
        <v>0.54261082437304131</v>
      </c>
      <c r="J9" s="136">
        <f>IF(SER_hh_tes!J9=0,"",SER_hh_tes!J9/SER_hh_fec!J9)</f>
        <v>0.54954794731715506</v>
      </c>
      <c r="K9" s="136">
        <f>IF(SER_hh_tes!K9=0,"",SER_hh_tes!K9/SER_hh_fec!K9)</f>
        <v>0.55605597751549263</v>
      </c>
      <c r="L9" s="136">
        <f>IF(SER_hh_tes!L9=0,"",SER_hh_tes!L9/SER_hh_fec!L9)</f>
        <v>0.56301286571138065</v>
      </c>
      <c r="M9" s="136">
        <f>IF(SER_hh_tes!M9=0,"",SER_hh_tes!M9/SER_hh_fec!M9)</f>
        <v>0.56993657860727787</v>
      </c>
      <c r="N9" s="136">
        <f>IF(SER_hh_tes!N9=0,"",SER_hh_tes!N9/SER_hh_fec!N9)</f>
        <v>0.57866737901912679</v>
      </c>
      <c r="O9" s="136">
        <f>IF(SER_hh_tes!O9=0,"",SER_hh_tes!O9/SER_hh_fec!O9)</f>
        <v>0.58622376499932127</v>
      </c>
      <c r="P9" s="136">
        <f>IF(SER_hh_tes!P9=0,"",SER_hh_tes!P9/SER_hh_fec!P9)</f>
        <v>0.58731430150214603</v>
      </c>
      <c r="Q9" s="136">
        <f>IF(SER_hh_tes!Q9=0,"",SER_hh_tes!Q9/SER_hh_fec!Q9)</f>
        <v>0.58851956055973886</v>
      </c>
      <c r="R9" s="136">
        <f>IF(SER_hh_tes!R9=0,"",SER_hh_tes!R9/SER_hh_fec!R9)</f>
        <v>0.59192308656368275</v>
      </c>
      <c r="S9" s="136">
        <f>IF(SER_hh_tes!S9=0,"",SER_hh_tes!S9/SER_hh_fec!S9)</f>
        <v>0.61619680409405719</v>
      </c>
      <c r="T9" s="136">
        <f>IF(SER_hh_tes!T9=0,"",SER_hh_tes!T9/SER_hh_fec!T9)</f>
        <v>0.64206411655419282</v>
      </c>
      <c r="U9" s="136">
        <f>IF(SER_hh_tes!U9=0,"",SER_hh_tes!U9/SER_hh_fec!U9)</f>
        <v>0.666654630201444</v>
      </c>
      <c r="V9" s="136">
        <f>IF(SER_hh_tes!V9=0,"",SER_hh_tes!V9/SER_hh_fec!V9)</f>
        <v>0.68708816128965411</v>
      </c>
      <c r="W9" s="136">
        <f>IF(SER_hh_tes!W9=0,"",SER_hh_tes!W9/SER_hh_fec!W9)</f>
        <v>0.70163765601619354</v>
      </c>
      <c r="X9" s="136">
        <f>IF(SER_hh_tes!X9=0,"",SER_hh_tes!X9/SER_hh_fec!X9)</f>
        <v>0.72325019824517511</v>
      </c>
      <c r="Y9" s="136">
        <f>IF(SER_hh_tes!Y9=0,"",SER_hh_tes!Y9/SER_hh_fec!Y9)</f>
        <v>0.75020618282653484</v>
      </c>
      <c r="DA9" s="163" t="s">
        <v>336</v>
      </c>
    </row>
    <row r="10" spans="1:105" ht="12" customHeight="1" x14ac:dyDescent="0.25">
      <c r="A10" s="131" t="s">
        <v>128</v>
      </c>
      <c r="B10" s="136">
        <f>IF(SER_hh_tes!B10=0,"",SER_hh_tes!B10/SER_hh_fec!B10)</f>
        <v>0.61852445878202</v>
      </c>
      <c r="C10" s="136">
        <f>IF(SER_hh_tes!C10=0,"",SER_hh_tes!C10/SER_hh_fec!C10)</f>
        <v>0.62105901493778193</v>
      </c>
      <c r="D10" s="136">
        <f>IF(SER_hh_tes!D10=0,"",SER_hh_tes!D10/SER_hh_fec!D10)</f>
        <v>0.62194755260000734</v>
      </c>
      <c r="E10" s="136">
        <f>IF(SER_hh_tes!E10=0,"",SER_hh_tes!E10/SER_hh_fec!E10)</f>
        <v>0.6226293066287244</v>
      </c>
      <c r="F10" s="136">
        <f>IF(SER_hh_tes!F10=0,"",SER_hh_tes!F10/SER_hh_fec!F10)</f>
        <v>0.62454502771774245</v>
      </c>
      <c r="G10" s="136">
        <f>IF(SER_hh_tes!G10=0,"",SER_hh_tes!G10/SER_hh_fec!G10)</f>
        <v>0.62686409639921914</v>
      </c>
      <c r="H10" s="136">
        <f>IF(SER_hh_tes!H10=0,"",SER_hh_tes!H10/SER_hh_fec!H10)</f>
        <v>0.63111713649418666</v>
      </c>
      <c r="I10" s="136">
        <f>IF(SER_hh_tes!I10=0,"",SER_hh_tes!I10/SER_hh_fec!I10)</f>
        <v>0.63471279462819163</v>
      </c>
      <c r="J10" s="136">
        <f>IF(SER_hh_tes!J10=0,"",SER_hh_tes!J10/SER_hh_fec!J10)</f>
        <v>0.64054988168223415</v>
      </c>
      <c r="K10" s="136">
        <f>IF(SER_hh_tes!K10=0,"",SER_hh_tes!K10/SER_hh_fec!K10)</f>
        <v>0.64736364920381573</v>
      </c>
      <c r="L10" s="136">
        <f>IF(SER_hh_tes!L10=0,"",SER_hh_tes!L10/SER_hh_fec!L10)</f>
        <v>0.65218089613230645</v>
      </c>
      <c r="M10" s="136">
        <f>IF(SER_hh_tes!M10=0,"",SER_hh_tes!M10/SER_hh_fec!M10)</f>
        <v>0.65529555539546624</v>
      </c>
      <c r="N10" s="136">
        <f>IF(SER_hh_tes!N10=0,"",SER_hh_tes!N10/SER_hh_fec!N10)</f>
        <v>0.65766933897170132</v>
      </c>
      <c r="O10" s="136">
        <f>IF(SER_hh_tes!O10=0,"",SER_hh_tes!O10/SER_hh_fec!O10)</f>
        <v>0.65906993851799411</v>
      </c>
      <c r="P10" s="136">
        <f>IF(SER_hh_tes!P10=0,"",SER_hh_tes!P10/SER_hh_fec!P10)</f>
        <v>0.6592759722947622</v>
      </c>
      <c r="Q10" s="136">
        <f>IF(SER_hh_tes!Q10=0,"",SER_hh_tes!Q10/SER_hh_fec!Q10)</f>
        <v>0.65932741228916791</v>
      </c>
      <c r="R10" s="136">
        <f>IF(SER_hh_tes!R10=0,"",SER_hh_tes!R10/SER_hh_fec!R10)</f>
        <v>0.65941948555447261</v>
      </c>
      <c r="S10" s="136">
        <f>IF(SER_hh_tes!S10=0,"",SER_hh_tes!S10/SER_hh_fec!S10)</f>
        <v>0.65946400639300706</v>
      </c>
      <c r="T10" s="136">
        <f>IF(SER_hh_tes!T10=0,"",SER_hh_tes!T10/SER_hh_fec!T10)</f>
        <v>0.65956785958269437</v>
      </c>
      <c r="U10" s="136">
        <f>IF(SER_hh_tes!U10=0,"",SER_hh_tes!U10/SER_hh_fec!U10)</f>
        <v>0.65984229154999585</v>
      </c>
      <c r="V10" s="136">
        <f>IF(SER_hh_tes!V10=0,"",SER_hh_tes!V10/SER_hh_fec!V10)</f>
        <v>0.66022466407556757</v>
      </c>
      <c r="W10" s="136">
        <f>IF(SER_hh_tes!W10=0,"",SER_hh_tes!W10/SER_hh_fec!W10)</f>
        <v>0.66062507555137007</v>
      </c>
      <c r="X10" s="136">
        <f>IF(SER_hh_tes!X10=0,"",SER_hh_tes!X10/SER_hh_fec!X10)</f>
        <v>0.66153737185353567</v>
      </c>
      <c r="Y10" s="136">
        <f>IF(SER_hh_tes!Y10=0,"",SER_hh_tes!Y10/SER_hh_fec!Y10)</f>
        <v>0.66272949654243218</v>
      </c>
      <c r="DA10" s="163" t="s">
        <v>337</v>
      </c>
    </row>
    <row r="11" spans="1:105" ht="12" customHeight="1" x14ac:dyDescent="0.25">
      <c r="A11" s="131" t="s">
        <v>25</v>
      </c>
      <c r="B11" s="136">
        <f>IF(SER_hh_tes!B11=0,"",SER_hh_tes!B11/SER_hh_fec!B11)</f>
        <v>0.76982421465422568</v>
      </c>
      <c r="C11" s="136">
        <f>IF(SER_hh_tes!C11=0,"",SER_hh_tes!C11/SER_hh_fec!C11)</f>
        <v>0.77352204771254396</v>
      </c>
      <c r="D11" s="136">
        <f>IF(SER_hh_tes!D11=0,"",SER_hh_tes!D11/SER_hh_fec!D11)</f>
        <v>0.77566093441525474</v>
      </c>
      <c r="E11" s="136">
        <f>IF(SER_hh_tes!E11=0,"",SER_hh_tes!E11/SER_hh_fec!E11)</f>
        <v>0.77637133811916614</v>
      </c>
      <c r="F11" s="136">
        <f>IF(SER_hh_tes!F11=0,"",SER_hh_tes!F11/SER_hh_fec!F11)</f>
        <v>0.77700711750998364</v>
      </c>
      <c r="G11" s="136">
        <f>IF(SER_hh_tes!G11=0,"",SER_hh_tes!G11/SER_hh_fec!G11)</f>
        <v>0.77774449641060472</v>
      </c>
      <c r="H11" s="136">
        <f>IF(SER_hh_tes!H11=0,"",SER_hh_tes!H11/SER_hh_fec!H11)</f>
        <v>0.78066757702115641</v>
      </c>
      <c r="I11" s="136">
        <f>IF(SER_hh_tes!I11=0,"",SER_hh_tes!I11/SER_hh_fec!I11)</f>
        <v>0.78515303270110548</v>
      </c>
      <c r="J11" s="136">
        <f>IF(SER_hh_tes!J11=0,"",SER_hh_tes!J11/SER_hh_fec!J11)</f>
        <v>0.78807058441866351</v>
      </c>
      <c r="K11" s="136">
        <f>IF(SER_hh_tes!K11=0,"",SER_hh_tes!K11/SER_hh_fec!K11)</f>
        <v>0.79153501772520074</v>
      </c>
      <c r="L11" s="136">
        <f>IF(SER_hh_tes!L11=0,"",SER_hh_tes!L11/SER_hh_fec!L11)</f>
        <v>0.79499588040639602</v>
      </c>
      <c r="M11" s="136">
        <f>IF(SER_hh_tes!M11=0,"",SER_hh_tes!M11/SER_hh_fec!M11)</f>
        <v>0.80125103436181921</v>
      </c>
      <c r="N11" s="136">
        <f>IF(SER_hh_tes!N11=0,"",SER_hh_tes!N11/SER_hh_fec!N11)</f>
        <v>0.81161342356871458</v>
      </c>
      <c r="O11" s="136">
        <f>IF(SER_hh_tes!O11=0,"",SER_hh_tes!O11/SER_hh_fec!O11)</f>
        <v>0.82142114552835777</v>
      </c>
      <c r="P11" s="136">
        <f>IF(SER_hh_tes!P11=0,"",SER_hh_tes!P11/SER_hh_fec!P11)</f>
        <v>0.82156977294341549</v>
      </c>
      <c r="Q11" s="136">
        <f>IF(SER_hh_tes!Q11=0,"",SER_hh_tes!Q11/SER_hh_fec!Q11)</f>
        <v>0.82173090944027394</v>
      </c>
      <c r="R11" s="136">
        <f>IF(SER_hh_tes!R11=0,"",SER_hh_tes!R11/SER_hh_fec!R11)</f>
        <v>0.82199998222162229</v>
      </c>
      <c r="S11" s="136">
        <f>IF(SER_hh_tes!S11=0,"",SER_hh_tes!S11/SER_hh_fec!S11)</f>
        <v>0.82247865385566077</v>
      </c>
      <c r="T11" s="136">
        <f>IF(SER_hh_tes!T11=0,"",SER_hh_tes!T11/SER_hh_fec!T11)</f>
        <v>0.82275872331674338</v>
      </c>
      <c r="U11" s="136">
        <f>IF(SER_hh_tes!U11=0,"",SER_hh_tes!U11/SER_hh_fec!U11)</f>
        <v>0.8230208526307633</v>
      </c>
      <c r="V11" s="136">
        <f>IF(SER_hh_tes!V11=0,"",SER_hh_tes!V11/SER_hh_fec!V11)</f>
        <v>0.82333955753215327</v>
      </c>
      <c r="W11" s="136">
        <f>IF(SER_hh_tes!W11=0,"",SER_hh_tes!W11/SER_hh_fec!W11)</f>
        <v>0.82372838477115029</v>
      </c>
      <c r="X11" s="136">
        <f>IF(SER_hh_tes!X11=0,"",SER_hh_tes!X11/SER_hh_fec!X11)</f>
        <v>0.82441811670092391</v>
      </c>
      <c r="Y11" s="136">
        <f>IF(SER_hh_tes!Y11=0,"",SER_hh_tes!Y11/SER_hh_fec!Y11)</f>
        <v>0.82512226549136936</v>
      </c>
      <c r="DA11" s="163" t="s">
        <v>338</v>
      </c>
    </row>
    <row r="12" spans="1:105" ht="12" customHeight="1" x14ac:dyDescent="0.25">
      <c r="A12" s="131" t="s">
        <v>162</v>
      </c>
      <c r="B12" s="136" t="str">
        <f>IF(SER_hh_tes!B12=0,"",SER_hh_tes!B12/SER_hh_fec!B12)</f>
        <v/>
      </c>
      <c r="C12" s="136" t="str">
        <f>IF(SER_hh_tes!C12=0,"",SER_hh_tes!C12/SER_hh_fec!C12)</f>
        <v/>
      </c>
      <c r="D12" s="136" t="str">
        <f>IF(SER_hh_tes!D12=0,"",SER_hh_tes!D12/SER_hh_fec!D12)</f>
        <v/>
      </c>
      <c r="E12" s="136" t="str">
        <f>IF(SER_hh_tes!E12=0,"",SER_hh_tes!E12/SER_hh_fec!E12)</f>
        <v/>
      </c>
      <c r="F12" s="136">
        <f>IF(SER_hh_tes!F12=0,"",SER_hh_tes!F12/SER_hh_fec!F12)</f>
        <v>0.81031803696000737</v>
      </c>
      <c r="G12" s="136">
        <f>IF(SER_hh_tes!G12=0,"",SER_hh_tes!G12/SER_hh_fec!G12)</f>
        <v>0.81094659632005084</v>
      </c>
      <c r="H12" s="136">
        <f>IF(SER_hh_tes!H12=0,"",SER_hh_tes!H12/SER_hh_fec!H12)</f>
        <v>0.81181092177557734</v>
      </c>
      <c r="I12" s="136">
        <f>IF(SER_hh_tes!I12=0,"",SER_hh_tes!I12/SER_hh_fec!I12)</f>
        <v>0.81209458528304101</v>
      </c>
      <c r="J12" s="136">
        <f>IF(SER_hh_tes!J12=0,"",SER_hh_tes!J12/SER_hh_fec!J12)</f>
        <v>0.81210225754289611</v>
      </c>
      <c r="K12" s="136">
        <f>IF(SER_hh_tes!K12=0,"",SER_hh_tes!K12/SER_hh_fec!K12)</f>
        <v>0.8121647903129704</v>
      </c>
      <c r="L12" s="136">
        <f>IF(SER_hh_tes!L12=0,"",SER_hh_tes!L12/SER_hh_fec!L12)</f>
        <v>0.81314827818847368</v>
      </c>
      <c r="M12" s="136">
        <f>IF(SER_hh_tes!M12=0,"",SER_hh_tes!M12/SER_hh_fec!M12)</f>
        <v>0.81785414060486084</v>
      </c>
      <c r="N12" s="136">
        <f>IF(SER_hh_tes!N12=0,"",SER_hh_tes!N12/SER_hh_fec!N12)</f>
        <v>0.82078056643055852</v>
      </c>
      <c r="O12" s="136">
        <f>IF(SER_hh_tes!O12=0,"",SER_hh_tes!O12/SER_hh_fec!O12)</f>
        <v>0.82545763800004479</v>
      </c>
      <c r="P12" s="136">
        <f>IF(SER_hh_tes!P12=0,"",SER_hh_tes!P12/SER_hh_fec!P12)</f>
        <v>0.82856460395324005</v>
      </c>
      <c r="Q12" s="136">
        <f>IF(SER_hh_tes!Q12=0,"",SER_hh_tes!Q12/SER_hh_fec!Q12)</f>
        <v>0.8320352906093611</v>
      </c>
      <c r="R12" s="136">
        <f>IF(SER_hh_tes!R12=0,"",SER_hh_tes!R12/SER_hh_fec!R12)</f>
        <v>0.8360136495361149</v>
      </c>
      <c r="S12" s="136">
        <f>IF(SER_hh_tes!S12=0,"",SER_hh_tes!S12/SER_hh_fec!S12)</f>
        <v>0.84136024088854766</v>
      </c>
      <c r="T12" s="136">
        <f>IF(SER_hh_tes!T12=0,"",SER_hh_tes!T12/SER_hh_fec!T12)</f>
        <v>0.8468567095715841</v>
      </c>
      <c r="U12" s="136">
        <f>IF(SER_hh_tes!U12=0,"",SER_hh_tes!U12/SER_hh_fec!U12)</f>
        <v>0.8515864545228945</v>
      </c>
      <c r="V12" s="136">
        <f>IF(SER_hh_tes!V12=0,"",SER_hh_tes!V12/SER_hh_fec!V12)</f>
        <v>0.8572430566004049</v>
      </c>
      <c r="W12" s="136">
        <f>IF(SER_hh_tes!W12=0,"",SER_hh_tes!W12/SER_hh_fec!W12)</f>
        <v>0.85915025032460368</v>
      </c>
      <c r="X12" s="136">
        <f>IF(SER_hh_tes!X12=0,"",SER_hh_tes!X12/SER_hh_fec!X12)</f>
        <v>0.86129369437716452</v>
      </c>
      <c r="Y12" s="136">
        <f>IF(SER_hh_tes!Y12=0,"",SER_hh_tes!Y12/SER_hh_fec!Y12)</f>
        <v>0.86515523154050877</v>
      </c>
      <c r="DA12" s="163" t="s">
        <v>339</v>
      </c>
    </row>
    <row r="13" spans="1:105" ht="12" customHeight="1" x14ac:dyDescent="0.25">
      <c r="A13" s="131" t="s">
        <v>77</v>
      </c>
      <c r="B13" s="136">
        <f>IF(SER_hh_tes!B13=0,"",SER_hh_tes!B13/SER_hh_fec!B13)</f>
        <v>1.5638823358014449</v>
      </c>
      <c r="C13" s="136">
        <f>IF(SER_hh_tes!C13=0,"",SER_hh_tes!C13/SER_hh_fec!C13)</f>
        <v>1.6480286439274394</v>
      </c>
      <c r="D13" s="136">
        <f>IF(SER_hh_tes!D13=0,"",SER_hh_tes!D13/SER_hh_fec!D13)</f>
        <v>1.7376740153440289</v>
      </c>
      <c r="E13" s="136">
        <f>IF(SER_hh_tes!E13=0,"",SER_hh_tes!E13/SER_hh_fec!E13)</f>
        <v>1.8085971767258295</v>
      </c>
      <c r="F13" s="136">
        <f>IF(SER_hh_tes!F13=0,"",SER_hh_tes!F13/SER_hh_fec!F13)</f>
        <v>1.895821282891436</v>
      </c>
      <c r="G13" s="136">
        <f>IF(SER_hh_tes!G13=0,"",SER_hh_tes!G13/SER_hh_fec!G13)</f>
        <v>1.9729812851985291</v>
      </c>
      <c r="H13" s="136">
        <f>IF(SER_hh_tes!H13=0,"",SER_hh_tes!H13/SER_hh_fec!H13)</f>
        <v>2.0334050665253813</v>
      </c>
      <c r="I13" s="136">
        <f>IF(SER_hh_tes!I13=0,"",SER_hh_tes!I13/SER_hh_fec!I13)</f>
        <v>2.0856329551460613</v>
      </c>
      <c r="J13" s="136">
        <f>IF(SER_hh_tes!J13=0,"",SER_hh_tes!J13/SER_hh_fec!J13)</f>
        <v>2.1272205874885555</v>
      </c>
      <c r="K13" s="136">
        <f>IF(SER_hh_tes!K13=0,"",SER_hh_tes!K13/SER_hh_fec!K13)</f>
        <v>2.2090990097281877</v>
      </c>
      <c r="L13" s="136">
        <f>IF(SER_hh_tes!L13=0,"",SER_hh_tes!L13/SER_hh_fec!L13)</f>
        <v>2.3198625079614059</v>
      </c>
      <c r="M13" s="136">
        <f>IF(SER_hh_tes!M13=0,"",SER_hh_tes!M13/SER_hh_fec!M13)</f>
        <v>2.465210876830497</v>
      </c>
      <c r="N13" s="136">
        <f>IF(SER_hh_tes!N13=0,"",SER_hh_tes!N13/SER_hh_fec!N13)</f>
        <v>2.628820023867998</v>
      </c>
      <c r="O13" s="136">
        <f>IF(SER_hh_tes!O13=0,"",SER_hh_tes!O13/SER_hh_fec!O13)</f>
        <v>2.8036430897061293</v>
      </c>
      <c r="P13" s="136">
        <f>IF(SER_hh_tes!P13=0,"",SER_hh_tes!P13/SER_hh_fec!P13)</f>
        <v>2.9810189106055747</v>
      </c>
      <c r="Q13" s="136">
        <f>IF(SER_hh_tes!Q13=0,"",SER_hh_tes!Q13/SER_hh_fec!Q13)</f>
        <v>3.1273671410223574</v>
      </c>
      <c r="R13" s="136">
        <f>IF(SER_hh_tes!R13=0,"",SER_hh_tes!R13/SER_hh_fec!R13)</f>
        <v>3.2057324454522704</v>
      </c>
      <c r="S13" s="136">
        <f>IF(SER_hh_tes!S13=0,"",SER_hh_tes!S13/SER_hh_fec!S13)</f>
        <v>3.2466569951653752</v>
      </c>
      <c r="T13" s="136">
        <f>IF(SER_hh_tes!T13=0,"",SER_hh_tes!T13/SER_hh_fec!T13)</f>
        <v>3.2792897223941071</v>
      </c>
      <c r="U13" s="136">
        <f>IF(SER_hh_tes!U13=0,"",SER_hh_tes!U13/SER_hh_fec!U13)</f>
        <v>3.3168831176581377</v>
      </c>
      <c r="V13" s="136">
        <f>IF(SER_hh_tes!V13=0,"",SER_hh_tes!V13/SER_hh_fec!V13)</f>
        <v>3.3624287798868</v>
      </c>
      <c r="W13" s="136">
        <f>IF(SER_hh_tes!W13=0,"",SER_hh_tes!W13/SER_hh_fec!W13)</f>
        <v>3.4046697137979649</v>
      </c>
      <c r="X13" s="136">
        <f>IF(SER_hh_tes!X13=0,"",SER_hh_tes!X13/SER_hh_fec!X13)</f>
        <v>3.4409854522130816</v>
      </c>
      <c r="Y13" s="136">
        <f>IF(SER_hh_tes!Y13=0,"",SER_hh_tes!Y13/SER_hh_fec!Y13)</f>
        <v>3.4674145864399333</v>
      </c>
      <c r="DA13" s="163" t="s">
        <v>340</v>
      </c>
    </row>
    <row r="14" spans="1:105" ht="12" customHeight="1" x14ac:dyDescent="0.25">
      <c r="A14" s="60" t="s">
        <v>76</v>
      </c>
      <c r="B14" s="137">
        <f>IF(SER_hh_tes!B14=0,"",SER_hh_tes!B14/SER_hh_fec!B14)</f>
        <v>0.70720464912924808</v>
      </c>
      <c r="C14" s="137">
        <f>IF(SER_hh_tes!C14=0,"",SER_hh_tes!C14/SER_hh_fec!C14)</f>
        <v>0.71030059779313959</v>
      </c>
      <c r="D14" s="137">
        <f>IF(SER_hh_tes!D14=0,"",SER_hh_tes!D14/SER_hh_fec!D14)</f>
        <v>0.71368393266823504</v>
      </c>
      <c r="E14" s="137">
        <f>IF(SER_hh_tes!E14=0,"",SER_hh_tes!E14/SER_hh_fec!E14)</f>
        <v>0.71584414437508448</v>
      </c>
      <c r="F14" s="137">
        <f>IF(SER_hh_tes!F14=0,"",SER_hh_tes!F14/SER_hh_fec!F14)</f>
        <v>0.7194400147661788</v>
      </c>
      <c r="G14" s="137">
        <f>IF(SER_hh_tes!G14=0,"",SER_hh_tes!G14/SER_hh_fec!G14)</f>
        <v>0.72331853475542962</v>
      </c>
      <c r="H14" s="137">
        <f>IF(SER_hh_tes!H14=0,"",SER_hh_tes!H14/SER_hh_fec!H14)</f>
        <v>0.72838488676281554</v>
      </c>
      <c r="I14" s="137">
        <f>IF(SER_hh_tes!I14=0,"",SER_hh_tes!I14/SER_hh_fec!I14)</f>
        <v>0.73350678572393546</v>
      </c>
      <c r="J14" s="137">
        <f>IF(SER_hh_tes!J14=0,"",SER_hh_tes!J14/SER_hh_fec!J14)</f>
        <v>0.73850947225952412</v>
      </c>
      <c r="K14" s="137">
        <f>IF(SER_hh_tes!K14=0,"",SER_hh_tes!K14/SER_hh_fec!K14)</f>
        <v>0.74468191207727663</v>
      </c>
      <c r="L14" s="137">
        <f>IF(SER_hh_tes!L14=0,"",SER_hh_tes!L14/SER_hh_fec!L14)</f>
        <v>0.75138214526445968</v>
      </c>
      <c r="M14" s="137">
        <f>IF(SER_hh_tes!M14=0,"",SER_hh_tes!M14/SER_hh_fec!M14)</f>
        <v>0.75859903476429635</v>
      </c>
      <c r="N14" s="137">
        <f>IF(SER_hh_tes!N14=0,"",SER_hh_tes!N14/SER_hh_fec!N14)</f>
        <v>0.76515749918422837</v>
      </c>
      <c r="O14" s="137">
        <f>IF(SER_hh_tes!O14=0,"",SER_hh_tes!O14/SER_hh_fec!O14)</f>
        <v>0.77030507531830261</v>
      </c>
      <c r="P14" s="137">
        <f>IF(SER_hh_tes!P14=0,"",SER_hh_tes!P14/SER_hh_fec!P14)</f>
        <v>0.77082856262979382</v>
      </c>
      <c r="Q14" s="137">
        <f>IF(SER_hh_tes!Q14=0,"",SER_hh_tes!Q14/SER_hh_fec!Q14)</f>
        <v>0.77134164303109842</v>
      </c>
      <c r="R14" s="137">
        <f>IF(SER_hh_tes!R14=0,"",SER_hh_tes!R14/SER_hh_fec!R14)</f>
        <v>0.77187038870506408</v>
      </c>
      <c r="S14" s="137">
        <f>IF(SER_hh_tes!S14=0,"",SER_hh_tes!S14/SER_hh_fec!S14)</f>
        <v>0.7729740069469585</v>
      </c>
      <c r="T14" s="137">
        <f>IF(SER_hh_tes!T14=0,"",SER_hh_tes!T14/SER_hh_fec!T14)</f>
        <v>0.77624499955491344</v>
      </c>
      <c r="U14" s="137">
        <f>IF(SER_hh_tes!U14=0,"",SER_hh_tes!U14/SER_hh_fec!U14)</f>
        <v>0.78164993086962975</v>
      </c>
      <c r="V14" s="137">
        <f>IF(SER_hh_tes!V14=0,"",SER_hh_tes!V14/SER_hh_fec!V14)</f>
        <v>0.79372728425280126</v>
      </c>
      <c r="W14" s="137">
        <f>IF(SER_hh_tes!W14=0,"",SER_hh_tes!W14/SER_hh_fec!W14)</f>
        <v>0.81993075126427528</v>
      </c>
      <c r="X14" s="137">
        <f>IF(SER_hh_tes!X14=0,"",SER_hh_tes!X14/SER_hh_fec!X14)</f>
        <v>0.84040188606568422</v>
      </c>
      <c r="Y14" s="137">
        <f>IF(SER_hh_tes!Y14=0,"",SER_hh_tes!Y14/SER_hh_fec!Y14)</f>
        <v>0.85798160466556084</v>
      </c>
      <c r="DA14" s="164" t="s">
        <v>341</v>
      </c>
    </row>
    <row r="15" spans="1:105" ht="12" customHeight="1" x14ac:dyDescent="0.25">
      <c r="A15" s="133" t="s">
        <v>80</v>
      </c>
      <c r="B15" s="138">
        <f>IF(SER_hh_tes!B15=0,"",SER_hh_tes!B15/SER_hh_fec!B15)</f>
        <v>1</v>
      </c>
      <c r="C15" s="138">
        <f>IF(SER_hh_tes!C15=0,"",SER_hh_tes!C15/SER_hh_fec!C15)</f>
        <v>1</v>
      </c>
      <c r="D15" s="138">
        <f>IF(SER_hh_tes!D15=0,"",SER_hh_tes!D15/SER_hh_fec!D15)</f>
        <v>1</v>
      </c>
      <c r="E15" s="138">
        <f>IF(SER_hh_tes!E15=0,"",SER_hh_tes!E15/SER_hh_fec!E15)</f>
        <v>1</v>
      </c>
      <c r="F15" s="138">
        <f>IF(SER_hh_tes!F15=0,"",SER_hh_tes!F15/SER_hh_fec!F15)</f>
        <v>1</v>
      </c>
      <c r="G15" s="138">
        <f>IF(SER_hh_tes!G15=0,"",SER_hh_tes!G15/SER_hh_fec!G15)</f>
        <v>1</v>
      </c>
      <c r="H15" s="138">
        <f>IF(SER_hh_tes!H15=0,"",SER_hh_tes!H15/SER_hh_fec!H15)</f>
        <v>1</v>
      </c>
      <c r="I15" s="138">
        <f>IF(SER_hh_tes!I15=0,"",SER_hh_tes!I15/SER_hh_fec!I15)</f>
        <v>1</v>
      </c>
      <c r="J15" s="138">
        <f>IF(SER_hh_tes!J15=0,"",SER_hh_tes!J15/SER_hh_fec!J15)</f>
        <v>1</v>
      </c>
      <c r="K15" s="138">
        <f>IF(SER_hh_tes!K15=0,"",SER_hh_tes!K15/SER_hh_fec!K15)</f>
        <v>1</v>
      </c>
      <c r="L15" s="138">
        <f>IF(SER_hh_tes!L15=0,"",SER_hh_tes!L15/SER_hh_fec!L15)</f>
        <v>1</v>
      </c>
      <c r="M15" s="138">
        <f>IF(SER_hh_tes!M15=0,"",SER_hh_tes!M15/SER_hh_fec!M15)</f>
        <v>1</v>
      </c>
      <c r="N15" s="138">
        <f>IF(SER_hh_tes!N15=0,"",SER_hh_tes!N15/SER_hh_fec!N15)</f>
        <v>1</v>
      </c>
      <c r="O15" s="138">
        <f>IF(SER_hh_tes!O15=0,"",SER_hh_tes!O15/SER_hh_fec!O15)</f>
        <v>1</v>
      </c>
      <c r="P15" s="138">
        <f>IF(SER_hh_tes!P15=0,"",SER_hh_tes!P15/SER_hh_fec!P15)</f>
        <v>1</v>
      </c>
      <c r="Q15" s="138">
        <f>IF(SER_hh_tes!Q15=0,"",SER_hh_tes!Q15/SER_hh_fec!Q15)</f>
        <v>1</v>
      </c>
      <c r="R15" s="138">
        <f>IF(SER_hh_tes!R15=0,"",SER_hh_tes!R15/SER_hh_fec!R15)</f>
        <v>1</v>
      </c>
      <c r="S15" s="138">
        <f>IF(SER_hh_tes!S15=0,"",SER_hh_tes!S15/SER_hh_fec!S15)</f>
        <v>1</v>
      </c>
      <c r="T15" s="138">
        <f>IF(SER_hh_tes!T15=0,"",SER_hh_tes!T15/SER_hh_fec!T15)</f>
        <v>1</v>
      </c>
      <c r="U15" s="138">
        <f>IF(SER_hh_tes!U15=0,"",SER_hh_tes!U15/SER_hh_fec!U15)</f>
        <v>1</v>
      </c>
      <c r="V15" s="138">
        <f>IF(SER_hh_tes!V15=0,"",SER_hh_tes!V15/SER_hh_fec!V15)</f>
        <v>1</v>
      </c>
      <c r="W15" s="138">
        <f>IF(SER_hh_tes!W15=0,"",SER_hh_tes!W15/SER_hh_fec!W15)</f>
        <v>1</v>
      </c>
      <c r="X15" s="138">
        <f>IF(SER_hh_tes!X15=0,"",SER_hh_tes!X15/SER_hh_fec!X15)</f>
        <v>1</v>
      </c>
      <c r="Y15" s="138">
        <f>IF(SER_hh_tes!Y15=0,"",SER_hh_tes!Y15/SER_hh_fec!Y15)</f>
        <v>1</v>
      </c>
      <c r="DA15" s="165" t="s">
        <v>342</v>
      </c>
    </row>
    <row r="16" spans="1:105" ht="12.95" customHeight="1" x14ac:dyDescent="0.25">
      <c r="A16" s="129" t="s">
        <v>74</v>
      </c>
      <c r="B16" s="135">
        <f>IF(SER_hh_tes!B16=0,"",SER_hh_tes!B16/SER_hh_fec!B16)</f>
        <v>1.8543379070530785</v>
      </c>
      <c r="C16" s="135">
        <f>IF(SER_hh_tes!C16=0,"",SER_hh_tes!C16/SER_hh_fec!C16)</f>
        <v>1.9312215630063154</v>
      </c>
      <c r="D16" s="135">
        <f>IF(SER_hh_tes!D16=0,"",SER_hh_tes!D16/SER_hh_fec!D16)</f>
        <v>2.0217427920280966</v>
      </c>
      <c r="E16" s="135">
        <f>IF(SER_hh_tes!E16=0,"",SER_hh_tes!E16/SER_hh_fec!E16)</f>
        <v>2.1064063697398465</v>
      </c>
      <c r="F16" s="135">
        <f>IF(SER_hh_tes!F16=0,"",SER_hh_tes!F16/SER_hh_fec!F16)</f>
        <v>2.2097138012108606</v>
      </c>
      <c r="G16" s="135">
        <f>IF(SER_hh_tes!G16=0,"",SER_hh_tes!G16/SER_hh_fec!G16)</f>
        <v>2.3149712434954153</v>
      </c>
      <c r="H16" s="135">
        <f>IF(SER_hh_tes!H16=0,"",SER_hh_tes!H16/SER_hh_fec!H16)</f>
        <v>2.4497723921257513</v>
      </c>
      <c r="I16" s="135">
        <f>IF(SER_hh_tes!I16=0,"",SER_hh_tes!I16/SER_hh_fec!I16)</f>
        <v>2.5961340011169578</v>
      </c>
      <c r="J16" s="135">
        <f>IF(SER_hh_tes!J16=0,"",SER_hh_tes!J16/SER_hh_fec!J16)</f>
        <v>2.7426184430257639</v>
      </c>
      <c r="K16" s="135">
        <f>IF(SER_hh_tes!K16=0,"",SER_hh_tes!K16/SER_hh_fec!K16)</f>
        <v>2.7990496978891324</v>
      </c>
      <c r="L16" s="135">
        <f>IF(SER_hh_tes!L16=0,"",SER_hh_tes!L16/SER_hh_fec!L16)</f>
        <v>2.8752389311599029</v>
      </c>
      <c r="M16" s="135">
        <f>IF(SER_hh_tes!M16=0,"",SER_hh_tes!M16/SER_hh_fec!M16)</f>
        <v>2.9804570726905344</v>
      </c>
      <c r="N16" s="135">
        <f>IF(SER_hh_tes!N16=0,"",SER_hh_tes!N16/SER_hh_fec!N16)</f>
        <v>3.0820761089617972</v>
      </c>
      <c r="O16" s="135">
        <f>IF(SER_hh_tes!O16=0,"",SER_hh_tes!O16/SER_hh_fec!O16)</f>
        <v>3.1800484439699024</v>
      </c>
      <c r="P16" s="135">
        <f>IF(SER_hh_tes!P16=0,"",SER_hh_tes!P16/SER_hh_fec!P16)</f>
        <v>3.2919913609748068</v>
      </c>
      <c r="Q16" s="135">
        <f>IF(SER_hh_tes!Q16=0,"",SER_hh_tes!Q16/SER_hh_fec!Q16)</f>
        <v>3.4055790766495053</v>
      </c>
      <c r="R16" s="135">
        <f>IF(SER_hh_tes!R16=0,"",SER_hh_tes!R16/SER_hh_fec!R16)</f>
        <v>3.5321584089587494</v>
      </c>
      <c r="S16" s="135">
        <f>IF(SER_hh_tes!S16=0,"",SER_hh_tes!S16/SER_hh_fec!S16)</f>
        <v>3.6528900737780718</v>
      </c>
      <c r="T16" s="135">
        <f>IF(SER_hh_tes!T16=0,"",SER_hh_tes!T16/SER_hh_fec!T16)</f>
        <v>3.7595708368372676</v>
      </c>
      <c r="U16" s="135">
        <f>IF(SER_hh_tes!U16=0,"",SER_hh_tes!U16/SER_hh_fec!U16)</f>
        <v>3.8579803643062176</v>
      </c>
      <c r="V16" s="135">
        <f>IF(SER_hh_tes!V16=0,"",SER_hh_tes!V16/SER_hh_fec!V16)</f>
        <v>3.9530286163769683</v>
      </c>
      <c r="W16" s="135">
        <f>IF(SER_hh_tes!W16=0,"",SER_hh_tes!W16/SER_hh_fec!W16)</f>
        <v>4.0402363351414499</v>
      </c>
      <c r="X16" s="135">
        <f>IF(SER_hh_tes!X16=0,"",SER_hh_tes!X16/SER_hh_fec!X16)</f>
        <v>4.0980476391013667</v>
      </c>
      <c r="Y16" s="135">
        <f>IF(SER_hh_tes!Y16=0,"",SER_hh_tes!Y16/SER_hh_fec!Y16)</f>
        <v>4.1354556347425522</v>
      </c>
      <c r="DA16" s="162" t="s">
        <v>241</v>
      </c>
    </row>
    <row r="17" spans="1:105" ht="12.95" customHeight="1" x14ac:dyDescent="0.25">
      <c r="A17" s="131" t="s">
        <v>73</v>
      </c>
      <c r="B17" s="136">
        <f>IF(SER_hh_tes!B17=0,"",SER_hh_tes!B17/SER_hh_fec!B17)</f>
        <v>1.1042928072253058</v>
      </c>
      <c r="C17" s="136">
        <f>IF(SER_hh_tes!C17=0,"",SER_hh_tes!C17/SER_hh_fec!C17)</f>
        <v>1.1422038095302469</v>
      </c>
      <c r="D17" s="136">
        <f>IF(SER_hh_tes!D17=0,"",SER_hh_tes!D17/SER_hh_fec!D17)</f>
        <v>1.1537951498158276</v>
      </c>
      <c r="E17" s="136">
        <f>IF(SER_hh_tes!E17=0,"",SER_hh_tes!E17/SER_hh_fec!E17)</f>
        <v>1.1777476205786992</v>
      </c>
      <c r="F17" s="136">
        <f>IF(SER_hh_tes!F17=0,"",SER_hh_tes!F17/SER_hh_fec!F17)</f>
        <v>1.200290542973514</v>
      </c>
      <c r="G17" s="136">
        <f>IF(SER_hh_tes!G17=0,"",SER_hh_tes!G17/SER_hh_fec!G17)</f>
        <v>1.213630168018379</v>
      </c>
      <c r="H17" s="136">
        <f>IF(SER_hh_tes!H17=0,"",SER_hh_tes!H17/SER_hh_fec!H17)</f>
        <v>1.2330122060835922</v>
      </c>
      <c r="I17" s="136">
        <f>IF(SER_hh_tes!I17=0,"",SER_hh_tes!I17/SER_hh_fec!I17)</f>
        <v>1.2508193353973238</v>
      </c>
      <c r="J17" s="136">
        <f>IF(SER_hh_tes!J17=0,"",SER_hh_tes!J17/SER_hh_fec!J17)</f>
        <v>1.2687066172906289</v>
      </c>
      <c r="K17" s="136">
        <f>IF(SER_hh_tes!K17=0,"",SER_hh_tes!K17/SER_hh_fec!K17)</f>
        <v>1.2852529584575554</v>
      </c>
      <c r="L17" s="136">
        <f>IF(SER_hh_tes!L17=0,"",SER_hh_tes!L17/SER_hh_fec!L17)</f>
        <v>1.300903686589564</v>
      </c>
      <c r="M17" s="136">
        <f>IF(SER_hh_tes!M17=0,"",SER_hh_tes!M17/SER_hh_fec!M17)</f>
        <v>1.3174174209493972</v>
      </c>
      <c r="N17" s="136">
        <f>IF(SER_hh_tes!N17=0,"",SER_hh_tes!N17/SER_hh_fec!N17)</f>
        <v>1.3319527238791729</v>
      </c>
      <c r="O17" s="136">
        <f>IF(SER_hh_tes!O17=0,"",SER_hh_tes!O17/SER_hh_fec!O17)</f>
        <v>1.3518134246563651</v>
      </c>
      <c r="P17" s="136">
        <f>IF(SER_hh_tes!P17=0,"",SER_hh_tes!P17/SER_hh_fec!P17)</f>
        <v>1.371076038496601</v>
      </c>
      <c r="Q17" s="136">
        <f>IF(SER_hh_tes!Q17=0,"",SER_hh_tes!Q17/SER_hh_fec!Q17)</f>
        <v>1.3877908432556403</v>
      </c>
      <c r="R17" s="136">
        <f>IF(SER_hh_tes!R17=0,"",SER_hh_tes!R17/SER_hh_fec!R17)</f>
        <v>1.4077968155444673</v>
      </c>
      <c r="S17" s="136">
        <f>IF(SER_hh_tes!S17=0,"",SER_hh_tes!S17/SER_hh_fec!S17)</f>
        <v>1.4282801976352779</v>
      </c>
      <c r="T17" s="136">
        <f>IF(SER_hh_tes!T17=0,"",SER_hh_tes!T17/SER_hh_fec!T17)</f>
        <v>1.4501230135800309</v>
      </c>
      <c r="U17" s="136">
        <f>IF(SER_hh_tes!U17=0,"",SER_hh_tes!U17/SER_hh_fec!U17)</f>
        <v>1.473508162412394</v>
      </c>
      <c r="V17" s="136">
        <f>IF(SER_hh_tes!V17=0,"",SER_hh_tes!V17/SER_hh_fec!V17)</f>
        <v>1.4972761788814857</v>
      </c>
      <c r="W17" s="136">
        <f>IF(SER_hh_tes!W17=0,"",SER_hh_tes!W17/SER_hh_fec!W17)</f>
        <v>1.5202709596508344</v>
      </c>
      <c r="X17" s="136">
        <f>IF(SER_hh_tes!X17=0,"",SER_hh_tes!X17/SER_hh_fec!X17)</f>
        <v>1.5454170846721651</v>
      </c>
      <c r="Y17" s="136">
        <f>IF(SER_hh_tes!Y17=0,"",SER_hh_tes!Y17/SER_hh_fec!Y17)</f>
        <v>1.5697317065817022</v>
      </c>
      <c r="DA17" s="163" t="s">
        <v>343</v>
      </c>
    </row>
    <row r="18" spans="1:105" ht="12" customHeight="1" x14ac:dyDescent="0.25">
      <c r="A18" s="131" t="s">
        <v>72</v>
      </c>
      <c r="B18" s="136">
        <f>IF(SER_hh_tes!B18=0,"",SER_hh_tes!B18/SER_hh_fec!B18)</f>
        <v>1.8565107306667061</v>
      </c>
      <c r="C18" s="136">
        <f>IF(SER_hh_tes!C18=0,"",SER_hh_tes!C18/SER_hh_fec!C18)</f>
        <v>1.9346936872059302</v>
      </c>
      <c r="D18" s="136">
        <f>IF(SER_hh_tes!D18=0,"",SER_hh_tes!D18/SER_hh_fec!D18)</f>
        <v>2.0256344832180879</v>
      </c>
      <c r="E18" s="136">
        <f>IF(SER_hh_tes!E18=0,"",SER_hh_tes!E18/SER_hh_fec!E18)</f>
        <v>2.1117794823271323</v>
      </c>
      <c r="F18" s="136">
        <f>IF(SER_hh_tes!F18=0,"",SER_hh_tes!F18/SER_hh_fec!F18)</f>
        <v>2.2172307459097764</v>
      </c>
      <c r="G18" s="136">
        <f>IF(SER_hh_tes!G18=0,"",SER_hh_tes!G18/SER_hh_fec!G18)</f>
        <v>2.3240942372950664</v>
      </c>
      <c r="H18" s="136">
        <f>IF(SER_hh_tes!H18=0,"",SER_hh_tes!H18/SER_hh_fec!H18)</f>
        <v>2.4617330935665191</v>
      </c>
      <c r="I18" s="136">
        <f>IF(SER_hh_tes!I18=0,"",SER_hh_tes!I18/SER_hh_fec!I18)</f>
        <v>2.6113350861956288</v>
      </c>
      <c r="J18" s="136">
        <f>IF(SER_hh_tes!J18=0,"",SER_hh_tes!J18/SER_hh_fec!J18)</f>
        <v>2.7623683767070264</v>
      </c>
      <c r="K18" s="136">
        <f>IF(SER_hh_tes!K18=0,"",SER_hh_tes!K18/SER_hh_fec!K18)</f>
        <v>2.8230570368945385</v>
      </c>
      <c r="L18" s="136">
        <f>IF(SER_hh_tes!L18=0,"",SER_hh_tes!L18/SER_hh_fec!L18)</f>
        <v>2.9036323966720157</v>
      </c>
      <c r="M18" s="136">
        <f>IF(SER_hh_tes!M18=0,"",SER_hh_tes!M18/SER_hh_fec!M18)</f>
        <v>3.0136308917429142</v>
      </c>
      <c r="N18" s="136">
        <f>IF(SER_hh_tes!N18=0,"",SER_hh_tes!N18/SER_hh_fec!N18)</f>
        <v>3.1202418049434728</v>
      </c>
      <c r="O18" s="136">
        <f>IF(SER_hh_tes!O18=0,"",SER_hh_tes!O18/SER_hh_fec!O18)</f>
        <v>3.2255843079186906</v>
      </c>
      <c r="P18" s="136">
        <f>IF(SER_hh_tes!P18=0,"",SER_hh_tes!P18/SER_hh_fec!P18)</f>
        <v>3.3455648069730617</v>
      </c>
      <c r="Q18" s="136">
        <f>IF(SER_hh_tes!Q18=0,"",SER_hh_tes!Q18/SER_hh_fec!Q18)</f>
        <v>3.4672092113582549</v>
      </c>
      <c r="R18" s="136">
        <f>IF(SER_hh_tes!R18=0,"",SER_hh_tes!R18/SER_hh_fec!R18)</f>
        <v>3.6050218000457224</v>
      </c>
      <c r="S18" s="136">
        <f>IF(SER_hh_tes!S18=0,"",SER_hh_tes!S18/SER_hh_fec!S18)</f>
        <v>3.7347173805726843</v>
      </c>
      <c r="T18" s="136">
        <f>IF(SER_hh_tes!T18=0,"",SER_hh_tes!T18/SER_hh_fec!T18)</f>
        <v>3.8493545750399725</v>
      </c>
      <c r="U18" s="136">
        <f>IF(SER_hh_tes!U18=0,"",SER_hh_tes!U18/SER_hh_fec!U18)</f>
        <v>3.9532623345708946</v>
      </c>
      <c r="V18" s="136">
        <f>IF(SER_hh_tes!V18=0,"",SER_hh_tes!V18/SER_hh_fec!V18)</f>
        <v>4.053910824693963</v>
      </c>
      <c r="W18" s="136">
        <f>IF(SER_hh_tes!W18=0,"",SER_hh_tes!W18/SER_hh_fec!W18)</f>
        <v>4.1441005359416039</v>
      </c>
      <c r="X18" s="136">
        <f>IF(SER_hh_tes!X18=0,"",SER_hh_tes!X18/SER_hh_fec!X18)</f>
        <v>4.2113138805794987</v>
      </c>
      <c r="Y18" s="136">
        <f>IF(SER_hh_tes!Y18=0,"",SER_hh_tes!Y18/SER_hh_fec!Y18)</f>
        <v>4.2663671714018019</v>
      </c>
      <c r="DA18" s="163" t="s">
        <v>344</v>
      </c>
    </row>
    <row r="19" spans="1:105" ht="12.95" customHeight="1" x14ac:dyDescent="0.25">
      <c r="A19" s="129" t="s">
        <v>35</v>
      </c>
      <c r="B19" s="135">
        <f>IF(SER_hh_tes!B19=0,"",SER_hh_tes!B19/SER_hh_fec!B19)</f>
        <v>0.59608150219187306</v>
      </c>
      <c r="C19" s="135">
        <f>IF(SER_hh_tes!C19=0,"",SER_hh_tes!C19/SER_hh_fec!C19)</f>
        <v>0.60097620183354139</v>
      </c>
      <c r="D19" s="135">
        <f>IF(SER_hh_tes!D19=0,"",SER_hh_tes!D19/SER_hh_fec!D19)</f>
        <v>0.60662787475151836</v>
      </c>
      <c r="E19" s="135">
        <f>IF(SER_hh_tes!E19=0,"",SER_hh_tes!E19/SER_hh_fec!E19)</f>
        <v>0.61069035572859598</v>
      </c>
      <c r="F19" s="135">
        <f>IF(SER_hh_tes!F19=0,"",SER_hh_tes!F19/SER_hh_fec!F19)</f>
        <v>0.61721118787903917</v>
      </c>
      <c r="G19" s="135">
        <f>IF(SER_hh_tes!G19=0,"",SER_hh_tes!G19/SER_hh_fec!G19)</f>
        <v>0.62036575060867827</v>
      </c>
      <c r="H19" s="135">
        <f>IF(SER_hh_tes!H19=0,"",SER_hh_tes!H19/SER_hh_fec!H19)</f>
        <v>0.62616201248724701</v>
      </c>
      <c r="I19" s="135">
        <f>IF(SER_hh_tes!I19=0,"",SER_hh_tes!I19/SER_hh_fec!I19)</f>
        <v>0.63378313652870188</v>
      </c>
      <c r="J19" s="135">
        <f>IF(SER_hh_tes!J19=0,"",SER_hh_tes!J19/SER_hh_fec!J19)</f>
        <v>0.63897435010019832</v>
      </c>
      <c r="K19" s="135">
        <f>IF(SER_hh_tes!K19=0,"",SER_hh_tes!K19/SER_hh_fec!K19)</f>
        <v>0.64575665952063277</v>
      </c>
      <c r="L19" s="135">
        <f>IF(SER_hh_tes!L19=0,"",SER_hh_tes!L19/SER_hh_fec!L19)</f>
        <v>0.65457766691061092</v>
      </c>
      <c r="M19" s="135">
        <f>IF(SER_hh_tes!M19=0,"",SER_hh_tes!M19/SER_hh_fec!M19)</f>
        <v>0.66259120669065863</v>
      </c>
      <c r="N19" s="135">
        <f>IF(SER_hh_tes!N19=0,"",SER_hh_tes!N19/SER_hh_fec!N19)</f>
        <v>0.67217621759506752</v>
      </c>
      <c r="O19" s="135">
        <f>IF(SER_hh_tes!O19=0,"",SER_hh_tes!O19/SER_hh_fec!O19)</f>
        <v>0.68327860048163147</v>
      </c>
      <c r="P19" s="135">
        <f>IF(SER_hh_tes!P19=0,"",SER_hh_tes!P19/SER_hh_fec!P19)</f>
        <v>0.6894101444889289</v>
      </c>
      <c r="Q19" s="135">
        <f>IF(SER_hh_tes!Q19=0,"",SER_hh_tes!Q19/SER_hh_fec!Q19)</f>
        <v>0.69630336000927495</v>
      </c>
      <c r="R19" s="135">
        <f>IF(SER_hh_tes!R19=0,"",SER_hh_tes!R19/SER_hh_fec!R19)</f>
        <v>0.70527308677553757</v>
      </c>
      <c r="S19" s="135">
        <f>IF(SER_hh_tes!S19=0,"",SER_hh_tes!S19/SER_hh_fec!S19)</f>
        <v>0.71549125397877467</v>
      </c>
      <c r="T19" s="135">
        <f>IF(SER_hh_tes!T19=0,"",SER_hh_tes!T19/SER_hh_fec!T19)</f>
        <v>0.7264305543468772</v>
      </c>
      <c r="U19" s="135">
        <f>IF(SER_hh_tes!U19=0,"",SER_hh_tes!U19/SER_hh_fec!U19)</f>
        <v>0.74200046880176451</v>
      </c>
      <c r="V19" s="135">
        <f>IF(SER_hh_tes!V19=0,"",SER_hh_tes!V19/SER_hh_fec!V19)</f>
        <v>0.75479272999815461</v>
      </c>
      <c r="W19" s="135">
        <f>IF(SER_hh_tes!W19=0,"",SER_hh_tes!W19/SER_hh_fec!W19)</f>
        <v>0.77170073112675286</v>
      </c>
      <c r="X19" s="135">
        <f>IF(SER_hh_tes!X19=0,"",SER_hh_tes!X19/SER_hh_fec!X19)</f>
        <v>0.7874807930437111</v>
      </c>
      <c r="Y19" s="135">
        <f>IF(SER_hh_tes!Y19=0,"",SER_hh_tes!Y19/SER_hh_fec!Y19)</f>
        <v>0.80072219415608215</v>
      </c>
      <c r="DA19" s="162" t="s">
        <v>242</v>
      </c>
    </row>
    <row r="20" spans="1:105" ht="12" customHeight="1" x14ac:dyDescent="0.25">
      <c r="A20" s="131" t="s">
        <v>29</v>
      </c>
      <c r="B20" s="136" t="str">
        <f>IF(SER_hh_tes!B20=0,"",SER_hh_tes!B20/SER_hh_fec!B20)</f>
        <v/>
      </c>
      <c r="C20" s="136" t="str">
        <f>IF(SER_hh_tes!C20=0,"",SER_hh_tes!C20/SER_hh_fec!C20)</f>
        <v/>
      </c>
      <c r="D20" s="136" t="str">
        <f>IF(SER_hh_tes!D20=0,"",SER_hh_tes!D20/SER_hh_fec!D20)</f>
        <v/>
      </c>
      <c r="E20" s="136" t="str">
        <f>IF(SER_hh_tes!E20=0,"",SER_hh_tes!E20/SER_hh_fec!E20)</f>
        <v/>
      </c>
      <c r="F20" s="136" t="str">
        <f>IF(SER_hh_tes!F20=0,"",SER_hh_tes!F20/SER_hh_fec!F20)</f>
        <v/>
      </c>
      <c r="G20" s="136" t="str">
        <f>IF(SER_hh_tes!G20=0,"",SER_hh_tes!G20/SER_hh_fec!G20)</f>
        <v/>
      </c>
      <c r="H20" s="136" t="str">
        <f>IF(SER_hh_tes!H20=0,"",SER_hh_tes!H20/SER_hh_fec!H20)</f>
        <v/>
      </c>
      <c r="I20" s="136" t="str">
        <f>IF(SER_hh_tes!I20=0,"",SER_hh_tes!I20/SER_hh_fec!I20)</f>
        <v/>
      </c>
      <c r="J20" s="136" t="str">
        <f>IF(SER_hh_tes!J20=0,"",SER_hh_tes!J20/SER_hh_fec!J20)</f>
        <v/>
      </c>
      <c r="K20" s="136" t="str">
        <f>IF(SER_hh_tes!K20=0,"",SER_hh_tes!K20/SER_hh_fec!K20)</f>
        <v/>
      </c>
      <c r="L20" s="136" t="str">
        <f>IF(SER_hh_tes!L20=0,"",SER_hh_tes!L20/SER_hh_fec!L20)</f>
        <v/>
      </c>
      <c r="M20" s="136" t="str">
        <f>IF(SER_hh_tes!M20=0,"",SER_hh_tes!M20/SER_hh_fec!M20)</f>
        <v/>
      </c>
      <c r="N20" s="136" t="str">
        <f>IF(SER_hh_tes!N20=0,"",SER_hh_tes!N20/SER_hh_fec!N20)</f>
        <v/>
      </c>
      <c r="O20" s="136" t="str">
        <f>IF(SER_hh_tes!O20=0,"",SER_hh_tes!O20/SER_hh_fec!O20)</f>
        <v/>
      </c>
      <c r="P20" s="136" t="str">
        <f>IF(SER_hh_tes!P20=0,"",SER_hh_tes!P20/SER_hh_fec!P20)</f>
        <v/>
      </c>
      <c r="Q20" s="136" t="str">
        <f>IF(SER_hh_tes!Q20=0,"",SER_hh_tes!Q20/SER_hh_fec!Q20)</f>
        <v/>
      </c>
      <c r="R20" s="136" t="str">
        <f>IF(SER_hh_tes!R20=0,"",SER_hh_tes!R20/SER_hh_fec!R20)</f>
        <v/>
      </c>
      <c r="S20" s="136" t="str">
        <f>IF(SER_hh_tes!S20=0,"",SER_hh_tes!S20/SER_hh_fec!S20)</f>
        <v/>
      </c>
      <c r="T20" s="136" t="str">
        <f>IF(SER_hh_tes!T20=0,"",SER_hh_tes!T20/SER_hh_fec!T20)</f>
        <v/>
      </c>
      <c r="U20" s="136" t="str">
        <f>IF(SER_hh_tes!U20=0,"",SER_hh_tes!U20/SER_hh_fec!U20)</f>
        <v/>
      </c>
      <c r="V20" s="136" t="str">
        <f>IF(SER_hh_tes!V20=0,"",SER_hh_tes!V20/SER_hh_fec!V20)</f>
        <v/>
      </c>
      <c r="W20" s="136" t="str">
        <f>IF(SER_hh_tes!W20=0,"",SER_hh_tes!W20/SER_hh_fec!W20)</f>
        <v/>
      </c>
      <c r="X20" s="136" t="str">
        <f>IF(SER_hh_tes!X20=0,"",SER_hh_tes!X20/SER_hh_fec!X20)</f>
        <v/>
      </c>
      <c r="Y20" s="136" t="str">
        <f>IF(SER_hh_tes!Y20=0,"",SER_hh_tes!Y20/SER_hh_fec!Y20)</f>
        <v/>
      </c>
      <c r="DA20" s="163" t="s">
        <v>345</v>
      </c>
    </row>
    <row r="21" spans="1:105" s="2" customFormat="1" ht="12" customHeight="1" x14ac:dyDescent="0.25">
      <c r="A21" s="131" t="s">
        <v>52</v>
      </c>
      <c r="B21" s="136">
        <f>IF(SER_hh_tes!B21=0,"",SER_hh_tes!B21/SER_hh_fec!B21)</f>
        <v>0.55941567926799551</v>
      </c>
      <c r="C21" s="136">
        <f>IF(SER_hh_tes!C21=0,"",SER_hh_tes!C21/SER_hh_fec!C21)</f>
        <v>0.56043578967448282</v>
      </c>
      <c r="D21" s="136">
        <f>IF(SER_hh_tes!D21=0,"",SER_hh_tes!D21/SER_hh_fec!D21)</f>
        <v>0.56099959205152339</v>
      </c>
      <c r="E21" s="136">
        <f>IF(SER_hh_tes!E21=0,"",SER_hh_tes!E21/SER_hh_fec!E21)</f>
        <v>0.56200575724002744</v>
      </c>
      <c r="F21" s="136">
        <f>IF(SER_hh_tes!F21=0,"",SER_hh_tes!F21/SER_hh_fec!F21)</f>
        <v>0.56363970580588685</v>
      </c>
      <c r="G21" s="136">
        <f>IF(SER_hh_tes!G21=0,"",SER_hh_tes!G21/SER_hh_fec!G21)</f>
        <v>0.56583159381648229</v>
      </c>
      <c r="H21" s="136">
        <f>IF(SER_hh_tes!H21=0,"",SER_hh_tes!H21/SER_hh_fec!H21)</f>
        <v>0.56818011201026575</v>
      </c>
      <c r="I21" s="136">
        <f>IF(SER_hh_tes!I21=0,"",SER_hh_tes!I21/SER_hh_fec!I21)</f>
        <v>0.57019186057747362</v>
      </c>
      <c r="J21" s="136">
        <f>IF(SER_hh_tes!J21=0,"",SER_hh_tes!J21/SER_hh_fec!J21)</f>
        <v>0.5729403732776418</v>
      </c>
      <c r="K21" s="136">
        <f>IF(SER_hh_tes!K21=0,"",SER_hh_tes!K21/SER_hh_fec!K21)</f>
        <v>0.57610076841190216</v>
      </c>
      <c r="L21" s="136">
        <f>IF(SER_hh_tes!L21=0,"",SER_hh_tes!L21/SER_hh_fec!L21)</f>
        <v>0.58038638371539608</v>
      </c>
      <c r="M21" s="136">
        <f>IF(SER_hh_tes!M21=0,"",SER_hh_tes!M21/SER_hh_fec!M21)</f>
        <v>0.58627988297143707</v>
      </c>
      <c r="N21" s="136">
        <f>IF(SER_hh_tes!N21=0,"",SER_hh_tes!N21/SER_hh_fec!N21)</f>
        <v>0.59394034410711871</v>
      </c>
      <c r="O21" s="136">
        <f>IF(SER_hh_tes!O21=0,"",SER_hh_tes!O21/SER_hh_fec!O21)</f>
        <v>0.603379248125956</v>
      </c>
      <c r="P21" s="136">
        <f>IF(SER_hh_tes!P21=0,"",SER_hh_tes!P21/SER_hh_fec!P21)</f>
        <v>0.60418855566245722</v>
      </c>
      <c r="Q21" s="136">
        <f>IF(SER_hh_tes!Q21=0,"",SER_hh_tes!Q21/SER_hh_fec!Q21)</f>
        <v>0.60466243049025181</v>
      </c>
      <c r="R21" s="136">
        <f>IF(SER_hh_tes!R21=0,"",SER_hh_tes!R21/SER_hh_fec!R21)</f>
        <v>0.6121888745686368</v>
      </c>
      <c r="S21" s="136">
        <f>IF(SER_hh_tes!S21=0,"",SER_hh_tes!S21/SER_hh_fec!S21)</f>
        <v>0.63086557281300826</v>
      </c>
      <c r="T21" s="136">
        <f>IF(SER_hh_tes!T21=0,"",SER_hh_tes!T21/SER_hh_fec!T21)</f>
        <v>0.64841256705517969</v>
      </c>
      <c r="U21" s="136">
        <f>IF(SER_hh_tes!U21=0,"",SER_hh_tes!U21/SER_hh_fec!U21)</f>
        <v>0.66833314205126026</v>
      </c>
      <c r="V21" s="136">
        <f>IF(SER_hh_tes!V21=0,"",SER_hh_tes!V21/SER_hh_fec!V21)</f>
        <v>0.68725580565040678</v>
      </c>
      <c r="W21" s="136">
        <f>IF(SER_hh_tes!W21=0,"",SER_hh_tes!W21/SER_hh_fec!W21)</f>
        <v>0.70545392613789037</v>
      </c>
      <c r="X21" s="136">
        <f>IF(SER_hh_tes!X21=0,"",SER_hh_tes!X21/SER_hh_fec!X21)</f>
        <v>0.72249192371832527</v>
      </c>
      <c r="Y21" s="136">
        <f>IF(SER_hh_tes!Y21=0,"",SER_hh_tes!Y21/SER_hh_fec!Y21)</f>
        <v>0.74065926841134022</v>
      </c>
      <c r="DA21" s="163" t="s">
        <v>346</v>
      </c>
    </row>
    <row r="22" spans="1:105" ht="12" customHeight="1" x14ac:dyDescent="0.25">
      <c r="A22" s="131" t="s">
        <v>161</v>
      </c>
      <c r="B22" s="136">
        <f>IF(SER_hh_tes!B22=0,"",SER_hh_tes!B22/SER_hh_fec!B22)</f>
        <v>0.52718707399194031</v>
      </c>
      <c r="C22" s="136">
        <f>IF(SER_hh_tes!C22=0,"",SER_hh_tes!C22/SER_hh_fec!C22)</f>
        <v>0.52732299266530003</v>
      </c>
      <c r="D22" s="136">
        <f>IF(SER_hh_tes!D22=0,"",SER_hh_tes!D22/SER_hh_fec!D22)</f>
        <v>0.52733545290980188</v>
      </c>
      <c r="E22" s="136">
        <f>IF(SER_hh_tes!E22=0,"",SER_hh_tes!E22/SER_hh_fec!E22)</f>
        <v>0.52734641908957047</v>
      </c>
      <c r="F22" s="136">
        <f>IF(SER_hh_tes!F22=0,"",SER_hh_tes!F22/SER_hh_fec!F22)</f>
        <v>0.52735934339229518</v>
      </c>
      <c r="G22" s="136">
        <f>IF(SER_hh_tes!G22=0,"",SER_hh_tes!G22/SER_hh_fec!G22)</f>
        <v>0.52828773681001451</v>
      </c>
      <c r="H22" s="136">
        <f>IF(SER_hh_tes!H22=0,"",SER_hh_tes!H22/SER_hh_fec!H22)</f>
        <v>0.53083446825441405</v>
      </c>
      <c r="I22" s="136">
        <f>IF(SER_hh_tes!I22=0,"",SER_hh_tes!I22/SER_hh_fec!I22)</f>
        <v>0.53370762277225481</v>
      </c>
      <c r="J22" s="136">
        <f>IF(SER_hh_tes!J22=0,"",SER_hh_tes!J22/SER_hh_fec!J22)</f>
        <v>0.5370652880661263</v>
      </c>
      <c r="K22" s="136">
        <f>IF(SER_hh_tes!K22=0,"",SER_hh_tes!K22/SER_hh_fec!K22)</f>
        <v>0.5404945854072406</v>
      </c>
      <c r="L22" s="136">
        <f>IF(SER_hh_tes!L22=0,"",SER_hh_tes!L22/SER_hh_fec!L22)</f>
        <v>0.54588621745981336</v>
      </c>
      <c r="M22" s="136">
        <f>IF(SER_hh_tes!M22=0,"",SER_hh_tes!M22/SER_hh_fec!M22)</f>
        <v>0.55528141859203406</v>
      </c>
      <c r="N22" s="136">
        <f>IF(SER_hh_tes!N22=0,"",SER_hh_tes!N22/SER_hh_fec!N22)</f>
        <v>0.5703052732522047</v>
      </c>
      <c r="O22" s="136">
        <f>IF(SER_hh_tes!O22=0,"",SER_hh_tes!O22/SER_hh_fec!O22)</f>
        <v>0.58773696090293881</v>
      </c>
      <c r="P22" s="136">
        <f>IF(SER_hh_tes!P22=0,"",SER_hh_tes!P22/SER_hh_fec!P22)</f>
        <v>0.58818405521811579</v>
      </c>
      <c r="Q22" s="136">
        <f>IF(SER_hh_tes!Q22=0,"",SER_hh_tes!Q22/SER_hh_fec!Q22)</f>
        <v>0.58847654895782642</v>
      </c>
      <c r="R22" s="136">
        <f>IF(SER_hh_tes!R22=0,"",SER_hh_tes!R22/SER_hh_fec!R22)</f>
        <v>0.58883135448257784</v>
      </c>
      <c r="S22" s="136">
        <f>IF(SER_hh_tes!S22=0,"",SER_hh_tes!S22/SER_hh_fec!S22)</f>
        <v>0.58947474915078557</v>
      </c>
      <c r="T22" s="136">
        <f>IF(SER_hh_tes!T22=0,"",SER_hh_tes!T22/SER_hh_fec!T22)</f>
        <v>0.59057781686700817</v>
      </c>
      <c r="U22" s="136">
        <f>IF(SER_hh_tes!U22=0,"",SER_hh_tes!U22/SER_hh_fec!U22)</f>
        <v>0.59220398081926318</v>
      </c>
      <c r="V22" s="136">
        <f>IF(SER_hh_tes!V22=0,"",SER_hh_tes!V22/SER_hh_fec!V22)</f>
        <v>0.59446777201288969</v>
      </c>
      <c r="W22" s="136">
        <f>IF(SER_hh_tes!W22=0,"",SER_hh_tes!W22/SER_hh_fec!W22)</f>
        <v>0.60699261191119136</v>
      </c>
      <c r="X22" s="136">
        <f>IF(SER_hh_tes!X22=0,"",SER_hh_tes!X22/SER_hh_fec!X22)</f>
        <v>0.63262084587283041</v>
      </c>
      <c r="Y22" s="136">
        <f>IF(SER_hh_tes!Y22=0,"",SER_hh_tes!Y22/SER_hh_fec!Y22)</f>
        <v>0.66207017023434866</v>
      </c>
      <c r="DA22" s="163" t="s">
        <v>347</v>
      </c>
    </row>
    <row r="23" spans="1:105" ht="12" customHeight="1" x14ac:dyDescent="0.25">
      <c r="A23" s="131" t="s">
        <v>149</v>
      </c>
      <c r="B23" s="136">
        <f>IF(SER_hh_tes!B23=0,"",SER_hh_tes!B23/SER_hh_fec!B23)</f>
        <v>0.53903157767946808</v>
      </c>
      <c r="C23" s="136">
        <f>IF(SER_hh_tes!C23=0,"",SER_hh_tes!C23/SER_hh_fec!C23)</f>
        <v>0.54306624838921613</v>
      </c>
      <c r="D23" s="136">
        <f>IF(SER_hh_tes!D23=0,"",SER_hh_tes!D23/SER_hh_fec!D23)</f>
        <v>0.54775882294273914</v>
      </c>
      <c r="E23" s="136">
        <f>IF(SER_hh_tes!E23=0,"",SER_hh_tes!E23/SER_hh_fec!E23)</f>
        <v>0.5529904104524358</v>
      </c>
      <c r="F23" s="136">
        <f>IF(SER_hh_tes!F23=0,"",SER_hh_tes!F23/SER_hh_fec!F23)</f>
        <v>0.55851487791450916</v>
      </c>
      <c r="G23" s="136">
        <f>IF(SER_hh_tes!G23=0,"",SER_hh_tes!G23/SER_hh_fec!G23)</f>
        <v>0.56483287807474747</v>
      </c>
      <c r="H23" s="136">
        <f>IF(SER_hh_tes!H23=0,"",SER_hh_tes!H23/SER_hh_fec!H23)</f>
        <v>0.57133419763209092</v>
      </c>
      <c r="I23" s="136">
        <f>IF(SER_hh_tes!I23=0,"",SER_hh_tes!I23/SER_hh_fec!I23)</f>
        <v>0.578235964760062</v>
      </c>
      <c r="J23" s="136">
        <f>IF(SER_hh_tes!J23=0,"",SER_hh_tes!J23/SER_hh_fec!J23)</f>
        <v>0.5858972705295068</v>
      </c>
      <c r="K23" s="136">
        <f>IF(SER_hh_tes!K23=0,"",SER_hh_tes!K23/SER_hh_fec!K23)</f>
        <v>0.59422120818872559</v>
      </c>
      <c r="L23" s="136">
        <f>IF(SER_hh_tes!L23=0,"",SER_hh_tes!L23/SER_hh_fec!L23)</f>
        <v>0.60324652689934199</v>
      </c>
      <c r="M23" s="136">
        <f>IF(SER_hh_tes!M23=0,"",SER_hh_tes!M23/SER_hh_fec!M23)</f>
        <v>0.61382270153408591</v>
      </c>
      <c r="N23" s="136">
        <f>IF(SER_hh_tes!N23=0,"",SER_hh_tes!N23/SER_hh_fec!N23)</f>
        <v>0.6265382153153507</v>
      </c>
      <c r="O23" s="136">
        <f>IF(SER_hh_tes!O23=0,"",SER_hh_tes!O23/SER_hh_fec!O23)</f>
        <v>0.6392907837178905</v>
      </c>
      <c r="P23" s="136">
        <f>IF(SER_hh_tes!P23=0,"",SER_hh_tes!P23/SER_hh_fec!P23)</f>
        <v>0.64429636289512537</v>
      </c>
      <c r="Q23" s="136">
        <f>IF(SER_hh_tes!Q23=0,"",SER_hh_tes!Q23/SER_hh_fec!Q23)</f>
        <v>0.65236948602256095</v>
      </c>
      <c r="R23" s="136">
        <f>IF(SER_hh_tes!R23=0,"",SER_hh_tes!R23/SER_hh_fec!R23)</f>
        <v>0.66415630368308298</v>
      </c>
      <c r="S23" s="136">
        <f>IF(SER_hh_tes!S23=0,"",SER_hh_tes!S23/SER_hh_fec!S23)</f>
        <v>0.67941902317659475</v>
      </c>
      <c r="T23" s="136">
        <f>IF(SER_hh_tes!T23=0,"",SER_hh_tes!T23/SER_hh_fec!T23)</f>
        <v>0.69280346076405286</v>
      </c>
      <c r="U23" s="136">
        <f>IF(SER_hh_tes!U23=0,"",SER_hh_tes!U23/SER_hh_fec!U23)</f>
        <v>0.70537139755137179</v>
      </c>
      <c r="V23" s="136">
        <f>IF(SER_hh_tes!V23=0,"",SER_hh_tes!V23/SER_hh_fec!V23)</f>
        <v>0.71696389377630876</v>
      </c>
      <c r="W23" s="136">
        <f>IF(SER_hh_tes!W23=0,"",SER_hh_tes!W23/SER_hh_fec!W23)</f>
        <v>0.72390455198497794</v>
      </c>
      <c r="X23" s="136">
        <f>IF(SER_hh_tes!X23=0,"",SER_hh_tes!X23/SER_hh_fec!X23)</f>
        <v>0.73814136673732123</v>
      </c>
      <c r="Y23" s="136">
        <f>IF(SER_hh_tes!Y23=0,"",SER_hh_tes!Y23/SER_hh_fec!Y23)</f>
        <v>0.75155492141165436</v>
      </c>
      <c r="DA23" s="163" t="s">
        <v>348</v>
      </c>
    </row>
    <row r="24" spans="1:105" ht="12" customHeight="1" x14ac:dyDescent="0.25">
      <c r="A24" s="131" t="s">
        <v>128</v>
      </c>
      <c r="B24" s="136" t="str">
        <f>IF(SER_hh_tes!B24=0,"",SER_hh_tes!B24/SER_hh_fec!B24)</f>
        <v/>
      </c>
      <c r="C24" s="136" t="str">
        <f>IF(SER_hh_tes!C24=0,"",SER_hh_tes!C24/SER_hh_fec!C24)</f>
        <v/>
      </c>
      <c r="D24" s="136" t="str">
        <f>IF(SER_hh_tes!D24=0,"",SER_hh_tes!D24/SER_hh_fec!D24)</f>
        <v/>
      </c>
      <c r="E24" s="136" t="str">
        <f>IF(SER_hh_tes!E24=0,"",SER_hh_tes!E24/SER_hh_fec!E24)</f>
        <v/>
      </c>
      <c r="F24" s="136" t="str">
        <f>IF(SER_hh_tes!F24=0,"",SER_hh_tes!F24/SER_hh_fec!F24)</f>
        <v/>
      </c>
      <c r="G24" s="136" t="str">
        <f>IF(SER_hh_tes!G24=0,"",SER_hh_tes!G24/SER_hh_fec!G24)</f>
        <v/>
      </c>
      <c r="H24" s="136" t="str">
        <f>IF(SER_hh_tes!H24=0,"",SER_hh_tes!H24/SER_hh_fec!H24)</f>
        <v/>
      </c>
      <c r="I24" s="136" t="str">
        <f>IF(SER_hh_tes!I24=0,"",SER_hh_tes!I24/SER_hh_fec!I24)</f>
        <v/>
      </c>
      <c r="J24" s="136" t="str">
        <f>IF(SER_hh_tes!J24=0,"",SER_hh_tes!J24/SER_hh_fec!J24)</f>
        <v/>
      </c>
      <c r="K24" s="136" t="str">
        <f>IF(SER_hh_tes!K24=0,"",SER_hh_tes!K24/SER_hh_fec!K24)</f>
        <v/>
      </c>
      <c r="L24" s="136" t="str">
        <f>IF(SER_hh_tes!L24=0,"",SER_hh_tes!L24/SER_hh_fec!L24)</f>
        <v/>
      </c>
      <c r="M24" s="136" t="str">
        <f>IF(SER_hh_tes!M24=0,"",SER_hh_tes!M24/SER_hh_fec!M24)</f>
        <v/>
      </c>
      <c r="N24" s="136" t="str">
        <f>IF(SER_hh_tes!N24=0,"",SER_hh_tes!N24/SER_hh_fec!N24)</f>
        <v/>
      </c>
      <c r="O24" s="136" t="str">
        <f>IF(SER_hh_tes!O24=0,"",SER_hh_tes!O24/SER_hh_fec!O24)</f>
        <v/>
      </c>
      <c r="P24" s="136" t="str">
        <f>IF(SER_hh_tes!P24=0,"",SER_hh_tes!P24/SER_hh_fec!P24)</f>
        <v/>
      </c>
      <c r="Q24" s="136" t="str">
        <f>IF(SER_hh_tes!Q24=0,"",SER_hh_tes!Q24/SER_hh_fec!Q24)</f>
        <v/>
      </c>
      <c r="R24" s="136" t="str">
        <f>IF(SER_hh_tes!R24=0,"",SER_hh_tes!R24/SER_hh_fec!R24)</f>
        <v/>
      </c>
      <c r="S24" s="136" t="str">
        <f>IF(SER_hh_tes!S24=0,"",SER_hh_tes!S24/SER_hh_fec!S24)</f>
        <v/>
      </c>
      <c r="T24" s="136" t="str">
        <f>IF(SER_hh_tes!T24=0,"",SER_hh_tes!T24/SER_hh_fec!T24)</f>
        <v/>
      </c>
      <c r="U24" s="136" t="str">
        <f>IF(SER_hh_tes!U24=0,"",SER_hh_tes!U24/SER_hh_fec!U24)</f>
        <v/>
      </c>
      <c r="V24" s="136" t="str">
        <f>IF(SER_hh_tes!V24=0,"",SER_hh_tes!V24/SER_hh_fec!V24)</f>
        <v/>
      </c>
      <c r="W24" s="136" t="str">
        <f>IF(SER_hh_tes!W24=0,"",SER_hh_tes!W24/SER_hh_fec!W24)</f>
        <v/>
      </c>
      <c r="X24" s="136" t="str">
        <f>IF(SER_hh_tes!X24=0,"",SER_hh_tes!X24/SER_hh_fec!X24)</f>
        <v/>
      </c>
      <c r="Y24" s="136" t="str">
        <f>IF(SER_hh_tes!Y24=0,"",SER_hh_tes!Y24/SER_hh_fec!Y24)</f>
        <v/>
      </c>
      <c r="DA24" s="163" t="s">
        <v>349</v>
      </c>
    </row>
    <row r="25" spans="1:105" ht="12" customHeight="1" x14ac:dyDescent="0.25">
      <c r="A25" s="131" t="s">
        <v>162</v>
      </c>
      <c r="B25" s="136" t="str">
        <f>IF(SER_hh_tes!B25=0,"",SER_hh_tes!B25/SER_hh_fec!B25)</f>
        <v/>
      </c>
      <c r="C25" s="136" t="str">
        <f>IF(SER_hh_tes!C25=0,"",SER_hh_tes!C25/SER_hh_fec!C25)</f>
        <v/>
      </c>
      <c r="D25" s="136" t="str">
        <f>IF(SER_hh_tes!D25=0,"",SER_hh_tes!D25/SER_hh_fec!D25)</f>
        <v/>
      </c>
      <c r="E25" s="136" t="str">
        <f>IF(SER_hh_tes!E25=0,"",SER_hh_tes!E25/SER_hh_fec!E25)</f>
        <v/>
      </c>
      <c r="F25" s="136">
        <f>IF(SER_hh_tes!F25=0,"",SER_hh_tes!F25/SER_hh_fec!F25)</f>
        <v>0.81814641152667844</v>
      </c>
      <c r="G25" s="136">
        <f>IF(SER_hh_tes!G25=0,"",SER_hh_tes!G25/SER_hh_fec!G25)</f>
        <v>0.8187494907458488</v>
      </c>
      <c r="H25" s="136">
        <f>IF(SER_hh_tes!H25=0,"",SER_hh_tes!H25/SER_hh_fec!H25)</f>
        <v>0.81923975474538724</v>
      </c>
      <c r="I25" s="136">
        <f>IF(SER_hh_tes!I25=0,"",SER_hh_tes!I25/SER_hh_fec!I25)</f>
        <v>0.81945556392304963</v>
      </c>
      <c r="J25" s="136">
        <f>IF(SER_hh_tes!J25=0,"",SER_hh_tes!J25/SER_hh_fec!J25)</f>
        <v>0.82009321980873484</v>
      </c>
      <c r="K25" s="136">
        <f>IF(SER_hh_tes!K25=0,"",SER_hh_tes!K25/SER_hh_fec!K25)</f>
        <v>0.82153275637532186</v>
      </c>
      <c r="L25" s="136">
        <f>IF(SER_hh_tes!L25=0,"",SER_hh_tes!L25/SER_hh_fec!L25)</f>
        <v>0.82332292872685675</v>
      </c>
      <c r="M25" s="136">
        <f>IF(SER_hh_tes!M25=0,"",SER_hh_tes!M25/SER_hh_fec!M25)</f>
        <v>0.82619509865302021</v>
      </c>
      <c r="N25" s="136">
        <f>IF(SER_hh_tes!N25=0,"",SER_hh_tes!N25/SER_hh_fec!N25)</f>
        <v>0.83004687350269413</v>
      </c>
      <c r="O25" s="136">
        <f>IF(SER_hh_tes!O25=0,"",SER_hh_tes!O25/SER_hh_fec!O25)</f>
        <v>0.83460871934595082</v>
      </c>
      <c r="P25" s="136">
        <f>IF(SER_hh_tes!P25=0,"",SER_hh_tes!P25/SER_hh_fec!P25)</f>
        <v>0.83891995933606323</v>
      </c>
      <c r="Q25" s="136">
        <f>IF(SER_hh_tes!Q25=0,"",SER_hh_tes!Q25/SER_hh_fec!Q25)</f>
        <v>0.84277668301519126</v>
      </c>
      <c r="R25" s="136">
        <f>IF(SER_hh_tes!R25=0,"",SER_hh_tes!R25/SER_hh_fec!R25)</f>
        <v>0.84685766434212717</v>
      </c>
      <c r="S25" s="136">
        <f>IF(SER_hh_tes!S25=0,"",SER_hh_tes!S25/SER_hh_fec!S25)</f>
        <v>0.85095150764747274</v>
      </c>
      <c r="T25" s="136">
        <f>IF(SER_hh_tes!T25=0,"",SER_hh_tes!T25/SER_hh_fec!T25)</f>
        <v>0.85531391039963522</v>
      </c>
      <c r="U25" s="136">
        <f>IF(SER_hh_tes!U25=0,"",SER_hh_tes!U25/SER_hh_fec!U25)</f>
        <v>0.85849913122088128</v>
      </c>
      <c r="V25" s="136">
        <f>IF(SER_hh_tes!V25=0,"",SER_hh_tes!V25/SER_hh_fec!V25)</f>
        <v>0.86122453889300987</v>
      </c>
      <c r="W25" s="136">
        <f>IF(SER_hh_tes!W25=0,"",SER_hh_tes!W25/SER_hh_fec!W25)</f>
        <v>0.86268105208785117</v>
      </c>
      <c r="X25" s="136">
        <f>IF(SER_hh_tes!X25=0,"",SER_hh_tes!X25/SER_hh_fec!X25)</f>
        <v>0.8632353891448874</v>
      </c>
      <c r="Y25" s="136">
        <f>IF(SER_hh_tes!Y25=0,"",SER_hh_tes!Y25/SER_hh_fec!Y25)</f>
        <v>0.86371232969361122</v>
      </c>
      <c r="DA25" s="163" t="s">
        <v>350</v>
      </c>
    </row>
    <row r="26" spans="1:105" ht="12" customHeight="1" x14ac:dyDescent="0.25">
      <c r="A26" s="131" t="s">
        <v>24</v>
      </c>
      <c r="B26" s="137">
        <f>IF(SER_hh_tes!B26=0,"",SER_hh_tes!B26/SER_hh_fec!B26)</f>
        <v>0.66893434058005419</v>
      </c>
      <c r="C26" s="137">
        <f>IF(SER_hh_tes!C26=0,"",SER_hh_tes!C26/SER_hh_fec!C26)</f>
        <v>0.67136929292315795</v>
      </c>
      <c r="D26" s="137">
        <f>IF(SER_hh_tes!D26=0,"",SER_hh_tes!D26/SER_hh_fec!D26)</f>
        <v>0.67387901031319086</v>
      </c>
      <c r="E26" s="137">
        <f>IF(SER_hh_tes!E26=0,"",SER_hh_tes!E26/SER_hh_fec!E26)</f>
        <v>0.67613919431473546</v>
      </c>
      <c r="F26" s="137">
        <f>IF(SER_hh_tes!F26=0,"",SER_hh_tes!F26/SER_hh_fec!F26)</f>
        <v>0.67813603140809031</v>
      </c>
      <c r="G26" s="137">
        <f>IF(SER_hh_tes!G26=0,"",SER_hh_tes!G26/SER_hh_fec!G26)</f>
        <v>0.68016400249359987</v>
      </c>
      <c r="H26" s="137">
        <f>IF(SER_hh_tes!H26=0,"",SER_hh_tes!H26/SER_hh_fec!H26)</f>
        <v>0.68309868387445671</v>
      </c>
      <c r="I26" s="137">
        <f>IF(SER_hh_tes!I26=0,"",SER_hh_tes!I26/SER_hh_fec!I26)</f>
        <v>0.68606394338181387</v>
      </c>
      <c r="J26" s="137">
        <f>IF(SER_hh_tes!J26=0,"",SER_hh_tes!J26/SER_hh_fec!J26)</f>
        <v>0.68875149076955144</v>
      </c>
      <c r="K26" s="137">
        <f>IF(SER_hh_tes!K26=0,"",SER_hh_tes!K26/SER_hh_fec!K26)</f>
        <v>0.69159541792825119</v>
      </c>
      <c r="L26" s="137">
        <f>IF(SER_hh_tes!L26=0,"",SER_hh_tes!L26/SER_hh_fec!L26)</f>
        <v>0.69491994622393272</v>
      </c>
      <c r="M26" s="137">
        <f>IF(SER_hh_tes!M26=0,"",SER_hh_tes!M26/SER_hh_fec!M26)</f>
        <v>0.6993148298932842</v>
      </c>
      <c r="N26" s="137">
        <f>IF(SER_hh_tes!N26=0,"",SER_hh_tes!N26/SER_hh_fec!N26)</f>
        <v>0.70475827595785201</v>
      </c>
      <c r="O26" s="137">
        <f>IF(SER_hh_tes!O26=0,"",SER_hh_tes!O26/SER_hh_fec!O26)</f>
        <v>0.71107897235700845</v>
      </c>
      <c r="P26" s="137">
        <f>IF(SER_hh_tes!P26=0,"",SER_hh_tes!P26/SER_hh_fec!P26)</f>
        <v>0.71575399695872688</v>
      </c>
      <c r="Q26" s="137">
        <f>IF(SER_hh_tes!Q26=0,"",SER_hh_tes!Q26/SER_hh_fec!Q26)</f>
        <v>0.72161086366644656</v>
      </c>
      <c r="R26" s="137">
        <f>IF(SER_hh_tes!R26=0,"",SER_hh_tes!R26/SER_hh_fec!R26)</f>
        <v>0.72792177549448445</v>
      </c>
      <c r="S26" s="137">
        <f>IF(SER_hh_tes!S26=0,"",SER_hh_tes!S26/SER_hh_fec!S26)</f>
        <v>0.73695473480431783</v>
      </c>
      <c r="T26" s="137">
        <f>IF(SER_hh_tes!T26=0,"",SER_hh_tes!T26/SER_hh_fec!T26)</f>
        <v>0.74901675035421633</v>
      </c>
      <c r="U26" s="137">
        <f>IF(SER_hh_tes!U26=0,"",SER_hh_tes!U26/SER_hh_fec!U26)</f>
        <v>0.762476395150952</v>
      </c>
      <c r="V26" s="137">
        <f>IF(SER_hh_tes!V26=0,"",SER_hh_tes!V26/SER_hh_fec!V26)</f>
        <v>0.77867862697854862</v>
      </c>
      <c r="W26" s="137">
        <f>IF(SER_hh_tes!W26=0,"",SER_hh_tes!W26/SER_hh_fec!W26)</f>
        <v>0.80227251635897368</v>
      </c>
      <c r="X26" s="137">
        <f>IF(SER_hh_tes!X26=0,"",SER_hh_tes!X26/SER_hh_fec!X26)</f>
        <v>0.81998187383515053</v>
      </c>
      <c r="Y26" s="137">
        <f>IF(SER_hh_tes!Y26=0,"",SER_hh_tes!Y26/SER_hh_fec!Y26)</f>
        <v>0.83429283262435594</v>
      </c>
      <c r="DA26" s="164" t="s">
        <v>351</v>
      </c>
    </row>
    <row r="27" spans="1:105" ht="12" customHeight="1" x14ac:dyDescent="0.25">
      <c r="A27" s="144" t="s">
        <v>26</v>
      </c>
      <c r="B27" s="153">
        <f>IF(SER_hh_tes!B27=0,"",SER_hh_tes!B27/SER_hh_fec!B27)</f>
        <v>1</v>
      </c>
      <c r="C27" s="153">
        <f>IF(SER_hh_tes!C27=0,"",SER_hh_tes!C27/SER_hh_fec!C27)</f>
        <v>1</v>
      </c>
      <c r="D27" s="153">
        <f>IF(SER_hh_tes!D27=0,"",SER_hh_tes!D27/SER_hh_fec!D27)</f>
        <v>1</v>
      </c>
      <c r="E27" s="153">
        <f>IF(SER_hh_tes!E27=0,"",SER_hh_tes!E27/SER_hh_fec!E27)</f>
        <v>1</v>
      </c>
      <c r="F27" s="153">
        <f>IF(SER_hh_tes!F27=0,"",SER_hh_tes!F27/SER_hh_fec!F27)</f>
        <v>1</v>
      </c>
      <c r="G27" s="153">
        <f>IF(SER_hh_tes!G27=0,"",SER_hh_tes!G27/SER_hh_fec!G27)</f>
        <v>1</v>
      </c>
      <c r="H27" s="153">
        <f>IF(SER_hh_tes!H27=0,"",SER_hh_tes!H27/SER_hh_fec!H27)</f>
        <v>1</v>
      </c>
      <c r="I27" s="153">
        <f>IF(SER_hh_tes!I27=0,"",SER_hh_tes!I27/SER_hh_fec!I27)</f>
        <v>1</v>
      </c>
      <c r="J27" s="153">
        <f>IF(SER_hh_tes!J27=0,"",SER_hh_tes!J27/SER_hh_fec!J27)</f>
        <v>1</v>
      </c>
      <c r="K27" s="153">
        <f>IF(SER_hh_tes!K27=0,"",SER_hh_tes!K27/SER_hh_fec!K27)</f>
        <v>1</v>
      </c>
      <c r="L27" s="153">
        <f>IF(SER_hh_tes!L27=0,"",SER_hh_tes!L27/SER_hh_fec!L27)</f>
        <v>1</v>
      </c>
      <c r="M27" s="153">
        <f>IF(SER_hh_tes!M27=0,"",SER_hh_tes!M27/SER_hh_fec!M27)</f>
        <v>1</v>
      </c>
      <c r="N27" s="153">
        <f>IF(SER_hh_tes!N27=0,"",SER_hh_tes!N27/SER_hh_fec!N27)</f>
        <v>1</v>
      </c>
      <c r="O27" s="153">
        <f>IF(SER_hh_tes!O27=0,"",SER_hh_tes!O27/SER_hh_fec!O27)</f>
        <v>1</v>
      </c>
      <c r="P27" s="153">
        <f>IF(SER_hh_tes!P27=0,"",SER_hh_tes!P27/SER_hh_fec!P27)</f>
        <v>1</v>
      </c>
      <c r="Q27" s="153">
        <f>IF(SER_hh_tes!Q27=0,"",SER_hh_tes!Q27/SER_hh_fec!Q27)</f>
        <v>1</v>
      </c>
      <c r="R27" s="153">
        <f>IF(SER_hh_tes!R27=0,"",SER_hh_tes!R27/SER_hh_fec!R27)</f>
        <v>1</v>
      </c>
      <c r="S27" s="153">
        <f>IF(SER_hh_tes!S27=0,"",SER_hh_tes!S27/SER_hh_fec!S27)</f>
        <v>1</v>
      </c>
      <c r="T27" s="153">
        <f>IF(SER_hh_tes!T27=0,"",SER_hh_tes!T27/SER_hh_fec!T27)</f>
        <v>1</v>
      </c>
      <c r="U27" s="153">
        <f>IF(SER_hh_tes!U27=0,"",SER_hh_tes!U27/SER_hh_fec!U27)</f>
        <v>1</v>
      </c>
      <c r="V27" s="153">
        <f>IF(SER_hh_tes!V27=0,"",SER_hh_tes!V27/SER_hh_fec!V27)</f>
        <v>1</v>
      </c>
      <c r="W27" s="153">
        <f>IF(SER_hh_tes!W27=0,"",SER_hh_tes!W27/SER_hh_fec!W27)</f>
        <v>1</v>
      </c>
      <c r="X27" s="153">
        <f>IF(SER_hh_tes!X27=0,"",SER_hh_tes!X27/SER_hh_fec!X27)</f>
        <v>1</v>
      </c>
      <c r="Y27" s="153">
        <f>IF(SER_hh_tes!Y27=0,"",SER_hh_tes!Y27/SER_hh_fec!Y27)</f>
        <v>1</v>
      </c>
      <c r="DA27" s="176" t="s">
        <v>352</v>
      </c>
    </row>
    <row r="28" spans="1:105" ht="12" hidden="1" customHeight="1" x14ac:dyDescent="0.25">
      <c r="A28" s="78" t="s">
        <v>26</v>
      </c>
      <c r="B28" s="149"/>
      <c r="C28" s="149"/>
      <c r="D28" s="149"/>
      <c r="E28" s="149"/>
      <c r="F28" s="149"/>
      <c r="G28" s="149"/>
      <c r="H28" s="149"/>
      <c r="I28" s="149"/>
      <c r="J28" s="149"/>
      <c r="K28" s="149"/>
      <c r="L28" s="149"/>
      <c r="M28" s="149"/>
      <c r="N28" s="149"/>
      <c r="O28" s="149"/>
      <c r="P28" s="149"/>
      <c r="Q28" s="149"/>
      <c r="R28" s="149"/>
      <c r="S28" s="149"/>
      <c r="T28" s="149"/>
      <c r="U28" s="149"/>
      <c r="V28" s="149"/>
      <c r="W28" s="149"/>
      <c r="X28" s="149"/>
      <c r="Y28" s="149"/>
      <c r="DA28" s="167"/>
    </row>
    <row r="29" spans="1:105" ht="12.95" customHeight="1" x14ac:dyDescent="0.25">
      <c r="A29" s="129" t="s">
        <v>34</v>
      </c>
      <c r="B29" s="135">
        <f>IF(SER_hh_tes!B29=0,"",SER_hh_tes!B29/SER_hh_fec!B29)</f>
        <v>0.64356975376373027</v>
      </c>
      <c r="C29" s="135">
        <f>IF(SER_hh_tes!C29=0,"",SER_hh_tes!C29/SER_hh_fec!C29)</f>
        <v>0.64979536670514726</v>
      </c>
      <c r="D29" s="135">
        <f>IF(SER_hh_tes!D29=0,"",SER_hh_tes!D29/SER_hh_fec!D29)</f>
        <v>0.66275243711015897</v>
      </c>
      <c r="E29" s="135">
        <f>IF(SER_hh_tes!E29=0,"",SER_hh_tes!E29/SER_hh_fec!E29)</f>
        <v>0.68565642648099423</v>
      </c>
      <c r="F29" s="135">
        <f>IF(SER_hh_tes!F29=0,"",SER_hh_tes!F29/SER_hh_fec!F29)</f>
        <v>0.69872494229835824</v>
      </c>
      <c r="G29" s="135">
        <f>IF(SER_hh_tes!G29=0,"",SER_hh_tes!G29/SER_hh_fec!G29)</f>
        <v>0.69762401853963352</v>
      </c>
      <c r="H29" s="135">
        <f>IF(SER_hh_tes!H29=0,"",SER_hh_tes!H29/SER_hh_fec!H29)</f>
        <v>0.70882516823490638</v>
      </c>
      <c r="I29" s="135">
        <f>IF(SER_hh_tes!I29=0,"",SER_hh_tes!I29/SER_hh_fec!I29)</f>
        <v>0.69969090159799152</v>
      </c>
      <c r="J29" s="135">
        <f>IF(SER_hh_tes!J29=0,"",SER_hh_tes!J29/SER_hh_fec!J29)</f>
        <v>0.71041877677995302</v>
      </c>
      <c r="K29" s="135">
        <f>IF(SER_hh_tes!K29=0,"",SER_hh_tes!K29/SER_hh_fec!K29)</f>
        <v>0.70207620793520542</v>
      </c>
      <c r="L29" s="135">
        <f>IF(SER_hh_tes!L29=0,"",SER_hh_tes!L29/SER_hh_fec!L29)</f>
        <v>0.70156189362182608</v>
      </c>
      <c r="M29" s="135">
        <f>IF(SER_hh_tes!M29=0,"",SER_hh_tes!M29/SER_hh_fec!M29)</f>
        <v>0.69931077300866806</v>
      </c>
      <c r="N29" s="135">
        <f>IF(SER_hh_tes!N29=0,"",SER_hh_tes!N29/SER_hh_fec!N29)</f>
        <v>0.69951040980083823</v>
      </c>
      <c r="O29" s="135">
        <f>IF(SER_hh_tes!O29=0,"",SER_hh_tes!O29/SER_hh_fec!O29)</f>
        <v>0.69685808445939568</v>
      </c>
      <c r="P29" s="135">
        <f>IF(SER_hh_tes!P29=0,"",SER_hh_tes!P29/SER_hh_fec!P29)</f>
        <v>0.68610736967795627</v>
      </c>
      <c r="Q29" s="135">
        <f>IF(SER_hh_tes!Q29=0,"",SER_hh_tes!Q29/SER_hh_fec!Q29)</f>
        <v>0.68693011389485037</v>
      </c>
      <c r="R29" s="135">
        <f>IF(SER_hh_tes!R29=0,"",SER_hh_tes!R29/SER_hh_fec!R29)</f>
        <v>0.68552279092729618</v>
      </c>
      <c r="S29" s="135">
        <f>IF(SER_hh_tes!S29=0,"",SER_hh_tes!S29/SER_hh_fec!S29)</f>
        <v>0.68773970363966352</v>
      </c>
      <c r="T29" s="135">
        <f>IF(SER_hh_tes!T29=0,"",SER_hh_tes!T29/SER_hh_fec!T29)</f>
        <v>0.69923205220537998</v>
      </c>
      <c r="U29" s="135">
        <f>IF(SER_hh_tes!U29=0,"",SER_hh_tes!U29/SER_hh_fec!U29)</f>
        <v>0.68978202975966285</v>
      </c>
      <c r="V29" s="135">
        <f>IF(SER_hh_tes!V29=0,"",SER_hh_tes!V29/SER_hh_fec!V29)</f>
        <v>0.6874557799224863</v>
      </c>
      <c r="W29" s="135">
        <f>IF(SER_hh_tes!W29=0,"",SER_hh_tes!W29/SER_hh_fec!W29)</f>
        <v>0.71616288360704405</v>
      </c>
      <c r="X29" s="135">
        <f>IF(SER_hh_tes!X29=0,"",SER_hh_tes!X29/SER_hh_fec!X29)</f>
        <v>0.71960244228699943</v>
      </c>
      <c r="Y29" s="135">
        <f>IF(SER_hh_tes!Y29=0,"",SER_hh_tes!Y29/SER_hh_fec!Y29)</f>
        <v>0.72160508010694435</v>
      </c>
      <c r="DA29" s="162" t="s">
        <v>243</v>
      </c>
    </row>
    <row r="30" spans="1:105" ht="12" customHeight="1" x14ac:dyDescent="0.25">
      <c r="A30" s="131" t="s">
        <v>52</v>
      </c>
      <c r="B30" s="136">
        <f>IF(SER_hh_tes!B30=0,"",SER_hh_tes!B30/SER_hh_fec!B30)</f>
        <v>0.61394337667669696</v>
      </c>
      <c r="C30" s="136">
        <f>IF(SER_hh_tes!C30=0,"",SER_hh_tes!C30/SER_hh_fec!C30)</f>
        <v>0.61446774184842112</v>
      </c>
      <c r="D30" s="136">
        <f>IF(SER_hh_tes!D30=0,"",SER_hh_tes!D30/SER_hh_fec!D30)</f>
        <v>0.61504726265375986</v>
      </c>
      <c r="E30" s="136">
        <f>IF(SER_hh_tes!E30=0,"",SER_hh_tes!E30/SER_hh_fec!E30)</f>
        <v>0.61557521151549643</v>
      </c>
      <c r="F30" s="136">
        <f>IF(SER_hh_tes!F30=0,"",SER_hh_tes!F30/SER_hh_fec!F30)</f>
        <v>0.61603068923258697</v>
      </c>
      <c r="G30" s="136">
        <f>IF(SER_hh_tes!G30=0,"",SER_hh_tes!G30/SER_hh_fec!G30)</f>
        <v>0.61651317740654099</v>
      </c>
      <c r="H30" s="136">
        <f>IF(SER_hh_tes!H30=0,"",SER_hh_tes!H30/SER_hh_fec!H30)</f>
        <v>0.61704110617143781</v>
      </c>
      <c r="I30" s="136">
        <f>IF(SER_hh_tes!I30=0,"",SER_hh_tes!I30/SER_hh_fec!I30)</f>
        <v>0.61785574714967262</v>
      </c>
      <c r="J30" s="136">
        <f>IF(SER_hh_tes!J30=0,"",SER_hh_tes!J30/SER_hh_fec!J30)</f>
        <v>0.61884733108142698</v>
      </c>
      <c r="K30" s="136">
        <f>IF(SER_hh_tes!K30=0,"",SER_hh_tes!K30/SER_hh_fec!K30)</f>
        <v>0.61998874498837886</v>
      </c>
      <c r="L30" s="136">
        <f>IF(SER_hh_tes!L30=0,"",SER_hh_tes!L30/SER_hh_fec!L30)</f>
        <v>0.62073387418887449</v>
      </c>
      <c r="M30" s="136">
        <f>IF(SER_hh_tes!M30=0,"",SER_hh_tes!M30/SER_hh_fec!M30)</f>
        <v>0.62078620479328084</v>
      </c>
      <c r="N30" s="136">
        <f>IF(SER_hh_tes!N30=0,"",SER_hh_tes!N30/SER_hh_fec!N30)</f>
        <v>0.62084788972915905</v>
      </c>
      <c r="O30" s="136">
        <f>IF(SER_hh_tes!O30=0,"",SER_hh_tes!O30/SER_hh_fec!O30)</f>
        <v>0.62093371882735493</v>
      </c>
      <c r="P30" s="136">
        <f>IF(SER_hh_tes!P30=0,"",SER_hh_tes!P30/SER_hh_fec!P30)</f>
        <v>0.6210208398841659</v>
      </c>
      <c r="Q30" s="136">
        <f>IF(SER_hh_tes!Q30=0,"",SER_hh_tes!Q30/SER_hh_fec!Q30)</f>
        <v>0.62111075415066175</v>
      </c>
      <c r="R30" s="136">
        <f>IF(SER_hh_tes!R30=0,"",SER_hh_tes!R30/SER_hh_fec!R30)</f>
        <v>0.62124807628261303</v>
      </c>
      <c r="S30" s="136">
        <f>IF(SER_hh_tes!S30=0,"",SER_hh_tes!S30/SER_hh_fec!S30)</f>
        <v>0.62146531908831981</v>
      </c>
      <c r="T30" s="136">
        <f>IF(SER_hh_tes!T30=0,"",SER_hh_tes!T30/SER_hh_fec!T30)</f>
        <v>0.62183600135595885</v>
      </c>
      <c r="U30" s="136">
        <f>IF(SER_hh_tes!U30=0,"",SER_hh_tes!U30/SER_hh_fec!U30)</f>
        <v>0.62235482173311873</v>
      </c>
      <c r="V30" s="136">
        <f>IF(SER_hh_tes!V30=0,"",SER_hh_tes!V30/SER_hh_fec!V30)</f>
        <v>0.62296839882947153</v>
      </c>
      <c r="W30" s="136">
        <f>IF(SER_hh_tes!W30=0,"",SER_hh_tes!W30/SER_hh_fec!W30)</f>
        <v>0.6234742342923203</v>
      </c>
      <c r="X30" s="136">
        <f>IF(SER_hh_tes!X30=0,"",SER_hh_tes!X30/SER_hh_fec!X30)</f>
        <v>0.62389894642974641</v>
      </c>
      <c r="Y30" s="136">
        <f>IF(SER_hh_tes!Y30=0,"",SER_hh_tes!Y30/SER_hh_fec!Y30)</f>
        <v>0.62436436379135718</v>
      </c>
      <c r="DA30" s="163" t="s">
        <v>353</v>
      </c>
    </row>
    <row r="31" spans="1:105" ht="12" customHeight="1" x14ac:dyDescent="0.25">
      <c r="A31" s="131" t="s">
        <v>149</v>
      </c>
      <c r="B31" s="136">
        <f>IF(SER_hh_tes!B31=0,"",SER_hh_tes!B31/SER_hh_fec!B31)</f>
        <v>0.62790277309820342</v>
      </c>
      <c r="C31" s="136">
        <f>IF(SER_hh_tes!C31=0,"",SER_hh_tes!C31/SER_hh_fec!C31)</f>
        <v>0.62837330994980067</v>
      </c>
      <c r="D31" s="136">
        <f>IF(SER_hh_tes!D31=0,"",SER_hh_tes!D31/SER_hh_fec!D31)</f>
        <v>0.62848136035376911</v>
      </c>
      <c r="E31" s="136">
        <f>IF(SER_hh_tes!E31=0,"",SER_hh_tes!E31/SER_hh_fec!E31)</f>
        <v>0.62860623673739224</v>
      </c>
      <c r="F31" s="136">
        <f>IF(SER_hh_tes!F31=0,"",SER_hh_tes!F31/SER_hh_fec!F31)</f>
        <v>0.62899220899036923</v>
      </c>
      <c r="G31" s="136">
        <f>IF(SER_hh_tes!G31=0,"",SER_hh_tes!G31/SER_hh_fec!G31)</f>
        <v>0.62985541866381234</v>
      </c>
      <c r="H31" s="136">
        <f>IF(SER_hh_tes!H31=0,"",SER_hh_tes!H31/SER_hh_fec!H31)</f>
        <v>0.63099398265226947</v>
      </c>
      <c r="I31" s="136">
        <f>IF(SER_hh_tes!I31=0,"",SER_hh_tes!I31/SER_hh_fec!I31)</f>
        <v>0.63220813750645333</v>
      </c>
      <c r="J31" s="136">
        <f>IF(SER_hh_tes!J31=0,"",SER_hh_tes!J31/SER_hh_fec!J31)</f>
        <v>0.63325478827820381</v>
      </c>
      <c r="K31" s="136">
        <f>IF(SER_hh_tes!K31=0,"",SER_hh_tes!K31/SER_hh_fec!K31)</f>
        <v>0.63429640809867649</v>
      </c>
      <c r="L31" s="136">
        <f>IF(SER_hh_tes!L31=0,"",SER_hh_tes!L31/SER_hh_fec!L31)</f>
        <v>0.6349210685919755</v>
      </c>
      <c r="M31" s="136">
        <f>IF(SER_hh_tes!M31=0,"",SER_hh_tes!M31/SER_hh_fec!M31)</f>
        <v>0.63495727142782843</v>
      </c>
      <c r="N31" s="136">
        <f>IF(SER_hh_tes!N31=0,"",SER_hh_tes!N31/SER_hh_fec!N31)</f>
        <v>0.63500173878281407</v>
      </c>
      <c r="O31" s="136">
        <f>IF(SER_hh_tes!O31=0,"",SER_hh_tes!O31/SER_hh_fec!O31)</f>
        <v>0.63505271614259329</v>
      </c>
      <c r="P31" s="136">
        <f>IF(SER_hh_tes!P31=0,"",SER_hh_tes!P31/SER_hh_fec!P31)</f>
        <v>0.63510745611452812</v>
      </c>
      <c r="Q31" s="136">
        <f>IF(SER_hh_tes!Q31=0,"",SER_hh_tes!Q31/SER_hh_fec!Q31)</f>
        <v>0.63518365559468937</v>
      </c>
      <c r="R31" s="136">
        <f>IF(SER_hh_tes!R31=0,"",SER_hh_tes!R31/SER_hh_fec!R31)</f>
        <v>0.63533722578122953</v>
      </c>
      <c r="S31" s="136">
        <f>IF(SER_hh_tes!S31=0,"",SER_hh_tes!S31/SER_hh_fec!S31)</f>
        <v>0.63562455454206579</v>
      </c>
      <c r="T31" s="136">
        <f>IF(SER_hh_tes!T31=0,"",SER_hh_tes!T31/SER_hh_fec!T31)</f>
        <v>0.63606927429348992</v>
      </c>
      <c r="U31" s="136">
        <f>IF(SER_hh_tes!U31=0,"",SER_hh_tes!U31/SER_hh_fec!U31)</f>
        <v>0.63658743237741855</v>
      </c>
      <c r="V31" s="136">
        <f>IF(SER_hh_tes!V31=0,"",SER_hh_tes!V31/SER_hh_fec!V31)</f>
        <v>0.63707098473773927</v>
      </c>
      <c r="W31" s="136">
        <f>IF(SER_hh_tes!W31=0,"",SER_hh_tes!W31/SER_hh_fec!W31)</f>
        <v>0.63751959026110261</v>
      </c>
      <c r="X31" s="136">
        <f>IF(SER_hh_tes!X31=0,"",SER_hh_tes!X31/SER_hh_fec!X31)</f>
        <v>0.63782012732050375</v>
      </c>
      <c r="Y31" s="136">
        <f>IF(SER_hh_tes!Y31=0,"",SER_hh_tes!Y31/SER_hh_fec!Y31)</f>
        <v>0.63830069246244792</v>
      </c>
      <c r="DA31" s="163" t="s">
        <v>354</v>
      </c>
    </row>
    <row r="32" spans="1:105" ht="12" customHeight="1" x14ac:dyDescent="0.25">
      <c r="A32" s="131" t="s">
        <v>128</v>
      </c>
      <c r="B32" s="136" t="str">
        <f>IF(SER_hh_tes!B32=0,"",SER_hh_tes!B32/SER_hh_fec!B32)</f>
        <v/>
      </c>
      <c r="C32" s="136" t="str">
        <f>IF(SER_hh_tes!C32=0,"",SER_hh_tes!C32/SER_hh_fec!C32)</f>
        <v/>
      </c>
      <c r="D32" s="136" t="str">
        <f>IF(SER_hh_tes!D32=0,"",SER_hh_tes!D32/SER_hh_fec!D32)</f>
        <v/>
      </c>
      <c r="E32" s="136" t="str">
        <f>IF(SER_hh_tes!E32=0,"",SER_hh_tes!E32/SER_hh_fec!E32)</f>
        <v/>
      </c>
      <c r="F32" s="136" t="str">
        <f>IF(SER_hh_tes!F32=0,"",SER_hh_tes!F32/SER_hh_fec!F32)</f>
        <v/>
      </c>
      <c r="G32" s="136" t="str">
        <f>IF(SER_hh_tes!G32=0,"",SER_hh_tes!G32/SER_hh_fec!G32)</f>
        <v/>
      </c>
      <c r="H32" s="136" t="str">
        <f>IF(SER_hh_tes!H32=0,"",SER_hh_tes!H32/SER_hh_fec!H32)</f>
        <v/>
      </c>
      <c r="I32" s="136" t="str">
        <f>IF(SER_hh_tes!I32=0,"",SER_hh_tes!I32/SER_hh_fec!I32)</f>
        <v/>
      </c>
      <c r="J32" s="136" t="str">
        <f>IF(SER_hh_tes!J32=0,"",SER_hh_tes!J32/SER_hh_fec!J32)</f>
        <v/>
      </c>
      <c r="K32" s="136" t="str">
        <f>IF(SER_hh_tes!K32=0,"",SER_hh_tes!K32/SER_hh_fec!K32)</f>
        <v/>
      </c>
      <c r="L32" s="136" t="str">
        <f>IF(SER_hh_tes!L32=0,"",SER_hh_tes!L32/SER_hh_fec!L32)</f>
        <v/>
      </c>
      <c r="M32" s="136" t="str">
        <f>IF(SER_hh_tes!M32=0,"",SER_hh_tes!M32/SER_hh_fec!M32)</f>
        <v/>
      </c>
      <c r="N32" s="136" t="str">
        <f>IF(SER_hh_tes!N32=0,"",SER_hh_tes!N32/SER_hh_fec!N32)</f>
        <v/>
      </c>
      <c r="O32" s="136" t="str">
        <f>IF(SER_hh_tes!O32=0,"",SER_hh_tes!O32/SER_hh_fec!O32)</f>
        <v/>
      </c>
      <c r="P32" s="136" t="str">
        <f>IF(SER_hh_tes!P32=0,"",SER_hh_tes!P32/SER_hh_fec!P32)</f>
        <v/>
      </c>
      <c r="Q32" s="136" t="str">
        <f>IF(SER_hh_tes!Q32=0,"",SER_hh_tes!Q32/SER_hh_fec!Q32)</f>
        <v/>
      </c>
      <c r="R32" s="136" t="str">
        <f>IF(SER_hh_tes!R32=0,"",SER_hh_tes!R32/SER_hh_fec!R32)</f>
        <v/>
      </c>
      <c r="S32" s="136" t="str">
        <f>IF(SER_hh_tes!S32=0,"",SER_hh_tes!S32/SER_hh_fec!S32)</f>
        <v/>
      </c>
      <c r="T32" s="136" t="str">
        <f>IF(SER_hh_tes!T32=0,"",SER_hh_tes!T32/SER_hh_fec!T32)</f>
        <v/>
      </c>
      <c r="U32" s="136" t="str">
        <f>IF(SER_hh_tes!U32=0,"",SER_hh_tes!U32/SER_hh_fec!U32)</f>
        <v/>
      </c>
      <c r="V32" s="136" t="str">
        <f>IF(SER_hh_tes!V32=0,"",SER_hh_tes!V32/SER_hh_fec!V32)</f>
        <v/>
      </c>
      <c r="W32" s="136" t="str">
        <f>IF(SER_hh_tes!W32=0,"",SER_hh_tes!W32/SER_hh_fec!W32)</f>
        <v/>
      </c>
      <c r="X32" s="136" t="str">
        <f>IF(SER_hh_tes!X32=0,"",SER_hh_tes!X32/SER_hh_fec!X32)</f>
        <v/>
      </c>
      <c r="Y32" s="136" t="str">
        <f>IF(SER_hh_tes!Y32=0,"",SER_hh_tes!Y32/SER_hh_fec!Y32)</f>
        <v/>
      </c>
      <c r="DA32" s="163" t="s">
        <v>355</v>
      </c>
    </row>
    <row r="33" spans="1:105" ht="12" customHeight="1" x14ac:dyDescent="0.25">
      <c r="A33" s="62" t="s">
        <v>24</v>
      </c>
      <c r="B33" s="149">
        <f>IF(SER_hh_tes!B33=0,"",SER_hh_tes!B33/SER_hh_fec!B33)</f>
        <v>0.82195705205772973</v>
      </c>
      <c r="C33" s="149">
        <f>IF(SER_hh_tes!C33=0,"",SER_hh_tes!C33/SER_hh_fec!C33)</f>
        <v>0.82652675682413379</v>
      </c>
      <c r="D33" s="149">
        <f>IF(SER_hh_tes!D33=0,"",SER_hh_tes!D33/SER_hh_fec!D33)</f>
        <v>0.83072845805795681</v>
      </c>
      <c r="E33" s="149">
        <f>IF(SER_hh_tes!E33=0,"",SER_hh_tes!E33/SER_hh_fec!E33)</f>
        <v>0.83305656465652944</v>
      </c>
      <c r="F33" s="149">
        <f>IF(SER_hh_tes!F33=0,"",SER_hh_tes!F33/SER_hh_fec!F33)</f>
        <v>0.83451376161299251</v>
      </c>
      <c r="G33" s="149">
        <f>IF(SER_hh_tes!G33=0,"",SER_hh_tes!G33/SER_hh_fec!G33)</f>
        <v>0.83543071251597412</v>
      </c>
      <c r="H33" s="149">
        <f>IF(SER_hh_tes!H33=0,"",SER_hh_tes!H33/SER_hh_fec!H33)</f>
        <v>0.8363130320512705</v>
      </c>
      <c r="I33" s="149">
        <f>IF(SER_hh_tes!I33=0,"",SER_hh_tes!I33/SER_hh_fec!I33)</f>
        <v>0.83695807873542649</v>
      </c>
      <c r="J33" s="149">
        <f>IF(SER_hh_tes!J33=0,"",SER_hh_tes!J33/SER_hh_fec!J33)</f>
        <v>0.83778531739062656</v>
      </c>
      <c r="K33" s="149">
        <f>IF(SER_hh_tes!K33=0,"",SER_hh_tes!K33/SER_hh_fec!K33)</f>
        <v>0.83862824650712464</v>
      </c>
      <c r="L33" s="149">
        <f>IF(SER_hh_tes!L33=0,"",SER_hh_tes!L33/SER_hh_fec!L33)</f>
        <v>0.83951260066735411</v>
      </c>
      <c r="M33" s="149">
        <f>IF(SER_hh_tes!M33=0,"",SER_hh_tes!M33/SER_hh_fec!M33)</f>
        <v>0.84029618084470104</v>
      </c>
      <c r="N33" s="149">
        <f>IF(SER_hh_tes!N33=0,"",SER_hh_tes!N33/SER_hh_fec!N33)</f>
        <v>0.84165606029200468</v>
      </c>
      <c r="O33" s="149">
        <f>IF(SER_hh_tes!O33=0,"",SER_hh_tes!O33/SER_hh_fec!O33)</f>
        <v>0.84397333551973608</v>
      </c>
      <c r="P33" s="149">
        <f>IF(SER_hh_tes!P33=0,"",SER_hh_tes!P33/SER_hh_fec!P33)</f>
        <v>0.84681251947871705</v>
      </c>
      <c r="Q33" s="149">
        <f>IF(SER_hh_tes!Q33=0,"",SER_hh_tes!Q33/SER_hh_fec!Q33)</f>
        <v>0.85052674024626984</v>
      </c>
      <c r="R33" s="149">
        <f>IF(SER_hh_tes!R33=0,"",SER_hh_tes!R33/SER_hh_fec!R33)</f>
        <v>0.85490714313891358</v>
      </c>
      <c r="S33" s="149">
        <f>IF(SER_hh_tes!S33=0,"",SER_hh_tes!S33/SER_hh_fec!S33)</f>
        <v>0.85994988587227528</v>
      </c>
      <c r="T33" s="149">
        <f>IF(SER_hh_tes!T33=0,"",SER_hh_tes!T33/SER_hh_fec!T33)</f>
        <v>0.86499268578732946</v>
      </c>
      <c r="U33" s="149">
        <f>IF(SER_hh_tes!U33=0,"",SER_hh_tes!U33/SER_hh_fec!U33)</f>
        <v>0.87094369053779852</v>
      </c>
      <c r="V33" s="149">
        <f>IF(SER_hh_tes!V33=0,"",SER_hh_tes!V33/SER_hh_fec!V33)</f>
        <v>0.8790226746662092</v>
      </c>
      <c r="W33" s="149">
        <f>IF(SER_hh_tes!W33=0,"",SER_hh_tes!W33/SER_hh_fec!W33)</f>
        <v>0.88850481217197708</v>
      </c>
      <c r="X33" s="149">
        <f>IF(SER_hh_tes!X33=0,"",SER_hh_tes!X33/SER_hh_fec!X33)</f>
        <v>0.89971523521388241</v>
      </c>
      <c r="Y33" s="149">
        <f>IF(SER_hh_tes!Y33=0,"",SER_hh_tes!Y33/SER_hh_fec!Y33)</f>
        <v>0.90706780206580684</v>
      </c>
      <c r="DA33" s="167" t="s">
        <v>356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357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84</v>
      </c>
      <c r="B3" s="125">
        <f t="shared" ref="B3:Q3" si="0">SUM(B4,B16,B19,B29)</f>
        <v>16263.801719999999</v>
      </c>
      <c r="C3" s="125">
        <f t="shared" si="0"/>
        <v>16476.04594656</v>
      </c>
      <c r="D3" s="125">
        <f t="shared" si="0"/>
        <v>15712.413492599997</v>
      </c>
      <c r="E3" s="125">
        <f t="shared" si="0"/>
        <v>17939.038277520005</v>
      </c>
      <c r="F3" s="125">
        <f t="shared" si="0"/>
        <v>17913.980258280004</v>
      </c>
      <c r="G3" s="125">
        <f t="shared" si="0"/>
        <v>20905.90756236</v>
      </c>
      <c r="H3" s="125">
        <f t="shared" si="0"/>
        <v>21142.080441719998</v>
      </c>
      <c r="I3" s="125">
        <f t="shared" si="0"/>
        <v>19765.301832000008</v>
      </c>
      <c r="J3" s="125">
        <f t="shared" si="0"/>
        <v>23549.796985320016</v>
      </c>
      <c r="K3" s="125">
        <f t="shared" si="0"/>
        <v>22879.722359520001</v>
      </c>
      <c r="L3" s="125">
        <f t="shared" si="0"/>
        <v>22925.816019720012</v>
      </c>
      <c r="M3" s="125">
        <f t="shared" si="0"/>
        <v>19476.447390720004</v>
      </c>
      <c r="N3" s="125">
        <f t="shared" si="0"/>
        <v>19220.04967176</v>
      </c>
      <c r="O3" s="125">
        <f t="shared" si="0"/>
        <v>19037.720671920015</v>
      </c>
      <c r="P3" s="125">
        <f t="shared" si="0"/>
        <v>16040.953305719999</v>
      </c>
      <c r="Q3" s="125">
        <f t="shared" si="0"/>
        <v>17204.547701520001</v>
      </c>
      <c r="R3" s="125">
        <f t="shared" ref="R3:W3" si="1">SUM(R4,R16,R19,R29)</f>
        <v>17336.958008400012</v>
      </c>
      <c r="S3" s="125">
        <f t="shared" si="1"/>
        <v>17224.349790390188</v>
      </c>
      <c r="T3" s="125">
        <f t="shared" si="1"/>
        <v>18785.960057186065</v>
      </c>
      <c r="U3" s="125">
        <f t="shared" si="1"/>
        <v>18217.299487721139</v>
      </c>
      <c r="V3" s="125">
        <f t="shared" si="1"/>
        <v>17175.67603654565</v>
      </c>
      <c r="W3" s="125">
        <f t="shared" si="1"/>
        <v>15650.140614545177</v>
      </c>
      <c r="X3" s="125">
        <f t="shared" ref="X3:Y3" si="2">SUM(X4,X16,X19,X29)</f>
        <v>13695.072033403729</v>
      </c>
      <c r="Y3" s="125">
        <f t="shared" si="2"/>
        <v>14960.840046755879</v>
      </c>
      <c r="DA3" s="154" t="s">
        <v>233</v>
      </c>
    </row>
    <row r="4" spans="1:105" ht="12.95" customHeight="1" x14ac:dyDescent="0.25">
      <c r="A4" s="129" t="s">
        <v>32</v>
      </c>
      <c r="B4" s="130">
        <f t="shared" ref="B4:Q4" si="3">SUM(B5:B15)</f>
        <v>10924.223010755284</v>
      </c>
      <c r="C4" s="130">
        <f t="shared" si="3"/>
        <v>11229.331730156673</v>
      </c>
      <c r="D4" s="130">
        <f t="shared" si="3"/>
        <v>10699.045455230778</v>
      </c>
      <c r="E4" s="130">
        <f t="shared" si="3"/>
        <v>13400.365990382166</v>
      </c>
      <c r="F4" s="130">
        <f t="shared" si="3"/>
        <v>13579.418362637649</v>
      </c>
      <c r="G4" s="130">
        <f t="shared" si="3"/>
        <v>16421.117314249605</v>
      </c>
      <c r="H4" s="130">
        <f t="shared" si="3"/>
        <v>16855.688484317368</v>
      </c>
      <c r="I4" s="130">
        <f t="shared" si="3"/>
        <v>15225.804106237158</v>
      </c>
      <c r="J4" s="130">
        <f t="shared" si="3"/>
        <v>19173.953123478765</v>
      </c>
      <c r="K4" s="130">
        <f t="shared" si="3"/>
        <v>18291.451494743575</v>
      </c>
      <c r="L4" s="130">
        <f t="shared" si="3"/>
        <v>18335.466759597643</v>
      </c>
      <c r="M4" s="130">
        <f t="shared" si="3"/>
        <v>14795.241388892346</v>
      </c>
      <c r="N4" s="130">
        <f t="shared" si="3"/>
        <v>14539.169276519875</v>
      </c>
      <c r="O4" s="130">
        <f t="shared" si="3"/>
        <v>14259.364863139323</v>
      </c>
      <c r="P4" s="130">
        <f t="shared" si="3"/>
        <v>10937.757352862685</v>
      </c>
      <c r="Q4" s="130">
        <f t="shared" si="3"/>
        <v>12050.89858166307</v>
      </c>
      <c r="R4" s="130">
        <f t="shared" ref="R4:W4" si="4">SUM(R5:R15)</f>
        <v>12092.146807528945</v>
      </c>
      <c r="S4" s="130">
        <f t="shared" si="4"/>
        <v>11916.006708083554</v>
      </c>
      <c r="T4" s="130">
        <f t="shared" si="4"/>
        <v>13615.961537088795</v>
      </c>
      <c r="U4" s="130">
        <f t="shared" si="4"/>
        <v>13101.697093075813</v>
      </c>
      <c r="V4" s="130">
        <f t="shared" si="4"/>
        <v>12471.059423078124</v>
      </c>
      <c r="W4" s="130">
        <f t="shared" si="4"/>
        <v>10953.875760552615</v>
      </c>
      <c r="X4" s="130">
        <f t="shared" ref="X4:Y4" si="5">SUM(X5:X15)</f>
        <v>8953.7010903192931</v>
      </c>
      <c r="Y4" s="130">
        <f t="shared" si="5"/>
        <v>10181.97418108163</v>
      </c>
      <c r="DA4" s="155" t="s">
        <v>234</v>
      </c>
    </row>
    <row r="5" spans="1:105" ht="12" customHeight="1" x14ac:dyDescent="0.25">
      <c r="A5" s="131" t="s">
        <v>29</v>
      </c>
      <c r="B5" s="132">
        <v>0</v>
      </c>
      <c r="C5" s="132">
        <v>0</v>
      </c>
      <c r="D5" s="132">
        <v>0</v>
      </c>
      <c r="E5" s="132">
        <v>0</v>
      </c>
      <c r="F5" s="132">
        <v>0</v>
      </c>
      <c r="G5" s="132">
        <v>0</v>
      </c>
      <c r="H5" s="132">
        <v>0</v>
      </c>
      <c r="I5" s="132">
        <v>0</v>
      </c>
      <c r="J5" s="132">
        <v>0</v>
      </c>
      <c r="K5" s="132">
        <v>0</v>
      </c>
      <c r="L5" s="132">
        <v>0</v>
      </c>
      <c r="M5" s="132">
        <v>0</v>
      </c>
      <c r="N5" s="132">
        <v>0</v>
      </c>
      <c r="O5" s="132">
        <v>0</v>
      </c>
      <c r="P5" s="132">
        <v>0</v>
      </c>
      <c r="Q5" s="132">
        <v>0</v>
      </c>
      <c r="R5" s="132">
        <v>0</v>
      </c>
      <c r="S5" s="132">
        <v>0</v>
      </c>
      <c r="T5" s="132">
        <v>0</v>
      </c>
      <c r="U5" s="132">
        <v>0</v>
      </c>
      <c r="V5" s="132">
        <v>0</v>
      </c>
      <c r="W5" s="132">
        <v>0</v>
      </c>
      <c r="X5" s="132">
        <v>0</v>
      </c>
      <c r="Y5" s="132">
        <v>0</v>
      </c>
      <c r="DA5" s="156" t="s">
        <v>358</v>
      </c>
    </row>
    <row r="6" spans="1:105" ht="12" customHeight="1" x14ac:dyDescent="0.25">
      <c r="A6" s="131" t="s">
        <v>52</v>
      </c>
      <c r="B6" s="132">
        <v>806.6347454993554</v>
      </c>
      <c r="C6" s="132">
        <v>796.24861750037337</v>
      </c>
      <c r="D6" s="132">
        <v>744.27946667256981</v>
      </c>
      <c r="E6" s="132">
        <v>888.6146927538615</v>
      </c>
      <c r="F6" s="132">
        <v>870.4902570117514</v>
      </c>
      <c r="G6" s="132">
        <v>951.86514056590931</v>
      </c>
      <c r="H6" s="132">
        <v>899.93550733004145</v>
      </c>
      <c r="I6" s="132">
        <v>806.5528240712589</v>
      </c>
      <c r="J6" s="132">
        <v>914.63451519809803</v>
      </c>
      <c r="K6" s="132">
        <v>899.44967798443383</v>
      </c>
      <c r="L6" s="132">
        <v>893.13217101668681</v>
      </c>
      <c r="M6" s="132">
        <v>742.71199951139397</v>
      </c>
      <c r="N6" s="132">
        <v>599.861320901466</v>
      </c>
      <c r="O6" s="132">
        <v>583.11684074091306</v>
      </c>
      <c r="P6" s="132">
        <v>467.61291269133091</v>
      </c>
      <c r="Q6" s="132">
        <v>424.57267749803879</v>
      </c>
      <c r="R6" s="132">
        <v>462.3287396298382</v>
      </c>
      <c r="S6" s="132">
        <v>478.58181447671603</v>
      </c>
      <c r="T6" s="132">
        <v>453.32261442565664</v>
      </c>
      <c r="U6" s="132">
        <v>473.24846468045786</v>
      </c>
      <c r="V6" s="132">
        <v>462.71041221106964</v>
      </c>
      <c r="W6" s="132">
        <v>580.56923486199287</v>
      </c>
      <c r="X6" s="132">
        <v>489.15308283256644</v>
      </c>
      <c r="Y6" s="132">
        <v>481.89639710687129</v>
      </c>
      <c r="DA6" s="156" t="s">
        <v>359</v>
      </c>
    </row>
    <row r="7" spans="1:105" ht="12" customHeight="1" x14ac:dyDescent="0.25">
      <c r="A7" s="131" t="s">
        <v>161</v>
      </c>
      <c r="B7" s="132">
        <v>1081.6322870520335</v>
      </c>
      <c r="C7" s="132">
        <v>695.19998523617414</v>
      </c>
      <c r="D7" s="132">
        <v>952.16710332771436</v>
      </c>
      <c r="E7" s="132">
        <v>1290.6152797581758</v>
      </c>
      <c r="F7" s="132">
        <v>1404.2175486402798</v>
      </c>
      <c r="G7" s="132">
        <v>1489.6013273731246</v>
      </c>
      <c r="H7" s="132">
        <v>1561.076676689011</v>
      </c>
      <c r="I7" s="132">
        <v>1435.2084518465954</v>
      </c>
      <c r="J7" s="132">
        <v>1636.9910420855824</v>
      </c>
      <c r="K7" s="132">
        <v>945.19563349294231</v>
      </c>
      <c r="L7" s="132">
        <v>1012.4978600063375</v>
      </c>
      <c r="M7" s="132">
        <v>903.83122008330099</v>
      </c>
      <c r="N7" s="132">
        <v>837.59026861108396</v>
      </c>
      <c r="O7" s="132">
        <v>683.27434173458505</v>
      </c>
      <c r="P7" s="132">
        <v>673.33226151846964</v>
      </c>
      <c r="Q7" s="132">
        <v>751.18777771111309</v>
      </c>
      <c r="R7" s="132">
        <v>734.39679759145088</v>
      </c>
      <c r="S7" s="132">
        <v>480.82174976110741</v>
      </c>
      <c r="T7" s="132">
        <v>532.43435597198902</v>
      </c>
      <c r="U7" s="132">
        <v>363.15486839817731</v>
      </c>
      <c r="V7" s="132">
        <v>272.51836290391469</v>
      </c>
      <c r="W7" s="132">
        <v>466.66902229374364</v>
      </c>
      <c r="X7" s="132">
        <v>627.53224947282604</v>
      </c>
      <c r="Y7" s="132">
        <v>619.51845216088498</v>
      </c>
      <c r="DA7" s="156" t="s">
        <v>360</v>
      </c>
    </row>
    <row r="8" spans="1:105" ht="12" customHeight="1" x14ac:dyDescent="0.25">
      <c r="A8" s="131" t="s">
        <v>73</v>
      </c>
      <c r="B8" s="132">
        <v>5.4622155453302446</v>
      </c>
      <c r="C8" s="132">
        <v>7.2256703957604023</v>
      </c>
      <c r="D8" s="132">
        <v>8.2707639324253694</v>
      </c>
      <c r="E8" s="132">
        <v>10.881396169946756</v>
      </c>
      <c r="F8" s="132">
        <v>12.236777149313955</v>
      </c>
      <c r="G8" s="132">
        <v>14.008475655028713</v>
      </c>
      <c r="H8" s="132">
        <v>15.752431726847202</v>
      </c>
      <c r="I8" s="132">
        <v>17.490535782912762</v>
      </c>
      <c r="J8" s="132">
        <v>19.431457938970279</v>
      </c>
      <c r="K8" s="132">
        <v>21.487520345654854</v>
      </c>
      <c r="L8" s="132">
        <v>23.878759383989941</v>
      </c>
      <c r="M8" s="132">
        <v>28.48830231830863</v>
      </c>
      <c r="N8" s="132">
        <v>35.535992591369606</v>
      </c>
      <c r="O8" s="132">
        <v>47.527906703168021</v>
      </c>
      <c r="P8" s="132">
        <v>63.546682967619653</v>
      </c>
      <c r="Q8" s="132">
        <v>86.11522788454009</v>
      </c>
      <c r="R8" s="132">
        <v>86.77098993190917</v>
      </c>
      <c r="S8" s="132">
        <v>89.338478274094356</v>
      </c>
      <c r="T8" s="132">
        <v>93.35418966573026</v>
      </c>
      <c r="U8" s="132">
        <v>98.543890113589313</v>
      </c>
      <c r="V8" s="132">
        <v>109.70667501908767</v>
      </c>
      <c r="W8" s="132">
        <v>124.77141833426268</v>
      </c>
      <c r="X8" s="132">
        <v>120.58963191763264</v>
      </c>
      <c r="Y8" s="132">
        <v>118.73994012997439</v>
      </c>
      <c r="DA8" s="156" t="s">
        <v>361</v>
      </c>
    </row>
    <row r="9" spans="1:105" ht="12" customHeight="1" x14ac:dyDescent="0.25">
      <c r="A9" s="131" t="s">
        <v>78</v>
      </c>
      <c r="B9" s="132">
        <v>9030.4937626585652</v>
      </c>
      <c r="C9" s="132">
        <v>9730.6574570243647</v>
      </c>
      <c r="D9" s="132">
        <v>8994.3281212980692</v>
      </c>
      <c r="E9" s="132">
        <v>11210.254621700182</v>
      </c>
      <c r="F9" s="132">
        <v>11292.473779836304</v>
      </c>
      <c r="G9" s="132">
        <v>13965.642370655543</v>
      </c>
      <c r="H9" s="132">
        <v>14378.92386857147</v>
      </c>
      <c r="I9" s="132">
        <v>12966.55229453639</v>
      </c>
      <c r="J9" s="132">
        <v>16602.896108256115</v>
      </c>
      <c r="K9" s="132">
        <v>16425.318662920545</v>
      </c>
      <c r="L9" s="132">
        <v>16405.957969190629</v>
      </c>
      <c r="M9" s="132">
        <v>13120.209866979341</v>
      </c>
      <c r="N9" s="132">
        <v>13066.181694415955</v>
      </c>
      <c r="O9" s="132">
        <v>12945.445773960657</v>
      </c>
      <c r="P9" s="132">
        <v>9733.2654956852657</v>
      </c>
      <c r="Q9" s="132">
        <v>10789.022898569379</v>
      </c>
      <c r="R9" s="132">
        <v>10808.650280375747</v>
      </c>
      <c r="S9" s="132">
        <v>10867.264665571636</v>
      </c>
      <c r="T9" s="132">
        <v>12536.850377025419</v>
      </c>
      <c r="U9" s="132">
        <v>12166.749869883588</v>
      </c>
      <c r="V9" s="132">
        <v>11626.123972944053</v>
      </c>
      <c r="W9" s="132">
        <v>9748.2363658626164</v>
      </c>
      <c r="X9" s="132">
        <v>7620.1763196962693</v>
      </c>
      <c r="Y9" s="132">
        <v>8880.5809024838982</v>
      </c>
      <c r="DA9" s="156" t="s">
        <v>362</v>
      </c>
    </row>
    <row r="10" spans="1:105" ht="12" customHeight="1" x14ac:dyDescent="0.25">
      <c r="A10" s="131" t="s">
        <v>128</v>
      </c>
      <c r="B10" s="132">
        <v>0</v>
      </c>
      <c r="C10" s="132">
        <v>0</v>
      </c>
      <c r="D10" s="132">
        <v>0</v>
      </c>
      <c r="E10" s="132">
        <v>0</v>
      </c>
      <c r="F10" s="132">
        <v>0</v>
      </c>
      <c r="G10" s="132">
        <v>0</v>
      </c>
      <c r="H10" s="132">
        <v>0</v>
      </c>
      <c r="I10" s="132">
        <v>0</v>
      </c>
      <c r="J10" s="132">
        <v>0</v>
      </c>
      <c r="K10" s="132">
        <v>0</v>
      </c>
      <c r="L10" s="132">
        <v>0</v>
      </c>
      <c r="M10" s="132">
        <v>0</v>
      </c>
      <c r="N10" s="132">
        <v>0</v>
      </c>
      <c r="O10" s="132">
        <v>0</v>
      </c>
      <c r="P10" s="132">
        <v>0</v>
      </c>
      <c r="Q10" s="132">
        <v>0</v>
      </c>
      <c r="R10" s="132">
        <v>0</v>
      </c>
      <c r="S10" s="132">
        <v>0</v>
      </c>
      <c r="T10" s="132">
        <v>0</v>
      </c>
      <c r="U10" s="132">
        <v>0</v>
      </c>
      <c r="V10" s="132">
        <v>0</v>
      </c>
      <c r="W10" s="132">
        <v>33.629719199999975</v>
      </c>
      <c r="X10" s="132">
        <v>96.249806399999926</v>
      </c>
      <c r="Y10" s="132">
        <v>81.238489200000018</v>
      </c>
      <c r="DA10" s="156" t="s">
        <v>363</v>
      </c>
    </row>
    <row r="11" spans="1:105" ht="12" customHeight="1" x14ac:dyDescent="0.25">
      <c r="A11" s="131" t="s">
        <v>25</v>
      </c>
      <c r="B11" s="132">
        <v>0</v>
      </c>
      <c r="C11" s="132">
        <v>0</v>
      </c>
      <c r="D11" s="132">
        <v>0</v>
      </c>
      <c r="E11" s="132">
        <v>0</v>
      </c>
      <c r="F11" s="132">
        <v>0</v>
      </c>
      <c r="G11" s="132">
        <v>0</v>
      </c>
      <c r="H11" s="132">
        <v>0</v>
      </c>
      <c r="I11" s="132">
        <v>0</v>
      </c>
      <c r="J11" s="132">
        <v>0</v>
      </c>
      <c r="K11" s="132">
        <v>0</v>
      </c>
      <c r="L11" s="132">
        <v>0</v>
      </c>
      <c r="M11" s="132">
        <v>0</v>
      </c>
      <c r="N11" s="132">
        <v>0</v>
      </c>
      <c r="O11" s="132">
        <v>0</v>
      </c>
      <c r="P11" s="132">
        <v>0</v>
      </c>
      <c r="Q11" s="132">
        <v>0</v>
      </c>
      <c r="R11" s="132">
        <v>0</v>
      </c>
      <c r="S11" s="132">
        <v>0</v>
      </c>
      <c r="T11" s="132">
        <v>0</v>
      </c>
      <c r="U11" s="132">
        <v>0</v>
      </c>
      <c r="V11" s="132">
        <v>0</v>
      </c>
      <c r="W11" s="132">
        <v>0</v>
      </c>
      <c r="X11" s="132">
        <v>0</v>
      </c>
      <c r="Y11" s="132">
        <v>0</v>
      </c>
      <c r="DA11" s="156" t="s">
        <v>364</v>
      </c>
    </row>
    <row r="12" spans="1:105" ht="12" customHeight="1" x14ac:dyDescent="0.25">
      <c r="A12" s="131" t="s">
        <v>162</v>
      </c>
      <c r="B12" s="132">
        <v>0</v>
      </c>
      <c r="C12" s="132">
        <v>0</v>
      </c>
      <c r="D12" s="132">
        <v>0</v>
      </c>
      <c r="E12" s="132">
        <v>0</v>
      </c>
      <c r="F12" s="132">
        <v>0</v>
      </c>
      <c r="G12" s="132">
        <v>0</v>
      </c>
      <c r="H12" s="132">
        <v>0</v>
      </c>
      <c r="I12" s="132">
        <v>0</v>
      </c>
      <c r="J12" s="132">
        <v>0</v>
      </c>
      <c r="K12" s="132">
        <v>0</v>
      </c>
      <c r="L12" s="132">
        <v>0</v>
      </c>
      <c r="M12" s="132">
        <v>0</v>
      </c>
      <c r="N12" s="132">
        <v>0</v>
      </c>
      <c r="O12" s="132">
        <v>0</v>
      </c>
      <c r="P12" s="132">
        <v>0</v>
      </c>
      <c r="Q12" s="132">
        <v>0</v>
      </c>
      <c r="R12" s="132">
        <v>0</v>
      </c>
      <c r="S12" s="132">
        <v>0</v>
      </c>
      <c r="T12" s="132">
        <v>0</v>
      </c>
      <c r="U12" s="132">
        <v>0</v>
      </c>
      <c r="V12" s="132">
        <v>0</v>
      </c>
      <c r="W12" s="132">
        <v>0</v>
      </c>
      <c r="X12" s="132">
        <v>0</v>
      </c>
      <c r="Y12" s="132">
        <v>0</v>
      </c>
      <c r="DA12" s="156" t="s">
        <v>365</v>
      </c>
    </row>
    <row r="13" spans="1:105" ht="12" customHeight="1" x14ac:dyDescent="0.25">
      <c r="A13" s="131" t="s">
        <v>77</v>
      </c>
      <c r="B13" s="132">
        <v>0</v>
      </c>
      <c r="C13" s="132">
        <v>0</v>
      </c>
      <c r="D13" s="132">
        <v>0</v>
      </c>
      <c r="E13" s="132">
        <v>0</v>
      </c>
      <c r="F13" s="132">
        <v>0</v>
      </c>
      <c r="G13" s="132">
        <v>0</v>
      </c>
      <c r="H13" s="132">
        <v>0</v>
      </c>
      <c r="I13" s="132">
        <v>0</v>
      </c>
      <c r="J13" s="132">
        <v>0</v>
      </c>
      <c r="K13" s="132">
        <v>0</v>
      </c>
      <c r="L13" s="132">
        <v>0</v>
      </c>
      <c r="M13" s="132">
        <v>0</v>
      </c>
      <c r="N13" s="132">
        <v>0</v>
      </c>
      <c r="O13" s="132">
        <v>0</v>
      </c>
      <c r="P13" s="132">
        <v>0</v>
      </c>
      <c r="Q13" s="132">
        <v>0</v>
      </c>
      <c r="R13" s="132">
        <v>0</v>
      </c>
      <c r="S13" s="132">
        <v>0</v>
      </c>
      <c r="T13" s="132">
        <v>0</v>
      </c>
      <c r="U13" s="132">
        <v>0</v>
      </c>
      <c r="V13" s="132">
        <v>0</v>
      </c>
      <c r="W13" s="132">
        <v>0</v>
      </c>
      <c r="X13" s="132">
        <v>0</v>
      </c>
      <c r="Y13" s="132">
        <v>0</v>
      </c>
      <c r="DA13" s="156" t="s">
        <v>366</v>
      </c>
    </row>
    <row r="14" spans="1:105" ht="12" customHeight="1" x14ac:dyDescent="0.25">
      <c r="A14" s="60" t="s">
        <v>76</v>
      </c>
      <c r="B14" s="65">
        <v>0</v>
      </c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X14" s="65">
        <v>0</v>
      </c>
      <c r="Y14" s="65">
        <v>0</v>
      </c>
      <c r="DA14" s="109" t="s">
        <v>367</v>
      </c>
    </row>
    <row r="15" spans="1:105" ht="12" customHeight="1" x14ac:dyDescent="0.25">
      <c r="A15" s="133" t="s">
        <v>80</v>
      </c>
      <c r="B15" s="134">
        <v>0</v>
      </c>
      <c r="C15" s="134">
        <v>0</v>
      </c>
      <c r="D15" s="134">
        <v>0</v>
      </c>
      <c r="E15" s="134">
        <v>0</v>
      </c>
      <c r="F15" s="134">
        <v>0</v>
      </c>
      <c r="G15" s="134">
        <v>0</v>
      </c>
      <c r="H15" s="134">
        <v>0</v>
      </c>
      <c r="I15" s="134">
        <v>0</v>
      </c>
      <c r="J15" s="134">
        <v>0</v>
      </c>
      <c r="K15" s="134">
        <v>0</v>
      </c>
      <c r="L15" s="134">
        <v>0</v>
      </c>
      <c r="M15" s="134">
        <v>0</v>
      </c>
      <c r="N15" s="134">
        <v>0</v>
      </c>
      <c r="O15" s="134">
        <v>0</v>
      </c>
      <c r="P15" s="134">
        <v>0</v>
      </c>
      <c r="Q15" s="134">
        <v>0</v>
      </c>
      <c r="R15" s="134">
        <v>0</v>
      </c>
      <c r="S15" s="134">
        <v>0</v>
      </c>
      <c r="T15" s="134">
        <v>0</v>
      </c>
      <c r="U15" s="134">
        <v>0</v>
      </c>
      <c r="V15" s="134">
        <v>0</v>
      </c>
      <c r="W15" s="134">
        <v>0</v>
      </c>
      <c r="X15" s="134">
        <v>0</v>
      </c>
      <c r="Y15" s="134">
        <v>0</v>
      </c>
      <c r="DA15" s="157" t="s">
        <v>368</v>
      </c>
    </row>
    <row r="16" spans="1:105" ht="12.95" customHeight="1" x14ac:dyDescent="0.25">
      <c r="A16" s="129" t="s">
        <v>74</v>
      </c>
      <c r="B16" s="130">
        <f t="shared" ref="B16:Q16" si="6">SUM(B17:B18)</f>
        <v>1.0112558920605279</v>
      </c>
      <c r="C16" s="130">
        <f t="shared" si="6"/>
        <v>1.7405307139656436</v>
      </c>
      <c r="D16" s="130">
        <f t="shared" si="6"/>
        <v>1.626783895158094</v>
      </c>
      <c r="E16" s="130">
        <f t="shared" si="6"/>
        <v>4.9366890684812139</v>
      </c>
      <c r="F16" s="130">
        <f t="shared" si="6"/>
        <v>2.9479154792096169</v>
      </c>
      <c r="G16" s="130">
        <f t="shared" si="6"/>
        <v>3.3180247492499255</v>
      </c>
      <c r="H16" s="130">
        <f t="shared" si="6"/>
        <v>4.8616192993499112</v>
      </c>
      <c r="I16" s="130">
        <f t="shared" si="6"/>
        <v>5.4078105803517085</v>
      </c>
      <c r="J16" s="130">
        <f t="shared" si="6"/>
        <v>7.5899839458585543</v>
      </c>
      <c r="K16" s="130">
        <f t="shared" si="6"/>
        <v>9.6759470139708821</v>
      </c>
      <c r="L16" s="130">
        <f t="shared" si="6"/>
        <v>9.2990831488816887</v>
      </c>
      <c r="M16" s="130">
        <f t="shared" si="6"/>
        <v>11.447431911462349</v>
      </c>
      <c r="N16" s="130">
        <f t="shared" si="6"/>
        <v>19.88573402580386</v>
      </c>
      <c r="O16" s="130">
        <f t="shared" si="6"/>
        <v>13.435817859284898</v>
      </c>
      <c r="P16" s="130">
        <f t="shared" si="6"/>
        <v>12.939419751316812</v>
      </c>
      <c r="Q16" s="130">
        <f t="shared" si="6"/>
        <v>24.827356663134147</v>
      </c>
      <c r="R16" s="130">
        <f t="shared" ref="R16:W16" si="7">SUM(R17:R18)</f>
        <v>17.438434574103344</v>
      </c>
      <c r="S16" s="130">
        <f t="shared" si="7"/>
        <v>27.854515717093758</v>
      </c>
      <c r="T16" s="130">
        <f t="shared" si="7"/>
        <v>21.963146536905111</v>
      </c>
      <c r="U16" s="130">
        <f t="shared" si="7"/>
        <v>29.550455409690151</v>
      </c>
      <c r="V16" s="130">
        <f t="shared" si="7"/>
        <v>21.640064970229254</v>
      </c>
      <c r="W16" s="130">
        <f t="shared" si="7"/>
        <v>26.536681182932476</v>
      </c>
      <c r="X16" s="130">
        <f t="shared" ref="X16:Y16" si="8">SUM(X17:X18)</f>
        <v>36.697494426073277</v>
      </c>
      <c r="Y16" s="130">
        <f t="shared" si="8"/>
        <v>33.820477500373798</v>
      </c>
      <c r="DA16" s="155" t="s">
        <v>235</v>
      </c>
    </row>
    <row r="17" spans="1:105" ht="12.95" customHeight="1" x14ac:dyDescent="0.25">
      <c r="A17" s="131" t="s">
        <v>73</v>
      </c>
      <c r="B17" s="132">
        <v>1.0112558920605279</v>
      </c>
      <c r="C17" s="132">
        <v>1.7405307139656436</v>
      </c>
      <c r="D17" s="132">
        <v>1.626783895158094</v>
      </c>
      <c r="E17" s="132">
        <v>4.9366890684812139</v>
      </c>
      <c r="F17" s="132">
        <v>2.9479154792096169</v>
      </c>
      <c r="G17" s="132">
        <v>3.3180247492499255</v>
      </c>
      <c r="H17" s="132">
        <v>4.8616192993499112</v>
      </c>
      <c r="I17" s="132">
        <v>5.4078105803517085</v>
      </c>
      <c r="J17" s="132">
        <v>7.5899839458585543</v>
      </c>
      <c r="K17" s="132">
        <v>9.6759470139708821</v>
      </c>
      <c r="L17" s="132">
        <v>9.2990831488816887</v>
      </c>
      <c r="M17" s="132">
        <v>11.447431911462349</v>
      </c>
      <c r="N17" s="132">
        <v>19.88573402580386</v>
      </c>
      <c r="O17" s="132">
        <v>13.435817859284898</v>
      </c>
      <c r="P17" s="132">
        <v>12.939419751316812</v>
      </c>
      <c r="Q17" s="132">
        <v>24.827356663134147</v>
      </c>
      <c r="R17" s="132">
        <v>17.438434574103344</v>
      </c>
      <c r="S17" s="132">
        <v>27.854515717093758</v>
      </c>
      <c r="T17" s="132">
        <v>21.963146536905111</v>
      </c>
      <c r="U17" s="132">
        <v>29.550455409690151</v>
      </c>
      <c r="V17" s="132">
        <v>21.640064970229254</v>
      </c>
      <c r="W17" s="132">
        <v>26.536681182932476</v>
      </c>
      <c r="X17" s="132">
        <v>36.697494426073277</v>
      </c>
      <c r="Y17" s="132">
        <v>33.820477500373798</v>
      </c>
      <c r="DA17" s="156" t="s">
        <v>369</v>
      </c>
    </row>
    <row r="18" spans="1:105" ht="12" customHeight="1" x14ac:dyDescent="0.25">
      <c r="A18" s="131" t="s">
        <v>72</v>
      </c>
      <c r="B18" s="132">
        <v>0</v>
      </c>
      <c r="C18" s="132">
        <v>0</v>
      </c>
      <c r="D18" s="132">
        <v>0</v>
      </c>
      <c r="E18" s="132">
        <v>0</v>
      </c>
      <c r="F18" s="132">
        <v>0</v>
      </c>
      <c r="G18" s="132">
        <v>0</v>
      </c>
      <c r="H18" s="132">
        <v>0</v>
      </c>
      <c r="I18" s="132">
        <v>0</v>
      </c>
      <c r="J18" s="132">
        <v>0</v>
      </c>
      <c r="K18" s="132">
        <v>0</v>
      </c>
      <c r="L18" s="132">
        <v>0</v>
      </c>
      <c r="M18" s="132">
        <v>0</v>
      </c>
      <c r="N18" s="132">
        <v>0</v>
      </c>
      <c r="O18" s="132">
        <v>0</v>
      </c>
      <c r="P18" s="132">
        <v>0</v>
      </c>
      <c r="Q18" s="132">
        <v>0</v>
      </c>
      <c r="R18" s="132">
        <v>0</v>
      </c>
      <c r="S18" s="132">
        <v>0</v>
      </c>
      <c r="T18" s="132">
        <v>0</v>
      </c>
      <c r="U18" s="132">
        <v>0</v>
      </c>
      <c r="V18" s="132">
        <v>0</v>
      </c>
      <c r="W18" s="132">
        <v>0</v>
      </c>
      <c r="X18" s="132">
        <v>0</v>
      </c>
      <c r="Y18" s="132">
        <v>0</v>
      </c>
      <c r="DA18" s="156" t="s">
        <v>370</v>
      </c>
    </row>
    <row r="19" spans="1:105" ht="12.95" customHeight="1" x14ac:dyDescent="0.25">
      <c r="A19" s="129" t="s">
        <v>35</v>
      </c>
      <c r="B19" s="130">
        <f t="shared" ref="B19:Q19" si="9">SUM(B20:B27)</f>
        <v>2089.4738606804212</v>
      </c>
      <c r="C19" s="130">
        <f t="shared" si="9"/>
        <v>2087.7154099280733</v>
      </c>
      <c r="D19" s="130">
        <f t="shared" si="9"/>
        <v>2051.3867282117494</v>
      </c>
      <c r="E19" s="130">
        <f t="shared" si="9"/>
        <v>2015.2787580417876</v>
      </c>
      <c r="F19" s="130">
        <f t="shared" si="9"/>
        <v>1982.1585929318576</v>
      </c>
      <c r="G19" s="130">
        <f t="shared" si="9"/>
        <v>1991.3692169040507</v>
      </c>
      <c r="H19" s="130">
        <f t="shared" si="9"/>
        <v>1982.6851390810932</v>
      </c>
      <c r="I19" s="130">
        <f t="shared" si="9"/>
        <v>1951.9206879517037</v>
      </c>
      <c r="J19" s="130">
        <f t="shared" si="9"/>
        <v>1949.8629977581277</v>
      </c>
      <c r="K19" s="130">
        <f t="shared" si="9"/>
        <v>1904.0867831609633</v>
      </c>
      <c r="L19" s="130">
        <f t="shared" si="9"/>
        <v>1856.7617926628345</v>
      </c>
      <c r="M19" s="130">
        <f t="shared" si="9"/>
        <v>1858.3191101702071</v>
      </c>
      <c r="N19" s="130">
        <f t="shared" si="9"/>
        <v>1830.1257499061735</v>
      </c>
      <c r="O19" s="130">
        <f t="shared" si="9"/>
        <v>1823.4887514650804</v>
      </c>
      <c r="P19" s="130">
        <f t="shared" si="9"/>
        <v>1809.3473531150789</v>
      </c>
      <c r="Q19" s="130">
        <f t="shared" si="9"/>
        <v>1810.0947236128022</v>
      </c>
      <c r="R19" s="130">
        <f t="shared" ref="R19:W19" si="10">SUM(R20:R27)</f>
        <v>1825.7417913583449</v>
      </c>
      <c r="S19" s="130">
        <f t="shared" si="10"/>
        <v>1893.3369943388602</v>
      </c>
      <c r="T19" s="130">
        <f t="shared" si="10"/>
        <v>1978.1311053940242</v>
      </c>
      <c r="U19" s="130">
        <f t="shared" si="10"/>
        <v>1704.716929173147</v>
      </c>
      <c r="V19" s="130">
        <f t="shared" si="10"/>
        <v>1570.0853785213212</v>
      </c>
      <c r="W19" s="130">
        <f t="shared" si="10"/>
        <v>1642.9478354968944</v>
      </c>
      <c r="X19" s="130">
        <f t="shared" ref="X19:Y19" si="11">SUM(X20:X27)</f>
        <v>1646.745516770015</v>
      </c>
      <c r="Y19" s="130">
        <f t="shared" si="11"/>
        <v>1649.0631254740613</v>
      </c>
      <c r="DA19" s="155" t="s">
        <v>236</v>
      </c>
    </row>
    <row r="20" spans="1:105" ht="12" customHeight="1" x14ac:dyDescent="0.25">
      <c r="A20" s="131" t="s">
        <v>29</v>
      </c>
      <c r="B20" s="132">
        <v>0</v>
      </c>
      <c r="C20" s="132">
        <v>0</v>
      </c>
      <c r="D20" s="132">
        <v>0</v>
      </c>
      <c r="E20" s="132">
        <v>0</v>
      </c>
      <c r="F20" s="132">
        <v>0</v>
      </c>
      <c r="G20" s="132">
        <v>0</v>
      </c>
      <c r="H20" s="132">
        <v>0</v>
      </c>
      <c r="I20" s="132">
        <v>0</v>
      </c>
      <c r="J20" s="132">
        <v>0</v>
      </c>
      <c r="K20" s="132">
        <v>0</v>
      </c>
      <c r="L20" s="132">
        <v>0</v>
      </c>
      <c r="M20" s="132">
        <v>0</v>
      </c>
      <c r="N20" s="132">
        <v>0</v>
      </c>
      <c r="O20" s="132">
        <v>0</v>
      </c>
      <c r="P20" s="132">
        <v>0</v>
      </c>
      <c r="Q20" s="132">
        <v>0</v>
      </c>
      <c r="R20" s="132">
        <v>0</v>
      </c>
      <c r="S20" s="132">
        <v>0</v>
      </c>
      <c r="T20" s="132">
        <v>0</v>
      </c>
      <c r="U20" s="132">
        <v>0</v>
      </c>
      <c r="V20" s="132">
        <v>0</v>
      </c>
      <c r="W20" s="132">
        <v>0</v>
      </c>
      <c r="X20" s="132">
        <v>0</v>
      </c>
      <c r="Y20" s="132">
        <v>0</v>
      </c>
      <c r="DA20" s="156" t="s">
        <v>371</v>
      </c>
    </row>
    <row r="21" spans="1:105" s="2" customFormat="1" ht="12" customHeight="1" x14ac:dyDescent="0.25">
      <c r="A21" s="131" t="s">
        <v>52</v>
      </c>
      <c r="B21" s="132">
        <v>232.95941062735315</v>
      </c>
      <c r="C21" s="132">
        <v>229.95985442072666</v>
      </c>
      <c r="D21" s="132">
        <v>214.95095130168946</v>
      </c>
      <c r="E21" s="132">
        <v>198.74086140402352</v>
      </c>
      <c r="F21" s="132">
        <v>194.6872867768858</v>
      </c>
      <c r="G21" s="132">
        <v>192.05628482385575</v>
      </c>
      <c r="H21" s="132">
        <v>187.61545117295341</v>
      </c>
      <c r="I21" s="132">
        <v>168.1473513939855</v>
      </c>
      <c r="J21" s="132">
        <v>162.45547879744083</v>
      </c>
      <c r="K21" s="132">
        <v>144.67822079696927</v>
      </c>
      <c r="L21" s="132">
        <v>134.60600166486199</v>
      </c>
      <c r="M21" s="132">
        <v>127.13597930272506</v>
      </c>
      <c r="N21" s="132">
        <v>102.68308109846846</v>
      </c>
      <c r="O21" s="132">
        <v>95.175646086249316</v>
      </c>
      <c r="P21" s="132">
        <v>76.323230567516291</v>
      </c>
      <c r="Q21" s="132">
        <v>69.298253914431086</v>
      </c>
      <c r="R21" s="132">
        <v>78.424241136991753</v>
      </c>
      <c r="S21" s="132">
        <v>79.208292813517545</v>
      </c>
      <c r="T21" s="132">
        <v>73.667350863555797</v>
      </c>
      <c r="U21" s="132">
        <v>74.033161457173733</v>
      </c>
      <c r="V21" s="132">
        <v>63.392486793754351</v>
      </c>
      <c r="W21" s="132">
        <v>66.649962257158094</v>
      </c>
      <c r="X21" s="132">
        <v>65.180582705370043</v>
      </c>
      <c r="Y21" s="132">
        <v>66.146563172840516</v>
      </c>
      <c r="DA21" s="156" t="s">
        <v>372</v>
      </c>
    </row>
    <row r="22" spans="1:105" ht="12" customHeight="1" x14ac:dyDescent="0.25">
      <c r="A22" s="131" t="s">
        <v>161</v>
      </c>
      <c r="B22" s="132">
        <v>318.87121294796674</v>
      </c>
      <c r="C22" s="132">
        <v>297.36767228382575</v>
      </c>
      <c r="D22" s="132">
        <v>258.08011403228568</v>
      </c>
      <c r="E22" s="132">
        <v>238.81803776182429</v>
      </c>
      <c r="F22" s="132">
        <v>212.5628601197208</v>
      </c>
      <c r="G22" s="132">
        <v>198.41810402687545</v>
      </c>
      <c r="H22" s="132">
        <v>194.85655455098902</v>
      </c>
      <c r="I22" s="132">
        <v>183.13091063340389</v>
      </c>
      <c r="J22" s="132">
        <v>175.00904419441719</v>
      </c>
      <c r="K22" s="132">
        <v>146.30636650705742</v>
      </c>
      <c r="L22" s="132">
        <v>128.27634495366192</v>
      </c>
      <c r="M22" s="132">
        <v>122.68835063669816</v>
      </c>
      <c r="N22" s="132">
        <v>116.04140314891593</v>
      </c>
      <c r="O22" s="132">
        <v>114.51318494541529</v>
      </c>
      <c r="P22" s="132">
        <v>108.60714896152983</v>
      </c>
      <c r="Q22" s="132">
        <v>102.59040856888713</v>
      </c>
      <c r="R22" s="132">
        <v>95.965185088549575</v>
      </c>
      <c r="S22" s="132">
        <v>95.767087478892677</v>
      </c>
      <c r="T22" s="132">
        <v>92.836213148010984</v>
      </c>
      <c r="U22" s="132">
        <v>80.516276881823103</v>
      </c>
      <c r="V22" s="132">
        <v>63.480545456085387</v>
      </c>
      <c r="W22" s="132">
        <v>67.072522426256043</v>
      </c>
      <c r="X22" s="132">
        <v>69.015023487173494</v>
      </c>
      <c r="Y22" s="132">
        <v>68.128706039115343</v>
      </c>
      <c r="DA22" s="156" t="s">
        <v>373</v>
      </c>
    </row>
    <row r="23" spans="1:105" ht="12" customHeight="1" x14ac:dyDescent="0.25">
      <c r="A23" s="131" t="s">
        <v>149</v>
      </c>
      <c r="B23" s="132">
        <v>1537.6432371051014</v>
      </c>
      <c r="C23" s="132">
        <v>1560.3878832235207</v>
      </c>
      <c r="D23" s="132">
        <v>1578.3556628777744</v>
      </c>
      <c r="E23" s="132">
        <v>1577.7198588759397</v>
      </c>
      <c r="F23" s="132">
        <v>1574.908446035251</v>
      </c>
      <c r="G23" s="132">
        <v>1600.8948280533195</v>
      </c>
      <c r="H23" s="132">
        <v>1600.2131333571508</v>
      </c>
      <c r="I23" s="132">
        <v>1600.6424259243145</v>
      </c>
      <c r="J23" s="132">
        <v>1612.3984747662696</v>
      </c>
      <c r="K23" s="132">
        <v>1613.1021958569365</v>
      </c>
      <c r="L23" s="132">
        <v>1593.8794460443105</v>
      </c>
      <c r="M23" s="132">
        <v>1608.4947802307838</v>
      </c>
      <c r="N23" s="132">
        <v>1611.401265658789</v>
      </c>
      <c r="O23" s="132">
        <v>1613.7999204334158</v>
      </c>
      <c r="P23" s="132">
        <v>1624.4169735860328</v>
      </c>
      <c r="Q23" s="132">
        <v>1638.2060611294839</v>
      </c>
      <c r="R23" s="132">
        <v>1651.3523651328037</v>
      </c>
      <c r="S23" s="132">
        <v>1718.3616140464501</v>
      </c>
      <c r="T23" s="132">
        <v>1811.6275413824574</v>
      </c>
      <c r="U23" s="132">
        <v>1550.1674908341502</v>
      </c>
      <c r="V23" s="132">
        <v>1443.2123462714815</v>
      </c>
      <c r="W23" s="132">
        <v>1509.2253508134802</v>
      </c>
      <c r="X23" s="132">
        <v>1512.5499105774713</v>
      </c>
      <c r="Y23" s="132">
        <v>1514.7878562621054</v>
      </c>
      <c r="DA23" s="156" t="s">
        <v>374</v>
      </c>
    </row>
    <row r="24" spans="1:105" ht="12" customHeight="1" x14ac:dyDescent="0.25">
      <c r="A24" s="131" t="s">
        <v>128</v>
      </c>
      <c r="B24" s="132">
        <v>0</v>
      </c>
      <c r="C24" s="132">
        <v>0</v>
      </c>
      <c r="D24" s="132">
        <v>0</v>
      </c>
      <c r="E24" s="132">
        <v>0</v>
      </c>
      <c r="F24" s="132">
        <v>0</v>
      </c>
      <c r="G24" s="132">
        <v>0</v>
      </c>
      <c r="H24" s="132">
        <v>0</v>
      </c>
      <c r="I24" s="132">
        <v>0</v>
      </c>
      <c r="J24" s="132">
        <v>0</v>
      </c>
      <c r="K24" s="132">
        <v>0</v>
      </c>
      <c r="L24" s="132">
        <v>0</v>
      </c>
      <c r="M24" s="132">
        <v>0</v>
      </c>
      <c r="N24" s="132">
        <v>0</v>
      </c>
      <c r="O24" s="132">
        <v>0</v>
      </c>
      <c r="P24" s="132">
        <v>0</v>
      </c>
      <c r="Q24" s="132">
        <v>0</v>
      </c>
      <c r="R24" s="132">
        <v>0</v>
      </c>
      <c r="S24" s="132">
        <v>0</v>
      </c>
      <c r="T24" s="132">
        <v>0</v>
      </c>
      <c r="U24" s="132">
        <v>0</v>
      </c>
      <c r="V24" s="132">
        <v>0</v>
      </c>
      <c r="W24" s="132">
        <v>0</v>
      </c>
      <c r="X24" s="132">
        <v>0</v>
      </c>
      <c r="Y24" s="132">
        <v>0</v>
      </c>
      <c r="DA24" s="156" t="s">
        <v>375</v>
      </c>
    </row>
    <row r="25" spans="1:105" ht="12" customHeight="1" x14ac:dyDescent="0.25">
      <c r="A25" s="131" t="s">
        <v>162</v>
      </c>
      <c r="B25" s="132">
        <v>0</v>
      </c>
      <c r="C25" s="132">
        <v>0</v>
      </c>
      <c r="D25" s="132">
        <v>0</v>
      </c>
      <c r="E25" s="132">
        <v>0</v>
      </c>
      <c r="F25" s="132">
        <v>0</v>
      </c>
      <c r="G25" s="132">
        <v>0</v>
      </c>
      <c r="H25" s="132">
        <v>0</v>
      </c>
      <c r="I25" s="132">
        <v>0</v>
      </c>
      <c r="J25" s="132">
        <v>0</v>
      </c>
      <c r="K25" s="132">
        <v>0</v>
      </c>
      <c r="L25" s="132">
        <v>0</v>
      </c>
      <c r="M25" s="132">
        <v>0</v>
      </c>
      <c r="N25" s="132">
        <v>0</v>
      </c>
      <c r="O25" s="132">
        <v>0</v>
      </c>
      <c r="P25" s="132">
        <v>0</v>
      </c>
      <c r="Q25" s="132">
        <v>0</v>
      </c>
      <c r="R25" s="132">
        <v>0</v>
      </c>
      <c r="S25" s="132">
        <v>0</v>
      </c>
      <c r="T25" s="132">
        <v>0</v>
      </c>
      <c r="U25" s="132">
        <v>0</v>
      </c>
      <c r="V25" s="132">
        <v>0</v>
      </c>
      <c r="W25" s="132">
        <v>0</v>
      </c>
      <c r="X25" s="132">
        <v>0</v>
      </c>
      <c r="Y25" s="132">
        <v>0</v>
      </c>
      <c r="DA25" s="156" t="s">
        <v>376</v>
      </c>
    </row>
    <row r="26" spans="1:105" ht="12" customHeight="1" x14ac:dyDescent="0.25">
      <c r="A26" s="131" t="s">
        <v>24</v>
      </c>
      <c r="B26" s="65">
        <v>0</v>
      </c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X26" s="65">
        <v>0</v>
      </c>
      <c r="Y26" s="65">
        <v>0</v>
      </c>
      <c r="DA26" s="109" t="s">
        <v>377</v>
      </c>
    </row>
    <row r="27" spans="1:105" ht="12" customHeight="1" x14ac:dyDescent="0.25">
      <c r="A27" s="144" t="s">
        <v>26</v>
      </c>
      <c r="B27" s="145">
        <v>0</v>
      </c>
      <c r="C27" s="145">
        <v>0</v>
      </c>
      <c r="D27" s="145">
        <v>0</v>
      </c>
      <c r="E27" s="145">
        <v>0</v>
      </c>
      <c r="F27" s="145">
        <v>0</v>
      </c>
      <c r="G27" s="145">
        <v>0</v>
      </c>
      <c r="H27" s="145">
        <v>0</v>
      </c>
      <c r="I27" s="145">
        <v>0</v>
      </c>
      <c r="J27" s="145">
        <v>0</v>
      </c>
      <c r="K27" s="145">
        <v>0</v>
      </c>
      <c r="L27" s="145">
        <v>0</v>
      </c>
      <c r="M27" s="145">
        <v>0</v>
      </c>
      <c r="N27" s="145">
        <v>0</v>
      </c>
      <c r="O27" s="145">
        <v>0</v>
      </c>
      <c r="P27" s="145">
        <v>0</v>
      </c>
      <c r="Q27" s="145">
        <v>0</v>
      </c>
      <c r="R27" s="145">
        <v>0</v>
      </c>
      <c r="S27" s="145">
        <v>0</v>
      </c>
      <c r="T27" s="145">
        <v>0</v>
      </c>
      <c r="U27" s="145">
        <v>0</v>
      </c>
      <c r="V27" s="145">
        <v>0</v>
      </c>
      <c r="W27" s="145">
        <v>0</v>
      </c>
      <c r="X27" s="145">
        <v>0</v>
      </c>
      <c r="Y27" s="145">
        <v>0</v>
      </c>
      <c r="DA27" s="158" t="s">
        <v>378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DA28" s="111"/>
    </row>
    <row r="29" spans="1:105" ht="12.95" customHeight="1" x14ac:dyDescent="0.25">
      <c r="A29" s="129" t="s">
        <v>34</v>
      </c>
      <c r="B29" s="130">
        <f t="shared" ref="B29:Q29" si="12">SUM(B30:B33)</f>
        <v>3249.093592672235</v>
      </c>
      <c r="C29" s="130">
        <f t="shared" si="12"/>
        <v>3157.2582757612886</v>
      </c>
      <c r="D29" s="130">
        <f t="shared" si="12"/>
        <v>2960.3545252623107</v>
      </c>
      <c r="E29" s="130">
        <f t="shared" si="12"/>
        <v>2518.4568400275684</v>
      </c>
      <c r="F29" s="130">
        <f t="shared" si="12"/>
        <v>2349.4553872312872</v>
      </c>
      <c r="G29" s="130">
        <f t="shared" si="12"/>
        <v>2490.103006457095</v>
      </c>
      <c r="H29" s="130">
        <f t="shared" si="12"/>
        <v>2298.8451990221884</v>
      </c>
      <c r="I29" s="130">
        <f t="shared" si="12"/>
        <v>2582.1692272307946</v>
      </c>
      <c r="J29" s="130">
        <f t="shared" si="12"/>
        <v>2418.3908801372636</v>
      </c>
      <c r="K29" s="130">
        <f t="shared" si="12"/>
        <v>2674.5081346014922</v>
      </c>
      <c r="L29" s="130">
        <f t="shared" si="12"/>
        <v>2724.2883843106538</v>
      </c>
      <c r="M29" s="130">
        <f t="shared" si="12"/>
        <v>2811.4394597459905</v>
      </c>
      <c r="N29" s="130">
        <f t="shared" si="12"/>
        <v>2830.8689113081477</v>
      </c>
      <c r="O29" s="130">
        <f t="shared" si="12"/>
        <v>2941.4312394563271</v>
      </c>
      <c r="P29" s="130">
        <f t="shared" si="12"/>
        <v>3280.9091799909174</v>
      </c>
      <c r="Q29" s="130">
        <f t="shared" si="12"/>
        <v>3318.7270395809919</v>
      </c>
      <c r="R29" s="130">
        <f t="shared" ref="R29:W29" si="13">SUM(R30:R33)</f>
        <v>3401.6309749386169</v>
      </c>
      <c r="S29" s="130">
        <f t="shared" si="13"/>
        <v>3387.1515722506779</v>
      </c>
      <c r="T29" s="130">
        <f t="shared" si="13"/>
        <v>3169.9042681663391</v>
      </c>
      <c r="U29" s="130">
        <f t="shared" si="13"/>
        <v>3381.3350100624903</v>
      </c>
      <c r="V29" s="130">
        <f t="shared" si="13"/>
        <v>3112.8911699759728</v>
      </c>
      <c r="W29" s="130">
        <f t="shared" si="13"/>
        <v>3026.7803373127344</v>
      </c>
      <c r="X29" s="130">
        <f t="shared" ref="X29:Y29" si="14">SUM(X30:X33)</f>
        <v>3057.9279318883473</v>
      </c>
      <c r="Y29" s="130">
        <f t="shared" si="14"/>
        <v>3095.9822626998125</v>
      </c>
      <c r="DA29" s="155" t="s">
        <v>237</v>
      </c>
    </row>
    <row r="30" spans="1:105" ht="12" customHeight="1" x14ac:dyDescent="0.25">
      <c r="A30" s="131" t="s">
        <v>52</v>
      </c>
      <c r="B30" s="132">
        <v>736.79704387329161</v>
      </c>
      <c r="C30" s="132">
        <v>692.13062711890018</v>
      </c>
      <c r="D30" s="132">
        <v>701.05680726574076</v>
      </c>
      <c r="E30" s="132">
        <v>689.03564584211472</v>
      </c>
      <c r="F30" s="132">
        <v>656.06420573136302</v>
      </c>
      <c r="G30" s="132">
        <v>612.15167557023494</v>
      </c>
      <c r="H30" s="132">
        <v>535.00249197700555</v>
      </c>
      <c r="I30" s="132">
        <v>563.67777405475533</v>
      </c>
      <c r="J30" s="132">
        <v>406.13850504446157</v>
      </c>
      <c r="K30" s="132">
        <v>520.37345073859717</v>
      </c>
      <c r="L30" s="132">
        <v>525.15280207845115</v>
      </c>
      <c r="M30" s="132">
        <v>540.81562118588113</v>
      </c>
      <c r="N30" s="132">
        <v>473.00859800006521</v>
      </c>
      <c r="O30" s="132">
        <v>511.77353841283741</v>
      </c>
      <c r="P30" s="132">
        <v>593.88308198115249</v>
      </c>
      <c r="Q30" s="132">
        <v>591.70149382752993</v>
      </c>
      <c r="R30" s="132">
        <v>599.96889495317066</v>
      </c>
      <c r="S30" s="132">
        <v>612.84306142976618</v>
      </c>
      <c r="T30" s="132">
        <v>611.30516015078774</v>
      </c>
      <c r="U30" s="132">
        <v>593.28918818236889</v>
      </c>
      <c r="V30" s="132">
        <v>622.08436295517663</v>
      </c>
      <c r="W30" s="132">
        <v>627.7188016408503</v>
      </c>
      <c r="X30" s="132">
        <v>629.34075878206374</v>
      </c>
      <c r="Y30" s="132">
        <v>632.42419200028928</v>
      </c>
      <c r="DA30" s="156" t="s">
        <v>379</v>
      </c>
    </row>
    <row r="31" spans="1:105" ht="12" customHeight="1" x14ac:dyDescent="0.25">
      <c r="A31" s="131" t="s">
        <v>149</v>
      </c>
      <c r="B31" s="132">
        <v>2512.2965487989431</v>
      </c>
      <c r="C31" s="132">
        <v>2465.1276486423885</v>
      </c>
      <c r="D31" s="132">
        <v>2259.2977179965701</v>
      </c>
      <c r="E31" s="132">
        <v>1829.4211941854535</v>
      </c>
      <c r="F31" s="132">
        <v>1693.3911814999242</v>
      </c>
      <c r="G31" s="132">
        <v>1877.95133088686</v>
      </c>
      <c r="H31" s="132">
        <v>1763.8427070451828</v>
      </c>
      <c r="I31" s="132">
        <v>2018.4914531760394</v>
      </c>
      <c r="J31" s="132">
        <v>2012.2523750928021</v>
      </c>
      <c r="K31" s="132">
        <v>2154.1346838628951</v>
      </c>
      <c r="L31" s="132">
        <v>2199.1355822322025</v>
      </c>
      <c r="M31" s="132">
        <v>2270.6238385601096</v>
      </c>
      <c r="N31" s="132">
        <v>2357.8603133080824</v>
      </c>
      <c r="O31" s="132">
        <v>2429.6577010434899</v>
      </c>
      <c r="P31" s="132">
        <v>2687.0260980097651</v>
      </c>
      <c r="Q31" s="132">
        <v>2727.0255457534618</v>
      </c>
      <c r="R31" s="132">
        <v>2801.6620799854463</v>
      </c>
      <c r="S31" s="132">
        <v>2774.3085108209116</v>
      </c>
      <c r="T31" s="132">
        <v>2558.5991080155513</v>
      </c>
      <c r="U31" s="132">
        <v>2788.0458218801214</v>
      </c>
      <c r="V31" s="132">
        <v>2490.806807020796</v>
      </c>
      <c r="W31" s="132">
        <v>2399.061535671884</v>
      </c>
      <c r="X31" s="132">
        <v>2428.5871731062834</v>
      </c>
      <c r="Y31" s="132">
        <v>2463.5580706995233</v>
      </c>
      <c r="DA31" s="156" t="s">
        <v>380</v>
      </c>
    </row>
    <row r="32" spans="1:105" ht="12" customHeight="1" x14ac:dyDescent="0.25">
      <c r="A32" s="131" t="s">
        <v>128</v>
      </c>
      <c r="B32" s="132">
        <v>0</v>
      </c>
      <c r="C32" s="132">
        <v>0</v>
      </c>
      <c r="D32" s="132">
        <v>0</v>
      </c>
      <c r="E32" s="132">
        <v>0</v>
      </c>
      <c r="F32" s="132">
        <v>0</v>
      </c>
      <c r="G32" s="132">
        <v>0</v>
      </c>
      <c r="H32" s="132">
        <v>0</v>
      </c>
      <c r="I32" s="132">
        <v>0</v>
      </c>
      <c r="J32" s="132">
        <v>0</v>
      </c>
      <c r="K32" s="132">
        <v>0</v>
      </c>
      <c r="L32" s="132">
        <v>0</v>
      </c>
      <c r="M32" s="132">
        <v>0</v>
      </c>
      <c r="N32" s="132">
        <v>0</v>
      </c>
      <c r="O32" s="132">
        <v>0</v>
      </c>
      <c r="P32" s="132">
        <v>0</v>
      </c>
      <c r="Q32" s="132">
        <v>0</v>
      </c>
      <c r="R32" s="132">
        <v>0</v>
      </c>
      <c r="S32" s="132">
        <v>0</v>
      </c>
      <c r="T32" s="132">
        <v>0</v>
      </c>
      <c r="U32" s="132">
        <v>0</v>
      </c>
      <c r="V32" s="132">
        <v>0</v>
      </c>
      <c r="W32" s="132">
        <v>0</v>
      </c>
      <c r="X32" s="132">
        <v>0</v>
      </c>
      <c r="Y32" s="132">
        <v>0</v>
      </c>
      <c r="DA32" s="156" t="s">
        <v>381</v>
      </c>
    </row>
    <row r="33" spans="1:105" ht="12" customHeight="1" x14ac:dyDescent="0.25">
      <c r="A33" s="62" t="s">
        <v>24</v>
      </c>
      <c r="B33" s="68">
        <v>0</v>
      </c>
      <c r="C33" s="68">
        <v>0</v>
      </c>
      <c r="D33" s="68">
        <v>0</v>
      </c>
      <c r="E33" s="68">
        <v>0</v>
      </c>
      <c r="F33" s="68">
        <v>0</v>
      </c>
      <c r="G33" s="68">
        <v>0</v>
      </c>
      <c r="H33" s="68">
        <v>0</v>
      </c>
      <c r="I33" s="68">
        <v>0</v>
      </c>
      <c r="J33" s="68">
        <v>0</v>
      </c>
      <c r="K33" s="68">
        <v>0</v>
      </c>
      <c r="L33" s="68">
        <v>0</v>
      </c>
      <c r="M33" s="68">
        <v>0</v>
      </c>
      <c r="N33" s="68">
        <v>0</v>
      </c>
      <c r="O33" s="68">
        <v>0</v>
      </c>
      <c r="P33" s="68">
        <v>0</v>
      </c>
      <c r="Q33" s="68">
        <v>0</v>
      </c>
      <c r="R33" s="68">
        <v>0</v>
      </c>
      <c r="S33" s="68">
        <v>0</v>
      </c>
      <c r="T33" s="68">
        <v>0</v>
      </c>
      <c r="U33" s="68">
        <v>0</v>
      </c>
      <c r="V33" s="68">
        <v>0</v>
      </c>
      <c r="W33" s="68">
        <v>0</v>
      </c>
      <c r="X33" s="68">
        <v>0</v>
      </c>
      <c r="Y33" s="68">
        <v>0</v>
      </c>
      <c r="DA33" s="111" t="s">
        <v>382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383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87</v>
      </c>
      <c r="B3" s="125">
        <f>IF(SER_hh_fec!B3=0,0,11630*1000*SER_hh_fec!B3/SER_hh_num!B3)</f>
        <v>195725.56447930489</v>
      </c>
      <c r="C3" s="125">
        <f>IF(SER_hh_fec!C3=0,0,11630*1000*SER_hh_fec!C3/SER_hh_num!C3)</f>
        <v>198590.7903731057</v>
      </c>
      <c r="D3" s="125">
        <f>IF(SER_hh_fec!D3=0,0,11630*1000*SER_hh_fec!D3/SER_hh_num!D3)</f>
        <v>193294.92067341023</v>
      </c>
      <c r="E3" s="125">
        <f>IF(SER_hh_fec!E3=0,0,11630*1000*SER_hh_fec!E3/SER_hh_num!E3)</f>
        <v>215893.30925622478</v>
      </c>
      <c r="F3" s="125">
        <f>IF(SER_hh_fec!F3=0,0,11630*1000*SER_hh_fec!F3/SER_hh_num!F3)</f>
        <v>218018.86591038454</v>
      </c>
      <c r="G3" s="125">
        <f>IF(SER_hh_fec!G3=0,0,11630*1000*SER_hh_fec!G3/SER_hh_num!G3)</f>
        <v>247074.87523041648</v>
      </c>
      <c r="H3" s="125">
        <f>IF(SER_hh_fec!H3=0,0,11630*1000*SER_hh_fec!H3/SER_hh_num!H3)</f>
        <v>249683.48871663978</v>
      </c>
      <c r="I3" s="125">
        <f>IF(SER_hh_fec!I3=0,0,11630*1000*SER_hh_fec!I3/SER_hh_num!I3)</f>
        <v>236039.73127071926</v>
      </c>
      <c r="J3" s="125">
        <f>IF(SER_hh_fec!J3=0,0,11630*1000*SER_hh_fec!J3/SER_hh_num!J3)</f>
        <v>268453.01798601705</v>
      </c>
      <c r="K3" s="125">
        <f>IF(SER_hh_fec!K3=0,0,11630*1000*SER_hh_fec!K3/SER_hh_num!K3)</f>
        <v>265592.8632200713</v>
      </c>
      <c r="L3" s="125">
        <f>IF(SER_hh_fec!L3=0,0,11630*1000*SER_hh_fec!L3/SER_hh_num!L3)</f>
        <v>264603.33205723815</v>
      </c>
      <c r="M3" s="125">
        <f>IF(SER_hh_fec!M3=0,0,11630*1000*SER_hh_fec!M3/SER_hh_num!M3)</f>
        <v>238797.70545642311</v>
      </c>
      <c r="N3" s="125">
        <f>IF(SER_hh_fec!N3=0,0,11630*1000*SER_hh_fec!N3/SER_hh_num!N3)</f>
        <v>240648.21090250209</v>
      </c>
      <c r="O3" s="125">
        <f>IF(SER_hh_fec!O3=0,0,11630*1000*SER_hh_fec!O3/SER_hh_num!O3)</f>
        <v>238344.62654857806</v>
      </c>
      <c r="P3" s="125">
        <f>IF(SER_hh_fec!P3=0,0,11630*1000*SER_hh_fec!P3/SER_hh_num!P3)</f>
        <v>211426.79884263987</v>
      </c>
      <c r="Q3" s="125">
        <f>IF(SER_hh_fec!Q3=0,0,11630*1000*SER_hh_fec!Q3/SER_hh_num!Q3)</f>
        <v>223808.75294499836</v>
      </c>
      <c r="R3" s="125">
        <f>IF(SER_hh_fec!R3=0,0,11630*1000*SER_hh_fec!R3/SER_hh_num!R3)</f>
        <v>224785.080576657</v>
      </c>
      <c r="S3" s="125">
        <f>IF(SER_hh_fec!S3=0,0,11630*1000*SER_hh_fec!S3/SER_hh_num!S3)</f>
        <v>226707.18451212885</v>
      </c>
      <c r="T3" s="125">
        <f>IF(SER_hh_fec!T3=0,0,11630*1000*SER_hh_fec!T3/SER_hh_num!T3)</f>
        <v>241729.76230515708</v>
      </c>
      <c r="U3" s="125">
        <f>IF(SER_hh_fec!U3=0,0,11630*1000*SER_hh_fec!U3/SER_hh_num!U3)</f>
        <v>228750.76500041148</v>
      </c>
      <c r="V3" s="125">
        <f>IF(SER_hh_fec!V3=0,0,11630*1000*SER_hh_fec!V3/SER_hh_num!V3)</f>
        <v>203218.76173745006</v>
      </c>
      <c r="W3" s="125">
        <f>IF(SER_hh_fec!W3=0,0,11630*1000*SER_hh_fec!W3/SER_hh_num!W3)</f>
        <v>212257.39555438104</v>
      </c>
      <c r="X3" s="125">
        <f>IF(SER_hh_fec!X3=0,0,11630*1000*SER_hh_fec!X3/SER_hh_num!X3)</f>
        <v>200706.96798544715</v>
      </c>
      <c r="Y3" s="125">
        <f>IF(SER_hh_fec!Y3=0,0,11630*1000*SER_hh_fec!Y3/SER_hh_num!Y3)</f>
        <v>207262.37320940988</v>
      </c>
      <c r="DA3" s="154" t="s">
        <v>384</v>
      </c>
    </row>
    <row r="4" spans="1:105" ht="12.95" customHeight="1" x14ac:dyDescent="0.25">
      <c r="A4" s="129" t="s">
        <v>32</v>
      </c>
      <c r="B4" s="130">
        <f>IF(SER_hh_fec!B4=0,0,11630*1000*SER_hh_fec!B4/SER_hh_num!B4)</f>
        <v>130807.40800495702</v>
      </c>
      <c r="C4" s="130">
        <f>IF(SER_hh_fec!C4=0,0,11630*1000*SER_hh_fec!C4/SER_hh_num!C4)</f>
        <v>133416.10092929381</v>
      </c>
      <c r="D4" s="130">
        <f>IF(SER_hh_fec!D4=0,0,11630*1000*SER_hh_fec!D4/SER_hh_num!D4)</f>
        <v>128704.14822627569</v>
      </c>
      <c r="E4" s="130">
        <f>IF(SER_hh_fec!E4=0,0,11630*1000*SER_hh_fec!E4/SER_hh_num!E4)</f>
        <v>148701.29574304749</v>
      </c>
      <c r="F4" s="130">
        <f>IF(SER_hh_fec!F4=0,0,11630*1000*SER_hh_fec!F4/SER_hh_num!F4)</f>
        <v>154136.45766065514</v>
      </c>
      <c r="G4" s="130">
        <f>IF(SER_hh_fec!G4=0,0,11630*1000*SER_hh_fec!G4/SER_hh_num!G4)</f>
        <v>182468.34024147881</v>
      </c>
      <c r="H4" s="130">
        <f>IF(SER_hh_fec!H4=0,0,11630*1000*SER_hh_fec!H4/SER_hh_num!H4)</f>
        <v>185329.18679072926</v>
      </c>
      <c r="I4" s="130">
        <f>IF(SER_hh_fec!I4=0,0,11630*1000*SER_hh_fec!I4/SER_hh_num!I4)</f>
        <v>170896.63819249306</v>
      </c>
      <c r="J4" s="130">
        <f>IF(SER_hh_fec!J4=0,0,11630*1000*SER_hh_fec!J4/SER_hh_num!J4)</f>
        <v>202780.39997134983</v>
      </c>
      <c r="K4" s="130">
        <f>IF(SER_hh_fec!K4=0,0,11630*1000*SER_hh_fec!K4/SER_hh_num!K4)</f>
        <v>199059.28020406939</v>
      </c>
      <c r="L4" s="130">
        <f>IF(SER_hh_fec!L4=0,0,11630*1000*SER_hh_fec!L4/SER_hh_num!L4)</f>
        <v>198943.05260829203</v>
      </c>
      <c r="M4" s="130">
        <f>IF(SER_hh_fec!M4=0,0,11630*1000*SER_hh_fec!M4/SER_hh_num!M4)</f>
        <v>172401.07368336423</v>
      </c>
      <c r="N4" s="130">
        <f>IF(SER_hh_fec!N4=0,0,11630*1000*SER_hh_fec!N4/SER_hh_num!N4)</f>
        <v>172067.09261968144</v>
      </c>
      <c r="O4" s="130">
        <f>IF(SER_hh_fec!O4=0,0,11630*1000*SER_hh_fec!O4/SER_hh_num!O4)</f>
        <v>171501.86230571786</v>
      </c>
      <c r="P4" s="130">
        <f>IF(SER_hh_fec!P4=0,0,11630*1000*SER_hh_fec!P4/SER_hh_num!P4)</f>
        <v>144379.27903203171</v>
      </c>
      <c r="Q4" s="130">
        <f>IF(SER_hh_fec!Q4=0,0,11630*1000*SER_hh_fec!Q4/SER_hh_num!Q4)</f>
        <v>153889.92403414616</v>
      </c>
      <c r="R4" s="130">
        <f>IF(SER_hh_fec!R4=0,0,11630*1000*SER_hh_fec!R4/SER_hh_num!R4)</f>
        <v>156649.55830598847</v>
      </c>
      <c r="S4" s="130">
        <f>IF(SER_hh_fec!S4=0,0,11630*1000*SER_hh_fec!S4/SER_hh_num!S4)</f>
        <v>157569.56690548317</v>
      </c>
      <c r="T4" s="130">
        <f>IF(SER_hh_fec!T4=0,0,11630*1000*SER_hh_fec!T4/SER_hh_num!T4)</f>
        <v>175078.14616812262</v>
      </c>
      <c r="U4" s="130">
        <f>IF(SER_hh_fec!U4=0,0,11630*1000*SER_hh_fec!U4/SER_hh_num!U4)</f>
        <v>162675.91785488685</v>
      </c>
      <c r="V4" s="130">
        <f>IF(SER_hh_fec!V4=0,0,11630*1000*SER_hh_fec!V4/SER_hh_num!V4)</f>
        <v>145182.32389409406</v>
      </c>
      <c r="W4" s="130">
        <f>IF(SER_hh_fec!W4=0,0,11630*1000*SER_hh_fec!W4/SER_hh_num!W4)</f>
        <v>145962.62229695873</v>
      </c>
      <c r="X4" s="130">
        <f>IF(SER_hh_fec!X4=0,0,11630*1000*SER_hh_fec!X4/SER_hh_num!X4)</f>
        <v>132351.27013827494</v>
      </c>
      <c r="Y4" s="130">
        <f>IF(SER_hh_fec!Y4=0,0,11630*1000*SER_hh_fec!Y4/SER_hh_num!Y4)</f>
        <v>140118.3781866229</v>
      </c>
      <c r="DA4" s="155" t="s">
        <v>385</v>
      </c>
    </row>
    <row r="5" spans="1:105" ht="12" customHeight="1" x14ac:dyDescent="0.25">
      <c r="A5" s="131" t="s">
        <v>29</v>
      </c>
      <c r="B5" s="132">
        <f>IF(SER_hh_fec!B5=0,0,11630*1000*SER_hh_fec!B5/SER_hh_num!B5)</f>
        <v>0</v>
      </c>
      <c r="C5" s="132">
        <f>IF(SER_hh_fec!C5=0,0,11630*1000*SER_hh_fec!C5/SER_hh_num!C5)</f>
        <v>0</v>
      </c>
      <c r="D5" s="132">
        <f>IF(SER_hh_fec!D5=0,0,11630*1000*SER_hh_fec!D5/SER_hh_num!D5)</f>
        <v>0</v>
      </c>
      <c r="E5" s="132">
        <f>IF(SER_hh_fec!E5=0,0,11630*1000*SER_hh_fec!E5/SER_hh_num!E5)</f>
        <v>0</v>
      </c>
      <c r="F5" s="132">
        <f>IF(SER_hh_fec!F5=0,0,11630*1000*SER_hh_fec!F5/SER_hh_num!F5)</f>
        <v>0</v>
      </c>
      <c r="G5" s="132">
        <f>IF(SER_hh_fec!G5=0,0,11630*1000*SER_hh_fec!G5/SER_hh_num!G5)</f>
        <v>0</v>
      </c>
      <c r="H5" s="132">
        <f>IF(SER_hh_fec!H5=0,0,11630*1000*SER_hh_fec!H5/SER_hh_num!H5)</f>
        <v>0</v>
      </c>
      <c r="I5" s="132">
        <f>IF(SER_hh_fec!I5=0,0,11630*1000*SER_hh_fec!I5/SER_hh_num!I5)</f>
        <v>0</v>
      </c>
      <c r="J5" s="132">
        <f>IF(SER_hh_fec!J5=0,0,11630*1000*SER_hh_fec!J5/SER_hh_num!J5)</f>
        <v>0</v>
      </c>
      <c r="K5" s="132">
        <f>IF(SER_hh_fec!K5=0,0,11630*1000*SER_hh_fec!K5/SER_hh_num!K5)</f>
        <v>0</v>
      </c>
      <c r="L5" s="132">
        <f>IF(SER_hh_fec!L5=0,0,11630*1000*SER_hh_fec!L5/SER_hh_num!L5)</f>
        <v>0</v>
      </c>
      <c r="M5" s="132">
        <f>IF(SER_hh_fec!M5=0,0,11630*1000*SER_hh_fec!M5/SER_hh_num!M5)</f>
        <v>0</v>
      </c>
      <c r="N5" s="132">
        <f>IF(SER_hh_fec!N5=0,0,11630*1000*SER_hh_fec!N5/SER_hh_num!N5)</f>
        <v>0</v>
      </c>
      <c r="O5" s="132">
        <f>IF(SER_hh_fec!O5=0,0,11630*1000*SER_hh_fec!O5/SER_hh_num!O5)</f>
        <v>0</v>
      </c>
      <c r="P5" s="132">
        <f>IF(SER_hh_fec!P5=0,0,11630*1000*SER_hh_fec!P5/SER_hh_num!P5)</f>
        <v>0</v>
      </c>
      <c r="Q5" s="132">
        <f>IF(SER_hh_fec!Q5=0,0,11630*1000*SER_hh_fec!Q5/SER_hh_num!Q5)</f>
        <v>0</v>
      </c>
      <c r="R5" s="132">
        <f>IF(SER_hh_fec!R5=0,0,11630*1000*SER_hh_fec!R5/SER_hh_num!R5)</f>
        <v>0</v>
      </c>
      <c r="S5" s="132">
        <f>IF(SER_hh_fec!S5=0,0,11630*1000*SER_hh_fec!S5/SER_hh_num!S5)</f>
        <v>0</v>
      </c>
      <c r="T5" s="132">
        <f>IF(SER_hh_fec!T5=0,0,11630*1000*SER_hh_fec!T5/SER_hh_num!T5)</f>
        <v>0</v>
      </c>
      <c r="U5" s="132">
        <f>IF(SER_hh_fec!U5=0,0,11630*1000*SER_hh_fec!U5/SER_hh_num!U5)</f>
        <v>0</v>
      </c>
      <c r="V5" s="132">
        <f>IF(SER_hh_fec!V5=0,0,11630*1000*SER_hh_fec!V5/SER_hh_num!V5)</f>
        <v>0</v>
      </c>
      <c r="W5" s="132">
        <f>IF(SER_hh_fec!W5=0,0,11630*1000*SER_hh_fec!W5/SER_hh_num!W5)</f>
        <v>0</v>
      </c>
      <c r="X5" s="132">
        <f>IF(SER_hh_fec!X5=0,0,11630*1000*SER_hh_fec!X5/SER_hh_num!X5)</f>
        <v>0</v>
      </c>
      <c r="Y5" s="132">
        <f>IF(SER_hh_fec!Y5=0,0,11630*1000*SER_hh_fec!Y5/SER_hh_num!Y5)</f>
        <v>0</v>
      </c>
      <c r="DA5" s="156" t="s">
        <v>386</v>
      </c>
    </row>
    <row r="6" spans="1:105" ht="12" customHeight="1" x14ac:dyDescent="0.25">
      <c r="A6" s="131" t="s">
        <v>52</v>
      </c>
      <c r="B6" s="132">
        <f>IF(SER_hh_fec!B6=0,0,11630*1000*SER_hh_fec!B6/SER_hh_num!B6)</f>
        <v>151642.40244643032</v>
      </c>
      <c r="C6" s="132">
        <f>IF(SER_hh_fec!C6=0,0,11630*1000*SER_hh_fec!C6/SER_hh_num!C6)</f>
        <v>153657.69420268986</v>
      </c>
      <c r="D6" s="132">
        <f>IF(SER_hh_fec!D6=0,0,11630*1000*SER_hh_fec!D6/SER_hh_num!D6)</f>
        <v>146135.25498663654</v>
      </c>
      <c r="E6" s="132">
        <f>IF(SER_hh_fec!E6=0,0,11630*1000*SER_hh_fec!E6/SER_hh_num!E6)</f>
        <v>177022.5536212163</v>
      </c>
      <c r="F6" s="132">
        <f>IF(SER_hh_fec!F6=0,0,11630*1000*SER_hh_fec!F6/SER_hh_num!F6)</f>
        <v>181703.57666422412</v>
      </c>
      <c r="G6" s="132">
        <f>IF(SER_hh_fec!G6=0,0,11630*1000*SER_hh_fec!G6/SER_hh_num!G6)</f>
        <v>211511.42126026974</v>
      </c>
      <c r="H6" s="132">
        <f>IF(SER_hh_fec!H6=0,0,11630*1000*SER_hh_fec!H6/SER_hh_num!H6)</f>
        <v>214297.88062663199</v>
      </c>
      <c r="I6" s="132">
        <f>IF(SER_hh_fec!I6=0,0,11630*1000*SER_hh_fec!I6/SER_hh_num!I6)</f>
        <v>201729.44821926724</v>
      </c>
      <c r="J6" s="132">
        <f>IF(SER_hh_fec!J6=0,0,11630*1000*SER_hh_fec!J6/SER_hh_num!J6)</f>
        <v>235712.81855209306</v>
      </c>
      <c r="K6" s="132">
        <f>IF(SER_hh_fec!K6=0,0,11630*1000*SER_hh_fec!K6/SER_hh_num!K6)</f>
        <v>236508.27027347116</v>
      </c>
      <c r="L6" s="132">
        <f>IF(SER_hh_fec!L6=0,0,11630*1000*SER_hh_fec!L6/SER_hh_num!L6)</f>
        <v>244649.35091693088</v>
      </c>
      <c r="M6" s="132">
        <f>IF(SER_hh_fec!M6=0,0,11630*1000*SER_hh_fec!M6/SER_hh_num!M6)</f>
        <v>220275.34992177685</v>
      </c>
      <c r="N6" s="132">
        <f>IF(SER_hh_fec!N6=0,0,11630*1000*SER_hh_fec!N6/SER_hh_num!N6)</f>
        <v>203368.71564977148</v>
      </c>
      <c r="O6" s="132">
        <f>IF(SER_hh_fec!O6=0,0,11630*1000*SER_hh_fec!O6/SER_hh_num!O6)</f>
        <v>225201.63383963503</v>
      </c>
      <c r="P6" s="132">
        <f>IF(SER_hh_fec!P6=0,0,11630*1000*SER_hh_fec!P6/SER_hh_num!P6)</f>
        <v>210055.57084647604</v>
      </c>
      <c r="Q6" s="132">
        <f>IF(SER_hh_fec!Q6=0,0,11630*1000*SER_hh_fec!Q6/SER_hh_num!Q6)</f>
        <v>220491.12809547276</v>
      </c>
      <c r="R6" s="132">
        <f>IF(SER_hh_fec!R6=0,0,11630*1000*SER_hh_fec!R6/SER_hh_num!R6)</f>
        <v>258361.91287845554</v>
      </c>
      <c r="S6" s="132">
        <f>IF(SER_hh_fec!S6=0,0,11630*1000*SER_hh_fec!S6/SER_hh_num!S6)</f>
        <v>276040.00324739423</v>
      </c>
      <c r="T6" s="132">
        <f>IF(SER_hh_fec!T6=0,0,11630*1000*SER_hh_fec!T6/SER_hh_num!T6)</f>
        <v>262874.8023305175</v>
      </c>
      <c r="U6" s="132">
        <f>IF(SER_hh_fec!U6=0,0,11630*1000*SER_hh_fec!U6/SER_hh_num!U6)</f>
        <v>260222.234961321</v>
      </c>
      <c r="V6" s="132">
        <f>IF(SER_hh_fec!V6=0,0,11630*1000*SER_hh_fec!V6/SER_hh_num!V6)</f>
        <v>239101.54732602907</v>
      </c>
      <c r="W6" s="132">
        <f>IF(SER_hh_fec!W6=0,0,11630*1000*SER_hh_fec!W6/SER_hh_num!W6)</f>
        <v>280992.17133182951</v>
      </c>
      <c r="X6" s="132">
        <f>IF(SER_hh_fec!X6=0,0,11630*1000*SER_hh_fec!X6/SER_hh_num!X6)</f>
        <v>228187.3071817543</v>
      </c>
      <c r="Y6" s="132">
        <f>IF(SER_hh_fec!Y6=0,0,11630*1000*SER_hh_fec!Y6/SER_hh_num!Y6)</f>
        <v>213159.34609147513</v>
      </c>
      <c r="DA6" s="156" t="s">
        <v>387</v>
      </c>
    </row>
    <row r="7" spans="1:105" ht="12" customHeight="1" x14ac:dyDescent="0.25">
      <c r="A7" s="131" t="s">
        <v>161</v>
      </c>
      <c r="B7" s="132">
        <f>IF(SER_hh_fec!B7=0,0,11630*1000*SER_hh_fec!B7/SER_hh_num!B7)</f>
        <v>184546.47648329905</v>
      </c>
      <c r="C7" s="132">
        <f>IF(SER_hh_fec!C7=0,0,11630*1000*SER_hh_fec!C7/SER_hh_num!C7)</f>
        <v>115095.4110060127</v>
      </c>
      <c r="D7" s="132">
        <f>IF(SER_hh_fec!D7=0,0,11630*1000*SER_hh_fec!D7/SER_hh_num!D7)</f>
        <v>149997.41102232499</v>
      </c>
      <c r="E7" s="132">
        <f>IF(SER_hh_fec!E7=0,0,11630*1000*SER_hh_fec!E7/SER_hh_num!E7)</f>
        <v>186365.31432641015</v>
      </c>
      <c r="F7" s="132">
        <f>IF(SER_hh_fec!F7=0,0,11630*1000*SER_hh_fec!F7/SER_hh_num!F7)</f>
        <v>195150.56037031856</v>
      </c>
      <c r="G7" s="132">
        <f>IF(SER_hh_fec!G7=0,0,11630*1000*SER_hh_fec!G7/SER_hh_num!G7)</f>
        <v>206925.42973907225</v>
      </c>
      <c r="H7" s="132">
        <f>IF(SER_hh_fec!H7=0,0,11630*1000*SER_hh_fec!H7/SER_hh_num!H7)</f>
        <v>220407.07359001384</v>
      </c>
      <c r="I7" s="132">
        <f>IF(SER_hh_fec!I7=0,0,11630*1000*SER_hh_fec!I7/SER_hh_num!I7)</f>
        <v>215993.36964302082</v>
      </c>
      <c r="J7" s="132">
        <f>IF(SER_hh_fec!J7=0,0,11630*1000*SER_hh_fec!J7/SER_hh_num!J7)</f>
        <v>272540.06182660267</v>
      </c>
      <c r="K7" s="132">
        <f>IF(SER_hh_fec!K7=0,0,11630*1000*SER_hh_fec!K7/SER_hh_num!K7)</f>
        <v>195519.86650925005</v>
      </c>
      <c r="L7" s="132">
        <f>IF(SER_hh_fec!L7=0,0,11630*1000*SER_hh_fec!L7/SER_hh_num!L7)</f>
        <v>236150.67768798204</v>
      </c>
      <c r="M7" s="132">
        <f>IF(SER_hh_fec!M7=0,0,11630*1000*SER_hh_fec!M7/SER_hh_num!M7)</f>
        <v>233662.48879459323</v>
      </c>
      <c r="N7" s="132">
        <f>IF(SER_hh_fec!N7=0,0,11630*1000*SER_hh_fec!N7/SER_hh_num!N7)</f>
        <v>233677.62932432338</v>
      </c>
      <c r="O7" s="132">
        <f>IF(SER_hh_fec!O7=0,0,11630*1000*SER_hh_fec!O7/SER_hh_num!O7)</f>
        <v>212506.26487074053</v>
      </c>
      <c r="P7" s="132">
        <f>IF(SER_hh_fec!P7=0,0,11630*1000*SER_hh_fec!P7/SER_hh_num!P7)</f>
        <v>222487.90847368221</v>
      </c>
      <c r="Q7" s="132">
        <f>IF(SER_hh_fec!Q7=0,0,11630*1000*SER_hh_fec!Q7/SER_hh_num!Q7)</f>
        <v>271290.03567043372</v>
      </c>
      <c r="R7" s="132">
        <f>IF(SER_hh_fec!R7=0,0,11630*1000*SER_hh_fec!R7/SER_hh_num!R7)</f>
        <v>293965.44826769124</v>
      </c>
      <c r="S7" s="132">
        <f>IF(SER_hh_fec!S7=0,0,11630*1000*SER_hh_fec!S7/SER_hh_num!S7)</f>
        <v>236724.195993331</v>
      </c>
      <c r="T7" s="132">
        <f>IF(SER_hh_fec!T7=0,0,11630*1000*SER_hh_fec!T7/SER_hh_num!T7)</f>
        <v>304475.76674409397</v>
      </c>
      <c r="U7" s="132">
        <f>IF(SER_hh_fec!U7=0,0,11630*1000*SER_hh_fec!U7/SER_hh_num!U7)</f>
        <v>235333.23297453221</v>
      </c>
      <c r="V7" s="132">
        <f>IF(SER_hh_fec!V7=0,0,11630*1000*SER_hh_fec!V7/SER_hh_num!V7)</f>
        <v>162958.90063615175</v>
      </c>
      <c r="W7" s="132">
        <f>IF(SER_hh_fec!W7=0,0,11630*1000*SER_hh_fec!W7/SER_hh_num!W7)</f>
        <v>219469.95960194664</v>
      </c>
      <c r="X7" s="132">
        <f>IF(SER_hh_fec!X7=0,0,11630*1000*SER_hh_fec!X7/SER_hh_num!X7)</f>
        <v>226240.05557966637</v>
      </c>
      <c r="Y7" s="132">
        <f>IF(SER_hh_fec!Y7=0,0,11630*1000*SER_hh_fec!Y7/SER_hh_num!Y7)</f>
        <v>212273.74614144294</v>
      </c>
      <c r="DA7" s="156" t="s">
        <v>388</v>
      </c>
    </row>
    <row r="8" spans="1:105" ht="12" customHeight="1" x14ac:dyDescent="0.25">
      <c r="A8" s="131" t="s">
        <v>73</v>
      </c>
      <c r="B8" s="132">
        <f>IF(SER_hh_fec!B8=0,0,11630*1000*SER_hh_fec!B8/SER_hh_num!B8)</f>
        <v>61658.304255486473</v>
      </c>
      <c r="C8" s="132">
        <f>IF(SER_hh_fec!C8=0,0,11630*1000*SER_hh_fec!C8/SER_hh_num!C8)</f>
        <v>63792.449184253499</v>
      </c>
      <c r="D8" s="132">
        <f>IF(SER_hh_fec!D8=0,0,11630*1000*SER_hh_fec!D8/SER_hh_num!D8)</f>
        <v>54971.484175101556</v>
      </c>
      <c r="E8" s="132">
        <f>IF(SER_hh_fec!E8=0,0,11630*1000*SER_hh_fec!E8/SER_hh_num!E8)</f>
        <v>59345.258467694119</v>
      </c>
      <c r="F8" s="132">
        <f>IF(SER_hh_fec!F8=0,0,11630*1000*SER_hh_fec!F8/SER_hh_num!F8)</f>
        <v>58256.096656991991</v>
      </c>
      <c r="G8" s="132">
        <f>IF(SER_hh_fec!G8=0,0,11630*1000*SER_hh_fec!G8/SER_hh_num!G8)</f>
        <v>59776.287454478152</v>
      </c>
      <c r="H8" s="132">
        <f>IF(SER_hh_fec!H8=0,0,11630*1000*SER_hh_fec!H8/SER_hh_num!H8)</f>
        <v>59578.643932399857</v>
      </c>
      <c r="I8" s="132">
        <f>IF(SER_hh_fec!I8=0,0,11630*1000*SER_hh_fec!I8/SER_hh_num!I8)</f>
        <v>57773.816452433683</v>
      </c>
      <c r="J8" s="132">
        <f>IF(SER_hh_fec!J8=0,0,11630*1000*SER_hh_fec!J8/SER_hh_num!J8)</f>
        <v>57837.698039154297</v>
      </c>
      <c r="K8" s="132">
        <f>IF(SER_hh_fec!K8=0,0,11630*1000*SER_hh_fec!K8/SER_hh_num!K8)</f>
        <v>54300.668300059719</v>
      </c>
      <c r="L8" s="132">
        <f>IF(SER_hh_fec!L8=0,0,11630*1000*SER_hh_fec!L8/SER_hh_num!L8)</f>
        <v>49012.498986042185</v>
      </c>
      <c r="M8" s="132">
        <f>IF(SER_hh_fec!M8=0,0,11630*1000*SER_hh_fec!M8/SER_hh_num!M8)</f>
        <v>44169.339764121352</v>
      </c>
      <c r="N8" s="132">
        <f>IF(SER_hh_fec!N8=0,0,11630*1000*SER_hh_fec!N8/SER_hh_num!N8)</f>
        <v>40738.577114048545</v>
      </c>
      <c r="O8" s="132">
        <f>IF(SER_hh_fec!O8=0,0,11630*1000*SER_hh_fec!O8/SER_hh_num!O8)</f>
        <v>40209.12320744546</v>
      </c>
      <c r="P8" s="132">
        <f>IF(SER_hh_fec!P8=0,0,11630*1000*SER_hh_fec!P8/SER_hh_num!P8)</f>
        <v>41641.670255004377</v>
      </c>
      <c r="Q8" s="132">
        <f>IF(SER_hh_fec!Q8=0,0,11630*1000*SER_hh_fec!Q8/SER_hh_num!Q8)</f>
        <v>48794.386737848516</v>
      </c>
      <c r="R8" s="132">
        <f>IF(SER_hh_fec!R8=0,0,11630*1000*SER_hh_fec!R8/SER_hh_num!R8)</f>
        <v>46565.718979847741</v>
      </c>
      <c r="S8" s="132">
        <f>IF(SER_hh_fec!S8=0,0,11630*1000*SER_hh_fec!S8/SER_hh_num!S8)</f>
        <v>46804.74207000489</v>
      </c>
      <c r="T8" s="132">
        <f>IF(SER_hh_fec!T8=0,0,11630*1000*SER_hh_fec!T8/SER_hh_num!T8)</f>
        <v>46511.7167301749</v>
      </c>
      <c r="U8" s="132">
        <f>IF(SER_hh_fec!U8=0,0,11630*1000*SER_hh_fec!U8/SER_hh_num!U8)</f>
        <v>43300.997728364877</v>
      </c>
      <c r="V8" s="132">
        <f>IF(SER_hh_fec!V8=0,0,11630*1000*SER_hh_fec!V8/SER_hh_num!V8)</f>
        <v>41257.073905160039</v>
      </c>
      <c r="W8" s="132">
        <f>IF(SER_hh_fec!W8=0,0,11630*1000*SER_hh_fec!W8/SER_hh_num!W8)</f>
        <v>41433.233237810666</v>
      </c>
      <c r="X8" s="132">
        <f>IF(SER_hh_fec!X8=0,0,11630*1000*SER_hh_fec!X8/SER_hh_num!X8)</f>
        <v>38363.026730907812</v>
      </c>
      <c r="Y8" s="132">
        <f>IF(SER_hh_fec!Y8=0,0,11630*1000*SER_hh_fec!Y8/SER_hh_num!Y8)</f>
        <v>37255.941964520971</v>
      </c>
      <c r="DA8" s="156" t="s">
        <v>389</v>
      </c>
    </row>
    <row r="9" spans="1:105" ht="12" customHeight="1" x14ac:dyDescent="0.25">
      <c r="A9" s="131" t="s">
        <v>78</v>
      </c>
      <c r="B9" s="132">
        <f>IF(SER_hh_fec!B9=0,0,11630*1000*SER_hh_fec!B9/SER_hh_num!B9)</f>
        <v>143716.48723300925</v>
      </c>
      <c r="C9" s="132">
        <f>IF(SER_hh_fec!C9=0,0,11630*1000*SER_hh_fec!C9/SER_hh_num!C9)</f>
        <v>150942.16387663176</v>
      </c>
      <c r="D9" s="132">
        <f>IF(SER_hh_fec!D9=0,0,11630*1000*SER_hh_fec!D9/SER_hh_num!D9)</f>
        <v>136406.4843886864</v>
      </c>
      <c r="E9" s="132">
        <f>IF(SER_hh_fec!E9=0,0,11630*1000*SER_hh_fec!E9/SER_hh_num!E9)</f>
        <v>164677.70730853238</v>
      </c>
      <c r="F9" s="132">
        <f>IF(SER_hh_fec!F9=0,0,11630*1000*SER_hh_fec!F9/SER_hh_num!F9)</f>
        <v>166166.97523912211</v>
      </c>
      <c r="G9" s="132">
        <f>IF(SER_hh_fec!G9=0,0,11630*1000*SER_hh_fec!G9/SER_hh_num!G9)</f>
        <v>204440.85496311277</v>
      </c>
      <c r="H9" s="132">
        <f>IF(SER_hh_fec!H9=0,0,11630*1000*SER_hh_fec!H9/SER_hh_num!H9)</f>
        <v>205636.25925961015</v>
      </c>
      <c r="I9" s="132">
        <f>IF(SER_hh_fec!I9=0,0,11630*1000*SER_hh_fec!I9/SER_hh_num!I9)</f>
        <v>180929.99033542705</v>
      </c>
      <c r="J9" s="132">
        <f>IF(SER_hh_fec!J9=0,0,11630*1000*SER_hh_fec!J9/SER_hh_num!J9)</f>
        <v>227360.69949415431</v>
      </c>
      <c r="K9" s="132">
        <f>IF(SER_hh_fec!K9=0,0,11630*1000*SER_hh_fec!K9/SER_hh_num!K9)</f>
        <v>226653.91822490728</v>
      </c>
      <c r="L9" s="132">
        <f>IF(SER_hh_fec!L9=0,0,11630*1000*SER_hh_fec!L9/SER_hh_num!L9)</f>
        <v>230665.13861296745</v>
      </c>
      <c r="M9" s="132">
        <f>IF(SER_hh_fec!M9=0,0,11630*1000*SER_hh_fec!M9/SER_hh_num!M9)</f>
        <v>194653.02025307264</v>
      </c>
      <c r="N9" s="132">
        <f>IF(SER_hh_fec!N9=0,0,11630*1000*SER_hh_fec!N9/SER_hh_num!N9)</f>
        <v>207781.2300646184</v>
      </c>
      <c r="O9" s="132">
        <f>IF(SER_hh_fec!O9=0,0,11630*1000*SER_hh_fec!O9/SER_hh_num!O9)</f>
        <v>226770.84504649983</v>
      </c>
      <c r="P9" s="132">
        <f>IF(SER_hh_fec!P9=0,0,11630*1000*SER_hh_fec!P9/SER_hh_num!P9)</f>
        <v>188747.7009464243</v>
      </c>
      <c r="Q9" s="132">
        <f>IF(SER_hh_fec!Q9=0,0,11630*1000*SER_hh_fec!Q9/SER_hh_num!Q9)</f>
        <v>231171.68571297574</v>
      </c>
      <c r="R9" s="132">
        <f>IF(SER_hh_fec!R9=0,0,11630*1000*SER_hh_fec!R9/SER_hh_num!R9)</f>
        <v>243895.35913208179</v>
      </c>
      <c r="S9" s="132">
        <f>IF(SER_hh_fec!S9=0,0,11630*1000*SER_hh_fec!S9/SER_hh_num!S9)</f>
        <v>237396.46324975466</v>
      </c>
      <c r="T9" s="132">
        <f>IF(SER_hh_fec!T9=0,0,11630*1000*SER_hh_fec!T9/SER_hh_num!T9)</f>
        <v>264201.76881018176</v>
      </c>
      <c r="U9" s="132">
        <f>IF(SER_hh_fec!U9=0,0,11630*1000*SER_hh_fec!U9/SER_hh_num!U9)</f>
        <v>250937.03618228578</v>
      </c>
      <c r="V9" s="132">
        <f>IF(SER_hh_fec!V9=0,0,11630*1000*SER_hh_fec!V9/SER_hh_num!V9)</f>
        <v>243471.53392932902</v>
      </c>
      <c r="W9" s="132">
        <f>IF(SER_hh_fec!W9=0,0,11630*1000*SER_hh_fec!W9/SER_hh_num!W9)</f>
        <v>225378.32236841065</v>
      </c>
      <c r="X9" s="132">
        <f>IF(SER_hh_fec!X9=0,0,11630*1000*SER_hh_fec!X9/SER_hh_num!X9)</f>
        <v>184415.03958648539</v>
      </c>
      <c r="Y9" s="132">
        <f>IF(SER_hh_fec!Y9=0,0,11630*1000*SER_hh_fec!Y9/SER_hh_num!Y9)</f>
        <v>204432.62015566326</v>
      </c>
      <c r="DA9" s="156" t="s">
        <v>390</v>
      </c>
    </row>
    <row r="10" spans="1:105" ht="12" customHeight="1" x14ac:dyDescent="0.25">
      <c r="A10" s="131" t="s">
        <v>128</v>
      </c>
      <c r="B10" s="132">
        <f>IF(SER_hh_fec!B10=0,0,11630*1000*SER_hh_fec!B10/SER_hh_num!B10)</f>
        <v>117154.30093115459</v>
      </c>
      <c r="C10" s="132">
        <f>IF(SER_hh_fec!C10=0,0,11630*1000*SER_hh_fec!C10/SER_hh_num!C10)</f>
        <v>123666.22154962455</v>
      </c>
      <c r="D10" s="132">
        <f>IF(SER_hh_fec!D10=0,0,11630*1000*SER_hh_fec!D10/SER_hh_num!D10)</f>
        <v>120972.39851455452</v>
      </c>
      <c r="E10" s="132">
        <f>IF(SER_hh_fec!E10=0,0,11630*1000*SER_hh_fec!E10/SER_hh_num!E10)</f>
        <v>132695.276297793</v>
      </c>
      <c r="F10" s="132">
        <f>IF(SER_hh_fec!F10=0,0,11630*1000*SER_hh_fec!F10/SER_hh_num!F10)</f>
        <v>143108.38622462421</v>
      </c>
      <c r="G10" s="132">
        <f>IF(SER_hh_fec!G10=0,0,11630*1000*SER_hh_fec!G10/SER_hh_num!G10)</f>
        <v>153110.38942254442</v>
      </c>
      <c r="H10" s="132">
        <f>IF(SER_hh_fec!H10=0,0,11630*1000*SER_hh_fec!H10/SER_hh_num!H10)</f>
        <v>195442.75550742427</v>
      </c>
      <c r="I10" s="132">
        <f>IF(SER_hh_fec!I10=0,0,11630*1000*SER_hh_fec!I10/SER_hh_num!I10)</f>
        <v>158923.73628457147</v>
      </c>
      <c r="J10" s="132">
        <f>IF(SER_hh_fec!J10=0,0,11630*1000*SER_hh_fec!J10/SER_hh_num!J10)</f>
        <v>146439.30015768623</v>
      </c>
      <c r="K10" s="132">
        <f>IF(SER_hh_fec!K10=0,0,11630*1000*SER_hh_fec!K10/SER_hh_num!K10)</f>
        <v>174087.01230289316</v>
      </c>
      <c r="L10" s="132">
        <f>IF(SER_hh_fec!L10=0,0,11630*1000*SER_hh_fec!L10/SER_hh_num!L10)</f>
        <v>214408.20799664775</v>
      </c>
      <c r="M10" s="132">
        <f>IF(SER_hh_fec!M10=0,0,11630*1000*SER_hh_fec!M10/SER_hh_num!M10)</f>
        <v>180118.76151457295</v>
      </c>
      <c r="N10" s="132">
        <f>IF(SER_hh_fec!N10=0,0,11630*1000*SER_hh_fec!N10/SER_hh_num!N10)</f>
        <v>140225.1263576099</v>
      </c>
      <c r="O10" s="132">
        <f>IF(SER_hh_fec!O10=0,0,11630*1000*SER_hh_fec!O10/SER_hh_num!O10)</f>
        <v>178425.11450231544</v>
      </c>
      <c r="P10" s="132">
        <f>IF(SER_hh_fec!P10=0,0,11630*1000*SER_hh_fec!P10/SER_hh_num!P10)</f>
        <v>232747.02780537013</v>
      </c>
      <c r="Q10" s="132">
        <f>IF(SER_hh_fec!Q10=0,0,11630*1000*SER_hh_fec!Q10/SER_hh_num!Q10)</f>
        <v>193718.34880355065</v>
      </c>
      <c r="R10" s="132">
        <f>IF(SER_hh_fec!R10=0,0,11630*1000*SER_hh_fec!R10/SER_hh_num!R10)</f>
        <v>235839.94975564803</v>
      </c>
      <c r="S10" s="132">
        <f>IF(SER_hh_fec!S10=0,0,11630*1000*SER_hh_fec!S10/SER_hh_num!S10)</f>
        <v>244391.58420029646</v>
      </c>
      <c r="T10" s="132">
        <f>IF(SER_hh_fec!T10=0,0,11630*1000*SER_hh_fec!T10/SER_hh_num!T10)</f>
        <v>236039.76991177129</v>
      </c>
      <c r="U10" s="132">
        <f>IF(SER_hh_fec!U10=0,0,11630*1000*SER_hh_fec!U10/SER_hh_num!U10)</f>
        <v>237097.63140720982</v>
      </c>
      <c r="V10" s="132">
        <f>IF(SER_hh_fec!V10=0,0,11630*1000*SER_hh_fec!V10/SER_hh_num!V10)</f>
        <v>212188.18659043146</v>
      </c>
      <c r="W10" s="132">
        <f>IF(SER_hh_fec!W10=0,0,11630*1000*SER_hh_fec!W10/SER_hh_num!W10)</f>
        <v>233243.01219651164</v>
      </c>
      <c r="X10" s="132">
        <f>IF(SER_hh_fec!X10=0,0,11630*1000*SER_hh_fec!X10/SER_hh_num!X10)</f>
        <v>239479.37759934782</v>
      </c>
      <c r="Y10" s="132">
        <f>IF(SER_hh_fec!Y10=0,0,11630*1000*SER_hh_fec!Y10/SER_hh_num!Y10)</f>
        <v>213342.97326973436</v>
      </c>
      <c r="DA10" s="156" t="s">
        <v>391</v>
      </c>
    </row>
    <row r="11" spans="1:105" ht="12" customHeight="1" x14ac:dyDescent="0.25">
      <c r="A11" s="131" t="s">
        <v>25</v>
      </c>
      <c r="B11" s="132">
        <f>IF(SER_hh_fec!B11=0,0,11630*1000*SER_hh_fec!B11/SER_hh_num!B11)</f>
        <v>95455.068560270141</v>
      </c>
      <c r="C11" s="132">
        <f>IF(SER_hh_fec!C11=0,0,11630*1000*SER_hh_fec!C11/SER_hh_num!C11)</f>
        <v>97057.125591560834</v>
      </c>
      <c r="D11" s="132">
        <f>IF(SER_hh_fec!D11=0,0,11630*1000*SER_hh_fec!D11/SER_hh_num!D11)</f>
        <v>100725.77020920669</v>
      </c>
      <c r="E11" s="132">
        <f>IF(SER_hh_fec!E11=0,0,11630*1000*SER_hh_fec!E11/SER_hh_num!E11)</f>
        <v>109065.13068775189</v>
      </c>
      <c r="F11" s="132">
        <f>IF(SER_hh_fec!F11=0,0,11630*1000*SER_hh_fec!F11/SER_hh_num!F11)</f>
        <v>117214.69906725938</v>
      </c>
      <c r="G11" s="132">
        <f>IF(SER_hh_fec!G11=0,0,11630*1000*SER_hh_fec!G11/SER_hh_num!G11)</f>
        <v>129765.89313605928</v>
      </c>
      <c r="H11" s="132">
        <f>IF(SER_hh_fec!H11=0,0,11630*1000*SER_hh_fec!H11/SER_hh_num!H11)</f>
        <v>137853.14038334248</v>
      </c>
      <c r="I11" s="132">
        <f>IF(SER_hh_fec!I11=0,0,11630*1000*SER_hh_fec!I11/SER_hh_num!I11)</f>
        <v>142261.2331498604</v>
      </c>
      <c r="J11" s="132">
        <f>IF(SER_hh_fec!J11=0,0,11630*1000*SER_hh_fec!J11/SER_hh_num!J11)</f>
        <v>156889.81612154728</v>
      </c>
      <c r="K11" s="132">
        <f>IF(SER_hh_fec!K11=0,0,11630*1000*SER_hh_fec!K11/SER_hh_num!K11)</f>
        <v>175995.72850876761</v>
      </c>
      <c r="L11" s="132">
        <f>IF(SER_hh_fec!L11=0,0,11630*1000*SER_hh_fec!L11/SER_hh_num!L11)</f>
        <v>126873.18496931273</v>
      </c>
      <c r="M11" s="132">
        <f>IF(SER_hh_fec!M11=0,0,11630*1000*SER_hh_fec!M11/SER_hh_num!M11)</f>
        <v>139992.26929725645</v>
      </c>
      <c r="N11" s="132">
        <f>IF(SER_hh_fec!N11=0,0,11630*1000*SER_hh_fec!N11/SER_hh_num!N11)</f>
        <v>150806.73908302921</v>
      </c>
      <c r="O11" s="132">
        <f>IF(SER_hh_fec!O11=0,0,11630*1000*SER_hh_fec!O11/SER_hh_num!O11)</f>
        <v>153722.0998606522</v>
      </c>
      <c r="P11" s="132">
        <f>IF(SER_hh_fec!P11=0,0,11630*1000*SER_hh_fec!P11/SER_hh_num!P11)</f>
        <v>152759.81764786207</v>
      </c>
      <c r="Q11" s="132">
        <f>IF(SER_hh_fec!Q11=0,0,11630*1000*SER_hh_fec!Q11/SER_hh_num!Q11)</f>
        <v>169549.03738065262</v>
      </c>
      <c r="R11" s="132">
        <f>IF(SER_hh_fec!R11=0,0,11630*1000*SER_hh_fec!R11/SER_hh_num!R11)</f>
        <v>178886.83995936805</v>
      </c>
      <c r="S11" s="132">
        <f>IF(SER_hh_fec!S11=0,0,11630*1000*SER_hh_fec!S11/SER_hh_num!S11)</f>
        <v>195542.09022015109</v>
      </c>
      <c r="T11" s="132">
        <f>IF(SER_hh_fec!T11=0,0,11630*1000*SER_hh_fec!T11/SER_hh_num!T11)</f>
        <v>199349.84964416065</v>
      </c>
      <c r="U11" s="132">
        <f>IF(SER_hh_fec!U11=0,0,11630*1000*SER_hh_fec!U11/SER_hh_num!U11)</f>
        <v>198850.15656874867</v>
      </c>
      <c r="V11" s="132">
        <f>IF(SER_hh_fec!V11=0,0,11630*1000*SER_hh_fec!V11/SER_hh_num!V11)</f>
        <v>184934.48977447004</v>
      </c>
      <c r="W11" s="132">
        <f>IF(SER_hh_fec!W11=0,0,11630*1000*SER_hh_fec!W11/SER_hh_num!W11)</f>
        <v>178926.70657126102</v>
      </c>
      <c r="X11" s="132">
        <f>IF(SER_hh_fec!X11=0,0,11630*1000*SER_hh_fec!X11/SER_hh_num!X11)</f>
        <v>174556.60594006511</v>
      </c>
      <c r="Y11" s="132">
        <f>IF(SER_hh_fec!Y11=0,0,11630*1000*SER_hh_fec!Y11/SER_hh_num!Y11)</f>
        <v>174774.53424997177</v>
      </c>
      <c r="DA11" s="156" t="s">
        <v>392</v>
      </c>
    </row>
    <row r="12" spans="1:105" ht="12" customHeight="1" x14ac:dyDescent="0.25">
      <c r="A12" s="131" t="s">
        <v>162</v>
      </c>
      <c r="B12" s="132">
        <f>IF(SER_hh_fec!B12=0,0,11630*1000*SER_hh_fec!B12/SER_hh_num!B12)</f>
        <v>0</v>
      </c>
      <c r="C12" s="132">
        <f>IF(SER_hh_fec!C12=0,0,11630*1000*SER_hh_fec!C12/SER_hh_num!C12)</f>
        <v>0</v>
      </c>
      <c r="D12" s="132">
        <f>IF(SER_hh_fec!D12=0,0,11630*1000*SER_hh_fec!D12/SER_hh_num!D12)</f>
        <v>0</v>
      </c>
      <c r="E12" s="132">
        <f>IF(SER_hh_fec!E12=0,0,11630*1000*SER_hh_fec!E12/SER_hh_num!E12)</f>
        <v>0</v>
      </c>
      <c r="F12" s="132">
        <f>IF(SER_hh_fec!F12=0,0,11630*1000*SER_hh_fec!F12/SER_hh_num!F12)</f>
        <v>160725.47380872359</v>
      </c>
      <c r="G12" s="132">
        <f>IF(SER_hh_fec!G12=0,0,11630*1000*SER_hh_fec!G12/SER_hh_num!G12)</f>
        <v>123336.95009388308</v>
      </c>
      <c r="H12" s="132">
        <f>IF(SER_hh_fec!H12=0,0,11630*1000*SER_hh_fec!H12/SER_hh_num!H12)</f>
        <v>145977.19985338711</v>
      </c>
      <c r="I12" s="132">
        <f>IF(SER_hh_fec!I12=0,0,11630*1000*SER_hh_fec!I12/SER_hh_num!I12)</f>
        <v>145668.80612382962</v>
      </c>
      <c r="J12" s="132">
        <f>IF(SER_hh_fec!J12=0,0,11630*1000*SER_hh_fec!J12/SER_hh_num!J12)</f>
        <v>154349.49753599003</v>
      </c>
      <c r="K12" s="132">
        <f>IF(SER_hh_fec!K12=0,0,11630*1000*SER_hh_fec!K12/SER_hh_num!K12)</f>
        <v>134192.26522226256</v>
      </c>
      <c r="L12" s="132">
        <f>IF(SER_hh_fec!L12=0,0,11630*1000*SER_hh_fec!L12/SER_hh_num!L12)</f>
        <v>101899.81937513231</v>
      </c>
      <c r="M12" s="132">
        <f>IF(SER_hh_fec!M12=0,0,11630*1000*SER_hh_fec!M12/SER_hh_num!M12)</f>
        <v>185680.15766066537</v>
      </c>
      <c r="N12" s="132">
        <f>IF(SER_hh_fec!N12=0,0,11630*1000*SER_hh_fec!N12/SER_hh_num!N12)</f>
        <v>122918.91538746403</v>
      </c>
      <c r="O12" s="132">
        <f>IF(SER_hh_fec!O12=0,0,11630*1000*SER_hh_fec!O12/SER_hh_num!O12)</f>
        <v>140892.97581128712</v>
      </c>
      <c r="P12" s="132">
        <f>IF(SER_hh_fec!P12=0,0,11630*1000*SER_hh_fec!P12/SER_hh_num!P12)</f>
        <v>196615.73037650477</v>
      </c>
      <c r="Q12" s="132">
        <f>IF(SER_hh_fec!Q12=0,0,11630*1000*SER_hh_fec!Q12/SER_hh_num!Q12)</f>
        <v>155678.88331413479</v>
      </c>
      <c r="R12" s="132">
        <f>IF(SER_hh_fec!R12=0,0,11630*1000*SER_hh_fec!R12/SER_hh_num!R12)</f>
        <v>159480.55347518687</v>
      </c>
      <c r="S12" s="132">
        <f>IF(SER_hh_fec!S12=0,0,11630*1000*SER_hh_fec!S12/SER_hh_num!S12)</f>
        <v>194747.20009647397</v>
      </c>
      <c r="T12" s="132">
        <f>IF(SER_hh_fec!T12=0,0,11630*1000*SER_hh_fec!T12/SER_hh_num!T12)</f>
        <v>233806.8238514298</v>
      </c>
      <c r="U12" s="132">
        <f>IF(SER_hh_fec!U12=0,0,11630*1000*SER_hh_fec!U12/SER_hh_num!U12)</f>
        <v>179783.47338886571</v>
      </c>
      <c r="V12" s="132">
        <f>IF(SER_hh_fec!V12=0,0,11630*1000*SER_hh_fec!V12/SER_hh_num!V12)</f>
        <v>185616.38935229913</v>
      </c>
      <c r="W12" s="132">
        <f>IF(SER_hh_fec!W12=0,0,11630*1000*SER_hh_fec!W12/SER_hh_num!W12)</f>
        <v>161533.97535594818</v>
      </c>
      <c r="X12" s="132">
        <f>IF(SER_hh_fec!X12=0,0,11630*1000*SER_hh_fec!X12/SER_hh_num!X12)</f>
        <v>164371.43925024071</v>
      </c>
      <c r="Y12" s="132">
        <f>IF(SER_hh_fec!Y12=0,0,11630*1000*SER_hh_fec!Y12/SER_hh_num!Y12)</f>
        <v>171861.06586102987</v>
      </c>
      <c r="DA12" s="156" t="s">
        <v>393</v>
      </c>
    </row>
    <row r="13" spans="1:105" ht="12" customHeight="1" x14ac:dyDescent="0.25">
      <c r="A13" s="131" t="s">
        <v>77</v>
      </c>
      <c r="B13" s="132">
        <f>IF(SER_hh_fec!B13=0,0,11630*1000*SER_hh_fec!B13/SER_hh_num!B13)</f>
        <v>38943.48716221506</v>
      </c>
      <c r="C13" s="132">
        <f>IF(SER_hh_fec!C13=0,0,11630*1000*SER_hh_fec!C13/SER_hh_num!C13)</f>
        <v>34092.866085759255</v>
      </c>
      <c r="D13" s="132">
        <f>IF(SER_hh_fec!D13=0,0,11630*1000*SER_hh_fec!D13/SER_hh_num!D13)</f>
        <v>48669.993919608736</v>
      </c>
      <c r="E13" s="132">
        <f>IF(SER_hh_fec!E13=0,0,11630*1000*SER_hh_fec!E13/SER_hh_num!E13)</f>
        <v>34229.033997236154</v>
      </c>
      <c r="F13" s="132">
        <f>IF(SER_hh_fec!F13=0,0,11630*1000*SER_hh_fec!F13/SER_hh_num!F13)</f>
        <v>44026.030115956099</v>
      </c>
      <c r="G13" s="132">
        <f>IF(SER_hh_fec!G13=0,0,11630*1000*SER_hh_fec!G13/SER_hh_num!G13)</f>
        <v>56429.938096030499</v>
      </c>
      <c r="H13" s="132">
        <f>IF(SER_hh_fec!H13=0,0,11630*1000*SER_hh_fec!H13/SER_hh_num!H13)</f>
        <v>57041.441697014066</v>
      </c>
      <c r="I13" s="132">
        <f>IF(SER_hh_fec!I13=0,0,11630*1000*SER_hh_fec!I13/SER_hh_num!I13)</f>
        <v>53578.428115002753</v>
      </c>
      <c r="J13" s="132">
        <f>IF(SER_hh_fec!J13=0,0,11630*1000*SER_hh_fec!J13/SER_hh_num!J13)</f>
        <v>53225.211409319665</v>
      </c>
      <c r="K13" s="132">
        <f>IF(SER_hh_fec!K13=0,0,11630*1000*SER_hh_fec!K13/SER_hh_num!K13)</f>
        <v>54420.600839337749</v>
      </c>
      <c r="L13" s="132">
        <f>IF(SER_hh_fec!L13=0,0,11630*1000*SER_hh_fec!L13/SER_hh_num!L13)</f>
        <v>44690.237832408406</v>
      </c>
      <c r="M13" s="132">
        <f>IF(SER_hh_fec!M13=0,0,11630*1000*SER_hh_fec!M13/SER_hh_num!M13)</f>
        <v>44191.986398633977</v>
      </c>
      <c r="N13" s="132">
        <f>IF(SER_hh_fec!N13=0,0,11630*1000*SER_hh_fec!N13/SER_hh_num!N13)</f>
        <v>45454.985412037793</v>
      </c>
      <c r="O13" s="132">
        <f>IF(SER_hh_fec!O13=0,0,11630*1000*SER_hh_fec!O13/SER_hh_num!O13)</f>
        <v>37008.135941117594</v>
      </c>
      <c r="P13" s="132">
        <f>IF(SER_hh_fec!P13=0,0,11630*1000*SER_hh_fec!P13/SER_hh_num!P13)</f>
        <v>39351.734056408961</v>
      </c>
      <c r="Q13" s="132">
        <f>IF(SER_hh_fec!Q13=0,0,11630*1000*SER_hh_fec!Q13/SER_hh_num!Q13)</f>
        <v>52786.061844189768</v>
      </c>
      <c r="R13" s="132">
        <f>IF(SER_hh_fec!R13=0,0,11630*1000*SER_hh_fec!R13/SER_hh_num!R13)</f>
        <v>48760.932723288388</v>
      </c>
      <c r="S13" s="132">
        <f>IF(SER_hh_fec!S13=0,0,11630*1000*SER_hh_fec!S13/SER_hh_num!S13)</f>
        <v>52355.256637765866</v>
      </c>
      <c r="T13" s="132">
        <f>IF(SER_hh_fec!T13=0,0,11630*1000*SER_hh_fec!T13/SER_hh_num!T13)</f>
        <v>50614.894566387498</v>
      </c>
      <c r="U13" s="132">
        <f>IF(SER_hh_fec!U13=0,0,11630*1000*SER_hh_fec!U13/SER_hh_num!U13)</f>
        <v>47876.623762489471</v>
      </c>
      <c r="V13" s="132">
        <f>IF(SER_hh_fec!V13=0,0,11630*1000*SER_hh_fec!V13/SER_hh_num!V13)</f>
        <v>46238.18232593924</v>
      </c>
      <c r="W13" s="132">
        <f>IF(SER_hh_fec!W13=0,0,11630*1000*SER_hh_fec!W13/SER_hh_num!W13)</f>
        <v>36957.844503169625</v>
      </c>
      <c r="X13" s="132">
        <f>IF(SER_hh_fec!X13=0,0,11630*1000*SER_hh_fec!X13/SER_hh_num!X13)</f>
        <v>38198.769717574782</v>
      </c>
      <c r="Y13" s="132">
        <f>IF(SER_hh_fec!Y13=0,0,11630*1000*SER_hh_fec!Y13/SER_hh_num!Y13)</f>
        <v>42565.269734299101</v>
      </c>
      <c r="DA13" s="156" t="s">
        <v>394</v>
      </c>
    </row>
    <row r="14" spans="1:105" ht="12" customHeight="1" x14ac:dyDescent="0.25">
      <c r="A14" s="60" t="s">
        <v>76</v>
      </c>
      <c r="B14" s="65">
        <f>IF(SER_hh_fec!B14=0,0,11630*1000*SER_hh_fec!B14/SER_hh_num!B14)</f>
        <v>101092.09249764956</v>
      </c>
      <c r="C14" s="65">
        <f>IF(SER_hh_fec!C14=0,0,11630*1000*SER_hh_fec!C14/SER_hh_num!C14)</f>
        <v>104659.8149322613</v>
      </c>
      <c r="D14" s="65">
        <f>IF(SER_hh_fec!D14=0,0,11630*1000*SER_hh_fec!D14/SER_hh_num!D14)</f>
        <v>111950.75648349774</v>
      </c>
      <c r="E14" s="65">
        <f>IF(SER_hh_fec!E14=0,0,11630*1000*SER_hh_fec!E14/SER_hh_num!E14)</f>
        <v>113551.31832214637</v>
      </c>
      <c r="F14" s="65">
        <f>IF(SER_hh_fec!F14=0,0,11630*1000*SER_hh_fec!F14/SER_hh_num!F14)</f>
        <v>127179.19097460798</v>
      </c>
      <c r="G14" s="65">
        <f>IF(SER_hh_fec!G14=0,0,11630*1000*SER_hh_fec!G14/SER_hh_num!G14)</f>
        <v>144792.74827737155</v>
      </c>
      <c r="H14" s="65">
        <f>IF(SER_hh_fec!H14=0,0,11630*1000*SER_hh_fec!H14/SER_hh_num!H14)</f>
        <v>151115.17835924076</v>
      </c>
      <c r="I14" s="65">
        <f>IF(SER_hh_fec!I14=0,0,11630*1000*SER_hh_fec!I14/SER_hh_num!I14)</f>
        <v>155231.88592321539</v>
      </c>
      <c r="J14" s="65">
        <f>IF(SER_hh_fec!J14=0,0,11630*1000*SER_hh_fec!J14/SER_hh_num!J14)</f>
        <v>161159.20916135793</v>
      </c>
      <c r="K14" s="65">
        <f>IF(SER_hh_fec!K14=0,0,11630*1000*SER_hh_fec!K14/SER_hh_num!K14)</f>
        <v>164466.17619797506</v>
      </c>
      <c r="L14" s="65">
        <f>IF(SER_hh_fec!L14=0,0,11630*1000*SER_hh_fec!L14/SER_hh_num!L14)</f>
        <v>166477.45824279435</v>
      </c>
      <c r="M14" s="65">
        <f>IF(SER_hh_fec!M14=0,0,11630*1000*SER_hh_fec!M14/SER_hh_num!M14)</f>
        <v>160351.24112712865</v>
      </c>
      <c r="N14" s="65">
        <f>IF(SER_hh_fec!N14=0,0,11630*1000*SER_hh_fec!N14/SER_hh_num!N14)</f>
        <v>162856.48028335368</v>
      </c>
      <c r="O14" s="65">
        <f>IF(SER_hh_fec!O14=0,0,11630*1000*SER_hh_fec!O14/SER_hh_num!O14)</f>
        <v>167327.00969437137</v>
      </c>
      <c r="P14" s="65">
        <f>IF(SER_hh_fec!P14=0,0,11630*1000*SER_hh_fec!P14/SER_hh_num!P14)</f>
        <v>166116.44776940093</v>
      </c>
      <c r="Q14" s="65">
        <f>IF(SER_hh_fec!Q14=0,0,11630*1000*SER_hh_fec!Q14/SER_hh_num!Q14)</f>
        <v>168677.86581267204</v>
      </c>
      <c r="R14" s="65">
        <f>IF(SER_hh_fec!R14=0,0,11630*1000*SER_hh_fec!R14/SER_hh_num!R14)</f>
        <v>190985.38497401285</v>
      </c>
      <c r="S14" s="65">
        <f>IF(SER_hh_fec!S14=0,0,11630*1000*SER_hh_fec!S14/SER_hh_num!S14)</f>
        <v>201324.71762895121</v>
      </c>
      <c r="T14" s="65">
        <f>IF(SER_hh_fec!T14=0,0,11630*1000*SER_hh_fec!T14/SER_hh_num!T14)</f>
        <v>233818.85800553302</v>
      </c>
      <c r="U14" s="65">
        <f>IF(SER_hh_fec!U14=0,0,11630*1000*SER_hh_fec!U14/SER_hh_num!U14)</f>
        <v>207827.95377859339</v>
      </c>
      <c r="V14" s="65">
        <f>IF(SER_hh_fec!V14=0,0,11630*1000*SER_hh_fec!V14/SER_hh_num!V14)</f>
        <v>136734.64396733764</v>
      </c>
      <c r="W14" s="65">
        <f>IF(SER_hh_fec!W14=0,0,11630*1000*SER_hh_fec!W14/SER_hh_num!W14)</f>
        <v>196348.81689380383</v>
      </c>
      <c r="X14" s="65">
        <f>IF(SER_hh_fec!X14=0,0,11630*1000*SER_hh_fec!X14/SER_hh_num!X14)</f>
        <v>188263.05611371979</v>
      </c>
      <c r="Y14" s="65">
        <f>IF(SER_hh_fec!Y14=0,0,11630*1000*SER_hh_fec!Y14/SER_hh_num!Y14)</f>
        <v>169251.43448231099</v>
      </c>
      <c r="DA14" s="109" t="s">
        <v>395</v>
      </c>
    </row>
    <row r="15" spans="1:105" ht="12" customHeight="1" x14ac:dyDescent="0.25">
      <c r="A15" s="133" t="s">
        <v>80</v>
      </c>
      <c r="B15" s="134">
        <f>IF(SER_hh_fec!B15=0,0,11630*1000*SER_hh_fec!B15/SER_hh_num!B15)</f>
        <v>1419.1284475678683</v>
      </c>
      <c r="C15" s="134">
        <f>IF(SER_hh_fec!C15=0,0,11630*1000*SER_hh_fec!C15/SER_hh_num!C15)</f>
        <v>1426.4892823144062</v>
      </c>
      <c r="D15" s="134">
        <f>IF(SER_hh_fec!D15=0,0,11630*1000*SER_hh_fec!D15/SER_hh_num!D15)</f>
        <v>1308.9110471820152</v>
      </c>
      <c r="E15" s="134">
        <f>IF(SER_hh_fec!E15=0,0,11630*1000*SER_hh_fec!E15/SER_hh_num!E15)</f>
        <v>1573.5301348063274</v>
      </c>
      <c r="F15" s="134">
        <f>IF(SER_hh_fec!F15=0,0,11630*1000*SER_hh_fec!F15/SER_hh_num!F15)</f>
        <v>1572.7596673422408</v>
      </c>
      <c r="G15" s="134">
        <f>IF(SER_hh_fec!G15=0,0,11630*1000*SER_hh_fec!G15/SER_hh_num!G15)</f>
        <v>1888.9368571456091</v>
      </c>
      <c r="H15" s="134">
        <f>IF(SER_hh_fec!H15=0,0,11630*1000*SER_hh_fec!H15/SER_hh_num!H15)</f>
        <v>1899.6664267054839</v>
      </c>
      <c r="I15" s="134">
        <f>IF(SER_hh_fec!I15=0,0,11630*1000*SER_hh_fec!I15/SER_hh_num!I15)</f>
        <v>1686.3560343628242</v>
      </c>
      <c r="J15" s="134">
        <f>IF(SER_hh_fec!J15=0,0,11630*1000*SER_hh_fec!J15/SER_hh_num!J15)</f>
        <v>2108.5185010483847</v>
      </c>
      <c r="K15" s="134">
        <f>IF(SER_hh_fec!K15=0,0,11630*1000*SER_hh_fec!K15/SER_hh_num!K15)</f>
        <v>2069.4914795321788</v>
      </c>
      <c r="L15" s="134">
        <f>IF(SER_hh_fec!L15=0,0,11630*1000*SER_hh_fec!L15/SER_hh_num!L15)</f>
        <v>2118.6141498528627</v>
      </c>
      <c r="M15" s="134">
        <f>IF(SER_hh_fec!M15=0,0,11630*1000*SER_hh_fec!M15/SER_hh_num!M15)</f>
        <v>1803.3675088556517</v>
      </c>
      <c r="N15" s="134">
        <f>IF(SER_hh_fec!N15=0,0,11630*1000*SER_hh_fec!N15/SER_hh_num!N15)</f>
        <v>1895.8867606966758</v>
      </c>
      <c r="O15" s="134">
        <f>IF(SER_hh_fec!O15=0,0,11630*1000*SER_hh_fec!O15/SER_hh_num!O15)</f>
        <v>2037.3680355298243</v>
      </c>
      <c r="P15" s="134">
        <f>IF(SER_hh_fec!P15=0,0,11630*1000*SER_hh_fec!P15/SER_hh_num!P15)</f>
        <v>1705.1904041476243</v>
      </c>
      <c r="Q15" s="134">
        <f>IF(SER_hh_fec!Q15=0,0,11630*1000*SER_hh_fec!Q15/SER_hh_num!Q15)</f>
        <v>2025.1221752338945</v>
      </c>
      <c r="R15" s="134">
        <f>IF(SER_hh_fec!R15=0,0,11630*1000*SER_hh_fec!R15/SER_hh_num!R15)</f>
        <v>2129.8497605262814</v>
      </c>
      <c r="S15" s="134">
        <f>IF(SER_hh_fec!S15=0,0,11630*1000*SER_hh_fec!S15/SER_hh_num!S15)</f>
        <v>2144.8699255212546</v>
      </c>
      <c r="T15" s="134">
        <f>IF(SER_hh_fec!T15=0,0,11630*1000*SER_hh_fec!T15/SER_hh_num!T15)</f>
        <v>2469.9711596740658</v>
      </c>
      <c r="U15" s="134">
        <f>IF(SER_hh_fec!U15=0,0,11630*1000*SER_hh_fec!U15/SER_hh_num!U15)</f>
        <v>2405.737670743044</v>
      </c>
      <c r="V15" s="134">
        <f>IF(SER_hh_fec!V15=0,0,11630*1000*SER_hh_fec!V15/SER_hh_num!V15)</f>
        <v>2372.0140141136221</v>
      </c>
      <c r="W15" s="134">
        <f>IF(SER_hh_fec!W15=0,0,11630*1000*SER_hh_fec!W15/SER_hh_num!W15)</f>
        <v>2249.2240699966023</v>
      </c>
      <c r="X15" s="134">
        <f>IF(SER_hh_fec!X15=0,0,11630*1000*SER_hh_fec!X15/SER_hh_num!X15)</f>
        <v>1923.4026632077923</v>
      </c>
      <c r="Y15" s="134">
        <f>IF(SER_hh_fec!Y15=0,0,11630*1000*SER_hh_fec!Y15/SER_hh_num!Y15)</f>
        <v>2169.681957112381</v>
      </c>
      <c r="DA15" s="157" t="s">
        <v>396</v>
      </c>
    </row>
    <row r="16" spans="1:105" ht="12.95" customHeight="1" x14ac:dyDescent="0.25">
      <c r="A16" s="129" t="s">
        <v>74</v>
      </c>
      <c r="B16" s="130">
        <f>IF(SER_hh_fec!B16=0,0,11630*1000*SER_hh_fec!B16/SER_hh_num!B16)</f>
        <v>12377.452641970705</v>
      </c>
      <c r="C16" s="130">
        <f>IF(SER_hh_fec!C16=0,0,11630*1000*SER_hh_fec!C16/SER_hh_num!C16)</f>
        <v>13020.400972407009</v>
      </c>
      <c r="D16" s="130">
        <f>IF(SER_hh_fec!D16=0,0,11630*1000*SER_hh_fec!D16/SER_hh_num!D16)</f>
        <v>10955.691064176262</v>
      </c>
      <c r="E16" s="130">
        <f>IF(SER_hh_fec!E16=0,0,11630*1000*SER_hh_fec!E16/SER_hh_num!E16)</f>
        <v>24484.368719753245</v>
      </c>
      <c r="F16" s="130">
        <f>IF(SER_hh_fec!F16=0,0,11630*1000*SER_hh_fec!F16/SER_hh_num!F16)</f>
        <v>10540.544165532987</v>
      </c>
      <c r="G16" s="130">
        <f>IF(SER_hh_fec!G16=0,0,11630*1000*SER_hh_fec!G16/SER_hh_num!G16)</f>
        <v>10122.933933749351</v>
      </c>
      <c r="H16" s="130">
        <f>IF(SER_hh_fec!H16=0,0,11630*1000*SER_hh_fec!H16/SER_hh_num!H16)</f>
        <v>11273.682746376126</v>
      </c>
      <c r="I16" s="130">
        <f>IF(SER_hh_fec!I16=0,0,11630*1000*SER_hh_fec!I16/SER_hh_num!I16)</f>
        <v>9822.7254168149211</v>
      </c>
      <c r="J16" s="130">
        <f>IF(SER_hh_fec!J16=0,0,11630*1000*SER_hh_fec!J16/SER_hh_num!J16)</f>
        <v>10974.660426155975</v>
      </c>
      <c r="K16" s="130">
        <f>IF(SER_hh_fec!K16=0,0,11630*1000*SER_hh_fec!K16/SER_hh_num!K16)</f>
        <v>11061.73799438865</v>
      </c>
      <c r="L16" s="130">
        <f>IF(SER_hh_fec!L16=0,0,11630*1000*SER_hh_fec!L16/SER_hh_num!L16)</f>
        <v>8787.6704564606553</v>
      </c>
      <c r="M16" s="130">
        <f>IF(SER_hh_fec!M16=0,0,11630*1000*SER_hh_fec!M16/SER_hh_num!M16)</f>
        <v>9226.8544546581634</v>
      </c>
      <c r="N16" s="130">
        <f>IF(SER_hh_fec!N16=0,0,11630*1000*SER_hh_fec!N16/SER_hh_num!N16)</f>
        <v>14164.552189428652</v>
      </c>
      <c r="O16" s="130">
        <f>IF(SER_hh_fec!O16=0,0,11630*1000*SER_hh_fec!O16/SER_hh_num!O16)</f>
        <v>8211.8486479496696</v>
      </c>
      <c r="P16" s="130">
        <f>IF(SER_hh_fec!P16=0,0,11630*1000*SER_hh_fec!P16/SER_hh_num!P16)</f>
        <v>6894.7355403315332</v>
      </c>
      <c r="Q16" s="130">
        <f>IF(SER_hh_fec!Q16=0,0,11630*1000*SER_hh_fec!Q16/SER_hh_num!Q16)</f>
        <v>11980.428911370611</v>
      </c>
      <c r="R16" s="130">
        <f>IF(SER_hh_fec!R16=0,0,11630*1000*SER_hh_fec!R16/SER_hh_num!R16)</f>
        <v>7442.2593503112766</v>
      </c>
      <c r="S16" s="130">
        <f>IF(SER_hh_fec!S16=0,0,11630*1000*SER_hh_fec!S16/SER_hh_num!S16)</f>
        <v>11073.473848145939</v>
      </c>
      <c r="T16" s="130">
        <f>IF(SER_hh_fec!T16=0,0,11630*1000*SER_hh_fec!T16/SER_hh_num!T16)</f>
        <v>8274.7507460672059</v>
      </c>
      <c r="U16" s="130">
        <f>IF(SER_hh_fec!U16=0,0,11630*1000*SER_hh_fec!U16/SER_hh_num!U16)</f>
        <v>10809.269394167513</v>
      </c>
      <c r="V16" s="130">
        <f>IF(SER_hh_fec!V16=0,0,11630*1000*SER_hh_fec!V16/SER_hh_num!V16)</f>
        <v>7703.3717103050194</v>
      </c>
      <c r="W16" s="130">
        <f>IF(SER_hh_fec!W16=0,0,11630*1000*SER_hh_fec!W16/SER_hh_num!W16)</f>
        <v>9428.4392274360725</v>
      </c>
      <c r="X16" s="130">
        <f>IF(SER_hh_fec!X16=0,0,11630*1000*SER_hh_fec!X16/SER_hh_num!X16)</f>
        <v>12334.343198709974</v>
      </c>
      <c r="Y16" s="130">
        <f>IF(SER_hh_fec!Y16=0,0,11630*1000*SER_hh_fec!Y16/SER_hh_num!Y16)</f>
        <v>9814.5356103170689</v>
      </c>
      <c r="DA16" s="155" t="s">
        <v>397</v>
      </c>
    </row>
    <row r="17" spans="1:105" ht="12.95" customHeight="1" x14ac:dyDescent="0.25">
      <c r="A17" s="131" t="s">
        <v>73</v>
      </c>
      <c r="B17" s="132">
        <f>IF(SER_hh_fec!B17=0,0,11630*1000*SER_hh_fec!B17/SER_hh_num!B17)</f>
        <v>20784.32411819353</v>
      </c>
      <c r="C17" s="132">
        <f>IF(SER_hh_fec!C17=0,0,11630*1000*SER_hh_fec!C17/SER_hh_num!C17)</f>
        <v>22014.704299789304</v>
      </c>
      <c r="D17" s="132">
        <f>IF(SER_hh_fec!D17=0,0,11630*1000*SER_hh_fec!D17/SER_hh_num!D17)</f>
        <v>19197.159429945565</v>
      </c>
      <c r="E17" s="132">
        <f>IF(SER_hh_fec!E17=0,0,11630*1000*SER_hh_fec!E17/SER_hh_num!E17)</f>
        <v>43790.392210533391</v>
      </c>
      <c r="F17" s="132">
        <f>IF(SER_hh_fec!F17=0,0,11630*1000*SER_hh_fec!F17/SER_hh_num!F17)</f>
        <v>19404.956617669777</v>
      </c>
      <c r="G17" s="132">
        <f>IF(SER_hh_fec!G17=0,0,11630*1000*SER_hh_fec!G17/SER_hh_num!G17)</f>
        <v>19309.260410839484</v>
      </c>
      <c r="H17" s="132">
        <f>IF(SER_hh_fec!H17=0,0,11630*1000*SER_hh_fec!H17/SER_hh_num!H17)</f>
        <v>22398.769950167396</v>
      </c>
      <c r="I17" s="132">
        <f>IF(SER_hh_fec!I17=0,0,11630*1000*SER_hh_fec!I17/SER_hh_num!I17)</f>
        <v>20387.525773312886</v>
      </c>
      <c r="J17" s="132">
        <f>IF(SER_hh_fec!J17=0,0,11630*1000*SER_hh_fec!J17/SER_hh_num!J17)</f>
        <v>23724.402222191587</v>
      </c>
      <c r="K17" s="132">
        <f>IF(SER_hh_fec!K17=0,0,11630*1000*SER_hh_fec!K17/SER_hh_num!K17)</f>
        <v>24090.47509860557</v>
      </c>
      <c r="L17" s="132">
        <f>IF(SER_hh_fec!L17=0,0,11630*1000*SER_hh_fec!L17/SER_hh_num!L17)</f>
        <v>19422.384970486986</v>
      </c>
      <c r="M17" s="132">
        <f>IF(SER_hh_fec!M17=0,0,11630*1000*SER_hh_fec!M17/SER_hh_num!M17)</f>
        <v>20874.358559910928</v>
      </c>
      <c r="N17" s="132">
        <f>IF(SER_hh_fec!N17=0,0,11630*1000*SER_hh_fec!N17/SER_hh_num!N17)</f>
        <v>32776.109177482918</v>
      </c>
      <c r="O17" s="132">
        <f>IF(SER_hh_fec!O17=0,0,11630*1000*SER_hh_fec!O17/SER_hh_num!O17)</f>
        <v>19317.811200171556</v>
      </c>
      <c r="P17" s="132">
        <f>IF(SER_hh_fec!P17=0,0,11630*1000*SER_hh_fec!P17/SER_hh_num!P17)</f>
        <v>16554.45008036169</v>
      </c>
      <c r="Q17" s="132">
        <f>IF(SER_hh_fec!Q17=0,0,11630*1000*SER_hh_fec!Q17/SER_hh_num!Q17)</f>
        <v>29399.457583595264</v>
      </c>
      <c r="R17" s="132">
        <f>IF(SER_hh_fec!R17=0,0,11630*1000*SER_hh_fec!R17/SER_hh_num!R17)</f>
        <v>19052.397229978338</v>
      </c>
      <c r="S17" s="132">
        <f>IF(SER_hh_fec!S17=0,0,11630*1000*SER_hh_fec!S17/SER_hh_num!S17)</f>
        <v>28646.131129556539</v>
      </c>
      <c r="T17" s="132">
        <f>IF(SER_hh_fec!T17=0,0,11630*1000*SER_hh_fec!T17/SER_hh_num!T17)</f>
        <v>21662.852979525986</v>
      </c>
      <c r="U17" s="132">
        <f>IF(SER_hh_fec!U17=0,0,11630*1000*SER_hh_fec!U17/SER_hh_num!U17)</f>
        <v>28301.132046634757</v>
      </c>
      <c r="V17" s="132">
        <f>IF(SER_hh_fec!V17=0,0,11630*1000*SER_hh_fec!V17/SER_hh_num!V17)</f>
        <v>20270.376683942482</v>
      </c>
      <c r="W17" s="132">
        <f>IF(SER_hh_fec!W17=0,0,11630*1000*SER_hh_fec!W17/SER_hh_num!W17)</f>
        <v>24623.865772595425</v>
      </c>
      <c r="X17" s="132">
        <f>IF(SER_hh_fec!X17=0,0,11630*1000*SER_hh_fec!X17/SER_hh_num!X17)</f>
        <v>32422.57213092364</v>
      </c>
      <c r="Y17" s="132">
        <f>IF(SER_hh_fec!Y17=0,0,11630*1000*SER_hh_fec!Y17/SER_hh_num!Y17)</f>
        <v>27957.344973536758</v>
      </c>
      <c r="DA17" s="156" t="s">
        <v>398</v>
      </c>
    </row>
    <row r="18" spans="1:105" ht="12" customHeight="1" x14ac:dyDescent="0.25">
      <c r="A18" s="131" t="s">
        <v>72</v>
      </c>
      <c r="B18" s="132">
        <f>IF(SER_hh_fec!B18=0,0,11630*1000*SER_hh_fec!B18/SER_hh_num!B18)</f>
        <v>12362.966315049573</v>
      </c>
      <c r="C18" s="132">
        <f>IF(SER_hh_fec!C18=0,0,11630*1000*SER_hh_fec!C18/SER_hh_num!C18)</f>
        <v>12997.033733652912</v>
      </c>
      <c r="D18" s="132">
        <f>IF(SER_hh_fec!D18=0,0,11630*1000*SER_hh_fec!D18/SER_hh_num!D18)</f>
        <v>10934.642762151632</v>
      </c>
      <c r="E18" s="132">
        <f>IF(SER_hh_fec!E18=0,0,11630*1000*SER_hh_fec!E18/SER_hh_num!E18)</f>
        <v>24422.071841286423</v>
      </c>
      <c r="F18" s="132">
        <f>IF(SER_hh_fec!F18=0,0,11630*1000*SER_hh_fec!F18/SER_hh_num!F18)</f>
        <v>10504.809189488857</v>
      </c>
      <c r="G18" s="132">
        <f>IF(SER_hh_fec!G18=0,0,11630*1000*SER_hh_fec!G18/SER_hh_num!G18)</f>
        <v>10083.197393797089</v>
      </c>
      <c r="H18" s="132">
        <f>IF(SER_hh_fec!H18=0,0,11630*1000*SER_hh_fec!H18/SER_hh_num!H18)</f>
        <v>11218.907858789606</v>
      </c>
      <c r="I18" s="132">
        <f>IF(SER_hh_fec!I18=0,0,11630*1000*SER_hh_fec!I18/SER_hh_num!I18)</f>
        <v>9765.5454380544597</v>
      </c>
      <c r="J18" s="132">
        <f>IF(SER_hh_fec!J18=0,0,11630*1000*SER_hh_fec!J18/SER_hh_num!J18)</f>
        <v>10896.195577869395</v>
      </c>
      <c r="K18" s="132">
        <f>IF(SER_hh_fec!K18=0,0,11630*1000*SER_hh_fec!K18/SER_hh_num!K18)</f>
        <v>10967.668731689297</v>
      </c>
      <c r="L18" s="132">
        <f>IF(SER_hh_fec!L18=0,0,11630*1000*SER_hh_fec!L18/SER_hh_num!L18)</f>
        <v>8701.7393247092386</v>
      </c>
      <c r="M18" s="132">
        <f>IF(SER_hh_fec!M18=0,0,11630*1000*SER_hh_fec!M18/SER_hh_num!M18)</f>
        <v>9125.285944413843</v>
      </c>
      <c r="N18" s="132">
        <f>IF(SER_hh_fec!N18=0,0,11630*1000*SER_hh_fec!N18/SER_hh_num!N18)</f>
        <v>13991.296388637456</v>
      </c>
      <c r="O18" s="132">
        <f>IF(SER_hh_fec!O18=0,0,11630*1000*SER_hh_fec!O18/SER_hh_num!O18)</f>
        <v>8095.9212415921183</v>
      </c>
      <c r="P18" s="132">
        <f>IF(SER_hh_fec!P18=0,0,11630*1000*SER_hh_fec!P18/SER_hh_num!P18)</f>
        <v>6784.3282508417988</v>
      </c>
      <c r="Q18" s="132">
        <f>IF(SER_hh_fec!Q18=0,0,11630*1000*SER_hh_fec!Q18/SER_hh_num!Q18)</f>
        <v>11767.475090968301</v>
      </c>
      <c r="R18" s="132">
        <f>IF(SER_hh_fec!R18=0,0,11630*1000*SER_hh_fec!R18/SER_hh_num!R18)</f>
        <v>7289.8927329441567</v>
      </c>
      <c r="S18" s="132">
        <f>IF(SER_hh_fec!S18=0,0,11630*1000*SER_hh_fec!S18/SER_hh_num!S18)</f>
        <v>10829.125588420336</v>
      </c>
      <c r="T18" s="132">
        <f>IF(SER_hh_fec!T18=0,0,11630*1000*SER_hh_fec!T18/SER_hh_num!T18)</f>
        <v>8080.6011167411098</v>
      </c>
      <c r="U18" s="132">
        <f>IF(SER_hh_fec!U18=0,0,11630*1000*SER_hh_fec!U18/SER_hh_num!U18)</f>
        <v>10548.743176110414</v>
      </c>
      <c r="V18" s="132">
        <f>IF(SER_hh_fec!V18=0,0,11630*1000*SER_hh_fec!V18/SER_hh_num!V18)</f>
        <v>7512.0525003526855</v>
      </c>
      <c r="W18" s="132">
        <f>IF(SER_hh_fec!W18=0,0,11630*1000*SER_hh_fec!W18/SER_hh_num!W18)</f>
        <v>9194.5771875549162</v>
      </c>
      <c r="X18" s="132">
        <f>IF(SER_hh_fec!X18=0,0,11630*1000*SER_hh_fec!X18/SER_hh_num!X18)</f>
        <v>12004.320144383391</v>
      </c>
      <c r="Y18" s="132">
        <f>IF(SER_hh_fec!Y18=0,0,11630*1000*SER_hh_fec!Y18/SER_hh_num!Y18)</f>
        <v>9499.9786935206557</v>
      </c>
      <c r="DA18" s="156" t="s">
        <v>399</v>
      </c>
    </row>
    <row r="19" spans="1:105" ht="12.95" customHeight="1" x14ac:dyDescent="0.25">
      <c r="A19" s="129" t="s">
        <v>35</v>
      </c>
      <c r="B19" s="130">
        <f>IF(SER_hh_fec!B19=0,0,11630*1000*SER_hh_fec!B19/SER_hh_num!B19)</f>
        <v>30942.598527509923</v>
      </c>
      <c r="C19" s="130">
        <f>IF(SER_hh_fec!C19=0,0,11630*1000*SER_hh_fec!C19/SER_hh_num!C19)</f>
        <v>31295.955589422694</v>
      </c>
      <c r="D19" s="130">
        <f>IF(SER_hh_fec!D19=0,0,11630*1000*SER_hh_fec!D19/SER_hh_num!D19)</f>
        <v>31401.191307788427</v>
      </c>
      <c r="E19" s="130">
        <f>IF(SER_hh_fec!E19=0,0,11630*1000*SER_hh_fec!E19/SER_hh_num!E19)</f>
        <v>30857.820988818294</v>
      </c>
      <c r="F19" s="130">
        <f>IF(SER_hh_fec!F19=0,0,11630*1000*SER_hh_fec!F19/SER_hh_num!F19)</f>
        <v>31153.926557737748</v>
      </c>
      <c r="G19" s="130">
        <f>IF(SER_hh_fec!G19=0,0,11630*1000*SER_hh_fec!G19/SER_hh_num!G19)</f>
        <v>30618.422335214389</v>
      </c>
      <c r="H19" s="130">
        <f>IF(SER_hh_fec!H19=0,0,11630*1000*SER_hh_fec!H19/SER_hh_num!H19)</f>
        <v>30375.583794205995</v>
      </c>
      <c r="I19" s="130">
        <f>IF(SER_hh_fec!I19=0,0,11630*1000*SER_hh_fec!I19/SER_hh_num!I19)</f>
        <v>30655.578568942939</v>
      </c>
      <c r="J19" s="130">
        <f>IF(SER_hh_fec!J19=0,0,11630*1000*SER_hh_fec!J19/SER_hh_num!J19)</f>
        <v>30317.444180954128</v>
      </c>
      <c r="K19" s="130">
        <f>IF(SER_hh_fec!K19=0,0,11630*1000*SER_hh_fec!K19/SER_hh_num!K19)</f>
        <v>29909.388221666646</v>
      </c>
      <c r="L19" s="130">
        <f>IF(SER_hh_fec!L19=0,0,11630*1000*SER_hh_fec!L19/SER_hh_num!L19)</f>
        <v>29683.022570118628</v>
      </c>
      <c r="M19" s="130">
        <f>IF(SER_hh_fec!M19=0,0,11630*1000*SER_hh_fec!M19/SER_hh_num!M19)</f>
        <v>29795.534679117289</v>
      </c>
      <c r="N19" s="130">
        <f>IF(SER_hh_fec!N19=0,0,11630*1000*SER_hh_fec!N19/SER_hh_num!N19)</f>
        <v>29087.315150081438</v>
      </c>
      <c r="O19" s="130">
        <f>IF(SER_hh_fec!O19=0,0,11630*1000*SER_hh_fec!O19/SER_hh_num!O19)</f>
        <v>29750.326250694186</v>
      </c>
      <c r="P19" s="130">
        <f>IF(SER_hh_fec!P19=0,0,11630*1000*SER_hh_fec!P19/SER_hh_num!P19)</f>
        <v>29873.784527342948</v>
      </c>
      <c r="Q19" s="130">
        <f>IF(SER_hh_fec!Q19=0,0,11630*1000*SER_hh_fec!Q19/SER_hh_num!Q19)</f>
        <v>29711.869329140729</v>
      </c>
      <c r="R19" s="130">
        <f>IF(SER_hh_fec!R19=0,0,11630*1000*SER_hh_fec!R19/SER_hh_num!R19)</f>
        <v>30055.118622523143</v>
      </c>
      <c r="S19" s="130">
        <f>IF(SER_hh_fec!S19=0,0,11630*1000*SER_hh_fec!S19/SER_hh_num!S19)</f>
        <v>29218.575743566122</v>
      </c>
      <c r="T19" s="130">
        <f>IF(SER_hh_fec!T19=0,0,11630*1000*SER_hh_fec!T19/SER_hh_num!T19)</f>
        <v>28685.005104068816</v>
      </c>
      <c r="U19" s="130">
        <f>IF(SER_hh_fec!U19=0,0,11630*1000*SER_hh_fec!U19/SER_hh_num!U19)</f>
        <v>26803.289904894038</v>
      </c>
      <c r="V19" s="130">
        <f>IF(SER_hh_fec!V19=0,0,11630*1000*SER_hh_fec!V19/SER_hh_num!V19)</f>
        <v>23929.28394628895</v>
      </c>
      <c r="W19" s="130">
        <f>IF(SER_hh_fec!W19=0,0,11630*1000*SER_hh_fec!W19/SER_hh_num!W19)</f>
        <v>27661.808791886593</v>
      </c>
      <c r="X19" s="130">
        <f>IF(SER_hh_fec!X19=0,0,11630*1000*SER_hh_fec!X19/SER_hh_num!X19)</f>
        <v>27945.448890519754</v>
      </c>
      <c r="Y19" s="130">
        <f>IF(SER_hh_fec!Y19=0,0,11630*1000*SER_hh_fec!Y19/SER_hh_num!Y19)</f>
        <v>27739.339592166736</v>
      </c>
      <c r="DA19" s="155" t="s">
        <v>400</v>
      </c>
    </row>
    <row r="20" spans="1:105" ht="12" customHeight="1" x14ac:dyDescent="0.25">
      <c r="A20" s="131" t="s">
        <v>29</v>
      </c>
      <c r="B20" s="132">
        <f>IF(SER_hh_fec!B20=0,0,11630*1000*SER_hh_fec!B20/SER_hh_num!B20)</f>
        <v>0</v>
      </c>
      <c r="C20" s="132">
        <f>IF(SER_hh_fec!C20=0,0,11630*1000*SER_hh_fec!C20/SER_hh_num!C20)</f>
        <v>0</v>
      </c>
      <c r="D20" s="132">
        <f>IF(SER_hh_fec!D20=0,0,11630*1000*SER_hh_fec!D20/SER_hh_num!D20)</f>
        <v>0</v>
      </c>
      <c r="E20" s="132">
        <f>IF(SER_hh_fec!E20=0,0,11630*1000*SER_hh_fec!E20/SER_hh_num!E20)</f>
        <v>0</v>
      </c>
      <c r="F20" s="132">
        <f>IF(SER_hh_fec!F20=0,0,11630*1000*SER_hh_fec!F20/SER_hh_num!F20)</f>
        <v>0</v>
      </c>
      <c r="G20" s="132">
        <f>IF(SER_hh_fec!G20=0,0,11630*1000*SER_hh_fec!G20/SER_hh_num!G20)</f>
        <v>0</v>
      </c>
      <c r="H20" s="132">
        <f>IF(SER_hh_fec!H20=0,0,11630*1000*SER_hh_fec!H20/SER_hh_num!H20)</f>
        <v>0</v>
      </c>
      <c r="I20" s="132">
        <f>IF(SER_hh_fec!I20=0,0,11630*1000*SER_hh_fec!I20/SER_hh_num!I20)</f>
        <v>0</v>
      </c>
      <c r="J20" s="132">
        <f>IF(SER_hh_fec!J20=0,0,11630*1000*SER_hh_fec!J20/SER_hh_num!J20)</f>
        <v>0</v>
      </c>
      <c r="K20" s="132">
        <f>IF(SER_hh_fec!K20=0,0,11630*1000*SER_hh_fec!K20/SER_hh_num!K20)</f>
        <v>0</v>
      </c>
      <c r="L20" s="132">
        <f>IF(SER_hh_fec!L20=0,0,11630*1000*SER_hh_fec!L20/SER_hh_num!L20)</f>
        <v>0</v>
      </c>
      <c r="M20" s="132">
        <f>IF(SER_hh_fec!M20=0,0,11630*1000*SER_hh_fec!M20/SER_hh_num!M20)</f>
        <v>0</v>
      </c>
      <c r="N20" s="132">
        <f>IF(SER_hh_fec!N20=0,0,11630*1000*SER_hh_fec!N20/SER_hh_num!N20)</f>
        <v>0</v>
      </c>
      <c r="O20" s="132">
        <f>IF(SER_hh_fec!O20=0,0,11630*1000*SER_hh_fec!O20/SER_hh_num!O20)</f>
        <v>0</v>
      </c>
      <c r="P20" s="132">
        <f>IF(SER_hh_fec!P20=0,0,11630*1000*SER_hh_fec!P20/SER_hh_num!P20)</f>
        <v>0</v>
      </c>
      <c r="Q20" s="132">
        <f>IF(SER_hh_fec!Q20=0,0,11630*1000*SER_hh_fec!Q20/SER_hh_num!Q20)</f>
        <v>0</v>
      </c>
      <c r="R20" s="132">
        <f>IF(SER_hh_fec!R20=0,0,11630*1000*SER_hh_fec!R20/SER_hh_num!R20)</f>
        <v>0</v>
      </c>
      <c r="S20" s="132">
        <f>IF(SER_hh_fec!S20=0,0,11630*1000*SER_hh_fec!S20/SER_hh_num!S20)</f>
        <v>0</v>
      </c>
      <c r="T20" s="132">
        <f>IF(SER_hh_fec!T20=0,0,11630*1000*SER_hh_fec!T20/SER_hh_num!T20)</f>
        <v>0</v>
      </c>
      <c r="U20" s="132">
        <f>IF(SER_hh_fec!U20=0,0,11630*1000*SER_hh_fec!U20/SER_hh_num!U20)</f>
        <v>0</v>
      </c>
      <c r="V20" s="132">
        <f>IF(SER_hh_fec!V20=0,0,11630*1000*SER_hh_fec!V20/SER_hh_num!V20)</f>
        <v>0</v>
      </c>
      <c r="W20" s="132">
        <f>IF(SER_hh_fec!W20=0,0,11630*1000*SER_hh_fec!W20/SER_hh_num!W20)</f>
        <v>0</v>
      </c>
      <c r="X20" s="132">
        <f>IF(SER_hh_fec!X20=0,0,11630*1000*SER_hh_fec!X20/SER_hh_num!X20)</f>
        <v>0</v>
      </c>
      <c r="Y20" s="132">
        <f>IF(SER_hh_fec!Y20=0,0,11630*1000*SER_hh_fec!Y20/SER_hh_num!Y20)</f>
        <v>0</v>
      </c>
      <c r="DA20" s="156" t="s">
        <v>401</v>
      </c>
    </row>
    <row r="21" spans="1:105" s="2" customFormat="1" ht="12" customHeight="1" x14ac:dyDescent="0.25">
      <c r="A21" s="131" t="s">
        <v>52</v>
      </c>
      <c r="B21" s="132">
        <f>IF(SER_hh_fec!B21=0,0,11630*1000*SER_hh_fec!B21/SER_hh_num!B21)</f>
        <v>33289.6934594868</v>
      </c>
      <c r="C21" s="132">
        <f>IF(SER_hh_fec!C21=0,0,11630*1000*SER_hh_fec!C21/SER_hh_num!C21)</f>
        <v>33924.399739423185</v>
      </c>
      <c r="D21" s="132">
        <f>IF(SER_hh_fec!D21=0,0,11630*1000*SER_hh_fec!D21/SER_hh_num!D21)</f>
        <v>33750.305188839855</v>
      </c>
      <c r="E21" s="132">
        <f>IF(SER_hh_fec!E21=0,0,11630*1000*SER_hh_fec!E21/SER_hh_num!E21)</f>
        <v>32906.443253352663</v>
      </c>
      <c r="F21" s="132">
        <f>IF(SER_hh_fec!F21=0,0,11630*1000*SER_hh_fec!F21/SER_hh_num!F21)</f>
        <v>33505.986076321176</v>
      </c>
      <c r="G21" s="132">
        <f>IF(SER_hh_fec!G21=0,0,11630*1000*SER_hh_fec!G21/SER_hh_num!G21)</f>
        <v>34034.92249632829</v>
      </c>
      <c r="H21" s="132">
        <f>IF(SER_hh_fec!H21=0,0,11630*1000*SER_hh_fec!H21/SER_hh_num!H21)</f>
        <v>34540.882736400148</v>
      </c>
      <c r="I21" s="132">
        <f>IF(SER_hh_fec!I21=0,0,11630*1000*SER_hh_fec!I21/SER_hh_num!I21)</f>
        <v>33173.317599744238</v>
      </c>
      <c r="J21" s="132">
        <f>IF(SER_hh_fec!J21=0,0,11630*1000*SER_hh_fec!J21/SER_hh_num!J21)</f>
        <v>34229.26476430145</v>
      </c>
      <c r="K21" s="132">
        <f>IF(SER_hh_fec!K21=0,0,11630*1000*SER_hh_fec!K21/SER_hh_num!K21)</f>
        <v>33059.843862626272</v>
      </c>
      <c r="L21" s="132">
        <f>IF(SER_hh_fec!L21=0,0,11630*1000*SER_hh_fec!L21/SER_hh_num!L21)</f>
        <v>33357.584711165211</v>
      </c>
      <c r="M21" s="132">
        <f>IF(SER_hh_fec!M21=0,0,11630*1000*SER_hh_fec!M21/SER_hh_num!M21)</f>
        <v>34649.419492826251</v>
      </c>
      <c r="N21" s="132">
        <f>IF(SER_hh_fec!N21=0,0,11630*1000*SER_hh_fec!N21/SER_hh_num!N21)</f>
        <v>31986.261492617694</v>
      </c>
      <c r="O21" s="132">
        <f>IF(SER_hh_fec!O21=0,0,11630*1000*SER_hh_fec!O21/SER_hh_num!O21)</f>
        <v>34028.888764638345</v>
      </c>
      <c r="P21" s="132">
        <f>IF(SER_hh_fec!P21=0,0,11630*1000*SER_hh_fec!P21/SER_hh_num!P21)</f>
        <v>31565.823576477382</v>
      </c>
      <c r="Q21" s="132">
        <f>IF(SER_hh_fec!Q21=0,0,11630*1000*SER_hh_fec!Q21/SER_hh_num!Q21)</f>
        <v>30853.860030437907</v>
      </c>
      <c r="R21" s="132">
        <f>IF(SER_hh_fec!R21=0,0,11630*1000*SER_hh_fec!R21/SER_hh_num!R21)</f>
        <v>34750.676466455523</v>
      </c>
      <c r="S21" s="132">
        <f>IF(SER_hh_fec!S21=0,0,11630*1000*SER_hh_fec!S21/SER_hh_num!S21)</f>
        <v>33920.008860203656</v>
      </c>
      <c r="T21" s="132">
        <f>IF(SER_hh_fec!T21=0,0,11630*1000*SER_hh_fec!T21/SER_hh_num!T21)</f>
        <v>30977.089949831061</v>
      </c>
      <c r="U21" s="132">
        <f>IF(SER_hh_fec!U21=0,0,11630*1000*SER_hh_fec!U21/SER_hh_num!U21)</f>
        <v>30668.621390975561</v>
      </c>
      <c r="V21" s="132">
        <f>IF(SER_hh_fec!V21=0,0,11630*1000*SER_hh_fec!V21/SER_hh_num!V21)</f>
        <v>26811.862267218527</v>
      </c>
      <c r="W21" s="132">
        <f>IF(SER_hh_fec!W21=0,0,11630*1000*SER_hh_fec!W21/SER_hh_num!W21)</f>
        <v>29273.377779513394</v>
      </c>
      <c r="X21" s="132">
        <f>IF(SER_hh_fec!X21=0,0,11630*1000*SER_hh_fec!X21/SER_hh_num!X21)</f>
        <v>29817.424822802768</v>
      </c>
      <c r="Y21" s="132">
        <f>IF(SER_hh_fec!Y21=0,0,11630*1000*SER_hh_fec!Y21/SER_hh_num!Y21)</f>
        <v>30099.216492101761</v>
      </c>
      <c r="DA21" s="156" t="s">
        <v>402</v>
      </c>
    </row>
    <row r="22" spans="1:105" ht="12" customHeight="1" x14ac:dyDescent="0.25">
      <c r="A22" s="131" t="s">
        <v>161</v>
      </c>
      <c r="B22" s="132">
        <f>IF(SER_hh_fec!B22=0,0,11630*1000*SER_hh_fec!B22/SER_hh_num!B22)</f>
        <v>36033.168794045952</v>
      </c>
      <c r="C22" s="132">
        <f>IF(SER_hh_fec!C22=0,0,11630*1000*SER_hh_fec!C22/SER_hh_num!C22)</f>
        <v>36071.454884107312</v>
      </c>
      <c r="D22" s="132">
        <f>IF(SER_hh_fec!D22=0,0,11630*1000*SER_hh_fec!D22/SER_hh_num!D22)</f>
        <v>35019.415117411292</v>
      </c>
      <c r="E22" s="132">
        <f>IF(SER_hh_fec!E22=0,0,11630*1000*SER_hh_fec!E22/SER_hh_num!E22)</f>
        <v>35873.866914897444</v>
      </c>
      <c r="F22" s="132">
        <f>IF(SER_hh_fec!F22=0,0,11630*1000*SER_hh_fec!F22/SER_hh_num!F22)</f>
        <v>35229.64603640273</v>
      </c>
      <c r="G22" s="132">
        <f>IF(SER_hh_fec!G22=0,0,11630*1000*SER_hh_fec!G22/SER_hh_num!G22)</f>
        <v>35221.193125535654</v>
      </c>
      <c r="H22" s="132">
        <f>IF(SER_hh_fec!H22=0,0,11630*1000*SER_hh_fec!H22/SER_hh_num!H22)</f>
        <v>36343.71828980693</v>
      </c>
      <c r="I22" s="132">
        <f>IF(SER_hh_fec!I22=0,0,11630*1000*SER_hh_fec!I22/SER_hh_num!I22)</f>
        <v>36319.139109961761</v>
      </c>
      <c r="J22" s="132">
        <f>IF(SER_hh_fec!J22=0,0,11630*1000*SER_hh_fec!J22/SER_hh_num!J22)</f>
        <v>37318.265824558861</v>
      </c>
      <c r="K22" s="132">
        <f>IF(SER_hh_fec!K22=0,0,11630*1000*SER_hh_fec!K22/SER_hh_num!K22)</f>
        <v>34944.026961952477</v>
      </c>
      <c r="L22" s="132">
        <f>IF(SER_hh_fec!L22=0,0,11630*1000*SER_hh_fec!L22/SER_hh_num!L22)</f>
        <v>33852.041227969472</v>
      </c>
      <c r="M22" s="132">
        <f>IF(SER_hh_fec!M22=0,0,11630*1000*SER_hh_fec!M22/SER_hh_num!M22)</f>
        <v>34734.301858813553</v>
      </c>
      <c r="N22" s="132">
        <f>IF(SER_hh_fec!N22=0,0,11630*1000*SER_hh_fec!N22/SER_hh_num!N22)</f>
        <v>34218.850271222618</v>
      </c>
      <c r="O22" s="132">
        <f>IF(SER_hh_fec!O22=0,0,11630*1000*SER_hh_fec!O22/SER_hh_num!O22)</f>
        <v>34941.137914602812</v>
      </c>
      <c r="P22" s="132">
        <f>IF(SER_hh_fec!P22=0,0,11630*1000*SER_hh_fec!P22/SER_hh_num!P22)</f>
        <v>34925.187368277715</v>
      </c>
      <c r="Q22" s="132">
        <f>IF(SER_hh_fec!Q22=0,0,11630*1000*SER_hh_fec!Q22/SER_hh_num!Q22)</f>
        <v>34877.033479754966</v>
      </c>
      <c r="R22" s="132">
        <f>IF(SER_hh_fec!R22=0,0,11630*1000*SER_hh_fec!R22/SER_hh_num!R22)</f>
        <v>34556.805779594149</v>
      </c>
      <c r="S22" s="132">
        <f>IF(SER_hh_fec!S22=0,0,11630*1000*SER_hh_fec!S22/SER_hh_num!S22)</f>
        <v>35598.956675970032</v>
      </c>
      <c r="T22" s="132">
        <f>IF(SER_hh_fec!T22=0,0,11630*1000*SER_hh_fec!T22/SER_hh_num!T22)</f>
        <v>36188.216958827958</v>
      </c>
      <c r="U22" s="132">
        <f>IF(SER_hh_fec!U22=0,0,11630*1000*SER_hh_fec!U22/SER_hh_num!U22)</f>
        <v>33787.06421386655</v>
      </c>
      <c r="V22" s="132">
        <f>IF(SER_hh_fec!V22=0,0,11630*1000*SER_hh_fec!V22/SER_hh_num!V22)</f>
        <v>29065.059463136087</v>
      </c>
      <c r="W22" s="132">
        <f>IF(SER_hh_fec!W22=0,0,11630*1000*SER_hh_fec!W22/SER_hh_num!W22)</f>
        <v>32989.840615276473</v>
      </c>
      <c r="X22" s="132">
        <f>IF(SER_hh_fec!X22=0,0,11630*1000*SER_hh_fec!X22/SER_hh_num!X22)</f>
        <v>34733.7347479944</v>
      </c>
      <c r="Y22" s="132">
        <f>IF(SER_hh_fec!Y22=0,0,11630*1000*SER_hh_fec!Y22/SER_hh_num!Y22)</f>
        <v>33601.255719767039</v>
      </c>
      <c r="DA22" s="156" t="s">
        <v>403</v>
      </c>
    </row>
    <row r="23" spans="1:105" ht="12" customHeight="1" x14ac:dyDescent="0.25">
      <c r="A23" s="131" t="s">
        <v>149</v>
      </c>
      <c r="B23" s="132">
        <f>IF(SER_hh_fec!B23=0,0,11630*1000*SER_hh_fec!B23/SER_hh_num!B23)</f>
        <v>34170.986871886998</v>
      </c>
      <c r="C23" s="132">
        <f>IF(SER_hh_fec!C23=0,0,11630*1000*SER_hh_fec!C23/SER_hh_num!C23)</f>
        <v>34574.377209091537</v>
      </c>
      <c r="D23" s="132">
        <f>IF(SER_hh_fec!D23=0,0,11630*1000*SER_hh_fec!D23/SER_hh_num!D23)</f>
        <v>34674.604043655614</v>
      </c>
      <c r="E23" s="132">
        <f>IF(SER_hh_fec!E23=0,0,11630*1000*SER_hh_fec!E23/SER_hh_num!E23)</f>
        <v>34267.090319435134</v>
      </c>
      <c r="F23" s="132">
        <f>IF(SER_hh_fec!F23=0,0,11630*1000*SER_hh_fec!F23/SER_hh_num!F23)</f>
        <v>33896.986564358835</v>
      </c>
      <c r="G23" s="132">
        <f>IF(SER_hh_fec!G23=0,0,11630*1000*SER_hh_fec!G23/SER_hh_num!G23)</f>
        <v>33881.974168756133</v>
      </c>
      <c r="H23" s="132">
        <f>IF(SER_hh_fec!H23=0,0,11630*1000*SER_hh_fec!H23/SER_hh_num!H23)</f>
        <v>33480.992692915286</v>
      </c>
      <c r="I23" s="132">
        <f>IF(SER_hh_fec!I23=0,0,11630*1000*SER_hh_fec!I23/SER_hh_num!I23)</f>
        <v>33183.096064322555</v>
      </c>
      <c r="J23" s="132">
        <f>IF(SER_hh_fec!J23=0,0,11630*1000*SER_hh_fec!J23/SER_hh_num!J23)</f>
        <v>33014.257827700756</v>
      </c>
      <c r="K23" s="132">
        <f>IF(SER_hh_fec!K23=0,0,11630*1000*SER_hh_fec!K23/SER_hh_num!K23)</f>
        <v>32632.823067829897</v>
      </c>
      <c r="L23" s="132">
        <f>IF(SER_hh_fec!L23=0,0,11630*1000*SER_hh_fec!L23/SER_hh_num!L23)</f>
        <v>31885.913102862909</v>
      </c>
      <c r="M23" s="132">
        <f>IF(SER_hh_fec!M23=0,0,11630*1000*SER_hh_fec!M23/SER_hh_num!M23)</f>
        <v>31822.659625688069</v>
      </c>
      <c r="N23" s="132">
        <f>IF(SER_hh_fec!N23=0,0,11630*1000*SER_hh_fec!N23/SER_hh_num!N23)</f>
        <v>31558.569543426027</v>
      </c>
      <c r="O23" s="132">
        <f>IF(SER_hh_fec!O23=0,0,11630*1000*SER_hh_fec!O23/SER_hh_num!O23)</f>
        <v>31499.149372508447</v>
      </c>
      <c r="P23" s="132">
        <f>IF(SER_hh_fec!P23=0,0,11630*1000*SER_hh_fec!P23/SER_hh_num!P23)</f>
        <v>31587.791712554452</v>
      </c>
      <c r="Q23" s="132">
        <f>IF(SER_hh_fec!Q23=0,0,11630*1000*SER_hh_fec!Q23/SER_hh_num!Q23)</f>
        <v>31414.430029893076</v>
      </c>
      <c r="R23" s="132">
        <f>IF(SER_hh_fec!R23=0,0,11630*1000*SER_hh_fec!R23/SER_hh_num!R23)</f>
        <v>30780.685986601988</v>
      </c>
      <c r="S23" s="132">
        <f>IF(SER_hh_fec!S23=0,0,11630*1000*SER_hh_fec!S23/SER_hh_num!S23)</f>
        <v>30801.620110569558</v>
      </c>
      <c r="T23" s="132">
        <f>IF(SER_hh_fec!T23=0,0,11630*1000*SER_hh_fec!T23/SER_hh_num!T23)</f>
        <v>32011.662826231342</v>
      </c>
      <c r="U23" s="132">
        <f>IF(SER_hh_fec!U23=0,0,11630*1000*SER_hh_fec!U23/SER_hh_num!U23)</f>
        <v>27358.549229906177</v>
      </c>
      <c r="V23" s="132">
        <f>IF(SER_hh_fec!V23=0,0,11630*1000*SER_hh_fec!V23/SER_hh_num!V23)</f>
        <v>25914.923500259963</v>
      </c>
      <c r="W23" s="132">
        <f>IF(SER_hh_fec!W23=0,0,11630*1000*SER_hh_fec!W23/SER_hh_num!W23)</f>
        <v>29556.58894478713</v>
      </c>
      <c r="X23" s="132">
        <f>IF(SER_hh_fec!X23=0,0,11630*1000*SER_hh_fec!X23/SER_hh_num!X23)</f>
        <v>29490.38958502391</v>
      </c>
      <c r="Y23" s="132">
        <f>IF(SER_hh_fec!Y23=0,0,11630*1000*SER_hh_fec!Y23/SER_hh_num!Y23)</f>
        <v>29473.995674339985</v>
      </c>
      <c r="DA23" s="156" t="s">
        <v>404</v>
      </c>
    </row>
    <row r="24" spans="1:105" ht="12" customHeight="1" x14ac:dyDescent="0.25">
      <c r="A24" s="131" t="s">
        <v>128</v>
      </c>
      <c r="B24" s="132">
        <f>IF(SER_hh_fec!B24=0,0,11630*1000*SER_hh_fec!B24/SER_hh_num!B24)</f>
        <v>0</v>
      </c>
      <c r="C24" s="132">
        <f>IF(SER_hh_fec!C24=0,0,11630*1000*SER_hh_fec!C24/SER_hh_num!C24)</f>
        <v>0</v>
      </c>
      <c r="D24" s="132">
        <f>IF(SER_hh_fec!D24=0,0,11630*1000*SER_hh_fec!D24/SER_hh_num!D24)</f>
        <v>0</v>
      </c>
      <c r="E24" s="132">
        <f>IF(SER_hh_fec!E24=0,0,11630*1000*SER_hh_fec!E24/SER_hh_num!E24)</f>
        <v>0</v>
      </c>
      <c r="F24" s="132">
        <f>IF(SER_hh_fec!F24=0,0,11630*1000*SER_hh_fec!F24/SER_hh_num!F24)</f>
        <v>0</v>
      </c>
      <c r="G24" s="132">
        <f>IF(SER_hh_fec!G24=0,0,11630*1000*SER_hh_fec!G24/SER_hh_num!G24)</f>
        <v>0</v>
      </c>
      <c r="H24" s="132">
        <f>IF(SER_hh_fec!H24=0,0,11630*1000*SER_hh_fec!H24/SER_hh_num!H24)</f>
        <v>0</v>
      </c>
      <c r="I24" s="132">
        <f>IF(SER_hh_fec!I24=0,0,11630*1000*SER_hh_fec!I24/SER_hh_num!I24)</f>
        <v>0</v>
      </c>
      <c r="J24" s="132">
        <f>IF(SER_hh_fec!J24=0,0,11630*1000*SER_hh_fec!J24/SER_hh_num!J24)</f>
        <v>0</v>
      </c>
      <c r="K24" s="132">
        <f>IF(SER_hh_fec!K24=0,0,11630*1000*SER_hh_fec!K24/SER_hh_num!K24)</f>
        <v>0</v>
      </c>
      <c r="L24" s="132">
        <f>IF(SER_hh_fec!L24=0,0,11630*1000*SER_hh_fec!L24/SER_hh_num!L24)</f>
        <v>0</v>
      </c>
      <c r="M24" s="132">
        <f>IF(SER_hh_fec!M24=0,0,11630*1000*SER_hh_fec!M24/SER_hh_num!M24)</f>
        <v>0</v>
      </c>
      <c r="N24" s="132">
        <f>IF(SER_hh_fec!N24=0,0,11630*1000*SER_hh_fec!N24/SER_hh_num!N24)</f>
        <v>0</v>
      </c>
      <c r="O24" s="132">
        <f>IF(SER_hh_fec!O24=0,0,11630*1000*SER_hh_fec!O24/SER_hh_num!O24)</f>
        <v>0</v>
      </c>
      <c r="P24" s="132">
        <f>IF(SER_hh_fec!P24=0,0,11630*1000*SER_hh_fec!P24/SER_hh_num!P24)</f>
        <v>0</v>
      </c>
      <c r="Q24" s="132">
        <f>IF(SER_hh_fec!Q24=0,0,11630*1000*SER_hh_fec!Q24/SER_hh_num!Q24)</f>
        <v>0</v>
      </c>
      <c r="R24" s="132">
        <f>IF(SER_hh_fec!R24=0,0,11630*1000*SER_hh_fec!R24/SER_hh_num!R24)</f>
        <v>0</v>
      </c>
      <c r="S24" s="132">
        <f>IF(SER_hh_fec!S24=0,0,11630*1000*SER_hh_fec!S24/SER_hh_num!S24)</f>
        <v>0</v>
      </c>
      <c r="T24" s="132">
        <f>IF(SER_hh_fec!T24=0,0,11630*1000*SER_hh_fec!T24/SER_hh_num!T24)</f>
        <v>0</v>
      </c>
      <c r="U24" s="132">
        <f>IF(SER_hh_fec!U24=0,0,11630*1000*SER_hh_fec!U24/SER_hh_num!U24)</f>
        <v>0</v>
      </c>
      <c r="V24" s="132">
        <f>IF(SER_hh_fec!V24=0,0,11630*1000*SER_hh_fec!V24/SER_hh_num!V24)</f>
        <v>0</v>
      </c>
      <c r="W24" s="132">
        <f>IF(SER_hh_fec!W24=0,0,11630*1000*SER_hh_fec!W24/SER_hh_num!W24)</f>
        <v>0</v>
      </c>
      <c r="X24" s="132">
        <f>IF(SER_hh_fec!X24=0,0,11630*1000*SER_hh_fec!X24/SER_hh_num!X24)</f>
        <v>0</v>
      </c>
      <c r="Y24" s="132">
        <f>IF(SER_hh_fec!Y24=0,0,11630*1000*SER_hh_fec!Y24/SER_hh_num!Y24)</f>
        <v>0</v>
      </c>
      <c r="DA24" s="156" t="s">
        <v>405</v>
      </c>
    </row>
    <row r="25" spans="1:105" ht="12" customHeight="1" x14ac:dyDescent="0.25">
      <c r="A25" s="131" t="s">
        <v>162</v>
      </c>
      <c r="B25" s="132">
        <f>IF(SER_hh_fec!B25=0,0,11630*1000*SER_hh_fec!B25/SER_hh_num!B25)</f>
        <v>0</v>
      </c>
      <c r="C25" s="132">
        <f>IF(SER_hh_fec!C25=0,0,11630*1000*SER_hh_fec!C25/SER_hh_num!C25)</f>
        <v>0</v>
      </c>
      <c r="D25" s="132">
        <f>IF(SER_hh_fec!D25=0,0,11630*1000*SER_hh_fec!D25/SER_hh_num!D25)</f>
        <v>0</v>
      </c>
      <c r="E25" s="132">
        <f>IF(SER_hh_fec!E25=0,0,11630*1000*SER_hh_fec!E25/SER_hh_num!E25)</f>
        <v>0</v>
      </c>
      <c r="F25" s="132">
        <f>IF(SER_hh_fec!F25=0,0,11630*1000*SER_hh_fec!F25/SER_hh_num!F25)</f>
        <v>32933.614071117896</v>
      </c>
      <c r="G25" s="132">
        <f>IF(SER_hh_fec!G25=0,0,11630*1000*SER_hh_fec!G25/SER_hh_num!G25)</f>
        <v>26049.63497222658</v>
      </c>
      <c r="H25" s="132">
        <f>IF(SER_hh_fec!H25=0,0,11630*1000*SER_hh_fec!H25/SER_hh_num!H25)</f>
        <v>23270.167939997671</v>
      </c>
      <c r="I25" s="132">
        <f>IF(SER_hh_fec!I25=0,0,11630*1000*SER_hh_fec!I25/SER_hh_num!I25)</f>
        <v>22820.061249183509</v>
      </c>
      <c r="J25" s="132">
        <f>IF(SER_hh_fec!J25=0,0,11630*1000*SER_hh_fec!J25/SER_hh_num!J25)</f>
        <v>22059.289344816101</v>
      </c>
      <c r="K25" s="132">
        <f>IF(SER_hh_fec!K25=0,0,11630*1000*SER_hh_fec!K25/SER_hh_num!K25)</f>
        <v>23840.959157139667</v>
      </c>
      <c r="L25" s="132">
        <f>IF(SER_hh_fec!L25=0,0,11630*1000*SER_hh_fec!L25/SER_hh_num!L25)</f>
        <v>22652.932826504759</v>
      </c>
      <c r="M25" s="132">
        <f>IF(SER_hh_fec!M25=0,0,11630*1000*SER_hh_fec!M25/SER_hh_num!M25)</f>
        <v>22427.101253262175</v>
      </c>
      <c r="N25" s="132">
        <f>IF(SER_hh_fec!N25=0,0,11630*1000*SER_hh_fec!N25/SER_hh_num!N25)</f>
        <v>22548.85311928959</v>
      </c>
      <c r="O25" s="132">
        <f>IF(SER_hh_fec!O25=0,0,11630*1000*SER_hh_fec!O25/SER_hh_num!O25)</f>
        <v>25146.631120404156</v>
      </c>
      <c r="P25" s="132">
        <f>IF(SER_hh_fec!P25=0,0,11630*1000*SER_hh_fec!P25/SER_hh_num!P25)</f>
        <v>25449.860101726659</v>
      </c>
      <c r="Q25" s="132">
        <f>IF(SER_hh_fec!Q25=0,0,11630*1000*SER_hh_fec!Q25/SER_hh_num!Q25)</f>
        <v>24097.588366279451</v>
      </c>
      <c r="R25" s="132">
        <f>IF(SER_hh_fec!R25=0,0,11630*1000*SER_hh_fec!R25/SER_hh_num!R25)</f>
        <v>25096.851566390305</v>
      </c>
      <c r="S25" s="132">
        <f>IF(SER_hh_fec!S25=0,0,11630*1000*SER_hh_fec!S25/SER_hh_num!S25)</f>
        <v>24627.016871453547</v>
      </c>
      <c r="T25" s="132">
        <f>IF(SER_hh_fec!T25=0,0,11630*1000*SER_hh_fec!T25/SER_hh_num!T25)</f>
        <v>24768.758751757006</v>
      </c>
      <c r="U25" s="132">
        <f>IF(SER_hh_fec!U25=0,0,11630*1000*SER_hh_fec!U25/SER_hh_num!U25)</f>
        <v>24034.814945900973</v>
      </c>
      <c r="V25" s="132">
        <f>IF(SER_hh_fec!V25=0,0,11630*1000*SER_hh_fec!V25/SER_hh_num!V25)</f>
        <v>22886.457432674881</v>
      </c>
      <c r="W25" s="132">
        <f>IF(SER_hh_fec!W25=0,0,11630*1000*SER_hh_fec!W25/SER_hh_num!W25)</f>
        <v>21317.190140043644</v>
      </c>
      <c r="X25" s="132">
        <f>IF(SER_hh_fec!X25=0,0,11630*1000*SER_hh_fec!X25/SER_hh_num!X25)</f>
        <v>25736.654880742542</v>
      </c>
      <c r="Y25" s="132">
        <f>IF(SER_hh_fec!Y25=0,0,11630*1000*SER_hh_fec!Y25/SER_hh_num!Y25)</f>
        <v>24952.967186432459</v>
      </c>
      <c r="DA25" s="156" t="s">
        <v>406</v>
      </c>
    </row>
    <row r="26" spans="1:105" ht="12" customHeight="1" x14ac:dyDescent="0.25">
      <c r="A26" s="131" t="s">
        <v>24</v>
      </c>
      <c r="B26" s="65">
        <f>IF(SER_hh_fec!B26=0,0,11630*1000*SER_hh_fec!B26/SER_hh_num!B26)</f>
        <v>27326.211666638868</v>
      </c>
      <c r="C26" s="65">
        <f>IF(SER_hh_fec!C26=0,0,11630*1000*SER_hh_fec!C26/SER_hh_num!C26)</f>
        <v>27830.323344271277</v>
      </c>
      <c r="D26" s="65">
        <f>IF(SER_hh_fec!D26=0,0,11630*1000*SER_hh_fec!D26/SER_hh_num!D26)</f>
        <v>28256.209719775699</v>
      </c>
      <c r="E26" s="65">
        <f>IF(SER_hh_fec!E26=0,0,11630*1000*SER_hh_fec!E26/SER_hh_num!E26)</f>
        <v>27601.103090357807</v>
      </c>
      <c r="F26" s="65">
        <f>IF(SER_hh_fec!F26=0,0,11630*1000*SER_hh_fec!F26/SER_hh_num!F26)</f>
        <v>28437.814087900966</v>
      </c>
      <c r="G26" s="65">
        <f>IF(SER_hh_fec!G26=0,0,11630*1000*SER_hh_fec!G26/SER_hh_num!G26)</f>
        <v>27400.171222689754</v>
      </c>
      <c r="H26" s="65">
        <f>IF(SER_hh_fec!H26=0,0,11630*1000*SER_hh_fec!H26/SER_hh_num!H26)</f>
        <v>27242.559358123024</v>
      </c>
      <c r="I26" s="65">
        <f>IF(SER_hh_fec!I26=0,0,11630*1000*SER_hh_fec!I26/SER_hh_num!I26)</f>
        <v>28082.973565038592</v>
      </c>
      <c r="J26" s="65">
        <f>IF(SER_hh_fec!J26=0,0,11630*1000*SER_hh_fec!J26/SER_hh_num!J26)</f>
        <v>27403.789293210677</v>
      </c>
      <c r="K26" s="65">
        <f>IF(SER_hh_fec!K26=0,0,11630*1000*SER_hh_fec!K26/SER_hh_num!K26)</f>
        <v>26985.737668403981</v>
      </c>
      <c r="L26" s="65">
        <f>IF(SER_hh_fec!L26=0,0,11630*1000*SER_hh_fec!L26/SER_hh_num!L26)</f>
        <v>26918.942487820892</v>
      </c>
      <c r="M26" s="65">
        <f>IF(SER_hh_fec!M26=0,0,11630*1000*SER_hh_fec!M26/SER_hh_num!M26)</f>
        <v>27108.178308641767</v>
      </c>
      <c r="N26" s="65">
        <f>IF(SER_hh_fec!N26=0,0,11630*1000*SER_hh_fec!N26/SER_hh_num!N26)</f>
        <v>26066.520820417933</v>
      </c>
      <c r="O26" s="65">
        <f>IF(SER_hh_fec!O26=0,0,11630*1000*SER_hh_fec!O26/SER_hh_num!O26)</f>
        <v>27092.865529080857</v>
      </c>
      <c r="P26" s="65">
        <f>IF(SER_hh_fec!P26=0,0,11630*1000*SER_hh_fec!P26/SER_hh_num!P26)</f>
        <v>27346.737412517672</v>
      </c>
      <c r="Q26" s="65">
        <f>IF(SER_hh_fec!Q26=0,0,11630*1000*SER_hh_fec!Q26/SER_hh_num!Q26)</f>
        <v>27194.81229286583</v>
      </c>
      <c r="R26" s="65">
        <f>IF(SER_hh_fec!R26=0,0,11630*1000*SER_hh_fec!R26/SER_hh_num!R26)</f>
        <v>28059.582899316087</v>
      </c>
      <c r="S26" s="65">
        <f>IF(SER_hh_fec!S26=0,0,11630*1000*SER_hh_fec!S26/SER_hh_num!S26)</f>
        <v>26285.908113510592</v>
      </c>
      <c r="T26" s="65">
        <f>IF(SER_hh_fec!T26=0,0,11630*1000*SER_hh_fec!T26/SER_hh_num!T26)</f>
        <v>24142.618823029818</v>
      </c>
      <c r="U26" s="65">
        <f>IF(SER_hh_fec!U26=0,0,11630*1000*SER_hh_fec!U26/SER_hh_num!U26)</f>
        <v>24529.044449837678</v>
      </c>
      <c r="V26" s="65">
        <f>IF(SER_hh_fec!V26=0,0,11630*1000*SER_hh_fec!V26/SER_hh_num!V26)</f>
        <v>20606.40364074392</v>
      </c>
      <c r="W26" s="65">
        <f>IF(SER_hh_fec!W26=0,0,11630*1000*SER_hh_fec!W26/SER_hh_num!W26)</f>
        <v>24982.557577561311</v>
      </c>
      <c r="X26" s="65">
        <f>IF(SER_hh_fec!X26=0,0,11630*1000*SER_hh_fec!X26/SER_hh_num!X26)</f>
        <v>25302.123994964222</v>
      </c>
      <c r="Y26" s="65">
        <f>IF(SER_hh_fec!Y26=0,0,11630*1000*SER_hh_fec!Y26/SER_hh_num!Y26)</f>
        <v>24986.480621134808</v>
      </c>
      <c r="DA26" s="109" t="s">
        <v>407</v>
      </c>
    </row>
    <row r="27" spans="1:105" ht="12" customHeight="1" x14ac:dyDescent="0.25">
      <c r="A27" s="144" t="s">
        <v>86</v>
      </c>
      <c r="B27" s="145">
        <f>IF(SER_hh_fec!B27=0,0,11630*1000*SER_hh_fec!B27/SER_hh_num!B19)</f>
        <v>47.566052405710451</v>
      </c>
      <c r="C27" s="145">
        <f>IF(SER_hh_fec!C27=0,0,11630*1000*SER_hh_fec!C27/SER_hh_num!C19)</f>
        <v>52.150200004303649</v>
      </c>
      <c r="D27" s="145">
        <f>IF(SER_hh_fec!D27=0,0,11630*1000*SER_hh_fec!D27/SER_hh_num!D19)</f>
        <v>58.950075839078963</v>
      </c>
      <c r="E27" s="145">
        <f>IF(SER_hh_fec!E27=0,0,11630*1000*SER_hh_fec!E27/SER_hh_num!E19)</f>
        <v>67.319831282818683</v>
      </c>
      <c r="F27" s="145">
        <f>IF(SER_hh_fec!F27=0,0,11630*1000*SER_hh_fec!F27/SER_hh_num!F19)</f>
        <v>76.732231405632206</v>
      </c>
      <c r="G27" s="145">
        <f>IF(SER_hh_fec!G27=0,0,11630*1000*SER_hh_fec!G27/SER_hh_num!G19)</f>
        <v>112.90649096567178</v>
      </c>
      <c r="H27" s="145">
        <f>IF(SER_hh_fec!H27=0,0,11630*1000*SER_hh_fec!H27/SER_hh_num!H19)</f>
        <v>140.73579410249127</v>
      </c>
      <c r="I27" s="145">
        <f>IF(SER_hh_fec!I27=0,0,11630*1000*SER_hh_fec!I27/SER_hh_num!I19)</f>
        <v>207.22721667174855</v>
      </c>
      <c r="J27" s="145">
        <f>IF(SER_hh_fec!J27=0,0,11630*1000*SER_hh_fec!J27/SER_hh_num!J19)</f>
        <v>264.39307134688966</v>
      </c>
      <c r="K27" s="145">
        <f>IF(SER_hh_fec!K27=0,0,11630*1000*SER_hh_fec!K27/SER_hh_num!K19)</f>
        <v>335.71846491140764</v>
      </c>
      <c r="L27" s="145">
        <f>IF(SER_hh_fec!L27=0,0,11630*1000*SER_hh_fec!L27/SER_hh_num!L19)</f>
        <v>500.63754878216571</v>
      </c>
      <c r="M27" s="145">
        <f>IF(SER_hh_fec!M27=0,0,11630*1000*SER_hh_fec!M27/SER_hh_num!M19)</f>
        <v>519.67663987003368</v>
      </c>
      <c r="N27" s="145">
        <f>IF(SER_hh_fec!N27=0,0,11630*1000*SER_hh_fec!N27/SER_hh_num!N19)</f>
        <v>573.32408469121276</v>
      </c>
      <c r="O27" s="145">
        <f>IF(SER_hh_fec!O27=0,0,11630*1000*SER_hh_fec!O27/SER_hh_num!O19)</f>
        <v>622.48627639076062</v>
      </c>
      <c r="P27" s="145">
        <f>IF(SER_hh_fec!P27=0,0,11630*1000*SER_hh_fec!P27/SER_hh_num!P19)</f>
        <v>656.41889637832844</v>
      </c>
      <c r="Q27" s="145">
        <f>IF(SER_hh_fec!Q27=0,0,11630*1000*SER_hh_fec!Q27/SER_hh_num!Q19)</f>
        <v>692.54498854923588</v>
      </c>
      <c r="R27" s="145">
        <f>IF(SER_hh_fec!R27=0,0,11630*1000*SER_hh_fec!R27/SER_hh_num!R19)</f>
        <v>729.39557302170658</v>
      </c>
      <c r="S27" s="145">
        <f>IF(SER_hh_fec!S27=0,0,11630*1000*SER_hh_fec!S27/SER_hh_num!S19)</f>
        <v>757.35597299500796</v>
      </c>
      <c r="T27" s="145">
        <f>IF(SER_hh_fec!T27=0,0,11630*1000*SER_hh_fec!T27/SER_hh_num!T19)</f>
        <v>789.79092232996118</v>
      </c>
      <c r="U27" s="145">
        <f>IF(SER_hh_fec!U27=0,0,11630*1000*SER_hh_fec!U27/SER_hh_num!U19)</f>
        <v>822.14844792943143</v>
      </c>
      <c r="V27" s="145">
        <f>IF(SER_hh_fec!V27=0,0,11630*1000*SER_hh_fec!V27/SER_hh_num!V19)</f>
        <v>778.81502515848558</v>
      </c>
      <c r="W27" s="145">
        <f>IF(SER_hh_fec!W27=0,0,11630*1000*SER_hh_fec!W27/SER_hh_num!W19)</f>
        <v>798.76596338292632</v>
      </c>
      <c r="X27" s="145">
        <f>IF(SER_hh_fec!X27=0,0,11630*1000*SER_hh_fec!X27/SER_hh_num!X19)</f>
        <v>802.26927527665703</v>
      </c>
      <c r="Y27" s="145">
        <f>IF(SER_hh_fec!Y27=0,0,11630*1000*SER_hh_fec!Y27/SER_hh_num!Y19)</f>
        <v>797.70576567547062</v>
      </c>
      <c r="DA27" s="158" t="s">
        <v>408</v>
      </c>
    </row>
    <row r="28" spans="1:105" ht="12" customHeight="1" x14ac:dyDescent="0.25">
      <c r="A28" s="78" t="s">
        <v>85</v>
      </c>
      <c r="B28" s="146">
        <f>IF(SER_hh_fec!B27=0,0,11630*1000*SER_hh_fec!B27/SER_hh_num!B27)</f>
        <v>15056.262935202645</v>
      </c>
      <c r="C28" s="146">
        <f>IF(SER_hh_fec!C27=0,0,11630*1000*SER_hh_fec!C27/SER_hh_num!C27)</f>
        <v>15808.006970632225</v>
      </c>
      <c r="D28" s="146">
        <f>IF(SER_hh_fec!D27=0,0,11630*1000*SER_hh_fec!D27/SER_hh_num!D27)</f>
        <v>15494.025691892046</v>
      </c>
      <c r="E28" s="146">
        <f>IF(SER_hh_fec!E27=0,0,11630*1000*SER_hh_fec!E27/SER_hh_num!E27)</f>
        <v>15906.387672413124</v>
      </c>
      <c r="F28" s="146">
        <f>IF(SER_hh_fec!F27=0,0,11630*1000*SER_hh_fec!F27/SER_hh_num!F27)</f>
        <v>15505.966322177017</v>
      </c>
      <c r="G28" s="146">
        <f>IF(SER_hh_fec!G27=0,0,11630*1000*SER_hh_fec!G27/SER_hh_num!G27)</f>
        <v>15923.738722804505</v>
      </c>
      <c r="H28" s="146">
        <f>IF(SER_hh_fec!H27=0,0,11630*1000*SER_hh_fec!H27/SER_hh_num!H27)</f>
        <v>16020.543535173403</v>
      </c>
      <c r="I28" s="146">
        <f>IF(SER_hh_fec!I27=0,0,11630*1000*SER_hh_fec!I27/SER_hh_num!I27)</f>
        <v>16588.350678951036</v>
      </c>
      <c r="J28" s="146">
        <f>IF(SER_hh_fec!J27=0,0,11630*1000*SER_hh_fec!J27/SER_hh_num!J27)</f>
        <v>15783.51993803281</v>
      </c>
      <c r="K28" s="146">
        <f>IF(SER_hh_fec!K27=0,0,11630*1000*SER_hh_fec!K27/SER_hh_num!K27)</f>
        <v>16481.632656850532</v>
      </c>
      <c r="L28" s="146">
        <f>IF(SER_hh_fec!L27=0,0,11630*1000*SER_hh_fec!L27/SER_hh_num!L27)</f>
        <v>16720.712261997614</v>
      </c>
      <c r="M28" s="146">
        <f>IF(SER_hh_fec!M27=0,0,11630*1000*SER_hh_fec!M27/SER_hh_num!M27)</f>
        <v>16304.920762060718</v>
      </c>
      <c r="N28" s="146">
        <f>IF(SER_hh_fec!N27=0,0,11630*1000*SER_hh_fec!N27/SER_hh_num!N27)</f>
        <v>17092.950271042278</v>
      </c>
      <c r="O28" s="146">
        <f>IF(SER_hh_fec!O27=0,0,11630*1000*SER_hh_fec!O27/SER_hh_num!O27)</f>
        <v>17917.667967287034</v>
      </c>
      <c r="P28" s="146">
        <f>IF(SER_hh_fec!P27=0,0,11630*1000*SER_hh_fec!P27/SER_hh_num!P27)</f>
        <v>16426.553790948357</v>
      </c>
      <c r="Q28" s="146">
        <f>IF(SER_hh_fec!Q27=0,0,11630*1000*SER_hh_fec!Q27/SER_hh_num!Q27)</f>
        <v>17986.638942139747</v>
      </c>
      <c r="R28" s="146">
        <f>IF(SER_hh_fec!R27=0,0,11630*1000*SER_hh_fec!R27/SER_hh_num!R27)</f>
        <v>18559.231176929185</v>
      </c>
      <c r="S28" s="146">
        <f>IF(SER_hh_fec!S27=0,0,11630*1000*SER_hh_fec!S27/SER_hh_num!S27)</f>
        <v>18049.883311458172</v>
      </c>
      <c r="T28" s="146">
        <f>IF(SER_hh_fec!T27=0,0,11630*1000*SER_hh_fec!T27/SER_hh_num!T27)</f>
        <v>18249.603491752605</v>
      </c>
      <c r="U28" s="146">
        <f>IF(SER_hh_fec!U27=0,0,11630*1000*SER_hh_fec!U27/SER_hh_num!U27)</f>
        <v>16936.351232334258</v>
      </c>
      <c r="V28" s="146">
        <f>IF(SER_hh_fec!V27=0,0,11630*1000*SER_hh_fec!V27/SER_hh_num!V27)</f>
        <v>15071.731415713912</v>
      </c>
      <c r="W28" s="146">
        <f>IF(SER_hh_fec!W27=0,0,11630*1000*SER_hh_fec!W27/SER_hh_num!W27)</f>
        <v>17084.924397540228</v>
      </c>
      <c r="X28" s="146">
        <f>IF(SER_hh_fec!X27=0,0,11630*1000*SER_hh_fec!X27/SER_hh_num!X27)</f>
        <v>21768.622588831673</v>
      </c>
      <c r="Y28" s="146">
        <f>IF(SER_hh_fec!Y27=0,0,11630*1000*SER_hh_fec!Y27/SER_hh_num!Y27)</f>
        <v>18340.5303181659</v>
      </c>
      <c r="DA28" s="159"/>
    </row>
    <row r="29" spans="1:105" ht="12.95" customHeight="1" x14ac:dyDescent="0.25">
      <c r="A29" s="129" t="s">
        <v>34</v>
      </c>
      <c r="B29" s="130">
        <f>IF(SER_hh_fec!B29=0,0,11630*1000*SER_hh_fec!B29/SER_hh_num!B29)</f>
        <v>30883.56953899944</v>
      </c>
      <c r="C29" s="130">
        <f>IF(SER_hh_fec!C29=0,0,11630*1000*SER_hh_fec!C29/SER_hh_num!C29)</f>
        <v>30427.354078547316</v>
      </c>
      <c r="D29" s="130">
        <f>IF(SER_hh_fec!D29=0,0,11630*1000*SER_hh_fec!D29/SER_hh_num!D29)</f>
        <v>30076.143939941627</v>
      </c>
      <c r="E29" s="130">
        <f>IF(SER_hh_fec!E29=0,0,11630*1000*SER_hh_fec!E29/SER_hh_num!E29)</f>
        <v>29082.018254640567</v>
      </c>
      <c r="F29" s="130">
        <f>IF(SER_hh_fec!F29=0,0,11630*1000*SER_hh_fec!F29/SER_hh_num!F29)</f>
        <v>29381.954796104728</v>
      </c>
      <c r="G29" s="130">
        <f>IF(SER_hh_fec!G29=0,0,11630*1000*SER_hh_fec!G29/SER_hh_num!G29)</f>
        <v>30615.327776967657</v>
      </c>
      <c r="H29" s="130">
        <f>IF(SER_hh_fec!H29=0,0,11630*1000*SER_hh_fec!H29/SER_hh_num!H29)</f>
        <v>29897.594623252495</v>
      </c>
      <c r="I29" s="130">
        <f>IF(SER_hh_fec!I29=0,0,11630*1000*SER_hh_fec!I29/SER_hh_num!I29)</f>
        <v>30600.861218274968</v>
      </c>
      <c r="J29" s="130">
        <f>IF(SER_hh_fec!J29=0,0,11630*1000*SER_hh_fec!J29/SER_hh_num!J29)</f>
        <v>30769.930579789918</v>
      </c>
      <c r="K29" s="130">
        <f>IF(SER_hh_fec!K29=0,0,11630*1000*SER_hh_fec!K29/SER_hh_num!K29)</f>
        <v>31672.201058607257</v>
      </c>
      <c r="L29" s="130">
        <f>IF(SER_hh_fec!L29=0,0,11630*1000*SER_hh_fec!L29/SER_hh_num!L29)</f>
        <v>31805.457906854379</v>
      </c>
      <c r="M29" s="130">
        <f>IF(SER_hh_fec!M29=0,0,11630*1000*SER_hh_fec!M29/SER_hh_num!M29)</f>
        <v>31984.689776825307</v>
      </c>
      <c r="N29" s="130">
        <f>IF(SER_hh_fec!N29=0,0,11630*1000*SER_hh_fec!N29/SER_hh_num!N29)</f>
        <v>32149.768010668751</v>
      </c>
      <c r="O29" s="130">
        <f>IF(SER_hh_fec!O29=0,0,11630*1000*SER_hh_fec!O29/SER_hh_num!O29)</f>
        <v>32720.532815757731</v>
      </c>
      <c r="P29" s="130">
        <f>IF(SER_hh_fec!P29=0,0,11630*1000*SER_hh_fec!P29/SER_hh_num!P29)</f>
        <v>33445.832065738847</v>
      </c>
      <c r="Q29" s="130">
        <f>IF(SER_hh_fec!Q29=0,0,11630*1000*SER_hh_fec!Q29/SER_hh_num!Q29)</f>
        <v>33682.469385127362</v>
      </c>
      <c r="R29" s="130">
        <f>IF(SER_hh_fec!R29=0,0,11630*1000*SER_hh_fec!R29/SER_hh_num!R29)</f>
        <v>33985.895732232748</v>
      </c>
      <c r="S29" s="130">
        <f>IF(SER_hh_fec!S29=0,0,11630*1000*SER_hh_fec!S29/SER_hh_num!S29)</f>
        <v>33834.353219281307</v>
      </c>
      <c r="T29" s="130">
        <f>IF(SER_hh_fec!T29=0,0,11630*1000*SER_hh_fec!T29/SER_hh_num!T29)</f>
        <v>33432.850301395323</v>
      </c>
      <c r="U29" s="130">
        <f>IF(SER_hh_fec!U29=0,0,11630*1000*SER_hh_fec!U29/SER_hh_num!U29)</f>
        <v>33346.086924484101</v>
      </c>
      <c r="V29" s="130">
        <f>IF(SER_hh_fec!V29=0,0,11630*1000*SER_hh_fec!V29/SER_hh_num!V29)</f>
        <v>29885.125646526798</v>
      </c>
      <c r="W29" s="130">
        <f>IF(SER_hh_fec!W29=0,0,11630*1000*SER_hh_fec!W29/SER_hh_num!W29)</f>
        <v>33471.075266241809</v>
      </c>
      <c r="X29" s="130">
        <f>IF(SER_hh_fec!X29=0,0,11630*1000*SER_hh_fec!X29/SER_hh_num!X29)</f>
        <v>33755.977915274023</v>
      </c>
      <c r="Y29" s="130">
        <f>IF(SER_hh_fec!Y29=0,0,11630*1000*SER_hh_fec!Y29/SER_hh_num!Y29)</f>
        <v>34039.541586832929</v>
      </c>
      <c r="DA29" s="155" t="s">
        <v>409</v>
      </c>
    </row>
    <row r="30" spans="1:105" ht="12" customHeight="1" x14ac:dyDescent="0.25">
      <c r="A30" s="131" t="s">
        <v>52</v>
      </c>
      <c r="B30" s="132">
        <f>IF(SER_hh_fec!B30=0,0,11630*1000*SER_hh_fec!B30/SER_hh_num!B30)</f>
        <v>32976.991083471403</v>
      </c>
      <c r="C30" s="132">
        <f>IF(SER_hh_fec!C30=0,0,11630*1000*SER_hh_fec!C30/SER_hh_num!C30)</f>
        <v>31672.413806736433</v>
      </c>
      <c r="D30" s="132">
        <f>IF(SER_hh_fec!D30=0,0,11630*1000*SER_hh_fec!D30/SER_hh_num!D30)</f>
        <v>32678.050405518818</v>
      </c>
      <c r="E30" s="132">
        <f>IF(SER_hh_fec!E30=0,0,11630*1000*SER_hh_fec!E30/SER_hh_num!E30)</f>
        <v>33302.7105505648</v>
      </c>
      <c r="F30" s="132">
        <f>IF(SER_hh_fec!F30=0,0,11630*1000*SER_hh_fec!F30/SER_hh_num!F30)</f>
        <v>33846.271260574133</v>
      </c>
      <c r="G30" s="132">
        <f>IF(SER_hh_fec!G30=0,0,11630*1000*SER_hh_fec!G30/SER_hh_num!G30)</f>
        <v>34247.209607376884</v>
      </c>
      <c r="H30" s="132">
        <f>IF(SER_hh_fec!H30=0,0,11630*1000*SER_hh_fec!H30/SER_hh_num!H30)</f>
        <v>33154.649317047151</v>
      </c>
      <c r="I30" s="132">
        <f>IF(SER_hh_fec!I30=0,0,11630*1000*SER_hh_fec!I30/SER_hh_num!I30)</f>
        <v>37232.694489335125</v>
      </c>
      <c r="J30" s="132">
        <f>IF(SER_hh_fec!J30=0,0,11630*1000*SER_hh_fec!J30/SER_hh_num!J30)</f>
        <v>28098.220800054198</v>
      </c>
      <c r="K30" s="132">
        <f>IF(SER_hh_fec!K30=0,0,11630*1000*SER_hh_fec!K30/SER_hh_num!K30)</f>
        <v>36768.854800704052</v>
      </c>
      <c r="L30" s="132">
        <f>IF(SER_hh_fec!L30=0,0,11630*1000*SER_hh_fec!L30/SER_hh_num!L30)</f>
        <v>36974.719932029424</v>
      </c>
      <c r="M30" s="132">
        <f>IF(SER_hh_fec!M30=0,0,11630*1000*SER_hh_fec!M30/SER_hh_num!M30)</f>
        <v>37603.669665373862</v>
      </c>
      <c r="N30" s="132">
        <f>IF(SER_hh_fec!N30=0,0,11630*1000*SER_hh_fec!N30/SER_hh_num!N30)</f>
        <v>33059.339406456194</v>
      </c>
      <c r="O30" s="132">
        <f>IF(SER_hh_fec!O30=0,0,11630*1000*SER_hh_fec!O30/SER_hh_num!O30)</f>
        <v>35318.858217671237</v>
      </c>
      <c r="P30" s="132">
        <f>IF(SER_hh_fec!P30=0,0,11630*1000*SER_hh_fec!P30/SER_hh_num!P30)</f>
        <v>38819.474828968603</v>
      </c>
      <c r="Q30" s="132">
        <f>IF(SER_hh_fec!Q30=0,0,11630*1000*SER_hh_fec!Q30/SER_hh_num!Q30)</f>
        <v>37454.126548103071</v>
      </c>
      <c r="R30" s="132">
        <f>IF(SER_hh_fec!R30=0,0,11630*1000*SER_hh_fec!R30/SER_hh_num!R30)</f>
        <v>37304.836385499169</v>
      </c>
      <c r="S30" s="132">
        <f>IF(SER_hh_fec!S30=0,0,11630*1000*SER_hh_fec!S30/SER_hh_num!S30)</f>
        <v>37847.399707621546</v>
      </c>
      <c r="T30" s="132">
        <f>IF(SER_hh_fec!T30=0,0,11630*1000*SER_hh_fec!T30/SER_hh_num!T30)</f>
        <v>37106.189637331379</v>
      </c>
      <c r="U30" s="132">
        <f>IF(SER_hh_fec!U30=0,0,11630*1000*SER_hh_fec!U30/SER_hh_num!U30)</f>
        <v>35493.784646924825</v>
      </c>
      <c r="V30" s="132">
        <f>IF(SER_hh_fec!V30=0,0,11630*1000*SER_hh_fec!V30/SER_hh_num!V30)</f>
        <v>36514.736385003882</v>
      </c>
      <c r="W30" s="132">
        <f>IF(SER_hh_fec!W30=0,0,11630*1000*SER_hh_fec!W30/SER_hh_num!W30)</f>
        <v>37477.867708854741</v>
      </c>
      <c r="X30" s="132">
        <f>IF(SER_hh_fec!X30=0,0,11630*1000*SER_hh_fec!X30/SER_hh_num!X30)</f>
        <v>38889.667335178863</v>
      </c>
      <c r="Y30" s="132">
        <f>IF(SER_hh_fec!Y30=0,0,11630*1000*SER_hh_fec!Y30/SER_hh_num!Y30)</f>
        <v>39268.639222580554</v>
      </c>
      <c r="DA30" s="156" t="s">
        <v>410</v>
      </c>
    </row>
    <row r="31" spans="1:105" ht="12" customHeight="1" x14ac:dyDescent="0.25">
      <c r="A31" s="131" t="s">
        <v>149</v>
      </c>
      <c r="B31" s="132">
        <f>IF(SER_hh_fec!B31=0,0,11630*1000*SER_hh_fec!B31/SER_hh_num!B31)</f>
        <v>31636.86905461401</v>
      </c>
      <c r="C31" s="132">
        <f>IF(SER_hh_fec!C31=0,0,11630*1000*SER_hh_fec!C31/SER_hh_num!C31)</f>
        <v>32095.858384914638</v>
      </c>
      <c r="D31" s="132">
        <f>IF(SER_hh_fec!D31=0,0,11630*1000*SER_hh_fec!D31/SER_hh_num!D31)</f>
        <v>32682.747748248457</v>
      </c>
      <c r="E31" s="132">
        <f>IF(SER_hh_fec!E31=0,0,11630*1000*SER_hh_fec!E31/SER_hh_num!E31)</f>
        <v>29827.23993263601</v>
      </c>
      <c r="F31" s="132">
        <f>IF(SER_hh_fec!F31=0,0,11630*1000*SER_hh_fec!F31/SER_hh_num!F31)</f>
        <v>30411.082109612264</v>
      </c>
      <c r="G31" s="132">
        <f>IF(SER_hh_fec!G31=0,0,11630*1000*SER_hh_fec!G31/SER_hh_num!G31)</f>
        <v>34769.835776375519</v>
      </c>
      <c r="H31" s="132">
        <f>IF(SER_hh_fec!H31=0,0,11630*1000*SER_hh_fec!H31/SER_hh_num!H31)</f>
        <v>31979.258341282894</v>
      </c>
      <c r="I31" s="132">
        <f>IF(SER_hh_fec!I31=0,0,11630*1000*SER_hh_fec!I31/SER_hh_num!I31)</f>
        <v>34563.393676842417</v>
      </c>
      <c r="J31" s="132">
        <f>IF(SER_hh_fec!J31=0,0,11630*1000*SER_hh_fec!J31/SER_hh_num!J31)</f>
        <v>33881.800741605963</v>
      </c>
      <c r="K31" s="132">
        <f>IF(SER_hh_fec!K31=0,0,11630*1000*SER_hh_fec!K31/SER_hh_num!K31)</f>
        <v>35361.998670219764</v>
      </c>
      <c r="L31" s="132">
        <f>IF(SER_hh_fec!L31=0,0,11630*1000*SER_hh_fec!L31/SER_hh_num!L31)</f>
        <v>35144.150495890921</v>
      </c>
      <c r="M31" s="132">
        <f>IF(SER_hh_fec!M31=0,0,11630*1000*SER_hh_fec!M31/SER_hh_num!M31)</f>
        <v>35012.903942333083</v>
      </c>
      <c r="N31" s="132">
        <f>IF(SER_hh_fec!N31=0,0,11630*1000*SER_hh_fec!N31/SER_hh_num!N31)</f>
        <v>35243.158157551712</v>
      </c>
      <c r="O31" s="132">
        <f>IF(SER_hh_fec!O31=0,0,11630*1000*SER_hh_fec!O31/SER_hh_num!O31)</f>
        <v>35419.509053785157</v>
      </c>
      <c r="P31" s="132">
        <f>IF(SER_hh_fec!P31=0,0,11630*1000*SER_hh_fec!P31/SER_hh_num!P31)</f>
        <v>36897.623049655602</v>
      </c>
      <c r="Q31" s="132">
        <f>IF(SER_hh_fec!Q31=0,0,11630*1000*SER_hh_fec!Q31/SER_hh_num!Q31)</f>
        <v>36526.085505809126</v>
      </c>
      <c r="R31" s="132">
        <f>IF(SER_hh_fec!R31=0,0,11630*1000*SER_hh_fec!R31/SER_hh_num!R31)</f>
        <v>37393.702133866173</v>
      </c>
      <c r="S31" s="132">
        <f>IF(SER_hh_fec!S31=0,0,11630*1000*SER_hh_fec!S31/SER_hh_num!S31)</f>
        <v>37118.467535815718</v>
      </c>
      <c r="T31" s="132">
        <f>IF(SER_hh_fec!T31=0,0,11630*1000*SER_hh_fec!T31/SER_hh_num!T31)</f>
        <v>34171.328866512689</v>
      </c>
      <c r="U31" s="132">
        <f>IF(SER_hh_fec!U31=0,0,11630*1000*SER_hh_fec!U31/SER_hh_num!U31)</f>
        <v>37533.961801949903</v>
      </c>
      <c r="V31" s="132">
        <f>IF(SER_hh_fec!V31=0,0,11630*1000*SER_hh_fec!V31/SER_hh_num!V31)</f>
        <v>34366.274823561987</v>
      </c>
      <c r="W31" s="132">
        <f>IF(SER_hh_fec!W31=0,0,11630*1000*SER_hh_fec!W31/SER_hh_num!W31)</f>
        <v>34340.983790614249</v>
      </c>
      <c r="X31" s="132">
        <f>IF(SER_hh_fec!X31=0,0,11630*1000*SER_hh_fec!X31/SER_hh_num!X31)</f>
        <v>37460.838353014231</v>
      </c>
      <c r="Y31" s="132">
        <f>IF(SER_hh_fec!Y31=0,0,11630*1000*SER_hh_fec!Y31/SER_hh_num!Y31)</f>
        <v>38513.707021163442</v>
      </c>
      <c r="DA31" s="156" t="s">
        <v>411</v>
      </c>
    </row>
    <row r="32" spans="1:105" ht="12" customHeight="1" x14ac:dyDescent="0.25">
      <c r="A32" s="131" t="s">
        <v>128</v>
      </c>
      <c r="B32" s="132">
        <f>IF(SER_hh_fec!B32=0,0,11630*1000*SER_hh_fec!B32/SER_hh_num!B32)</f>
        <v>0</v>
      </c>
      <c r="C32" s="132">
        <f>IF(SER_hh_fec!C32=0,0,11630*1000*SER_hh_fec!C32/SER_hh_num!C32)</f>
        <v>0</v>
      </c>
      <c r="D32" s="132">
        <f>IF(SER_hh_fec!D32=0,0,11630*1000*SER_hh_fec!D32/SER_hh_num!D32)</f>
        <v>0</v>
      </c>
      <c r="E32" s="132">
        <f>IF(SER_hh_fec!E32=0,0,11630*1000*SER_hh_fec!E32/SER_hh_num!E32)</f>
        <v>0</v>
      </c>
      <c r="F32" s="132">
        <f>IF(SER_hh_fec!F32=0,0,11630*1000*SER_hh_fec!F32/SER_hh_num!F32)</f>
        <v>0</v>
      </c>
      <c r="G32" s="132">
        <f>IF(SER_hh_fec!G32=0,0,11630*1000*SER_hh_fec!G32/SER_hh_num!G32)</f>
        <v>0</v>
      </c>
      <c r="H32" s="132">
        <f>IF(SER_hh_fec!H32=0,0,11630*1000*SER_hh_fec!H32/SER_hh_num!H32)</f>
        <v>0</v>
      </c>
      <c r="I32" s="132">
        <f>IF(SER_hh_fec!I32=0,0,11630*1000*SER_hh_fec!I32/SER_hh_num!I32)</f>
        <v>0</v>
      </c>
      <c r="J32" s="132">
        <f>IF(SER_hh_fec!J32=0,0,11630*1000*SER_hh_fec!J32/SER_hh_num!J32)</f>
        <v>0</v>
      </c>
      <c r="K32" s="132">
        <f>IF(SER_hh_fec!K32=0,0,11630*1000*SER_hh_fec!K32/SER_hh_num!K32)</f>
        <v>0</v>
      </c>
      <c r="L32" s="132">
        <f>IF(SER_hh_fec!L32=0,0,11630*1000*SER_hh_fec!L32/SER_hh_num!L32)</f>
        <v>0</v>
      </c>
      <c r="M32" s="132">
        <f>IF(SER_hh_fec!M32=0,0,11630*1000*SER_hh_fec!M32/SER_hh_num!M32)</f>
        <v>0</v>
      </c>
      <c r="N32" s="132">
        <f>IF(SER_hh_fec!N32=0,0,11630*1000*SER_hh_fec!N32/SER_hh_num!N32)</f>
        <v>0</v>
      </c>
      <c r="O32" s="132">
        <f>IF(SER_hh_fec!O32=0,0,11630*1000*SER_hh_fec!O32/SER_hh_num!O32)</f>
        <v>0</v>
      </c>
      <c r="P32" s="132">
        <f>IF(SER_hh_fec!P32=0,0,11630*1000*SER_hh_fec!P32/SER_hh_num!P32)</f>
        <v>0</v>
      </c>
      <c r="Q32" s="132">
        <f>IF(SER_hh_fec!Q32=0,0,11630*1000*SER_hh_fec!Q32/SER_hh_num!Q32)</f>
        <v>0</v>
      </c>
      <c r="R32" s="132">
        <f>IF(SER_hh_fec!R32=0,0,11630*1000*SER_hh_fec!R32/SER_hh_num!R32)</f>
        <v>0</v>
      </c>
      <c r="S32" s="132">
        <f>IF(SER_hh_fec!S32=0,0,11630*1000*SER_hh_fec!S32/SER_hh_num!S32)</f>
        <v>0</v>
      </c>
      <c r="T32" s="132">
        <f>IF(SER_hh_fec!T32=0,0,11630*1000*SER_hh_fec!T32/SER_hh_num!T32)</f>
        <v>0</v>
      </c>
      <c r="U32" s="132">
        <f>IF(SER_hh_fec!U32=0,0,11630*1000*SER_hh_fec!U32/SER_hh_num!U32)</f>
        <v>0</v>
      </c>
      <c r="V32" s="132">
        <f>IF(SER_hh_fec!V32=0,0,11630*1000*SER_hh_fec!V32/SER_hh_num!V32)</f>
        <v>0</v>
      </c>
      <c r="W32" s="132">
        <f>IF(SER_hh_fec!W32=0,0,11630*1000*SER_hh_fec!W32/SER_hh_num!W32)</f>
        <v>0</v>
      </c>
      <c r="X32" s="132">
        <f>IF(SER_hh_fec!X32=0,0,11630*1000*SER_hh_fec!X32/SER_hh_num!X32)</f>
        <v>0</v>
      </c>
      <c r="Y32" s="132">
        <f>IF(SER_hh_fec!Y32=0,0,11630*1000*SER_hh_fec!Y32/SER_hh_num!Y32)</f>
        <v>0</v>
      </c>
      <c r="DA32" s="156" t="s">
        <v>412</v>
      </c>
    </row>
    <row r="33" spans="1:105" ht="12" customHeight="1" x14ac:dyDescent="0.25">
      <c r="A33" s="62" t="s">
        <v>24</v>
      </c>
      <c r="B33" s="68">
        <f>IF(SER_hh_fec!B33=0,0,11630*1000*SER_hh_fec!B33/SER_hh_num!B33)</f>
        <v>23614.70839672142</v>
      </c>
      <c r="C33" s="68">
        <f>IF(SER_hh_fec!C33=0,0,11630*1000*SER_hh_fec!C33/SER_hh_num!C33)</f>
        <v>22354.03296291667</v>
      </c>
      <c r="D33" s="68">
        <f>IF(SER_hh_fec!D33=0,0,11630*1000*SER_hh_fec!D33/SER_hh_num!D33)</f>
        <v>22110.9766861237</v>
      </c>
      <c r="E33" s="68">
        <f>IF(SER_hh_fec!E33=0,0,11630*1000*SER_hh_fec!E33/SER_hh_num!E33)</f>
        <v>25886.814832252312</v>
      </c>
      <c r="F33" s="68">
        <f>IF(SER_hh_fec!F33=0,0,11630*1000*SER_hh_fec!F33/SER_hh_num!F33)</f>
        <v>26479.805564652233</v>
      </c>
      <c r="G33" s="68">
        <f>IF(SER_hh_fec!G33=0,0,11630*1000*SER_hh_fec!G33/SER_hh_num!G33)</f>
        <v>24955.414031888082</v>
      </c>
      <c r="H33" s="68">
        <f>IF(SER_hh_fec!H33=0,0,11630*1000*SER_hh_fec!H33/SER_hh_num!H33)</f>
        <v>26842.355733333356</v>
      </c>
      <c r="I33" s="68">
        <f>IF(SER_hh_fec!I33=0,0,11630*1000*SER_hh_fec!I33/SER_hh_num!I33)</f>
        <v>24512.57433973478</v>
      </c>
      <c r="J33" s="68">
        <f>IF(SER_hh_fec!J33=0,0,11630*1000*SER_hh_fec!J33/SER_hh_num!J33)</f>
        <v>27927.843744358699</v>
      </c>
      <c r="K33" s="68">
        <f>IF(SER_hh_fec!K33=0,0,11630*1000*SER_hh_fec!K33/SER_hh_num!K33)</f>
        <v>26080.122659091834</v>
      </c>
      <c r="L33" s="68">
        <f>IF(SER_hh_fec!L33=0,0,11630*1000*SER_hh_fec!L33/SER_hh_num!L33)</f>
        <v>26389.188258297265</v>
      </c>
      <c r="M33" s="68">
        <f>IF(SER_hh_fec!M33=0,0,11630*1000*SER_hh_fec!M33/SER_hh_num!M33)</f>
        <v>26528.894907997117</v>
      </c>
      <c r="N33" s="68">
        <f>IF(SER_hh_fec!N33=0,0,11630*1000*SER_hh_fec!N33/SER_hh_num!N33)</f>
        <v>27529.936351702672</v>
      </c>
      <c r="O33" s="68">
        <f>IF(SER_hh_fec!O33=0,0,11630*1000*SER_hh_fec!O33/SER_hh_num!O33)</f>
        <v>27867.724590631526</v>
      </c>
      <c r="P33" s="68">
        <f>IF(SER_hh_fec!P33=0,0,11630*1000*SER_hh_fec!P33/SER_hh_num!P33)</f>
        <v>25645.129785587695</v>
      </c>
      <c r="Q33" s="68">
        <f>IF(SER_hh_fec!Q33=0,0,11630*1000*SER_hh_fec!Q33/SER_hh_num!Q33)</f>
        <v>27011.952563809631</v>
      </c>
      <c r="R33" s="68">
        <f>IF(SER_hh_fec!R33=0,0,11630*1000*SER_hh_fec!R33/SER_hh_num!R33)</f>
        <v>26278.527458790057</v>
      </c>
      <c r="S33" s="68">
        <f>IF(SER_hh_fec!S33=0,0,11630*1000*SER_hh_fec!S33/SER_hh_num!S33)</f>
        <v>26248.390685238304</v>
      </c>
      <c r="T33" s="68">
        <f>IF(SER_hh_fec!T33=0,0,11630*1000*SER_hh_fec!T33/SER_hh_num!T33)</f>
        <v>30708.991088645911</v>
      </c>
      <c r="U33" s="68">
        <f>IF(SER_hh_fec!U33=0,0,11630*1000*SER_hh_fec!U33/SER_hh_num!U33)</f>
        <v>24921.368775188985</v>
      </c>
      <c r="V33" s="68">
        <f>IF(SER_hh_fec!V33=0,0,11630*1000*SER_hh_fec!V33/SER_hh_num!V33)</f>
        <v>19852.243484954204</v>
      </c>
      <c r="W33" s="68">
        <f>IF(SER_hh_fec!W33=0,0,11630*1000*SER_hh_fec!W33/SER_hh_num!W33)</f>
        <v>30814.951370148909</v>
      </c>
      <c r="X33" s="68">
        <f>IF(SER_hh_fec!X33=0,0,11630*1000*SER_hh_fec!X33/SER_hh_num!X33)</f>
        <v>27572.227606236345</v>
      </c>
      <c r="Y33" s="68">
        <f>IF(SER_hh_fec!Y33=0,0,11630*1000*SER_hh_fec!Y33/SER_hh_num!Y33)</f>
        <v>27065.772835611406</v>
      </c>
      <c r="DA33" s="111" t="s">
        <v>413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414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88</v>
      </c>
      <c r="B3" s="125">
        <f>IF(SER_hh_tes!B3=0,0,11630*1000*SER_hh_tes!B3/SER_hh_num!B3)</f>
        <v>117779.10340130438</v>
      </c>
      <c r="C3" s="125">
        <f>IF(SER_hh_tes!C3=0,0,11630*1000*SER_hh_tes!C3/SER_hh_num!C3)</f>
        <v>121164.55046035022</v>
      </c>
      <c r="D3" s="125">
        <f>IF(SER_hh_tes!D3=0,0,11630*1000*SER_hh_tes!D3/SER_hh_num!D3)</f>
        <v>119897.49887424815</v>
      </c>
      <c r="E3" s="125">
        <f>IF(SER_hh_tes!E3=0,0,11630*1000*SER_hh_tes!E3/SER_hh_num!E3)</f>
        <v>139476.40128798631</v>
      </c>
      <c r="F3" s="125">
        <f>IF(SER_hh_tes!F3=0,0,11630*1000*SER_hh_tes!F3/SER_hh_num!F3)</f>
        <v>137546.32747142177</v>
      </c>
      <c r="G3" s="125">
        <f>IF(SER_hh_tes!G3=0,0,11630*1000*SER_hh_tes!G3/SER_hh_num!G3)</f>
        <v>156153.20080829744</v>
      </c>
      <c r="H3" s="125">
        <f>IF(SER_hh_tes!H3=0,0,11630*1000*SER_hh_tes!H3/SER_hh_num!H3)</f>
        <v>161801.64354691459</v>
      </c>
      <c r="I3" s="125">
        <f>IF(SER_hh_tes!I3=0,0,11630*1000*SER_hh_tes!I3/SER_hh_num!I3)</f>
        <v>156275.26234309966</v>
      </c>
      <c r="J3" s="125">
        <f>IF(SER_hh_tes!J3=0,0,11630*1000*SER_hh_tes!J3/SER_hh_num!J3)</f>
        <v>178335.95267475059</v>
      </c>
      <c r="K3" s="125">
        <f>IF(SER_hh_tes!K3=0,0,11630*1000*SER_hh_tes!K3/SER_hh_num!K3)</f>
        <v>180625.04272885216</v>
      </c>
      <c r="L3" s="125">
        <f>IF(SER_hh_tes!L3=0,0,11630*1000*SER_hh_tes!L3/SER_hh_num!L3)</f>
        <v>180818.02652459653</v>
      </c>
      <c r="M3" s="125">
        <f>IF(SER_hh_tes!M3=0,0,11630*1000*SER_hh_tes!M3/SER_hh_num!M3)</f>
        <v>172053.79665077929</v>
      </c>
      <c r="N3" s="125">
        <f>IF(SER_hh_tes!N3=0,0,11630*1000*SER_hh_tes!N3/SER_hh_num!N3)</f>
        <v>186647.87380336062</v>
      </c>
      <c r="O3" s="125">
        <f>IF(SER_hh_tes!O3=0,0,11630*1000*SER_hh_tes!O3/SER_hh_num!O3)</f>
        <v>183484.67737080087</v>
      </c>
      <c r="P3" s="125">
        <f>IF(SER_hh_tes!P3=0,0,11630*1000*SER_hh_tes!P3/SER_hh_num!P3)</f>
        <v>175584.10128483345</v>
      </c>
      <c r="Q3" s="125">
        <f>IF(SER_hh_tes!Q3=0,0,11630*1000*SER_hh_tes!Q3/SER_hh_num!Q3)</f>
        <v>211592.32247045555</v>
      </c>
      <c r="R3" s="125">
        <f>IF(SER_hh_tes!R3=0,0,11630*1000*SER_hh_tes!R3/SER_hh_num!R3)</f>
        <v>209527.8569756294</v>
      </c>
      <c r="S3" s="125">
        <f>IF(SER_hh_tes!S3=0,0,11630*1000*SER_hh_tes!S3/SER_hh_num!S3)</f>
        <v>225155.87443041118</v>
      </c>
      <c r="T3" s="125">
        <f>IF(SER_hh_tes!T3=0,0,11630*1000*SER_hh_tes!T3/SER_hh_num!T3)</f>
        <v>233188.46847781318</v>
      </c>
      <c r="U3" s="125">
        <f>IF(SER_hh_tes!U3=0,0,11630*1000*SER_hh_tes!U3/SER_hh_num!U3)</f>
        <v>229089.80792116476</v>
      </c>
      <c r="V3" s="125">
        <f>IF(SER_hh_tes!V3=0,0,11630*1000*SER_hh_tes!V3/SER_hh_num!V3)</f>
        <v>207189.60920756633</v>
      </c>
      <c r="W3" s="125">
        <f>IF(SER_hh_tes!W3=0,0,11630*1000*SER_hh_tes!W3/SER_hh_num!W3)</f>
        <v>213641.05216676262</v>
      </c>
      <c r="X3" s="125">
        <f>IF(SER_hh_tes!X3=0,0,11630*1000*SER_hh_tes!X3/SER_hh_num!X3)</f>
        <v>214317.80411121485</v>
      </c>
      <c r="Y3" s="125">
        <f>IF(SER_hh_tes!Y3=0,0,11630*1000*SER_hh_tes!Y3/SER_hh_num!Y3)</f>
        <v>218632.41306916162</v>
      </c>
      <c r="DA3" s="154" t="s">
        <v>415</v>
      </c>
    </row>
    <row r="4" spans="1:105" ht="12.95" customHeight="1" x14ac:dyDescent="0.25">
      <c r="A4" s="129" t="s">
        <v>32</v>
      </c>
      <c r="B4" s="130">
        <f>IF(SER_hh_tes!B4=0,0,11630*1000*SER_hh_tes!B4/SER_hh_num!B4)</f>
        <v>73725.470232923704</v>
      </c>
      <c r="C4" s="130">
        <f>IF(SER_hh_tes!C4=0,0,11630*1000*SER_hh_tes!C4/SER_hh_num!C4)</f>
        <v>75919.493190901107</v>
      </c>
      <c r="D4" s="130">
        <f>IF(SER_hh_tes!D4=0,0,11630*1000*SER_hh_tes!D4/SER_hh_num!D4)</f>
        <v>74621.054015138216</v>
      </c>
      <c r="E4" s="130">
        <f>IF(SER_hh_tes!E4=0,0,11630*1000*SER_hh_tes!E4/SER_hh_num!E4)</f>
        <v>85415.528823785309</v>
      </c>
      <c r="F4" s="130">
        <f>IF(SER_hh_tes!F4=0,0,11630*1000*SER_hh_tes!F4/SER_hh_num!F4)</f>
        <v>90393.004116138225</v>
      </c>
      <c r="G4" s="130">
        <f>IF(SER_hh_tes!G4=0,0,11630*1000*SER_hh_tes!G4/SER_hh_num!G4)</f>
        <v>107992.69226099692</v>
      </c>
      <c r="H4" s="130">
        <f>IF(SER_hh_tes!H4=0,0,11630*1000*SER_hh_tes!H4/SER_hh_num!H4)</f>
        <v>111591.6156293524</v>
      </c>
      <c r="I4" s="130">
        <f>IF(SER_hh_tes!I4=0,0,11630*1000*SER_hh_tes!I4/SER_hh_num!I4)</f>
        <v>105344.85667074349</v>
      </c>
      <c r="J4" s="130">
        <f>IF(SER_hh_tes!J4=0,0,11630*1000*SER_hh_tes!J4/SER_hh_num!J4)</f>
        <v>124528.77432445882</v>
      </c>
      <c r="K4" s="130">
        <f>IF(SER_hh_tes!K4=0,0,11630*1000*SER_hh_tes!K4/SER_hh_num!K4)</f>
        <v>125213.68071639606</v>
      </c>
      <c r="L4" s="130">
        <f>IF(SER_hh_tes!L4=0,0,11630*1000*SER_hh_tes!L4/SER_hh_num!L4)</f>
        <v>127079.76676996129</v>
      </c>
      <c r="M4" s="130">
        <f>IF(SER_hh_tes!M4=0,0,11630*1000*SER_hh_tes!M4/SER_hh_num!M4)</f>
        <v>116185.29540275587</v>
      </c>
      <c r="N4" s="130">
        <f>IF(SER_hh_tes!N4=0,0,11630*1000*SER_hh_tes!N4/SER_hh_num!N4)</f>
        <v>121972.09973652881</v>
      </c>
      <c r="O4" s="130">
        <f>IF(SER_hh_tes!O4=0,0,11630*1000*SER_hh_tes!O4/SER_hh_num!O4)</f>
        <v>126452.47801245381</v>
      </c>
      <c r="P4" s="130">
        <f>IF(SER_hh_tes!P4=0,0,11630*1000*SER_hh_tes!P4/SER_hh_num!P4)</f>
        <v>119769.15412544523</v>
      </c>
      <c r="Q4" s="130">
        <f>IF(SER_hh_tes!Q4=0,0,11630*1000*SER_hh_tes!Q4/SER_hh_num!Q4)</f>
        <v>145546.67819414142</v>
      </c>
      <c r="R4" s="130">
        <f>IF(SER_hh_tes!R4=0,0,11630*1000*SER_hh_tes!R4/SER_hh_num!R4)</f>
        <v>150570.23403105451</v>
      </c>
      <c r="S4" s="130">
        <f>IF(SER_hh_tes!S4=0,0,11630*1000*SER_hh_tes!S4/SER_hh_num!S4)</f>
        <v>158754.31222734432</v>
      </c>
      <c r="T4" s="130">
        <f>IF(SER_hh_tes!T4=0,0,11630*1000*SER_hh_tes!T4/SER_hh_num!T4)</f>
        <v>171928.48916369164</v>
      </c>
      <c r="U4" s="130">
        <f>IF(SER_hh_tes!U4=0,0,11630*1000*SER_hh_tes!U4/SER_hh_num!U4)</f>
        <v>163339.87459401842</v>
      </c>
      <c r="V4" s="130">
        <f>IF(SER_hh_tes!V4=0,0,11630*1000*SER_hh_tes!V4/SER_hh_num!V4)</f>
        <v>151893.4587978936</v>
      </c>
      <c r="W4" s="130">
        <f>IF(SER_hh_tes!W4=0,0,11630*1000*SER_hh_tes!W4/SER_hh_num!W4)</f>
        <v>147468.42001671376</v>
      </c>
      <c r="X4" s="130">
        <f>IF(SER_hh_tes!X4=0,0,11630*1000*SER_hh_tes!X4/SER_hh_num!X4)</f>
        <v>140750.89597626688</v>
      </c>
      <c r="Y4" s="130">
        <f>IF(SER_hh_tes!Y4=0,0,11630*1000*SER_hh_tes!Y4/SER_hh_num!Y4)</f>
        <v>149670.61179658541</v>
      </c>
      <c r="DA4" s="155" t="s">
        <v>416</v>
      </c>
    </row>
    <row r="5" spans="1:105" ht="12" customHeight="1" x14ac:dyDescent="0.25">
      <c r="A5" s="131" t="s">
        <v>29</v>
      </c>
      <c r="B5" s="132">
        <f>IF(SER_hh_tes!B5=0,0,11630*1000*SER_hh_tes!B5/SER_hh_num!B5)</f>
        <v>0</v>
      </c>
      <c r="C5" s="132">
        <f>IF(SER_hh_tes!C5=0,0,11630*1000*SER_hh_tes!C5/SER_hh_num!C5)</f>
        <v>0</v>
      </c>
      <c r="D5" s="132">
        <f>IF(SER_hh_tes!D5=0,0,11630*1000*SER_hh_tes!D5/SER_hh_num!D5)</f>
        <v>0</v>
      </c>
      <c r="E5" s="132">
        <f>IF(SER_hh_tes!E5=0,0,11630*1000*SER_hh_tes!E5/SER_hh_num!E5)</f>
        <v>0</v>
      </c>
      <c r="F5" s="132">
        <f>IF(SER_hh_tes!F5=0,0,11630*1000*SER_hh_tes!F5/SER_hh_num!F5)</f>
        <v>0</v>
      </c>
      <c r="G5" s="132">
        <f>IF(SER_hh_tes!G5=0,0,11630*1000*SER_hh_tes!G5/SER_hh_num!G5)</f>
        <v>0</v>
      </c>
      <c r="H5" s="132">
        <f>IF(SER_hh_tes!H5=0,0,11630*1000*SER_hh_tes!H5/SER_hh_num!H5)</f>
        <v>0</v>
      </c>
      <c r="I5" s="132">
        <f>IF(SER_hh_tes!I5=0,0,11630*1000*SER_hh_tes!I5/SER_hh_num!I5)</f>
        <v>0</v>
      </c>
      <c r="J5" s="132">
        <f>IF(SER_hh_tes!J5=0,0,11630*1000*SER_hh_tes!J5/SER_hh_num!J5)</f>
        <v>0</v>
      </c>
      <c r="K5" s="132">
        <f>IF(SER_hh_tes!K5=0,0,11630*1000*SER_hh_tes!K5/SER_hh_num!K5)</f>
        <v>0</v>
      </c>
      <c r="L5" s="132">
        <f>IF(SER_hh_tes!L5=0,0,11630*1000*SER_hh_tes!L5/SER_hh_num!L5)</f>
        <v>0</v>
      </c>
      <c r="M5" s="132">
        <f>IF(SER_hh_tes!M5=0,0,11630*1000*SER_hh_tes!M5/SER_hh_num!M5)</f>
        <v>0</v>
      </c>
      <c r="N5" s="132">
        <f>IF(SER_hh_tes!N5=0,0,11630*1000*SER_hh_tes!N5/SER_hh_num!N5)</f>
        <v>0</v>
      </c>
      <c r="O5" s="132">
        <f>IF(SER_hh_tes!O5=0,0,11630*1000*SER_hh_tes!O5/SER_hh_num!O5)</f>
        <v>0</v>
      </c>
      <c r="P5" s="132">
        <f>IF(SER_hh_tes!P5=0,0,11630*1000*SER_hh_tes!P5/SER_hh_num!P5)</f>
        <v>0</v>
      </c>
      <c r="Q5" s="132">
        <f>IF(SER_hh_tes!Q5=0,0,11630*1000*SER_hh_tes!Q5/SER_hh_num!Q5)</f>
        <v>0</v>
      </c>
      <c r="R5" s="132">
        <f>IF(SER_hh_tes!R5=0,0,11630*1000*SER_hh_tes!R5/SER_hh_num!R5)</f>
        <v>0</v>
      </c>
      <c r="S5" s="132">
        <f>IF(SER_hh_tes!S5=0,0,11630*1000*SER_hh_tes!S5/SER_hh_num!S5)</f>
        <v>0</v>
      </c>
      <c r="T5" s="132">
        <f>IF(SER_hh_tes!T5=0,0,11630*1000*SER_hh_tes!T5/SER_hh_num!T5)</f>
        <v>0</v>
      </c>
      <c r="U5" s="132">
        <f>IF(SER_hh_tes!U5=0,0,11630*1000*SER_hh_tes!U5/SER_hh_num!U5)</f>
        <v>0</v>
      </c>
      <c r="V5" s="132">
        <f>IF(SER_hh_tes!V5=0,0,11630*1000*SER_hh_tes!V5/SER_hh_num!V5)</f>
        <v>0</v>
      </c>
      <c r="W5" s="132">
        <f>IF(SER_hh_tes!W5=0,0,11630*1000*SER_hh_tes!W5/SER_hh_num!W5)</f>
        <v>0</v>
      </c>
      <c r="X5" s="132">
        <f>IF(SER_hh_tes!X5=0,0,11630*1000*SER_hh_tes!X5/SER_hh_num!X5)</f>
        <v>0</v>
      </c>
      <c r="Y5" s="132">
        <f>IF(SER_hh_tes!Y5=0,0,11630*1000*SER_hh_tes!Y5/SER_hh_num!Y5)</f>
        <v>0</v>
      </c>
      <c r="DA5" s="156" t="s">
        <v>417</v>
      </c>
    </row>
    <row r="6" spans="1:105" ht="12" customHeight="1" x14ac:dyDescent="0.25">
      <c r="A6" s="131" t="s">
        <v>52</v>
      </c>
      <c r="B6" s="132">
        <f>IF(SER_hh_tes!B6=0,0,11630*1000*SER_hh_tes!B6/SER_hh_num!B6)</f>
        <v>73172.052976050079</v>
      </c>
      <c r="C6" s="132">
        <f>IF(SER_hh_tes!C6=0,0,11630*1000*SER_hh_tes!C6/SER_hh_num!C6)</f>
        <v>74548.03426311721</v>
      </c>
      <c r="D6" s="132">
        <f>IF(SER_hh_tes!D6=0,0,11630*1000*SER_hh_tes!D6/SER_hh_num!D6)</f>
        <v>71401.109404319403</v>
      </c>
      <c r="E6" s="132">
        <f>IF(SER_hh_tes!E6=0,0,11630*1000*SER_hh_tes!E6/SER_hh_num!E6)</f>
        <v>87200.75746369375</v>
      </c>
      <c r="F6" s="132">
        <f>IF(SER_hh_tes!F6=0,0,11630*1000*SER_hh_tes!F6/SER_hh_num!F6)</f>
        <v>90034.199330709787</v>
      </c>
      <c r="G6" s="132">
        <f>IF(SER_hh_tes!G6=0,0,11630*1000*SER_hh_tes!G6/SER_hh_num!G6)</f>
        <v>105379.44246840803</v>
      </c>
      <c r="H6" s="132">
        <f>IF(SER_hh_tes!H6=0,0,11630*1000*SER_hh_tes!H6/SER_hh_num!H6)</f>
        <v>107436.19668992412</v>
      </c>
      <c r="I6" s="132">
        <f>IF(SER_hh_tes!I6=0,0,11630*1000*SER_hh_tes!I6/SER_hh_num!I6)</f>
        <v>102165.82652959019</v>
      </c>
      <c r="J6" s="132">
        <f>IF(SER_hh_tes!J6=0,0,11630*1000*SER_hh_tes!J6/SER_hh_num!J6)</f>
        <v>121083.1926046696</v>
      </c>
      <c r="K6" s="132">
        <f>IF(SER_hh_tes!K6=0,0,11630*1000*SER_hh_tes!K6/SER_hh_num!K6)</f>
        <v>123621.03040229285</v>
      </c>
      <c r="L6" s="132">
        <f>IF(SER_hh_tes!L6=0,0,11630*1000*SER_hh_tes!L6/SER_hh_num!L6)</f>
        <v>130188.20151084466</v>
      </c>
      <c r="M6" s="132">
        <f>IF(SER_hh_tes!M6=0,0,11630*1000*SER_hh_tes!M6/SER_hh_num!M6)</f>
        <v>119438.07609508719</v>
      </c>
      <c r="N6" s="132">
        <f>IF(SER_hh_tes!N6=0,0,11630*1000*SER_hh_tes!N6/SER_hh_num!N6)</f>
        <v>112586.27390276568</v>
      </c>
      <c r="O6" s="132">
        <f>IF(SER_hh_tes!O6=0,0,11630*1000*SER_hh_tes!O6/SER_hh_num!O6)</f>
        <v>127743.60799469735</v>
      </c>
      <c r="P6" s="132">
        <f>IF(SER_hh_tes!P6=0,0,11630*1000*SER_hh_tes!P6/SER_hh_num!P6)</f>
        <v>119390.36668246292</v>
      </c>
      <c r="Q6" s="132">
        <f>IF(SER_hh_tes!Q6=0,0,11630*1000*SER_hh_tes!Q6/SER_hh_num!Q6)</f>
        <v>125502.68519006143</v>
      </c>
      <c r="R6" s="132">
        <f>IF(SER_hh_tes!R6=0,0,11630*1000*SER_hh_tes!R6/SER_hh_num!R6)</f>
        <v>147402.49646858947</v>
      </c>
      <c r="S6" s="132">
        <f>IF(SER_hh_tes!S6=0,0,11630*1000*SER_hh_tes!S6/SER_hh_num!S6)</f>
        <v>160155.76267414162</v>
      </c>
      <c r="T6" s="132">
        <f>IF(SER_hh_tes!T6=0,0,11630*1000*SER_hh_tes!T6/SER_hh_num!T6)</f>
        <v>156091.81228668519</v>
      </c>
      <c r="U6" s="132">
        <f>IF(SER_hh_tes!U6=0,0,11630*1000*SER_hh_tes!U6/SER_hh_num!U6)</f>
        <v>159243.50211649592</v>
      </c>
      <c r="V6" s="132">
        <f>IF(SER_hh_tes!V6=0,0,11630*1000*SER_hh_tes!V6/SER_hh_num!V6)</f>
        <v>150441.50948935133</v>
      </c>
      <c r="W6" s="132">
        <f>IF(SER_hh_tes!W6=0,0,11630*1000*SER_hh_tes!W6/SER_hh_num!W6)</f>
        <v>181647.41584723204</v>
      </c>
      <c r="X6" s="132">
        <f>IF(SER_hh_tes!X6=0,0,11630*1000*SER_hh_tes!X6/SER_hh_num!X6)</f>
        <v>151132.45590915674</v>
      </c>
      <c r="Y6" s="132">
        <f>IF(SER_hh_tes!Y6=0,0,11630*1000*SER_hh_tes!Y6/SER_hh_num!Y6)</f>
        <v>144819.35265412187</v>
      </c>
      <c r="DA6" s="156" t="s">
        <v>418</v>
      </c>
    </row>
    <row r="7" spans="1:105" ht="12" customHeight="1" x14ac:dyDescent="0.25">
      <c r="A7" s="131" t="s">
        <v>161</v>
      </c>
      <c r="B7" s="132">
        <f>IF(SER_hh_tes!B7=0,0,11630*1000*SER_hh_tes!B7/SER_hh_num!B7)</f>
        <v>86223.609076499721</v>
      </c>
      <c r="C7" s="132">
        <f>IF(SER_hh_tes!C7=0,0,11630*1000*SER_hh_tes!C7/SER_hh_num!C7)</f>
        <v>54333.092084869415</v>
      </c>
      <c r="D7" s="132">
        <f>IF(SER_hh_tes!D7=0,0,11630*1000*SER_hh_tes!D7/SER_hh_num!D7)</f>
        <v>71705.002886943301</v>
      </c>
      <c r="E7" s="132">
        <f>IF(SER_hh_tes!E7=0,0,11630*1000*SER_hh_tes!E7/SER_hh_num!E7)</f>
        <v>90511.059392005001</v>
      </c>
      <c r="F7" s="132">
        <f>IF(SER_hh_tes!F7=0,0,11630*1000*SER_hh_tes!F7/SER_hh_num!F7)</f>
        <v>95866.360872037796</v>
      </c>
      <c r="G7" s="132">
        <f>IF(SER_hh_tes!G7=0,0,11630*1000*SER_hh_tes!G7/SER_hh_num!G7)</f>
        <v>102548.51868408282</v>
      </c>
      <c r="H7" s="132">
        <f>IF(SER_hh_tes!H7=0,0,11630*1000*SER_hh_tes!H7/SER_hh_num!H7)</f>
        <v>110097.93672649332</v>
      </c>
      <c r="I7" s="132">
        <f>IF(SER_hh_tes!I7=0,0,11630*1000*SER_hh_tes!I7/SER_hh_num!I7)</f>
        <v>108461.12417633977</v>
      </c>
      <c r="J7" s="132">
        <f>IF(SER_hh_tes!J7=0,0,11630*1000*SER_hh_tes!J7/SER_hh_num!J7)</f>
        <v>137572.54842966696</v>
      </c>
      <c r="K7" s="132">
        <f>IF(SER_hh_tes!K7=0,0,11630*1000*SER_hh_tes!K7/SER_hh_num!K7)</f>
        <v>99277.708875488315</v>
      </c>
      <c r="L7" s="132">
        <f>IF(SER_hh_tes!L7=0,0,11630*1000*SER_hh_tes!L7/SER_hh_num!L7)</f>
        <v>120447.31546578127</v>
      </c>
      <c r="M7" s="132">
        <f>IF(SER_hh_tes!M7=0,0,11630*1000*SER_hh_tes!M7/SER_hh_num!M7)</f>
        <v>120233.50371636587</v>
      </c>
      <c r="N7" s="132">
        <f>IF(SER_hh_tes!N7=0,0,11630*1000*SER_hh_tes!N7/SER_hh_num!N7)</f>
        <v>122635.98153593644</v>
      </c>
      <c r="O7" s="132">
        <f>IF(SER_hh_tes!O7=0,0,11630*1000*SER_hh_tes!O7/SER_hh_num!O7)</f>
        <v>113728.75726171141</v>
      </c>
      <c r="P7" s="132">
        <f>IF(SER_hh_tes!P7=0,0,11630*1000*SER_hh_tes!P7/SER_hh_num!P7)</f>
        <v>119628.79869694648</v>
      </c>
      <c r="Q7" s="132">
        <f>IF(SER_hh_tes!Q7=0,0,11630*1000*SER_hh_tes!Q7/SER_hh_num!Q7)</f>
        <v>147140.02437469529</v>
      </c>
      <c r="R7" s="132">
        <f>IF(SER_hh_tes!R7=0,0,11630*1000*SER_hh_tes!R7/SER_hh_num!R7)</f>
        <v>162456.12508538656</v>
      </c>
      <c r="S7" s="132">
        <f>IF(SER_hh_tes!S7=0,0,11630*1000*SER_hh_tes!S7/SER_hh_num!S7)</f>
        <v>133131.00122019957</v>
      </c>
      <c r="T7" s="132">
        <f>IF(SER_hh_tes!T7=0,0,11630*1000*SER_hh_tes!T7/SER_hh_num!T7)</f>
        <v>177931.69698370679</v>
      </c>
      <c r="U7" s="132">
        <f>IF(SER_hh_tes!U7=0,0,11630*1000*SER_hh_tes!U7/SER_hh_num!U7)</f>
        <v>144089.38206325768</v>
      </c>
      <c r="V7" s="132">
        <f>IF(SER_hh_tes!V7=0,0,11630*1000*SER_hh_tes!V7/SER_hh_num!V7)</f>
        <v>104773.6123305752</v>
      </c>
      <c r="W7" s="132">
        <f>IF(SER_hh_tes!W7=0,0,11630*1000*SER_hh_tes!W7/SER_hh_num!W7)</f>
        <v>145914.91920951416</v>
      </c>
      <c r="X7" s="132">
        <f>IF(SER_hh_tes!X7=0,0,11630*1000*SER_hh_tes!X7/SER_hh_num!X7)</f>
        <v>152810.99930711175</v>
      </c>
      <c r="Y7" s="132">
        <f>IF(SER_hh_tes!Y7=0,0,11630*1000*SER_hh_tes!Y7/SER_hh_num!Y7)</f>
        <v>143828.51789784883</v>
      </c>
      <c r="DA7" s="156" t="s">
        <v>419</v>
      </c>
    </row>
    <row r="8" spans="1:105" ht="12" customHeight="1" x14ac:dyDescent="0.25">
      <c r="A8" s="131" t="s">
        <v>73</v>
      </c>
      <c r="B8" s="132">
        <f>IF(SER_hh_tes!B8=0,0,11630*1000*SER_hh_tes!B8/SER_hh_num!B8)</f>
        <v>63304.283760250575</v>
      </c>
      <c r="C8" s="132">
        <f>IF(SER_hh_tes!C8=0,0,11630*1000*SER_hh_tes!C8/SER_hh_num!C8)</f>
        <v>75285.198490038863</v>
      </c>
      <c r="D8" s="132">
        <f>IF(SER_hh_tes!D8=0,0,11630*1000*SER_hh_tes!D8/SER_hh_num!D8)</f>
        <v>74475.66191467052</v>
      </c>
      <c r="E8" s="132">
        <f>IF(SER_hh_tes!E8=0,0,11630*1000*SER_hh_tes!E8/SER_hh_num!E8)</f>
        <v>88425.417400613223</v>
      </c>
      <c r="F8" s="132">
        <f>IF(SER_hh_tes!F8=0,0,11630*1000*SER_hh_tes!F8/SER_hh_num!F8)</f>
        <v>93128.056807465968</v>
      </c>
      <c r="G8" s="132">
        <f>IF(SER_hh_tes!G8=0,0,11630*1000*SER_hh_tes!G8/SER_hh_num!G8)</f>
        <v>101505.01432294423</v>
      </c>
      <c r="H8" s="132">
        <f>IF(SER_hh_tes!H8=0,0,11630*1000*SER_hh_tes!H8/SER_hh_num!H8)</f>
        <v>107579.81293069558</v>
      </c>
      <c r="I8" s="132">
        <f>IF(SER_hh_tes!I8=0,0,11630*1000*SER_hh_tes!I8/SER_hh_num!I8)</f>
        <v>111140.48786417791</v>
      </c>
      <c r="J8" s="132">
        <f>IF(SER_hh_tes!J8=0,0,11630*1000*SER_hh_tes!J8/SER_hh_num!J8)</f>
        <v>117463.67028907109</v>
      </c>
      <c r="K8" s="132">
        <f>IF(SER_hh_tes!K8=0,0,11630*1000*SER_hh_tes!K8/SER_hh_num!K8)</f>
        <v>117930.28789639818</v>
      </c>
      <c r="L8" s="132">
        <f>IF(SER_hh_tes!L8=0,0,11630*1000*SER_hh_tes!L8/SER_hh_num!L8)</f>
        <v>114344.44558895787</v>
      </c>
      <c r="M8" s="132">
        <f>IF(SER_hh_tes!M8=0,0,11630*1000*SER_hh_tes!M8/SER_hh_num!M8)</f>
        <v>111532.83206991616</v>
      </c>
      <c r="N8" s="132">
        <f>IF(SER_hh_tes!N8=0,0,11630*1000*SER_hh_tes!N8/SER_hh_num!N8)</f>
        <v>111108.19632318908</v>
      </c>
      <c r="O8" s="132">
        <f>IF(SER_hh_tes!O8=0,0,11630*1000*SER_hh_tes!O8/SER_hh_num!O8)</f>
        <v>117684.16503414213</v>
      </c>
      <c r="P8" s="132">
        <f>IF(SER_hh_tes!P8=0,0,11630*1000*SER_hh_tes!P8/SER_hh_num!P8)</f>
        <v>128371.32529824587</v>
      </c>
      <c r="Q8" s="132">
        <f>IF(SER_hh_tes!Q8=0,0,11630*1000*SER_hh_tes!Q8/SER_hh_num!Q8)</f>
        <v>155936.74506897139</v>
      </c>
      <c r="R8" s="132">
        <f>IF(SER_hh_tes!R8=0,0,11630*1000*SER_hh_tes!R8/SER_hh_num!R8)</f>
        <v>152196.37544710728</v>
      </c>
      <c r="S8" s="132">
        <f>IF(SER_hh_tes!S8=0,0,11630*1000*SER_hh_tes!S8/SER_hh_num!S8)</f>
        <v>156025.13436797998</v>
      </c>
      <c r="T8" s="132">
        <f>IF(SER_hh_tes!T8=0,0,11630*1000*SER_hh_tes!T8/SER_hh_num!T8)</f>
        <v>158960.31461763589</v>
      </c>
      <c r="U8" s="132">
        <f>IF(SER_hh_tes!U8=0,0,11630*1000*SER_hh_tes!U8/SER_hh_num!U8)</f>
        <v>153428.33102929121</v>
      </c>
      <c r="V8" s="132">
        <f>IF(SER_hh_tes!V8=0,0,11630*1000*SER_hh_tes!V8/SER_hh_num!V8)</f>
        <v>151725.08316087115</v>
      </c>
      <c r="W8" s="132">
        <f>IF(SER_hh_tes!W8=0,0,11630*1000*SER_hh_tes!W8/SER_hh_num!W8)</f>
        <v>156949.45302475151</v>
      </c>
      <c r="X8" s="132">
        <f>IF(SER_hh_tes!X8=0,0,11630*1000*SER_hh_tes!X8/SER_hh_num!X8)</f>
        <v>148034.56121667617</v>
      </c>
      <c r="Y8" s="132">
        <f>IF(SER_hh_tes!Y8=0,0,11630*1000*SER_hh_tes!Y8/SER_hh_num!Y8)</f>
        <v>146052.32284356418</v>
      </c>
      <c r="DA8" s="156" t="s">
        <v>420</v>
      </c>
    </row>
    <row r="9" spans="1:105" ht="12" customHeight="1" x14ac:dyDescent="0.25">
      <c r="A9" s="131" t="s">
        <v>78</v>
      </c>
      <c r="B9" s="132">
        <f>IF(SER_hh_tes!B9=0,0,11630*1000*SER_hh_tes!B9/SER_hh_num!B9)</f>
        <v>72578.88658648089</v>
      </c>
      <c r="C9" s="132">
        <f>IF(SER_hh_tes!C9=0,0,11630*1000*SER_hh_tes!C9/SER_hh_num!C9)</f>
        <v>76945.915005925068</v>
      </c>
      <c r="D9" s="132">
        <f>IF(SER_hh_tes!D9=0,0,11630*1000*SER_hh_tes!D9/SER_hh_num!D9)</f>
        <v>70201.546278465074</v>
      </c>
      <c r="E9" s="132">
        <f>IF(SER_hh_tes!E9=0,0,11630*1000*SER_hh_tes!E9/SER_hh_num!E9)</f>
        <v>85666.247930896905</v>
      </c>
      <c r="F9" s="132">
        <f>IF(SER_hh_tes!F9=0,0,11630*1000*SER_hh_tes!F9/SER_hh_num!F9)</f>
        <v>87171.98378955813</v>
      </c>
      <c r="G9" s="132">
        <f>IF(SER_hh_tes!G9=0,0,11630*1000*SER_hh_tes!G9/SER_hh_num!G9)</f>
        <v>108293.98659721966</v>
      </c>
      <c r="H9" s="132">
        <f>IF(SER_hh_tes!H9=0,0,11630*1000*SER_hh_tes!H9/SER_hh_num!H9)</f>
        <v>110208.8967394108</v>
      </c>
      <c r="I9" s="132">
        <f>IF(SER_hh_tes!I9=0,0,11630*1000*SER_hh_tes!I9/SER_hh_num!I9)</f>
        <v>98174.571209712463</v>
      </c>
      <c r="J9" s="132">
        <f>IF(SER_hh_tes!J9=0,0,11630*1000*SER_hh_tes!J9/SER_hh_num!J9)</f>
        <v>124945.60570760503</v>
      </c>
      <c r="K9" s="132">
        <f>IF(SER_hh_tes!K9=0,0,11630*1000*SER_hh_tes!K9/SER_hh_num!K9)</f>
        <v>126032.26605626734</v>
      </c>
      <c r="L9" s="132">
        <f>IF(SER_hh_tes!L9=0,0,11630*1000*SER_hh_tes!L9/SER_hh_num!L9)</f>
        <v>129867.44071019965</v>
      </c>
      <c r="M9" s="132">
        <f>IF(SER_hh_tes!M9=0,0,11630*1000*SER_hh_tes!M9/SER_hh_num!M9)</f>
        <v>110939.87637860941</v>
      </c>
      <c r="N9" s="132">
        <f>IF(SER_hh_tes!N9=0,0,11630*1000*SER_hh_tes!N9/SER_hh_num!N9)</f>
        <v>120236.21981086291</v>
      </c>
      <c r="O9" s="132">
        <f>IF(SER_hh_tes!O9=0,0,11630*1000*SER_hh_tes!O9/SER_hh_num!O9)</f>
        <v>132938.45857523679</v>
      </c>
      <c r="P9" s="132">
        <f>IF(SER_hh_tes!P9=0,0,11630*1000*SER_hh_tes!P9/SER_hh_num!P9)</f>
        <v>110854.22414148513</v>
      </c>
      <c r="Q9" s="132">
        <f>IF(SER_hh_tes!Q9=0,0,11630*1000*SER_hh_tes!Q9/SER_hh_num!Q9)</f>
        <v>136049.05888965455</v>
      </c>
      <c r="R9" s="132">
        <f>IF(SER_hh_tes!R9=0,0,11630*1000*SER_hh_tes!R9/SER_hh_num!R9)</f>
        <v>144367.29377601977</v>
      </c>
      <c r="S9" s="132">
        <f>IF(SER_hh_tes!S9=0,0,11630*1000*SER_hh_tes!S9/SER_hh_num!S9)</f>
        <v>146282.94195773112</v>
      </c>
      <c r="T9" s="132">
        <f>IF(SER_hh_tes!T9=0,0,11630*1000*SER_hh_tes!T9/SER_hh_num!T9)</f>
        <v>169634.47528316447</v>
      </c>
      <c r="U9" s="132">
        <f>IF(SER_hh_tes!U9=0,0,11630*1000*SER_hh_tes!U9/SER_hh_num!U9)</f>
        <v>167288.3370599481</v>
      </c>
      <c r="V9" s="132">
        <f>IF(SER_hh_tes!V9=0,0,11630*1000*SER_hh_tes!V9/SER_hh_num!V9)</f>
        <v>167286.4085738743</v>
      </c>
      <c r="W9" s="132">
        <f>IF(SER_hh_tes!W9=0,0,11630*1000*SER_hh_tes!W9/SER_hh_num!W9)</f>
        <v>158133.9178234337</v>
      </c>
      <c r="X9" s="132">
        <f>IF(SER_hh_tes!X9=0,0,11630*1000*SER_hh_tes!X9/SER_hh_num!X9)</f>
        <v>133378.21394031739</v>
      </c>
      <c r="Y9" s="132">
        <f>IF(SER_hh_tes!Y9=0,0,11630*1000*SER_hh_tes!Y9/SER_hh_num!Y9)</f>
        <v>153366.61561220704</v>
      </c>
      <c r="DA9" s="156" t="s">
        <v>421</v>
      </c>
    </row>
    <row r="10" spans="1:105" ht="12" customHeight="1" x14ac:dyDescent="0.25">
      <c r="A10" s="131" t="s">
        <v>128</v>
      </c>
      <c r="B10" s="132">
        <f>IF(SER_hh_tes!B10=0,0,11630*1000*SER_hh_tes!B10/SER_hh_num!B10)</f>
        <v>72462.800577428308</v>
      </c>
      <c r="C10" s="132">
        <f>IF(SER_hh_tes!C10=0,0,11630*1000*SER_hh_tes!C10/SER_hh_num!C10)</f>
        <v>76804.02173668734</v>
      </c>
      <c r="D10" s="132">
        <f>IF(SER_hh_tes!D10=0,0,11630*1000*SER_hh_tes!D10/SER_hh_num!D10)</f>
        <v>75238.487188279949</v>
      </c>
      <c r="E10" s="132">
        <f>IF(SER_hh_tes!E10=0,0,11630*1000*SER_hh_tes!E10/SER_hh_num!E10)</f>
        <v>82619.967874201859</v>
      </c>
      <c r="F10" s="132">
        <f>IF(SER_hh_tes!F10=0,0,11630*1000*SER_hh_tes!F10/SER_hh_num!F10)</f>
        <v>89377.631041299319</v>
      </c>
      <c r="G10" s="132">
        <f>IF(SER_hh_tes!G10=0,0,11630*1000*SER_hh_tes!G10/SER_hh_num!G10)</f>
        <v>95979.405914695861</v>
      </c>
      <c r="H10" s="132">
        <f>IF(SER_hh_tes!H10=0,0,11630*1000*SER_hh_tes!H10/SER_hh_num!H10)</f>
        <v>123347.27220437903</v>
      </c>
      <c r="I10" s="132">
        <f>IF(SER_hh_tes!I10=0,0,11630*1000*SER_hh_tes!I10/SER_hh_num!I10)</f>
        <v>100870.9287899341</v>
      </c>
      <c r="J10" s="132">
        <f>IF(SER_hh_tes!J10=0,0,11630*1000*SER_hh_tes!J10/SER_hh_num!J10)</f>
        <v>93801.676389635089</v>
      </c>
      <c r="K10" s="132">
        <f>IF(SER_hh_tes!K10=0,0,11630*1000*SER_hh_tes!K10/SER_hh_num!K10)</f>
        <v>112697.60356339048</v>
      </c>
      <c r="L10" s="132">
        <f>IF(SER_hh_tes!L10=0,0,11630*1000*SER_hh_tes!L10/SER_hh_num!L10)</f>
        <v>139832.93722937568</v>
      </c>
      <c r="M10" s="132">
        <f>IF(SER_hh_tes!M10=0,0,11630*1000*SER_hh_tes!M10/SER_hh_num!M10)</f>
        <v>118031.02386383561</v>
      </c>
      <c r="N10" s="132">
        <f>IF(SER_hh_tes!N10=0,0,11630*1000*SER_hh_tes!N10/SER_hh_num!N10)</f>
        <v>92221.766158832586</v>
      </c>
      <c r="O10" s="132">
        <f>IF(SER_hh_tes!O10=0,0,11630*1000*SER_hh_tes!O10/SER_hh_num!O10)</f>
        <v>117594.62924510711</v>
      </c>
      <c r="P10" s="132">
        <f>IF(SER_hh_tes!P10=0,0,11630*1000*SER_hh_tes!P10/SER_hh_num!P10)</f>
        <v>153444.52305510145</v>
      </c>
      <c r="Q10" s="132">
        <f>IF(SER_hh_tes!Q10=0,0,11630*1000*SER_hh_tes!Q10/SER_hh_num!Q10)</f>
        <v>127723.81762957548</v>
      </c>
      <c r="R10" s="132">
        <f>IF(SER_hh_tes!R10=0,0,11630*1000*SER_hh_tes!R10/SER_hh_num!R10)</f>
        <v>155517.4583410621</v>
      </c>
      <c r="S10" s="132">
        <f>IF(SER_hh_tes!S10=0,0,11630*1000*SER_hh_tes!S10/SER_hh_num!S10)</f>
        <v>161167.45324546145</v>
      </c>
      <c r="T10" s="132">
        <f>IF(SER_hh_tes!T10=0,0,11630*1000*SER_hh_tes!T10/SER_hh_num!T10)</f>
        <v>155684.24581709865</v>
      </c>
      <c r="U10" s="132">
        <f>IF(SER_hh_tes!U10=0,0,11630*1000*SER_hh_tes!U10/SER_hh_num!U10)</f>
        <v>156447.0444288096</v>
      </c>
      <c r="V10" s="132">
        <f>IF(SER_hh_tes!V10=0,0,11630*1000*SER_hh_tes!V10/SER_hh_num!V10)</f>
        <v>140091.87421247148</v>
      </c>
      <c r="W10" s="132">
        <f>IF(SER_hh_tes!W10=0,0,11630*1000*SER_hh_tes!W10/SER_hh_num!W10)</f>
        <v>154086.18255414965</v>
      </c>
      <c r="X10" s="132">
        <f>IF(SER_hh_tes!X10=0,0,11630*1000*SER_hh_tes!X10/SER_hh_num!X10)</f>
        <v>158424.55807019304</v>
      </c>
      <c r="Y10" s="132">
        <f>IF(SER_hh_tes!Y10=0,0,11630*1000*SER_hh_tes!Y10/SER_hh_num!Y10)</f>
        <v>141388.68126591662</v>
      </c>
      <c r="DA10" s="156" t="s">
        <v>422</v>
      </c>
    </row>
    <row r="11" spans="1:105" ht="12" customHeight="1" x14ac:dyDescent="0.25">
      <c r="A11" s="131" t="s">
        <v>25</v>
      </c>
      <c r="B11" s="132">
        <f>IF(SER_hh_tes!B11=0,0,11630*1000*SER_hh_tes!B11/SER_hh_num!B11)</f>
        <v>73483.62318917524</v>
      </c>
      <c r="C11" s="132">
        <f>IF(SER_hh_tes!C11=0,0,11630*1000*SER_hh_tes!C11/SER_hh_num!C11)</f>
        <v>75075.826532677689</v>
      </c>
      <c r="D11" s="132">
        <f>IF(SER_hh_tes!D11=0,0,11630*1000*SER_hh_tes!D11/SER_hh_num!D11)</f>
        <v>78129.045040169498</v>
      </c>
      <c r="E11" s="132">
        <f>IF(SER_hh_tes!E11=0,0,11630*1000*SER_hh_tes!E11/SER_hh_num!E11)</f>
        <v>84675.041454191669</v>
      </c>
      <c r="F11" s="132">
        <f>IF(SER_hh_tes!F11=0,0,11630*1000*SER_hh_tes!F11/SER_hh_num!F11)</f>
        <v>91076.655452051389</v>
      </c>
      <c r="G11" s="132">
        <f>IF(SER_hh_tes!G11=0,0,11630*1000*SER_hh_tes!G11/SER_hh_num!G11)</f>
        <v>100924.70920837676</v>
      </c>
      <c r="H11" s="132">
        <f>IF(SER_hh_tes!H11=0,0,11630*1000*SER_hh_tes!H11/SER_hh_num!H11)</f>
        <v>107617.4770878213</v>
      </c>
      <c r="I11" s="132">
        <f>IF(SER_hh_tes!I11=0,0,11630*1000*SER_hh_tes!I11/SER_hh_num!I11)</f>
        <v>111696.83864341193</v>
      </c>
      <c r="J11" s="132">
        <f>IF(SER_hh_tes!J11=0,0,11630*1000*SER_hh_tes!J11/SER_hh_num!J11)</f>
        <v>123640.24908024442</v>
      </c>
      <c r="K11" s="132">
        <f>IF(SER_hh_tes!K11=0,0,11630*1000*SER_hh_tes!K11/SER_hh_num!K11)</f>
        <v>139306.78208474701</v>
      </c>
      <c r="L11" s="132">
        <f>IF(SER_hh_tes!L11=0,0,11630*1000*SER_hh_tes!L11/SER_hh_num!L11)</f>
        <v>100863.65938464231</v>
      </c>
      <c r="M11" s="132">
        <f>IF(SER_hh_tes!M11=0,0,11630*1000*SER_hh_tes!M11/SER_hh_num!M11)</f>
        <v>112168.95057708508</v>
      </c>
      <c r="N11" s="132">
        <f>IF(SER_hh_tes!N11=0,0,11630*1000*SER_hh_tes!N11/SER_hh_num!N11)</f>
        <v>122396.7738044112</v>
      </c>
      <c r="O11" s="132">
        <f>IF(SER_hh_tes!O11=0,0,11630*1000*SER_hh_tes!O11/SER_hh_num!O11)</f>
        <v>126270.58336056155</v>
      </c>
      <c r="P11" s="132">
        <f>IF(SER_hh_tes!P11=0,0,11630*1000*SER_hh_tes!P11/SER_hh_num!P11)</f>
        <v>125502.84869983159</v>
      </c>
      <c r="Q11" s="132">
        <f>IF(SER_hh_tes!Q11=0,0,11630*1000*SER_hh_tes!Q11/SER_hh_num!Q11)</f>
        <v>139323.68468152665</v>
      </c>
      <c r="R11" s="132">
        <f>IF(SER_hh_tes!R11=0,0,11630*1000*SER_hh_tes!R11/SER_hh_num!R11)</f>
        <v>147044.97926628272</v>
      </c>
      <c r="S11" s="132">
        <f>IF(SER_hh_tes!S11=0,0,11630*1000*SER_hh_tes!S11/SER_hh_num!S11)</f>
        <v>160829.19513639202</v>
      </c>
      <c r="T11" s="132">
        <f>IF(SER_hh_tes!T11=0,0,11630*1000*SER_hh_tes!T11/SER_hh_num!T11)</f>
        <v>164016.82778661436</v>
      </c>
      <c r="U11" s="132">
        <f>IF(SER_hh_tes!U11=0,0,11630*1000*SER_hh_tes!U11/SER_hh_num!U11)</f>
        <v>163657.8254049723</v>
      </c>
      <c r="V11" s="132">
        <f>IF(SER_hh_tes!V11=0,0,11630*1000*SER_hh_tes!V11/SER_hh_num!V11)</f>
        <v>152263.88098334667</v>
      </c>
      <c r="W11" s="132">
        <f>IF(SER_hh_tes!W11=0,0,11630*1000*SER_hh_tes!W11/SER_hh_num!W11)</f>
        <v>147387.0069963664</v>
      </c>
      <c r="X11" s="132">
        <f>IF(SER_hh_tes!X11=0,0,11630*1000*SER_hh_tes!X11/SER_hh_num!X11)</f>
        <v>143907.62832681378</v>
      </c>
      <c r="Y11" s="132">
        <f>IF(SER_hh_tes!Y11=0,0,11630*1000*SER_hh_tes!Y11/SER_hh_num!Y11)</f>
        <v>144210.35965053563</v>
      </c>
      <c r="DA11" s="156" t="s">
        <v>423</v>
      </c>
    </row>
    <row r="12" spans="1:105" ht="12" customHeight="1" x14ac:dyDescent="0.25">
      <c r="A12" s="131" t="s">
        <v>162</v>
      </c>
      <c r="B12" s="132">
        <f>IF(SER_hh_tes!B12=0,0,11630*1000*SER_hh_tes!B12/SER_hh_num!B12)</f>
        <v>0</v>
      </c>
      <c r="C12" s="132">
        <f>IF(SER_hh_tes!C12=0,0,11630*1000*SER_hh_tes!C12/SER_hh_num!C12)</f>
        <v>0</v>
      </c>
      <c r="D12" s="132">
        <f>IF(SER_hh_tes!D12=0,0,11630*1000*SER_hh_tes!D12/SER_hh_num!D12)</f>
        <v>0</v>
      </c>
      <c r="E12" s="132">
        <f>IF(SER_hh_tes!E12=0,0,11630*1000*SER_hh_tes!E12/SER_hh_num!E12)</f>
        <v>0</v>
      </c>
      <c r="F12" s="132">
        <f>IF(SER_hh_tes!F12=0,0,11630*1000*SER_hh_tes!F12/SER_hh_num!F12)</f>
        <v>130238.75042615198</v>
      </c>
      <c r="G12" s="132">
        <f>IF(SER_hh_tes!G12=0,0,11630*1000*SER_hh_tes!G12/SER_hh_num!G12)</f>
        <v>100019.67987913046</v>
      </c>
      <c r="H12" s="132">
        <f>IF(SER_hh_tes!H12=0,0,11630*1000*SER_hh_tes!H12/SER_hh_num!H12)</f>
        <v>118505.88517119586</v>
      </c>
      <c r="I12" s="132">
        <f>IF(SER_hh_tes!I12=0,0,11630*1000*SER_hh_tes!I12/SER_hh_num!I12)</f>
        <v>118296.84869780712</v>
      </c>
      <c r="J12" s="132">
        <f>IF(SER_hh_tes!J12=0,0,11630*1000*SER_hh_tes!J12/SER_hh_num!J12)</f>
        <v>125347.57539958917</v>
      </c>
      <c r="K12" s="132">
        <f>IF(SER_hh_tes!K12=0,0,11630*1000*SER_hh_tes!K12/SER_hh_num!K12)</f>
        <v>108986.2329458614</v>
      </c>
      <c r="L12" s="132">
        <f>IF(SER_hh_tes!L12=0,0,11630*1000*SER_hh_tes!L12/SER_hh_num!L12)</f>
        <v>82859.662672605322</v>
      </c>
      <c r="M12" s="132">
        <f>IF(SER_hh_tes!M12=0,0,11630*1000*SER_hh_tes!M12/SER_hh_num!M12)</f>
        <v>151859.28577093856</v>
      </c>
      <c r="N12" s="132">
        <f>IF(SER_hh_tes!N12=0,0,11630*1000*SER_hh_tes!N12/SER_hh_num!N12)</f>
        <v>100889.45699675262</v>
      </c>
      <c r="O12" s="132">
        <f>IF(SER_hh_tes!O12=0,0,11630*1000*SER_hh_tes!O12/SER_hh_num!O12)</f>
        <v>116301.18302398252</v>
      </c>
      <c r="P12" s="132">
        <f>IF(SER_hh_tes!P12=0,0,11630*1000*SER_hh_tes!P12/SER_hh_num!P12)</f>
        <v>162908.8347703857</v>
      </c>
      <c r="Q12" s="132">
        <f>IF(SER_hh_tes!Q12=0,0,11630*1000*SER_hh_tes!Q12/SER_hh_num!Q12)</f>
        <v>129530.32492001694</v>
      </c>
      <c r="R12" s="132">
        <f>IF(SER_hh_tes!R12=0,0,11630*1000*SER_hh_tes!R12/SER_hh_num!R12)</f>
        <v>133327.91954083051</v>
      </c>
      <c r="S12" s="132">
        <f>IF(SER_hh_tes!S12=0,0,11630*1000*SER_hh_tes!S12/SER_hh_num!S12)</f>
        <v>163852.55118553952</v>
      </c>
      <c r="T12" s="132">
        <f>IF(SER_hh_tes!T12=0,0,11630*1000*SER_hh_tes!T12/SER_hh_num!T12)</f>
        <v>198000.8775222048</v>
      </c>
      <c r="U12" s="132">
        <f>IF(SER_hh_tes!U12=0,0,11630*1000*SER_hh_tes!U12/SER_hh_num!U12)</f>
        <v>153101.17068503529</v>
      </c>
      <c r="V12" s="132">
        <f>IF(SER_hh_tes!V12=0,0,11630*1000*SER_hh_tes!V12/SER_hh_num!V12)</f>
        <v>159118.36096349574</v>
      </c>
      <c r="W12" s="132">
        <f>IF(SER_hh_tes!W12=0,0,11630*1000*SER_hh_tes!W12/SER_hh_num!W12)</f>
        <v>138781.95536299123</v>
      </c>
      <c r="X12" s="132">
        <f>IF(SER_hh_tes!X12=0,0,11630*1000*SER_hh_tes!X12/SER_hh_num!X12)</f>
        <v>141572.0841619315</v>
      </c>
      <c r="Y12" s="132">
        <f>IF(SER_hh_tes!Y12=0,0,11630*1000*SER_hh_tes!Y12/SER_hh_num!Y12)</f>
        <v>148686.50022779789</v>
      </c>
      <c r="DA12" s="156" t="s">
        <v>424</v>
      </c>
    </row>
    <row r="13" spans="1:105" ht="12" customHeight="1" x14ac:dyDescent="0.25">
      <c r="A13" s="131" t="s">
        <v>77</v>
      </c>
      <c r="B13" s="132">
        <f>IF(SER_hh_tes!B13=0,0,11630*1000*SER_hh_tes!B13/SER_hh_num!B13)</f>
        <v>60903.031667498464</v>
      </c>
      <c r="C13" s="132">
        <f>IF(SER_hh_tes!C13=0,0,11630*1000*SER_hh_tes!C13/SER_hh_num!C13)</f>
        <v>56186.019862913614</v>
      </c>
      <c r="D13" s="132">
        <f>IF(SER_hh_tes!D13=0,0,11630*1000*SER_hh_tes!D13/SER_hh_num!D13)</f>
        <v>84572.583761055983</v>
      </c>
      <c r="E13" s="132">
        <f>IF(SER_hh_tes!E13=0,0,11630*1000*SER_hh_tes!E13/SER_hh_num!E13)</f>
        <v>61906.534249453747</v>
      </c>
      <c r="F13" s="132">
        <f>IF(SER_hh_tes!F13=0,0,11630*1000*SER_hh_tes!F13/SER_hh_num!F13)</f>
        <v>83465.484895048896</v>
      </c>
      <c r="G13" s="132">
        <f>IF(SER_hh_tes!G13=0,0,11630*1000*SER_hh_tes!G13/SER_hh_num!G13)</f>
        <v>111335.21178837969</v>
      </c>
      <c r="H13" s="132">
        <f>IF(SER_hh_tes!H13=0,0,11630*1000*SER_hh_tes!H13/SER_hh_num!H13)</f>
        <v>115988.35654862056</v>
      </c>
      <c r="I13" s="132">
        <f>IF(SER_hh_tes!I13=0,0,11630*1000*SER_hh_tes!I13/SER_hh_num!I13)</f>
        <v>111744.93536157401</v>
      </c>
      <c r="J13" s="132">
        <f>IF(SER_hh_tes!J13=0,0,11630*1000*SER_hh_tes!J13/SER_hh_num!J13)</f>
        <v>113221.76548333555</v>
      </c>
      <c r="K13" s="132">
        <f>IF(SER_hh_tes!K13=0,0,11630*1000*SER_hh_tes!K13/SER_hh_num!K13)</f>
        <v>120220.49542299399</v>
      </c>
      <c r="L13" s="132">
        <f>IF(SER_hh_tes!L13=0,0,11630*1000*SER_hh_tes!L13/SER_hh_num!L13)</f>
        <v>103675.20721928266</v>
      </c>
      <c r="M13" s="132">
        <f>IF(SER_hh_tes!M13=0,0,11630*1000*SER_hh_tes!M13/SER_hh_num!M13)</f>
        <v>108942.56553865786</v>
      </c>
      <c r="N13" s="132">
        <f>IF(SER_hh_tes!N13=0,0,11630*1000*SER_hh_tes!N13/SER_hh_num!N13)</f>
        <v>119492.97583579272</v>
      </c>
      <c r="O13" s="132">
        <f>IF(SER_hh_tes!O13=0,0,11630*1000*SER_hh_tes!O13/SER_hh_num!O13)</f>
        <v>103757.60459421939</v>
      </c>
      <c r="P13" s="132">
        <f>IF(SER_hh_tes!P13=0,0,11630*1000*SER_hh_tes!P13/SER_hh_num!P13)</f>
        <v>117308.26338727653</v>
      </c>
      <c r="Q13" s="132">
        <f>IF(SER_hh_tes!Q13=0,0,11630*1000*SER_hh_tes!Q13/SER_hh_num!Q13)</f>
        <v>165081.39531549308</v>
      </c>
      <c r="R13" s="132">
        <f>IF(SER_hh_tes!R13=0,0,11630*1000*SER_hh_tes!R13/SER_hh_num!R13)</f>
        <v>156314.50410156089</v>
      </c>
      <c r="S13" s="132">
        <f>IF(SER_hh_tes!S13=0,0,11630*1000*SER_hh_tes!S13/SER_hh_num!S13)</f>
        <v>169979.56019668098</v>
      </c>
      <c r="T13" s="132">
        <f>IF(SER_hh_tes!T13=0,0,11630*1000*SER_hh_tes!T13/SER_hh_num!T13)</f>
        <v>165980.90355161586</v>
      </c>
      <c r="U13" s="132">
        <f>IF(SER_hh_tes!U13=0,0,11630*1000*SER_hh_tes!U13/SER_hh_num!U13)</f>
        <v>158801.16508827175</v>
      </c>
      <c r="V13" s="132">
        <f>IF(SER_hh_tes!V13=0,0,11630*1000*SER_hh_tes!V13/SER_hh_num!V13)</f>
        <v>155472.59498239128</v>
      </c>
      <c r="W13" s="132">
        <f>IF(SER_hh_tes!W13=0,0,11630*1000*SER_hh_tes!W13/SER_hh_num!W13)</f>
        <v>125829.25386719622</v>
      </c>
      <c r="X13" s="132">
        <f>IF(SER_hh_tes!X13=0,0,11630*1000*SER_hh_tes!X13/SER_hh_num!X13)</f>
        <v>131441.4108906124</v>
      </c>
      <c r="Y13" s="132">
        <f>IF(SER_hh_tes!Y13=0,0,11630*1000*SER_hh_tes!Y13/SER_hh_num!Y13)</f>
        <v>147591.43715245891</v>
      </c>
      <c r="DA13" s="156" t="s">
        <v>425</v>
      </c>
    </row>
    <row r="14" spans="1:105" ht="12" customHeight="1" x14ac:dyDescent="0.25">
      <c r="A14" s="60" t="s">
        <v>76</v>
      </c>
      <c r="B14" s="65">
        <f>IF(SER_hh_tes!B14=0,0,11630*1000*SER_hh_tes!B14/SER_hh_num!B14)</f>
        <v>71492.797804541755</v>
      </c>
      <c r="C14" s="65">
        <f>IF(SER_hh_tes!C14=0,0,11630*1000*SER_hh_tes!C14/SER_hh_num!C14)</f>
        <v>74339.929111304562</v>
      </c>
      <c r="D14" s="65">
        <f>IF(SER_hh_tes!D14=0,0,11630*1000*SER_hh_tes!D14/SER_hh_num!D14)</f>
        <v>79897.456152326587</v>
      </c>
      <c r="E14" s="65">
        <f>IF(SER_hh_tes!E14=0,0,11630*1000*SER_hh_tes!E14/SER_hh_num!E14)</f>
        <v>81285.046306979726</v>
      </c>
      <c r="F14" s="65">
        <f>IF(SER_hh_tes!F14=0,0,11630*1000*SER_hh_tes!F14/SER_hh_num!F14)</f>
        <v>91497.799032722643</v>
      </c>
      <c r="G14" s="65">
        <f>IF(SER_hh_tes!G14=0,0,11630*1000*SER_hh_tes!G14/SER_hh_num!G14)</f>
        <v>104731.27852720016</v>
      </c>
      <c r="H14" s="65">
        <f>IF(SER_hh_tes!H14=0,0,11630*1000*SER_hh_tes!H14/SER_hh_num!H14)</f>
        <v>110070.01207733828</v>
      </c>
      <c r="I14" s="65">
        <f>IF(SER_hh_tes!I14=0,0,11630*1000*SER_hh_tes!I14/SER_hh_num!I14)</f>
        <v>113863.64168540234</v>
      </c>
      <c r="J14" s="65">
        <f>IF(SER_hh_tes!J14=0,0,11630*1000*SER_hh_tes!J14/SER_hh_num!J14)</f>
        <v>119017.60250751671</v>
      </c>
      <c r="K14" s="65">
        <f>IF(SER_hh_tes!K14=0,0,11630*1000*SER_hh_tes!K14/SER_hh_num!K14)</f>
        <v>122474.98656314636</v>
      </c>
      <c r="L14" s="65">
        <f>IF(SER_hh_tes!L14=0,0,11630*1000*SER_hh_tes!L14/SER_hh_num!L14)</f>
        <v>125088.18971264531</v>
      </c>
      <c r="M14" s="65">
        <f>IF(SER_hh_tes!M14=0,0,11630*1000*SER_hh_tes!M14/SER_hh_num!M14)</f>
        <v>121642.29674229673</v>
      </c>
      <c r="N14" s="65">
        <f>IF(SER_hh_tes!N14=0,0,11630*1000*SER_hh_tes!N14/SER_hh_num!N14)</f>
        <v>124610.85717955649</v>
      </c>
      <c r="O14" s="65">
        <f>IF(SER_hh_tes!O14=0,0,11630*1000*SER_hh_tes!O14/SER_hh_num!O14)</f>
        <v>128892.8448054091</v>
      </c>
      <c r="P14" s="65">
        <f>IF(SER_hh_tes!P14=0,0,11630*1000*SER_hh_tes!P14/SER_hh_num!P14)</f>
        <v>128047.30266325455</v>
      </c>
      <c r="Q14" s="65">
        <f>IF(SER_hh_tes!Q14=0,0,11630*1000*SER_hh_tes!Q14/SER_hh_num!Q14)</f>
        <v>130108.2621589256</v>
      </c>
      <c r="R14" s="65">
        <f>IF(SER_hh_tes!R14=0,0,11630*1000*SER_hh_tes!R14/SER_hh_num!R14)</f>
        <v>147415.96333687761</v>
      </c>
      <c r="S14" s="65">
        <f>IF(SER_hh_tes!S14=0,0,11630*1000*SER_hh_tes!S14/SER_hh_num!S14)</f>
        <v>155618.77368311537</v>
      </c>
      <c r="T14" s="65">
        <f>IF(SER_hh_tes!T14=0,0,11630*1000*SER_hh_tes!T14/SER_hh_num!T14)</f>
        <v>181500.71932843531</v>
      </c>
      <c r="U14" s="65">
        <f>IF(SER_hh_tes!U14=0,0,11630*1000*SER_hh_tes!U14/SER_hh_num!U14)</f>
        <v>162448.70570381414</v>
      </c>
      <c r="V14" s="65">
        <f>IF(SER_hh_tes!V14=0,0,11630*1000*SER_hh_tes!V14/SER_hh_num!V14)</f>
        <v>108530.01761946856</v>
      </c>
      <c r="W14" s="65">
        <f>IF(SER_hh_tes!W14=0,0,11630*1000*SER_hh_tes!W14/SER_hh_num!W14)</f>
        <v>160992.4329455882</v>
      </c>
      <c r="X14" s="65">
        <f>IF(SER_hh_tes!X14=0,0,11630*1000*SER_hh_tes!X14/SER_hh_num!X14)</f>
        <v>158216.62743445984</v>
      </c>
      <c r="Y14" s="65">
        <f>IF(SER_hh_tes!Y14=0,0,11630*1000*SER_hh_tes!Y14/SER_hh_num!Y14)</f>
        <v>145214.61734908121</v>
      </c>
      <c r="DA14" s="109" t="s">
        <v>426</v>
      </c>
    </row>
    <row r="15" spans="1:105" ht="12" customHeight="1" x14ac:dyDescent="0.25">
      <c r="A15" s="133" t="s">
        <v>80</v>
      </c>
      <c r="B15" s="134">
        <f>IF(SER_hh_tes!B15=0,0,11630*1000*SER_hh_tes!B15/SER_hh_num!B15)</f>
        <v>1419.1284475678683</v>
      </c>
      <c r="C15" s="134">
        <f>IF(SER_hh_tes!C15=0,0,11630*1000*SER_hh_tes!C15/SER_hh_num!C15)</f>
        <v>1426.4892823144062</v>
      </c>
      <c r="D15" s="134">
        <f>IF(SER_hh_tes!D15=0,0,11630*1000*SER_hh_tes!D15/SER_hh_num!D15)</f>
        <v>1308.9110471820152</v>
      </c>
      <c r="E15" s="134">
        <f>IF(SER_hh_tes!E15=0,0,11630*1000*SER_hh_tes!E15/SER_hh_num!E15)</f>
        <v>1573.5301348063274</v>
      </c>
      <c r="F15" s="134">
        <f>IF(SER_hh_tes!F15=0,0,11630*1000*SER_hh_tes!F15/SER_hh_num!F15)</f>
        <v>1572.7596673422408</v>
      </c>
      <c r="G15" s="134">
        <f>IF(SER_hh_tes!G15=0,0,11630*1000*SER_hh_tes!G15/SER_hh_num!G15)</f>
        <v>1888.9368571456091</v>
      </c>
      <c r="H15" s="134">
        <f>IF(SER_hh_tes!H15=0,0,11630*1000*SER_hh_tes!H15/SER_hh_num!H15)</f>
        <v>1899.6664267054839</v>
      </c>
      <c r="I15" s="134">
        <f>IF(SER_hh_tes!I15=0,0,11630*1000*SER_hh_tes!I15/SER_hh_num!I15)</f>
        <v>1686.3560343628242</v>
      </c>
      <c r="J15" s="134">
        <f>IF(SER_hh_tes!J15=0,0,11630*1000*SER_hh_tes!J15/SER_hh_num!J15)</f>
        <v>2108.5185010483847</v>
      </c>
      <c r="K15" s="134">
        <f>IF(SER_hh_tes!K15=0,0,11630*1000*SER_hh_tes!K15/SER_hh_num!K15)</f>
        <v>2069.4914795321788</v>
      </c>
      <c r="L15" s="134">
        <f>IF(SER_hh_tes!L15=0,0,11630*1000*SER_hh_tes!L15/SER_hh_num!L15)</f>
        <v>2118.6141498528627</v>
      </c>
      <c r="M15" s="134">
        <f>IF(SER_hh_tes!M15=0,0,11630*1000*SER_hh_tes!M15/SER_hh_num!M15)</f>
        <v>1803.3675088556517</v>
      </c>
      <c r="N15" s="134">
        <f>IF(SER_hh_tes!N15=0,0,11630*1000*SER_hh_tes!N15/SER_hh_num!N15)</f>
        <v>1895.8867606966758</v>
      </c>
      <c r="O15" s="134">
        <f>IF(SER_hh_tes!O15=0,0,11630*1000*SER_hh_tes!O15/SER_hh_num!O15)</f>
        <v>2037.3680355298243</v>
      </c>
      <c r="P15" s="134">
        <f>IF(SER_hh_tes!P15=0,0,11630*1000*SER_hh_tes!P15/SER_hh_num!P15)</f>
        <v>1705.1904041476243</v>
      </c>
      <c r="Q15" s="134">
        <f>IF(SER_hh_tes!Q15=0,0,11630*1000*SER_hh_tes!Q15/SER_hh_num!Q15)</f>
        <v>2025.1221752338945</v>
      </c>
      <c r="R15" s="134">
        <f>IF(SER_hh_tes!R15=0,0,11630*1000*SER_hh_tes!R15/SER_hh_num!R15)</f>
        <v>2129.8497605262814</v>
      </c>
      <c r="S15" s="134">
        <f>IF(SER_hh_tes!S15=0,0,11630*1000*SER_hh_tes!S15/SER_hh_num!S15)</f>
        <v>2144.8699255212546</v>
      </c>
      <c r="T15" s="134">
        <f>IF(SER_hh_tes!T15=0,0,11630*1000*SER_hh_tes!T15/SER_hh_num!T15)</f>
        <v>2469.9711596740658</v>
      </c>
      <c r="U15" s="134">
        <f>IF(SER_hh_tes!U15=0,0,11630*1000*SER_hh_tes!U15/SER_hh_num!U15)</f>
        <v>2405.737670743044</v>
      </c>
      <c r="V15" s="134">
        <f>IF(SER_hh_tes!V15=0,0,11630*1000*SER_hh_tes!V15/SER_hh_num!V15)</f>
        <v>2372.0140141136221</v>
      </c>
      <c r="W15" s="134">
        <f>IF(SER_hh_tes!W15=0,0,11630*1000*SER_hh_tes!W15/SER_hh_num!W15)</f>
        <v>2249.2240699966023</v>
      </c>
      <c r="X15" s="134">
        <f>IF(SER_hh_tes!X15=0,0,11630*1000*SER_hh_tes!X15/SER_hh_num!X15)</f>
        <v>1923.4026632077923</v>
      </c>
      <c r="Y15" s="134">
        <f>IF(SER_hh_tes!Y15=0,0,11630*1000*SER_hh_tes!Y15/SER_hh_num!Y15)</f>
        <v>2169.681957112381</v>
      </c>
      <c r="DA15" s="157" t="s">
        <v>427</v>
      </c>
    </row>
    <row r="16" spans="1:105" ht="12.95" customHeight="1" x14ac:dyDescent="0.25">
      <c r="A16" s="129" t="s">
        <v>74</v>
      </c>
      <c r="B16" s="130">
        <f>IF(SER_hh_tes!B16=0,0,11630*1000*SER_hh_tes!B16/SER_hh_num!B16)</f>
        <v>22951.97962676056</v>
      </c>
      <c r="C16" s="130">
        <f>IF(SER_hh_tes!C16=0,0,11630*1000*SER_hh_tes!C16/SER_hh_num!C16)</f>
        <v>25145.279116900812</v>
      </c>
      <c r="D16" s="130">
        <f>IF(SER_hh_tes!D16=0,0,11630*1000*SER_hh_tes!D16/SER_hh_num!D16)</f>
        <v>22149.589440684984</v>
      </c>
      <c r="E16" s="130">
        <f>IF(SER_hh_tes!E16=0,0,11630*1000*SER_hh_tes!E16/SER_hh_num!E16)</f>
        <v>51574.030230347285</v>
      </c>
      <c r="F16" s="130">
        <f>IF(SER_hh_tes!F16=0,0,11630*1000*SER_hh_tes!F16/SER_hh_num!F16)</f>
        <v>23291.585914850853</v>
      </c>
      <c r="G16" s="130">
        <f>IF(SER_hh_tes!G16=0,0,11630*1000*SER_hh_tes!G16/SER_hh_num!G16)</f>
        <v>23434.300956433672</v>
      </c>
      <c r="H16" s="130">
        <f>IF(SER_hh_tes!H16=0,0,11630*1000*SER_hh_tes!H16/SER_hh_num!H16)</f>
        <v>27617.956749656649</v>
      </c>
      <c r="I16" s="130">
        <f>IF(SER_hh_tes!I16=0,0,11630*1000*SER_hh_tes!I16/SER_hh_num!I16)</f>
        <v>25501.111438228956</v>
      </c>
      <c r="J16" s="130">
        <f>IF(SER_hh_tes!J16=0,0,11630*1000*SER_hh_tes!J16/SER_hh_num!J16)</f>
        <v>30099.306090720365</v>
      </c>
      <c r="K16" s="130">
        <f>IF(SER_hh_tes!K16=0,0,11630*1000*SER_hh_tes!K16/SER_hh_num!K16)</f>
        <v>30962.354391322289</v>
      </c>
      <c r="L16" s="130">
        <f>IF(SER_hh_tes!L16=0,0,11630*1000*SER_hh_tes!L16/SER_hh_num!L16)</f>
        <v>25266.652210619392</v>
      </c>
      <c r="M16" s="130">
        <f>IF(SER_hh_tes!M16=0,0,11630*1000*SER_hh_tes!M16/SER_hh_num!M16)</f>
        <v>27500.243618072087</v>
      </c>
      <c r="N16" s="130">
        <f>IF(SER_hh_tes!N16=0,0,11630*1000*SER_hh_tes!N16/SER_hh_num!N16)</f>
        <v>43656.227897180564</v>
      </c>
      <c r="O16" s="130">
        <f>IF(SER_hh_tes!O16=0,0,11630*1000*SER_hh_tes!O16/SER_hh_num!O16)</f>
        <v>26114.076515028697</v>
      </c>
      <c r="P16" s="130">
        <f>IF(SER_hh_tes!P16=0,0,11630*1000*SER_hh_tes!P16/SER_hh_num!P16)</f>
        <v>22697.40983497737</v>
      </c>
      <c r="Q16" s="130">
        <f>IF(SER_hh_tes!Q16=0,0,11630*1000*SER_hh_tes!Q16/SER_hh_num!Q16)</f>
        <v>40800.298029850564</v>
      </c>
      <c r="R16" s="130">
        <f>IF(SER_hh_tes!R16=0,0,11630*1000*SER_hh_tes!R16/SER_hh_num!R16)</f>
        <v>26287.238945853856</v>
      </c>
      <c r="S16" s="130">
        <f>IF(SER_hh_tes!S16=0,0,11630*1000*SER_hh_tes!S16/SER_hh_num!S16)</f>
        <v>40450.182702133374</v>
      </c>
      <c r="T16" s="130">
        <f>IF(SER_hh_tes!T16=0,0,11630*1000*SER_hh_tes!T16/SER_hh_num!T16)</f>
        <v>31109.51158701169</v>
      </c>
      <c r="U16" s="130">
        <f>IF(SER_hh_tes!U16=0,0,11630*1000*SER_hh_tes!U16/SER_hh_num!U16)</f>
        <v>41701.94907519444</v>
      </c>
      <c r="V16" s="130">
        <f>IF(SER_hh_tes!V16=0,0,11630*1000*SER_hh_tes!V16/SER_hh_num!V16)</f>
        <v>30451.648813424534</v>
      </c>
      <c r="W16" s="130">
        <f>IF(SER_hh_tes!W16=0,0,11630*1000*SER_hh_tes!W16/SER_hh_num!W16)</f>
        <v>38093.122750360206</v>
      </c>
      <c r="X16" s="130">
        <f>IF(SER_hh_tes!X16=0,0,11630*1000*SER_hh_tes!X16/SER_hh_num!X16)</f>
        <v>50546.726025339398</v>
      </c>
      <c r="Y16" s="130">
        <f>IF(SER_hh_tes!Y16=0,0,11630*1000*SER_hh_tes!Y16/SER_hh_num!Y16)</f>
        <v>40587.576592067162</v>
      </c>
      <c r="DA16" s="155" t="s">
        <v>428</v>
      </c>
    </row>
    <row r="17" spans="1:105" ht="12.95" customHeight="1" x14ac:dyDescent="0.25">
      <c r="A17" s="131" t="s">
        <v>73</v>
      </c>
      <c r="B17" s="132">
        <f>IF(SER_hh_tes!B17=0,0,11630*1000*SER_hh_tes!B17/SER_hh_num!B17)</f>
        <v>22951.97962676056</v>
      </c>
      <c r="C17" s="132">
        <f>IF(SER_hh_tes!C17=0,0,11630*1000*SER_hh_tes!C17/SER_hh_num!C17)</f>
        <v>25145.279116901249</v>
      </c>
      <c r="D17" s="132">
        <f>IF(SER_hh_tes!D17=0,0,11630*1000*SER_hh_tes!D17/SER_hh_num!D17)</f>
        <v>22149.589440512369</v>
      </c>
      <c r="E17" s="132">
        <f>IF(SER_hh_tes!E17=0,0,11630*1000*SER_hh_tes!E17/SER_hh_num!E17)</f>
        <v>51574.030230163698</v>
      </c>
      <c r="F17" s="132">
        <f>IF(SER_hh_tes!F17=0,0,11630*1000*SER_hh_tes!F17/SER_hh_num!F17)</f>
        <v>23291.585915000342</v>
      </c>
      <c r="G17" s="132">
        <f>IF(SER_hh_tes!G17=0,0,11630*1000*SER_hh_tes!G17/SER_hh_num!G17)</f>
        <v>23434.300956717761</v>
      </c>
      <c r="H17" s="132">
        <f>IF(SER_hh_tes!H17=0,0,11630*1000*SER_hh_tes!H17/SER_hh_num!H17)</f>
        <v>27617.956749814774</v>
      </c>
      <c r="I17" s="132">
        <f>IF(SER_hh_tes!I17=0,0,11630*1000*SER_hh_tes!I17/SER_hh_num!I17)</f>
        <v>25501.111438171032</v>
      </c>
      <c r="J17" s="132">
        <f>IF(SER_hh_tes!J17=0,0,11630*1000*SER_hh_tes!J17/SER_hh_num!J17)</f>
        <v>30099.306090558966</v>
      </c>
      <c r="K17" s="132">
        <f>IF(SER_hh_tes!K17=0,0,11630*1000*SER_hh_tes!K17/SER_hh_num!K17)</f>
        <v>30962.354391130877</v>
      </c>
      <c r="L17" s="132">
        <f>IF(SER_hh_tes!L17=0,0,11630*1000*SER_hh_tes!L17/SER_hh_num!L17)</f>
        <v>25266.652210468255</v>
      </c>
      <c r="M17" s="132">
        <f>IF(SER_hh_tes!M17=0,0,11630*1000*SER_hh_tes!M17/SER_hh_num!M17)</f>
        <v>27500.243617970831</v>
      </c>
      <c r="N17" s="132">
        <f>IF(SER_hh_tes!N17=0,0,11630*1000*SER_hh_tes!N17/SER_hh_num!N17)</f>
        <v>43656.227897109529</v>
      </c>
      <c r="O17" s="132">
        <f>IF(SER_hh_tes!O17=0,0,11630*1000*SER_hh_tes!O17/SER_hh_num!O17)</f>
        <v>26114.076515369001</v>
      </c>
      <c r="P17" s="132">
        <f>IF(SER_hh_tes!P17=0,0,11630*1000*SER_hh_tes!P17/SER_hh_num!P17)</f>
        <v>22697.409835672042</v>
      </c>
      <c r="Q17" s="132">
        <f>IF(SER_hh_tes!Q17=0,0,11630*1000*SER_hh_tes!Q17/SER_hh_num!Q17)</f>
        <v>40800.2980311961</v>
      </c>
      <c r="R17" s="132">
        <f>IF(SER_hh_tes!R17=0,0,11630*1000*SER_hh_tes!R17/SER_hh_num!R17)</f>
        <v>26821.904148851732</v>
      </c>
      <c r="S17" s="132">
        <f>IF(SER_hh_tes!S17=0,0,11630*1000*SER_hh_tes!S17/SER_hh_num!S17)</f>
        <v>40914.701831209095</v>
      </c>
      <c r="T17" s="132">
        <f>IF(SER_hh_tes!T17=0,0,11630*1000*SER_hh_tes!T17/SER_hh_num!T17)</f>
        <v>31413.801645411375</v>
      </c>
      <c r="U17" s="132">
        <f>IF(SER_hh_tes!U17=0,0,11630*1000*SER_hh_tes!U17/SER_hh_num!U17)</f>
        <v>41701.949076227298</v>
      </c>
      <c r="V17" s="132">
        <f>IF(SER_hh_tes!V17=0,0,11630*1000*SER_hh_tes!V17/SER_hh_num!V17)</f>
        <v>30350.352145821762</v>
      </c>
      <c r="W17" s="132">
        <f>IF(SER_hh_tes!W17=0,0,11630*1000*SER_hh_tes!W17/SER_hh_num!W17)</f>
        <v>37434.948048416984</v>
      </c>
      <c r="X17" s="132">
        <f>IF(SER_hh_tes!X17=0,0,11630*1000*SER_hh_tes!X17/SER_hh_num!X17)</f>
        <v>50106.39690014501</v>
      </c>
      <c r="Y17" s="132">
        <f>IF(SER_hh_tes!Y17=0,0,11630*1000*SER_hh_tes!Y17/SER_hh_num!Y17)</f>
        <v>43885.530836803227</v>
      </c>
      <c r="DA17" s="156" t="s">
        <v>429</v>
      </c>
    </row>
    <row r="18" spans="1:105" ht="12" customHeight="1" x14ac:dyDescent="0.25">
      <c r="A18" s="131" t="s">
        <v>72</v>
      </c>
      <c r="B18" s="132">
        <f>IF(SER_hh_tes!B18=0,0,11630*1000*SER_hh_tes!B18/SER_hh_num!B18)</f>
        <v>22951.97962676056</v>
      </c>
      <c r="C18" s="132">
        <f>IF(SER_hh_tes!C18=0,0,11630*1000*SER_hh_tes!C18/SER_hh_num!C18)</f>
        <v>25145.279116900809</v>
      </c>
      <c r="D18" s="132">
        <f>IF(SER_hh_tes!D18=0,0,11630*1000*SER_hh_tes!D18/SER_hh_num!D18)</f>
        <v>22149.589440685428</v>
      </c>
      <c r="E18" s="132">
        <f>IF(SER_hh_tes!E18=0,0,11630*1000*SER_hh_tes!E18/SER_hh_num!E18)</f>
        <v>51574.030230347875</v>
      </c>
      <c r="F18" s="132">
        <f>IF(SER_hh_tes!F18=0,0,11630*1000*SER_hh_tes!F18/SER_hh_num!F18)</f>
        <v>23291.585914850253</v>
      </c>
      <c r="G18" s="132">
        <f>IF(SER_hh_tes!G18=0,0,11630*1000*SER_hh_tes!G18/SER_hh_num!G18)</f>
        <v>23434.300956432442</v>
      </c>
      <c r="H18" s="132">
        <f>IF(SER_hh_tes!H18=0,0,11630*1000*SER_hh_tes!H18/SER_hh_num!H18)</f>
        <v>27617.956749655867</v>
      </c>
      <c r="I18" s="132">
        <f>IF(SER_hh_tes!I18=0,0,11630*1000*SER_hh_tes!I18/SER_hh_num!I18)</f>
        <v>25501.111438229273</v>
      </c>
      <c r="J18" s="132">
        <f>IF(SER_hh_tes!J18=0,0,11630*1000*SER_hh_tes!J18/SER_hh_num!J18)</f>
        <v>30099.306090721358</v>
      </c>
      <c r="K18" s="132">
        <f>IF(SER_hh_tes!K18=0,0,11630*1000*SER_hh_tes!K18/SER_hh_num!K18)</f>
        <v>30962.354391323668</v>
      </c>
      <c r="L18" s="132">
        <f>IF(SER_hh_tes!L18=0,0,11630*1000*SER_hh_tes!L18/SER_hh_num!L18)</f>
        <v>25266.65221062061</v>
      </c>
      <c r="M18" s="132">
        <f>IF(SER_hh_tes!M18=0,0,11630*1000*SER_hh_tes!M18/SER_hh_num!M18)</f>
        <v>27500.243618072971</v>
      </c>
      <c r="N18" s="132">
        <f>IF(SER_hh_tes!N18=0,0,11630*1000*SER_hh_tes!N18/SER_hh_num!N18)</f>
        <v>43656.227897181234</v>
      </c>
      <c r="O18" s="132">
        <f>IF(SER_hh_tes!O18=0,0,11630*1000*SER_hh_tes!O18/SER_hh_num!O18)</f>
        <v>26114.076515025143</v>
      </c>
      <c r="P18" s="132">
        <f>IF(SER_hh_tes!P18=0,0,11630*1000*SER_hh_tes!P18/SER_hh_num!P18)</f>
        <v>22697.409834969432</v>
      </c>
      <c r="Q18" s="132">
        <f>IF(SER_hh_tes!Q18=0,0,11630*1000*SER_hh_tes!Q18/SER_hh_num!Q18)</f>
        <v>40800.298029834114</v>
      </c>
      <c r="R18" s="132">
        <f>IF(SER_hh_tes!R18=0,0,11630*1000*SER_hh_tes!R18/SER_hh_num!R18)</f>
        <v>26280.222222258577</v>
      </c>
      <c r="S18" s="132">
        <f>IF(SER_hh_tes!S18=0,0,11630*1000*SER_hh_tes!S18/SER_hh_num!S18)</f>
        <v>40443.723551477822</v>
      </c>
      <c r="T18" s="132">
        <f>IF(SER_hh_tes!T18=0,0,11630*1000*SER_hh_tes!T18/SER_hh_num!T18)</f>
        <v>31105.098877800501</v>
      </c>
      <c r="U18" s="132">
        <f>IF(SER_hh_tes!U18=0,0,11630*1000*SER_hh_tes!U18/SER_hh_num!U18)</f>
        <v>41701.949075179051</v>
      </c>
      <c r="V18" s="132">
        <f>IF(SER_hh_tes!V18=0,0,11630*1000*SER_hh_tes!V18/SER_hh_num!V18)</f>
        <v>30453.190946849099</v>
      </c>
      <c r="W18" s="132">
        <f>IF(SER_hh_tes!W18=0,0,11630*1000*SER_hh_tes!W18/SER_hh_num!W18)</f>
        <v>38103.252250702768</v>
      </c>
      <c r="X18" s="132">
        <f>IF(SER_hh_tes!X18=0,0,11630*1000*SER_hh_tes!X18/SER_hh_num!X18)</f>
        <v>50553.960050961876</v>
      </c>
      <c r="Y18" s="132">
        <f>IF(SER_hh_tes!Y18=0,0,11630*1000*SER_hh_tes!Y18/SER_hh_num!Y18)</f>
        <v>40530.397227053109</v>
      </c>
      <c r="DA18" s="156" t="s">
        <v>430</v>
      </c>
    </row>
    <row r="19" spans="1:105" ht="12.95" customHeight="1" x14ac:dyDescent="0.25">
      <c r="A19" s="129" t="s">
        <v>35</v>
      </c>
      <c r="B19" s="130">
        <f>IF(SER_hh_tes!B19=0,0,11630*1000*SER_hh_tes!B19/SER_hh_num!B19)</f>
        <v>18444.310611998149</v>
      </c>
      <c r="C19" s="130">
        <f>IF(SER_hh_tes!C19=0,0,11630*1000*SER_hh_tes!C19/SER_hh_num!C19)</f>
        <v>18808.124522882441</v>
      </c>
      <c r="D19" s="130">
        <f>IF(SER_hh_tes!D19=0,0,11630*1000*SER_hh_tes!D19/SER_hh_num!D19)</f>
        <v>19048.837947709544</v>
      </c>
      <c r="E19" s="130">
        <f>IF(SER_hh_tes!E19=0,0,11630*1000*SER_hh_tes!E19/SER_hh_num!E19)</f>
        <v>18844.573676670778</v>
      </c>
      <c r="F19" s="130">
        <f>IF(SER_hh_tes!F19=0,0,11630*1000*SER_hh_tes!F19/SER_hh_num!F19)</f>
        <v>19228.552017797665</v>
      </c>
      <c r="G19" s="130">
        <f>IF(SER_hh_tes!G19=0,0,11630*1000*SER_hh_tes!G19/SER_hh_num!G19)</f>
        <v>18994.620554438792</v>
      </c>
      <c r="H19" s="130">
        <f>IF(SER_hh_tes!H19=0,0,11630*1000*SER_hh_tes!H19/SER_hh_num!H19)</f>
        <v>19020.036679055032</v>
      </c>
      <c r="I19" s="130">
        <f>IF(SER_hh_tes!I19=0,0,11630*1000*SER_hh_tes!I19/SER_hh_num!I19)</f>
        <v>19428.98873752671</v>
      </c>
      <c r="J19" s="130">
        <f>IF(SER_hh_tes!J19=0,0,11630*1000*SER_hh_tes!J19/SER_hh_num!J19)</f>
        <v>19372.069192224204</v>
      </c>
      <c r="K19" s="130">
        <f>IF(SER_hh_tes!K19=0,0,11630*1000*SER_hh_tes!K19/SER_hh_num!K19)</f>
        <v>19314.186626329214</v>
      </c>
      <c r="L19" s="130">
        <f>IF(SER_hh_tes!L19=0,0,11630*1000*SER_hh_tes!L19/SER_hh_num!L19)</f>
        <v>19429.843660803261</v>
      </c>
      <c r="M19" s="130">
        <f>IF(SER_hh_tes!M19=0,0,11630*1000*SER_hh_tes!M19/SER_hh_num!M19)</f>
        <v>19742.259277029694</v>
      </c>
      <c r="N19" s="130">
        <f>IF(SER_hh_tes!N19=0,0,11630*1000*SER_hh_tes!N19/SER_hh_num!N19)</f>
        <v>19551.801477577446</v>
      </c>
      <c r="O19" s="130">
        <f>IF(SER_hh_tes!O19=0,0,11630*1000*SER_hh_tes!O19/SER_hh_num!O19)</f>
        <v>20327.761284446264</v>
      </c>
      <c r="P19" s="130">
        <f>IF(SER_hh_tes!P19=0,0,11630*1000*SER_hh_tes!P19/SER_hh_num!P19)</f>
        <v>20595.29010742663</v>
      </c>
      <c r="Q19" s="130">
        <f>IF(SER_hh_tes!Q19=0,0,11630*1000*SER_hh_tes!Q19/SER_hh_num!Q19)</f>
        <v>20688.474446037213</v>
      </c>
      <c r="R19" s="130">
        <f>IF(SER_hh_tes!R19=0,0,11630*1000*SER_hh_tes!R19/SER_hh_num!R19)</f>
        <v>21197.066284311841</v>
      </c>
      <c r="S19" s="130">
        <f>IF(SER_hh_tes!S19=0,0,11630*1000*SER_hh_tes!S19/SER_hh_num!S19)</f>
        <v>20905.635398237933</v>
      </c>
      <c r="T19" s="130">
        <f>IF(SER_hh_tes!T19=0,0,11630*1000*SER_hh_tes!T19/SER_hh_num!T19)</f>
        <v>20837.66415919171</v>
      </c>
      <c r="U19" s="130">
        <f>IF(SER_hh_tes!U19=0,0,11630*1000*SER_hh_tes!U19/SER_hh_num!U19)</f>
        <v>19888.053674860981</v>
      </c>
      <c r="V19" s="130">
        <f>IF(SER_hh_tes!V19=0,0,11630*1000*SER_hh_tes!V19/SER_hh_num!V19)</f>
        <v>18061.649556720447</v>
      </c>
      <c r="W19" s="130">
        <f>IF(SER_hh_tes!W19=0,0,11630*1000*SER_hh_tes!W19/SER_hh_num!W19)</f>
        <v>21346.638068987326</v>
      </c>
      <c r="X19" s="130">
        <f>IF(SER_hh_tes!X19=0,0,11630*1000*SER_hh_tes!X19/SER_hh_num!X19)</f>
        <v>22006.504254268995</v>
      </c>
      <c r="Y19" s="130">
        <f>IF(SER_hh_tes!Y19=0,0,11630*1000*SER_hh_tes!Y19/SER_hh_num!Y19)</f>
        <v>22211.504862680431</v>
      </c>
      <c r="DA19" s="155" t="s">
        <v>431</v>
      </c>
    </row>
    <row r="20" spans="1:105" ht="12" customHeight="1" x14ac:dyDescent="0.25">
      <c r="A20" s="131" t="s">
        <v>29</v>
      </c>
      <c r="B20" s="132">
        <f>IF(SER_hh_tes!B20=0,0,11630*1000*SER_hh_tes!B20/SER_hh_num!B20)</f>
        <v>0</v>
      </c>
      <c r="C20" s="132">
        <f>IF(SER_hh_tes!C20=0,0,11630*1000*SER_hh_tes!C20/SER_hh_num!C20)</f>
        <v>0</v>
      </c>
      <c r="D20" s="132">
        <f>IF(SER_hh_tes!D20=0,0,11630*1000*SER_hh_tes!D20/SER_hh_num!D20)</f>
        <v>0</v>
      </c>
      <c r="E20" s="132">
        <f>IF(SER_hh_tes!E20=0,0,11630*1000*SER_hh_tes!E20/SER_hh_num!E20)</f>
        <v>0</v>
      </c>
      <c r="F20" s="132">
        <f>IF(SER_hh_tes!F20=0,0,11630*1000*SER_hh_tes!F20/SER_hh_num!F20)</f>
        <v>0</v>
      </c>
      <c r="G20" s="132">
        <f>IF(SER_hh_tes!G20=0,0,11630*1000*SER_hh_tes!G20/SER_hh_num!G20)</f>
        <v>0</v>
      </c>
      <c r="H20" s="132">
        <f>IF(SER_hh_tes!H20=0,0,11630*1000*SER_hh_tes!H20/SER_hh_num!H20)</f>
        <v>0</v>
      </c>
      <c r="I20" s="132">
        <f>IF(SER_hh_tes!I20=0,0,11630*1000*SER_hh_tes!I20/SER_hh_num!I20)</f>
        <v>0</v>
      </c>
      <c r="J20" s="132">
        <f>IF(SER_hh_tes!J20=0,0,11630*1000*SER_hh_tes!J20/SER_hh_num!J20)</f>
        <v>0</v>
      </c>
      <c r="K20" s="132">
        <f>IF(SER_hh_tes!K20=0,0,11630*1000*SER_hh_tes!K20/SER_hh_num!K20)</f>
        <v>0</v>
      </c>
      <c r="L20" s="132">
        <f>IF(SER_hh_tes!L20=0,0,11630*1000*SER_hh_tes!L20/SER_hh_num!L20)</f>
        <v>0</v>
      </c>
      <c r="M20" s="132">
        <f>IF(SER_hh_tes!M20=0,0,11630*1000*SER_hh_tes!M20/SER_hh_num!M20)</f>
        <v>0</v>
      </c>
      <c r="N20" s="132">
        <f>IF(SER_hh_tes!N20=0,0,11630*1000*SER_hh_tes!N20/SER_hh_num!N20)</f>
        <v>0</v>
      </c>
      <c r="O20" s="132">
        <f>IF(SER_hh_tes!O20=0,0,11630*1000*SER_hh_tes!O20/SER_hh_num!O20)</f>
        <v>0</v>
      </c>
      <c r="P20" s="132">
        <f>IF(SER_hh_tes!P20=0,0,11630*1000*SER_hh_tes!P20/SER_hh_num!P20)</f>
        <v>0</v>
      </c>
      <c r="Q20" s="132">
        <f>IF(SER_hh_tes!Q20=0,0,11630*1000*SER_hh_tes!Q20/SER_hh_num!Q20)</f>
        <v>0</v>
      </c>
      <c r="R20" s="132">
        <f>IF(SER_hh_tes!R20=0,0,11630*1000*SER_hh_tes!R20/SER_hh_num!R20)</f>
        <v>0</v>
      </c>
      <c r="S20" s="132">
        <f>IF(SER_hh_tes!S20=0,0,11630*1000*SER_hh_tes!S20/SER_hh_num!S20)</f>
        <v>0</v>
      </c>
      <c r="T20" s="132">
        <f>IF(SER_hh_tes!T20=0,0,11630*1000*SER_hh_tes!T20/SER_hh_num!T20)</f>
        <v>0</v>
      </c>
      <c r="U20" s="132">
        <f>IF(SER_hh_tes!U20=0,0,11630*1000*SER_hh_tes!U20/SER_hh_num!U20)</f>
        <v>0</v>
      </c>
      <c r="V20" s="132">
        <f>IF(SER_hh_tes!V20=0,0,11630*1000*SER_hh_tes!V20/SER_hh_num!V20)</f>
        <v>0</v>
      </c>
      <c r="W20" s="132">
        <f>IF(SER_hh_tes!W20=0,0,11630*1000*SER_hh_tes!W20/SER_hh_num!W20)</f>
        <v>0</v>
      </c>
      <c r="X20" s="132">
        <f>IF(SER_hh_tes!X20=0,0,11630*1000*SER_hh_tes!X20/SER_hh_num!X20)</f>
        <v>0</v>
      </c>
      <c r="Y20" s="132">
        <f>IF(SER_hh_tes!Y20=0,0,11630*1000*SER_hh_tes!Y20/SER_hh_num!Y20)</f>
        <v>0</v>
      </c>
      <c r="DA20" s="156" t="s">
        <v>432</v>
      </c>
    </row>
    <row r="21" spans="1:105" s="2" customFormat="1" ht="12" customHeight="1" x14ac:dyDescent="0.25">
      <c r="A21" s="131" t="s">
        <v>52</v>
      </c>
      <c r="B21" s="132">
        <f>IF(SER_hh_tes!B21=0,0,11630*1000*SER_hh_tes!B21/SER_hh_num!B21)</f>
        <v>18622.776479262156</v>
      </c>
      <c r="C21" s="132">
        <f>IF(SER_hh_tes!C21=0,0,11630*1000*SER_hh_tes!C21/SER_hh_num!C21)</f>
        <v>19012.447757196453</v>
      </c>
      <c r="D21" s="132">
        <f>IF(SER_hh_tes!D21=0,0,11630*1000*SER_hh_tes!D21/SER_hh_num!D21)</f>
        <v>18933.907442553573</v>
      </c>
      <c r="E21" s="132">
        <f>IF(SER_hh_tes!E21=0,0,11630*1000*SER_hh_tes!E21/SER_hh_num!E21)</f>
        <v>18493.610558676457</v>
      </c>
      <c r="F21" s="132">
        <f>IF(SER_hh_tes!F21=0,0,11630*1000*SER_hh_tes!F21/SER_hh_num!F21)</f>
        <v>18885.304134793805</v>
      </c>
      <c r="G21" s="132">
        <f>IF(SER_hh_tes!G21=0,0,11630*1000*SER_hh_tes!G21/SER_hh_num!G21)</f>
        <v>19258.034441517884</v>
      </c>
      <c r="H21" s="132">
        <f>IF(SER_hh_tes!H21=0,0,11630*1000*SER_hh_tes!H21/SER_hh_num!H21)</f>
        <v>19625.442622101287</v>
      </c>
      <c r="I21" s="132">
        <f>IF(SER_hh_tes!I21=0,0,11630*1000*SER_hh_tes!I21/SER_hh_num!I21)</f>
        <v>18915.155683725621</v>
      </c>
      <c r="J21" s="132">
        <f>IF(SER_hh_tes!J21=0,0,11630*1000*SER_hh_tes!J21/SER_hh_num!J21)</f>
        <v>19611.327731078105</v>
      </c>
      <c r="K21" s="132">
        <f>IF(SER_hh_tes!K21=0,0,11630*1000*SER_hh_tes!K21/SER_hh_num!K21)</f>
        <v>19045.801452836506</v>
      </c>
      <c r="L21" s="132">
        <f>IF(SER_hh_tes!L21=0,0,11630*1000*SER_hh_tes!L21/SER_hh_num!L21)</f>
        <v>19360.287959993162</v>
      </c>
      <c r="M21" s="132">
        <f>IF(SER_hh_tes!M21=0,0,11630*1000*SER_hh_tes!M21/SER_hh_num!M21)</f>
        <v>20314.257605282404</v>
      </c>
      <c r="N21" s="132">
        <f>IF(SER_hh_tes!N21=0,0,11630*1000*SER_hh_tes!N21/SER_hh_num!N21)</f>
        <v>18997.931157625633</v>
      </c>
      <c r="O21" s="132">
        <f>IF(SER_hh_tes!O21=0,0,11630*1000*SER_hh_tes!O21/SER_hh_num!O21)</f>
        <v>20532.325317369272</v>
      </c>
      <c r="P21" s="132">
        <f>IF(SER_hh_tes!P21=0,0,11630*1000*SER_hh_tes!P21/SER_hh_num!P21)</f>
        <v>19071.70935496781</v>
      </c>
      <c r="Q21" s="132">
        <f>IF(SER_hh_tes!Q21=0,0,11630*1000*SER_hh_tes!Q21/SER_hh_num!Q21)</f>
        <v>18656.169996010616</v>
      </c>
      <c r="R21" s="132">
        <f>IF(SER_hh_tes!R21=0,0,11630*1000*SER_hh_tes!R21/SER_hh_num!R21)</f>
        <v>21273.97751649822</v>
      </c>
      <c r="S21" s="132">
        <f>IF(SER_hh_tes!S21=0,0,11630*1000*SER_hh_tes!S21/SER_hh_num!S21)</f>
        <v>21398.965819414694</v>
      </c>
      <c r="T21" s="132">
        <f>IF(SER_hh_tes!T21=0,0,11630*1000*SER_hh_tes!T21/SER_hh_num!T21)</f>
        <v>20085.934414269166</v>
      </c>
      <c r="U21" s="132">
        <f>IF(SER_hh_tes!U21=0,0,11630*1000*SER_hh_tes!U21/SER_hh_num!U21)</f>
        <v>20496.856096611191</v>
      </c>
      <c r="V21" s="132">
        <f>IF(SER_hh_tes!V21=0,0,11630*1000*SER_hh_tes!V21/SER_hh_num!V21)</f>
        <v>18426.60800344501</v>
      </c>
      <c r="W21" s="132">
        <f>IF(SER_hh_tes!W21=0,0,11630*1000*SER_hh_tes!W21/SER_hh_num!W21)</f>
        <v>20651.019285875405</v>
      </c>
      <c r="X21" s="132">
        <f>IF(SER_hh_tes!X21=0,0,11630*1000*SER_hh_tes!X21/SER_hh_num!X21)</f>
        <v>21542.848620553315</v>
      </c>
      <c r="Y21" s="132">
        <f>IF(SER_hh_tes!Y21=0,0,11630*1000*SER_hh_tes!Y21/SER_hh_num!Y21)</f>
        <v>22293.263666794635</v>
      </c>
      <c r="DA21" s="156" t="s">
        <v>433</v>
      </c>
    </row>
    <row r="22" spans="1:105" ht="12" customHeight="1" x14ac:dyDescent="0.25">
      <c r="A22" s="131" t="s">
        <v>161</v>
      </c>
      <c r="B22" s="132">
        <f>IF(SER_hh_tes!B22=0,0,11630*1000*SER_hh_tes!B22/SER_hh_num!B22)</f>
        <v>18996.220823190779</v>
      </c>
      <c r="C22" s="132">
        <f>IF(SER_hh_tes!C22=0,0,11630*1000*SER_hh_tes!C22/SER_hh_num!C22)</f>
        <v>19021.307539278823</v>
      </c>
      <c r="D22" s="132">
        <f>IF(SER_hh_tes!D22=0,0,11630*1000*SER_hh_tes!D22/SER_hh_num!D22)</f>
        <v>18466.979131576449</v>
      </c>
      <c r="E22" s="132">
        <f>IF(SER_hh_tes!E22=0,0,11630*1000*SER_hh_tes!E22/SER_hh_num!E22)</f>
        <v>18917.955256466983</v>
      </c>
      <c r="F22" s="132">
        <f>IF(SER_hh_tes!F22=0,0,11630*1000*SER_hh_tes!F22/SER_hh_num!F22)</f>
        <v>18578.683001700323</v>
      </c>
      <c r="G22" s="132">
        <f>IF(SER_hh_tes!G22=0,0,11630*1000*SER_hh_tes!G22/SER_hh_num!G22)</f>
        <v>18606.924404037676</v>
      </c>
      <c r="H22" s="132">
        <f>IF(SER_hh_tes!H22=0,0,11630*1000*SER_hh_tes!H22/SER_hh_num!H22)</f>
        <v>19292.498372757884</v>
      </c>
      <c r="I22" s="132">
        <f>IF(SER_hh_tes!I22=0,0,11630*1000*SER_hh_tes!I22/SER_hh_num!I22)</f>
        <v>19383.801395512517</v>
      </c>
      <c r="J22" s="132">
        <f>IF(SER_hh_tes!J22=0,0,11630*1000*SER_hh_tes!J22/SER_hh_num!J22)</f>
        <v>20042.345185194979</v>
      </c>
      <c r="K22" s="132">
        <f>IF(SER_hh_tes!K22=0,0,11630*1000*SER_hh_tes!K22/SER_hh_num!K22)</f>
        <v>18887.057365259945</v>
      </c>
      <c r="L22" s="132">
        <f>IF(SER_hh_tes!L22=0,0,11630*1000*SER_hh_tes!L22/SER_hh_num!L22)</f>
        <v>18479.362739229909</v>
      </c>
      <c r="M22" s="132">
        <f>IF(SER_hh_tes!M22=0,0,11630*1000*SER_hh_tes!M22/SER_hh_num!M22)</f>
        <v>19287.312409965914</v>
      </c>
      <c r="N22" s="132">
        <f>IF(SER_hh_tes!N22=0,0,11630*1000*SER_hh_tes!N22/SER_hh_num!N22)</f>
        <v>19515.190754305895</v>
      </c>
      <c r="O22" s="132">
        <f>IF(SER_hh_tes!O22=0,0,11630*1000*SER_hh_tes!O22/SER_hh_num!O22)</f>
        <v>20536.198208419108</v>
      </c>
      <c r="P22" s="132">
        <f>IF(SER_hh_tes!P22=0,0,11630*1000*SER_hh_tes!P22/SER_hh_num!P22)</f>
        <v>20542.438335526102</v>
      </c>
      <c r="Q22" s="132">
        <f>IF(SER_hh_tes!Q22=0,0,11630*1000*SER_hh_tes!Q22/SER_hh_num!Q22)</f>
        <v>20524.316300052778</v>
      </c>
      <c r="R22" s="132">
        <f>IF(SER_hh_tes!R22=0,0,11630*1000*SER_hh_tes!R22/SER_hh_num!R22)</f>
        <v>20348.130753789796</v>
      </c>
      <c r="S22" s="132">
        <f>IF(SER_hh_tes!S22=0,0,11630*1000*SER_hh_tes!S22/SER_hh_num!S22)</f>
        <v>20984.686056597118</v>
      </c>
      <c r="T22" s="132">
        <f>IF(SER_hh_tes!T22=0,0,11630*1000*SER_hh_tes!T22/SER_hh_num!T22)</f>
        <v>21371.958167854256</v>
      </c>
      <c r="U22" s="132">
        <f>IF(SER_hh_tes!U22=0,0,11630*1000*SER_hh_tes!U22/SER_hh_num!U22)</f>
        <v>20008.83392764784</v>
      </c>
      <c r="V22" s="132">
        <f>IF(SER_hh_tes!V22=0,0,11630*1000*SER_hh_tes!V22/SER_hh_num!V22)</f>
        <v>17278.241142472667</v>
      </c>
      <c r="W22" s="132">
        <f>IF(SER_hh_tes!W22=0,0,11630*1000*SER_hh_tes!W22/SER_hh_num!W22)</f>
        <v>20024.58952160057</v>
      </c>
      <c r="X22" s="132">
        <f>IF(SER_hh_tes!X22=0,0,11630*1000*SER_hh_tes!X22/SER_hh_num!X22)</f>
        <v>21973.284656598738</v>
      </c>
      <c r="Y22" s="132">
        <f>IF(SER_hh_tes!Y22=0,0,11630*1000*SER_hh_tes!Y22/SER_hh_num!Y22)</f>
        <v>22246.389094474049</v>
      </c>
      <c r="DA22" s="156" t="s">
        <v>434</v>
      </c>
    </row>
    <row r="23" spans="1:105" ht="12" customHeight="1" x14ac:dyDescent="0.25">
      <c r="A23" s="131" t="s">
        <v>149</v>
      </c>
      <c r="B23" s="132">
        <f>IF(SER_hh_tes!B23=0,0,11630*1000*SER_hh_tes!B23/SER_hh_num!B23)</f>
        <v>18419.24096441764</v>
      </c>
      <c r="C23" s="132">
        <f>IF(SER_hh_tes!C23=0,0,11630*1000*SER_hh_tes!C23/SER_hh_num!C23)</f>
        <v>18776.177321334962</v>
      </c>
      <c r="D23" s="132">
        <f>IF(SER_hh_tes!D23=0,0,11630*1000*SER_hh_tes!D23/SER_hh_num!D23)</f>
        <v>18993.32029695834</v>
      </c>
      <c r="E23" s="132">
        <f>IF(SER_hh_tes!E23=0,0,11630*1000*SER_hh_tes!E23/SER_hh_num!E23)</f>
        <v>18949.372340755126</v>
      </c>
      <c r="F23" s="132">
        <f>IF(SER_hh_tes!F23=0,0,11630*1000*SER_hh_tes!F23/SER_hh_num!F23)</f>
        <v>18931.971312662634</v>
      </c>
      <c r="G23" s="132">
        <f>IF(SER_hh_tes!G23=0,0,11630*1000*SER_hh_tes!G23/SER_hh_num!G23)</f>
        <v>19137.65298459278</v>
      </c>
      <c r="H23" s="132">
        <f>IF(SER_hh_tes!H23=0,0,11630*1000*SER_hh_tes!H23/SER_hh_num!H23)</f>
        <v>19128.836096132654</v>
      </c>
      <c r="I23" s="132">
        <f>IF(SER_hh_tes!I23=0,0,11630*1000*SER_hh_tes!I23/SER_hh_num!I23)</f>
        <v>19187.659566479368</v>
      </c>
      <c r="J23" s="132">
        <f>IF(SER_hh_tes!J23=0,0,11630*1000*SER_hh_tes!J23/SER_hh_num!J23)</f>
        <v>19342.963549807275</v>
      </c>
      <c r="K23" s="132">
        <f>IF(SER_hh_tes!K23=0,0,11630*1000*SER_hh_tes!K23/SER_hh_num!K23)</f>
        <v>19391.115549974795</v>
      </c>
      <c r="L23" s="132">
        <f>IF(SER_hh_tes!L23=0,0,11630*1000*SER_hh_tes!L23/SER_hh_num!L23)</f>
        <v>19235.066336316275</v>
      </c>
      <c r="M23" s="132">
        <f>IF(SER_hh_tes!M23=0,0,11630*1000*SER_hh_tes!M23/SER_hh_num!M23)</f>
        <v>19533.470901439534</v>
      </c>
      <c r="N23" s="132">
        <f>IF(SER_hh_tes!N23=0,0,11630*1000*SER_hh_tes!N23/SER_hh_num!N23)</f>
        <v>19772.649839643524</v>
      </c>
      <c r="O23" s="132">
        <f>IF(SER_hh_tes!O23=0,0,11630*1000*SER_hh_tes!O23/SER_hh_num!O23)</f>
        <v>20137.115888797827</v>
      </c>
      <c r="P23" s="132">
        <f>IF(SER_hh_tes!P23=0,0,11630*1000*SER_hh_tes!P23/SER_hh_num!P23)</f>
        <v>20351.899312287616</v>
      </c>
      <c r="Q23" s="132">
        <f>IF(SER_hh_tes!Q23=0,0,11630*1000*SER_hh_tes!Q23/SER_hh_num!Q23)</f>
        <v>20493.81557229305</v>
      </c>
      <c r="R23" s="132">
        <f>IF(SER_hh_tes!R23=0,0,11630*1000*SER_hh_tes!R23/SER_hh_num!R23)</f>
        <v>20443.186629691249</v>
      </c>
      <c r="S23" s="132">
        <f>IF(SER_hh_tes!S23=0,0,11630*1000*SER_hh_tes!S23/SER_hh_num!S23)</f>
        <v>20927.206647779727</v>
      </c>
      <c r="T23" s="132">
        <f>IF(SER_hh_tes!T23=0,0,11630*1000*SER_hh_tes!T23/SER_hh_num!T23)</f>
        <v>22177.790790825053</v>
      </c>
      <c r="U23" s="132">
        <f>IF(SER_hh_tes!U23=0,0,11630*1000*SER_hh_tes!U23/SER_hh_num!U23)</f>
        <v>19297.938105276924</v>
      </c>
      <c r="V23" s="132">
        <f>IF(SER_hh_tes!V23=0,0,11630*1000*SER_hh_tes!V23/SER_hh_num!V23)</f>
        <v>18580.064459661549</v>
      </c>
      <c r="W23" s="132">
        <f>IF(SER_hh_tes!W23=0,0,11630*1000*SER_hh_tes!W23/SER_hh_num!W23)</f>
        <v>21396.149278280282</v>
      </c>
      <c r="X23" s="132">
        <f>IF(SER_hh_tes!X23=0,0,11630*1000*SER_hh_tes!X23/SER_hh_num!X23)</f>
        <v>21768.07647390561</v>
      </c>
      <c r="Y23" s="132">
        <f>IF(SER_hh_tes!Y23=0,0,11630*1000*SER_hh_tes!Y23/SER_hh_num!Y23)</f>
        <v>22151.326502716031</v>
      </c>
      <c r="DA23" s="156" t="s">
        <v>435</v>
      </c>
    </row>
    <row r="24" spans="1:105" ht="12" customHeight="1" x14ac:dyDescent="0.25">
      <c r="A24" s="131" t="s">
        <v>128</v>
      </c>
      <c r="B24" s="132">
        <f>IF(SER_hh_tes!B24=0,0,11630*1000*SER_hh_tes!B24/SER_hh_num!B24)</f>
        <v>0</v>
      </c>
      <c r="C24" s="132">
        <f>IF(SER_hh_tes!C24=0,0,11630*1000*SER_hh_tes!C24/SER_hh_num!C24)</f>
        <v>0</v>
      </c>
      <c r="D24" s="132">
        <f>IF(SER_hh_tes!D24=0,0,11630*1000*SER_hh_tes!D24/SER_hh_num!D24)</f>
        <v>0</v>
      </c>
      <c r="E24" s="132">
        <f>IF(SER_hh_tes!E24=0,0,11630*1000*SER_hh_tes!E24/SER_hh_num!E24)</f>
        <v>0</v>
      </c>
      <c r="F24" s="132">
        <f>IF(SER_hh_tes!F24=0,0,11630*1000*SER_hh_tes!F24/SER_hh_num!F24)</f>
        <v>0</v>
      </c>
      <c r="G24" s="132">
        <f>IF(SER_hh_tes!G24=0,0,11630*1000*SER_hh_tes!G24/SER_hh_num!G24)</f>
        <v>0</v>
      </c>
      <c r="H24" s="132">
        <f>IF(SER_hh_tes!H24=0,0,11630*1000*SER_hh_tes!H24/SER_hh_num!H24)</f>
        <v>0</v>
      </c>
      <c r="I24" s="132">
        <f>IF(SER_hh_tes!I24=0,0,11630*1000*SER_hh_tes!I24/SER_hh_num!I24)</f>
        <v>0</v>
      </c>
      <c r="J24" s="132">
        <f>IF(SER_hh_tes!J24=0,0,11630*1000*SER_hh_tes!J24/SER_hh_num!J24)</f>
        <v>0</v>
      </c>
      <c r="K24" s="132">
        <f>IF(SER_hh_tes!K24=0,0,11630*1000*SER_hh_tes!K24/SER_hh_num!K24)</f>
        <v>0</v>
      </c>
      <c r="L24" s="132">
        <f>IF(SER_hh_tes!L24=0,0,11630*1000*SER_hh_tes!L24/SER_hh_num!L24)</f>
        <v>0</v>
      </c>
      <c r="M24" s="132">
        <f>IF(SER_hh_tes!M24=0,0,11630*1000*SER_hh_tes!M24/SER_hh_num!M24)</f>
        <v>0</v>
      </c>
      <c r="N24" s="132">
        <f>IF(SER_hh_tes!N24=0,0,11630*1000*SER_hh_tes!N24/SER_hh_num!N24)</f>
        <v>0</v>
      </c>
      <c r="O24" s="132">
        <f>IF(SER_hh_tes!O24=0,0,11630*1000*SER_hh_tes!O24/SER_hh_num!O24)</f>
        <v>0</v>
      </c>
      <c r="P24" s="132">
        <f>IF(SER_hh_tes!P24=0,0,11630*1000*SER_hh_tes!P24/SER_hh_num!P24)</f>
        <v>0</v>
      </c>
      <c r="Q24" s="132">
        <f>IF(SER_hh_tes!Q24=0,0,11630*1000*SER_hh_tes!Q24/SER_hh_num!Q24)</f>
        <v>0</v>
      </c>
      <c r="R24" s="132">
        <f>IF(SER_hh_tes!R24=0,0,11630*1000*SER_hh_tes!R24/SER_hh_num!R24)</f>
        <v>0</v>
      </c>
      <c r="S24" s="132">
        <f>IF(SER_hh_tes!S24=0,0,11630*1000*SER_hh_tes!S24/SER_hh_num!S24)</f>
        <v>0</v>
      </c>
      <c r="T24" s="132">
        <f>IF(SER_hh_tes!T24=0,0,11630*1000*SER_hh_tes!T24/SER_hh_num!T24)</f>
        <v>0</v>
      </c>
      <c r="U24" s="132">
        <f>IF(SER_hh_tes!U24=0,0,11630*1000*SER_hh_tes!U24/SER_hh_num!U24)</f>
        <v>0</v>
      </c>
      <c r="V24" s="132">
        <f>IF(SER_hh_tes!V24=0,0,11630*1000*SER_hh_tes!V24/SER_hh_num!V24)</f>
        <v>0</v>
      </c>
      <c r="W24" s="132">
        <f>IF(SER_hh_tes!W24=0,0,11630*1000*SER_hh_tes!W24/SER_hh_num!W24)</f>
        <v>0</v>
      </c>
      <c r="X24" s="132">
        <f>IF(SER_hh_tes!X24=0,0,11630*1000*SER_hh_tes!X24/SER_hh_num!X24)</f>
        <v>0</v>
      </c>
      <c r="Y24" s="132">
        <f>IF(SER_hh_tes!Y24=0,0,11630*1000*SER_hh_tes!Y24/SER_hh_num!Y24)</f>
        <v>0</v>
      </c>
      <c r="DA24" s="156" t="s">
        <v>436</v>
      </c>
    </row>
    <row r="25" spans="1:105" ht="12" customHeight="1" x14ac:dyDescent="0.25">
      <c r="A25" s="131" t="s">
        <v>162</v>
      </c>
      <c r="B25" s="132">
        <f>IF(SER_hh_tes!B25=0,0,11630*1000*SER_hh_tes!B25/SER_hh_num!B25)</f>
        <v>0</v>
      </c>
      <c r="C25" s="132">
        <f>IF(SER_hh_tes!C25=0,0,11630*1000*SER_hh_tes!C25/SER_hh_num!C25)</f>
        <v>0</v>
      </c>
      <c r="D25" s="132">
        <f>IF(SER_hh_tes!D25=0,0,11630*1000*SER_hh_tes!D25/SER_hh_num!D25)</f>
        <v>0</v>
      </c>
      <c r="E25" s="132">
        <f>IF(SER_hh_tes!E25=0,0,11630*1000*SER_hh_tes!E25/SER_hh_num!E25)</f>
        <v>0</v>
      </c>
      <c r="F25" s="132">
        <f>IF(SER_hh_tes!F25=0,0,11630*1000*SER_hh_tes!F25/SER_hh_num!F25)</f>
        <v>26944.518170889634</v>
      </c>
      <c r="G25" s="132">
        <f>IF(SER_hh_tes!G25=0,0,11630*1000*SER_hh_tes!G25/SER_hh_num!G25)</f>
        <v>21328.125367625766</v>
      </c>
      <c r="H25" s="132">
        <f>IF(SER_hh_tes!H25=0,0,11630*1000*SER_hh_tes!H25/SER_hh_num!H25)</f>
        <v>19063.846676047666</v>
      </c>
      <c r="I25" s="132">
        <f>IF(SER_hh_tes!I25=0,0,11630*1000*SER_hh_tes!I25/SER_hh_num!I25)</f>
        <v>18700.026159708203</v>
      </c>
      <c r="J25" s="132">
        <f>IF(SER_hh_tes!J25=0,0,11630*1000*SER_hh_tes!J25/SER_hh_num!J25)</f>
        <v>18090.673625482752</v>
      </c>
      <c r="K25" s="132">
        <f>IF(SER_hh_tes!K25=0,0,11630*1000*SER_hh_tes!K25/SER_hh_num!K25)</f>
        <v>19586.128890996421</v>
      </c>
      <c r="L25" s="132">
        <f>IF(SER_hh_tes!L25=0,0,11630*1000*SER_hh_tes!L25/SER_hh_num!L25)</f>
        <v>18650.678998970649</v>
      </c>
      <c r="M25" s="132">
        <f>IF(SER_hh_tes!M25=0,0,11630*1000*SER_hh_tes!M25/SER_hh_num!M25)</f>
        <v>18529.161132440215</v>
      </c>
      <c r="N25" s="132">
        <f>IF(SER_hh_tes!N25=0,0,11630*1000*SER_hh_tes!N25/SER_hh_num!N25)</f>
        <v>18716.605032737792</v>
      </c>
      <c r="O25" s="132">
        <f>IF(SER_hh_tes!O25=0,0,11630*1000*SER_hh_tes!O25/SER_hh_num!O25)</f>
        <v>20987.597595265539</v>
      </c>
      <c r="P25" s="132">
        <f>IF(SER_hh_tes!P25=0,0,11630*1000*SER_hh_tes!P25/SER_hh_num!P25)</f>
        <v>21350.395601649027</v>
      </c>
      <c r="Q25" s="132">
        <f>IF(SER_hh_tes!Q25=0,0,11630*1000*SER_hh_tes!Q25/SER_hh_num!Q25)</f>
        <v>20308.88559199846</v>
      </c>
      <c r="R25" s="132">
        <f>IF(SER_hh_tes!R25=0,0,11630*1000*SER_hh_tes!R25/SER_hh_num!R25)</f>
        <v>21253.46109985435</v>
      </c>
      <c r="S25" s="132">
        <f>IF(SER_hh_tes!S25=0,0,11630*1000*SER_hh_tes!S25/SER_hh_num!S25)</f>
        <v>20956.397135623145</v>
      </c>
      <c r="T25" s="132">
        <f>IF(SER_hh_tes!T25=0,0,11630*1000*SER_hh_tes!T25/SER_hh_num!T25)</f>
        <v>21185.06390371047</v>
      </c>
      <c r="U25" s="132">
        <f>IF(SER_hh_tes!U25=0,0,11630*1000*SER_hh_tes!U25/SER_hh_num!U25)</f>
        <v>20633.867750110639</v>
      </c>
      <c r="V25" s="132">
        <f>IF(SER_hh_tes!V25=0,0,11630*1000*SER_hh_tes!V25/SER_hh_num!V25)</f>
        <v>19710.378749349922</v>
      </c>
      <c r="W25" s="132">
        <f>IF(SER_hh_tes!W25=0,0,11630*1000*SER_hh_tes!W25/SER_hh_num!W25)</f>
        <v>18389.93601756962</v>
      </c>
      <c r="X25" s="132">
        <f>IF(SER_hh_tes!X25=0,0,11630*1000*SER_hh_tes!X25/SER_hh_num!X25)</f>
        <v>22216.791291265454</v>
      </c>
      <c r="Y25" s="132">
        <f>IF(SER_hh_tes!Y25=0,0,11630*1000*SER_hh_tes!Y25/SER_hh_num!Y25)</f>
        <v>21552.185421361813</v>
      </c>
      <c r="DA25" s="156" t="s">
        <v>437</v>
      </c>
    </row>
    <row r="26" spans="1:105" ht="12" customHeight="1" x14ac:dyDescent="0.25">
      <c r="A26" s="131" t="s">
        <v>24</v>
      </c>
      <c r="B26" s="65">
        <f>IF(SER_hh_tes!B26=0,0,11630*1000*SER_hh_tes!B26/SER_hh_num!B26)</f>
        <v>18279.441381774053</v>
      </c>
      <c r="C26" s="65">
        <f>IF(SER_hh_tes!C26=0,0,11630*1000*SER_hh_tes!C26/SER_hh_num!C26)</f>
        <v>18684.424505466264</v>
      </c>
      <c r="D26" s="65">
        <f>IF(SER_hh_tes!D26=0,0,11630*1000*SER_hh_tes!D26/SER_hh_num!D26)</f>
        <v>19041.26664116441</v>
      </c>
      <c r="E26" s="65">
        <f>IF(SER_hh_tes!E26=0,0,11630*1000*SER_hh_tes!E26/SER_hh_num!E26)</f>
        <v>18662.187605712479</v>
      </c>
      <c r="F26" s="65">
        <f>IF(SER_hh_tes!F26=0,0,11630*1000*SER_hh_tes!F26/SER_hh_num!F26)</f>
        <v>19284.706387490245</v>
      </c>
      <c r="G26" s="65">
        <f>IF(SER_hh_tes!G26=0,0,11630*1000*SER_hh_tes!G26/SER_hh_num!G26)</f>
        <v>18636.610127834618</v>
      </c>
      <c r="H26" s="65">
        <f>IF(SER_hh_tes!H26=0,0,11630*1000*SER_hh_tes!H26/SER_hh_num!H26)</f>
        <v>18609.356442905602</v>
      </c>
      <c r="I26" s="65">
        <f>IF(SER_hh_tes!I26=0,0,11630*1000*SER_hh_tes!I26/SER_hh_num!I26)</f>
        <v>19266.715585917613</v>
      </c>
      <c r="J26" s="65">
        <f>IF(SER_hh_tes!J26=0,0,11630*1000*SER_hh_tes!J26/SER_hh_num!J26)</f>
        <v>18874.400728433524</v>
      </c>
      <c r="K26" s="65">
        <f>IF(SER_hh_tes!K26=0,0,11630*1000*SER_hh_tes!K26/SER_hh_num!K26)</f>
        <v>18663.212520882003</v>
      </c>
      <c r="L26" s="65">
        <f>IF(SER_hh_tes!L26=0,0,11630*1000*SER_hh_tes!L26/SER_hh_num!L26)</f>
        <v>18706.510066041632</v>
      </c>
      <c r="M26" s="65">
        <f>IF(SER_hh_tes!M26=0,0,11630*1000*SER_hh_tes!M26/SER_hh_num!M26)</f>
        <v>18957.151102624637</v>
      </c>
      <c r="N26" s="65">
        <f>IF(SER_hh_tes!N26=0,0,11630*1000*SER_hh_tes!N26/SER_hh_num!N26)</f>
        <v>18370.596273617197</v>
      </c>
      <c r="O26" s="65">
        <f>IF(SER_hh_tes!O26=0,0,11630*1000*SER_hh_tes!O26/SER_hh_num!O26)</f>
        <v>19265.166978625435</v>
      </c>
      <c r="P26" s="65">
        <f>IF(SER_hh_tes!P26=0,0,11630*1000*SER_hh_tes!P26/SER_hh_num!P26)</f>
        <v>19573.536606790272</v>
      </c>
      <c r="Q26" s="65">
        <f>IF(SER_hh_tes!Q26=0,0,11630*1000*SER_hh_tes!Q26/SER_hh_num!Q26)</f>
        <v>19624.07198590181</v>
      </c>
      <c r="R26" s="65">
        <f>IF(SER_hh_tes!R26=0,0,11630*1000*SER_hh_tes!R26/SER_hh_num!R26)</f>
        <v>20425.181403704839</v>
      </c>
      <c r="S26" s="65">
        <f>IF(SER_hh_tes!S26=0,0,11630*1000*SER_hh_tes!S26/SER_hh_num!S26)</f>
        <v>19371.524442882866</v>
      </c>
      <c r="T26" s="65">
        <f>IF(SER_hh_tes!T26=0,0,11630*1000*SER_hh_tes!T26/SER_hh_num!T26)</f>
        <v>18083.22589586633</v>
      </c>
      <c r="U26" s="65">
        <f>IF(SER_hh_tes!U26=0,0,11630*1000*SER_hh_tes!U26/SER_hh_num!U26)</f>
        <v>18702.817388609699</v>
      </c>
      <c r="V26" s="65">
        <f>IF(SER_hh_tes!V26=0,0,11630*1000*SER_hh_tes!V26/SER_hh_num!V26)</f>
        <v>16045.766093940239</v>
      </c>
      <c r="W26" s="65">
        <f>IF(SER_hh_tes!W26=0,0,11630*1000*SER_hh_tes!W26/SER_hh_num!W26)</f>
        <v>20042.819332833056</v>
      </c>
      <c r="X26" s="65">
        <f>IF(SER_hh_tes!X26=0,0,11630*1000*SER_hh_tes!X26/SER_hh_num!X26)</f>
        <v>20747.28304540009</v>
      </c>
      <c r="Y26" s="65">
        <f>IF(SER_hh_tes!Y26=0,0,11630*1000*SER_hh_tes!Y26/SER_hh_num!Y26)</f>
        <v>20846.041694720137</v>
      </c>
      <c r="DA26" s="109" t="s">
        <v>438</v>
      </c>
    </row>
    <row r="27" spans="1:105" ht="12" customHeight="1" x14ac:dyDescent="0.25">
      <c r="A27" s="144" t="s">
        <v>86</v>
      </c>
      <c r="B27" s="145">
        <f>IF(SER_hh_tes!B27=0,0,11630*1000*SER_hh_tes!B27/SER_hh_num!B19)</f>
        <v>47.566052405710451</v>
      </c>
      <c r="C27" s="145">
        <f>IF(SER_hh_tes!C27=0,0,11630*1000*SER_hh_tes!C27/SER_hh_num!C19)</f>
        <v>52.150200004303649</v>
      </c>
      <c r="D27" s="145">
        <f>IF(SER_hh_tes!D27=0,0,11630*1000*SER_hh_tes!D27/SER_hh_num!D19)</f>
        <v>58.950075839078963</v>
      </c>
      <c r="E27" s="145">
        <f>IF(SER_hh_tes!E27=0,0,11630*1000*SER_hh_tes!E27/SER_hh_num!E19)</f>
        <v>67.319831282818683</v>
      </c>
      <c r="F27" s="145">
        <f>IF(SER_hh_tes!F27=0,0,11630*1000*SER_hh_tes!F27/SER_hh_num!F19)</f>
        <v>76.732231405632206</v>
      </c>
      <c r="G27" s="145">
        <f>IF(SER_hh_tes!G27=0,0,11630*1000*SER_hh_tes!G27/SER_hh_num!G19)</f>
        <v>112.90649096567178</v>
      </c>
      <c r="H27" s="145">
        <f>IF(SER_hh_tes!H27=0,0,11630*1000*SER_hh_tes!H27/SER_hh_num!H19)</f>
        <v>140.73579410249127</v>
      </c>
      <c r="I27" s="145">
        <f>IF(SER_hh_tes!I27=0,0,11630*1000*SER_hh_tes!I27/SER_hh_num!I19)</f>
        <v>207.22721667174855</v>
      </c>
      <c r="J27" s="145">
        <f>IF(SER_hh_tes!J27=0,0,11630*1000*SER_hh_tes!J27/SER_hh_num!J19)</f>
        <v>264.39307134688966</v>
      </c>
      <c r="K27" s="145">
        <f>IF(SER_hh_tes!K27=0,0,11630*1000*SER_hh_tes!K27/SER_hh_num!K19)</f>
        <v>335.71846491140764</v>
      </c>
      <c r="L27" s="145">
        <f>IF(SER_hh_tes!L27=0,0,11630*1000*SER_hh_tes!L27/SER_hh_num!L19)</f>
        <v>500.63754878216571</v>
      </c>
      <c r="M27" s="145">
        <f>IF(SER_hh_tes!M27=0,0,11630*1000*SER_hh_tes!M27/SER_hh_num!M19)</f>
        <v>519.67663987003368</v>
      </c>
      <c r="N27" s="145">
        <f>IF(SER_hh_tes!N27=0,0,11630*1000*SER_hh_tes!N27/SER_hh_num!N19)</f>
        <v>573.32408469121276</v>
      </c>
      <c r="O27" s="145">
        <f>IF(SER_hh_tes!O27=0,0,11630*1000*SER_hh_tes!O27/SER_hh_num!O19)</f>
        <v>622.48627639076062</v>
      </c>
      <c r="P27" s="145">
        <f>IF(SER_hh_tes!P27=0,0,11630*1000*SER_hh_tes!P27/SER_hh_num!P19)</f>
        <v>656.41889637832844</v>
      </c>
      <c r="Q27" s="145">
        <f>IF(SER_hh_tes!Q27=0,0,11630*1000*SER_hh_tes!Q27/SER_hh_num!Q19)</f>
        <v>692.54498854923588</v>
      </c>
      <c r="R27" s="145">
        <f>IF(SER_hh_tes!R27=0,0,11630*1000*SER_hh_tes!R27/SER_hh_num!R19)</f>
        <v>729.39557302170658</v>
      </c>
      <c r="S27" s="145">
        <f>IF(SER_hh_tes!S27=0,0,11630*1000*SER_hh_tes!S27/SER_hh_num!S19)</f>
        <v>757.35597299500796</v>
      </c>
      <c r="T27" s="145">
        <f>IF(SER_hh_tes!T27=0,0,11630*1000*SER_hh_tes!T27/SER_hh_num!T19)</f>
        <v>789.79092232996118</v>
      </c>
      <c r="U27" s="145">
        <f>IF(SER_hh_tes!U27=0,0,11630*1000*SER_hh_tes!U27/SER_hh_num!U19)</f>
        <v>822.14844792943143</v>
      </c>
      <c r="V27" s="145">
        <f>IF(SER_hh_tes!V27=0,0,11630*1000*SER_hh_tes!V27/SER_hh_num!V19)</f>
        <v>778.81502515848558</v>
      </c>
      <c r="W27" s="145">
        <f>IF(SER_hh_tes!W27=0,0,11630*1000*SER_hh_tes!W27/SER_hh_num!W19)</f>
        <v>798.76596338292632</v>
      </c>
      <c r="X27" s="145">
        <f>IF(SER_hh_tes!X27=0,0,11630*1000*SER_hh_tes!X27/SER_hh_num!X19)</f>
        <v>802.26927527665703</v>
      </c>
      <c r="Y27" s="145">
        <f>IF(SER_hh_tes!Y27=0,0,11630*1000*SER_hh_tes!Y27/SER_hh_num!Y19)</f>
        <v>797.70576567547062</v>
      </c>
      <c r="DA27" s="158" t="s">
        <v>439</v>
      </c>
    </row>
    <row r="28" spans="1:105" ht="12" customHeight="1" x14ac:dyDescent="0.25">
      <c r="A28" s="78" t="s">
        <v>85</v>
      </c>
      <c r="B28" s="146">
        <f>IF(SER_hh_tes!B27=0,0,11630*1000*SER_hh_tes!B27/SER_hh_num!B27)</f>
        <v>15056.262935202645</v>
      </c>
      <c r="C28" s="146">
        <f>IF(SER_hh_tes!C27=0,0,11630*1000*SER_hh_tes!C27/SER_hh_num!C27)</f>
        <v>15808.006970632225</v>
      </c>
      <c r="D28" s="146">
        <f>IF(SER_hh_tes!D27=0,0,11630*1000*SER_hh_tes!D27/SER_hh_num!D27)</f>
        <v>15494.025691892046</v>
      </c>
      <c r="E28" s="146">
        <f>IF(SER_hh_tes!E27=0,0,11630*1000*SER_hh_tes!E27/SER_hh_num!E27)</f>
        <v>15906.387672413124</v>
      </c>
      <c r="F28" s="146">
        <f>IF(SER_hh_tes!F27=0,0,11630*1000*SER_hh_tes!F27/SER_hh_num!F27)</f>
        <v>15505.966322177017</v>
      </c>
      <c r="G28" s="146">
        <f>IF(SER_hh_tes!G27=0,0,11630*1000*SER_hh_tes!G27/SER_hh_num!G27)</f>
        <v>15923.738722804505</v>
      </c>
      <c r="H28" s="146">
        <f>IF(SER_hh_tes!H27=0,0,11630*1000*SER_hh_tes!H27/SER_hh_num!H27)</f>
        <v>16020.543535173403</v>
      </c>
      <c r="I28" s="146">
        <f>IF(SER_hh_tes!I27=0,0,11630*1000*SER_hh_tes!I27/SER_hh_num!I27)</f>
        <v>16588.350678951036</v>
      </c>
      <c r="J28" s="146">
        <f>IF(SER_hh_tes!J27=0,0,11630*1000*SER_hh_tes!J27/SER_hh_num!J27)</f>
        <v>15783.51993803281</v>
      </c>
      <c r="K28" s="146">
        <f>IF(SER_hh_tes!K27=0,0,11630*1000*SER_hh_tes!K27/SER_hh_num!K27)</f>
        <v>16481.632656850532</v>
      </c>
      <c r="L28" s="146">
        <f>IF(SER_hh_tes!L27=0,0,11630*1000*SER_hh_tes!L27/SER_hh_num!L27)</f>
        <v>16720.712261997614</v>
      </c>
      <c r="M28" s="146">
        <f>IF(SER_hh_tes!M27=0,0,11630*1000*SER_hh_tes!M27/SER_hh_num!M27)</f>
        <v>16304.920762060718</v>
      </c>
      <c r="N28" s="146">
        <f>IF(SER_hh_tes!N27=0,0,11630*1000*SER_hh_tes!N27/SER_hh_num!N27)</f>
        <v>17092.950271042278</v>
      </c>
      <c r="O28" s="146">
        <f>IF(SER_hh_tes!O27=0,0,11630*1000*SER_hh_tes!O27/SER_hh_num!O27)</f>
        <v>17917.667967287034</v>
      </c>
      <c r="P28" s="146">
        <f>IF(SER_hh_tes!P27=0,0,11630*1000*SER_hh_tes!P27/SER_hh_num!P27)</f>
        <v>16426.553790948357</v>
      </c>
      <c r="Q28" s="146">
        <f>IF(SER_hh_tes!Q27=0,0,11630*1000*SER_hh_tes!Q27/SER_hh_num!Q27)</f>
        <v>17986.638942139747</v>
      </c>
      <c r="R28" s="146">
        <f>IF(SER_hh_tes!R27=0,0,11630*1000*SER_hh_tes!R27/SER_hh_num!R27)</f>
        <v>18559.231176929185</v>
      </c>
      <c r="S28" s="146">
        <f>IF(SER_hh_tes!S27=0,0,11630*1000*SER_hh_tes!S27/SER_hh_num!S27)</f>
        <v>18049.883311458172</v>
      </c>
      <c r="T28" s="146">
        <f>IF(SER_hh_tes!T27=0,0,11630*1000*SER_hh_tes!T27/SER_hh_num!T27)</f>
        <v>18249.603491752605</v>
      </c>
      <c r="U28" s="146">
        <f>IF(SER_hh_tes!U27=0,0,11630*1000*SER_hh_tes!U27/SER_hh_num!U27)</f>
        <v>16936.351232334258</v>
      </c>
      <c r="V28" s="146">
        <f>IF(SER_hh_tes!V27=0,0,11630*1000*SER_hh_tes!V27/SER_hh_num!V27)</f>
        <v>15071.731415713912</v>
      </c>
      <c r="W28" s="146">
        <f>IF(SER_hh_tes!W27=0,0,11630*1000*SER_hh_tes!W27/SER_hh_num!W27)</f>
        <v>17084.924397540228</v>
      </c>
      <c r="X28" s="146">
        <f>IF(SER_hh_tes!X27=0,0,11630*1000*SER_hh_tes!X27/SER_hh_num!X27)</f>
        <v>21768.622588831673</v>
      </c>
      <c r="Y28" s="146">
        <f>IF(SER_hh_tes!Y27=0,0,11630*1000*SER_hh_tes!Y27/SER_hh_num!Y27)</f>
        <v>18340.5303181659</v>
      </c>
      <c r="DA28" s="159"/>
    </row>
    <row r="29" spans="1:105" ht="12.95" customHeight="1" x14ac:dyDescent="0.25">
      <c r="A29" s="129" t="s">
        <v>34</v>
      </c>
      <c r="B29" s="130">
        <f>IF(SER_hh_tes!B29=0,0,11630*1000*SER_hh_tes!B29/SER_hh_num!B29)</f>
        <v>19875.731243558908</v>
      </c>
      <c r="C29" s="130">
        <f>IF(SER_hh_tes!C29=0,0,11630*1000*SER_hh_tes!C29/SER_hh_num!C29)</f>
        <v>19771.553701337009</v>
      </c>
      <c r="D29" s="130">
        <f>IF(SER_hh_tes!D29=0,0,11630*1000*SER_hh_tes!D29/SER_hh_num!D29)</f>
        <v>19933.037695072253</v>
      </c>
      <c r="E29" s="130">
        <f>IF(SER_hh_tes!E29=0,0,11630*1000*SER_hh_tes!E29/SER_hh_num!E29)</f>
        <v>19940.272711331894</v>
      </c>
      <c r="F29" s="130">
        <f>IF(SER_hh_tes!F29=0,0,11630*1000*SER_hh_tes!F29/SER_hh_num!F29)</f>
        <v>20529.904669521246</v>
      </c>
      <c r="G29" s="130">
        <f>IF(SER_hh_tes!G29=0,0,11630*1000*SER_hh_tes!G29/SER_hh_num!G29)</f>
        <v>21357.987992676241</v>
      </c>
      <c r="H29" s="130">
        <f>IF(SER_hh_tes!H29=0,0,11630*1000*SER_hh_tes!H29/SER_hh_num!H29)</f>
        <v>21192.167538645979</v>
      </c>
      <c r="I29" s="130">
        <f>IF(SER_hh_tes!I29=0,0,11630*1000*SER_hh_tes!I29/SER_hh_num!I29)</f>
        <v>21411.144175489826</v>
      </c>
      <c r="J29" s="130">
        <f>IF(SER_hh_tes!J29=0,0,11630*1000*SER_hh_tes!J29/SER_hh_num!J29)</f>
        <v>21859.536444098423</v>
      </c>
      <c r="K29" s="130">
        <f>IF(SER_hh_tes!K29=0,0,11630*1000*SER_hh_tes!K29/SER_hh_num!K29)</f>
        <v>22236.29881618838</v>
      </c>
      <c r="L29" s="130">
        <f>IF(SER_hh_tes!L29=0,0,11630*1000*SER_hh_tes!L29/SER_hh_num!L29)</f>
        <v>22313.497276642036</v>
      </c>
      <c r="M29" s="130">
        <f>IF(SER_hh_tes!M29=0,0,11630*1000*SER_hh_tes!M29/SER_hh_num!M29)</f>
        <v>22367.238132274149</v>
      </c>
      <c r="N29" s="130">
        <f>IF(SER_hh_tes!N29=0,0,11630*1000*SER_hh_tes!N29/SER_hh_num!N29)</f>
        <v>22489.097396144778</v>
      </c>
      <c r="O29" s="130">
        <f>IF(SER_hh_tes!O29=0,0,11630*1000*SER_hh_tes!O29/SER_hh_num!O29)</f>
        <v>22801.567820479733</v>
      </c>
      <c r="P29" s="130">
        <f>IF(SER_hh_tes!P29=0,0,11630*1000*SER_hh_tes!P29/SER_hh_num!P29)</f>
        <v>22947.431865314727</v>
      </c>
      <c r="Q29" s="130">
        <f>IF(SER_hh_tes!Q29=0,0,11630*1000*SER_hh_tes!Q29/SER_hh_num!Q29)</f>
        <v>23137.502530985348</v>
      </c>
      <c r="R29" s="130">
        <f>IF(SER_hh_tes!R29=0,0,11630*1000*SER_hh_tes!R29/SER_hh_num!R29)</f>
        <v>23298.106094524272</v>
      </c>
      <c r="S29" s="130">
        <f>IF(SER_hh_tes!S29=0,0,11630*1000*SER_hh_tes!S29/SER_hh_num!S29)</f>
        <v>23269.228055868221</v>
      </c>
      <c r="T29" s="130">
        <f>IF(SER_hh_tes!T29=0,0,11630*1000*SER_hh_tes!T29/SER_hh_num!T29)</f>
        <v>23377.320527319906</v>
      </c>
      <c r="U29" s="130">
        <f>IF(SER_hh_tes!U29=0,0,11630*1000*SER_hh_tes!U29/SER_hh_num!U29)</f>
        <v>23001.531523312799</v>
      </c>
      <c r="V29" s="130">
        <f>IF(SER_hh_tes!V29=0,0,11630*1000*SER_hh_tes!V29/SER_hh_num!V29)</f>
        <v>20544.702359414576</v>
      </c>
      <c r="W29" s="130">
        <f>IF(SER_hh_tes!W29=0,0,11630*1000*SER_hh_tes!W29/SER_hh_num!W29)</f>
        <v>23970.741780100143</v>
      </c>
      <c r="X29" s="130">
        <f>IF(SER_hh_tes!X29=0,0,11630*1000*SER_hh_tes!X29/SER_hh_num!X29)</f>
        <v>24290.884149617199</v>
      </c>
      <c r="Y29" s="130">
        <f>IF(SER_hh_tes!Y29=0,0,11630*1000*SER_hh_tes!Y29/SER_hh_num!Y29)</f>
        <v>24563.106133570236</v>
      </c>
      <c r="DA29" s="155" t="s">
        <v>440</v>
      </c>
    </row>
    <row r="30" spans="1:105" ht="12" customHeight="1" x14ac:dyDescent="0.25">
      <c r="A30" s="131" t="s">
        <v>52</v>
      </c>
      <c r="B30" s="132">
        <f>IF(SER_hh_tes!B30=0,0,11630*1000*SER_hh_tes!B30/SER_hh_num!B30)</f>
        <v>20246.00525842376</v>
      </c>
      <c r="C30" s="132">
        <f>IF(SER_hh_tes!C30=0,0,11630*1000*SER_hh_tes!C30/SER_hh_num!C30)</f>
        <v>19461.676590714091</v>
      </c>
      <c r="D30" s="132">
        <f>IF(SER_hh_tes!D30=0,0,11630*1000*SER_hh_tes!D30/SER_hh_num!D30)</f>
        <v>20098.545450775935</v>
      </c>
      <c r="E30" s="132">
        <f>IF(SER_hh_tes!E30=0,0,11630*1000*SER_hh_tes!E30/SER_hh_num!E30)</f>
        <v>20500.323091203278</v>
      </c>
      <c r="F30" s="132">
        <f>IF(SER_hh_tes!F30=0,0,11630*1000*SER_hh_tes!F30/SER_hh_num!F30)</f>
        <v>20850.34181260458</v>
      </c>
      <c r="G30" s="132">
        <f>IF(SER_hh_tes!G30=0,0,11630*1000*SER_hh_tes!G30/SER_hh_num!G30)</f>
        <v>21113.856012351742</v>
      </c>
      <c r="H30" s="132">
        <f>IF(SER_hh_tes!H30=0,0,11630*1000*SER_hh_tes!H30/SER_hh_num!H30)</f>
        <v>20457.78148931688</v>
      </c>
      <c r="I30" s="132">
        <f>IF(SER_hh_tes!I30=0,0,11630*1000*SER_hh_tes!I30/SER_hh_num!I30)</f>
        <v>23004.434272103652</v>
      </c>
      <c r="J30" s="132">
        <f>IF(SER_hh_tes!J30=0,0,11630*1000*SER_hh_tes!J30/SER_hh_num!J30)</f>
        <v>17388.50895025018</v>
      </c>
      <c r="K30" s="132">
        <f>IF(SER_hh_tes!K30=0,0,11630*1000*SER_hh_tes!K30/SER_hh_num!K30)</f>
        <v>22796.276142548435</v>
      </c>
      <c r="L30" s="132">
        <f>IF(SER_hh_tes!L30=0,0,11630*1000*SER_hh_tes!L30/SER_hh_num!L30)</f>
        <v>22951.461150457217</v>
      </c>
      <c r="M30" s="132">
        <f>IF(SER_hh_tes!M30=0,0,11630*1000*SER_hh_tes!M30/SER_hh_num!M30)</f>
        <v>23343.839377867658</v>
      </c>
      <c r="N30" s="132">
        <f>IF(SER_hh_tes!N30=0,0,11630*1000*SER_hh_tes!N30/SER_hh_num!N30)</f>
        <v>20524.821106338357</v>
      </c>
      <c r="O30" s="132">
        <f>IF(SER_hh_tes!O30=0,0,11630*1000*SER_hh_tes!O30/SER_hh_num!O30)</f>
        <v>21930.669977834685</v>
      </c>
      <c r="P30" s="132">
        <f>IF(SER_hh_tes!P30=0,0,11630*1000*SER_hh_tes!P30/SER_hh_num!P30)</f>
        <v>24107.702862148319</v>
      </c>
      <c r="Q30" s="132">
        <f>IF(SER_hh_tes!Q30=0,0,11630*1000*SER_hh_tes!Q30/SER_hh_num!Q30)</f>
        <v>23263.160786346623</v>
      </c>
      <c r="R30" s="132">
        <f>IF(SER_hh_tes!R30=0,0,11630*1000*SER_hh_tes!R30/SER_hh_num!R30)</f>
        <v>23175.557840528985</v>
      </c>
      <c r="S30" s="132">
        <f>IF(SER_hh_tes!S30=0,0,11630*1000*SER_hh_tes!S30/SER_hh_num!S30)</f>
        <v>23520.846335960206</v>
      </c>
      <c r="T30" s="132">
        <f>IF(SER_hh_tes!T30=0,0,11630*1000*SER_hh_tes!T30/SER_hh_num!T30)</f>
        <v>23073.964589634063</v>
      </c>
      <c r="U30" s="132">
        <f>IF(SER_hh_tes!U30=0,0,11630*1000*SER_hh_tes!U30/SER_hh_num!U30)</f>
        <v>22089.728016570611</v>
      </c>
      <c r="V30" s="132">
        <f>IF(SER_hh_tes!V30=0,0,11630*1000*SER_hh_tes!V30/SER_hh_num!V30)</f>
        <v>22747.526859446116</v>
      </c>
      <c r="W30" s="132">
        <f>IF(SER_hh_tes!W30=0,0,11630*1000*SER_hh_tes!W30/SER_hh_num!W30)</f>
        <v>23366.484872687091</v>
      </c>
      <c r="X30" s="132">
        <f>IF(SER_hh_tes!X30=0,0,11630*1000*SER_hh_tes!X30/SER_hh_num!X30)</f>
        <v>24263.222477421412</v>
      </c>
      <c r="Y30" s="132">
        <f>IF(SER_hh_tes!Y30=0,0,11630*1000*SER_hh_tes!Y30/SER_hh_num!Y30)</f>
        <v>24517.938945158843</v>
      </c>
      <c r="DA30" s="156" t="s">
        <v>441</v>
      </c>
    </row>
    <row r="31" spans="1:105" ht="12" customHeight="1" x14ac:dyDescent="0.25">
      <c r="A31" s="131" t="s">
        <v>149</v>
      </c>
      <c r="B31" s="132">
        <f>IF(SER_hh_tes!B31=0,0,11630*1000*SER_hh_tes!B31/SER_hh_num!B31)</f>
        <v>19864.877811536873</v>
      </c>
      <c r="C31" s="132">
        <f>IF(SER_hh_tes!C31=0,0,11630*1000*SER_hh_tes!C31/SER_hh_num!C31)</f>
        <v>20168.180769008875</v>
      </c>
      <c r="D31" s="132">
        <f>IF(SER_hh_tes!D31=0,0,11630*1000*SER_hh_tes!D31/SER_hh_num!D31)</f>
        <v>20540.497764918277</v>
      </c>
      <c r="E31" s="132">
        <f>IF(SER_hh_tes!E31=0,0,11630*1000*SER_hh_tes!E31/SER_hh_num!E31)</f>
        <v>18749.589046317593</v>
      </c>
      <c r="F31" s="132">
        <f>IF(SER_hh_tes!F31=0,0,11630*1000*SER_hh_tes!F31/SER_hh_num!F31)</f>
        <v>19128.333713912514</v>
      </c>
      <c r="G31" s="132">
        <f>IF(SER_hh_tes!G31=0,0,11630*1000*SER_hh_tes!G31/SER_hh_num!G31)</f>
        <v>21899.969469801003</v>
      </c>
      <c r="H31" s="132">
        <f>IF(SER_hh_tes!H31=0,0,11630*1000*SER_hh_tes!H31/SER_hh_num!H31)</f>
        <v>20178.7195830319</v>
      </c>
      <c r="I31" s="132">
        <f>IF(SER_hh_tes!I31=0,0,11630*1000*SER_hh_tes!I31/SER_hh_num!I31)</f>
        <v>21851.258742338872</v>
      </c>
      <c r="J31" s="132">
        <f>IF(SER_hh_tes!J31=0,0,11630*1000*SER_hh_tes!J31/SER_hh_num!J31)</f>
        <v>21455.812555109973</v>
      </c>
      <c r="K31" s="132">
        <f>IF(SER_hh_tes!K31=0,0,11630*1000*SER_hh_tes!K31/SER_hh_num!K31)</f>
        <v>22429.98873971057</v>
      </c>
      <c r="L31" s="132">
        <f>IF(SER_hh_tes!L31=0,0,11630*1000*SER_hh_tes!L31/SER_hh_num!L31)</f>
        <v>22313.761587608267</v>
      </c>
      <c r="M31" s="132">
        <f>IF(SER_hh_tes!M31=0,0,11630*1000*SER_hh_tes!M31/SER_hh_num!M31)</f>
        <v>22231.697951988474</v>
      </c>
      <c r="N31" s="132">
        <f>IF(SER_hh_tes!N31=0,0,11630*1000*SER_hh_tes!N31/SER_hh_num!N31)</f>
        <v>22379.466710243058</v>
      </c>
      <c r="O31" s="132">
        <f>IF(SER_hh_tes!O31=0,0,11630*1000*SER_hh_tes!O31/SER_hh_num!O31)</f>
        <v>22493.255429043438</v>
      </c>
      <c r="P31" s="132">
        <f>IF(SER_hh_tes!P31=0,0,11630*1000*SER_hh_tes!P31/SER_hh_num!P31)</f>
        <v>23433.955511739547</v>
      </c>
      <c r="Q31" s="132">
        <f>IF(SER_hh_tes!Q31=0,0,11630*1000*SER_hh_tes!Q31/SER_hh_num!Q31)</f>
        <v>23200.772516144039</v>
      </c>
      <c r="R31" s="132">
        <f>IF(SER_hh_tes!R31=0,0,11630*1000*SER_hh_tes!R31/SER_hh_num!R31)</f>
        <v>23757.610975420175</v>
      </c>
      <c r="S31" s="132">
        <f>IF(SER_hh_tes!S31=0,0,11630*1000*SER_hh_tes!S31/SER_hh_num!S31)</f>
        <v>23593.409392736998</v>
      </c>
      <c r="T31" s="132">
        <f>IF(SER_hh_tes!T31=0,0,11630*1000*SER_hh_tes!T31/SER_hh_num!T31)</f>
        <v>21735.332353766906</v>
      </c>
      <c r="U31" s="132">
        <f>IF(SER_hh_tes!U31=0,0,11630*1000*SER_hh_tes!U31/SER_hh_num!U31)</f>
        <v>23893.648370455401</v>
      </c>
      <c r="V31" s="132">
        <f>IF(SER_hh_tes!V31=0,0,11630*1000*SER_hh_tes!V31/SER_hh_num!V31)</f>
        <v>21893.75654361441</v>
      </c>
      <c r="W31" s="132">
        <f>IF(SER_hh_tes!W31=0,0,11630*1000*SER_hh_tes!W31/SER_hh_num!W31)</f>
        <v>21893.049915355561</v>
      </c>
      <c r="X31" s="132">
        <f>IF(SER_hh_tes!X31=0,0,11630*1000*SER_hh_tes!X31/SER_hh_num!X31)</f>
        <v>23893.276687852347</v>
      </c>
      <c r="Y31" s="132">
        <f>IF(SER_hh_tes!Y31=0,0,11630*1000*SER_hh_tes!Y31/SER_hh_num!Y31)</f>
        <v>24583.325860904464</v>
      </c>
      <c r="DA31" s="156" t="s">
        <v>442</v>
      </c>
    </row>
    <row r="32" spans="1:105" ht="12" customHeight="1" x14ac:dyDescent="0.25">
      <c r="A32" s="131" t="s">
        <v>128</v>
      </c>
      <c r="B32" s="132">
        <f>IF(SER_hh_tes!B32=0,0,11630*1000*SER_hh_tes!B32/SER_hh_num!B32)</f>
        <v>0</v>
      </c>
      <c r="C32" s="132">
        <f>IF(SER_hh_tes!C32=0,0,11630*1000*SER_hh_tes!C32/SER_hh_num!C32)</f>
        <v>0</v>
      </c>
      <c r="D32" s="132">
        <f>IF(SER_hh_tes!D32=0,0,11630*1000*SER_hh_tes!D32/SER_hh_num!D32)</f>
        <v>0</v>
      </c>
      <c r="E32" s="132">
        <f>IF(SER_hh_tes!E32=0,0,11630*1000*SER_hh_tes!E32/SER_hh_num!E32)</f>
        <v>0</v>
      </c>
      <c r="F32" s="132">
        <f>IF(SER_hh_tes!F32=0,0,11630*1000*SER_hh_tes!F32/SER_hh_num!F32)</f>
        <v>0</v>
      </c>
      <c r="G32" s="132">
        <f>IF(SER_hh_tes!G32=0,0,11630*1000*SER_hh_tes!G32/SER_hh_num!G32)</f>
        <v>0</v>
      </c>
      <c r="H32" s="132">
        <f>IF(SER_hh_tes!H32=0,0,11630*1000*SER_hh_tes!H32/SER_hh_num!H32)</f>
        <v>0</v>
      </c>
      <c r="I32" s="132">
        <f>IF(SER_hh_tes!I32=0,0,11630*1000*SER_hh_tes!I32/SER_hh_num!I32)</f>
        <v>0</v>
      </c>
      <c r="J32" s="132">
        <f>IF(SER_hh_tes!J32=0,0,11630*1000*SER_hh_tes!J32/SER_hh_num!J32)</f>
        <v>0</v>
      </c>
      <c r="K32" s="132">
        <f>IF(SER_hh_tes!K32=0,0,11630*1000*SER_hh_tes!K32/SER_hh_num!K32)</f>
        <v>0</v>
      </c>
      <c r="L32" s="132">
        <f>IF(SER_hh_tes!L32=0,0,11630*1000*SER_hh_tes!L32/SER_hh_num!L32)</f>
        <v>0</v>
      </c>
      <c r="M32" s="132">
        <f>IF(SER_hh_tes!M32=0,0,11630*1000*SER_hh_tes!M32/SER_hh_num!M32)</f>
        <v>0</v>
      </c>
      <c r="N32" s="132">
        <f>IF(SER_hh_tes!N32=0,0,11630*1000*SER_hh_tes!N32/SER_hh_num!N32)</f>
        <v>0</v>
      </c>
      <c r="O32" s="132">
        <f>IF(SER_hh_tes!O32=0,0,11630*1000*SER_hh_tes!O32/SER_hh_num!O32)</f>
        <v>0</v>
      </c>
      <c r="P32" s="132">
        <f>IF(SER_hh_tes!P32=0,0,11630*1000*SER_hh_tes!P32/SER_hh_num!P32)</f>
        <v>0</v>
      </c>
      <c r="Q32" s="132">
        <f>IF(SER_hh_tes!Q32=0,0,11630*1000*SER_hh_tes!Q32/SER_hh_num!Q32)</f>
        <v>0</v>
      </c>
      <c r="R32" s="132">
        <f>IF(SER_hh_tes!R32=0,0,11630*1000*SER_hh_tes!R32/SER_hh_num!R32)</f>
        <v>0</v>
      </c>
      <c r="S32" s="132">
        <f>IF(SER_hh_tes!S32=0,0,11630*1000*SER_hh_tes!S32/SER_hh_num!S32)</f>
        <v>0</v>
      </c>
      <c r="T32" s="132">
        <f>IF(SER_hh_tes!T32=0,0,11630*1000*SER_hh_tes!T32/SER_hh_num!T32)</f>
        <v>0</v>
      </c>
      <c r="U32" s="132">
        <f>IF(SER_hh_tes!U32=0,0,11630*1000*SER_hh_tes!U32/SER_hh_num!U32)</f>
        <v>0</v>
      </c>
      <c r="V32" s="132">
        <f>IF(SER_hh_tes!V32=0,0,11630*1000*SER_hh_tes!V32/SER_hh_num!V32)</f>
        <v>0</v>
      </c>
      <c r="W32" s="132">
        <f>IF(SER_hh_tes!W32=0,0,11630*1000*SER_hh_tes!W32/SER_hh_num!W32)</f>
        <v>0</v>
      </c>
      <c r="X32" s="132">
        <f>IF(SER_hh_tes!X32=0,0,11630*1000*SER_hh_tes!X32/SER_hh_num!X32)</f>
        <v>0</v>
      </c>
      <c r="Y32" s="132">
        <f>IF(SER_hh_tes!Y32=0,0,11630*1000*SER_hh_tes!Y32/SER_hh_num!Y32)</f>
        <v>0</v>
      </c>
      <c r="DA32" s="156" t="s">
        <v>443</v>
      </c>
    </row>
    <row r="33" spans="1:105" ht="12" customHeight="1" x14ac:dyDescent="0.25">
      <c r="A33" s="62" t="s">
        <v>24</v>
      </c>
      <c r="B33" s="68">
        <f>IF(SER_hh_tes!B33=0,0,11630*1000*SER_hh_tes!B33/SER_hh_num!B33)</f>
        <v>19410.276098972052</v>
      </c>
      <c r="C33" s="68">
        <f>IF(SER_hh_tes!C33=0,0,11630*1000*SER_hh_tes!C33/SER_hh_num!C33)</f>
        <v>18476.206366779297</v>
      </c>
      <c r="D33" s="68">
        <f>IF(SER_hh_tes!D33=0,0,11630*1000*SER_hh_tes!D33/SER_hh_num!D33)</f>
        <v>18368.217568618977</v>
      </c>
      <c r="E33" s="68">
        <f>IF(SER_hh_tes!E33=0,0,11630*1000*SER_hh_tes!E33/SER_hh_num!E33)</f>
        <v>21565.181034055804</v>
      </c>
      <c r="F33" s="68">
        <f>IF(SER_hh_tes!F33=0,0,11630*1000*SER_hh_tes!F33/SER_hh_num!F33)</f>
        <v>22097.762148538586</v>
      </c>
      <c r="G33" s="68">
        <f>IF(SER_hh_tes!G33=0,0,11630*1000*SER_hh_tes!G33/SER_hh_num!G33)</f>
        <v>20848.519325791396</v>
      </c>
      <c r="H33" s="68">
        <f>IF(SER_hh_tes!H33=0,0,11630*1000*SER_hh_tes!H33/SER_hh_num!H33)</f>
        <v>22448.611910742824</v>
      </c>
      <c r="I33" s="68">
        <f>IF(SER_hh_tes!I33=0,0,11630*1000*SER_hh_tes!I33/SER_hh_num!I33)</f>
        <v>20515.997124243731</v>
      </c>
      <c r="J33" s="68">
        <f>IF(SER_hh_tes!J33=0,0,11630*1000*SER_hh_tes!J33/SER_hh_num!J33)</f>
        <v>23397.537435403381</v>
      </c>
      <c r="K33" s="68">
        <f>IF(SER_hh_tes!K33=0,0,11630*1000*SER_hh_tes!K33/SER_hh_num!K33)</f>
        <v>21871.527534284916</v>
      </c>
      <c r="L33" s="68">
        <f>IF(SER_hh_tes!L33=0,0,11630*1000*SER_hh_tes!L33/SER_hh_num!L33)</f>
        <v>22154.05606422354</v>
      </c>
      <c r="M33" s="68">
        <f>IF(SER_hh_tes!M33=0,0,11630*1000*SER_hh_tes!M33/SER_hh_num!M33)</f>
        <v>22292.129073220414</v>
      </c>
      <c r="N33" s="68">
        <f>IF(SER_hh_tes!N33=0,0,11630*1000*SER_hh_tes!N33/SER_hh_num!N33)</f>
        <v>23170.737769863714</v>
      </c>
      <c r="O33" s="68">
        <f>IF(SER_hh_tes!O33=0,0,11630*1000*SER_hh_tes!O33/SER_hh_num!O33)</f>
        <v>23519.616476100662</v>
      </c>
      <c r="P33" s="68">
        <f>IF(SER_hh_tes!P33=0,0,11630*1000*SER_hh_tes!P33/SER_hh_num!P33)</f>
        <v>21716.616966092202</v>
      </c>
      <c r="Q33" s="68">
        <f>IF(SER_hh_tes!Q33=0,0,11630*1000*SER_hh_tes!Q33/SER_hh_num!Q33)</f>
        <v>22974.387961783876</v>
      </c>
      <c r="R33" s="68">
        <f>IF(SER_hh_tes!R33=0,0,11630*1000*SER_hh_tes!R33/SER_hh_num!R33)</f>
        <v>22465.700835691699</v>
      </c>
      <c r="S33" s="68">
        <f>IF(SER_hh_tes!S33=0,0,11630*1000*SER_hh_tes!S33/SER_hh_num!S33)</f>
        <v>22572.300574101573</v>
      </c>
      <c r="T33" s="68">
        <f>IF(SER_hh_tes!T33=0,0,11630*1000*SER_hh_tes!T33/SER_hh_num!T33)</f>
        <v>26563.052679586992</v>
      </c>
      <c r="U33" s="68">
        <f>IF(SER_hh_tes!U33=0,0,11630*1000*SER_hh_tes!U33/SER_hh_num!U33)</f>
        <v>21705.108894316552</v>
      </c>
      <c r="V33" s="68">
        <f>IF(SER_hh_tes!V33=0,0,11630*1000*SER_hh_tes!V33/SER_hh_num!V33)</f>
        <v>17450.57216626927</v>
      </c>
      <c r="W33" s="68">
        <f>IF(SER_hh_tes!W33=0,0,11630*1000*SER_hh_tes!W33/SER_hh_num!W33)</f>
        <v>27379.232579222764</v>
      </c>
      <c r="X33" s="68">
        <f>IF(SER_hh_tes!X33=0,0,11630*1000*SER_hh_tes!X33/SER_hh_num!X33)</f>
        <v>24807.153246115638</v>
      </c>
      <c r="Y33" s="68">
        <f>IF(SER_hh_tes!Y33=0,0,11630*1000*SER_hh_tes!Y33/SER_hh_num!Y33)</f>
        <v>24550.491077210456</v>
      </c>
      <c r="DA33" s="111" t="s">
        <v>444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445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89</v>
      </c>
      <c r="B3" s="125">
        <f>IF(SER_hh_emi!B3=0,0,1000000*SER_hh_emi!B3/SER_hh_num!B3)</f>
        <v>29009.819062121867</v>
      </c>
      <c r="C3" s="125">
        <f>IF(SER_hh_emi!C3=0,0,1000000*SER_hh_emi!C3/SER_hh_num!C3)</f>
        <v>28908.858468245759</v>
      </c>
      <c r="D3" s="125">
        <f>IF(SER_hh_emi!D3=0,0,1000000*SER_hh_emi!D3/SER_hh_num!D3)</f>
        <v>27109.432112966831</v>
      </c>
      <c r="E3" s="125">
        <f>IF(SER_hh_emi!E3=0,0,1000000*SER_hh_emi!E3/SER_hh_num!E3)</f>
        <v>30616.900674847206</v>
      </c>
      <c r="F3" s="125">
        <f>IF(SER_hh_emi!F3=0,0,1000000*SER_hh_emi!F3/SER_hh_num!F3)</f>
        <v>30358.665987328692</v>
      </c>
      <c r="G3" s="125">
        <f>IF(SER_hh_emi!G3=0,0,1000000*SER_hh_emi!G3/SER_hh_num!G3)</f>
        <v>35259.510386573405</v>
      </c>
      <c r="H3" s="125">
        <f>IF(SER_hh_emi!H3=0,0,1000000*SER_hh_emi!H3/SER_hh_num!H3)</f>
        <v>34891.1498856002</v>
      </c>
      <c r="I3" s="125">
        <f>IF(SER_hh_emi!I3=0,0,1000000*SER_hh_emi!I3/SER_hh_num!I3)</f>
        <v>32054.880224470384</v>
      </c>
      <c r="J3" s="125">
        <f>IF(SER_hh_emi!J3=0,0,1000000*SER_hh_emi!J3/SER_hh_num!J3)</f>
        <v>37991.586711399075</v>
      </c>
      <c r="K3" s="125">
        <f>IF(SER_hh_emi!K3=0,0,1000000*SER_hh_emi!K3/SER_hh_num!K3)</f>
        <v>36918.643385133168</v>
      </c>
      <c r="L3" s="125">
        <f>IF(SER_hh_emi!L3=0,0,1000000*SER_hh_emi!L3/SER_hh_num!L3)</f>
        <v>36793.540943065222</v>
      </c>
      <c r="M3" s="125">
        <f>IF(SER_hh_emi!M3=0,0,1000000*SER_hh_emi!M3/SER_hh_num!M3)</f>
        <v>31010.403955448433</v>
      </c>
      <c r="N3" s="125">
        <f>IF(SER_hh_emi!N3=0,0,1000000*SER_hh_emi!N3/SER_hh_num!N3)</f>
        <v>30491.568326046025</v>
      </c>
      <c r="O3" s="125">
        <f>IF(SER_hh_emi!O3=0,0,1000000*SER_hh_emi!O3/SER_hh_num!O3)</f>
        <v>30300.144593301895</v>
      </c>
      <c r="P3" s="125">
        <f>IF(SER_hh_emi!P3=0,0,1000000*SER_hh_emi!P3/SER_hh_num!P3)</f>
        <v>25220.562552807274</v>
      </c>
      <c r="Q3" s="125">
        <f>IF(SER_hh_emi!Q3=0,0,1000000*SER_hh_emi!Q3/SER_hh_num!Q3)</f>
        <v>26960.255803775945</v>
      </c>
      <c r="R3" s="125">
        <f>IF(SER_hh_emi!R3=0,0,1000000*SER_hh_emi!R3/SER_hh_num!R3)</f>
        <v>27162.146811533323</v>
      </c>
      <c r="S3" s="125">
        <f>IF(SER_hh_emi!S3=0,0,1000000*SER_hh_emi!S3/SER_hh_num!S3)</f>
        <v>26863.4341112129</v>
      </c>
      <c r="T3" s="125">
        <f>IF(SER_hh_emi!T3=0,0,1000000*SER_hh_emi!T3/SER_hh_num!T3)</f>
        <v>29203.895538253833</v>
      </c>
      <c r="U3" s="125">
        <f>IF(SER_hh_emi!U3=0,0,1000000*SER_hh_emi!U3/SER_hh_num!U3)</f>
        <v>28248.229925265667</v>
      </c>
      <c r="V3" s="125">
        <f>IF(SER_hh_emi!V3=0,0,1000000*SER_hh_emi!V3/SER_hh_num!V3)</f>
        <v>26586.967884014437</v>
      </c>
      <c r="W3" s="125">
        <f>IF(SER_hh_emi!W3=0,0,1000000*SER_hh_emi!W3/SER_hh_num!W3)</f>
        <v>24191.241095881065</v>
      </c>
      <c r="X3" s="125">
        <f>IF(SER_hh_emi!X3=0,0,1000000*SER_hh_emi!X3/SER_hh_num!X3)</f>
        <v>21144.802709512085</v>
      </c>
      <c r="Y3" s="125">
        <f>IF(SER_hh_emi!Y3=0,0,1000000*SER_hh_emi!Y3/SER_hh_num!Y3)</f>
        <v>23075.633361909182</v>
      </c>
      <c r="DA3" s="154" t="s">
        <v>446</v>
      </c>
    </row>
    <row r="4" spans="1:105" ht="12.95" customHeight="1" x14ac:dyDescent="0.25">
      <c r="A4" s="129" t="s">
        <v>32</v>
      </c>
      <c r="B4" s="130">
        <f>IF(SER_hh_emi!B4=0,0,1000000*SER_hh_emi!B4/SER_hh_num!B4)</f>
        <v>19485.587588452167</v>
      </c>
      <c r="C4" s="130">
        <f>IF(SER_hh_emi!C4=0,0,1000000*SER_hh_emi!C4/SER_hh_num!C4)</f>
        <v>19702.977445741999</v>
      </c>
      <c r="D4" s="130">
        <f>IF(SER_hh_emi!D4=0,0,1000000*SER_hh_emi!D4/SER_hh_num!D4)</f>
        <v>18459.611349887542</v>
      </c>
      <c r="E4" s="130">
        <f>IF(SER_hh_emi!E4=0,0,1000000*SER_hh_emi!E4/SER_hh_num!E4)</f>
        <v>22870.661636764755</v>
      </c>
      <c r="F4" s="130">
        <f>IF(SER_hh_emi!F4=0,0,1000000*SER_hh_emi!F4/SER_hh_num!F4)</f>
        <v>23012.921775604125</v>
      </c>
      <c r="G4" s="130">
        <f>IF(SER_hh_emi!G4=0,0,1000000*SER_hh_emi!G4/SER_hh_num!G4)</f>
        <v>27695.547527598595</v>
      </c>
      <c r="H4" s="130">
        <f>IF(SER_hh_emi!H4=0,0,1000000*SER_hh_emi!H4/SER_hh_num!H4)</f>
        <v>27817.24130472833</v>
      </c>
      <c r="I4" s="130">
        <f>IF(SER_hh_emi!I4=0,0,1000000*SER_hh_emi!I4/SER_hh_num!I4)</f>
        <v>24692.834498308068</v>
      </c>
      <c r="J4" s="130">
        <f>IF(SER_hh_emi!J4=0,0,1000000*SER_hh_emi!J4/SER_hh_num!J4)</f>
        <v>30932.279507336305</v>
      </c>
      <c r="K4" s="130">
        <f>IF(SER_hh_emi!K4=0,0,1000000*SER_hh_emi!K4/SER_hh_num!K4)</f>
        <v>29515.024881843292</v>
      </c>
      <c r="L4" s="130">
        <f>IF(SER_hh_emi!L4=0,0,1000000*SER_hh_emi!L4/SER_hh_num!L4)</f>
        <v>29426.50967578105</v>
      </c>
      <c r="M4" s="130">
        <f>IF(SER_hh_emi!M4=0,0,1000000*SER_hh_emi!M4/SER_hh_num!M4)</f>
        <v>23556.98669699538</v>
      </c>
      <c r="N4" s="130">
        <f>IF(SER_hh_emi!N4=0,0,1000000*SER_hh_emi!N4/SER_hh_num!N4)</f>
        <v>23065.604978655578</v>
      </c>
      <c r="O4" s="130">
        <f>IF(SER_hh_emi!O4=0,0,1000000*SER_hh_emi!O4/SER_hh_num!O4)</f>
        <v>22694.986684989282</v>
      </c>
      <c r="P4" s="130">
        <f>IF(SER_hh_emi!P4=0,0,1000000*SER_hh_emi!P4/SER_hh_num!P4)</f>
        <v>17197.00745010798</v>
      </c>
      <c r="Q4" s="130">
        <f>IF(SER_hh_emi!Q4=0,0,1000000*SER_hh_emi!Q4/SER_hh_num!Q4)</f>
        <v>18884.26909347306</v>
      </c>
      <c r="R4" s="130">
        <f>IF(SER_hh_emi!R4=0,0,1000000*SER_hh_emi!R4/SER_hh_num!R4)</f>
        <v>18944.999849084074</v>
      </c>
      <c r="S4" s="130">
        <f>IF(SER_hh_emi!S4=0,0,1000000*SER_hh_emi!S4/SER_hh_num!S4)</f>
        <v>18584.438017507426</v>
      </c>
      <c r="T4" s="130">
        <f>IF(SER_hh_emi!T4=0,0,1000000*SER_hh_emi!T4/SER_hh_num!T4)</f>
        <v>21166.824435460094</v>
      </c>
      <c r="U4" s="130">
        <f>IF(SER_hh_emi!U4=0,0,1000000*SER_hh_emi!U4/SER_hh_num!U4)</f>
        <v>20315.840563846785</v>
      </c>
      <c r="V4" s="130">
        <f>IF(SER_hh_emi!V4=0,0,1000000*SER_hh_emi!V4/SER_hh_num!V4)</f>
        <v>19304.489421873037</v>
      </c>
      <c r="W4" s="130">
        <f>IF(SER_hh_emi!W4=0,0,1000000*SER_hh_emi!W4/SER_hh_num!W4)</f>
        <v>16931.97882270638</v>
      </c>
      <c r="X4" s="130">
        <f>IF(SER_hh_emi!X4=0,0,1000000*SER_hh_emi!X4/SER_hh_num!X4)</f>
        <v>13824.260479460267</v>
      </c>
      <c r="Y4" s="130">
        <f>IF(SER_hh_emi!Y4=0,0,1000000*SER_hh_emi!Y4/SER_hh_num!Y4)</f>
        <v>15704.699894442971</v>
      </c>
      <c r="DA4" s="155" t="s">
        <v>447</v>
      </c>
    </row>
    <row r="5" spans="1:105" ht="12" customHeight="1" x14ac:dyDescent="0.25">
      <c r="A5" s="131" t="s">
        <v>29</v>
      </c>
      <c r="B5" s="132">
        <f>IF(SER_hh_emi!B5=0,0,1000000*SER_hh_emi!B5/SER_hh_num!B5)</f>
        <v>0</v>
      </c>
      <c r="C5" s="132">
        <f>IF(SER_hh_emi!C5=0,0,1000000*SER_hh_emi!C5/SER_hh_num!C5)</f>
        <v>0</v>
      </c>
      <c r="D5" s="132">
        <f>IF(SER_hh_emi!D5=0,0,1000000*SER_hh_emi!D5/SER_hh_num!D5)</f>
        <v>0</v>
      </c>
      <c r="E5" s="132">
        <f>IF(SER_hh_emi!E5=0,0,1000000*SER_hh_emi!E5/SER_hh_num!E5)</f>
        <v>0</v>
      </c>
      <c r="F5" s="132">
        <f>IF(SER_hh_emi!F5=0,0,1000000*SER_hh_emi!F5/SER_hh_num!F5)</f>
        <v>0</v>
      </c>
      <c r="G5" s="132">
        <f>IF(SER_hh_emi!G5=0,0,1000000*SER_hh_emi!G5/SER_hh_num!G5)</f>
        <v>0</v>
      </c>
      <c r="H5" s="132">
        <f>IF(SER_hh_emi!H5=0,0,1000000*SER_hh_emi!H5/SER_hh_num!H5)</f>
        <v>0</v>
      </c>
      <c r="I5" s="132">
        <f>IF(SER_hh_emi!I5=0,0,1000000*SER_hh_emi!I5/SER_hh_num!I5)</f>
        <v>0</v>
      </c>
      <c r="J5" s="132">
        <f>IF(SER_hh_emi!J5=0,0,1000000*SER_hh_emi!J5/SER_hh_num!J5)</f>
        <v>0</v>
      </c>
      <c r="K5" s="132">
        <f>IF(SER_hh_emi!K5=0,0,1000000*SER_hh_emi!K5/SER_hh_num!K5)</f>
        <v>0</v>
      </c>
      <c r="L5" s="132">
        <f>IF(SER_hh_emi!L5=0,0,1000000*SER_hh_emi!L5/SER_hh_num!L5)</f>
        <v>0</v>
      </c>
      <c r="M5" s="132">
        <f>IF(SER_hh_emi!M5=0,0,1000000*SER_hh_emi!M5/SER_hh_num!M5)</f>
        <v>0</v>
      </c>
      <c r="N5" s="132">
        <f>IF(SER_hh_emi!N5=0,0,1000000*SER_hh_emi!N5/SER_hh_num!N5)</f>
        <v>0</v>
      </c>
      <c r="O5" s="132">
        <f>IF(SER_hh_emi!O5=0,0,1000000*SER_hh_emi!O5/SER_hh_num!O5)</f>
        <v>0</v>
      </c>
      <c r="P5" s="132">
        <f>IF(SER_hh_emi!P5=0,0,1000000*SER_hh_emi!P5/SER_hh_num!P5)</f>
        <v>0</v>
      </c>
      <c r="Q5" s="132">
        <f>IF(SER_hh_emi!Q5=0,0,1000000*SER_hh_emi!Q5/SER_hh_num!Q5)</f>
        <v>0</v>
      </c>
      <c r="R5" s="132">
        <f>IF(SER_hh_emi!R5=0,0,1000000*SER_hh_emi!R5/SER_hh_num!R5)</f>
        <v>0</v>
      </c>
      <c r="S5" s="132">
        <f>IF(SER_hh_emi!S5=0,0,1000000*SER_hh_emi!S5/SER_hh_num!S5)</f>
        <v>0</v>
      </c>
      <c r="T5" s="132">
        <f>IF(SER_hh_emi!T5=0,0,1000000*SER_hh_emi!T5/SER_hh_num!T5)</f>
        <v>0</v>
      </c>
      <c r="U5" s="132">
        <f>IF(SER_hh_emi!U5=0,0,1000000*SER_hh_emi!U5/SER_hh_num!U5)</f>
        <v>0</v>
      </c>
      <c r="V5" s="132">
        <f>IF(SER_hh_emi!V5=0,0,1000000*SER_hh_emi!V5/SER_hh_num!V5)</f>
        <v>0</v>
      </c>
      <c r="W5" s="132">
        <f>IF(SER_hh_emi!W5=0,0,1000000*SER_hh_emi!W5/SER_hh_num!W5)</f>
        <v>0</v>
      </c>
      <c r="X5" s="132">
        <f>IF(SER_hh_emi!X5=0,0,1000000*SER_hh_emi!X5/SER_hh_num!X5)</f>
        <v>0</v>
      </c>
      <c r="Y5" s="132">
        <f>IF(SER_hh_emi!Y5=0,0,1000000*SER_hh_emi!Y5/SER_hh_num!Y5)</f>
        <v>0</v>
      </c>
      <c r="DA5" s="156" t="s">
        <v>448</v>
      </c>
    </row>
    <row r="6" spans="1:105" ht="12" customHeight="1" x14ac:dyDescent="0.25">
      <c r="A6" s="131" t="s">
        <v>52</v>
      </c>
      <c r="B6" s="132">
        <f>IF(SER_hh_emi!B6=0,0,1000000*SER_hh_emi!B6/SER_hh_num!B6)</f>
        <v>34447.088139731124</v>
      </c>
      <c r="C6" s="132">
        <f>IF(SER_hh_emi!C6=0,0,1000000*SER_hh_emi!C6/SER_hh_num!C6)</f>
        <v>34904.881815083034</v>
      </c>
      <c r="D6" s="132">
        <f>IF(SER_hh_emi!D6=0,0,1000000*SER_hh_emi!D6/SER_hh_num!D6)</f>
        <v>33196.084522764359</v>
      </c>
      <c r="E6" s="132">
        <f>IF(SER_hh_emi!E6=0,0,1000000*SER_hh_emi!E6/SER_hh_num!E6)</f>
        <v>40212.443280595508</v>
      </c>
      <c r="F6" s="132">
        <f>IF(SER_hh_emi!F6=0,0,1000000*SER_hh_emi!F6/SER_hh_num!F6)</f>
        <v>41275.784475045162</v>
      </c>
      <c r="G6" s="132">
        <f>IF(SER_hh_emi!G6=0,0,1000000*SER_hh_emi!G6/SER_hh_num!G6)</f>
        <v>48046.934453482878</v>
      </c>
      <c r="H6" s="132">
        <f>IF(SER_hh_emi!H6=0,0,1000000*SER_hh_emi!H6/SER_hh_num!H6)</f>
        <v>48679.906563145727</v>
      </c>
      <c r="I6" s="132">
        <f>IF(SER_hh_emi!I6=0,0,1000000*SER_hh_emi!I6/SER_hh_num!I6)</f>
        <v>45824.861457488762</v>
      </c>
      <c r="J6" s="132">
        <f>IF(SER_hh_emi!J6=0,0,1000000*SER_hh_emi!J6/SER_hh_num!J6)</f>
        <v>53544.52386229347</v>
      </c>
      <c r="K6" s="132">
        <f>IF(SER_hh_emi!K6=0,0,1000000*SER_hh_emi!K6/SER_hh_num!K6)</f>
        <v>53725.218675321725</v>
      </c>
      <c r="L6" s="132">
        <f>IF(SER_hh_emi!L6=0,0,1000000*SER_hh_emi!L6/SER_hh_num!L6)</f>
        <v>55574.546554290027</v>
      </c>
      <c r="M6" s="132">
        <f>IF(SER_hh_emi!M6=0,0,1000000*SER_hh_emi!M6/SER_hh_num!M6)</f>
        <v>50037.748488230842</v>
      </c>
      <c r="N6" s="132">
        <f>IF(SER_hh_emi!N6=0,0,1000000*SER_hh_emi!N6/SER_hh_num!N6)</f>
        <v>46197.237447002095</v>
      </c>
      <c r="O6" s="132">
        <f>IF(SER_hh_emi!O6=0,0,1000000*SER_hh_emi!O6/SER_hh_num!O6)</f>
        <v>51156.803143011501</v>
      </c>
      <c r="P6" s="132">
        <f>IF(SER_hh_emi!P6=0,0,1000000*SER_hh_emi!P6/SER_hh_num!P6)</f>
        <v>47716.223473485501</v>
      </c>
      <c r="Q6" s="132">
        <f>IF(SER_hh_emi!Q6=0,0,1000000*SER_hh_emi!Q6/SER_hh_num!Q6)</f>
        <v>50086.764658167594</v>
      </c>
      <c r="R6" s="132">
        <f>IF(SER_hh_emi!R6=0,0,1000000*SER_hh_emi!R6/SER_hh_num!R6)</f>
        <v>58689.49212946996</v>
      </c>
      <c r="S6" s="132">
        <f>IF(SER_hh_emi!S6=0,0,1000000*SER_hh_emi!S6/SER_hh_num!S6)</f>
        <v>62705.247137678081</v>
      </c>
      <c r="T6" s="132">
        <f>IF(SER_hh_emi!T6=0,0,1000000*SER_hh_emi!T6/SER_hh_num!T6)</f>
        <v>59714.640097400363</v>
      </c>
      <c r="U6" s="132">
        <f>IF(SER_hh_emi!U6=0,0,1000000*SER_hh_emi!U6/SER_hh_num!U6)</f>
        <v>59112.082893813691</v>
      </c>
      <c r="V6" s="132">
        <f>IF(SER_hh_emi!V6=0,0,1000000*SER_hh_emi!V6/SER_hh_num!V6)</f>
        <v>54314.307490580773</v>
      </c>
      <c r="W6" s="132">
        <f>IF(SER_hh_emi!W6=0,0,1000000*SER_hh_emi!W6/SER_hh_num!W6)</f>
        <v>63830.181639738403</v>
      </c>
      <c r="X6" s="132">
        <f>IF(SER_hh_emi!X6=0,0,1000000*SER_hh_emi!X6/SER_hh_num!X6)</f>
        <v>51835.02869940731</v>
      </c>
      <c r="Y6" s="132">
        <f>IF(SER_hh_emi!Y6=0,0,1000000*SER_hh_emi!Y6/SER_hh_num!Y6)</f>
        <v>48421.277058139494</v>
      </c>
      <c r="DA6" s="156" t="s">
        <v>449</v>
      </c>
    </row>
    <row r="7" spans="1:105" ht="12" customHeight="1" x14ac:dyDescent="0.25">
      <c r="A7" s="131" t="s">
        <v>161</v>
      </c>
      <c r="B7" s="132">
        <f>IF(SER_hh_emi!B7=0,0,1000000*SER_hh_emi!B7/SER_hh_num!B7)</f>
        <v>48696.747287334532</v>
      </c>
      <c r="C7" s="132">
        <f>IF(SER_hh_emi!C7=0,0,1000000*SER_hh_emi!C7/SER_hh_num!C7)</f>
        <v>30482.056966431741</v>
      </c>
      <c r="D7" s="132">
        <f>IF(SER_hh_emi!D7=0,0,1000000*SER_hh_emi!D7/SER_hh_num!D7)</f>
        <v>39770.829072400709</v>
      </c>
      <c r="E7" s="132">
        <f>IF(SER_hh_emi!E7=0,0,1000000*SER_hh_emi!E7/SER_hh_num!E7)</f>
        <v>49345.499119138505</v>
      </c>
      <c r="F7" s="132">
        <f>IF(SER_hh_emi!F7=0,0,1000000*SER_hh_emi!F7/SER_hh_num!F7)</f>
        <v>51644.379293128448</v>
      </c>
      <c r="G7" s="132">
        <f>IF(SER_hh_emi!G7=0,0,1000000*SER_hh_emi!G7/SER_hh_num!G7)</f>
        <v>54714.946680675283</v>
      </c>
      <c r="H7" s="132">
        <f>IF(SER_hh_emi!H7=0,0,1000000*SER_hh_emi!H7/SER_hh_num!H7)</f>
        <v>58377.498305264889</v>
      </c>
      <c r="I7" s="132">
        <f>IF(SER_hh_emi!I7=0,0,1000000*SER_hh_emi!I7/SER_hh_num!I7)</f>
        <v>57240.295551032657</v>
      </c>
      <c r="J7" s="132">
        <f>IF(SER_hh_emi!J7=0,0,1000000*SER_hh_emi!J7/SER_hh_num!J7)</f>
        <v>72340.223354172762</v>
      </c>
      <c r="K7" s="132">
        <f>IF(SER_hh_emi!K7=0,0,1000000*SER_hh_emi!K7/SER_hh_num!K7)</f>
        <v>51673.202260188729</v>
      </c>
      <c r="L7" s="132">
        <f>IF(SER_hh_emi!L7=0,0,1000000*SER_hh_emi!L7/SER_hh_num!L7)</f>
        <v>62339.024083216857</v>
      </c>
      <c r="M7" s="132">
        <f>IF(SER_hh_emi!M7=0,0,1000000*SER_hh_emi!M7/SER_hh_num!M7)</f>
        <v>61505.838971036981</v>
      </c>
      <c r="N7" s="132">
        <f>IF(SER_hh_emi!N7=0,0,1000000*SER_hh_emi!N7/SER_hh_num!N7)</f>
        <v>61435.155592008145</v>
      </c>
      <c r="O7" s="132">
        <f>IF(SER_hh_emi!O7=0,0,1000000*SER_hh_emi!O7/SER_hh_num!O7)</f>
        <v>55926.457295725857</v>
      </c>
      <c r="P7" s="132">
        <f>IF(SER_hh_emi!P7=0,0,1000000*SER_hh_emi!P7/SER_hh_num!P7)</f>
        <v>58530.455860895614</v>
      </c>
      <c r="Q7" s="132">
        <f>IF(SER_hh_emi!Q7=0,0,1000000*SER_hh_emi!Q7/SER_hh_num!Q7)</f>
        <v>71396.298220942233</v>
      </c>
      <c r="R7" s="132">
        <f>IF(SER_hh_emi!R7=0,0,1000000*SER_hh_emi!R7/SER_hh_num!R7)</f>
        <v>77148.485970752561</v>
      </c>
      <c r="S7" s="132">
        <f>IF(SER_hh_emi!S7=0,0,1000000*SER_hh_emi!S7/SER_hh_num!S7)</f>
        <v>62255.16936128564</v>
      </c>
      <c r="T7" s="132">
        <f>IF(SER_hh_emi!T7=0,0,1000000*SER_hh_emi!T7/SER_hh_num!T7)</f>
        <v>80077.484876753442</v>
      </c>
      <c r="U7" s="132">
        <f>IF(SER_hh_emi!U7=0,0,1000000*SER_hh_emi!U7/SER_hh_num!U7)</f>
        <v>62000.197737017348</v>
      </c>
      <c r="V7" s="132">
        <f>IF(SER_hh_emi!V7=0,0,1000000*SER_hh_emi!V7/SER_hh_num!V7)</f>
        <v>43087.984111175945</v>
      </c>
      <c r="W7" s="132">
        <f>IF(SER_hh_emi!W7=0,0,1000000*SER_hh_emi!W7/SER_hh_num!W7)</f>
        <v>57539.47063084969</v>
      </c>
      <c r="X7" s="132">
        <f>IF(SER_hh_emi!X7=0,0,1000000*SER_hh_emi!X7/SER_hh_num!X7)</f>
        <v>59011.804746177731</v>
      </c>
      <c r="Y7" s="132">
        <f>IF(SER_hh_emi!Y7=0,0,1000000*SER_hh_emi!Y7/SER_hh_num!Y7)</f>
        <v>55339.561586542666</v>
      </c>
      <c r="DA7" s="156" t="s">
        <v>450</v>
      </c>
    </row>
    <row r="8" spans="1:105" ht="12" customHeight="1" x14ac:dyDescent="0.25">
      <c r="A8" s="131" t="s">
        <v>73</v>
      </c>
      <c r="B8" s="132">
        <f>IF(SER_hh_emi!B8=0,0,1000000*SER_hh_emi!B8/SER_hh_num!B8)</f>
        <v>12452.511127438049</v>
      </c>
      <c r="C8" s="132">
        <f>IF(SER_hh_emi!C8=0,0,1000000*SER_hh_emi!C8/SER_hh_num!C8)</f>
        <v>12883.523037251836</v>
      </c>
      <c r="D8" s="132">
        <f>IF(SER_hh_emi!D8=0,0,1000000*SER_hh_emi!D8/SER_hh_num!D8)</f>
        <v>11102.040944003511</v>
      </c>
      <c r="E8" s="132">
        <f>IF(SER_hh_emi!E8=0,0,1000000*SER_hh_emi!E8/SER_hh_num!E8)</f>
        <v>11985.368400135507</v>
      </c>
      <c r="F8" s="132">
        <f>IF(SER_hh_emi!F8=0,0,1000000*SER_hh_emi!F8/SER_hh_num!F8)</f>
        <v>11765.401280846103</v>
      </c>
      <c r="G8" s="132">
        <f>IF(SER_hh_emi!G8=0,0,1000000*SER_hh_emi!G8/SER_hh_num!G8)</f>
        <v>12072.41901430641</v>
      </c>
      <c r="H8" s="132">
        <f>IF(SER_hh_emi!H8=0,0,1000000*SER_hh_emi!H8/SER_hh_num!H8)</f>
        <v>12032.502928587477</v>
      </c>
      <c r="I8" s="132">
        <f>IF(SER_hh_emi!I8=0,0,1000000*SER_hh_emi!I8/SER_hh_num!I8)</f>
        <v>11667.999970733506</v>
      </c>
      <c r="J8" s="132">
        <f>IF(SER_hh_emi!J8=0,0,1000000*SER_hh_emi!J8/SER_hh_num!J8)</f>
        <v>11680.9014959876</v>
      </c>
      <c r="K8" s="132">
        <f>IF(SER_hh_emi!K8=0,0,1000000*SER_hh_emi!K8/SER_hh_num!K8)</f>
        <v>10966.562969880062</v>
      </c>
      <c r="L8" s="132">
        <f>IF(SER_hh_emi!L8=0,0,1000000*SER_hh_emi!L8/SER_hh_num!L8)</f>
        <v>9897.1921303811578</v>
      </c>
      <c r="M8" s="132">
        <f>IF(SER_hh_emi!M8=0,0,1000000*SER_hh_emi!M8/SER_hh_num!M8)</f>
        <v>8916.7701902852223</v>
      </c>
      <c r="N8" s="132">
        <f>IF(SER_hh_emi!N8=0,0,1000000*SER_hh_emi!N8/SER_hh_num!N8)</f>
        <v>8199.7862761108372</v>
      </c>
      <c r="O8" s="132">
        <f>IF(SER_hh_emi!O8=0,0,1000000*SER_hh_emi!O8/SER_hh_num!O8)</f>
        <v>8093.0203575671503</v>
      </c>
      <c r="P8" s="132">
        <f>IF(SER_hh_emi!P8=0,0,1000000*SER_hh_emi!P8/SER_hh_num!P8)</f>
        <v>8375.4469781876851</v>
      </c>
      <c r="Q8" s="132">
        <f>IF(SER_hh_emi!Q8=0,0,1000000*SER_hh_emi!Q8/SER_hh_num!Q8)</f>
        <v>9817.1012930284051</v>
      </c>
      <c r="R8" s="132">
        <f>IF(SER_hh_emi!R8=0,0,1000000*SER_hh_emi!R8/SER_hh_num!R8)</f>
        <v>9369.7593812879331</v>
      </c>
      <c r="S8" s="132">
        <f>IF(SER_hh_emi!S8=0,0,1000000*SER_hh_emi!S8/SER_hh_num!S8)</f>
        <v>9419.0949669688944</v>
      </c>
      <c r="T8" s="132">
        <f>IF(SER_hh_emi!T8=0,0,1000000*SER_hh_emi!T8/SER_hh_num!T8)</f>
        <v>9360.0939099226453</v>
      </c>
      <c r="U8" s="132">
        <f>IF(SER_hh_emi!U8=0,0,1000000*SER_hh_emi!U8/SER_hh_num!U8)</f>
        <v>8714.5385783444162</v>
      </c>
      <c r="V8" s="132">
        <f>IF(SER_hh_emi!V8=0,0,1000000*SER_hh_emi!V8/SER_hh_num!V8)</f>
        <v>8295.5447211744449</v>
      </c>
      <c r="W8" s="132">
        <f>IF(SER_hh_emi!W8=0,0,1000000*SER_hh_emi!W8/SER_hh_num!W8)</f>
        <v>8317.5687386806749</v>
      </c>
      <c r="X8" s="132">
        <f>IF(SER_hh_emi!X8=0,0,1000000*SER_hh_emi!X8/SER_hh_num!X8)</f>
        <v>7688.3111413950164</v>
      </c>
      <c r="Y8" s="132">
        <f>IF(SER_hh_emi!Y8=0,0,1000000*SER_hh_emi!Y8/SER_hh_num!Y8)</f>
        <v>7461.7090873413308</v>
      </c>
      <c r="DA8" s="156" t="s">
        <v>451</v>
      </c>
    </row>
    <row r="9" spans="1:105" ht="12" customHeight="1" x14ac:dyDescent="0.25">
      <c r="A9" s="131" t="s">
        <v>78</v>
      </c>
      <c r="B9" s="132">
        <f>IF(SER_hh_emi!B9=0,0,1000000*SER_hh_emi!B9/SER_hh_num!B9)</f>
        <v>29024.981761578551</v>
      </c>
      <c r="C9" s="132">
        <f>IF(SER_hh_emi!C9=0,0,1000000*SER_hh_emi!C9/SER_hh_num!C9)</f>
        <v>30484.27941652455</v>
      </c>
      <c r="D9" s="132">
        <f>IF(SER_hh_emi!D9=0,0,1000000*SER_hh_emi!D9/SER_hh_num!D9)</f>
        <v>27548.653587139106</v>
      </c>
      <c r="E9" s="132">
        <f>IF(SER_hh_emi!E9=0,0,1000000*SER_hh_emi!E9/SER_hh_num!E9)</f>
        <v>33258.309768031198</v>
      </c>
      <c r="F9" s="132">
        <f>IF(SER_hh_emi!F9=0,0,1000000*SER_hh_emi!F9/SER_hh_num!F9)</f>
        <v>33559.082319293098</v>
      </c>
      <c r="G9" s="132">
        <f>IF(SER_hh_emi!G9=0,0,1000000*SER_hh_emi!G9/SER_hh_num!G9)</f>
        <v>41288.875068350259</v>
      </c>
      <c r="H9" s="132">
        <f>IF(SER_hh_emi!H9=0,0,1000000*SER_hh_emi!H9/SER_hh_num!H9)</f>
        <v>41530.298920070869</v>
      </c>
      <c r="I9" s="132">
        <f>IF(SER_hh_emi!I9=0,0,1000000*SER_hh_emi!I9/SER_hh_num!I9)</f>
        <v>36540.62084814284</v>
      </c>
      <c r="J9" s="132">
        <f>IF(SER_hh_emi!J9=0,0,1000000*SER_hh_emi!J9/SER_hh_num!J9)</f>
        <v>45917.766869839412</v>
      </c>
      <c r="K9" s="132">
        <f>IF(SER_hh_emi!K9=0,0,1000000*SER_hh_emi!K9/SER_hh_num!K9)</f>
        <v>45775.02532470227</v>
      </c>
      <c r="L9" s="132">
        <f>IF(SER_hh_emi!L9=0,0,1000000*SER_hh_emi!L9/SER_hh_num!L9)</f>
        <v>46578.673641669986</v>
      </c>
      <c r="M9" s="132">
        <f>IF(SER_hh_emi!M9=0,0,1000000*SER_hh_emi!M9/SER_hh_num!M9)</f>
        <v>39295.951846023963</v>
      </c>
      <c r="N9" s="132">
        <f>IF(SER_hh_emi!N9=0,0,1000000*SER_hh_emi!N9/SER_hh_num!N9)</f>
        <v>41821.825881340126</v>
      </c>
      <c r="O9" s="132">
        <f>IF(SER_hh_emi!O9=0,0,1000000*SER_hh_emi!O9/SER_hh_num!O9)</f>
        <v>45642.901885614774</v>
      </c>
      <c r="P9" s="132">
        <f>IF(SER_hh_emi!P9=0,0,1000000*SER_hh_emi!P9/SER_hh_num!P9)</f>
        <v>37963.087259729225</v>
      </c>
      <c r="Q9" s="132">
        <f>IF(SER_hh_emi!Q9=0,0,1000000*SER_hh_emi!Q9/SER_hh_num!Q9)</f>
        <v>46510.182962583865</v>
      </c>
      <c r="R9" s="132">
        <f>IF(SER_hh_emi!R9=0,0,1000000*SER_hh_emi!R9/SER_hh_num!R9)</f>
        <v>49075.604958862481</v>
      </c>
      <c r="S9" s="132">
        <f>IF(SER_hh_emi!S9=0,0,1000000*SER_hh_emi!S9/SER_hh_num!S9)</f>
        <v>47774.215459355619</v>
      </c>
      <c r="T9" s="132">
        <f>IF(SER_hh_emi!T9=0,0,1000000*SER_hh_emi!T9/SER_hh_num!T9)</f>
        <v>53168.395859846263</v>
      </c>
      <c r="U9" s="132">
        <f>IF(SER_hh_emi!U9=0,0,1000000*SER_hh_emi!U9/SER_hh_num!U9)</f>
        <v>50502.31166182681</v>
      </c>
      <c r="V9" s="132">
        <f>IF(SER_hh_emi!V9=0,0,1000000*SER_hh_emi!V9/SER_hh_num!V9)</f>
        <v>48954.732046352954</v>
      </c>
      <c r="W9" s="132">
        <f>IF(SER_hh_emi!W9=0,0,1000000*SER_hh_emi!W9/SER_hh_num!W9)</f>
        <v>45243.866867649776</v>
      </c>
      <c r="X9" s="132">
        <f>IF(SER_hh_emi!X9=0,0,1000000*SER_hh_emi!X9/SER_hh_num!X9)</f>
        <v>36958.507300240526</v>
      </c>
      <c r="Y9" s="132">
        <f>IF(SER_hh_emi!Y9=0,0,1000000*SER_hh_emi!Y9/SER_hh_num!Y9)</f>
        <v>40944.253698300628</v>
      </c>
      <c r="DA9" s="156" t="s">
        <v>452</v>
      </c>
    </row>
    <row r="10" spans="1:105" ht="12" customHeight="1" x14ac:dyDescent="0.25">
      <c r="A10" s="131" t="s">
        <v>128</v>
      </c>
      <c r="B10" s="132">
        <f>IF(SER_hh_emi!B10=0,0,1000000*SER_hh_emi!B10/SER_hh_num!B10)</f>
        <v>0</v>
      </c>
      <c r="C10" s="132">
        <f>IF(SER_hh_emi!C10=0,0,1000000*SER_hh_emi!C10/SER_hh_num!C10)</f>
        <v>0</v>
      </c>
      <c r="D10" s="132">
        <f>IF(SER_hh_emi!D10=0,0,1000000*SER_hh_emi!D10/SER_hh_num!D10)</f>
        <v>0</v>
      </c>
      <c r="E10" s="132">
        <f>IF(SER_hh_emi!E10=0,0,1000000*SER_hh_emi!E10/SER_hh_num!E10)</f>
        <v>0</v>
      </c>
      <c r="F10" s="132">
        <f>IF(SER_hh_emi!F10=0,0,1000000*SER_hh_emi!F10/SER_hh_num!F10)</f>
        <v>0</v>
      </c>
      <c r="G10" s="132">
        <f>IF(SER_hh_emi!G10=0,0,1000000*SER_hh_emi!G10/SER_hh_num!G10)</f>
        <v>0</v>
      </c>
      <c r="H10" s="132">
        <f>IF(SER_hh_emi!H10=0,0,1000000*SER_hh_emi!H10/SER_hh_num!H10)</f>
        <v>0</v>
      </c>
      <c r="I10" s="132">
        <f>IF(SER_hh_emi!I10=0,0,1000000*SER_hh_emi!I10/SER_hh_num!I10)</f>
        <v>0</v>
      </c>
      <c r="J10" s="132">
        <f>IF(SER_hh_emi!J10=0,0,1000000*SER_hh_emi!J10/SER_hh_num!J10)</f>
        <v>0</v>
      </c>
      <c r="K10" s="132">
        <f>IF(SER_hh_emi!K10=0,0,1000000*SER_hh_emi!K10/SER_hh_num!K10)</f>
        <v>0</v>
      </c>
      <c r="L10" s="132">
        <f>IF(SER_hh_emi!L10=0,0,1000000*SER_hh_emi!L10/SER_hh_num!L10)</f>
        <v>0</v>
      </c>
      <c r="M10" s="132">
        <f>IF(SER_hh_emi!M10=0,0,1000000*SER_hh_emi!M10/SER_hh_num!M10)</f>
        <v>0</v>
      </c>
      <c r="N10" s="132">
        <f>IF(SER_hh_emi!N10=0,0,1000000*SER_hh_emi!N10/SER_hh_num!N10)</f>
        <v>0</v>
      </c>
      <c r="O10" s="132">
        <f>IF(SER_hh_emi!O10=0,0,1000000*SER_hh_emi!O10/SER_hh_num!O10)</f>
        <v>0</v>
      </c>
      <c r="P10" s="132">
        <f>IF(SER_hh_emi!P10=0,0,1000000*SER_hh_emi!P10/SER_hh_num!P10)</f>
        <v>0</v>
      </c>
      <c r="Q10" s="132">
        <f>IF(SER_hh_emi!Q10=0,0,1000000*SER_hh_emi!Q10/SER_hh_num!Q10)</f>
        <v>0</v>
      </c>
      <c r="R10" s="132">
        <f>IF(SER_hh_emi!R10=0,0,1000000*SER_hh_emi!R10/SER_hh_num!R10)</f>
        <v>0</v>
      </c>
      <c r="S10" s="132">
        <f>IF(SER_hh_emi!S10=0,0,1000000*SER_hh_emi!S10/SER_hh_num!S10)</f>
        <v>0</v>
      </c>
      <c r="T10" s="132">
        <f>IF(SER_hh_emi!T10=0,0,1000000*SER_hh_emi!T10/SER_hh_num!T10)</f>
        <v>0</v>
      </c>
      <c r="U10" s="132">
        <f>IF(SER_hh_emi!U10=0,0,1000000*SER_hh_emi!U10/SER_hh_num!U10)</f>
        <v>0</v>
      </c>
      <c r="V10" s="132">
        <f>IF(SER_hh_emi!V10=0,0,1000000*SER_hh_emi!V10/SER_hh_num!V10)</f>
        <v>0</v>
      </c>
      <c r="W10" s="132">
        <f>IF(SER_hh_emi!W10=0,0,1000000*SER_hh_emi!W10/SER_hh_num!W10)</f>
        <v>7174.2719815856126</v>
      </c>
      <c r="X10" s="132">
        <f>IF(SER_hh_emi!X10=0,0,1000000*SER_hh_emi!X10/SER_hh_num!X10)</f>
        <v>19198.971603428756</v>
      </c>
      <c r="Y10" s="132">
        <f>IF(SER_hh_emi!Y10=0,0,1000000*SER_hh_emi!Y10/SER_hh_num!Y10)</f>
        <v>15651.701139736724</v>
      </c>
      <c r="DA10" s="156" t="s">
        <v>453</v>
      </c>
    </row>
    <row r="11" spans="1:105" ht="12" customHeight="1" x14ac:dyDescent="0.25">
      <c r="A11" s="131" t="s">
        <v>25</v>
      </c>
      <c r="B11" s="132">
        <f>IF(SER_hh_emi!B11=0,0,1000000*SER_hh_emi!B11/SER_hh_num!B11)</f>
        <v>0</v>
      </c>
      <c r="C11" s="132">
        <f>IF(SER_hh_emi!C11=0,0,1000000*SER_hh_emi!C11/SER_hh_num!C11)</f>
        <v>0</v>
      </c>
      <c r="D11" s="132">
        <f>IF(SER_hh_emi!D11=0,0,1000000*SER_hh_emi!D11/SER_hh_num!D11)</f>
        <v>0</v>
      </c>
      <c r="E11" s="132">
        <f>IF(SER_hh_emi!E11=0,0,1000000*SER_hh_emi!E11/SER_hh_num!E11)</f>
        <v>0</v>
      </c>
      <c r="F11" s="132">
        <f>IF(SER_hh_emi!F11=0,0,1000000*SER_hh_emi!F11/SER_hh_num!F11)</f>
        <v>0</v>
      </c>
      <c r="G11" s="132">
        <f>IF(SER_hh_emi!G11=0,0,1000000*SER_hh_emi!G11/SER_hh_num!G11)</f>
        <v>0</v>
      </c>
      <c r="H11" s="132">
        <f>IF(SER_hh_emi!H11=0,0,1000000*SER_hh_emi!H11/SER_hh_num!H11)</f>
        <v>0</v>
      </c>
      <c r="I11" s="132">
        <f>IF(SER_hh_emi!I11=0,0,1000000*SER_hh_emi!I11/SER_hh_num!I11)</f>
        <v>0</v>
      </c>
      <c r="J11" s="132">
        <f>IF(SER_hh_emi!J11=0,0,1000000*SER_hh_emi!J11/SER_hh_num!J11)</f>
        <v>0</v>
      </c>
      <c r="K11" s="132">
        <f>IF(SER_hh_emi!K11=0,0,1000000*SER_hh_emi!K11/SER_hh_num!K11)</f>
        <v>0</v>
      </c>
      <c r="L11" s="132">
        <f>IF(SER_hh_emi!L11=0,0,1000000*SER_hh_emi!L11/SER_hh_num!L11)</f>
        <v>0</v>
      </c>
      <c r="M11" s="132">
        <f>IF(SER_hh_emi!M11=0,0,1000000*SER_hh_emi!M11/SER_hh_num!M11)</f>
        <v>0</v>
      </c>
      <c r="N11" s="132">
        <f>IF(SER_hh_emi!N11=0,0,1000000*SER_hh_emi!N11/SER_hh_num!N11)</f>
        <v>0</v>
      </c>
      <c r="O11" s="132">
        <f>IF(SER_hh_emi!O11=0,0,1000000*SER_hh_emi!O11/SER_hh_num!O11)</f>
        <v>0</v>
      </c>
      <c r="P11" s="132">
        <f>IF(SER_hh_emi!P11=0,0,1000000*SER_hh_emi!P11/SER_hh_num!P11)</f>
        <v>0</v>
      </c>
      <c r="Q11" s="132">
        <f>IF(SER_hh_emi!Q11=0,0,1000000*SER_hh_emi!Q11/SER_hh_num!Q11)</f>
        <v>0</v>
      </c>
      <c r="R11" s="132">
        <f>IF(SER_hh_emi!R11=0,0,1000000*SER_hh_emi!R11/SER_hh_num!R11)</f>
        <v>0</v>
      </c>
      <c r="S11" s="132">
        <f>IF(SER_hh_emi!S11=0,0,1000000*SER_hh_emi!S11/SER_hh_num!S11)</f>
        <v>0</v>
      </c>
      <c r="T11" s="132">
        <f>IF(SER_hh_emi!T11=0,0,1000000*SER_hh_emi!T11/SER_hh_num!T11)</f>
        <v>0</v>
      </c>
      <c r="U11" s="132">
        <f>IF(SER_hh_emi!U11=0,0,1000000*SER_hh_emi!U11/SER_hh_num!U11)</f>
        <v>0</v>
      </c>
      <c r="V11" s="132">
        <f>IF(SER_hh_emi!V11=0,0,1000000*SER_hh_emi!V11/SER_hh_num!V11)</f>
        <v>0</v>
      </c>
      <c r="W11" s="132">
        <f>IF(SER_hh_emi!W11=0,0,1000000*SER_hh_emi!W11/SER_hh_num!W11)</f>
        <v>0</v>
      </c>
      <c r="X11" s="132">
        <f>IF(SER_hh_emi!X11=0,0,1000000*SER_hh_emi!X11/SER_hh_num!X11)</f>
        <v>0</v>
      </c>
      <c r="Y11" s="132">
        <f>IF(SER_hh_emi!Y11=0,0,1000000*SER_hh_emi!Y11/SER_hh_num!Y11)</f>
        <v>0</v>
      </c>
      <c r="DA11" s="156" t="s">
        <v>454</v>
      </c>
    </row>
    <row r="12" spans="1:105" ht="12" customHeight="1" x14ac:dyDescent="0.25">
      <c r="A12" s="131" t="s">
        <v>162</v>
      </c>
      <c r="B12" s="132">
        <f>IF(SER_hh_emi!B12=0,0,1000000*SER_hh_emi!B12/SER_hh_num!B12)</f>
        <v>0</v>
      </c>
      <c r="C12" s="132">
        <f>IF(SER_hh_emi!C12=0,0,1000000*SER_hh_emi!C12/SER_hh_num!C12)</f>
        <v>0</v>
      </c>
      <c r="D12" s="132">
        <f>IF(SER_hh_emi!D12=0,0,1000000*SER_hh_emi!D12/SER_hh_num!D12)</f>
        <v>0</v>
      </c>
      <c r="E12" s="132">
        <f>IF(SER_hh_emi!E12=0,0,1000000*SER_hh_emi!E12/SER_hh_num!E12)</f>
        <v>0</v>
      </c>
      <c r="F12" s="132">
        <f>IF(SER_hh_emi!F12=0,0,1000000*SER_hh_emi!F12/SER_hh_num!F12)</f>
        <v>0</v>
      </c>
      <c r="G12" s="132">
        <f>IF(SER_hh_emi!G12=0,0,1000000*SER_hh_emi!G12/SER_hh_num!G12)</f>
        <v>0</v>
      </c>
      <c r="H12" s="132">
        <f>IF(SER_hh_emi!H12=0,0,1000000*SER_hh_emi!H12/SER_hh_num!H12)</f>
        <v>0</v>
      </c>
      <c r="I12" s="132">
        <f>IF(SER_hh_emi!I12=0,0,1000000*SER_hh_emi!I12/SER_hh_num!I12)</f>
        <v>0</v>
      </c>
      <c r="J12" s="132">
        <f>IF(SER_hh_emi!J12=0,0,1000000*SER_hh_emi!J12/SER_hh_num!J12)</f>
        <v>0</v>
      </c>
      <c r="K12" s="132">
        <f>IF(SER_hh_emi!K12=0,0,1000000*SER_hh_emi!K12/SER_hh_num!K12)</f>
        <v>0</v>
      </c>
      <c r="L12" s="132">
        <f>IF(SER_hh_emi!L12=0,0,1000000*SER_hh_emi!L12/SER_hh_num!L12)</f>
        <v>0</v>
      </c>
      <c r="M12" s="132">
        <f>IF(SER_hh_emi!M12=0,0,1000000*SER_hh_emi!M12/SER_hh_num!M12)</f>
        <v>0</v>
      </c>
      <c r="N12" s="132">
        <f>IF(SER_hh_emi!N12=0,0,1000000*SER_hh_emi!N12/SER_hh_num!N12)</f>
        <v>0</v>
      </c>
      <c r="O12" s="132">
        <f>IF(SER_hh_emi!O12=0,0,1000000*SER_hh_emi!O12/SER_hh_num!O12)</f>
        <v>0</v>
      </c>
      <c r="P12" s="132">
        <f>IF(SER_hh_emi!P12=0,0,1000000*SER_hh_emi!P12/SER_hh_num!P12)</f>
        <v>0</v>
      </c>
      <c r="Q12" s="132">
        <f>IF(SER_hh_emi!Q12=0,0,1000000*SER_hh_emi!Q12/SER_hh_num!Q12)</f>
        <v>0</v>
      </c>
      <c r="R12" s="132">
        <f>IF(SER_hh_emi!R12=0,0,1000000*SER_hh_emi!R12/SER_hh_num!R12)</f>
        <v>0</v>
      </c>
      <c r="S12" s="132">
        <f>IF(SER_hh_emi!S12=0,0,1000000*SER_hh_emi!S12/SER_hh_num!S12)</f>
        <v>0</v>
      </c>
      <c r="T12" s="132">
        <f>IF(SER_hh_emi!T12=0,0,1000000*SER_hh_emi!T12/SER_hh_num!T12)</f>
        <v>0</v>
      </c>
      <c r="U12" s="132">
        <f>IF(SER_hh_emi!U12=0,0,1000000*SER_hh_emi!U12/SER_hh_num!U12)</f>
        <v>0</v>
      </c>
      <c r="V12" s="132">
        <f>IF(SER_hh_emi!V12=0,0,1000000*SER_hh_emi!V12/SER_hh_num!V12)</f>
        <v>0</v>
      </c>
      <c r="W12" s="132">
        <f>IF(SER_hh_emi!W12=0,0,1000000*SER_hh_emi!W12/SER_hh_num!W12)</f>
        <v>0</v>
      </c>
      <c r="X12" s="132">
        <f>IF(SER_hh_emi!X12=0,0,1000000*SER_hh_emi!X12/SER_hh_num!X12)</f>
        <v>0</v>
      </c>
      <c r="Y12" s="132">
        <f>IF(SER_hh_emi!Y12=0,0,1000000*SER_hh_emi!Y12/SER_hh_num!Y12)</f>
        <v>0</v>
      </c>
      <c r="DA12" s="156" t="s">
        <v>455</v>
      </c>
    </row>
    <row r="13" spans="1:105" ht="12" customHeight="1" x14ac:dyDescent="0.25">
      <c r="A13" s="131" t="s">
        <v>77</v>
      </c>
      <c r="B13" s="132">
        <f>IF(SER_hh_emi!B13=0,0,1000000*SER_hh_emi!B13/SER_hh_num!B13)</f>
        <v>0</v>
      </c>
      <c r="C13" s="132">
        <f>IF(SER_hh_emi!C13=0,0,1000000*SER_hh_emi!C13/SER_hh_num!C13)</f>
        <v>0</v>
      </c>
      <c r="D13" s="132">
        <f>IF(SER_hh_emi!D13=0,0,1000000*SER_hh_emi!D13/SER_hh_num!D13)</f>
        <v>0</v>
      </c>
      <c r="E13" s="132">
        <f>IF(SER_hh_emi!E13=0,0,1000000*SER_hh_emi!E13/SER_hh_num!E13)</f>
        <v>0</v>
      </c>
      <c r="F13" s="132">
        <f>IF(SER_hh_emi!F13=0,0,1000000*SER_hh_emi!F13/SER_hh_num!F13)</f>
        <v>0</v>
      </c>
      <c r="G13" s="132">
        <f>IF(SER_hh_emi!G13=0,0,1000000*SER_hh_emi!G13/SER_hh_num!G13)</f>
        <v>0</v>
      </c>
      <c r="H13" s="132">
        <f>IF(SER_hh_emi!H13=0,0,1000000*SER_hh_emi!H13/SER_hh_num!H13)</f>
        <v>0</v>
      </c>
      <c r="I13" s="132">
        <f>IF(SER_hh_emi!I13=0,0,1000000*SER_hh_emi!I13/SER_hh_num!I13)</f>
        <v>0</v>
      </c>
      <c r="J13" s="132">
        <f>IF(SER_hh_emi!J13=0,0,1000000*SER_hh_emi!J13/SER_hh_num!J13)</f>
        <v>0</v>
      </c>
      <c r="K13" s="132">
        <f>IF(SER_hh_emi!K13=0,0,1000000*SER_hh_emi!K13/SER_hh_num!K13)</f>
        <v>0</v>
      </c>
      <c r="L13" s="132">
        <f>IF(SER_hh_emi!L13=0,0,1000000*SER_hh_emi!L13/SER_hh_num!L13)</f>
        <v>0</v>
      </c>
      <c r="M13" s="132">
        <f>IF(SER_hh_emi!M13=0,0,1000000*SER_hh_emi!M13/SER_hh_num!M13)</f>
        <v>0</v>
      </c>
      <c r="N13" s="132">
        <f>IF(SER_hh_emi!N13=0,0,1000000*SER_hh_emi!N13/SER_hh_num!N13)</f>
        <v>0</v>
      </c>
      <c r="O13" s="132">
        <f>IF(SER_hh_emi!O13=0,0,1000000*SER_hh_emi!O13/SER_hh_num!O13)</f>
        <v>0</v>
      </c>
      <c r="P13" s="132">
        <f>IF(SER_hh_emi!P13=0,0,1000000*SER_hh_emi!P13/SER_hh_num!P13)</f>
        <v>0</v>
      </c>
      <c r="Q13" s="132">
        <f>IF(SER_hh_emi!Q13=0,0,1000000*SER_hh_emi!Q13/SER_hh_num!Q13)</f>
        <v>0</v>
      </c>
      <c r="R13" s="132">
        <f>IF(SER_hh_emi!R13=0,0,1000000*SER_hh_emi!R13/SER_hh_num!R13)</f>
        <v>0</v>
      </c>
      <c r="S13" s="132">
        <f>IF(SER_hh_emi!S13=0,0,1000000*SER_hh_emi!S13/SER_hh_num!S13)</f>
        <v>0</v>
      </c>
      <c r="T13" s="132">
        <f>IF(SER_hh_emi!T13=0,0,1000000*SER_hh_emi!T13/SER_hh_num!T13)</f>
        <v>0</v>
      </c>
      <c r="U13" s="132">
        <f>IF(SER_hh_emi!U13=0,0,1000000*SER_hh_emi!U13/SER_hh_num!U13)</f>
        <v>0</v>
      </c>
      <c r="V13" s="132">
        <f>IF(SER_hh_emi!V13=0,0,1000000*SER_hh_emi!V13/SER_hh_num!V13)</f>
        <v>0</v>
      </c>
      <c r="W13" s="132">
        <f>IF(SER_hh_emi!W13=0,0,1000000*SER_hh_emi!W13/SER_hh_num!W13)</f>
        <v>0</v>
      </c>
      <c r="X13" s="132">
        <f>IF(SER_hh_emi!X13=0,0,1000000*SER_hh_emi!X13/SER_hh_num!X13)</f>
        <v>0</v>
      </c>
      <c r="Y13" s="132">
        <f>IF(SER_hh_emi!Y13=0,0,1000000*SER_hh_emi!Y13/SER_hh_num!Y13)</f>
        <v>0</v>
      </c>
      <c r="DA13" s="156" t="s">
        <v>456</v>
      </c>
    </row>
    <row r="14" spans="1:105" ht="12" customHeight="1" x14ac:dyDescent="0.25">
      <c r="A14" s="60" t="s">
        <v>76</v>
      </c>
      <c r="B14" s="65">
        <f>IF(SER_hh_emi!B14=0,0,1000000*SER_hh_emi!B14/SER_hh_num!B14)</f>
        <v>0</v>
      </c>
      <c r="C14" s="65">
        <f>IF(SER_hh_emi!C14=0,0,1000000*SER_hh_emi!C14/SER_hh_num!C14)</f>
        <v>0</v>
      </c>
      <c r="D14" s="65">
        <f>IF(SER_hh_emi!D14=0,0,1000000*SER_hh_emi!D14/SER_hh_num!D14)</f>
        <v>0</v>
      </c>
      <c r="E14" s="65">
        <f>IF(SER_hh_emi!E14=0,0,1000000*SER_hh_emi!E14/SER_hh_num!E14)</f>
        <v>0</v>
      </c>
      <c r="F14" s="65">
        <f>IF(SER_hh_emi!F14=0,0,1000000*SER_hh_emi!F14/SER_hh_num!F14)</f>
        <v>0</v>
      </c>
      <c r="G14" s="65">
        <f>IF(SER_hh_emi!G14=0,0,1000000*SER_hh_emi!G14/SER_hh_num!G14)</f>
        <v>0</v>
      </c>
      <c r="H14" s="65">
        <f>IF(SER_hh_emi!H14=0,0,1000000*SER_hh_emi!H14/SER_hh_num!H14)</f>
        <v>0</v>
      </c>
      <c r="I14" s="65">
        <f>IF(SER_hh_emi!I14=0,0,1000000*SER_hh_emi!I14/SER_hh_num!I14)</f>
        <v>0</v>
      </c>
      <c r="J14" s="65">
        <f>IF(SER_hh_emi!J14=0,0,1000000*SER_hh_emi!J14/SER_hh_num!J14)</f>
        <v>0</v>
      </c>
      <c r="K14" s="65">
        <f>IF(SER_hh_emi!K14=0,0,1000000*SER_hh_emi!K14/SER_hh_num!K14)</f>
        <v>0</v>
      </c>
      <c r="L14" s="65">
        <f>IF(SER_hh_emi!L14=0,0,1000000*SER_hh_emi!L14/SER_hh_num!L14)</f>
        <v>0</v>
      </c>
      <c r="M14" s="65">
        <f>IF(SER_hh_emi!M14=0,0,1000000*SER_hh_emi!M14/SER_hh_num!M14)</f>
        <v>0</v>
      </c>
      <c r="N14" s="65">
        <f>IF(SER_hh_emi!N14=0,0,1000000*SER_hh_emi!N14/SER_hh_num!N14)</f>
        <v>0</v>
      </c>
      <c r="O14" s="65">
        <f>IF(SER_hh_emi!O14=0,0,1000000*SER_hh_emi!O14/SER_hh_num!O14)</f>
        <v>0</v>
      </c>
      <c r="P14" s="65">
        <f>IF(SER_hh_emi!P14=0,0,1000000*SER_hh_emi!P14/SER_hh_num!P14)</f>
        <v>0</v>
      </c>
      <c r="Q14" s="65">
        <f>IF(SER_hh_emi!Q14=0,0,1000000*SER_hh_emi!Q14/SER_hh_num!Q14)</f>
        <v>0</v>
      </c>
      <c r="R14" s="65">
        <f>IF(SER_hh_emi!R14=0,0,1000000*SER_hh_emi!R14/SER_hh_num!R14)</f>
        <v>0</v>
      </c>
      <c r="S14" s="65">
        <f>IF(SER_hh_emi!S14=0,0,1000000*SER_hh_emi!S14/SER_hh_num!S14)</f>
        <v>0</v>
      </c>
      <c r="T14" s="65">
        <f>IF(SER_hh_emi!T14=0,0,1000000*SER_hh_emi!T14/SER_hh_num!T14)</f>
        <v>0</v>
      </c>
      <c r="U14" s="65">
        <f>IF(SER_hh_emi!U14=0,0,1000000*SER_hh_emi!U14/SER_hh_num!U14)</f>
        <v>0</v>
      </c>
      <c r="V14" s="65">
        <f>IF(SER_hh_emi!V14=0,0,1000000*SER_hh_emi!V14/SER_hh_num!V14)</f>
        <v>0</v>
      </c>
      <c r="W14" s="65">
        <f>IF(SER_hh_emi!W14=0,0,1000000*SER_hh_emi!W14/SER_hh_num!W14)</f>
        <v>0</v>
      </c>
      <c r="X14" s="65">
        <f>IF(SER_hh_emi!X14=0,0,1000000*SER_hh_emi!X14/SER_hh_num!X14)</f>
        <v>0</v>
      </c>
      <c r="Y14" s="65">
        <f>IF(SER_hh_emi!Y14=0,0,1000000*SER_hh_emi!Y14/SER_hh_num!Y14)</f>
        <v>0</v>
      </c>
      <c r="DA14" s="109" t="s">
        <v>457</v>
      </c>
    </row>
    <row r="15" spans="1:105" ht="12" customHeight="1" x14ac:dyDescent="0.25">
      <c r="A15" s="133" t="s">
        <v>80</v>
      </c>
      <c r="B15" s="134">
        <f>IF(SER_hh_emi!B15=0,0,1000000*SER_hh_emi!B15/SER_hh_num!B15)</f>
        <v>0</v>
      </c>
      <c r="C15" s="134">
        <f>IF(SER_hh_emi!C15=0,0,1000000*SER_hh_emi!C15/SER_hh_num!C15)</f>
        <v>0</v>
      </c>
      <c r="D15" s="134">
        <f>IF(SER_hh_emi!D15=0,0,1000000*SER_hh_emi!D15/SER_hh_num!D15)</f>
        <v>0</v>
      </c>
      <c r="E15" s="134">
        <f>IF(SER_hh_emi!E15=0,0,1000000*SER_hh_emi!E15/SER_hh_num!E15)</f>
        <v>0</v>
      </c>
      <c r="F15" s="134">
        <f>IF(SER_hh_emi!F15=0,0,1000000*SER_hh_emi!F15/SER_hh_num!F15)</f>
        <v>0</v>
      </c>
      <c r="G15" s="134">
        <f>IF(SER_hh_emi!G15=0,0,1000000*SER_hh_emi!G15/SER_hh_num!G15)</f>
        <v>0</v>
      </c>
      <c r="H15" s="134">
        <f>IF(SER_hh_emi!H15=0,0,1000000*SER_hh_emi!H15/SER_hh_num!H15)</f>
        <v>0</v>
      </c>
      <c r="I15" s="134">
        <f>IF(SER_hh_emi!I15=0,0,1000000*SER_hh_emi!I15/SER_hh_num!I15)</f>
        <v>0</v>
      </c>
      <c r="J15" s="134">
        <f>IF(SER_hh_emi!J15=0,0,1000000*SER_hh_emi!J15/SER_hh_num!J15)</f>
        <v>0</v>
      </c>
      <c r="K15" s="134">
        <f>IF(SER_hh_emi!K15=0,0,1000000*SER_hh_emi!K15/SER_hh_num!K15)</f>
        <v>0</v>
      </c>
      <c r="L15" s="134">
        <f>IF(SER_hh_emi!L15=0,0,1000000*SER_hh_emi!L15/SER_hh_num!L15)</f>
        <v>0</v>
      </c>
      <c r="M15" s="134">
        <f>IF(SER_hh_emi!M15=0,0,1000000*SER_hh_emi!M15/SER_hh_num!M15)</f>
        <v>0</v>
      </c>
      <c r="N15" s="134">
        <f>IF(SER_hh_emi!N15=0,0,1000000*SER_hh_emi!N15/SER_hh_num!N15)</f>
        <v>0</v>
      </c>
      <c r="O15" s="134">
        <f>IF(SER_hh_emi!O15=0,0,1000000*SER_hh_emi!O15/SER_hh_num!O15)</f>
        <v>0</v>
      </c>
      <c r="P15" s="134">
        <f>IF(SER_hh_emi!P15=0,0,1000000*SER_hh_emi!P15/SER_hh_num!P15)</f>
        <v>0</v>
      </c>
      <c r="Q15" s="134">
        <f>IF(SER_hh_emi!Q15=0,0,1000000*SER_hh_emi!Q15/SER_hh_num!Q15)</f>
        <v>0</v>
      </c>
      <c r="R15" s="134">
        <f>IF(SER_hh_emi!R15=0,0,1000000*SER_hh_emi!R15/SER_hh_num!R15)</f>
        <v>0</v>
      </c>
      <c r="S15" s="134">
        <f>IF(SER_hh_emi!S15=0,0,1000000*SER_hh_emi!S15/SER_hh_num!S15)</f>
        <v>0</v>
      </c>
      <c r="T15" s="134">
        <f>IF(SER_hh_emi!T15=0,0,1000000*SER_hh_emi!T15/SER_hh_num!T15)</f>
        <v>0</v>
      </c>
      <c r="U15" s="134">
        <f>IF(SER_hh_emi!U15=0,0,1000000*SER_hh_emi!U15/SER_hh_num!U15)</f>
        <v>0</v>
      </c>
      <c r="V15" s="134">
        <f>IF(SER_hh_emi!V15=0,0,1000000*SER_hh_emi!V15/SER_hh_num!V15)</f>
        <v>0</v>
      </c>
      <c r="W15" s="134">
        <f>IF(SER_hh_emi!W15=0,0,1000000*SER_hh_emi!W15/SER_hh_num!W15)</f>
        <v>0</v>
      </c>
      <c r="X15" s="134">
        <f>IF(SER_hh_emi!X15=0,0,1000000*SER_hh_emi!X15/SER_hh_num!X15)</f>
        <v>0</v>
      </c>
      <c r="Y15" s="134">
        <f>IF(SER_hh_emi!Y15=0,0,1000000*SER_hh_emi!Y15/SER_hh_num!Y15)</f>
        <v>0</v>
      </c>
      <c r="DA15" s="157" t="s">
        <v>458</v>
      </c>
    </row>
    <row r="16" spans="1:105" ht="12.95" customHeight="1" x14ac:dyDescent="0.25">
      <c r="A16" s="129" t="s">
        <v>74</v>
      </c>
      <c r="B16" s="130">
        <f>IF(SER_hh_emi!B16=0,0,1000000*SER_hh_emi!B16/SER_hh_num!B16)</f>
        <v>7.2206688886856032</v>
      </c>
      <c r="C16" s="130">
        <f>IF(SER_hh_emi!C16=0,0,1000000*SER_hh_emi!C16/SER_hh_num!C16)</f>
        <v>11.521028443181066</v>
      </c>
      <c r="D16" s="130">
        <f>IF(SER_hh_emi!D16=0,0,1000000*SER_hh_emi!D16/SER_hh_num!D16)</f>
        <v>9.8765906000998758</v>
      </c>
      <c r="E16" s="130">
        <f>IF(SER_hh_emi!E16=0,0,1000000*SER_hh_emi!E16/SER_hh_num!E16)</f>
        <v>28.445824268742495</v>
      </c>
      <c r="F16" s="130">
        <f>IF(SER_hh_emi!F16=0,0,1000000*SER_hh_emi!F16/SER_hh_num!F16)</f>
        <v>15.735274836445209</v>
      </c>
      <c r="G16" s="130">
        <f>IF(SER_hh_emi!G16=0,0,1000000*SER_hh_emi!G16/SER_hh_num!G16)</f>
        <v>16.795952329197018</v>
      </c>
      <c r="H16" s="130">
        <f>IF(SER_hh_emi!H16=0,0,1000000*SER_hh_emi!H16/SER_hh_num!H16)</f>
        <v>22.163307901480479</v>
      </c>
      <c r="I16" s="130">
        <f>IF(SER_hh_emi!I16=0,0,1000000*SER_hh_emi!I16/SER_hh_num!I16)</f>
        <v>22.165032974833967</v>
      </c>
      <c r="J16" s="130">
        <f>IF(SER_hh_emi!J16=0,0,1000000*SER_hh_emi!J16/SER_hh_num!J16)</f>
        <v>29.30689663893763</v>
      </c>
      <c r="K16" s="130">
        <f>IF(SER_hh_emi!K16=0,0,1000000*SER_hh_emi!K16/SER_hh_num!K16)</f>
        <v>34.876407748147805</v>
      </c>
      <c r="L16" s="130">
        <f>IF(SER_hh_emi!L16=0,0,1000000*SER_hh_emi!L16/SER_hh_num!L16)</f>
        <v>31.436725519809375</v>
      </c>
      <c r="M16" s="130">
        <f>IF(SER_hh_emi!M16=0,0,1000000*SER_hh_emi!M16/SER_hh_num!M16)</f>
        <v>36.429675258893909</v>
      </c>
      <c r="N16" s="130">
        <f>IF(SER_hh_emi!N16=0,0,1000000*SER_hh_emi!N16/SER_hh_num!N16)</f>
        <v>60.846413875644373</v>
      </c>
      <c r="O16" s="130">
        <f>IF(SER_hh_emi!O16=0,0,1000000*SER_hh_emi!O16/SER_hh_num!O16)</f>
        <v>40.166506536348002</v>
      </c>
      <c r="P16" s="130">
        <f>IF(SER_hh_emi!P16=0,0,1000000*SER_hh_emi!P16/SER_hh_num!P16)</f>
        <v>37.626375054862237</v>
      </c>
      <c r="Q16" s="130">
        <f>IF(SER_hh_emi!Q16=0,0,1000000*SER_hh_emi!Q16/SER_hh_num!Q16)</f>
        <v>71.43927124523573</v>
      </c>
      <c r="R16" s="130">
        <f>IF(SER_hh_emi!R16=0,0,1000000*SER_hh_emi!R16/SER_hh_num!R16)</f>
        <v>49.659435285831933</v>
      </c>
      <c r="S16" s="130">
        <f>IF(SER_hh_emi!S16=0,0,1000000*SER_hh_emi!S16/SER_hh_num!S16)</f>
        <v>79.060549801171248</v>
      </c>
      <c r="T16" s="130">
        <f>IF(SER_hh_emi!T16=0,0,1000000*SER_hh_emi!T16/SER_hh_num!T16)</f>
        <v>62.315814381887016</v>
      </c>
      <c r="U16" s="130">
        <f>IF(SER_hh_emi!U16=0,0,1000000*SER_hh_emi!U16/SER_hh_num!U16)</f>
        <v>83.588192372648564</v>
      </c>
      <c r="V16" s="130">
        <f>IF(SER_hh_emi!V16=0,0,1000000*SER_hh_emi!V16/SER_hh_num!V16)</f>
        <v>61.118579330985739</v>
      </c>
      <c r="W16" s="130">
        <f>IF(SER_hh_emi!W16=0,0,1000000*SER_hh_emi!W16/SER_hh_num!W16)</f>
        <v>74.923428163082704</v>
      </c>
      <c r="X16" s="130">
        <f>IF(SER_hh_emi!X16=0,0,1000000*SER_hh_emi!X16/SER_hh_num!X16)</f>
        <v>105.02465689698509</v>
      </c>
      <c r="Y16" s="130">
        <f>IF(SER_hh_emi!Y16=0,0,1000000*SER_hh_emi!Y16/SER_hh_num!Y16)</f>
        <v>95.426324939570208</v>
      </c>
      <c r="DA16" s="155" t="s">
        <v>459</v>
      </c>
    </row>
    <row r="17" spans="1:105" ht="12.95" customHeight="1" x14ac:dyDescent="0.25">
      <c r="A17" s="131" t="s">
        <v>73</v>
      </c>
      <c r="B17" s="132">
        <f>IF(SER_hh_emi!B17=0,0,1000000*SER_hh_emi!B17/SER_hh_num!B17)</f>
        <v>4197.6020989103663</v>
      </c>
      <c r="C17" s="132">
        <f>IF(SER_hh_emi!C17=0,0,1000000*SER_hh_emi!C17/SER_hh_num!C17)</f>
        <v>4446.0896803854484</v>
      </c>
      <c r="D17" s="132">
        <f>IF(SER_hh_emi!D17=0,0,1000000*SER_hh_emi!D17/SER_hh_num!D17)</f>
        <v>3877.0583184718066</v>
      </c>
      <c r="E17" s="132">
        <f>IF(SER_hh_emi!E17=0,0,1000000*SER_hh_emi!E17/SER_hh_num!E17)</f>
        <v>8843.9076108393238</v>
      </c>
      <c r="F17" s="132">
        <f>IF(SER_hh_emi!F17=0,0,1000000*SER_hh_emi!F17/SER_hh_num!F17)</f>
        <v>3919.0250385045888</v>
      </c>
      <c r="G17" s="132">
        <f>IF(SER_hh_emi!G17=0,0,1000000*SER_hh_emi!G17/SER_hh_num!G17)</f>
        <v>3899.6982325731433</v>
      </c>
      <c r="H17" s="132">
        <f>IF(SER_hh_emi!H17=0,0,1000000*SER_hh_emi!H17/SER_hh_num!H17)</f>
        <v>4523.6555791358078</v>
      </c>
      <c r="I17" s="132">
        <f>IF(SER_hh_emi!I17=0,0,1000000*SER_hh_emi!I17/SER_hh_num!I17)</f>
        <v>4117.4647051782695</v>
      </c>
      <c r="J17" s="132">
        <f>IF(SER_hh_emi!J17=0,0,1000000*SER_hh_emi!J17/SER_hh_num!J17)</f>
        <v>4791.3802727938137</v>
      </c>
      <c r="K17" s="132">
        <f>IF(SER_hh_emi!K17=0,0,1000000*SER_hh_emi!K17/SER_hh_num!K17)</f>
        <v>4865.3123509143807</v>
      </c>
      <c r="L17" s="132">
        <f>IF(SER_hh_emi!L17=0,0,1000000*SER_hh_emi!L17/SER_hh_num!L17)</f>
        <v>3922.0011152232737</v>
      </c>
      <c r="M17" s="132">
        <f>IF(SER_hh_emi!M17=0,0,1000000*SER_hh_emi!M17/SER_hh_num!M17)</f>
        <v>4214.0511753706005</v>
      </c>
      <c r="N17" s="132">
        <f>IF(SER_hh_emi!N17=0,0,1000000*SER_hh_emi!N17/SER_hh_num!N17)</f>
        <v>6597.115296036076</v>
      </c>
      <c r="O17" s="132">
        <f>IF(SER_hh_emi!O17=0,0,1000000*SER_hh_emi!O17/SER_hh_num!O17)</f>
        <v>3888.1583788844719</v>
      </c>
      <c r="P17" s="132">
        <f>IF(SER_hh_emi!P17=0,0,1000000*SER_hh_emi!P17/SER_hh_num!P17)</f>
        <v>3329.6195386029581</v>
      </c>
      <c r="Q17" s="132">
        <f>IF(SER_hh_emi!Q17=0,0,1000000*SER_hh_emi!Q17/SER_hh_num!Q17)</f>
        <v>5914.9724456803933</v>
      </c>
      <c r="R17" s="132">
        <f>IF(SER_hh_emi!R17=0,0,1000000*SER_hh_emi!R17/SER_hh_num!R17)</f>
        <v>3833.6437532269251</v>
      </c>
      <c r="S17" s="132">
        <f>IF(SER_hh_emi!S17=0,0,1000000*SER_hh_emi!S17/SER_hh_num!S17)</f>
        <v>5764.8139400484633</v>
      </c>
      <c r="T17" s="132">
        <f>IF(SER_hh_emi!T17=0,0,1000000*SER_hh_emi!T17/SER_hh_num!T17)</f>
        <v>4359.4679470014989</v>
      </c>
      <c r="U17" s="132">
        <f>IF(SER_hh_emi!U17=0,0,1000000*SER_hh_emi!U17/SER_hh_num!U17)</f>
        <v>5695.7418990292463</v>
      </c>
      <c r="V17" s="132">
        <f>IF(SER_hh_emi!V17=0,0,1000000*SER_hh_emi!V17/SER_hh_num!V17)</f>
        <v>4075.7572067093579</v>
      </c>
      <c r="W17" s="132">
        <f>IF(SER_hh_emi!W17=0,0,1000000*SER_hh_emi!W17/SER_hh_num!W17)</f>
        <v>4943.1502243639761</v>
      </c>
      <c r="X17" s="132">
        <f>IF(SER_hh_emi!X17=0,0,1000000*SER_hh_emi!X17/SER_hh_num!X17)</f>
        <v>6497.7882036098936</v>
      </c>
      <c r="Y17" s="132">
        <f>IF(SER_hh_emi!Y17=0,0,1000000*SER_hh_emi!Y17/SER_hh_num!Y17)</f>
        <v>5599.3638610892103</v>
      </c>
      <c r="DA17" s="156" t="s">
        <v>460</v>
      </c>
    </row>
    <row r="18" spans="1:105" ht="12" customHeight="1" x14ac:dyDescent="0.25">
      <c r="A18" s="131" t="s">
        <v>72</v>
      </c>
      <c r="B18" s="132">
        <f>IF(SER_hh_emi!B18=0,0,1000000*SER_hh_emi!B18/SER_hh_num!B18)</f>
        <v>0</v>
      </c>
      <c r="C18" s="132">
        <f>IF(SER_hh_emi!C18=0,0,1000000*SER_hh_emi!C18/SER_hh_num!C18)</f>
        <v>0</v>
      </c>
      <c r="D18" s="132">
        <f>IF(SER_hh_emi!D18=0,0,1000000*SER_hh_emi!D18/SER_hh_num!D18)</f>
        <v>0</v>
      </c>
      <c r="E18" s="132">
        <f>IF(SER_hh_emi!E18=0,0,1000000*SER_hh_emi!E18/SER_hh_num!E18)</f>
        <v>0</v>
      </c>
      <c r="F18" s="132">
        <f>IF(SER_hh_emi!F18=0,0,1000000*SER_hh_emi!F18/SER_hh_num!F18)</f>
        <v>0</v>
      </c>
      <c r="G18" s="132">
        <f>IF(SER_hh_emi!G18=0,0,1000000*SER_hh_emi!G18/SER_hh_num!G18)</f>
        <v>0</v>
      </c>
      <c r="H18" s="132">
        <f>IF(SER_hh_emi!H18=0,0,1000000*SER_hh_emi!H18/SER_hh_num!H18)</f>
        <v>0</v>
      </c>
      <c r="I18" s="132">
        <f>IF(SER_hh_emi!I18=0,0,1000000*SER_hh_emi!I18/SER_hh_num!I18)</f>
        <v>0</v>
      </c>
      <c r="J18" s="132">
        <f>IF(SER_hh_emi!J18=0,0,1000000*SER_hh_emi!J18/SER_hh_num!J18)</f>
        <v>0</v>
      </c>
      <c r="K18" s="132">
        <f>IF(SER_hh_emi!K18=0,0,1000000*SER_hh_emi!K18/SER_hh_num!K18)</f>
        <v>0</v>
      </c>
      <c r="L18" s="132">
        <f>IF(SER_hh_emi!L18=0,0,1000000*SER_hh_emi!L18/SER_hh_num!L18)</f>
        <v>0</v>
      </c>
      <c r="M18" s="132">
        <f>IF(SER_hh_emi!M18=0,0,1000000*SER_hh_emi!M18/SER_hh_num!M18)</f>
        <v>0</v>
      </c>
      <c r="N18" s="132">
        <f>IF(SER_hh_emi!N18=0,0,1000000*SER_hh_emi!N18/SER_hh_num!N18)</f>
        <v>0</v>
      </c>
      <c r="O18" s="132">
        <f>IF(SER_hh_emi!O18=0,0,1000000*SER_hh_emi!O18/SER_hh_num!O18)</f>
        <v>0</v>
      </c>
      <c r="P18" s="132">
        <f>IF(SER_hh_emi!P18=0,0,1000000*SER_hh_emi!P18/SER_hh_num!P18)</f>
        <v>0</v>
      </c>
      <c r="Q18" s="132">
        <f>IF(SER_hh_emi!Q18=0,0,1000000*SER_hh_emi!Q18/SER_hh_num!Q18)</f>
        <v>0</v>
      </c>
      <c r="R18" s="132">
        <f>IF(SER_hh_emi!R18=0,0,1000000*SER_hh_emi!R18/SER_hh_num!R18)</f>
        <v>0</v>
      </c>
      <c r="S18" s="132">
        <f>IF(SER_hh_emi!S18=0,0,1000000*SER_hh_emi!S18/SER_hh_num!S18)</f>
        <v>0</v>
      </c>
      <c r="T18" s="132">
        <f>IF(SER_hh_emi!T18=0,0,1000000*SER_hh_emi!T18/SER_hh_num!T18)</f>
        <v>0</v>
      </c>
      <c r="U18" s="132">
        <f>IF(SER_hh_emi!U18=0,0,1000000*SER_hh_emi!U18/SER_hh_num!U18)</f>
        <v>0</v>
      </c>
      <c r="V18" s="132">
        <f>IF(SER_hh_emi!V18=0,0,1000000*SER_hh_emi!V18/SER_hh_num!V18)</f>
        <v>0</v>
      </c>
      <c r="W18" s="132">
        <f>IF(SER_hh_emi!W18=0,0,1000000*SER_hh_emi!W18/SER_hh_num!W18)</f>
        <v>0</v>
      </c>
      <c r="X18" s="132">
        <f>IF(SER_hh_emi!X18=0,0,1000000*SER_hh_emi!X18/SER_hh_num!X18)</f>
        <v>0</v>
      </c>
      <c r="Y18" s="132">
        <f>IF(SER_hh_emi!Y18=0,0,1000000*SER_hh_emi!Y18/SER_hh_num!Y18)</f>
        <v>0</v>
      </c>
      <c r="DA18" s="156" t="s">
        <v>461</v>
      </c>
    </row>
    <row r="19" spans="1:105" ht="12.95" customHeight="1" x14ac:dyDescent="0.25">
      <c r="A19" s="129" t="s">
        <v>35</v>
      </c>
      <c r="B19" s="130">
        <f>IF(SER_hh_emi!B19=0,0,1000000*SER_hh_emi!B19/SER_hh_num!B19)</f>
        <v>3727.0042808522553</v>
      </c>
      <c r="C19" s="130">
        <f>IF(SER_hh_emi!C19=0,0,1000000*SER_hh_emi!C19/SER_hh_num!C19)</f>
        <v>3663.1039694440424</v>
      </c>
      <c r="D19" s="130">
        <f>IF(SER_hh_emi!D19=0,0,1000000*SER_hh_emi!D19/SER_hh_num!D19)</f>
        <v>3539.3626365605028</v>
      </c>
      <c r="E19" s="130">
        <f>IF(SER_hh_emi!E19=0,0,1000000*SER_hh_emi!E19/SER_hh_num!E19)</f>
        <v>3439.5149066834383</v>
      </c>
      <c r="F19" s="130">
        <f>IF(SER_hh_emi!F19=0,0,1000000*SER_hh_emi!F19/SER_hh_num!F19)</f>
        <v>3359.1468668119101</v>
      </c>
      <c r="G19" s="130">
        <f>IF(SER_hh_emi!G19=0,0,1000000*SER_hh_emi!G19/SER_hh_num!G19)</f>
        <v>3358.6058570998771</v>
      </c>
      <c r="H19" s="130">
        <f>IF(SER_hh_emi!H19=0,0,1000000*SER_hh_emi!H19/SER_hh_num!H19)</f>
        <v>3272.0604083560361</v>
      </c>
      <c r="I19" s="130">
        <f>IF(SER_hh_emi!I19=0,0,1000000*SER_hh_emi!I19/SER_hh_num!I19)</f>
        <v>3165.5769485219389</v>
      </c>
      <c r="J19" s="130">
        <f>IF(SER_hh_emi!J19=0,0,1000000*SER_hh_emi!J19/SER_hh_num!J19)</f>
        <v>3145.6062742644408</v>
      </c>
      <c r="K19" s="130">
        <f>IF(SER_hh_emi!K19=0,0,1000000*SER_hh_emi!K19/SER_hh_num!K19)</f>
        <v>3072.4280573542646</v>
      </c>
      <c r="L19" s="130">
        <f>IF(SER_hh_emi!L19=0,0,1000000*SER_hh_emi!L19/SER_hh_num!L19)</f>
        <v>2979.9088059110009</v>
      </c>
      <c r="M19" s="130">
        <f>IF(SER_hh_emi!M19=0,0,1000000*SER_hh_emi!M19/SER_hh_num!M19)</f>
        <v>2958.8161089360383</v>
      </c>
      <c r="N19" s="130">
        <f>IF(SER_hh_emi!N19=0,0,1000000*SER_hh_emi!N19/SER_hh_num!N19)</f>
        <v>2903.3954282913319</v>
      </c>
      <c r="O19" s="130">
        <f>IF(SER_hh_emi!O19=0,0,1000000*SER_hh_emi!O19/SER_hh_num!O19)</f>
        <v>2902.2367638341416</v>
      </c>
      <c r="P19" s="130">
        <f>IF(SER_hh_emi!P19=0,0,1000000*SER_hh_emi!P19/SER_hh_num!P19)</f>
        <v>2844.7659705313786</v>
      </c>
      <c r="Q19" s="130">
        <f>IF(SER_hh_emi!Q19=0,0,1000000*SER_hh_emi!Q19/SER_hh_num!Q19)</f>
        <v>2836.4951886154372</v>
      </c>
      <c r="R19" s="130">
        <f>IF(SER_hh_emi!R19=0,0,1000000*SER_hh_emi!R19/SER_hh_num!R19)</f>
        <v>2860.4249114982913</v>
      </c>
      <c r="S19" s="130">
        <f>IF(SER_hh_emi!S19=0,0,1000000*SER_hh_emi!S19/SER_hh_num!S19)</f>
        <v>2952.8855496258288</v>
      </c>
      <c r="T19" s="130">
        <f>IF(SER_hh_emi!T19=0,0,1000000*SER_hh_emi!T19/SER_hh_num!T19)</f>
        <v>3075.1228037876972</v>
      </c>
      <c r="U19" s="130">
        <f>IF(SER_hh_emi!U19=0,0,1000000*SER_hh_emi!U19/SER_hh_num!U19)</f>
        <v>2643.3794869120734</v>
      </c>
      <c r="V19" s="130">
        <f>IF(SER_hh_emi!V19=0,0,1000000*SER_hh_emi!V19/SER_hh_num!V19)</f>
        <v>2430.4027070076518</v>
      </c>
      <c r="W19" s="130">
        <f>IF(SER_hh_emi!W19=0,0,1000000*SER_hh_emi!W19/SER_hh_num!W19)</f>
        <v>2539.5904212849373</v>
      </c>
      <c r="X19" s="130">
        <f>IF(SER_hh_emi!X19=0,0,1000000*SER_hh_emi!X19/SER_hh_num!X19)</f>
        <v>2542.5283620228947</v>
      </c>
      <c r="Y19" s="130">
        <f>IF(SER_hh_emi!Y19=0,0,1000000*SER_hh_emi!Y19/SER_hh_num!Y19)</f>
        <v>2543.5186764352143</v>
      </c>
      <c r="DA19" s="155" t="s">
        <v>462</v>
      </c>
    </row>
    <row r="20" spans="1:105" ht="12" customHeight="1" x14ac:dyDescent="0.25">
      <c r="A20" s="131" t="s">
        <v>29</v>
      </c>
      <c r="B20" s="132">
        <f>IF(SER_hh_emi!B20=0,0,1000000*SER_hh_emi!B20/SER_hh_num!B20)</f>
        <v>0</v>
      </c>
      <c r="C20" s="132">
        <f>IF(SER_hh_emi!C20=0,0,1000000*SER_hh_emi!C20/SER_hh_num!C20)</f>
        <v>0</v>
      </c>
      <c r="D20" s="132">
        <f>IF(SER_hh_emi!D20=0,0,1000000*SER_hh_emi!D20/SER_hh_num!D20)</f>
        <v>0</v>
      </c>
      <c r="E20" s="132">
        <f>IF(SER_hh_emi!E20=0,0,1000000*SER_hh_emi!E20/SER_hh_num!E20)</f>
        <v>0</v>
      </c>
      <c r="F20" s="132">
        <f>IF(SER_hh_emi!F20=0,0,1000000*SER_hh_emi!F20/SER_hh_num!F20)</f>
        <v>0</v>
      </c>
      <c r="G20" s="132">
        <f>IF(SER_hh_emi!G20=0,0,1000000*SER_hh_emi!G20/SER_hh_num!G20)</f>
        <v>0</v>
      </c>
      <c r="H20" s="132">
        <f>IF(SER_hh_emi!H20=0,0,1000000*SER_hh_emi!H20/SER_hh_num!H20)</f>
        <v>0</v>
      </c>
      <c r="I20" s="132">
        <f>IF(SER_hh_emi!I20=0,0,1000000*SER_hh_emi!I20/SER_hh_num!I20)</f>
        <v>0</v>
      </c>
      <c r="J20" s="132">
        <f>IF(SER_hh_emi!J20=0,0,1000000*SER_hh_emi!J20/SER_hh_num!J20)</f>
        <v>0</v>
      </c>
      <c r="K20" s="132">
        <f>IF(SER_hh_emi!K20=0,0,1000000*SER_hh_emi!K20/SER_hh_num!K20)</f>
        <v>0</v>
      </c>
      <c r="L20" s="132">
        <f>IF(SER_hh_emi!L20=0,0,1000000*SER_hh_emi!L20/SER_hh_num!L20)</f>
        <v>0</v>
      </c>
      <c r="M20" s="132">
        <f>IF(SER_hh_emi!M20=0,0,1000000*SER_hh_emi!M20/SER_hh_num!M20)</f>
        <v>0</v>
      </c>
      <c r="N20" s="132">
        <f>IF(SER_hh_emi!N20=0,0,1000000*SER_hh_emi!N20/SER_hh_num!N20)</f>
        <v>0</v>
      </c>
      <c r="O20" s="132">
        <f>IF(SER_hh_emi!O20=0,0,1000000*SER_hh_emi!O20/SER_hh_num!O20)</f>
        <v>0</v>
      </c>
      <c r="P20" s="132">
        <f>IF(SER_hh_emi!P20=0,0,1000000*SER_hh_emi!P20/SER_hh_num!P20)</f>
        <v>0</v>
      </c>
      <c r="Q20" s="132">
        <f>IF(SER_hh_emi!Q20=0,0,1000000*SER_hh_emi!Q20/SER_hh_num!Q20)</f>
        <v>0</v>
      </c>
      <c r="R20" s="132">
        <f>IF(SER_hh_emi!R20=0,0,1000000*SER_hh_emi!R20/SER_hh_num!R20)</f>
        <v>0</v>
      </c>
      <c r="S20" s="132">
        <f>IF(SER_hh_emi!S20=0,0,1000000*SER_hh_emi!S20/SER_hh_num!S20)</f>
        <v>0</v>
      </c>
      <c r="T20" s="132">
        <f>IF(SER_hh_emi!T20=0,0,1000000*SER_hh_emi!T20/SER_hh_num!T20)</f>
        <v>0</v>
      </c>
      <c r="U20" s="132">
        <f>IF(SER_hh_emi!U20=0,0,1000000*SER_hh_emi!U20/SER_hh_num!U20)</f>
        <v>0</v>
      </c>
      <c r="V20" s="132">
        <f>IF(SER_hh_emi!V20=0,0,1000000*SER_hh_emi!V20/SER_hh_num!V20)</f>
        <v>0</v>
      </c>
      <c r="W20" s="132">
        <f>IF(SER_hh_emi!W20=0,0,1000000*SER_hh_emi!W20/SER_hh_num!W20)</f>
        <v>0</v>
      </c>
      <c r="X20" s="132">
        <f>IF(SER_hh_emi!X20=0,0,1000000*SER_hh_emi!X20/SER_hh_num!X20)</f>
        <v>0</v>
      </c>
      <c r="Y20" s="132">
        <f>IF(SER_hh_emi!Y20=0,0,1000000*SER_hh_emi!Y20/SER_hh_num!Y20)</f>
        <v>0</v>
      </c>
      <c r="DA20" s="156" t="s">
        <v>463</v>
      </c>
    </row>
    <row r="21" spans="1:105" s="2" customFormat="1" ht="12" customHeight="1" x14ac:dyDescent="0.25">
      <c r="A21" s="131" t="s">
        <v>52</v>
      </c>
      <c r="B21" s="132">
        <f>IF(SER_hh_emi!B21=0,0,1000000*SER_hh_emi!B21/SER_hh_num!B21)</f>
        <v>7562.0867662570236</v>
      </c>
      <c r="C21" s="132">
        <f>IF(SER_hh_emi!C21=0,0,1000000*SER_hh_emi!C21/SER_hh_num!C21)</f>
        <v>7706.2666448073714</v>
      </c>
      <c r="D21" s="132">
        <f>IF(SER_hh_emi!D21=0,0,1000000*SER_hh_emi!D21/SER_hh_num!D21)</f>
        <v>7666.7193266968616</v>
      </c>
      <c r="E21" s="132">
        <f>IF(SER_hh_emi!E21=0,0,1000000*SER_hh_emi!E21/SER_hh_num!E21)</f>
        <v>7475.0276494315913</v>
      </c>
      <c r="F21" s="132">
        <f>IF(SER_hh_emi!F21=0,0,1000000*SER_hh_emi!F21/SER_hh_num!F21)</f>
        <v>7611.2197970971192</v>
      </c>
      <c r="G21" s="132">
        <f>IF(SER_hh_emi!G21=0,0,1000000*SER_hh_emi!G21/SER_hh_num!G21)</f>
        <v>7731.3729942659365</v>
      </c>
      <c r="H21" s="132">
        <f>IF(SER_hh_emi!H21=0,0,1000000*SER_hh_emi!H21/SER_hh_num!H21)</f>
        <v>7846.3069224006586</v>
      </c>
      <c r="I21" s="132">
        <f>IF(SER_hh_emi!I21=0,0,1000000*SER_hh_emi!I21/SER_hh_num!I21)</f>
        <v>7535.6508259579041</v>
      </c>
      <c r="J21" s="132">
        <f>IF(SER_hh_emi!J21=0,0,1000000*SER_hh_emi!J21/SER_hh_num!J21)</f>
        <v>7775.5197838587183</v>
      </c>
      <c r="K21" s="132">
        <f>IF(SER_hh_emi!K21=0,0,1000000*SER_hh_emi!K21/SER_hh_num!K21)</f>
        <v>7509.8741318341845</v>
      </c>
      <c r="L21" s="132">
        <f>IF(SER_hh_emi!L21=0,0,1000000*SER_hh_emi!L21/SER_hh_num!L21)</f>
        <v>7577.508942988291</v>
      </c>
      <c r="M21" s="132">
        <f>IF(SER_hh_emi!M21=0,0,1000000*SER_hh_emi!M21/SER_hh_num!M21)</f>
        <v>7870.9621319904118</v>
      </c>
      <c r="N21" s="132">
        <f>IF(SER_hh_emi!N21=0,0,1000000*SER_hh_emi!N21/SER_hh_num!N21)</f>
        <v>7265.9991606630383</v>
      </c>
      <c r="O21" s="132">
        <f>IF(SER_hh_emi!O21=0,0,1000000*SER_hh_emi!O21/SER_hh_num!O21)</f>
        <v>7730.0023717752465</v>
      </c>
      <c r="P21" s="132">
        <f>IF(SER_hh_emi!P21=0,0,1000000*SER_hh_emi!P21/SER_hh_num!P21)</f>
        <v>7170.4924836326036</v>
      </c>
      <c r="Q21" s="132">
        <f>IF(SER_hh_emi!Q21=0,0,1000000*SER_hh_emi!Q21/SER_hh_num!Q21)</f>
        <v>7008.7628445142736</v>
      </c>
      <c r="R21" s="132">
        <f>IF(SER_hh_emi!R21=0,0,1000000*SER_hh_emi!R21/SER_hh_num!R21)</f>
        <v>7893.9636661200375</v>
      </c>
      <c r="S21" s="132">
        <f>IF(SER_hh_emi!S21=0,0,1000000*SER_hh_emi!S21/SER_hh_num!S21)</f>
        <v>7705.2692126838638</v>
      </c>
      <c r="T21" s="132">
        <f>IF(SER_hh_emi!T21=0,0,1000000*SER_hh_emi!T21/SER_hh_num!T21)</f>
        <v>7036.7557530036256</v>
      </c>
      <c r="U21" s="132">
        <f>IF(SER_hh_emi!U21=0,0,1000000*SER_hh_emi!U21/SER_hh_num!U21)</f>
        <v>6966.6840351740093</v>
      </c>
      <c r="V21" s="132">
        <f>IF(SER_hh_emi!V21=0,0,1000000*SER_hh_emi!V21/SER_hh_num!V21)</f>
        <v>6090.5826326213619</v>
      </c>
      <c r="W21" s="132">
        <f>IF(SER_hh_emi!W21=0,0,1000000*SER_hh_emi!W21/SER_hh_num!W21)</f>
        <v>6649.7404963942636</v>
      </c>
      <c r="X21" s="132">
        <f>IF(SER_hh_emi!X21=0,0,1000000*SER_hh_emi!X21/SER_hh_num!X21)</f>
        <v>6773.326222747879</v>
      </c>
      <c r="Y21" s="132">
        <f>IF(SER_hh_emi!Y21=0,0,1000000*SER_hh_emi!Y21/SER_hh_num!Y21)</f>
        <v>6837.3380183458357</v>
      </c>
      <c r="DA21" s="156" t="s">
        <v>464</v>
      </c>
    </row>
    <row r="22" spans="1:105" ht="12" customHeight="1" x14ac:dyDescent="0.25">
      <c r="A22" s="131" t="s">
        <v>161</v>
      </c>
      <c r="B22" s="132">
        <f>IF(SER_hh_emi!B22=0,0,1000000*SER_hh_emi!B22/SER_hh_num!B22)</f>
        <v>9508.163732859568</v>
      </c>
      <c r="C22" s="132">
        <f>IF(SER_hh_emi!C22=0,0,1000000*SER_hh_emi!C22/SER_hh_num!C22)</f>
        <v>9553.2231305207406</v>
      </c>
      <c r="D22" s="132">
        <f>IF(SER_hh_emi!D22=0,0,1000000*SER_hh_emi!D22/SER_hh_num!D22)</f>
        <v>9285.1680796191795</v>
      </c>
      <c r="E22" s="132">
        <f>IF(SER_hh_emi!E22=0,0,1000000*SER_hh_emi!E22/SER_hh_num!E22)</f>
        <v>9498.6230385591844</v>
      </c>
      <c r="F22" s="132">
        <f>IF(SER_hh_emi!F22=0,0,1000000*SER_hh_emi!F22/SER_hh_num!F22)</f>
        <v>9323.12568723408</v>
      </c>
      <c r="G22" s="132">
        <f>IF(SER_hh_emi!G22=0,0,1000000*SER_hh_emi!G22/SER_hh_num!G22)</f>
        <v>9313.1410011979078</v>
      </c>
      <c r="H22" s="132">
        <f>IF(SER_hh_emi!H22=0,0,1000000*SER_hh_emi!H22/SER_hh_num!H22)</f>
        <v>9626.0765061324109</v>
      </c>
      <c r="I22" s="132">
        <f>IF(SER_hh_emi!I22=0,0,1000000*SER_hh_emi!I22/SER_hh_num!I22)</f>
        <v>9624.9170067080122</v>
      </c>
      <c r="J22" s="132">
        <f>IF(SER_hh_emi!J22=0,0,1000000*SER_hh_emi!J22/SER_hh_num!J22)</f>
        <v>9905.375623846985</v>
      </c>
      <c r="K22" s="132">
        <f>IF(SER_hh_emi!K22=0,0,1000000*SER_hh_emi!K22/SER_hh_num!K22)</f>
        <v>9235.2240477058258</v>
      </c>
      <c r="L22" s="132">
        <f>IF(SER_hh_emi!L22=0,0,1000000*SER_hh_emi!L22/SER_hh_num!L22)</f>
        <v>8936.2572830077243</v>
      </c>
      <c r="M22" s="132">
        <f>IF(SER_hh_emi!M22=0,0,1000000*SER_hh_emi!M22/SER_hh_num!M22)</f>
        <v>9142.9411195632656</v>
      </c>
      <c r="N22" s="132">
        <f>IF(SER_hh_emi!N22=0,0,1000000*SER_hh_emi!N22/SER_hh_num!N22)</f>
        <v>8996.3271052980108</v>
      </c>
      <c r="O22" s="132">
        <f>IF(SER_hh_emi!O22=0,0,1000000*SER_hh_emi!O22/SER_hh_num!O22)</f>
        <v>9195.6538722927871</v>
      </c>
      <c r="P22" s="132">
        <f>IF(SER_hh_emi!P22=0,0,1000000*SER_hh_emi!P22/SER_hh_num!P22)</f>
        <v>9187.8572265615585</v>
      </c>
      <c r="Q22" s="132">
        <f>IF(SER_hh_emi!Q22=0,0,1000000*SER_hh_emi!Q22/SER_hh_num!Q22)</f>
        <v>9178.7045448560584</v>
      </c>
      <c r="R22" s="132">
        <f>IF(SER_hh_emi!R22=0,0,1000000*SER_hh_emi!R22/SER_hh_num!R22)</f>
        <v>9069.1108822194583</v>
      </c>
      <c r="S22" s="132">
        <f>IF(SER_hh_emi!S22=0,0,1000000*SER_hh_emi!S22/SER_hh_num!S22)</f>
        <v>9362.030221067982</v>
      </c>
      <c r="T22" s="132">
        <f>IF(SER_hh_emi!T22=0,0,1000000*SER_hh_emi!T22/SER_hh_num!T22)</f>
        <v>9517.5436364786765</v>
      </c>
      <c r="U22" s="132">
        <f>IF(SER_hh_emi!U22=0,0,1000000*SER_hh_emi!U22/SER_hh_num!U22)</f>
        <v>8901.4400377516085</v>
      </c>
      <c r="V22" s="132">
        <f>IF(SER_hh_emi!V22=0,0,1000000*SER_hh_emi!V22/SER_hh_num!V22)</f>
        <v>7685.096152766766</v>
      </c>
      <c r="W22" s="132">
        <f>IF(SER_hh_emi!W22=0,0,1000000*SER_hh_emi!W22/SER_hh_num!W22)</f>
        <v>8649.1015382784808</v>
      </c>
      <c r="X22" s="132">
        <f>IF(SER_hh_emi!X22=0,0,1000000*SER_hh_emi!X22/SER_hh_num!X22)</f>
        <v>9059.8473723076368</v>
      </c>
      <c r="Y22" s="132">
        <f>IF(SER_hh_emi!Y22=0,0,1000000*SER_hh_emi!Y22/SER_hh_num!Y22)</f>
        <v>8759.8150694066662</v>
      </c>
      <c r="DA22" s="156" t="s">
        <v>465</v>
      </c>
    </row>
    <row r="23" spans="1:105" ht="12" customHeight="1" x14ac:dyDescent="0.25">
      <c r="A23" s="131" t="s">
        <v>149</v>
      </c>
      <c r="B23" s="132">
        <f>IF(SER_hh_emi!B23=0,0,1000000*SER_hh_emi!B23/SER_hh_num!B23)</f>
        <v>6901.1725086462993</v>
      </c>
      <c r="C23" s="132">
        <f>IF(SER_hh_emi!C23=0,0,1000000*SER_hh_emi!C23/SER_hh_num!C23)</f>
        <v>6982.6412211481293</v>
      </c>
      <c r="D23" s="132">
        <f>IF(SER_hh_emi!D23=0,0,1000000*SER_hh_emi!D23/SER_hh_num!D23)</f>
        <v>7002.8830326566886</v>
      </c>
      <c r="E23" s="132">
        <f>IF(SER_hh_emi!E23=0,0,1000000*SER_hh_emi!E23/SER_hh_num!E23)</f>
        <v>6920.5815609131214</v>
      </c>
      <c r="F23" s="132">
        <f>IF(SER_hh_emi!F23=0,0,1000000*SER_hh_emi!F23/SER_hh_num!F23)</f>
        <v>6845.8354065379108</v>
      </c>
      <c r="G23" s="132">
        <f>IF(SER_hh_emi!G23=0,0,1000000*SER_hh_emi!G23/SER_hh_num!G23)</f>
        <v>6842.8035031219906</v>
      </c>
      <c r="H23" s="132">
        <f>IF(SER_hh_emi!H23=0,0,1000000*SER_hh_emi!H23/SER_hh_num!H23)</f>
        <v>6761.8212842611729</v>
      </c>
      <c r="I23" s="132">
        <f>IF(SER_hh_emi!I23=0,0,1000000*SER_hh_emi!I23/SER_hh_num!I23)</f>
        <v>6701.6580811505819</v>
      </c>
      <c r="J23" s="132">
        <f>IF(SER_hh_emi!J23=0,0,1000000*SER_hh_emi!J23/SER_hh_num!J23)</f>
        <v>6667.5595108824455</v>
      </c>
      <c r="K23" s="132">
        <f>IF(SER_hh_emi!K23=0,0,1000000*SER_hh_emi!K23/SER_hh_num!K23)</f>
        <v>6590.5249467789263</v>
      </c>
      <c r="L23" s="132">
        <f>IF(SER_hh_emi!L23=0,0,1000000*SER_hh_emi!L23/SER_hh_num!L23)</f>
        <v>6438.7863251278741</v>
      </c>
      <c r="M23" s="132">
        <f>IF(SER_hh_emi!M23=0,0,1000000*SER_hh_emi!M23/SER_hh_num!M23)</f>
        <v>6424.2604539998638</v>
      </c>
      <c r="N23" s="132">
        <f>IF(SER_hh_emi!N23=0,0,1000000*SER_hh_emi!N23/SER_hh_num!N23)</f>
        <v>6352.0511458078654</v>
      </c>
      <c r="O23" s="132">
        <f>IF(SER_hh_emi!O23=0,0,1000000*SER_hh_emi!O23/SER_hh_num!O23)</f>
        <v>6339.9357355436114</v>
      </c>
      <c r="P23" s="132">
        <f>IF(SER_hh_emi!P23=0,0,1000000*SER_hh_emi!P23/SER_hh_num!P23)</f>
        <v>6353.2964222236478</v>
      </c>
      <c r="Q23" s="132">
        <f>IF(SER_hh_emi!Q23=0,0,1000000*SER_hh_emi!Q23/SER_hh_num!Q23)</f>
        <v>6320.3713026071709</v>
      </c>
      <c r="R23" s="132">
        <f>IF(SER_hh_emi!R23=0,0,1000000*SER_hh_emi!R23/SER_hh_num!R23)</f>
        <v>6193.5610059034252</v>
      </c>
      <c r="S23" s="132">
        <f>IF(SER_hh_emi!S23=0,0,1000000*SER_hh_emi!S23/SER_hh_num!S23)</f>
        <v>6198.5895472732664</v>
      </c>
      <c r="T23" s="132">
        <f>IF(SER_hh_emi!T23=0,0,1000000*SER_hh_emi!T23/SER_hh_num!T23)</f>
        <v>6442.0793582945953</v>
      </c>
      <c r="U23" s="132">
        <f>IF(SER_hh_emi!U23=0,0,1000000*SER_hh_emi!U23/SER_hh_num!U23)</f>
        <v>5506.0424752146992</v>
      </c>
      <c r="V23" s="132">
        <f>IF(SER_hh_emi!V23=0,0,1000000*SER_hh_emi!V23/SER_hh_num!V23)</f>
        <v>5210.7041652154994</v>
      </c>
      <c r="W23" s="132">
        <f>IF(SER_hh_emi!W23=0,0,1000000*SER_hh_emi!W23/SER_hh_num!W23)</f>
        <v>5933.3762059595028</v>
      </c>
      <c r="X23" s="132">
        <f>IF(SER_hh_emi!X23=0,0,1000000*SER_hh_emi!X23/SER_hh_num!X23)</f>
        <v>5910.1512610304299</v>
      </c>
      <c r="Y23" s="132">
        <f>IF(SER_hh_emi!Y23=0,0,1000000*SER_hh_emi!Y23/SER_hh_num!Y23)</f>
        <v>5903.1222877928785</v>
      </c>
      <c r="DA23" s="156" t="s">
        <v>466</v>
      </c>
    </row>
    <row r="24" spans="1:105" ht="12" customHeight="1" x14ac:dyDescent="0.25">
      <c r="A24" s="131" t="s">
        <v>128</v>
      </c>
      <c r="B24" s="132">
        <f>IF(SER_hh_emi!B24=0,0,1000000*SER_hh_emi!B24/SER_hh_num!B24)</f>
        <v>0</v>
      </c>
      <c r="C24" s="132">
        <f>IF(SER_hh_emi!C24=0,0,1000000*SER_hh_emi!C24/SER_hh_num!C24)</f>
        <v>0</v>
      </c>
      <c r="D24" s="132">
        <f>IF(SER_hh_emi!D24=0,0,1000000*SER_hh_emi!D24/SER_hh_num!D24)</f>
        <v>0</v>
      </c>
      <c r="E24" s="132">
        <f>IF(SER_hh_emi!E24=0,0,1000000*SER_hh_emi!E24/SER_hh_num!E24)</f>
        <v>0</v>
      </c>
      <c r="F24" s="132">
        <f>IF(SER_hh_emi!F24=0,0,1000000*SER_hh_emi!F24/SER_hh_num!F24)</f>
        <v>0</v>
      </c>
      <c r="G24" s="132">
        <f>IF(SER_hh_emi!G24=0,0,1000000*SER_hh_emi!G24/SER_hh_num!G24)</f>
        <v>0</v>
      </c>
      <c r="H24" s="132">
        <f>IF(SER_hh_emi!H24=0,0,1000000*SER_hh_emi!H24/SER_hh_num!H24)</f>
        <v>0</v>
      </c>
      <c r="I24" s="132">
        <f>IF(SER_hh_emi!I24=0,0,1000000*SER_hh_emi!I24/SER_hh_num!I24)</f>
        <v>0</v>
      </c>
      <c r="J24" s="132">
        <f>IF(SER_hh_emi!J24=0,0,1000000*SER_hh_emi!J24/SER_hh_num!J24)</f>
        <v>0</v>
      </c>
      <c r="K24" s="132">
        <f>IF(SER_hh_emi!K24=0,0,1000000*SER_hh_emi!K24/SER_hh_num!K24)</f>
        <v>0</v>
      </c>
      <c r="L24" s="132">
        <f>IF(SER_hh_emi!L24=0,0,1000000*SER_hh_emi!L24/SER_hh_num!L24)</f>
        <v>0</v>
      </c>
      <c r="M24" s="132">
        <f>IF(SER_hh_emi!M24=0,0,1000000*SER_hh_emi!M24/SER_hh_num!M24)</f>
        <v>0</v>
      </c>
      <c r="N24" s="132">
        <f>IF(SER_hh_emi!N24=0,0,1000000*SER_hh_emi!N24/SER_hh_num!N24)</f>
        <v>0</v>
      </c>
      <c r="O24" s="132">
        <f>IF(SER_hh_emi!O24=0,0,1000000*SER_hh_emi!O24/SER_hh_num!O24)</f>
        <v>0</v>
      </c>
      <c r="P24" s="132">
        <f>IF(SER_hh_emi!P24=0,0,1000000*SER_hh_emi!P24/SER_hh_num!P24)</f>
        <v>0</v>
      </c>
      <c r="Q24" s="132">
        <f>IF(SER_hh_emi!Q24=0,0,1000000*SER_hh_emi!Q24/SER_hh_num!Q24)</f>
        <v>0</v>
      </c>
      <c r="R24" s="132">
        <f>IF(SER_hh_emi!R24=0,0,1000000*SER_hh_emi!R24/SER_hh_num!R24)</f>
        <v>0</v>
      </c>
      <c r="S24" s="132">
        <f>IF(SER_hh_emi!S24=0,0,1000000*SER_hh_emi!S24/SER_hh_num!S24)</f>
        <v>0</v>
      </c>
      <c r="T24" s="132">
        <f>IF(SER_hh_emi!T24=0,0,1000000*SER_hh_emi!T24/SER_hh_num!T24)</f>
        <v>0</v>
      </c>
      <c r="U24" s="132">
        <f>IF(SER_hh_emi!U24=0,0,1000000*SER_hh_emi!U24/SER_hh_num!U24)</f>
        <v>0</v>
      </c>
      <c r="V24" s="132">
        <f>IF(SER_hh_emi!V24=0,0,1000000*SER_hh_emi!V24/SER_hh_num!V24)</f>
        <v>0</v>
      </c>
      <c r="W24" s="132">
        <f>IF(SER_hh_emi!W24=0,0,1000000*SER_hh_emi!W24/SER_hh_num!W24)</f>
        <v>0</v>
      </c>
      <c r="X24" s="132">
        <f>IF(SER_hh_emi!X24=0,0,1000000*SER_hh_emi!X24/SER_hh_num!X24)</f>
        <v>0</v>
      </c>
      <c r="Y24" s="132">
        <f>IF(SER_hh_emi!Y24=0,0,1000000*SER_hh_emi!Y24/SER_hh_num!Y24)</f>
        <v>0</v>
      </c>
      <c r="DA24" s="156" t="s">
        <v>467</v>
      </c>
    </row>
    <row r="25" spans="1:105" ht="12" customHeight="1" x14ac:dyDescent="0.25">
      <c r="A25" s="131" t="s">
        <v>162</v>
      </c>
      <c r="B25" s="132">
        <f>IF(SER_hh_emi!B25=0,0,1000000*SER_hh_emi!B25/SER_hh_num!B25)</f>
        <v>0</v>
      </c>
      <c r="C25" s="132">
        <f>IF(SER_hh_emi!C25=0,0,1000000*SER_hh_emi!C25/SER_hh_num!C25)</f>
        <v>0</v>
      </c>
      <c r="D25" s="132">
        <f>IF(SER_hh_emi!D25=0,0,1000000*SER_hh_emi!D25/SER_hh_num!D25)</f>
        <v>0</v>
      </c>
      <c r="E25" s="132">
        <f>IF(SER_hh_emi!E25=0,0,1000000*SER_hh_emi!E25/SER_hh_num!E25)</f>
        <v>0</v>
      </c>
      <c r="F25" s="132">
        <f>IF(SER_hh_emi!F25=0,0,1000000*SER_hh_emi!F25/SER_hh_num!F25)</f>
        <v>0</v>
      </c>
      <c r="G25" s="132">
        <f>IF(SER_hh_emi!G25=0,0,1000000*SER_hh_emi!G25/SER_hh_num!G25)</f>
        <v>0</v>
      </c>
      <c r="H25" s="132">
        <f>IF(SER_hh_emi!H25=0,0,1000000*SER_hh_emi!H25/SER_hh_num!H25)</f>
        <v>0</v>
      </c>
      <c r="I25" s="132">
        <f>IF(SER_hh_emi!I25=0,0,1000000*SER_hh_emi!I25/SER_hh_num!I25)</f>
        <v>0</v>
      </c>
      <c r="J25" s="132">
        <f>IF(SER_hh_emi!J25=0,0,1000000*SER_hh_emi!J25/SER_hh_num!J25)</f>
        <v>0</v>
      </c>
      <c r="K25" s="132">
        <f>IF(SER_hh_emi!K25=0,0,1000000*SER_hh_emi!K25/SER_hh_num!K25)</f>
        <v>0</v>
      </c>
      <c r="L25" s="132">
        <f>IF(SER_hh_emi!L25=0,0,1000000*SER_hh_emi!L25/SER_hh_num!L25)</f>
        <v>0</v>
      </c>
      <c r="M25" s="132">
        <f>IF(SER_hh_emi!M25=0,0,1000000*SER_hh_emi!M25/SER_hh_num!M25)</f>
        <v>0</v>
      </c>
      <c r="N25" s="132">
        <f>IF(SER_hh_emi!N25=0,0,1000000*SER_hh_emi!N25/SER_hh_num!N25)</f>
        <v>0</v>
      </c>
      <c r="O25" s="132">
        <f>IF(SER_hh_emi!O25=0,0,1000000*SER_hh_emi!O25/SER_hh_num!O25)</f>
        <v>0</v>
      </c>
      <c r="P25" s="132">
        <f>IF(SER_hh_emi!P25=0,0,1000000*SER_hh_emi!P25/SER_hh_num!P25)</f>
        <v>0</v>
      </c>
      <c r="Q25" s="132">
        <f>IF(SER_hh_emi!Q25=0,0,1000000*SER_hh_emi!Q25/SER_hh_num!Q25)</f>
        <v>0</v>
      </c>
      <c r="R25" s="132">
        <f>IF(SER_hh_emi!R25=0,0,1000000*SER_hh_emi!R25/SER_hh_num!R25)</f>
        <v>0</v>
      </c>
      <c r="S25" s="132">
        <f>IF(SER_hh_emi!S25=0,0,1000000*SER_hh_emi!S25/SER_hh_num!S25)</f>
        <v>0</v>
      </c>
      <c r="T25" s="132">
        <f>IF(SER_hh_emi!T25=0,0,1000000*SER_hh_emi!T25/SER_hh_num!T25)</f>
        <v>0</v>
      </c>
      <c r="U25" s="132">
        <f>IF(SER_hh_emi!U25=0,0,1000000*SER_hh_emi!U25/SER_hh_num!U25)</f>
        <v>0</v>
      </c>
      <c r="V25" s="132">
        <f>IF(SER_hh_emi!V25=0,0,1000000*SER_hh_emi!V25/SER_hh_num!V25)</f>
        <v>0</v>
      </c>
      <c r="W25" s="132">
        <f>IF(SER_hh_emi!W25=0,0,1000000*SER_hh_emi!W25/SER_hh_num!W25)</f>
        <v>0</v>
      </c>
      <c r="X25" s="132">
        <f>IF(SER_hh_emi!X25=0,0,1000000*SER_hh_emi!X25/SER_hh_num!X25)</f>
        <v>0</v>
      </c>
      <c r="Y25" s="132">
        <f>IF(SER_hh_emi!Y25=0,0,1000000*SER_hh_emi!Y25/SER_hh_num!Y25)</f>
        <v>0</v>
      </c>
      <c r="DA25" s="156" t="s">
        <v>468</v>
      </c>
    </row>
    <row r="26" spans="1:105" ht="12" customHeight="1" x14ac:dyDescent="0.25">
      <c r="A26" s="131" t="s">
        <v>24</v>
      </c>
      <c r="B26" s="65">
        <f>IF(SER_hh_emi!B26=0,0,1000000*SER_hh_emi!B26/SER_hh_num!B26)</f>
        <v>0</v>
      </c>
      <c r="C26" s="65">
        <f>IF(SER_hh_emi!C26=0,0,1000000*SER_hh_emi!C26/SER_hh_num!C26)</f>
        <v>0</v>
      </c>
      <c r="D26" s="65">
        <f>IF(SER_hh_emi!D26=0,0,1000000*SER_hh_emi!D26/SER_hh_num!D26)</f>
        <v>0</v>
      </c>
      <c r="E26" s="65">
        <f>IF(SER_hh_emi!E26=0,0,1000000*SER_hh_emi!E26/SER_hh_num!E26)</f>
        <v>0</v>
      </c>
      <c r="F26" s="65">
        <f>IF(SER_hh_emi!F26=0,0,1000000*SER_hh_emi!F26/SER_hh_num!F26)</f>
        <v>0</v>
      </c>
      <c r="G26" s="65">
        <f>IF(SER_hh_emi!G26=0,0,1000000*SER_hh_emi!G26/SER_hh_num!G26)</f>
        <v>0</v>
      </c>
      <c r="H26" s="65">
        <f>IF(SER_hh_emi!H26=0,0,1000000*SER_hh_emi!H26/SER_hh_num!H26)</f>
        <v>0</v>
      </c>
      <c r="I26" s="65">
        <f>IF(SER_hh_emi!I26=0,0,1000000*SER_hh_emi!I26/SER_hh_num!I26)</f>
        <v>0</v>
      </c>
      <c r="J26" s="65">
        <f>IF(SER_hh_emi!J26=0,0,1000000*SER_hh_emi!J26/SER_hh_num!J26)</f>
        <v>0</v>
      </c>
      <c r="K26" s="65">
        <f>IF(SER_hh_emi!K26=0,0,1000000*SER_hh_emi!K26/SER_hh_num!K26)</f>
        <v>0</v>
      </c>
      <c r="L26" s="65">
        <f>IF(SER_hh_emi!L26=0,0,1000000*SER_hh_emi!L26/SER_hh_num!L26)</f>
        <v>0</v>
      </c>
      <c r="M26" s="65">
        <f>IF(SER_hh_emi!M26=0,0,1000000*SER_hh_emi!M26/SER_hh_num!M26)</f>
        <v>0</v>
      </c>
      <c r="N26" s="65">
        <f>IF(SER_hh_emi!N26=0,0,1000000*SER_hh_emi!N26/SER_hh_num!N26)</f>
        <v>0</v>
      </c>
      <c r="O26" s="65">
        <f>IF(SER_hh_emi!O26=0,0,1000000*SER_hh_emi!O26/SER_hh_num!O26)</f>
        <v>0</v>
      </c>
      <c r="P26" s="65">
        <f>IF(SER_hh_emi!P26=0,0,1000000*SER_hh_emi!P26/SER_hh_num!P26)</f>
        <v>0</v>
      </c>
      <c r="Q26" s="65">
        <f>IF(SER_hh_emi!Q26=0,0,1000000*SER_hh_emi!Q26/SER_hh_num!Q26)</f>
        <v>0</v>
      </c>
      <c r="R26" s="65">
        <f>IF(SER_hh_emi!R26=0,0,1000000*SER_hh_emi!R26/SER_hh_num!R26)</f>
        <v>0</v>
      </c>
      <c r="S26" s="65">
        <f>IF(SER_hh_emi!S26=0,0,1000000*SER_hh_emi!S26/SER_hh_num!S26)</f>
        <v>0</v>
      </c>
      <c r="T26" s="65">
        <f>IF(SER_hh_emi!T26=0,0,1000000*SER_hh_emi!T26/SER_hh_num!T26)</f>
        <v>0</v>
      </c>
      <c r="U26" s="65">
        <f>IF(SER_hh_emi!U26=0,0,1000000*SER_hh_emi!U26/SER_hh_num!U26)</f>
        <v>0</v>
      </c>
      <c r="V26" s="65">
        <f>IF(SER_hh_emi!V26=0,0,1000000*SER_hh_emi!V26/SER_hh_num!V26)</f>
        <v>0</v>
      </c>
      <c r="W26" s="65">
        <f>IF(SER_hh_emi!W26=0,0,1000000*SER_hh_emi!W26/SER_hh_num!W26)</f>
        <v>0</v>
      </c>
      <c r="X26" s="65">
        <f>IF(SER_hh_emi!X26=0,0,1000000*SER_hh_emi!X26/SER_hh_num!X26)</f>
        <v>0</v>
      </c>
      <c r="Y26" s="65">
        <f>IF(SER_hh_emi!Y26=0,0,1000000*SER_hh_emi!Y26/SER_hh_num!Y26)</f>
        <v>0</v>
      </c>
      <c r="DA26" s="109" t="s">
        <v>469</v>
      </c>
    </row>
    <row r="27" spans="1:105" ht="12" customHeight="1" x14ac:dyDescent="0.25">
      <c r="A27" s="144" t="s">
        <v>86</v>
      </c>
      <c r="B27" s="145">
        <f>IF(SER_hh_emi!B27=0,0,1000000*SER_hh_emi!B27/SER_hh_num!B19)</f>
        <v>0</v>
      </c>
      <c r="C27" s="145">
        <f>IF(SER_hh_emi!C27=0,0,1000000*SER_hh_emi!C27/SER_hh_num!C19)</f>
        <v>0</v>
      </c>
      <c r="D27" s="145">
        <f>IF(SER_hh_emi!D27=0,0,1000000*SER_hh_emi!D27/SER_hh_num!D19)</f>
        <v>0</v>
      </c>
      <c r="E27" s="145">
        <f>IF(SER_hh_emi!E27=0,0,1000000*SER_hh_emi!E27/SER_hh_num!E19)</f>
        <v>0</v>
      </c>
      <c r="F27" s="145">
        <f>IF(SER_hh_emi!F27=0,0,1000000*SER_hh_emi!F27/SER_hh_num!F19)</f>
        <v>0</v>
      </c>
      <c r="G27" s="145">
        <f>IF(SER_hh_emi!G27=0,0,1000000*SER_hh_emi!G27/SER_hh_num!G19)</f>
        <v>0</v>
      </c>
      <c r="H27" s="145">
        <f>IF(SER_hh_emi!H27=0,0,1000000*SER_hh_emi!H27/SER_hh_num!H19)</f>
        <v>0</v>
      </c>
      <c r="I27" s="145">
        <f>IF(SER_hh_emi!I27=0,0,1000000*SER_hh_emi!I27/SER_hh_num!I19)</f>
        <v>0</v>
      </c>
      <c r="J27" s="145">
        <f>IF(SER_hh_emi!J27=0,0,1000000*SER_hh_emi!J27/SER_hh_num!J19)</f>
        <v>0</v>
      </c>
      <c r="K27" s="145">
        <f>IF(SER_hh_emi!K27=0,0,1000000*SER_hh_emi!K27/SER_hh_num!K19)</f>
        <v>0</v>
      </c>
      <c r="L27" s="145">
        <f>IF(SER_hh_emi!L27=0,0,1000000*SER_hh_emi!L27/SER_hh_num!L19)</f>
        <v>0</v>
      </c>
      <c r="M27" s="145">
        <f>IF(SER_hh_emi!M27=0,0,1000000*SER_hh_emi!M27/SER_hh_num!M19)</f>
        <v>0</v>
      </c>
      <c r="N27" s="145">
        <f>IF(SER_hh_emi!N27=0,0,1000000*SER_hh_emi!N27/SER_hh_num!N19)</f>
        <v>0</v>
      </c>
      <c r="O27" s="145">
        <f>IF(SER_hh_emi!O27=0,0,1000000*SER_hh_emi!O27/SER_hh_num!O19)</f>
        <v>0</v>
      </c>
      <c r="P27" s="145">
        <f>IF(SER_hh_emi!P27=0,0,1000000*SER_hh_emi!P27/SER_hh_num!P19)</f>
        <v>0</v>
      </c>
      <c r="Q27" s="145">
        <f>IF(SER_hh_emi!Q27=0,0,1000000*SER_hh_emi!Q27/SER_hh_num!Q19)</f>
        <v>0</v>
      </c>
      <c r="R27" s="145">
        <f>IF(SER_hh_emi!R27=0,0,1000000*SER_hh_emi!R27/SER_hh_num!R19)</f>
        <v>0</v>
      </c>
      <c r="S27" s="145">
        <f>IF(SER_hh_emi!S27=0,0,1000000*SER_hh_emi!S27/SER_hh_num!S19)</f>
        <v>0</v>
      </c>
      <c r="T27" s="145">
        <f>IF(SER_hh_emi!T27=0,0,1000000*SER_hh_emi!T27/SER_hh_num!T19)</f>
        <v>0</v>
      </c>
      <c r="U27" s="145">
        <f>IF(SER_hh_emi!U27=0,0,1000000*SER_hh_emi!U27/SER_hh_num!U19)</f>
        <v>0</v>
      </c>
      <c r="V27" s="145">
        <f>IF(SER_hh_emi!V27=0,0,1000000*SER_hh_emi!V27/SER_hh_num!V19)</f>
        <v>0</v>
      </c>
      <c r="W27" s="145">
        <f>IF(SER_hh_emi!W27=0,0,1000000*SER_hh_emi!W27/SER_hh_num!W19)</f>
        <v>0</v>
      </c>
      <c r="X27" s="145">
        <f>IF(SER_hh_emi!X27=0,0,1000000*SER_hh_emi!X27/SER_hh_num!X19)</f>
        <v>0</v>
      </c>
      <c r="Y27" s="145">
        <f>IF(SER_hh_emi!Y27=0,0,1000000*SER_hh_emi!Y27/SER_hh_num!Y19)</f>
        <v>0</v>
      </c>
      <c r="DA27" s="158" t="s">
        <v>470</v>
      </c>
    </row>
    <row r="28" spans="1:105" ht="12" customHeight="1" x14ac:dyDescent="0.25">
      <c r="A28" s="78" t="s">
        <v>85</v>
      </c>
      <c r="B28" s="146">
        <f>IF(SER_hh_emi!B27=0,0,1000000*SER_hh_emi!B27/SER_hh_num!B27)</f>
        <v>0</v>
      </c>
      <c r="C28" s="146">
        <f>IF(SER_hh_emi!C27=0,0,1000000*SER_hh_emi!C27/SER_hh_num!C27)</f>
        <v>0</v>
      </c>
      <c r="D28" s="146">
        <f>IF(SER_hh_emi!D27=0,0,1000000*SER_hh_emi!D27/SER_hh_num!D27)</f>
        <v>0</v>
      </c>
      <c r="E28" s="146">
        <f>IF(SER_hh_emi!E27=0,0,1000000*SER_hh_emi!E27/SER_hh_num!E27)</f>
        <v>0</v>
      </c>
      <c r="F28" s="146">
        <f>IF(SER_hh_emi!F27=0,0,1000000*SER_hh_emi!F27/SER_hh_num!F27)</f>
        <v>0</v>
      </c>
      <c r="G28" s="146">
        <f>IF(SER_hh_emi!G27=0,0,1000000*SER_hh_emi!G27/SER_hh_num!G27)</f>
        <v>0</v>
      </c>
      <c r="H28" s="146">
        <f>IF(SER_hh_emi!H27=0,0,1000000*SER_hh_emi!H27/SER_hh_num!H27)</f>
        <v>0</v>
      </c>
      <c r="I28" s="146">
        <f>IF(SER_hh_emi!I27=0,0,1000000*SER_hh_emi!I27/SER_hh_num!I27)</f>
        <v>0</v>
      </c>
      <c r="J28" s="146">
        <f>IF(SER_hh_emi!J27=0,0,1000000*SER_hh_emi!J27/SER_hh_num!J27)</f>
        <v>0</v>
      </c>
      <c r="K28" s="146">
        <f>IF(SER_hh_emi!K27=0,0,1000000*SER_hh_emi!K27/SER_hh_num!K27)</f>
        <v>0</v>
      </c>
      <c r="L28" s="146">
        <f>IF(SER_hh_emi!L27=0,0,1000000*SER_hh_emi!L27/SER_hh_num!L27)</f>
        <v>0</v>
      </c>
      <c r="M28" s="146">
        <f>IF(SER_hh_emi!M27=0,0,1000000*SER_hh_emi!M27/SER_hh_num!M27)</f>
        <v>0</v>
      </c>
      <c r="N28" s="146">
        <f>IF(SER_hh_emi!N27=0,0,1000000*SER_hh_emi!N27/SER_hh_num!N27)</f>
        <v>0</v>
      </c>
      <c r="O28" s="146">
        <f>IF(SER_hh_emi!O27=0,0,1000000*SER_hh_emi!O27/SER_hh_num!O27)</f>
        <v>0</v>
      </c>
      <c r="P28" s="146">
        <f>IF(SER_hh_emi!P27=0,0,1000000*SER_hh_emi!P27/SER_hh_num!P27)</f>
        <v>0</v>
      </c>
      <c r="Q28" s="146">
        <f>IF(SER_hh_emi!Q27=0,0,1000000*SER_hh_emi!Q27/SER_hh_num!Q27)</f>
        <v>0</v>
      </c>
      <c r="R28" s="146">
        <f>IF(SER_hh_emi!R27=0,0,1000000*SER_hh_emi!R27/SER_hh_num!R27)</f>
        <v>0</v>
      </c>
      <c r="S28" s="146">
        <f>IF(SER_hh_emi!S27=0,0,1000000*SER_hh_emi!S27/SER_hh_num!S27)</f>
        <v>0</v>
      </c>
      <c r="T28" s="146">
        <f>IF(SER_hh_emi!T27=0,0,1000000*SER_hh_emi!T27/SER_hh_num!T27)</f>
        <v>0</v>
      </c>
      <c r="U28" s="146">
        <f>IF(SER_hh_emi!U27=0,0,1000000*SER_hh_emi!U27/SER_hh_num!U27)</f>
        <v>0</v>
      </c>
      <c r="V28" s="146">
        <f>IF(SER_hh_emi!V27=0,0,1000000*SER_hh_emi!V27/SER_hh_num!V27)</f>
        <v>0</v>
      </c>
      <c r="W28" s="146">
        <f>IF(SER_hh_emi!W27=0,0,1000000*SER_hh_emi!W27/SER_hh_num!W27)</f>
        <v>0</v>
      </c>
      <c r="X28" s="146">
        <f>IF(SER_hh_emi!X27=0,0,1000000*SER_hh_emi!X27/SER_hh_num!X27)</f>
        <v>0</v>
      </c>
      <c r="Y28" s="146">
        <f>IF(SER_hh_emi!Y27=0,0,1000000*SER_hh_emi!Y27/SER_hh_num!Y27)</f>
        <v>0</v>
      </c>
      <c r="DA28" s="159"/>
    </row>
    <row r="29" spans="1:105" ht="12.95" customHeight="1" x14ac:dyDescent="0.25">
      <c r="A29" s="129" t="s">
        <v>34</v>
      </c>
      <c r="B29" s="130">
        <f>IF(SER_hh_emi!B29=0,0,1000000*SER_hh_emi!B29/SER_hh_num!B29)</f>
        <v>5795.4234109613244</v>
      </c>
      <c r="C29" s="130">
        <f>IF(SER_hh_emi!C29=0,0,1000000*SER_hh_emi!C29/SER_hh_num!C29)</f>
        <v>5539.7231191102255</v>
      </c>
      <c r="D29" s="130">
        <f>IF(SER_hh_emi!D29=0,0,1000000*SER_hh_emi!D29/SER_hh_num!D29)</f>
        <v>5107.6513529070135</v>
      </c>
      <c r="E29" s="130">
        <f>IF(SER_hh_emi!E29=0,0,1000000*SER_hh_emi!E29/SER_hh_num!E29)</f>
        <v>4298.2985894867816</v>
      </c>
      <c r="F29" s="130">
        <f>IF(SER_hh_emi!F29=0,0,1000000*SER_hh_emi!F29/SER_hh_num!F29)</f>
        <v>3981.6015382799678</v>
      </c>
      <c r="G29" s="130">
        <f>IF(SER_hh_emi!G29=0,0,1000000*SER_hh_emi!G29/SER_hh_num!G29)</f>
        <v>4199.76088375568</v>
      </c>
      <c r="H29" s="130">
        <f>IF(SER_hh_emi!H29=0,0,1000000*SER_hh_emi!H29/SER_hh_num!H29)</f>
        <v>3793.8249560623776</v>
      </c>
      <c r="I29" s="130">
        <f>IF(SER_hh_emi!I29=0,0,1000000*SER_hh_emi!I29/SER_hh_num!I29)</f>
        <v>4187.6985234897829</v>
      </c>
      <c r="J29" s="130">
        <f>IF(SER_hh_emi!J29=0,0,1000000*SER_hh_emi!J29/SER_hh_num!J29)</f>
        <v>3901.4564279286546</v>
      </c>
      <c r="K29" s="130">
        <f>IF(SER_hh_emi!K29=0,0,1000000*SER_hh_emi!K29/SER_hh_num!K29)</f>
        <v>4315.5773702343877</v>
      </c>
      <c r="L29" s="130">
        <f>IF(SER_hh_emi!L29=0,0,1000000*SER_hh_emi!L29/SER_hh_num!L29)</f>
        <v>4372.198403870605</v>
      </c>
      <c r="M29" s="130">
        <f>IF(SER_hh_emi!M29=0,0,1000000*SER_hh_emi!M29/SER_hh_num!M29)</f>
        <v>4476.3745458297317</v>
      </c>
      <c r="N29" s="130">
        <f>IF(SER_hh_emi!N29=0,0,1000000*SER_hh_emi!N29/SER_hh_num!N29)</f>
        <v>4491.0202785822303</v>
      </c>
      <c r="O29" s="130">
        <f>IF(SER_hh_emi!O29=0,0,1000000*SER_hh_emi!O29/SER_hh_num!O29)</f>
        <v>4681.5369025893633</v>
      </c>
      <c r="P29" s="130">
        <f>IF(SER_hh_emi!P29=0,0,1000000*SER_hh_emi!P29/SER_hh_num!P29)</f>
        <v>5158.44498933453</v>
      </c>
      <c r="Q29" s="130">
        <f>IF(SER_hh_emi!Q29=0,0,1000000*SER_hh_emi!Q29/SER_hh_num!Q29)</f>
        <v>5200.5860009970884</v>
      </c>
      <c r="R29" s="130">
        <f>IF(SER_hh_emi!R29=0,0,1000000*SER_hh_emi!R29/SER_hh_num!R29)</f>
        <v>5329.4009188448699</v>
      </c>
      <c r="S29" s="130">
        <f>IF(SER_hh_emi!S29=0,0,1000000*SER_hh_emi!S29/SER_hh_num!S29)</f>
        <v>5282.6680944794052</v>
      </c>
      <c r="T29" s="130">
        <f>IF(SER_hh_emi!T29=0,0,1000000*SER_hh_emi!T29/SER_hh_num!T29)</f>
        <v>4927.8052775579717</v>
      </c>
      <c r="U29" s="130">
        <f>IF(SER_hh_emi!U29=0,0,1000000*SER_hh_emi!U29/SER_hh_num!U29)</f>
        <v>5243.188151074537</v>
      </c>
      <c r="V29" s="130">
        <f>IF(SER_hh_emi!V29=0,0,1000000*SER_hh_emi!V29/SER_hh_num!V29)</f>
        <v>4818.5781675484131</v>
      </c>
      <c r="W29" s="130">
        <f>IF(SER_hh_emi!W29=0,0,1000000*SER_hh_emi!W29/SER_hh_num!W29)</f>
        <v>4678.6527155003787</v>
      </c>
      <c r="X29" s="130">
        <f>IF(SER_hh_emi!X29=0,0,1000000*SER_hh_emi!X29/SER_hh_num!X29)</f>
        <v>4721.3539776917296</v>
      </c>
      <c r="Y29" s="130">
        <f>IF(SER_hh_emi!Y29=0,0,1000000*SER_hh_emi!Y29/SER_hh_num!Y29)</f>
        <v>4775.2500104114351</v>
      </c>
      <c r="DA29" s="155" t="s">
        <v>471</v>
      </c>
    </row>
    <row r="30" spans="1:105" ht="12" customHeight="1" x14ac:dyDescent="0.25">
      <c r="A30" s="131" t="s">
        <v>52</v>
      </c>
      <c r="B30" s="132">
        <f>IF(SER_hh_emi!B30=0,0,1000000*SER_hh_emi!B30/SER_hh_num!B30)</f>
        <v>7491.0532945213645</v>
      </c>
      <c r="C30" s="132">
        <f>IF(SER_hh_emi!C30=0,0,1000000*SER_hh_emi!C30/SER_hh_num!C30)</f>
        <v>7194.7055203382497</v>
      </c>
      <c r="D30" s="132">
        <f>IF(SER_hh_emi!D30=0,0,1000000*SER_hh_emi!D30/SER_hh_num!D30)</f>
        <v>7423.1459301176546</v>
      </c>
      <c r="E30" s="132">
        <f>IF(SER_hh_emi!E30=0,0,1000000*SER_hh_emi!E30/SER_hh_num!E30)</f>
        <v>7565.0437286662991</v>
      </c>
      <c r="F30" s="132">
        <f>IF(SER_hh_emi!F30=0,0,1000000*SER_hh_emi!F30/SER_hh_num!F30)</f>
        <v>7688.5189795520218</v>
      </c>
      <c r="G30" s="132">
        <f>IF(SER_hh_emi!G30=0,0,1000000*SER_hh_emi!G30/SER_hh_num!G30)</f>
        <v>7779.5961344117341</v>
      </c>
      <c r="H30" s="132">
        <f>IF(SER_hh_emi!H30=0,0,1000000*SER_hh_emi!H30/SER_hh_num!H30)</f>
        <v>7531.4101388604322</v>
      </c>
      <c r="I30" s="132">
        <f>IF(SER_hh_emi!I30=0,0,1000000*SER_hh_emi!I30/SER_hh_num!I30)</f>
        <v>8457.7788801973675</v>
      </c>
      <c r="J30" s="132">
        <f>IF(SER_hh_emi!J30=0,0,1000000*SER_hh_emi!J30/SER_hh_num!J30)</f>
        <v>6382.7918369403124</v>
      </c>
      <c r="K30" s="132">
        <f>IF(SER_hh_emi!K30=0,0,1000000*SER_hh_emi!K30/SER_hh_num!K30)</f>
        <v>8352.4130565279338</v>
      </c>
      <c r="L30" s="132">
        <f>IF(SER_hh_emi!L30=0,0,1000000*SER_hh_emi!L30/SER_hh_num!L30)</f>
        <v>8399.1773797598034</v>
      </c>
      <c r="M30" s="132">
        <f>IF(SER_hh_emi!M30=0,0,1000000*SER_hh_emi!M30/SER_hh_num!M30)</f>
        <v>8542.0496011863288</v>
      </c>
      <c r="N30" s="132">
        <f>IF(SER_hh_emi!N30=0,0,1000000*SER_hh_emi!N30/SER_hh_num!N30)</f>
        <v>7509.7595395705903</v>
      </c>
      <c r="O30" s="132">
        <f>IF(SER_hh_emi!O30=0,0,1000000*SER_hh_emi!O30/SER_hh_num!O30)</f>
        <v>8023.0318327261994</v>
      </c>
      <c r="P30" s="132">
        <f>IF(SER_hh_emi!P30=0,0,1000000*SER_hh_emi!P30/SER_hh_num!P30)</f>
        <v>8818.2319021485109</v>
      </c>
      <c r="Q30" s="132">
        <f>IF(SER_hh_emi!Q30=0,0,1000000*SER_hh_emi!Q30/SER_hh_num!Q30)</f>
        <v>8508.0793866670938</v>
      </c>
      <c r="R30" s="132">
        <f>IF(SER_hh_emi!R30=0,0,1000000*SER_hh_emi!R30/SER_hh_num!R30)</f>
        <v>8474.1666333299927</v>
      </c>
      <c r="S30" s="132">
        <f>IF(SER_hh_emi!S30=0,0,1000000*SER_hh_emi!S30/SER_hh_num!S30)</f>
        <v>8597.4153175833126</v>
      </c>
      <c r="T30" s="132">
        <f>IF(SER_hh_emi!T30=0,0,1000000*SER_hh_emi!T30/SER_hh_num!T30)</f>
        <v>8429.0420380161977</v>
      </c>
      <c r="U30" s="132">
        <f>IF(SER_hh_emi!U30=0,0,1000000*SER_hh_emi!U30/SER_hh_num!U30)</f>
        <v>8062.7681203954453</v>
      </c>
      <c r="V30" s="132">
        <f>IF(SER_hh_emi!V30=0,0,1000000*SER_hh_emi!V30/SER_hh_num!V30)</f>
        <v>8294.6875172174823</v>
      </c>
      <c r="W30" s="132">
        <f>IF(SER_hh_emi!W30=0,0,1000000*SER_hh_emi!W30/SER_hh_num!W30)</f>
        <v>8513.4724287434456</v>
      </c>
      <c r="X30" s="132">
        <f>IF(SER_hh_emi!X30=0,0,1000000*SER_hh_emi!X30/SER_hh_num!X30)</f>
        <v>8834.1768318592312</v>
      </c>
      <c r="Y30" s="132">
        <f>IF(SER_hh_emi!Y30=0,0,1000000*SER_hh_emi!Y30/SER_hh_num!Y30)</f>
        <v>8920.2640858014001</v>
      </c>
      <c r="DA30" s="156" t="s">
        <v>472</v>
      </c>
    </row>
    <row r="31" spans="1:105" ht="12" customHeight="1" x14ac:dyDescent="0.25">
      <c r="A31" s="131" t="s">
        <v>149</v>
      </c>
      <c r="B31" s="132">
        <f>IF(SER_hh_emi!B31=0,0,1000000*SER_hh_emi!B31/SER_hh_num!B31)</f>
        <v>6389.3820742698454</v>
      </c>
      <c r="C31" s="132">
        <f>IF(SER_hh_emi!C31=0,0,1000000*SER_hh_emi!C31/SER_hh_num!C31)</f>
        <v>6482.0795594173605</v>
      </c>
      <c r="D31" s="132">
        <f>IF(SER_hh_emi!D31=0,0,1000000*SER_hh_emi!D31/SER_hh_num!D31)</f>
        <v>6600.607735236259</v>
      </c>
      <c r="E31" s="132">
        <f>IF(SER_hh_emi!E31=0,0,1000000*SER_hh_emi!E31/SER_hh_num!E31)</f>
        <v>6023.9093767951699</v>
      </c>
      <c r="F31" s="132">
        <f>IF(SER_hh_emi!F31=0,0,1000000*SER_hh_emi!F31/SER_hh_num!F31)</f>
        <v>6141.8221428572933</v>
      </c>
      <c r="G31" s="132">
        <f>IF(SER_hh_emi!G31=0,0,1000000*SER_hh_emi!G31/SER_hh_num!G31)</f>
        <v>7022.1160333968</v>
      </c>
      <c r="H31" s="132">
        <f>IF(SER_hh_emi!H31=0,0,1000000*SER_hh_emi!H31/SER_hh_num!H31)</f>
        <v>6458.5310146054935</v>
      </c>
      <c r="I31" s="132">
        <f>IF(SER_hh_emi!I31=0,0,1000000*SER_hh_emi!I31/SER_hh_num!I31)</f>
        <v>6980.4229869750943</v>
      </c>
      <c r="J31" s="132">
        <f>IF(SER_hh_emi!J31=0,0,1000000*SER_hh_emi!J31/SER_hh_num!J31)</f>
        <v>6842.7684777747418</v>
      </c>
      <c r="K31" s="132">
        <f>IF(SER_hh_emi!K31=0,0,1000000*SER_hh_emi!K31/SER_hh_num!K31)</f>
        <v>7141.7092514375854</v>
      </c>
      <c r="L31" s="132">
        <f>IF(SER_hh_emi!L31=0,0,1000000*SER_hh_emi!L31/SER_hh_num!L31)</f>
        <v>7096.7287306839307</v>
      </c>
      <c r="M31" s="132">
        <f>IF(SER_hh_emi!M31=0,0,1000000*SER_hh_emi!M31/SER_hh_num!M31)</f>
        <v>7068.2971449330244</v>
      </c>
      <c r="N31" s="132">
        <f>IF(SER_hh_emi!N31=0,0,1000000*SER_hh_emi!N31/SER_hh_num!N31)</f>
        <v>7093.6784016307829</v>
      </c>
      <c r="O31" s="132">
        <f>IF(SER_hh_emi!O31=0,0,1000000*SER_hh_emi!O31/SER_hh_num!O31)</f>
        <v>7128.9992161340788</v>
      </c>
      <c r="P31" s="132">
        <f>IF(SER_hh_emi!P31=0,0,1000000*SER_hh_emi!P31/SER_hh_num!P31)</f>
        <v>7421.2701743491516</v>
      </c>
      <c r="Q31" s="132">
        <f>IF(SER_hh_emi!Q31=0,0,1000000*SER_hh_emi!Q31/SER_hh_num!Q31)</f>
        <v>7348.8018852423365</v>
      </c>
      <c r="R31" s="132">
        <f>IF(SER_hh_emi!R31=0,0,1000000*SER_hh_emi!R31/SER_hh_num!R31)</f>
        <v>7524.2044801565044</v>
      </c>
      <c r="S31" s="132">
        <f>IF(SER_hh_emi!S31=0,0,1000000*SER_hh_emi!S31/SER_hh_num!S31)</f>
        <v>7469.8065897954775</v>
      </c>
      <c r="T31" s="132">
        <f>IF(SER_hh_emi!T31=0,0,1000000*SER_hh_emi!T31/SER_hh_num!T31)</f>
        <v>6876.6940827601356</v>
      </c>
      <c r="U31" s="132">
        <f>IF(SER_hh_emi!U31=0,0,1000000*SER_hh_emi!U31/SER_hh_num!U31)</f>
        <v>7553.8942583517619</v>
      </c>
      <c r="V31" s="132">
        <f>IF(SER_hh_emi!V31=0,0,1000000*SER_hh_emi!V31/SER_hh_num!V31)</f>
        <v>6910.014276688049</v>
      </c>
      <c r="W31" s="132">
        <f>IF(SER_hh_emi!W31=0,0,1000000*SER_hh_emi!W31/SER_hh_num!W31)</f>
        <v>6893.8258231726077</v>
      </c>
      <c r="X31" s="132">
        <f>IF(SER_hh_emi!X31=0,0,1000000*SER_hh_emi!X31/SER_hh_num!X31)</f>
        <v>7507.50411055123</v>
      </c>
      <c r="Y31" s="132">
        <f>IF(SER_hh_emi!Y31=0,0,1000000*SER_hh_emi!Y31/SER_hh_num!Y31)</f>
        <v>7713.6172785723293</v>
      </c>
      <c r="DA31" s="156" t="s">
        <v>473</v>
      </c>
    </row>
    <row r="32" spans="1:105" ht="12" customHeight="1" x14ac:dyDescent="0.25">
      <c r="A32" s="131" t="s">
        <v>128</v>
      </c>
      <c r="B32" s="132">
        <f>IF(SER_hh_emi!B32=0,0,1000000*SER_hh_emi!B32/SER_hh_num!B32)</f>
        <v>0</v>
      </c>
      <c r="C32" s="132">
        <f>IF(SER_hh_emi!C32=0,0,1000000*SER_hh_emi!C32/SER_hh_num!C32)</f>
        <v>0</v>
      </c>
      <c r="D32" s="132">
        <f>IF(SER_hh_emi!D32=0,0,1000000*SER_hh_emi!D32/SER_hh_num!D32)</f>
        <v>0</v>
      </c>
      <c r="E32" s="132">
        <f>IF(SER_hh_emi!E32=0,0,1000000*SER_hh_emi!E32/SER_hh_num!E32)</f>
        <v>0</v>
      </c>
      <c r="F32" s="132">
        <f>IF(SER_hh_emi!F32=0,0,1000000*SER_hh_emi!F32/SER_hh_num!F32)</f>
        <v>0</v>
      </c>
      <c r="G32" s="132">
        <f>IF(SER_hh_emi!G32=0,0,1000000*SER_hh_emi!G32/SER_hh_num!G32)</f>
        <v>0</v>
      </c>
      <c r="H32" s="132">
        <f>IF(SER_hh_emi!H32=0,0,1000000*SER_hh_emi!H32/SER_hh_num!H32)</f>
        <v>0</v>
      </c>
      <c r="I32" s="132">
        <f>IF(SER_hh_emi!I32=0,0,1000000*SER_hh_emi!I32/SER_hh_num!I32)</f>
        <v>0</v>
      </c>
      <c r="J32" s="132">
        <f>IF(SER_hh_emi!J32=0,0,1000000*SER_hh_emi!J32/SER_hh_num!J32)</f>
        <v>0</v>
      </c>
      <c r="K32" s="132">
        <f>IF(SER_hh_emi!K32=0,0,1000000*SER_hh_emi!K32/SER_hh_num!K32)</f>
        <v>0</v>
      </c>
      <c r="L32" s="132">
        <f>IF(SER_hh_emi!L32=0,0,1000000*SER_hh_emi!L32/SER_hh_num!L32)</f>
        <v>0</v>
      </c>
      <c r="M32" s="132">
        <f>IF(SER_hh_emi!M32=0,0,1000000*SER_hh_emi!M32/SER_hh_num!M32)</f>
        <v>0</v>
      </c>
      <c r="N32" s="132">
        <f>IF(SER_hh_emi!N32=0,0,1000000*SER_hh_emi!N32/SER_hh_num!N32)</f>
        <v>0</v>
      </c>
      <c r="O32" s="132">
        <f>IF(SER_hh_emi!O32=0,0,1000000*SER_hh_emi!O32/SER_hh_num!O32)</f>
        <v>0</v>
      </c>
      <c r="P32" s="132">
        <f>IF(SER_hh_emi!P32=0,0,1000000*SER_hh_emi!P32/SER_hh_num!P32)</f>
        <v>0</v>
      </c>
      <c r="Q32" s="132">
        <f>IF(SER_hh_emi!Q32=0,0,1000000*SER_hh_emi!Q32/SER_hh_num!Q32)</f>
        <v>0</v>
      </c>
      <c r="R32" s="132">
        <f>IF(SER_hh_emi!R32=0,0,1000000*SER_hh_emi!R32/SER_hh_num!R32)</f>
        <v>0</v>
      </c>
      <c r="S32" s="132">
        <f>IF(SER_hh_emi!S32=0,0,1000000*SER_hh_emi!S32/SER_hh_num!S32)</f>
        <v>0</v>
      </c>
      <c r="T32" s="132">
        <f>IF(SER_hh_emi!T32=0,0,1000000*SER_hh_emi!T32/SER_hh_num!T32)</f>
        <v>0</v>
      </c>
      <c r="U32" s="132">
        <f>IF(SER_hh_emi!U32=0,0,1000000*SER_hh_emi!U32/SER_hh_num!U32)</f>
        <v>0</v>
      </c>
      <c r="V32" s="132">
        <f>IF(SER_hh_emi!V32=0,0,1000000*SER_hh_emi!V32/SER_hh_num!V32)</f>
        <v>0</v>
      </c>
      <c r="W32" s="132">
        <f>IF(SER_hh_emi!W32=0,0,1000000*SER_hh_emi!W32/SER_hh_num!W32)</f>
        <v>0</v>
      </c>
      <c r="X32" s="132">
        <f>IF(SER_hh_emi!X32=0,0,1000000*SER_hh_emi!X32/SER_hh_num!X32)</f>
        <v>0</v>
      </c>
      <c r="Y32" s="132">
        <f>IF(SER_hh_emi!Y32=0,0,1000000*SER_hh_emi!Y32/SER_hh_num!Y32)</f>
        <v>0</v>
      </c>
      <c r="DA32" s="156" t="s">
        <v>474</v>
      </c>
    </row>
    <row r="33" spans="1:105" ht="12" customHeight="1" x14ac:dyDescent="0.25">
      <c r="A33" s="62" t="s">
        <v>24</v>
      </c>
      <c r="B33" s="68">
        <f>IF(SER_hh_emi!B33=0,0,1000000*SER_hh_emi!B33/SER_hh_num!B33)</f>
        <v>0</v>
      </c>
      <c r="C33" s="68">
        <f>IF(SER_hh_emi!C33=0,0,1000000*SER_hh_emi!C33/SER_hh_num!C33)</f>
        <v>0</v>
      </c>
      <c r="D33" s="68">
        <f>IF(SER_hh_emi!D33=0,0,1000000*SER_hh_emi!D33/SER_hh_num!D33)</f>
        <v>0</v>
      </c>
      <c r="E33" s="68">
        <f>IF(SER_hh_emi!E33=0,0,1000000*SER_hh_emi!E33/SER_hh_num!E33)</f>
        <v>0</v>
      </c>
      <c r="F33" s="68">
        <f>IF(SER_hh_emi!F33=0,0,1000000*SER_hh_emi!F33/SER_hh_num!F33)</f>
        <v>0</v>
      </c>
      <c r="G33" s="68">
        <f>IF(SER_hh_emi!G33=0,0,1000000*SER_hh_emi!G33/SER_hh_num!G33)</f>
        <v>0</v>
      </c>
      <c r="H33" s="68">
        <f>IF(SER_hh_emi!H33=0,0,1000000*SER_hh_emi!H33/SER_hh_num!H33)</f>
        <v>0</v>
      </c>
      <c r="I33" s="68">
        <f>IF(SER_hh_emi!I33=0,0,1000000*SER_hh_emi!I33/SER_hh_num!I33)</f>
        <v>0</v>
      </c>
      <c r="J33" s="68">
        <f>IF(SER_hh_emi!J33=0,0,1000000*SER_hh_emi!J33/SER_hh_num!J33)</f>
        <v>0</v>
      </c>
      <c r="K33" s="68">
        <f>IF(SER_hh_emi!K33=0,0,1000000*SER_hh_emi!K33/SER_hh_num!K33)</f>
        <v>0</v>
      </c>
      <c r="L33" s="68">
        <f>IF(SER_hh_emi!L33=0,0,1000000*SER_hh_emi!L33/SER_hh_num!L33)</f>
        <v>0</v>
      </c>
      <c r="M33" s="68">
        <f>IF(SER_hh_emi!M33=0,0,1000000*SER_hh_emi!M33/SER_hh_num!M33)</f>
        <v>0</v>
      </c>
      <c r="N33" s="68">
        <f>IF(SER_hh_emi!N33=0,0,1000000*SER_hh_emi!N33/SER_hh_num!N33)</f>
        <v>0</v>
      </c>
      <c r="O33" s="68">
        <f>IF(SER_hh_emi!O33=0,0,1000000*SER_hh_emi!O33/SER_hh_num!O33)</f>
        <v>0</v>
      </c>
      <c r="P33" s="68">
        <f>IF(SER_hh_emi!P33=0,0,1000000*SER_hh_emi!P33/SER_hh_num!P33)</f>
        <v>0</v>
      </c>
      <c r="Q33" s="68">
        <f>IF(SER_hh_emi!Q33=0,0,1000000*SER_hh_emi!Q33/SER_hh_num!Q33)</f>
        <v>0</v>
      </c>
      <c r="R33" s="68">
        <f>IF(SER_hh_emi!R33=0,0,1000000*SER_hh_emi!R33/SER_hh_num!R33)</f>
        <v>0</v>
      </c>
      <c r="S33" s="68">
        <f>IF(SER_hh_emi!S33=0,0,1000000*SER_hh_emi!S33/SER_hh_num!S33)</f>
        <v>0</v>
      </c>
      <c r="T33" s="68">
        <f>IF(SER_hh_emi!T33=0,0,1000000*SER_hh_emi!T33/SER_hh_num!T33)</f>
        <v>0</v>
      </c>
      <c r="U33" s="68">
        <f>IF(SER_hh_emi!U33=0,0,1000000*SER_hh_emi!U33/SER_hh_num!U33)</f>
        <v>0</v>
      </c>
      <c r="V33" s="68">
        <f>IF(SER_hh_emi!V33=0,0,1000000*SER_hh_emi!V33/SER_hh_num!V33)</f>
        <v>0</v>
      </c>
      <c r="W33" s="68">
        <f>IF(SER_hh_emi!W33=0,0,1000000*SER_hh_emi!W33/SER_hh_num!W33)</f>
        <v>0</v>
      </c>
      <c r="X33" s="68">
        <f>IF(SER_hh_emi!X33=0,0,1000000*SER_hh_emi!X33/SER_hh_num!X33)</f>
        <v>0</v>
      </c>
      <c r="Y33" s="68">
        <f>IF(SER_hh_emi!Y33=0,0,1000000*SER_hh_emi!Y33/SER_hh_num!Y33)</f>
        <v>0</v>
      </c>
      <c r="DA33" s="111" t="s">
        <v>475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476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90</v>
      </c>
      <c r="B3" s="125">
        <f>IF(SER_hh_fech!B3=0,0,SER_hh_fech!B3/SER_summary!B$26)</f>
        <v>217.47284942144989</v>
      </c>
      <c r="C3" s="125">
        <f>IF(SER_hh_fech!C3=0,0,SER_hh_fech!C3/SER_summary!C$26)</f>
        <v>220.65643374789522</v>
      </c>
      <c r="D3" s="125">
        <f>IF(SER_hh_fech!D3=0,0,SER_hh_fech!D3/SER_summary!D$26)</f>
        <v>214.77213408156692</v>
      </c>
      <c r="E3" s="125">
        <f>IF(SER_hh_fech!E3=0,0,SER_hh_fech!E3/SER_summary!E$26)</f>
        <v>239.88145472913868</v>
      </c>
      <c r="F3" s="125">
        <f>IF(SER_hh_fech!F3=0,0,SER_hh_fech!F3/SER_summary!F$26)</f>
        <v>242.24318434487171</v>
      </c>
      <c r="G3" s="125">
        <f>IF(SER_hh_fech!G3=0,0,SER_hh_fech!G3/SER_summary!G$26)</f>
        <v>274.52763914490714</v>
      </c>
      <c r="H3" s="125">
        <f>IF(SER_hh_fech!H3=0,0,SER_hh_fech!H3/SER_summary!H$26)</f>
        <v>277.4260985740442</v>
      </c>
      <c r="I3" s="125">
        <f>IF(SER_hh_fech!I3=0,0,SER_hh_fech!I3/SER_summary!I$26)</f>
        <v>262.26636807857693</v>
      </c>
      <c r="J3" s="125">
        <f>IF(SER_hh_fech!J3=0,0,SER_hh_fech!J3/SER_summary!J$26)</f>
        <v>298.28113109557455</v>
      </c>
      <c r="K3" s="125">
        <f>IF(SER_hh_fech!K3=0,0,SER_hh_fech!K3/SER_summary!K$26)</f>
        <v>295.10318135563472</v>
      </c>
      <c r="L3" s="125">
        <f>IF(SER_hh_fech!L3=0,0,SER_hh_fech!L3/SER_summary!L$26)</f>
        <v>294.00370228582022</v>
      </c>
      <c r="M3" s="125">
        <f>IF(SER_hh_fech!M3=0,0,SER_hh_fech!M3/SER_summary!M$26)</f>
        <v>265.33078384047013</v>
      </c>
      <c r="N3" s="125">
        <f>IF(SER_hh_fech!N3=0,0,SER_hh_fech!N3/SER_summary!N$26)</f>
        <v>267.38690100278012</v>
      </c>
      <c r="O3" s="125">
        <f>IF(SER_hh_fech!O3=0,0,SER_hh_fech!O3/SER_summary!O$26)</f>
        <v>264.82736283175336</v>
      </c>
      <c r="P3" s="125">
        <f>IF(SER_hh_fech!P3=0,0,SER_hh_fech!P3/SER_summary!P$26)</f>
        <v>234.91866538071096</v>
      </c>
      <c r="Q3" s="125">
        <f>IF(SER_hh_fech!Q3=0,0,SER_hh_fech!Q3/SER_summary!Q$26)</f>
        <v>248.67639216110928</v>
      </c>
      <c r="R3" s="125">
        <f>IF(SER_hh_fech!R3=0,0,SER_hh_fech!R3/SER_summary!R$26)</f>
        <v>249.76120064072995</v>
      </c>
      <c r="S3" s="125">
        <f>IF(SER_hh_fech!S3=0,0,SER_hh_fech!S3/SER_summary!S$26)</f>
        <v>251.89687168014316</v>
      </c>
      <c r="T3" s="125">
        <f>IF(SER_hh_fech!T3=0,0,SER_hh_fech!T3/SER_summary!T$26)</f>
        <v>268.5886247835079</v>
      </c>
      <c r="U3" s="125">
        <f>IF(SER_hh_fech!U3=0,0,SER_hh_fech!U3/SER_summary!U$26)</f>
        <v>254.16751666712386</v>
      </c>
      <c r="V3" s="125">
        <f>IF(SER_hh_fech!V3=0,0,SER_hh_fech!V3/SER_summary!V$26)</f>
        <v>225.79862415272228</v>
      </c>
      <c r="W3" s="125">
        <f>IF(SER_hh_fech!W3=0,0,SER_hh_fech!W3/SER_summary!W$26)</f>
        <v>235.84155061597895</v>
      </c>
      <c r="X3" s="125">
        <f>IF(SER_hh_fech!X3=0,0,SER_hh_fech!X3/SER_summary!X$26)</f>
        <v>223.00774220605237</v>
      </c>
      <c r="Y3" s="125">
        <f>IF(SER_hh_fech!Y3=0,0,SER_hh_fech!Y3/SER_summary!Y$26)</f>
        <v>230.2915257882332</v>
      </c>
      <c r="DA3" s="154" t="s">
        <v>477</v>
      </c>
    </row>
    <row r="4" spans="1:105" ht="12.95" customHeight="1" x14ac:dyDescent="0.25">
      <c r="A4" s="129" t="s">
        <v>32</v>
      </c>
      <c r="B4" s="130">
        <f>IF(SER_hh_fech!B4=0,0,SER_hh_fech!B4/SER_summary!B$26)</f>
        <v>145.34156444995227</v>
      </c>
      <c r="C4" s="130">
        <f>IF(SER_hh_fech!C4=0,0,SER_hh_fech!C4/SER_summary!C$26)</f>
        <v>148.24011214365979</v>
      </c>
      <c r="D4" s="130">
        <f>IF(SER_hh_fech!D4=0,0,SER_hh_fech!D4/SER_summary!D$26)</f>
        <v>143.00460914030631</v>
      </c>
      <c r="E4" s="130">
        <f>IF(SER_hh_fech!E4=0,0,SER_hh_fech!E4/SER_summary!E$26)</f>
        <v>165.22366193671945</v>
      </c>
      <c r="F4" s="130">
        <f>IF(SER_hh_fech!F4=0,0,SER_hh_fech!F4/SER_summary!F$26)</f>
        <v>171.26273073406128</v>
      </c>
      <c r="G4" s="130">
        <f>IF(SER_hh_fech!G4=0,0,SER_hh_fech!G4/SER_summary!G$26)</f>
        <v>202.74260026830976</v>
      </c>
      <c r="H4" s="130">
        <f>IF(SER_hh_fech!H4=0,0,SER_hh_fech!H4/SER_summary!H$26)</f>
        <v>205.92131865636586</v>
      </c>
      <c r="I4" s="130">
        <f>IF(SER_hh_fech!I4=0,0,SER_hh_fech!I4/SER_summary!I$26)</f>
        <v>189.88515354721449</v>
      </c>
      <c r="J4" s="130">
        <f>IF(SER_hh_fech!J4=0,0,SER_hh_fech!J4/SER_summary!J$26)</f>
        <v>225.31155552372206</v>
      </c>
      <c r="K4" s="130">
        <f>IF(SER_hh_fech!K4=0,0,SER_hh_fech!K4/SER_summary!K$26)</f>
        <v>221.17697800452149</v>
      </c>
      <c r="L4" s="130">
        <f>IF(SER_hh_fech!L4=0,0,SER_hh_fech!L4/SER_summary!L$26)</f>
        <v>221.04783623143561</v>
      </c>
      <c r="M4" s="130">
        <f>IF(SER_hh_fech!M4=0,0,SER_hh_fech!M4/SER_summary!M$26)</f>
        <v>191.5567485370714</v>
      </c>
      <c r="N4" s="130">
        <f>IF(SER_hh_fech!N4=0,0,SER_hh_fech!N4/SER_summary!N$26)</f>
        <v>191.1856584663127</v>
      </c>
      <c r="O4" s="130">
        <f>IF(SER_hh_fech!O4=0,0,SER_hh_fech!O4/SER_summary!O$26)</f>
        <v>190.55762478413092</v>
      </c>
      <c r="P4" s="130">
        <f>IF(SER_hh_fech!P4=0,0,SER_hh_fech!P4/SER_summary!P$26)</f>
        <v>160.4214211467019</v>
      </c>
      <c r="Q4" s="130">
        <f>IF(SER_hh_fech!Q4=0,0,SER_hh_fech!Q4/SER_summary!Q$26)</f>
        <v>170.98880448238461</v>
      </c>
      <c r="R4" s="130">
        <f>IF(SER_hh_fech!R4=0,0,SER_hh_fech!R4/SER_summary!R$26)</f>
        <v>174.05506478443161</v>
      </c>
      <c r="S4" s="130">
        <f>IF(SER_hh_fech!S4=0,0,SER_hh_fech!S4/SER_summary!S$26)</f>
        <v>175.07729656164796</v>
      </c>
      <c r="T4" s="130">
        <f>IF(SER_hh_fech!T4=0,0,SER_hh_fech!T4/SER_summary!T$26)</f>
        <v>194.53127352013624</v>
      </c>
      <c r="U4" s="130">
        <f>IF(SER_hh_fech!U4=0,0,SER_hh_fech!U4/SER_summary!U$26)</f>
        <v>180.75101983876317</v>
      </c>
      <c r="V4" s="130">
        <f>IF(SER_hh_fech!V4=0,0,SER_hh_fech!V4/SER_summary!V$26)</f>
        <v>161.31369321566007</v>
      </c>
      <c r="W4" s="130">
        <f>IF(SER_hh_fech!W4=0,0,SER_hh_fech!W4/SER_summary!W$26)</f>
        <v>162.18069144106525</v>
      </c>
      <c r="X4" s="130">
        <f>IF(SER_hh_fech!X4=0,0,SER_hh_fech!X4/SER_summary!X$26)</f>
        <v>147.05696682030546</v>
      </c>
      <c r="Y4" s="130">
        <f>IF(SER_hh_fech!Y4=0,0,SER_hh_fech!Y4/SER_summary!Y$26)</f>
        <v>155.68708687402545</v>
      </c>
      <c r="DA4" s="155" t="s">
        <v>478</v>
      </c>
    </row>
    <row r="5" spans="1:105" ht="12" customHeight="1" x14ac:dyDescent="0.25">
      <c r="A5" s="131" t="s">
        <v>29</v>
      </c>
      <c r="B5" s="132">
        <f>IF(SER_hh_fech!B5=0,0,SER_hh_fech!B5/SER_summary!B$26)</f>
        <v>0</v>
      </c>
      <c r="C5" s="132">
        <f>IF(SER_hh_fech!C5=0,0,SER_hh_fech!C5/SER_summary!C$26)</f>
        <v>0</v>
      </c>
      <c r="D5" s="132">
        <f>IF(SER_hh_fech!D5=0,0,SER_hh_fech!D5/SER_summary!D$26)</f>
        <v>0</v>
      </c>
      <c r="E5" s="132">
        <f>IF(SER_hh_fech!E5=0,0,SER_hh_fech!E5/SER_summary!E$26)</f>
        <v>0</v>
      </c>
      <c r="F5" s="132">
        <f>IF(SER_hh_fech!F5=0,0,SER_hh_fech!F5/SER_summary!F$26)</f>
        <v>0</v>
      </c>
      <c r="G5" s="132">
        <f>IF(SER_hh_fech!G5=0,0,SER_hh_fech!G5/SER_summary!G$26)</f>
        <v>0</v>
      </c>
      <c r="H5" s="132">
        <f>IF(SER_hh_fech!H5=0,0,SER_hh_fech!H5/SER_summary!H$26)</f>
        <v>0</v>
      </c>
      <c r="I5" s="132">
        <f>IF(SER_hh_fech!I5=0,0,SER_hh_fech!I5/SER_summary!I$26)</f>
        <v>0</v>
      </c>
      <c r="J5" s="132">
        <f>IF(SER_hh_fech!J5=0,0,SER_hh_fech!J5/SER_summary!J$26)</f>
        <v>0</v>
      </c>
      <c r="K5" s="132">
        <f>IF(SER_hh_fech!K5=0,0,SER_hh_fech!K5/SER_summary!K$26)</f>
        <v>0</v>
      </c>
      <c r="L5" s="132">
        <f>IF(SER_hh_fech!L5=0,0,SER_hh_fech!L5/SER_summary!L$26)</f>
        <v>0</v>
      </c>
      <c r="M5" s="132">
        <f>IF(SER_hh_fech!M5=0,0,SER_hh_fech!M5/SER_summary!M$26)</f>
        <v>0</v>
      </c>
      <c r="N5" s="132">
        <f>IF(SER_hh_fech!N5=0,0,SER_hh_fech!N5/SER_summary!N$26)</f>
        <v>0</v>
      </c>
      <c r="O5" s="132">
        <f>IF(SER_hh_fech!O5=0,0,SER_hh_fech!O5/SER_summary!O$26)</f>
        <v>0</v>
      </c>
      <c r="P5" s="132">
        <f>IF(SER_hh_fech!P5=0,0,SER_hh_fech!P5/SER_summary!P$26)</f>
        <v>0</v>
      </c>
      <c r="Q5" s="132">
        <f>IF(SER_hh_fech!Q5=0,0,SER_hh_fech!Q5/SER_summary!Q$26)</f>
        <v>0</v>
      </c>
      <c r="R5" s="132">
        <f>IF(SER_hh_fech!R5=0,0,SER_hh_fech!R5/SER_summary!R$26)</f>
        <v>0</v>
      </c>
      <c r="S5" s="132">
        <f>IF(SER_hh_fech!S5=0,0,SER_hh_fech!S5/SER_summary!S$26)</f>
        <v>0</v>
      </c>
      <c r="T5" s="132">
        <f>IF(SER_hh_fech!T5=0,0,SER_hh_fech!T5/SER_summary!T$26)</f>
        <v>0</v>
      </c>
      <c r="U5" s="132">
        <f>IF(SER_hh_fech!U5=0,0,SER_hh_fech!U5/SER_summary!U$26)</f>
        <v>0</v>
      </c>
      <c r="V5" s="132">
        <f>IF(SER_hh_fech!V5=0,0,SER_hh_fech!V5/SER_summary!V$26)</f>
        <v>0</v>
      </c>
      <c r="W5" s="132">
        <f>IF(SER_hh_fech!W5=0,0,SER_hh_fech!W5/SER_summary!W$26)</f>
        <v>0</v>
      </c>
      <c r="X5" s="132">
        <f>IF(SER_hh_fech!X5=0,0,SER_hh_fech!X5/SER_summary!X$26)</f>
        <v>0</v>
      </c>
      <c r="Y5" s="132">
        <f>IF(SER_hh_fech!Y5=0,0,SER_hh_fech!Y5/SER_summary!Y$26)</f>
        <v>0</v>
      </c>
      <c r="DA5" s="156" t="s">
        <v>479</v>
      </c>
    </row>
    <row r="6" spans="1:105" ht="12" customHeight="1" x14ac:dyDescent="0.25">
      <c r="A6" s="131" t="s">
        <v>52</v>
      </c>
      <c r="B6" s="132">
        <f>IF(SER_hh_fech!B6=0,0,SER_hh_fech!B6/SER_summary!B$26)</f>
        <v>168.49155827381148</v>
      </c>
      <c r="C6" s="132">
        <f>IF(SER_hh_fech!C6=0,0,SER_hh_fech!C6/SER_summary!C$26)</f>
        <v>170.73077133632208</v>
      </c>
      <c r="D6" s="132">
        <f>IF(SER_hh_fech!D6=0,0,SER_hh_fech!D6/SER_summary!D$26)</f>
        <v>162.37250554070727</v>
      </c>
      <c r="E6" s="132">
        <f>IF(SER_hh_fech!E6=0,0,SER_hh_fech!E6/SER_summary!E$26)</f>
        <v>196.69172624579591</v>
      </c>
      <c r="F6" s="132">
        <f>IF(SER_hh_fech!F6=0,0,SER_hh_fech!F6/SER_summary!F$26)</f>
        <v>201.89286296024903</v>
      </c>
      <c r="G6" s="132">
        <f>IF(SER_hh_fech!G6=0,0,SER_hh_fech!G6/SER_summary!G$26)</f>
        <v>235.01269028918855</v>
      </c>
      <c r="H6" s="132">
        <f>IF(SER_hh_fech!H6=0,0,SER_hh_fech!H6/SER_summary!H$26)</f>
        <v>238.10875625181333</v>
      </c>
      <c r="I6" s="132">
        <f>IF(SER_hh_fech!I6=0,0,SER_hh_fech!I6/SER_summary!I$26)</f>
        <v>224.14383135474137</v>
      </c>
      <c r="J6" s="132">
        <f>IF(SER_hh_fech!J6=0,0,SER_hh_fech!J6/SER_summary!J$26)</f>
        <v>261.90313172454785</v>
      </c>
      <c r="K6" s="132">
        <f>IF(SER_hh_fech!K6=0,0,SER_hh_fech!K6/SER_summary!K$26)</f>
        <v>262.78696697052345</v>
      </c>
      <c r="L6" s="132">
        <f>IF(SER_hh_fech!L6=0,0,SER_hh_fech!L6/SER_summary!L$26)</f>
        <v>271.83261212992323</v>
      </c>
      <c r="M6" s="132">
        <f>IF(SER_hh_fech!M6=0,0,SER_hh_fech!M6/SER_summary!M$26)</f>
        <v>244.75038880197431</v>
      </c>
      <c r="N6" s="132">
        <f>IF(SER_hh_fech!N6=0,0,SER_hh_fech!N6/SER_summary!N$26)</f>
        <v>225.9652396108572</v>
      </c>
      <c r="O6" s="132">
        <f>IF(SER_hh_fech!O6=0,0,SER_hh_fech!O6/SER_summary!O$26)</f>
        <v>250.22403759959445</v>
      </c>
      <c r="P6" s="132">
        <f>IF(SER_hh_fech!P6=0,0,SER_hh_fech!P6/SER_summary!P$26)</f>
        <v>233.39507871830671</v>
      </c>
      <c r="Q6" s="132">
        <f>IF(SER_hh_fech!Q6=0,0,SER_hh_fech!Q6/SER_summary!Q$26)</f>
        <v>244.99014232830305</v>
      </c>
      <c r="R6" s="132">
        <f>IF(SER_hh_fech!R6=0,0,SER_hh_fech!R6/SER_summary!R$26)</f>
        <v>287.06879208717277</v>
      </c>
      <c r="S6" s="132">
        <f>IF(SER_hh_fech!S6=0,0,SER_hh_fech!S6/SER_summary!S$26)</f>
        <v>306.71111471932693</v>
      </c>
      <c r="T6" s="132">
        <f>IF(SER_hh_fech!T6=0,0,SER_hh_fech!T6/SER_summary!T$26)</f>
        <v>292.08311370057498</v>
      </c>
      <c r="U6" s="132">
        <f>IF(SER_hh_fech!U6=0,0,SER_hh_fech!U6/SER_summary!U$26)</f>
        <v>289.13581662369</v>
      </c>
      <c r="V6" s="132">
        <f>IF(SER_hh_fech!V6=0,0,SER_hh_fech!V6/SER_summary!V$26)</f>
        <v>265.6683859178101</v>
      </c>
      <c r="W6" s="132">
        <f>IF(SER_hh_fech!W6=0,0,SER_hh_fech!W6/SER_summary!W$26)</f>
        <v>312.21352370203277</v>
      </c>
      <c r="X6" s="132">
        <f>IF(SER_hh_fech!X6=0,0,SER_hh_fech!X6/SER_summary!X$26)</f>
        <v>253.54145242417141</v>
      </c>
      <c r="Y6" s="132">
        <f>IF(SER_hh_fech!Y6=0,0,SER_hh_fech!Y6/SER_summary!Y$26)</f>
        <v>236.84371787941683</v>
      </c>
      <c r="DA6" s="156" t="s">
        <v>480</v>
      </c>
    </row>
    <row r="7" spans="1:105" ht="12" customHeight="1" x14ac:dyDescent="0.25">
      <c r="A7" s="131" t="s">
        <v>161</v>
      </c>
      <c r="B7" s="132">
        <f>IF(SER_hh_fech!B7=0,0,SER_hh_fech!B7/SER_summary!B$26)</f>
        <v>205.05164053699897</v>
      </c>
      <c r="C7" s="132">
        <f>IF(SER_hh_fech!C7=0,0,SER_hh_fech!C7/SER_summary!C$26)</f>
        <v>127.88379000668078</v>
      </c>
      <c r="D7" s="132">
        <f>IF(SER_hh_fech!D7=0,0,SER_hh_fech!D7/SER_summary!D$26)</f>
        <v>166.66379002480554</v>
      </c>
      <c r="E7" s="132">
        <f>IF(SER_hh_fech!E7=0,0,SER_hh_fech!E7/SER_summary!E$26)</f>
        <v>207.07257147378908</v>
      </c>
      <c r="F7" s="132">
        <f>IF(SER_hh_fech!F7=0,0,SER_hh_fech!F7/SER_summary!F$26)</f>
        <v>216.83395596702061</v>
      </c>
      <c r="G7" s="132">
        <f>IF(SER_hh_fech!G7=0,0,SER_hh_fech!G7/SER_summary!G$26)</f>
        <v>229.91714415452469</v>
      </c>
      <c r="H7" s="132">
        <f>IF(SER_hh_fech!H7=0,0,SER_hh_fech!H7/SER_summary!H$26)</f>
        <v>244.89674843334871</v>
      </c>
      <c r="I7" s="132">
        <f>IF(SER_hh_fech!I7=0,0,SER_hh_fech!I7/SER_summary!I$26)</f>
        <v>239.99263293668977</v>
      </c>
      <c r="J7" s="132">
        <f>IF(SER_hh_fech!J7=0,0,SER_hh_fech!J7/SER_summary!J$26)</f>
        <v>302.82229091844744</v>
      </c>
      <c r="K7" s="132">
        <f>IF(SER_hh_fech!K7=0,0,SER_hh_fech!K7/SER_summary!K$26)</f>
        <v>217.24429612138889</v>
      </c>
      <c r="L7" s="132">
        <f>IF(SER_hh_fech!L7=0,0,SER_hh_fech!L7/SER_summary!L$26)</f>
        <v>262.38964187553563</v>
      </c>
      <c r="M7" s="132">
        <f>IF(SER_hh_fech!M7=0,0,SER_hh_fech!M7/SER_summary!M$26)</f>
        <v>259.62498754954805</v>
      </c>
      <c r="N7" s="132">
        <f>IF(SER_hh_fech!N7=0,0,SER_hh_fech!N7/SER_summary!N$26)</f>
        <v>259.64181036035933</v>
      </c>
      <c r="O7" s="132">
        <f>IF(SER_hh_fech!O7=0,0,SER_hh_fech!O7/SER_summary!O$26)</f>
        <v>236.11807207860056</v>
      </c>
      <c r="P7" s="132">
        <f>IF(SER_hh_fech!P7=0,0,SER_hh_fech!P7/SER_summary!P$26)</f>
        <v>247.20878719298022</v>
      </c>
      <c r="Q7" s="132">
        <f>IF(SER_hh_fech!Q7=0,0,SER_hh_fech!Q7/SER_summary!Q$26)</f>
        <v>301.43337296714856</v>
      </c>
      <c r="R7" s="132">
        <f>IF(SER_hh_fech!R7=0,0,SER_hh_fech!R7/SER_summary!R$26)</f>
        <v>326.62827585299021</v>
      </c>
      <c r="S7" s="132">
        <f>IF(SER_hh_fech!S7=0,0,SER_hh_fech!S7/SER_summary!S$26)</f>
        <v>263.02688443703443</v>
      </c>
      <c r="T7" s="132">
        <f>IF(SER_hh_fech!T7=0,0,SER_hh_fech!T7/SER_summary!T$26)</f>
        <v>338.30640749343775</v>
      </c>
      <c r="U7" s="132">
        <f>IF(SER_hh_fech!U7=0,0,SER_hh_fech!U7/SER_summary!U$26)</f>
        <v>261.48136997170246</v>
      </c>
      <c r="V7" s="132">
        <f>IF(SER_hh_fech!V7=0,0,SER_hh_fech!V7/SER_summary!V$26)</f>
        <v>181.06544515127973</v>
      </c>
      <c r="W7" s="132">
        <f>IF(SER_hh_fech!W7=0,0,SER_hh_fech!W7/SER_summary!W$26)</f>
        <v>243.8555106688296</v>
      </c>
      <c r="X7" s="132">
        <f>IF(SER_hh_fech!X7=0,0,SER_hh_fech!X7/SER_summary!X$26)</f>
        <v>251.37783953296261</v>
      </c>
      <c r="Y7" s="132">
        <f>IF(SER_hh_fech!Y7=0,0,SER_hh_fech!Y7/SER_summary!Y$26)</f>
        <v>235.85971793493661</v>
      </c>
      <c r="DA7" s="156" t="s">
        <v>481</v>
      </c>
    </row>
    <row r="8" spans="1:105" ht="12" customHeight="1" x14ac:dyDescent="0.25">
      <c r="A8" s="131" t="s">
        <v>73</v>
      </c>
      <c r="B8" s="132">
        <f>IF(SER_hh_fech!B8=0,0,SER_hh_fech!B8/SER_summary!B$26)</f>
        <v>68.509226950540537</v>
      </c>
      <c r="C8" s="132">
        <f>IF(SER_hh_fech!C8=0,0,SER_hh_fech!C8/SER_summary!C$26)</f>
        <v>70.880499093615001</v>
      </c>
      <c r="D8" s="132">
        <f>IF(SER_hh_fech!D8=0,0,SER_hh_fech!D8/SER_summary!D$26)</f>
        <v>61.079426861223951</v>
      </c>
      <c r="E8" s="132">
        <f>IF(SER_hh_fech!E8=0,0,SER_hh_fech!E8/SER_summary!E$26)</f>
        <v>65.939176075215698</v>
      </c>
      <c r="F8" s="132">
        <f>IF(SER_hh_fech!F8=0,0,SER_hh_fech!F8/SER_summary!F$26)</f>
        <v>64.728996285546657</v>
      </c>
      <c r="G8" s="132">
        <f>IF(SER_hh_fech!G8=0,0,SER_hh_fech!G8/SER_summary!G$26)</f>
        <v>66.418097171642387</v>
      </c>
      <c r="H8" s="132">
        <f>IF(SER_hh_fech!H8=0,0,SER_hh_fech!H8/SER_summary!H$26)</f>
        <v>66.198493258222058</v>
      </c>
      <c r="I8" s="132">
        <f>IF(SER_hh_fech!I8=0,0,SER_hh_fech!I8/SER_summary!I$26)</f>
        <v>64.193129391592976</v>
      </c>
      <c r="J8" s="132">
        <f>IF(SER_hh_fech!J8=0,0,SER_hh_fech!J8/SER_summary!J$26)</f>
        <v>64.264108932393668</v>
      </c>
      <c r="K8" s="132">
        <f>IF(SER_hh_fech!K8=0,0,SER_hh_fech!K8/SER_summary!K$26)</f>
        <v>60.334075888955226</v>
      </c>
      <c r="L8" s="132">
        <f>IF(SER_hh_fech!L8=0,0,SER_hh_fech!L8/SER_summary!L$26)</f>
        <v>54.458332206713543</v>
      </c>
      <c r="M8" s="132">
        <f>IF(SER_hh_fech!M8=0,0,SER_hh_fech!M8/SER_summary!M$26)</f>
        <v>49.077044182357064</v>
      </c>
      <c r="N8" s="132">
        <f>IF(SER_hh_fech!N8=0,0,SER_hh_fech!N8/SER_summary!N$26)</f>
        <v>45.265085682276158</v>
      </c>
      <c r="O8" s="132">
        <f>IF(SER_hh_fech!O8=0,0,SER_hh_fech!O8/SER_summary!O$26)</f>
        <v>44.676803563828287</v>
      </c>
      <c r="P8" s="132">
        <f>IF(SER_hh_fech!P8=0,0,SER_hh_fech!P8/SER_summary!P$26)</f>
        <v>46.268522505560419</v>
      </c>
      <c r="Q8" s="132">
        <f>IF(SER_hh_fech!Q8=0,0,SER_hh_fech!Q8/SER_summary!Q$26)</f>
        <v>54.215985264276128</v>
      </c>
      <c r="R8" s="132">
        <f>IF(SER_hh_fech!R8=0,0,SER_hh_fech!R8/SER_summary!R$26)</f>
        <v>51.73968775538637</v>
      </c>
      <c r="S8" s="132">
        <f>IF(SER_hh_fech!S8=0,0,SER_hh_fech!S8/SER_summary!S$26)</f>
        <v>52.005268966672098</v>
      </c>
      <c r="T8" s="132">
        <f>IF(SER_hh_fech!T8=0,0,SER_hh_fech!T8/SER_summary!T$26)</f>
        <v>51.679685255749888</v>
      </c>
      <c r="U8" s="132">
        <f>IF(SER_hh_fech!U8=0,0,SER_hh_fech!U8/SER_summary!U$26)</f>
        <v>48.112219698183196</v>
      </c>
      <c r="V8" s="132">
        <f>IF(SER_hh_fech!V8=0,0,SER_hh_fech!V8/SER_summary!V$26)</f>
        <v>45.8411932279556</v>
      </c>
      <c r="W8" s="132">
        <f>IF(SER_hh_fech!W8=0,0,SER_hh_fech!W8/SER_summary!W$26)</f>
        <v>46.03692581978963</v>
      </c>
      <c r="X8" s="132">
        <f>IF(SER_hh_fech!X8=0,0,SER_hh_fech!X8/SER_summary!X$26)</f>
        <v>42.625585256564229</v>
      </c>
      <c r="Y8" s="132">
        <f>IF(SER_hh_fech!Y8=0,0,SER_hh_fech!Y8/SER_summary!Y$26)</f>
        <v>41.395491071689968</v>
      </c>
      <c r="DA8" s="156" t="s">
        <v>482</v>
      </c>
    </row>
    <row r="9" spans="1:105" ht="12" customHeight="1" x14ac:dyDescent="0.25">
      <c r="A9" s="131" t="s">
        <v>78</v>
      </c>
      <c r="B9" s="132">
        <f>IF(SER_hh_fech!B9=0,0,SER_hh_fech!B9/SER_summary!B$26)</f>
        <v>159.68498581445473</v>
      </c>
      <c r="C9" s="132">
        <f>IF(SER_hh_fech!C9=0,0,SER_hh_fech!C9/SER_summary!C$26)</f>
        <v>167.71351541847974</v>
      </c>
      <c r="D9" s="132">
        <f>IF(SER_hh_fech!D9=0,0,SER_hh_fech!D9/SER_summary!D$26)</f>
        <v>151.56276043187378</v>
      </c>
      <c r="E9" s="132">
        <f>IF(SER_hh_fech!E9=0,0,SER_hh_fech!E9/SER_summary!E$26)</f>
        <v>182.97523034281377</v>
      </c>
      <c r="F9" s="132">
        <f>IF(SER_hh_fech!F9=0,0,SER_hh_fech!F9/SER_summary!F$26)</f>
        <v>184.62997248791345</v>
      </c>
      <c r="G9" s="132">
        <f>IF(SER_hh_fech!G9=0,0,SER_hh_fech!G9/SER_summary!G$26)</f>
        <v>227.15650551456972</v>
      </c>
      <c r="H9" s="132">
        <f>IF(SER_hh_fech!H9=0,0,SER_hh_fech!H9/SER_summary!H$26)</f>
        <v>228.48473251067793</v>
      </c>
      <c r="I9" s="132">
        <f>IF(SER_hh_fech!I9=0,0,SER_hh_fech!I9/SER_summary!I$26)</f>
        <v>201.03332259491893</v>
      </c>
      <c r="J9" s="132">
        <f>IF(SER_hh_fech!J9=0,0,SER_hh_fech!J9/SER_summary!J$26)</f>
        <v>252.62299943794926</v>
      </c>
      <c r="K9" s="132">
        <f>IF(SER_hh_fech!K9=0,0,SER_hh_fech!K9/SER_summary!K$26)</f>
        <v>251.83768691656357</v>
      </c>
      <c r="L9" s="132">
        <f>IF(SER_hh_fech!L9=0,0,SER_hh_fech!L9/SER_summary!L$26)</f>
        <v>256.29459845885276</v>
      </c>
      <c r="M9" s="132">
        <f>IF(SER_hh_fech!M9=0,0,SER_hh_fech!M9/SER_summary!M$26)</f>
        <v>216.28113361452517</v>
      </c>
      <c r="N9" s="132">
        <f>IF(SER_hh_fech!N9=0,0,SER_hh_fech!N9/SER_summary!N$26)</f>
        <v>230.86803340513157</v>
      </c>
      <c r="O9" s="132">
        <f>IF(SER_hh_fech!O9=0,0,SER_hh_fech!O9/SER_summary!O$26)</f>
        <v>251.967605607222</v>
      </c>
      <c r="P9" s="132">
        <f>IF(SER_hh_fech!P9=0,0,SER_hh_fech!P9/SER_summary!P$26)</f>
        <v>209.71966771824921</v>
      </c>
      <c r="Q9" s="132">
        <f>IF(SER_hh_fech!Q9=0,0,SER_hh_fech!Q9/SER_summary!Q$26)</f>
        <v>256.85742856997302</v>
      </c>
      <c r="R9" s="132">
        <f>IF(SER_hh_fech!R9=0,0,SER_hh_fech!R9/SER_summary!R$26)</f>
        <v>270.99484348009082</v>
      </c>
      <c r="S9" s="132">
        <f>IF(SER_hh_fech!S9=0,0,SER_hh_fech!S9/SER_summary!S$26)</f>
        <v>263.77384805528294</v>
      </c>
      <c r="T9" s="132">
        <f>IF(SER_hh_fech!T9=0,0,SER_hh_fech!T9/SER_summary!T$26)</f>
        <v>293.55752090020195</v>
      </c>
      <c r="U9" s="132">
        <f>IF(SER_hh_fech!U9=0,0,SER_hh_fech!U9/SER_summary!U$26)</f>
        <v>278.81892909142863</v>
      </c>
      <c r="V9" s="132">
        <f>IF(SER_hh_fech!V9=0,0,SER_hh_fech!V9/SER_summary!V$26)</f>
        <v>270.52392658814335</v>
      </c>
      <c r="W9" s="132">
        <f>IF(SER_hh_fech!W9=0,0,SER_hh_fech!W9/SER_summary!W$26)</f>
        <v>250.42035818712293</v>
      </c>
      <c r="X9" s="132">
        <f>IF(SER_hh_fech!X9=0,0,SER_hh_fech!X9/SER_summary!X$26)</f>
        <v>204.9055995405393</v>
      </c>
      <c r="Y9" s="132">
        <f>IF(SER_hh_fech!Y9=0,0,SER_hh_fech!Y9/SER_summary!Y$26)</f>
        <v>227.14735572851473</v>
      </c>
      <c r="DA9" s="156" t="s">
        <v>483</v>
      </c>
    </row>
    <row r="10" spans="1:105" ht="12" customHeight="1" x14ac:dyDescent="0.25">
      <c r="A10" s="131" t="s">
        <v>128</v>
      </c>
      <c r="B10" s="132">
        <f>IF(SER_hh_fech!B10=0,0,SER_hh_fech!B10/SER_summary!B$26)</f>
        <v>130.17144547906068</v>
      </c>
      <c r="C10" s="132">
        <f>IF(SER_hh_fech!C10=0,0,SER_hh_fech!C10/SER_summary!C$26)</f>
        <v>137.40691283291616</v>
      </c>
      <c r="D10" s="132">
        <f>IF(SER_hh_fech!D10=0,0,SER_hh_fech!D10/SER_summary!D$26)</f>
        <v>134.4137761272828</v>
      </c>
      <c r="E10" s="132">
        <f>IF(SER_hh_fech!E10=0,0,SER_hh_fech!E10/SER_summary!E$26)</f>
        <v>147.43919588643669</v>
      </c>
      <c r="F10" s="132">
        <f>IF(SER_hh_fech!F10=0,0,SER_hh_fech!F10/SER_summary!F$26)</f>
        <v>159.00931802736022</v>
      </c>
      <c r="G10" s="132">
        <f>IF(SER_hh_fech!G10=0,0,SER_hh_fech!G10/SER_summary!G$26)</f>
        <v>170.12265491393822</v>
      </c>
      <c r="H10" s="132">
        <f>IF(SER_hh_fech!H10=0,0,SER_hh_fech!H10/SER_summary!H$26)</f>
        <v>217.15861723047141</v>
      </c>
      <c r="I10" s="132">
        <f>IF(SER_hh_fech!I10=0,0,SER_hh_fech!I10/SER_summary!I$26)</f>
        <v>176.58192920507938</v>
      </c>
      <c r="J10" s="132">
        <f>IF(SER_hh_fech!J10=0,0,SER_hh_fech!J10/SER_summary!J$26)</f>
        <v>162.71033350854029</v>
      </c>
      <c r="K10" s="132">
        <f>IF(SER_hh_fech!K10=0,0,SER_hh_fech!K10/SER_summary!K$26)</f>
        <v>193.43001366988125</v>
      </c>
      <c r="L10" s="132">
        <f>IF(SER_hh_fech!L10=0,0,SER_hh_fech!L10/SER_summary!L$26)</f>
        <v>238.23134221849753</v>
      </c>
      <c r="M10" s="132">
        <f>IF(SER_hh_fech!M10=0,0,SER_hh_fech!M10/SER_summary!M$26)</f>
        <v>200.1319572384144</v>
      </c>
      <c r="N10" s="132">
        <f>IF(SER_hh_fech!N10=0,0,SER_hh_fech!N10/SER_summary!N$26)</f>
        <v>155.8056959528999</v>
      </c>
      <c r="O10" s="132">
        <f>IF(SER_hh_fech!O10=0,0,SER_hh_fech!O10/SER_summary!O$26)</f>
        <v>198.25012722479491</v>
      </c>
      <c r="P10" s="132">
        <f>IF(SER_hh_fech!P10=0,0,SER_hh_fech!P10/SER_summary!P$26)</f>
        <v>258.6078086726335</v>
      </c>
      <c r="Q10" s="132">
        <f>IF(SER_hh_fech!Q10=0,0,SER_hh_fech!Q10/SER_summary!Q$26)</f>
        <v>215.24260978172293</v>
      </c>
      <c r="R10" s="132">
        <f>IF(SER_hh_fech!R10=0,0,SER_hh_fech!R10/SER_summary!R$26)</f>
        <v>262.04438861738669</v>
      </c>
      <c r="S10" s="132">
        <f>IF(SER_hh_fech!S10=0,0,SER_hh_fech!S10/SER_summary!S$26)</f>
        <v>271.54620466699606</v>
      </c>
      <c r="T10" s="132">
        <f>IF(SER_hh_fech!T10=0,0,SER_hh_fech!T10/SER_summary!T$26)</f>
        <v>262.26641101307922</v>
      </c>
      <c r="U10" s="132">
        <f>IF(SER_hh_fech!U10=0,0,SER_hh_fech!U10/SER_summary!U$26)</f>
        <v>263.44181267467758</v>
      </c>
      <c r="V10" s="132">
        <f>IF(SER_hh_fech!V10=0,0,SER_hh_fech!V10/SER_summary!V$26)</f>
        <v>235.76465176714606</v>
      </c>
      <c r="W10" s="132">
        <f>IF(SER_hh_fech!W10=0,0,SER_hh_fech!W10/SER_summary!W$26)</f>
        <v>259.15890244056851</v>
      </c>
      <c r="X10" s="132">
        <f>IF(SER_hh_fech!X10=0,0,SER_hh_fech!X10/SER_summary!X$26)</f>
        <v>266.08819733260867</v>
      </c>
      <c r="Y10" s="132">
        <f>IF(SER_hh_fech!Y10=0,0,SER_hh_fech!Y10/SER_summary!Y$26)</f>
        <v>237.04774807748262</v>
      </c>
      <c r="DA10" s="156" t="s">
        <v>484</v>
      </c>
    </row>
    <row r="11" spans="1:105" ht="12" customHeight="1" x14ac:dyDescent="0.25">
      <c r="A11" s="131" t="s">
        <v>25</v>
      </c>
      <c r="B11" s="132">
        <f>IF(SER_hh_fech!B11=0,0,SER_hh_fech!B11/SER_summary!B$26)</f>
        <v>106.06118728918906</v>
      </c>
      <c r="C11" s="132">
        <f>IF(SER_hh_fech!C11=0,0,SER_hh_fech!C11/SER_summary!C$26)</f>
        <v>107.84125065728982</v>
      </c>
      <c r="D11" s="132">
        <f>IF(SER_hh_fech!D11=0,0,SER_hh_fech!D11/SER_summary!D$26)</f>
        <v>111.9175224546741</v>
      </c>
      <c r="E11" s="132">
        <f>IF(SER_hh_fech!E11=0,0,SER_hh_fech!E11/SER_summary!E$26)</f>
        <v>121.18347854194657</v>
      </c>
      <c r="F11" s="132">
        <f>IF(SER_hh_fech!F11=0,0,SER_hh_fech!F11/SER_summary!F$26)</f>
        <v>130.23855451917709</v>
      </c>
      <c r="G11" s="132">
        <f>IF(SER_hh_fech!G11=0,0,SER_hh_fech!G11/SER_summary!G$26)</f>
        <v>144.18432570673252</v>
      </c>
      <c r="H11" s="132">
        <f>IF(SER_hh_fech!H11=0,0,SER_hh_fech!H11/SER_summary!H$26)</f>
        <v>153.17015598149166</v>
      </c>
      <c r="I11" s="132">
        <f>IF(SER_hh_fech!I11=0,0,SER_hh_fech!I11/SER_summary!I$26)</f>
        <v>158.06803683317821</v>
      </c>
      <c r="J11" s="132">
        <f>IF(SER_hh_fech!J11=0,0,SER_hh_fech!J11/SER_summary!J$26)</f>
        <v>174.32201791283032</v>
      </c>
      <c r="K11" s="132">
        <f>IF(SER_hh_fech!K11=0,0,SER_hh_fech!K11/SER_summary!K$26)</f>
        <v>195.55080945418618</v>
      </c>
      <c r="L11" s="132">
        <f>IF(SER_hh_fech!L11=0,0,SER_hh_fech!L11/SER_summary!L$26)</f>
        <v>140.97020552145861</v>
      </c>
      <c r="M11" s="132">
        <f>IF(SER_hh_fech!M11=0,0,SER_hh_fech!M11/SER_summary!M$26)</f>
        <v>155.54696588584054</v>
      </c>
      <c r="N11" s="132">
        <f>IF(SER_hh_fech!N11=0,0,SER_hh_fech!N11/SER_summary!N$26)</f>
        <v>167.56304342558801</v>
      </c>
      <c r="O11" s="132">
        <f>IF(SER_hh_fech!O11=0,0,SER_hh_fech!O11/SER_summary!O$26)</f>
        <v>170.80233317850244</v>
      </c>
      <c r="P11" s="132">
        <f>IF(SER_hh_fech!P11=0,0,SER_hh_fech!P11/SER_summary!P$26)</f>
        <v>169.73313071984674</v>
      </c>
      <c r="Q11" s="132">
        <f>IF(SER_hh_fech!Q11=0,0,SER_hh_fech!Q11/SER_summary!Q$26)</f>
        <v>188.38781931183624</v>
      </c>
      <c r="R11" s="132">
        <f>IF(SER_hh_fech!R11=0,0,SER_hh_fech!R11/SER_summary!R$26)</f>
        <v>198.76315551040892</v>
      </c>
      <c r="S11" s="132">
        <f>IF(SER_hh_fech!S11=0,0,SER_hh_fech!S11/SER_summary!S$26)</f>
        <v>217.26898913350121</v>
      </c>
      <c r="T11" s="132">
        <f>IF(SER_hh_fech!T11=0,0,SER_hh_fech!T11/SER_summary!T$26)</f>
        <v>221.49983293795628</v>
      </c>
      <c r="U11" s="132">
        <f>IF(SER_hh_fech!U11=0,0,SER_hh_fech!U11/SER_summary!U$26)</f>
        <v>220.94461840972076</v>
      </c>
      <c r="V11" s="132">
        <f>IF(SER_hh_fech!V11=0,0,SER_hh_fech!V11/SER_summary!V$26)</f>
        <v>205.48276641607782</v>
      </c>
      <c r="W11" s="132">
        <f>IF(SER_hh_fech!W11=0,0,SER_hh_fech!W11/SER_summary!W$26)</f>
        <v>198.80745174584558</v>
      </c>
      <c r="X11" s="132">
        <f>IF(SER_hh_fech!X11=0,0,SER_hh_fech!X11/SER_summary!X$26)</f>
        <v>193.95178437785009</v>
      </c>
      <c r="Y11" s="132">
        <f>IF(SER_hh_fech!Y11=0,0,SER_hh_fech!Y11/SER_summary!Y$26)</f>
        <v>194.19392694441308</v>
      </c>
      <c r="DA11" s="156" t="s">
        <v>485</v>
      </c>
    </row>
    <row r="12" spans="1:105" ht="12" customHeight="1" x14ac:dyDescent="0.25">
      <c r="A12" s="131" t="s">
        <v>162</v>
      </c>
      <c r="B12" s="132">
        <f>IF(SER_hh_fech!B12=0,0,SER_hh_fech!B12/SER_summary!B$26)</f>
        <v>0</v>
      </c>
      <c r="C12" s="132">
        <f>IF(SER_hh_fech!C12=0,0,SER_hh_fech!C12/SER_summary!C$26)</f>
        <v>0</v>
      </c>
      <c r="D12" s="132">
        <f>IF(SER_hh_fech!D12=0,0,SER_hh_fech!D12/SER_summary!D$26)</f>
        <v>0</v>
      </c>
      <c r="E12" s="132">
        <f>IF(SER_hh_fech!E12=0,0,SER_hh_fech!E12/SER_summary!E$26)</f>
        <v>0</v>
      </c>
      <c r="F12" s="132">
        <f>IF(SER_hh_fech!F12=0,0,SER_hh_fech!F12/SER_summary!F$26)</f>
        <v>178.58385978747066</v>
      </c>
      <c r="G12" s="132">
        <f>IF(SER_hh_fech!G12=0,0,SER_hh_fech!G12/SER_summary!G$26)</f>
        <v>137.04105565987007</v>
      </c>
      <c r="H12" s="132">
        <f>IF(SER_hh_fech!H12=0,0,SER_hh_fech!H12/SER_summary!H$26)</f>
        <v>162.19688872598567</v>
      </c>
      <c r="I12" s="132">
        <f>IF(SER_hh_fech!I12=0,0,SER_hh_fech!I12/SER_summary!I$26)</f>
        <v>161.85422902647733</v>
      </c>
      <c r="J12" s="132">
        <f>IF(SER_hh_fech!J12=0,0,SER_hh_fech!J12/SER_summary!J$26)</f>
        <v>171.4994417066556</v>
      </c>
      <c r="K12" s="132">
        <f>IF(SER_hh_fech!K12=0,0,SER_hh_fech!K12/SER_summary!K$26)</f>
        <v>149.10251691362504</v>
      </c>
      <c r="L12" s="132">
        <f>IF(SER_hh_fech!L12=0,0,SER_hh_fech!L12/SER_summary!L$26)</f>
        <v>113.22202152792481</v>
      </c>
      <c r="M12" s="132">
        <f>IF(SER_hh_fech!M12=0,0,SER_hh_fech!M12/SER_summary!M$26)</f>
        <v>206.31128628962821</v>
      </c>
      <c r="N12" s="132">
        <f>IF(SER_hh_fech!N12=0,0,SER_hh_fech!N12/SER_summary!N$26)</f>
        <v>136.57657265273781</v>
      </c>
      <c r="O12" s="132">
        <f>IF(SER_hh_fech!O12=0,0,SER_hh_fech!O12/SER_summary!O$26)</f>
        <v>156.54775090143011</v>
      </c>
      <c r="P12" s="132">
        <f>IF(SER_hh_fech!P12=0,0,SER_hh_fech!P12/SER_summary!P$26)</f>
        <v>218.46192264056086</v>
      </c>
      <c r="Q12" s="132">
        <f>IF(SER_hh_fech!Q12=0,0,SER_hh_fech!Q12/SER_summary!Q$26)</f>
        <v>172.9765370157053</v>
      </c>
      <c r="R12" s="132">
        <f>IF(SER_hh_fech!R12=0,0,SER_hh_fech!R12/SER_summary!R$26)</f>
        <v>177.20061497242983</v>
      </c>
      <c r="S12" s="132">
        <f>IF(SER_hh_fech!S12=0,0,SER_hh_fech!S12/SER_summary!S$26)</f>
        <v>216.38577788497108</v>
      </c>
      <c r="T12" s="132">
        <f>IF(SER_hh_fech!T12=0,0,SER_hh_fech!T12/SER_summary!T$26)</f>
        <v>259.78535983492202</v>
      </c>
      <c r="U12" s="132">
        <f>IF(SER_hh_fech!U12=0,0,SER_hh_fech!U12/SER_summary!U$26)</f>
        <v>199.75941487651744</v>
      </c>
      <c r="V12" s="132">
        <f>IF(SER_hh_fech!V12=0,0,SER_hh_fech!V12/SER_summary!V$26)</f>
        <v>206.24043261366569</v>
      </c>
      <c r="W12" s="132">
        <f>IF(SER_hh_fech!W12=0,0,SER_hh_fech!W12/SER_summary!W$26)</f>
        <v>179.48219483994242</v>
      </c>
      <c r="X12" s="132">
        <f>IF(SER_hh_fech!X12=0,0,SER_hh_fech!X12/SER_summary!X$26)</f>
        <v>182.63493250026744</v>
      </c>
      <c r="Y12" s="132">
        <f>IF(SER_hh_fech!Y12=0,0,SER_hh_fech!Y12/SER_summary!Y$26)</f>
        <v>190.95673984558874</v>
      </c>
      <c r="DA12" s="156" t="s">
        <v>486</v>
      </c>
    </row>
    <row r="13" spans="1:105" ht="12" customHeight="1" x14ac:dyDescent="0.25">
      <c r="A13" s="131" t="s">
        <v>77</v>
      </c>
      <c r="B13" s="132">
        <f>IF(SER_hh_fech!B13=0,0,SER_hh_fech!B13/SER_summary!B$26)</f>
        <v>43.270541291350071</v>
      </c>
      <c r="C13" s="132">
        <f>IF(SER_hh_fech!C13=0,0,SER_hh_fech!C13/SER_summary!C$26)</f>
        <v>37.880962317510281</v>
      </c>
      <c r="D13" s="132">
        <f>IF(SER_hh_fech!D13=0,0,SER_hh_fech!D13/SER_summary!D$26)</f>
        <v>54.077771021787484</v>
      </c>
      <c r="E13" s="132">
        <f>IF(SER_hh_fech!E13=0,0,SER_hh_fech!E13/SER_summary!E$26)</f>
        <v>38.032259996929064</v>
      </c>
      <c r="F13" s="132">
        <f>IF(SER_hh_fech!F13=0,0,SER_hh_fech!F13/SER_summary!F$26)</f>
        <v>48.91781123995122</v>
      </c>
      <c r="G13" s="132">
        <f>IF(SER_hh_fech!G13=0,0,SER_hh_fech!G13/SER_summary!G$26)</f>
        <v>62.69993121781166</v>
      </c>
      <c r="H13" s="132">
        <f>IF(SER_hh_fech!H13=0,0,SER_hh_fech!H13/SER_summary!H$26)</f>
        <v>63.379379663348963</v>
      </c>
      <c r="I13" s="132">
        <f>IF(SER_hh_fech!I13=0,0,SER_hh_fech!I13/SER_summary!I$26)</f>
        <v>59.531586794447499</v>
      </c>
      <c r="J13" s="132">
        <f>IF(SER_hh_fech!J13=0,0,SER_hh_fech!J13/SER_summary!J$26)</f>
        <v>59.13912378813297</v>
      </c>
      <c r="K13" s="132">
        <f>IF(SER_hh_fech!K13=0,0,SER_hh_fech!K13/SER_summary!K$26)</f>
        <v>60.467334265930816</v>
      </c>
      <c r="L13" s="132">
        <f>IF(SER_hh_fech!L13=0,0,SER_hh_fech!L13/SER_summary!L$26)</f>
        <v>49.655819813787126</v>
      </c>
      <c r="M13" s="132">
        <f>IF(SER_hh_fech!M13=0,0,SER_hh_fech!M13/SER_summary!M$26)</f>
        <v>49.102207109593316</v>
      </c>
      <c r="N13" s="132">
        <f>IF(SER_hh_fech!N13=0,0,SER_hh_fech!N13/SER_summary!N$26)</f>
        <v>50.505539346708659</v>
      </c>
      <c r="O13" s="132">
        <f>IF(SER_hh_fech!O13=0,0,SER_hh_fech!O13/SER_summary!O$26)</f>
        <v>41.120151045686214</v>
      </c>
      <c r="P13" s="132">
        <f>IF(SER_hh_fech!P13=0,0,SER_hh_fech!P13/SER_summary!P$26)</f>
        <v>43.72414895156551</v>
      </c>
      <c r="Q13" s="132">
        <f>IF(SER_hh_fech!Q13=0,0,SER_hh_fech!Q13/SER_summary!Q$26)</f>
        <v>58.651179826877517</v>
      </c>
      <c r="R13" s="132">
        <f>IF(SER_hh_fech!R13=0,0,SER_hh_fech!R13/SER_summary!R$26)</f>
        <v>54.178814136987093</v>
      </c>
      <c r="S13" s="132">
        <f>IF(SER_hh_fech!S13=0,0,SER_hh_fech!S13/SER_summary!S$26)</f>
        <v>58.172507375295403</v>
      </c>
      <c r="T13" s="132">
        <f>IF(SER_hh_fech!T13=0,0,SER_hh_fech!T13/SER_summary!T$26)</f>
        <v>56.23877174043055</v>
      </c>
      <c r="U13" s="132">
        <f>IF(SER_hh_fech!U13=0,0,SER_hh_fech!U13/SER_summary!U$26)</f>
        <v>53.1962486249883</v>
      </c>
      <c r="V13" s="132">
        <f>IF(SER_hh_fech!V13=0,0,SER_hh_fech!V13/SER_summary!V$26)</f>
        <v>51.375758139932486</v>
      </c>
      <c r="W13" s="132">
        <f>IF(SER_hh_fech!W13=0,0,SER_hh_fech!W13/SER_summary!W$26)</f>
        <v>41.064271670188475</v>
      </c>
      <c r="X13" s="132">
        <f>IF(SER_hh_fech!X13=0,0,SER_hh_fech!X13/SER_summary!X$26)</f>
        <v>42.443077463971974</v>
      </c>
      <c r="Y13" s="132">
        <f>IF(SER_hh_fech!Y13=0,0,SER_hh_fech!Y13/SER_summary!Y$26)</f>
        <v>47.294744149221223</v>
      </c>
      <c r="DA13" s="156" t="s">
        <v>487</v>
      </c>
    </row>
    <row r="14" spans="1:105" ht="12" customHeight="1" x14ac:dyDescent="0.25">
      <c r="A14" s="60" t="s">
        <v>76</v>
      </c>
      <c r="B14" s="65">
        <f>IF(SER_hh_fech!B14=0,0,SER_hh_fech!B14/SER_summary!B$26)</f>
        <v>112.32454721961064</v>
      </c>
      <c r="C14" s="65">
        <f>IF(SER_hh_fech!C14=0,0,SER_hh_fech!C14/SER_summary!C$26)</f>
        <v>116.28868325806812</v>
      </c>
      <c r="D14" s="65">
        <f>IF(SER_hh_fech!D14=0,0,SER_hh_fech!D14/SER_summary!D$26)</f>
        <v>124.3897294261086</v>
      </c>
      <c r="E14" s="65">
        <f>IF(SER_hh_fech!E14=0,0,SER_hh_fech!E14/SER_summary!E$26)</f>
        <v>126.16813146905153</v>
      </c>
      <c r="F14" s="65">
        <f>IF(SER_hh_fech!F14=0,0,SER_hh_fech!F14/SER_summary!F$26)</f>
        <v>141.31021219400887</v>
      </c>
      <c r="G14" s="65">
        <f>IF(SER_hh_fech!G14=0,0,SER_hh_fech!G14/SER_summary!G$26)</f>
        <v>160.8808314193017</v>
      </c>
      <c r="H14" s="65">
        <f>IF(SER_hh_fech!H14=0,0,SER_hh_fech!H14/SER_summary!H$26)</f>
        <v>167.90575373248973</v>
      </c>
      <c r="I14" s="65">
        <f>IF(SER_hh_fech!I14=0,0,SER_hh_fech!I14/SER_summary!I$26)</f>
        <v>172.47987324801707</v>
      </c>
      <c r="J14" s="65">
        <f>IF(SER_hh_fech!J14=0,0,SER_hh_fech!J14/SER_summary!J$26)</f>
        <v>179.06578795706437</v>
      </c>
      <c r="K14" s="65">
        <f>IF(SER_hh_fech!K14=0,0,SER_hh_fech!K14/SER_summary!K$26)</f>
        <v>182.74019577552781</v>
      </c>
      <c r="L14" s="65">
        <f>IF(SER_hh_fech!L14=0,0,SER_hh_fech!L14/SER_summary!L$26)</f>
        <v>184.97495360310486</v>
      </c>
      <c r="M14" s="65">
        <f>IF(SER_hh_fech!M14=0,0,SER_hh_fech!M14/SER_summary!M$26)</f>
        <v>178.16804569680963</v>
      </c>
      <c r="N14" s="65">
        <f>IF(SER_hh_fech!N14=0,0,SER_hh_fech!N14/SER_summary!N$26)</f>
        <v>180.95164475928186</v>
      </c>
      <c r="O14" s="65">
        <f>IF(SER_hh_fech!O14=0,0,SER_hh_fech!O14/SER_summary!O$26)</f>
        <v>185.91889966041262</v>
      </c>
      <c r="P14" s="65">
        <f>IF(SER_hh_fech!P14=0,0,SER_hh_fech!P14/SER_summary!P$26)</f>
        <v>184.57383085488991</v>
      </c>
      <c r="Q14" s="65">
        <f>IF(SER_hh_fech!Q14=0,0,SER_hh_fech!Q14/SER_summary!Q$26)</f>
        <v>187.41985090296893</v>
      </c>
      <c r="R14" s="65">
        <f>IF(SER_hh_fech!R14=0,0,SER_hh_fech!R14/SER_summary!R$26)</f>
        <v>212.2059833044587</v>
      </c>
      <c r="S14" s="65">
        <f>IF(SER_hh_fech!S14=0,0,SER_hh_fech!S14/SER_summary!S$26)</f>
        <v>223.69413069883467</v>
      </c>
      <c r="T14" s="65">
        <f>IF(SER_hh_fech!T14=0,0,SER_hh_fech!T14/SER_summary!T$26)</f>
        <v>259.79873111725891</v>
      </c>
      <c r="U14" s="65">
        <f>IF(SER_hh_fech!U14=0,0,SER_hh_fech!U14/SER_summary!U$26)</f>
        <v>230.91994864288154</v>
      </c>
      <c r="V14" s="65">
        <f>IF(SER_hh_fech!V14=0,0,SER_hh_fech!V14/SER_summary!V$26)</f>
        <v>151.92738218593072</v>
      </c>
      <c r="W14" s="65">
        <f>IF(SER_hh_fech!W14=0,0,SER_hh_fech!W14/SER_summary!W$26)</f>
        <v>218.16535210422649</v>
      </c>
      <c r="X14" s="65">
        <f>IF(SER_hh_fech!X14=0,0,SER_hh_fech!X14/SER_summary!X$26)</f>
        <v>209.18117345968864</v>
      </c>
      <c r="Y14" s="65">
        <f>IF(SER_hh_fech!Y14=0,0,SER_hh_fech!Y14/SER_summary!Y$26)</f>
        <v>188.05714942479</v>
      </c>
      <c r="DA14" s="109" t="s">
        <v>488</v>
      </c>
    </row>
    <row r="15" spans="1:105" ht="12" customHeight="1" x14ac:dyDescent="0.25">
      <c r="A15" s="133" t="s">
        <v>80</v>
      </c>
      <c r="B15" s="134">
        <f>IF(SER_hh_fech!B15=0,0,SER_hh_fech!B15/SER_summary!B$26)</f>
        <v>1.5768093861865204</v>
      </c>
      <c r="C15" s="134">
        <f>IF(SER_hh_fech!C15=0,0,SER_hh_fech!C15/SER_summary!C$26)</f>
        <v>1.5849880914604513</v>
      </c>
      <c r="D15" s="134">
        <f>IF(SER_hh_fech!D15=0,0,SER_hh_fech!D15/SER_summary!D$26)</f>
        <v>1.4543456079800168</v>
      </c>
      <c r="E15" s="134">
        <f>IF(SER_hh_fech!E15=0,0,SER_hh_fech!E15/SER_summary!E$26)</f>
        <v>1.7483668164514752</v>
      </c>
      <c r="F15" s="134">
        <f>IF(SER_hh_fech!F15=0,0,SER_hh_fech!F15/SER_summary!F$26)</f>
        <v>1.7475107414913786</v>
      </c>
      <c r="G15" s="134">
        <f>IF(SER_hh_fech!G15=0,0,SER_hh_fech!G15/SER_summary!G$26)</f>
        <v>2.0988187301617875</v>
      </c>
      <c r="H15" s="134">
        <f>IF(SER_hh_fech!H15=0,0,SER_hh_fech!H15/SER_summary!H$26)</f>
        <v>2.1107404741172044</v>
      </c>
      <c r="I15" s="134">
        <f>IF(SER_hh_fech!I15=0,0,SER_hh_fech!I15/SER_summary!I$26)</f>
        <v>1.8737289270698043</v>
      </c>
      <c r="J15" s="134">
        <f>IF(SER_hh_fech!J15=0,0,SER_hh_fech!J15/SER_summary!J$26)</f>
        <v>2.3427983344982053</v>
      </c>
      <c r="K15" s="134">
        <f>IF(SER_hh_fech!K15=0,0,SER_hh_fech!K15/SER_summary!K$26)</f>
        <v>2.2994349772579761</v>
      </c>
      <c r="L15" s="134">
        <f>IF(SER_hh_fech!L15=0,0,SER_hh_fech!L15/SER_summary!L$26)</f>
        <v>2.3540157220587368</v>
      </c>
      <c r="M15" s="134">
        <f>IF(SER_hh_fech!M15=0,0,SER_hh_fech!M15/SER_summary!M$26)</f>
        <v>2.0037416765062801</v>
      </c>
      <c r="N15" s="134">
        <f>IF(SER_hh_fech!N15=0,0,SER_hh_fech!N15/SER_summary!N$26)</f>
        <v>2.1065408452185288</v>
      </c>
      <c r="O15" s="134">
        <f>IF(SER_hh_fech!O15=0,0,SER_hh_fech!O15/SER_summary!O$26)</f>
        <v>2.2637422616998046</v>
      </c>
      <c r="P15" s="134">
        <f>IF(SER_hh_fech!P15=0,0,SER_hh_fech!P15/SER_summary!P$26)</f>
        <v>1.8946560046084715</v>
      </c>
      <c r="Q15" s="134">
        <f>IF(SER_hh_fech!Q15=0,0,SER_hh_fech!Q15/SER_summary!Q$26)</f>
        <v>2.2501357502598829</v>
      </c>
      <c r="R15" s="134">
        <f>IF(SER_hh_fech!R15=0,0,SER_hh_fech!R15/SER_summary!R$26)</f>
        <v>2.36649973391809</v>
      </c>
      <c r="S15" s="134">
        <f>IF(SER_hh_fech!S15=0,0,SER_hh_fech!S15/SER_summary!S$26)</f>
        <v>2.3831888061347275</v>
      </c>
      <c r="T15" s="134">
        <f>IF(SER_hh_fech!T15=0,0,SER_hh_fech!T15/SER_summary!T$26)</f>
        <v>2.7444123996378509</v>
      </c>
      <c r="U15" s="134">
        <f>IF(SER_hh_fech!U15=0,0,SER_hh_fech!U15/SER_summary!U$26)</f>
        <v>2.6730418563811598</v>
      </c>
      <c r="V15" s="134">
        <f>IF(SER_hh_fech!V15=0,0,SER_hh_fech!V15/SER_summary!V$26)</f>
        <v>2.6355711267929136</v>
      </c>
      <c r="W15" s="134">
        <f>IF(SER_hh_fech!W15=0,0,SER_hh_fech!W15/SER_summary!W$26)</f>
        <v>2.4991378555517803</v>
      </c>
      <c r="X15" s="134">
        <f>IF(SER_hh_fech!X15=0,0,SER_hh_fech!X15/SER_summary!X$26)</f>
        <v>2.1371140702308802</v>
      </c>
      <c r="Y15" s="134">
        <f>IF(SER_hh_fech!Y15=0,0,SER_hh_fech!Y15/SER_summary!Y$26)</f>
        <v>2.4107577301248679</v>
      </c>
      <c r="DA15" s="157" t="s">
        <v>489</v>
      </c>
    </row>
    <row r="16" spans="1:105" ht="12.95" customHeight="1" x14ac:dyDescent="0.25">
      <c r="A16" s="129" t="s">
        <v>74</v>
      </c>
      <c r="B16" s="130">
        <f>IF(SER_hh_fech!B16=0,0,SER_hh_fech!B16/SER_summary!B$26)</f>
        <v>13.75272515774523</v>
      </c>
      <c r="C16" s="130">
        <f>IF(SER_hh_fech!C16=0,0,SER_hh_fech!C16/SER_summary!C$26)</f>
        <v>14.467112191563343</v>
      </c>
      <c r="D16" s="130">
        <f>IF(SER_hh_fech!D16=0,0,SER_hh_fech!D16/SER_summary!D$26)</f>
        <v>12.172990071306959</v>
      </c>
      <c r="E16" s="130">
        <f>IF(SER_hh_fech!E16=0,0,SER_hh_fech!E16/SER_summary!E$26)</f>
        <v>27.204854133059165</v>
      </c>
      <c r="F16" s="130">
        <f>IF(SER_hh_fech!F16=0,0,SER_hh_fech!F16/SER_summary!F$26)</f>
        <v>11.711715739481097</v>
      </c>
      <c r="G16" s="130">
        <f>IF(SER_hh_fech!G16=0,0,SER_hh_fech!G16/SER_summary!G$26)</f>
        <v>11.247704370832611</v>
      </c>
      <c r="H16" s="130">
        <f>IF(SER_hh_fech!H16=0,0,SER_hh_fech!H16/SER_summary!H$26)</f>
        <v>12.526314162640139</v>
      </c>
      <c r="I16" s="130">
        <f>IF(SER_hh_fech!I16=0,0,SER_hh_fech!I16/SER_summary!I$26)</f>
        <v>10.914139352016578</v>
      </c>
      <c r="J16" s="130">
        <f>IF(SER_hh_fech!J16=0,0,SER_hh_fech!J16/SER_summary!J$26)</f>
        <v>12.194067140173308</v>
      </c>
      <c r="K16" s="130">
        <f>IF(SER_hh_fech!K16=0,0,SER_hh_fech!K16/SER_summary!K$26)</f>
        <v>12.290819993765163</v>
      </c>
      <c r="L16" s="130">
        <f>IF(SER_hh_fech!L16=0,0,SER_hh_fech!L16/SER_summary!L$26)</f>
        <v>9.7640782849562857</v>
      </c>
      <c r="M16" s="130">
        <f>IF(SER_hh_fech!M16=0,0,SER_hh_fech!M16/SER_summary!M$26)</f>
        <v>10.252060505175738</v>
      </c>
      <c r="N16" s="130">
        <f>IF(SER_hh_fech!N16=0,0,SER_hh_fech!N16/SER_summary!N$26)</f>
        <v>15.738391321587391</v>
      </c>
      <c r="O16" s="130">
        <f>IF(SER_hh_fech!O16=0,0,SER_hh_fech!O16/SER_summary!O$26)</f>
        <v>9.124276275499632</v>
      </c>
      <c r="P16" s="130">
        <f>IF(SER_hh_fech!P16=0,0,SER_hh_fech!P16/SER_summary!P$26)</f>
        <v>7.6608172670350365</v>
      </c>
      <c r="Q16" s="130">
        <f>IF(SER_hh_fech!Q16=0,0,SER_hh_fech!Q16/SER_summary!Q$26)</f>
        <v>13.311587679300679</v>
      </c>
      <c r="R16" s="130">
        <f>IF(SER_hh_fech!R16=0,0,SER_hh_fech!R16/SER_summary!R$26)</f>
        <v>8.2691770559014177</v>
      </c>
      <c r="S16" s="130">
        <f>IF(SER_hh_fech!S16=0,0,SER_hh_fech!S16/SER_summary!S$26)</f>
        <v>12.303859831273266</v>
      </c>
      <c r="T16" s="130">
        <f>IF(SER_hh_fech!T16=0,0,SER_hh_fech!T16/SER_summary!T$26)</f>
        <v>9.1941674956302286</v>
      </c>
      <c r="U16" s="130">
        <f>IF(SER_hh_fech!U16=0,0,SER_hh_fech!U16/SER_summary!U$26)</f>
        <v>12.010299326852792</v>
      </c>
      <c r="V16" s="130">
        <f>IF(SER_hh_fech!V16=0,0,SER_hh_fech!V16/SER_summary!V$26)</f>
        <v>8.5593019003389106</v>
      </c>
      <c r="W16" s="130">
        <f>IF(SER_hh_fech!W16=0,0,SER_hh_fech!W16/SER_summary!W$26)</f>
        <v>10.476043586040081</v>
      </c>
      <c r="X16" s="130">
        <f>IF(SER_hh_fech!X16=0,0,SER_hh_fech!X16/SER_summary!X$26)</f>
        <v>13.704825776344414</v>
      </c>
      <c r="Y16" s="130">
        <f>IF(SER_hh_fech!Y16=0,0,SER_hh_fech!Y16/SER_summary!Y$26)</f>
        <v>10.905039567018965</v>
      </c>
      <c r="DA16" s="155" t="s">
        <v>490</v>
      </c>
    </row>
    <row r="17" spans="1:105" ht="12.95" customHeight="1" x14ac:dyDescent="0.25">
      <c r="A17" s="131" t="s">
        <v>73</v>
      </c>
      <c r="B17" s="132">
        <f>IF(SER_hh_fech!B17=0,0,SER_hh_fech!B17/SER_summary!B$26)</f>
        <v>23.093693464659481</v>
      </c>
      <c r="C17" s="132">
        <f>IF(SER_hh_fech!C17=0,0,SER_hh_fech!C17/SER_summary!C$26)</f>
        <v>24.460782555321448</v>
      </c>
      <c r="D17" s="132">
        <f>IF(SER_hh_fech!D17=0,0,SER_hh_fech!D17/SER_summary!D$26)</f>
        <v>21.33017714438396</v>
      </c>
      <c r="E17" s="132">
        <f>IF(SER_hh_fech!E17=0,0,SER_hh_fech!E17/SER_summary!E$26)</f>
        <v>48.655991345037108</v>
      </c>
      <c r="F17" s="132">
        <f>IF(SER_hh_fech!F17=0,0,SER_hh_fech!F17/SER_summary!F$26)</f>
        <v>21.561062908521976</v>
      </c>
      <c r="G17" s="132">
        <f>IF(SER_hh_fech!G17=0,0,SER_hh_fech!G17/SER_summary!G$26)</f>
        <v>21.454733789821645</v>
      </c>
      <c r="H17" s="132">
        <f>IF(SER_hh_fech!H17=0,0,SER_hh_fech!H17/SER_summary!H$26)</f>
        <v>24.887522166852662</v>
      </c>
      <c r="I17" s="132">
        <f>IF(SER_hh_fech!I17=0,0,SER_hh_fech!I17/SER_summary!I$26)</f>
        <v>22.652806414792092</v>
      </c>
      <c r="J17" s="132">
        <f>IF(SER_hh_fech!J17=0,0,SER_hh_fech!J17/SER_summary!J$26)</f>
        <v>26.360446913546212</v>
      </c>
      <c r="K17" s="132">
        <f>IF(SER_hh_fech!K17=0,0,SER_hh_fech!K17/SER_summary!K$26)</f>
        <v>26.767194554006181</v>
      </c>
      <c r="L17" s="132">
        <f>IF(SER_hh_fech!L17=0,0,SER_hh_fech!L17/SER_summary!L$26)</f>
        <v>21.580427744985542</v>
      </c>
      <c r="M17" s="132">
        <f>IF(SER_hh_fech!M17=0,0,SER_hh_fech!M17/SER_summary!M$26)</f>
        <v>23.193731733234369</v>
      </c>
      <c r="N17" s="132">
        <f>IF(SER_hh_fech!N17=0,0,SER_hh_fech!N17/SER_summary!N$26)</f>
        <v>36.417899086092135</v>
      </c>
      <c r="O17" s="132">
        <f>IF(SER_hh_fech!O17=0,0,SER_hh_fech!O17/SER_summary!O$26)</f>
        <v>21.464234666857283</v>
      </c>
      <c r="P17" s="132">
        <f>IF(SER_hh_fech!P17=0,0,SER_hh_fech!P17/SER_summary!P$26)</f>
        <v>18.393833422624102</v>
      </c>
      <c r="Q17" s="132">
        <f>IF(SER_hh_fech!Q17=0,0,SER_hh_fech!Q17/SER_summary!Q$26)</f>
        <v>32.666063981772517</v>
      </c>
      <c r="R17" s="132">
        <f>IF(SER_hh_fech!R17=0,0,SER_hh_fech!R17/SER_summary!R$26)</f>
        <v>21.169330255531484</v>
      </c>
      <c r="S17" s="132">
        <f>IF(SER_hh_fech!S17=0,0,SER_hh_fech!S17/SER_summary!S$26)</f>
        <v>31.829034588396155</v>
      </c>
      <c r="T17" s="132">
        <f>IF(SER_hh_fech!T17=0,0,SER_hh_fech!T17/SER_summary!T$26)</f>
        <v>24.06983664391776</v>
      </c>
      <c r="U17" s="132">
        <f>IF(SER_hh_fech!U17=0,0,SER_hh_fech!U17/SER_summary!U$26)</f>
        <v>31.44570227403862</v>
      </c>
      <c r="V17" s="132">
        <f>IF(SER_hh_fech!V17=0,0,SER_hh_fech!V17/SER_summary!V$26)</f>
        <v>22.522640759936092</v>
      </c>
      <c r="W17" s="132">
        <f>IF(SER_hh_fech!W17=0,0,SER_hh_fech!W17/SER_summary!W$26)</f>
        <v>27.359850858439362</v>
      </c>
      <c r="X17" s="132">
        <f>IF(SER_hh_fech!X17=0,0,SER_hh_fech!X17/SER_summary!X$26)</f>
        <v>36.025080145470703</v>
      </c>
      <c r="Y17" s="132">
        <f>IF(SER_hh_fech!Y17=0,0,SER_hh_fech!Y17/SER_summary!Y$26)</f>
        <v>31.063716637263063</v>
      </c>
      <c r="DA17" s="156" t="s">
        <v>491</v>
      </c>
    </row>
    <row r="18" spans="1:105" ht="12" customHeight="1" x14ac:dyDescent="0.25">
      <c r="A18" s="131" t="s">
        <v>72</v>
      </c>
      <c r="B18" s="132">
        <f>IF(SER_hh_fech!B18=0,0,SER_hh_fech!B18/SER_summary!B$26)</f>
        <v>13.736629238943971</v>
      </c>
      <c r="C18" s="132">
        <f>IF(SER_hh_fech!C18=0,0,SER_hh_fech!C18/SER_summary!C$26)</f>
        <v>14.44114859294768</v>
      </c>
      <c r="D18" s="132">
        <f>IF(SER_hh_fech!D18=0,0,SER_hh_fech!D18/SER_summary!D$26)</f>
        <v>12.149603069057369</v>
      </c>
      <c r="E18" s="132">
        <f>IF(SER_hh_fech!E18=0,0,SER_hh_fech!E18/SER_summary!E$26)</f>
        <v>27.135635379207141</v>
      </c>
      <c r="F18" s="132">
        <f>IF(SER_hh_fech!F18=0,0,SER_hh_fech!F18/SER_summary!F$26)</f>
        <v>11.672010210543174</v>
      </c>
      <c r="G18" s="132">
        <f>IF(SER_hh_fech!G18=0,0,SER_hh_fech!G18/SER_summary!G$26)</f>
        <v>11.203552659774541</v>
      </c>
      <c r="H18" s="132">
        <f>IF(SER_hh_fech!H18=0,0,SER_hh_fech!H18/SER_summary!H$26)</f>
        <v>12.465453176432895</v>
      </c>
      <c r="I18" s="132">
        <f>IF(SER_hh_fech!I18=0,0,SER_hh_fech!I18/SER_summary!I$26)</f>
        <v>10.850606042282731</v>
      </c>
      <c r="J18" s="132">
        <f>IF(SER_hh_fech!J18=0,0,SER_hh_fech!J18/SER_summary!J$26)</f>
        <v>12.10688397541044</v>
      </c>
      <c r="K18" s="132">
        <f>IF(SER_hh_fech!K18=0,0,SER_hh_fech!K18/SER_summary!K$26)</f>
        <v>12.186298590765881</v>
      </c>
      <c r="L18" s="132">
        <f>IF(SER_hh_fech!L18=0,0,SER_hh_fech!L18/SER_summary!L$26)</f>
        <v>9.6685992496769337</v>
      </c>
      <c r="M18" s="132">
        <f>IF(SER_hh_fech!M18=0,0,SER_hh_fech!M18/SER_summary!M$26)</f>
        <v>10.139206604904272</v>
      </c>
      <c r="N18" s="132">
        <f>IF(SER_hh_fech!N18=0,0,SER_hh_fech!N18/SER_summary!N$26)</f>
        <v>15.545884876263841</v>
      </c>
      <c r="O18" s="132">
        <f>IF(SER_hh_fech!O18=0,0,SER_hh_fech!O18/SER_summary!O$26)</f>
        <v>8.995468046213464</v>
      </c>
      <c r="P18" s="132">
        <f>IF(SER_hh_fech!P18=0,0,SER_hh_fech!P18/SER_summary!P$26)</f>
        <v>7.538142500935332</v>
      </c>
      <c r="Q18" s="132">
        <f>IF(SER_hh_fech!Q18=0,0,SER_hh_fech!Q18/SER_summary!Q$26)</f>
        <v>13.074972323298113</v>
      </c>
      <c r="R18" s="132">
        <f>IF(SER_hh_fech!R18=0,0,SER_hh_fech!R18/SER_summary!R$26)</f>
        <v>8.099880814382395</v>
      </c>
      <c r="S18" s="132">
        <f>IF(SER_hh_fech!S18=0,0,SER_hh_fech!S18/SER_summary!S$26)</f>
        <v>12.032361764911485</v>
      </c>
      <c r="T18" s="132">
        <f>IF(SER_hh_fech!T18=0,0,SER_hh_fech!T18/SER_summary!T$26)</f>
        <v>8.9784456852679</v>
      </c>
      <c r="U18" s="132">
        <f>IF(SER_hh_fech!U18=0,0,SER_hh_fech!U18/SER_summary!U$26)</f>
        <v>11.720825751233793</v>
      </c>
      <c r="V18" s="132">
        <f>IF(SER_hh_fech!V18=0,0,SER_hh_fech!V18/SER_summary!V$26)</f>
        <v>8.3467250003918725</v>
      </c>
      <c r="W18" s="132">
        <f>IF(SER_hh_fech!W18=0,0,SER_hh_fech!W18/SER_summary!W$26)</f>
        <v>10.216196875061017</v>
      </c>
      <c r="X18" s="132">
        <f>IF(SER_hh_fech!X18=0,0,SER_hh_fech!X18/SER_summary!X$26)</f>
        <v>13.338133493759322</v>
      </c>
      <c r="Y18" s="132">
        <f>IF(SER_hh_fech!Y18=0,0,SER_hh_fech!Y18/SER_summary!Y$26)</f>
        <v>10.555531881689618</v>
      </c>
      <c r="DA18" s="156" t="s">
        <v>492</v>
      </c>
    </row>
    <row r="19" spans="1:105" ht="12.95" customHeight="1" x14ac:dyDescent="0.25">
      <c r="A19" s="129" t="s">
        <v>35</v>
      </c>
      <c r="B19" s="130">
        <f>IF(SER_hh_fech!B19=0,0,SER_hh_fech!B19/SER_summary!B$26)</f>
        <v>34.380665030566583</v>
      </c>
      <c r="C19" s="130">
        <f>IF(SER_hh_fech!C19=0,0,SER_hh_fech!C19/SER_summary!C$26)</f>
        <v>34.773283988247435</v>
      </c>
      <c r="D19" s="130">
        <f>IF(SER_hh_fech!D19=0,0,SER_hh_fech!D19/SER_summary!D$26)</f>
        <v>34.890212564209364</v>
      </c>
      <c r="E19" s="130">
        <f>IF(SER_hh_fech!E19=0,0,SER_hh_fech!E19/SER_summary!E$26)</f>
        <v>34.286467765353663</v>
      </c>
      <c r="F19" s="130">
        <f>IF(SER_hh_fech!F19=0,0,SER_hh_fech!F19/SER_summary!F$26)</f>
        <v>34.615473953041942</v>
      </c>
      <c r="G19" s="130">
        <f>IF(SER_hh_fech!G19=0,0,SER_hh_fech!G19/SER_summary!G$26)</f>
        <v>34.020469261349319</v>
      </c>
      <c r="H19" s="130">
        <f>IF(SER_hh_fech!H19=0,0,SER_hh_fech!H19/SER_summary!H$26)</f>
        <v>33.750648660228883</v>
      </c>
      <c r="I19" s="130">
        <f>IF(SER_hh_fech!I19=0,0,SER_hh_fech!I19/SER_summary!I$26)</f>
        <v>34.061753965492152</v>
      </c>
      <c r="J19" s="130">
        <f>IF(SER_hh_fech!J19=0,0,SER_hh_fech!J19/SER_summary!J$26)</f>
        <v>33.686049089949037</v>
      </c>
      <c r="K19" s="130">
        <f>IF(SER_hh_fech!K19=0,0,SER_hh_fech!K19/SER_summary!K$26)</f>
        <v>33.232653579629599</v>
      </c>
      <c r="L19" s="130">
        <f>IF(SER_hh_fech!L19=0,0,SER_hh_fech!L19/SER_summary!L$26)</f>
        <v>32.981136189020702</v>
      </c>
      <c r="M19" s="130">
        <f>IF(SER_hh_fech!M19=0,0,SER_hh_fech!M19/SER_summary!M$26)</f>
        <v>33.10614964346366</v>
      </c>
      <c r="N19" s="130">
        <f>IF(SER_hh_fech!N19=0,0,SER_hh_fech!N19/SER_summary!N$26)</f>
        <v>32.319239055646044</v>
      </c>
      <c r="O19" s="130">
        <f>IF(SER_hh_fech!O19=0,0,SER_hh_fech!O19/SER_summary!O$26)</f>
        <v>33.055918056326867</v>
      </c>
      <c r="P19" s="130">
        <f>IF(SER_hh_fech!P19=0,0,SER_hh_fech!P19/SER_summary!P$26)</f>
        <v>33.193093919269941</v>
      </c>
      <c r="Q19" s="130">
        <f>IF(SER_hh_fech!Q19=0,0,SER_hh_fech!Q19/SER_summary!Q$26)</f>
        <v>33.0131881434897</v>
      </c>
      <c r="R19" s="130">
        <f>IF(SER_hh_fech!R19=0,0,SER_hh_fech!R19/SER_summary!R$26)</f>
        <v>33.394576247247933</v>
      </c>
      <c r="S19" s="130">
        <f>IF(SER_hh_fech!S19=0,0,SER_hh_fech!S19/SER_summary!S$26)</f>
        <v>32.465084159517914</v>
      </c>
      <c r="T19" s="130">
        <f>IF(SER_hh_fech!T19=0,0,SER_hh_fech!T19/SER_summary!T$26)</f>
        <v>31.872227893409796</v>
      </c>
      <c r="U19" s="130">
        <f>IF(SER_hh_fech!U19=0,0,SER_hh_fech!U19/SER_summary!U$26)</f>
        <v>29.781433227660042</v>
      </c>
      <c r="V19" s="130">
        <f>IF(SER_hh_fech!V19=0,0,SER_hh_fech!V19/SER_summary!V$26)</f>
        <v>26.588093273654387</v>
      </c>
      <c r="W19" s="130">
        <f>IF(SER_hh_fech!W19=0,0,SER_hh_fech!W19/SER_summary!W$26)</f>
        <v>30.735343102096216</v>
      </c>
      <c r="X19" s="130">
        <f>IF(SER_hh_fech!X19=0,0,SER_hh_fech!X19/SER_summary!X$26)</f>
        <v>31.050498767244168</v>
      </c>
      <c r="Y19" s="130">
        <f>IF(SER_hh_fech!Y19=0,0,SER_hh_fech!Y19/SER_summary!Y$26)</f>
        <v>30.821488435740818</v>
      </c>
      <c r="DA19" s="155" t="s">
        <v>493</v>
      </c>
    </row>
    <row r="20" spans="1:105" ht="12" customHeight="1" x14ac:dyDescent="0.25">
      <c r="A20" s="131" t="s">
        <v>29</v>
      </c>
      <c r="B20" s="132">
        <f>IF(SER_hh_fech!B20=0,0,SER_hh_fech!B20/SER_summary!B$26)</f>
        <v>0</v>
      </c>
      <c r="C20" s="132">
        <f>IF(SER_hh_fech!C20=0,0,SER_hh_fech!C20/SER_summary!C$26)</f>
        <v>0</v>
      </c>
      <c r="D20" s="132">
        <f>IF(SER_hh_fech!D20=0,0,SER_hh_fech!D20/SER_summary!D$26)</f>
        <v>0</v>
      </c>
      <c r="E20" s="132">
        <f>IF(SER_hh_fech!E20=0,0,SER_hh_fech!E20/SER_summary!E$26)</f>
        <v>0</v>
      </c>
      <c r="F20" s="132">
        <f>IF(SER_hh_fech!F20=0,0,SER_hh_fech!F20/SER_summary!F$26)</f>
        <v>0</v>
      </c>
      <c r="G20" s="132">
        <f>IF(SER_hh_fech!G20=0,0,SER_hh_fech!G20/SER_summary!G$26)</f>
        <v>0</v>
      </c>
      <c r="H20" s="132">
        <f>IF(SER_hh_fech!H20=0,0,SER_hh_fech!H20/SER_summary!H$26)</f>
        <v>0</v>
      </c>
      <c r="I20" s="132">
        <f>IF(SER_hh_fech!I20=0,0,SER_hh_fech!I20/SER_summary!I$26)</f>
        <v>0</v>
      </c>
      <c r="J20" s="132">
        <f>IF(SER_hh_fech!J20=0,0,SER_hh_fech!J20/SER_summary!J$26)</f>
        <v>0</v>
      </c>
      <c r="K20" s="132">
        <f>IF(SER_hh_fech!K20=0,0,SER_hh_fech!K20/SER_summary!K$26)</f>
        <v>0</v>
      </c>
      <c r="L20" s="132">
        <f>IF(SER_hh_fech!L20=0,0,SER_hh_fech!L20/SER_summary!L$26)</f>
        <v>0</v>
      </c>
      <c r="M20" s="132">
        <f>IF(SER_hh_fech!M20=0,0,SER_hh_fech!M20/SER_summary!M$26)</f>
        <v>0</v>
      </c>
      <c r="N20" s="132">
        <f>IF(SER_hh_fech!N20=0,0,SER_hh_fech!N20/SER_summary!N$26)</f>
        <v>0</v>
      </c>
      <c r="O20" s="132">
        <f>IF(SER_hh_fech!O20=0,0,SER_hh_fech!O20/SER_summary!O$26)</f>
        <v>0</v>
      </c>
      <c r="P20" s="132">
        <f>IF(SER_hh_fech!P20=0,0,SER_hh_fech!P20/SER_summary!P$26)</f>
        <v>0</v>
      </c>
      <c r="Q20" s="132">
        <f>IF(SER_hh_fech!Q20=0,0,SER_hh_fech!Q20/SER_summary!Q$26)</f>
        <v>0</v>
      </c>
      <c r="R20" s="132">
        <f>IF(SER_hh_fech!R20=0,0,SER_hh_fech!R20/SER_summary!R$26)</f>
        <v>0</v>
      </c>
      <c r="S20" s="132">
        <f>IF(SER_hh_fech!S20=0,0,SER_hh_fech!S20/SER_summary!S$26)</f>
        <v>0</v>
      </c>
      <c r="T20" s="132">
        <f>IF(SER_hh_fech!T20=0,0,SER_hh_fech!T20/SER_summary!T$26)</f>
        <v>0</v>
      </c>
      <c r="U20" s="132">
        <f>IF(SER_hh_fech!U20=0,0,SER_hh_fech!U20/SER_summary!U$26)</f>
        <v>0</v>
      </c>
      <c r="V20" s="132">
        <f>IF(SER_hh_fech!V20=0,0,SER_hh_fech!V20/SER_summary!V$26)</f>
        <v>0</v>
      </c>
      <c r="W20" s="132">
        <f>IF(SER_hh_fech!W20=0,0,SER_hh_fech!W20/SER_summary!W$26)</f>
        <v>0</v>
      </c>
      <c r="X20" s="132">
        <f>IF(SER_hh_fech!X20=0,0,SER_hh_fech!X20/SER_summary!X$26)</f>
        <v>0</v>
      </c>
      <c r="Y20" s="132">
        <f>IF(SER_hh_fech!Y20=0,0,SER_hh_fech!Y20/SER_summary!Y$26)</f>
        <v>0</v>
      </c>
      <c r="DA20" s="156" t="s">
        <v>494</v>
      </c>
    </row>
    <row r="21" spans="1:105" s="2" customFormat="1" ht="12" customHeight="1" x14ac:dyDescent="0.25">
      <c r="A21" s="131" t="s">
        <v>52</v>
      </c>
      <c r="B21" s="132">
        <f>IF(SER_hh_fech!B21=0,0,SER_hh_fech!B21/SER_summary!B$26)</f>
        <v>36.988548288318668</v>
      </c>
      <c r="C21" s="132">
        <f>IF(SER_hh_fech!C21=0,0,SER_hh_fech!C21/SER_summary!C$26)</f>
        <v>37.693777488247981</v>
      </c>
      <c r="D21" s="132">
        <f>IF(SER_hh_fech!D21=0,0,SER_hh_fech!D21/SER_summary!D$26)</f>
        <v>37.500339098710953</v>
      </c>
      <c r="E21" s="132">
        <f>IF(SER_hh_fech!E21=0,0,SER_hh_fech!E21/SER_summary!E$26)</f>
        <v>36.562714725947409</v>
      </c>
      <c r="F21" s="132">
        <f>IF(SER_hh_fech!F21=0,0,SER_hh_fech!F21/SER_summary!F$26)</f>
        <v>37.22887341813464</v>
      </c>
      <c r="G21" s="132">
        <f>IF(SER_hh_fech!G21=0,0,SER_hh_fech!G21/SER_summary!G$26)</f>
        <v>37.816580551475873</v>
      </c>
      <c r="H21" s="132">
        <f>IF(SER_hh_fech!H21=0,0,SER_hh_fech!H21/SER_summary!H$26)</f>
        <v>38.378758596000168</v>
      </c>
      <c r="I21" s="132">
        <f>IF(SER_hh_fech!I21=0,0,SER_hh_fech!I21/SER_summary!I$26)</f>
        <v>36.859241777493594</v>
      </c>
      <c r="J21" s="132">
        <f>IF(SER_hh_fech!J21=0,0,SER_hh_fech!J21/SER_summary!J$26)</f>
        <v>38.032516404779393</v>
      </c>
      <c r="K21" s="132">
        <f>IF(SER_hh_fech!K21=0,0,SER_hh_fech!K21/SER_summary!K$26)</f>
        <v>36.733159847362515</v>
      </c>
      <c r="L21" s="132">
        <f>IF(SER_hh_fech!L21=0,0,SER_hh_fech!L21/SER_summary!L$26)</f>
        <v>37.063983012405792</v>
      </c>
      <c r="M21" s="132">
        <f>IF(SER_hh_fech!M21=0,0,SER_hh_fech!M21/SER_summary!M$26)</f>
        <v>38.499354992029176</v>
      </c>
      <c r="N21" s="132">
        <f>IF(SER_hh_fech!N21=0,0,SER_hh_fech!N21/SER_summary!N$26)</f>
        <v>35.540290547352996</v>
      </c>
      <c r="O21" s="132">
        <f>IF(SER_hh_fech!O21=0,0,SER_hh_fech!O21/SER_summary!O$26)</f>
        <v>37.809876405153709</v>
      </c>
      <c r="P21" s="132">
        <f>IF(SER_hh_fech!P21=0,0,SER_hh_fech!P21/SER_summary!P$26)</f>
        <v>35.073137307197094</v>
      </c>
      <c r="Q21" s="132">
        <f>IF(SER_hh_fech!Q21=0,0,SER_hh_fech!Q21/SER_summary!Q$26)</f>
        <v>34.28206670048656</v>
      </c>
      <c r="R21" s="132">
        <f>IF(SER_hh_fech!R21=0,0,SER_hh_fech!R21/SER_summary!R$26)</f>
        <v>38.611862740506133</v>
      </c>
      <c r="S21" s="132">
        <f>IF(SER_hh_fech!S21=0,0,SER_hh_fech!S21/SER_summary!S$26)</f>
        <v>37.688898733559618</v>
      </c>
      <c r="T21" s="132">
        <f>IF(SER_hh_fech!T21=0,0,SER_hh_fech!T21/SER_summary!T$26)</f>
        <v>34.418988833145626</v>
      </c>
      <c r="U21" s="132">
        <f>IF(SER_hh_fech!U21=0,0,SER_hh_fech!U21/SER_summary!U$26)</f>
        <v>34.076245989972847</v>
      </c>
      <c r="V21" s="132">
        <f>IF(SER_hh_fech!V21=0,0,SER_hh_fech!V21/SER_summary!V$26)</f>
        <v>29.79095807468725</v>
      </c>
      <c r="W21" s="132">
        <f>IF(SER_hh_fech!W21=0,0,SER_hh_fech!W21/SER_summary!W$26)</f>
        <v>32.525975310570438</v>
      </c>
      <c r="X21" s="132">
        <f>IF(SER_hh_fech!X21=0,0,SER_hh_fech!X21/SER_summary!X$26)</f>
        <v>33.130472025336402</v>
      </c>
      <c r="Y21" s="132">
        <f>IF(SER_hh_fech!Y21=0,0,SER_hh_fech!Y21/SER_summary!Y$26)</f>
        <v>33.443573880113071</v>
      </c>
      <c r="DA21" s="156" t="s">
        <v>495</v>
      </c>
    </row>
    <row r="22" spans="1:105" ht="12" customHeight="1" x14ac:dyDescent="0.25">
      <c r="A22" s="131" t="s">
        <v>161</v>
      </c>
      <c r="B22" s="132">
        <f>IF(SER_hh_fech!B22=0,0,SER_hh_fech!B22/SER_summary!B$26)</f>
        <v>40.036854215606617</v>
      </c>
      <c r="C22" s="132">
        <f>IF(SER_hh_fech!C22=0,0,SER_hh_fech!C22/SER_summary!C$26)</f>
        <v>40.07939431567479</v>
      </c>
      <c r="D22" s="132">
        <f>IF(SER_hh_fech!D22=0,0,SER_hh_fech!D22/SER_summary!D$26)</f>
        <v>38.9104612415681</v>
      </c>
      <c r="E22" s="132">
        <f>IF(SER_hh_fech!E22=0,0,SER_hh_fech!E22/SER_summary!E$26)</f>
        <v>39.859852127663835</v>
      </c>
      <c r="F22" s="132">
        <f>IF(SER_hh_fech!F22=0,0,SER_hh_fech!F22/SER_summary!F$26)</f>
        <v>39.144051151558585</v>
      </c>
      <c r="G22" s="132">
        <f>IF(SER_hh_fech!G22=0,0,SER_hh_fech!G22/SER_summary!G$26)</f>
        <v>39.134659028372944</v>
      </c>
      <c r="H22" s="132">
        <f>IF(SER_hh_fech!H22=0,0,SER_hh_fech!H22/SER_summary!H$26)</f>
        <v>40.381909210896588</v>
      </c>
      <c r="I22" s="132">
        <f>IF(SER_hh_fech!I22=0,0,SER_hh_fech!I22/SER_summary!I$26)</f>
        <v>40.354599011068622</v>
      </c>
      <c r="J22" s="132">
        <f>IF(SER_hh_fech!J22=0,0,SER_hh_fech!J22/SER_summary!J$26)</f>
        <v>41.464739805065406</v>
      </c>
      <c r="K22" s="132">
        <f>IF(SER_hh_fech!K22=0,0,SER_hh_fech!K22/SER_summary!K$26)</f>
        <v>38.82669662439163</v>
      </c>
      <c r="L22" s="132">
        <f>IF(SER_hh_fech!L22=0,0,SER_hh_fech!L22/SER_summary!L$26)</f>
        <v>37.613379142188307</v>
      </c>
      <c r="M22" s="132">
        <f>IF(SER_hh_fech!M22=0,0,SER_hh_fech!M22/SER_summary!M$26)</f>
        <v>38.593668732015061</v>
      </c>
      <c r="N22" s="132">
        <f>IF(SER_hh_fech!N22=0,0,SER_hh_fech!N22/SER_summary!N$26)</f>
        <v>38.020944745802908</v>
      </c>
      <c r="O22" s="132">
        <f>IF(SER_hh_fech!O22=0,0,SER_hh_fech!O22/SER_summary!O$26)</f>
        <v>38.823486571780897</v>
      </c>
      <c r="P22" s="132">
        <f>IF(SER_hh_fech!P22=0,0,SER_hh_fech!P22/SER_summary!P$26)</f>
        <v>38.805763742530793</v>
      </c>
      <c r="Q22" s="132">
        <f>IF(SER_hh_fech!Q22=0,0,SER_hh_fech!Q22/SER_summary!Q$26)</f>
        <v>38.752259421949965</v>
      </c>
      <c r="R22" s="132">
        <f>IF(SER_hh_fech!R22=0,0,SER_hh_fech!R22/SER_summary!R$26)</f>
        <v>38.396450866215716</v>
      </c>
      <c r="S22" s="132">
        <f>IF(SER_hh_fech!S22=0,0,SER_hh_fech!S22/SER_summary!S$26)</f>
        <v>39.554396306633372</v>
      </c>
      <c r="T22" s="132">
        <f>IF(SER_hh_fech!T22=0,0,SER_hh_fech!T22/SER_summary!T$26)</f>
        <v>40.209129954253285</v>
      </c>
      <c r="U22" s="132">
        <f>IF(SER_hh_fech!U22=0,0,SER_hh_fech!U22/SER_summary!U$26)</f>
        <v>37.541182459851719</v>
      </c>
      <c r="V22" s="132">
        <f>IF(SER_hh_fech!V22=0,0,SER_hh_fech!V22/SER_summary!V$26)</f>
        <v>32.29451051459565</v>
      </c>
      <c r="W22" s="132">
        <f>IF(SER_hh_fech!W22=0,0,SER_hh_fech!W22/SER_summary!W$26)</f>
        <v>36.655378461418302</v>
      </c>
      <c r="X22" s="132">
        <f>IF(SER_hh_fech!X22=0,0,SER_hh_fech!X22/SER_summary!X$26)</f>
        <v>38.593038608882665</v>
      </c>
      <c r="Y22" s="132">
        <f>IF(SER_hh_fech!Y22=0,0,SER_hh_fech!Y22/SER_summary!Y$26)</f>
        <v>37.334728577518931</v>
      </c>
      <c r="DA22" s="156" t="s">
        <v>496</v>
      </c>
    </row>
    <row r="23" spans="1:105" ht="12" customHeight="1" x14ac:dyDescent="0.25">
      <c r="A23" s="131" t="s">
        <v>149</v>
      </c>
      <c r="B23" s="132">
        <f>IF(SER_hh_fech!B23=0,0,SER_hh_fech!B23/SER_summary!B$26)</f>
        <v>37.967763190985558</v>
      </c>
      <c r="C23" s="132">
        <f>IF(SER_hh_fech!C23=0,0,SER_hh_fech!C23/SER_summary!C$26)</f>
        <v>38.415974676768371</v>
      </c>
      <c r="D23" s="132">
        <f>IF(SER_hh_fech!D23=0,0,SER_hh_fech!D23/SER_summary!D$26)</f>
        <v>38.527337826284018</v>
      </c>
      <c r="E23" s="132">
        <f>IF(SER_hh_fech!E23=0,0,SER_hh_fech!E23/SER_summary!E$26)</f>
        <v>38.074544799372376</v>
      </c>
      <c r="F23" s="132">
        <f>IF(SER_hh_fech!F23=0,0,SER_hh_fech!F23/SER_summary!F$26)</f>
        <v>37.663318404843153</v>
      </c>
      <c r="G23" s="132">
        <f>IF(SER_hh_fech!G23=0,0,SER_hh_fech!G23/SER_summary!G$26)</f>
        <v>37.64663796528459</v>
      </c>
      <c r="H23" s="132">
        <f>IF(SER_hh_fech!H23=0,0,SER_hh_fech!H23/SER_summary!H$26)</f>
        <v>37.201102992128092</v>
      </c>
      <c r="I23" s="132">
        <f>IF(SER_hh_fech!I23=0,0,SER_hh_fech!I23/SER_summary!I$26)</f>
        <v>36.870106738136165</v>
      </c>
      <c r="J23" s="132">
        <f>IF(SER_hh_fech!J23=0,0,SER_hh_fech!J23/SER_summary!J$26)</f>
        <v>36.682508697445286</v>
      </c>
      <c r="K23" s="132">
        <f>IF(SER_hh_fech!K23=0,0,SER_hh_fech!K23/SER_summary!K$26)</f>
        <v>36.258692297588766</v>
      </c>
      <c r="L23" s="132">
        <f>IF(SER_hh_fech!L23=0,0,SER_hh_fech!L23/SER_summary!L$26)</f>
        <v>35.428792336514348</v>
      </c>
      <c r="M23" s="132">
        <f>IF(SER_hh_fech!M23=0,0,SER_hh_fech!M23/SER_summary!M$26)</f>
        <v>35.35851069520897</v>
      </c>
      <c r="N23" s="132">
        <f>IF(SER_hh_fech!N23=0,0,SER_hh_fech!N23/SER_summary!N$26)</f>
        <v>35.06507727047336</v>
      </c>
      <c r="O23" s="132">
        <f>IF(SER_hh_fech!O23=0,0,SER_hh_fech!O23/SER_summary!O$26)</f>
        <v>34.999054858342717</v>
      </c>
      <c r="P23" s="132">
        <f>IF(SER_hh_fech!P23=0,0,SER_hh_fech!P23/SER_summary!P$26)</f>
        <v>35.097546347282723</v>
      </c>
      <c r="Q23" s="132">
        <f>IF(SER_hh_fech!Q23=0,0,SER_hh_fech!Q23/SER_summary!Q$26)</f>
        <v>34.904922255436752</v>
      </c>
      <c r="R23" s="132">
        <f>IF(SER_hh_fech!R23=0,0,SER_hh_fech!R23/SER_summary!R$26)</f>
        <v>34.200762207335536</v>
      </c>
      <c r="S23" s="132">
        <f>IF(SER_hh_fech!S23=0,0,SER_hh_fech!S23/SER_summary!S$26)</f>
        <v>34.224022345077287</v>
      </c>
      <c r="T23" s="132">
        <f>IF(SER_hh_fech!T23=0,0,SER_hh_fech!T23/SER_summary!T$26)</f>
        <v>35.568514251368157</v>
      </c>
      <c r="U23" s="132">
        <f>IF(SER_hh_fech!U23=0,0,SER_hh_fech!U23/SER_summary!U$26)</f>
        <v>30.398388033229086</v>
      </c>
      <c r="V23" s="132">
        <f>IF(SER_hh_fech!V23=0,0,SER_hh_fech!V23/SER_summary!V$26)</f>
        <v>28.794359444733292</v>
      </c>
      <c r="W23" s="132">
        <f>IF(SER_hh_fech!W23=0,0,SER_hh_fech!W23/SER_summary!W$26)</f>
        <v>32.840654383096812</v>
      </c>
      <c r="X23" s="132">
        <f>IF(SER_hh_fech!X23=0,0,SER_hh_fech!X23/SER_summary!X$26)</f>
        <v>32.767099538915453</v>
      </c>
      <c r="Y23" s="132">
        <f>IF(SER_hh_fech!Y23=0,0,SER_hh_fech!Y23/SER_summary!Y$26)</f>
        <v>32.748884082599986</v>
      </c>
      <c r="DA23" s="156" t="s">
        <v>497</v>
      </c>
    </row>
    <row r="24" spans="1:105" ht="12" customHeight="1" x14ac:dyDescent="0.25">
      <c r="A24" s="131" t="s">
        <v>128</v>
      </c>
      <c r="B24" s="132">
        <f>IF(SER_hh_fech!B24=0,0,SER_hh_fech!B24/SER_summary!B$26)</f>
        <v>0</v>
      </c>
      <c r="C24" s="132">
        <f>IF(SER_hh_fech!C24=0,0,SER_hh_fech!C24/SER_summary!C$26)</f>
        <v>0</v>
      </c>
      <c r="D24" s="132">
        <f>IF(SER_hh_fech!D24=0,0,SER_hh_fech!D24/SER_summary!D$26)</f>
        <v>0</v>
      </c>
      <c r="E24" s="132">
        <f>IF(SER_hh_fech!E24=0,0,SER_hh_fech!E24/SER_summary!E$26)</f>
        <v>0</v>
      </c>
      <c r="F24" s="132">
        <f>IF(SER_hh_fech!F24=0,0,SER_hh_fech!F24/SER_summary!F$26)</f>
        <v>0</v>
      </c>
      <c r="G24" s="132">
        <f>IF(SER_hh_fech!G24=0,0,SER_hh_fech!G24/SER_summary!G$26)</f>
        <v>0</v>
      </c>
      <c r="H24" s="132">
        <f>IF(SER_hh_fech!H24=0,0,SER_hh_fech!H24/SER_summary!H$26)</f>
        <v>0</v>
      </c>
      <c r="I24" s="132">
        <f>IF(SER_hh_fech!I24=0,0,SER_hh_fech!I24/SER_summary!I$26)</f>
        <v>0</v>
      </c>
      <c r="J24" s="132">
        <f>IF(SER_hh_fech!J24=0,0,SER_hh_fech!J24/SER_summary!J$26)</f>
        <v>0</v>
      </c>
      <c r="K24" s="132">
        <f>IF(SER_hh_fech!K24=0,0,SER_hh_fech!K24/SER_summary!K$26)</f>
        <v>0</v>
      </c>
      <c r="L24" s="132">
        <f>IF(SER_hh_fech!L24=0,0,SER_hh_fech!L24/SER_summary!L$26)</f>
        <v>0</v>
      </c>
      <c r="M24" s="132">
        <f>IF(SER_hh_fech!M24=0,0,SER_hh_fech!M24/SER_summary!M$26)</f>
        <v>0</v>
      </c>
      <c r="N24" s="132">
        <f>IF(SER_hh_fech!N24=0,0,SER_hh_fech!N24/SER_summary!N$26)</f>
        <v>0</v>
      </c>
      <c r="O24" s="132">
        <f>IF(SER_hh_fech!O24=0,0,SER_hh_fech!O24/SER_summary!O$26)</f>
        <v>0</v>
      </c>
      <c r="P24" s="132">
        <f>IF(SER_hh_fech!P24=0,0,SER_hh_fech!P24/SER_summary!P$26)</f>
        <v>0</v>
      </c>
      <c r="Q24" s="132">
        <f>IF(SER_hh_fech!Q24=0,0,SER_hh_fech!Q24/SER_summary!Q$26)</f>
        <v>0</v>
      </c>
      <c r="R24" s="132">
        <f>IF(SER_hh_fech!R24=0,0,SER_hh_fech!R24/SER_summary!R$26)</f>
        <v>0</v>
      </c>
      <c r="S24" s="132">
        <f>IF(SER_hh_fech!S24=0,0,SER_hh_fech!S24/SER_summary!S$26)</f>
        <v>0</v>
      </c>
      <c r="T24" s="132">
        <f>IF(SER_hh_fech!T24=0,0,SER_hh_fech!T24/SER_summary!T$26)</f>
        <v>0</v>
      </c>
      <c r="U24" s="132">
        <f>IF(SER_hh_fech!U24=0,0,SER_hh_fech!U24/SER_summary!U$26)</f>
        <v>0</v>
      </c>
      <c r="V24" s="132">
        <f>IF(SER_hh_fech!V24=0,0,SER_hh_fech!V24/SER_summary!V$26)</f>
        <v>0</v>
      </c>
      <c r="W24" s="132">
        <f>IF(SER_hh_fech!W24=0,0,SER_hh_fech!W24/SER_summary!W$26)</f>
        <v>0</v>
      </c>
      <c r="X24" s="132">
        <f>IF(SER_hh_fech!X24=0,0,SER_hh_fech!X24/SER_summary!X$26)</f>
        <v>0</v>
      </c>
      <c r="Y24" s="132">
        <f>IF(SER_hh_fech!Y24=0,0,SER_hh_fech!Y24/SER_summary!Y$26)</f>
        <v>0</v>
      </c>
      <c r="DA24" s="156" t="s">
        <v>498</v>
      </c>
    </row>
    <row r="25" spans="1:105" ht="12" customHeight="1" x14ac:dyDescent="0.25">
      <c r="A25" s="131" t="s">
        <v>162</v>
      </c>
      <c r="B25" s="132">
        <f>IF(SER_hh_fech!B25=0,0,SER_hh_fech!B25/SER_summary!B$26)</f>
        <v>0</v>
      </c>
      <c r="C25" s="132">
        <f>IF(SER_hh_fech!C25=0,0,SER_hh_fech!C25/SER_summary!C$26)</f>
        <v>0</v>
      </c>
      <c r="D25" s="132">
        <f>IF(SER_hh_fech!D25=0,0,SER_hh_fech!D25/SER_summary!D$26)</f>
        <v>0</v>
      </c>
      <c r="E25" s="132">
        <f>IF(SER_hh_fech!E25=0,0,SER_hh_fech!E25/SER_summary!E$26)</f>
        <v>0</v>
      </c>
      <c r="F25" s="132">
        <f>IF(SER_hh_fech!F25=0,0,SER_hh_fech!F25/SER_summary!F$26)</f>
        <v>36.592904523464327</v>
      </c>
      <c r="G25" s="132">
        <f>IF(SER_hh_fech!G25=0,0,SER_hh_fech!G25/SER_summary!G$26)</f>
        <v>28.944038858029529</v>
      </c>
      <c r="H25" s="132">
        <f>IF(SER_hh_fech!H25=0,0,SER_hh_fech!H25/SER_summary!H$26)</f>
        <v>25.855742155552967</v>
      </c>
      <c r="I25" s="132">
        <f>IF(SER_hh_fech!I25=0,0,SER_hh_fech!I25/SER_summary!I$26)</f>
        <v>25.355623610203896</v>
      </c>
      <c r="J25" s="132">
        <f>IF(SER_hh_fech!J25=0,0,SER_hh_fech!J25/SER_summary!J$26)</f>
        <v>24.510321494240117</v>
      </c>
      <c r="K25" s="132">
        <f>IF(SER_hh_fech!K25=0,0,SER_hh_fech!K25/SER_summary!K$26)</f>
        <v>26.489954619044067</v>
      </c>
      <c r="L25" s="132">
        <f>IF(SER_hh_fech!L25=0,0,SER_hh_fech!L25/SER_summary!L$26)</f>
        <v>25.169925362783069</v>
      </c>
      <c r="M25" s="132">
        <f>IF(SER_hh_fech!M25=0,0,SER_hh_fech!M25/SER_summary!M$26)</f>
        <v>24.919001392513533</v>
      </c>
      <c r="N25" s="132">
        <f>IF(SER_hh_fech!N25=0,0,SER_hh_fech!N25/SER_summary!N$26)</f>
        <v>25.054281243655101</v>
      </c>
      <c r="O25" s="132">
        <f>IF(SER_hh_fech!O25=0,0,SER_hh_fech!O25/SER_summary!O$26)</f>
        <v>27.940701244893503</v>
      </c>
      <c r="P25" s="132">
        <f>IF(SER_hh_fech!P25=0,0,SER_hh_fech!P25/SER_summary!P$26)</f>
        <v>28.277622335251845</v>
      </c>
      <c r="Q25" s="132">
        <f>IF(SER_hh_fech!Q25=0,0,SER_hh_fech!Q25/SER_summary!Q$26)</f>
        <v>26.775098184754945</v>
      </c>
      <c r="R25" s="132">
        <f>IF(SER_hh_fech!R25=0,0,SER_hh_fech!R25/SER_summary!R$26)</f>
        <v>27.885390629322558</v>
      </c>
      <c r="S25" s="132">
        <f>IF(SER_hh_fech!S25=0,0,SER_hh_fech!S25/SER_summary!S$26)</f>
        <v>27.363352079392829</v>
      </c>
      <c r="T25" s="132">
        <f>IF(SER_hh_fech!T25=0,0,SER_hh_fech!T25/SER_summary!T$26)</f>
        <v>27.520843057507786</v>
      </c>
      <c r="U25" s="132">
        <f>IF(SER_hh_fech!U25=0,0,SER_hh_fech!U25/SER_summary!U$26)</f>
        <v>26.70534993988997</v>
      </c>
      <c r="V25" s="132">
        <f>IF(SER_hh_fech!V25=0,0,SER_hh_fech!V25/SER_summary!V$26)</f>
        <v>25.429397147416534</v>
      </c>
      <c r="W25" s="132">
        <f>IF(SER_hh_fech!W25=0,0,SER_hh_fech!W25/SER_summary!W$26)</f>
        <v>23.685766822270715</v>
      </c>
      <c r="X25" s="132">
        <f>IF(SER_hh_fech!X25=0,0,SER_hh_fech!X25/SER_summary!X$26)</f>
        <v>28.596283200825045</v>
      </c>
      <c r="Y25" s="132">
        <f>IF(SER_hh_fech!Y25=0,0,SER_hh_fech!Y25/SER_summary!Y$26)</f>
        <v>27.725519096036066</v>
      </c>
      <c r="DA25" s="156" t="s">
        <v>499</v>
      </c>
    </row>
    <row r="26" spans="1:105" ht="12" customHeight="1" x14ac:dyDescent="0.25">
      <c r="A26" s="131" t="s">
        <v>24</v>
      </c>
      <c r="B26" s="65">
        <f>IF(SER_hh_fech!B26=0,0,SER_hh_fech!B26/SER_summary!B$26)</f>
        <v>30.362457407376525</v>
      </c>
      <c r="C26" s="65">
        <f>IF(SER_hh_fech!C26=0,0,SER_hh_fech!C26/SER_summary!C$26)</f>
        <v>30.922581493634752</v>
      </c>
      <c r="D26" s="65">
        <f>IF(SER_hh_fech!D26=0,0,SER_hh_fech!D26/SER_summary!D$26)</f>
        <v>31.395788577528556</v>
      </c>
      <c r="E26" s="65">
        <f>IF(SER_hh_fech!E26=0,0,SER_hh_fech!E26/SER_summary!E$26)</f>
        <v>30.667892322619789</v>
      </c>
      <c r="F26" s="65">
        <f>IF(SER_hh_fech!F26=0,0,SER_hh_fech!F26/SER_summary!F$26)</f>
        <v>31.597571208778852</v>
      </c>
      <c r="G26" s="65">
        <f>IF(SER_hh_fech!G26=0,0,SER_hh_fech!G26/SER_summary!G$26)</f>
        <v>30.4446346918775</v>
      </c>
      <c r="H26" s="65">
        <f>IF(SER_hh_fech!H26=0,0,SER_hh_fech!H26/SER_summary!H$26)</f>
        <v>30.26951039791447</v>
      </c>
      <c r="I26" s="65">
        <f>IF(SER_hh_fech!I26=0,0,SER_hh_fech!I26/SER_summary!I$26)</f>
        <v>31.203303961153988</v>
      </c>
      <c r="J26" s="65">
        <f>IF(SER_hh_fech!J26=0,0,SER_hh_fech!J26/SER_summary!J$26)</f>
        <v>30.448654770234089</v>
      </c>
      <c r="K26" s="65">
        <f>IF(SER_hh_fech!K26=0,0,SER_hh_fech!K26/SER_summary!K$26)</f>
        <v>29.984152964893305</v>
      </c>
      <c r="L26" s="65">
        <f>IF(SER_hh_fech!L26=0,0,SER_hh_fech!L26/SER_summary!L$26)</f>
        <v>29.909936097578772</v>
      </c>
      <c r="M26" s="65">
        <f>IF(SER_hh_fech!M26=0,0,SER_hh_fech!M26/SER_summary!M$26)</f>
        <v>30.120198120713077</v>
      </c>
      <c r="N26" s="65">
        <f>IF(SER_hh_fech!N26=0,0,SER_hh_fech!N26/SER_summary!N$26)</f>
        <v>28.962800911575481</v>
      </c>
      <c r="O26" s="65">
        <f>IF(SER_hh_fech!O26=0,0,SER_hh_fech!O26/SER_summary!O$26)</f>
        <v>30.103183921200948</v>
      </c>
      <c r="P26" s="65">
        <f>IF(SER_hh_fech!P26=0,0,SER_hh_fech!P26/SER_summary!P$26)</f>
        <v>30.385263791686302</v>
      </c>
      <c r="Q26" s="65">
        <f>IF(SER_hh_fech!Q26=0,0,SER_hh_fech!Q26/SER_summary!Q$26)</f>
        <v>30.216458103184255</v>
      </c>
      <c r="R26" s="65">
        <f>IF(SER_hh_fech!R26=0,0,SER_hh_fech!R26/SER_summary!R$26)</f>
        <v>31.177314332573427</v>
      </c>
      <c r="S26" s="65">
        <f>IF(SER_hh_fech!S26=0,0,SER_hh_fech!S26/SER_summary!S$26)</f>
        <v>29.206564570567323</v>
      </c>
      <c r="T26" s="65">
        <f>IF(SER_hh_fech!T26=0,0,SER_hh_fech!T26/SER_summary!T$26)</f>
        <v>26.825132025588687</v>
      </c>
      <c r="U26" s="65">
        <f>IF(SER_hh_fech!U26=0,0,SER_hh_fech!U26/SER_summary!U$26)</f>
        <v>27.254493833152974</v>
      </c>
      <c r="V26" s="65">
        <f>IF(SER_hh_fech!V26=0,0,SER_hh_fech!V26/SER_summary!V$26)</f>
        <v>22.89600404527102</v>
      </c>
      <c r="W26" s="65">
        <f>IF(SER_hh_fech!W26=0,0,SER_hh_fech!W26/SER_summary!W$26)</f>
        <v>27.758397308401456</v>
      </c>
      <c r="X26" s="65">
        <f>IF(SER_hh_fech!X26=0,0,SER_hh_fech!X26/SER_summary!X$26)</f>
        <v>28.113471105515799</v>
      </c>
      <c r="Y26" s="65">
        <f>IF(SER_hh_fech!Y26=0,0,SER_hh_fech!Y26/SER_summary!Y$26)</f>
        <v>27.762756245705344</v>
      </c>
      <c r="DA26" s="109" t="s">
        <v>500</v>
      </c>
    </row>
    <row r="27" spans="1:105" ht="12" customHeight="1" x14ac:dyDescent="0.25">
      <c r="A27" s="144" t="s">
        <v>86</v>
      </c>
      <c r="B27" s="145">
        <f>IF(SER_hh_fech!B27=0,0,SER_hh_fech!B27/SER_summary!B$26)</f>
        <v>5.2851169339678289E-2</v>
      </c>
      <c r="C27" s="145">
        <f>IF(SER_hh_fech!C27=0,0,SER_hh_fech!C27/SER_summary!C$26)</f>
        <v>5.79446666714485E-2</v>
      </c>
      <c r="D27" s="145">
        <f>IF(SER_hh_fech!D27=0,0,SER_hh_fech!D27/SER_summary!D$26)</f>
        <v>6.5500084265643285E-2</v>
      </c>
      <c r="E27" s="145">
        <f>IF(SER_hh_fech!E27=0,0,SER_hh_fech!E27/SER_summary!E$26)</f>
        <v>7.4799812536465213E-2</v>
      </c>
      <c r="F27" s="145">
        <f>IF(SER_hh_fech!F27=0,0,SER_hh_fech!F27/SER_summary!F$26)</f>
        <v>8.5258034895146897E-2</v>
      </c>
      <c r="G27" s="145">
        <f>IF(SER_hh_fech!G27=0,0,SER_hh_fech!G27/SER_summary!G$26)</f>
        <v>0.12545165662852417</v>
      </c>
      <c r="H27" s="145">
        <f>IF(SER_hh_fech!H27=0,0,SER_hh_fech!H27/SER_summary!H$26)</f>
        <v>0.15637310455832362</v>
      </c>
      <c r="I27" s="145">
        <f>IF(SER_hh_fech!I27=0,0,SER_hh_fech!I27/SER_summary!I$26)</f>
        <v>0.23025246296860946</v>
      </c>
      <c r="J27" s="145">
        <f>IF(SER_hh_fech!J27=0,0,SER_hh_fech!J27/SER_summary!J$26)</f>
        <v>0.29377007927432186</v>
      </c>
      <c r="K27" s="145">
        <f>IF(SER_hh_fech!K27=0,0,SER_hh_fech!K27/SER_summary!K$26)</f>
        <v>0.3730205165682306</v>
      </c>
      <c r="L27" s="145">
        <f>IF(SER_hh_fech!L27=0,0,SER_hh_fech!L27/SER_summary!L$26)</f>
        <v>0.55626394309129534</v>
      </c>
      <c r="M27" s="145">
        <f>IF(SER_hh_fech!M27=0,0,SER_hh_fech!M27/SER_summary!M$26)</f>
        <v>0.57741848874448198</v>
      </c>
      <c r="N27" s="145">
        <f>IF(SER_hh_fech!N27=0,0,SER_hh_fech!N27/SER_summary!N$26)</f>
        <v>0.63702676076801423</v>
      </c>
      <c r="O27" s="145">
        <f>IF(SER_hh_fech!O27=0,0,SER_hh_fech!O27/SER_summary!O$26)</f>
        <v>0.69165141821195619</v>
      </c>
      <c r="P27" s="145">
        <f>IF(SER_hh_fech!P27=0,0,SER_hh_fech!P27/SER_summary!P$26)</f>
        <v>0.72935432930925381</v>
      </c>
      <c r="Q27" s="145">
        <f>IF(SER_hh_fech!Q27=0,0,SER_hh_fech!Q27/SER_summary!Q$26)</f>
        <v>0.76949443172137322</v>
      </c>
      <c r="R27" s="145">
        <f>IF(SER_hh_fech!R27=0,0,SER_hh_fech!R27/SER_summary!R$26)</f>
        <v>0.81043952557967391</v>
      </c>
      <c r="S27" s="145">
        <f>IF(SER_hh_fech!S27=0,0,SER_hh_fech!S27/SER_summary!S$26)</f>
        <v>0.84150663666111991</v>
      </c>
      <c r="T27" s="145">
        <f>IF(SER_hh_fech!T27=0,0,SER_hh_fech!T27/SER_summary!T$26)</f>
        <v>0.87754546925551247</v>
      </c>
      <c r="U27" s="145">
        <f>IF(SER_hh_fech!U27=0,0,SER_hh_fech!U27/SER_summary!U$26)</f>
        <v>0.91349827547714602</v>
      </c>
      <c r="V27" s="145">
        <f>IF(SER_hh_fech!V27=0,0,SER_hh_fech!V27/SER_summary!V$26)</f>
        <v>0.86535002795387284</v>
      </c>
      <c r="W27" s="145">
        <f>IF(SER_hh_fech!W27=0,0,SER_hh_fech!W27/SER_summary!W$26)</f>
        <v>0.88751773709214032</v>
      </c>
      <c r="X27" s="145">
        <f>IF(SER_hh_fech!X27=0,0,SER_hh_fech!X27/SER_summary!X$26)</f>
        <v>0.89141030586295211</v>
      </c>
      <c r="Y27" s="145">
        <f>IF(SER_hh_fech!Y27=0,0,SER_hh_fech!Y27/SER_summary!Y$26)</f>
        <v>0.88633973963941182</v>
      </c>
      <c r="DA27" s="158" t="s">
        <v>501</v>
      </c>
    </row>
    <row r="28" spans="1:105" ht="12" customHeight="1" x14ac:dyDescent="0.25">
      <c r="A28" s="78" t="s">
        <v>85</v>
      </c>
      <c r="B28" s="146">
        <f>IF(SER_hh_fech!B28=0,0,SER_hh_fech!B28/SER_summary!B$26)</f>
        <v>16.729181039114053</v>
      </c>
      <c r="C28" s="146">
        <f>IF(SER_hh_fech!C28=0,0,SER_hh_fech!C28/SER_summary!C$26)</f>
        <v>17.564452189591361</v>
      </c>
      <c r="D28" s="146">
        <f>IF(SER_hh_fech!D28=0,0,SER_hh_fech!D28/SER_summary!D$26)</f>
        <v>17.215584102102273</v>
      </c>
      <c r="E28" s="146">
        <f>IF(SER_hh_fech!E28=0,0,SER_hh_fech!E28/SER_summary!E$26)</f>
        <v>17.67376408045903</v>
      </c>
      <c r="F28" s="146">
        <f>IF(SER_hh_fech!F28=0,0,SER_hh_fech!F28/SER_summary!F$26)</f>
        <v>17.228851469085573</v>
      </c>
      <c r="G28" s="146">
        <f>IF(SER_hh_fech!G28=0,0,SER_hh_fech!G28/SER_summary!G$26)</f>
        <v>17.693043025338337</v>
      </c>
      <c r="H28" s="146">
        <f>IF(SER_hh_fech!H28=0,0,SER_hh_fech!H28/SER_summary!H$26)</f>
        <v>17.80060392797045</v>
      </c>
      <c r="I28" s="146">
        <f>IF(SER_hh_fech!I28=0,0,SER_hh_fech!I28/SER_summary!I$26)</f>
        <v>18.431500754390036</v>
      </c>
      <c r="J28" s="146">
        <f>IF(SER_hh_fech!J28=0,0,SER_hh_fech!J28/SER_summary!J$26)</f>
        <v>17.537244375592014</v>
      </c>
      <c r="K28" s="146">
        <f>IF(SER_hh_fech!K28=0,0,SER_hh_fech!K28/SER_summary!K$26)</f>
        <v>18.312925174278366</v>
      </c>
      <c r="L28" s="146">
        <f>IF(SER_hh_fech!L28=0,0,SER_hh_fech!L28/SER_summary!L$26)</f>
        <v>18.578569179997352</v>
      </c>
      <c r="M28" s="146">
        <f>IF(SER_hh_fech!M28=0,0,SER_hh_fech!M28/SER_summary!M$26)</f>
        <v>18.116578624511909</v>
      </c>
      <c r="N28" s="146">
        <f>IF(SER_hh_fech!N28=0,0,SER_hh_fech!N28/SER_summary!N$26)</f>
        <v>18.992166967824755</v>
      </c>
      <c r="O28" s="146">
        <f>IF(SER_hh_fech!O28=0,0,SER_hh_fech!O28/SER_summary!O$26)</f>
        <v>19.908519963652257</v>
      </c>
      <c r="P28" s="146">
        <f>IF(SER_hh_fech!P28=0,0,SER_hh_fech!P28/SER_summary!P$26)</f>
        <v>18.251726434387063</v>
      </c>
      <c r="Q28" s="146">
        <f>IF(SER_hh_fech!Q28=0,0,SER_hh_fech!Q28/SER_summary!Q$26)</f>
        <v>19.985154380155276</v>
      </c>
      <c r="R28" s="146">
        <f>IF(SER_hh_fech!R28=0,0,SER_hh_fech!R28/SER_summary!R$26)</f>
        <v>20.621367974365757</v>
      </c>
      <c r="S28" s="146">
        <f>IF(SER_hh_fech!S28=0,0,SER_hh_fech!S28/SER_summary!S$26)</f>
        <v>20.05542590162019</v>
      </c>
      <c r="T28" s="146">
        <f>IF(SER_hh_fech!T28=0,0,SER_hh_fech!T28/SER_summary!T$26)</f>
        <v>20.277337213058448</v>
      </c>
      <c r="U28" s="146">
        <f>IF(SER_hh_fech!U28=0,0,SER_hh_fech!U28/SER_summary!U$26)</f>
        <v>18.818168035926952</v>
      </c>
      <c r="V28" s="146">
        <f>IF(SER_hh_fech!V28=0,0,SER_hh_fech!V28/SER_summary!V$26)</f>
        <v>16.746368239682123</v>
      </c>
      <c r="W28" s="146">
        <f>IF(SER_hh_fech!W28=0,0,SER_hh_fech!W28/SER_summary!W$26)</f>
        <v>18.983249330600252</v>
      </c>
      <c r="X28" s="146">
        <f>IF(SER_hh_fech!X28=0,0,SER_hh_fech!X28/SER_summary!X$26)</f>
        <v>24.18735843203519</v>
      </c>
      <c r="Y28" s="146">
        <f>IF(SER_hh_fech!Y28=0,0,SER_hh_fech!Y28/SER_summary!Y$26)</f>
        <v>20.378367020184335</v>
      </c>
      <c r="DA28" s="159"/>
    </row>
    <row r="29" spans="1:105" ht="12.95" customHeight="1" x14ac:dyDescent="0.25">
      <c r="A29" s="129" t="s">
        <v>34</v>
      </c>
      <c r="B29" s="130">
        <f>IF(SER_hh_fech!B29=0,0,SER_hh_fech!B29/SER_summary!B$26)</f>
        <v>34.31507726555494</v>
      </c>
      <c r="C29" s="130">
        <f>IF(SER_hh_fech!C29=0,0,SER_hh_fech!C29/SER_summary!C$26)</f>
        <v>33.808171198385907</v>
      </c>
      <c r="D29" s="130">
        <f>IF(SER_hh_fech!D29=0,0,SER_hh_fech!D29/SER_summary!D$26)</f>
        <v>33.41793771104625</v>
      </c>
      <c r="E29" s="130">
        <f>IF(SER_hh_fech!E29=0,0,SER_hh_fech!E29/SER_summary!E$26)</f>
        <v>32.3133536162673</v>
      </c>
      <c r="F29" s="130">
        <f>IF(SER_hh_fech!F29=0,0,SER_hh_fech!F29/SER_summary!F$26)</f>
        <v>32.646616440116368</v>
      </c>
      <c r="G29" s="130">
        <f>IF(SER_hh_fech!G29=0,0,SER_hh_fech!G29/SER_summary!G$26)</f>
        <v>34.017030863297393</v>
      </c>
      <c r="H29" s="130">
        <f>IF(SER_hh_fech!H29=0,0,SER_hh_fech!H29/SER_summary!H$26)</f>
        <v>33.219549581391661</v>
      </c>
      <c r="I29" s="130">
        <f>IF(SER_hh_fech!I29=0,0,SER_hh_fech!I29/SER_summary!I$26)</f>
        <v>34.000956909194407</v>
      </c>
      <c r="J29" s="130">
        <f>IF(SER_hh_fech!J29=0,0,SER_hh_fech!J29/SER_summary!J$26)</f>
        <v>34.188811755322135</v>
      </c>
      <c r="K29" s="130">
        <f>IF(SER_hh_fech!K29=0,0,SER_hh_fech!K29/SER_summary!K$26)</f>
        <v>35.19133450956361</v>
      </c>
      <c r="L29" s="130">
        <f>IF(SER_hh_fech!L29=0,0,SER_hh_fech!L29/SER_summary!L$26)</f>
        <v>35.339397674282651</v>
      </c>
      <c r="M29" s="130">
        <f>IF(SER_hh_fech!M29=0,0,SER_hh_fech!M29/SER_summary!M$26)</f>
        <v>35.538544196472571</v>
      </c>
      <c r="N29" s="130">
        <f>IF(SER_hh_fech!N29=0,0,SER_hh_fech!N29/SER_summary!N$26)</f>
        <v>35.721964456298615</v>
      </c>
      <c r="O29" s="130">
        <f>IF(SER_hh_fech!O29=0,0,SER_hh_fech!O29/SER_summary!O$26)</f>
        <v>36.356147573064142</v>
      </c>
      <c r="P29" s="130">
        <f>IF(SER_hh_fech!P29=0,0,SER_hh_fech!P29/SER_summary!P$26)</f>
        <v>37.162035628598716</v>
      </c>
      <c r="Q29" s="130">
        <f>IF(SER_hh_fech!Q29=0,0,SER_hh_fech!Q29/SER_summary!Q$26)</f>
        <v>37.424965983474848</v>
      </c>
      <c r="R29" s="130">
        <f>IF(SER_hh_fech!R29=0,0,SER_hh_fech!R29/SER_summary!R$26)</f>
        <v>37.762106369147496</v>
      </c>
      <c r="S29" s="130">
        <f>IF(SER_hh_fech!S29=0,0,SER_hh_fech!S29/SER_summary!S$26)</f>
        <v>37.593725799201451</v>
      </c>
      <c r="T29" s="130">
        <f>IF(SER_hh_fech!T29=0,0,SER_hh_fech!T29/SER_summary!T$26)</f>
        <v>37.147611445994805</v>
      </c>
      <c r="U29" s="130">
        <f>IF(SER_hh_fech!U29=0,0,SER_hh_fech!U29/SER_summary!U$26)</f>
        <v>37.051207693871227</v>
      </c>
      <c r="V29" s="130">
        <f>IF(SER_hh_fech!V29=0,0,SER_hh_fech!V29/SER_summary!V$26)</f>
        <v>33.205695162807551</v>
      </c>
      <c r="W29" s="130">
        <f>IF(SER_hh_fech!W29=0,0,SER_hh_fech!W29/SER_summary!W$26)</f>
        <v>37.190083629157563</v>
      </c>
      <c r="X29" s="130">
        <f>IF(SER_hh_fech!X29=0,0,SER_hh_fech!X29/SER_summary!X$26)</f>
        <v>37.506642128082241</v>
      </c>
      <c r="Y29" s="130">
        <f>IF(SER_hh_fech!Y29=0,0,SER_hh_fech!Y29/SER_summary!Y$26)</f>
        <v>37.821712874258807</v>
      </c>
      <c r="DA29" s="155" t="s">
        <v>502</v>
      </c>
    </row>
    <row r="30" spans="1:105" ht="12" customHeight="1" x14ac:dyDescent="0.25">
      <c r="A30" s="131" t="s">
        <v>52</v>
      </c>
      <c r="B30" s="132">
        <f>IF(SER_hh_fech!B30=0,0,SER_hh_fech!B30/SER_summary!B$26)</f>
        <v>36.641101203857119</v>
      </c>
      <c r="C30" s="132">
        <f>IF(SER_hh_fech!C30=0,0,SER_hh_fech!C30/SER_summary!C$26)</f>
        <v>35.191570896373811</v>
      </c>
      <c r="D30" s="132">
        <f>IF(SER_hh_fech!D30=0,0,SER_hh_fech!D30/SER_summary!D$26)</f>
        <v>36.308944895020907</v>
      </c>
      <c r="E30" s="132">
        <f>IF(SER_hh_fech!E30=0,0,SER_hh_fech!E30/SER_summary!E$26)</f>
        <v>37.003011722849784</v>
      </c>
      <c r="F30" s="132">
        <f>IF(SER_hh_fech!F30=0,0,SER_hh_fech!F30/SER_summary!F$26)</f>
        <v>37.606968067304592</v>
      </c>
      <c r="G30" s="132">
        <f>IF(SER_hh_fech!G30=0,0,SER_hh_fech!G30/SER_summary!G$26)</f>
        <v>38.052455119307645</v>
      </c>
      <c r="H30" s="132">
        <f>IF(SER_hh_fech!H30=0,0,SER_hh_fech!H30/SER_summary!H$26)</f>
        <v>36.838499241163504</v>
      </c>
      <c r="I30" s="132">
        <f>IF(SER_hh_fech!I30=0,0,SER_hh_fech!I30/SER_summary!I$26)</f>
        <v>41.369660543705692</v>
      </c>
      <c r="J30" s="132">
        <f>IF(SER_hh_fech!J30=0,0,SER_hh_fech!J30/SER_summary!J$26)</f>
        <v>31.220245333393557</v>
      </c>
      <c r="K30" s="132">
        <f>IF(SER_hh_fech!K30=0,0,SER_hh_fech!K30/SER_summary!K$26)</f>
        <v>40.85428311189338</v>
      </c>
      <c r="L30" s="132">
        <f>IF(SER_hh_fech!L30=0,0,SER_hh_fech!L30/SER_summary!L$26)</f>
        <v>41.083022146699363</v>
      </c>
      <c r="M30" s="132">
        <f>IF(SER_hh_fech!M30=0,0,SER_hh_fech!M30/SER_summary!M$26)</f>
        <v>41.781855183748739</v>
      </c>
      <c r="N30" s="132">
        <f>IF(SER_hh_fech!N30=0,0,SER_hh_fech!N30/SER_summary!N$26)</f>
        <v>36.73259934050688</v>
      </c>
      <c r="O30" s="132">
        <f>IF(SER_hh_fech!O30=0,0,SER_hh_fech!O30/SER_summary!O$26)</f>
        <v>39.243175797412484</v>
      </c>
      <c r="P30" s="132">
        <f>IF(SER_hh_fech!P30=0,0,SER_hh_fech!P30/SER_summary!P$26)</f>
        <v>43.132749809965112</v>
      </c>
      <c r="Q30" s="132">
        <f>IF(SER_hh_fech!Q30=0,0,SER_hh_fech!Q30/SER_summary!Q$26)</f>
        <v>41.615696164558969</v>
      </c>
      <c r="R30" s="132">
        <f>IF(SER_hh_fech!R30=0,0,SER_hh_fech!R30/SER_summary!R$26)</f>
        <v>41.44981820611018</v>
      </c>
      <c r="S30" s="132">
        <f>IF(SER_hh_fech!S30=0,0,SER_hh_fech!S30/SER_summary!S$26)</f>
        <v>42.052666341801718</v>
      </c>
      <c r="T30" s="132">
        <f>IF(SER_hh_fech!T30=0,0,SER_hh_fech!T30/SER_summary!T$26)</f>
        <v>41.229099597034867</v>
      </c>
      <c r="U30" s="132">
        <f>IF(SER_hh_fech!U30=0,0,SER_hh_fech!U30/SER_summary!U$26)</f>
        <v>39.437538496583137</v>
      </c>
      <c r="V30" s="132">
        <f>IF(SER_hh_fech!V30=0,0,SER_hh_fech!V30/SER_summary!V$26)</f>
        <v>40.571929316670982</v>
      </c>
      <c r="W30" s="132">
        <f>IF(SER_hh_fech!W30=0,0,SER_hh_fech!W30/SER_summary!W$26)</f>
        <v>41.642075232060826</v>
      </c>
      <c r="X30" s="132">
        <f>IF(SER_hh_fech!X30=0,0,SER_hh_fech!X30/SER_summary!X$26)</f>
        <v>43.210741483532068</v>
      </c>
      <c r="Y30" s="132">
        <f>IF(SER_hh_fech!Y30=0,0,SER_hh_fech!Y30/SER_summary!Y$26)</f>
        <v>43.63182135842284</v>
      </c>
      <c r="DA30" s="156" t="s">
        <v>503</v>
      </c>
    </row>
    <row r="31" spans="1:105" ht="12" customHeight="1" x14ac:dyDescent="0.25">
      <c r="A31" s="131" t="s">
        <v>149</v>
      </c>
      <c r="B31" s="132">
        <f>IF(SER_hh_fech!B31=0,0,SER_hh_fech!B31/SER_summary!B$26)</f>
        <v>35.152076727348906</v>
      </c>
      <c r="C31" s="132">
        <f>IF(SER_hh_fech!C31=0,0,SER_hh_fech!C31/SER_summary!C$26)</f>
        <v>35.662064872127374</v>
      </c>
      <c r="D31" s="132">
        <f>IF(SER_hh_fech!D31=0,0,SER_hh_fech!D31/SER_summary!D$26)</f>
        <v>36.314164164720509</v>
      </c>
      <c r="E31" s="132">
        <f>IF(SER_hh_fech!E31=0,0,SER_hh_fech!E31/SER_summary!E$26)</f>
        <v>33.141377702928907</v>
      </c>
      <c r="F31" s="132">
        <f>IF(SER_hh_fech!F31=0,0,SER_hh_fech!F31/SER_summary!F$26)</f>
        <v>33.790091232902512</v>
      </c>
      <c r="G31" s="132">
        <f>IF(SER_hh_fech!G31=0,0,SER_hh_fech!G31/SER_summary!G$26)</f>
        <v>38.633150862639461</v>
      </c>
      <c r="H31" s="132">
        <f>IF(SER_hh_fech!H31=0,0,SER_hh_fech!H31/SER_summary!H$26)</f>
        <v>35.532509268092106</v>
      </c>
      <c r="I31" s="132">
        <f>IF(SER_hh_fech!I31=0,0,SER_hh_fech!I31/SER_summary!I$26)</f>
        <v>38.403770752047123</v>
      </c>
      <c r="J31" s="132">
        <f>IF(SER_hh_fech!J31=0,0,SER_hh_fech!J31/SER_summary!J$26)</f>
        <v>37.646445268451075</v>
      </c>
      <c r="K31" s="132">
        <f>IF(SER_hh_fech!K31=0,0,SER_hh_fech!K31/SER_summary!K$26)</f>
        <v>39.291109633577506</v>
      </c>
      <c r="L31" s="132">
        <f>IF(SER_hh_fech!L31=0,0,SER_hh_fech!L31/SER_summary!L$26)</f>
        <v>39.049056106545471</v>
      </c>
      <c r="M31" s="132">
        <f>IF(SER_hh_fech!M31=0,0,SER_hh_fech!M31/SER_summary!M$26)</f>
        <v>38.903226602592319</v>
      </c>
      <c r="N31" s="132">
        <f>IF(SER_hh_fech!N31=0,0,SER_hh_fech!N31/SER_summary!N$26)</f>
        <v>39.159064619501905</v>
      </c>
      <c r="O31" s="132">
        <f>IF(SER_hh_fech!O31=0,0,SER_hh_fech!O31/SER_summary!O$26)</f>
        <v>39.355010059761284</v>
      </c>
      <c r="P31" s="132">
        <f>IF(SER_hh_fech!P31=0,0,SER_hh_fech!P31/SER_summary!P$26)</f>
        <v>40.99735894406178</v>
      </c>
      <c r="Q31" s="132">
        <f>IF(SER_hh_fech!Q31=0,0,SER_hh_fech!Q31/SER_summary!Q$26)</f>
        <v>40.58453945089903</v>
      </c>
      <c r="R31" s="132">
        <f>IF(SER_hh_fech!R31=0,0,SER_hh_fech!R31/SER_summary!R$26)</f>
        <v>41.548557926517965</v>
      </c>
      <c r="S31" s="132">
        <f>IF(SER_hh_fech!S31=0,0,SER_hh_fech!S31/SER_summary!S$26)</f>
        <v>41.242741706461906</v>
      </c>
      <c r="T31" s="132">
        <f>IF(SER_hh_fech!T31=0,0,SER_hh_fech!T31/SER_summary!T$26)</f>
        <v>37.9681431850141</v>
      </c>
      <c r="U31" s="132">
        <f>IF(SER_hh_fech!U31=0,0,SER_hh_fech!U31/SER_summary!U$26)</f>
        <v>41.70440200216656</v>
      </c>
      <c r="V31" s="132">
        <f>IF(SER_hh_fech!V31=0,0,SER_hh_fech!V31/SER_summary!V$26)</f>
        <v>38.184749803957764</v>
      </c>
      <c r="W31" s="132">
        <f>IF(SER_hh_fech!W31=0,0,SER_hh_fech!W31/SER_summary!W$26)</f>
        <v>38.156648656238055</v>
      </c>
      <c r="X31" s="132">
        <f>IF(SER_hh_fech!X31=0,0,SER_hh_fech!X31/SER_summary!X$26)</f>
        <v>41.623153725571363</v>
      </c>
      <c r="Y31" s="132">
        <f>IF(SER_hh_fech!Y31=0,0,SER_hh_fech!Y31/SER_summary!Y$26)</f>
        <v>42.79300780129271</v>
      </c>
      <c r="DA31" s="156" t="s">
        <v>504</v>
      </c>
    </row>
    <row r="32" spans="1:105" ht="12" customHeight="1" x14ac:dyDescent="0.25">
      <c r="A32" s="131" t="s">
        <v>128</v>
      </c>
      <c r="B32" s="132">
        <f>IF(SER_hh_fech!B32=0,0,SER_hh_fech!B32/SER_summary!B$26)</f>
        <v>0</v>
      </c>
      <c r="C32" s="132">
        <f>IF(SER_hh_fech!C32=0,0,SER_hh_fech!C32/SER_summary!C$26)</f>
        <v>0</v>
      </c>
      <c r="D32" s="132">
        <f>IF(SER_hh_fech!D32=0,0,SER_hh_fech!D32/SER_summary!D$26)</f>
        <v>0</v>
      </c>
      <c r="E32" s="132">
        <f>IF(SER_hh_fech!E32=0,0,SER_hh_fech!E32/SER_summary!E$26)</f>
        <v>0</v>
      </c>
      <c r="F32" s="132">
        <f>IF(SER_hh_fech!F32=0,0,SER_hh_fech!F32/SER_summary!F$26)</f>
        <v>0</v>
      </c>
      <c r="G32" s="132">
        <f>IF(SER_hh_fech!G32=0,0,SER_hh_fech!G32/SER_summary!G$26)</f>
        <v>0</v>
      </c>
      <c r="H32" s="132">
        <f>IF(SER_hh_fech!H32=0,0,SER_hh_fech!H32/SER_summary!H$26)</f>
        <v>0</v>
      </c>
      <c r="I32" s="132">
        <f>IF(SER_hh_fech!I32=0,0,SER_hh_fech!I32/SER_summary!I$26)</f>
        <v>0</v>
      </c>
      <c r="J32" s="132">
        <f>IF(SER_hh_fech!J32=0,0,SER_hh_fech!J32/SER_summary!J$26)</f>
        <v>0</v>
      </c>
      <c r="K32" s="132">
        <f>IF(SER_hh_fech!K32=0,0,SER_hh_fech!K32/SER_summary!K$26)</f>
        <v>0</v>
      </c>
      <c r="L32" s="132">
        <f>IF(SER_hh_fech!L32=0,0,SER_hh_fech!L32/SER_summary!L$26)</f>
        <v>0</v>
      </c>
      <c r="M32" s="132">
        <f>IF(SER_hh_fech!M32=0,0,SER_hh_fech!M32/SER_summary!M$26)</f>
        <v>0</v>
      </c>
      <c r="N32" s="132">
        <f>IF(SER_hh_fech!N32=0,0,SER_hh_fech!N32/SER_summary!N$26)</f>
        <v>0</v>
      </c>
      <c r="O32" s="132">
        <f>IF(SER_hh_fech!O32=0,0,SER_hh_fech!O32/SER_summary!O$26)</f>
        <v>0</v>
      </c>
      <c r="P32" s="132">
        <f>IF(SER_hh_fech!P32=0,0,SER_hh_fech!P32/SER_summary!P$26)</f>
        <v>0</v>
      </c>
      <c r="Q32" s="132">
        <f>IF(SER_hh_fech!Q32=0,0,SER_hh_fech!Q32/SER_summary!Q$26)</f>
        <v>0</v>
      </c>
      <c r="R32" s="132">
        <f>IF(SER_hh_fech!R32=0,0,SER_hh_fech!R32/SER_summary!R$26)</f>
        <v>0</v>
      </c>
      <c r="S32" s="132">
        <f>IF(SER_hh_fech!S32=0,0,SER_hh_fech!S32/SER_summary!S$26)</f>
        <v>0</v>
      </c>
      <c r="T32" s="132">
        <f>IF(SER_hh_fech!T32=0,0,SER_hh_fech!T32/SER_summary!T$26)</f>
        <v>0</v>
      </c>
      <c r="U32" s="132">
        <f>IF(SER_hh_fech!U32=0,0,SER_hh_fech!U32/SER_summary!U$26)</f>
        <v>0</v>
      </c>
      <c r="V32" s="132">
        <f>IF(SER_hh_fech!V32=0,0,SER_hh_fech!V32/SER_summary!V$26)</f>
        <v>0</v>
      </c>
      <c r="W32" s="132">
        <f>IF(SER_hh_fech!W32=0,0,SER_hh_fech!W32/SER_summary!W$26)</f>
        <v>0</v>
      </c>
      <c r="X32" s="132">
        <f>IF(SER_hh_fech!X32=0,0,SER_hh_fech!X32/SER_summary!X$26)</f>
        <v>0</v>
      </c>
      <c r="Y32" s="132">
        <f>IF(SER_hh_fech!Y32=0,0,SER_hh_fech!Y32/SER_summary!Y$26)</f>
        <v>0</v>
      </c>
      <c r="DA32" s="156" t="s">
        <v>505</v>
      </c>
    </row>
    <row r="33" spans="1:105" ht="12" customHeight="1" x14ac:dyDescent="0.25">
      <c r="A33" s="62" t="s">
        <v>24</v>
      </c>
      <c r="B33" s="68">
        <f>IF(SER_hh_fech!B33=0,0,SER_hh_fech!B33/SER_summary!B$26)</f>
        <v>26.238564885246024</v>
      </c>
      <c r="C33" s="68">
        <f>IF(SER_hh_fech!C33=0,0,SER_hh_fech!C33/SER_summary!C$26)</f>
        <v>24.837814403240746</v>
      </c>
      <c r="D33" s="68">
        <f>IF(SER_hh_fech!D33=0,0,SER_hh_fech!D33/SER_summary!D$26)</f>
        <v>24.56775187347078</v>
      </c>
      <c r="E33" s="68">
        <f>IF(SER_hh_fech!E33=0,0,SER_hh_fech!E33/SER_summary!E$26)</f>
        <v>28.763127591391463</v>
      </c>
      <c r="F33" s="68">
        <f>IF(SER_hh_fech!F33=0,0,SER_hh_fech!F33/SER_summary!F$26)</f>
        <v>29.422006182946927</v>
      </c>
      <c r="G33" s="68">
        <f>IF(SER_hh_fech!G33=0,0,SER_hh_fech!G33/SER_summary!G$26)</f>
        <v>27.728237813208978</v>
      </c>
      <c r="H33" s="68">
        <f>IF(SER_hh_fech!H33=0,0,SER_hh_fech!H33/SER_summary!H$26)</f>
        <v>29.824839703703727</v>
      </c>
      <c r="I33" s="68">
        <f>IF(SER_hh_fech!I33=0,0,SER_hh_fech!I33/SER_summary!I$26)</f>
        <v>27.236193710816419</v>
      </c>
      <c r="J33" s="68">
        <f>IF(SER_hh_fech!J33=0,0,SER_hh_fech!J33/SER_summary!J$26)</f>
        <v>31.030937493731891</v>
      </c>
      <c r="K33" s="68">
        <f>IF(SER_hh_fech!K33=0,0,SER_hh_fech!K33/SER_summary!K$26)</f>
        <v>28.977914065657586</v>
      </c>
      <c r="L33" s="68">
        <f>IF(SER_hh_fech!L33=0,0,SER_hh_fech!L33/SER_summary!L$26)</f>
        <v>29.321320286996965</v>
      </c>
      <c r="M33" s="68">
        <f>IF(SER_hh_fech!M33=0,0,SER_hh_fech!M33/SER_summary!M$26)</f>
        <v>29.476549897774579</v>
      </c>
      <c r="N33" s="68">
        <f>IF(SER_hh_fech!N33=0,0,SER_hh_fech!N33/SER_summary!N$26)</f>
        <v>30.588818168558525</v>
      </c>
      <c r="O33" s="68">
        <f>IF(SER_hh_fech!O33=0,0,SER_hh_fech!O33/SER_summary!O$26)</f>
        <v>30.964138434035025</v>
      </c>
      <c r="P33" s="68">
        <f>IF(SER_hh_fech!P33=0,0,SER_hh_fech!P33/SER_summary!P$26)</f>
        <v>28.494588650652993</v>
      </c>
      <c r="Q33" s="68">
        <f>IF(SER_hh_fech!Q33=0,0,SER_hh_fech!Q33/SER_summary!Q$26)</f>
        <v>30.013280626455145</v>
      </c>
      <c r="R33" s="68">
        <f>IF(SER_hh_fech!R33=0,0,SER_hh_fech!R33/SER_summary!R$26)</f>
        <v>29.198363843100058</v>
      </c>
      <c r="S33" s="68">
        <f>IF(SER_hh_fech!S33=0,0,SER_hh_fech!S33/SER_summary!S$26)</f>
        <v>29.164878539153673</v>
      </c>
      <c r="T33" s="68">
        <f>IF(SER_hh_fech!T33=0,0,SER_hh_fech!T33/SER_summary!T$26)</f>
        <v>34.121101209606564</v>
      </c>
      <c r="U33" s="68">
        <f>IF(SER_hh_fech!U33=0,0,SER_hh_fech!U33/SER_summary!U$26)</f>
        <v>27.690409750209984</v>
      </c>
      <c r="V33" s="68">
        <f>IF(SER_hh_fech!V33=0,0,SER_hh_fech!V33/SER_summary!V$26)</f>
        <v>22.058048316615782</v>
      </c>
      <c r="W33" s="68">
        <f>IF(SER_hh_fech!W33=0,0,SER_hh_fech!W33/SER_summary!W$26)</f>
        <v>34.238834855721009</v>
      </c>
      <c r="X33" s="68">
        <f>IF(SER_hh_fech!X33=0,0,SER_hh_fech!X33/SER_summary!X$26)</f>
        <v>30.635808451373713</v>
      </c>
      <c r="Y33" s="68">
        <f>IF(SER_hh_fech!Y33=0,0,SER_hh_fech!Y33/SER_summary!Y$26)</f>
        <v>30.073080928457117</v>
      </c>
      <c r="DA33" s="111" t="s">
        <v>506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507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91</v>
      </c>
      <c r="B3" s="125">
        <f>IF(SER_hh_tesh!B3=0,0,SER_hh_tesh!B3/SER_summary!B$26)</f>
        <v>130.86567044589378</v>
      </c>
      <c r="C3" s="125">
        <f>IF(SER_hh_tesh!C3=0,0,SER_hh_tesh!C3/SER_summary!C$26)</f>
        <v>134.62727828927802</v>
      </c>
      <c r="D3" s="125">
        <f>IF(SER_hh_tesh!D3=0,0,SER_hh_tesh!D3/SER_summary!D$26)</f>
        <v>133.21944319360907</v>
      </c>
      <c r="E3" s="125">
        <f>IF(SER_hh_tesh!E3=0,0,SER_hh_tesh!E3/SER_summary!E$26)</f>
        <v>154.97377920887371</v>
      </c>
      <c r="F3" s="125">
        <f>IF(SER_hh_tesh!F3=0,0,SER_hh_tesh!F3/SER_summary!F$26)</f>
        <v>152.8292527460242</v>
      </c>
      <c r="G3" s="125">
        <f>IF(SER_hh_tesh!G3=0,0,SER_hh_tesh!G3/SER_summary!G$26)</f>
        <v>173.5035564536638</v>
      </c>
      <c r="H3" s="125">
        <f>IF(SER_hh_tesh!H3=0,0,SER_hh_tesh!H3/SER_summary!H$26)</f>
        <v>179.77960394101621</v>
      </c>
      <c r="I3" s="125">
        <f>IF(SER_hh_tesh!I3=0,0,SER_hh_tesh!I3/SER_summary!I$26)</f>
        <v>173.63918038122182</v>
      </c>
      <c r="J3" s="125">
        <f>IF(SER_hh_tesh!J3=0,0,SER_hh_tesh!J3/SER_summary!J$26)</f>
        <v>198.15105852750068</v>
      </c>
      <c r="K3" s="125">
        <f>IF(SER_hh_tesh!K3=0,0,SER_hh_tesh!K3/SER_summary!K$26)</f>
        <v>200.6944919209468</v>
      </c>
      <c r="L3" s="125">
        <f>IF(SER_hh_tesh!L3=0,0,SER_hh_tesh!L3/SER_summary!L$26)</f>
        <v>200.90891836066282</v>
      </c>
      <c r="M3" s="125">
        <f>IF(SER_hh_tesh!M3=0,0,SER_hh_tesh!M3/SER_summary!M$26)</f>
        <v>191.17088516753256</v>
      </c>
      <c r="N3" s="125">
        <f>IF(SER_hh_tesh!N3=0,0,SER_hh_tesh!N3/SER_summary!N$26)</f>
        <v>207.38652644817847</v>
      </c>
      <c r="O3" s="125">
        <f>IF(SER_hh_tesh!O3=0,0,SER_hh_tesh!O3/SER_summary!O$26)</f>
        <v>203.87186374533428</v>
      </c>
      <c r="P3" s="125">
        <f>IF(SER_hh_tesh!P3=0,0,SER_hh_tesh!P3/SER_summary!P$26)</f>
        <v>195.09344587203717</v>
      </c>
      <c r="Q3" s="125">
        <f>IF(SER_hh_tesh!Q3=0,0,SER_hh_tesh!Q3/SER_summary!Q$26)</f>
        <v>235.10258052272837</v>
      </c>
      <c r="R3" s="125">
        <f>IF(SER_hh_tesh!R3=0,0,SER_hh_tesh!R3/SER_summary!R$26)</f>
        <v>232.80872997292153</v>
      </c>
      <c r="S3" s="125">
        <f>IF(SER_hh_tesh!S3=0,0,SER_hh_tesh!S3/SER_summary!S$26)</f>
        <v>250.17319381156798</v>
      </c>
      <c r="T3" s="125">
        <f>IF(SER_hh_tesh!T3=0,0,SER_hh_tesh!T3/SER_summary!T$26)</f>
        <v>259.09829830868131</v>
      </c>
      <c r="U3" s="125">
        <f>IF(SER_hh_tesh!U3=0,0,SER_hh_tesh!U3/SER_summary!U$26)</f>
        <v>254.5442310235164</v>
      </c>
      <c r="V3" s="125">
        <f>IF(SER_hh_tesh!V3=0,0,SER_hh_tesh!V3/SER_summary!V$26)</f>
        <v>230.21067689729591</v>
      </c>
      <c r="W3" s="125">
        <f>IF(SER_hh_tesh!W3=0,0,SER_hh_tesh!W3/SER_summary!W$26)</f>
        <v>237.37894685195846</v>
      </c>
      <c r="X3" s="125">
        <f>IF(SER_hh_tesh!X3=0,0,SER_hh_tesh!X3/SER_summary!X$26)</f>
        <v>238.13089345690537</v>
      </c>
      <c r="Y3" s="125">
        <f>IF(SER_hh_tesh!Y3=0,0,SER_hh_tesh!Y3/SER_summary!Y$26)</f>
        <v>242.92490341017958</v>
      </c>
      <c r="DA3" s="154" t="s">
        <v>508</v>
      </c>
    </row>
    <row r="4" spans="1:105" ht="12.95" customHeight="1" x14ac:dyDescent="0.25">
      <c r="A4" s="129" t="s">
        <v>32</v>
      </c>
      <c r="B4" s="130">
        <f>IF(SER_hh_tesh!B4=0,0,SER_hh_tesh!B4/SER_summary!B$26)</f>
        <v>81.917189147693009</v>
      </c>
      <c r="C4" s="130">
        <f>IF(SER_hh_tesh!C4=0,0,SER_hh_tesh!C4/SER_summary!C$26)</f>
        <v>84.354992434334562</v>
      </c>
      <c r="D4" s="130">
        <f>IF(SER_hh_tesh!D4=0,0,SER_hh_tesh!D4/SER_summary!D$26)</f>
        <v>82.912282239042469</v>
      </c>
      <c r="E4" s="130">
        <f>IF(SER_hh_tesh!E4=0,0,SER_hh_tesh!E4/SER_summary!E$26)</f>
        <v>94.906143137539246</v>
      </c>
      <c r="F4" s="130">
        <f>IF(SER_hh_tesh!F4=0,0,SER_hh_tesh!F4/SER_summary!F$26)</f>
        <v>100.43667124015359</v>
      </c>
      <c r="G4" s="130">
        <f>IF(SER_hh_tesh!G4=0,0,SER_hh_tesh!G4/SER_summary!G$26)</f>
        <v>119.99188028999656</v>
      </c>
      <c r="H4" s="130">
        <f>IF(SER_hh_tesh!H4=0,0,SER_hh_tesh!H4/SER_summary!H$26)</f>
        <v>123.99068403261377</v>
      </c>
      <c r="I4" s="130">
        <f>IF(SER_hh_tesh!I4=0,0,SER_hh_tesh!I4/SER_summary!I$26)</f>
        <v>117.04984074527053</v>
      </c>
      <c r="J4" s="130">
        <f>IF(SER_hh_tesh!J4=0,0,SER_hh_tesh!J4/SER_summary!J$26)</f>
        <v>138.36530480495426</v>
      </c>
      <c r="K4" s="130">
        <f>IF(SER_hh_tesh!K4=0,0,SER_hh_tesh!K4/SER_summary!K$26)</f>
        <v>139.1263119071067</v>
      </c>
      <c r="L4" s="130">
        <f>IF(SER_hh_tesh!L4=0,0,SER_hh_tesh!L4/SER_summary!L$26)</f>
        <v>141.19974085551257</v>
      </c>
      <c r="M4" s="130">
        <f>IF(SER_hh_tesh!M4=0,0,SER_hh_tesh!M4/SER_summary!M$26)</f>
        <v>129.09477266972877</v>
      </c>
      <c r="N4" s="130">
        <f>IF(SER_hh_tesh!N4=0,0,SER_hh_tesh!N4/SER_summary!N$26)</f>
        <v>135.5245552628098</v>
      </c>
      <c r="O4" s="130">
        <f>IF(SER_hh_tesh!O4=0,0,SER_hh_tesh!O4/SER_summary!O$26)</f>
        <v>140.50275334717088</v>
      </c>
      <c r="P4" s="130">
        <f>IF(SER_hh_tesh!P4=0,0,SER_hh_tesh!P4/SER_summary!P$26)</f>
        <v>133.07683791716136</v>
      </c>
      <c r="Q4" s="130">
        <f>IF(SER_hh_tesh!Q4=0,0,SER_hh_tesh!Q4/SER_summary!Q$26)</f>
        <v>161.71853132682381</v>
      </c>
      <c r="R4" s="130">
        <f>IF(SER_hh_tesh!R4=0,0,SER_hh_tesh!R4/SER_summary!R$26)</f>
        <v>167.30026003450499</v>
      </c>
      <c r="S4" s="130">
        <f>IF(SER_hh_tesh!S4=0,0,SER_hh_tesh!S4/SER_summary!S$26)</f>
        <v>176.39368025260478</v>
      </c>
      <c r="T4" s="130">
        <f>IF(SER_hh_tesh!T4=0,0,SER_hh_tesh!T4/SER_summary!T$26)</f>
        <v>191.03165462632404</v>
      </c>
      <c r="U4" s="130">
        <f>IF(SER_hh_tesh!U4=0,0,SER_hh_tesh!U4/SER_summary!U$26)</f>
        <v>181.48874954890934</v>
      </c>
      <c r="V4" s="130">
        <f>IF(SER_hh_tesh!V4=0,0,SER_hh_tesh!V4/SER_summary!V$26)</f>
        <v>168.77050977543735</v>
      </c>
      <c r="W4" s="130">
        <f>IF(SER_hh_tesh!W4=0,0,SER_hh_tesh!W4/SER_summary!W$26)</f>
        <v>163.85380001857084</v>
      </c>
      <c r="X4" s="130">
        <f>IF(SER_hh_tesh!X4=0,0,SER_hh_tesh!X4/SER_summary!X$26)</f>
        <v>156.3898844180743</v>
      </c>
      <c r="Y4" s="130">
        <f>IF(SER_hh_tesh!Y4=0,0,SER_hh_tesh!Y4/SER_summary!Y$26)</f>
        <v>166.30067977398377</v>
      </c>
      <c r="DA4" s="155" t="s">
        <v>509</v>
      </c>
    </row>
    <row r="5" spans="1:105" ht="12" customHeight="1" x14ac:dyDescent="0.25">
      <c r="A5" s="131" t="s">
        <v>29</v>
      </c>
      <c r="B5" s="132">
        <f>IF(SER_hh_tesh!B5=0,0,SER_hh_tesh!B5/SER_summary!B$26)</f>
        <v>0</v>
      </c>
      <c r="C5" s="132">
        <f>IF(SER_hh_tesh!C5=0,0,SER_hh_tesh!C5/SER_summary!C$26)</f>
        <v>0</v>
      </c>
      <c r="D5" s="132">
        <f>IF(SER_hh_tesh!D5=0,0,SER_hh_tesh!D5/SER_summary!D$26)</f>
        <v>0</v>
      </c>
      <c r="E5" s="132">
        <f>IF(SER_hh_tesh!E5=0,0,SER_hh_tesh!E5/SER_summary!E$26)</f>
        <v>0</v>
      </c>
      <c r="F5" s="132">
        <f>IF(SER_hh_tesh!F5=0,0,SER_hh_tesh!F5/SER_summary!F$26)</f>
        <v>0</v>
      </c>
      <c r="G5" s="132">
        <f>IF(SER_hh_tesh!G5=0,0,SER_hh_tesh!G5/SER_summary!G$26)</f>
        <v>0</v>
      </c>
      <c r="H5" s="132">
        <f>IF(SER_hh_tesh!H5=0,0,SER_hh_tesh!H5/SER_summary!H$26)</f>
        <v>0</v>
      </c>
      <c r="I5" s="132">
        <f>IF(SER_hh_tesh!I5=0,0,SER_hh_tesh!I5/SER_summary!I$26)</f>
        <v>0</v>
      </c>
      <c r="J5" s="132">
        <f>IF(SER_hh_tesh!J5=0,0,SER_hh_tesh!J5/SER_summary!J$26)</f>
        <v>0</v>
      </c>
      <c r="K5" s="132">
        <f>IF(SER_hh_tesh!K5=0,0,SER_hh_tesh!K5/SER_summary!K$26)</f>
        <v>0</v>
      </c>
      <c r="L5" s="132">
        <f>IF(SER_hh_tesh!L5=0,0,SER_hh_tesh!L5/SER_summary!L$26)</f>
        <v>0</v>
      </c>
      <c r="M5" s="132">
        <f>IF(SER_hh_tesh!M5=0,0,SER_hh_tesh!M5/SER_summary!M$26)</f>
        <v>0</v>
      </c>
      <c r="N5" s="132">
        <f>IF(SER_hh_tesh!N5=0,0,SER_hh_tesh!N5/SER_summary!N$26)</f>
        <v>0</v>
      </c>
      <c r="O5" s="132">
        <f>IF(SER_hh_tesh!O5=0,0,SER_hh_tesh!O5/SER_summary!O$26)</f>
        <v>0</v>
      </c>
      <c r="P5" s="132">
        <f>IF(SER_hh_tesh!P5=0,0,SER_hh_tesh!P5/SER_summary!P$26)</f>
        <v>0</v>
      </c>
      <c r="Q5" s="132">
        <f>IF(SER_hh_tesh!Q5=0,0,SER_hh_tesh!Q5/SER_summary!Q$26)</f>
        <v>0</v>
      </c>
      <c r="R5" s="132">
        <f>IF(SER_hh_tesh!R5=0,0,SER_hh_tesh!R5/SER_summary!R$26)</f>
        <v>0</v>
      </c>
      <c r="S5" s="132">
        <f>IF(SER_hh_tesh!S5=0,0,SER_hh_tesh!S5/SER_summary!S$26)</f>
        <v>0</v>
      </c>
      <c r="T5" s="132">
        <f>IF(SER_hh_tesh!T5=0,0,SER_hh_tesh!T5/SER_summary!T$26)</f>
        <v>0</v>
      </c>
      <c r="U5" s="132">
        <f>IF(SER_hh_tesh!U5=0,0,SER_hh_tesh!U5/SER_summary!U$26)</f>
        <v>0</v>
      </c>
      <c r="V5" s="132">
        <f>IF(SER_hh_tesh!V5=0,0,SER_hh_tesh!V5/SER_summary!V$26)</f>
        <v>0</v>
      </c>
      <c r="W5" s="132">
        <f>IF(SER_hh_tesh!W5=0,0,SER_hh_tesh!W5/SER_summary!W$26)</f>
        <v>0</v>
      </c>
      <c r="X5" s="132">
        <f>IF(SER_hh_tesh!X5=0,0,SER_hh_tesh!X5/SER_summary!X$26)</f>
        <v>0</v>
      </c>
      <c r="Y5" s="132">
        <f>IF(SER_hh_tesh!Y5=0,0,SER_hh_tesh!Y5/SER_summary!Y$26)</f>
        <v>0</v>
      </c>
      <c r="DA5" s="156" t="s">
        <v>510</v>
      </c>
    </row>
    <row r="6" spans="1:105" ht="12" customHeight="1" x14ac:dyDescent="0.25">
      <c r="A6" s="131" t="s">
        <v>52</v>
      </c>
      <c r="B6" s="132">
        <f>IF(SER_hh_tesh!B6=0,0,SER_hh_tesh!B6/SER_summary!B$26)</f>
        <v>81.302281084500095</v>
      </c>
      <c r="C6" s="132">
        <f>IF(SER_hh_tesh!C6=0,0,SER_hh_tesh!C6/SER_summary!C$26)</f>
        <v>82.831149181241344</v>
      </c>
      <c r="D6" s="132">
        <f>IF(SER_hh_tesh!D6=0,0,SER_hh_tesh!D6/SER_summary!D$26)</f>
        <v>79.334566004799342</v>
      </c>
      <c r="E6" s="132">
        <f>IF(SER_hh_tesh!E6=0,0,SER_hh_tesh!E6/SER_summary!E$26)</f>
        <v>96.889730515215291</v>
      </c>
      <c r="F6" s="132">
        <f>IF(SER_hh_tesh!F6=0,0,SER_hh_tesh!F6/SER_summary!F$26)</f>
        <v>100.03799925634421</v>
      </c>
      <c r="G6" s="132">
        <f>IF(SER_hh_tesh!G6=0,0,SER_hh_tesh!G6/SER_summary!G$26)</f>
        <v>117.08826940934225</v>
      </c>
      <c r="H6" s="132">
        <f>IF(SER_hh_tesh!H6=0,0,SER_hh_tesh!H6/SER_summary!H$26)</f>
        <v>119.37355187769347</v>
      </c>
      <c r="I6" s="132">
        <f>IF(SER_hh_tesh!I6=0,0,SER_hh_tesh!I6/SER_summary!I$26)</f>
        <v>113.51758503287797</v>
      </c>
      <c r="J6" s="132">
        <f>IF(SER_hh_tesh!J6=0,0,SER_hh_tesh!J6/SER_summary!J$26)</f>
        <v>134.53688067185513</v>
      </c>
      <c r="K6" s="132">
        <f>IF(SER_hh_tesh!K6=0,0,SER_hh_tesh!K6/SER_summary!K$26)</f>
        <v>137.35670044699202</v>
      </c>
      <c r="L6" s="132">
        <f>IF(SER_hh_tesh!L6=0,0,SER_hh_tesh!L6/SER_summary!L$26)</f>
        <v>144.65355723427186</v>
      </c>
      <c r="M6" s="132">
        <f>IF(SER_hh_tesh!M6=0,0,SER_hh_tesh!M6/SER_summary!M$26)</f>
        <v>132.70897343898579</v>
      </c>
      <c r="N6" s="132">
        <f>IF(SER_hh_tesh!N6=0,0,SER_hh_tesh!N6/SER_summary!N$26)</f>
        <v>125.09585989196187</v>
      </c>
      <c r="O6" s="132">
        <f>IF(SER_hh_tesh!O6=0,0,SER_hh_tesh!O6/SER_summary!O$26)</f>
        <v>141.93734221633036</v>
      </c>
      <c r="P6" s="132">
        <f>IF(SER_hh_tesh!P6=0,0,SER_hh_tesh!P6/SER_summary!P$26)</f>
        <v>132.65596298051435</v>
      </c>
      <c r="Q6" s="132">
        <f>IF(SER_hh_tesh!Q6=0,0,SER_hh_tesh!Q6/SER_summary!Q$26)</f>
        <v>139.44742798895714</v>
      </c>
      <c r="R6" s="132">
        <f>IF(SER_hh_tesh!R6=0,0,SER_hh_tesh!R6/SER_summary!R$26)</f>
        <v>163.78055163176606</v>
      </c>
      <c r="S6" s="132">
        <f>IF(SER_hh_tesh!S6=0,0,SER_hh_tesh!S6/SER_summary!S$26)</f>
        <v>177.9508474157129</v>
      </c>
      <c r="T6" s="132">
        <f>IF(SER_hh_tesh!T6=0,0,SER_hh_tesh!T6/SER_summary!T$26)</f>
        <v>173.43534698520577</v>
      </c>
      <c r="U6" s="132">
        <f>IF(SER_hh_tesh!U6=0,0,SER_hh_tesh!U6/SER_summary!U$26)</f>
        <v>176.93722457388435</v>
      </c>
      <c r="V6" s="132">
        <f>IF(SER_hh_tesh!V6=0,0,SER_hh_tesh!V6/SER_summary!V$26)</f>
        <v>167.15723276594593</v>
      </c>
      <c r="W6" s="132">
        <f>IF(SER_hh_tesh!W6=0,0,SER_hh_tesh!W6/SER_summary!W$26)</f>
        <v>201.83046205248004</v>
      </c>
      <c r="X6" s="132">
        <f>IF(SER_hh_tesh!X6=0,0,SER_hh_tesh!X6/SER_summary!X$26)</f>
        <v>167.92495101017414</v>
      </c>
      <c r="Y6" s="132">
        <f>IF(SER_hh_tesh!Y6=0,0,SER_hh_tesh!Y6/SER_summary!Y$26)</f>
        <v>160.91039183791318</v>
      </c>
      <c r="DA6" s="156" t="s">
        <v>511</v>
      </c>
    </row>
    <row r="7" spans="1:105" ht="12" customHeight="1" x14ac:dyDescent="0.25">
      <c r="A7" s="131" t="s">
        <v>161</v>
      </c>
      <c r="B7" s="132">
        <f>IF(SER_hh_tesh!B7=0,0,SER_hh_tesh!B7/SER_summary!B$26)</f>
        <v>95.804010084999703</v>
      </c>
      <c r="C7" s="132">
        <f>IF(SER_hh_tesh!C7=0,0,SER_hh_tesh!C7/SER_summary!C$26)</f>
        <v>60.370102316521574</v>
      </c>
      <c r="D7" s="132">
        <f>IF(SER_hh_tesh!D7=0,0,SER_hh_tesh!D7/SER_summary!D$26)</f>
        <v>79.672225429937001</v>
      </c>
      <c r="E7" s="132">
        <f>IF(SER_hh_tesh!E7=0,0,SER_hh_tesh!E7/SER_summary!E$26)</f>
        <v>100.56784376889446</v>
      </c>
      <c r="F7" s="132">
        <f>IF(SER_hh_tesh!F7=0,0,SER_hh_tesh!F7/SER_summary!F$26)</f>
        <v>106.51817874670866</v>
      </c>
      <c r="G7" s="132">
        <f>IF(SER_hh_tesh!G7=0,0,SER_hh_tesh!G7/SER_summary!G$26)</f>
        <v>113.94279853786979</v>
      </c>
      <c r="H7" s="132">
        <f>IF(SER_hh_tesh!H7=0,0,SER_hh_tesh!H7/SER_summary!H$26)</f>
        <v>122.3310408072148</v>
      </c>
      <c r="I7" s="132">
        <f>IF(SER_hh_tesh!I7=0,0,SER_hh_tesh!I7/SER_summary!I$26)</f>
        <v>120.51236019593306</v>
      </c>
      <c r="J7" s="132">
        <f>IF(SER_hh_tesh!J7=0,0,SER_hh_tesh!J7/SER_summary!J$26)</f>
        <v>152.85838714407441</v>
      </c>
      <c r="K7" s="132">
        <f>IF(SER_hh_tesh!K7=0,0,SER_hh_tesh!K7/SER_summary!K$26)</f>
        <v>110.30856541720921</v>
      </c>
      <c r="L7" s="132">
        <f>IF(SER_hh_tesh!L7=0,0,SER_hh_tesh!L7/SER_summary!L$26)</f>
        <v>133.83035051753475</v>
      </c>
      <c r="M7" s="132">
        <f>IF(SER_hh_tesh!M7=0,0,SER_hh_tesh!M7/SER_summary!M$26)</f>
        <v>133.5927819070732</v>
      </c>
      <c r="N7" s="132">
        <f>IF(SER_hh_tesh!N7=0,0,SER_hh_tesh!N7/SER_summary!N$26)</f>
        <v>136.26220170659604</v>
      </c>
      <c r="O7" s="132">
        <f>IF(SER_hh_tesh!O7=0,0,SER_hh_tesh!O7/SER_summary!O$26)</f>
        <v>126.36528584634598</v>
      </c>
      <c r="P7" s="132">
        <f>IF(SER_hh_tesh!P7=0,0,SER_hh_tesh!P7/SER_summary!P$26)</f>
        <v>132.92088744105166</v>
      </c>
      <c r="Q7" s="132">
        <f>IF(SER_hh_tesh!Q7=0,0,SER_hh_tesh!Q7/SER_summary!Q$26)</f>
        <v>163.48891597188367</v>
      </c>
      <c r="R7" s="132">
        <f>IF(SER_hh_tesh!R7=0,0,SER_hh_tesh!R7/SER_summary!R$26)</f>
        <v>180.5068056504295</v>
      </c>
      <c r="S7" s="132">
        <f>IF(SER_hh_tesh!S7=0,0,SER_hh_tesh!S7/SER_summary!S$26)</f>
        <v>147.92333468911065</v>
      </c>
      <c r="T7" s="132">
        <f>IF(SER_hh_tesh!T7=0,0,SER_hh_tesh!T7/SER_summary!T$26)</f>
        <v>197.701885537452</v>
      </c>
      <c r="U7" s="132">
        <f>IF(SER_hh_tesh!U7=0,0,SER_hh_tesh!U7/SER_summary!U$26)</f>
        <v>160.09931340361965</v>
      </c>
      <c r="V7" s="132">
        <f>IF(SER_hh_tesh!V7=0,0,SER_hh_tesh!V7/SER_summary!V$26)</f>
        <v>116.41512481175022</v>
      </c>
      <c r="W7" s="132">
        <f>IF(SER_hh_tesh!W7=0,0,SER_hh_tesh!W7/SER_summary!W$26)</f>
        <v>162.12768801057129</v>
      </c>
      <c r="X7" s="132">
        <f>IF(SER_hh_tesh!X7=0,0,SER_hh_tesh!X7/SER_summary!X$26)</f>
        <v>169.78999923012415</v>
      </c>
      <c r="Y7" s="132">
        <f>IF(SER_hh_tesh!Y7=0,0,SER_hh_tesh!Y7/SER_summary!Y$26)</f>
        <v>159.80946433094314</v>
      </c>
      <c r="DA7" s="156" t="s">
        <v>512</v>
      </c>
    </row>
    <row r="8" spans="1:105" ht="12" customHeight="1" x14ac:dyDescent="0.25">
      <c r="A8" s="131" t="s">
        <v>73</v>
      </c>
      <c r="B8" s="132">
        <f>IF(SER_hh_tesh!B8=0,0,SER_hh_tesh!B8/SER_summary!B$26)</f>
        <v>70.338093066945092</v>
      </c>
      <c r="C8" s="132">
        <f>IF(SER_hh_tesh!C8=0,0,SER_hh_tesh!C8/SER_summary!C$26)</f>
        <v>83.650220544487624</v>
      </c>
      <c r="D8" s="132">
        <f>IF(SER_hh_tesh!D8=0,0,SER_hh_tesh!D8/SER_summary!D$26)</f>
        <v>82.75073546074502</v>
      </c>
      <c r="E8" s="132">
        <f>IF(SER_hh_tesh!E8=0,0,SER_hh_tesh!E8/SER_summary!E$26)</f>
        <v>98.250463778459149</v>
      </c>
      <c r="F8" s="132">
        <f>IF(SER_hh_tesh!F8=0,0,SER_hh_tesh!F8/SER_summary!F$26)</f>
        <v>103.47561867496219</v>
      </c>
      <c r="G8" s="132">
        <f>IF(SER_hh_tesh!G8=0,0,SER_hh_tesh!G8/SER_summary!G$26)</f>
        <v>112.7833492477158</v>
      </c>
      <c r="H8" s="132">
        <f>IF(SER_hh_tesh!H8=0,0,SER_hh_tesh!H8/SER_summary!H$26)</f>
        <v>119.53312547855064</v>
      </c>
      <c r="I8" s="132">
        <f>IF(SER_hh_tesh!I8=0,0,SER_hh_tesh!I8/SER_summary!I$26)</f>
        <v>123.48943096019765</v>
      </c>
      <c r="J8" s="132">
        <f>IF(SER_hh_tesh!J8=0,0,SER_hh_tesh!J8/SER_summary!J$26)</f>
        <v>130.515189210079</v>
      </c>
      <c r="K8" s="132">
        <f>IF(SER_hh_tesh!K8=0,0,SER_hh_tesh!K8/SER_summary!K$26)</f>
        <v>131.03365321822017</v>
      </c>
      <c r="L8" s="132">
        <f>IF(SER_hh_tesh!L8=0,0,SER_hh_tesh!L8/SER_summary!L$26)</f>
        <v>127.04938398773098</v>
      </c>
      <c r="M8" s="132">
        <f>IF(SER_hh_tesh!M8=0,0,SER_hh_tesh!M8/SER_summary!M$26)</f>
        <v>123.92536896657352</v>
      </c>
      <c r="N8" s="132">
        <f>IF(SER_hh_tesh!N8=0,0,SER_hh_tesh!N8/SER_summary!N$26)</f>
        <v>123.45355147021009</v>
      </c>
      <c r="O8" s="132">
        <f>IF(SER_hh_tesh!O8=0,0,SER_hh_tesh!O8/SER_summary!O$26)</f>
        <v>130.76018337126902</v>
      </c>
      <c r="P8" s="132">
        <f>IF(SER_hh_tesh!P8=0,0,SER_hh_tesh!P8/SER_summary!P$26)</f>
        <v>142.63480588693986</v>
      </c>
      <c r="Q8" s="132">
        <f>IF(SER_hh_tesh!Q8=0,0,SER_hh_tesh!Q8/SER_summary!Q$26)</f>
        <v>173.26305007663487</v>
      </c>
      <c r="R8" s="132">
        <f>IF(SER_hh_tesh!R8=0,0,SER_hh_tesh!R8/SER_summary!R$26)</f>
        <v>169.10708383011917</v>
      </c>
      <c r="S8" s="132">
        <f>IF(SER_hh_tesh!S8=0,0,SER_hh_tesh!S8/SER_summary!S$26)</f>
        <v>173.36126040886663</v>
      </c>
      <c r="T8" s="132">
        <f>IF(SER_hh_tesh!T8=0,0,SER_hh_tesh!T8/SER_summary!T$26)</f>
        <v>176.62257179737321</v>
      </c>
      <c r="U8" s="132">
        <f>IF(SER_hh_tesh!U8=0,0,SER_hh_tesh!U8/SER_summary!U$26)</f>
        <v>170.47592336587911</v>
      </c>
      <c r="V8" s="132">
        <f>IF(SER_hh_tesh!V8=0,0,SER_hh_tesh!V8/SER_summary!V$26)</f>
        <v>168.58342573430127</v>
      </c>
      <c r="W8" s="132">
        <f>IF(SER_hh_tesh!W8=0,0,SER_hh_tesh!W8/SER_summary!W$26)</f>
        <v>174.3882811386128</v>
      </c>
      <c r="X8" s="132">
        <f>IF(SER_hh_tesh!X8=0,0,SER_hh_tesh!X8/SER_summary!X$26)</f>
        <v>164.48284579630683</v>
      </c>
      <c r="Y8" s="132">
        <f>IF(SER_hh_tesh!Y8=0,0,SER_hh_tesh!Y8/SER_summary!Y$26)</f>
        <v>162.28035871507132</v>
      </c>
      <c r="DA8" s="156" t="s">
        <v>513</v>
      </c>
    </row>
    <row r="9" spans="1:105" ht="12" customHeight="1" x14ac:dyDescent="0.25">
      <c r="A9" s="131" t="s">
        <v>78</v>
      </c>
      <c r="B9" s="132">
        <f>IF(SER_hh_tesh!B9=0,0,SER_hh_tesh!B9/SER_summary!B$26)</f>
        <v>80.643207318312108</v>
      </c>
      <c r="C9" s="132">
        <f>IF(SER_hh_tesh!C9=0,0,SER_hh_tesh!C9/SER_summary!C$26)</f>
        <v>85.495461117694518</v>
      </c>
      <c r="D9" s="132">
        <f>IF(SER_hh_tesh!D9=0,0,SER_hh_tesh!D9/SER_summary!D$26)</f>
        <v>78.00171808718342</v>
      </c>
      <c r="E9" s="132">
        <f>IF(SER_hh_tesh!E9=0,0,SER_hh_tesh!E9/SER_summary!E$26)</f>
        <v>95.184719923218793</v>
      </c>
      <c r="F9" s="132">
        <f>IF(SER_hh_tesh!F9=0,0,SER_hh_tesh!F9/SER_summary!F$26)</f>
        <v>96.857759766175704</v>
      </c>
      <c r="G9" s="132">
        <f>IF(SER_hh_tesh!G9=0,0,SER_hh_tesh!G9/SER_summary!G$26)</f>
        <v>120.32665177468849</v>
      </c>
      <c r="H9" s="132">
        <f>IF(SER_hh_tesh!H9=0,0,SER_hh_tesh!H9/SER_summary!H$26)</f>
        <v>122.45432971045645</v>
      </c>
      <c r="I9" s="132">
        <f>IF(SER_hh_tesh!I9=0,0,SER_hh_tesh!I9/SER_summary!I$26)</f>
        <v>109.08285689968051</v>
      </c>
      <c r="J9" s="132">
        <f>IF(SER_hh_tesh!J9=0,0,SER_hh_tesh!J9/SER_summary!J$26)</f>
        <v>138.82845078622785</v>
      </c>
      <c r="K9" s="132">
        <f>IF(SER_hh_tesh!K9=0,0,SER_hh_tesh!K9/SER_summary!K$26)</f>
        <v>140.03585117363033</v>
      </c>
      <c r="L9" s="132">
        <f>IF(SER_hh_tesh!L9=0,0,SER_hh_tesh!L9/SER_summary!L$26)</f>
        <v>144.29715634466629</v>
      </c>
      <c r="M9" s="132">
        <f>IF(SER_hh_tesh!M9=0,0,SER_hh_tesh!M9/SER_summary!M$26)</f>
        <v>123.26652930956602</v>
      </c>
      <c r="N9" s="132">
        <f>IF(SER_hh_tesh!N9=0,0,SER_hh_tesh!N9/SER_summary!N$26)</f>
        <v>133.59579978984769</v>
      </c>
      <c r="O9" s="132">
        <f>IF(SER_hh_tesh!O9=0,0,SER_hh_tesh!O9/SER_summary!O$26)</f>
        <v>147.70939841692973</v>
      </c>
      <c r="P9" s="132">
        <f>IF(SER_hh_tesh!P9=0,0,SER_hh_tesh!P9/SER_summary!P$26)</f>
        <v>123.1713601572057</v>
      </c>
      <c r="Q9" s="132">
        <f>IF(SER_hh_tesh!Q9=0,0,SER_hh_tesh!Q9/SER_summary!Q$26)</f>
        <v>151.16562098850505</v>
      </c>
      <c r="R9" s="132">
        <f>IF(SER_hh_tesh!R9=0,0,SER_hh_tesh!R9/SER_summary!R$26)</f>
        <v>160.40810419557749</v>
      </c>
      <c r="S9" s="132">
        <f>IF(SER_hh_tesh!S9=0,0,SER_hh_tesh!S9/SER_summary!S$26)</f>
        <v>162.5366021752568</v>
      </c>
      <c r="T9" s="132">
        <f>IF(SER_hh_tesh!T9=0,0,SER_hh_tesh!T9/SER_summary!T$26)</f>
        <v>188.4827503146272</v>
      </c>
      <c r="U9" s="132">
        <f>IF(SER_hh_tesh!U9=0,0,SER_hh_tesh!U9/SER_summary!U$26)</f>
        <v>185.87593006660899</v>
      </c>
      <c r="V9" s="132">
        <f>IF(SER_hh_tesh!V9=0,0,SER_hh_tesh!V9/SER_summary!V$26)</f>
        <v>185.87378730430478</v>
      </c>
      <c r="W9" s="132">
        <f>IF(SER_hh_tesh!W9=0,0,SER_hh_tesh!W9/SER_summary!W$26)</f>
        <v>175.70435313714856</v>
      </c>
      <c r="X9" s="132">
        <f>IF(SER_hh_tesh!X9=0,0,SER_hh_tesh!X9/SER_summary!X$26)</f>
        <v>148.19801548924153</v>
      </c>
      <c r="Y9" s="132">
        <f>IF(SER_hh_tesh!Y9=0,0,SER_hh_tesh!Y9/SER_summary!Y$26)</f>
        <v>170.40735068023005</v>
      </c>
      <c r="DA9" s="156" t="s">
        <v>514</v>
      </c>
    </row>
    <row r="10" spans="1:105" ht="12" customHeight="1" x14ac:dyDescent="0.25">
      <c r="A10" s="131" t="s">
        <v>128</v>
      </c>
      <c r="B10" s="132">
        <f>IF(SER_hh_tesh!B10=0,0,SER_hh_tesh!B10/SER_summary!B$26)</f>
        <v>80.514222863809238</v>
      </c>
      <c r="C10" s="132">
        <f>IF(SER_hh_tesh!C10=0,0,SER_hh_tesh!C10/SER_summary!C$26)</f>
        <v>85.337801929652599</v>
      </c>
      <c r="D10" s="132">
        <f>IF(SER_hh_tesh!D10=0,0,SER_hh_tesh!D10/SER_summary!D$26)</f>
        <v>83.598319098088837</v>
      </c>
      <c r="E10" s="132">
        <f>IF(SER_hh_tesh!E10=0,0,SER_hh_tesh!E10/SER_summary!E$26)</f>
        <v>91.799964304668748</v>
      </c>
      <c r="F10" s="132">
        <f>IF(SER_hh_tesh!F10=0,0,SER_hh_tesh!F10/SER_summary!F$26)</f>
        <v>99.308478934777014</v>
      </c>
      <c r="G10" s="132">
        <f>IF(SER_hh_tesh!G10=0,0,SER_hh_tesh!G10/SER_summary!G$26)</f>
        <v>106.64378434966206</v>
      </c>
      <c r="H10" s="132">
        <f>IF(SER_hh_tesh!H10=0,0,SER_hh_tesh!H10/SER_summary!H$26)</f>
        <v>137.05252467153224</v>
      </c>
      <c r="I10" s="132">
        <f>IF(SER_hh_tesh!I10=0,0,SER_hh_tesh!I10/SER_summary!I$26)</f>
        <v>112.07880976659342</v>
      </c>
      <c r="J10" s="132">
        <f>IF(SER_hh_tesh!J10=0,0,SER_hh_tesh!J10/SER_summary!J$26)</f>
        <v>104.22408487737233</v>
      </c>
      <c r="K10" s="132">
        <f>IF(SER_hh_tesh!K10=0,0,SER_hh_tesh!K10/SER_summary!K$26)</f>
        <v>125.21955951487828</v>
      </c>
      <c r="L10" s="132">
        <f>IF(SER_hh_tesh!L10=0,0,SER_hh_tesh!L10/SER_summary!L$26)</f>
        <v>155.36993025486188</v>
      </c>
      <c r="M10" s="132">
        <f>IF(SER_hh_tesh!M10=0,0,SER_hh_tesh!M10/SER_summary!M$26)</f>
        <v>131.14558207092847</v>
      </c>
      <c r="N10" s="132">
        <f>IF(SER_hh_tesh!N10=0,0,SER_hh_tesh!N10/SER_summary!N$26)</f>
        <v>102.46862906536954</v>
      </c>
      <c r="O10" s="132">
        <f>IF(SER_hh_tesh!O10=0,0,SER_hh_tesh!O10/SER_summary!O$26)</f>
        <v>130.6606991612301</v>
      </c>
      <c r="P10" s="132">
        <f>IF(SER_hh_tesh!P10=0,0,SER_hh_tesh!P10/SER_summary!P$26)</f>
        <v>170.49391450566827</v>
      </c>
      <c r="Q10" s="132">
        <f>IF(SER_hh_tesh!Q10=0,0,SER_hh_tesh!Q10/SER_summary!Q$26)</f>
        <v>141.91535292175053</v>
      </c>
      <c r="R10" s="132">
        <f>IF(SER_hh_tesh!R10=0,0,SER_hh_tesh!R10/SER_summary!R$26)</f>
        <v>172.79717593451343</v>
      </c>
      <c r="S10" s="132">
        <f>IF(SER_hh_tesh!S10=0,0,SER_hh_tesh!S10/SER_summary!S$26)</f>
        <v>179.07494805051272</v>
      </c>
      <c r="T10" s="132">
        <f>IF(SER_hh_tesh!T10=0,0,SER_hh_tesh!T10/SER_summary!T$26)</f>
        <v>172.98249535233182</v>
      </c>
      <c r="U10" s="132">
        <f>IF(SER_hh_tesh!U10=0,0,SER_hh_tesh!U10/SER_summary!U$26)</f>
        <v>173.830049365344</v>
      </c>
      <c r="V10" s="132">
        <f>IF(SER_hh_tesh!V10=0,0,SER_hh_tesh!V10/SER_summary!V$26)</f>
        <v>155.65763801385719</v>
      </c>
      <c r="W10" s="132">
        <f>IF(SER_hh_tesh!W10=0,0,SER_hh_tesh!W10/SER_summary!W$26)</f>
        <v>171.20686950461072</v>
      </c>
      <c r="X10" s="132">
        <f>IF(SER_hh_tesh!X10=0,0,SER_hh_tesh!X10/SER_summary!X$26)</f>
        <v>176.02728674465891</v>
      </c>
      <c r="Y10" s="132">
        <f>IF(SER_hh_tesh!Y10=0,0,SER_hh_tesh!Y10/SER_summary!Y$26)</f>
        <v>157.09853473990736</v>
      </c>
      <c r="DA10" s="156" t="s">
        <v>515</v>
      </c>
    </row>
    <row r="11" spans="1:105" ht="12" customHeight="1" x14ac:dyDescent="0.25">
      <c r="A11" s="131" t="s">
        <v>25</v>
      </c>
      <c r="B11" s="132">
        <f>IF(SER_hh_tesh!B11=0,0,SER_hh_tesh!B11/SER_summary!B$26)</f>
        <v>81.648470210194716</v>
      </c>
      <c r="C11" s="132">
        <f>IF(SER_hh_tesh!C11=0,0,SER_hh_tesh!C11/SER_summary!C$26)</f>
        <v>83.417585036308537</v>
      </c>
      <c r="D11" s="132">
        <f>IF(SER_hh_tesh!D11=0,0,SER_hh_tesh!D11/SER_summary!D$26)</f>
        <v>86.810050044632774</v>
      </c>
      <c r="E11" s="132">
        <f>IF(SER_hh_tesh!E11=0,0,SER_hh_tesh!E11/SER_summary!E$26)</f>
        <v>94.083379393546309</v>
      </c>
      <c r="F11" s="132">
        <f>IF(SER_hh_tesh!F11=0,0,SER_hh_tesh!F11/SER_summary!F$26)</f>
        <v>101.19628383561266</v>
      </c>
      <c r="G11" s="132">
        <f>IF(SER_hh_tesh!G11=0,0,SER_hh_tesh!G11/SER_summary!G$26)</f>
        <v>112.13856578708528</v>
      </c>
      <c r="H11" s="132">
        <f>IF(SER_hh_tesh!H11=0,0,SER_hh_tesh!H11/SER_summary!H$26)</f>
        <v>119.57497454202367</v>
      </c>
      <c r="I11" s="132">
        <f>IF(SER_hh_tesh!I11=0,0,SER_hh_tesh!I11/SER_summary!I$26)</f>
        <v>124.10759849267991</v>
      </c>
      <c r="J11" s="132">
        <f>IF(SER_hh_tesh!J11=0,0,SER_hh_tesh!J11/SER_summary!J$26)</f>
        <v>137.37805453360494</v>
      </c>
      <c r="K11" s="132">
        <f>IF(SER_hh_tesh!K11=0,0,SER_hh_tesh!K11/SER_summary!K$26)</f>
        <v>154.78531342749665</v>
      </c>
      <c r="L11" s="132">
        <f>IF(SER_hh_tesh!L11=0,0,SER_hh_tesh!L11/SER_summary!L$26)</f>
        <v>112.07073264960258</v>
      </c>
      <c r="M11" s="132">
        <f>IF(SER_hh_tesh!M11=0,0,SER_hh_tesh!M11/SER_summary!M$26)</f>
        <v>124.63216730787232</v>
      </c>
      <c r="N11" s="132">
        <f>IF(SER_hh_tesh!N11=0,0,SER_hh_tesh!N11/SER_summary!N$26)</f>
        <v>135.99641533823467</v>
      </c>
      <c r="O11" s="132">
        <f>IF(SER_hh_tesh!O11=0,0,SER_hh_tesh!O11/SER_summary!O$26)</f>
        <v>140.3006481784017</v>
      </c>
      <c r="P11" s="132">
        <f>IF(SER_hh_tesh!P11=0,0,SER_hh_tesh!P11/SER_summary!P$26)</f>
        <v>139.44760966647954</v>
      </c>
      <c r="Q11" s="132">
        <f>IF(SER_hh_tesh!Q11=0,0,SER_hh_tesh!Q11/SER_summary!Q$26)</f>
        <v>154.80409409058515</v>
      </c>
      <c r="R11" s="132">
        <f>IF(SER_hh_tesh!R11=0,0,SER_hh_tesh!R11/SER_summary!R$26)</f>
        <v>163.38331029586968</v>
      </c>
      <c r="S11" s="132">
        <f>IF(SER_hh_tesh!S11=0,0,SER_hh_tesh!S11/SER_summary!S$26)</f>
        <v>178.69910570710226</v>
      </c>
      <c r="T11" s="132">
        <f>IF(SER_hh_tesh!T11=0,0,SER_hh_tesh!T11/SER_summary!T$26)</f>
        <v>182.24091976290484</v>
      </c>
      <c r="U11" s="132">
        <f>IF(SER_hh_tesh!U11=0,0,SER_hh_tesh!U11/SER_summary!U$26)</f>
        <v>181.84202822774699</v>
      </c>
      <c r="V11" s="132">
        <f>IF(SER_hh_tesh!V11=0,0,SER_hh_tesh!V11/SER_summary!V$26)</f>
        <v>169.18208998149629</v>
      </c>
      <c r="W11" s="132">
        <f>IF(SER_hh_tesh!W11=0,0,SER_hh_tesh!W11/SER_summary!W$26)</f>
        <v>163.76334110707378</v>
      </c>
      <c r="X11" s="132">
        <f>IF(SER_hh_tesh!X11=0,0,SER_hh_tesh!X11/SER_summary!X$26)</f>
        <v>159.89736480757085</v>
      </c>
      <c r="Y11" s="132">
        <f>IF(SER_hh_tesh!Y11=0,0,SER_hh_tesh!Y11/SER_summary!Y$26)</f>
        <v>160.23373294503958</v>
      </c>
      <c r="DA11" s="156" t="s">
        <v>516</v>
      </c>
    </row>
    <row r="12" spans="1:105" ht="12" customHeight="1" x14ac:dyDescent="0.25">
      <c r="A12" s="131" t="s">
        <v>162</v>
      </c>
      <c r="B12" s="132">
        <f>IF(SER_hh_tesh!B12=0,0,SER_hh_tesh!B12/SER_summary!B$26)</f>
        <v>0</v>
      </c>
      <c r="C12" s="132">
        <f>IF(SER_hh_tesh!C12=0,0,SER_hh_tesh!C12/SER_summary!C$26)</f>
        <v>0</v>
      </c>
      <c r="D12" s="132">
        <f>IF(SER_hh_tesh!D12=0,0,SER_hh_tesh!D12/SER_summary!D$26)</f>
        <v>0</v>
      </c>
      <c r="E12" s="132">
        <f>IF(SER_hh_tesh!E12=0,0,SER_hh_tesh!E12/SER_summary!E$26)</f>
        <v>0</v>
      </c>
      <c r="F12" s="132">
        <f>IF(SER_hh_tesh!F12=0,0,SER_hh_tesh!F12/SER_summary!F$26)</f>
        <v>144.70972269572442</v>
      </c>
      <c r="G12" s="132">
        <f>IF(SER_hh_tesh!G12=0,0,SER_hh_tesh!G12/SER_summary!G$26)</f>
        <v>111.13297764347827</v>
      </c>
      <c r="H12" s="132">
        <f>IF(SER_hh_tesh!H12=0,0,SER_hh_tesh!H12/SER_summary!H$26)</f>
        <v>131.67320574577317</v>
      </c>
      <c r="I12" s="132">
        <f>IF(SER_hh_tesh!I12=0,0,SER_hh_tesh!I12/SER_summary!I$26)</f>
        <v>131.44094299756344</v>
      </c>
      <c r="J12" s="132">
        <f>IF(SER_hh_tesh!J12=0,0,SER_hh_tesh!J12/SER_summary!J$26)</f>
        <v>139.27508377732133</v>
      </c>
      <c r="K12" s="132">
        <f>IF(SER_hh_tesh!K12=0,0,SER_hh_tesh!K12/SER_summary!K$26)</f>
        <v>121.09581438429041</v>
      </c>
      <c r="L12" s="132">
        <f>IF(SER_hh_tesh!L12=0,0,SER_hh_tesh!L12/SER_summary!L$26)</f>
        <v>92.06629185845037</v>
      </c>
      <c r="M12" s="132">
        <f>IF(SER_hh_tesh!M12=0,0,SER_hh_tesh!M12/SER_summary!M$26)</f>
        <v>168.73253974548732</v>
      </c>
      <c r="N12" s="132">
        <f>IF(SER_hh_tesh!N12=0,0,SER_hh_tesh!N12/SER_summary!N$26)</f>
        <v>112.09939666305847</v>
      </c>
      <c r="O12" s="132">
        <f>IF(SER_hh_tesh!O12=0,0,SER_hh_tesh!O12/SER_summary!O$26)</f>
        <v>129.22353669331389</v>
      </c>
      <c r="P12" s="132">
        <f>IF(SER_hh_tesh!P12=0,0,SER_hh_tesh!P12/SER_summary!P$26)</f>
        <v>181.00981641153967</v>
      </c>
      <c r="Q12" s="132">
        <f>IF(SER_hh_tesh!Q12=0,0,SER_hh_tesh!Q12/SER_summary!Q$26)</f>
        <v>143.92258324446325</v>
      </c>
      <c r="R12" s="132">
        <f>IF(SER_hh_tesh!R12=0,0,SER_hh_tesh!R12/SER_summary!R$26)</f>
        <v>148.142132823145</v>
      </c>
      <c r="S12" s="132">
        <f>IF(SER_hh_tesh!S12=0,0,SER_hh_tesh!S12/SER_summary!S$26)</f>
        <v>182.05839020615502</v>
      </c>
      <c r="T12" s="132">
        <f>IF(SER_hh_tesh!T12=0,0,SER_hh_tesh!T12/SER_summary!T$26)</f>
        <v>220.00097502467199</v>
      </c>
      <c r="U12" s="132">
        <f>IF(SER_hh_tesh!U12=0,0,SER_hh_tesh!U12/SER_summary!U$26)</f>
        <v>170.11241187226145</v>
      </c>
      <c r="V12" s="132">
        <f>IF(SER_hh_tesh!V12=0,0,SER_hh_tesh!V12/SER_summary!V$26)</f>
        <v>176.7981788483286</v>
      </c>
      <c r="W12" s="132">
        <f>IF(SER_hh_tesh!W12=0,0,SER_hh_tesh!W12/SER_summary!W$26)</f>
        <v>154.20217262554581</v>
      </c>
      <c r="X12" s="132">
        <f>IF(SER_hh_tesh!X12=0,0,SER_hh_tesh!X12/SER_summary!X$26)</f>
        <v>157.30231573547943</v>
      </c>
      <c r="Y12" s="132">
        <f>IF(SER_hh_tesh!Y12=0,0,SER_hh_tesh!Y12/SER_summary!Y$26)</f>
        <v>165.20722247533098</v>
      </c>
      <c r="DA12" s="156" t="s">
        <v>517</v>
      </c>
    </row>
    <row r="13" spans="1:105" ht="12" customHeight="1" x14ac:dyDescent="0.25">
      <c r="A13" s="131" t="s">
        <v>77</v>
      </c>
      <c r="B13" s="132">
        <f>IF(SER_hh_tesh!B13=0,0,SER_hh_tesh!B13/SER_summary!B$26)</f>
        <v>67.670035186109416</v>
      </c>
      <c r="C13" s="132">
        <f>IF(SER_hh_tesh!C13=0,0,SER_hh_tesh!C13/SER_summary!C$26)</f>
        <v>62.428910958792905</v>
      </c>
      <c r="D13" s="132">
        <f>IF(SER_hh_tesh!D13=0,0,SER_hh_tesh!D13/SER_summary!D$26)</f>
        <v>93.969537512284433</v>
      </c>
      <c r="E13" s="132">
        <f>IF(SER_hh_tesh!E13=0,0,SER_hh_tesh!E13/SER_summary!E$26)</f>
        <v>68.785038054948615</v>
      </c>
      <c r="F13" s="132">
        <f>IF(SER_hh_tesh!F13=0,0,SER_hh_tesh!F13/SER_summary!F$26)</f>
        <v>92.739427661165436</v>
      </c>
      <c r="G13" s="132">
        <f>IF(SER_hh_tesh!G13=0,0,SER_hh_tesh!G13/SER_summary!G$26)</f>
        <v>123.70579087597741</v>
      </c>
      <c r="H13" s="132">
        <f>IF(SER_hh_tesh!H13=0,0,SER_hh_tesh!H13/SER_summary!H$26)</f>
        <v>128.8759517206895</v>
      </c>
      <c r="I13" s="132">
        <f>IF(SER_hh_tesh!I13=0,0,SER_hh_tesh!I13/SER_summary!I$26)</f>
        <v>124.16103929063777</v>
      </c>
      <c r="J13" s="132">
        <f>IF(SER_hh_tesh!J13=0,0,SER_hh_tesh!J13/SER_summary!J$26)</f>
        <v>125.80196164815062</v>
      </c>
      <c r="K13" s="132">
        <f>IF(SER_hh_tesh!K13=0,0,SER_hh_tesh!K13/SER_summary!K$26)</f>
        <v>133.57832824777105</v>
      </c>
      <c r="L13" s="132">
        <f>IF(SER_hh_tesh!L13=0,0,SER_hh_tesh!L13/SER_summary!L$26)</f>
        <v>115.19467468809187</v>
      </c>
      <c r="M13" s="132">
        <f>IF(SER_hh_tesh!M13=0,0,SER_hh_tesh!M13/SER_summary!M$26)</f>
        <v>121.04729504295319</v>
      </c>
      <c r="N13" s="132">
        <f>IF(SER_hh_tesh!N13=0,0,SER_hh_tesh!N13/SER_summary!N$26)</f>
        <v>132.76997315088079</v>
      </c>
      <c r="O13" s="132">
        <f>IF(SER_hh_tesh!O13=0,0,SER_hh_tesh!O13/SER_summary!O$26)</f>
        <v>115.28622732691042</v>
      </c>
      <c r="P13" s="132">
        <f>IF(SER_hh_tesh!P13=0,0,SER_hh_tesh!P13/SER_summary!P$26)</f>
        <v>130.34251487475169</v>
      </c>
      <c r="Q13" s="132">
        <f>IF(SER_hh_tesh!Q13=0,0,SER_hh_tesh!Q13/SER_summary!Q$26)</f>
        <v>183.42377257277008</v>
      </c>
      <c r="R13" s="132">
        <f>IF(SER_hh_tesh!R13=0,0,SER_hh_tesh!R13/SER_summary!R$26)</f>
        <v>173.68278233506763</v>
      </c>
      <c r="S13" s="132">
        <f>IF(SER_hh_tesh!S13=0,0,SER_hh_tesh!S13/SER_summary!S$26)</f>
        <v>188.86617799631219</v>
      </c>
      <c r="T13" s="132">
        <f>IF(SER_hh_tesh!T13=0,0,SER_hh_tesh!T13/SER_summary!T$26)</f>
        <v>184.42322616846207</v>
      </c>
      <c r="U13" s="132">
        <f>IF(SER_hh_tesh!U13=0,0,SER_hh_tesh!U13/SER_summary!U$26)</f>
        <v>176.44573898696862</v>
      </c>
      <c r="V13" s="132">
        <f>IF(SER_hh_tesh!V13=0,0,SER_hh_tesh!V13/SER_summary!V$26)</f>
        <v>172.74732775821255</v>
      </c>
      <c r="W13" s="132">
        <f>IF(SER_hh_tesh!W13=0,0,SER_hh_tesh!W13/SER_summary!W$26)</f>
        <v>139.81028207466247</v>
      </c>
      <c r="X13" s="132">
        <f>IF(SER_hh_tesh!X13=0,0,SER_hh_tesh!X13/SER_summary!X$26)</f>
        <v>146.04601210068043</v>
      </c>
      <c r="Y13" s="132">
        <f>IF(SER_hh_tesh!Y13=0,0,SER_hh_tesh!Y13/SER_summary!Y$26)</f>
        <v>163.99048572495434</v>
      </c>
      <c r="DA13" s="156" t="s">
        <v>518</v>
      </c>
    </row>
    <row r="14" spans="1:105" ht="12" customHeight="1" x14ac:dyDescent="0.25">
      <c r="A14" s="60" t="s">
        <v>76</v>
      </c>
      <c r="B14" s="65">
        <f>IF(SER_hh_tesh!B14=0,0,SER_hh_tesh!B14/SER_summary!B$26)</f>
        <v>79.436442005046402</v>
      </c>
      <c r="C14" s="65">
        <f>IF(SER_hh_tesh!C14=0,0,SER_hh_tesh!C14/SER_summary!C$26)</f>
        <v>82.59992123478284</v>
      </c>
      <c r="D14" s="65">
        <f>IF(SER_hh_tesh!D14=0,0,SER_hh_tesh!D14/SER_summary!D$26)</f>
        <v>88.77495128036287</v>
      </c>
      <c r="E14" s="65">
        <f>IF(SER_hh_tesh!E14=0,0,SER_hh_tesh!E14/SER_summary!E$26)</f>
        <v>90.316718118866376</v>
      </c>
      <c r="F14" s="65">
        <f>IF(SER_hh_tesh!F14=0,0,SER_hh_tesh!F14/SER_summary!F$26)</f>
        <v>101.6642211474696</v>
      </c>
      <c r="G14" s="65">
        <f>IF(SER_hh_tesh!G14=0,0,SER_hh_tesh!G14/SER_summary!G$26)</f>
        <v>116.36808725244461</v>
      </c>
      <c r="H14" s="65">
        <f>IF(SER_hh_tesh!H14=0,0,SER_hh_tesh!H14/SER_summary!H$26)</f>
        <v>122.30001341926476</v>
      </c>
      <c r="I14" s="65">
        <f>IF(SER_hh_tesh!I14=0,0,SER_hh_tesh!I14/SER_summary!I$26)</f>
        <v>126.51515742822481</v>
      </c>
      <c r="J14" s="65">
        <f>IF(SER_hh_tesh!J14=0,0,SER_hh_tesh!J14/SER_summary!J$26)</f>
        <v>132.24178056390747</v>
      </c>
      <c r="K14" s="65">
        <f>IF(SER_hh_tesh!K14=0,0,SER_hh_tesh!K14/SER_summary!K$26)</f>
        <v>136.08331840349592</v>
      </c>
      <c r="L14" s="65">
        <f>IF(SER_hh_tesh!L14=0,0,SER_hh_tesh!L14/SER_summary!L$26)</f>
        <v>138.9868774584948</v>
      </c>
      <c r="M14" s="65">
        <f>IF(SER_hh_tesh!M14=0,0,SER_hh_tesh!M14/SER_summary!M$26)</f>
        <v>135.15810749144083</v>
      </c>
      <c r="N14" s="65">
        <f>IF(SER_hh_tesh!N14=0,0,SER_hh_tesh!N14/SER_summary!N$26)</f>
        <v>138.45650797728499</v>
      </c>
      <c r="O14" s="65">
        <f>IF(SER_hh_tesh!O14=0,0,SER_hh_tesh!O14/SER_summary!O$26)</f>
        <v>143.21427200601011</v>
      </c>
      <c r="P14" s="65">
        <f>IF(SER_hh_tesh!P14=0,0,SER_hh_tesh!P14/SER_summary!P$26)</f>
        <v>142.27478073694951</v>
      </c>
      <c r="Q14" s="65">
        <f>IF(SER_hh_tesh!Q14=0,0,SER_hh_tesh!Q14/SER_summary!Q$26)</f>
        <v>144.56473573213955</v>
      </c>
      <c r="R14" s="65">
        <f>IF(SER_hh_tesh!R14=0,0,SER_hh_tesh!R14/SER_summary!R$26)</f>
        <v>163.79551481875288</v>
      </c>
      <c r="S14" s="65">
        <f>IF(SER_hh_tesh!S14=0,0,SER_hh_tesh!S14/SER_summary!S$26)</f>
        <v>172.90974853679487</v>
      </c>
      <c r="T14" s="65">
        <f>IF(SER_hh_tesh!T14=0,0,SER_hh_tesh!T14/SER_summary!T$26)</f>
        <v>201.66746592048369</v>
      </c>
      <c r="U14" s="65">
        <f>IF(SER_hh_tesh!U14=0,0,SER_hh_tesh!U14/SER_summary!U$26)</f>
        <v>180.4985618931268</v>
      </c>
      <c r="V14" s="65">
        <f>IF(SER_hh_tesh!V14=0,0,SER_hh_tesh!V14/SER_summary!V$26)</f>
        <v>120.58890846607618</v>
      </c>
      <c r="W14" s="65">
        <f>IF(SER_hh_tesh!W14=0,0,SER_hh_tesh!W14/SER_summary!W$26)</f>
        <v>178.88048105065354</v>
      </c>
      <c r="X14" s="65">
        <f>IF(SER_hh_tesh!X14=0,0,SER_hh_tesh!X14/SER_summary!X$26)</f>
        <v>175.79625270495535</v>
      </c>
      <c r="Y14" s="65">
        <f>IF(SER_hh_tesh!Y14=0,0,SER_hh_tesh!Y14/SER_summary!Y$26)</f>
        <v>161.34957483231244</v>
      </c>
      <c r="DA14" s="109" t="s">
        <v>519</v>
      </c>
    </row>
    <row r="15" spans="1:105" ht="12" customHeight="1" x14ac:dyDescent="0.25">
      <c r="A15" s="133" t="s">
        <v>80</v>
      </c>
      <c r="B15" s="134">
        <f>IF(SER_hh_tesh!B15=0,0,SER_hh_tesh!B15/SER_summary!B$26)</f>
        <v>1.5768093861865204</v>
      </c>
      <c r="C15" s="134">
        <f>IF(SER_hh_tesh!C15=0,0,SER_hh_tesh!C15/SER_summary!C$26)</f>
        <v>1.5849880914604513</v>
      </c>
      <c r="D15" s="134">
        <f>IF(SER_hh_tesh!D15=0,0,SER_hh_tesh!D15/SER_summary!D$26)</f>
        <v>1.4543456079800168</v>
      </c>
      <c r="E15" s="134">
        <f>IF(SER_hh_tesh!E15=0,0,SER_hh_tesh!E15/SER_summary!E$26)</f>
        <v>1.7483668164514752</v>
      </c>
      <c r="F15" s="134">
        <f>IF(SER_hh_tesh!F15=0,0,SER_hh_tesh!F15/SER_summary!F$26)</f>
        <v>1.7475107414913786</v>
      </c>
      <c r="G15" s="134">
        <f>IF(SER_hh_tesh!G15=0,0,SER_hh_tesh!G15/SER_summary!G$26)</f>
        <v>2.0988187301617875</v>
      </c>
      <c r="H15" s="134">
        <f>IF(SER_hh_tesh!H15=0,0,SER_hh_tesh!H15/SER_summary!H$26)</f>
        <v>2.1107404741172044</v>
      </c>
      <c r="I15" s="134">
        <f>IF(SER_hh_tesh!I15=0,0,SER_hh_tesh!I15/SER_summary!I$26)</f>
        <v>1.8737289270698043</v>
      </c>
      <c r="J15" s="134">
        <f>IF(SER_hh_tesh!J15=0,0,SER_hh_tesh!J15/SER_summary!J$26)</f>
        <v>2.3427983344982053</v>
      </c>
      <c r="K15" s="134">
        <f>IF(SER_hh_tesh!K15=0,0,SER_hh_tesh!K15/SER_summary!K$26)</f>
        <v>2.2994349772579761</v>
      </c>
      <c r="L15" s="134">
        <f>IF(SER_hh_tesh!L15=0,0,SER_hh_tesh!L15/SER_summary!L$26)</f>
        <v>2.3540157220587368</v>
      </c>
      <c r="M15" s="134">
        <f>IF(SER_hh_tesh!M15=0,0,SER_hh_tesh!M15/SER_summary!M$26)</f>
        <v>2.0037416765062801</v>
      </c>
      <c r="N15" s="134">
        <f>IF(SER_hh_tesh!N15=0,0,SER_hh_tesh!N15/SER_summary!N$26)</f>
        <v>2.1065408452185288</v>
      </c>
      <c r="O15" s="134">
        <f>IF(SER_hh_tesh!O15=0,0,SER_hh_tesh!O15/SER_summary!O$26)</f>
        <v>2.2637422616998046</v>
      </c>
      <c r="P15" s="134">
        <f>IF(SER_hh_tesh!P15=0,0,SER_hh_tesh!P15/SER_summary!P$26)</f>
        <v>1.8946560046084715</v>
      </c>
      <c r="Q15" s="134">
        <f>IF(SER_hh_tesh!Q15=0,0,SER_hh_tesh!Q15/SER_summary!Q$26)</f>
        <v>2.2501357502598829</v>
      </c>
      <c r="R15" s="134">
        <f>IF(SER_hh_tesh!R15=0,0,SER_hh_tesh!R15/SER_summary!R$26)</f>
        <v>2.36649973391809</v>
      </c>
      <c r="S15" s="134">
        <f>IF(SER_hh_tesh!S15=0,0,SER_hh_tesh!S15/SER_summary!S$26)</f>
        <v>2.3831888061347275</v>
      </c>
      <c r="T15" s="134">
        <f>IF(SER_hh_tesh!T15=0,0,SER_hh_tesh!T15/SER_summary!T$26)</f>
        <v>2.7444123996378509</v>
      </c>
      <c r="U15" s="134">
        <f>IF(SER_hh_tesh!U15=0,0,SER_hh_tesh!U15/SER_summary!U$26)</f>
        <v>2.6730418563811598</v>
      </c>
      <c r="V15" s="134">
        <f>IF(SER_hh_tesh!V15=0,0,SER_hh_tesh!V15/SER_summary!V$26)</f>
        <v>2.6355711267929136</v>
      </c>
      <c r="W15" s="134">
        <f>IF(SER_hh_tesh!W15=0,0,SER_hh_tesh!W15/SER_summary!W$26)</f>
        <v>2.4991378555517803</v>
      </c>
      <c r="X15" s="134">
        <f>IF(SER_hh_tesh!X15=0,0,SER_hh_tesh!X15/SER_summary!X$26)</f>
        <v>2.1371140702308802</v>
      </c>
      <c r="Y15" s="134">
        <f>IF(SER_hh_tesh!Y15=0,0,SER_hh_tesh!Y15/SER_summary!Y$26)</f>
        <v>2.4107577301248679</v>
      </c>
      <c r="DA15" s="157" t="s">
        <v>520</v>
      </c>
    </row>
    <row r="16" spans="1:105" ht="12.95" customHeight="1" x14ac:dyDescent="0.25">
      <c r="A16" s="129" t="s">
        <v>74</v>
      </c>
      <c r="B16" s="130">
        <f>IF(SER_hh_tesh!B16=0,0,SER_hh_tesh!B16/SER_summary!B$26)</f>
        <v>25.502199585289514</v>
      </c>
      <c r="C16" s="130">
        <f>IF(SER_hh_tesh!C16=0,0,SER_hh_tesh!C16/SER_summary!C$26)</f>
        <v>27.93919901877868</v>
      </c>
      <c r="D16" s="130">
        <f>IF(SER_hh_tesh!D16=0,0,SER_hh_tesh!D16/SER_summary!D$26)</f>
        <v>24.610654934094427</v>
      </c>
      <c r="E16" s="130">
        <f>IF(SER_hh_tesh!E16=0,0,SER_hh_tesh!E16/SER_summary!E$26)</f>
        <v>57.304478033719214</v>
      </c>
      <c r="F16" s="130">
        <f>IF(SER_hh_tesh!F16=0,0,SER_hh_tesh!F16/SER_summary!F$26)</f>
        <v>25.879539905389837</v>
      </c>
      <c r="G16" s="130">
        <f>IF(SER_hh_tesh!G16=0,0,SER_hh_tesh!G16/SER_summary!G$26)</f>
        <v>26.038112173815186</v>
      </c>
      <c r="H16" s="130">
        <f>IF(SER_hh_tesh!H16=0,0,SER_hh_tesh!H16/SER_summary!H$26)</f>
        <v>30.68661861072961</v>
      </c>
      <c r="I16" s="130">
        <f>IF(SER_hh_tesh!I16=0,0,SER_hh_tesh!I16/SER_summary!I$26)</f>
        <v>28.334568264698838</v>
      </c>
      <c r="J16" s="130">
        <f>IF(SER_hh_tesh!J16=0,0,SER_hh_tesh!J16/SER_summary!J$26)</f>
        <v>33.443673434133743</v>
      </c>
      <c r="K16" s="130">
        <f>IF(SER_hh_tesh!K16=0,0,SER_hh_tesh!K16/SER_summary!K$26)</f>
        <v>34.402615990358093</v>
      </c>
      <c r="L16" s="130">
        <f>IF(SER_hh_tesh!L16=0,0,SER_hh_tesh!L16/SER_summary!L$26)</f>
        <v>28.074058011799327</v>
      </c>
      <c r="M16" s="130">
        <f>IF(SER_hh_tesh!M16=0,0,SER_hh_tesh!M16/SER_summary!M$26)</f>
        <v>30.555826242302324</v>
      </c>
      <c r="N16" s="130">
        <f>IF(SER_hh_tesh!N16=0,0,SER_hh_tesh!N16/SER_summary!N$26)</f>
        <v>48.506919885756183</v>
      </c>
      <c r="O16" s="130">
        <f>IF(SER_hh_tesh!O16=0,0,SER_hh_tesh!O16/SER_summary!O$26)</f>
        <v>29.015640572254103</v>
      </c>
      <c r="P16" s="130">
        <f>IF(SER_hh_tesh!P16=0,0,SER_hh_tesh!P16/SER_summary!P$26)</f>
        <v>25.219344261085968</v>
      </c>
      <c r="Q16" s="130">
        <f>IF(SER_hh_tesh!Q16=0,0,SER_hh_tesh!Q16/SER_summary!Q$26)</f>
        <v>45.333664477611741</v>
      </c>
      <c r="R16" s="130">
        <f>IF(SER_hh_tesh!R16=0,0,SER_hh_tesh!R16/SER_summary!R$26)</f>
        <v>29.208043273170947</v>
      </c>
      <c r="S16" s="130">
        <f>IF(SER_hh_tesh!S16=0,0,SER_hh_tesh!S16/SER_summary!S$26)</f>
        <v>44.944647446814862</v>
      </c>
      <c r="T16" s="130">
        <f>IF(SER_hh_tesh!T16=0,0,SER_hh_tesh!T16/SER_summary!T$26)</f>
        <v>34.566123985568545</v>
      </c>
      <c r="U16" s="130">
        <f>IF(SER_hh_tesh!U16=0,0,SER_hh_tesh!U16/SER_summary!U$26)</f>
        <v>46.335498972438266</v>
      </c>
      <c r="V16" s="130">
        <f>IF(SER_hh_tesh!V16=0,0,SER_hh_tesh!V16/SER_summary!V$26)</f>
        <v>33.835165348249483</v>
      </c>
      <c r="W16" s="130">
        <f>IF(SER_hh_tesh!W16=0,0,SER_hh_tesh!W16/SER_summary!W$26)</f>
        <v>42.325691944844671</v>
      </c>
      <c r="X16" s="130">
        <f>IF(SER_hh_tesh!X16=0,0,SER_hh_tesh!X16/SER_summary!X$26)</f>
        <v>56.163028917043768</v>
      </c>
      <c r="Y16" s="130">
        <f>IF(SER_hh_tesh!Y16=0,0,SER_hh_tesh!Y16/SER_summary!Y$26)</f>
        <v>45.097307324519072</v>
      </c>
      <c r="DA16" s="155" t="s">
        <v>521</v>
      </c>
    </row>
    <row r="17" spans="1:105" ht="12.95" customHeight="1" x14ac:dyDescent="0.25">
      <c r="A17" s="131" t="s">
        <v>73</v>
      </c>
      <c r="B17" s="132">
        <f>IF(SER_hh_tesh!B17=0,0,SER_hh_tesh!B17/SER_summary!B$26)</f>
        <v>25.502199585289514</v>
      </c>
      <c r="C17" s="132">
        <f>IF(SER_hh_tesh!C17=0,0,SER_hh_tesh!C17/SER_summary!C$26)</f>
        <v>27.939199018779167</v>
      </c>
      <c r="D17" s="132">
        <f>IF(SER_hh_tesh!D17=0,0,SER_hh_tesh!D17/SER_summary!D$26)</f>
        <v>24.610654933902634</v>
      </c>
      <c r="E17" s="132">
        <f>IF(SER_hh_tesh!E17=0,0,SER_hh_tesh!E17/SER_summary!E$26)</f>
        <v>57.304478033515231</v>
      </c>
      <c r="F17" s="132">
        <f>IF(SER_hh_tesh!F17=0,0,SER_hh_tesh!F17/SER_summary!F$26)</f>
        <v>25.879539905555934</v>
      </c>
      <c r="G17" s="132">
        <f>IF(SER_hh_tesh!G17=0,0,SER_hh_tesh!G17/SER_summary!G$26)</f>
        <v>26.038112174130841</v>
      </c>
      <c r="H17" s="132">
        <f>IF(SER_hh_tesh!H17=0,0,SER_hh_tesh!H17/SER_summary!H$26)</f>
        <v>30.686618610905303</v>
      </c>
      <c r="I17" s="132">
        <f>IF(SER_hh_tesh!I17=0,0,SER_hh_tesh!I17/SER_summary!I$26)</f>
        <v>28.334568264634477</v>
      </c>
      <c r="J17" s="132">
        <f>IF(SER_hh_tesh!J17=0,0,SER_hh_tesh!J17/SER_summary!J$26)</f>
        <v>33.443673433954409</v>
      </c>
      <c r="K17" s="132">
        <f>IF(SER_hh_tesh!K17=0,0,SER_hh_tesh!K17/SER_summary!K$26)</f>
        <v>34.402615990145414</v>
      </c>
      <c r="L17" s="132">
        <f>IF(SER_hh_tesh!L17=0,0,SER_hh_tesh!L17/SER_summary!L$26)</f>
        <v>28.074058011631397</v>
      </c>
      <c r="M17" s="132">
        <f>IF(SER_hh_tesh!M17=0,0,SER_hh_tesh!M17/SER_summary!M$26)</f>
        <v>30.555826242189816</v>
      </c>
      <c r="N17" s="132">
        <f>IF(SER_hh_tesh!N17=0,0,SER_hh_tesh!N17/SER_summary!N$26)</f>
        <v>48.506919885677256</v>
      </c>
      <c r="O17" s="132">
        <f>IF(SER_hh_tesh!O17=0,0,SER_hh_tesh!O17/SER_summary!O$26)</f>
        <v>29.015640572632218</v>
      </c>
      <c r="P17" s="132">
        <f>IF(SER_hh_tesh!P17=0,0,SER_hh_tesh!P17/SER_summary!P$26)</f>
        <v>25.219344261857824</v>
      </c>
      <c r="Q17" s="132">
        <f>IF(SER_hh_tesh!Q17=0,0,SER_hh_tesh!Q17/SER_summary!Q$26)</f>
        <v>45.33366447910678</v>
      </c>
      <c r="R17" s="132">
        <f>IF(SER_hh_tesh!R17=0,0,SER_hh_tesh!R17/SER_summary!R$26)</f>
        <v>29.802115720946365</v>
      </c>
      <c r="S17" s="132">
        <f>IF(SER_hh_tesh!S17=0,0,SER_hh_tesh!S17/SER_summary!S$26)</f>
        <v>45.460779812454547</v>
      </c>
      <c r="T17" s="132">
        <f>IF(SER_hh_tesh!T17=0,0,SER_hh_tesh!T17/SER_summary!T$26)</f>
        <v>34.904224050457081</v>
      </c>
      <c r="U17" s="132">
        <f>IF(SER_hh_tesh!U17=0,0,SER_hh_tesh!U17/SER_summary!U$26)</f>
        <v>46.335498973585885</v>
      </c>
      <c r="V17" s="132">
        <f>IF(SER_hh_tesh!V17=0,0,SER_hh_tesh!V17/SER_summary!V$26)</f>
        <v>33.722613495357514</v>
      </c>
      <c r="W17" s="132">
        <f>IF(SER_hh_tesh!W17=0,0,SER_hh_tesh!W17/SER_summary!W$26)</f>
        <v>41.594386720463312</v>
      </c>
      <c r="X17" s="132">
        <f>IF(SER_hh_tesh!X17=0,0,SER_hh_tesh!X17/SER_summary!X$26)</f>
        <v>55.67377433349445</v>
      </c>
      <c r="Y17" s="132">
        <f>IF(SER_hh_tesh!Y17=0,0,SER_hh_tesh!Y17/SER_summary!Y$26)</f>
        <v>48.761700929781362</v>
      </c>
      <c r="DA17" s="156" t="s">
        <v>522</v>
      </c>
    </row>
    <row r="18" spans="1:105" ht="12" customHeight="1" x14ac:dyDescent="0.25">
      <c r="A18" s="131" t="s">
        <v>72</v>
      </c>
      <c r="B18" s="132">
        <f>IF(SER_hh_tesh!B18=0,0,SER_hh_tesh!B18/SER_summary!B$26)</f>
        <v>25.502199585289514</v>
      </c>
      <c r="C18" s="132">
        <f>IF(SER_hh_tesh!C18=0,0,SER_hh_tesh!C18/SER_summary!C$26)</f>
        <v>27.939199018778677</v>
      </c>
      <c r="D18" s="132">
        <f>IF(SER_hh_tesh!D18=0,0,SER_hh_tesh!D18/SER_summary!D$26)</f>
        <v>24.610654934094921</v>
      </c>
      <c r="E18" s="132">
        <f>IF(SER_hh_tesh!E18=0,0,SER_hh_tesh!E18/SER_summary!E$26)</f>
        <v>57.304478033719867</v>
      </c>
      <c r="F18" s="132">
        <f>IF(SER_hh_tesh!F18=0,0,SER_hh_tesh!F18/SER_summary!F$26)</f>
        <v>25.879539905389169</v>
      </c>
      <c r="G18" s="132">
        <f>IF(SER_hh_tesh!G18=0,0,SER_hh_tesh!G18/SER_summary!G$26)</f>
        <v>26.038112173813822</v>
      </c>
      <c r="H18" s="132">
        <f>IF(SER_hh_tesh!H18=0,0,SER_hh_tesh!H18/SER_summary!H$26)</f>
        <v>30.68661861072874</v>
      </c>
      <c r="I18" s="132">
        <f>IF(SER_hh_tesh!I18=0,0,SER_hh_tesh!I18/SER_summary!I$26)</f>
        <v>28.33456826469919</v>
      </c>
      <c r="J18" s="132">
        <f>IF(SER_hh_tesh!J18=0,0,SER_hh_tesh!J18/SER_summary!J$26)</f>
        <v>33.443673434134844</v>
      </c>
      <c r="K18" s="132">
        <f>IF(SER_hh_tesh!K18=0,0,SER_hh_tesh!K18/SER_summary!K$26)</f>
        <v>34.402615990359621</v>
      </c>
      <c r="L18" s="132">
        <f>IF(SER_hh_tesh!L18=0,0,SER_hh_tesh!L18/SER_summary!L$26)</f>
        <v>28.07405801180068</v>
      </c>
      <c r="M18" s="132">
        <f>IF(SER_hh_tesh!M18=0,0,SER_hh_tesh!M18/SER_summary!M$26)</f>
        <v>30.555826242303304</v>
      </c>
      <c r="N18" s="132">
        <f>IF(SER_hh_tesh!N18=0,0,SER_hh_tesh!N18/SER_summary!N$26)</f>
        <v>48.506919885756929</v>
      </c>
      <c r="O18" s="132">
        <f>IF(SER_hh_tesh!O18=0,0,SER_hh_tesh!O18/SER_summary!O$26)</f>
        <v>29.015640572250156</v>
      </c>
      <c r="P18" s="132">
        <f>IF(SER_hh_tesh!P18=0,0,SER_hh_tesh!P18/SER_summary!P$26)</f>
        <v>25.219344261077147</v>
      </c>
      <c r="Q18" s="132">
        <f>IF(SER_hh_tesh!Q18=0,0,SER_hh_tesh!Q18/SER_summary!Q$26)</f>
        <v>45.333664477593459</v>
      </c>
      <c r="R18" s="132">
        <f>IF(SER_hh_tesh!R18=0,0,SER_hh_tesh!R18/SER_summary!R$26)</f>
        <v>29.200246913620639</v>
      </c>
      <c r="S18" s="132">
        <f>IF(SER_hh_tesh!S18=0,0,SER_hh_tesh!S18/SER_summary!S$26)</f>
        <v>44.937470612753138</v>
      </c>
      <c r="T18" s="132">
        <f>IF(SER_hh_tesh!T18=0,0,SER_hh_tesh!T18/SER_summary!T$26)</f>
        <v>34.561220975333889</v>
      </c>
      <c r="U18" s="132">
        <f>IF(SER_hh_tesh!U18=0,0,SER_hh_tesh!U18/SER_summary!U$26)</f>
        <v>46.335498972421171</v>
      </c>
      <c r="V18" s="132">
        <f>IF(SER_hh_tesh!V18=0,0,SER_hh_tesh!V18/SER_summary!V$26)</f>
        <v>33.83687882983233</v>
      </c>
      <c r="W18" s="132">
        <f>IF(SER_hh_tesh!W18=0,0,SER_hh_tesh!W18/SER_summary!W$26)</f>
        <v>42.3369469452253</v>
      </c>
      <c r="X18" s="132">
        <f>IF(SER_hh_tesh!X18=0,0,SER_hh_tesh!X18/SER_summary!X$26)</f>
        <v>56.171066723290963</v>
      </c>
      <c r="Y18" s="132">
        <f>IF(SER_hh_tesh!Y18=0,0,SER_hh_tesh!Y18/SER_summary!Y$26)</f>
        <v>45.033774696725679</v>
      </c>
      <c r="DA18" s="156" t="s">
        <v>523</v>
      </c>
    </row>
    <row r="19" spans="1:105" ht="12.95" customHeight="1" x14ac:dyDescent="0.25">
      <c r="A19" s="129" t="s">
        <v>35</v>
      </c>
      <c r="B19" s="130">
        <f>IF(SER_hh_tesh!B19=0,0,SER_hh_tesh!B19/SER_summary!B$26)</f>
        <v>20.493678457775726</v>
      </c>
      <c r="C19" s="130">
        <f>IF(SER_hh_tesh!C19=0,0,SER_hh_tesh!C19/SER_summary!C$26)</f>
        <v>20.897916136536047</v>
      </c>
      <c r="D19" s="130">
        <f>IF(SER_hh_tesh!D19=0,0,SER_hh_tesh!D19/SER_summary!D$26)</f>
        <v>21.165375497455049</v>
      </c>
      <c r="E19" s="130">
        <f>IF(SER_hh_tesh!E19=0,0,SER_hh_tesh!E19/SER_summary!E$26)</f>
        <v>20.938415196300866</v>
      </c>
      <c r="F19" s="130">
        <f>IF(SER_hh_tesh!F19=0,0,SER_hh_tesh!F19/SER_summary!F$26)</f>
        <v>21.365057797552961</v>
      </c>
      <c r="G19" s="130">
        <f>IF(SER_hh_tesh!G19=0,0,SER_hh_tesh!G19/SER_summary!G$26)</f>
        <v>21.105133949376434</v>
      </c>
      <c r="H19" s="130">
        <f>IF(SER_hh_tesh!H19=0,0,SER_hh_tesh!H19/SER_summary!H$26)</f>
        <v>21.133374087838924</v>
      </c>
      <c r="I19" s="130">
        <f>IF(SER_hh_tesh!I19=0,0,SER_hh_tesh!I19/SER_summary!I$26)</f>
        <v>21.587765263918563</v>
      </c>
      <c r="J19" s="130">
        <f>IF(SER_hh_tesh!J19=0,0,SER_hh_tesh!J19/SER_summary!J$26)</f>
        <v>21.524521324693563</v>
      </c>
      <c r="K19" s="130">
        <f>IF(SER_hh_tesh!K19=0,0,SER_hh_tesh!K19/SER_summary!K$26)</f>
        <v>21.460207362588012</v>
      </c>
      <c r="L19" s="130">
        <f>IF(SER_hh_tesh!L19=0,0,SER_hh_tesh!L19/SER_summary!L$26)</f>
        <v>21.588715178670292</v>
      </c>
      <c r="M19" s="130">
        <f>IF(SER_hh_tesh!M19=0,0,SER_hh_tesh!M19/SER_summary!M$26)</f>
        <v>21.935843641144107</v>
      </c>
      <c r="N19" s="130">
        <f>IF(SER_hh_tesh!N19=0,0,SER_hh_tesh!N19/SER_summary!N$26)</f>
        <v>21.724223863974942</v>
      </c>
      <c r="O19" s="130">
        <f>IF(SER_hh_tesh!O19=0,0,SER_hh_tesh!O19/SER_summary!O$26)</f>
        <v>22.586401427162514</v>
      </c>
      <c r="P19" s="130">
        <f>IF(SER_hh_tesh!P19=0,0,SER_hh_tesh!P19/SER_summary!P$26)</f>
        <v>22.883655674918479</v>
      </c>
      <c r="Q19" s="130">
        <f>IF(SER_hh_tesh!Q19=0,0,SER_hh_tesh!Q19/SER_summary!Q$26)</f>
        <v>22.987193828930238</v>
      </c>
      <c r="R19" s="130">
        <f>IF(SER_hh_tesh!R19=0,0,SER_hh_tesh!R19/SER_summary!R$26)</f>
        <v>23.552295871457599</v>
      </c>
      <c r="S19" s="130">
        <f>IF(SER_hh_tesh!S19=0,0,SER_hh_tesh!S19/SER_summary!S$26)</f>
        <v>23.228483775819925</v>
      </c>
      <c r="T19" s="130">
        <f>IF(SER_hh_tesh!T19=0,0,SER_hh_tesh!T19/SER_summary!T$26)</f>
        <v>23.152960176879677</v>
      </c>
      <c r="U19" s="130">
        <f>IF(SER_hh_tesh!U19=0,0,SER_hh_tesh!U19/SER_summary!U$26)</f>
        <v>22.097837416512203</v>
      </c>
      <c r="V19" s="130">
        <f>IF(SER_hh_tesh!V19=0,0,SER_hh_tesh!V19/SER_summary!V$26)</f>
        <v>20.068499507467163</v>
      </c>
      <c r="W19" s="130">
        <f>IF(SER_hh_tesh!W19=0,0,SER_hh_tesh!W19/SER_summary!W$26)</f>
        <v>23.71848674331925</v>
      </c>
      <c r="X19" s="130">
        <f>IF(SER_hh_tesh!X19=0,0,SER_hh_tesh!X19/SER_summary!X$26)</f>
        <v>24.451671393632214</v>
      </c>
      <c r="Y19" s="130">
        <f>IF(SER_hh_tesh!Y19=0,0,SER_hh_tesh!Y19/SER_summary!Y$26)</f>
        <v>24.679449847422703</v>
      </c>
      <c r="DA19" s="155" t="s">
        <v>524</v>
      </c>
    </row>
    <row r="20" spans="1:105" ht="12" customHeight="1" x14ac:dyDescent="0.25">
      <c r="A20" s="131" t="s">
        <v>29</v>
      </c>
      <c r="B20" s="132">
        <f>IF(SER_hh_tesh!B20=0,0,SER_hh_tesh!B20/SER_summary!B$26)</f>
        <v>0</v>
      </c>
      <c r="C20" s="132">
        <f>IF(SER_hh_tesh!C20=0,0,SER_hh_tesh!C20/SER_summary!C$26)</f>
        <v>0</v>
      </c>
      <c r="D20" s="132">
        <f>IF(SER_hh_tesh!D20=0,0,SER_hh_tesh!D20/SER_summary!D$26)</f>
        <v>0</v>
      </c>
      <c r="E20" s="132">
        <f>IF(SER_hh_tesh!E20=0,0,SER_hh_tesh!E20/SER_summary!E$26)</f>
        <v>0</v>
      </c>
      <c r="F20" s="132">
        <f>IF(SER_hh_tesh!F20=0,0,SER_hh_tesh!F20/SER_summary!F$26)</f>
        <v>0</v>
      </c>
      <c r="G20" s="132">
        <f>IF(SER_hh_tesh!G20=0,0,SER_hh_tesh!G20/SER_summary!G$26)</f>
        <v>0</v>
      </c>
      <c r="H20" s="132">
        <f>IF(SER_hh_tesh!H20=0,0,SER_hh_tesh!H20/SER_summary!H$26)</f>
        <v>0</v>
      </c>
      <c r="I20" s="132">
        <f>IF(SER_hh_tesh!I20=0,0,SER_hh_tesh!I20/SER_summary!I$26)</f>
        <v>0</v>
      </c>
      <c r="J20" s="132">
        <f>IF(SER_hh_tesh!J20=0,0,SER_hh_tesh!J20/SER_summary!J$26)</f>
        <v>0</v>
      </c>
      <c r="K20" s="132">
        <f>IF(SER_hh_tesh!K20=0,0,SER_hh_tesh!K20/SER_summary!K$26)</f>
        <v>0</v>
      </c>
      <c r="L20" s="132">
        <f>IF(SER_hh_tesh!L20=0,0,SER_hh_tesh!L20/SER_summary!L$26)</f>
        <v>0</v>
      </c>
      <c r="M20" s="132">
        <f>IF(SER_hh_tesh!M20=0,0,SER_hh_tesh!M20/SER_summary!M$26)</f>
        <v>0</v>
      </c>
      <c r="N20" s="132">
        <f>IF(SER_hh_tesh!N20=0,0,SER_hh_tesh!N20/SER_summary!N$26)</f>
        <v>0</v>
      </c>
      <c r="O20" s="132">
        <f>IF(SER_hh_tesh!O20=0,0,SER_hh_tesh!O20/SER_summary!O$26)</f>
        <v>0</v>
      </c>
      <c r="P20" s="132">
        <f>IF(SER_hh_tesh!P20=0,0,SER_hh_tesh!P20/SER_summary!P$26)</f>
        <v>0</v>
      </c>
      <c r="Q20" s="132">
        <f>IF(SER_hh_tesh!Q20=0,0,SER_hh_tesh!Q20/SER_summary!Q$26)</f>
        <v>0</v>
      </c>
      <c r="R20" s="132">
        <f>IF(SER_hh_tesh!R20=0,0,SER_hh_tesh!R20/SER_summary!R$26)</f>
        <v>0</v>
      </c>
      <c r="S20" s="132">
        <f>IF(SER_hh_tesh!S20=0,0,SER_hh_tesh!S20/SER_summary!S$26)</f>
        <v>0</v>
      </c>
      <c r="T20" s="132">
        <f>IF(SER_hh_tesh!T20=0,0,SER_hh_tesh!T20/SER_summary!T$26)</f>
        <v>0</v>
      </c>
      <c r="U20" s="132">
        <f>IF(SER_hh_tesh!U20=0,0,SER_hh_tesh!U20/SER_summary!U$26)</f>
        <v>0</v>
      </c>
      <c r="V20" s="132">
        <f>IF(SER_hh_tesh!V20=0,0,SER_hh_tesh!V20/SER_summary!V$26)</f>
        <v>0</v>
      </c>
      <c r="W20" s="132">
        <f>IF(SER_hh_tesh!W20=0,0,SER_hh_tesh!W20/SER_summary!W$26)</f>
        <v>0</v>
      </c>
      <c r="X20" s="132">
        <f>IF(SER_hh_tesh!X20=0,0,SER_hh_tesh!X20/SER_summary!X$26)</f>
        <v>0</v>
      </c>
      <c r="Y20" s="132">
        <f>IF(SER_hh_tesh!Y20=0,0,SER_hh_tesh!Y20/SER_summary!Y$26)</f>
        <v>0</v>
      </c>
      <c r="DA20" s="156" t="s">
        <v>525</v>
      </c>
    </row>
    <row r="21" spans="1:105" s="2" customFormat="1" ht="12" customHeight="1" x14ac:dyDescent="0.25">
      <c r="A21" s="131" t="s">
        <v>52</v>
      </c>
      <c r="B21" s="132">
        <f>IF(SER_hh_tesh!B21=0,0,SER_hh_tesh!B21/SER_summary!B$26)</f>
        <v>20.691973865846844</v>
      </c>
      <c r="C21" s="132">
        <f>IF(SER_hh_tesh!C21=0,0,SER_hh_tesh!C21/SER_summary!C$26)</f>
        <v>21.124941952440501</v>
      </c>
      <c r="D21" s="132">
        <f>IF(SER_hh_tesh!D21=0,0,SER_hh_tesh!D21/SER_summary!D$26)</f>
        <v>21.037674936170635</v>
      </c>
      <c r="E21" s="132">
        <f>IF(SER_hh_tesh!E21=0,0,SER_hh_tesh!E21/SER_summary!E$26)</f>
        <v>20.548456176307177</v>
      </c>
      <c r="F21" s="132">
        <f>IF(SER_hh_tesh!F21=0,0,SER_hh_tesh!F21/SER_summary!F$26)</f>
        <v>20.983671260882005</v>
      </c>
      <c r="G21" s="132">
        <f>IF(SER_hh_tesh!G21=0,0,SER_hh_tesh!G21/SER_summary!G$26)</f>
        <v>21.397816046130981</v>
      </c>
      <c r="H21" s="132">
        <f>IF(SER_hh_tesh!H21=0,0,SER_hh_tesh!H21/SER_summary!H$26)</f>
        <v>21.806047357890318</v>
      </c>
      <c r="I21" s="132">
        <f>IF(SER_hh_tesh!I21=0,0,SER_hh_tesh!I21/SER_summary!I$26)</f>
        <v>21.016839648584021</v>
      </c>
      <c r="J21" s="132">
        <f>IF(SER_hh_tesh!J21=0,0,SER_hh_tesh!J21/SER_summary!J$26)</f>
        <v>21.790364145642343</v>
      </c>
      <c r="K21" s="132">
        <f>IF(SER_hh_tesh!K21=0,0,SER_hh_tesh!K21/SER_summary!K$26)</f>
        <v>21.162001614262778</v>
      </c>
      <c r="L21" s="132">
        <f>IF(SER_hh_tesh!L21=0,0,SER_hh_tesh!L21/SER_summary!L$26)</f>
        <v>21.511431066659071</v>
      </c>
      <c r="M21" s="132">
        <f>IF(SER_hh_tesh!M21=0,0,SER_hh_tesh!M21/SER_summary!M$26)</f>
        <v>22.571397339202676</v>
      </c>
      <c r="N21" s="132">
        <f>IF(SER_hh_tesh!N21=0,0,SER_hh_tesh!N21/SER_summary!N$26)</f>
        <v>21.108812397361813</v>
      </c>
      <c r="O21" s="132">
        <f>IF(SER_hh_tesh!O21=0,0,SER_hh_tesh!O21/SER_summary!O$26)</f>
        <v>22.813694797076966</v>
      </c>
      <c r="P21" s="132">
        <f>IF(SER_hh_tesh!P21=0,0,SER_hh_tesh!P21/SER_summary!P$26)</f>
        <v>21.190788172186455</v>
      </c>
      <c r="Q21" s="132">
        <f>IF(SER_hh_tesh!Q21=0,0,SER_hh_tesh!Q21/SER_summary!Q$26)</f>
        <v>20.729077773345129</v>
      </c>
      <c r="R21" s="132">
        <f>IF(SER_hh_tesh!R21=0,0,SER_hh_tesh!R21/SER_summary!R$26)</f>
        <v>23.63775279610913</v>
      </c>
      <c r="S21" s="132">
        <f>IF(SER_hh_tesh!S21=0,0,SER_hh_tesh!S21/SER_summary!S$26)</f>
        <v>23.776628688238549</v>
      </c>
      <c r="T21" s="132">
        <f>IF(SER_hh_tesh!T21=0,0,SER_hh_tesh!T21/SER_summary!T$26)</f>
        <v>22.317704904743518</v>
      </c>
      <c r="U21" s="132">
        <f>IF(SER_hh_tesh!U21=0,0,SER_hh_tesh!U21/SER_summary!U$26)</f>
        <v>22.774284551790213</v>
      </c>
      <c r="V21" s="132">
        <f>IF(SER_hh_tesh!V21=0,0,SER_hh_tesh!V21/SER_summary!V$26)</f>
        <v>20.474008892716679</v>
      </c>
      <c r="W21" s="132">
        <f>IF(SER_hh_tesh!W21=0,0,SER_hh_tesh!W21/SER_summary!W$26)</f>
        <v>22.945576984306005</v>
      </c>
      <c r="X21" s="132">
        <f>IF(SER_hh_tesh!X21=0,0,SER_hh_tesh!X21/SER_summary!X$26)</f>
        <v>23.93649846728146</v>
      </c>
      <c r="Y21" s="132">
        <f>IF(SER_hh_tesh!Y21=0,0,SER_hh_tesh!Y21/SER_summary!Y$26)</f>
        <v>24.770292963105149</v>
      </c>
      <c r="DA21" s="156" t="s">
        <v>526</v>
      </c>
    </row>
    <row r="22" spans="1:105" ht="12" customHeight="1" x14ac:dyDescent="0.25">
      <c r="A22" s="131" t="s">
        <v>161</v>
      </c>
      <c r="B22" s="132">
        <f>IF(SER_hh_tesh!B22=0,0,SER_hh_tesh!B22/SER_summary!B$26)</f>
        <v>21.106912025767535</v>
      </c>
      <c r="C22" s="132">
        <f>IF(SER_hh_tesh!C22=0,0,SER_hh_tesh!C22/SER_summary!C$26)</f>
        <v>21.134786154754249</v>
      </c>
      <c r="D22" s="132">
        <f>IF(SER_hh_tesh!D22=0,0,SER_hh_tesh!D22/SER_summary!D$26)</f>
        <v>20.518865701751611</v>
      </c>
      <c r="E22" s="132">
        <f>IF(SER_hh_tesh!E22=0,0,SER_hh_tesh!E22/SER_summary!E$26)</f>
        <v>21.019950284963318</v>
      </c>
      <c r="F22" s="132">
        <f>IF(SER_hh_tesh!F22=0,0,SER_hh_tesh!F22/SER_summary!F$26)</f>
        <v>20.64298111300036</v>
      </c>
      <c r="G22" s="132">
        <f>IF(SER_hh_tesh!G22=0,0,SER_hh_tesh!G22/SER_summary!G$26)</f>
        <v>20.674360448930749</v>
      </c>
      <c r="H22" s="132">
        <f>IF(SER_hh_tesh!H22=0,0,SER_hh_tesh!H22/SER_summary!H$26)</f>
        <v>21.436109303064317</v>
      </c>
      <c r="I22" s="132">
        <f>IF(SER_hh_tesh!I22=0,0,SER_hh_tesh!I22/SER_summary!I$26)</f>
        <v>21.537557106125018</v>
      </c>
      <c r="J22" s="132">
        <f>IF(SER_hh_tesh!J22=0,0,SER_hh_tesh!J22/SER_summary!J$26)</f>
        <v>22.269272427994423</v>
      </c>
      <c r="K22" s="132">
        <f>IF(SER_hh_tesh!K22=0,0,SER_hh_tesh!K22/SER_summary!K$26)</f>
        <v>20.985619294733269</v>
      </c>
      <c r="L22" s="132">
        <f>IF(SER_hh_tesh!L22=0,0,SER_hh_tesh!L22/SER_summary!L$26)</f>
        <v>20.532625265811014</v>
      </c>
      <c r="M22" s="132">
        <f>IF(SER_hh_tesh!M22=0,0,SER_hh_tesh!M22/SER_summary!M$26)</f>
        <v>21.430347122184351</v>
      </c>
      <c r="N22" s="132">
        <f>IF(SER_hh_tesh!N22=0,0,SER_hh_tesh!N22/SER_summary!N$26)</f>
        <v>21.683545282562104</v>
      </c>
      <c r="O22" s="132">
        <f>IF(SER_hh_tesh!O22=0,0,SER_hh_tesh!O22/SER_summary!O$26)</f>
        <v>22.817998009354561</v>
      </c>
      <c r="P22" s="132">
        <f>IF(SER_hh_tesh!P22=0,0,SER_hh_tesh!P22/SER_summary!P$26)</f>
        <v>22.82493148391789</v>
      </c>
      <c r="Q22" s="132">
        <f>IF(SER_hh_tesh!Q22=0,0,SER_hh_tesh!Q22/SER_summary!Q$26)</f>
        <v>22.804795888947531</v>
      </c>
      <c r="R22" s="132">
        <f>IF(SER_hh_tesh!R22=0,0,SER_hh_tesh!R22/SER_summary!R$26)</f>
        <v>22.609034170877546</v>
      </c>
      <c r="S22" s="132">
        <f>IF(SER_hh_tesh!S22=0,0,SER_hh_tesh!S22/SER_summary!S$26)</f>
        <v>23.316317840663466</v>
      </c>
      <c r="T22" s="132">
        <f>IF(SER_hh_tesh!T22=0,0,SER_hh_tesh!T22/SER_summary!T$26)</f>
        <v>23.746620186504728</v>
      </c>
      <c r="U22" s="132">
        <f>IF(SER_hh_tesh!U22=0,0,SER_hh_tesh!U22/SER_summary!U$26)</f>
        <v>22.232037697386488</v>
      </c>
      <c r="V22" s="132">
        <f>IF(SER_hh_tesh!V22=0,0,SER_hh_tesh!V22/SER_summary!V$26)</f>
        <v>19.198045713858519</v>
      </c>
      <c r="W22" s="132">
        <f>IF(SER_hh_tesh!W22=0,0,SER_hh_tesh!W22/SER_summary!W$26)</f>
        <v>22.249543912889521</v>
      </c>
      <c r="X22" s="132">
        <f>IF(SER_hh_tesh!X22=0,0,SER_hh_tesh!X22/SER_summary!X$26)</f>
        <v>24.41476072955415</v>
      </c>
      <c r="Y22" s="132">
        <f>IF(SER_hh_tesh!Y22=0,0,SER_hh_tesh!Y22/SER_summary!Y$26)</f>
        <v>24.718210104971167</v>
      </c>
      <c r="DA22" s="156" t="s">
        <v>527</v>
      </c>
    </row>
    <row r="23" spans="1:105" ht="12" customHeight="1" x14ac:dyDescent="0.25">
      <c r="A23" s="131" t="s">
        <v>149</v>
      </c>
      <c r="B23" s="132">
        <f>IF(SER_hh_tesh!B23=0,0,SER_hh_tesh!B23/SER_summary!B$26)</f>
        <v>20.465823293797381</v>
      </c>
      <c r="C23" s="132">
        <f>IF(SER_hh_tesh!C23=0,0,SER_hh_tesh!C23/SER_summary!C$26)</f>
        <v>20.862419245927736</v>
      </c>
      <c r="D23" s="132">
        <f>IF(SER_hh_tesh!D23=0,0,SER_hh_tesh!D23/SER_summary!D$26)</f>
        <v>21.1036892188426</v>
      </c>
      <c r="E23" s="132">
        <f>IF(SER_hh_tesh!E23=0,0,SER_hh_tesh!E23/SER_summary!E$26)</f>
        <v>21.054858156394587</v>
      </c>
      <c r="F23" s="132">
        <f>IF(SER_hh_tesh!F23=0,0,SER_hh_tesh!F23/SER_summary!F$26)</f>
        <v>21.035523680736262</v>
      </c>
      <c r="G23" s="132">
        <f>IF(SER_hh_tesh!G23=0,0,SER_hh_tesh!G23/SER_summary!G$26)</f>
        <v>21.264058871769752</v>
      </c>
      <c r="H23" s="132">
        <f>IF(SER_hh_tesh!H23=0,0,SER_hh_tesh!H23/SER_summary!H$26)</f>
        <v>21.254262329036283</v>
      </c>
      <c r="I23" s="132">
        <f>IF(SER_hh_tesh!I23=0,0,SER_hh_tesh!I23/SER_summary!I$26)</f>
        <v>21.319621740532629</v>
      </c>
      <c r="J23" s="132">
        <f>IF(SER_hh_tesh!J23=0,0,SER_hh_tesh!J23/SER_summary!J$26)</f>
        <v>21.492181722008088</v>
      </c>
      <c r="K23" s="132">
        <f>IF(SER_hh_tesh!K23=0,0,SER_hh_tesh!K23/SER_summary!K$26)</f>
        <v>21.545683944416432</v>
      </c>
      <c r="L23" s="132">
        <f>IF(SER_hh_tesh!L23=0,0,SER_hh_tesh!L23/SER_summary!L$26)</f>
        <v>21.372295929240309</v>
      </c>
      <c r="M23" s="132">
        <f>IF(SER_hh_tesh!M23=0,0,SER_hh_tesh!M23/SER_summary!M$26)</f>
        <v>21.703856557155042</v>
      </c>
      <c r="N23" s="132">
        <f>IF(SER_hh_tesh!N23=0,0,SER_hh_tesh!N23/SER_summary!N$26)</f>
        <v>21.969610932937247</v>
      </c>
      <c r="O23" s="132">
        <f>IF(SER_hh_tesh!O23=0,0,SER_hh_tesh!O23/SER_summary!O$26)</f>
        <v>22.37457320977536</v>
      </c>
      <c r="P23" s="132">
        <f>IF(SER_hh_tesh!P23=0,0,SER_hh_tesh!P23/SER_summary!P$26)</f>
        <v>22.613221458097353</v>
      </c>
      <c r="Q23" s="132">
        <f>IF(SER_hh_tesh!Q23=0,0,SER_hh_tesh!Q23/SER_summary!Q$26)</f>
        <v>22.770906191436723</v>
      </c>
      <c r="R23" s="132">
        <f>IF(SER_hh_tesh!R23=0,0,SER_hh_tesh!R23/SER_summary!R$26)</f>
        <v>22.71465181076805</v>
      </c>
      <c r="S23" s="132">
        <f>IF(SER_hh_tesh!S23=0,0,SER_hh_tesh!S23/SER_summary!S$26)</f>
        <v>23.252451830866363</v>
      </c>
      <c r="T23" s="132">
        <f>IF(SER_hh_tesh!T23=0,0,SER_hh_tesh!T23/SER_summary!T$26)</f>
        <v>24.641989767583393</v>
      </c>
      <c r="U23" s="132">
        <f>IF(SER_hh_tesh!U23=0,0,SER_hh_tesh!U23/SER_summary!U$26)</f>
        <v>21.442153450307693</v>
      </c>
      <c r="V23" s="132">
        <f>IF(SER_hh_tesh!V23=0,0,SER_hh_tesh!V23/SER_summary!V$26)</f>
        <v>20.64451606629061</v>
      </c>
      <c r="W23" s="132">
        <f>IF(SER_hh_tesh!W23=0,0,SER_hh_tesh!W23/SER_summary!W$26)</f>
        <v>23.773499198089201</v>
      </c>
      <c r="X23" s="132">
        <f>IF(SER_hh_tesh!X23=0,0,SER_hh_tesh!X23/SER_summary!X$26)</f>
        <v>24.186751637672899</v>
      </c>
      <c r="Y23" s="132">
        <f>IF(SER_hh_tesh!Y23=0,0,SER_hh_tesh!Y23/SER_summary!Y$26)</f>
        <v>24.612585003017813</v>
      </c>
      <c r="DA23" s="156" t="s">
        <v>528</v>
      </c>
    </row>
    <row r="24" spans="1:105" ht="12" customHeight="1" x14ac:dyDescent="0.25">
      <c r="A24" s="131" t="s">
        <v>128</v>
      </c>
      <c r="B24" s="132">
        <f>IF(SER_hh_tesh!B24=0,0,SER_hh_tesh!B24/SER_summary!B$26)</f>
        <v>0</v>
      </c>
      <c r="C24" s="132">
        <f>IF(SER_hh_tesh!C24=0,0,SER_hh_tesh!C24/SER_summary!C$26)</f>
        <v>0</v>
      </c>
      <c r="D24" s="132">
        <f>IF(SER_hh_tesh!D24=0,0,SER_hh_tesh!D24/SER_summary!D$26)</f>
        <v>0</v>
      </c>
      <c r="E24" s="132">
        <f>IF(SER_hh_tesh!E24=0,0,SER_hh_tesh!E24/SER_summary!E$26)</f>
        <v>0</v>
      </c>
      <c r="F24" s="132">
        <f>IF(SER_hh_tesh!F24=0,0,SER_hh_tesh!F24/SER_summary!F$26)</f>
        <v>0</v>
      </c>
      <c r="G24" s="132">
        <f>IF(SER_hh_tesh!G24=0,0,SER_hh_tesh!G24/SER_summary!G$26)</f>
        <v>0</v>
      </c>
      <c r="H24" s="132">
        <f>IF(SER_hh_tesh!H24=0,0,SER_hh_tesh!H24/SER_summary!H$26)</f>
        <v>0</v>
      </c>
      <c r="I24" s="132">
        <f>IF(SER_hh_tesh!I24=0,0,SER_hh_tesh!I24/SER_summary!I$26)</f>
        <v>0</v>
      </c>
      <c r="J24" s="132">
        <f>IF(SER_hh_tesh!J24=0,0,SER_hh_tesh!J24/SER_summary!J$26)</f>
        <v>0</v>
      </c>
      <c r="K24" s="132">
        <f>IF(SER_hh_tesh!K24=0,0,SER_hh_tesh!K24/SER_summary!K$26)</f>
        <v>0</v>
      </c>
      <c r="L24" s="132">
        <f>IF(SER_hh_tesh!L24=0,0,SER_hh_tesh!L24/SER_summary!L$26)</f>
        <v>0</v>
      </c>
      <c r="M24" s="132">
        <f>IF(SER_hh_tesh!M24=0,0,SER_hh_tesh!M24/SER_summary!M$26)</f>
        <v>0</v>
      </c>
      <c r="N24" s="132">
        <f>IF(SER_hh_tesh!N24=0,0,SER_hh_tesh!N24/SER_summary!N$26)</f>
        <v>0</v>
      </c>
      <c r="O24" s="132">
        <f>IF(SER_hh_tesh!O24=0,0,SER_hh_tesh!O24/SER_summary!O$26)</f>
        <v>0</v>
      </c>
      <c r="P24" s="132">
        <f>IF(SER_hh_tesh!P24=0,0,SER_hh_tesh!P24/SER_summary!P$26)</f>
        <v>0</v>
      </c>
      <c r="Q24" s="132">
        <f>IF(SER_hh_tesh!Q24=0,0,SER_hh_tesh!Q24/SER_summary!Q$26)</f>
        <v>0</v>
      </c>
      <c r="R24" s="132">
        <f>IF(SER_hh_tesh!R24=0,0,SER_hh_tesh!R24/SER_summary!R$26)</f>
        <v>0</v>
      </c>
      <c r="S24" s="132">
        <f>IF(SER_hh_tesh!S24=0,0,SER_hh_tesh!S24/SER_summary!S$26)</f>
        <v>0</v>
      </c>
      <c r="T24" s="132">
        <f>IF(SER_hh_tesh!T24=0,0,SER_hh_tesh!T24/SER_summary!T$26)</f>
        <v>0</v>
      </c>
      <c r="U24" s="132">
        <f>IF(SER_hh_tesh!U24=0,0,SER_hh_tesh!U24/SER_summary!U$26)</f>
        <v>0</v>
      </c>
      <c r="V24" s="132">
        <f>IF(SER_hh_tesh!V24=0,0,SER_hh_tesh!V24/SER_summary!V$26)</f>
        <v>0</v>
      </c>
      <c r="W24" s="132">
        <f>IF(SER_hh_tesh!W24=0,0,SER_hh_tesh!W24/SER_summary!W$26)</f>
        <v>0</v>
      </c>
      <c r="X24" s="132">
        <f>IF(SER_hh_tesh!X24=0,0,SER_hh_tesh!X24/SER_summary!X$26)</f>
        <v>0</v>
      </c>
      <c r="Y24" s="132">
        <f>IF(SER_hh_tesh!Y24=0,0,SER_hh_tesh!Y24/SER_summary!Y$26)</f>
        <v>0</v>
      </c>
      <c r="DA24" s="156" t="s">
        <v>529</v>
      </c>
    </row>
    <row r="25" spans="1:105" ht="12" customHeight="1" x14ac:dyDescent="0.25">
      <c r="A25" s="131" t="s">
        <v>162</v>
      </c>
      <c r="B25" s="132">
        <f>IF(SER_hh_tesh!B25=0,0,SER_hh_tesh!B25/SER_summary!B$26)</f>
        <v>0</v>
      </c>
      <c r="C25" s="132">
        <f>IF(SER_hh_tesh!C25=0,0,SER_hh_tesh!C25/SER_summary!C$26)</f>
        <v>0</v>
      </c>
      <c r="D25" s="132">
        <f>IF(SER_hh_tesh!D25=0,0,SER_hh_tesh!D25/SER_summary!D$26)</f>
        <v>0</v>
      </c>
      <c r="E25" s="132">
        <f>IF(SER_hh_tesh!E25=0,0,SER_hh_tesh!E25/SER_summary!E$26)</f>
        <v>0</v>
      </c>
      <c r="F25" s="132">
        <f>IF(SER_hh_tesh!F25=0,0,SER_hh_tesh!F25/SER_summary!F$26)</f>
        <v>29.938353523210704</v>
      </c>
      <c r="G25" s="132">
        <f>IF(SER_hh_tesh!G25=0,0,SER_hh_tesh!G25/SER_summary!G$26)</f>
        <v>23.697917075139738</v>
      </c>
      <c r="H25" s="132">
        <f>IF(SER_hh_tesh!H25=0,0,SER_hh_tesh!H25/SER_summary!H$26)</f>
        <v>21.182051862275184</v>
      </c>
      <c r="I25" s="132">
        <f>IF(SER_hh_tesh!I25=0,0,SER_hh_tesh!I25/SER_summary!I$26)</f>
        <v>20.777806844120221</v>
      </c>
      <c r="J25" s="132">
        <f>IF(SER_hh_tesh!J25=0,0,SER_hh_tesh!J25/SER_summary!J$26)</f>
        <v>20.100748472758617</v>
      </c>
      <c r="K25" s="132">
        <f>IF(SER_hh_tesh!K25=0,0,SER_hh_tesh!K25/SER_summary!K$26)</f>
        <v>21.762365434440461</v>
      </c>
      <c r="L25" s="132">
        <f>IF(SER_hh_tesh!L25=0,0,SER_hh_tesh!L25/SER_summary!L$26)</f>
        <v>20.722976665522946</v>
      </c>
      <c r="M25" s="132">
        <f>IF(SER_hh_tesh!M25=0,0,SER_hh_tesh!M25/SER_summary!M$26)</f>
        <v>20.587956813822462</v>
      </c>
      <c r="N25" s="132">
        <f>IF(SER_hh_tesh!N25=0,0,SER_hh_tesh!N25/SER_summary!N$26)</f>
        <v>20.796227814153102</v>
      </c>
      <c r="O25" s="132">
        <f>IF(SER_hh_tesh!O25=0,0,SER_hh_tesh!O25/SER_summary!O$26)</f>
        <v>23.319552883628372</v>
      </c>
      <c r="P25" s="132">
        <f>IF(SER_hh_tesh!P25=0,0,SER_hh_tesh!P25/SER_summary!P$26)</f>
        <v>23.722661779610029</v>
      </c>
      <c r="Q25" s="132">
        <f>IF(SER_hh_tesh!Q25=0,0,SER_hh_tesh!Q25/SER_summary!Q$26)</f>
        <v>22.565428435553844</v>
      </c>
      <c r="R25" s="132">
        <f>IF(SER_hh_tesh!R25=0,0,SER_hh_tesh!R25/SER_summary!R$26)</f>
        <v>23.614956777615941</v>
      </c>
      <c r="S25" s="132">
        <f>IF(SER_hh_tesh!S25=0,0,SER_hh_tesh!S25/SER_summary!S$26)</f>
        <v>23.284885706247938</v>
      </c>
      <c r="T25" s="132">
        <f>IF(SER_hh_tesh!T25=0,0,SER_hh_tesh!T25/SER_summary!T$26)</f>
        <v>23.538959893011633</v>
      </c>
      <c r="U25" s="132">
        <f>IF(SER_hh_tesh!U25=0,0,SER_hh_tesh!U25/SER_summary!U$26)</f>
        <v>22.926519722345155</v>
      </c>
      <c r="V25" s="132">
        <f>IF(SER_hh_tesh!V25=0,0,SER_hh_tesh!V25/SER_summary!V$26)</f>
        <v>21.900420832611026</v>
      </c>
      <c r="W25" s="132">
        <f>IF(SER_hh_tesh!W25=0,0,SER_hh_tesh!W25/SER_summary!W$26)</f>
        <v>20.433262241744021</v>
      </c>
      <c r="X25" s="132">
        <f>IF(SER_hh_tesh!X25=0,0,SER_hh_tesh!X25/SER_summary!X$26)</f>
        <v>24.685323656961611</v>
      </c>
      <c r="Y25" s="132">
        <f>IF(SER_hh_tesh!Y25=0,0,SER_hh_tesh!Y25/SER_summary!Y$26)</f>
        <v>23.946872690402014</v>
      </c>
      <c r="DA25" s="156" t="s">
        <v>530</v>
      </c>
    </row>
    <row r="26" spans="1:105" ht="12" customHeight="1" x14ac:dyDescent="0.25">
      <c r="A26" s="131" t="s">
        <v>24</v>
      </c>
      <c r="B26" s="65">
        <f>IF(SER_hh_tesh!B26=0,0,SER_hh_tesh!B26/SER_summary!B$26)</f>
        <v>20.310490424193397</v>
      </c>
      <c r="C26" s="65">
        <f>IF(SER_hh_tesh!C26=0,0,SER_hh_tesh!C26/SER_summary!C$26)</f>
        <v>20.760471672740294</v>
      </c>
      <c r="D26" s="65">
        <f>IF(SER_hh_tesh!D26=0,0,SER_hh_tesh!D26/SER_summary!D$26)</f>
        <v>21.156962934627121</v>
      </c>
      <c r="E26" s="65">
        <f>IF(SER_hh_tesh!E26=0,0,SER_hh_tesh!E26/SER_summary!E$26)</f>
        <v>20.735764006347203</v>
      </c>
      <c r="F26" s="65">
        <f>IF(SER_hh_tesh!F26=0,0,SER_hh_tesh!F26/SER_summary!F$26)</f>
        <v>21.427451541655827</v>
      </c>
      <c r="G26" s="65">
        <f>IF(SER_hh_tesh!G26=0,0,SER_hh_tesh!G26/SER_summary!G$26)</f>
        <v>20.707344586482908</v>
      </c>
      <c r="H26" s="65">
        <f>IF(SER_hh_tesh!H26=0,0,SER_hh_tesh!H26/SER_summary!H$26)</f>
        <v>20.677062714339559</v>
      </c>
      <c r="I26" s="65">
        <f>IF(SER_hh_tesh!I26=0,0,SER_hh_tesh!I26/SER_summary!I$26)</f>
        <v>21.407461762130676</v>
      </c>
      <c r="J26" s="65">
        <f>IF(SER_hh_tesh!J26=0,0,SER_hh_tesh!J26/SER_summary!J$26)</f>
        <v>20.971556364926141</v>
      </c>
      <c r="K26" s="65">
        <f>IF(SER_hh_tesh!K26=0,0,SER_hh_tesh!K26/SER_summary!K$26)</f>
        <v>20.736902800979998</v>
      </c>
      <c r="L26" s="65">
        <f>IF(SER_hh_tesh!L26=0,0,SER_hh_tesh!L26/SER_summary!L$26)</f>
        <v>20.785011184490706</v>
      </c>
      <c r="M26" s="65">
        <f>IF(SER_hh_tesh!M26=0,0,SER_hh_tesh!M26/SER_summary!M$26)</f>
        <v>21.063501225138488</v>
      </c>
      <c r="N26" s="65">
        <f>IF(SER_hh_tesh!N26=0,0,SER_hh_tesh!N26/SER_summary!N$26)</f>
        <v>20.411773637352439</v>
      </c>
      <c r="O26" s="65">
        <f>IF(SER_hh_tesh!O26=0,0,SER_hh_tesh!O26/SER_summary!O$26)</f>
        <v>21.405741087361591</v>
      </c>
      <c r="P26" s="65">
        <f>IF(SER_hh_tesh!P26=0,0,SER_hh_tesh!P26/SER_summary!P$26)</f>
        <v>21.748374007544747</v>
      </c>
      <c r="Q26" s="65">
        <f>IF(SER_hh_tesh!Q26=0,0,SER_hh_tesh!Q26/SER_summary!Q$26)</f>
        <v>21.804524428779789</v>
      </c>
      <c r="R26" s="65">
        <f>IF(SER_hh_tesh!R26=0,0,SER_hh_tesh!R26/SER_summary!R$26)</f>
        <v>22.694646004116485</v>
      </c>
      <c r="S26" s="65">
        <f>IF(SER_hh_tesh!S26=0,0,SER_hh_tesh!S26/SER_summary!S$26)</f>
        <v>21.523916047647628</v>
      </c>
      <c r="T26" s="65">
        <f>IF(SER_hh_tesh!T26=0,0,SER_hh_tesh!T26/SER_summary!T$26)</f>
        <v>20.092473217629255</v>
      </c>
      <c r="U26" s="65">
        <f>IF(SER_hh_tesh!U26=0,0,SER_hh_tesh!U26/SER_summary!U$26)</f>
        <v>20.780908209566334</v>
      </c>
      <c r="V26" s="65">
        <f>IF(SER_hh_tesh!V26=0,0,SER_hh_tesh!V26/SER_summary!V$26)</f>
        <v>17.828628993266932</v>
      </c>
      <c r="W26" s="65">
        <f>IF(SER_hh_tesh!W26=0,0,SER_hh_tesh!W26/SER_summary!W$26)</f>
        <v>22.269799258703397</v>
      </c>
      <c r="X26" s="65">
        <f>IF(SER_hh_tesh!X26=0,0,SER_hh_tesh!X26/SER_summary!X$26)</f>
        <v>23.052536717111209</v>
      </c>
      <c r="Y26" s="65">
        <f>IF(SER_hh_tesh!Y26=0,0,SER_hh_tesh!Y26/SER_summary!Y$26)</f>
        <v>23.162268549689042</v>
      </c>
      <c r="DA26" s="109" t="s">
        <v>531</v>
      </c>
    </row>
    <row r="27" spans="1:105" ht="12" customHeight="1" x14ac:dyDescent="0.25">
      <c r="A27" s="144" t="s">
        <v>86</v>
      </c>
      <c r="B27" s="145">
        <f>IF(SER_hh_tesh!B27=0,0,SER_hh_tesh!B27/SER_summary!B$26)</f>
        <v>5.2851169339678289E-2</v>
      </c>
      <c r="C27" s="145">
        <f>IF(SER_hh_tesh!C27=0,0,SER_hh_tesh!C27/SER_summary!C$26)</f>
        <v>5.79446666714485E-2</v>
      </c>
      <c r="D27" s="145">
        <f>IF(SER_hh_tesh!D27=0,0,SER_hh_tesh!D27/SER_summary!D$26)</f>
        <v>6.5500084265643285E-2</v>
      </c>
      <c r="E27" s="145">
        <f>IF(SER_hh_tesh!E27=0,0,SER_hh_tesh!E27/SER_summary!E$26)</f>
        <v>7.4799812536465213E-2</v>
      </c>
      <c r="F27" s="145">
        <f>IF(SER_hh_tesh!F27=0,0,SER_hh_tesh!F27/SER_summary!F$26)</f>
        <v>8.5258034895146897E-2</v>
      </c>
      <c r="G27" s="145">
        <f>IF(SER_hh_tesh!G27=0,0,SER_hh_tesh!G27/SER_summary!G$26)</f>
        <v>0.12545165662852417</v>
      </c>
      <c r="H27" s="145">
        <f>IF(SER_hh_tesh!H27=0,0,SER_hh_tesh!H27/SER_summary!H$26)</f>
        <v>0.15637310455832362</v>
      </c>
      <c r="I27" s="145">
        <f>IF(SER_hh_tesh!I27=0,0,SER_hh_tesh!I27/SER_summary!I$26)</f>
        <v>0.23025246296860946</v>
      </c>
      <c r="J27" s="145">
        <f>IF(SER_hh_tesh!J27=0,0,SER_hh_tesh!J27/SER_summary!J$26)</f>
        <v>0.29377007927432186</v>
      </c>
      <c r="K27" s="145">
        <f>IF(SER_hh_tesh!K27=0,0,SER_hh_tesh!K27/SER_summary!K$26)</f>
        <v>0.3730205165682306</v>
      </c>
      <c r="L27" s="145">
        <f>IF(SER_hh_tesh!L27=0,0,SER_hh_tesh!L27/SER_summary!L$26)</f>
        <v>0.55626394309129534</v>
      </c>
      <c r="M27" s="145">
        <f>IF(SER_hh_tesh!M27=0,0,SER_hh_tesh!M27/SER_summary!M$26)</f>
        <v>0.57741848874448198</v>
      </c>
      <c r="N27" s="145">
        <f>IF(SER_hh_tesh!N27=0,0,SER_hh_tesh!N27/SER_summary!N$26)</f>
        <v>0.63702676076801423</v>
      </c>
      <c r="O27" s="145">
        <f>IF(SER_hh_tesh!O27=0,0,SER_hh_tesh!O27/SER_summary!O$26)</f>
        <v>0.69165141821195619</v>
      </c>
      <c r="P27" s="145">
        <f>IF(SER_hh_tesh!P27=0,0,SER_hh_tesh!P27/SER_summary!P$26)</f>
        <v>0.72935432930925381</v>
      </c>
      <c r="Q27" s="145">
        <f>IF(SER_hh_tesh!Q27=0,0,SER_hh_tesh!Q27/SER_summary!Q$26)</f>
        <v>0.76949443172137322</v>
      </c>
      <c r="R27" s="145">
        <f>IF(SER_hh_tesh!R27=0,0,SER_hh_tesh!R27/SER_summary!R$26)</f>
        <v>0.81043952557967391</v>
      </c>
      <c r="S27" s="145">
        <f>IF(SER_hh_tesh!S27=0,0,SER_hh_tesh!S27/SER_summary!S$26)</f>
        <v>0.84150663666111991</v>
      </c>
      <c r="T27" s="145">
        <f>IF(SER_hh_tesh!T27=0,0,SER_hh_tesh!T27/SER_summary!T$26)</f>
        <v>0.87754546925551247</v>
      </c>
      <c r="U27" s="145">
        <f>IF(SER_hh_tesh!U27=0,0,SER_hh_tesh!U27/SER_summary!U$26)</f>
        <v>0.91349827547714602</v>
      </c>
      <c r="V27" s="145">
        <f>IF(SER_hh_tesh!V27=0,0,SER_hh_tesh!V27/SER_summary!V$26)</f>
        <v>0.86535002795387284</v>
      </c>
      <c r="W27" s="145">
        <f>IF(SER_hh_tesh!W27=0,0,SER_hh_tesh!W27/SER_summary!W$26)</f>
        <v>0.88751773709214032</v>
      </c>
      <c r="X27" s="145">
        <f>IF(SER_hh_tesh!X27=0,0,SER_hh_tesh!X27/SER_summary!X$26)</f>
        <v>0.89141030586295211</v>
      </c>
      <c r="Y27" s="145">
        <f>IF(SER_hh_tesh!Y27=0,0,SER_hh_tesh!Y27/SER_summary!Y$26)</f>
        <v>0.88633973963941182</v>
      </c>
      <c r="DA27" s="158" t="s">
        <v>532</v>
      </c>
    </row>
    <row r="28" spans="1:105" ht="12" customHeight="1" x14ac:dyDescent="0.25">
      <c r="A28" s="78" t="s">
        <v>85</v>
      </c>
      <c r="B28" s="146">
        <f>IF(SER_hh_tesh!B28=0,0,SER_hh_tesh!B28/SER_summary!B$26)</f>
        <v>16.729181039114053</v>
      </c>
      <c r="C28" s="146">
        <f>IF(SER_hh_tesh!C28=0,0,SER_hh_tesh!C28/SER_summary!C$26)</f>
        <v>17.564452189591361</v>
      </c>
      <c r="D28" s="146">
        <f>IF(SER_hh_tesh!D28=0,0,SER_hh_tesh!D28/SER_summary!D$26)</f>
        <v>17.215584102102273</v>
      </c>
      <c r="E28" s="146">
        <f>IF(SER_hh_tesh!E28=0,0,SER_hh_tesh!E28/SER_summary!E$26)</f>
        <v>17.67376408045903</v>
      </c>
      <c r="F28" s="146">
        <f>IF(SER_hh_tesh!F28=0,0,SER_hh_tesh!F28/SER_summary!F$26)</f>
        <v>17.228851469085573</v>
      </c>
      <c r="G28" s="146">
        <f>IF(SER_hh_tesh!G28=0,0,SER_hh_tesh!G28/SER_summary!G$26)</f>
        <v>17.693043025338337</v>
      </c>
      <c r="H28" s="146">
        <f>IF(SER_hh_tesh!H28=0,0,SER_hh_tesh!H28/SER_summary!H$26)</f>
        <v>17.80060392797045</v>
      </c>
      <c r="I28" s="146">
        <f>IF(SER_hh_tesh!I28=0,0,SER_hh_tesh!I28/SER_summary!I$26)</f>
        <v>18.431500754390036</v>
      </c>
      <c r="J28" s="146">
        <f>IF(SER_hh_tesh!J28=0,0,SER_hh_tesh!J28/SER_summary!J$26)</f>
        <v>17.537244375592014</v>
      </c>
      <c r="K28" s="146">
        <f>IF(SER_hh_tesh!K28=0,0,SER_hh_tesh!K28/SER_summary!K$26)</f>
        <v>18.312925174278366</v>
      </c>
      <c r="L28" s="146">
        <f>IF(SER_hh_tesh!L28=0,0,SER_hh_tesh!L28/SER_summary!L$26)</f>
        <v>18.578569179997352</v>
      </c>
      <c r="M28" s="146">
        <f>IF(SER_hh_tesh!M28=0,0,SER_hh_tesh!M28/SER_summary!M$26)</f>
        <v>18.116578624511909</v>
      </c>
      <c r="N28" s="146">
        <f>IF(SER_hh_tesh!N28=0,0,SER_hh_tesh!N28/SER_summary!N$26)</f>
        <v>18.992166967824755</v>
      </c>
      <c r="O28" s="146">
        <f>IF(SER_hh_tesh!O28=0,0,SER_hh_tesh!O28/SER_summary!O$26)</f>
        <v>19.908519963652257</v>
      </c>
      <c r="P28" s="146">
        <f>IF(SER_hh_tesh!P28=0,0,SER_hh_tesh!P28/SER_summary!P$26)</f>
        <v>18.251726434387063</v>
      </c>
      <c r="Q28" s="146">
        <f>IF(SER_hh_tesh!Q28=0,0,SER_hh_tesh!Q28/SER_summary!Q$26)</f>
        <v>19.985154380155276</v>
      </c>
      <c r="R28" s="146">
        <f>IF(SER_hh_tesh!R28=0,0,SER_hh_tesh!R28/SER_summary!R$26)</f>
        <v>20.621367974365757</v>
      </c>
      <c r="S28" s="146">
        <f>IF(SER_hh_tesh!S28=0,0,SER_hh_tesh!S28/SER_summary!S$26)</f>
        <v>20.05542590162019</v>
      </c>
      <c r="T28" s="146">
        <f>IF(SER_hh_tesh!T28=0,0,SER_hh_tesh!T28/SER_summary!T$26)</f>
        <v>20.277337213058448</v>
      </c>
      <c r="U28" s="146">
        <f>IF(SER_hh_tesh!U28=0,0,SER_hh_tesh!U28/SER_summary!U$26)</f>
        <v>18.818168035926952</v>
      </c>
      <c r="V28" s="146">
        <f>IF(SER_hh_tesh!V28=0,0,SER_hh_tesh!V28/SER_summary!V$26)</f>
        <v>16.746368239682123</v>
      </c>
      <c r="W28" s="146">
        <f>IF(SER_hh_tesh!W28=0,0,SER_hh_tesh!W28/SER_summary!W$26)</f>
        <v>18.983249330600252</v>
      </c>
      <c r="X28" s="146">
        <f>IF(SER_hh_tesh!X28=0,0,SER_hh_tesh!X28/SER_summary!X$26)</f>
        <v>24.18735843203519</v>
      </c>
      <c r="Y28" s="146">
        <f>IF(SER_hh_tesh!Y28=0,0,SER_hh_tesh!Y28/SER_summary!Y$26)</f>
        <v>20.378367020184335</v>
      </c>
      <c r="DA28" s="159"/>
    </row>
    <row r="29" spans="1:105" ht="12.95" customHeight="1" x14ac:dyDescent="0.25">
      <c r="A29" s="129" t="s">
        <v>34</v>
      </c>
      <c r="B29" s="130">
        <f>IF(SER_hh_tesh!B29=0,0,SER_hh_tesh!B29/SER_summary!B$26)</f>
        <v>22.084145826176567</v>
      </c>
      <c r="C29" s="130">
        <f>IF(SER_hh_tesh!C29=0,0,SER_hh_tesh!C29/SER_summary!C$26)</f>
        <v>21.968393001485566</v>
      </c>
      <c r="D29" s="130">
        <f>IF(SER_hh_tesh!D29=0,0,SER_hh_tesh!D29/SER_summary!D$26)</f>
        <v>22.147819661191392</v>
      </c>
      <c r="E29" s="130">
        <f>IF(SER_hh_tesh!E29=0,0,SER_hh_tesh!E29/SER_summary!E$26)</f>
        <v>22.155858568146552</v>
      </c>
      <c r="F29" s="130">
        <f>IF(SER_hh_tesh!F29=0,0,SER_hh_tesh!F29/SER_summary!F$26)</f>
        <v>22.81100518835694</v>
      </c>
      <c r="G29" s="130">
        <f>IF(SER_hh_tesh!G29=0,0,SER_hh_tesh!G29/SER_summary!G$26)</f>
        <v>23.731097769640265</v>
      </c>
      <c r="H29" s="130">
        <f>IF(SER_hh_tesh!H29=0,0,SER_hh_tesh!H29/SER_summary!H$26)</f>
        <v>23.546852820717756</v>
      </c>
      <c r="I29" s="130">
        <f>IF(SER_hh_tesh!I29=0,0,SER_hh_tesh!I29/SER_summary!I$26)</f>
        <v>23.790160194988694</v>
      </c>
      <c r="J29" s="130">
        <f>IF(SER_hh_tesh!J29=0,0,SER_hh_tesh!J29/SER_summary!J$26)</f>
        <v>24.288373826776027</v>
      </c>
      <c r="K29" s="130">
        <f>IF(SER_hh_tesh!K29=0,0,SER_hh_tesh!K29/SER_summary!K$26)</f>
        <v>24.706998684653751</v>
      </c>
      <c r="L29" s="130">
        <f>IF(SER_hh_tesh!L29=0,0,SER_hh_tesh!L29/SER_summary!L$26)</f>
        <v>24.792774751824489</v>
      </c>
      <c r="M29" s="130">
        <f>IF(SER_hh_tesh!M29=0,0,SER_hh_tesh!M29/SER_summary!M$26)</f>
        <v>24.852486813637945</v>
      </c>
      <c r="N29" s="130">
        <f>IF(SER_hh_tesh!N29=0,0,SER_hh_tesh!N29/SER_summary!N$26)</f>
        <v>24.987885995716422</v>
      </c>
      <c r="O29" s="130">
        <f>IF(SER_hh_tesh!O29=0,0,SER_hh_tesh!O29/SER_summary!O$26)</f>
        <v>25.335075356088588</v>
      </c>
      <c r="P29" s="130">
        <f>IF(SER_hh_tesh!P29=0,0,SER_hh_tesh!P29/SER_summary!P$26)</f>
        <v>25.497146517016365</v>
      </c>
      <c r="Q29" s="130">
        <f>IF(SER_hh_tesh!Q29=0,0,SER_hh_tesh!Q29/SER_summary!Q$26)</f>
        <v>25.708336145539274</v>
      </c>
      <c r="R29" s="130">
        <f>IF(SER_hh_tesh!R29=0,0,SER_hh_tesh!R29/SER_summary!R$26)</f>
        <v>25.886784549471411</v>
      </c>
      <c r="S29" s="130">
        <f>IF(SER_hh_tesh!S29=0,0,SER_hh_tesh!S29/SER_summary!S$26)</f>
        <v>25.854697839853579</v>
      </c>
      <c r="T29" s="130">
        <f>IF(SER_hh_tesh!T29=0,0,SER_hh_tesh!T29/SER_summary!T$26)</f>
        <v>25.974800585911005</v>
      </c>
      <c r="U29" s="130">
        <f>IF(SER_hh_tesh!U29=0,0,SER_hh_tesh!U29/SER_summary!U$26)</f>
        <v>25.557257248125332</v>
      </c>
      <c r="V29" s="130">
        <f>IF(SER_hh_tesh!V29=0,0,SER_hh_tesh!V29/SER_summary!V$26)</f>
        <v>22.827447066016195</v>
      </c>
      <c r="W29" s="130">
        <f>IF(SER_hh_tesh!W29=0,0,SER_hh_tesh!W29/SER_summary!W$26)</f>
        <v>26.634157533444604</v>
      </c>
      <c r="X29" s="130">
        <f>IF(SER_hh_tesh!X29=0,0,SER_hh_tesh!X29/SER_summary!X$26)</f>
        <v>26.989871277352439</v>
      </c>
      <c r="Y29" s="130">
        <f>IF(SER_hh_tesh!Y29=0,0,SER_hh_tesh!Y29/SER_summary!Y$26)</f>
        <v>27.292340148411373</v>
      </c>
      <c r="DA29" s="155" t="s">
        <v>533</v>
      </c>
    </row>
    <row r="30" spans="1:105" ht="12" customHeight="1" x14ac:dyDescent="0.25">
      <c r="A30" s="131" t="s">
        <v>52</v>
      </c>
      <c r="B30" s="132">
        <f>IF(SER_hh_tesh!B30=0,0,SER_hh_tesh!B30/SER_summary!B$26)</f>
        <v>22.495561398248626</v>
      </c>
      <c r="C30" s="132">
        <f>IF(SER_hh_tesh!C30=0,0,SER_hh_tesh!C30/SER_summary!C$26)</f>
        <v>21.624085100793433</v>
      </c>
      <c r="D30" s="132">
        <f>IF(SER_hh_tesh!D30=0,0,SER_hh_tesh!D30/SER_summary!D$26)</f>
        <v>22.331717167528815</v>
      </c>
      <c r="E30" s="132">
        <f>IF(SER_hh_tesh!E30=0,0,SER_hh_tesh!E30/SER_summary!E$26)</f>
        <v>22.778136768003645</v>
      </c>
      <c r="F30" s="132">
        <f>IF(SER_hh_tesh!F30=0,0,SER_hh_tesh!F30/SER_summary!F$26)</f>
        <v>23.167046458449533</v>
      </c>
      <c r="G30" s="132">
        <f>IF(SER_hh_tesh!G30=0,0,SER_hh_tesh!G30/SER_summary!G$26)</f>
        <v>23.459840013724154</v>
      </c>
      <c r="H30" s="132">
        <f>IF(SER_hh_tesh!H30=0,0,SER_hh_tesh!H30/SER_summary!H$26)</f>
        <v>22.730868321463198</v>
      </c>
      <c r="I30" s="132">
        <f>IF(SER_hh_tesh!I30=0,0,SER_hh_tesh!I30/SER_summary!I$26)</f>
        <v>25.56048252455961</v>
      </c>
      <c r="J30" s="132">
        <f>IF(SER_hh_tesh!J30=0,0,SER_hh_tesh!J30/SER_summary!J$26)</f>
        <v>19.320565500277979</v>
      </c>
      <c r="K30" s="132">
        <f>IF(SER_hh_tesh!K30=0,0,SER_hh_tesh!K30/SER_summary!K$26)</f>
        <v>25.329195713942699</v>
      </c>
      <c r="L30" s="132">
        <f>IF(SER_hh_tesh!L30=0,0,SER_hh_tesh!L30/SER_summary!L$26)</f>
        <v>25.501623500508021</v>
      </c>
      <c r="M30" s="132">
        <f>IF(SER_hh_tesh!M30=0,0,SER_hh_tesh!M30/SER_summary!M$26)</f>
        <v>25.937599308741845</v>
      </c>
      <c r="N30" s="132">
        <f>IF(SER_hh_tesh!N30=0,0,SER_hh_tesh!N30/SER_summary!N$26)</f>
        <v>22.805356784820397</v>
      </c>
      <c r="O30" s="132">
        <f>IF(SER_hh_tesh!O30=0,0,SER_hh_tesh!O30/SER_summary!O$26)</f>
        <v>24.367411086482981</v>
      </c>
      <c r="P30" s="132">
        <f>IF(SER_hh_tesh!P30=0,0,SER_hh_tesh!P30/SER_summary!P$26)</f>
        <v>26.786336513498131</v>
      </c>
      <c r="Q30" s="132">
        <f>IF(SER_hh_tesh!Q30=0,0,SER_hh_tesh!Q30/SER_summary!Q$26)</f>
        <v>25.847956429274024</v>
      </c>
      <c r="R30" s="132">
        <f>IF(SER_hh_tesh!R30=0,0,SER_hh_tesh!R30/SER_summary!R$26)</f>
        <v>25.750619822809981</v>
      </c>
      <c r="S30" s="132">
        <f>IF(SER_hh_tesh!S30=0,0,SER_hh_tesh!S30/SER_summary!S$26)</f>
        <v>26.134273706622452</v>
      </c>
      <c r="T30" s="132">
        <f>IF(SER_hh_tesh!T30=0,0,SER_hh_tesh!T30/SER_summary!T$26)</f>
        <v>25.637738432926735</v>
      </c>
      <c r="U30" s="132">
        <f>IF(SER_hh_tesh!U30=0,0,SER_hh_tesh!U30/SER_summary!U$26)</f>
        <v>24.544142240634013</v>
      </c>
      <c r="V30" s="132">
        <f>IF(SER_hh_tesh!V30=0,0,SER_hh_tesh!V30/SER_summary!V$26)</f>
        <v>25.275029843829017</v>
      </c>
      <c r="W30" s="132">
        <f>IF(SER_hh_tesh!W30=0,0,SER_hh_tesh!W30/SER_summary!W$26)</f>
        <v>25.962760969652322</v>
      </c>
      <c r="X30" s="132">
        <f>IF(SER_hh_tesh!X30=0,0,SER_hh_tesh!X30/SER_summary!X$26)</f>
        <v>26.959136086023786</v>
      </c>
      <c r="Y30" s="132">
        <f>IF(SER_hh_tesh!Y30=0,0,SER_hh_tesh!Y30/SER_summary!Y$26)</f>
        <v>27.242154383509824</v>
      </c>
      <c r="DA30" s="156" t="s">
        <v>534</v>
      </c>
    </row>
    <row r="31" spans="1:105" ht="12" customHeight="1" x14ac:dyDescent="0.25">
      <c r="A31" s="131" t="s">
        <v>149</v>
      </c>
      <c r="B31" s="132">
        <f>IF(SER_hh_tesh!B31=0,0,SER_hh_tesh!B31/SER_summary!B$26)</f>
        <v>22.072086457263197</v>
      </c>
      <c r="C31" s="132">
        <f>IF(SER_hh_tesh!C31=0,0,SER_hh_tesh!C31/SER_summary!C$26)</f>
        <v>22.409089743343195</v>
      </c>
      <c r="D31" s="132">
        <f>IF(SER_hh_tesh!D31=0,0,SER_hh_tesh!D31/SER_summary!D$26)</f>
        <v>22.82277529435364</v>
      </c>
      <c r="E31" s="132">
        <f>IF(SER_hh_tesh!E31=0,0,SER_hh_tesh!E31/SER_summary!E$26)</f>
        <v>20.832876718130663</v>
      </c>
      <c r="F31" s="132">
        <f>IF(SER_hh_tesh!F31=0,0,SER_hh_tesh!F31/SER_summary!F$26)</f>
        <v>21.25370412656946</v>
      </c>
      <c r="G31" s="132">
        <f>IF(SER_hh_tesh!G31=0,0,SER_hh_tesh!G31/SER_summary!G$26)</f>
        <v>24.33329941089</v>
      </c>
      <c r="H31" s="132">
        <f>IF(SER_hh_tesh!H31=0,0,SER_hh_tesh!H31/SER_summary!H$26)</f>
        <v>22.420799536702109</v>
      </c>
      <c r="I31" s="132">
        <f>IF(SER_hh_tesh!I31=0,0,SER_hh_tesh!I31/SER_summary!I$26)</f>
        <v>24.279176380376523</v>
      </c>
      <c r="J31" s="132">
        <f>IF(SER_hh_tesh!J31=0,0,SER_hh_tesh!J31/SER_summary!J$26)</f>
        <v>23.839791727899971</v>
      </c>
      <c r="K31" s="132">
        <f>IF(SER_hh_tesh!K31=0,0,SER_hh_tesh!K31/SER_summary!K$26)</f>
        <v>24.922209710789517</v>
      </c>
      <c r="L31" s="132">
        <f>IF(SER_hh_tesh!L31=0,0,SER_hh_tesh!L31/SER_summary!L$26)</f>
        <v>24.793068430675856</v>
      </c>
      <c r="M31" s="132">
        <f>IF(SER_hh_tesh!M31=0,0,SER_hh_tesh!M31/SER_summary!M$26)</f>
        <v>24.701886613320529</v>
      </c>
      <c r="N31" s="132">
        <f>IF(SER_hh_tesh!N31=0,0,SER_hh_tesh!N31/SER_summary!N$26)</f>
        <v>24.866074122492286</v>
      </c>
      <c r="O31" s="132">
        <f>IF(SER_hh_tesh!O31=0,0,SER_hh_tesh!O31/SER_summary!O$26)</f>
        <v>24.992506032270484</v>
      </c>
      <c r="P31" s="132">
        <f>IF(SER_hh_tesh!P31=0,0,SER_hh_tesh!P31/SER_summary!P$26)</f>
        <v>26.037728346377275</v>
      </c>
      <c r="Q31" s="132">
        <f>IF(SER_hh_tesh!Q31=0,0,SER_hh_tesh!Q31/SER_summary!Q$26)</f>
        <v>25.778636129048934</v>
      </c>
      <c r="R31" s="132">
        <f>IF(SER_hh_tesh!R31=0,0,SER_hh_tesh!R31/SER_summary!R$26)</f>
        <v>26.397345528244635</v>
      </c>
      <c r="S31" s="132">
        <f>IF(SER_hh_tesh!S31=0,0,SER_hh_tesh!S31/SER_summary!S$26)</f>
        <v>26.214899325263332</v>
      </c>
      <c r="T31" s="132">
        <f>IF(SER_hh_tesh!T31=0,0,SER_hh_tesh!T31/SER_summary!T$26)</f>
        <v>24.150369281963229</v>
      </c>
      <c r="U31" s="132">
        <f>IF(SER_hh_tesh!U31=0,0,SER_hh_tesh!U31/SER_summary!U$26)</f>
        <v>26.548498189394891</v>
      </c>
      <c r="V31" s="132">
        <f>IF(SER_hh_tesh!V31=0,0,SER_hh_tesh!V31/SER_summary!V$26)</f>
        <v>24.326396159571566</v>
      </c>
      <c r="W31" s="132">
        <f>IF(SER_hh_tesh!W31=0,0,SER_hh_tesh!W31/SER_summary!W$26)</f>
        <v>24.325611017061735</v>
      </c>
      <c r="X31" s="132">
        <f>IF(SER_hh_tesh!X31=0,0,SER_hh_tesh!X31/SER_summary!X$26)</f>
        <v>26.548085208724828</v>
      </c>
      <c r="Y31" s="132">
        <f>IF(SER_hh_tesh!Y31=0,0,SER_hh_tesh!Y31/SER_summary!Y$26)</f>
        <v>27.314806512116071</v>
      </c>
      <c r="DA31" s="156" t="s">
        <v>535</v>
      </c>
    </row>
    <row r="32" spans="1:105" ht="12" customHeight="1" x14ac:dyDescent="0.25">
      <c r="A32" s="131" t="s">
        <v>128</v>
      </c>
      <c r="B32" s="132">
        <f>IF(SER_hh_tesh!B32=0,0,SER_hh_tesh!B32/SER_summary!B$26)</f>
        <v>0</v>
      </c>
      <c r="C32" s="132">
        <f>IF(SER_hh_tesh!C32=0,0,SER_hh_tesh!C32/SER_summary!C$26)</f>
        <v>0</v>
      </c>
      <c r="D32" s="132">
        <f>IF(SER_hh_tesh!D32=0,0,SER_hh_tesh!D32/SER_summary!D$26)</f>
        <v>0</v>
      </c>
      <c r="E32" s="132">
        <f>IF(SER_hh_tesh!E32=0,0,SER_hh_tesh!E32/SER_summary!E$26)</f>
        <v>0</v>
      </c>
      <c r="F32" s="132">
        <f>IF(SER_hh_tesh!F32=0,0,SER_hh_tesh!F32/SER_summary!F$26)</f>
        <v>0</v>
      </c>
      <c r="G32" s="132">
        <f>IF(SER_hh_tesh!G32=0,0,SER_hh_tesh!G32/SER_summary!G$26)</f>
        <v>0</v>
      </c>
      <c r="H32" s="132">
        <f>IF(SER_hh_tesh!H32=0,0,SER_hh_tesh!H32/SER_summary!H$26)</f>
        <v>0</v>
      </c>
      <c r="I32" s="132">
        <f>IF(SER_hh_tesh!I32=0,0,SER_hh_tesh!I32/SER_summary!I$26)</f>
        <v>0</v>
      </c>
      <c r="J32" s="132">
        <f>IF(SER_hh_tesh!J32=0,0,SER_hh_tesh!J32/SER_summary!J$26)</f>
        <v>0</v>
      </c>
      <c r="K32" s="132">
        <f>IF(SER_hh_tesh!K32=0,0,SER_hh_tesh!K32/SER_summary!K$26)</f>
        <v>0</v>
      </c>
      <c r="L32" s="132">
        <f>IF(SER_hh_tesh!L32=0,0,SER_hh_tesh!L32/SER_summary!L$26)</f>
        <v>0</v>
      </c>
      <c r="M32" s="132">
        <f>IF(SER_hh_tesh!M32=0,0,SER_hh_tesh!M32/SER_summary!M$26)</f>
        <v>0</v>
      </c>
      <c r="N32" s="132">
        <f>IF(SER_hh_tesh!N32=0,0,SER_hh_tesh!N32/SER_summary!N$26)</f>
        <v>0</v>
      </c>
      <c r="O32" s="132">
        <f>IF(SER_hh_tesh!O32=0,0,SER_hh_tesh!O32/SER_summary!O$26)</f>
        <v>0</v>
      </c>
      <c r="P32" s="132">
        <f>IF(SER_hh_tesh!P32=0,0,SER_hh_tesh!P32/SER_summary!P$26)</f>
        <v>0</v>
      </c>
      <c r="Q32" s="132">
        <f>IF(SER_hh_tesh!Q32=0,0,SER_hh_tesh!Q32/SER_summary!Q$26)</f>
        <v>0</v>
      </c>
      <c r="R32" s="132">
        <f>IF(SER_hh_tesh!R32=0,0,SER_hh_tesh!R32/SER_summary!R$26)</f>
        <v>0</v>
      </c>
      <c r="S32" s="132">
        <f>IF(SER_hh_tesh!S32=0,0,SER_hh_tesh!S32/SER_summary!S$26)</f>
        <v>0</v>
      </c>
      <c r="T32" s="132">
        <f>IF(SER_hh_tesh!T32=0,0,SER_hh_tesh!T32/SER_summary!T$26)</f>
        <v>0</v>
      </c>
      <c r="U32" s="132">
        <f>IF(SER_hh_tesh!U32=0,0,SER_hh_tesh!U32/SER_summary!U$26)</f>
        <v>0</v>
      </c>
      <c r="V32" s="132">
        <f>IF(SER_hh_tesh!V32=0,0,SER_hh_tesh!V32/SER_summary!V$26)</f>
        <v>0</v>
      </c>
      <c r="W32" s="132">
        <f>IF(SER_hh_tesh!W32=0,0,SER_hh_tesh!W32/SER_summary!W$26)</f>
        <v>0</v>
      </c>
      <c r="X32" s="132">
        <f>IF(SER_hh_tesh!X32=0,0,SER_hh_tesh!X32/SER_summary!X$26)</f>
        <v>0</v>
      </c>
      <c r="Y32" s="132">
        <f>IF(SER_hh_tesh!Y32=0,0,SER_hh_tesh!Y32/SER_summary!Y$26)</f>
        <v>0</v>
      </c>
      <c r="DA32" s="156" t="s">
        <v>536</v>
      </c>
    </row>
    <row r="33" spans="1:105" ht="12" customHeight="1" x14ac:dyDescent="0.25">
      <c r="A33" s="62" t="s">
        <v>24</v>
      </c>
      <c r="B33" s="68">
        <f>IF(SER_hh_tesh!B33=0,0,SER_hh_tesh!B33/SER_summary!B$26)</f>
        <v>21.566973443302281</v>
      </c>
      <c r="C33" s="68">
        <f>IF(SER_hh_tesh!C33=0,0,SER_hh_tesh!C33/SER_summary!C$26)</f>
        <v>20.529118185310331</v>
      </c>
      <c r="D33" s="68">
        <f>IF(SER_hh_tesh!D33=0,0,SER_hh_tesh!D33/SER_summary!D$26)</f>
        <v>20.409130631798863</v>
      </c>
      <c r="E33" s="68">
        <f>IF(SER_hh_tesh!E33=0,0,SER_hh_tesh!E33/SER_summary!E$26)</f>
        <v>23.961312260062009</v>
      </c>
      <c r="F33" s="68">
        <f>IF(SER_hh_tesh!F33=0,0,SER_hh_tesh!F33/SER_summary!F$26)</f>
        <v>24.553069053931761</v>
      </c>
      <c r="G33" s="68">
        <f>IF(SER_hh_tesh!G33=0,0,SER_hh_tesh!G33/SER_summary!G$26)</f>
        <v>23.165021473101547</v>
      </c>
      <c r="H33" s="68">
        <f>IF(SER_hh_tesh!H33=0,0,SER_hh_tesh!H33/SER_summary!H$26)</f>
        <v>24.942902123047581</v>
      </c>
      <c r="I33" s="68">
        <f>IF(SER_hh_tesh!I33=0,0,SER_hh_tesh!I33/SER_summary!I$26)</f>
        <v>22.795552360270811</v>
      </c>
      <c r="J33" s="68">
        <f>IF(SER_hh_tesh!J33=0,0,SER_hh_tesh!J33/SER_summary!J$26)</f>
        <v>25.99726381711487</v>
      </c>
      <c r="K33" s="68">
        <f>IF(SER_hh_tesh!K33=0,0,SER_hh_tesh!K33/SER_summary!K$26)</f>
        <v>24.301697260316569</v>
      </c>
      <c r="L33" s="68">
        <f>IF(SER_hh_tesh!L33=0,0,SER_hh_tesh!L33/SER_summary!L$26)</f>
        <v>24.615617849137269</v>
      </c>
      <c r="M33" s="68">
        <f>IF(SER_hh_tesh!M33=0,0,SER_hh_tesh!M33/SER_summary!M$26)</f>
        <v>24.769032303578243</v>
      </c>
      <c r="N33" s="68">
        <f>IF(SER_hh_tesh!N33=0,0,SER_hh_tesh!N33/SER_summary!N$26)</f>
        <v>25.745264188737458</v>
      </c>
      <c r="O33" s="68">
        <f>IF(SER_hh_tesh!O33=0,0,SER_hh_tesh!O33/SER_summary!O$26)</f>
        <v>26.1329071956674</v>
      </c>
      <c r="P33" s="68">
        <f>IF(SER_hh_tesh!P33=0,0,SER_hh_tesh!P33/SER_summary!P$26)</f>
        <v>24.129574406769112</v>
      </c>
      <c r="Q33" s="68">
        <f>IF(SER_hh_tesh!Q33=0,0,SER_hh_tesh!Q33/SER_summary!Q$26)</f>
        <v>25.527097735315419</v>
      </c>
      <c r="R33" s="68">
        <f>IF(SER_hh_tesh!R33=0,0,SER_hh_tesh!R33/SER_summary!R$26)</f>
        <v>24.961889817435218</v>
      </c>
      <c r="S33" s="68">
        <f>IF(SER_hh_tesh!S33=0,0,SER_hh_tesh!S33/SER_summary!S$26)</f>
        <v>25.080333971223972</v>
      </c>
      <c r="T33" s="68">
        <f>IF(SER_hh_tesh!T33=0,0,SER_hh_tesh!T33/SER_summary!T$26)</f>
        <v>29.51450297731888</v>
      </c>
      <c r="U33" s="68">
        <f>IF(SER_hh_tesh!U33=0,0,SER_hh_tesh!U33/SER_summary!U$26)</f>
        <v>24.116787660351726</v>
      </c>
      <c r="V33" s="68">
        <f>IF(SER_hh_tesh!V33=0,0,SER_hh_tesh!V33/SER_summary!V$26)</f>
        <v>19.389524629188077</v>
      </c>
      <c r="W33" s="68">
        <f>IF(SER_hh_tesh!W33=0,0,SER_hh_tesh!W33/SER_summary!W$26)</f>
        <v>30.421369532469736</v>
      </c>
      <c r="X33" s="68">
        <f>IF(SER_hh_tesh!X33=0,0,SER_hh_tesh!X33/SER_summary!X$26)</f>
        <v>27.563503606795152</v>
      </c>
      <c r="Y33" s="68">
        <f>IF(SER_hh_tesh!Y33=0,0,SER_hh_tesh!Y33/SER_summary!Y$26)</f>
        <v>27.278323419122728</v>
      </c>
      <c r="DA33" s="111" t="s">
        <v>537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39997558519241921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538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92</v>
      </c>
      <c r="B3" s="125">
        <f>IF(SER_hh_emih!B3=0,0,SER_hh_emih!B3/SER_summary!B$26)</f>
        <v>32.233132291246527</v>
      </c>
      <c r="C3" s="125">
        <f>IF(SER_hh_emih!C3=0,0,SER_hh_emih!C3/SER_summary!C$26)</f>
        <v>32.120953853606402</v>
      </c>
      <c r="D3" s="125">
        <f>IF(SER_hh_emih!D3=0,0,SER_hh_emih!D3/SER_summary!D$26)</f>
        <v>30.121591236629811</v>
      </c>
      <c r="E3" s="125">
        <f>IF(SER_hh_emih!E3=0,0,SER_hh_emih!E3/SER_summary!E$26)</f>
        <v>34.018778527608013</v>
      </c>
      <c r="F3" s="125">
        <f>IF(SER_hh_emih!F3=0,0,SER_hh_emih!F3/SER_summary!F$26)</f>
        <v>33.731851097031878</v>
      </c>
      <c r="G3" s="125">
        <f>IF(SER_hh_emih!G3=0,0,SER_hh_emih!G3/SER_summary!G$26)</f>
        <v>39.177233762859338</v>
      </c>
      <c r="H3" s="125">
        <f>IF(SER_hh_emih!H3=0,0,SER_hh_emih!H3/SER_summary!H$26)</f>
        <v>38.767944317333559</v>
      </c>
      <c r="I3" s="125">
        <f>IF(SER_hh_emih!I3=0,0,SER_hh_emih!I3/SER_summary!I$26)</f>
        <v>35.616533582744864</v>
      </c>
      <c r="J3" s="125">
        <f>IF(SER_hh_emih!J3=0,0,SER_hh_emih!J3/SER_summary!J$26)</f>
        <v>42.212874123776757</v>
      </c>
      <c r="K3" s="125">
        <f>IF(SER_hh_emih!K3=0,0,SER_hh_emih!K3/SER_summary!K$26)</f>
        <v>41.020714872370178</v>
      </c>
      <c r="L3" s="125">
        <f>IF(SER_hh_emih!L3=0,0,SER_hh_emih!L3/SER_summary!L$26)</f>
        <v>40.881712158961363</v>
      </c>
      <c r="M3" s="125">
        <f>IF(SER_hh_emih!M3=0,0,SER_hh_emih!M3/SER_summary!M$26)</f>
        <v>34.45600439494271</v>
      </c>
      <c r="N3" s="125">
        <f>IF(SER_hh_emih!N3=0,0,SER_hh_emih!N3/SER_summary!N$26)</f>
        <v>33.879520362273361</v>
      </c>
      <c r="O3" s="125">
        <f>IF(SER_hh_emih!O3=0,0,SER_hh_emih!O3/SER_summary!O$26)</f>
        <v>33.666827325890992</v>
      </c>
      <c r="P3" s="125">
        <f>IF(SER_hh_emih!P3=0,0,SER_hh_emih!P3/SER_summary!P$26)</f>
        <v>28.022847280896972</v>
      </c>
      <c r="Q3" s="125">
        <f>IF(SER_hh_emih!Q3=0,0,SER_hh_emih!Q3/SER_summary!Q$26)</f>
        <v>29.955839781973271</v>
      </c>
      <c r="R3" s="125">
        <f>IF(SER_hh_emih!R3=0,0,SER_hh_emih!R3/SER_summary!R$26)</f>
        <v>30.180163123925912</v>
      </c>
      <c r="S3" s="125">
        <f>IF(SER_hh_emih!S3=0,0,SER_hh_emih!S3/SER_summary!S$26)</f>
        <v>29.84826012356989</v>
      </c>
      <c r="T3" s="125">
        <f>IF(SER_hh_emih!T3=0,0,SER_hh_emih!T3/SER_summary!T$26)</f>
        <v>32.448772820282038</v>
      </c>
      <c r="U3" s="125">
        <f>IF(SER_hh_emih!U3=0,0,SER_hh_emih!U3/SER_summary!U$26)</f>
        <v>31.386922139184072</v>
      </c>
      <c r="V3" s="125">
        <f>IF(SER_hh_emih!V3=0,0,SER_hh_emih!V3/SER_summary!V$26)</f>
        <v>29.541075426682706</v>
      </c>
      <c r="W3" s="125">
        <f>IF(SER_hh_emih!W3=0,0,SER_hh_emih!W3/SER_summary!W$26)</f>
        <v>26.879156773201185</v>
      </c>
      <c r="X3" s="125">
        <f>IF(SER_hh_emih!X3=0,0,SER_hh_emih!X3/SER_summary!X$26)</f>
        <v>23.494225232791202</v>
      </c>
      <c r="Y3" s="125">
        <f>IF(SER_hh_emih!Y3=0,0,SER_hh_emih!Y3/SER_summary!Y$26)</f>
        <v>25.639592624343535</v>
      </c>
      <c r="DA3" s="154" t="s">
        <v>539</v>
      </c>
    </row>
    <row r="4" spans="1:105" ht="12.95" customHeight="1" x14ac:dyDescent="0.25">
      <c r="A4" s="129" t="s">
        <v>32</v>
      </c>
      <c r="B4" s="130">
        <f>IF(SER_hh_emih!B4=0,0,SER_hh_emih!B4/SER_summary!B$26)</f>
        <v>21.650652876057965</v>
      </c>
      <c r="C4" s="130">
        <f>IF(SER_hh_emih!C4=0,0,SER_hh_emih!C4/SER_summary!C$26)</f>
        <v>21.892197161935556</v>
      </c>
      <c r="D4" s="130">
        <f>IF(SER_hh_emih!D4=0,0,SER_hh_emih!D4/SER_summary!D$26)</f>
        <v>20.510679277652823</v>
      </c>
      <c r="E4" s="130">
        <f>IF(SER_hh_emih!E4=0,0,SER_hh_emih!E4/SER_summary!E$26)</f>
        <v>25.411846263071954</v>
      </c>
      <c r="F4" s="130">
        <f>IF(SER_hh_emih!F4=0,0,SER_hh_emih!F4/SER_summary!F$26)</f>
        <v>25.569913084004583</v>
      </c>
      <c r="G4" s="130">
        <f>IF(SER_hh_emih!G4=0,0,SER_hh_emih!G4/SER_summary!G$26)</f>
        <v>30.772830586220657</v>
      </c>
      <c r="H4" s="130">
        <f>IF(SER_hh_emih!H4=0,0,SER_hh_emih!H4/SER_summary!H$26)</f>
        <v>30.908045894142589</v>
      </c>
      <c r="I4" s="130">
        <f>IF(SER_hh_emih!I4=0,0,SER_hh_emih!I4/SER_summary!I$26)</f>
        <v>27.436482775897851</v>
      </c>
      <c r="J4" s="130">
        <f>IF(SER_hh_emih!J4=0,0,SER_hh_emih!J4/SER_summary!J$26)</f>
        <v>34.3691994525959</v>
      </c>
      <c r="K4" s="130">
        <f>IF(SER_hh_emih!K4=0,0,SER_hh_emih!K4/SER_summary!K$26)</f>
        <v>32.794472090936985</v>
      </c>
      <c r="L4" s="130">
        <f>IF(SER_hh_emih!L4=0,0,SER_hh_emih!L4/SER_summary!L$26)</f>
        <v>32.696121861978945</v>
      </c>
      <c r="M4" s="130">
        <f>IF(SER_hh_emih!M4=0,0,SER_hh_emih!M4/SER_summary!M$26)</f>
        <v>26.174429663328205</v>
      </c>
      <c r="N4" s="130">
        <f>IF(SER_hh_emih!N4=0,0,SER_hh_emih!N4/SER_summary!N$26)</f>
        <v>25.628449976283974</v>
      </c>
      <c r="O4" s="130">
        <f>IF(SER_hh_emih!O4=0,0,SER_hh_emih!O4/SER_summary!O$26)</f>
        <v>25.21665187221031</v>
      </c>
      <c r="P4" s="130">
        <f>IF(SER_hh_emih!P4=0,0,SER_hh_emih!P4/SER_summary!P$26)</f>
        <v>19.107786055675533</v>
      </c>
      <c r="Q4" s="130">
        <f>IF(SER_hh_emih!Q4=0,0,SER_hh_emih!Q4/SER_summary!Q$26)</f>
        <v>20.982521214970067</v>
      </c>
      <c r="R4" s="130">
        <f>IF(SER_hh_emih!R4=0,0,SER_hh_emih!R4/SER_summary!R$26)</f>
        <v>21.049999832315635</v>
      </c>
      <c r="S4" s="130">
        <f>IF(SER_hh_emih!S4=0,0,SER_hh_emih!S4/SER_summary!S$26)</f>
        <v>20.64937557500825</v>
      </c>
      <c r="T4" s="130">
        <f>IF(SER_hh_emih!T4=0,0,SER_hh_emih!T4/SER_summary!T$26)</f>
        <v>23.518693817177883</v>
      </c>
      <c r="U4" s="130">
        <f>IF(SER_hh_emih!U4=0,0,SER_hh_emih!U4/SER_summary!U$26)</f>
        <v>22.573156182051981</v>
      </c>
      <c r="V4" s="130">
        <f>IF(SER_hh_emih!V4=0,0,SER_hh_emih!V4/SER_summary!V$26)</f>
        <v>21.449432690970042</v>
      </c>
      <c r="W4" s="130">
        <f>IF(SER_hh_emih!W4=0,0,SER_hh_emih!W4/SER_summary!W$26)</f>
        <v>18.81330980300709</v>
      </c>
      <c r="X4" s="130">
        <f>IF(SER_hh_emih!X4=0,0,SER_hh_emih!X4/SER_summary!X$26)</f>
        <v>15.360289421622516</v>
      </c>
      <c r="Y4" s="130">
        <f>IF(SER_hh_emih!Y4=0,0,SER_hh_emih!Y4/SER_summary!Y$26)</f>
        <v>17.449666549381078</v>
      </c>
      <c r="DA4" s="155" t="s">
        <v>540</v>
      </c>
    </row>
    <row r="5" spans="1:105" ht="12" customHeight="1" x14ac:dyDescent="0.25">
      <c r="A5" s="131" t="s">
        <v>29</v>
      </c>
      <c r="B5" s="132">
        <f>IF(SER_hh_emih!B5=0,0,SER_hh_emih!B5/SER_summary!B$26)</f>
        <v>0</v>
      </c>
      <c r="C5" s="132">
        <f>IF(SER_hh_emih!C5=0,0,SER_hh_emih!C5/SER_summary!C$26)</f>
        <v>0</v>
      </c>
      <c r="D5" s="132">
        <f>IF(SER_hh_emih!D5=0,0,SER_hh_emih!D5/SER_summary!D$26)</f>
        <v>0</v>
      </c>
      <c r="E5" s="132">
        <f>IF(SER_hh_emih!E5=0,0,SER_hh_emih!E5/SER_summary!E$26)</f>
        <v>0</v>
      </c>
      <c r="F5" s="132">
        <f>IF(SER_hh_emih!F5=0,0,SER_hh_emih!F5/SER_summary!F$26)</f>
        <v>0</v>
      </c>
      <c r="G5" s="132">
        <f>IF(SER_hh_emih!G5=0,0,SER_hh_emih!G5/SER_summary!G$26)</f>
        <v>0</v>
      </c>
      <c r="H5" s="132">
        <f>IF(SER_hh_emih!H5=0,0,SER_hh_emih!H5/SER_summary!H$26)</f>
        <v>0</v>
      </c>
      <c r="I5" s="132">
        <f>IF(SER_hh_emih!I5=0,0,SER_hh_emih!I5/SER_summary!I$26)</f>
        <v>0</v>
      </c>
      <c r="J5" s="132">
        <f>IF(SER_hh_emih!J5=0,0,SER_hh_emih!J5/SER_summary!J$26)</f>
        <v>0</v>
      </c>
      <c r="K5" s="132">
        <f>IF(SER_hh_emih!K5=0,0,SER_hh_emih!K5/SER_summary!K$26)</f>
        <v>0</v>
      </c>
      <c r="L5" s="132">
        <f>IF(SER_hh_emih!L5=0,0,SER_hh_emih!L5/SER_summary!L$26)</f>
        <v>0</v>
      </c>
      <c r="M5" s="132">
        <f>IF(SER_hh_emih!M5=0,0,SER_hh_emih!M5/SER_summary!M$26)</f>
        <v>0</v>
      </c>
      <c r="N5" s="132">
        <f>IF(SER_hh_emih!N5=0,0,SER_hh_emih!N5/SER_summary!N$26)</f>
        <v>0</v>
      </c>
      <c r="O5" s="132">
        <f>IF(SER_hh_emih!O5=0,0,SER_hh_emih!O5/SER_summary!O$26)</f>
        <v>0</v>
      </c>
      <c r="P5" s="132">
        <f>IF(SER_hh_emih!P5=0,0,SER_hh_emih!P5/SER_summary!P$26)</f>
        <v>0</v>
      </c>
      <c r="Q5" s="132">
        <f>IF(SER_hh_emih!Q5=0,0,SER_hh_emih!Q5/SER_summary!Q$26)</f>
        <v>0</v>
      </c>
      <c r="R5" s="132">
        <f>IF(SER_hh_emih!R5=0,0,SER_hh_emih!R5/SER_summary!R$26)</f>
        <v>0</v>
      </c>
      <c r="S5" s="132">
        <f>IF(SER_hh_emih!S5=0,0,SER_hh_emih!S5/SER_summary!S$26)</f>
        <v>0</v>
      </c>
      <c r="T5" s="132">
        <f>IF(SER_hh_emih!T5=0,0,SER_hh_emih!T5/SER_summary!T$26)</f>
        <v>0</v>
      </c>
      <c r="U5" s="132">
        <f>IF(SER_hh_emih!U5=0,0,SER_hh_emih!U5/SER_summary!U$26)</f>
        <v>0</v>
      </c>
      <c r="V5" s="132">
        <f>IF(SER_hh_emih!V5=0,0,SER_hh_emih!V5/SER_summary!V$26)</f>
        <v>0</v>
      </c>
      <c r="W5" s="132">
        <f>IF(SER_hh_emih!W5=0,0,SER_hh_emih!W5/SER_summary!W$26)</f>
        <v>0</v>
      </c>
      <c r="X5" s="132">
        <f>IF(SER_hh_emih!X5=0,0,SER_hh_emih!X5/SER_summary!X$26)</f>
        <v>0</v>
      </c>
      <c r="Y5" s="132">
        <f>IF(SER_hh_emih!Y5=0,0,SER_hh_emih!Y5/SER_summary!Y$26)</f>
        <v>0</v>
      </c>
      <c r="DA5" s="156" t="s">
        <v>541</v>
      </c>
    </row>
    <row r="6" spans="1:105" ht="12" customHeight="1" x14ac:dyDescent="0.25">
      <c r="A6" s="131" t="s">
        <v>52</v>
      </c>
      <c r="B6" s="132">
        <f>IF(SER_hh_emih!B6=0,0,SER_hh_emih!B6/SER_summary!B$26)</f>
        <v>38.27454237747903</v>
      </c>
      <c r="C6" s="132">
        <f>IF(SER_hh_emih!C6=0,0,SER_hh_emih!C6/SER_summary!C$26)</f>
        <v>38.783202016758928</v>
      </c>
      <c r="D6" s="132">
        <f>IF(SER_hh_emih!D6=0,0,SER_hh_emih!D6/SER_summary!D$26)</f>
        <v>36.884538358627069</v>
      </c>
      <c r="E6" s="132">
        <f>IF(SER_hh_emih!E6=0,0,SER_hh_emih!E6/SER_summary!E$26)</f>
        <v>44.680492533995015</v>
      </c>
      <c r="F6" s="132">
        <f>IF(SER_hh_emih!F6=0,0,SER_hh_emih!F6/SER_summary!F$26)</f>
        <v>45.861982750050181</v>
      </c>
      <c r="G6" s="132">
        <f>IF(SER_hh_emih!G6=0,0,SER_hh_emih!G6/SER_summary!G$26)</f>
        <v>53.385482726092079</v>
      </c>
      <c r="H6" s="132">
        <f>IF(SER_hh_emih!H6=0,0,SER_hh_emih!H6/SER_summary!H$26)</f>
        <v>54.088785070161919</v>
      </c>
      <c r="I6" s="132">
        <f>IF(SER_hh_emih!I6=0,0,SER_hh_emih!I6/SER_summary!I$26)</f>
        <v>50.916512730543062</v>
      </c>
      <c r="J6" s="132">
        <f>IF(SER_hh_emih!J6=0,0,SER_hh_emih!J6/SER_summary!J$26)</f>
        <v>59.493915402548311</v>
      </c>
      <c r="K6" s="132">
        <f>IF(SER_hh_emih!K6=0,0,SER_hh_emih!K6/SER_summary!K$26)</f>
        <v>59.69468741702412</v>
      </c>
      <c r="L6" s="132">
        <f>IF(SER_hh_emih!L6=0,0,SER_hh_emih!L6/SER_summary!L$26)</f>
        <v>61.749496171433371</v>
      </c>
      <c r="M6" s="132">
        <f>IF(SER_hh_emih!M6=0,0,SER_hh_emih!M6/SER_summary!M$26)</f>
        <v>55.597498320256499</v>
      </c>
      <c r="N6" s="132">
        <f>IF(SER_hh_emih!N6=0,0,SER_hh_emih!N6/SER_summary!N$26)</f>
        <v>51.33026383000233</v>
      </c>
      <c r="O6" s="132">
        <f>IF(SER_hh_emih!O6=0,0,SER_hh_emih!O6/SER_summary!O$26)</f>
        <v>56.840892381123879</v>
      </c>
      <c r="P6" s="132">
        <f>IF(SER_hh_emih!P6=0,0,SER_hh_emih!P6/SER_summary!P$26)</f>
        <v>53.018026081650554</v>
      </c>
      <c r="Q6" s="132">
        <f>IF(SER_hh_emih!Q6=0,0,SER_hh_emih!Q6/SER_summary!Q$26)</f>
        <v>55.651960731297329</v>
      </c>
      <c r="R6" s="132">
        <f>IF(SER_hh_emih!R6=0,0,SER_hh_emih!R6/SER_summary!R$26)</f>
        <v>65.210546810522175</v>
      </c>
      <c r="S6" s="132">
        <f>IF(SER_hh_emih!S6=0,0,SER_hh_emih!S6/SER_summary!S$26)</f>
        <v>69.672496819642319</v>
      </c>
      <c r="T6" s="132">
        <f>IF(SER_hh_emih!T6=0,0,SER_hh_emih!T6/SER_summary!T$26)</f>
        <v>66.349600108222631</v>
      </c>
      <c r="U6" s="132">
        <f>IF(SER_hh_emih!U6=0,0,SER_hh_emih!U6/SER_summary!U$26)</f>
        <v>65.680092104237431</v>
      </c>
      <c r="V6" s="132">
        <f>IF(SER_hh_emih!V6=0,0,SER_hh_emih!V6/SER_summary!V$26)</f>
        <v>60.349230545089746</v>
      </c>
      <c r="W6" s="132">
        <f>IF(SER_hh_emih!W6=0,0,SER_hh_emih!W6/SER_summary!W$26)</f>
        <v>70.922424044153786</v>
      </c>
      <c r="X6" s="132">
        <f>IF(SER_hh_emih!X6=0,0,SER_hh_emih!X6/SER_summary!X$26)</f>
        <v>57.59447633267478</v>
      </c>
      <c r="Y6" s="132">
        <f>IF(SER_hh_emih!Y6=0,0,SER_hh_emih!Y6/SER_summary!Y$26)</f>
        <v>53.80141895348833</v>
      </c>
      <c r="DA6" s="156" t="s">
        <v>542</v>
      </c>
    </row>
    <row r="7" spans="1:105" ht="12" customHeight="1" x14ac:dyDescent="0.25">
      <c r="A7" s="131" t="s">
        <v>161</v>
      </c>
      <c r="B7" s="132">
        <f>IF(SER_hh_emih!B7=0,0,SER_hh_emih!B7/SER_summary!B$26)</f>
        <v>54.107496985927263</v>
      </c>
      <c r="C7" s="132">
        <f>IF(SER_hh_emih!C7=0,0,SER_hh_emih!C7/SER_summary!C$26)</f>
        <v>33.868952184924154</v>
      </c>
      <c r="D7" s="132">
        <f>IF(SER_hh_emih!D7=0,0,SER_hh_emih!D7/SER_summary!D$26)</f>
        <v>44.189810080445234</v>
      </c>
      <c r="E7" s="132">
        <f>IF(SER_hh_emih!E7=0,0,SER_hh_emih!E7/SER_summary!E$26)</f>
        <v>54.828332354598345</v>
      </c>
      <c r="F7" s="132">
        <f>IF(SER_hh_emih!F7=0,0,SER_hh_emih!F7/SER_summary!F$26)</f>
        <v>57.382643659031608</v>
      </c>
      <c r="G7" s="132">
        <f>IF(SER_hh_emih!G7=0,0,SER_hh_emih!G7/SER_summary!G$26)</f>
        <v>60.794385200750305</v>
      </c>
      <c r="H7" s="132">
        <f>IF(SER_hh_emih!H7=0,0,SER_hh_emih!H7/SER_summary!H$26)</f>
        <v>64.863887005849875</v>
      </c>
      <c r="I7" s="132">
        <f>IF(SER_hh_emih!I7=0,0,SER_hh_emih!I7/SER_summary!I$26)</f>
        <v>63.600328390036275</v>
      </c>
      <c r="J7" s="132">
        <f>IF(SER_hh_emih!J7=0,0,SER_hh_emih!J7/SER_summary!J$26)</f>
        <v>80.37802594908085</v>
      </c>
      <c r="K7" s="132">
        <f>IF(SER_hh_emih!K7=0,0,SER_hh_emih!K7/SER_summary!K$26)</f>
        <v>57.414669177987463</v>
      </c>
      <c r="L7" s="132">
        <f>IF(SER_hh_emih!L7=0,0,SER_hh_emih!L7/SER_summary!L$26)</f>
        <v>69.265582314685403</v>
      </c>
      <c r="M7" s="132">
        <f>IF(SER_hh_emih!M7=0,0,SER_hh_emih!M7/SER_summary!M$26)</f>
        <v>68.339821078929987</v>
      </c>
      <c r="N7" s="132">
        <f>IF(SER_hh_emih!N7=0,0,SER_hh_emih!N7/SER_summary!N$26)</f>
        <v>68.261283991120166</v>
      </c>
      <c r="O7" s="132">
        <f>IF(SER_hh_emih!O7=0,0,SER_hh_emih!O7/SER_summary!O$26)</f>
        <v>62.140508106362056</v>
      </c>
      <c r="P7" s="132">
        <f>IF(SER_hh_emih!P7=0,0,SER_hh_emih!P7/SER_summary!P$26)</f>
        <v>65.033839845439573</v>
      </c>
      <c r="Q7" s="132">
        <f>IF(SER_hh_emih!Q7=0,0,SER_hh_emih!Q7/SER_summary!Q$26)</f>
        <v>79.329220245491371</v>
      </c>
      <c r="R7" s="132">
        <f>IF(SER_hh_emih!R7=0,0,SER_hh_emih!R7/SER_summary!R$26)</f>
        <v>85.72053996750283</v>
      </c>
      <c r="S7" s="132">
        <f>IF(SER_hh_emih!S7=0,0,SER_hh_emih!S7/SER_summary!S$26)</f>
        <v>69.172410401428493</v>
      </c>
      <c r="T7" s="132">
        <f>IF(SER_hh_emih!T7=0,0,SER_hh_emih!T7/SER_summary!T$26)</f>
        <v>88.974983196392714</v>
      </c>
      <c r="U7" s="132">
        <f>IF(SER_hh_emih!U7=0,0,SER_hh_emih!U7/SER_summary!U$26)</f>
        <v>68.889108596685944</v>
      </c>
      <c r="V7" s="132">
        <f>IF(SER_hh_emih!V7=0,0,SER_hh_emih!V7/SER_summary!V$26)</f>
        <v>47.875537901306608</v>
      </c>
      <c r="W7" s="132">
        <f>IF(SER_hh_emih!W7=0,0,SER_hh_emih!W7/SER_summary!W$26)</f>
        <v>63.932745145388544</v>
      </c>
      <c r="X7" s="132">
        <f>IF(SER_hh_emih!X7=0,0,SER_hh_emih!X7/SER_summary!X$26)</f>
        <v>65.568671940197476</v>
      </c>
      <c r="Y7" s="132">
        <f>IF(SER_hh_emih!Y7=0,0,SER_hh_emih!Y7/SER_summary!Y$26)</f>
        <v>61.488401762825184</v>
      </c>
      <c r="DA7" s="156" t="s">
        <v>543</v>
      </c>
    </row>
    <row r="8" spans="1:105" ht="12" customHeight="1" x14ac:dyDescent="0.25">
      <c r="A8" s="131" t="s">
        <v>73</v>
      </c>
      <c r="B8" s="132">
        <f>IF(SER_hh_emih!B8=0,0,SER_hh_emih!B8/SER_summary!B$26)</f>
        <v>13.836123474931167</v>
      </c>
      <c r="C8" s="132">
        <f>IF(SER_hh_emih!C8=0,0,SER_hh_emih!C8/SER_summary!C$26)</f>
        <v>14.315025596946485</v>
      </c>
      <c r="D8" s="132">
        <f>IF(SER_hh_emih!D8=0,0,SER_hh_emih!D8/SER_summary!D$26)</f>
        <v>12.335601048892791</v>
      </c>
      <c r="E8" s="132">
        <f>IF(SER_hh_emih!E8=0,0,SER_hh_emih!E8/SER_summary!E$26)</f>
        <v>13.317076000150564</v>
      </c>
      <c r="F8" s="132">
        <f>IF(SER_hh_emih!F8=0,0,SER_hh_emih!F8/SER_summary!F$26)</f>
        <v>13.072668089829003</v>
      </c>
      <c r="G8" s="132">
        <f>IF(SER_hh_emih!G8=0,0,SER_hh_emih!G8/SER_summary!G$26)</f>
        <v>13.413798904784898</v>
      </c>
      <c r="H8" s="132">
        <f>IF(SER_hh_emih!H8=0,0,SER_hh_emih!H8/SER_summary!H$26)</f>
        <v>13.36944769843053</v>
      </c>
      <c r="I8" s="132">
        <f>IF(SER_hh_emih!I8=0,0,SER_hh_emih!I8/SER_summary!I$26)</f>
        <v>12.964444411926117</v>
      </c>
      <c r="J8" s="132">
        <f>IF(SER_hh_emih!J8=0,0,SER_hh_emih!J8/SER_summary!J$26)</f>
        <v>12.978779439986225</v>
      </c>
      <c r="K8" s="132">
        <f>IF(SER_hh_emih!K8=0,0,SER_hh_emih!K8/SER_summary!K$26)</f>
        <v>12.185069966533399</v>
      </c>
      <c r="L8" s="132">
        <f>IF(SER_hh_emih!L8=0,0,SER_hh_emih!L8/SER_summary!L$26)</f>
        <v>10.996880144867955</v>
      </c>
      <c r="M8" s="132">
        <f>IF(SER_hh_emih!M8=0,0,SER_hh_emih!M8/SER_summary!M$26)</f>
        <v>9.9075224336502483</v>
      </c>
      <c r="N8" s="132">
        <f>IF(SER_hh_emih!N8=0,0,SER_hh_emih!N8/SER_summary!N$26)</f>
        <v>9.1108736401231525</v>
      </c>
      <c r="O8" s="132">
        <f>IF(SER_hh_emih!O8=0,0,SER_hh_emih!O8/SER_summary!O$26)</f>
        <v>8.992244841741277</v>
      </c>
      <c r="P8" s="132">
        <f>IF(SER_hh_emih!P8=0,0,SER_hh_emih!P8/SER_summary!P$26)</f>
        <v>9.3060521979863164</v>
      </c>
      <c r="Q8" s="132">
        <f>IF(SER_hh_emih!Q8=0,0,SER_hh_emih!Q8/SER_summary!Q$26)</f>
        <v>10.907890325587116</v>
      </c>
      <c r="R8" s="132">
        <f>IF(SER_hh_emih!R8=0,0,SER_hh_emih!R8/SER_summary!R$26)</f>
        <v>10.410843756986591</v>
      </c>
      <c r="S8" s="132">
        <f>IF(SER_hh_emih!S8=0,0,SER_hh_emih!S8/SER_summary!S$26)</f>
        <v>10.465661074409883</v>
      </c>
      <c r="T8" s="132">
        <f>IF(SER_hh_emih!T8=0,0,SER_hh_emih!T8/SER_summary!T$26)</f>
        <v>10.400104344358494</v>
      </c>
      <c r="U8" s="132">
        <f>IF(SER_hh_emih!U8=0,0,SER_hh_emih!U8/SER_summary!U$26)</f>
        <v>9.6828206426049075</v>
      </c>
      <c r="V8" s="132">
        <f>IF(SER_hh_emih!V8=0,0,SER_hh_emih!V8/SER_summary!V$26)</f>
        <v>9.2172719124160505</v>
      </c>
      <c r="W8" s="132">
        <f>IF(SER_hh_emih!W8=0,0,SER_hh_emih!W8/SER_summary!W$26)</f>
        <v>9.241743042978527</v>
      </c>
      <c r="X8" s="132">
        <f>IF(SER_hh_emih!X8=0,0,SER_hh_emih!X8/SER_summary!X$26)</f>
        <v>8.5425679348833512</v>
      </c>
      <c r="Y8" s="132">
        <f>IF(SER_hh_emih!Y8=0,0,SER_hh_emih!Y8/SER_summary!Y$26)</f>
        <v>8.2907878748237014</v>
      </c>
      <c r="DA8" s="156" t="s">
        <v>544</v>
      </c>
    </row>
    <row r="9" spans="1:105" ht="12" customHeight="1" x14ac:dyDescent="0.25">
      <c r="A9" s="131" t="s">
        <v>78</v>
      </c>
      <c r="B9" s="132">
        <f>IF(SER_hh_emih!B9=0,0,SER_hh_emih!B9/SER_summary!B$26)</f>
        <v>32.24997973508728</v>
      </c>
      <c r="C9" s="132">
        <f>IF(SER_hh_emih!C9=0,0,SER_hh_emih!C9/SER_summary!C$26)</f>
        <v>33.871421573916166</v>
      </c>
      <c r="D9" s="132">
        <f>IF(SER_hh_emih!D9=0,0,SER_hh_emih!D9/SER_summary!D$26)</f>
        <v>30.60961509682123</v>
      </c>
      <c r="E9" s="132">
        <f>IF(SER_hh_emih!E9=0,0,SER_hh_emih!E9/SER_summary!E$26)</f>
        <v>36.953677520034667</v>
      </c>
      <c r="F9" s="132">
        <f>IF(SER_hh_emih!F9=0,0,SER_hh_emih!F9/SER_summary!F$26)</f>
        <v>37.287869243658996</v>
      </c>
      <c r="G9" s="132">
        <f>IF(SER_hh_emih!G9=0,0,SER_hh_emih!G9/SER_summary!G$26)</f>
        <v>45.876527853722507</v>
      </c>
      <c r="H9" s="132">
        <f>IF(SER_hh_emih!H9=0,0,SER_hh_emih!H9/SER_summary!H$26)</f>
        <v>46.144776577856518</v>
      </c>
      <c r="I9" s="132">
        <f>IF(SER_hh_emih!I9=0,0,SER_hh_emih!I9/SER_summary!I$26)</f>
        <v>40.600689831269818</v>
      </c>
      <c r="J9" s="132">
        <f>IF(SER_hh_emih!J9=0,0,SER_hh_emih!J9/SER_summary!J$26)</f>
        <v>51.019740966488243</v>
      </c>
      <c r="K9" s="132">
        <f>IF(SER_hh_emih!K9=0,0,SER_hh_emih!K9/SER_summary!K$26)</f>
        <v>50.861139249669179</v>
      </c>
      <c r="L9" s="132">
        <f>IF(SER_hh_emih!L9=0,0,SER_hh_emih!L9/SER_summary!L$26)</f>
        <v>51.754081824077765</v>
      </c>
      <c r="M9" s="132">
        <f>IF(SER_hh_emih!M9=0,0,SER_hh_emih!M9/SER_summary!M$26)</f>
        <v>43.662168717804413</v>
      </c>
      <c r="N9" s="132">
        <f>IF(SER_hh_emih!N9=0,0,SER_hh_emih!N9/SER_summary!N$26)</f>
        <v>46.468695423711253</v>
      </c>
      <c r="O9" s="132">
        <f>IF(SER_hh_emih!O9=0,0,SER_hh_emih!O9/SER_summary!O$26)</f>
        <v>50.714335428460856</v>
      </c>
      <c r="P9" s="132">
        <f>IF(SER_hh_emih!P9=0,0,SER_hh_emih!P9/SER_summary!P$26)</f>
        <v>42.181208066365805</v>
      </c>
      <c r="Q9" s="132">
        <f>IF(SER_hh_emih!Q9=0,0,SER_hh_emih!Q9/SER_summary!Q$26)</f>
        <v>51.67798106953763</v>
      </c>
      <c r="R9" s="132">
        <f>IF(SER_hh_emih!R9=0,0,SER_hh_emih!R9/SER_summary!R$26)</f>
        <v>54.528449954291638</v>
      </c>
      <c r="S9" s="132">
        <f>IF(SER_hh_emih!S9=0,0,SER_hh_emih!S9/SER_summary!S$26)</f>
        <v>53.082461621506241</v>
      </c>
      <c r="T9" s="132">
        <f>IF(SER_hh_emih!T9=0,0,SER_hh_emih!T9/SER_summary!T$26)</f>
        <v>59.075995399829182</v>
      </c>
      <c r="U9" s="132">
        <f>IF(SER_hh_emih!U9=0,0,SER_hh_emih!U9/SER_summary!U$26)</f>
        <v>56.113679624252015</v>
      </c>
      <c r="V9" s="132">
        <f>IF(SER_hh_emih!V9=0,0,SER_hh_emih!V9/SER_summary!V$26)</f>
        <v>54.394146718169949</v>
      </c>
      <c r="W9" s="132">
        <f>IF(SER_hh_emih!W9=0,0,SER_hh_emih!W9/SER_summary!W$26)</f>
        <v>50.270963186277527</v>
      </c>
      <c r="X9" s="132">
        <f>IF(SER_hh_emih!X9=0,0,SER_hh_emih!X9/SER_summary!X$26)</f>
        <v>41.065008111378354</v>
      </c>
      <c r="Y9" s="132">
        <f>IF(SER_hh_emih!Y9=0,0,SER_hh_emih!Y9/SER_summary!Y$26)</f>
        <v>45.493615220334028</v>
      </c>
      <c r="DA9" s="156" t="s">
        <v>545</v>
      </c>
    </row>
    <row r="10" spans="1:105" ht="12" customHeight="1" x14ac:dyDescent="0.25">
      <c r="A10" s="131" t="s">
        <v>128</v>
      </c>
      <c r="B10" s="132">
        <f>IF(SER_hh_emih!B10=0,0,SER_hh_emih!B10/SER_summary!B$26)</f>
        <v>0</v>
      </c>
      <c r="C10" s="132">
        <f>IF(SER_hh_emih!C10=0,0,SER_hh_emih!C10/SER_summary!C$26)</f>
        <v>0</v>
      </c>
      <c r="D10" s="132">
        <f>IF(SER_hh_emih!D10=0,0,SER_hh_emih!D10/SER_summary!D$26)</f>
        <v>0</v>
      </c>
      <c r="E10" s="132">
        <f>IF(SER_hh_emih!E10=0,0,SER_hh_emih!E10/SER_summary!E$26)</f>
        <v>0</v>
      </c>
      <c r="F10" s="132">
        <f>IF(SER_hh_emih!F10=0,0,SER_hh_emih!F10/SER_summary!F$26)</f>
        <v>0</v>
      </c>
      <c r="G10" s="132">
        <f>IF(SER_hh_emih!G10=0,0,SER_hh_emih!G10/SER_summary!G$26)</f>
        <v>0</v>
      </c>
      <c r="H10" s="132">
        <f>IF(SER_hh_emih!H10=0,0,SER_hh_emih!H10/SER_summary!H$26)</f>
        <v>0</v>
      </c>
      <c r="I10" s="132">
        <f>IF(SER_hh_emih!I10=0,0,SER_hh_emih!I10/SER_summary!I$26)</f>
        <v>0</v>
      </c>
      <c r="J10" s="132">
        <f>IF(SER_hh_emih!J10=0,0,SER_hh_emih!J10/SER_summary!J$26)</f>
        <v>0</v>
      </c>
      <c r="K10" s="132">
        <f>IF(SER_hh_emih!K10=0,0,SER_hh_emih!K10/SER_summary!K$26)</f>
        <v>0</v>
      </c>
      <c r="L10" s="132">
        <f>IF(SER_hh_emih!L10=0,0,SER_hh_emih!L10/SER_summary!L$26)</f>
        <v>0</v>
      </c>
      <c r="M10" s="132">
        <f>IF(SER_hh_emih!M10=0,0,SER_hh_emih!M10/SER_summary!M$26)</f>
        <v>0</v>
      </c>
      <c r="N10" s="132">
        <f>IF(SER_hh_emih!N10=0,0,SER_hh_emih!N10/SER_summary!N$26)</f>
        <v>0</v>
      </c>
      <c r="O10" s="132">
        <f>IF(SER_hh_emih!O10=0,0,SER_hh_emih!O10/SER_summary!O$26)</f>
        <v>0</v>
      </c>
      <c r="P10" s="132">
        <f>IF(SER_hh_emih!P10=0,0,SER_hh_emih!P10/SER_summary!P$26)</f>
        <v>0</v>
      </c>
      <c r="Q10" s="132">
        <f>IF(SER_hh_emih!Q10=0,0,SER_hh_emih!Q10/SER_summary!Q$26)</f>
        <v>0</v>
      </c>
      <c r="R10" s="132">
        <f>IF(SER_hh_emih!R10=0,0,SER_hh_emih!R10/SER_summary!R$26)</f>
        <v>0</v>
      </c>
      <c r="S10" s="132">
        <f>IF(SER_hh_emih!S10=0,0,SER_hh_emih!S10/SER_summary!S$26)</f>
        <v>0</v>
      </c>
      <c r="T10" s="132">
        <f>IF(SER_hh_emih!T10=0,0,SER_hh_emih!T10/SER_summary!T$26)</f>
        <v>0</v>
      </c>
      <c r="U10" s="132">
        <f>IF(SER_hh_emih!U10=0,0,SER_hh_emih!U10/SER_summary!U$26)</f>
        <v>0</v>
      </c>
      <c r="V10" s="132">
        <f>IF(SER_hh_emih!V10=0,0,SER_hh_emih!V10/SER_summary!V$26)</f>
        <v>0</v>
      </c>
      <c r="W10" s="132">
        <f>IF(SER_hh_emih!W10=0,0,SER_hh_emih!W10/SER_summary!W$26)</f>
        <v>7.9714133128729028</v>
      </c>
      <c r="X10" s="132">
        <f>IF(SER_hh_emih!X10=0,0,SER_hh_emih!X10/SER_summary!X$26)</f>
        <v>21.332190670476393</v>
      </c>
      <c r="Y10" s="132">
        <f>IF(SER_hh_emih!Y10=0,0,SER_hh_emih!Y10/SER_summary!Y$26)</f>
        <v>17.390779044151916</v>
      </c>
      <c r="DA10" s="156" t="s">
        <v>546</v>
      </c>
    </row>
    <row r="11" spans="1:105" ht="12" customHeight="1" x14ac:dyDescent="0.25">
      <c r="A11" s="131" t="s">
        <v>25</v>
      </c>
      <c r="B11" s="132">
        <f>IF(SER_hh_emih!B11=0,0,SER_hh_emih!B11/SER_summary!B$26)</f>
        <v>0</v>
      </c>
      <c r="C11" s="132">
        <f>IF(SER_hh_emih!C11=0,0,SER_hh_emih!C11/SER_summary!C$26)</f>
        <v>0</v>
      </c>
      <c r="D11" s="132">
        <f>IF(SER_hh_emih!D11=0,0,SER_hh_emih!D11/SER_summary!D$26)</f>
        <v>0</v>
      </c>
      <c r="E11" s="132">
        <f>IF(SER_hh_emih!E11=0,0,SER_hh_emih!E11/SER_summary!E$26)</f>
        <v>0</v>
      </c>
      <c r="F11" s="132">
        <f>IF(SER_hh_emih!F11=0,0,SER_hh_emih!F11/SER_summary!F$26)</f>
        <v>0</v>
      </c>
      <c r="G11" s="132">
        <f>IF(SER_hh_emih!G11=0,0,SER_hh_emih!G11/SER_summary!G$26)</f>
        <v>0</v>
      </c>
      <c r="H11" s="132">
        <f>IF(SER_hh_emih!H11=0,0,SER_hh_emih!H11/SER_summary!H$26)</f>
        <v>0</v>
      </c>
      <c r="I11" s="132">
        <f>IF(SER_hh_emih!I11=0,0,SER_hh_emih!I11/SER_summary!I$26)</f>
        <v>0</v>
      </c>
      <c r="J11" s="132">
        <f>IF(SER_hh_emih!J11=0,0,SER_hh_emih!J11/SER_summary!J$26)</f>
        <v>0</v>
      </c>
      <c r="K11" s="132">
        <f>IF(SER_hh_emih!K11=0,0,SER_hh_emih!K11/SER_summary!K$26)</f>
        <v>0</v>
      </c>
      <c r="L11" s="132">
        <f>IF(SER_hh_emih!L11=0,0,SER_hh_emih!L11/SER_summary!L$26)</f>
        <v>0</v>
      </c>
      <c r="M11" s="132">
        <f>IF(SER_hh_emih!M11=0,0,SER_hh_emih!M11/SER_summary!M$26)</f>
        <v>0</v>
      </c>
      <c r="N11" s="132">
        <f>IF(SER_hh_emih!N11=0,0,SER_hh_emih!N11/SER_summary!N$26)</f>
        <v>0</v>
      </c>
      <c r="O11" s="132">
        <f>IF(SER_hh_emih!O11=0,0,SER_hh_emih!O11/SER_summary!O$26)</f>
        <v>0</v>
      </c>
      <c r="P11" s="132">
        <f>IF(SER_hh_emih!P11=0,0,SER_hh_emih!P11/SER_summary!P$26)</f>
        <v>0</v>
      </c>
      <c r="Q11" s="132">
        <f>IF(SER_hh_emih!Q11=0,0,SER_hh_emih!Q11/SER_summary!Q$26)</f>
        <v>0</v>
      </c>
      <c r="R11" s="132">
        <f>IF(SER_hh_emih!R11=0,0,SER_hh_emih!R11/SER_summary!R$26)</f>
        <v>0</v>
      </c>
      <c r="S11" s="132">
        <f>IF(SER_hh_emih!S11=0,0,SER_hh_emih!S11/SER_summary!S$26)</f>
        <v>0</v>
      </c>
      <c r="T11" s="132">
        <f>IF(SER_hh_emih!T11=0,0,SER_hh_emih!T11/SER_summary!T$26)</f>
        <v>0</v>
      </c>
      <c r="U11" s="132">
        <f>IF(SER_hh_emih!U11=0,0,SER_hh_emih!U11/SER_summary!U$26)</f>
        <v>0</v>
      </c>
      <c r="V11" s="132">
        <f>IF(SER_hh_emih!V11=0,0,SER_hh_emih!V11/SER_summary!V$26)</f>
        <v>0</v>
      </c>
      <c r="W11" s="132">
        <f>IF(SER_hh_emih!W11=0,0,SER_hh_emih!W11/SER_summary!W$26)</f>
        <v>0</v>
      </c>
      <c r="X11" s="132">
        <f>IF(SER_hh_emih!X11=0,0,SER_hh_emih!X11/SER_summary!X$26)</f>
        <v>0</v>
      </c>
      <c r="Y11" s="132">
        <f>IF(SER_hh_emih!Y11=0,0,SER_hh_emih!Y11/SER_summary!Y$26)</f>
        <v>0</v>
      </c>
      <c r="DA11" s="156" t="s">
        <v>547</v>
      </c>
    </row>
    <row r="12" spans="1:105" ht="12" customHeight="1" x14ac:dyDescent="0.25">
      <c r="A12" s="131" t="s">
        <v>162</v>
      </c>
      <c r="B12" s="132">
        <f>IF(SER_hh_emih!B12=0,0,SER_hh_emih!B12/SER_summary!B$26)</f>
        <v>0</v>
      </c>
      <c r="C12" s="132">
        <f>IF(SER_hh_emih!C12=0,0,SER_hh_emih!C12/SER_summary!C$26)</f>
        <v>0</v>
      </c>
      <c r="D12" s="132">
        <f>IF(SER_hh_emih!D12=0,0,SER_hh_emih!D12/SER_summary!D$26)</f>
        <v>0</v>
      </c>
      <c r="E12" s="132">
        <f>IF(SER_hh_emih!E12=0,0,SER_hh_emih!E12/SER_summary!E$26)</f>
        <v>0</v>
      </c>
      <c r="F12" s="132">
        <f>IF(SER_hh_emih!F12=0,0,SER_hh_emih!F12/SER_summary!F$26)</f>
        <v>0</v>
      </c>
      <c r="G12" s="132">
        <f>IF(SER_hh_emih!G12=0,0,SER_hh_emih!G12/SER_summary!G$26)</f>
        <v>0</v>
      </c>
      <c r="H12" s="132">
        <f>IF(SER_hh_emih!H12=0,0,SER_hh_emih!H12/SER_summary!H$26)</f>
        <v>0</v>
      </c>
      <c r="I12" s="132">
        <f>IF(SER_hh_emih!I12=0,0,SER_hh_emih!I12/SER_summary!I$26)</f>
        <v>0</v>
      </c>
      <c r="J12" s="132">
        <f>IF(SER_hh_emih!J12=0,0,SER_hh_emih!J12/SER_summary!J$26)</f>
        <v>0</v>
      </c>
      <c r="K12" s="132">
        <f>IF(SER_hh_emih!K12=0,0,SER_hh_emih!K12/SER_summary!K$26)</f>
        <v>0</v>
      </c>
      <c r="L12" s="132">
        <f>IF(SER_hh_emih!L12=0,0,SER_hh_emih!L12/SER_summary!L$26)</f>
        <v>0</v>
      </c>
      <c r="M12" s="132">
        <f>IF(SER_hh_emih!M12=0,0,SER_hh_emih!M12/SER_summary!M$26)</f>
        <v>0</v>
      </c>
      <c r="N12" s="132">
        <f>IF(SER_hh_emih!N12=0,0,SER_hh_emih!N12/SER_summary!N$26)</f>
        <v>0</v>
      </c>
      <c r="O12" s="132">
        <f>IF(SER_hh_emih!O12=0,0,SER_hh_emih!O12/SER_summary!O$26)</f>
        <v>0</v>
      </c>
      <c r="P12" s="132">
        <f>IF(SER_hh_emih!P12=0,0,SER_hh_emih!P12/SER_summary!P$26)</f>
        <v>0</v>
      </c>
      <c r="Q12" s="132">
        <f>IF(SER_hh_emih!Q12=0,0,SER_hh_emih!Q12/SER_summary!Q$26)</f>
        <v>0</v>
      </c>
      <c r="R12" s="132">
        <f>IF(SER_hh_emih!R12=0,0,SER_hh_emih!R12/SER_summary!R$26)</f>
        <v>0</v>
      </c>
      <c r="S12" s="132">
        <f>IF(SER_hh_emih!S12=0,0,SER_hh_emih!S12/SER_summary!S$26)</f>
        <v>0</v>
      </c>
      <c r="T12" s="132">
        <f>IF(SER_hh_emih!T12=0,0,SER_hh_emih!T12/SER_summary!T$26)</f>
        <v>0</v>
      </c>
      <c r="U12" s="132">
        <f>IF(SER_hh_emih!U12=0,0,SER_hh_emih!U12/SER_summary!U$26)</f>
        <v>0</v>
      </c>
      <c r="V12" s="132">
        <f>IF(SER_hh_emih!V12=0,0,SER_hh_emih!V12/SER_summary!V$26)</f>
        <v>0</v>
      </c>
      <c r="W12" s="132">
        <f>IF(SER_hh_emih!W12=0,0,SER_hh_emih!W12/SER_summary!W$26)</f>
        <v>0</v>
      </c>
      <c r="X12" s="132">
        <f>IF(SER_hh_emih!X12=0,0,SER_hh_emih!X12/SER_summary!X$26)</f>
        <v>0</v>
      </c>
      <c r="Y12" s="132">
        <f>IF(SER_hh_emih!Y12=0,0,SER_hh_emih!Y12/SER_summary!Y$26)</f>
        <v>0</v>
      </c>
      <c r="DA12" s="156" t="s">
        <v>548</v>
      </c>
    </row>
    <row r="13" spans="1:105" ht="12" customHeight="1" x14ac:dyDescent="0.25">
      <c r="A13" s="131" t="s">
        <v>77</v>
      </c>
      <c r="B13" s="132">
        <f>IF(SER_hh_emih!B13=0,0,SER_hh_emih!B13/SER_summary!B$26)</f>
        <v>0</v>
      </c>
      <c r="C13" s="132">
        <f>IF(SER_hh_emih!C13=0,0,SER_hh_emih!C13/SER_summary!C$26)</f>
        <v>0</v>
      </c>
      <c r="D13" s="132">
        <f>IF(SER_hh_emih!D13=0,0,SER_hh_emih!D13/SER_summary!D$26)</f>
        <v>0</v>
      </c>
      <c r="E13" s="132">
        <f>IF(SER_hh_emih!E13=0,0,SER_hh_emih!E13/SER_summary!E$26)</f>
        <v>0</v>
      </c>
      <c r="F13" s="132">
        <f>IF(SER_hh_emih!F13=0,0,SER_hh_emih!F13/SER_summary!F$26)</f>
        <v>0</v>
      </c>
      <c r="G13" s="132">
        <f>IF(SER_hh_emih!G13=0,0,SER_hh_emih!G13/SER_summary!G$26)</f>
        <v>0</v>
      </c>
      <c r="H13" s="132">
        <f>IF(SER_hh_emih!H13=0,0,SER_hh_emih!H13/SER_summary!H$26)</f>
        <v>0</v>
      </c>
      <c r="I13" s="132">
        <f>IF(SER_hh_emih!I13=0,0,SER_hh_emih!I13/SER_summary!I$26)</f>
        <v>0</v>
      </c>
      <c r="J13" s="132">
        <f>IF(SER_hh_emih!J13=0,0,SER_hh_emih!J13/SER_summary!J$26)</f>
        <v>0</v>
      </c>
      <c r="K13" s="132">
        <f>IF(SER_hh_emih!K13=0,0,SER_hh_emih!K13/SER_summary!K$26)</f>
        <v>0</v>
      </c>
      <c r="L13" s="132">
        <f>IF(SER_hh_emih!L13=0,0,SER_hh_emih!L13/SER_summary!L$26)</f>
        <v>0</v>
      </c>
      <c r="M13" s="132">
        <f>IF(SER_hh_emih!M13=0,0,SER_hh_emih!M13/SER_summary!M$26)</f>
        <v>0</v>
      </c>
      <c r="N13" s="132">
        <f>IF(SER_hh_emih!N13=0,0,SER_hh_emih!N13/SER_summary!N$26)</f>
        <v>0</v>
      </c>
      <c r="O13" s="132">
        <f>IF(SER_hh_emih!O13=0,0,SER_hh_emih!O13/SER_summary!O$26)</f>
        <v>0</v>
      </c>
      <c r="P13" s="132">
        <f>IF(SER_hh_emih!P13=0,0,SER_hh_emih!P13/SER_summary!P$26)</f>
        <v>0</v>
      </c>
      <c r="Q13" s="132">
        <f>IF(SER_hh_emih!Q13=0,0,SER_hh_emih!Q13/SER_summary!Q$26)</f>
        <v>0</v>
      </c>
      <c r="R13" s="132">
        <f>IF(SER_hh_emih!R13=0,0,SER_hh_emih!R13/SER_summary!R$26)</f>
        <v>0</v>
      </c>
      <c r="S13" s="132">
        <f>IF(SER_hh_emih!S13=0,0,SER_hh_emih!S13/SER_summary!S$26)</f>
        <v>0</v>
      </c>
      <c r="T13" s="132">
        <f>IF(SER_hh_emih!T13=0,0,SER_hh_emih!T13/SER_summary!T$26)</f>
        <v>0</v>
      </c>
      <c r="U13" s="132">
        <f>IF(SER_hh_emih!U13=0,0,SER_hh_emih!U13/SER_summary!U$26)</f>
        <v>0</v>
      </c>
      <c r="V13" s="132">
        <f>IF(SER_hh_emih!V13=0,0,SER_hh_emih!V13/SER_summary!V$26)</f>
        <v>0</v>
      </c>
      <c r="W13" s="132">
        <f>IF(SER_hh_emih!W13=0,0,SER_hh_emih!W13/SER_summary!W$26)</f>
        <v>0</v>
      </c>
      <c r="X13" s="132">
        <f>IF(SER_hh_emih!X13=0,0,SER_hh_emih!X13/SER_summary!X$26)</f>
        <v>0</v>
      </c>
      <c r="Y13" s="132">
        <f>IF(SER_hh_emih!Y13=0,0,SER_hh_emih!Y13/SER_summary!Y$26)</f>
        <v>0</v>
      </c>
      <c r="DA13" s="156" t="s">
        <v>549</v>
      </c>
    </row>
    <row r="14" spans="1:105" ht="12" customHeight="1" x14ac:dyDescent="0.25">
      <c r="A14" s="60" t="s">
        <v>76</v>
      </c>
      <c r="B14" s="65">
        <f>IF(SER_hh_emih!B14=0,0,SER_hh_emih!B14/SER_summary!B$26)</f>
        <v>0</v>
      </c>
      <c r="C14" s="65">
        <f>IF(SER_hh_emih!C14=0,0,SER_hh_emih!C14/SER_summary!C$26)</f>
        <v>0</v>
      </c>
      <c r="D14" s="65">
        <f>IF(SER_hh_emih!D14=0,0,SER_hh_emih!D14/SER_summary!D$26)</f>
        <v>0</v>
      </c>
      <c r="E14" s="65">
        <f>IF(SER_hh_emih!E14=0,0,SER_hh_emih!E14/SER_summary!E$26)</f>
        <v>0</v>
      </c>
      <c r="F14" s="65">
        <f>IF(SER_hh_emih!F14=0,0,SER_hh_emih!F14/SER_summary!F$26)</f>
        <v>0</v>
      </c>
      <c r="G14" s="65">
        <f>IF(SER_hh_emih!G14=0,0,SER_hh_emih!G14/SER_summary!G$26)</f>
        <v>0</v>
      </c>
      <c r="H14" s="65">
        <f>IF(SER_hh_emih!H14=0,0,SER_hh_emih!H14/SER_summary!H$26)</f>
        <v>0</v>
      </c>
      <c r="I14" s="65">
        <f>IF(SER_hh_emih!I14=0,0,SER_hh_emih!I14/SER_summary!I$26)</f>
        <v>0</v>
      </c>
      <c r="J14" s="65">
        <f>IF(SER_hh_emih!J14=0,0,SER_hh_emih!J14/SER_summary!J$26)</f>
        <v>0</v>
      </c>
      <c r="K14" s="65">
        <f>IF(SER_hh_emih!K14=0,0,SER_hh_emih!K14/SER_summary!K$26)</f>
        <v>0</v>
      </c>
      <c r="L14" s="65">
        <f>IF(SER_hh_emih!L14=0,0,SER_hh_emih!L14/SER_summary!L$26)</f>
        <v>0</v>
      </c>
      <c r="M14" s="65">
        <f>IF(SER_hh_emih!M14=0,0,SER_hh_emih!M14/SER_summary!M$26)</f>
        <v>0</v>
      </c>
      <c r="N14" s="65">
        <f>IF(SER_hh_emih!N14=0,0,SER_hh_emih!N14/SER_summary!N$26)</f>
        <v>0</v>
      </c>
      <c r="O14" s="65">
        <f>IF(SER_hh_emih!O14=0,0,SER_hh_emih!O14/SER_summary!O$26)</f>
        <v>0</v>
      </c>
      <c r="P14" s="65">
        <f>IF(SER_hh_emih!P14=0,0,SER_hh_emih!P14/SER_summary!P$26)</f>
        <v>0</v>
      </c>
      <c r="Q14" s="65">
        <f>IF(SER_hh_emih!Q14=0,0,SER_hh_emih!Q14/SER_summary!Q$26)</f>
        <v>0</v>
      </c>
      <c r="R14" s="65">
        <f>IF(SER_hh_emih!R14=0,0,SER_hh_emih!R14/SER_summary!R$26)</f>
        <v>0</v>
      </c>
      <c r="S14" s="65">
        <f>IF(SER_hh_emih!S14=0,0,SER_hh_emih!S14/SER_summary!S$26)</f>
        <v>0</v>
      </c>
      <c r="T14" s="65">
        <f>IF(SER_hh_emih!T14=0,0,SER_hh_emih!T14/SER_summary!T$26)</f>
        <v>0</v>
      </c>
      <c r="U14" s="65">
        <f>IF(SER_hh_emih!U14=0,0,SER_hh_emih!U14/SER_summary!U$26)</f>
        <v>0</v>
      </c>
      <c r="V14" s="65">
        <f>IF(SER_hh_emih!V14=0,0,SER_hh_emih!V14/SER_summary!V$26)</f>
        <v>0</v>
      </c>
      <c r="W14" s="65">
        <f>IF(SER_hh_emih!W14=0,0,SER_hh_emih!W14/SER_summary!W$26)</f>
        <v>0</v>
      </c>
      <c r="X14" s="65">
        <f>IF(SER_hh_emih!X14=0,0,SER_hh_emih!X14/SER_summary!X$26)</f>
        <v>0</v>
      </c>
      <c r="Y14" s="65">
        <f>IF(SER_hh_emih!Y14=0,0,SER_hh_emih!Y14/SER_summary!Y$26)</f>
        <v>0</v>
      </c>
      <c r="DA14" s="109" t="s">
        <v>550</v>
      </c>
    </row>
    <row r="15" spans="1:105" ht="12" customHeight="1" x14ac:dyDescent="0.25">
      <c r="A15" s="133" t="s">
        <v>80</v>
      </c>
      <c r="B15" s="134">
        <f>IF(SER_hh_emih!B15=0,0,SER_hh_emih!B15/SER_summary!B$26)</f>
        <v>0</v>
      </c>
      <c r="C15" s="134">
        <f>IF(SER_hh_emih!C15=0,0,SER_hh_emih!C15/SER_summary!C$26)</f>
        <v>0</v>
      </c>
      <c r="D15" s="134">
        <f>IF(SER_hh_emih!D15=0,0,SER_hh_emih!D15/SER_summary!D$26)</f>
        <v>0</v>
      </c>
      <c r="E15" s="134">
        <f>IF(SER_hh_emih!E15=0,0,SER_hh_emih!E15/SER_summary!E$26)</f>
        <v>0</v>
      </c>
      <c r="F15" s="134">
        <f>IF(SER_hh_emih!F15=0,0,SER_hh_emih!F15/SER_summary!F$26)</f>
        <v>0</v>
      </c>
      <c r="G15" s="134">
        <f>IF(SER_hh_emih!G15=0,0,SER_hh_emih!G15/SER_summary!G$26)</f>
        <v>0</v>
      </c>
      <c r="H15" s="134">
        <f>IF(SER_hh_emih!H15=0,0,SER_hh_emih!H15/SER_summary!H$26)</f>
        <v>0</v>
      </c>
      <c r="I15" s="134">
        <f>IF(SER_hh_emih!I15=0,0,SER_hh_emih!I15/SER_summary!I$26)</f>
        <v>0</v>
      </c>
      <c r="J15" s="134">
        <f>IF(SER_hh_emih!J15=0,0,SER_hh_emih!J15/SER_summary!J$26)</f>
        <v>0</v>
      </c>
      <c r="K15" s="134">
        <f>IF(SER_hh_emih!K15=0,0,SER_hh_emih!K15/SER_summary!K$26)</f>
        <v>0</v>
      </c>
      <c r="L15" s="134">
        <f>IF(SER_hh_emih!L15=0,0,SER_hh_emih!L15/SER_summary!L$26)</f>
        <v>0</v>
      </c>
      <c r="M15" s="134">
        <f>IF(SER_hh_emih!M15=0,0,SER_hh_emih!M15/SER_summary!M$26)</f>
        <v>0</v>
      </c>
      <c r="N15" s="134">
        <f>IF(SER_hh_emih!N15=0,0,SER_hh_emih!N15/SER_summary!N$26)</f>
        <v>0</v>
      </c>
      <c r="O15" s="134">
        <f>IF(SER_hh_emih!O15=0,0,SER_hh_emih!O15/SER_summary!O$26)</f>
        <v>0</v>
      </c>
      <c r="P15" s="134">
        <f>IF(SER_hh_emih!P15=0,0,SER_hh_emih!P15/SER_summary!P$26)</f>
        <v>0</v>
      </c>
      <c r="Q15" s="134">
        <f>IF(SER_hh_emih!Q15=0,0,SER_hh_emih!Q15/SER_summary!Q$26)</f>
        <v>0</v>
      </c>
      <c r="R15" s="134">
        <f>IF(SER_hh_emih!R15=0,0,SER_hh_emih!R15/SER_summary!R$26)</f>
        <v>0</v>
      </c>
      <c r="S15" s="134">
        <f>IF(SER_hh_emih!S15=0,0,SER_hh_emih!S15/SER_summary!S$26)</f>
        <v>0</v>
      </c>
      <c r="T15" s="134">
        <f>IF(SER_hh_emih!T15=0,0,SER_hh_emih!T15/SER_summary!T$26)</f>
        <v>0</v>
      </c>
      <c r="U15" s="134">
        <f>IF(SER_hh_emih!U15=0,0,SER_hh_emih!U15/SER_summary!U$26)</f>
        <v>0</v>
      </c>
      <c r="V15" s="134">
        <f>IF(SER_hh_emih!V15=0,0,SER_hh_emih!V15/SER_summary!V$26)</f>
        <v>0</v>
      </c>
      <c r="W15" s="134">
        <f>IF(SER_hh_emih!W15=0,0,SER_hh_emih!W15/SER_summary!W$26)</f>
        <v>0</v>
      </c>
      <c r="X15" s="134">
        <f>IF(SER_hh_emih!X15=0,0,SER_hh_emih!X15/SER_summary!X$26)</f>
        <v>0</v>
      </c>
      <c r="Y15" s="134">
        <f>IF(SER_hh_emih!Y15=0,0,SER_hh_emih!Y15/SER_summary!Y$26)</f>
        <v>0</v>
      </c>
      <c r="DA15" s="157" t="s">
        <v>551</v>
      </c>
    </row>
    <row r="16" spans="1:105" ht="12.95" customHeight="1" x14ac:dyDescent="0.25">
      <c r="A16" s="129" t="s">
        <v>74</v>
      </c>
      <c r="B16" s="130">
        <f>IF(SER_hh_emih!B16=0,0,SER_hh_emih!B16/SER_summary!B$26)</f>
        <v>8.0229654318728933E-3</v>
      </c>
      <c r="C16" s="130">
        <f>IF(SER_hh_emih!C16=0,0,SER_hh_emih!C16/SER_summary!C$26)</f>
        <v>1.2801142714645629E-2</v>
      </c>
      <c r="D16" s="130">
        <f>IF(SER_hh_emih!D16=0,0,SER_hh_emih!D16/SER_summary!D$26)</f>
        <v>1.0973989555666528E-2</v>
      </c>
      <c r="E16" s="130">
        <f>IF(SER_hh_emih!E16=0,0,SER_hh_emih!E16/SER_summary!E$26)</f>
        <v>3.1606471409713885E-2</v>
      </c>
      <c r="F16" s="130">
        <f>IF(SER_hh_emih!F16=0,0,SER_hh_emih!F16/SER_summary!F$26)</f>
        <v>1.7483638707161343E-2</v>
      </c>
      <c r="G16" s="130">
        <f>IF(SER_hh_emih!G16=0,0,SER_hh_emih!G16/SER_summary!G$26)</f>
        <v>1.8662169254663352E-2</v>
      </c>
      <c r="H16" s="130">
        <f>IF(SER_hh_emih!H16=0,0,SER_hh_emih!H16/SER_summary!H$26)</f>
        <v>2.4625897668311643E-2</v>
      </c>
      <c r="I16" s="130">
        <f>IF(SER_hh_emih!I16=0,0,SER_hh_emih!I16/SER_summary!I$26)</f>
        <v>2.4627814416482183E-2</v>
      </c>
      <c r="J16" s="130">
        <f>IF(SER_hh_emih!J16=0,0,SER_hh_emih!J16/SER_summary!J$26)</f>
        <v>3.2563218487708483E-2</v>
      </c>
      <c r="K16" s="130">
        <f>IF(SER_hh_emih!K16=0,0,SER_hh_emih!K16/SER_summary!K$26)</f>
        <v>3.8751564164608662E-2</v>
      </c>
      <c r="L16" s="130">
        <f>IF(SER_hh_emih!L16=0,0,SER_hh_emih!L16/SER_summary!L$26)</f>
        <v>3.4929695022010418E-2</v>
      </c>
      <c r="M16" s="130">
        <f>IF(SER_hh_emih!M16=0,0,SER_hh_emih!M16/SER_summary!M$26)</f>
        <v>4.0477416954326571E-2</v>
      </c>
      <c r="N16" s="130">
        <f>IF(SER_hh_emih!N16=0,0,SER_hh_emih!N16/SER_summary!N$26)</f>
        <v>6.7607126528493752E-2</v>
      </c>
      <c r="O16" s="130">
        <f>IF(SER_hh_emih!O16=0,0,SER_hh_emih!O16/SER_summary!O$26)</f>
        <v>4.4629451707053333E-2</v>
      </c>
      <c r="P16" s="130">
        <f>IF(SER_hh_emih!P16=0,0,SER_hh_emih!P16/SER_summary!P$26)</f>
        <v>4.1807083394291372E-2</v>
      </c>
      <c r="Q16" s="130">
        <f>IF(SER_hh_emih!Q16=0,0,SER_hh_emih!Q16/SER_summary!Q$26)</f>
        <v>7.9376968050261926E-2</v>
      </c>
      <c r="R16" s="130">
        <f>IF(SER_hh_emih!R16=0,0,SER_hh_emih!R16/SER_summary!R$26)</f>
        <v>5.5177150317591031E-2</v>
      </c>
      <c r="S16" s="130">
        <f>IF(SER_hh_emih!S16=0,0,SER_hh_emih!S16/SER_summary!S$26)</f>
        <v>8.7845055334634714E-2</v>
      </c>
      <c r="T16" s="130">
        <f>IF(SER_hh_emih!T16=0,0,SER_hh_emih!T16/SER_summary!T$26)</f>
        <v>6.923979375765224E-2</v>
      </c>
      <c r="U16" s="130">
        <f>IF(SER_hh_emih!U16=0,0,SER_hh_emih!U16/SER_summary!U$26)</f>
        <v>9.2875769302942848E-2</v>
      </c>
      <c r="V16" s="130">
        <f>IF(SER_hh_emih!V16=0,0,SER_hh_emih!V16/SER_summary!V$26)</f>
        <v>6.7909532589984153E-2</v>
      </c>
      <c r="W16" s="130">
        <f>IF(SER_hh_emih!W16=0,0,SER_hh_emih!W16/SER_summary!W$26)</f>
        <v>8.3248253514536338E-2</v>
      </c>
      <c r="X16" s="130">
        <f>IF(SER_hh_emih!X16=0,0,SER_hh_emih!X16/SER_summary!X$26)</f>
        <v>0.11669406321887231</v>
      </c>
      <c r="Y16" s="130">
        <f>IF(SER_hh_emih!Y16=0,0,SER_hh_emih!Y16/SER_summary!Y$26)</f>
        <v>0.10602924993285578</v>
      </c>
      <c r="DA16" s="155" t="s">
        <v>552</v>
      </c>
    </row>
    <row r="17" spans="1:105" ht="12.95" customHeight="1" x14ac:dyDescent="0.25">
      <c r="A17" s="131" t="s">
        <v>73</v>
      </c>
      <c r="B17" s="132">
        <f>IF(SER_hh_emih!B17=0,0,SER_hh_emih!B17/SER_summary!B$26)</f>
        <v>4.6640023321226298</v>
      </c>
      <c r="C17" s="132">
        <f>IF(SER_hh_emih!C17=0,0,SER_hh_emih!C17/SER_summary!C$26)</f>
        <v>4.9400996448727206</v>
      </c>
      <c r="D17" s="132">
        <f>IF(SER_hh_emih!D17=0,0,SER_hh_emih!D17/SER_summary!D$26)</f>
        <v>4.3078425760797847</v>
      </c>
      <c r="E17" s="132">
        <f>IF(SER_hh_emih!E17=0,0,SER_hh_emih!E17/SER_summary!E$26)</f>
        <v>9.8265640120436935</v>
      </c>
      <c r="F17" s="132">
        <f>IF(SER_hh_emih!F17=0,0,SER_hh_emih!F17/SER_summary!F$26)</f>
        <v>4.3544722650050991</v>
      </c>
      <c r="G17" s="132">
        <f>IF(SER_hh_emih!G17=0,0,SER_hh_emih!G17/SER_summary!G$26)</f>
        <v>4.3329980361923806</v>
      </c>
      <c r="H17" s="132">
        <f>IF(SER_hh_emih!H17=0,0,SER_hh_emih!H17/SER_summary!H$26)</f>
        <v>5.026283976817564</v>
      </c>
      <c r="I17" s="132">
        <f>IF(SER_hh_emih!I17=0,0,SER_hh_emih!I17/SER_summary!I$26)</f>
        <v>4.5749607835314103</v>
      </c>
      <c r="J17" s="132">
        <f>IF(SER_hh_emih!J17=0,0,SER_hh_emih!J17/SER_summary!J$26)</f>
        <v>5.3237558586597933</v>
      </c>
      <c r="K17" s="132">
        <f>IF(SER_hh_emih!K17=0,0,SER_hh_emih!K17/SER_summary!K$26)</f>
        <v>5.4059026121270879</v>
      </c>
      <c r="L17" s="132">
        <f>IF(SER_hh_emih!L17=0,0,SER_hh_emih!L17/SER_summary!L$26)</f>
        <v>4.3577790169147494</v>
      </c>
      <c r="M17" s="132">
        <f>IF(SER_hh_emih!M17=0,0,SER_hh_emih!M17/SER_summary!M$26)</f>
        <v>4.6822790837451125</v>
      </c>
      <c r="N17" s="132">
        <f>IF(SER_hh_emih!N17=0,0,SER_hh_emih!N17/SER_summary!N$26)</f>
        <v>7.3301281067067512</v>
      </c>
      <c r="O17" s="132">
        <f>IF(SER_hh_emih!O17=0,0,SER_hh_emih!O17/SER_summary!O$26)</f>
        <v>4.3201759765383017</v>
      </c>
      <c r="P17" s="132">
        <f>IF(SER_hh_emih!P17=0,0,SER_hh_emih!P17/SER_summary!P$26)</f>
        <v>3.6995772651143977</v>
      </c>
      <c r="Q17" s="132">
        <f>IF(SER_hh_emih!Q17=0,0,SER_hh_emih!Q17/SER_summary!Q$26)</f>
        <v>6.5721916063115478</v>
      </c>
      <c r="R17" s="132">
        <f>IF(SER_hh_emih!R17=0,0,SER_hh_emih!R17/SER_summary!R$26)</f>
        <v>4.2596041702521381</v>
      </c>
      <c r="S17" s="132">
        <f>IF(SER_hh_emih!S17=0,0,SER_hh_emih!S17/SER_summary!S$26)</f>
        <v>6.4053488222760704</v>
      </c>
      <c r="T17" s="132">
        <f>IF(SER_hh_emih!T17=0,0,SER_hh_emih!T17/SER_summary!T$26)</f>
        <v>4.8438532744461096</v>
      </c>
      <c r="U17" s="132">
        <f>IF(SER_hh_emih!U17=0,0,SER_hh_emih!U17/SER_summary!U$26)</f>
        <v>6.3286021100324961</v>
      </c>
      <c r="V17" s="132">
        <f>IF(SER_hh_emih!V17=0,0,SER_hh_emih!V17/SER_summary!V$26)</f>
        <v>4.5286191185659534</v>
      </c>
      <c r="W17" s="132">
        <f>IF(SER_hh_emih!W17=0,0,SER_hh_emih!W17/SER_summary!W$26)</f>
        <v>5.4923891381821957</v>
      </c>
      <c r="X17" s="132">
        <f>IF(SER_hh_emih!X17=0,0,SER_hh_emih!X17/SER_summary!X$26)</f>
        <v>7.2197646706776588</v>
      </c>
      <c r="Y17" s="132">
        <f>IF(SER_hh_emih!Y17=0,0,SER_hh_emih!Y17/SER_summary!Y$26)</f>
        <v>6.2215154012102341</v>
      </c>
      <c r="DA17" s="156" t="s">
        <v>553</v>
      </c>
    </row>
    <row r="18" spans="1:105" ht="12" customHeight="1" x14ac:dyDescent="0.25">
      <c r="A18" s="131" t="s">
        <v>72</v>
      </c>
      <c r="B18" s="132">
        <f>IF(SER_hh_emih!B18=0,0,SER_hh_emih!B18/SER_summary!B$26)</f>
        <v>0</v>
      </c>
      <c r="C18" s="132">
        <f>IF(SER_hh_emih!C18=0,0,SER_hh_emih!C18/SER_summary!C$26)</f>
        <v>0</v>
      </c>
      <c r="D18" s="132">
        <f>IF(SER_hh_emih!D18=0,0,SER_hh_emih!D18/SER_summary!D$26)</f>
        <v>0</v>
      </c>
      <c r="E18" s="132">
        <f>IF(SER_hh_emih!E18=0,0,SER_hh_emih!E18/SER_summary!E$26)</f>
        <v>0</v>
      </c>
      <c r="F18" s="132">
        <f>IF(SER_hh_emih!F18=0,0,SER_hh_emih!F18/SER_summary!F$26)</f>
        <v>0</v>
      </c>
      <c r="G18" s="132">
        <f>IF(SER_hh_emih!G18=0,0,SER_hh_emih!G18/SER_summary!G$26)</f>
        <v>0</v>
      </c>
      <c r="H18" s="132">
        <f>IF(SER_hh_emih!H18=0,0,SER_hh_emih!H18/SER_summary!H$26)</f>
        <v>0</v>
      </c>
      <c r="I18" s="132">
        <f>IF(SER_hh_emih!I18=0,0,SER_hh_emih!I18/SER_summary!I$26)</f>
        <v>0</v>
      </c>
      <c r="J18" s="132">
        <f>IF(SER_hh_emih!J18=0,0,SER_hh_emih!J18/SER_summary!J$26)</f>
        <v>0</v>
      </c>
      <c r="K18" s="132">
        <f>IF(SER_hh_emih!K18=0,0,SER_hh_emih!K18/SER_summary!K$26)</f>
        <v>0</v>
      </c>
      <c r="L18" s="132">
        <f>IF(SER_hh_emih!L18=0,0,SER_hh_emih!L18/SER_summary!L$26)</f>
        <v>0</v>
      </c>
      <c r="M18" s="132">
        <f>IF(SER_hh_emih!M18=0,0,SER_hh_emih!M18/SER_summary!M$26)</f>
        <v>0</v>
      </c>
      <c r="N18" s="132">
        <f>IF(SER_hh_emih!N18=0,0,SER_hh_emih!N18/SER_summary!N$26)</f>
        <v>0</v>
      </c>
      <c r="O18" s="132">
        <f>IF(SER_hh_emih!O18=0,0,SER_hh_emih!O18/SER_summary!O$26)</f>
        <v>0</v>
      </c>
      <c r="P18" s="132">
        <f>IF(SER_hh_emih!P18=0,0,SER_hh_emih!P18/SER_summary!P$26)</f>
        <v>0</v>
      </c>
      <c r="Q18" s="132">
        <f>IF(SER_hh_emih!Q18=0,0,SER_hh_emih!Q18/SER_summary!Q$26)</f>
        <v>0</v>
      </c>
      <c r="R18" s="132">
        <f>IF(SER_hh_emih!R18=0,0,SER_hh_emih!R18/SER_summary!R$26)</f>
        <v>0</v>
      </c>
      <c r="S18" s="132">
        <f>IF(SER_hh_emih!S18=0,0,SER_hh_emih!S18/SER_summary!S$26)</f>
        <v>0</v>
      </c>
      <c r="T18" s="132">
        <f>IF(SER_hh_emih!T18=0,0,SER_hh_emih!T18/SER_summary!T$26)</f>
        <v>0</v>
      </c>
      <c r="U18" s="132">
        <f>IF(SER_hh_emih!U18=0,0,SER_hh_emih!U18/SER_summary!U$26)</f>
        <v>0</v>
      </c>
      <c r="V18" s="132">
        <f>IF(SER_hh_emih!V18=0,0,SER_hh_emih!V18/SER_summary!V$26)</f>
        <v>0</v>
      </c>
      <c r="W18" s="132">
        <f>IF(SER_hh_emih!W18=0,0,SER_hh_emih!W18/SER_summary!W$26)</f>
        <v>0</v>
      </c>
      <c r="X18" s="132">
        <f>IF(SER_hh_emih!X18=0,0,SER_hh_emih!X18/SER_summary!X$26)</f>
        <v>0</v>
      </c>
      <c r="Y18" s="132">
        <f>IF(SER_hh_emih!Y18=0,0,SER_hh_emih!Y18/SER_summary!Y$26)</f>
        <v>0</v>
      </c>
      <c r="DA18" s="156" t="s">
        <v>554</v>
      </c>
    </row>
    <row r="19" spans="1:105" ht="12.95" customHeight="1" x14ac:dyDescent="0.25">
      <c r="A19" s="129" t="s">
        <v>35</v>
      </c>
      <c r="B19" s="130">
        <f>IF(SER_hh_emih!B19=0,0,SER_hh_emih!B19/SER_summary!B$26)</f>
        <v>4.1411158676136175</v>
      </c>
      <c r="C19" s="130">
        <f>IF(SER_hh_emih!C19=0,0,SER_hh_emih!C19/SER_summary!C$26)</f>
        <v>4.0701155216044915</v>
      </c>
      <c r="D19" s="130">
        <f>IF(SER_hh_emih!D19=0,0,SER_hh_emih!D19/SER_summary!D$26)</f>
        <v>3.9326251517338919</v>
      </c>
      <c r="E19" s="130">
        <f>IF(SER_hh_emih!E19=0,0,SER_hh_emih!E19/SER_summary!E$26)</f>
        <v>3.8216832296482655</v>
      </c>
      <c r="F19" s="130">
        <f>IF(SER_hh_emih!F19=0,0,SER_hh_emih!F19/SER_summary!F$26)</f>
        <v>3.7323854075687888</v>
      </c>
      <c r="G19" s="130">
        <f>IF(SER_hh_emih!G19=0,0,SER_hh_emih!G19/SER_summary!G$26)</f>
        <v>3.7317842856665298</v>
      </c>
      <c r="H19" s="130">
        <f>IF(SER_hh_emih!H19=0,0,SER_hh_emih!H19/SER_summary!H$26)</f>
        <v>3.6356226759511512</v>
      </c>
      <c r="I19" s="130">
        <f>IF(SER_hh_emih!I19=0,0,SER_hh_emih!I19/SER_summary!I$26)</f>
        <v>3.5173077205799315</v>
      </c>
      <c r="J19" s="130">
        <f>IF(SER_hh_emih!J19=0,0,SER_hh_emih!J19/SER_summary!J$26)</f>
        <v>3.4951180825160457</v>
      </c>
      <c r="K19" s="130">
        <f>IF(SER_hh_emih!K19=0,0,SER_hh_emih!K19/SER_summary!K$26)</f>
        <v>3.4138089526158488</v>
      </c>
      <c r="L19" s="130">
        <f>IF(SER_hh_emih!L19=0,0,SER_hh_emih!L19/SER_summary!L$26)</f>
        <v>3.3110097843455568</v>
      </c>
      <c r="M19" s="130">
        <f>IF(SER_hh_emih!M19=0,0,SER_hh_emih!M19/SER_summary!M$26)</f>
        <v>3.2875734543733763</v>
      </c>
      <c r="N19" s="130">
        <f>IF(SER_hh_emih!N19=0,0,SER_hh_emih!N19/SER_summary!N$26)</f>
        <v>3.2259949203237022</v>
      </c>
      <c r="O19" s="130">
        <f>IF(SER_hh_emih!O19=0,0,SER_hh_emih!O19/SER_summary!O$26)</f>
        <v>3.2247075153712679</v>
      </c>
      <c r="P19" s="130">
        <f>IF(SER_hh_emih!P19=0,0,SER_hh_emih!P19/SER_summary!P$26)</f>
        <v>3.1608510783681982</v>
      </c>
      <c r="Q19" s="130">
        <f>IF(SER_hh_emih!Q19=0,0,SER_hh_emih!Q19/SER_summary!Q$26)</f>
        <v>3.1516613206838193</v>
      </c>
      <c r="R19" s="130">
        <f>IF(SER_hh_emih!R19=0,0,SER_hh_emih!R19/SER_summary!R$26)</f>
        <v>3.1782499016647678</v>
      </c>
      <c r="S19" s="130">
        <f>IF(SER_hh_emih!S19=0,0,SER_hh_emih!S19/SER_summary!S$26)</f>
        <v>3.2809839440286988</v>
      </c>
      <c r="T19" s="130">
        <f>IF(SER_hh_emih!T19=0,0,SER_hh_emih!T19/SER_summary!T$26)</f>
        <v>3.4168031153196634</v>
      </c>
      <c r="U19" s="130">
        <f>IF(SER_hh_emih!U19=0,0,SER_hh_emih!U19/SER_summary!U$26)</f>
        <v>2.9370883187911927</v>
      </c>
      <c r="V19" s="130">
        <f>IF(SER_hh_emih!V19=0,0,SER_hh_emih!V19/SER_summary!V$26)</f>
        <v>2.700447452230724</v>
      </c>
      <c r="W19" s="130">
        <f>IF(SER_hh_emih!W19=0,0,SER_hh_emih!W19/SER_summary!W$26)</f>
        <v>2.8217671347610414</v>
      </c>
      <c r="X19" s="130">
        <f>IF(SER_hh_emih!X19=0,0,SER_hh_emih!X19/SER_summary!X$26)</f>
        <v>2.8250315133587716</v>
      </c>
      <c r="Y19" s="130">
        <f>IF(SER_hh_emih!Y19=0,0,SER_hh_emih!Y19/SER_summary!Y$26)</f>
        <v>2.8261318627057936</v>
      </c>
      <c r="DA19" s="155" t="s">
        <v>555</v>
      </c>
    </row>
    <row r="20" spans="1:105" ht="12" customHeight="1" x14ac:dyDescent="0.25">
      <c r="A20" s="131" t="s">
        <v>29</v>
      </c>
      <c r="B20" s="132">
        <f>IF(SER_hh_emih!B20=0,0,SER_hh_emih!B20/SER_summary!B$26)</f>
        <v>0</v>
      </c>
      <c r="C20" s="132">
        <f>IF(SER_hh_emih!C20=0,0,SER_hh_emih!C20/SER_summary!C$26)</f>
        <v>0</v>
      </c>
      <c r="D20" s="132">
        <f>IF(SER_hh_emih!D20=0,0,SER_hh_emih!D20/SER_summary!D$26)</f>
        <v>0</v>
      </c>
      <c r="E20" s="132">
        <f>IF(SER_hh_emih!E20=0,0,SER_hh_emih!E20/SER_summary!E$26)</f>
        <v>0</v>
      </c>
      <c r="F20" s="132">
        <f>IF(SER_hh_emih!F20=0,0,SER_hh_emih!F20/SER_summary!F$26)</f>
        <v>0</v>
      </c>
      <c r="G20" s="132">
        <f>IF(SER_hh_emih!G20=0,0,SER_hh_emih!G20/SER_summary!G$26)</f>
        <v>0</v>
      </c>
      <c r="H20" s="132">
        <f>IF(SER_hh_emih!H20=0,0,SER_hh_emih!H20/SER_summary!H$26)</f>
        <v>0</v>
      </c>
      <c r="I20" s="132">
        <f>IF(SER_hh_emih!I20=0,0,SER_hh_emih!I20/SER_summary!I$26)</f>
        <v>0</v>
      </c>
      <c r="J20" s="132">
        <f>IF(SER_hh_emih!J20=0,0,SER_hh_emih!J20/SER_summary!J$26)</f>
        <v>0</v>
      </c>
      <c r="K20" s="132">
        <f>IF(SER_hh_emih!K20=0,0,SER_hh_emih!K20/SER_summary!K$26)</f>
        <v>0</v>
      </c>
      <c r="L20" s="132">
        <f>IF(SER_hh_emih!L20=0,0,SER_hh_emih!L20/SER_summary!L$26)</f>
        <v>0</v>
      </c>
      <c r="M20" s="132">
        <f>IF(SER_hh_emih!M20=0,0,SER_hh_emih!M20/SER_summary!M$26)</f>
        <v>0</v>
      </c>
      <c r="N20" s="132">
        <f>IF(SER_hh_emih!N20=0,0,SER_hh_emih!N20/SER_summary!N$26)</f>
        <v>0</v>
      </c>
      <c r="O20" s="132">
        <f>IF(SER_hh_emih!O20=0,0,SER_hh_emih!O20/SER_summary!O$26)</f>
        <v>0</v>
      </c>
      <c r="P20" s="132">
        <f>IF(SER_hh_emih!P20=0,0,SER_hh_emih!P20/SER_summary!P$26)</f>
        <v>0</v>
      </c>
      <c r="Q20" s="132">
        <f>IF(SER_hh_emih!Q20=0,0,SER_hh_emih!Q20/SER_summary!Q$26)</f>
        <v>0</v>
      </c>
      <c r="R20" s="132">
        <f>IF(SER_hh_emih!R20=0,0,SER_hh_emih!R20/SER_summary!R$26)</f>
        <v>0</v>
      </c>
      <c r="S20" s="132">
        <f>IF(SER_hh_emih!S20=0,0,SER_hh_emih!S20/SER_summary!S$26)</f>
        <v>0</v>
      </c>
      <c r="T20" s="132">
        <f>IF(SER_hh_emih!T20=0,0,SER_hh_emih!T20/SER_summary!T$26)</f>
        <v>0</v>
      </c>
      <c r="U20" s="132">
        <f>IF(SER_hh_emih!U20=0,0,SER_hh_emih!U20/SER_summary!U$26)</f>
        <v>0</v>
      </c>
      <c r="V20" s="132">
        <f>IF(SER_hh_emih!V20=0,0,SER_hh_emih!V20/SER_summary!V$26)</f>
        <v>0</v>
      </c>
      <c r="W20" s="132">
        <f>IF(SER_hh_emih!W20=0,0,SER_hh_emih!W20/SER_summary!W$26)</f>
        <v>0</v>
      </c>
      <c r="X20" s="132">
        <f>IF(SER_hh_emih!X20=0,0,SER_hh_emih!X20/SER_summary!X$26)</f>
        <v>0</v>
      </c>
      <c r="Y20" s="132">
        <f>IF(SER_hh_emih!Y20=0,0,SER_hh_emih!Y20/SER_summary!Y$26)</f>
        <v>0</v>
      </c>
      <c r="DA20" s="156" t="s">
        <v>556</v>
      </c>
    </row>
    <row r="21" spans="1:105" s="2" customFormat="1" ht="12" customHeight="1" x14ac:dyDescent="0.25">
      <c r="A21" s="131" t="s">
        <v>52</v>
      </c>
      <c r="B21" s="132">
        <f>IF(SER_hh_emih!B21=0,0,SER_hh_emih!B21/SER_summary!B$26)</f>
        <v>8.4023186291744718</v>
      </c>
      <c r="C21" s="132">
        <f>IF(SER_hh_emih!C21=0,0,SER_hh_emih!C21/SER_summary!C$26)</f>
        <v>8.562518494230412</v>
      </c>
      <c r="D21" s="132">
        <f>IF(SER_hh_emih!D21=0,0,SER_hh_emih!D21/SER_summary!D$26)</f>
        <v>8.5185770296631791</v>
      </c>
      <c r="E21" s="132">
        <f>IF(SER_hh_emih!E21=0,0,SER_hh_emih!E21/SER_summary!E$26)</f>
        <v>8.3055862771462134</v>
      </c>
      <c r="F21" s="132">
        <f>IF(SER_hh_emih!F21=0,0,SER_hh_emih!F21/SER_summary!F$26)</f>
        <v>8.4569108856634649</v>
      </c>
      <c r="G21" s="132">
        <f>IF(SER_hh_emih!G21=0,0,SER_hh_emih!G21/SER_summary!G$26)</f>
        <v>8.5904144380732621</v>
      </c>
      <c r="H21" s="132">
        <f>IF(SER_hh_emih!H21=0,0,SER_hh_emih!H21/SER_summary!H$26)</f>
        <v>8.7181188026673979</v>
      </c>
      <c r="I21" s="132">
        <f>IF(SER_hh_emih!I21=0,0,SER_hh_emih!I21/SER_summary!I$26)</f>
        <v>8.3729453621754484</v>
      </c>
      <c r="J21" s="132">
        <f>IF(SER_hh_emih!J21=0,0,SER_hh_emih!J21/SER_summary!J$26)</f>
        <v>8.6394664265096885</v>
      </c>
      <c r="K21" s="132">
        <f>IF(SER_hh_emih!K21=0,0,SER_hh_emih!K21/SER_summary!K$26)</f>
        <v>8.3443045909268694</v>
      </c>
      <c r="L21" s="132">
        <f>IF(SER_hh_emih!L21=0,0,SER_hh_emih!L21/SER_summary!L$26)</f>
        <v>8.4194543810981024</v>
      </c>
      <c r="M21" s="132">
        <f>IF(SER_hh_emih!M21=0,0,SER_hh_emih!M21/SER_summary!M$26)</f>
        <v>8.7455134799893468</v>
      </c>
      <c r="N21" s="132">
        <f>IF(SER_hh_emih!N21=0,0,SER_hh_emih!N21/SER_summary!N$26)</f>
        <v>8.0733324007367084</v>
      </c>
      <c r="O21" s="132">
        <f>IF(SER_hh_emih!O21=0,0,SER_hh_emih!O21/SER_summary!O$26)</f>
        <v>8.5888915241947181</v>
      </c>
      <c r="P21" s="132">
        <f>IF(SER_hh_emih!P21=0,0,SER_hh_emih!P21/SER_summary!P$26)</f>
        <v>7.967213870702893</v>
      </c>
      <c r="Q21" s="132">
        <f>IF(SER_hh_emih!Q21=0,0,SER_hh_emih!Q21/SER_summary!Q$26)</f>
        <v>7.7875142716825261</v>
      </c>
      <c r="R21" s="132">
        <f>IF(SER_hh_emih!R21=0,0,SER_hh_emih!R21/SER_summary!R$26)</f>
        <v>8.7710707401333732</v>
      </c>
      <c r="S21" s="132">
        <f>IF(SER_hh_emih!S21=0,0,SER_hh_emih!S21/SER_summary!S$26)</f>
        <v>8.561410236315405</v>
      </c>
      <c r="T21" s="132">
        <f>IF(SER_hh_emih!T21=0,0,SER_hh_emih!T21/SER_summary!T$26)</f>
        <v>7.8186175033373617</v>
      </c>
      <c r="U21" s="132">
        <f>IF(SER_hh_emih!U21=0,0,SER_hh_emih!U21/SER_summary!U$26)</f>
        <v>7.7407600390822324</v>
      </c>
      <c r="V21" s="132">
        <f>IF(SER_hh_emih!V21=0,0,SER_hh_emih!V21/SER_summary!V$26)</f>
        <v>6.7673140362459581</v>
      </c>
      <c r="W21" s="132">
        <f>IF(SER_hh_emih!W21=0,0,SER_hh_emih!W21/SER_summary!W$26)</f>
        <v>7.3886005515491817</v>
      </c>
      <c r="X21" s="132">
        <f>IF(SER_hh_emih!X21=0,0,SER_hh_emih!X21/SER_summary!X$26)</f>
        <v>7.5259180252754199</v>
      </c>
      <c r="Y21" s="132">
        <f>IF(SER_hh_emih!Y21=0,0,SER_hh_emih!Y21/SER_summary!Y$26)</f>
        <v>7.5970422426064843</v>
      </c>
      <c r="DA21" s="156" t="s">
        <v>557</v>
      </c>
    </row>
    <row r="22" spans="1:105" ht="12" customHeight="1" x14ac:dyDescent="0.25">
      <c r="A22" s="131" t="s">
        <v>161</v>
      </c>
      <c r="B22" s="132">
        <f>IF(SER_hh_emih!B22=0,0,SER_hh_emih!B22/SER_summary!B$26)</f>
        <v>10.564626369843966</v>
      </c>
      <c r="C22" s="132">
        <f>IF(SER_hh_emih!C22=0,0,SER_hh_emih!C22/SER_summary!C$26)</f>
        <v>10.614692367245267</v>
      </c>
      <c r="D22" s="132">
        <f>IF(SER_hh_emih!D22=0,0,SER_hh_emih!D22/SER_summary!D$26)</f>
        <v>10.316853421799088</v>
      </c>
      <c r="E22" s="132">
        <f>IF(SER_hh_emih!E22=0,0,SER_hh_emih!E22/SER_summary!E$26)</f>
        <v>10.554025598399095</v>
      </c>
      <c r="F22" s="132">
        <f>IF(SER_hh_emih!F22=0,0,SER_hh_emih!F22/SER_summary!F$26)</f>
        <v>10.359028541371201</v>
      </c>
      <c r="G22" s="132">
        <f>IF(SER_hh_emih!G22=0,0,SER_hh_emih!G22/SER_summary!G$26)</f>
        <v>10.347934445775453</v>
      </c>
      <c r="H22" s="132">
        <f>IF(SER_hh_emih!H22=0,0,SER_hh_emih!H22/SER_summary!H$26)</f>
        <v>10.695640562369345</v>
      </c>
      <c r="I22" s="132">
        <f>IF(SER_hh_emih!I22=0,0,SER_hh_emih!I22/SER_summary!I$26)</f>
        <v>10.694352229675568</v>
      </c>
      <c r="J22" s="132">
        <f>IF(SER_hh_emih!J22=0,0,SER_hh_emih!J22/SER_summary!J$26)</f>
        <v>11.00597291538554</v>
      </c>
      <c r="K22" s="132">
        <f>IF(SER_hh_emih!K22=0,0,SER_hh_emih!K22/SER_summary!K$26)</f>
        <v>10.26136005300647</v>
      </c>
      <c r="L22" s="132">
        <f>IF(SER_hh_emih!L22=0,0,SER_hh_emih!L22/SER_summary!L$26)</f>
        <v>9.9291747588974726</v>
      </c>
      <c r="M22" s="132">
        <f>IF(SER_hh_emih!M22=0,0,SER_hh_emih!M22/SER_summary!M$26)</f>
        <v>10.158823466181408</v>
      </c>
      <c r="N22" s="132">
        <f>IF(SER_hh_emih!N22=0,0,SER_hh_emih!N22/SER_summary!N$26)</f>
        <v>9.9959190058866785</v>
      </c>
      <c r="O22" s="132">
        <f>IF(SER_hh_emih!O22=0,0,SER_hh_emih!O22/SER_summary!O$26)</f>
        <v>10.217393191436429</v>
      </c>
      <c r="P22" s="132">
        <f>IF(SER_hh_emih!P22=0,0,SER_hh_emih!P22/SER_summary!P$26)</f>
        <v>10.208730251735066</v>
      </c>
      <c r="Q22" s="132">
        <f>IF(SER_hh_emih!Q22=0,0,SER_hh_emih!Q22/SER_summary!Q$26)</f>
        <v>10.19856060539562</v>
      </c>
      <c r="R22" s="132">
        <f>IF(SER_hh_emih!R22=0,0,SER_hh_emih!R22/SER_summary!R$26)</f>
        <v>10.07678986913273</v>
      </c>
      <c r="S22" s="132">
        <f>IF(SER_hh_emih!S22=0,0,SER_hh_emih!S22/SER_summary!S$26)</f>
        <v>10.402255801186646</v>
      </c>
      <c r="T22" s="132">
        <f>IF(SER_hh_emih!T22=0,0,SER_hh_emih!T22/SER_summary!T$26)</f>
        <v>10.575048484976307</v>
      </c>
      <c r="U22" s="132">
        <f>IF(SER_hh_emih!U22=0,0,SER_hh_emih!U22/SER_summary!U$26)</f>
        <v>9.8904889308351205</v>
      </c>
      <c r="V22" s="132">
        <f>IF(SER_hh_emih!V22=0,0,SER_hh_emih!V22/SER_summary!V$26)</f>
        <v>8.5389957252964059</v>
      </c>
      <c r="W22" s="132">
        <f>IF(SER_hh_emih!W22=0,0,SER_hh_emih!W22/SER_summary!W$26)</f>
        <v>9.610112820309423</v>
      </c>
      <c r="X22" s="132">
        <f>IF(SER_hh_emih!X22=0,0,SER_hh_emih!X22/SER_summary!X$26)</f>
        <v>10.066497080341817</v>
      </c>
      <c r="Y22" s="132">
        <f>IF(SER_hh_emih!Y22=0,0,SER_hh_emih!Y22/SER_summary!Y$26)</f>
        <v>9.7331278548962956</v>
      </c>
      <c r="DA22" s="156" t="s">
        <v>558</v>
      </c>
    </row>
    <row r="23" spans="1:105" ht="12" customHeight="1" x14ac:dyDescent="0.25">
      <c r="A23" s="131" t="s">
        <v>149</v>
      </c>
      <c r="B23" s="132">
        <f>IF(SER_hh_emih!B23=0,0,SER_hh_emih!B23/SER_summary!B$26)</f>
        <v>7.6679694540514447</v>
      </c>
      <c r="C23" s="132">
        <f>IF(SER_hh_emih!C23=0,0,SER_hh_emih!C23/SER_summary!C$26)</f>
        <v>7.7584902457201439</v>
      </c>
      <c r="D23" s="132">
        <f>IF(SER_hh_emih!D23=0,0,SER_hh_emih!D23/SER_summary!D$26)</f>
        <v>7.7809811473963206</v>
      </c>
      <c r="E23" s="132">
        <f>IF(SER_hh_emih!E23=0,0,SER_hh_emih!E23/SER_summary!E$26)</f>
        <v>7.6895350676812466</v>
      </c>
      <c r="F23" s="132">
        <f>IF(SER_hh_emih!F23=0,0,SER_hh_emih!F23/SER_summary!F$26)</f>
        <v>7.6064837850421227</v>
      </c>
      <c r="G23" s="132">
        <f>IF(SER_hh_emih!G23=0,0,SER_hh_emih!G23/SER_summary!G$26)</f>
        <v>7.6031150034688775</v>
      </c>
      <c r="H23" s="132">
        <f>IF(SER_hh_emih!H23=0,0,SER_hh_emih!H23/SER_summary!H$26)</f>
        <v>7.5131347602901917</v>
      </c>
      <c r="I23" s="132">
        <f>IF(SER_hh_emih!I23=0,0,SER_hh_emih!I23/SER_summary!I$26)</f>
        <v>7.4462867568339792</v>
      </c>
      <c r="J23" s="132">
        <f>IF(SER_hh_emih!J23=0,0,SER_hh_emih!J23/SER_summary!J$26)</f>
        <v>7.4083994565360518</v>
      </c>
      <c r="K23" s="132">
        <f>IF(SER_hh_emih!K23=0,0,SER_hh_emih!K23/SER_summary!K$26)</f>
        <v>7.3228054964210276</v>
      </c>
      <c r="L23" s="132">
        <f>IF(SER_hh_emih!L23=0,0,SER_hh_emih!L23/SER_summary!L$26)</f>
        <v>7.1542070279198606</v>
      </c>
      <c r="M23" s="132">
        <f>IF(SER_hh_emih!M23=0,0,SER_hh_emih!M23/SER_summary!M$26)</f>
        <v>7.1380671711109605</v>
      </c>
      <c r="N23" s="132">
        <f>IF(SER_hh_emih!N23=0,0,SER_hh_emih!N23/SER_summary!N$26)</f>
        <v>7.0578346064531834</v>
      </c>
      <c r="O23" s="132">
        <f>IF(SER_hh_emih!O23=0,0,SER_hh_emih!O23/SER_summary!O$26)</f>
        <v>7.0443730394929007</v>
      </c>
      <c r="P23" s="132">
        <f>IF(SER_hh_emih!P23=0,0,SER_hh_emih!P23/SER_summary!P$26)</f>
        <v>7.0592182469151643</v>
      </c>
      <c r="Q23" s="132">
        <f>IF(SER_hh_emih!Q23=0,0,SER_hh_emih!Q23/SER_summary!Q$26)</f>
        <v>7.0226347806746343</v>
      </c>
      <c r="R23" s="132">
        <f>IF(SER_hh_emih!R23=0,0,SER_hh_emih!R23/SER_summary!R$26)</f>
        <v>6.8817344510038048</v>
      </c>
      <c r="S23" s="132">
        <f>IF(SER_hh_emih!S23=0,0,SER_hh_emih!S23/SER_summary!S$26)</f>
        <v>6.887321719192518</v>
      </c>
      <c r="T23" s="132">
        <f>IF(SER_hh_emih!T23=0,0,SER_hh_emih!T23/SER_summary!T$26)</f>
        <v>7.1578659536606617</v>
      </c>
      <c r="U23" s="132">
        <f>IF(SER_hh_emih!U23=0,0,SER_hh_emih!U23/SER_summary!U$26)</f>
        <v>6.1178249724607765</v>
      </c>
      <c r="V23" s="132">
        <f>IF(SER_hh_emih!V23=0,0,SER_hh_emih!V23/SER_summary!V$26)</f>
        <v>5.7896712946838882</v>
      </c>
      <c r="W23" s="132">
        <f>IF(SER_hh_emih!W23=0,0,SER_hh_emih!W23/SER_summary!W$26)</f>
        <v>6.5926402288438917</v>
      </c>
      <c r="X23" s="132">
        <f>IF(SER_hh_emih!X23=0,0,SER_hh_emih!X23/SER_summary!X$26)</f>
        <v>6.5668347344782543</v>
      </c>
      <c r="Y23" s="132">
        <f>IF(SER_hh_emih!Y23=0,0,SER_hh_emih!Y23/SER_summary!Y$26)</f>
        <v>6.5590247642143096</v>
      </c>
      <c r="DA23" s="156" t="s">
        <v>559</v>
      </c>
    </row>
    <row r="24" spans="1:105" ht="12" customHeight="1" x14ac:dyDescent="0.25">
      <c r="A24" s="131" t="s">
        <v>128</v>
      </c>
      <c r="B24" s="132">
        <f>IF(SER_hh_emih!B24=0,0,SER_hh_emih!B24/SER_summary!B$26)</f>
        <v>0</v>
      </c>
      <c r="C24" s="132">
        <f>IF(SER_hh_emih!C24=0,0,SER_hh_emih!C24/SER_summary!C$26)</f>
        <v>0</v>
      </c>
      <c r="D24" s="132">
        <f>IF(SER_hh_emih!D24=0,0,SER_hh_emih!D24/SER_summary!D$26)</f>
        <v>0</v>
      </c>
      <c r="E24" s="132">
        <f>IF(SER_hh_emih!E24=0,0,SER_hh_emih!E24/SER_summary!E$26)</f>
        <v>0</v>
      </c>
      <c r="F24" s="132">
        <f>IF(SER_hh_emih!F24=0,0,SER_hh_emih!F24/SER_summary!F$26)</f>
        <v>0</v>
      </c>
      <c r="G24" s="132">
        <f>IF(SER_hh_emih!G24=0,0,SER_hh_emih!G24/SER_summary!G$26)</f>
        <v>0</v>
      </c>
      <c r="H24" s="132">
        <f>IF(SER_hh_emih!H24=0,0,SER_hh_emih!H24/SER_summary!H$26)</f>
        <v>0</v>
      </c>
      <c r="I24" s="132">
        <f>IF(SER_hh_emih!I24=0,0,SER_hh_emih!I24/SER_summary!I$26)</f>
        <v>0</v>
      </c>
      <c r="J24" s="132">
        <f>IF(SER_hh_emih!J24=0,0,SER_hh_emih!J24/SER_summary!J$26)</f>
        <v>0</v>
      </c>
      <c r="K24" s="132">
        <f>IF(SER_hh_emih!K24=0,0,SER_hh_emih!K24/SER_summary!K$26)</f>
        <v>0</v>
      </c>
      <c r="L24" s="132">
        <f>IF(SER_hh_emih!L24=0,0,SER_hh_emih!L24/SER_summary!L$26)</f>
        <v>0</v>
      </c>
      <c r="M24" s="132">
        <f>IF(SER_hh_emih!M24=0,0,SER_hh_emih!M24/SER_summary!M$26)</f>
        <v>0</v>
      </c>
      <c r="N24" s="132">
        <f>IF(SER_hh_emih!N24=0,0,SER_hh_emih!N24/SER_summary!N$26)</f>
        <v>0</v>
      </c>
      <c r="O24" s="132">
        <f>IF(SER_hh_emih!O24=0,0,SER_hh_emih!O24/SER_summary!O$26)</f>
        <v>0</v>
      </c>
      <c r="P24" s="132">
        <f>IF(SER_hh_emih!P24=0,0,SER_hh_emih!P24/SER_summary!P$26)</f>
        <v>0</v>
      </c>
      <c r="Q24" s="132">
        <f>IF(SER_hh_emih!Q24=0,0,SER_hh_emih!Q24/SER_summary!Q$26)</f>
        <v>0</v>
      </c>
      <c r="R24" s="132">
        <f>IF(SER_hh_emih!R24=0,0,SER_hh_emih!R24/SER_summary!R$26)</f>
        <v>0</v>
      </c>
      <c r="S24" s="132">
        <f>IF(SER_hh_emih!S24=0,0,SER_hh_emih!S24/SER_summary!S$26)</f>
        <v>0</v>
      </c>
      <c r="T24" s="132">
        <f>IF(SER_hh_emih!T24=0,0,SER_hh_emih!T24/SER_summary!T$26)</f>
        <v>0</v>
      </c>
      <c r="U24" s="132">
        <f>IF(SER_hh_emih!U24=0,0,SER_hh_emih!U24/SER_summary!U$26)</f>
        <v>0</v>
      </c>
      <c r="V24" s="132">
        <f>IF(SER_hh_emih!V24=0,0,SER_hh_emih!V24/SER_summary!V$26)</f>
        <v>0</v>
      </c>
      <c r="W24" s="132">
        <f>IF(SER_hh_emih!W24=0,0,SER_hh_emih!W24/SER_summary!W$26)</f>
        <v>0</v>
      </c>
      <c r="X24" s="132">
        <f>IF(SER_hh_emih!X24=0,0,SER_hh_emih!X24/SER_summary!X$26)</f>
        <v>0</v>
      </c>
      <c r="Y24" s="132">
        <f>IF(SER_hh_emih!Y24=0,0,SER_hh_emih!Y24/SER_summary!Y$26)</f>
        <v>0</v>
      </c>
      <c r="DA24" s="156" t="s">
        <v>560</v>
      </c>
    </row>
    <row r="25" spans="1:105" ht="12" customHeight="1" x14ac:dyDescent="0.25">
      <c r="A25" s="131" t="s">
        <v>162</v>
      </c>
      <c r="B25" s="132">
        <f>IF(SER_hh_emih!B25=0,0,SER_hh_emih!B25/SER_summary!B$26)</f>
        <v>0</v>
      </c>
      <c r="C25" s="132">
        <f>IF(SER_hh_emih!C25=0,0,SER_hh_emih!C25/SER_summary!C$26)</f>
        <v>0</v>
      </c>
      <c r="D25" s="132">
        <f>IF(SER_hh_emih!D25=0,0,SER_hh_emih!D25/SER_summary!D$26)</f>
        <v>0</v>
      </c>
      <c r="E25" s="132">
        <f>IF(SER_hh_emih!E25=0,0,SER_hh_emih!E25/SER_summary!E$26)</f>
        <v>0</v>
      </c>
      <c r="F25" s="132">
        <f>IF(SER_hh_emih!F25=0,0,SER_hh_emih!F25/SER_summary!F$26)</f>
        <v>0</v>
      </c>
      <c r="G25" s="132">
        <f>IF(SER_hh_emih!G25=0,0,SER_hh_emih!G25/SER_summary!G$26)</f>
        <v>0</v>
      </c>
      <c r="H25" s="132">
        <f>IF(SER_hh_emih!H25=0,0,SER_hh_emih!H25/SER_summary!H$26)</f>
        <v>0</v>
      </c>
      <c r="I25" s="132">
        <f>IF(SER_hh_emih!I25=0,0,SER_hh_emih!I25/SER_summary!I$26)</f>
        <v>0</v>
      </c>
      <c r="J25" s="132">
        <f>IF(SER_hh_emih!J25=0,0,SER_hh_emih!J25/SER_summary!J$26)</f>
        <v>0</v>
      </c>
      <c r="K25" s="132">
        <f>IF(SER_hh_emih!K25=0,0,SER_hh_emih!K25/SER_summary!K$26)</f>
        <v>0</v>
      </c>
      <c r="L25" s="132">
        <f>IF(SER_hh_emih!L25=0,0,SER_hh_emih!L25/SER_summary!L$26)</f>
        <v>0</v>
      </c>
      <c r="M25" s="132">
        <f>IF(SER_hh_emih!M25=0,0,SER_hh_emih!M25/SER_summary!M$26)</f>
        <v>0</v>
      </c>
      <c r="N25" s="132">
        <f>IF(SER_hh_emih!N25=0,0,SER_hh_emih!N25/SER_summary!N$26)</f>
        <v>0</v>
      </c>
      <c r="O25" s="132">
        <f>IF(SER_hh_emih!O25=0,0,SER_hh_emih!O25/SER_summary!O$26)</f>
        <v>0</v>
      </c>
      <c r="P25" s="132">
        <f>IF(SER_hh_emih!P25=0,0,SER_hh_emih!P25/SER_summary!P$26)</f>
        <v>0</v>
      </c>
      <c r="Q25" s="132">
        <f>IF(SER_hh_emih!Q25=0,0,SER_hh_emih!Q25/SER_summary!Q$26)</f>
        <v>0</v>
      </c>
      <c r="R25" s="132">
        <f>IF(SER_hh_emih!R25=0,0,SER_hh_emih!R25/SER_summary!R$26)</f>
        <v>0</v>
      </c>
      <c r="S25" s="132">
        <f>IF(SER_hh_emih!S25=0,0,SER_hh_emih!S25/SER_summary!S$26)</f>
        <v>0</v>
      </c>
      <c r="T25" s="132">
        <f>IF(SER_hh_emih!T25=0,0,SER_hh_emih!T25/SER_summary!T$26)</f>
        <v>0</v>
      </c>
      <c r="U25" s="132">
        <f>IF(SER_hh_emih!U25=0,0,SER_hh_emih!U25/SER_summary!U$26)</f>
        <v>0</v>
      </c>
      <c r="V25" s="132">
        <f>IF(SER_hh_emih!V25=0,0,SER_hh_emih!V25/SER_summary!V$26)</f>
        <v>0</v>
      </c>
      <c r="W25" s="132">
        <f>IF(SER_hh_emih!W25=0,0,SER_hh_emih!W25/SER_summary!W$26)</f>
        <v>0</v>
      </c>
      <c r="X25" s="132">
        <f>IF(SER_hh_emih!X25=0,0,SER_hh_emih!X25/SER_summary!X$26)</f>
        <v>0</v>
      </c>
      <c r="Y25" s="132">
        <f>IF(SER_hh_emih!Y25=0,0,SER_hh_emih!Y25/SER_summary!Y$26)</f>
        <v>0</v>
      </c>
      <c r="DA25" s="156" t="s">
        <v>561</v>
      </c>
    </row>
    <row r="26" spans="1:105" ht="12" customHeight="1" x14ac:dyDescent="0.25">
      <c r="A26" s="131" t="s">
        <v>24</v>
      </c>
      <c r="B26" s="65">
        <f>IF(SER_hh_emih!B26=0,0,SER_hh_emih!B26/SER_summary!B$26)</f>
        <v>0</v>
      </c>
      <c r="C26" s="65">
        <f>IF(SER_hh_emih!C26=0,0,SER_hh_emih!C26/SER_summary!C$26)</f>
        <v>0</v>
      </c>
      <c r="D26" s="65">
        <f>IF(SER_hh_emih!D26=0,0,SER_hh_emih!D26/SER_summary!D$26)</f>
        <v>0</v>
      </c>
      <c r="E26" s="65">
        <f>IF(SER_hh_emih!E26=0,0,SER_hh_emih!E26/SER_summary!E$26)</f>
        <v>0</v>
      </c>
      <c r="F26" s="65">
        <f>IF(SER_hh_emih!F26=0,0,SER_hh_emih!F26/SER_summary!F$26)</f>
        <v>0</v>
      </c>
      <c r="G26" s="65">
        <f>IF(SER_hh_emih!G26=0,0,SER_hh_emih!G26/SER_summary!G$26)</f>
        <v>0</v>
      </c>
      <c r="H26" s="65">
        <f>IF(SER_hh_emih!H26=0,0,SER_hh_emih!H26/SER_summary!H$26)</f>
        <v>0</v>
      </c>
      <c r="I26" s="65">
        <f>IF(SER_hh_emih!I26=0,0,SER_hh_emih!I26/SER_summary!I$26)</f>
        <v>0</v>
      </c>
      <c r="J26" s="65">
        <f>IF(SER_hh_emih!J26=0,0,SER_hh_emih!J26/SER_summary!J$26)</f>
        <v>0</v>
      </c>
      <c r="K26" s="65">
        <f>IF(SER_hh_emih!K26=0,0,SER_hh_emih!K26/SER_summary!K$26)</f>
        <v>0</v>
      </c>
      <c r="L26" s="65">
        <f>IF(SER_hh_emih!L26=0,0,SER_hh_emih!L26/SER_summary!L$26)</f>
        <v>0</v>
      </c>
      <c r="M26" s="65">
        <f>IF(SER_hh_emih!M26=0,0,SER_hh_emih!M26/SER_summary!M$26)</f>
        <v>0</v>
      </c>
      <c r="N26" s="65">
        <f>IF(SER_hh_emih!N26=0,0,SER_hh_emih!N26/SER_summary!N$26)</f>
        <v>0</v>
      </c>
      <c r="O26" s="65">
        <f>IF(SER_hh_emih!O26=0,0,SER_hh_emih!O26/SER_summary!O$26)</f>
        <v>0</v>
      </c>
      <c r="P26" s="65">
        <f>IF(SER_hh_emih!P26=0,0,SER_hh_emih!P26/SER_summary!P$26)</f>
        <v>0</v>
      </c>
      <c r="Q26" s="65">
        <f>IF(SER_hh_emih!Q26=0,0,SER_hh_emih!Q26/SER_summary!Q$26)</f>
        <v>0</v>
      </c>
      <c r="R26" s="65">
        <f>IF(SER_hh_emih!R26=0,0,SER_hh_emih!R26/SER_summary!R$26)</f>
        <v>0</v>
      </c>
      <c r="S26" s="65">
        <f>IF(SER_hh_emih!S26=0,0,SER_hh_emih!S26/SER_summary!S$26)</f>
        <v>0</v>
      </c>
      <c r="T26" s="65">
        <f>IF(SER_hh_emih!T26=0,0,SER_hh_emih!T26/SER_summary!T$26)</f>
        <v>0</v>
      </c>
      <c r="U26" s="65">
        <f>IF(SER_hh_emih!U26=0,0,SER_hh_emih!U26/SER_summary!U$26)</f>
        <v>0</v>
      </c>
      <c r="V26" s="65">
        <f>IF(SER_hh_emih!V26=0,0,SER_hh_emih!V26/SER_summary!V$26)</f>
        <v>0</v>
      </c>
      <c r="W26" s="65">
        <f>IF(SER_hh_emih!W26=0,0,SER_hh_emih!W26/SER_summary!W$26)</f>
        <v>0</v>
      </c>
      <c r="X26" s="65">
        <f>IF(SER_hh_emih!X26=0,0,SER_hh_emih!X26/SER_summary!X$26)</f>
        <v>0</v>
      </c>
      <c r="Y26" s="65">
        <f>IF(SER_hh_emih!Y26=0,0,SER_hh_emih!Y26/SER_summary!Y$26)</f>
        <v>0</v>
      </c>
      <c r="DA26" s="109" t="s">
        <v>562</v>
      </c>
    </row>
    <row r="27" spans="1:105" ht="12" customHeight="1" x14ac:dyDescent="0.25">
      <c r="A27" s="144" t="s">
        <v>86</v>
      </c>
      <c r="B27" s="145">
        <f>IF(SER_hh_emih!B27=0,0,SER_hh_emih!B27/SER_summary!B$26)</f>
        <v>0</v>
      </c>
      <c r="C27" s="145">
        <f>IF(SER_hh_emih!C27=0,0,SER_hh_emih!C27/SER_summary!C$26)</f>
        <v>0</v>
      </c>
      <c r="D27" s="145">
        <f>IF(SER_hh_emih!D27=0,0,SER_hh_emih!D27/SER_summary!D$26)</f>
        <v>0</v>
      </c>
      <c r="E27" s="145">
        <f>IF(SER_hh_emih!E27=0,0,SER_hh_emih!E27/SER_summary!E$26)</f>
        <v>0</v>
      </c>
      <c r="F27" s="145">
        <f>IF(SER_hh_emih!F27=0,0,SER_hh_emih!F27/SER_summary!F$26)</f>
        <v>0</v>
      </c>
      <c r="G27" s="145">
        <f>IF(SER_hh_emih!G27=0,0,SER_hh_emih!G27/SER_summary!G$26)</f>
        <v>0</v>
      </c>
      <c r="H27" s="145">
        <f>IF(SER_hh_emih!H27=0,0,SER_hh_emih!H27/SER_summary!H$26)</f>
        <v>0</v>
      </c>
      <c r="I27" s="145">
        <f>IF(SER_hh_emih!I27=0,0,SER_hh_emih!I27/SER_summary!I$26)</f>
        <v>0</v>
      </c>
      <c r="J27" s="145">
        <f>IF(SER_hh_emih!J27=0,0,SER_hh_emih!J27/SER_summary!J$26)</f>
        <v>0</v>
      </c>
      <c r="K27" s="145">
        <f>IF(SER_hh_emih!K27=0,0,SER_hh_emih!K27/SER_summary!K$26)</f>
        <v>0</v>
      </c>
      <c r="L27" s="145">
        <f>IF(SER_hh_emih!L27=0,0,SER_hh_emih!L27/SER_summary!L$26)</f>
        <v>0</v>
      </c>
      <c r="M27" s="145">
        <f>IF(SER_hh_emih!M27=0,0,SER_hh_emih!M27/SER_summary!M$26)</f>
        <v>0</v>
      </c>
      <c r="N27" s="145">
        <f>IF(SER_hh_emih!N27=0,0,SER_hh_emih!N27/SER_summary!N$26)</f>
        <v>0</v>
      </c>
      <c r="O27" s="145">
        <f>IF(SER_hh_emih!O27=0,0,SER_hh_emih!O27/SER_summary!O$26)</f>
        <v>0</v>
      </c>
      <c r="P27" s="145">
        <f>IF(SER_hh_emih!P27=0,0,SER_hh_emih!P27/SER_summary!P$26)</f>
        <v>0</v>
      </c>
      <c r="Q27" s="145">
        <f>IF(SER_hh_emih!Q27=0,0,SER_hh_emih!Q27/SER_summary!Q$26)</f>
        <v>0</v>
      </c>
      <c r="R27" s="145">
        <f>IF(SER_hh_emih!R27=0,0,SER_hh_emih!R27/SER_summary!R$26)</f>
        <v>0</v>
      </c>
      <c r="S27" s="145">
        <f>IF(SER_hh_emih!S27=0,0,SER_hh_emih!S27/SER_summary!S$26)</f>
        <v>0</v>
      </c>
      <c r="T27" s="145">
        <f>IF(SER_hh_emih!T27=0,0,SER_hh_emih!T27/SER_summary!T$26)</f>
        <v>0</v>
      </c>
      <c r="U27" s="145">
        <f>IF(SER_hh_emih!U27=0,0,SER_hh_emih!U27/SER_summary!U$26)</f>
        <v>0</v>
      </c>
      <c r="V27" s="145">
        <f>IF(SER_hh_emih!V27=0,0,SER_hh_emih!V27/SER_summary!V$26)</f>
        <v>0</v>
      </c>
      <c r="W27" s="145">
        <f>IF(SER_hh_emih!W27=0,0,SER_hh_emih!W27/SER_summary!W$26)</f>
        <v>0</v>
      </c>
      <c r="X27" s="145">
        <f>IF(SER_hh_emih!X27=0,0,SER_hh_emih!X27/SER_summary!X$26)</f>
        <v>0</v>
      </c>
      <c r="Y27" s="145">
        <f>IF(SER_hh_emih!Y27=0,0,SER_hh_emih!Y27/SER_summary!Y$26)</f>
        <v>0</v>
      </c>
      <c r="DA27" s="158" t="s">
        <v>563</v>
      </c>
    </row>
    <row r="28" spans="1:105" ht="12" customHeight="1" x14ac:dyDescent="0.25">
      <c r="A28" s="78" t="s">
        <v>85</v>
      </c>
      <c r="B28" s="146">
        <f>IF(SER_hh_emih!B28=0,0,SER_hh_emih!B28/SER_summary!B$26)</f>
        <v>0</v>
      </c>
      <c r="C28" s="146">
        <f>IF(SER_hh_emih!C28=0,0,SER_hh_emih!C28/SER_summary!C$26)</f>
        <v>0</v>
      </c>
      <c r="D28" s="146">
        <f>IF(SER_hh_emih!D28=0,0,SER_hh_emih!D28/SER_summary!D$26)</f>
        <v>0</v>
      </c>
      <c r="E28" s="146">
        <f>IF(SER_hh_emih!E28=0,0,SER_hh_emih!E28/SER_summary!E$26)</f>
        <v>0</v>
      </c>
      <c r="F28" s="146">
        <f>IF(SER_hh_emih!F28=0,0,SER_hh_emih!F28/SER_summary!F$26)</f>
        <v>0</v>
      </c>
      <c r="G28" s="146">
        <f>IF(SER_hh_emih!G28=0,0,SER_hh_emih!G28/SER_summary!G$26)</f>
        <v>0</v>
      </c>
      <c r="H28" s="146">
        <f>IF(SER_hh_emih!H28=0,0,SER_hh_emih!H28/SER_summary!H$26)</f>
        <v>0</v>
      </c>
      <c r="I28" s="146">
        <f>IF(SER_hh_emih!I28=0,0,SER_hh_emih!I28/SER_summary!I$26)</f>
        <v>0</v>
      </c>
      <c r="J28" s="146">
        <f>IF(SER_hh_emih!J28=0,0,SER_hh_emih!J28/SER_summary!J$26)</f>
        <v>0</v>
      </c>
      <c r="K28" s="146">
        <f>IF(SER_hh_emih!K28=0,0,SER_hh_emih!K28/SER_summary!K$26)</f>
        <v>0</v>
      </c>
      <c r="L28" s="146">
        <f>IF(SER_hh_emih!L28=0,0,SER_hh_emih!L28/SER_summary!L$26)</f>
        <v>0</v>
      </c>
      <c r="M28" s="146">
        <f>IF(SER_hh_emih!M28=0,0,SER_hh_emih!M28/SER_summary!M$26)</f>
        <v>0</v>
      </c>
      <c r="N28" s="146">
        <f>IF(SER_hh_emih!N28=0,0,SER_hh_emih!N28/SER_summary!N$26)</f>
        <v>0</v>
      </c>
      <c r="O28" s="146">
        <f>IF(SER_hh_emih!O28=0,0,SER_hh_emih!O28/SER_summary!O$26)</f>
        <v>0</v>
      </c>
      <c r="P28" s="146">
        <f>IF(SER_hh_emih!P28=0,0,SER_hh_emih!P28/SER_summary!P$26)</f>
        <v>0</v>
      </c>
      <c r="Q28" s="146">
        <f>IF(SER_hh_emih!Q28=0,0,SER_hh_emih!Q28/SER_summary!Q$26)</f>
        <v>0</v>
      </c>
      <c r="R28" s="146">
        <f>IF(SER_hh_emih!R28=0,0,SER_hh_emih!R28/SER_summary!R$26)</f>
        <v>0</v>
      </c>
      <c r="S28" s="146">
        <f>IF(SER_hh_emih!S28=0,0,SER_hh_emih!S28/SER_summary!S$26)</f>
        <v>0</v>
      </c>
      <c r="T28" s="146">
        <f>IF(SER_hh_emih!T28=0,0,SER_hh_emih!T28/SER_summary!T$26)</f>
        <v>0</v>
      </c>
      <c r="U28" s="146">
        <f>IF(SER_hh_emih!U28=0,0,SER_hh_emih!U28/SER_summary!U$26)</f>
        <v>0</v>
      </c>
      <c r="V28" s="146">
        <f>IF(SER_hh_emih!V28=0,0,SER_hh_emih!V28/SER_summary!V$26)</f>
        <v>0</v>
      </c>
      <c r="W28" s="146">
        <f>IF(SER_hh_emih!W28=0,0,SER_hh_emih!W28/SER_summary!W$26)</f>
        <v>0</v>
      </c>
      <c r="X28" s="146">
        <f>IF(SER_hh_emih!X28=0,0,SER_hh_emih!X28/SER_summary!X$26)</f>
        <v>0</v>
      </c>
      <c r="Y28" s="146">
        <f>IF(SER_hh_emih!Y28=0,0,SER_hh_emih!Y28/SER_summary!Y$26)</f>
        <v>0</v>
      </c>
      <c r="DA28" s="159"/>
    </row>
    <row r="29" spans="1:105" ht="12.95" customHeight="1" x14ac:dyDescent="0.25">
      <c r="A29" s="129" t="s">
        <v>34</v>
      </c>
      <c r="B29" s="130">
        <f>IF(SER_hh_emih!B29=0,0,SER_hh_emih!B29/SER_summary!B$26)</f>
        <v>6.4393593455125835</v>
      </c>
      <c r="C29" s="130">
        <f>IF(SER_hh_emih!C29=0,0,SER_hh_emih!C29/SER_summary!C$26)</f>
        <v>6.1552479101224726</v>
      </c>
      <c r="D29" s="130">
        <f>IF(SER_hh_emih!D29=0,0,SER_hh_emih!D29/SER_summary!D$26)</f>
        <v>5.6751681698966818</v>
      </c>
      <c r="E29" s="130">
        <f>IF(SER_hh_emih!E29=0,0,SER_hh_emih!E29/SER_summary!E$26)</f>
        <v>4.7758873216519797</v>
      </c>
      <c r="F29" s="130">
        <f>IF(SER_hh_emih!F29=0,0,SER_hh_emih!F29/SER_summary!F$26)</f>
        <v>4.4240017091999642</v>
      </c>
      <c r="G29" s="130">
        <f>IF(SER_hh_emih!G29=0,0,SER_hh_emih!G29/SER_summary!G$26)</f>
        <v>4.6664009819507548</v>
      </c>
      <c r="H29" s="130">
        <f>IF(SER_hh_emih!H29=0,0,SER_hh_emih!H29/SER_summary!H$26)</f>
        <v>4.2153610622915307</v>
      </c>
      <c r="I29" s="130">
        <f>IF(SER_hh_emih!I29=0,0,SER_hh_emih!I29/SER_summary!I$26)</f>
        <v>4.6529983594330915</v>
      </c>
      <c r="J29" s="130">
        <f>IF(SER_hh_emih!J29=0,0,SER_hh_emih!J29/SER_summary!J$26)</f>
        <v>4.3349515865873949</v>
      </c>
      <c r="K29" s="130">
        <f>IF(SER_hh_emih!K29=0,0,SER_hh_emih!K29/SER_summary!K$26)</f>
        <v>4.795085966927096</v>
      </c>
      <c r="L29" s="130">
        <f>IF(SER_hh_emih!L29=0,0,SER_hh_emih!L29/SER_summary!L$26)</f>
        <v>4.8579982265228949</v>
      </c>
      <c r="M29" s="130">
        <f>IF(SER_hh_emih!M29=0,0,SER_hh_emih!M29/SER_summary!M$26)</f>
        <v>4.973749495366369</v>
      </c>
      <c r="N29" s="130">
        <f>IF(SER_hh_emih!N29=0,0,SER_hh_emih!N29/SER_summary!N$26)</f>
        <v>4.9900225317580338</v>
      </c>
      <c r="O29" s="130">
        <f>IF(SER_hh_emih!O29=0,0,SER_hh_emih!O29/SER_summary!O$26)</f>
        <v>5.2017076695437368</v>
      </c>
      <c r="P29" s="130">
        <f>IF(SER_hh_emih!P29=0,0,SER_hh_emih!P29/SER_summary!P$26)</f>
        <v>5.7316055437050331</v>
      </c>
      <c r="Q29" s="130">
        <f>IF(SER_hh_emih!Q29=0,0,SER_hh_emih!Q29/SER_summary!Q$26)</f>
        <v>5.7784288899967651</v>
      </c>
      <c r="R29" s="130">
        <f>IF(SER_hh_emih!R29=0,0,SER_hh_emih!R29/SER_summary!R$26)</f>
        <v>5.9215565764942992</v>
      </c>
      <c r="S29" s="130">
        <f>IF(SER_hh_emih!S29=0,0,SER_hh_emih!S29/SER_summary!S$26)</f>
        <v>5.8696312160882282</v>
      </c>
      <c r="T29" s="130">
        <f>IF(SER_hh_emih!T29=0,0,SER_hh_emih!T29/SER_summary!T$26)</f>
        <v>5.475339197286635</v>
      </c>
      <c r="U29" s="130">
        <f>IF(SER_hh_emih!U29=0,0,SER_hh_emih!U29/SER_summary!U$26)</f>
        <v>5.8257646123050408</v>
      </c>
      <c r="V29" s="130">
        <f>IF(SER_hh_emih!V29=0,0,SER_hh_emih!V29/SER_summary!V$26)</f>
        <v>5.3539757417204594</v>
      </c>
      <c r="W29" s="130">
        <f>IF(SER_hh_emih!W29=0,0,SER_hh_emih!W29/SER_summary!W$26)</f>
        <v>5.1985030172226434</v>
      </c>
      <c r="X29" s="130">
        <f>IF(SER_hh_emih!X29=0,0,SER_hh_emih!X29/SER_summary!X$26)</f>
        <v>5.245948864101921</v>
      </c>
      <c r="Y29" s="130">
        <f>IF(SER_hh_emih!Y29=0,0,SER_hh_emih!Y29/SER_summary!Y$26)</f>
        <v>5.3058333449015942</v>
      </c>
      <c r="DA29" s="155" t="s">
        <v>564</v>
      </c>
    </row>
    <row r="30" spans="1:105" ht="12" customHeight="1" x14ac:dyDescent="0.25">
      <c r="A30" s="131" t="s">
        <v>52</v>
      </c>
      <c r="B30" s="132">
        <f>IF(SER_hh_emih!B30=0,0,SER_hh_emih!B30/SER_summary!B$26)</f>
        <v>8.3233925494681831</v>
      </c>
      <c r="C30" s="132">
        <f>IF(SER_hh_emih!C30=0,0,SER_hh_emih!C30/SER_summary!C$26)</f>
        <v>7.9941172448202771</v>
      </c>
      <c r="D30" s="132">
        <f>IF(SER_hh_emih!D30=0,0,SER_hh_emih!D30/SER_summary!D$26)</f>
        <v>8.2479399223529501</v>
      </c>
      <c r="E30" s="132">
        <f>IF(SER_hh_emih!E30=0,0,SER_hh_emih!E30/SER_summary!E$26)</f>
        <v>8.4056041429625559</v>
      </c>
      <c r="F30" s="132">
        <f>IF(SER_hh_emih!F30=0,0,SER_hh_emih!F30/SER_summary!F$26)</f>
        <v>8.5427988661689138</v>
      </c>
      <c r="G30" s="132">
        <f>IF(SER_hh_emih!G30=0,0,SER_hh_emih!G30/SER_summary!G$26)</f>
        <v>8.6439957049019256</v>
      </c>
      <c r="H30" s="132">
        <f>IF(SER_hh_emih!H30=0,0,SER_hh_emih!H30/SER_summary!H$26)</f>
        <v>8.3682334876227031</v>
      </c>
      <c r="I30" s="132">
        <f>IF(SER_hh_emih!I30=0,0,SER_hh_emih!I30/SER_summary!I$26)</f>
        <v>9.3975320891081857</v>
      </c>
      <c r="J30" s="132">
        <f>IF(SER_hh_emih!J30=0,0,SER_hh_emih!J30/SER_summary!J$26)</f>
        <v>7.0919909299336812</v>
      </c>
      <c r="K30" s="132">
        <f>IF(SER_hh_emih!K30=0,0,SER_hh_emih!K30/SER_summary!K$26)</f>
        <v>9.2804589516977014</v>
      </c>
      <c r="L30" s="132">
        <f>IF(SER_hh_emih!L30=0,0,SER_hh_emih!L30/SER_summary!L$26)</f>
        <v>9.3324193108442266</v>
      </c>
      <c r="M30" s="132">
        <f>IF(SER_hh_emih!M30=0,0,SER_hh_emih!M30/SER_summary!M$26)</f>
        <v>9.4911662235403664</v>
      </c>
      <c r="N30" s="132">
        <f>IF(SER_hh_emih!N30=0,0,SER_hh_emih!N30/SER_summary!N$26)</f>
        <v>8.3441772661895453</v>
      </c>
      <c r="O30" s="132">
        <f>IF(SER_hh_emih!O30=0,0,SER_hh_emih!O30/SER_summary!O$26)</f>
        <v>8.9144798141402202</v>
      </c>
      <c r="P30" s="132">
        <f>IF(SER_hh_emih!P30=0,0,SER_hh_emih!P30/SER_summary!P$26)</f>
        <v>9.7980354468316779</v>
      </c>
      <c r="Q30" s="132">
        <f>IF(SER_hh_emih!Q30=0,0,SER_hh_emih!Q30/SER_summary!Q$26)</f>
        <v>9.4534215407412159</v>
      </c>
      <c r="R30" s="132">
        <f>IF(SER_hh_emih!R30=0,0,SER_hh_emih!R30/SER_summary!R$26)</f>
        <v>9.4157407036999903</v>
      </c>
      <c r="S30" s="132">
        <f>IF(SER_hh_emih!S30=0,0,SER_hh_emih!S30/SER_summary!S$26)</f>
        <v>9.5526836862036806</v>
      </c>
      <c r="T30" s="132">
        <f>IF(SER_hh_emih!T30=0,0,SER_hh_emih!T30/SER_summary!T$26)</f>
        <v>9.3656022644624422</v>
      </c>
      <c r="U30" s="132">
        <f>IF(SER_hh_emih!U30=0,0,SER_hh_emih!U30/SER_summary!U$26)</f>
        <v>8.9586312448838274</v>
      </c>
      <c r="V30" s="132">
        <f>IF(SER_hh_emih!V30=0,0,SER_hh_emih!V30/SER_summary!V$26)</f>
        <v>9.2163194635749797</v>
      </c>
      <c r="W30" s="132">
        <f>IF(SER_hh_emih!W30=0,0,SER_hh_emih!W30/SER_summary!W$26)</f>
        <v>9.4594138097149401</v>
      </c>
      <c r="X30" s="132">
        <f>IF(SER_hh_emih!X30=0,0,SER_hh_emih!X30/SER_summary!X$26)</f>
        <v>9.8157520353991448</v>
      </c>
      <c r="Y30" s="132">
        <f>IF(SER_hh_emih!Y30=0,0,SER_hh_emih!Y30/SER_summary!Y$26)</f>
        <v>9.9114045397793333</v>
      </c>
      <c r="DA30" s="156" t="s">
        <v>565</v>
      </c>
    </row>
    <row r="31" spans="1:105" ht="12" customHeight="1" x14ac:dyDescent="0.25">
      <c r="A31" s="131" t="s">
        <v>149</v>
      </c>
      <c r="B31" s="132">
        <f>IF(SER_hh_emih!B31=0,0,SER_hh_emih!B31/SER_summary!B$26)</f>
        <v>7.0993134158553843</v>
      </c>
      <c r="C31" s="132">
        <f>IF(SER_hh_emih!C31=0,0,SER_hh_emih!C31/SER_summary!C$26)</f>
        <v>7.2023106215748447</v>
      </c>
      <c r="D31" s="132">
        <f>IF(SER_hh_emih!D31=0,0,SER_hh_emih!D31/SER_summary!D$26)</f>
        <v>7.3340085947069547</v>
      </c>
      <c r="E31" s="132">
        <f>IF(SER_hh_emih!E31=0,0,SER_hh_emih!E31/SER_summary!E$26)</f>
        <v>6.6932326408835232</v>
      </c>
      <c r="F31" s="132">
        <f>IF(SER_hh_emih!F31=0,0,SER_hh_emih!F31/SER_summary!F$26)</f>
        <v>6.824246825396993</v>
      </c>
      <c r="G31" s="132">
        <f>IF(SER_hh_emih!G31=0,0,SER_hh_emih!G31/SER_summary!G$26)</f>
        <v>7.8023511482186656</v>
      </c>
      <c r="H31" s="132">
        <f>IF(SER_hh_emih!H31=0,0,SER_hh_emih!H31/SER_summary!H$26)</f>
        <v>7.1761455717838816</v>
      </c>
      <c r="I31" s="132">
        <f>IF(SER_hh_emih!I31=0,0,SER_hh_emih!I31/SER_summary!I$26)</f>
        <v>7.7560255410834369</v>
      </c>
      <c r="J31" s="132">
        <f>IF(SER_hh_emih!J31=0,0,SER_hh_emih!J31/SER_summary!J$26)</f>
        <v>7.6030760864163804</v>
      </c>
      <c r="K31" s="132">
        <f>IF(SER_hh_emih!K31=0,0,SER_hh_emih!K31/SER_summary!K$26)</f>
        <v>7.9352325015973149</v>
      </c>
      <c r="L31" s="132">
        <f>IF(SER_hh_emih!L31=0,0,SER_hh_emih!L31/SER_summary!L$26)</f>
        <v>7.8852541452043683</v>
      </c>
      <c r="M31" s="132">
        <f>IF(SER_hh_emih!M31=0,0,SER_hh_emih!M31/SER_summary!M$26)</f>
        <v>7.8536634943700276</v>
      </c>
      <c r="N31" s="132">
        <f>IF(SER_hh_emih!N31=0,0,SER_hh_emih!N31/SER_summary!N$26)</f>
        <v>7.8818648907008697</v>
      </c>
      <c r="O31" s="132">
        <f>IF(SER_hh_emih!O31=0,0,SER_hh_emih!O31/SER_summary!O$26)</f>
        <v>7.921110240148975</v>
      </c>
      <c r="P31" s="132">
        <f>IF(SER_hh_emih!P31=0,0,SER_hh_emih!P31/SER_summary!P$26)</f>
        <v>8.245855749276835</v>
      </c>
      <c r="Q31" s="132">
        <f>IF(SER_hh_emih!Q31=0,0,SER_hh_emih!Q31/SER_summary!Q$26)</f>
        <v>8.1653354280470403</v>
      </c>
      <c r="R31" s="132">
        <f>IF(SER_hh_emih!R31=0,0,SER_hh_emih!R31/SER_summary!R$26)</f>
        <v>8.3602272001738935</v>
      </c>
      <c r="S31" s="132">
        <f>IF(SER_hh_emih!S31=0,0,SER_hh_emih!S31/SER_summary!S$26)</f>
        <v>8.2997850997727536</v>
      </c>
      <c r="T31" s="132">
        <f>IF(SER_hh_emih!T31=0,0,SER_hh_emih!T31/SER_summary!T$26)</f>
        <v>7.6407712030668176</v>
      </c>
      <c r="U31" s="132">
        <f>IF(SER_hh_emih!U31=0,0,SER_hh_emih!U31/SER_summary!U$26)</f>
        <v>8.3932158426130687</v>
      </c>
      <c r="V31" s="132">
        <f>IF(SER_hh_emih!V31=0,0,SER_hh_emih!V31/SER_summary!V$26)</f>
        <v>7.6777936407644987</v>
      </c>
      <c r="W31" s="132">
        <f>IF(SER_hh_emih!W31=0,0,SER_hh_emih!W31/SER_summary!W$26)</f>
        <v>7.6598064701917865</v>
      </c>
      <c r="X31" s="132">
        <f>IF(SER_hh_emih!X31=0,0,SER_hh_emih!X31/SER_summary!X$26)</f>
        <v>8.3416712339458101</v>
      </c>
      <c r="Y31" s="132">
        <f>IF(SER_hh_emih!Y31=0,0,SER_hh_emih!Y31/SER_summary!Y$26)</f>
        <v>8.5706858650803657</v>
      </c>
      <c r="DA31" s="156" t="s">
        <v>566</v>
      </c>
    </row>
    <row r="32" spans="1:105" ht="12" customHeight="1" x14ac:dyDescent="0.25">
      <c r="A32" s="131" t="s">
        <v>128</v>
      </c>
      <c r="B32" s="132">
        <f>IF(SER_hh_emih!B32=0,0,SER_hh_emih!B32/SER_summary!B$26)</f>
        <v>0</v>
      </c>
      <c r="C32" s="132">
        <f>IF(SER_hh_emih!C32=0,0,SER_hh_emih!C32/SER_summary!C$26)</f>
        <v>0</v>
      </c>
      <c r="D32" s="132">
        <f>IF(SER_hh_emih!D32=0,0,SER_hh_emih!D32/SER_summary!D$26)</f>
        <v>0</v>
      </c>
      <c r="E32" s="132">
        <f>IF(SER_hh_emih!E32=0,0,SER_hh_emih!E32/SER_summary!E$26)</f>
        <v>0</v>
      </c>
      <c r="F32" s="132">
        <f>IF(SER_hh_emih!F32=0,0,SER_hh_emih!F32/SER_summary!F$26)</f>
        <v>0</v>
      </c>
      <c r="G32" s="132">
        <f>IF(SER_hh_emih!G32=0,0,SER_hh_emih!G32/SER_summary!G$26)</f>
        <v>0</v>
      </c>
      <c r="H32" s="132">
        <f>IF(SER_hh_emih!H32=0,0,SER_hh_emih!H32/SER_summary!H$26)</f>
        <v>0</v>
      </c>
      <c r="I32" s="132">
        <f>IF(SER_hh_emih!I32=0,0,SER_hh_emih!I32/SER_summary!I$26)</f>
        <v>0</v>
      </c>
      <c r="J32" s="132">
        <f>IF(SER_hh_emih!J32=0,0,SER_hh_emih!J32/SER_summary!J$26)</f>
        <v>0</v>
      </c>
      <c r="K32" s="132">
        <f>IF(SER_hh_emih!K32=0,0,SER_hh_emih!K32/SER_summary!K$26)</f>
        <v>0</v>
      </c>
      <c r="L32" s="132">
        <f>IF(SER_hh_emih!L32=0,0,SER_hh_emih!L32/SER_summary!L$26)</f>
        <v>0</v>
      </c>
      <c r="M32" s="132">
        <f>IF(SER_hh_emih!M32=0,0,SER_hh_emih!M32/SER_summary!M$26)</f>
        <v>0</v>
      </c>
      <c r="N32" s="132">
        <f>IF(SER_hh_emih!N32=0,0,SER_hh_emih!N32/SER_summary!N$26)</f>
        <v>0</v>
      </c>
      <c r="O32" s="132">
        <f>IF(SER_hh_emih!O32=0,0,SER_hh_emih!O32/SER_summary!O$26)</f>
        <v>0</v>
      </c>
      <c r="P32" s="132">
        <f>IF(SER_hh_emih!P32=0,0,SER_hh_emih!P32/SER_summary!P$26)</f>
        <v>0</v>
      </c>
      <c r="Q32" s="132">
        <f>IF(SER_hh_emih!Q32=0,0,SER_hh_emih!Q32/SER_summary!Q$26)</f>
        <v>0</v>
      </c>
      <c r="R32" s="132">
        <f>IF(SER_hh_emih!R32=0,0,SER_hh_emih!R32/SER_summary!R$26)</f>
        <v>0</v>
      </c>
      <c r="S32" s="132">
        <f>IF(SER_hh_emih!S32=0,0,SER_hh_emih!S32/SER_summary!S$26)</f>
        <v>0</v>
      </c>
      <c r="T32" s="132">
        <f>IF(SER_hh_emih!T32=0,0,SER_hh_emih!T32/SER_summary!T$26)</f>
        <v>0</v>
      </c>
      <c r="U32" s="132">
        <f>IF(SER_hh_emih!U32=0,0,SER_hh_emih!U32/SER_summary!U$26)</f>
        <v>0</v>
      </c>
      <c r="V32" s="132">
        <f>IF(SER_hh_emih!V32=0,0,SER_hh_emih!V32/SER_summary!V$26)</f>
        <v>0</v>
      </c>
      <c r="W32" s="132">
        <f>IF(SER_hh_emih!W32=0,0,SER_hh_emih!W32/SER_summary!W$26)</f>
        <v>0</v>
      </c>
      <c r="X32" s="132">
        <f>IF(SER_hh_emih!X32=0,0,SER_hh_emih!X32/SER_summary!X$26)</f>
        <v>0</v>
      </c>
      <c r="Y32" s="132">
        <f>IF(SER_hh_emih!Y32=0,0,SER_hh_emih!Y32/SER_summary!Y$26)</f>
        <v>0</v>
      </c>
      <c r="DA32" s="156" t="s">
        <v>567</v>
      </c>
    </row>
    <row r="33" spans="1:105" ht="12" customHeight="1" x14ac:dyDescent="0.25">
      <c r="A33" s="62" t="s">
        <v>24</v>
      </c>
      <c r="B33" s="68">
        <f>IF(SER_hh_emih!B33=0,0,SER_hh_emih!B33/SER_summary!B$26)</f>
        <v>0</v>
      </c>
      <c r="C33" s="68">
        <f>IF(SER_hh_emih!C33=0,0,SER_hh_emih!C33/SER_summary!C$26)</f>
        <v>0</v>
      </c>
      <c r="D33" s="68">
        <f>IF(SER_hh_emih!D33=0,0,SER_hh_emih!D33/SER_summary!D$26)</f>
        <v>0</v>
      </c>
      <c r="E33" s="68">
        <f>IF(SER_hh_emih!E33=0,0,SER_hh_emih!E33/SER_summary!E$26)</f>
        <v>0</v>
      </c>
      <c r="F33" s="68">
        <f>IF(SER_hh_emih!F33=0,0,SER_hh_emih!F33/SER_summary!F$26)</f>
        <v>0</v>
      </c>
      <c r="G33" s="68">
        <f>IF(SER_hh_emih!G33=0,0,SER_hh_emih!G33/SER_summary!G$26)</f>
        <v>0</v>
      </c>
      <c r="H33" s="68">
        <f>IF(SER_hh_emih!H33=0,0,SER_hh_emih!H33/SER_summary!H$26)</f>
        <v>0</v>
      </c>
      <c r="I33" s="68">
        <f>IF(SER_hh_emih!I33=0,0,SER_hh_emih!I33/SER_summary!I$26)</f>
        <v>0</v>
      </c>
      <c r="J33" s="68">
        <f>IF(SER_hh_emih!J33=0,0,SER_hh_emih!J33/SER_summary!J$26)</f>
        <v>0</v>
      </c>
      <c r="K33" s="68">
        <f>IF(SER_hh_emih!K33=0,0,SER_hh_emih!K33/SER_summary!K$26)</f>
        <v>0</v>
      </c>
      <c r="L33" s="68">
        <f>IF(SER_hh_emih!L33=0,0,SER_hh_emih!L33/SER_summary!L$26)</f>
        <v>0</v>
      </c>
      <c r="M33" s="68">
        <f>IF(SER_hh_emih!M33=0,0,SER_hh_emih!M33/SER_summary!M$26)</f>
        <v>0</v>
      </c>
      <c r="N33" s="68">
        <f>IF(SER_hh_emih!N33=0,0,SER_hh_emih!N33/SER_summary!N$26)</f>
        <v>0</v>
      </c>
      <c r="O33" s="68">
        <f>IF(SER_hh_emih!O33=0,0,SER_hh_emih!O33/SER_summary!O$26)</f>
        <v>0</v>
      </c>
      <c r="P33" s="68">
        <f>IF(SER_hh_emih!P33=0,0,SER_hh_emih!P33/SER_summary!P$26)</f>
        <v>0</v>
      </c>
      <c r="Q33" s="68">
        <f>IF(SER_hh_emih!Q33=0,0,SER_hh_emih!Q33/SER_summary!Q$26)</f>
        <v>0</v>
      </c>
      <c r="R33" s="68">
        <f>IF(SER_hh_emih!R33=0,0,SER_hh_emih!R33/SER_summary!R$26)</f>
        <v>0</v>
      </c>
      <c r="S33" s="68">
        <f>IF(SER_hh_emih!S33=0,0,SER_hh_emih!S33/SER_summary!S$26)</f>
        <v>0</v>
      </c>
      <c r="T33" s="68">
        <f>IF(SER_hh_emih!T33=0,0,SER_hh_emih!T33/SER_summary!T$26)</f>
        <v>0</v>
      </c>
      <c r="U33" s="68">
        <f>IF(SER_hh_emih!U33=0,0,SER_hh_emih!U33/SER_summary!U$26)</f>
        <v>0</v>
      </c>
      <c r="V33" s="68">
        <f>IF(SER_hh_emih!V33=0,0,SER_hh_emih!V33/SER_summary!V$26)</f>
        <v>0</v>
      </c>
      <c r="W33" s="68">
        <f>IF(SER_hh_emih!W33=0,0,SER_hh_emih!W33/SER_summary!W$26)</f>
        <v>0</v>
      </c>
      <c r="X33" s="68">
        <f>IF(SER_hh_emih!X33=0,0,SER_hh_emih!X33/SER_summary!X$26)</f>
        <v>0</v>
      </c>
      <c r="Y33" s="68">
        <f>IF(SER_hh_emih!Y33=0,0,SER_hh_emih!Y33/SER_summary!Y$26)</f>
        <v>0</v>
      </c>
      <c r="DA33" s="111" t="s">
        <v>568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569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79</v>
      </c>
      <c r="B3" s="124"/>
      <c r="C3" s="124">
        <f t="shared" ref="C3:Y3" si="0">C4</f>
        <v>11542.175670495015</v>
      </c>
      <c r="D3" s="124">
        <f t="shared" si="0"/>
        <v>11941.143536422667</v>
      </c>
      <c r="E3" s="124">
        <f t="shared" si="0"/>
        <v>8645.7716067630226</v>
      </c>
      <c r="F3" s="124">
        <f t="shared" si="0"/>
        <v>6502.1849830334904</v>
      </c>
      <c r="G3" s="124">
        <f t="shared" si="0"/>
        <v>5197.6763306377361</v>
      </c>
      <c r="H3" s="124">
        <f t="shared" si="0"/>
        <v>15400.237425842592</v>
      </c>
      <c r="I3" s="124">
        <f t="shared" si="0"/>
        <v>13088.18053114477</v>
      </c>
      <c r="J3" s="124">
        <f t="shared" si="0"/>
        <v>5727.1025187376608</v>
      </c>
      <c r="K3" s="124">
        <f t="shared" si="0"/>
        <v>2479.4624912962918</v>
      </c>
      <c r="L3" s="124">
        <f t="shared" si="0"/>
        <v>5838.8346664250985</v>
      </c>
      <c r="M3" s="124">
        <f t="shared" si="0"/>
        <v>7460.5843521810802</v>
      </c>
      <c r="N3" s="124">
        <f t="shared" si="0"/>
        <v>4790.393966499445</v>
      </c>
      <c r="O3" s="124">
        <f t="shared" si="0"/>
        <v>2521.2637937632694</v>
      </c>
      <c r="P3" s="124">
        <f t="shared" si="0"/>
        <v>10235.297918434551</v>
      </c>
      <c r="Q3" s="124">
        <f t="shared" si="0"/>
        <v>4662.027659075673</v>
      </c>
      <c r="R3" s="124">
        <f t="shared" si="0"/>
        <v>3404.1400157654125</v>
      </c>
      <c r="S3" s="124">
        <f t="shared" si="0"/>
        <v>6178.7626671969529</v>
      </c>
      <c r="T3" s="124">
        <f t="shared" si="0"/>
        <v>5375.1144863018926</v>
      </c>
      <c r="U3" s="124">
        <f t="shared" si="0"/>
        <v>4930.4032903282668</v>
      </c>
      <c r="V3" s="124">
        <f t="shared" si="0"/>
        <v>4425.2256706023463</v>
      </c>
      <c r="W3" s="124">
        <f t="shared" si="0"/>
        <v>4228.4815255905323</v>
      </c>
      <c r="X3" s="124">
        <f t="shared" si="0"/>
        <v>4063.7294822691697</v>
      </c>
      <c r="Y3" s="124">
        <f t="shared" si="0"/>
        <v>3980.4463554744243</v>
      </c>
      <c r="DA3" s="168" t="s">
        <v>570</v>
      </c>
    </row>
    <row r="4" spans="1:105" ht="12.95" customHeight="1" x14ac:dyDescent="0.25">
      <c r="A4" s="129" t="s">
        <v>32</v>
      </c>
      <c r="B4" s="139"/>
      <c r="C4" s="139">
        <f t="shared" ref="C4:Q4" si="1">SUM(C5:C14)</f>
        <v>11542.175670495015</v>
      </c>
      <c r="D4" s="139">
        <f t="shared" si="1"/>
        <v>11941.143536422667</v>
      </c>
      <c r="E4" s="139">
        <f t="shared" si="1"/>
        <v>8645.7716067630226</v>
      </c>
      <c r="F4" s="139">
        <f t="shared" si="1"/>
        <v>6502.1849830334904</v>
      </c>
      <c r="G4" s="139">
        <f t="shared" si="1"/>
        <v>5197.6763306377361</v>
      </c>
      <c r="H4" s="139">
        <f t="shared" si="1"/>
        <v>15400.237425842592</v>
      </c>
      <c r="I4" s="139">
        <f t="shared" si="1"/>
        <v>13088.18053114477</v>
      </c>
      <c r="J4" s="139">
        <f t="shared" si="1"/>
        <v>5727.1025187376608</v>
      </c>
      <c r="K4" s="139">
        <f t="shared" si="1"/>
        <v>2479.4624912962918</v>
      </c>
      <c r="L4" s="139">
        <f t="shared" si="1"/>
        <v>5838.8346664250985</v>
      </c>
      <c r="M4" s="139">
        <f t="shared" si="1"/>
        <v>7460.5843521810802</v>
      </c>
      <c r="N4" s="139">
        <f t="shared" si="1"/>
        <v>4790.393966499445</v>
      </c>
      <c r="O4" s="139">
        <f t="shared" si="1"/>
        <v>2521.2637937632694</v>
      </c>
      <c r="P4" s="139">
        <f t="shared" si="1"/>
        <v>10235.297918434551</v>
      </c>
      <c r="Q4" s="139">
        <f t="shared" si="1"/>
        <v>4662.027659075673</v>
      </c>
      <c r="R4" s="139">
        <f t="shared" ref="R4:W4" si="2">SUM(R5:R14)</f>
        <v>3404.1400157654125</v>
      </c>
      <c r="S4" s="139">
        <f t="shared" si="2"/>
        <v>6178.7626671969529</v>
      </c>
      <c r="T4" s="139">
        <f t="shared" si="2"/>
        <v>5375.1144863018926</v>
      </c>
      <c r="U4" s="139">
        <f t="shared" si="2"/>
        <v>4930.4032903282668</v>
      </c>
      <c r="V4" s="139">
        <f t="shared" si="2"/>
        <v>4425.2256706023463</v>
      </c>
      <c r="W4" s="139">
        <f t="shared" si="2"/>
        <v>4228.4815255905323</v>
      </c>
      <c r="X4" s="139">
        <f t="shared" ref="X4:Y4" si="3">SUM(X5:X14)</f>
        <v>4063.7294822691697</v>
      </c>
      <c r="Y4" s="139">
        <f t="shared" si="3"/>
        <v>3980.4463554744243</v>
      </c>
      <c r="DA4" s="169" t="s">
        <v>571</v>
      </c>
    </row>
    <row r="5" spans="1:105" ht="12" customHeight="1" x14ac:dyDescent="0.25">
      <c r="A5" s="131" t="s">
        <v>29</v>
      </c>
      <c r="B5" s="140"/>
      <c r="C5" s="140">
        <v>0</v>
      </c>
      <c r="D5" s="140">
        <v>0</v>
      </c>
      <c r="E5" s="140">
        <v>0</v>
      </c>
      <c r="F5" s="140">
        <v>0</v>
      </c>
      <c r="G5" s="140">
        <v>0</v>
      </c>
      <c r="H5" s="140">
        <v>0</v>
      </c>
      <c r="I5" s="140">
        <v>0</v>
      </c>
      <c r="J5" s="140">
        <v>0</v>
      </c>
      <c r="K5" s="140">
        <v>0</v>
      </c>
      <c r="L5" s="140">
        <v>0</v>
      </c>
      <c r="M5" s="140">
        <v>0</v>
      </c>
      <c r="N5" s="140">
        <v>0</v>
      </c>
      <c r="O5" s="140">
        <v>0</v>
      </c>
      <c r="P5" s="140">
        <v>0</v>
      </c>
      <c r="Q5" s="140">
        <v>0</v>
      </c>
      <c r="R5" s="140">
        <v>0</v>
      </c>
      <c r="S5" s="140">
        <v>0</v>
      </c>
      <c r="T5" s="140">
        <v>0</v>
      </c>
      <c r="U5" s="140">
        <v>0</v>
      </c>
      <c r="V5" s="140">
        <v>0</v>
      </c>
      <c r="W5" s="140">
        <v>0</v>
      </c>
      <c r="X5" s="140">
        <v>0</v>
      </c>
      <c r="Y5" s="140">
        <v>0</v>
      </c>
      <c r="DA5" s="170" t="s">
        <v>572</v>
      </c>
    </row>
    <row r="6" spans="1:105" ht="12" customHeight="1" x14ac:dyDescent="0.25">
      <c r="A6" s="131" t="s">
        <v>52</v>
      </c>
      <c r="B6" s="140"/>
      <c r="C6" s="140">
        <v>266.22446045174178</v>
      </c>
      <c r="D6" s="140">
        <v>321.22255052962316</v>
      </c>
      <c r="E6" s="140">
        <v>259.76181846735909</v>
      </c>
      <c r="F6" s="140">
        <v>111.65550968535493</v>
      </c>
      <c r="G6" s="140">
        <v>62.58434888963388</v>
      </c>
      <c r="H6" s="140">
        <v>143.61015832843492</v>
      </c>
      <c r="I6" s="140">
        <v>231.19267841458736</v>
      </c>
      <c r="J6" s="140">
        <v>154.90008982283896</v>
      </c>
      <c r="K6" s="140">
        <v>77.6932200319538</v>
      </c>
      <c r="L6" s="140">
        <v>141.43045029169753</v>
      </c>
      <c r="M6" s="140">
        <v>109.77508859150188</v>
      </c>
      <c r="N6" s="140">
        <v>26.7565126880679</v>
      </c>
      <c r="O6" s="140">
        <v>16.807783066728661</v>
      </c>
      <c r="P6" s="140">
        <v>0</v>
      </c>
      <c r="Q6" s="140">
        <v>0</v>
      </c>
      <c r="R6" s="140">
        <v>0</v>
      </c>
      <c r="S6" s="140">
        <v>62.674370087761361</v>
      </c>
      <c r="T6" s="140">
        <v>79.649612749304623</v>
      </c>
      <c r="U6" s="140">
        <v>114.55841302421601</v>
      </c>
      <c r="V6" s="140">
        <v>107.17928876628348</v>
      </c>
      <c r="W6" s="140">
        <v>108.11509815290185</v>
      </c>
      <c r="X6" s="140">
        <v>88.834712211377564</v>
      </c>
      <c r="Y6" s="140">
        <v>95.027382893190421</v>
      </c>
      <c r="DA6" s="170" t="s">
        <v>573</v>
      </c>
    </row>
    <row r="7" spans="1:105" ht="12" customHeight="1" x14ac:dyDescent="0.25">
      <c r="A7" s="131" t="s">
        <v>161</v>
      </c>
      <c r="B7" s="140"/>
      <c r="C7" s="140">
        <v>506.59258688723628</v>
      </c>
      <c r="D7" s="140">
        <v>640.97088469669791</v>
      </c>
      <c r="E7" s="140">
        <v>680.4490291624536</v>
      </c>
      <c r="F7" s="140">
        <v>375.18505462597653</v>
      </c>
      <c r="G7" s="140">
        <v>198.40452896039412</v>
      </c>
      <c r="H7" s="140">
        <v>352.07237266360943</v>
      </c>
      <c r="I7" s="140">
        <v>48.999405238420088</v>
      </c>
      <c r="J7" s="140">
        <v>0</v>
      </c>
      <c r="K7" s="140">
        <v>0</v>
      </c>
      <c r="L7" s="140">
        <v>0</v>
      </c>
      <c r="M7" s="140">
        <v>0</v>
      </c>
      <c r="N7" s="140">
        <v>55.271473654193159</v>
      </c>
      <c r="O7" s="140">
        <v>19.219146766278183</v>
      </c>
      <c r="P7" s="140">
        <v>39.407002950367605</v>
      </c>
      <c r="Q7" s="140">
        <v>27.144458566209</v>
      </c>
      <c r="R7" s="140">
        <v>68.574172379065985</v>
      </c>
      <c r="S7" s="140">
        <v>27.746539853588821</v>
      </c>
      <c r="T7" s="140">
        <v>88.054391374267695</v>
      </c>
      <c r="U7" s="140">
        <v>78.979095755590379</v>
      </c>
      <c r="V7" s="140">
        <v>130.74700424682896</v>
      </c>
      <c r="W7" s="140">
        <v>193.18158253935928</v>
      </c>
      <c r="X7" s="140">
        <v>214.8146913021117</v>
      </c>
      <c r="Y7" s="140">
        <v>50.076669285945115</v>
      </c>
      <c r="DA7" s="170" t="s">
        <v>574</v>
      </c>
    </row>
    <row r="8" spans="1:105" ht="12" customHeight="1" x14ac:dyDescent="0.25">
      <c r="A8" s="131" t="s">
        <v>73</v>
      </c>
      <c r="B8" s="140"/>
      <c r="C8" s="140">
        <v>34.012235786054752</v>
      </c>
      <c r="D8" s="140">
        <v>48.779187711132629</v>
      </c>
      <c r="E8" s="140">
        <v>33.994627255892979</v>
      </c>
      <c r="F8" s="140">
        <v>22.55760807371448</v>
      </c>
      <c r="G8" s="140">
        <v>17.235012165128012</v>
      </c>
      <c r="H8" s="140">
        <v>49.709829241875418</v>
      </c>
      <c r="I8" s="140">
        <v>53.470105249490778</v>
      </c>
      <c r="J8" s="140">
        <v>23.445687717733612</v>
      </c>
      <c r="K8" s="140">
        <v>16.720555707680173</v>
      </c>
      <c r="L8" s="140">
        <v>53.751839202237306</v>
      </c>
      <c r="M8" s="140">
        <v>106.73773341605919</v>
      </c>
      <c r="N8" s="140">
        <v>95.128128559866553</v>
      </c>
      <c r="O8" s="140">
        <v>76.389851622926074</v>
      </c>
      <c r="P8" s="140">
        <v>337.22001820012474</v>
      </c>
      <c r="Q8" s="140">
        <v>112.21028333795515</v>
      </c>
      <c r="R8" s="140">
        <v>70.959321432181866</v>
      </c>
      <c r="S8" s="140">
        <v>63.520710113001989</v>
      </c>
      <c r="T8" s="140">
        <v>87.967627599566342</v>
      </c>
      <c r="U8" s="140">
        <v>168.09203855832166</v>
      </c>
      <c r="V8" s="140">
        <v>202.53953194017703</v>
      </c>
      <c r="W8" s="140">
        <v>180.2929546980065</v>
      </c>
      <c r="X8" s="140">
        <v>93.672079501268115</v>
      </c>
      <c r="Y8" s="140">
        <v>60.736020279947049</v>
      </c>
      <c r="DA8" s="170" t="s">
        <v>575</v>
      </c>
    </row>
    <row r="9" spans="1:105" ht="12" customHeight="1" x14ac:dyDescent="0.25">
      <c r="A9" s="131" t="s">
        <v>78</v>
      </c>
      <c r="B9" s="140"/>
      <c r="C9" s="140">
        <v>7038.6898248669841</v>
      </c>
      <c r="D9" s="140">
        <v>7056.8202334672096</v>
      </c>
      <c r="E9" s="140">
        <v>6015.2197307294282</v>
      </c>
      <c r="F9" s="140">
        <v>3223.4724871655194</v>
      </c>
      <c r="G9" s="140">
        <v>2908.481232810122</v>
      </c>
      <c r="H9" s="140">
        <v>8768.8520558986511</v>
      </c>
      <c r="I9" s="140">
        <v>7915.8877252507364</v>
      </c>
      <c r="J9" s="140">
        <v>3687.4460586047949</v>
      </c>
      <c r="K9" s="140">
        <v>1206.3216292483064</v>
      </c>
      <c r="L9" s="140">
        <v>2402.4391199576844</v>
      </c>
      <c r="M9" s="140">
        <v>1680.8567931286952</v>
      </c>
      <c r="N9" s="140">
        <v>996.8847429620331</v>
      </c>
      <c r="O9" s="140">
        <v>170.45246785043173</v>
      </c>
      <c r="P9" s="140">
        <v>0</v>
      </c>
      <c r="Q9" s="140">
        <v>0</v>
      </c>
      <c r="R9" s="140">
        <v>292.40737465909001</v>
      </c>
      <c r="S9" s="140">
        <v>4519.3494376994977</v>
      </c>
      <c r="T9" s="140">
        <v>3953.9890567889547</v>
      </c>
      <c r="U9" s="140">
        <v>3176.0023356844408</v>
      </c>
      <c r="V9" s="140">
        <v>1877.7466720011125</v>
      </c>
      <c r="W9" s="140">
        <v>229.85446471636078</v>
      </c>
      <c r="X9" s="140">
        <v>1092.0572420720846</v>
      </c>
      <c r="Y9" s="140">
        <v>2124.3512347264032</v>
      </c>
      <c r="DA9" s="170" t="s">
        <v>576</v>
      </c>
    </row>
    <row r="10" spans="1:105" ht="12" customHeight="1" x14ac:dyDescent="0.25">
      <c r="A10" s="131" t="s">
        <v>128</v>
      </c>
      <c r="B10" s="140"/>
      <c r="C10" s="140">
        <v>11.393461089832833</v>
      </c>
      <c r="D10" s="140">
        <v>3.1247210647750321</v>
      </c>
      <c r="E10" s="140">
        <v>1.2602931071333494</v>
      </c>
      <c r="F10" s="140">
        <v>3.8840788644066904</v>
      </c>
      <c r="G10" s="140">
        <v>3.5933903341282609</v>
      </c>
      <c r="H10" s="140">
        <v>18.862788930593567</v>
      </c>
      <c r="I10" s="140">
        <v>12.830176508683454</v>
      </c>
      <c r="J10" s="140">
        <v>14.184554510563967</v>
      </c>
      <c r="K10" s="140">
        <v>12.212369722700693</v>
      </c>
      <c r="L10" s="140">
        <v>33.362213847982119</v>
      </c>
      <c r="M10" s="140">
        <v>39.910762938132393</v>
      </c>
      <c r="N10" s="140">
        <v>35.097484622446721</v>
      </c>
      <c r="O10" s="140">
        <v>28.635143628160023</v>
      </c>
      <c r="P10" s="140">
        <v>126.70461112671482</v>
      </c>
      <c r="Q10" s="140">
        <v>9.2510357107186643</v>
      </c>
      <c r="R10" s="140">
        <v>19.525152263450842</v>
      </c>
      <c r="S10" s="140">
        <v>4.0761268674109949</v>
      </c>
      <c r="T10" s="140">
        <v>16.046975554810089</v>
      </c>
      <c r="U10" s="140">
        <v>43.13980270354633</v>
      </c>
      <c r="V10" s="140">
        <v>59.367689467197302</v>
      </c>
      <c r="W10" s="140">
        <v>69.227380568321081</v>
      </c>
      <c r="X10" s="140">
        <v>40.948931885563148</v>
      </c>
      <c r="Y10" s="140">
        <v>29.181452926293176</v>
      </c>
      <c r="DA10" s="170" t="s">
        <v>577</v>
      </c>
    </row>
    <row r="11" spans="1:105" ht="12" customHeight="1" x14ac:dyDescent="0.25">
      <c r="A11" s="131" t="s">
        <v>25</v>
      </c>
      <c r="B11" s="140"/>
      <c r="C11" s="140">
        <v>283.31644534191184</v>
      </c>
      <c r="D11" s="140">
        <v>149.53011914588438</v>
      </c>
      <c r="E11" s="140">
        <v>12.140733693010306</v>
      </c>
      <c r="F11" s="140">
        <v>1.0135268372044568</v>
      </c>
      <c r="G11" s="140">
        <v>0.51264186511256871</v>
      </c>
      <c r="H11" s="140">
        <v>155.10405152617307</v>
      </c>
      <c r="I11" s="140">
        <v>217.67627591575322</v>
      </c>
      <c r="J11" s="140">
        <v>33.742490679262801</v>
      </c>
      <c r="K11" s="140">
        <v>13.026009122671079</v>
      </c>
      <c r="L11" s="140">
        <v>0</v>
      </c>
      <c r="M11" s="140">
        <v>56.115467549562645</v>
      </c>
      <c r="N11" s="140">
        <v>79.257547491427431</v>
      </c>
      <c r="O11" s="140">
        <v>51.126688286509172</v>
      </c>
      <c r="P11" s="140">
        <v>11.829779605067726</v>
      </c>
      <c r="Q11" s="140">
        <v>0</v>
      </c>
      <c r="R11" s="140">
        <v>10.398502408394707</v>
      </c>
      <c r="S11" s="140">
        <v>41.747283325399714</v>
      </c>
      <c r="T11" s="140">
        <v>22.861283028971236</v>
      </c>
      <c r="U11" s="140">
        <v>29.106045109129468</v>
      </c>
      <c r="V11" s="140">
        <v>30.096137260720319</v>
      </c>
      <c r="W11" s="140">
        <v>31.207152926029671</v>
      </c>
      <c r="X11" s="140">
        <v>32.920725181897794</v>
      </c>
      <c r="Y11" s="140">
        <v>20.180925944616732</v>
      </c>
      <c r="DA11" s="170" t="s">
        <v>578</v>
      </c>
    </row>
    <row r="12" spans="1:105" ht="12" customHeight="1" x14ac:dyDescent="0.25">
      <c r="A12" s="131" t="s">
        <v>162</v>
      </c>
      <c r="B12" s="140"/>
      <c r="C12" s="140">
        <v>0</v>
      </c>
      <c r="D12" s="140">
        <v>0</v>
      </c>
      <c r="E12" s="140">
        <v>0</v>
      </c>
      <c r="F12" s="140">
        <v>564.90214655048351</v>
      </c>
      <c r="G12" s="140">
        <v>149.10301093882376</v>
      </c>
      <c r="H12" s="140">
        <v>347.99155802210299</v>
      </c>
      <c r="I12" s="140">
        <v>73.275317296277919</v>
      </c>
      <c r="J12" s="140">
        <v>0</v>
      </c>
      <c r="K12" s="140">
        <v>1.7039873118508806</v>
      </c>
      <c r="L12" s="140">
        <v>50.404855235926995</v>
      </c>
      <c r="M12" s="140">
        <v>317.0719436304089</v>
      </c>
      <c r="N12" s="140">
        <v>126.06456244208073</v>
      </c>
      <c r="O12" s="140">
        <v>115.77877100219871</v>
      </c>
      <c r="P12" s="140">
        <v>270.06946217225618</v>
      </c>
      <c r="Q12" s="140">
        <v>114.3956127911359</v>
      </c>
      <c r="R12" s="140">
        <v>149.4715812777799</v>
      </c>
      <c r="S12" s="140">
        <v>258.47278405033256</v>
      </c>
      <c r="T12" s="140">
        <v>205.33171291518514</v>
      </c>
      <c r="U12" s="140">
        <v>112.94391419233735</v>
      </c>
      <c r="V12" s="140">
        <v>94.721344621322842</v>
      </c>
      <c r="W12" s="140">
        <v>0</v>
      </c>
      <c r="X12" s="140">
        <v>17.544604229880807</v>
      </c>
      <c r="Y12" s="140">
        <v>63.848475148693353</v>
      </c>
      <c r="DA12" s="170" t="s">
        <v>579</v>
      </c>
    </row>
    <row r="13" spans="1:105" ht="12" customHeight="1" x14ac:dyDescent="0.25">
      <c r="A13" s="131" t="s">
        <v>77</v>
      </c>
      <c r="B13" s="140"/>
      <c r="C13" s="140">
        <v>233.70811261218782</v>
      </c>
      <c r="D13" s="140">
        <v>421.12112350381784</v>
      </c>
      <c r="E13" s="140">
        <v>363.57614028160071</v>
      </c>
      <c r="F13" s="140">
        <v>492.53621448429652</v>
      </c>
      <c r="G13" s="140">
        <v>483.8766580305487</v>
      </c>
      <c r="H13" s="140">
        <v>1070.015245206647</v>
      </c>
      <c r="I13" s="140">
        <v>826.89530293721771</v>
      </c>
      <c r="J13" s="140">
        <v>293.78677950497951</v>
      </c>
      <c r="K13" s="140">
        <v>272.76871352039359</v>
      </c>
      <c r="L13" s="140">
        <v>995.77677479300723</v>
      </c>
      <c r="M13" s="140">
        <v>2097.236844524446</v>
      </c>
      <c r="N13" s="140">
        <v>1996.7235978255812</v>
      </c>
      <c r="O13" s="140">
        <v>1702.413292338427</v>
      </c>
      <c r="P13" s="140">
        <v>9450.0670443800209</v>
      </c>
      <c r="Q13" s="140">
        <v>4399.0262686696542</v>
      </c>
      <c r="R13" s="140">
        <v>2792.8039113454493</v>
      </c>
      <c r="S13" s="140">
        <v>1201.1754151999594</v>
      </c>
      <c r="T13" s="140">
        <v>486.04863452973808</v>
      </c>
      <c r="U13" s="140">
        <v>583.80758038142744</v>
      </c>
      <c r="V13" s="140">
        <v>726.34107248558814</v>
      </c>
      <c r="W13" s="140">
        <v>549.82380989844842</v>
      </c>
      <c r="X13" s="140">
        <v>332.38833137407852</v>
      </c>
      <c r="Y13" s="140">
        <v>0</v>
      </c>
      <c r="DA13" s="170" t="s">
        <v>580</v>
      </c>
    </row>
    <row r="14" spans="1:105" ht="12" customHeight="1" x14ac:dyDescent="0.25">
      <c r="A14" s="60" t="s">
        <v>76</v>
      </c>
      <c r="B14" s="141"/>
      <c r="C14" s="141">
        <v>3168.2385434590647</v>
      </c>
      <c r="D14" s="141">
        <v>3299.5747163035267</v>
      </c>
      <c r="E14" s="141">
        <v>1279.3692340661446</v>
      </c>
      <c r="F14" s="141">
        <v>1706.9783567465333</v>
      </c>
      <c r="G14" s="141">
        <v>1373.8855066438448</v>
      </c>
      <c r="H14" s="141">
        <v>4494.0193660245031</v>
      </c>
      <c r="I14" s="141">
        <v>3707.9535443336031</v>
      </c>
      <c r="J14" s="141">
        <v>1519.5968578974873</v>
      </c>
      <c r="K14" s="141">
        <v>879.01600663073555</v>
      </c>
      <c r="L14" s="141">
        <v>2161.6694130965629</v>
      </c>
      <c r="M14" s="141">
        <v>3052.8797184022728</v>
      </c>
      <c r="N14" s="141">
        <v>1379.2099162537488</v>
      </c>
      <c r="O14" s="141">
        <v>340.44064920160997</v>
      </c>
      <c r="P14" s="141">
        <v>0</v>
      </c>
      <c r="Q14" s="141">
        <v>0</v>
      </c>
      <c r="R14" s="141">
        <v>0</v>
      </c>
      <c r="S14" s="141">
        <v>0</v>
      </c>
      <c r="T14" s="141">
        <v>435.16519176109415</v>
      </c>
      <c r="U14" s="141">
        <v>623.77406491925728</v>
      </c>
      <c r="V14" s="141">
        <v>1196.4869298131159</v>
      </c>
      <c r="W14" s="141">
        <v>2866.7790820911041</v>
      </c>
      <c r="X14" s="141">
        <v>2150.5481645109076</v>
      </c>
      <c r="Y14" s="141">
        <v>1537.0441942693351</v>
      </c>
      <c r="DA14" s="171" t="s">
        <v>581</v>
      </c>
    </row>
    <row r="15" spans="1:105" ht="12" customHeight="1" x14ac:dyDescent="0.25">
      <c r="A15" s="142" t="s">
        <v>75</v>
      </c>
      <c r="B15" s="143"/>
      <c r="C15" s="143">
        <f t="shared" ref="C15:Q15" si="4">SUM(C5:C12)</f>
        <v>8140.2290144237622</v>
      </c>
      <c r="D15" s="143">
        <f t="shared" si="4"/>
        <v>8220.4476966153234</v>
      </c>
      <c r="E15" s="143">
        <f t="shared" si="4"/>
        <v>7002.8262324152774</v>
      </c>
      <c r="F15" s="143">
        <f t="shared" si="4"/>
        <v>4302.6704118026601</v>
      </c>
      <c r="G15" s="143">
        <f t="shared" si="4"/>
        <v>3339.9141659633428</v>
      </c>
      <c r="H15" s="143">
        <f t="shared" si="4"/>
        <v>9836.2028146114408</v>
      </c>
      <c r="I15" s="143">
        <f t="shared" si="4"/>
        <v>8553.3316838739502</v>
      </c>
      <c r="J15" s="143">
        <f t="shared" si="4"/>
        <v>3913.7188813351941</v>
      </c>
      <c r="K15" s="143">
        <f t="shared" si="4"/>
        <v>1327.677771145163</v>
      </c>
      <c r="L15" s="143">
        <f t="shared" si="4"/>
        <v>2681.3884785355281</v>
      </c>
      <c r="M15" s="143">
        <f t="shared" si="4"/>
        <v>2310.4677892543605</v>
      </c>
      <c r="N15" s="143">
        <f t="shared" si="4"/>
        <v>1414.4604524201154</v>
      </c>
      <c r="O15" s="143">
        <f t="shared" si="4"/>
        <v>478.40985222323252</v>
      </c>
      <c r="P15" s="143">
        <f t="shared" si="4"/>
        <v>785.23087405453111</v>
      </c>
      <c r="Q15" s="143">
        <f t="shared" si="4"/>
        <v>263.00139040601869</v>
      </c>
      <c r="R15" s="143">
        <f t="shared" ref="R15:W15" si="5">SUM(R5:R12)</f>
        <v>611.33610441996336</v>
      </c>
      <c r="S15" s="143">
        <f t="shared" si="5"/>
        <v>4977.5872519969935</v>
      </c>
      <c r="T15" s="143">
        <f t="shared" si="5"/>
        <v>4453.9006600110606</v>
      </c>
      <c r="U15" s="143">
        <f t="shared" si="5"/>
        <v>3722.8216450275818</v>
      </c>
      <c r="V15" s="143">
        <f t="shared" si="5"/>
        <v>2502.3976683036421</v>
      </c>
      <c r="W15" s="143">
        <f t="shared" si="5"/>
        <v>811.87863360097924</v>
      </c>
      <c r="X15" s="143">
        <f t="shared" ref="X15:Y15" si="6">SUM(X5:X12)</f>
        <v>1580.7929863841837</v>
      </c>
      <c r="Y15" s="143">
        <f t="shared" si="6"/>
        <v>2443.4021612050892</v>
      </c>
      <c r="DA15" s="172"/>
    </row>
    <row r="16" spans="1:105" ht="12.95" customHeight="1" x14ac:dyDescent="0.25">
      <c r="A16" s="129" t="s">
        <v>74</v>
      </c>
      <c r="B16" s="139"/>
      <c r="C16" s="139">
        <f t="shared" ref="C16:Q16" si="7">SUM(C17:C18)</f>
        <v>11542.175670495011</v>
      </c>
      <c r="D16" s="139">
        <f t="shared" si="7"/>
        <v>11941.143536422667</v>
      </c>
      <c r="E16" s="139">
        <f t="shared" si="7"/>
        <v>8645.7716067630208</v>
      </c>
      <c r="F16" s="139">
        <f t="shared" si="7"/>
        <v>6502.1849830334886</v>
      </c>
      <c r="G16" s="139">
        <f t="shared" si="7"/>
        <v>5197.676330637737</v>
      </c>
      <c r="H16" s="139">
        <f t="shared" si="7"/>
        <v>15400.237425842588</v>
      </c>
      <c r="I16" s="139">
        <f t="shared" si="7"/>
        <v>13088.180531144768</v>
      </c>
      <c r="J16" s="139">
        <f t="shared" si="7"/>
        <v>5727.1025187376599</v>
      </c>
      <c r="K16" s="139">
        <f t="shared" si="7"/>
        <v>2479.4624912962918</v>
      </c>
      <c r="L16" s="139">
        <f t="shared" si="7"/>
        <v>5838.8346664250985</v>
      </c>
      <c r="M16" s="139">
        <f t="shared" si="7"/>
        <v>7460.5843521810784</v>
      </c>
      <c r="N16" s="139">
        <f t="shared" si="7"/>
        <v>4790.3939664994459</v>
      </c>
      <c r="O16" s="139">
        <f t="shared" si="7"/>
        <v>2521.2637937632694</v>
      </c>
      <c r="P16" s="139">
        <f t="shared" si="7"/>
        <v>10235.297918434553</v>
      </c>
      <c r="Q16" s="139">
        <f t="shared" si="7"/>
        <v>4662.027659075673</v>
      </c>
      <c r="R16" s="139">
        <f t="shared" ref="R16:W16" si="8">SUM(R17:R18)</f>
        <v>3404.1400157654125</v>
      </c>
      <c r="S16" s="139">
        <f t="shared" si="8"/>
        <v>6178.7626671969529</v>
      </c>
      <c r="T16" s="139">
        <f t="shared" si="8"/>
        <v>5375.1144863018935</v>
      </c>
      <c r="U16" s="139">
        <f t="shared" si="8"/>
        <v>4930.4032903282659</v>
      </c>
      <c r="V16" s="139">
        <f t="shared" si="8"/>
        <v>4425.2256706023463</v>
      </c>
      <c r="W16" s="139">
        <f t="shared" si="8"/>
        <v>4228.4815255905314</v>
      </c>
      <c r="X16" s="139">
        <f t="shared" ref="X16:Y16" si="9">SUM(X17:X18)</f>
        <v>4063.7294822691701</v>
      </c>
      <c r="Y16" s="139">
        <f t="shared" si="9"/>
        <v>3980.4463554744234</v>
      </c>
      <c r="DA16" s="169" t="s">
        <v>582</v>
      </c>
    </row>
    <row r="17" spans="1:105" ht="12.95" customHeight="1" x14ac:dyDescent="0.25">
      <c r="A17" s="131" t="s">
        <v>73</v>
      </c>
      <c r="B17" s="140"/>
      <c r="C17" s="140">
        <v>73.093814483354791</v>
      </c>
      <c r="D17" s="140">
        <v>22.376537253427347</v>
      </c>
      <c r="E17" s="140">
        <v>55.326142721910159</v>
      </c>
      <c r="F17" s="140">
        <v>46.223812228916266</v>
      </c>
      <c r="G17" s="140">
        <v>24.24471148058192</v>
      </c>
      <c r="H17" s="140">
        <v>97.543193305328387</v>
      </c>
      <c r="I17" s="140">
        <v>81.181944238607684</v>
      </c>
      <c r="J17" s="140">
        <v>47.320712720753782</v>
      </c>
      <c r="K17" s="140">
        <v>35.453266087958596</v>
      </c>
      <c r="L17" s="140">
        <v>71.726391092021387</v>
      </c>
      <c r="M17" s="140">
        <v>77.433440604165</v>
      </c>
      <c r="N17" s="140">
        <v>50.222287088879291</v>
      </c>
      <c r="O17" s="140">
        <v>40.779752226394272</v>
      </c>
      <c r="P17" s="140">
        <v>153.58099454070739</v>
      </c>
      <c r="Q17" s="140">
        <v>65.985509590961016</v>
      </c>
      <c r="R17" s="140">
        <v>52.596346489536728</v>
      </c>
      <c r="S17" s="140">
        <v>97.923329275281432</v>
      </c>
      <c r="T17" s="140">
        <v>87.962565445121598</v>
      </c>
      <c r="U17" s="140">
        <v>78.860479689699915</v>
      </c>
      <c r="V17" s="140">
        <v>66.832351407615221</v>
      </c>
      <c r="W17" s="140">
        <v>59.704419221429269</v>
      </c>
      <c r="X17" s="140">
        <v>92.541571474507393</v>
      </c>
      <c r="Y17" s="140">
        <v>86.932646309682085</v>
      </c>
      <c r="DA17" s="170" t="s">
        <v>583</v>
      </c>
    </row>
    <row r="18" spans="1:105" ht="12" customHeight="1" x14ac:dyDescent="0.25">
      <c r="A18" s="131" t="s">
        <v>72</v>
      </c>
      <c r="B18" s="140"/>
      <c r="C18" s="140">
        <v>11469.081856011657</v>
      </c>
      <c r="D18" s="140">
        <v>11918.76699916924</v>
      </c>
      <c r="E18" s="140">
        <v>8590.4454640411113</v>
      </c>
      <c r="F18" s="140">
        <v>6455.9611708045722</v>
      </c>
      <c r="G18" s="140">
        <v>5173.4316191571552</v>
      </c>
      <c r="H18" s="140">
        <v>15302.69423253726</v>
      </c>
      <c r="I18" s="140">
        <v>13006.99858690616</v>
      </c>
      <c r="J18" s="140">
        <v>5679.7818060169066</v>
      </c>
      <c r="K18" s="140">
        <v>2444.0092252083332</v>
      </c>
      <c r="L18" s="140">
        <v>5767.1082753330775</v>
      </c>
      <c r="M18" s="140">
        <v>7383.1509115769131</v>
      </c>
      <c r="N18" s="140">
        <v>4740.1716794105669</v>
      </c>
      <c r="O18" s="140">
        <v>2480.4840415368753</v>
      </c>
      <c r="P18" s="140">
        <v>10081.716923893846</v>
      </c>
      <c r="Q18" s="140">
        <v>4596.0421494847124</v>
      </c>
      <c r="R18" s="140">
        <v>3351.5436692758758</v>
      </c>
      <c r="S18" s="140">
        <v>6080.8393379216714</v>
      </c>
      <c r="T18" s="140">
        <v>5287.1519208567715</v>
      </c>
      <c r="U18" s="140">
        <v>4851.5428106385662</v>
      </c>
      <c r="V18" s="140">
        <v>4358.3933191947308</v>
      </c>
      <c r="W18" s="140">
        <v>4168.7771063691025</v>
      </c>
      <c r="X18" s="140">
        <v>3971.1879107946629</v>
      </c>
      <c r="Y18" s="140">
        <v>3893.5137091647412</v>
      </c>
      <c r="DA18" s="170" t="s">
        <v>584</v>
      </c>
    </row>
    <row r="19" spans="1:105" ht="12.95" customHeight="1" x14ac:dyDescent="0.25">
      <c r="A19" s="129" t="s">
        <v>35</v>
      </c>
      <c r="B19" s="139"/>
      <c r="C19" s="139">
        <f t="shared" ref="C19:Q19" si="10">SUM(C20:C26)</f>
        <v>11542.175670495013</v>
      </c>
      <c r="D19" s="139">
        <f t="shared" si="10"/>
        <v>11941.143536422665</v>
      </c>
      <c r="E19" s="139">
        <f t="shared" si="10"/>
        <v>8645.7716067630208</v>
      </c>
      <c r="F19" s="139">
        <f t="shared" si="10"/>
        <v>6502.1849830334886</v>
      </c>
      <c r="G19" s="139">
        <f t="shared" si="10"/>
        <v>5197.6763306377361</v>
      </c>
      <c r="H19" s="139">
        <f t="shared" si="10"/>
        <v>15400.237425842588</v>
      </c>
      <c r="I19" s="139">
        <f t="shared" si="10"/>
        <v>13088.180531144768</v>
      </c>
      <c r="J19" s="139">
        <f t="shared" si="10"/>
        <v>5727.1025187376617</v>
      </c>
      <c r="K19" s="139">
        <f t="shared" si="10"/>
        <v>2479.4624912962918</v>
      </c>
      <c r="L19" s="139">
        <f t="shared" si="10"/>
        <v>5838.8346664250985</v>
      </c>
      <c r="M19" s="139">
        <f t="shared" si="10"/>
        <v>7460.5843521810784</v>
      </c>
      <c r="N19" s="139">
        <f t="shared" si="10"/>
        <v>4790.3939664994459</v>
      </c>
      <c r="O19" s="139">
        <f t="shared" si="10"/>
        <v>2521.2637937632694</v>
      </c>
      <c r="P19" s="139">
        <f t="shared" si="10"/>
        <v>10235.29791843455</v>
      </c>
      <c r="Q19" s="139">
        <f t="shared" si="10"/>
        <v>4662.027659075673</v>
      </c>
      <c r="R19" s="139">
        <f t="shared" ref="R19:W19" si="11">SUM(R20:R26)</f>
        <v>3404.1400157654125</v>
      </c>
      <c r="S19" s="139">
        <f t="shared" si="11"/>
        <v>6178.7626671969538</v>
      </c>
      <c r="T19" s="139">
        <f t="shared" si="11"/>
        <v>5375.1144863018935</v>
      </c>
      <c r="U19" s="139">
        <f t="shared" si="11"/>
        <v>4930.4032903282659</v>
      </c>
      <c r="V19" s="139">
        <f t="shared" si="11"/>
        <v>4425.2256706023463</v>
      </c>
      <c r="W19" s="139">
        <f t="shared" si="11"/>
        <v>4228.4815255905314</v>
      </c>
      <c r="X19" s="139">
        <f t="shared" ref="X19:Y19" si="12">SUM(X20:X26)</f>
        <v>4063.7294822691701</v>
      </c>
      <c r="Y19" s="139">
        <f t="shared" si="12"/>
        <v>3980.4463554744229</v>
      </c>
      <c r="DA19" s="169" t="s">
        <v>585</v>
      </c>
    </row>
    <row r="20" spans="1:105" ht="12" customHeight="1" x14ac:dyDescent="0.25">
      <c r="A20" s="131" t="s">
        <v>29</v>
      </c>
      <c r="B20" s="140"/>
      <c r="C20" s="140">
        <v>0</v>
      </c>
      <c r="D20" s="140">
        <v>0</v>
      </c>
      <c r="E20" s="140">
        <v>0</v>
      </c>
      <c r="F20" s="140">
        <v>0</v>
      </c>
      <c r="G20" s="140">
        <v>0</v>
      </c>
      <c r="H20" s="140">
        <v>0</v>
      </c>
      <c r="I20" s="140">
        <v>0</v>
      </c>
      <c r="J20" s="140">
        <v>0</v>
      </c>
      <c r="K20" s="140">
        <v>0</v>
      </c>
      <c r="L20" s="140">
        <v>0</v>
      </c>
      <c r="M20" s="140">
        <v>0</v>
      </c>
      <c r="N20" s="140">
        <v>0</v>
      </c>
      <c r="O20" s="140">
        <v>0</v>
      </c>
      <c r="P20" s="140">
        <v>0</v>
      </c>
      <c r="Q20" s="140">
        <v>0</v>
      </c>
      <c r="R20" s="140">
        <v>0</v>
      </c>
      <c r="S20" s="140">
        <v>0</v>
      </c>
      <c r="T20" s="140">
        <v>0</v>
      </c>
      <c r="U20" s="140">
        <v>0</v>
      </c>
      <c r="V20" s="140">
        <v>0</v>
      </c>
      <c r="W20" s="140">
        <v>0</v>
      </c>
      <c r="X20" s="140">
        <v>0</v>
      </c>
      <c r="Y20" s="140">
        <v>0</v>
      </c>
      <c r="DA20" s="170" t="s">
        <v>586</v>
      </c>
    </row>
    <row r="21" spans="1:105" s="2" customFormat="1" ht="12" customHeight="1" x14ac:dyDescent="0.25">
      <c r="A21" s="131" t="s">
        <v>52</v>
      </c>
      <c r="B21" s="140"/>
      <c r="C21" s="140">
        <v>313.26013111864887</v>
      </c>
      <c r="D21" s="140">
        <v>132.96096935320989</v>
      </c>
      <c r="E21" s="140">
        <v>165.0911514478523</v>
      </c>
      <c r="F21" s="140">
        <v>190.38715760341486</v>
      </c>
      <c r="G21" s="140">
        <v>186.48886301849012</v>
      </c>
      <c r="H21" s="140">
        <v>398.2554132635355</v>
      </c>
      <c r="I21" s="140">
        <v>198.65680436225563</v>
      </c>
      <c r="J21" s="140">
        <v>120.51766569010664</v>
      </c>
      <c r="K21" s="140">
        <v>45.614668148571468</v>
      </c>
      <c r="L21" s="140">
        <v>115.13498225930596</v>
      </c>
      <c r="M21" s="140">
        <v>131.12136393106499</v>
      </c>
      <c r="N21" s="140">
        <v>58.267804964967901</v>
      </c>
      <c r="O21" s="140">
        <v>27.480266793850905</v>
      </c>
      <c r="P21" s="140">
        <v>0</v>
      </c>
      <c r="Q21" s="140">
        <v>0</v>
      </c>
      <c r="R21" s="140">
        <v>42.899478060294079</v>
      </c>
      <c r="S21" s="140">
        <v>145.86738709083545</v>
      </c>
      <c r="T21" s="140">
        <v>111.54543921820856</v>
      </c>
      <c r="U21" s="140">
        <v>111.52781506087526</v>
      </c>
      <c r="V21" s="140">
        <v>74.133771206820313</v>
      </c>
      <c r="W21" s="140">
        <v>51.300378947353963</v>
      </c>
      <c r="X21" s="140">
        <v>39.803794546866762</v>
      </c>
      <c r="Y21" s="140">
        <v>69.152602482088469</v>
      </c>
      <c r="DA21" s="170" t="s">
        <v>587</v>
      </c>
    </row>
    <row r="22" spans="1:105" ht="12" customHeight="1" x14ac:dyDescent="0.25">
      <c r="A22" s="131" t="s">
        <v>161</v>
      </c>
      <c r="B22" s="140"/>
      <c r="C22" s="140">
        <v>45.852970726989639</v>
      </c>
      <c r="D22" s="140">
        <v>0</v>
      </c>
      <c r="E22" s="140">
        <v>0</v>
      </c>
      <c r="F22" s="140">
        <v>0</v>
      </c>
      <c r="G22" s="140">
        <v>74.409718714528509</v>
      </c>
      <c r="H22" s="140">
        <v>410.52325380834395</v>
      </c>
      <c r="I22" s="140">
        <v>321.56214766617541</v>
      </c>
      <c r="J22" s="140">
        <v>141.45518533206666</v>
      </c>
      <c r="K22" s="140">
        <v>40.467985592204911</v>
      </c>
      <c r="L22" s="140">
        <v>121.74835395964256</v>
      </c>
      <c r="M22" s="140">
        <v>213.16725847807544</v>
      </c>
      <c r="N22" s="140">
        <v>168.08475775103605</v>
      </c>
      <c r="O22" s="140">
        <v>83.088419051322347</v>
      </c>
      <c r="P22" s="140">
        <v>0</v>
      </c>
      <c r="Q22" s="140">
        <v>0</v>
      </c>
      <c r="R22" s="140">
        <v>0</v>
      </c>
      <c r="S22" s="140">
        <v>0</v>
      </c>
      <c r="T22" s="140">
        <v>0</v>
      </c>
      <c r="U22" s="140">
        <v>0</v>
      </c>
      <c r="V22" s="140">
        <v>0</v>
      </c>
      <c r="W22" s="140">
        <v>35.778336716113699</v>
      </c>
      <c r="X22" s="140">
        <v>72.63078898813734</v>
      </c>
      <c r="Y22" s="140">
        <v>100.8527912436499</v>
      </c>
      <c r="DA22" s="170" t="s">
        <v>588</v>
      </c>
    </row>
    <row r="23" spans="1:105" ht="12" customHeight="1" x14ac:dyDescent="0.25">
      <c r="A23" s="131" t="s">
        <v>149</v>
      </c>
      <c r="B23" s="140"/>
      <c r="C23" s="140">
        <v>3926.7304996876464</v>
      </c>
      <c r="D23" s="140">
        <v>4260.0649540954255</v>
      </c>
      <c r="E23" s="140">
        <v>3445.571725705393</v>
      </c>
      <c r="F23" s="140">
        <v>2654.3223304855833</v>
      </c>
      <c r="G23" s="140">
        <v>2387.9926226632087</v>
      </c>
      <c r="H23" s="140">
        <v>5451.3164881114108</v>
      </c>
      <c r="I23" s="140">
        <v>4711.8628583243826</v>
      </c>
      <c r="J23" s="140">
        <v>2450.0029264698755</v>
      </c>
      <c r="K23" s="140">
        <v>1124.4488039635589</v>
      </c>
      <c r="L23" s="140">
        <v>2447.0091386555605</v>
      </c>
      <c r="M23" s="140">
        <v>3035.501740020205</v>
      </c>
      <c r="N23" s="140">
        <v>2060.6498604814019</v>
      </c>
      <c r="O23" s="140">
        <v>1060.6824607368183</v>
      </c>
      <c r="P23" s="140">
        <v>3256.0046632554336</v>
      </c>
      <c r="Q23" s="140">
        <v>2101.6613305567757</v>
      </c>
      <c r="R23" s="140">
        <v>1906.0768189404969</v>
      </c>
      <c r="S23" s="140">
        <v>3467.0363815502815</v>
      </c>
      <c r="T23" s="140">
        <v>2461.453228606159</v>
      </c>
      <c r="U23" s="140">
        <v>1982.5961137202767</v>
      </c>
      <c r="V23" s="140">
        <v>1404.6647490873056</v>
      </c>
      <c r="W23" s="140">
        <v>5.2511139662821842</v>
      </c>
      <c r="X23" s="140">
        <v>1592.2518347363643</v>
      </c>
      <c r="Y23" s="140">
        <v>1756.6182445099391</v>
      </c>
      <c r="DA23" s="170" t="s">
        <v>589</v>
      </c>
    </row>
    <row r="24" spans="1:105" ht="12" customHeight="1" x14ac:dyDescent="0.25">
      <c r="A24" s="131" t="s">
        <v>128</v>
      </c>
      <c r="B24" s="140"/>
      <c r="C24" s="140">
        <v>0</v>
      </c>
      <c r="D24" s="140">
        <v>0</v>
      </c>
      <c r="E24" s="140">
        <v>0</v>
      </c>
      <c r="F24" s="140">
        <v>0</v>
      </c>
      <c r="G24" s="140">
        <v>0</v>
      </c>
      <c r="H24" s="140">
        <v>0</v>
      </c>
      <c r="I24" s="140">
        <v>0</v>
      </c>
      <c r="J24" s="140">
        <v>0</v>
      </c>
      <c r="K24" s="140">
        <v>0</v>
      </c>
      <c r="L24" s="140">
        <v>0</v>
      </c>
      <c r="M24" s="140">
        <v>0</v>
      </c>
      <c r="N24" s="140">
        <v>0</v>
      </c>
      <c r="O24" s="140">
        <v>0</v>
      </c>
      <c r="P24" s="140">
        <v>0</v>
      </c>
      <c r="Q24" s="140">
        <v>0</v>
      </c>
      <c r="R24" s="140">
        <v>0</v>
      </c>
      <c r="S24" s="140">
        <v>0</v>
      </c>
      <c r="T24" s="140">
        <v>0</v>
      </c>
      <c r="U24" s="140">
        <v>0</v>
      </c>
      <c r="V24" s="140">
        <v>0</v>
      </c>
      <c r="W24" s="140">
        <v>0</v>
      </c>
      <c r="X24" s="140">
        <v>0</v>
      </c>
      <c r="Y24" s="140">
        <v>0</v>
      </c>
      <c r="DA24" s="170" t="s">
        <v>590</v>
      </c>
    </row>
    <row r="25" spans="1:105" ht="12" customHeight="1" x14ac:dyDescent="0.25">
      <c r="A25" s="131" t="s">
        <v>162</v>
      </c>
      <c r="B25" s="140"/>
      <c r="C25" s="140">
        <v>0</v>
      </c>
      <c r="D25" s="140">
        <v>0</v>
      </c>
      <c r="E25" s="140">
        <v>0</v>
      </c>
      <c r="F25" s="140">
        <v>513.37454786986962</v>
      </c>
      <c r="G25" s="140">
        <v>127.20345478502682</v>
      </c>
      <c r="H25" s="140">
        <v>154.686736827771</v>
      </c>
      <c r="I25" s="140">
        <v>41.260988721920477</v>
      </c>
      <c r="J25" s="140">
        <v>45.692079063218785</v>
      </c>
      <c r="K25" s="140">
        <v>41.469145659762503</v>
      </c>
      <c r="L25" s="140">
        <v>108.28669146135681</v>
      </c>
      <c r="M25" s="140">
        <v>195.03559914988688</v>
      </c>
      <c r="N25" s="140">
        <v>165.92599310939926</v>
      </c>
      <c r="O25" s="140">
        <v>116.98840166401996</v>
      </c>
      <c r="P25" s="140">
        <v>626.66882637910169</v>
      </c>
      <c r="Q25" s="140">
        <v>219.95660046757072</v>
      </c>
      <c r="R25" s="140">
        <v>140.61086221724997</v>
      </c>
      <c r="S25" s="140">
        <v>181.93979030364744</v>
      </c>
      <c r="T25" s="140">
        <v>152.00337961276307</v>
      </c>
      <c r="U25" s="140">
        <v>55.860942438454948</v>
      </c>
      <c r="V25" s="140">
        <v>0</v>
      </c>
      <c r="W25" s="140">
        <v>0</v>
      </c>
      <c r="X25" s="140">
        <v>0.22086270886177942</v>
      </c>
      <c r="Y25" s="140">
        <v>0</v>
      </c>
      <c r="DA25" s="170" t="s">
        <v>591</v>
      </c>
    </row>
    <row r="26" spans="1:105" ht="12" customHeight="1" x14ac:dyDescent="0.25">
      <c r="A26" s="131" t="s">
        <v>24</v>
      </c>
      <c r="B26" s="141"/>
      <c r="C26" s="141">
        <v>7256.3320689617276</v>
      </c>
      <c r="D26" s="141">
        <v>7548.1176129740297</v>
      </c>
      <c r="E26" s="141">
        <v>5035.1087296097767</v>
      </c>
      <c r="F26" s="141">
        <v>3144.1009470746208</v>
      </c>
      <c r="G26" s="141">
        <v>2421.5816714564821</v>
      </c>
      <c r="H26" s="141">
        <v>8985.4555338315258</v>
      </c>
      <c r="I26" s="141">
        <v>7814.8377320700347</v>
      </c>
      <c r="J26" s="141">
        <v>2969.4346621823938</v>
      </c>
      <c r="K26" s="141">
        <v>1227.461887932194</v>
      </c>
      <c r="L26" s="141">
        <v>3046.6555000892331</v>
      </c>
      <c r="M26" s="141">
        <v>3885.7583906018467</v>
      </c>
      <c r="N26" s="141">
        <v>2337.4655501926409</v>
      </c>
      <c r="O26" s="141">
        <v>1233.0242455172581</v>
      </c>
      <c r="P26" s="141">
        <v>6352.6244288000153</v>
      </c>
      <c r="Q26" s="141">
        <v>2340.4097280513265</v>
      </c>
      <c r="R26" s="141">
        <v>1314.5528565473717</v>
      </c>
      <c r="S26" s="141">
        <v>2383.9191082521888</v>
      </c>
      <c r="T26" s="141">
        <v>2650.1124388647627</v>
      </c>
      <c r="U26" s="141">
        <v>2780.4184191086592</v>
      </c>
      <c r="V26" s="141">
        <v>2946.4271503082205</v>
      </c>
      <c r="W26" s="141">
        <v>4136.1516959607816</v>
      </c>
      <c r="X26" s="141">
        <v>2358.8222012889396</v>
      </c>
      <c r="Y26" s="141">
        <v>2053.8227172387456</v>
      </c>
      <c r="DA26" s="171" t="s">
        <v>592</v>
      </c>
    </row>
    <row r="27" spans="1:105" ht="12" customHeight="1" x14ac:dyDescent="0.25">
      <c r="A27" s="144" t="s">
        <v>26</v>
      </c>
      <c r="B27" s="150"/>
      <c r="C27" s="150">
        <v>230.78299661922989</v>
      </c>
      <c r="D27" s="150">
        <v>432.1934426910193</v>
      </c>
      <c r="E27" s="150">
        <v>374.87661030423027</v>
      </c>
      <c r="F27" s="150">
        <v>511.2167524254657</v>
      </c>
      <c r="G27" s="150">
        <v>1229.7487465134118</v>
      </c>
      <c r="H27" s="150">
        <v>1201.3665012314243</v>
      </c>
      <c r="I27" s="150">
        <v>2379.3370074112045</v>
      </c>
      <c r="J27" s="150">
        <v>2464.5617802553356</v>
      </c>
      <c r="K27" s="150">
        <v>1389.4725209564976</v>
      </c>
      <c r="L27" s="150">
        <v>3404.7715360577863</v>
      </c>
      <c r="M27" s="150">
        <v>1457.4766686938403</v>
      </c>
      <c r="N27" s="150">
        <v>1221.3201336737752</v>
      </c>
      <c r="O27" s="150">
        <v>824.26625436312634</v>
      </c>
      <c r="P27" s="150">
        <v>3901.4320348721503</v>
      </c>
      <c r="Q27" s="150">
        <v>9.1412122916621638E-2</v>
      </c>
      <c r="R27" s="150">
        <v>1062.5569865797686</v>
      </c>
      <c r="S27" s="150">
        <v>2574.8022628252506</v>
      </c>
      <c r="T27" s="150">
        <v>2004.7317197798225</v>
      </c>
      <c r="U27" s="150">
        <v>2895.2724967696117</v>
      </c>
      <c r="V27" s="150">
        <v>2957.5224716419625</v>
      </c>
      <c r="W27" s="150">
        <v>0.15152508675143259</v>
      </c>
      <c r="X27" s="150">
        <v>0</v>
      </c>
      <c r="Y27" s="150">
        <v>2160.0975557425481</v>
      </c>
      <c r="DA27" s="173" t="s">
        <v>593</v>
      </c>
    </row>
    <row r="28" spans="1:105" ht="12" hidden="1" customHeight="1" x14ac:dyDescent="0.25">
      <c r="A28" s="78" t="s">
        <v>26</v>
      </c>
      <c r="B28" s="151"/>
      <c r="C28" s="151"/>
      <c r="D28" s="151"/>
      <c r="E28" s="151"/>
      <c r="F28" s="151"/>
      <c r="G28" s="151"/>
      <c r="H28" s="151"/>
      <c r="I28" s="151"/>
      <c r="J28" s="151"/>
      <c r="K28" s="151"/>
      <c r="L28" s="151"/>
      <c r="M28" s="151"/>
      <c r="N28" s="151"/>
      <c r="O28" s="151"/>
      <c r="P28" s="151"/>
      <c r="Q28" s="151"/>
      <c r="R28" s="151"/>
      <c r="S28" s="151"/>
      <c r="T28" s="151"/>
      <c r="U28" s="151"/>
      <c r="V28" s="151"/>
      <c r="W28" s="151"/>
      <c r="X28" s="151"/>
      <c r="Y28" s="151"/>
      <c r="DA28" s="174"/>
    </row>
    <row r="29" spans="1:105" ht="12.95" customHeight="1" x14ac:dyDescent="0.25">
      <c r="A29" s="129" t="s">
        <v>34</v>
      </c>
      <c r="B29" s="139"/>
      <c r="C29" s="139">
        <f t="shared" ref="C29:Q29" si="13">SUM(C30:C33)</f>
        <v>11542.175670495011</v>
      </c>
      <c r="D29" s="139">
        <f t="shared" si="13"/>
        <v>11941.143536422667</v>
      </c>
      <c r="E29" s="139">
        <f t="shared" si="13"/>
        <v>8645.7716067630226</v>
      </c>
      <c r="F29" s="139">
        <f t="shared" si="13"/>
        <v>6502.1849830334895</v>
      </c>
      <c r="G29" s="139">
        <f t="shared" si="13"/>
        <v>5197.6763306377361</v>
      </c>
      <c r="H29" s="139">
        <f t="shared" si="13"/>
        <v>15400.23742584259</v>
      </c>
      <c r="I29" s="139">
        <f t="shared" si="13"/>
        <v>13088.18053114477</v>
      </c>
      <c r="J29" s="139">
        <f t="shared" si="13"/>
        <v>5727.1025187376617</v>
      </c>
      <c r="K29" s="139">
        <f t="shared" si="13"/>
        <v>2479.4624912962922</v>
      </c>
      <c r="L29" s="139">
        <f t="shared" si="13"/>
        <v>5838.8346664250976</v>
      </c>
      <c r="M29" s="139">
        <f t="shared" si="13"/>
        <v>7460.5843521810784</v>
      </c>
      <c r="N29" s="139">
        <f t="shared" si="13"/>
        <v>4790.3939664994459</v>
      </c>
      <c r="O29" s="139">
        <f t="shared" si="13"/>
        <v>2521.2637937632699</v>
      </c>
      <c r="P29" s="139">
        <f t="shared" si="13"/>
        <v>10235.29791843455</v>
      </c>
      <c r="Q29" s="139">
        <f t="shared" si="13"/>
        <v>4662.027659075673</v>
      </c>
      <c r="R29" s="139">
        <f t="shared" ref="R29:W29" si="14">SUM(R30:R33)</f>
        <v>3404.1400157654116</v>
      </c>
      <c r="S29" s="139">
        <f t="shared" si="14"/>
        <v>6178.7626671969529</v>
      </c>
      <c r="T29" s="139">
        <f t="shared" si="14"/>
        <v>5375.1144863018926</v>
      </c>
      <c r="U29" s="139">
        <f t="shared" si="14"/>
        <v>4930.4032903282659</v>
      </c>
      <c r="V29" s="139">
        <f t="shared" si="14"/>
        <v>4425.2256706023463</v>
      </c>
      <c r="W29" s="139">
        <f t="shared" si="14"/>
        <v>4228.4815255905314</v>
      </c>
      <c r="X29" s="139">
        <f t="shared" ref="X29:Y29" si="15">SUM(X30:X33)</f>
        <v>4063.7294822691692</v>
      </c>
      <c r="Y29" s="139">
        <f t="shared" si="15"/>
        <v>3980.4463554744234</v>
      </c>
      <c r="DA29" s="169" t="s">
        <v>594</v>
      </c>
    </row>
    <row r="30" spans="1:105" s="2" customFormat="1" ht="12" customHeight="1" x14ac:dyDescent="0.25">
      <c r="A30" s="131" t="s">
        <v>52</v>
      </c>
      <c r="B30" s="140"/>
      <c r="C30" s="140">
        <v>1379.0449359598999</v>
      </c>
      <c r="D30" s="140">
        <v>1489.092378732006</v>
      </c>
      <c r="E30" s="140">
        <v>920.23455008478629</v>
      </c>
      <c r="F30" s="140">
        <v>472.38947900598333</v>
      </c>
      <c r="G30" s="140">
        <v>317.98802247780003</v>
      </c>
      <c r="H30" s="140">
        <v>637.7950247637159</v>
      </c>
      <c r="I30" s="140">
        <v>1149.1011381367698</v>
      </c>
      <c r="J30" s="140">
        <v>662.96350855385754</v>
      </c>
      <c r="K30" s="140">
        <v>349.47951180964117</v>
      </c>
      <c r="L30" s="140">
        <v>812.27833990181466</v>
      </c>
      <c r="M30" s="140">
        <v>803.85432737331746</v>
      </c>
      <c r="N30" s="140">
        <v>432.05790364510864</v>
      </c>
      <c r="O30" s="140">
        <v>290.28534241571424</v>
      </c>
      <c r="P30" s="140">
        <v>1347.0086825796488</v>
      </c>
      <c r="Q30" s="140">
        <v>536.73233918376422</v>
      </c>
      <c r="R30" s="140">
        <v>343.25447469231267</v>
      </c>
      <c r="S30" s="140">
        <v>560.67823983839446</v>
      </c>
      <c r="T30" s="140">
        <v>593.11840985643903</v>
      </c>
      <c r="U30" s="140">
        <v>623.28244553953232</v>
      </c>
      <c r="V30" s="140">
        <v>624.60944048397232</v>
      </c>
      <c r="W30" s="140">
        <v>435.57849110743751</v>
      </c>
      <c r="X30" s="140">
        <v>308.02743879388322</v>
      </c>
      <c r="Y30" s="140">
        <v>410.64947037387219</v>
      </c>
      <c r="DA30" s="170" t="s">
        <v>595</v>
      </c>
    </row>
    <row r="31" spans="1:105" ht="12" customHeight="1" x14ac:dyDescent="0.25">
      <c r="A31" s="131" t="s">
        <v>149</v>
      </c>
      <c r="B31" s="140"/>
      <c r="C31" s="140">
        <v>4783.7622921737166</v>
      </c>
      <c r="D31" s="140">
        <v>519.35683411176171</v>
      </c>
      <c r="E31" s="140">
        <v>329.74601968327653</v>
      </c>
      <c r="F31" s="140">
        <v>1359.565332506977</v>
      </c>
      <c r="G31" s="140">
        <v>2717.9650778766195</v>
      </c>
      <c r="H31" s="140">
        <v>9645.982791135817</v>
      </c>
      <c r="I31" s="140">
        <v>9967.2698592509096</v>
      </c>
      <c r="J31" s="140">
        <v>3748.6744830943471</v>
      </c>
      <c r="K31" s="140">
        <v>1700.6798338221856</v>
      </c>
      <c r="L31" s="140">
        <v>3550.217569579032</v>
      </c>
      <c r="M31" s="140">
        <v>3866.9821318653594</v>
      </c>
      <c r="N31" s="140">
        <v>2413.610053404796</v>
      </c>
      <c r="O31" s="140">
        <v>1178.0996642242999</v>
      </c>
      <c r="P31" s="140">
        <v>5859.6782892043684</v>
      </c>
      <c r="Q31" s="140">
        <v>2517.749838538969</v>
      </c>
      <c r="R31" s="140">
        <v>1894.361055490054</v>
      </c>
      <c r="S31" s="140">
        <v>3633.6877672911305</v>
      </c>
      <c r="T31" s="140">
        <v>3433.2460403532864</v>
      </c>
      <c r="U31" s="140">
        <v>2918.2287194738883</v>
      </c>
      <c r="V31" s="140">
        <v>2079.8479630521251</v>
      </c>
      <c r="W31" s="140">
        <v>1648.8468433756514</v>
      </c>
      <c r="X31" s="140">
        <v>618.1357135336624</v>
      </c>
      <c r="Y31" s="140">
        <v>1828.3045398687609</v>
      </c>
      <c r="DA31" s="170" t="s">
        <v>596</v>
      </c>
    </row>
    <row r="32" spans="1:105" ht="12" customHeight="1" x14ac:dyDescent="0.25">
      <c r="A32" s="131" t="s">
        <v>128</v>
      </c>
      <c r="B32" s="140"/>
      <c r="C32" s="140">
        <v>0</v>
      </c>
      <c r="D32" s="140">
        <v>0</v>
      </c>
      <c r="E32" s="140">
        <v>0</v>
      </c>
      <c r="F32" s="140">
        <v>0</v>
      </c>
      <c r="G32" s="140">
        <v>0</v>
      </c>
      <c r="H32" s="140">
        <v>0</v>
      </c>
      <c r="I32" s="140">
        <v>0</v>
      </c>
      <c r="J32" s="140">
        <v>0</v>
      </c>
      <c r="K32" s="140">
        <v>0</v>
      </c>
      <c r="L32" s="140">
        <v>0</v>
      </c>
      <c r="M32" s="140">
        <v>0</v>
      </c>
      <c r="N32" s="140">
        <v>0</v>
      </c>
      <c r="O32" s="140">
        <v>0</v>
      </c>
      <c r="P32" s="140">
        <v>0</v>
      </c>
      <c r="Q32" s="140">
        <v>0</v>
      </c>
      <c r="R32" s="140">
        <v>0</v>
      </c>
      <c r="S32" s="140">
        <v>0</v>
      </c>
      <c r="T32" s="140">
        <v>0</v>
      </c>
      <c r="U32" s="140">
        <v>0</v>
      </c>
      <c r="V32" s="140">
        <v>0</v>
      </c>
      <c r="W32" s="140">
        <v>0</v>
      </c>
      <c r="X32" s="140">
        <v>0</v>
      </c>
      <c r="Y32" s="140">
        <v>0</v>
      </c>
      <c r="DA32" s="170" t="s">
        <v>597</v>
      </c>
    </row>
    <row r="33" spans="1:105" ht="12" customHeight="1" x14ac:dyDescent="0.25">
      <c r="A33" s="62" t="s">
        <v>24</v>
      </c>
      <c r="B33" s="152"/>
      <c r="C33" s="152">
        <v>5379.368442361395</v>
      </c>
      <c r="D33" s="152">
        <v>9932.6943235788985</v>
      </c>
      <c r="E33" s="152">
        <v>7395.7910369949595</v>
      </c>
      <c r="F33" s="152">
        <v>4670.2301715205294</v>
      </c>
      <c r="G33" s="152">
        <v>2161.7232302833168</v>
      </c>
      <c r="H33" s="152">
        <v>5116.4596099430564</v>
      </c>
      <c r="I33" s="152">
        <v>1971.8095337570896</v>
      </c>
      <c r="J33" s="152">
        <v>1315.4645270894566</v>
      </c>
      <c r="K33" s="152">
        <v>429.30314566446538</v>
      </c>
      <c r="L33" s="152">
        <v>1476.3387569442514</v>
      </c>
      <c r="M33" s="152">
        <v>2789.7478929424019</v>
      </c>
      <c r="N33" s="152">
        <v>1944.7260094495416</v>
      </c>
      <c r="O33" s="152">
        <v>1052.8787871232557</v>
      </c>
      <c r="P33" s="152">
        <v>3028.6109466505327</v>
      </c>
      <c r="Q33" s="152">
        <v>1607.54548135294</v>
      </c>
      <c r="R33" s="152">
        <v>1166.5244855830454</v>
      </c>
      <c r="S33" s="152">
        <v>1984.3966600674278</v>
      </c>
      <c r="T33" s="152">
        <v>1348.7500360921674</v>
      </c>
      <c r="U33" s="152">
        <v>1388.8921253148458</v>
      </c>
      <c r="V33" s="152">
        <v>1720.7682670662489</v>
      </c>
      <c r="W33" s="152">
        <v>2144.0561911074424</v>
      </c>
      <c r="X33" s="152">
        <v>3137.5663299416237</v>
      </c>
      <c r="Y33" s="152">
        <v>1741.4923452317903</v>
      </c>
      <c r="DA33" s="175" t="s">
        <v>598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C15:Y15 C19:Y19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599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81</v>
      </c>
      <c r="B3" s="125"/>
      <c r="C3" s="125">
        <f t="shared" ref="C3:Q3" si="0">SUM(C4,C16,C19,C29)</f>
        <v>187.44143055067687</v>
      </c>
      <c r="D3" s="125">
        <f t="shared" si="0"/>
        <v>181.78133497957347</v>
      </c>
      <c r="E3" s="125">
        <f t="shared" si="0"/>
        <v>158.06388975018208</v>
      </c>
      <c r="F3" s="125">
        <f t="shared" si="0"/>
        <v>110.40968881607847</v>
      </c>
      <c r="G3" s="125">
        <f t="shared" si="0"/>
        <v>96.81282957656272</v>
      </c>
      <c r="H3" s="125">
        <f t="shared" si="0"/>
        <v>291.40313413625597</v>
      </c>
      <c r="I3" s="125">
        <f t="shared" si="0"/>
        <v>234.31388354282086</v>
      </c>
      <c r="J3" s="125">
        <f t="shared" si="0"/>
        <v>114.29227012159842</v>
      </c>
      <c r="K3" s="125">
        <f t="shared" si="0"/>
        <v>46.089592858687752</v>
      </c>
      <c r="L3" s="125">
        <f t="shared" si="0"/>
        <v>100.42821743496444</v>
      </c>
      <c r="M3" s="125">
        <f t="shared" si="0"/>
        <v>108.76544295897104</v>
      </c>
      <c r="N3" s="125">
        <f t="shared" si="0"/>
        <v>63.961290595008577</v>
      </c>
      <c r="O3" s="125">
        <f t="shared" si="0"/>
        <v>25.434687266738308</v>
      </c>
      <c r="P3" s="125">
        <f t="shared" si="0"/>
        <v>81.302555407427462</v>
      </c>
      <c r="Q3" s="125">
        <f t="shared" si="0"/>
        <v>40.027194081856166</v>
      </c>
      <c r="R3" s="125">
        <f t="shared" ref="R3:W3" si="1">SUM(R4,R16,R19,R29)</f>
        <v>30.289610813111679</v>
      </c>
      <c r="S3" s="125">
        <f t="shared" si="1"/>
        <v>84.855528169727165</v>
      </c>
      <c r="T3" s="125">
        <f t="shared" si="1"/>
        <v>79.458629737788854</v>
      </c>
      <c r="U3" s="125">
        <f t="shared" si="1"/>
        <v>64.869293901324767</v>
      </c>
      <c r="V3" s="125">
        <f t="shared" si="1"/>
        <v>45.035999278873845</v>
      </c>
      <c r="W3" s="125">
        <f t="shared" si="1"/>
        <v>41.633096573044696</v>
      </c>
      <c r="X3" s="125">
        <f t="shared" ref="X3:Y3" si="2">SUM(X4,X16,X19,X29)</f>
        <v>33.775136135050793</v>
      </c>
      <c r="Y3" s="125">
        <f t="shared" si="2"/>
        <v>35.457568808670274</v>
      </c>
      <c r="DA3" s="154" t="s">
        <v>600</v>
      </c>
    </row>
    <row r="4" spans="1:105" ht="12.95" customHeight="1" x14ac:dyDescent="0.25">
      <c r="A4" s="129" t="s">
        <v>32</v>
      </c>
      <c r="B4" s="130"/>
      <c r="C4" s="130">
        <f t="shared" ref="C4:Q4" si="3">SUM(C5:C15)</f>
        <v>121.40710931945577</v>
      </c>
      <c r="D4" s="130">
        <f t="shared" si="3"/>
        <v>118.77381709315601</v>
      </c>
      <c r="E4" s="130">
        <f t="shared" si="3"/>
        <v>102.46493666151316</v>
      </c>
      <c r="F4" s="130">
        <f t="shared" si="3"/>
        <v>74.032983449844949</v>
      </c>
      <c r="G4" s="130">
        <f t="shared" si="3"/>
        <v>67.456708807126418</v>
      </c>
      <c r="H4" s="130">
        <f t="shared" si="3"/>
        <v>202.80627780360797</v>
      </c>
      <c r="I4" s="130">
        <f t="shared" si="3"/>
        <v>157.30082395630777</v>
      </c>
      <c r="J4" s="130">
        <f t="shared" si="3"/>
        <v>81.631958887166462</v>
      </c>
      <c r="K4" s="130">
        <f t="shared" si="3"/>
        <v>31.815284442057358</v>
      </c>
      <c r="L4" s="130">
        <f t="shared" si="3"/>
        <v>68.424380928938206</v>
      </c>
      <c r="M4" s="130">
        <f t="shared" si="3"/>
        <v>66.895063782461108</v>
      </c>
      <c r="N4" s="130">
        <f t="shared" si="3"/>
        <v>36.266663217027215</v>
      </c>
      <c r="O4" s="130">
        <f t="shared" si="3"/>
        <v>11.847698620767375</v>
      </c>
      <c r="P4" s="130">
        <f t="shared" si="3"/>
        <v>26.511608339623994</v>
      </c>
      <c r="Q4" s="130">
        <f t="shared" si="3"/>
        <v>13.671171563009363</v>
      </c>
      <c r="R4" s="130">
        <f t="shared" ref="R4:W4" si="4">SUM(R5:R15)</f>
        <v>12.22895531986086</v>
      </c>
      <c r="S4" s="130">
        <f t="shared" si="4"/>
        <v>51.374899399670213</v>
      </c>
      <c r="T4" s="130">
        <f t="shared" si="4"/>
        <v>51.559483085504255</v>
      </c>
      <c r="U4" s="130">
        <f t="shared" si="4"/>
        <v>39.46461825163783</v>
      </c>
      <c r="V4" s="130">
        <f t="shared" si="4"/>
        <v>25.761117078166709</v>
      </c>
      <c r="W4" s="130">
        <f t="shared" si="4"/>
        <v>20.783264605824279</v>
      </c>
      <c r="X4" s="130">
        <f t="shared" ref="X4:Y4" si="5">SUM(X5:X15)</f>
        <v>14.288106305721293</v>
      </c>
      <c r="Y4" s="130">
        <f t="shared" si="5"/>
        <v>15.335710472932879</v>
      </c>
      <c r="DA4" s="155" t="s">
        <v>601</v>
      </c>
    </row>
    <row r="5" spans="1:105" ht="12" customHeight="1" x14ac:dyDescent="0.25">
      <c r="A5" s="131" t="s">
        <v>29</v>
      </c>
      <c r="B5" s="132"/>
      <c r="C5" s="132">
        <v>0</v>
      </c>
      <c r="D5" s="132">
        <v>0</v>
      </c>
      <c r="E5" s="132">
        <v>0</v>
      </c>
      <c r="F5" s="132">
        <v>0</v>
      </c>
      <c r="G5" s="132">
        <v>0</v>
      </c>
      <c r="H5" s="132">
        <v>0</v>
      </c>
      <c r="I5" s="132">
        <v>0</v>
      </c>
      <c r="J5" s="132">
        <v>0</v>
      </c>
      <c r="K5" s="132">
        <v>0</v>
      </c>
      <c r="L5" s="132">
        <v>0</v>
      </c>
      <c r="M5" s="132">
        <v>0</v>
      </c>
      <c r="N5" s="132">
        <v>0</v>
      </c>
      <c r="O5" s="132">
        <v>0</v>
      </c>
      <c r="P5" s="132">
        <v>0</v>
      </c>
      <c r="Q5" s="132">
        <v>0</v>
      </c>
      <c r="R5" s="132">
        <v>0</v>
      </c>
      <c r="S5" s="132">
        <v>0</v>
      </c>
      <c r="T5" s="132">
        <v>0</v>
      </c>
      <c r="U5" s="132">
        <v>0</v>
      </c>
      <c r="V5" s="132">
        <v>0</v>
      </c>
      <c r="W5" s="132">
        <v>0</v>
      </c>
      <c r="X5" s="132">
        <v>0</v>
      </c>
      <c r="Y5" s="132">
        <v>0</v>
      </c>
      <c r="DA5" s="156" t="s">
        <v>602</v>
      </c>
    </row>
    <row r="6" spans="1:105" ht="12" customHeight="1" x14ac:dyDescent="0.25">
      <c r="A6" s="131" t="s">
        <v>52</v>
      </c>
      <c r="B6" s="132"/>
      <c r="C6" s="132">
        <v>3.1478178739447316</v>
      </c>
      <c r="D6" s="132">
        <v>3.5685125406433911</v>
      </c>
      <c r="E6" s="132">
        <v>3.4505575183454607</v>
      </c>
      <c r="F6" s="132">
        <v>1.4966630304604667</v>
      </c>
      <c r="G6" s="132">
        <v>0.95747477970001438</v>
      </c>
      <c r="H6" s="132">
        <v>2.1802306359868067</v>
      </c>
      <c r="I6" s="132">
        <v>3.2425271021648485</v>
      </c>
      <c r="J6" s="132">
        <v>2.4928321509405631</v>
      </c>
      <c r="K6" s="132">
        <v>1.2307140841970281</v>
      </c>
      <c r="L6" s="132">
        <v>2.2673976536032572</v>
      </c>
      <c r="M6" s="132">
        <v>1.5325407805513342</v>
      </c>
      <c r="N6" s="132">
        <v>0.32914115297789021</v>
      </c>
      <c r="O6" s="132">
        <v>0.21589088336954135</v>
      </c>
      <c r="P6" s="132">
        <v>0</v>
      </c>
      <c r="Q6" s="132">
        <v>0</v>
      </c>
      <c r="R6" s="132">
        <v>0</v>
      </c>
      <c r="S6" s="132">
        <v>0.72563174488505944</v>
      </c>
      <c r="T6" s="132">
        <v>0.83139171235608311</v>
      </c>
      <c r="U6" s="132">
        <v>1.1162730685711162</v>
      </c>
      <c r="V6" s="132">
        <v>0.88461836299463914</v>
      </c>
      <c r="W6" s="132">
        <v>0.84539955685908508</v>
      </c>
      <c r="X6" s="132">
        <v>0.4081128746183062</v>
      </c>
      <c r="Y6" s="132">
        <v>0.42021407333498095</v>
      </c>
      <c r="DA6" s="156" t="s">
        <v>603</v>
      </c>
    </row>
    <row r="7" spans="1:105" ht="12" customHeight="1" x14ac:dyDescent="0.25">
      <c r="A7" s="131" t="s">
        <v>161</v>
      </c>
      <c r="B7" s="132"/>
      <c r="C7" s="132">
        <v>4.5105600881241692</v>
      </c>
      <c r="D7" s="132">
        <v>7.3923784858381838</v>
      </c>
      <c r="E7" s="132">
        <v>9.7056658713808233</v>
      </c>
      <c r="F7" s="132">
        <v>5.5430543645444503</v>
      </c>
      <c r="G7" s="132">
        <v>3.0591779340938747</v>
      </c>
      <c r="H7" s="132">
        <v>5.6767846200371528</v>
      </c>
      <c r="I7" s="132">
        <v>0.75560052879546025</v>
      </c>
      <c r="J7" s="132">
        <v>0</v>
      </c>
      <c r="K7" s="132">
        <v>0</v>
      </c>
      <c r="L7" s="132">
        <v>0</v>
      </c>
      <c r="M7" s="132">
        <v>0</v>
      </c>
      <c r="N7" s="132">
        <v>0.76560622445708526</v>
      </c>
      <c r="O7" s="132">
        <v>0.22738929566578964</v>
      </c>
      <c r="P7" s="132">
        <v>0.4474294531993559</v>
      </c>
      <c r="Q7" s="132">
        <v>0.34742042071632101</v>
      </c>
      <c r="R7" s="132">
        <v>0.90300737167826728</v>
      </c>
      <c r="S7" s="132">
        <v>0.27844470224983559</v>
      </c>
      <c r="T7" s="132">
        <v>1.095834133861638</v>
      </c>
      <c r="U7" s="132">
        <v>0.73058349146478063</v>
      </c>
      <c r="V7" s="132">
        <v>0.79261051810117833</v>
      </c>
      <c r="W7" s="132">
        <v>1.2847775485323469</v>
      </c>
      <c r="X7" s="132">
        <v>1.0582489136771758</v>
      </c>
      <c r="Y7" s="132">
        <v>0.23227896742158671</v>
      </c>
      <c r="DA7" s="156" t="s">
        <v>604</v>
      </c>
    </row>
    <row r="8" spans="1:105" ht="12" customHeight="1" x14ac:dyDescent="0.25">
      <c r="A8" s="131" t="s">
        <v>73</v>
      </c>
      <c r="B8" s="132"/>
      <c r="C8" s="132">
        <v>0.11326384293033712</v>
      </c>
      <c r="D8" s="132">
        <v>0.1511712306516336</v>
      </c>
      <c r="E8" s="132">
        <v>0.1176551321397466</v>
      </c>
      <c r="F8" s="132">
        <v>7.7347286885498412E-2</v>
      </c>
      <c r="G8" s="132">
        <v>6.0562228161833792E-2</v>
      </c>
      <c r="H8" s="132">
        <v>0.17431578774230733</v>
      </c>
      <c r="I8" s="132">
        <v>0.18222854723422427</v>
      </c>
      <c r="J8" s="132">
        <v>7.9152041255195302E-2</v>
      </c>
      <c r="K8" s="132">
        <v>5.2938074115299147E-2</v>
      </c>
      <c r="L8" s="132">
        <v>0.15406754299478029</v>
      </c>
      <c r="M8" s="132">
        <v>0.27606716472363924</v>
      </c>
      <c r="N8" s="132">
        <v>0.2231874233531114</v>
      </c>
      <c r="O8" s="132">
        <v>0.17034642314711082</v>
      </c>
      <c r="P8" s="132">
        <v>0.74060206604223933</v>
      </c>
      <c r="Q8" s="132">
        <v>0.27066785460463699</v>
      </c>
      <c r="R8" s="132">
        <v>0.15071648429546444</v>
      </c>
      <c r="S8" s="132">
        <v>0.12571966569208004</v>
      </c>
      <c r="T8" s="132">
        <v>0.16122804878518662</v>
      </c>
      <c r="U8" s="132">
        <v>0.26849809657991891</v>
      </c>
      <c r="V8" s="132">
        <v>0.28396261586897192</v>
      </c>
      <c r="W8" s="132">
        <v>0.2032396799212742</v>
      </c>
      <c r="X8" s="132">
        <v>6.9683073689715547E-2</v>
      </c>
      <c r="Y8" s="132">
        <v>4.4374310172110791E-2</v>
      </c>
      <c r="DA8" s="156" t="s">
        <v>605</v>
      </c>
    </row>
    <row r="9" spans="1:105" ht="12" customHeight="1" x14ac:dyDescent="0.25">
      <c r="A9" s="131" t="s">
        <v>78</v>
      </c>
      <c r="B9" s="132"/>
      <c r="C9" s="132">
        <v>82.896216022441237</v>
      </c>
      <c r="D9" s="132">
        <v>74.37188875914913</v>
      </c>
      <c r="E9" s="132">
        <v>75.727322150213936</v>
      </c>
      <c r="F9" s="132">
        <v>40.350425251791201</v>
      </c>
      <c r="G9" s="132">
        <v>44.096978524141392</v>
      </c>
      <c r="H9" s="132">
        <v>131.79437184234916</v>
      </c>
      <c r="I9" s="132">
        <v>102.97318423758072</v>
      </c>
      <c r="J9" s="132">
        <v>59.053795127735455</v>
      </c>
      <c r="K9" s="132">
        <v>18.763683443567043</v>
      </c>
      <c r="L9" s="132">
        <v>36.941441118040345</v>
      </c>
      <c r="M9" s="132">
        <v>20.887831530242174</v>
      </c>
      <c r="N9" s="132">
        <v>12.490704365257976</v>
      </c>
      <c r="O9" s="132">
        <v>2.1577623183319372</v>
      </c>
      <c r="P9" s="132">
        <v>0</v>
      </c>
      <c r="Q9" s="132">
        <v>0</v>
      </c>
      <c r="R9" s="132">
        <v>3.0343678434722272</v>
      </c>
      <c r="S9" s="132">
        <v>43.944245643700405</v>
      </c>
      <c r="T9" s="132">
        <v>40.880117004282766</v>
      </c>
      <c r="U9" s="132">
        <v>29.305646186768499</v>
      </c>
      <c r="V9" s="132">
        <v>15.387000052363925</v>
      </c>
      <c r="W9" s="132">
        <v>1.3857795959129136</v>
      </c>
      <c r="X9" s="132">
        <v>3.9082064440259021</v>
      </c>
      <c r="Y9" s="132">
        <v>8.7757072846878383</v>
      </c>
      <c r="DA9" s="156" t="s">
        <v>606</v>
      </c>
    </row>
    <row r="10" spans="1:105" ht="12" customHeight="1" x14ac:dyDescent="0.25">
      <c r="A10" s="131" t="s">
        <v>128</v>
      </c>
      <c r="B10" s="132"/>
      <c r="C10" s="132">
        <v>0.11358971728272331</v>
      </c>
      <c r="D10" s="132">
        <v>3.0153193986392702E-2</v>
      </c>
      <c r="E10" s="132">
        <v>1.3173090844925663E-2</v>
      </c>
      <c r="F10" s="132">
        <v>4.3253839076216882E-2</v>
      </c>
      <c r="G10" s="132">
        <v>4.2244835307655215E-2</v>
      </c>
      <c r="H10" s="132">
        <v>0.28018427520582012</v>
      </c>
      <c r="I10" s="132">
        <v>0.15281813439309283</v>
      </c>
      <c r="J10" s="132">
        <v>0.15364491123263999</v>
      </c>
      <c r="K10" s="132">
        <v>0.15473989362866056</v>
      </c>
      <c r="L10" s="132">
        <v>0.51059608342687102</v>
      </c>
      <c r="M10" s="132">
        <v>0.50036975423065855</v>
      </c>
      <c r="N10" s="132">
        <v>0.33158085830271328</v>
      </c>
      <c r="O10" s="132">
        <v>0.3306165124370839</v>
      </c>
      <c r="P10" s="132">
        <v>1.8404239660712631</v>
      </c>
      <c r="Q10" s="132">
        <v>0.10604395042505475</v>
      </c>
      <c r="R10" s="132">
        <v>0.25661027436818878</v>
      </c>
      <c r="S10" s="132">
        <v>5.1763543316860984E-2</v>
      </c>
      <c r="T10" s="132">
        <v>0.18170810997808504</v>
      </c>
      <c r="U10" s="132">
        <v>0.44802170853205636</v>
      </c>
      <c r="V10" s="132">
        <v>0.49530304439695094</v>
      </c>
      <c r="W10" s="132">
        <v>0.49951134888778231</v>
      </c>
      <c r="X10" s="132">
        <v>0.2125639201714607</v>
      </c>
      <c r="Y10" s="132">
        <v>0.13445393944252809</v>
      </c>
      <c r="DA10" s="156" t="s">
        <v>607</v>
      </c>
    </row>
    <row r="11" spans="1:105" ht="12" customHeight="1" x14ac:dyDescent="0.25">
      <c r="A11" s="131" t="s">
        <v>25</v>
      </c>
      <c r="B11" s="132"/>
      <c r="C11" s="132">
        <v>2.2129031841449756</v>
      </c>
      <c r="D11" s="132">
        <v>1.2010256366057823</v>
      </c>
      <c r="E11" s="132">
        <v>0.10424199896627721</v>
      </c>
      <c r="F11" s="132">
        <v>9.2158304599595058E-3</v>
      </c>
      <c r="G11" s="132">
        <v>5.0759881394567483E-3</v>
      </c>
      <c r="H11" s="132">
        <v>1.6077361449150884</v>
      </c>
      <c r="I11" s="132">
        <v>2.2960188515721809</v>
      </c>
      <c r="J11" s="132">
        <v>0.38478242329003615</v>
      </c>
      <c r="K11" s="132">
        <v>0.1629991417918682</v>
      </c>
      <c r="L11" s="132">
        <v>0</v>
      </c>
      <c r="M11" s="132">
        <v>0.53208632658267996</v>
      </c>
      <c r="N11" s="132">
        <v>0.7926503878289527</v>
      </c>
      <c r="O11" s="132">
        <v>0.50706064738034351</v>
      </c>
      <c r="P11" s="132">
        <v>0.1112749220901971</v>
      </c>
      <c r="Q11" s="132">
        <v>0</v>
      </c>
      <c r="R11" s="132">
        <v>0.1022970556007869</v>
      </c>
      <c r="S11" s="132">
        <v>0.42032661682010786</v>
      </c>
      <c r="T11" s="132">
        <v>0.21685830315814061</v>
      </c>
      <c r="U11" s="132">
        <v>0.25107008913570239</v>
      </c>
      <c r="V11" s="132">
        <v>0.21624388435341568</v>
      </c>
      <c r="W11" s="132">
        <v>0.17034080444019903</v>
      </c>
      <c r="X11" s="132">
        <v>0.12375493752794135</v>
      </c>
      <c r="Y11" s="132">
        <v>7.6170310889424345E-2</v>
      </c>
      <c r="DA11" s="156" t="s">
        <v>608</v>
      </c>
    </row>
    <row r="12" spans="1:105" ht="12" customHeight="1" x14ac:dyDescent="0.25">
      <c r="A12" s="131" t="s">
        <v>162</v>
      </c>
      <c r="B12" s="132"/>
      <c r="C12" s="132">
        <v>0</v>
      </c>
      <c r="D12" s="132">
        <v>0</v>
      </c>
      <c r="E12" s="132">
        <v>0</v>
      </c>
      <c r="F12" s="132">
        <v>7.4752911686407533</v>
      </c>
      <c r="G12" s="132">
        <v>1.4852230370446475</v>
      </c>
      <c r="H12" s="132">
        <v>4.0282104975379536</v>
      </c>
      <c r="I12" s="132">
        <v>0.82660378687889779</v>
      </c>
      <c r="J12" s="132">
        <v>0</v>
      </c>
      <c r="K12" s="132">
        <v>1.6717870868995056E-2</v>
      </c>
      <c r="L12" s="132">
        <v>0.36375172408276868</v>
      </c>
      <c r="M12" s="132">
        <v>4.0511521357803364</v>
      </c>
      <c r="N12" s="132">
        <v>1.0244461423032127</v>
      </c>
      <c r="O12" s="132">
        <v>1.0305794454172961</v>
      </c>
      <c r="P12" s="132">
        <v>3.1942925279290479</v>
      </c>
      <c r="Q12" s="132">
        <v>1.0117196309120875</v>
      </c>
      <c r="R12" s="132">
        <v>1.2741014353570632</v>
      </c>
      <c r="S12" s="132">
        <v>2.5189764852493779</v>
      </c>
      <c r="T12" s="132">
        <v>2.2238792322968646</v>
      </c>
      <c r="U12" s="132">
        <v>0.85723919867055509</v>
      </c>
      <c r="V12" s="132">
        <v>0.66540524012899505</v>
      </c>
      <c r="W12" s="132">
        <v>0</v>
      </c>
      <c r="X12" s="132">
        <v>5.9770015640858862E-2</v>
      </c>
      <c r="Y12" s="132">
        <v>0.22795369033374069</v>
      </c>
      <c r="DA12" s="156" t="s">
        <v>609</v>
      </c>
    </row>
    <row r="13" spans="1:105" ht="12" customHeight="1" x14ac:dyDescent="0.25">
      <c r="A13" s="131" t="s">
        <v>77</v>
      </c>
      <c r="B13" s="132"/>
      <c r="C13" s="132">
        <v>0.64145360121230588</v>
      </c>
      <c r="D13" s="132">
        <v>1.6300567546202378</v>
      </c>
      <c r="E13" s="132">
        <v>0.96488358427458043</v>
      </c>
      <c r="F13" s="132">
        <v>1.6514930109223169</v>
      </c>
      <c r="G13" s="132">
        <v>2.0270472178378247</v>
      </c>
      <c r="H13" s="132">
        <v>4.3851875085794276</v>
      </c>
      <c r="I13" s="132">
        <v>3.0593916297127373</v>
      </c>
      <c r="J13" s="132">
        <v>1.0282232012637746</v>
      </c>
      <c r="K13" s="132">
        <v>0.94328389336150187</v>
      </c>
      <c r="L13" s="132">
        <v>2.7639600987161681</v>
      </c>
      <c r="M13" s="132">
        <v>5.6439298929844881</v>
      </c>
      <c r="N13" s="132">
        <v>5.3520451693171882</v>
      </c>
      <c r="O13" s="132">
        <v>3.5473830926393481</v>
      </c>
      <c r="P13" s="132">
        <v>20.140404311933679</v>
      </c>
      <c r="Q13" s="132">
        <v>11.923238317449139</v>
      </c>
      <c r="R13" s="132">
        <v>6.4519984153500589</v>
      </c>
      <c r="S13" s="132">
        <v>2.7374651433303914</v>
      </c>
      <c r="T13" s="132">
        <v>0.98077736411906624</v>
      </c>
      <c r="U13" s="132">
        <v>1.0138783593386143</v>
      </c>
      <c r="V13" s="132">
        <v>1.0922389897842459</v>
      </c>
      <c r="W13" s="132">
        <v>0.5182904156584387</v>
      </c>
      <c r="X13" s="132">
        <v>0.22848242747455208</v>
      </c>
      <c r="Y13" s="132">
        <v>0</v>
      </c>
      <c r="DA13" s="156" t="s">
        <v>610</v>
      </c>
    </row>
    <row r="14" spans="1:105" ht="12" customHeight="1" x14ac:dyDescent="0.25">
      <c r="A14" s="60" t="s">
        <v>76</v>
      </c>
      <c r="B14" s="65"/>
      <c r="C14" s="65">
        <v>26.778558724101718</v>
      </c>
      <c r="D14" s="65">
        <v>29.510183877398813</v>
      </c>
      <c r="E14" s="65">
        <v>11.440957949818864</v>
      </c>
      <c r="F14" s="65">
        <v>16.86147666933828</v>
      </c>
      <c r="G14" s="65">
        <v>15.215352191640482</v>
      </c>
      <c r="H14" s="65">
        <v>51.207848074567181</v>
      </c>
      <c r="I14" s="65">
        <v>42.6936616007916</v>
      </c>
      <c r="J14" s="65">
        <v>17.803026592934575</v>
      </c>
      <c r="K14" s="65">
        <v>10.282769423501916</v>
      </c>
      <c r="L14" s="65">
        <v>25.014141496399304</v>
      </c>
      <c r="M14" s="65">
        <v>33.215640856438831</v>
      </c>
      <c r="N14" s="65">
        <v>14.801590753305534</v>
      </c>
      <c r="O14" s="65">
        <v>3.6225311738289205</v>
      </c>
      <c r="P14" s="65">
        <v>0</v>
      </c>
      <c r="Q14" s="65">
        <v>0</v>
      </c>
      <c r="R14" s="65">
        <v>0</v>
      </c>
      <c r="S14" s="65">
        <v>0</v>
      </c>
      <c r="T14" s="65">
        <v>4.4388353565827554</v>
      </c>
      <c r="U14" s="65">
        <v>5.0695547687248137</v>
      </c>
      <c r="V14" s="65">
        <v>5.7169813886787191</v>
      </c>
      <c r="W14" s="65">
        <v>15.827698011894004</v>
      </c>
      <c r="X14" s="65">
        <v>8.1494001284485051</v>
      </c>
      <c r="Y14" s="65">
        <v>5.3004469898108493</v>
      </c>
      <c r="DA14" s="109" t="s">
        <v>611</v>
      </c>
    </row>
    <row r="15" spans="1:105" ht="12" customHeight="1" x14ac:dyDescent="0.25">
      <c r="A15" s="133" t="s">
        <v>80</v>
      </c>
      <c r="B15" s="134"/>
      <c r="C15" s="134">
        <v>0.99274626527358811</v>
      </c>
      <c r="D15" s="134">
        <v>0.91844661426244956</v>
      </c>
      <c r="E15" s="134">
        <v>0.94047936552856581</v>
      </c>
      <c r="F15" s="134">
        <v>0.52476299772581658</v>
      </c>
      <c r="G15" s="134">
        <v>0.50757207105923152</v>
      </c>
      <c r="H15" s="134">
        <v>1.4714084166870789</v>
      </c>
      <c r="I15" s="134">
        <v>1.1187895371840315</v>
      </c>
      <c r="J15" s="134">
        <v>0.6365024385142245</v>
      </c>
      <c r="K15" s="134">
        <v>0.2074386170250426</v>
      </c>
      <c r="L15" s="134">
        <v>0.40902521167470951</v>
      </c>
      <c r="M15" s="134">
        <v>0.25544534092696292</v>
      </c>
      <c r="N15" s="134">
        <v>0.15571073992354723</v>
      </c>
      <c r="O15" s="134">
        <v>3.8138828550003868E-2</v>
      </c>
      <c r="P15" s="134">
        <v>3.7181092358211806E-2</v>
      </c>
      <c r="Q15" s="134">
        <v>1.2081388902124967E-2</v>
      </c>
      <c r="R15" s="134">
        <v>5.5856439738803006E-2</v>
      </c>
      <c r="S15" s="134">
        <v>0.57232585442610773</v>
      </c>
      <c r="T15" s="134">
        <v>0.54885382008367478</v>
      </c>
      <c r="U15" s="134">
        <v>0.4038532838517741</v>
      </c>
      <c r="V15" s="134">
        <v>0.22675298149567294</v>
      </c>
      <c r="W15" s="134">
        <v>4.8227643718234972E-2</v>
      </c>
      <c r="X15" s="134">
        <v>6.9883570446875432E-2</v>
      </c>
      <c r="Y15" s="134">
        <v>0.12411090683982165</v>
      </c>
      <c r="DA15" s="157" t="s">
        <v>612</v>
      </c>
    </row>
    <row r="16" spans="1:105" ht="12.95" customHeight="1" x14ac:dyDescent="0.25">
      <c r="A16" s="129" t="s">
        <v>74</v>
      </c>
      <c r="B16" s="130"/>
      <c r="C16" s="130">
        <f t="shared" ref="C16:Q16" si="6">SUM(C17:C18)</f>
        <v>10.534881038716271</v>
      </c>
      <c r="D16" s="130">
        <f t="shared" si="6"/>
        <v>9.1085794139809231</v>
      </c>
      <c r="E16" s="130">
        <f t="shared" si="6"/>
        <v>14.701500845263769</v>
      </c>
      <c r="F16" s="130">
        <f t="shared" si="6"/>
        <v>4.76017256592956</v>
      </c>
      <c r="G16" s="130">
        <f t="shared" si="6"/>
        <v>3.6342933685966679</v>
      </c>
      <c r="H16" s="130">
        <f t="shared" si="6"/>
        <v>12.132604950630787</v>
      </c>
      <c r="I16" s="130">
        <f t="shared" si="6"/>
        <v>9.0680527199319023</v>
      </c>
      <c r="J16" s="130">
        <f t="shared" si="6"/>
        <v>4.4589135041347534</v>
      </c>
      <c r="K16" s="130">
        <f t="shared" si="6"/>
        <v>1.8955798529112413</v>
      </c>
      <c r="L16" s="130">
        <f t="shared" si="6"/>
        <v>3.4394544686927548</v>
      </c>
      <c r="M16" s="130">
        <f t="shared" si="6"/>
        <v>4.4934768221776293</v>
      </c>
      <c r="N16" s="130">
        <f t="shared" si="6"/>
        <v>4.2810573266282024</v>
      </c>
      <c r="O16" s="130">
        <f t="shared" si="6"/>
        <v>1.2614614059311751</v>
      </c>
      <c r="P16" s="130">
        <f t="shared" si="6"/>
        <v>4.1337153630797863</v>
      </c>
      <c r="Q16" s="130">
        <f t="shared" si="6"/>
        <v>3.1571183276940253</v>
      </c>
      <c r="R16" s="130">
        <f t="shared" ref="R16:W16" si="7">SUM(R17:R18)</f>
        <v>1.387583890793191</v>
      </c>
      <c r="S16" s="130">
        <f t="shared" si="7"/>
        <v>3.6546647552383447</v>
      </c>
      <c r="T16" s="130">
        <f t="shared" si="7"/>
        <v>2.3034134211175834</v>
      </c>
      <c r="U16" s="130">
        <f t="shared" si="7"/>
        <v>2.6496706757299093</v>
      </c>
      <c r="V16" s="130">
        <f t="shared" si="7"/>
        <v>1.6084108089973981</v>
      </c>
      <c r="W16" s="130">
        <f t="shared" si="7"/>
        <v>1.6515261241145021</v>
      </c>
      <c r="X16" s="130">
        <f t="shared" ref="X16:Y16" si="8">SUM(X17:X18)</f>
        <v>1.7756652434748299</v>
      </c>
      <c r="Y16" s="130">
        <f t="shared" si="8"/>
        <v>1.4026952784847417</v>
      </c>
      <c r="DA16" s="155" t="s">
        <v>613</v>
      </c>
    </row>
    <row r="17" spans="1:105" ht="12.95" customHeight="1" x14ac:dyDescent="0.25">
      <c r="A17" s="131" t="s">
        <v>73</v>
      </c>
      <c r="B17" s="132"/>
      <c r="C17" s="132">
        <v>0.13193574555451773</v>
      </c>
      <c r="D17" s="132">
        <v>3.4742286909419717E-2</v>
      </c>
      <c r="E17" s="132">
        <v>0.1954100564168455</v>
      </c>
      <c r="F17" s="132">
        <v>7.1908268622811258E-2</v>
      </c>
      <c r="G17" s="132">
        <v>3.6952514536050002E-2</v>
      </c>
      <c r="H17" s="132">
        <v>0.17107204007220561</v>
      </c>
      <c r="I17" s="132">
        <v>0.12797151976780927</v>
      </c>
      <c r="J17" s="132">
        <v>8.5354915380153246E-2</v>
      </c>
      <c r="K17" s="132">
        <v>6.3581407015401326E-2</v>
      </c>
      <c r="L17" s="132">
        <v>0.10152251196079393</v>
      </c>
      <c r="M17" s="132">
        <v>0.11492340422140615</v>
      </c>
      <c r="N17" s="132">
        <v>0.1133304417819497</v>
      </c>
      <c r="O17" s="132">
        <v>5.2445346609193519E-2</v>
      </c>
      <c r="P17" s="132">
        <v>0.16422479034267906</v>
      </c>
      <c r="Q17" s="132">
        <v>0.12075693408310116</v>
      </c>
      <c r="R17" s="132">
        <v>5.9716055347822067E-2</v>
      </c>
      <c r="S17" s="132">
        <v>0.15916213600261414</v>
      </c>
      <c r="T17" s="132">
        <v>0.10222991840313206</v>
      </c>
      <c r="U17" s="132">
        <v>0.11264832525292885</v>
      </c>
      <c r="V17" s="132">
        <v>6.3809736820056598E-2</v>
      </c>
      <c r="W17" s="132">
        <v>6.0114438070743972E-2</v>
      </c>
      <c r="X17" s="132">
        <v>0.10387081578597587</v>
      </c>
      <c r="Y17" s="132">
        <v>8.598378808455541E-2</v>
      </c>
      <c r="DA17" s="156" t="s">
        <v>614</v>
      </c>
    </row>
    <row r="18" spans="1:105" ht="12" customHeight="1" x14ac:dyDescent="0.25">
      <c r="A18" s="131" t="s">
        <v>72</v>
      </c>
      <c r="B18" s="132"/>
      <c r="C18" s="132">
        <v>10.402945293161753</v>
      </c>
      <c r="D18" s="132">
        <v>9.0738371270715028</v>
      </c>
      <c r="E18" s="132">
        <v>14.506090788846924</v>
      </c>
      <c r="F18" s="132">
        <v>4.6882642973067483</v>
      </c>
      <c r="G18" s="132">
        <v>3.5973408540606178</v>
      </c>
      <c r="H18" s="132">
        <v>11.961532910558581</v>
      </c>
      <c r="I18" s="132">
        <v>8.9400812001640926</v>
      </c>
      <c r="J18" s="132">
        <v>4.3735585887545998</v>
      </c>
      <c r="K18" s="132">
        <v>1.83199844589584</v>
      </c>
      <c r="L18" s="132">
        <v>3.337931956731961</v>
      </c>
      <c r="M18" s="132">
        <v>4.3785534179562235</v>
      </c>
      <c r="N18" s="132">
        <v>4.1677268848462523</v>
      </c>
      <c r="O18" s="132">
        <v>1.2090160593219816</v>
      </c>
      <c r="P18" s="132">
        <v>3.969490572737107</v>
      </c>
      <c r="Q18" s="132">
        <v>3.0363613936109242</v>
      </c>
      <c r="R18" s="132">
        <v>1.327867835445369</v>
      </c>
      <c r="S18" s="132">
        <v>3.4955026192357304</v>
      </c>
      <c r="T18" s="132">
        <v>2.2011835027144513</v>
      </c>
      <c r="U18" s="132">
        <v>2.5370223504769807</v>
      </c>
      <c r="V18" s="132">
        <v>1.5446010721773415</v>
      </c>
      <c r="W18" s="132">
        <v>1.5914116860437582</v>
      </c>
      <c r="X18" s="132">
        <v>1.6717944276888541</v>
      </c>
      <c r="Y18" s="132">
        <v>1.3167114904001864</v>
      </c>
      <c r="DA18" s="156" t="s">
        <v>615</v>
      </c>
    </row>
    <row r="19" spans="1:105" ht="12.95" customHeight="1" x14ac:dyDescent="0.25">
      <c r="A19" s="129" t="s">
        <v>35</v>
      </c>
      <c r="B19" s="130"/>
      <c r="C19" s="130">
        <f t="shared" ref="C19:Q19" si="9">SUM(C20:C27)</f>
        <v>28.474051626131288</v>
      </c>
      <c r="D19" s="130">
        <f t="shared" si="9"/>
        <v>29.553441870980066</v>
      </c>
      <c r="E19" s="130">
        <f t="shared" si="9"/>
        <v>21.072987221069713</v>
      </c>
      <c r="F19" s="130">
        <f t="shared" si="9"/>
        <v>16.14724100950853</v>
      </c>
      <c r="G19" s="130">
        <f t="shared" si="9"/>
        <v>12.113257368813251</v>
      </c>
      <c r="H19" s="130">
        <f t="shared" si="9"/>
        <v>36.547301464806047</v>
      </c>
      <c r="I19" s="130">
        <f t="shared" si="9"/>
        <v>30.656870394106736</v>
      </c>
      <c r="J19" s="130">
        <f t="shared" si="9"/>
        <v>12.575524057318258</v>
      </c>
      <c r="K19" s="130">
        <f t="shared" si="9"/>
        <v>5.155199951978517</v>
      </c>
      <c r="L19" s="130">
        <f t="shared" si="9"/>
        <v>11.935813600235793</v>
      </c>
      <c r="M19" s="130">
        <f t="shared" si="9"/>
        <v>16.838512204028085</v>
      </c>
      <c r="N19" s="130">
        <f t="shared" si="9"/>
        <v>10.322753056439844</v>
      </c>
      <c r="O19" s="130">
        <f t="shared" si="9"/>
        <v>5.367739016155987</v>
      </c>
      <c r="P19" s="130">
        <f t="shared" si="9"/>
        <v>21.007637770658796</v>
      </c>
      <c r="Q19" s="130">
        <f t="shared" si="9"/>
        <v>9.9082846358673535</v>
      </c>
      <c r="R19" s="130">
        <f t="shared" ref="R19:W19" si="10">SUM(R20:R27)</f>
        <v>6.9222310175437647</v>
      </c>
      <c r="S19" s="130">
        <f t="shared" si="10"/>
        <v>12.105605141743908</v>
      </c>
      <c r="T19" s="130">
        <f t="shared" si="10"/>
        <v>10.242440210046725</v>
      </c>
      <c r="U19" s="130">
        <f t="shared" si="10"/>
        <v>8.6477695877541212</v>
      </c>
      <c r="V19" s="130">
        <f t="shared" si="10"/>
        <v>6.8018771465652943</v>
      </c>
      <c r="W19" s="130">
        <f t="shared" si="10"/>
        <v>7.5298126100189835</v>
      </c>
      <c r="X19" s="130">
        <f t="shared" ref="X19:Y19" si="11">SUM(X20:X27)</f>
        <v>7.5456298044114725</v>
      </c>
      <c r="Y19" s="130">
        <f t="shared" si="11"/>
        <v>7.394267204289676</v>
      </c>
      <c r="DA19" s="155" t="s">
        <v>616</v>
      </c>
    </row>
    <row r="20" spans="1:105" ht="12" customHeight="1" x14ac:dyDescent="0.25">
      <c r="A20" s="131" t="s">
        <v>29</v>
      </c>
      <c r="B20" s="132"/>
      <c r="C20" s="132">
        <v>0</v>
      </c>
      <c r="D20" s="132">
        <v>0</v>
      </c>
      <c r="E20" s="132">
        <v>0</v>
      </c>
      <c r="F20" s="132">
        <v>0</v>
      </c>
      <c r="G20" s="132">
        <v>0</v>
      </c>
      <c r="H20" s="132">
        <v>0</v>
      </c>
      <c r="I20" s="132">
        <v>0</v>
      </c>
      <c r="J20" s="132">
        <v>0</v>
      </c>
      <c r="K20" s="132">
        <v>0</v>
      </c>
      <c r="L20" s="132">
        <v>0</v>
      </c>
      <c r="M20" s="132">
        <v>0</v>
      </c>
      <c r="N20" s="132">
        <v>0</v>
      </c>
      <c r="O20" s="132">
        <v>0</v>
      </c>
      <c r="P20" s="132">
        <v>0</v>
      </c>
      <c r="Q20" s="132">
        <v>0</v>
      </c>
      <c r="R20" s="132">
        <v>0</v>
      </c>
      <c r="S20" s="132">
        <v>0</v>
      </c>
      <c r="T20" s="132">
        <v>0</v>
      </c>
      <c r="U20" s="132">
        <v>0</v>
      </c>
      <c r="V20" s="132">
        <v>0</v>
      </c>
      <c r="W20" s="132">
        <v>0</v>
      </c>
      <c r="X20" s="132">
        <v>0</v>
      </c>
      <c r="Y20" s="132">
        <v>0</v>
      </c>
      <c r="DA20" s="156" t="s">
        <v>617</v>
      </c>
    </row>
    <row r="21" spans="1:105" s="2" customFormat="1" ht="12" customHeight="1" x14ac:dyDescent="0.25">
      <c r="A21" s="131" t="s">
        <v>52</v>
      </c>
      <c r="B21" s="132"/>
      <c r="C21" s="132">
        <v>0.87689801765643527</v>
      </c>
      <c r="D21" s="132">
        <v>0.36516019381880399</v>
      </c>
      <c r="E21" s="132">
        <v>0.44077835662704151</v>
      </c>
      <c r="F21" s="132">
        <v>0.5134923788950333</v>
      </c>
      <c r="G21" s="132">
        <v>0.49292987657203624</v>
      </c>
      <c r="H21" s="132">
        <v>1.0962526771724634</v>
      </c>
      <c r="I21" s="132">
        <v>0.50940744606183774</v>
      </c>
      <c r="J21" s="132">
        <v>0.29814161834476288</v>
      </c>
      <c r="K21" s="132">
        <v>0.10622188271672937</v>
      </c>
      <c r="L21" s="132">
        <v>0.25715755344419705</v>
      </c>
      <c r="M21" s="132">
        <v>0.3559923013979619</v>
      </c>
      <c r="N21" s="132">
        <v>0.1430558870980673</v>
      </c>
      <c r="O21" s="132">
        <v>6.9603237119904751E-2</v>
      </c>
      <c r="P21" s="132">
        <v>0</v>
      </c>
      <c r="Q21" s="132">
        <v>0</v>
      </c>
      <c r="R21" s="132">
        <v>9.8165185281687384E-2</v>
      </c>
      <c r="S21" s="132">
        <v>0.32510516723161087</v>
      </c>
      <c r="T21" s="132">
        <v>0.22646684190643673</v>
      </c>
      <c r="U21" s="132">
        <v>0.2023241512607791</v>
      </c>
      <c r="V21" s="132">
        <v>0.13061057667183784</v>
      </c>
      <c r="W21" s="132">
        <v>9.8855976045162705E-2</v>
      </c>
      <c r="X21" s="132">
        <v>7.7811153198928021E-2</v>
      </c>
      <c r="Y21" s="132">
        <v>0.13507603261009532</v>
      </c>
      <c r="DA21" s="156" t="s">
        <v>618</v>
      </c>
    </row>
    <row r="22" spans="1:105" ht="12" customHeight="1" x14ac:dyDescent="0.25">
      <c r="A22" s="131" t="s">
        <v>161</v>
      </c>
      <c r="B22" s="132"/>
      <c r="C22" s="132">
        <v>0.13626989691752259</v>
      </c>
      <c r="D22" s="132">
        <v>0</v>
      </c>
      <c r="E22" s="132">
        <v>0</v>
      </c>
      <c r="F22" s="132">
        <v>0</v>
      </c>
      <c r="G22" s="132">
        <v>0.18197954500139277</v>
      </c>
      <c r="H22" s="132">
        <v>1.1782538222349079</v>
      </c>
      <c r="I22" s="132">
        <v>0.90706670912629539</v>
      </c>
      <c r="J22" s="132">
        <v>0.38949468944790222</v>
      </c>
      <c r="K22" s="132">
        <v>0.10436014855818325</v>
      </c>
      <c r="L22" s="132">
        <v>0.29183458860260991</v>
      </c>
      <c r="M22" s="132">
        <v>0.57966502683420729</v>
      </c>
      <c r="N22" s="132">
        <v>0.44591473062761255</v>
      </c>
      <c r="O22" s="132">
        <v>0.22050571275717451</v>
      </c>
      <c r="P22" s="132">
        <v>0</v>
      </c>
      <c r="Q22" s="132">
        <v>0</v>
      </c>
      <c r="R22" s="132">
        <v>0</v>
      </c>
      <c r="S22" s="132">
        <v>0</v>
      </c>
      <c r="T22" s="132">
        <v>0</v>
      </c>
      <c r="U22" s="132">
        <v>0</v>
      </c>
      <c r="V22" s="132">
        <v>0</v>
      </c>
      <c r="W22" s="132">
        <v>6.8564784598112091E-2</v>
      </c>
      <c r="X22" s="132">
        <v>0.1486908747690236</v>
      </c>
      <c r="Y22" s="132">
        <v>0.17018596395286256</v>
      </c>
      <c r="DA22" s="156" t="s">
        <v>619</v>
      </c>
    </row>
    <row r="23" spans="1:105" ht="12" customHeight="1" x14ac:dyDescent="0.25">
      <c r="A23" s="131" t="s">
        <v>149</v>
      </c>
      <c r="B23" s="132"/>
      <c r="C23" s="132">
        <v>10.635754937450017</v>
      </c>
      <c r="D23" s="132">
        <v>11.51643648227598</v>
      </c>
      <c r="E23" s="132">
        <v>9.1691435977903826</v>
      </c>
      <c r="F23" s="132">
        <v>6.95552180132215</v>
      </c>
      <c r="G23" s="132">
        <v>6.0921638012019406</v>
      </c>
      <c r="H23" s="132">
        <v>14.035725913740686</v>
      </c>
      <c r="I23" s="132">
        <v>11.848909124275423</v>
      </c>
      <c r="J23" s="132">
        <v>5.901203126337017</v>
      </c>
      <c r="K23" s="132">
        <v>2.5359394658305954</v>
      </c>
      <c r="L23" s="132">
        <v>5.4342596954830986</v>
      </c>
      <c r="M23" s="132">
        <v>7.4631576641515505</v>
      </c>
      <c r="N23" s="132">
        <v>4.969161346122946</v>
      </c>
      <c r="O23" s="132">
        <v>2.500712365542658</v>
      </c>
      <c r="P23" s="132">
        <v>7.4118612444405327</v>
      </c>
      <c r="Q23" s="132">
        <v>4.6306163969978247</v>
      </c>
      <c r="R23" s="132">
        <v>4.07444344384355</v>
      </c>
      <c r="S23" s="132">
        <v>6.7535650150801629</v>
      </c>
      <c r="T23" s="132">
        <v>4.535775028481738</v>
      </c>
      <c r="U23" s="132">
        <v>3.6084331547213035</v>
      </c>
      <c r="V23" s="132">
        <v>2.4897565972769367</v>
      </c>
      <c r="W23" s="132">
        <v>1.0485936081107948E-2</v>
      </c>
      <c r="X23" s="132">
        <v>3.1497479584721559</v>
      </c>
      <c r="Y23" s="132">
        <v>3.4166953323530982</v>
      </c>
      <c r="DA23" s="156" t="s">
        <v>620</v>
      </c>
    </row>
    <row r="24" spans="1:105" ht="12" customHeight="1" x14ac:dyDescent="0.25">
      <c r="A24" s="131" t="s">
        <v>128</v>
      </c>
      <c r="B24" s="132"/>
      <c r="C24" s="132">
        <v>0</v>
      </c>
      <c r="D24" s="132">
        <v>0</v>
      </c>
      <c r="E24" s="132">
        <v>0</v>
      </c>
      <c r="F24" s="132">
        <v>0</v>
      </c>
      <c r="G24" s="132">
        <v>0</v>
      </c>
      <c r="H24" s="132">
        <v>0</v>
      </c>
      <c r="I24" s="132">
        <v>0</v>
      </c>
      <c r="J24" s="132">
        <v>0</v>
      </c>
      <c r="K24" s="132">
        <v>0</v>
      </c>
      <c r="L24" s="132">
        <v>0</v>
      </c>
      <c r="M24" s="132">
        <v>0</v>
      </c>
      <c r="N24" s="132">
        <v>0</v>
      </c>
      <c r="O24" s="132">
        <v>0</v>
      </c>
      <c r="P24" s="132">
        <v>0</v>
      </c>
      <c r="Q24" s="132">
        <v>0</v>
      </c>
      <c r="R24" s="132">
        <v>0</v>
      </c>
      <c r="S24" s="132">
        <v>0</v>
      </c>
      <c r="T24" s="132">
        <v>0</v>
      </c>
      <c r="U24" s="132">
        <v>0</v>
      </c>
      <c r="V24" s="132">
        <v>0</v>
      </c>
      <c r="W24" s="132">
        <v>0</v>
      </c>
      <c r="X24" s="132">
        <v>0</v>
      </c>
      <c r="Y24" s="132">
        <v>0</v>
      </c>
      <c r="DA24" s="156" t="s">
        <v>621</v>
      </c>
    </row>
    <row r="25" spans="1:105" ht="12" customHeight="1" x14ac:dyDescent="0.25">
      <c r="A25" s="131" t="s">
        <v>162</v>
      </c>
      <c r="B25" s="132"/>
      <c r="C25" s="132">
        <v>0</v>
      </c>
      <c r="D25" s="132">
        <v>0</v>
      </c>
      <c r="E25" s="132">
        <v>0</v>
      </c>
      <c r="F25" s="132">
        <v>1.4337902426094329</v>
      </c>
      <c r="G25" s="132">
        <v>0.27796957815514728</v>
      </c>
      <c r="H25" s="132">
        <v>0.30127895871718857</v>
      </c>
      <c r="I25" s="132">
        <v>7.4037013805915472E-2</v>
      </c>
      <c r="J25" s="132">
        <v>7.7699312924689068E-2</v>
      </c>
      <c r="K25" s="132">
        <v>7.1305069683643973E-2</v>
      </c>
      <c r="L25" s="132">
        <v>0.18583035474810697</v>
      </c>
      <c r="M25" s="132">
        <v>0.35882172078538427</v>
      </c>
      <c r="N25" s="132">
        <v>0.30415245949860248</v>
      </c>
      <c r="O25" s="132">
        <v>0.22899711941639878</v>
      </c>
      <c r="P25" s="132">
        <v>1.2254078192678617</v>
      </c>
      <c r="Q25" s="132">
        <v>0.41653183944170546</v>
      </c>
      <c r="R25" s="132">
        <v>0.24940200271734225</v>
      </c>
      <c r="S25" s="132">
        <v>0.30402662556631316</v>
      </c>
      <c r="T25" s="132">
        <v>0.24791403151541994</v>
      </c>
      <c r="U25" s="132">
        <v>8.3517707437796879E-2</v>
      </c>
      <c r="V25" s="132">
        <v>0</v>
      </c>
      <c r="W25" s="132">
        <v>0</v>
      </c>
      <c r="X25" s="132">
        <v>3.9964707771742976E-4</v>
      </c>
      <c r="Y25" s="132">
        <v>0</v>
      </c>
      <c r="DA25" s="156" t="s">
        <v>622</v>
      </c>
    </row>
    <row r="26" spans="1:105" ht="12" customHeight="1" x14ac:dyDescent="0.25">
      <c r="A26" s="131" t="s">
        <v>24</v>
      </c>
      <c r="B26" s="65"/>
      <c r="C26" s="65">
        <v>16.512048179882978</v>
      </c>
      <c r="D26" s="65">
        <v>17.097698338084179</v>
      </c>
      <c r="E26" s="65">
        <v>10.952900593776112</v>
      </c>
      <c r="F26" s="65">
        <v>6.5656784465724147</v>
      </c>
      <c r="G26" s="65">
        <v>3.3959184189588183</v>
      </c>
      <c r="H26" s="65">
        <v>18.294340925037723</v>
      </c>
      <c r="I26" s="65">
        <v>13.951028996354879</v>
      </c>
      <c r="J26" s="65">
        <v>2.5973194779731079</v>
      </c>
      <c r="K26" s="65">
        <v>0.39590619238376223</v>
      </c>
      <c r="L26" s="65">
        <v>0.94992258376087713</v>
      </c>
      <c r="M26" s="65">
        <v>6.0692762728233296</v>
      </c>
      <c r="N26" s="65">
        <v>2.7093979054196882</v>
      </c>
      <c r="O26" s="65">
        <v>1.113253727344669</v>
      </c>
      <c r="P26" s="65">
        <v>7.0214562042540765</v>
      </c>
      <c r="Q26" s="65">
        <v>4.861000227570262</v>
      </c>
      <c r="R26" s="65">
        <v>0.87321302699339132</v>
      </c>
      <c r="S26" s="65">
        <v>0.92493617437109732</v>
      </c>
      <c r="T26" s="65">
        <v>2.2128595984296497</v>
      </c>
      <c r="U26" s="65">
        <v>0.77262265443567446</v>
      </c>
      <c r="V26" s="65">
        <v>0.6151675712597362</v>
      </c>
      <c r="W26" s="65">
        <v>7.351700924323735</v>
      </c>
      <c r="X26" s="65">
        <v>4.168980170893648</v>
      </c>
      <c r="Y26" s="65">
        <v>0.59039483086864986</v>
      </c>
      <c r="DA26" s="109" t="s">
        <v>623</v>
      </c>
    </row>
    <row r="27" spans="1:105" ht="12" customHeight="1" x14ac:dyDescent="0.25">
      <c r="A27" s="144" t="s">
        <v>26</v>
      </c>
      <c r="B27" s="147"/>
      <c r="C27" s="147">
        <v>0.3130805942243356</v>
      </c>
      <c r="D27" s="147">
        <v>0.57414685680110344</v>
      </c>
      <c r="E27" s="147">
        <v>0.51016467287617551</v>
      </c>
      <c r="F27" s="147">
        <v>0.67875814010949798</v>
      </c>
      <c r="G27" s="147">
        <v>1.6722961489239168</v>
      </c>
      <c r="H27" s="147">
        <v>1.6414491679030849</v>
      </c>
      <c r="I27" s="147">
        <v>3.3664211044823893</v>
      </c>
      <c r="J27" s="147">
        <v>3.3116658322907799</v>
      </c>
      <c r="K27" s="147">
        <v>1.9414671928056029</v>
      </c>
      <c r="L27" s="147">
        <v>4.8168088241969027</v>
      </c>
      <c r="M27" s="147">
        <v>2.0115992180356526</v>
      </c>
      <c r="N27" s="147">
        <v>1.7510707276729267</v>
      </c>
      <c r="O27" s="147">
        <v>1.2346668539751817</v>
      </c>
      <c r="P27" s="147">
        <v>5.3489125026963249</v>
      </c>
      <c r="Q27" s="147">
        <v>1.3617185756287714E-4</v>
      </c>
      <c r="R27" s="147">
        <v>1.6270073587077933</v>
      </c>
      <c r="S27" s="147">
        <v>3.7979721594947251</v>
      </c>
      <c r="T27" s="147">
        <v>3.0194247097134812</v>
      </c>
      <c r="U27" s="147">
        <v>3.980871919898568</v>
      </c>
      <c r="V27" s="147">
        <v>3.5663424013567839</v>
      </c>
      <c r="W27" s="147">
        <v>2.0498897086502457E-4</v>
      </c>
      <c r="X27" s="147">
        <v>0</v>
      </c>
      <c r="Y27" s="147">
        <v>3.0819150445049703</v>
      </c>
      <c r="DA27" s="160" t="s">
        <v>624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DA28" s="111"/>
    </row>
    <row r="29" spans="1:105" ht="12.95" customHeight="1" x14ac:dyDescent="0.25">
      <c r="A29" s="129" t="s">
        <v>34</v>
      </c>
      <c r="B29" s="130"/>
      <c r="C29" s="130">
        <f t="shared" ref="C29:Q29" si="12">SUM(C30:C33)</f>
        <v>27.025388566373557</v>
      </c>
      <c r="D29" s="130">
        <f t="shared" si="12"/>
        <v>24.345496601456457</v>
      </c>
      <c r="E29" s="130">
        <f t="shared" si="12"/>
        <v>19.824465022335421</v>
      </c>
      <c r="F29" s="130">
        <f t="shared" si="12"/>
        <v>15.469291790795429</v>
      </c>
      <c r="G29" s="130">
        <f t="shared" si="12"/>
        <v>13.608570032026378</v>
      </c>
      <c r="H29" s="130">
        <f t="shared" si="12"/>
        <v>39.916949917211177</v>
      </c>
      <c r="I29" s="130">
        <f t="shared" si="12"/>
        <v>37.28813647247447</v>
      </c>
      <c r="J29" s="130">
        <f t="shared" si="12"/>
        <v>15.625873672978937</v>
      </c>
      <c r="K29" s="130">
        <f t="shared" si="12"/>
        <v>7.2235286117406332</v>
      </c>
      <c r="L29" s="130">
        <f t="shared" si="12"/>
        <v>16.62856843709768</v>
      </c>
      <c r="M29" s="130">
        <f t="shared" si="12"/>
        <v>20.538390150304206</v>
      </c>
      <c r="N29" s="130">
        <f t="shared" si="12"/>
        <v>13.090816994913316</v>
      </c>
      <c r="O29" s="130">
        <f t="shared" si="12"/>
        <v>6.9577882238837692</v>
      </c>
      <c r="P29" s="130">
        <f t="shared" si="12"/>
        <v>29.649593934064885</v>
      </c>
      <c r="Q29" s="130">
        <f t="shared" si="12"/>
        <v>13.290619555285421</v>
      </c>
      <c r="R29" s="130">
        <f t="shared" ref="R29:W29" si="13">SUM(R30:R33)</f>
        <v>9.7508405849138615</v>
      </c>
      <c r="S29" s="130">
        <f t="shared" si="13"/>
        <v>17.720358873074709</v>
      </c>
      <c r="T29" s="130">
        <f t="shared" si="13"/>
        <v>15.353293021120294</v>
      </c>
      <c r="U29" s="130">
        <f t="shared" si="13"/>
        <v>14.107235386202907</v>
      </c>
      <c r="V29" s="130">
        <f t="shared" si="13"/>
        <v>10.864594245144444</v>
      </c>
      <c r="W29" s="130">
        <f t="shared" si="13"/>
        <v>11.668493233086934</v>
      </c>
      <c r="X29" s="130">
        <f t="shared" ref="X29:Y29" si="14">SUM(X30:X33)</f>
        <v>10.165734781443197</v>
      </c>
      <c r="Y29" s="130">
        <f t="shared" si="14"/>
        <v>11.324895852962978</v>
      </c>
      <c r="DA29" s="155" t="s">
        <v>625</v>
      </c>
    </row>
    <row r="30" spans="1:105" s="2" customFormat="1" ht="12" customHeight="1" x14ac:dyDescent="0.25">
      <c r="A30" s="131" t="s">
        <v>52</v>
      </c>
      <c r="B30" s="132"/>
      <c r="C30" s="132">
        <v>3.7206627978977793</v>
      </c>
      <c r="D30" s="132">
        <v>4.1484169800359068</v>
      </c>
      <c r="E30" s="132">
        <v>2.6145073663006704</v>
      </c>
      <c r="F30" s="132">
        <v>1.3648299028918052</v>
      </c>
      <c r="G30" s="132">
        <v>0.93020347977050222</v>
      </c>
      <c r="H30" s="132">
        <v>1.8074813251613524</v>
      </c>
      <c r="I30" s="132">
        <v>3.6613267290344078</v>
      </c>
      <c r="J30" s="132">
        <v>1.5964494004933383</v>
      </c>
      <c r="K30" s="132">
        <v>1.1031214571987118</v>
      </c>
      <c r="L30" s="132">
        <v>2.5809965299469759</v>
      </c>
      <c r="M30" s="132">
        <v>2.5975990524340968</v>
      </c>
      <c r="N30" s="132">
        <v>1.2274844977734805</v>
      </c>
      <c r="O30" s="132">
        <v>0.88116061297340353</v>
      </c>
      <c r="P30" s="132">
        <v>4.4942574362353653</v>
      </c>
      <c r="Q30" s="132">
        <v>1.7273072895232775</v>
      </c>
      <c r="R30" s="132">
        <v>1.0992450227398105</v>
      </c>
      <c r="S30" s="132">
        <v>1.8193549244430323</v>
      </c>
      <c r="T30" s="132">
        <v>1.8847363251627491</v>
      </c>
      <c r="U30" s="132">
        <v>1.8930710457863937</v>
      </c>
      <c r="V30" s="132">
        <v>1.9513792470595885</v>
      </c>
      <c r="W30" s="132">
        <v>1.3970828661999082</v>
      </c>
      <c r="X30" s="132">
        <v>1.0252591093719092</v>
      </c>
      <c r="Y30" s="132">
        <v>1.3810974591614831</v>
      </c>
      <c r="DA30" s="156" t="s">
        <v>626</v>
      </c>
    </row>
    <row r="31" spans="1:105" ht="12" customHeight="1" x14ac:dyDescent="0.25">
      <c r="A31" s="131" t="s">
        <v>149</v>
      </c>
      <c r="B31" s="132"/>
      <c r="C31" s="132">
        <v>13.077775466197021</v>
      </c>
      <c r="D31" s="132">
        <v>1.4458021492589181</v>
      </c>
      <c r="E31" s="132">
        <v>0.8377951886239946</v>
      </c>
      <c r="F31" s="132">
        <v>3.5235324290006802</v>
      </c>
      <c r="G31" s="132">
        <v>8.063487954486785</v>
      </c>
      <c r="H31" s="132">
        <v>26.363930705111393</v>
      </c>
      <c r="I31" s="132">
        <v>29.495602207374315</v>
      </c>
      <c r="J31" s="132">
        <v>10.890850700178513</v>
      </c>
      <c r="K31" s="132">
        <v>5.1644638010651684</v>
      </c>
      <c r="L31" s="132">
        <v>10.723483400713942</v>
      </c>
      <c r="M31" s="132">
        <v>11.635986076395067</v>
      </c>
      <c r="N31" s="132">
        <v>7.3105060060132967</v>
      </c>
      <c r="O31" s="132">
        <v>3.5863141873582904</v>
      </c>
      <c r="P31" s="132">
        <v>18.581767078782104</v>
      </c>
      <c r="Q31" s="132">
        <v>7.9012182880234239</v>
      </c>
      <c r="R31" s="132">
        <v>6.0806435377610013</v>
      </c>
      <c r="S31" s="132">
        <v>11.564450794699201</v>
      </c>
      <c r="T31" s="132">
        <v>10.04833499659963</v>
      </c>
      <c r="U31" s="132">
        <v>9.3740952455840656</v>
      </c>
      <c r="V31" s="132">
        <v>6.1148631570488261</v>
      </c>
      <c r="W31" s="132">
        <v>4.8449004488482039</v>
      </c>
      <c r="X31" s="132">
        <v>1.9810221038150262</v>
      </c>
      <c r="Y31" s="132">
        <v>6.0282618351107455</v>
      </c>
      <c r="DA31" s="156" t="s">
        <v>627</v>
      </c>
    </row>
    <row r="32" spans="1:105" ht="12" customHeight="1" x14ac:dyDescent="0.25">
      <c r="A32" s="131" t="s">
        <v>128</v>
      </c>
      <c r="B32" s="132"/>
      <c r="C32" s="132">
        <v>0</v>
      </c>
      <c r="D32" s="132">
        <v>0</v>
      </c>
      <c r="E32" s="132">
        <v>0</v>
      </c>
      <c r="F32" s="132">
        <v>0</v>
      </c>
      <c r="G32" s="132">
        <v>0</v>
      </c>
      <c r="H32" s="132">
        <v>0</v>
      </c>
      <c r="I32" s="132">
        <v>0</v>
      </c>
      <c r="J32" s="132">
        <v>0</v>
      </c>
      <c r="K32" s="132">
        <v>0</v>
      </c>
      <c r="L32" s="132">
        <v>0</v>
      </c>
      <c r="M32" s="132">
        <v>0</v>
      </c>
      <c r="N32" s="132">
        <v>0</v>
      </c>
      <c r="O32" s="132">
        <v>0</v>
      </c>
      <c r="P32" s="132">
        <v>0</v>
      </c>
      <c r="Q32" s="132">
        <v>0</v>
      </c>
      <c r="R32" s="132">
        <v>0</v>
      </c>
      <c r="S32" s="132">
        <v>0</v>
      </c>
      <c r="T32" s="132">
        <v>0</v>
      </c>
      <c r="U32" s="132">
        <v>0</v>
      </c>
      <c r="V32" s="132">
        <v>0</v>
      </c>
      <c r="W32" s="132">
        <v>0</v>
      </c>
      <c r="X32" s="132">
        <v>0</v>
      </c>
      <c r="Y32" s="132">
        <v>0</v>
      </c>
      <c r="DA32" s="156" t="s">
        <v>628</v>
      </c>
    </row>
    <row r="33" spans="1:105" ht="12" customHeight="1" x14ac:dyDescent="0.25">
      <c r="A33" s="62" t="s">
        <v>24</v>
      </c>
      <c r="B33" s="68"/>
      <c r="C33" s="68">
        <v>10.226950302278757</v>
      </c>
      <c r="D33" s="68">
        <v>18.751277472161632</v>
      </c>
      <c r="E33" s="68">
        <v>16.372162467410757</v>
      </c>
      <c r="F33" s="68">
        <v>10.580929458902943</v>
      </c>
      <c r="G33" s="68">
        <v>4.6148785977690894</v>
      </c>
      <c r="H33" s="68">
        <v>11.745537886938434</v>
      </c>
      <c r="I33" s="68">
        <v>4.1312075360657436</v>
      </c>
      <c r="J33" s="68">
        <v>3.1385735723070867</v>
      </c>
      <c r="K33" s="68">
        <v>0.95594335347675363</v>
      </c>
      <c r="L33" s="68">
        <v>3.324088506436762</v>
      </c>
      <c r="M33" s="68">
        <v>6.3048050214750431</v>
      </c>
      <c r="N33" s="68">
        <v>4.5528264911265399</v>
      </c>
      <c r="O33" s="68">
        <v>2.4903134235520761</v>
      </c>
      <c r="P33" s="68">
        <v>6.5735694190474163</v>
      </c>
      <c r="Q33" s="68">
        <v>3.662093977738718</v>
      </c>
      <c r="R33" s="68">
        <v>2.5709520244130495</v>
      </c>
      <c r="S33" s="68">
        <v>4.3365531539324724</v>
      </c>
      <c r="T33" s="68">
        <v>3.4202216993579158</v>
      </c>
      <c r="U33" s="68">
        <v>2.8400690948324474</v>
      </c>
      <c r="V33" s="68">
        <v>2.7983518410360286</v>
      </c>
      <c r="W33" s="68">
        <v>5.4265099180388212</v>
      </c>
      <c r="X33" s="68">
        <v>7.1594535682562617</v>
      </c>
      <c r="Y33" s="68">
        <v>3.9155365586907505</v>
      </c>
      <c r="DA33" s="111" t="s">
        <v>629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630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82</v>
      </c>
      <c r="B3" s="125"/>
      <c r="C3" s="125">
        <f t="shared" ref="C3:Q3" si="0">SUM(C4,C16,C19,C29)</f>
        <v>136.94561566381583</v>
      </c>
      <c r="D3" s="125">
        <f t="shared" si="0"/>
        <v>136.03426044302398</v>
      </c>
      <c r="E3" s="125">
        <f t="shared" si="0"/>
        <v>128.83672646845136</v>
      </c>
      <c r="F3" s="125">
        <f t="shared" si="0"/>
        <v>85.251314753219262</v>
      </c>
      <c r="G3" s="125">
        <f t="shared" si="0"/>
        <v>73.3685117799198</v>
      </c>
      <c r="H3" s="125">
        <f t="shared" si="0"/>
        <v>223.59847682035533</v>
      </c>
      <c r="I3" s="125">
        <f t="shared" si="0"/>
        <v>179.61459624990127</v>
      </c>
      <c r="J3" s="125">
        <f t="shared" si="0"/>
        <v>87.437991752672275</v>
      </c>
      <c r="K3" s="125">
        <f t="shared" si="0"/>
        <v>37.689647788393629</v>
      </c>
      <c r="L3" s="125">
        <f t="shared" si="0"/>
        <v>84.03616332143875</v>
      </c>
      <c r="M3" s="125">
        <f t="shared" si="0"/>
        <v>102.76961473844077</v>
      </c>
      <c r="N3" s="125">
        <f t="shared" si="0"/>
        <v>71.068337487919933</v>
      </c>
      <c r="O3" s="125">
        <f t="shared" si="0"/>
        <v>31.909651069107269</v>
      </c>
      <c r="P3" s="125">
        <f t="shared" si="0"/>
        <v>129.89011365904832</v>
      </c>
      <c r="Q3" s="125">
        <f t="shared" si="0"/>
        <v>74.959386820906602</v>
      </c>
      <c r="R3" s="125">
        <f t="shared" ref="R3:W3" si="1">SUM(R4,R16,R19,R29)</f>
        <v>47.654166480074011</v>
      </c>
      <c r="S3" s="125">
        <f t="shared" si="1"/>
        <v>86.967016069906521</v>
      </c>
      <c r="T3" s="125">
        <f t="shared" si="1"/>
        <v>73.783877942906116</v>
      </c>
      <c r="U3" s="125">
        <f t="shared" si="1"/>
        <v>64.516509793445962</v>
      </c>
      <c r="V3" s="125">
        <f t="shared" si="1"/>
        <v>46.30379236637436</v>
      </c>
      <c r="W3" s="125">
        <f t="shared" si="1"/>
        <v>43.149682228005446</v>
      </c>
      <c r="X3" s="125">
        <f t="shared" ref="X3:Y3" si="2">SUM(X4,X16,X19,X29)</f>
        <v>35.897540033935044</v>
      </c>
      <c r="Y3" s="125">
        <f t="shared" si="2"/>
        <v>34.207009266082736</v>
      </c>
      <c r="DA3" s="154" t="s">
        <v>631</v>
      </c>
    </row>
    <row r="4" spans="1:105" ht="12.95" customHeight="1" x14ac:dyDescent="0.25">
      <c r="A4" s="129" t="s">
        <v>32</v>
      </c>
      <c r="B4" s="130"/>
      <c r="C4" s="130">
        <f t="shared" ref="C4:Q4" si="3">SUM(C5:C15)</f>
        <v>74.41456739310749</v>
      </c>
      <c r="D4" s="130">
        <f t="shared" si="3"/>
        <v>74.940430441909939</v>
      </c>
      <c r="E4" s="130">
        <f t="shared" si="3"/>
        <v>61.647981753850246</v>
      </c>
      <c r="F4" s="130">
        <f t="shared" si="3"/>
        <v>49.755021777963016</v>
      </c>
      <c r="G4" s="130">
        <f t="shared" si="3"/>
        <v>45.393671565567303</v>
      </c>
      <c r="H4" s="130">
        <f t="shared" si="3"/>
        <v>136.60906706335908</v>
      </c>
      <c r="I4" s="130">
        <f t="shared" si="3"/>
        <v>106.91535426405679</v>
      </c>
      <c r="J4" s="130">
        <f t="shared" si="3"/>
        <v>53.965799285884074</v>
      </c>
      <c r="K4" s="130">
        <f t="shared" si="3"/>
        <v>22.967743782687187</v>
      </c>
      <c r="L4" s="130">
        <f t="shared" si="3"/>
        <v>52.171088865668629</v>
      </c>
      <c r="M4" s="130">
        <f t="shared" si="3"/>
        <v>61.079396480604181</v>
      </c>
      <c r="N4" s="130">
        <f t="shared" si="3"/>
        <v>39.02306687892694</v>
      </c>
      <c r="O4" s="130">
        <f t="shared" si="3"/>
        <v>18.149759402896187</v>
      </c>
      <c r="P4" s="130">
        <f t="shared" si="3"/>
        <v>76.595356521638649</v>
      </c>
      <c r="Q4" s="130">
        <f t="shared" si="3"/>
        <v>45.484752875913891</v>
      </c>
      <c r="R4" s="130">
        <f t="shared" ref="R4:W4" si="4">SUM(R5:R15)</f>
        <v>29.464827371486571</v>
      </c>
      <c r="S4" s="130">
        <f t="shared" si="4"/>
        <v>49.243530674624132</v>
      </c>
      <c r="T4" s="130">
        <f t="shared" si="4"/>
        <v>44.667423529758331</v>
      </c>
      <c r="U4" s="130">
        <f t="shared" si="4"/>
        <v>35.902977192777129</v>
      </c>
      <c r="V4" s="130">
        <f t="shared" si="4"/>
        <v>25.582485245534517</v>
      </c>
      <c r="W4" s="130">
        <f t="shared" si="4"/>
        <v>20.335019206126141</v>
      </c>
      <c r="X4" s="130">
        <f t="shared" ref="X4:Y4" si="5">SUM(X5:X15)</f>
        <v>13.252116540575628</v>
      </c>
      <c r="Y4" s="130">
        <f t="shared" si="5"/>
        <v>13.215807744102126</v>
      </c>
      <c r="DA4" s="155" t="s">
        <v>632</v>
      </c>
    </row>
    <row r="5" spans="1:105" ht="12" customHeight="1" x14ac:dyDescent="0.25">
      <c r="A5" s="131" t="s">
        <v>29</v>
      </c>
      <c r="B5" s="132"/>
      <c r="C5" s="132">
        <v>0</v>
      </c>
      <c r="D5" s="132">
        <v>0</v>
      </c>
      <c r="E5" s="132">
        <v>0</v>
      </c>
      <c r="F5" s="132">
        <v>0</v>
      </c>
      <c r="G5" s="132">
        <v>0</v>
      </c>
      <c r="H5" s="132">
        <v>0</v>
      </c>
      <c r="I5" s="132">
        <v>0</v>
      </c>
      <c r="J5" s="132">
        <v>0</v>
      </c>
      <c r="K5" s="132">
        <v>0</v>
      </c>
      <c r="L5" s="132">
        <v>0</v>
      </c>
      <c r="M5" s="132">
        <v>0</v>
      </c>
      <c r="N5" s="132">
        <v>0</v>
      </c>
      <c r="O5" s="132">
        <v>0</v>
      </c>
      <c r="P5" s="132">
        <v>0</v>
      </c>
      <c r="Q5" s="132">
        <v>0</v>
      </c>
      <c r="R5" s="132">
        <v>0</v>
      </c>
      <c r="S5" s="132">
        <v>0</v>
      </c>
      <c r="T5" s="132">
        <v>0</v>
      </c>
      <c r="U5" s="132">
        <v>0</v>
      </c>
      <c r="V5" s="132">
        <v>0</v>
      </c>
      <c r="W5" s="132">
        <v>0</v>
      </c>
      <c r="X5" s="132">
        <v>0</v>
      </c>
      <c r="Y5" s="132">
        <v>0</v>
      </c>
      <c r="DA5" s="156" t="s">
        <v>633</v>
      </c>
    </row>
    <row r="6" spans="1:105" ht="12" customHeight="1" x14ac:dyDescent="0.25">
      <c r="A6" s="131" t="s">
        <v>52</v>
      </c>
      <c r="B6" s="132"/>
      <c r="C6" s="132">
        <v>1.6896249672328167</v>
      </c>
      <c r="D6" s="132">
        <v>1.9306640906785617</v>
      </c>
      <c r="E6" s="132">
        <v>1.8823544083424448</v>
      </c>
      <c r="F6" s="132">
        <v>0.82315178448683213</v>
      </c>
      <c r="G6" s="132">
        <v>0.53107379127891707</v>
      </c>
      <c r="H6" s="132">
        <v>1.2198386114654427</v>
      </c>
      <c r="I6" s="132">
        <v>1.830602528268052</v>
      </c>
      <c r="J6" s="132">
        <v>1.4210730219015042</v>
      </c>
      <c r="K6" s="132">
        <v>0.70912895574346313</v>
      </c>
      <c r="L6" s="132">
        <v>1.3218709667178192</v>
      </c>
      <c r="M6" s="132">
        <v>0.9123049836310233</v>
      </c>
      <c r="N6" s="132">
        <v>0.2022691736196402</v>
      </c>
      <c r="O6" s="132">
        <v>0.13848705752901119</v>
      </c>
      <c r="P6" s="132">
        <v>0</v>
      </c>
      <c r="Q6" s="132">
        <v>0</v>
      </c>
      <c r="R6" s="132">
        <v>0</v>
      </c>
      <c r="S6" s="132">
        <v>0.51590635544335572</v>
      </c>
      <c r="T6" s="132">
        <v>0.59223530296337534</v>
      </c>
      <c r="U6" s="132">
        <v>0.79568075849778219</v>
      </c>
      <c r="V6" s="132">
        <v>0.63190469365044266</v>
      </c>
      <c r="W6" s="132">
        <v>0.60587277045433274</v>
      </c>
      <c r="X6" s="132">
        <v>0.29333150530985419</v>
      </c>
      <c r="Y6" s="132">
        <v>0.30278398006865337</v>
      </c>
      <c r="DA6" s="156" t="s">
        <v>634</v>
      </c>
    </row>
    <row r="7" spans="1:105" ht="12" customHeight="1" x14ac:dyDescent="0.25">
      <c r="A7" s="131" t="s">
        <v>161</v>
      </c>
      <c r="B7" s="132"/>
      <c r="C7" s="132">
        <v>2.3435553170874752</v>
      </c>
      <c r="D7" s="132">
        <v>3.8702566450566143</v>
      </c>
      <c r="E7" s="132">
        <v>5.1220158336204031</v>
      </c>
      <c r="F7" s="132">
        <v>2.9483477056962837</v>
      </c>
      <c r="G7" s="132">
        <v>1.640486021928075</v>
      </c>
      <c r="H7" s="132">
        <v>3.069776045332536</v>
      </c>
      <c r="I7" s="132">
        <v>0.41216140506542492</v>
      </c>
      <c r="J7" s="132">
        <v>0</v>
      </c>
      <c r="K7" s="132">
        <v>0</v>
      </c>
      <c r="L7" s="132">
        <v>0</v>
      </c>
      <c r="M7" s="132">
        <v>0</v>
      </c>
      <c r="N7" s="132">
        <v>0.45327255525798882</v>
      </c>
      <c r="O7" s="132">
        <v>0.14033091270946066</v>
      </c>
      <c r="P7" s="132">
        <v>0.2890666769957751</v>
      </c>
      <c r="Q7" s="132">
        <v>0.23247811172918004</v>
      </c>
      <c r="R7" s="132">
        <v>0.61219683188951513</v>
      </c>
      <c r="S7" s="132">
        <v>0.18992562618337888</v>
      </c>
      <c r="T7" s="132">
        <v>0.74896897263699014</v>
      </c>
      <c r="U7" s="132">
        <v>0.49962573508878361</v>
      </c>
      <c r="V7" s="132">
        <v>0.54296139356542317</v>
      </c>
      <c r="W7" s="132">
        <v>0.88216719494120011</v>
      </c>
      <c r="X7" s="132">
        <v>0.72779498959495126</v>
      </c>
      <c r="Y7" s="132">
        <v>0.15991088237379159</v>
      </c>
      <c r="DA7" s="156" t="s">
        <v>635</v>
      </c>
    </row>
    <row r="8" spans="1:105" ht="12" customHeight="1" x14ac:dyDescent="0.25">
      <c r="A8" s="131" t="s">
        <v>73</v>
      </c>
      <c r="B8" s="132"/>
      <c r="C8" s="132">
        <v>0.21810404316370596</v>
      </c>
      <c r="D8" s="132">
        <v>0.30624445455935712</v>
      </c>
      <c r="E8" s="132">
        <v>0.2502955962813323</v>
      </c>
      <c r="F8" s="132">
        <v>0.17242553876766098</v>
      </c>
      <c r="G8" s="132">
        <v>0.14125656057065103</v>
      </c>
      <c r="H8" s="132">
        <v>0.42477438242107413</v>
      </c>
      <c r="I8" s="132">
        <v>0.46334594954697544</v>
      </c>
      <c r="J8" s="132">
        <v>0.20983112041229032</v>
      </c>
      <c r="K8" s="132">
        <v>0.14624900664547147</v>
      </c>
      <c r="L8" s="132">
        <v>0.44338736706541981</v>
      </c>
      <c r="M8" s="132">
        <v>0.83394844452196581</v>
      </c>
      <c r="N8" s="132">
        <v>0.71414165927230411</v>
      </c>
      <c r="O8" s="132">
        <v>0.5822127822543095</v>
      </c>
      <c r="P8" s="132">
        <v>2.7053059506306276</v>
      </c>
      <c r="Q8" s="132">
        <v>1.038514987475615</v>
      </c>
      <c r="R8" s="132">
        <v>0.60405094565097273</v>
      </c>
      <c r="S8" s="132">
        <v>0.51789924796578368</v>
      </c>
      <c r="T8" s="132">
        <v>0.67558820830302446</v>
      </c>
      <c r="U8" s="132">
        <v>1.1381471260803664</v>
      </c>
      <c r="V8" s="132">
        <v>1.2163976052561927</v>
      </c>
      <c r="W8" s="132">
        <v>0.87947906257567066</v>
      </c>
      <c r="X8" s="132">
        <v>0.30404344309235382</v>
      </c>
      <c r="Y8" s="132">
        <v>0.19496701548446019</v>
      </c>
      <c r="DA8" s="156" t="s">
        <v>636</v>
      </c>
    </row>
    <row r="9" spans="1:105" ht="12" customHeight="1" x14ac:dyDescent="0.25">
      <c r="A9" s="131" t="s">
        <v>78</v>
      </c>
      <c r="B9" s="132"/>
      <c r="C9" s="132">
        <v>46.113560073655158</v>
      </c>
      <c r="D9" s="132">
        <v>41.712038573391069</v>
      </c>
      <c r="E9" s="132">
        <v>42.840649535372002</v>
      </c>
      <c r="F9" s="132">
        <v>23.022723990584112</v>
      </c>
      <c r="G9" s="132">
        <v>25.385504854321916</v>
      </c>
      <c r="H9" s="132">
        <v>76.572796931298399</v>
      </c>
      <c r="I9" s="132">
        <v>60.405982623530996</v>
      </c>
      <c r="J9" s="132">
        <v>35.007058523091949</v>
      </c>
      <c r="K9" s="132">
        <v>11.254017519804485</v>
      </c>
      <c r="L9" s="132">
        <v>22.445905065160265</v>
      </c>
      <c r="M9" s="132">
        <v>12.994171132480512</v>
      </c>
      <c r="N9" s="132">
        <v>8.05694979501801</v>
      </c>
      <c r="O9" s="132">
        <v>1.4621768398520889</v>
      </c>
      <c r="P9" s="132">
        <v>0</v>
      </c>
      <c r="Q9" s="132">
        <v>0</v>
      </c>
      <c r="R9" s="132">
        <v>2.3206457770822189</v>
      </c>
      <c r="S9" s="132">
        <v>34.158699796742795</v>
      </c>
      <c r="T9" s="132">
        <v>32.192283496605953</v>
      </c>
      <c r="U9" s="132">
        <v>23.336284129006476</v>
      </c>
      <c r="V9" s="132">
        <v>12.375923203285073</v>
      </c>
      <c r="W9" s="132">
        <v>1.1228463484763263</v>
      </c>
      <c r="X9" s="132">
        <v>3.1814775201115935</v>
      </c>
      <c r="Y9" s="132">
        <v>7.1665561798328046</v>
      </c>
      <c r="DA9" s="156" t="s">
        <v>637</v>
      </c>
    </row>
    <row r="10" spans="1:105" ht="12" customHeight="1" x14ac:dyDescent="0.25">
      <c r="A10" s="131" t="s">
        <v>128</v>
      </c>
      <c r="B10" s="132"/>
      <c r="C10" s="132">
        <v>7.4501137156085889E-2</v>
      </c>
      <c r="D10" s="132">
        <v>1.9786843039622141E-2</v>
      </c>
      <c r="E10" s="132">
        <v>8.6487262952876162E-3</v>
      </c>
      <c r="F10" s="132">
        <v>2.8412677518447463E-2</v>
      </c>
      <c r="G10" s="132">
        <v>2.7764233769531507E-2</v>
      </c>
      <c r="H10" s="132">
        <v>0.18423904342382447</v>
      </c>
      <c r="I10" s="132">
        <v>0.10054016095624316</v>
      </c>
      <c r="J10" s="132">
        <v>0.10113694350578335</v>
      </c>
      <c r="K10" s="132">
        <v>0.1019107776081985</v>
      </c>
      <c r="L10" s="132">
        <v>0.33644945761276068</v>
      </c>
      <c r="M10" s="132">
        <v>0.32986751759398086</v>
      </c>
      <c r="N10" s="132">
        <v>0.21868378862463531</v>
      </c>
      <c r="O10" s="132">
        <v>0.2181210343945221</v>
      </c>
      <c r="P10" s="132">
        <v>1.2145535207678753</v>
      </c>
      <c r="Q10" s="132">
        <v>7.0005908104250628E-2</v>
      </c>
      <c r="R10" s="132">
        <v>0.16949131442519205</v>
      </c>
      <c r="S10" s="132">
        <v>3.4209762723638119E-2</v>
      </c>
      <c r="T10" s="132">
        <v>0.12015866062856853</v>
      </c>
      <c r="U10" s="132">
        <v>0.29642509939509598</v>
      </c>
      <c r="V10" s="132">
        <v>0.32785670017890023</v>
      </c>
      <c r="W10" s="132">
        <v>0.33076285864475213</v>
      </c>
      <c r="X10" s="132">
        <v>0.14210760589468718</v>
      </c>
      <c r="Y10" s="132">
        <v>9.0694766832623286E-2</v>
      </c>
      <c r="DA10" s="156" t="s">
        <v>638</v>
      </c>
    </row>
    <row r="11" spans="1:105" ht="12" customHeight="1" x14ac:dyDescent="0.25">
      <c r="A11" s="131" t="s">
        <v>25</v>
      </c>
      <c r="B11" s="132"/>
      <c r="C11" s="132">
        <v>1.8109382702281722</v>
      </c>
      <c r="D11" s="132">
        <v>0.98337833680926645</v>
      </c>
      <c r="E11" s="132">
        <v>8.5396118628708009E-2</v>
      </c>
      <c r="F11" s="132">
        <v>7.5536490902839183E-3</v>
      </c>
      <c r="G11" s="132">
        <v>4.1626487763327842E-3</v>
      </c>
      <c r="H11" s="132">
        <v>1.3191394153403313</v>
      </c>
      <c r="I11" s="132">
        <v>1.8848554038809882</v>
      </c>
      <c r="J11" s="132">
        <v>0.31604172759590821</v>
      </c>
      <c r="K11" s="132">
        <v>0.13394950069749456</v>
      </c>
      <c r="L11" s="132">
        <v>0</v>
      </c>
      <c r="M11" s="132">
        <v>0.4377168721874341</v>
      </c>
      <c r="N11" s="132">
        <v>0.65241642527452337</v>
      </c>
      <c r="O11" s="132">
        <v>0.4175776484587273</v>
      </c>
      <c r="P11" s="132">
        <v>9.1686623081704152E-2</v>
      </c>
      <c r="Q11" s="132">
        <v>0</v>
      </c>
      <c r="R11" s="132">
        <v>8.436731487692832E-2</v>
      </c>
      <c r="S11" s="132">
        <v>0.34679317014522515</v>
      </c>
      <c r="T11" s="132">
        <v>0.17898654607032183</v>
      </c>
      <c r="U11" s="132">
        <v>0.20729611964877334</v>
      </c>
      <c r="V11" s="132">
        <v>0.17860191036435139</v>
      </c>
      <c r="W11" s="132">
        <v>0.14073349961349493</v>
      </c>
      <c r="X11" s="132">
        <v>0.10255154904173704</v>
      </c>
      <c r="Y11" s="132">
        <v>6.330076331234695E-2</v>
      </c>
      <c r="DA11" s="156" t="s">
        <v>639</v>
      </c>
    </row>
    <row r="12" spans="1:105" ht="12" customHeight="1" x14ac:dyDescent="0.25">
      <c r="A12" s="131" t="s">
        <v>162</v>
      </c>
      <c r="B12" s="132"/>
      <c r="C12" s="132">
        <v>0</v>
      </c>
      <c r="D12" s="132">
        <v>0</v>
      </c>
      <c r="E12" s="132">
        <v>0</v>
      </c>
      <c r="F12" s="132">
        <v>6.0573632654774539</v>
      </c>
      <c r="G12" s="132">
        <v>1.2073243480896549</v>
      </c>
      <c r="H12" s="132">
        <v>3.2850786706153663</v>
      </c>
      <c r="I12" s="132">
        <v>0.67633740042375634</v>
      </c>
      <c r="J12" s="132">
        <v>0</v>
      </c>
      <c r="K12" s="132">
        <v>1.3775565498088985E-2</v>
      </c>
      <c r="L12" s="132">
        <v>0.30087885021527461</v>
      </c>
      <c r="M12" s="132">
        <v>3.368609279121181</v>
      </c>
      <c r="N12" s="132">
        <v>0.85789524800934258</v>
      </c>
      <c r="O12" s="132">
        <v>0.87100020219700669</v>
      </c>
      <c r="P12" s="132">
        <v>2.7284654996983564</v>
      </c>
      <c r="Q12" s="132">
        <v>0.87278285238015973</v>
      </c>
      <c r="R12" s="132">
        <v>1.1074346283536449</v>
      </c>
      <c r="S12" s="132">
        <v>2.2054339904826787</v>
      </c>
      <c r="T12" s="132">
        <v>1.9606775994232362</v>
      </c>
      <c r="U12" s="132">
        <v>0.7608044837201533</v>
      </c>
      <c r="V12" s="132">
        <v>0.59424637083377863</v>
      </c>
      <c r="W12" s="132">
        <v>0</v>
      </c>
      <c r="X12" s="132">
        <v>5.3969712421243966E-2</v>
      </c>
      <c r="Y12" s="132">
        <v>0.20687945398055205</v>
      </c>
      <c r="DA12" s="156" t="s">
        <v>640</v>
      </c>
    </row>
    <row r="13" spans="1:105" ht="12" customHeight="1" x14ac:dyDescent="0.25">
      <c r="A13" s="131" t="s">
        <v>77</v>
      </c>
      <c r="B13" s="132"/>
      <c r="C13" s="132">
        <v>1.1189842245650827</v>
      </c>
      <c r="D13" s="132">
        <v>3.0053319809551802</v>
      </c>
      <c r="E13" s="132">
        <v>1.8763277690612497</v>
      </c>
      <c r="F13" s="132">
        <v>3.3793373164493339</v>
      </c>
      <c r="G13" s="132">
        <v>4.3570004465328829</v>
      </c>
      <c r="H13" s="132">
        <v>9.884697017908838</v>
      </c>
      <c r="I13" s="132">
        <v>7.2216541105959378</v>
      </c>
      <c r="J13" s="132">
        <v>2.5391562354895001</v>
      </c>
      <c r="K13" s="132">
        <v>2.4353672469205878</v>
      </c>
      <c r="L13" s="132">
        <v>7.4563539019030562</v>
      </c>
      <c r="M13" s="132">
        <v>16.025604898497853</v>
      </c>
      <c r="N13" s="132">
        <v>16.134658712620791</v>
      </c>
      <c r="O13" s="132">
        <v>11.443982861836487</v>
      </c>
      <c r="P13" s="132">
        <v>69.529097158106097</v>
      </c>
      <c r="Q13" s="132">
        <v>43.25888962732256</v>
      </c>
      <c r="R13" s="132">
        <v>24.510784119469296</v>
      </c>
      <c r="S13" s="132">
        <v>10.702336870511168</v>
      </c>
      <c r="T13" s="132">
        <v>3.902068285592879</v>
      </c>
      <c r="U13" s="132">
        <v>4.0808013577166307</v>
      </c>
      <c r="V13" s="132">
        <v>4.4428150636985597</v>
      </c>
      <c r="W13" s="132">
        <v>2.130342796041004</v>
      </c>
      <c r="X13" s="132">
        <v>0.94731437361254656</v>
      </c>
      <c r="Y13" s="132">
        <v>0</v>
      </c>
      <c r="DA13" s="156" t="s">
        <v>641</v>
      </c>
    </row>
    <row r="14" spans="1:105" ht="12" customHeight="1" x14ac:dyDescent="0.25">
      <c r="A14" s="60" t="s">
        <v>76</v>
      </c>
      <c r="B14" s="65"/>
      <c r="C14" s="65">
        <v>20.052553094745413</v>
      </c>
      <c r="D14" s="65">
        <v>22.19428290315782</v>
      </c>
      <c r="E14" s="65">
        <v>8.6418144007202571</v>
      </c>
      <c r="F14" s="65">
        <v>12.790942852166802</v>
      </c>
      <c r="G14" s="65">
        <v>11.591526589240109</v>
      </c>
      <c r="H14" s="65">
        <v>39.177318528866202</v>
      </c>
      <c r="I14" s="65">
        <v>32.801085144604386</v>
      </c>
      <c r="J14" s="65">
        <v>13.734999275372909</v>
      </c>
      <c r="K14" s="65">
        <v>7.9659065927443509</v>
      </c>
      <c r="L14" s="65">
        <v>19.457218045319326</v>
      </c>
      <c r="M14" s="65">
        <v>25.921728011643271</v>
      </c>
      <c r="N14" s="65">
        <v>11.577068781306158</v>
      </c>
      <c r="O14" s="65">
        <v>2.8377312351145716</v>
      </c>
      <c r="P14" s="65">
        <v>0</v>
      </c>
      <c r="Q14" s="65">
        <v>0</v>
      </c>
      <c r="R14" s="65">
        <v>0</v>
      </c>
      <c r="S14" s="65">
        <v>0</v>
      </c>
      <c r="T14" s="65">
        <v>3.7476026374503153</v>
      </c>
      <c r="U14" s="65">
        <v>4.3840590997712914</v>
      </c>
      <c r="V14" s="65">
        <v>5.0450253232061266</v>
      </c>
      <c r="W14" s="65">
        <v>14.194587031661126</v>
      </c>
      <c r="X14" s="65">
        <v>7.4296422710497838</v>
      </c>
      <c r="Y14" s="65">
        <v>4.906603795377074</v>
      </c>
      <c r="DA14" s="109" t="s">
        <v>642</v>
      </c>
    </row>
    <row r="15" spans="1:105" ht="12" customHeight="1" x14ac:dyDescent="0.25">
      <c r="A15" s="133" t="s">
        <v>80</v>
      </c>
      <c r="B15" s="134"/>
      <c r="C15" s="134">
        <v>0.99274626527358811</v>
      </c>
      <c r="D15" s="134">
        <v>0.91844661426244956</v>
      </c>
      <c r="E15" s="134">
        <v>0.94047936552856581</v>
      </c>
      <c r="F15" s="134">
        <v>0.52476299772581658</v>
      </c>
      <c r="G15" s="134">
        <v>0.50757207105923152</v>
      </c>
      <c r="H15" s="134">
        <v>1.4714084166870789</v>
      </c>
      <c r="I15" s="134">
        <v>1.1187895371840315</v>
      </c>
      <c r="J15" s="134">
        <v>0.6365024385142245</v>
      </c>
      <c r="K15" s="134">
        <v>0.2074386170250426</v>
      </c>
      <c r="L15" s="134">
        <v>0.40902521167470951</v>
      </c>
      <c r="M15" s="134">
        <v>0.25544534092696292</v>
      </c>
      <c r="N15" s="134">
        <v>0.15571073992354723</v>
      </c>
      <c r="O15" s="134">
        <v>3.8138828550003868E-2</v>
      </c>
      <c r="P15" s="134">
        <v>3.7181092358211806E-2</v>
      </c>
      <c r="Q15" s="134">
        <v>1.2081388902124967E-2</v>
      </c>
      <c r="R15" s="134">
        <v>5.5856439738803006E-2</v>
      </c>
      <c r="S15" s="134">
        <v>0.57232585442610773</v>
      </c>
      <c r="T15" s="134">
        <v>0.54885382008367478</v>
      </c>
      <c r="U15" s="134">
        <v>0.4038532838517741</v>
      </c>
      <c r="V15" s="134">
        <v>0.22675298149567294</v>
      </c>
      <c r="W15" s="134">
        <v>4.8227643718234972E-2</v>
      </c>
      <c r="X15" s="134">
        <v>6.9883570446875432E-2</v>
      </c>
      <c r="Y15" s="134">
        <v>0.12411090683982165</v>
      </c>
      <c r="DA15" s="157" t="s">
        <v>643</v>
      </c>
    </row>
    <row r="16" spans="1:105" ht="12.95" customHeight="1" x14ac:dyDescent="0.25">
      <c r="A16" s="129" t="s">
        <v>74</v>
      </c>
      <c r="B16" s="130"/>
      <c r="C16" s="130">
        <f t="shared" ref="C16:Q16" si="6">SUM(C17:C18)</f>
        <v>24.770972840177127</v>
      </c>
      <c r="D16" s="130">
        <f t="shared" si="6"/>
        <v>22.392600748263163</v>
      </c>
      <c r="E16" s="130">
        <f t="shared" si="6"/>
        <v>37.402242438783489</v>
      </c>
      <c r="F16" s="130">
        <f t="shared" si="6"/>
        <v>12.566763759725371</v>
      </c>
      <c r="G16" s="130">
        <f t="shared" si="6"/>
        <v>9.9837098138014557</v>
      </c>
      <c r="H16" s="130">
        <f t="shared" si="6"/>
        <v>34.484099692249849</v>
      </c>
      <c r="I16" s="130">
        <f t="shared" si="6"/>
        <v>26.703152268844402</v>
      </c>
      <c r="J16" s="130">
        <f t="shared" si="6"/>
        <v>13.556627645384394</v>
      </c>
      <c r="K16" s="130">
        <f t="shared" si="6"/>
        <v>5.9142751335942663</v>
      </c>
      <c r="L16" s="130">
        <f t="shared" si="6"/>
        <v>11.127624670537863</v>
      </c>
      <c r="M16" s="130">
        <f t="shared" si="6"/>
        <v>15.128762736802063</v>
      </c>
      <c r="N16" s="130">
        <f t="shared" si="6"/>
        <v>15.019708652934229</v>
      </c>
      <c r="O16" s="130">
        <f t="shared" si="6"/>
        <v>4.586963261946889</v>
      </c>
      <c r="P16" s="130">
        <f t="shared" si="6"/>
        <v>15.728760677321679</v>
      </c>
      <c r="Q16" s="130">
        <f t="shared" si="6"/>
        <v>12.423518178363834</v>
      </c>
      <c r="R16" s="130">
        <f t="shared" ref="R16:W16" si="7">SUM(R17:R18)</f>
        <v>5.6076116733926176</v>
      </c>
      <c r="S16" s="130">
        <f t="shared" si="7"/>
        <v>14.990635275277942</v>
      </c>
      <c r="T16" s="130">
        <f t="shared" si="7"/>
        <v>9.5357519760514684</v>
      </c>
      <c r="U16" s="130">
        <f t="shared" si="7"/>
        <v>11.059097205404241</v>
      </c>
      <c r="V16" s="130">
        <f t="shared" si="7"/>
        <v>6.7708672493899655</v>
      </c>
      <c r="W16" s="130">
        <f t="shared" si="7"/>
        <v>7.0129822222111109</v>
      </c>
      <c r="X16" s="130">
        <f t="shared" ref="X16:Y16" si="8">SUM(X17:X18)</f>
        <v>7.47001000176851</v>
      </c>
      <c r="Y16" s="130">
        <f t="shared" si="8"/>
        <v>5.9150182278012418</v>
      </c>
      <c r="DA16" s="155" t="s">
        <v>644</v>
      </c>
    </row>
    <row r="17" spans="1:105" ht="12.95" customHeight="1" x14ac:dyDescent="0.25">
      <c r="A17" s="131" t="s">
        <v>73</v>
      </c>
      <c r="B17" s="132"/>
      <c r="C17" s="132">
        <v>0.15700672004172661</v>
      </c>
      <c r="D17" s="132">
        <v>4.1982732742275694E-2</v>
      </c>
      <c r="E17" s="132">
        <v>0.23967530808934023</v>
      </c>
      <c r="F17" s="132">
        <v>8.9472042974266947E-2</v>
      </c>
      <c r="G17" s="132">
        <v>4.6624623751345441E-2</v>
      </c>
      <c r="H17" s="132">
        <v>0.21880140814944776</v>
      </c>
      <c r="I17" s="132">
        <v>0.16586004852873479</v>
      </c>
      <c r="J17" s="132">
        <v>0.11207809362923746</v>
      </c>
      <c r="K17" s="132">
        <v>8.4572665849108913E-2</v>
      </c>
      <c r="L17" s="132">
        <v>0.13678034372875436</v>
      </c>
      <c r="M17" s="132">
        <v>0.15712826649682241</v>
      </c>
      <c r="N17" s="132">
        <v>0.15752933545759268</v>
      </c>
      <c r="O17" s="132">
        <v>7.4215292286646542E-2</v>
      </c>
      <c r="P17" s="132">
        <v>0.23647654089815229</v>
      </c>
      <c r="Q17" s="132">
        <v>0.17615345841518867</v>
      </c>
      <c r="R17" s="132">
        <v>8.8533570109918205E-2</v>
      </c>
      <c r="S17" s="132">
        <v>0.24069197499500034</v>
      </c>
      <c r="T17" s="132">
        <v>0.1578295719847316</v>
      </c>
      <c r="U17" s="132">
        <v>0.17717235913751803</v>
      </c>
      <c r="V17" s="132">
        <v>0.10203005980764465</v>
      </c>
      <c r="W17" s="132">
        <v>9.7332240120717312E-2</v>
      </c>
      <c r="X17" s="132">
        <v>0.16898574987127143</v>
      </c>
      <c r="Y17" s="132">
        <v>0.13999421605611792</v>
      </c>
      <c r="DA17" s="156" t="s">
        <v>645</v>
      </c>
    </row>
    <row r="18" spans="1:105" ht="12" customHeight="1" x14ac:dyDescent="0.25">
      <c r="A18" s="131" t="s">
        <v>72</v>
      </c>
      <c r="B18" s="132"/>
      <c r="C18" s="132">
        <v>24.613966120135402</v>
      </c>
      <c r="D18" s="132">
        <v>22.350618015520887</v>
      </c>
      <c r="E18" s="132">
        <v>37.16256713069415</v>
      </c>
      <c r="F18" s="132">
        <v>12.477291716751104</v>
      </c>
      <c r="G18" s="132">
        <v>9.9370851900501105</v>
      </c>
      <c r="H18" s="132">
        <v>34.265298284100403</v>
      </c>
      <c r="I18" s="132">
        <v>26.537292220315667</v>
      </c>
      <c r="J18" s="132">
        <v>13.444549551755156</v>
      </c>
      <c r="K18" s="132">
        <v>5.8297024677451574</v>
      </c>
      <c r="L18" s="132">
        <v>10.990844326809109</v>
      </c>
      <c r="M18" s="132">
        <v>14.97163447030524</v>
      </c>
      <c r="N18" s="132">
        <v>14.862179317476636</v>
      </c>
      <c r="O18" s="132">
        <v>4.5127479696602428</v>
      </c>
      <c r="P18" s="132">
        <v>15.492284136423526</v>
      </c>
      <c r="Q18" s="132">
        <v>12.247364719948646</v>
      </c>
      <c r="R18" s="132">
        <v>5.5190781032826992</v>
      </c>
      <c r="S18" s="132">
        <v>14.749943300282942</v>
      </c>
      <c r="T18" s="132">
        <v>9.3779224040667373</v>
      </c>
      <c r="U18" s="132">
        <v>10.881924846266722</v>
      </c>
      <c r="V18" s="132">
        <v>6.6688371895823213</v>
      </c>
      <c r="W18" s="132">
        <v>6.9156499820903932</v>
      </c>
      <c r="X18" s="132">
        <v>7.301024251897239</v>
      </c>
      <c r="Y18" s="132">
        <v>5.7750240117451241</v>
      </c>
      <c r="DA18" s="156" t="s">
        <v>646</v>
      </c>
    </row>
    <row r="19" spans="1:105" ht="12.95" customHeight="1" x14ac:dyDescent="0.25">
      <c r="A19" s="129" t="s">
        <v>35</v>
      </c>
      <c r="B19" s="130"/>
      <c r="C19" s="130">
        <f t="shared" ref="C19:Q19" si="9">SUM(C20:C27)</f>
        <v>18.610580101532879</v>
      </c>
      <c r="D19" s="130">
        <f t="shared" si="9"/>
        <v>19.523041022180124</v>
      </c>
      <c r="E19" s="130">
        <f t="shared" si="9"/>
        <v>13.918980301785794</v>
      </c>
      <c r="F19" s="130">
        <f t="shared" si="9"/>
        <v>10.972750453604643</v>
      </c>
      <c r="G19" s="130">
        <f t="shared" si="9"/>
        <v>8.4205341761911097</v>
      </c>
      <c r="H19" s="130">
        <f t="shared" si="9"/>
        <v>24.771099468248316</v>
      </c>
      <c r="I19" s="130">
        <f t="shared" si="9"/>
        <v>21.517546898634581</v>
      </c>
      <c r="J19" s="130">
        <f t="shared" si="9"/>
        <v>9.3620450914730409</v>
      </c>
      <c r="K19" s="130">
        <f t="shared" si="9"/>
        <v>4.0352663140024969</v>
      </c>
      <c r="L19" s="130">
        <f t="shared" si="9"/>
        <v>9.5105731915548688</v>
      </c>
      <c r="M19" s="130">
        <f t="shared" si="9"/>
        <v>12.208571156976873</v>
      </c>
      <c r="N19" s="130">
        <f t="shared" si="9"/>
        <v>7.744052633551032</v>
      </c>
      <c r="O19" s="130">
        <f t="shared" si="9"/>
        <v>4.2177474944490383</v>
      </c>
      <c r="P19" s="130">
        <f t="shared" si="9"/>
        <v>17.311490072950509</v>
      </c>
      <c r="Q19" s="130">
        <f t="shared" si="9"/>
        <v>7.7792150343004147</v>
      </c>
      <c r="R19" s="130">
        <f t="shared" ref="R19:W19" si="10">SUM(R20:R27)</f>
        <v>5.7745565799765135</v>
      </c>
      <c r="S19" s="130">
        <f t="shared" si="10"/>
        <v>10.375919106116143</v>
      </c>
      <c r="T19" s="130">
        <f t="shared" si="10"/>
        <v>8.9069917590110705</v>
      </c>
      <c r="U19" s="130">
        <f t="shared" si="10"/>
        <v>7.783040261166386</v>
      </c>
      <c r="V19" s="130">
        <f t="shared" si="10"/>
        <v>6.2314032591769655</v>
      </c>
      <c r="W19" s="130">
        <f t="shared" si="10"/>
        <v>6.7751255470987504</v>
      </c>
      <c r="X19" s="130">
        <f t="shared" ref="X19:Y19" si="11">SUM(X20:X27)</f>
        <v>6.5703305442629958</v>
      </c>
      <c r="Y19" s="130">
        <f t="shared" si="11"/>
        <v>6.6695988400352135</v>
      </c>
      <c r="DA19" s="155" t="s">
        <v>647</v>
      </c>
    </row>
    <row r="20" spans="1:105" ht="12" customHeight="1" x14ac:dyDescent="0.25">
      <c r="A20" s="131" t="s">
        <v>29</v>
      </c>
      <c r="B20" s="132"/>
      <c r="C20" s="132">
        <v>0</v>
      </c>
      <c r="D20" s="132">
        <v>0</v>
      </c>
      <c r="E20" s="132">
        <v>0</v>
      </c>
      <c r="F20" s="132">
        <v>0</v>
      </c>
      <c r="G20" s="132">
        <v>0</v>
      </c>
      <c r="H20" s="132">
        <v>0</v>
      </c>
      <c r="I20" s="132">
        <v>0</v>
      </c>
      <c r="J20" s="132">
        <v>0</v>
      </c>
      <c r="K20" s="132">
        <v>0</v>
      </c>
      <c r="L20" s="132">
        <v>0</v>
      </c>
      <c r="M20" s="132">
        <v>0</v>
      </c>
      <c r="N20" s="132">
        <v>0</v>
      </c>
      <c r="O20" s="132">
        <v>0</v>
      </c>
      <c r="P20" s="132">
        <v>0</v>
      </c>
      <c r="Q20" s="132">
        <v>0</v>
      </c>
      <c r="R20" s="132">
        <v>0</v>
      </c>
      <c r="S20" s="132">
        <v>0</v>
      </c>
      <c r="T20" s="132">
        <v>0</v>
      </c>
      <c r="U20" s="132">
        <v>0</v>
      </c>
      <c r="V20" s="132">
        <v>0</v>
      </c>
      <c r="W20" s="132">
        <v>0</v>
      </c>
      <c r="X20" s="132">
        <v>0</v>
      </c>
      <c r="Y20" s="132">
        <v>0</v>
      </c>
      <c r="DA20" s="156" t="s">
        <v>648</v>
      </c>
    </row>
    <row r="21" spans="1:105" s="2" customFormat="1" ht="12" customHeight="1" x14ac:dyDescent="0.25">
      <c r="A21" s="131" t="s">
        <v>52</v>
      </c>
      <c r="B21" s="132"/>
      <c r="C21" s="132">
        <v>0.50977585244261225</v>
      </c>
      <c r="D21" s="132">
        <v>0.21308099808821426</v>
      </c>
      <c r="E21" s="132">
        <v>0.25830450348146328</v>
      </c>
      <c r="F21" s="132">
        <v>0.30221699936443508</v>
      </c>
      <c r="G21" s="132">
        <v>0.29150154240611587</v>
      </c>
      <c r="H21" s="132">
        <v>0.65164442504796094</v>
      </c>
      <c r="I21" s="132">
        <v>0.30452507623895964</v>
      </c>
      <c r="J21" s="132">
        <v>0.17939971763071771</v>
      </c>
      <c r="K21" s="132">
        <v>6.4413550923263299E-2</v>
      </c>
      <c r="L21" s="132">
        <v>0.15735336240274531</v>
      </c>
      <c r="M21" s="132">
        <v>0.2218133466336028</v>
      </c>
      <c r="N21" s="132">
        <v>9.1774638691112645E-2</v>
      </c>
      <c r="O21" s="132">
        <v>4.6529478701392846E-2</v>
      </c>
      <c r="P21" s="132">
        <v>0</v>
      </c>
      <c r="Q21" s="132">
        <v>0</v>
      </c>
      <c r="R21" s="132">
        <v>7.3598042082530249E-2</v>
      </c>
      <c r="S21" s="132">
        <v>0.24952512588868933</v>
      </c>
      <c r="T21" s="132">
        <v>0.17742891030912558</v>
      </c>
      <c r="U21" s="132">
        <v>0.16126133559396552</v>
      </c>
      <c r="V21" s="132">
        <v>0.1054986356708396</v>
      </c>
      <c r="W21" s="132">
        <v>8.0498893849046377E-2</v>
      </c>
      <c r="X21" s="132">
        <v>6.3637631562568839E-2</v>
      </c>
      <c r="Y21" s="132">
        <v>0.11071384794467339</v>
      </c>
      <c r="DA21" s="156" t="s">
        <v>649</v>
      </c>
    </row>
    <row r="22" spans="1:105" ht="12" customHeight="1" x14ac:dyDescent="0.25">
      <c r="A22" s="131" t="s">
        <v>161</v>
      </c>
      <c r="B22" s="132"/>
      <c r="C22" s="132">
        <v>7.4681770531462341E-2</v>
      </c>
      <c r="D22" s="132">
        <v>0</v>
      </c>
      <c r="E22" s="132">
        <v>0</v>
      </c>
      <c r="F22" s="132">
        <v>0</v>
      </c>
      <c r="G22" s="132">
        <v>0.10161435415658109</v>
      </c>
      <c r="H22" s="132">
        <v>0.66164089892935118</v>
      </c>
      <c r="I22" s="132">
        <v>0.51251371395325207</v>
      </c>
      <c r="J22" s="132">
        <v>0.22164993184635604</v>
      </c>
      <c r="K22" s="132">
        <v>5.989194699987422E-2</v>
      </c>
      <c r="L22" s="132">
        <v>0.16913518311201323</v>
      </c>
      <c r="M22" s="132">
        <v>0.34264002628438528</v>
      </c>
      <c r="N22" s="132">
        <v>0.27206380821937004</v>
      </c>
      <c r="O22" s="132">
        <v>0.14066915267881586</v>
      </c>
      <c r="P22" s="132">
        <v>0</v>
      </c>
      <c r="Q22" s="132">
        <v>0</v>
      </c>
      <c r="R22" s="132">
        <v>0</v>
      </c>
      <c r="S22" s="132">
        <v>0</v>
      </c>
      <c r="T22" s="132">
        <v>0</v>
      </c>
      <c r="U22" s="132">
        <v>0</v>
      </c>
      <c r="V22" s="132">
        <v>0</v>
      </c>
      <c r="W22" s="132">
        <v>5.405176585587558E-2</v>
      </c>
      <c r="X22" s="132">
        <v>0.11772759147737652</v>
      </c>
      <c r="Y22" s="132">
        <v>0.13504209737264139</v>
      </c>
      <c r="DA22" s="156" t="s">
        <v>650</v>
      </c>
    </row>
    <row r="23" spans="1:105" ht="12" customHeight="1" x14ac:dyDescent="0.25">
      <c r="A23" s="131" t="s">
        <v>149</v>
      </c>
      <c r="B23" s="132"/>
      <c r="C23" s="132">
        <v>6.3135483333629185</v>
      </c>
      <c r="D23" s="132">
        <v>6.8977213413714509</v>
      </c>
      <c r="E23" s="132">
        <v>5.5429087675787221</v>
      </c>
      <c r="F23" s="132">
        <v>4.2437887791834754</v>
      </c>
      <c r="G23" s="132">
        <v>3.7525760484447419</v>
      </c>
      <c r="H23" s="132">
        <v>8.7302224445061984</v>
      </c>
      <c r="I23" s="132">
        <v>7.4443303613856244</v>
      </c>
      <c r="J23" s="132">
        <v>3.7470132010894406</v>
      </c>
      <c r="K23" s="132">
        <v>1.6285944125449765</v>
      </c>
      <c r="L23" s="132">
        <v>3.5325430914526779</v>
      </c>
      <c r="M23" s="132">
        <v>4.9417581657119642</v>
      </c>
      <c r="N23" s="132">
        <v>3.3772709745481566</v>
      </c>
      <c r="O23" s="132">
        <v>1.7588365754747981</v>
      </c>
      <c r="P23" s="132">
        <v>5.4171606967729167</v>
      </c>
      <c r="Q23" s="132">
        <v>3.4960775723578199</v>
      </c>
      <c r="R23" s="132">
        <v>3.1362312951513376</v>
      </c>
      <c r="S23" s="132">
        <v>5.2832175517581659</v>
      </c>
      <c r="T23" s="132">
        <v>3.5961835672203306</v>
      </c>
      <c r="U23" s="132">
        <v>2.8925529789195781</v>
      </c>
      <c r="V23" s="132">
        <v>2.0135444690479263</v>
      </c>
      <c r="W23" s="132">
        <v>8.5297327328796597E-3</v>
      </c>
      <c r="X23" s="132">
        <v>2.5704862414989291</v>
      </c>
      <c r="Y23" s="132">
        <v>2.7936440534345328</v>
      </c>
      <c r="DA23" s="156" t="s">
        <v>651</v>
      </c>
    </row>
    <row r="24" spans="1:105" ht="12" customHeight="1" x14ac:dyDescent="0.25">
      <c r="A24" s="131" t="s">
        <v>128</v>
      </c>
      <c r="B24" s="132"/>
      <c r="C24" s="132">
        <v>0</v>
      </c>
      <c r="D24" s="132">
        <v>0</v>
      </c>
      <c r="E24" s="132">
        <v>0</v>
      </c>
      <c r="F24" s="132">
        <v>0</v>
      </c>
      <c r="G24" s="132">
        <v>0</v>
      </c>
      <c r="H24" s="132">
        <v>0</v>
      </c>
      <c r="I24" s="132">
        <v>0</v>
      </c>
      <c r="J24" s="132">
        <v>0</v>
      </c>
      <c r="K24" s="132">
        <v>0</v>
      </c>
      <c r="L24" s="132">
        <v>0</v>
      </c>
      <c r="M24" s="132">
        <v>0</v>
      </c>
      <c r="N24" s="132">
        <v>0</v>
      </c>
      <c r="O24" s="132">
        <v>0</v>
      </c>
      <c r="P24" s="132">
        <v>0</v>
      </c>
      <c r="Q24" s="132">
        <v>0</v>
      </c>
      <c r="R24" s="132">
        <v>0</v>
      </c>
      <c r="S24" s="132">
        <v>0</v>
      </c>
      <c r="T24" s="132">
        <v>0</v>
      </c>
      <c r="U24" s="132">
        <v>0</v>
      </c>
      <c r="V24" s="132">
        <v>0</v>
      </c>
      <c r="W24" s="132">
        <v>0</v>
      </c>
      <c r="X24" s="132">
        <v>0</v>
      </c>
      <c r="Y24" s="132">
        <v>0</v>
      </c>
      <c r="DA24" s="156" t="s">
        <v>652</v>
      </c>
    </row>
    <row r="25" spans="1:105" ht="12" customHeight="1" x14ac:dyDescent="0.25">
      <c r="A25" s="131" t="s">
        <v>162</v>
      </c>
      <c r="B25" s="132"/>
      <c r="C25" s="132">
        <v>0</v>
      </c>
      <c r="D25" s="132">
        <v>0</v>
      </c>
      <c r="E25" s="132">
        <v>0</v>
      </c>
      <c r="F25" s="132">
        <v>1.1730503418728733</v>
      </c>
      <c r="G25" s="132">
        <v>0.22814191050538329</v>
      </c>
      <c r="H25" s="132">
        <v>0.24807211140276186</v>
      </c>
      <c r="I25" s="132">
        <v>6.1163232627284438E-2</v>
      </c>
      <c r="J25" s="132">
        <v>6.4409424588674033E-2</v>
      </c>
      <c r="K25" s="132">
        <v>5.9323177124805809E-2</v>
      </c>
      <c r="L25" s="132">
        <v>0.15519537697299957</v>
      </c>
      <c r="M25" s="132">
        <v>0.3012495009943158</v>
      </c>
      <c r="N25" s="132">
        <v>0.25716507479182726</v>
      </c>
      <c r="O25" s="132">
        <v>0.19540799230548728</v>
      </c>
      <c r="P25" s="132">
        <v>1.0568173928025542</v>
      </c>
      <c r="Q25" s="132">
        <v>0.36280206991674357</v>
      </c>
      <c r="R25" s="132">
        <v>0.21887167159614085</v>
      </c>
      <c r="S25" s="132">
        <v>0.26875533458605583</v>
      </c>
      <c r="T25" s="132">
        <v>0.22068439248167446</v>
      </c>
      <c r="U25" s="132">
        <v>7.4838509606351827E-2</v>
      </c>
      <c r="V25" s="132">
        <v>0</v>
      </c>
      <c r="W25" s="132">
        <v>0</v>
      </c>
      <c r="X25" s="132">
        <v>3.6435010580149673E-4</v>
      </c>
      <c r="Y25" s="132">
        <v>0</v>
      </c>
      <c r="DA25" s="156" t="s">
        <v>653</v>
      </c>
    </row>
    <row r="26" spans="1:105" ht="12" customHeight="1" x14ac:dyDescent="0.25">
      <c r="A26" s="131" t="s">
        <v>24</v>
      </c>
      <c r="B26" s="65"/>
      <c r="C26" s="65">
        <v>11.399493550971549</v>
      </c>
      <c r="D26" s="65">
        <v>11.838091825919355</v>
      </c>
      <c r="E26" s="65">
        <v>7.6076023578494336</v>
      </c>
      <c r="F26" s="65">
        <v>4.5749361930743628</v>
      </c>
      <c r="G26" s="65">
        <v>2.3744041717543718</v>
      </c>
      <c r="H26" s="65">
        <v>12.838070420458962</v>
      </c>
      <c r="I26" s="65">
        <v>9.8285934099470715</v>
      </c>
      <c r="J26" s="65">
        <v>1.8379069840270725</v>
      </c>
      <c r="K26" s="65">
        <v>0.28157603360397471</v>
      </c>
      <c r="L26" s="65">
        <v>0.67953735341752852</v>
      </c>
      <c r="M26" s="65">
        <v>4.3895108993169538</v>
      </c>
      <c r="N26" s="65">
        <v>1.9947074096276385</v>
      </c>
      <c r="O26" s="65">
        <v>0.84163744131336238</v>
      </c>
      <c r="P26" s="65">
        <v>5.4885994806787135</v>
      </c>
      <c r="Q26" s="65">
        <v>3.9201992201682883</v>
      </c>
      <c r="R26" s="65">
        <v>0.71884821243871166</v>
      </c>
      <c r="S26" s="65">
        <v>0.77644893438850837</v>
      </c>
      <c r="T26" s="65">
        <v>1.8932701792864581</v>
      </c>
      <c r="U26" s="65">
        <v>0.67351551714792213</v>
      </c>
      <c r="V26" s="65">
        <v>0.54601775310141587</v>
      </c>
      <c r="W26" s="65">
        <v>6.6318401656900834</v>
      </c>
      <c r="X26" s="65">
        <v>3.8181147296183204</v>
      </c>
      <c r="Y26" s="65">
        <v>0.54828379677839623</v>
      </c>
      <c r="DA26" s="109" t="s">
        <v>654</v>
      </c>
    </row>
    <row r="27" spans="1:105" ht="12" customHeight="1" x14ac:dyDescent="0.25">
      <c r="A27" s="144" t="s">
        <v>26</v>
      </c>
      <c r="B27" s="147"/>
      <c r="C27" s="147">
        <v>0.3130805942243356</v>
      </c>
      <c r="D27" s="147">
        <v>0.57414685680110344</v>
      </c>
      <c r="E27" s="147">
        <v>0.51016467287617551</v>
      </c>
      <c r="F27" s="147">
        <v>0.67875814010949798</v>
      </c>
      <c r="G27" s="147">
        <v>1.6722961489239168</v>
      </c>
      <c r="H27" s="147">
        <v>1.6414491679030849</v>
      </c>
      <c r="I27" s="147">
        <v>3.3664211044823893</v>
      </c>
      <c r="J27" s="147">
        <v>3.3116658322907799</v>
      </c>
      <c r="K27" s="147">
        <v>1.9414671928056029</v>
      </c>
      <c r="L27" s="147">
        <v>4.8168088241969027</v>
      </c>
      <c r="M27" s="147">
        <v>2.0115992180356526</v>
      </c>
      <c r="N27" s="147">
        <v>1.7510707276729267</v>
      </c>
      <c r="O27" s="147">
        <v>1.2346668539751817</v>
      </c>
      <c r="P27" s="147">
        <v>5.3489125026963249</v>
      </c>
      <c r="Q27" s="147">
        <v>1.3617185756287714E-4</v>
      </c>
      <c r="R27" s="147">
        <v>1.6270073587077933</v>
      </c>
      <c r="S27" s="147">
        <v>3.7979721594947251</v>
      </c>
      <c r="T27" s="147">
        <v>3.0194247097134812</v>
      </c>
      <c r="U27" s="147">
        <v>3.980871919898568</v>
      </c>
      <c r="V27" s="147">
        <v>3.5663424013567839</v>
      </c>
      <c r="W27" s="147">
        <v>2.0498897086502457E-4</v>
      </c>
      <c r="X27" s="147">
        <v>0</v>
      </c>
      <c r="Y27" s="147">
        <v>3.0819150445049703</v>
      </c>
      <c r="DA27" s="160" t="s">
        <v>655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DA28" s="111"/>
    </row>
    <row r="29" spans="1:105" ht="12.95" customHeight="1" x14ac:dyDescent="0.25">
      <c r="A29" s="129" t="s">
        <v>34</v>
      </c>
      <c r="B29" s="130"/>
      <c r="C29" s="130">
        <f t="shared" ref="C29:Q29" si="12">SUM(C30:C33)</f>
        <v>19.149495328998331</v>
      </c>
      <c r="D29" s="130">
        <f t="shared" si="12"/>
        <v>19.178188230670752</v>
      </c>
      <c r="E29" s="130">
        <f t="shared" si="12"/>
        <v>15.867521974031829</v>
      </c>
      <c r="F29" s="130">
        <f t="shared" si="12"/>
        <v>11.95677876192623</v>
      </c>
      <c r="G29" s="130">
        <f t="shared" si="12"/>
        <v>9.5705962243599245</v>
      </c>
      <c r="H29" s="130">
        <f t="shared" si="12"/>
        <v>27.734210596498077</v>
      </c>
      <c r="I29" s="130">
        <f t="shared" si="12"/>
        <v>24.478542818365504</v>
      </c>
      <c r="J29" s="130">
        <f t="shared" si="12"/>
        <v>10.553519729930766</v>
      </c>
      <c r="K29" s="130">
        <f t="shared" si="12"/>
        <v>4.7723625581096751</v>
      </c>
      <c r="L29" s="130">
        <f t="shared" si="12"/>
        <v>11.226876593677387</v>
      </c>
      <c r="M29" s="130">
        <f t="shared" si="12"/>
        <v>14.352884364057639</v>
      </c>
      <c r="N29" s="130">
        <f t="shared" si="12"/>
        <v>9.2815093225077234</v>
      </c>
      <c r="O29" s="130">
        <f t="shared" si="12"/>
        <v>4.9551809098151551</v>
      </c>
      <c r="P29" s="130">
        <f t="shared" si="12"/>
        <v>20.254506387137482</v>
      </c>
      <c r="Q29" s="130">
        <f t="shared" si="12"/>
        <v>9.2719007323284579</v>
      </c>
      <c r="R29" s="130">
        <f t="shared" ref="R29:W29" si="13">SUM(R30:R33)</f>
        <v>6.8071708552183097</v>
      </c>
      <c r="S29" s="130">
        <f t="shared" si="13"/>
        <v>12.3569310138883</v>
      </c>
      <c r="T29" s="130">
        <f t="shared" si="13"/>
        <v>10.673710678085252</v>
      </c>
      <c r="U29" s="130">
        <f t="shared" si="13"/>
        <v>9.7713951340982081</v>
      </c>
      <c r="V29" s="130">
        <f t="shared" si="13"/>
        <v>7.7190366122729159</v>
      </c>
      <c r="W29" s="130">
        <f t="shared" si="13"/>
        <v>9.0265552525694446</v>
      </c>
      <c r="X29" s="130">
        <f t="shared" ref="X29:Y29" si="14">SUM(X30:X33)</f>
        <v>8.6050829473279098</v>
      </c>
      <c r="Y29" s="130">
        <f t="shared" si="14"/>
        <v>8.4065844541441574</v>
      </c>
      <c r="DA29" s="155" t="s">
        <v>656</v>
      </c>
    </row>
    <row r="30" spans="1:105" s="2" customFormat="1" ht="12" customHeight="1" x14ac:dyDescent="0.25">
      <c r="A30" s="131" t="s">
        <v>52</v>
      </c>
      <c r="B30" s="132"/>
      <c r="C30" s="132">
        <v>2.3076978974818223</v>
      </c>
      <c r="D30" s="132">
        <v>2.5733956022656304</v>
      </c>
      <c r="E30" s="132">
        <v>1.6221071020142903</v>
      </c>
      <c r="F30" s="132">
        <v>0.84690301856861128</v>
      </c>
      <c r="G30" s="132">
        <v>0.57729607224838686</v>
      </c>
      <c r="H30" s="132">
        <v>1.1219149829397719</v>
      </c>
      <c r="I30" s="132">
        <v>2.2729511267641285</v>
      </c>
      <c r="J30" s="132">
        <v>0.99122501308495314</v>
      </c>
      <c r="K30" s="132">
        <v>0.68502420097812522</v>
      </c>
      <c r="L30" s="132">
        <v>1.6030072881869639</v>
      </c>
      <c r="M30" s="132">
        <v>1.6135035512817346</v>
      </c>
      <c r="N30" s="132">
        <v>0.76250311091104273</v>
      </c>
      <c r="O30" s="132">
        <v>0.54739054547908572</v>
      </c>
      <c r="P30" s="132">
        <v>2.7921999202376675</v>
      </c>
      <c r="Q30" s="132">
        <v>1.0736105507879483</v>
      </c>
      <c r="R30" s="132">
        <v>0.6840166751721487</v>
      </c>
      <c r="S30" s="132">
        <v>1.1339317904690889</v>
      </c>
      <c r="T30" s="132">
        <v>1.1767491991820753</v>
      </c>
      <c r="U30" s="132">
        <v>1.18384692170862</v>
      </c>
      <c r="V30" s="132">
        <v>1.2216956168592246</v>
      </c>
      <c r="W30" s="132">
        <v>0.87514516107736939</v>
      </c>
      <c r="X30" s="132">
        <v>0.64262581914069594</v>
      </c>
      <c r="Y30" s="132">
        <v>0.86571613434982086</v>
      </c>
      <c r="DA30" s="156" t="s">
        <v>657</v>
      </c>
    </row>
    <row r="31" spans="1:105" ht="12" customHeight="1" x14ac:dyDescent="0.25">
      <c r="A31" s="131" t="s">
        <v>149</v>
      </c>
      <c r="B31" s="132"/>
      <c r="C31" s="132">
        <v>8.2957680708966262</v>
      </c>
      <c r="D31" s="132">
        <v>0.91726980999722019</v>
      </c>
      <c r="E31" s="132">
        <v>0.53160811338954328</v>
      </c>
      <c r="F31" s="132">
        <v>2.2361323633757433</v>
      </c>
      <c r="G31" s="132">
        <v>5.1180870357251296</v>
      </c>
      <c r="H31" s="132">
        <v>16.736335498287261</v>
      </c>
      <c r="I31" s="132">
        <v>18.727204870955045</v>
      </c>
      <c r="J31" s="132">
        <v>6.9158088597932972</v>
      </c>
      <c r="K31" s="132">
        <v>3.2799853415721798</v>
      </c>
      <c r="L31" s="132">
        <v>6.8115828402170751</v>
      </c>
      <c r="M31" s="132">
        <v>7.3920532021811747</v>
      </c>
      <c r="N31" s="132">
        <v>4.6444802959312605</v>
      </c>
      <c r="O31" s="132">
        <v>2.2785293781829319</v>
      </c>
      <c r="P31" s="132">
        <v>11.80700260897002</v>
      </c>
      <c r="Q31" s="132">
        <v>5.0226776660791979</v>
      </c>
      <c r="R31" s="132">
        <v>3.8697758386344812</v>
      </c>
      <c r="S31" s="132">
        <v>7.3715462681926178</v>
      </c>
      <c r="T31" s="132">
        <v>6.4164010094009356</v>
      </c>
      <c r="U31" s="132">
        <v>5.9954540746064877</v>
      </c>
      <c r="V31" s="132">
        <v>3.9153641402231765</v>
      </c>
      <c r="W31" s="132">
        <v>3.1038939161478605</v>
      </c>
      <c r="X31" s="132">
        <v>1.2699301491060035</v>
      </c>
      <c r="Y31" s="132">
        <v>3.8646437039178623</v>
      </c>
      <c r="DA31" s="156" t="s">
        <v>658</v>
      </c>
    </row>
    <row r="32" spans="1:105" ht="12" customHeight="1" x14ac:dyDescent="0.25">
      <c r="A32" s="131" t="s">
        <v>128</v>
      </c>
      <c r="B32" s="132"/>
      <c r="C32" s="132">
        <v>0</v>
      </c>
      <c r="D32" s="132">
        <v>0</v>
      </c>
      <c r="E32" s="132">
        <v>0</v>
      </c>
      <c r="F32" s="132">
        <v>0</v>
      </c>
      <c r="G32" s="132">
        <v>0</v>
      </c>
      <c r="H32" s="132">
        <v>0</v>
      </c>
      <c r="I32" s="132">
        <v>0</v>
      </c>
      <c r="J32" s="132">
        <v>0</v>
      </c>
      <c r="K32" s="132">
        <v>0</v>
      </c>
      <c r="L32" s="132">
        <v>0</v>
      </c>
      <c r="M32" s="132">
        <v>0</v>
      </c>
      <c r="N32" s="132">
        <v>0</v>
      </c>
      <c r="O32" s="132">
        <v>0</v>
      </c>
      <c r="P32" s="132">
        <v>0</v>
      </c>
      <c r="Q32" s="132">
        <v>0</v>
      </c>
      <c r="R32" s="132">
        <v>0</v>
      </c>
      <c r="S32" s="132">
        <v>0</v>
      </c>
      <c r="T32" s="132">
        <v>0</v>
      </c>
      <c r="U32" s="132">
        <v>0</v>
      </c>
      <c r="V32" s="132">
        <v>0</v>
      </c>
      <c r="W32" s="132">
        <v>0</v>
      </c>
      <c r="X32" s="132">
        <v>0</v>
      </c>
      <c r="Y32" s="132">
        <v>0</v>
      </c>
      <c r="DA32" s="156" t="s">
        <v>659</v>
      </c>
    </row>
    <row r="33" spans="1:105" ht="12" customHeight="1" x14ac:dyDescent="0.25">
      <c r="A33" s="62" t="s">
        <v>24</v>
      </c>
      <c r="B33" s="68"/>
      <c r="C33" s="68">
        <v>8.5460293606198832</v>
      </c>
      <c r="D33" s="68">
        <v>15.687522818407901</v>
      </c>
      <c r="E33" s="68">
        <v>13.713806758627996</v>
      </c>
      <c r="F33" s="68">
        <v>8.8737433799818763</v>
      </c>
      <c r="G33" s="68">
        <v>3.8752131163864094</v>
      </c>
      <c r="H33" s="68">
        <v>9.8759601152710452</v>
      </c>
      <c r="I33" s="68">
        <v>3.4783868206463313</v>
      </c>
      <c r="J33" s="68">
        <v>2.6464858570525158</v>
      </c>
      <c r="K33" s="68">
        <v>0.80735301555937034</v>
      </c>
      <c r="L33" s="68">
        <v>2.8122864652733472</v>
      </c>
      <c r="M33" s="68">
        <v>5.3473276105947303</v>
      </c>
      <c r="N33" s="68">
        <v>3.874525915665421</v>
      </c>
      <c r="O33" s="68">
        <v>2.1292609861531377</v>
      </c>
      <c r="P33" s="68">
        <v>5.6553038579297956</v>
      </c>
      <c r="Q33" s="68">
        <v>3.1756125154613111</v>
      </c>
      <c r="R33" s="68">
        <v>2.2533783414116804</v>
      </c>
      <c r="S33" s="68">
        <v>3.8514529552265921</v>
      </c>
      <c r="T33" s="68">
        <v>3.0805604695022413</v>
      </c>
      <c r="U33" s="68">
        <v>2.5920941377831004</v>
      </c>
      <c r="V33" s="68">
        <v>2.5819768551905145</v>
      </c>
      <c r="W33" s="68">
        <v>5.0475161753442146</v>
      </c>
      <c r="X33" s="68">
        <v>6.6925269790812107</v>
      </c>
      <c r="Y33" s="68">
        <v>3.6762246158764751</v>
      </c>
      <c r="DA33" s="111" t="s">
        <v>660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661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83</v>
      </c>
      <c r="B3" s="126"/>
      <c r="C3" s="126">
        <f>IF(SER_hh_tes_in!C3=0,"",SER_hh_tes_in!C3/SER_hh_fec_in!C3)</f>
        <v>0.73060483619597139</v>
      </c>
      <c r="D3" s="126">
        <f>IF(SER_hh_tes_in!D3=0,"",SER_hh_tes_in!D3/SER_hh_fec_in!D3)</f>
        <v>0.74834008925234252</v>
      </c>
      <c r="E3" s="126">
        <f>IF(SER_hh_tes_in!E3=0,"",SER_hh_tes_in!E3/SER_hh_fec_in!E3)</f>
        <v>0.81509272403757826</v>
      </c>
      <c r="F3" s="126">
        <f>IF(SER_hh_tes_in!F3=0,"",SER_hh_tes_in!F3/SER_hh_fec_in!F3)</f>
        <v>0.7721361745275066</v>
      </c>
      <c r="G3" s="126">
        <f>IF(SER_hh_tes_in!G3=0,"",SER_hh_tes_in!G3/SER_hh_fec_in!G3)</f>
        <v>0.75783872964788834</v>
      </c>
      <c r="H3" s="126">
        <f>IF(SER_hh_tes_in!H3=0,"",SER_hh_tes_in!H3/SER_hh_fec_in!H3)</f>
        <v>0.76731665046472652</v>
      </c>
      <c r="I3" s="126">
        <f>IF(SER_hh_tes_in!I3=0,"",SER_hh_tes_in!I3/SER_hh_fec_in!I3)</f>
        <v>0.76655550040028553</v>
      </c>
      <c r="J3" s="126">
        <f>IF(SER_hh_tes_in!J3=0,"",SER_hh_tes_in!J3/SER_hh_fec_in!J3)</f>
        <v>0.7650385424984979</v>
      </c>
      <c r="K3" s="126">
        <f>IF(SER_hh_tes_in!K3=0,"",SER_hh_tes_in!K3/SER_hh_fec_in!K3)</f>
        <v>0.81774746641723139</v>
      </c>
      <c r="L3" s="126">
        <f>IF(SER_hh_tes_in!L3=0,"",SER_hh_tes_in!L3/SER_hh_fec_in!L3)</f>
        <v>0.83677840220413258</v>
      </c>
      <c r="M3" s="126">
        <f>IF(SER_hh_tes_in!M3=0,"",SER_hh_tes_in!M3/SER_hh_fec_in!M3)</f>
        <v>0.94487377555395013</v>
      </c>
      <c r="N3" s="126">
        <f>IF(SER_hh_tes_in!N3=0,"",SER_hh_tes_in!N3/SER_hh_fec_in!N3)</f>
        <v>1.1111148137693454</v>
      </c>
      <c r="O3" s="126">
        <f>IF(SER_hh_tes_in!O3=0,"",SER_hh_tes_in!O3/SER_hh_fec_in!O3)</f>
        <v>1.2545721806784886</v>
      </c>
      <c r="P3" s="126">
        <f>IF(SER_hh_tes_in!P3=0,"",SER_hh_tes_in!P3/SER_hh_fec_in!P3)</f>
        <v>1.5976141587203063</v>
      </c>
      <c r="Q3" s="126">
        <f>IF(SER_hh_tes_in!Q3=0,"",SER_hh_tes_in!Q3/SER_hh_fec_in!Q3)</f>
        <v>1.8727115037744995</v>
      </c>
      <c r="R3" s="126">
        <f>IF(SER_hh_tes_in!R3=0,"",SER_hh_tes_in!R3/SER_hh_fec_in!R3)</f>
        <v>1.5732842120059731</v>
      </c>
      <c r="S3" s="126">
        <f>IF(SER_hh_tes_in!S3=0,"",SER_hh_tes_in!S3/SER_hh_fec_in!S3)</f>
        <v>1.0248833275300104</v>
      </c>
      <c r="T3" s="126">
        <f>IF(SER_hh_tes_in!T3=0,"",SER_hh_tes_in!T3/SER_hh_fec_in!T3)</f>
        <v>0.92858230989372392</v>
      </c>
      <c r="U3" s="126">
        <f>IF(SER_hh_tes_in!U3=0,"",SER_hh_tes_in!U3/SER_hh_fec_in!U3)</f>
        <v>0.99456161634169415</v>
      </c>
      <c r="V3" s="126">
        <f>IF(SER_hh_tes_in!V3=0,"",SER_hh_tes_in!V3/SER_hh_fec_in!V3)</f>
        <v>1.0281506596456322</v>
      </c>
      <c r="W3" s="126">
        <f>IF(SER_hh_tes_in!W3=0,"",SER_hh_tes_in!W3/SER_hh_fec_in!W3)</f>
        <v>1.0364274046322719</v>
      </c>
      <c r="X3" s="126">
        <f>IF(SER_hh_tes_in!X3=0,"",SER_hh_tes_in!X3/SER_hh_fec_in!X3)</f>
        <v>1.0628392403926297</v>
      </c>
      <c r="Y3" s="126">
        <f>IF(SER_hh_tes_in!Y3=0,"",SER_hh_tes_in!Y3/SER_hh_fec_in!Y3)</f>
        <v>0.96473081532082527</v>
      </c>
      <c r="DA3" s="161" t="s">
        <v>662</v>
      </c>
    </row>
    <row r="4" spans="1:105" ht="12.95" customHeight="1" x14ac:dyDescent="0.25">
      <c r="A4" s="129" t="s">
        <v>32</v>
      </c>
      <c r="B4" s="135"/>
      <c r="C4" s="135">
        <f>IF(SER_hh_tes_in!C4=0,"",SER_hh_tes_in!C4/SER_hh_fec_in!C4)</f>
        <v>0.61293418326353633</v>
      </c>
      <c r="D4" s="135">
        <f>IF(SER_hh_tes_in!D4=0,"",SER_hh_tes_in!D4/SER_hh_fec_in!D4)</f>
        <v>0.6309507623480104</v>
      </c>
      <c r="E4" s="135">
        <f>IF(SER_hh_tes_in!E4=0,"",SER_hh_tes_in!E4/SER_hh_fec_in!E4)</f>
        <v>0.60164953751448358</v>
      </c>
      <c r="F4" s="135">
        <f>IF(SER_hh_tes_in!F4=0,"",SER_hh_tes_in!F4/SER_hh_fec_in!F4)</f>
        <v>0.67206560453788144</v>
      </c>
      <c r="G4" s="135">
        <f>IF(SER_hh_tes_in!G4=0,"",SER_hh_tes_in!G4/SER_hh_fec_in!G4)</f>
        <v>0.67293042261160119</v>
      </c>
      <c r="H4" s="135">
        <f>IF(SER_hh_tes_in!H4=0,"",SER_hh_tes_in!H4/SER_hh_fec_in!H4)</f>
        <v>0.67359387758029632</v>
      </c>
      <c r="I4" s="135">
        <f>IF(SER_hh_tes_in!I4=0,"",SER_hh_tes_in!I4/SER_hh_fec_in!I4)</f>
        <v>0.67968718519715976</v>
      </c>
      <c r="J4" s="135">
        <f>IF(SER_hh_tes_in!J4=0,"",SER_hh_tes_in!J4/SER_hh_fec_in!J4)</f>
        <v>0.66108666288992057</v>
      </c>
      <c r="K4" s="135">
        <f>IF(SER_hh_tes_in!K4=0,"",SER_hh_tes_in!K4/SER_hh_fec_in!K4)</f>
        <v>0.72190911335451069</v>
      </c>
      <c r="L4" s="135">
        <f>IF(SER_hh_tes_in!L4=0,"",SER_hh_tes_in!L4/SER_hh_fec_in!L4)</f>
        <v>0.76246344003975208</v>
      </c>
      <c r="M4" s="135">
        <f>IF(SER_hh_tes_in!M4=0,"",SER_hh_tes_in!M4/SER_hh_fec_in!M4)</f>
        <v>0.9130628334435984</v>
      </c>
      <c r="N4" s="135">
        <f>IF(SER_hh_tes_in!N4=0,"",SER_hh_tes_in!N4/SER_hh_fec_in!N4)</f>
        <v>1.0760037846714718</v>
      </c>
      <c r="O4" s="135">
        <f>IF(SER_hh_tes_in!O4=0,"",SER_hh_tes_in!O4/SER_hh_fec_in!O4)</f>
        <v>1.5319227795921626</v>
      </c>
      <c r="P4" s="135">
        <f>IF(SER_hh_tes_in!P4=0,"",SER_hh_tes_in!P4/SER_hh_fec_in!P4)</f>
        <v>2.8891252292362801</v>
      </c>
      <c r="Q4" s="135">
        <f>IF(SER_hh_tes_in!Q4=0,"",SER_hh_tes_in!Q4/SER_hh_fec_in!Q4)</f>
        <v>3.3270559634394328</v>
      </c>
      <c r="R4" s="135">
        <f>IF(SER_hh_tes_in!R4=0,"",SER_hh_tes_in!R4/SER_hh_fec_in!R4)</f>
        <v>2.4094312719937077</v>
      </c>
      <c r="S4" s="135">
        <f>IF(SER_hh_tes_in!S4=0,"",SER_hh_tes_in!S4/SER_hh_fec_in!S4)</f>
        <v>0.95851342289811348</v>
      </c>
      <c r="T4" s="135">
        <f>IF(SER_hh_tes_in!T4=0,"",SER_hh_tes_in!T4/SER_hh_fec_in!T4)</f>
        <v>0.86632799354647527</v>
      </c>
      <c r="U4" s="135">
        <f>IF(SER_hh_tes_in!U4=0,"",SER_hh_tes_in!U4/SER_hh_fec_in!U4)</f>
        <v>0.90975103227527387</v>
      </c>
      <c r="V4" s="135">
        <f>IF(SER_hh_tes_in!V4=0,"",SER_hh_tes_in!V4/SER_hh_fec_in!V4)</f>
        <v>0.99306583514642743</v>
      </c>
      <c r="W4" s="135">
        <f>IF(SER_hh_tes_in!W4=0,"",SER_hh_tes_in!W4/SER_hh_fec_in!W4)</f>
        <v>0.97843238739439797</v>
      </c>
      <c r="X4" s="135">
        <f>IF(SER_hh_tes_in!X4=0,"",SER_hh_tes_in!X4/SER_hh_fec_in!X4)</f>
        <v>0.92749285713734997</v>
      </c>
      <c r="Y4" s="135">
        <f>IF(SER_hh_tes_in!Y4=0,"",SER_hh_tes_in!Y4/SER_hh_fec_in!Y4)</f>
        <v>0.86176690460006233</v>
      </c>
      <c r="DA4" s="162" t="s">
        <v>663</v>
      </c>
    </row>
    <row r="5" spans="1:105" ht="12" customHeight="1" x14ac:dyDescent="0.25">
      <c r="A5" s="131" t="s">
        <v>29</v>
      </c>
      <c r="B5" s="136"/>
      <c r="C5" s="136" t="str">
        <f>IF(SER_hh_tes_in!C5=0,"",SER_hh_tes_in!C5/SER_hh_fec_in!C5)</f>
        <v/>
      </c>
      <c r="D5" s="136" t="str">
        <f>IF(SER_hh_tes_in!D5=0,"",SER_hh_tes_in!D5/SER_hh_fec_in!D5)</f>
        <v/>
      </c>
      <c r="E5" s="136" t="str">
        <f>IF(SER_hh_tes_in!E5=0,"",SER_hh_tes_in!E5/SER_hh_fec_in!E5)</f>
        <v/>
      </c>
      <c r="F5" s="136" t="str">
        <f>IF(SER_hh_tes_in!F5=0,"",SER_hh_tes_in!F5/SER_hh_fec_in!F5)</f>
        <v/>
      </c>
      <c r="G5" s="136" t="str">
        <f>IF(SER_hh_tes_in!G5=0,"",SER_hh_tes_in!G5/SER_hh_fec_in!G5)</f>
        <v/>
      </c>
      <c r="H5" s="136" t="str">
        <f>IF(SER_hh_tes_in!H5=0,"",SER_hh_tes_in!H5/SER_hh_fec_in!H5)</f>
        <v/>
      </c>
      <c r="I5" s="136" t="str">
        <f>IF(SER_hh_tes_in!I5=0,"",SER_hh_tes_in!I5/SER_hh_fec_in!I5)</f>
        <v/>
      </c>
      <c r="J5" s="136" t="str">
        <f>IF(SER_hh_tes_in!J5=0,"",SER_hh_tes_in!J5/SER_hh_fec_in!J5)</f>
        <v/>
      </c>
      <c r="K5" s="136" t="str">
        <f>IF(SER_hh_tes_in!K5=0,"",SER_hh_tes_in!K5/SER_hh_fec_in!K5)</f>
        <v/>
      </c>
      <c r="L5" s="136" t="str">
        <f>IF(SER_hh_tes_in!L5=0,"",SER_hh_tes_in!L5/SER_hh_fec_in!L5)</f>
        <v/>
      </c>
      <c r="M5" s="136" t="str">
        <f>IF(SER_hh_tes_in!M5=0,"",SER_hh_tes_in!M5/SER_hh_fec_in!M5)</f>
        <v/>
      </c>
      <c r="N5" s="136" t="str">
        <f>IF(SER_hh_tes_in!N5=0,"",SER_hh_tes_in!N5/SER_hh_fec_in!N5)</f>
        <v/>
      </c>
      <c r="O5" s="136" t="str">
        <f>IF(SER_hh_tes_in!O5=0,"",SER_hh_tes_in!O5/SER_hh_fec_in!O5)</f>
        <v/>
      </c>
      <c r="P5" s="136" t="str">
        <f>IF(SER_hh_tes_in!P5=0,"",SER_hh_tes_in!P5/SER_hh_fec_in!P5)</f>
        <v/>
      </c>
      <c r="Q5" s="136" t="str">
        <f>IF(SER_hh_tes_in!Q5=0,"",SER_hh_tes_in!Q5/SER_hh_fec_in!Q5)</f>
        <v/>
      </c>
      <c r="R5" s="136" t="str">
        <f>IF(SER_hh_tes_in!R5=0,"",SER_hh_tes_in!R5/SER_hh_fec_in!R5)</f>
        <v/>
      </c>
      <c r="S5" s="136" t="str">
        <f>IF(SER_hh_tes_in!S5=0,"",SER_hh_tes_in!S5/SER_hh_fec_in!S5)</f>
        <v/>
      </c>
      <c r="T5" s="136" t="str">
        <f>IF(SER_hh_tes_in!T5=0,"",SER_hh_tes_in!T5/SER_hh_fec_in!T5)</f>
        <v/>
      </c>
      <c r="U5" s="136" t="str">
        <f>IF(SER_hh_tes_in!U5=0,"",SER_hh_tes_in!U5/SER_hh_fec_in!U5)</f>
        <v/>
      </c>
      <c r="V5" s="136" t="str">
        <f>IF(SER_hh_tes_in!V5=0,"",SER_hh_tes_in!V5/SER_hh_fec_in!V5)</f>
        <v/>
      </c>
      <c r="W5" s="136" t="str">
        <f>IF(SER_hh_tes_in!W5=0,"",SER_hh_tes_in!W5/SER_hh_fec_in!W5)</f>
        <v/>
      </c>
      <c r="X5" s="136" t="str">
        <f>IF(SER_hh_tes_in!X5=0,"",SER_hh_tes_in!X5/SER_hh_fec_in!X5)</f>
        <v/>
      </c>
      <c r="Y5" s="136" t="str">
        <f>IF(SER_hh_tes_in!Y5=0,"",SER_hh_tes_in!Y5/SER_hh_fec_in!Y5)</f>
        <v/>
      </c>
      <c r="DA5" s="163" t="s">
        <v>664</v>
      </c>
    </row>
    <row r="6" spans="1:105" ht="12" customHeight="1" x14ac:dyDescent="0.25">
      <c r="A6" s="131" t="s">
        <v>52</v>
      </c>
      <c r="B6" s="136"/>
      <c r="C6" s="136">
        <f>IF(SER_hh_tes_in!C6=0,"",SER_hh_tes_in!C6/SER_hh_fec_in!C6)</f>
        <v>0.53676071326052921</v>
      </c>
      <c r="D6" s="136">
        <f>IF(SER_hh_tes_in!D6=0,"",SER_hh_tes_in!D6/SER_hh_fec_in!D6)</f>
        <v>0.54102768834055137</v>
      </c>
      <c r="E6" s="136">
        <f>IF(SER_hh_tes_in!E6=0,"",SER_hh_tes_in!E6/SER_hh_fec_in!E6)</f>
        <v>0.54552181736852545</v>
      </c>
      <c r="F6" s="136">
        <f>IF(SER_hh_tes_in!F6=0,"",SER_hh_tes_in!F6/SER_hh_fec_in!F6)</f>
        <v>0.54999139267412744</v>
      </c>
      <c r="G6" s="136">
        <f>IF(SER_hh_tes_in!G6=0,"",SER_hh_tes_in!G6/SER_hh_fec_in!G6)</f>
        <v>0.55466086683276128</v>
      </c>
      <c r="H6" s="136">
        <f>IF(SER_hh_tes_in!H6=0,"",SER_hh_tes_in!H6/SER_hh_fec_in!H6)</f>
        <v>0.5594998030624978</v>
      </c>
      <c r="I6" s="136">
        <f>IF(SER_hh_tes_in!I6=0,"",SER_hh_tes_in!I6/SER_hh_fec_in!I6)</f>
        <v>0.56456044023374985</v>
      </c>
      <c r="J6" s="136">
        <f>IF(SER_hh_tes_in!J6=0,"",SER_hh_tes_in!J6/SER_hh_fec_in!J6)</f>
        <v>0.57006366087075833</v>
      </c>
      <c r="K6" s="136">
        <f>IF(SER_hh_tes_in!K6=0,"",SER_hh_tes_in!K6/SER_hh_fec_in!K6)</f>
        <v>0.57619309378922889</v>
      </c>
      <c r="L6" s="136">
        <f>IF(SER_hh_tes_in!L6=0,"",SER_hh_tes_in!L6/SER_hh_fec_in!L6)</f>
        <v>0.58299035663954002</v>
      </c>
      <c r="M6" s="136">
        <f>IF(SER_hh_tes_in!M6=0,"",SER_hh_tes_in!M6/SER_hh_fec_in!M6)</f>
        <v>0.59528920548712572</v>
      </c>
      <c r="N6" s="136">
        <f>IF(SER_hh_tes_in!N6=0,"",SER_hh_tes_in!N6/SER_hh_fec_in!N6)</f>
        <v>0.61453626138700279</v>
      </c>
      <c r="O6" s="136">
        <f>IF(SER_hh_tes_in!O6=0,"",SER_hh_tes_in!O6/SER_hh_fec_in!O6)</f>
        <v>0.64146783489677195</v>
      </c>
      <c r="P6" s="136" t="str">
        <f>IF(SER_hh_tes_in!P6=0,"",SER_hh_tes_in!P6/SER_hh_fec_in!P6)</f>
        <v/>
      </c>
      <c r="Q6" s="136" t="str">
        <f>IF(SER_hh_tes_in!Q6=0,"",SER_hh_tes_in!Q6/SER_hh_fec_in!Q6)</f>
        <v/>
      </c>
      <c r="R6" s="136" t="str">
        <f>IF(SER_hh_tes_in!R6=0,"",SER_hh_tes_in!R6/SER_hh_fec_in!R6)</f>
        <v/>
      </c>
      <c r="S6" s="136">
        <f>IF(SER_hh_tes_in!S6=0,"",SER_hh_tes_in!S6/SER_hh_fec_in!S6)</f>
        <v>0.71097544874511476</v>
      </c>
      <c r="T6" s="136">
        <f>IF(SER_hh_tes_in!T6=0,"",SER_hh_tes_in!T6/SER_hh_fec_in!T6)</f>
        <v>0.71234208155026968</v>
      </c>
      <c r="U6" s="136">
        <f>IF(SER_hh_tes_in!U6=0,"",SER_hh_tes_in!U6/SER_hh_fec_in!U6)</f>
        <v>0.71280117822451117</v>
      </c>
      <c r="V6" s="136">
        <f>IF(SER_hh_tes_in!V6=0,"",SER_hh_tes_in!V6/SER_hh_fec_in!V6)</f>
        <v>0.71432463996259143</v>
      </c>
      <c r="W6" s="136">
        <f>IF(SER_hh_tes_in!W6=0,"",SER_hh_tes_in!W6/SER_hh_fec_in!W6)</f>
        <v>0.71667031942308235</v>
      </c>
      <c r="X6" s="136">
        <f>IF(SER_hh_tes_in!X6=0,"",SER_hh_tes_in!X6/SER_hh_fec_in!X6)</f>
        <v>0.71875092297491705</v>
      </c>
      <c r="Y6" s="136">
        <f>IF(SER_hh_tes_in!Y6=0,"",SER_hh_tes_in!Y6/SER_hh_fec_in!Y6)</f>
        <v>0.72054697660562128</v>
      </c>
      <c r="DA6" s="163" t="s">
        <v>665</v>
      </c>
    </row>
    <row r="7" spans="1:105" ht="12" customHeight="1" x14ac:dyDescent="0.25">
      <c r="A7" s="131" t="s">
        <v>161</v>
      </c>
      <c r="B7" s="136"/>
      <c r="C7" s="136">
        <f>IF(SER_hh_tes_in!C7=0,"",SER_hh_tes_in!C7/SER_hh_fec_in!C7)</f>
        <v>0.51957080080981743</v>
      </c>
      <c r="D7" s="136">
        <f>IF(SER_hh_tes_in!D7=0,"",SER_hh_tes_in!D7/SER_hh_fec_in!D7)</f>
        <v>0.52354687364438779</v>
      </c>
      <c r="E7" s="136">
        <f>IF(SER_hh_tes_in!E7=0,"",SER_hh_tes_in!E7/SER_hh_fec_in!E7)</f>
        <v>0.52773461414159473</v>
      </c>
      <c r="F7" s="136">
        <f>IF(SER_hh_tes_in!F7=0,"",SER_hh_tes_in!F7/SER_hh_fec_in!F7)</f>
        <v>0.531899474873469</v>
      </c>
      <c r="G7" s="136">
        <f>IF(SER_hh_tes_in!G7=0,"",SER_hh_tes_in!G7/SER_hh_fec_in!G7)</f>
        <v>0.53625060629694465</v>
      </c>
      <c r="H7" s="136">
        <f>IF(SER_hh_tes_in!H7=0,"",SER_hh_tes_in!H7/SER_hh_fec_in!H7)</f>
        <v>0.54075964666639853</v>
      </c>
      <c r="I7" s="136">
        <f>IF(SER_hh_tes_in!I7=0,"",SER_hh_tes_in!I7/SER_hh_fec_in!I7)</f>
        <v>0.54547527345232483</v>
      </c>
      <c r="J7" s="136" t="str">
        <f>IF(SER_hh_tes_in!J7=0,"",SER_hh_tes_in!J7/SER_hh_fec_in!J7)</f>
        <v/>
      </c>
      <c r="K7" s="136" t="str">
        <f>IF(SER_hh_tes_in!K7=0,"",SER_hh_tes_in!K7/SER_hh_fec_in!K7)</f>
        <v/>
      </c>
      <c r="L7" s="136" t="str">
        <f>IF(SER_hh_tes_in!L7=0,"",SER_hh_tes_in!L7/SER_hh_fec_in!L7)</f>
        <v/>
      </c>
      <c r="M7" s="136" t="str">
        <f>IF(SER_hh_tes_in!M7=0,"",SER_hh_tes_in!M7/SER_hh_fec_in!M7)</f>
        <v/>
      </c>
      <c r="N7" s="136">
        <f>IF(SER_hh_tes_in!N7=0,"",SER_hh_tes_in!N7/SER_hh_fec_in!N7)</f>
        <v>0.59204397871688963</v>
      </c>
      <c r="O7" s="136">
        <f>IF(SER_hh_tes_in!O7=0,"",SER_hh_tes_in!O7/SER_hh_fec_in!O7)</f>
        <v>0.61713948450640821</v>
      </c>
      <c r="P7" s="136">
        <f>IF(SER_hh_tes_in!P7=0,"",SER_hh_tes_in!P7/SER_hh_fec_in!P7)</f>
        <v>0.64606090396775695</v>
      </c>
      <c r="Q7" s="136">
        <f>IF(SER_hh_tes_in!Q7=0,"",SER_hh_tes_in!Q7/SER_hh_fec_in!Q7)</f>
        <v>0.66915500030150865</v>
      </c>
      <c r="R7" s="136">
        <f>IF(SER_hh_tes_in!R7=0,"",SER_hh_tes_in!R7/SER_hh_fec_in!R7)</f>
        <v>0.67795330480162996</v>
      </c>
      <c r="S7" s="136">
        <f>IF(SER_hh_tes_in!S7=0,"",SER_hh_tes_in!S7/SER_hh_fec_in!S7)</f>
        <v>0.68209459418253671</v>
      </c>
      <c r="T7" s="136">
        <f>IF(SER_hh_tes_in!T7=0,"",SER_hh_tes_in!T7/SER_hh_fec_in!T7)</f>
        <v>0.68346928562781595</v>
      </c>
      <c r="U7" s="136">
        <f>IF(SER_hh_tes_in!U7=0,"",SER_hh_tes_in!U7/SER_hh_fec_in!U7)</f>
        <v>0.68387219383654685</v>
      </c>
      <c r="V7" s="136">
        <f>IF(SER_hh_tes_in!V7=0,"",SER_hh_tes_in!V7/SER_hh_fec_in!V7)</f>
        <v>0.68502925606661336</v>
      </c>
      <c r="W7" s="136">
        <f>IF(SER_hh_tes_in!W7=0,"",SER_hh_tes_in!W7/SER_hh_fec_in!W7)</f>
        <v>0.68663030105790313</v>
      </c>
      <c r="X7" s="136">
        <f>IF(SER_hh_tes_in!X7=0,"",SER_hh_tes_in!X7/SER_hh_fec_in!X7)</f>
        <v>0.68773516342769314</v>
      </c>
      <c r="Y7" s="136">
        <f>IF(SER_hh_tes_in!Y7=0,"",SER_hh_tes_in!Y7/SER_hh_fec_in!Y7)</f>
        <v>0.68844322905720978</v>
      </c>
      <c r="DA7" s="163" t="s">
        <v>666</v>
      </c>
    </row>
    <row r="8" spans="1:105" ht="12" customHeight="1" x14ac:dyDescent="0.25">
      <c r="A8" s="131" t="s">
        <v>73</v>
      </c>
      <c r="B8" s="136"/>
      <c r="C8" s="136">
        <f>IF(SER_hh_tes_in!C8=0,"",SER_hh_tes_in!C8/SER_hh_fec_in!C8)</f>
        <v>1.9256281397572814</v>
      </c>
      <c r="D8" s="136">
        <f>IF(SER_hh_tes_in!D8=0,"",SER_hh_tes_in!D8/SER_hh_fec_in!D8)</f>
        <v>2.0258117449945345</v>
      </c>
      <c r="E8" s="136">
        <f>IF(SER_hh_tes_in!E8=0,"",SER_hh_tes_in!E8/SER_hh_fec_in!E8)</f>
        <v>2.12736658171477</v>
      </c>
      <c r="F8" s="136">
        <f>IF(SER_hh_tes_in!F8=0,"",SER_hh_tes_in!F8/SER_hh_fec_in!F8)</f>
        <v>2.2292383574217971</v>
      </c>
      <c r="G8" s="136">
        <f>IF(SER_hh_tes_in!G8=0,"",SER_hh_tes_in!G8/SER_hh_fec_in!G8)</f>
        <v>2.3324201380633922</v>
      </c>
      <c r="H8" s="136">
        <f>IF(SER_hh_tes_in!H8=0,"",SER_hh_tes_in!H8/SER_hh_fec_in!H8)</f>
        <v>2.4368095851938674</v>
      </c>
      <c r="I8" s="136">
        <f>IF(SER_hh_tes_in!I8=0,"",SER_hh_tes_in!I8/SER_hh_fec_in!I8)</f>
        <v>2.5426639051861719</v>
      </c>
      <c r="J8" s="136">
        <f>IF(SER_hh_tes_in!J8=0,"",SER_hh_tes_in!J8/SER_hh_fec_in!J8)</f>
        <v>2.6509881120534922</v>
      </c>
      <c r="K8" s="136">
        <f>IF(SER_hh_tes_in!K8=0,"",SER_hh_tes_in!K8/SER_hh_fec_in!K8)</f>
        <v>2.7626431276464851</v>
      </c>
      <c r="L8" s="136">
        <f>IF(SER_hh_tes_in!L8=0,"",SER_hh_tes_in!L8/SER_hh_fec_in!L8)</f>
        <v>2.8778765367890724</v>
      </c>
      <c r="M8" s="136">
        <f>IF(SER_hh_tes_in!M8=0,"",SER_hh_tes_in!M8/SER_hh_fec_in!M8)</f>
        <v>3.0208172180012829</v>
      </c>
      <c r="N8" s="136">
        <f>IF(SER_hh_tes_in!N8=0,"",SER_hh_tes_in!N8/SER_hh_fec_in!N8)</f>
        <v>3.1997397010244595</v>
      </c>
      <c r="O8" s="136">
        <f>IF(SER_hh_tes_in!O8=0,"",SER_hh_tes_in!O8/SER_hh_fec_in!O8)</f>
        <v>3.4178163033779216</v>
      </c>
      <c r="P8" s="136">
        <f>IF(SER_hh_tes_in!P8=0,"",SER_hh_tes_in!P8/SER_hh_fec_in!P8)</f>
        <v>3.6528468858961216</v>
      </c>
      <c r="Q8" s="136">
        <f>IF(SER_hh_tes_in!Q8=0,"",SER_hh_tes_in!Q8/SER_hh_fec_in!Q8)</f>
        <v>3.8368611928171816</v>
      </c>
      <c r="R8" s="136">
        <f>IF(SER_hh_tes_in!R8=0,"",SER_hh_tes_in!R8/SER_hh_fec_in!R8)</f>
        <v>4.0078625007387503</v>
      </c>
      <c r="S8" s="136">
        <f>IF(SER_hh_tes_in!S8=0,"",SER_hh_tes_in!S8/SER_hh_fec_in!S8)</f>
        <v>4.1194768146636092</v>
      </c>
      <c r="T8" s="136">
        <f>IF(SER_hh_tes_in!T8=0,"",SER_hh_tes_in!T8/SER_hh_fec_in!T8)</f>
        <v>4.1902647423535431</v>
      </c>
      <c r="U8" s="136">
        <f>IF(SER_hh_tes_in!U8=0,"",SER_hh_tes_in!U8/SER_hh_fec_in!U8)</f>
        <v>4.2389392721135923</v>
      </c>
      <c r="V8" s="136">
        <f>IF(SER_hh_tes_in!V8=0,"",SER_hh_tes_in!V8/SER_hh_fec_in!V8)</f>
        <v>4.2836540349997048</v>
      </c>
      <c r="W8" s="136">
        <f>IF(SER_hh_tes_in!W8=0,"",SER_hh_tes_in!W8/SER_hh_fec_in!W8)</f>
        <v>4.3272999786082167</v>
      </c>
      <c r="X8" s="136">
        <f>IF(SER_hh_tes_in!X8=0,"",SER_hh_tes_in!X8/SER_hh_fec_in!X8)</f>
        <v>4.3632323747112105</v>
      </c>
      <c r="Y8" s="136">
        <f>IF(SER_hh_tes_in!Y8=0,"",SER_hh_tes_in!Y8/SER_hh_fec_in!Y8)</f>
        <v>4.3936911859194776</v>
      </c>
      <c r="DA8" s="163" t="s">
        <v>667</v>
      </c>
    </row>
    <row r="9" spans="1:105" ht="12" customHeight="1" x14ac:dyDescent="0.25">
      <c r="A9" s="131" t="s">
        <v>78</v>
      </c>
      <c r="B9" s="136"/>
      <c r="C9" s="136">
        <f>IF(SER_hh_tes_in!C9=0,"",SER_hh_tes_in!C9/SER_hh_fec_in!C9)</f>
        <v>0.55628063965153163</v>
      </c>
      <c r="D9" s="136">
        <f>IF(SER_hh_tes_in!D9=0,"",SER_hh_tes_in!D9/SER_hh_fec_in!D9)</f>
        <v>0.56085759376737232</v>
      </c>
      <c r="E9" s="136">
        <f>IF(SER_hh_tes_in!E9=0,"",SER_hh_tes_in!E9/SER_hh_fec_in!E9)</f>
        <v>0.56572249379679107</v>
      </c>
      <c r="F9" s="136">
        <f>IF(SER_hh_tes_in!F9=0,"",SER_hh_tes_in!F9/SER_hh_fec_in!F9)</f>
        <v>0.57056955030634049</v>
      </c>
      <c r="G9" s="136">
        <f>IF(SER_hh_tes_in!G9=0,"",SER_hh_tes_in!G9/SER_hh_fec_in!G9)</f>
        <v>0.5756744725814793</v>
      </c>
      <c r="H9" s="136">
        <f>IF(SER_hh_tes_in!H9=0,"",SER_hh_tes_in!H9/SER_hh_fec_in!H9)</f>
        <v>0.58100202505531762</v>
      </c>
      <c r="I9" s="136">
        <f>IF(SER_hh_tes_in!I9=0,"",SER_hh_tes_in!I9/SER_hh_fec_in!I9)</f>
        <v>0.58661857522208627</v>
      </c>
      <c r="J9" s="136">
        <f>IF(SER_hh_tes_in!J9=0,"",SER_hh_tes_in!J9/SER_hh_fec_in!J9)</f>
        <v>0.59279947118335818</v>
      </c>
      <c r="K9" s="136">
        <f>IF(SER_hh_tes_in!K9=0,"",SER_hh_tes_in!K9/SER_hh_fec_in!K9)</f>
        <v>0.59977656059118933</v>
      </c>
      <c r="L9" s="136">
        <f>IF(SER_hh_tes_in!L9=0,"",SER_hh_tes_in!L9/SER_hh_fec_in!L9)</f>
        <v>0.60760772687340592</v>
      </c>
      <c r="M9" s="136">
        <f>IF(SER_hh_tes_in!M9=0,"",SER_hh_tes_in!M9/SER_hh_fec_in!M9)</f>
        <v>0.62209287324378648</v>
      </c>
      <c r="N9" s="136">
        <f>IF(SER_hh_tes_in!N9=0,"",SER_hh_tes_in!N9/SER_hh_fec_in!N9)</f>
        <v>0.64503566487634234</v>
      </c>
      <c r="O9" s="136">
        <f>IF(SER_hh_tes_in!O9=0,"",SER_hh_tes_in!O9/SER_hh_fec_in!O9)</f>
        <v>0.67763572819383922</v>
      </c>
      <c r="P9" s="136" t="str">
        <f>IF(SER_hh_tes_in!P9=0,"",SER_hh_tes_in!P9/SER_hh_fec_in!P9)</f>
        <v/>
      </c>
      <c r="Q9" s="136" t="str">
        <f>IF(SER_hh_tes_in!Q9=0,"",SER_hh_tes_in!Q9/SER_hh_fec_in!Q9)</f>
        <v/>
      </c>
      <c r="R9" s="136">
        <f>IF(SER_hh_tes_in!R9=0,"",SER_hh_tes_in!R9/SER_hh_fec_in!R9)</f>
        <v>0.76478722976008862</v>
      </c>
      <c r="S9" s="136">
        <f>IF(SER_hh_tes_in!S9=0,"",SER_hh_tes_in!S9/SER_hh_fec_in!S9)</f>
        <v>0.77731906183351651</v>
      </c>
      <c r="T9" s="136">
        <f>IF(SER_hh_tes_in!T9=0,"",SER_hh_tes_in!T9/SER_hh_fec_in!T9)</f>
        <v>0.78748021913032584</v>
      </c>
      <c r="U9" s="136">
        <f>IF(SER_hh_tes_in!U9=0,"",SER_hh_tes_in!U9/SER_hh_fec_in!U9)</f>
        <v>0.7963067587822994</v>
      </c>
      <c r="V9" s="136">
        <f>IF(SER_hh_tes_in!V9=0,"",SER_hh_tes_in!V9/SER_hh_fec_in!V9)</f>
        <v>0.80431033737364177</v>
      </c>
      <c r="W9" s="136">
        <f>IF(SER_hh_tes_in!W9=0,"",SER_hh_tes_in!W9/SER_hh_fec_in!W9)</f>
        <v>0.81026330001390001</v>
      </c>
      <c r="X9" s="136">
        <f>IF(SER_hh_tes_in!X9=0,"",SER_hh_tes_in!X9/SER_hh_fec_in!X9)</f>
        <v>0.81405052820963719</v>
      </c>
      <c r="Y9" s="136">
        <f>IF(SER_hh_tes_in!Y9=0,"",SER_hh_tes_in!Y9/SER_hh_fec_in!Y9)</f>
        <v>0.81663573628273389</v>
      </c>
      <c r="DA9" s="163" t="s">
        <v>668</v>
      </c>
    </row>
    <row r="10" spans="1:105" ht="12" customHeight="1" x14ac:dyDescent="0.25">
      <c r="A10" s="131" t="s">
        <v>128</v>
      </c>
      <c r="B10" s="136"/>
      <c r="C10" s="136">
        <f>IF(SER_hh_tes_in!C10=0,"",SER_hh_tes_in!C10/SER_hh_fec_in!C10)</f>
        <v>0.65587923747229282</v>
      </c>
      <c r="D10" s="136">
        <f>IF(SER_hh_tes_in!D10=0,"",SER_hh_tes_in!D10/SER_hh_fec_in!D10)</f>
        <v>0.65621051781616879</v>
      </c>
      <c r="E10" s="136">
        <f>IF(SER_hh_tes_in!E10=0,"",SER_hh_tes_in!E10/SER_hh_fec_in!E10)</f>
        <v>0.65654495190998752</v>
      </c>
      <c r="F10" s="136">
        <f>IF(SER_hh_tes_in!F10=0,"",SER_hh_tes_in!F10/SER_hh_fec_in!F10)</f>
        <v>0.65688221266052127</v>
      </c>
      <c r="G10" s="136">
        <f>IF(SER_hh_tes_in!G10=0,"",SER_hh_tes_in!G10/SER_hh_fec_in!G10)</f>
        <v>0.65722196730875482</v>
      </c>
      <c r="H10" s="136">
        <f>IF(SER_hh_tes_in!H10=0,"",SER_hh_tes_in!H10/SER_hh_fec_in!H10)</f>
        <v>0.65756382398150148</v>
      </c>
      <c r="I10" s="136">
        <f>IF(SER_hh_tes_in!I10=0,"",SER_hh_tes_in!I10/SER_hh_fec_in!I10)</f>
        <v>0.65790726575436742</v>
      </c>
      <c r="J10" s="136">
        <f>IF(SER_hh_tes_in!J10=0,"",SER_hh_tes_in!J10/SER_hh_fec_in!J10)</f>
        <v>0.6582511760031402</v>
      </c>
      <c r="K10" s="136">
        <f>IF(SER_hh_tes_in!K10=0,"",SER_hh_tes_in!K10/SER_hh_fec_in!K10)</f>
        <v>0.65859407821980576</v>
      </c>
      <c r="L10" s="136">
        <f>IF(SER_hh_tes_in!L10=0,"",SER_hh_tes_in!L10/SER_hh_fec_in!L10)</f>
        <v>0.65893466192430739</v>
      </c>
      <c r="M10" s="136">
        <f>IF(SER_hh_tes_in!M10=0,"",SER_hh_tes_in!M10/SER_hh_fec_in!M10)</f>
        <v>0.65924751607172438</v>
      </c>
      <c r="N10" s="136">
        <f>IF(SER_hh_tes_in!N10=0,"",SER_hh_tes_in!N10/SER_hh_fec_in!N10)</f>
        <v>0.65951873622629398</v>
      </c>
      <c r="O10" s="136">
        <f>IF(SER_hh_tes_in!O10=0,"",SER_hh_tes_in!O10/SER_hh_fec_in!O10)</f>
        <v>0.6597402918162788</v>
      </c>
      <c r="P10" s="136">
        <f>IF(SER_hh_tes_in!P10=0,"",SER_hh_tes_in!P10/SER_hh_fec_in!P10)</f>
        <v>0.65993137622553999</v>
      </c>
      <c r="Q10" s="136">
        <f>IF(SER_hh_tes_in!Q10=0,"",SER_hh_tes_in!Q10/SER_hh_fec_in!Q10)</f>
        <v>0.66015937565176275</v>
      </c>
      <c r="R10" s="136">
        <f>IF(SER_hh_tes_in!R10=0,"",SER_hh_tes_in!R10/SER_hh_fec_in!R10)</f>
        <v>0.66050088930579232</v>
      </c>
      <c r="S10" s="136">
        <f>IF(SER_hh_tes_in!S10=0,"",SER_hh_tes_in!S10/SER_hh_fec_in!S10)</f>
        <v>0.66088525884384242</v>
      </c>
      <c r="T10" s="136">
        <f>IF(SER_hh_tes_in!T10=0,"",SER_hh_tes_in!T10/SER_hh_fec_in!T10)</f>
        <v>0.66127296488340725</v>
      </c>
      <c r="U10" s="136">
        <f>IF(SER_hh_tes_in!U10=0,"",SER_hh_tes_in!U10/SER_hh_fec_in!U10)</f>
        <v>0.66163110793522295</v>
      </c>
      <c r="V10" s="136">
        <f>IF(SER_hh_tes_in!V10=0,"",SER_hh_tes_in!V10/SER_hh_fec_in!V10)</f>
        <v>0.66193152634076258</v>
      </c>
      <c r="W10" s="136">
        <f>IF(SER_hh_tes_in!W10=0,"",SER_hh_tes_in!W10/SER_hh_fec_in!W10)</f>
        <v>0.66217286029883504</v>
      </c>
      <c r="X10" s="136">
        <f>IF(SER_hh_tes_in!X10=0,"",SER_hh_tes_in!X10/SER_hh_fec_in!X10)</f>
        <v>0.66854057725346216</v>
      </c>
      <c r="Y10" s="136">
        <f>IF(SER_hh_tes_in!Y10=0,"",SER_hh_tes_in!Y10/SER_hh_fec_in!Y10)</f>
        <v>0.67454153599858246</v>
      </c>
      <c r="DA10" s="163" t="s">
        <v>669</v>
      </c>
    </row>
    <row r="11" spans="1:105" ht="12" customHeight="1" x14ac:dyDescent="0.25">
      <c r="A11" s="131" t="s">
        <v>25</v>
      </c>
      <c r="B11" s="136"/>
      <c r="C11" s="136">
        <f>IF(SER_hh_tes_in!C11=0,"",SER_hh_tes_in!C11/SER_hh_fec_in!C11)</f>
        <v>0.81835404422714719</v>
      </c>
      <c r="D11" s="136">
        <f>IF(SER_hh_tes_in!D11=0,"",SER_hh_tes_in!D11/SER_hh_fec_in!D11)</f>
        <v>0.81878213656487076</v>
      </c>
      <c r="E11" s="136">
        <f>IF(SER_hh_tes_in!E11=0,"",SER_hh_tes_in!E11/SER_hh_fec_in!E11)</f>
        <v>0.8192102940805468</v>
      </c>
      <c r="F11" s="136">
        <f>IF(SER_hh_tes_in!F11=0,"",SER_hh_tes_in!F11/SER_hh_fec_in!F11)</f>
        <v>0.81963846048412536</v>
      </c>
      <c r="G11" s="136">
        <f>IF(SER_hh_tes_in!G11=0,"",SER_hh_tes_in!G11/SER_hh_fec_in!G11)</f>
        <v>0.82006668691276474</v>
      </c>
      <c r="H11" s="136">
        <f>IF(SER_hh_tes_in!H11=0,"",SER_hh_tes_in!H11/SER_hh_fec_in!H11)</f>
        <v>0.82049496710792724</v>
      </c>
      <c r="I11" s="136">
        <f>IF(SER_hh_tes_in!I11=0,"",SER_hh_tes_in!I11/SER_hh_fec_in!I11)</f>
        <v>0.82092331366981075</v>
      </c>
      <c r="J11" s="136">
        <f>IF(SER_hh_tes_in!J11=0,"",SER_hh_tes_in!J11/SER_hh_fec_in!J11)</f>
        <v>0.82135177821697558</v>
      </c>
      <c r="K11" s="136">
        <f>IF(SER_hh_tes_in!K11=0,"",SER_hh_tes_in!K11/SER_hh_fec_in!K11)</f>
        <v>0.82178040463877533</v>
      </c>
      <c r="L11" s="136" t="str">
        <f>IF(SER_hh_tes_in!L11=0,"",SER_hh_tes_in!L11/SER_hh_fec_in!L11)</f>
        <v/>
      </c>
      <c r="M11" s="136">
        <f>IF(SER_hh_tes_in!M11=0,"",SER_hh_tes_in!M11/SER_hh_fec_in!M11)</f>
        <v>0.82264258696265902</v>
      </c>
      <c r="N11" s="136">
        <f>IF(SER_hh_tes_in!N11=0,"",SER_hh_tes_in!N11/SER_hh_fec_in!N11)</f>
        <v>0.82308220028942869</v>
      </c>
      <c r="O11" s="136">
        <f>IF(SER_hh_tes_in!O11=0,"",SER_hh_tes_in!O11/SER_hh_fec_in!O11)</f>
        <v>0.8235260429222474</v>
      </c>
      <c r="P11" s="136">
        <f>IF(SER_hh_tes_in!P11=0,"",SER_hh_tes_in!P11/SER_hh_fec_in!P11)</f>
        <v>0.82396483735468196</v>
      </c>
      <c r="Q11" s="136" t="str">
        <f>IF(SER_hh_tes_in!Q11=0,"",SER_hh_tes_in!Q11/SER_hh_fec_in!Q11)</f>
        <v/>
      </c>
      <c r="R11" s="136">
        <f>IF(SER_hh_tes_in!R11=0,"",SER_hh_tes_in!R11/SER_hh_fec_in!R11)</f>
        <v>0.82472867260393889</v>
      </c>
      <c r="S11" s="136">
        <f>IF(SER_hh_tes_in!S11=0,"",SER_hh_tes_in!S11/SER_hh_fec_in!S11)</f>
        <v>0.82505641153257325</v>
      </c>
      <c r="T11" s="136">
        <f>IF(SER_hh_tes_in!T11=0,"",SER_hh_tes_in!T11/SER_hh_fec_in!T11)</f>
        <v>0.82536173835040394</v>
      </c>
      <c r="U11" s="136">
        <f>IF(SER_hh_tes_in!U11=0,"",SER_hh_tes_in!U11/SER_hh_fec_in!U11)</f>
        <v>0.82565040050123462</v>
      </c>
      <c r="V11" s="136">
        <f>IF(SER_hh_tes_in!V11=0,"",SER_hh_tes_in!V11/SER_hh_fec_in!V11)</f>
        <v>0.82592814542886872</v>
      </c>
      <c r="W11" s="136">
        <f>IF(SER_hh_tes_in!W11=0,"",SER_hh_tes_in!W11/SER_hh_fec_in!W11)</f>
        <v>0.82618783019133724</v>
      </c>
      <c r="X11" s="136">
        <f>IF(SER_hh_tes_in!X11=0,"",SER_hh_tes_in!X11/SER_hh_fec_in!X11)</f>
        <v>0.82866632305949794</v>
      </c>
      <c r="Y11" s="136">
        <f>IF(SER_hh_tes_in!Y11=0,"",SER_hh_tes_in!Y11/SER_hh_fec_in!Y11)</f>
        <v>0.83104247013301569</v>
      </c>
      <c r="DA11" s="163" t="s">
        <v>670</v>
      </c>
    </row>
    <row r="12" spans="1:105" ht="12" customHeight="1" x14ac:dyDescent="0.25">
      <c r="A12" s="131" t="s">
        <v>162</v>
      </c>
      <c r="B12" s="136"/>
      <c r="C12" s="136" t="str">
        <f>IF(SER_hh_tes_in!C12=0,"",SER_hh_tes_in!C12/SER_hh_fec_in!C12)</f>
        <v/>
      </c>
      <c r="D12" s="136" t="str">
        <f>IF(SER_hh_tes_in!D12=0,"",SER_hh_tes_in!D12/SER_hh_fec_in!D12)</f>
        <v/>
      </c>
      <c r="E12" s="136" t="str">
        <f>IF(SER_hh_tes_in!E12=0,"",SER_hh_tes_in!E12/SER_hh_fec_in!E12)</f>
        <v/>
      </c>
      <c r="F12" s="136">
        <f>IF(SER_hh_tes_in!F12=0,"",SER_hh_tes_in!F12/SER_hh_fec_in!F12)</f>
        <v>0.81031803696000726</v>
      </c>
      <c r="G12" s="136">
        <f>IF(SER_hh_tes_in!G12=0,"",SER_hh_tes_in!G12/SER_hh_fec_in!G12)</f>
        <v>0.81289093824725089</v>
      </c>
      <c r="H12" s="136">
        <f>IF(SER_hh_tes_in!H12=0,"",SER_hh_tes_in!H12/SER_hh_fec_in!H12)</f>
        <v>0.81551812464199913</v>
      </c>
      <c r="I12" s="136">
        <f>IF(SER_hh_tes_in!I12=0,"",SER_hh_tes_in!I12/SER_hh_fec_in!I12)</f>
        <v>0.81821231787175885</v>
      </c>
      <c r="J12" s="136" t="str">
        <f>IF(SER_hh_tes_in!J12=0,"",SER_hh_tes_in!J12/SER_hh_fec_in!J12)</f>
        <v/>
      </c>
      <c r="K12" s="136">
        <f>IF(SER_hh_tes_in!K12=0,"",SER_hh_tes_in!K12/SER_hh_fec_in!K12)</f>
        <v>0.82400238678940474</v>
      </c>
      <c r="L12" s="136">
        <f>IF(SER_hh_tes_in!L12=0,"",SER_hh_tes_in!L12/SER_hh_fec_in!L12)</f>
        <v>0.82715443060501381</v>
      </c>
      <c r="M12" s="136">
        <f>IF(SER_hh_tes_in!M12=0,"",SER_hh_tes_in!M12/SER_hh_fec_in!M12)</f>
        <v>0.83151882877198258</v>
      </c>
      <c r="N12" s="136">
        <f>IF(SER_hh_tes_in!N12=0,"",SER_hh_tes_in!N12/SER_hh_fec_in!N12)</f>
        <v>0.83742347458166821</v>
      </c>
      <c r="O12" s="136">
        <f>IF(SER_hh_tes_in!O12=0,"",SER_hh_tes_in!O12/SER_hh_fec_in!O12)</f>
        <v>0.84515580634768672</v>
      </c>
      <c r="P12" s="136">
        <f>IF(SER_hh_tes_in!P12=0,"",SER_hh_tes_in!P12/SER_hh_fec_in!P12)</f>
        <v>0.85416895160422246</v>
      </c>
      <c r="Q12" s="136">
        <f>IF(SER_hh_tes_in!Q12=0,"",SER_hh_tes_in!Q12/SER_hh_fec_in!Q12)</f>
        <v>0.86267264735520333</v>
      </c>
      <c r="R12" s="136">
        <f>IF(SER_hh_tes_in!R12=0,"",SER_hh_tes_in!R12/SER_hh_fec_in!R12)</f>
        <v>0.86918874559095805</v>
      </c>
      <c r="S12" s="136">
        <f>IF(SER_hh_tes_in!S12=0,"",SER_hh_tes_in!S12/SER_hh_fec_in!S12)</f>
        <v>0.8755278198892521</v>
      </c>
      <c r="T12" s="136">
        <f>IF(SER_hh_tes_in!T12=0,"",SER_hh_tes_in!T12/SER_hh_fec_in!T12)</f>
        <v>0.88164751527366492</v>
      </c>
      <c r="U12" s="136">
        <f>IF(SER_hh_tes_in!U12=0,"",SER_hh_tes_in!U12/SER_hh_fec_in!U12)</f>
        <v>0.88750547676779468</v>
      </c>
      <c r="V12" s="136">
        <f>IF(SER_hh_tes_in!V12=0,"",SER_hh_tes_in!V12/SER_hh_fec_in!V12)</f>
        <v>0.89305934939523224</v>
      </c>
      <c r="W12" s="136" t="str">
        <f>IF(SER_hh_tes_in!W12=0,"",SER_hh_tes_in!W12/SER_hh_fec_in!W12)</f>
        <v/>
      </c>
      <c r="X12" s="136">
        <f>IF(SER_hh_tes_in!X12=0,"",SER_hh_tes_in!X12/SER_hh_fec_in!X12)</f>
        <v>0.90295630413638706</v>
      </c>
      <c r="Y12" s="136">
        <f>IF(SER_hh_tes_in!Y12=0,"",SER_hh_tes_in!Y12/SER_hh_fec_in!Y12)</f>
        <v>0.90755036111793397</v>
      </c>
      <c r="DA12" s="163" t="s">
        <v>671</v>
      </c>
    </row>
    <row r="13" spans="1:105" ht="12" customHeight="1" x14ac:dyDescent="0.25">
      <c r="A13" s="131" t="s">
        <v>77</v>
      </c>
      <c r="B13" s="136"/>
      <c r="C13" s="136">
        <f>IF(SER_hh_tes_in!C13=0,"",SER_hh_tes_in!C13/SER_hh_fec_in!C13)</f>
        <v>1.744450763781316</v>
      </c>
      <c r="D13" s="136">
        <f>IF(SER_hh_tes_in!D13=0,"",SER_hh_tes_in!D13/SER_hh_fec_in!D13)</f>
        <v>1.8436977561896897</v>
      </c>
      <c r="E13" s="136">
        <f>IF(SER_hh_tes_in!E13=0,"",SER_hh_tes_in!E13/SER_hh_fec_in!E13)</f>
        <v>1.9446157024962882</v>
      </c>
      <c r="F13" s="136">
        <f>IF(SER_hh_tes_in!F13=0,"",SER_hh_tes_in!F13/SER_hh_fec_in!F13)</f>
        <v>2.0462316789109871</v>
      </c>
      <c r="G13" s="136">
        <f>IF(SER_hh_tes_in!G13=0,"",SER_hh_tes_in!G13/SER_hh_fec_in!G13)</f>
        <v>2.1494321435592072</v>
      </c>
      <c r="H13" s="136">
        <f>IF(SER_hh_tes_in!H13=0,"",SER_hh_tes_in!H13/SER_hh_fec_in!H13)</f>
        <v>2.2541104567523877</v>
      </c>
      <c r="I13" s="136">
        <f>IF(SER_hh_tes_in!I13=0,"",SER_hh_tes_in!I13/SER_hh_fec_in!I13)</f>
        <v>2.3604869806334725</v>
      </c>
      <c r="J13" s="136">
        <f>IF(SER_hh_tes_in!J13=0,"",SER_hh_tes_in!J13/SER_hh_fec_in!J13)</f>
        <v>2.4694601642606964</v>
      </c>
      <c r="K13" s="136">
        <f>IF(SER_hh_tes_in!K13=0,"",SER_hh_tes_in!K13/SER_hh_fec_in!K13)</f>
        <v>2.5817967041098022</v>
      </c>
      <c r="L13" s="136">
        <f>IF(SER_hh_tes_in!L13=0,"",SER_hh_tes_in!L13/SER_hh_fec_in!L13)</f>
        <v>2.6977067814280162</v>
      </c>
      <c r="M13" s="136">
        <f>IF(SER_hh_tes_in!M13=0,"",SER_hh_tes_in!M13/SER_hh_fec_in!M13)</f>
        <v>2.8394408155951734</v>
      </c>
      <c r="N13" s="136">
        <f>IF(SER_hh_tes_in!N13=0,"",SER_hh_tes_in!N13/SER_hh_fec_in!N13)</f>
        <v>3.0146716259271114</v>
      </c>
      <c r="O13" s="136">
        <f>IF(SER_hh_tes_in!O13=0,"",SER_hh_tes_in!O13/SER_hh_fec_in!O13)</f>
        <v>3.2260352386473876</v>
      </c>
      <c r="P13" s="136">
        <f>IF(SER_hh_tes_in!P13=0,"",SER_hh_tes_in!P13/SER_hh_fec_in!P13)</f>
        <v>3.4522195325000711</v>
      </c>
      <c r="Q13" s="136">
        <f>IF(SER_hh_tes_in!Q13=0,"",SER_hh_tes_in!Q13/SER_hh_fec_in!Q13)</f>
        <v>3.6281158252129426</v>
      </c>
      <c r="R13" s="136">
        <f>IF(SER_hh_tes_in!R13=0,"",SER_hh_tes_in!R13/SER_hh_fec_in!R13)</f>
        <v>3.7989445349452153</v>
      </c>
      <c r="S13" s="136">
        <f>IF(SER_hh_tes_in!S13=0,"",SER_hh_tes_in!S13/SER_hh_fec_in!S13)</f>
        <v>3.9095792312046536</v>
      </c>
      <c r="T13" s="136">
        <f>IF(SER_hh_tes_in!T13=0,"",SER_hh_tes_in!T13/SER_hh_fec_in!T13)</f>
        <v>3.9785464350492172</v>
      </c>
      <c r="U13" s="136">
        <f>IF(SER_hh_tes_in!U13=0,"",SER_hh_tes_in!U13/SER_hh_fec_in!U13)</f>
        <v>4.0249417695222034</v>
      </c>
      <c r="V13" s="136">
        <f>IF(SER_hh_tes_in!V13=0,"",SER_hh_tes_in!V13/SER_hh_fec_in!V13)</f>
        <v>4.0676217432744872</v>
      </c>
      <c r="W13" s="136">
        <f>IF(SER_hh_tes_in!W13=0,"",SER_hh_tes_in!W13/SER_hh_fec_in!W13)</f>
        <v>4.1103264341375212</v>
      </c>
      <c r="X13" s="136">
        <f>IF(SER_hh_tes_in!X13=0,"",SER_hh_tes_in!X13/SER_hh_fec_in!X13)</f>
        <v>4.146114797900843</v>
      </c>
      <c r="Y13" s="136" t="str">
        <f>IF(SER_hh_tes_in!Y13=0,"",SER_hh_tes_in!Y13/SER_hh_fec_in!Y13)</f>
        <v/>
      </c>
      <c r="DA13" s="163" t="s">
        <v>672</v>
      </c>
    </row>
    <row r="14" spans="1:105" ht="12" customHeight="1" x14ac:dyDescent="0.25">
      <c r="A14" s="60" t="s">
        <v>76</v>
      </c>
      <c r="B14" s="137"/>
      <c r="C14" s="137">
        <f>IF(SER_hh_tes_in!C14=0,"",SER_hh_tes_in!C14/SER_hh_fec_in!C14)</f>
        <v>0.74882869169121324</v>
      </c>
      <c r="D14" s="137">
        <f>IF(SER_hh_tes_in!D14=0,"",SER_hh_tes_in!D14/SER_hh_fec_in!D14)</f>
        <v>0.75208893971534763</v>
      </c>
      <c r="E14" s="137">
        <f>IF(SER_hh_tes_in!E14=0,"",SER_hh_tes_in!E14/SER_hh_fec_in!E14)</f>
        <v>0.75534010688825892</v>
      </c>
      <c r="F14" s="137">
        <f>IF(SER_hh_tes_in!F14=0,"",SER_hh_tes_in!F14/SER_hh_fec_in!F14)</f>
        <v>0.75858971921637608</v>
      </c>
      <c r="G14" s="137">
        <f>IF(SER_hh_tes_in!G14=0,"",SER_hh_tes_in!G14/SER_hh_fec_in!G14)</f>
        <v>0.76183097461317051</v>
      </c>
      <c r="H14" s="137">
        <f>IF(SER_hh_tes_in!H14=0,"",SER_hh_tes_in!H14/SER_hh_fec_in!H14)</f>
        <v>0.76506473132433683</v>
      </c>
      <c r="I14" s="137">
        <f>IF(SER_hh_tes_in!I14=0,"",SER_hh_tes_in!I14/SER_hh_fec_in!I14)</f>
        <v>0.76828934119804349</v>
      </c>
      <c r="J14" s="137">
        <f>IF(SER_hh_tes_in!J14=0,"",SER_hh_tes_in!J14/SER_hh_fec_in!J14)</f>
        <v>0.77149799241573169</v>
      </c>
      <c r="K14" s="137">
        <f>IF(SER_hh_tes_in!K14=0,"",SER_hh_tes_in!K14/SER_hh_fec_in!K14)</f>
        <v>0.77468493794461346</v>
      </c>
      <c r="L14" s="137">
        <f>IF(SER_hh_tes_in!L14=0,"",SER_hh_tes_in!L14/SER_hh_fec_in!L14)</f>
        <v>0.77784872401557825</v>
      </c>
      <c r="M14" s="137">
        <f>IF(SER_hh_tes_in!M14=0,"",SER_hh_tes_in!M14/SER_hh_fec_in!M14)</f>
        <v>0.78040728233061807</v>
      </c>
      <c r="N14" s="137">
        <f>IF(SER_hh_tes_in!N14=0,"",SER_hh_tes_in!N14/SER_hh_fec_in!N14)</f>
        <v>0.78215030899437166</v>
      </c>
      <c r="O14" s="137">
        <f>IF(SER_hh_tes_in!O14=0,"",SER_hh_tes_in!O14/SER_hh_fec_in!O14)</f>
        <v>0.78335591854000919</v>
      </c>
      <c r="P14" s="137" t="str">
        <f>IF(SER_hh_tes_in!P14=0,"",SER_hh_tes_in!P14/SER_hh_fec_in!P14)</f>
        <v/>
      </c>
      <c r="Q14" s="137" t="str">
        <f>IF(SER_hh_tes_in!Q14=0,"",SER_hh_tes_in!Q14/SER_hh_fec_in!Q14)</f>
        <v/>
      </c>
      <c r="R14" s="137" t="str">
        <f>IF(SER_hh_tes_in!R14=0,"",SER_hh_tes_in!R14/SER_hh_fec_in!R14)</f>
        <v/>
      </c>
      <c r="S14" s="137" t="str">
        <f>IF(SER_hh_tes_in!S14=0,"",SER_hh_tes_in!S14/SER_hh_fec_in!S14)</f>
        <v/>
      </c>
      <c r="T14" s="137">
        <f>IF(SER_hh_tes_in!T14=0,"",SER_hh_tes_in!T14/SER_hh_fec_in!T14)</f>
        <v>0.84427610767149819</v>
      </c>
      <c r="U14" s="137">
        <f>IF(SER_hh_tes_in!U14=0,"",SER_hh_tes_in!U14/SER_hh_fec_in!U14)</f>
        <v>0.86478187923276928</v>
      </c>
      <c r="V14" s="137">
        <f>IF(SER_hh_tes_in!V14=0,"",SER_hh_tes_in!V14/SER_hh_fec_in!V14)</f>
        <v>0.88246313573746094</v>
      </c>
      <c r="W14" s="137">
        <f>IF(SER_hh_tes_in!W14=0,"",SER_hh_tes_in!W14/SER_hh_fec_in!W14)</f>
        <v>0.89681942509860579</v>
      </c>
      <c r="X14" s="137">
        <f>IF(SER_hh_tes_in!X14=0,"",SER_hh_tes_in!X14/SER_hh_fec_in!X14)</f>
        <v>0.91167965174686427</v>
      </c>
      <c r="Y14" s="137">
        <f>IF(SER_hh_tes_in!Y14=0,"",SER_hh_tes_in!Y14/SER_hh_fec_in!Y14)</f>
        <v>0.92569622992346356</v>
      </c>
      <c r="DA14" s="164" t="s">
        <v>673</v>
      </c>
    </row>
    <row r="15" spans="1:105" ht="12" customHeight="1" x14ac:dyDescent="0.25">
      <c r="A15" s="133" t="s">
        <v>80</v>
      </c>
      <c r="B15" s="138"/>
      <c r="C15" s="138">
        <f>IF(SER_hh_tes_in!C15=0,"",SER_hh_tes_in!C15/SER_hh_fec_in!C15)</f>
        <v>1</v>
      </c>
      <c r="D15" s="138">
        <f>IF(SER_hh_tes_in!D15=0,"",SER_hh_tes_in!D15/SER_hh_fec_in!D15)</f>
        <v>1</v>
      </c>
      <c r="E15" s="138">
        <f>IF(SER_hh_tes_in!E15=0,"",SER_hh_tes_in!E15/SER_hh_fec_in!E15)</f>
        <v>1</v>
      </c>
      <c r="F15" s="138">
        <f>IF(SER_hh_tes_in!F15=0,"",SER_hh_tes_in!F15/SER_hh_fec_in!F15)</f>
        <v>1</v>
      </c>
      <c r="G15" s="138">
        <f>IF(SER_hh_tes_in!G15=0,"",SER_hh_tes_in!G15/SER_hh_fec_in!G15)</f>
        <v>1</v>
      </c>
      <c r="H15" s="138">
        <f>IF(SER_hh_tes_in!H15=0,"",SER_hh_tes_in!H15/SER_hh_fec_in!H15)</f>
        <v>1</v>
      </c>
      <c r="I15" s="138">
        <f>IF(SER_hh_tes_in!I15=0,"",SER_hh_tes_in!I15/SER_hh_fec_in!I15)</f>
        <v>1</v>
      </c>
      <c r="J15" s="138">
        <f>IF(SER_hh_tes_in!J15=0,"",SER_hh_tes_in!J15/SER_hh_fec_in!J15)</f>
        <v>1</v>
      </c>
      <c r="K15" s="138">
        <f>IF(SER_hh_tes_in!K15=0,"",SER_hh_tes_in!K15/SER_hh_fec_in!K15)</f>
        <v>1</v>
      </c>
      <c r="L15" s="138">
        <f>IF(SER_hh_tes_in!L15=0,"",SER_hh_tes_in!L15/SER_hh_fec_in!L15)</f>
        <v>1</v>
      </c>
      <c r="M15" s="138">
        <f>IF(SER_hh_tes_in!M15=0,"",SER_hh_tes_in!M15/SER_hh_fec_in!M15)</f>
        <v>1</v>
      </c>
      <c r="N15" s="138">
        <f>IF(SER_hh_tes_in!N15=0,"",SER_hh_tes_in!N15/SER_hh_fec_in!N15)</f>
        <v>1</v>
      </c>
      <c r="O15" s="138">
        <f>IF(SER_hh_tes_in!O15=0,"",SER_hh_tes_in!O15/SER_hh_fec_in!O15)</f>
        <v>1</v>
      </c>
      <c r="P15" s="138">
        <f>IF(SER_hh_tes_in!P15=0,"",SER_hh_tes_in!P15/SER_hh_fec_in!P15)</f>
        <v>1</v>
      </c>
      <c r="Q15" s="138">
        <f>IF(SER_hh_tes_in!Q15=0,"",SER_hh_tes_in!Q15/SER_hh_fec_in!Q15)</f>
        <v>1</v>
      </c>
      <c r="R15" s="138">
        <f>IF(SER_hh_tes_in!R15=0,"",SER_hh_tes_in!R15/SER_hh_fec_in!R15)</f>
        <v>1</v>
      </c>
      <c r="S15" s="138">
        <f>IF(SER_hh_tes_in!S15=0,"",SER_hh_tes_in!S15/SER_hh_fec_in!S15)</f>
        <v>1</v>
      </c>
      <c r="T15" s="138">
        <f>IF(SER_hh_tes_in!T15=0,"",SER_hh_tes_in!T15/SER_hh_fec_in!T15)</f>
        <v>1</v>
      </c>
      <c r="U15" s="138">
        <f>IF(SER_hh_tes_in!U15=0,"",SER_hh_tes_in!U15/SER_hh_fec_in!U15)</f>
        <v>1</v>
      </c>
      <c r="V15" s="138">
        <f>IF(SER_hh_tes_in!V15=0,"",SER_hh_tes_in!V15/SER_hh_fec_in!V15)</f>
        <v>1</v>
      </c>
      <c r="W15" s="138">
        <f>IF(SER_hh_tes_in!W15=0,"",SER_hh_tes_in!W15/SER_hh_fec_in!W15)</f>
        <v>1</v>
      </c>
      <c r="X15" s="138">
        <f>IF(SER_hh_tes_in!X15=0,"",SER_hh_tes_in!X15/SER_hh_fec_in!X15)</f>
        <v>1</v>
      </c>
      <c r="Y15" s="138">
        <f>IF(SER_hh_tes_in!Y15=0,"",SER_hh_tes_in!Y15/SER_hh_fec_in!Y15)</f>
        <v>1</v>
      </c>
      <c r="DA15" s="165" t="s">
        <v>674</v>
      </c>
    </row>
    <row r="16" spans="1:105" ht="12.95" customHeight="1" x14ac:dyDescent="0.25">
      <c r="A16" s="129" t="s">
        <v>74</v>
      </c>
      <c r="B16" s="135"/>
      <c r="C16" s="135">
        <f>IF(SER_hh_tes_in!C16=0,"",SER_hh_tes_in!C16/SER_hh_fec_in!C16)</f>
        <v>2.351329146398752</v>
      </c>
      <c r="D16" s="135">
        <f>IF(SER_hh_tes_in!D16=0,"",SER_hh_tes_in!D16/SER_hh_fec_in!D16)</f>
        <v>2.4584075881132854</v>
      </c>
      <c r="E16" s="135">
        <f>IF(SER_hh_tes_in!E16=0,"",SER_hh_tes_in!E16/SER_hh_fec_in!E16)</f>
        <v>2.5441104845314473</v>
      </c>
      <c r="F16" s="135">
        <f>IF(SER_hh_tes_in!F16=0,"",SER_hh_tes_in!F16/SER_hh_fec_in!F16)</f>
        <v>2.6399807119747454</v>
      </c>
      <c r="G16" s="135">
        <f>IF(SER_hh_tes_in!G16=0,"",SER_hh_tes_in!G16/SER_hh_fec_in!G16)</f>
        <v>2.7470841787482136</v>
      </c>
      <c r="H16" s="135">
        <f>IF(SER_hh_tes_in!H16=0,"",SER_hh_tes_in!H16/SER_hh_fec_in!H16)</f>
        <v>2.8422667541365043</v>
      </c>
      <c r="I16" s="135">
        <f>IF(SER_hh_tes_in!I16=0,"",SER_hh_tes_in!I16/SER_hh_fec_in!I16)</f>
        <v>2.9447504435158303</v>
      </c>
      <c r="J16" s="135">
        <f>IF(SER_hh_tes_in!J16=0,"",SER_hh_tes_in!J16/SER_hh_fec_in!J16)</f>
        <v>3.040343265868092</v>
      </c>
      <c r="K16" s="135">
        <f>IF(SER_hh_tes_in!K16=0,"",SER_hh_tes_in!K16/SER_hh_fec_in!K16)</f>
        <v>3.1200348138914284</v>
      </c>
      <c r="L16" s="135">
        <f>IF(SER_hh_tes_in!L16=0,"",SER_hh_tes_in!L16/SER_hh_fec_in!L16)</f>
        <v>3.2352876805975503</v>
      </c>
      <c r="M16" s="135">
        <f>IF(SER_hh_tes_in!M16=0,"",SER_hh_tes_in!M16/SER_hh_fec_in!M16)</f>
        <v>3.3668278118480113</v>
      </c>
      <c r="N16" s="135">
        <f>IF(SER_hh_tes_in!N16=0,"",SER_hh_tes_in!N16/SER_hh_fec_in!N16)</f>
        <v>3.5084110085402385</v>
      </c>
      <c r="O16" s="135">
        <f>IF(SER_hh_tes_in!O16=0,"",SER_hh_tes_in!O16/SER_hh_fec_in!O16)</f>
        <v>3.6362295670559361</v>
      </c>
      <c r="P16" s="135">
        <f>IF(SER_hh_tes_in!P16=0,"",SER_hh_tes_in!P16/SER_hh_fec_in!P16)</f>
        <v>3.8049936427173621</v>
      </c>
      <c r="Q16" s="135">
        <f>IF(SER_hh_tes_in!Q16=0,"",SER_hh_tes_in!Q16/SER_hh_fec_in!Q16)</f>
        <v>3.9350815803720707</v>
      </c>
      <c r="R16" s="135">
        <f>IF(SER_hh_tes_in!R16=0,"",SER_hh_tes_in!R16/SER_hh_fec_in!R16)</f>
        <v>4.0412775837193617</v>
      </c>
      <c r="S16" s="135">
        <f>IF(SER_hh_tes_in!S16=0,"",SER_hh_tes_in!S16/SER_hh_fec_in!S16)</f>
        <v>4.1017812246092884</v>
      </c>
      <c r="T16" s="135">
        <f>IF(SER_hh_tes_in!T16=0,"",SER_hh_tes_in!T16/SER_hh_fec_in!T16)</f>
        <v>4.1398352065800053</v>
      </c>
      <c r="U16" s="135">
        <f>IF(SER_hh_tes_in!U16=0,"",SER_hh_tes_in!U16/SER_hh_fec_in!U16)</f>
        <v>4.173762915784911</v>
      </c>
      <c r="V16" s="135">
        <f>IF(SER_hh_tes_in!V16=0,"",SER_hh_tes_in!V16/SER_hh_fec_in!V16)</f>
        <v>4.2096628619466827</v>
      </c>
      <c r="W16" s="135">
        <f>IF(SER_hh_tes_in!W16=0,"",SER_hh_tes_in!W16/SER_hh_fec_in!W16)</f>
        <v>4.2463646925181147</v>
      </c>
      <c r="X16" s="135">
        <f>IF(SER_hh_tes_in!X16=0,"",SER_hh_tes_in!X16/SER_hh_fec_in!X16)</f>
        <v>4.2068796633932637</v>
      </c>
      <c r="Y16" s="135">
        <f>IF(SER_hh_tes_in!Y16=0,"",SER_hh_tes_in!Y16/SER_hh_fec_in!Y16)</f>
        <v>4.2168946588249208</v>
      </c>
      <c r="DA16" s="162" t="s">
        <v>675</v>
      </c>
    </row>
    <row r="17" spans="1:105" ht="12.95" customHeight="1" x14ac:dyDescent="0.25">
      <c r="A17" s="131" t="s">
        <v>73</v>
      </c>
      <c r="B17" s="136"/>
      <c r="C17" s="136">
        <f>IF(SER_hh_tes_in!C17=0,"",SER_hh_tes_in!C17/SER_hh_fec_in!C17)</f>
        <v>1.190024124105542</v>
      </c>
      <c r="D17" s="136">
        <f>IF(SER_hh_tes_in!D17=0,"",SER_hh_tes_in!D17/SER_hh_fec_in!D17)</f>
        <v>1.2084044107900354</v>
      </c>
      <c r="E17" s="136">
        <f>IF(SER_hh_tes_in!E17=0,"",SER_hh_tes_in!E17/SER_hh_fec_in!E17)</f>
        <v>1.2265249418794948</v>
      </c>
      <c r="F17" s="136">
        <f>IF(SER_hh_tes_in!F17=0,"",SER_hh_tes_in!F17/SER_hh_fec_in!F17)</f>
        <v>1.2442524995781081</v>
      </c>
      <c r="G17" s="136">
        <f>IF(SER_hh_tes_in!G17=0,"",SER_hh_tes_in!G17/SER_hh_fec_in!G17)</f>
        <v>1.2617442773984855</v>
      </c>
      <c r="H17" s="136">
        <f>IF(SER_hh_tes_in!H17=0,"",SER_hh_tes_in!H17/SER_hh_fec_in!H17)</f>
        <v>1.2790015718354482</v>
      </c>
      <c r="I17" s="136">
        <f>IF(SER_hh_tes_in!I17=0,"",SER_hh_tes_in!I17/SER_hh_fec_in!I17)</f>
        <v>1.2960700070583693</v>
      </c>
      <c r="J17" s="136">
        <f>IF(SER_hh_tes_in!J17=0,"",SER_hh_tes_in!J17/SER_hh_fec_in!J17)</f>
        <v>1.3130830618256097</v>
      </c>
      <c r="K17" s="136">
        <f>IF(SER_hh_tes_in!K17=0,"",SER_hh_tes_in!K17/SER_hh_fec_in!K17)</f>
        <v>1.3301477557522889</v>
      </c>
      <c r="L17" s="136">
        <f>IF(SER_hh_tes_in!L17=0,"",SER_hh_tes_in!L17/SER_hh_fec_in!L17)</f>
        <v>1.3472907741051201</v>
      </c>
      <c r="M17" s="136">
        <f>IF(SER_hh_tes_in!M17=0,"",SER_hh_tes_in!M17/SER_hh_fec_in!M17)</f>
        <v>1.3672434049561071</v>
      </c>
      <c r="N17" s="136">
        <f>IF(SER_hh_tes_in!N17=0,"",SER_hh_tes_in!N17/SER_hh_fec_in!N17)</f>
        <v>1.390000188657895</v>
      </c>
      <c r="O17" s="136">
        <f>IF(SER_hh_tes_in!O17=0,"",SER_hh_tes_in!O17/SER_hh_fec_in!O17)</f>
        <v>1.4150977557585025</v>
      </c>
      <c r="P17" s="136">
        <f>IF(SER_hh_tes_in!P17=0,"",SER_hh_tes_in!P17/SER_hh_fec_in!P17)</f>
        <v>1.4399564183014597</v>
      </c>
      <c r="Q17" s="136">
        <f>IF(SER_hh_tes_in!Q17=0,"",SER_hh_tes_in!Q17/SER_hh_fec_in!Q17)</f>
        <v>1.4587440444121027</v>
      </c>
      <c r="R17" s="136">
        <f>IF(SER_hh_tes_in!R17=0,"",SER_hh_tes_in!R17/SER_hh_fec_in!R17)</f>
        <v>1.4825756589956534</v>
      </c>
      <c r="S17" s="136">
        <f>IF(SER_hh_tes_in!S17=0,"",SER_hh_tes_in!S17/SER_hh_fec_in!S17)</f>
        <v>1.5122439359009803</v>
      </c>
      <c r="T17" s="136">
        <f>IF(SER_hh_tes_in!T17=0,"",SER_hh_tes_in!T17/SER_hh_fec_in!T17)</f>
        <v>1.5438687074203525</v>
      </c>
      <c r="U17" s="136">
        <f>IF(SER_hh_tes_in!U17=0,"",SER_hh_tes_in!U17/SER_hh_fec_in!U17)</f>
        <v>1.5727917724450284</v>
      </c>
      <c r="V17" s="136">
        <f>IF(SER_hh_tes_in!V17=0,"",SER_hh_tes_in!V17/SER_hh_fec_in!V17)</f>
        <v>1.5989732114923045</v>
      </c>
      <c r="W17" s="136">
        <f>IF(SER_hh_tes_in!W17=0,"",SER_hh_tes_in!W17/SER_hh_fec_in!W17)</f>
        <v>1.6191158604223268</v>
      </c>
      <c r="X17" s="136">
        <f>IF(SER_hh_tes_in!X17=0,"",SER_hh_tes_in!X17/SER_hh_fec_in!X17)</f>
        <v>1.6268838228772924</v>
      </c>
      <c r="Y17" s="136">
        <f>IF(SER_hh_tes_in!Y17=0,"",SER_hh_tes_in!Y17/SER_hh_fec_in!Y17)</f>
        <v>1.6281466445564055</v>
      </c>
      <c r="DA17" s="163" t="s">
        <v>676</v>
      </c>
    </row>
    <row r="18" spans="1:105" ht="12" customHeight="1" x14ac:dyDescent="0.25">
      <c r="A18" s="131" t="s">
        <v>72</v>
      </c>
      <c r="B18" s="136"/>
      <c r="C18" s="136">
        <f>IF(SER_hh_tes_in!C18=0,"",SER_hh_tes_in!C18/SER_hh_fec_in!C18)</f>
        <v>2.3660574410897928</v>
      </c>
      <c r="D18" s="136">
        <f>IF(SER_hh_tes_in!D18=0,"",SER_hh_tes_in!D18/SER_hh_fec_in!D18)</f>
        <v>2.4631936525330098</v>
      </c>
      <c r="E18" s="136">
        <f>IF(SER_hh_tes_in!E18=0,"",SER_hh_tes_in!E18/SER_hh_fec_in!E18)</f>
        <v>2.5618595438039562</v>
      </c>
      <c r="F18" s="136">
        <f>IF(SER_hh_tes_in!F18=0,"",SER_hh_tes_in!F18/SER_hh_fec_in!F18)</f>
        <v>2.6613882933005488</v>
      </c>
      <c r="G18" s="136">
        <f>IF(SER_hh_tes_in!G18=0,"",SER_hh_tes_in!G18/SER_hh_fec_in!G18)</f>
        <v>2.7623418500455124</v>
      </c>
      <c r="H18" s="136">
        <f>IF(SER_hh_tes_in!H18=0,"",SER_hh_tes_in!H18/SER_hh_fec_in!H18)</f>
        <v>2.8646243370575051</v>
      </c>
      <c r="I18" s="136">
        <f>IF(SER_hh_tes_in!I18=0,"",SER_hh_tes_in!I18/SER_hh_fec_in!I18)</f>
        <v>2.968350244942807</v>
      </c>
      <c r="J18" s="136">
        <f>IF(SER_hh_tes_in!J18=0,"",SER_hh_tes_in!J18/SER_hh_fec_in!J18)</f>
        <v>3.0740526916283022</v>
      </c>
      <c r="K18" s="136">
        <f>IF(SER_hh_tes_in!K18=0,"",SER_hh_tes_in!K18/SER_hh_fec_in!K18)</f>
        <v>3.1821547014983715</v>
      </c>
      <c r="L18" s="136">
        <f>IF(SER_hh_tes_in!L18=0,"",SER_hh_tes_in!L18/SER_hh_fec_in!L18)</f>
        <v>3.2927107170781924</v>
      </c>
      <c r="M18" s="136">
        <f>IF(SER_hh_tes_in!M18=0,"",SER_hh_tes_in!M18/SER_hh_fec_in!M18)</f>
        <v>3.4193106812189007</v>
      </c>
      <c r="N18" s="136">
        <f>IF(SER_hh_tes_in!N18=0,"",SER_hh_tes_in!N18/SER_hh_fec_in!N18)</f>
        <v>3.5660156550841031</v>
      </c>
      <c r="O18" s="136">
        <f>IF(SER_hh_tes_in!O18=0,"",SER_hh_tes_in!O18/SER_hh_fec_in!O18)</f>
        <v>3.7325790132109575</v>
      </c>
      <c r="P18" s="136">
        <f>IF(SER_hh_tes_in!P18=0,"",SER_hh_tes_in!P18/SER_hh_fec_in!P18)</f>
        <v>3.9028393826719778</v>
      </c>
      <c r="Q18" s="136">
        <f>IF(SER_hh_tes_in!Q18=0,"",SER_hh_tes_in!Q18/SER_hh_fec_in!Q18)</f>
        <v>4.0335662104383907</v>
      </c>
      <c r="R18" s="136">
        <f>IF(SER_hh_tes_in!R18=0,"",SER_hh_tes_in!R18/SER_hh_fec_in!R18)</f>
        <v>4.1563459524807236</v>
      </c>
      <c r="S18" s="136">
        <f>IF(SER_hh_tes_in!S18=0,"",SER_hh_tes_in!S18/SER_hh_fec_in!S18)</f>
        <v>4.2196916744144577</v>
      </c>
      <c r="T18" s="136">
        <f>IF(SER_hh_tes_in!T18=0,"",SER_hh_tes_in!T18/SER_hh_fec_in!T18)</f>
        <v>4.2604000949953011</v>
      </c>
      <c r="U18" s="136">
        <f>IF(SER_hh_tes_in!U18=0,"",SER_hh_tes_in!U18/SER_hh_fec_in!U18)</f>
        <v>4.2892506816981069</v>
      </c>
      <c r="V18" s="136">
        <f>IF(SER_hh_tes_in!V18=0,"",SER_hh_tes_in!V18/SER_hh_fec_in!V18)</f>
        <v>4.3175142823004897</v>
      </c>
      <c r="W18" s="136">
        <f>IF(SER_hh_tes_in!W18=0,"",SER_hh_tes_in!W18/SER_hh_fec_in!W18)</f>
        <v>4.3456071378253265</v>
      </c>
      <c r="X18" s="136">
        <f>IF(SER_hh_tes_in!X18=0,"",SER_hh_tes_in!X18/SER_hh_fec_in!X18)</f>
        <v>4.3671782433145356</v>
      </c>
      <c r="Y18" s="136">
        <f>IF(SER_hh_tes_in!Y18=0,"",SER_hh_tes_in!Y18/SER_hh_fec_in!Y18)</f>
        <v>4.3859448739145801</v>
      </c>
      <c r="DA18" s="163" t="s">
        <v>677</v>
      </c>
    </row>
    <row r="19" spans="1:105" ht="12.95" customHeight="1" x14ac:dyDescent="0.25">
      <c r="A19" s="129" t="s">
        <v>35</v>
      </c>
      <c r="B19" s="135"/>
      <c r="C19" s="135">
        <f>IF(SER_hh_tes_in!C19=0,"",SER_hh_tes_in!C19/SER_hh_fec_in!C19)</f>
        <v>0.65359789136764523</v>
      </c>
      <c r="D19" s="135">
        <f>IF(SER_hh_tes_in!D19=0,"",SER_hh_tes_in!D19/SER_hh_fec_in!D19)</f>
        <v>0.66060126287187981</v>
      </c>
      <c r="E19" s="135">
        <f>IF(SER_hh_tes_in!E19=0,"",SER_hh_tes_in!E19/SER_hh_fec_in!E19)</f>
        <v>0.66051291901648268</v>
      </c>
      <c r="F19" s="135">
        <f>IF(SER_hh_tes_in!F19=0,"",SER_hh_tes_in!F19/SER_hh_fec_in!F19)</f>
        <v>0.67954336267992688</v>
      </c>
      <c r="G19" s="135">
        <f>IF(SER_hh_tes_in!G19=0,"",SER_hh_tes_in!G19/SER_hh_fec_in!G19)</f>
        <v>0.69515027377116467</v>
      </c>
      <c r="H19" s="135">
        <f>IF(SER_hh_tes_in!H19=0,"",SER_hh_tes_in!H19/SER_hh_fec_in!H19)</f>
        <v>0.6777819011371371</v>
      </c>
      <c r="I19" s="135">
        <f>IF(SER_hh_tes_in!I19=0,"",SER_hh_tes_in!I19/SER_hh_fec_in!I19)</f>
        <v>0.70188335019255477</v>
      </c>
      <c r="J19" s="135">
        <f>IF(SER_hh_tes_in!J19=0,"",SER_hh_tes_in!J19/SER_hh_fec_in!J19)</f>
        <v>0.7444656022923235</v>
      </c>
      <c r="K19" s="135">
        <f>IF(SER_hh_tes_in!K19=0,"",SER_hh_tes_in!K19/SER_hh_fec_in!K19)</f>
        <v>0.78275650830067223</v>
      </c>
      <c r="L19" s="135">
        <f>IF(SER_hh_tes_in!L19=0,"",SER_hh_tes_in!L19/SER_hh_fec_in!L19)</f>
        <v>0.79680979530100793</v>
      </c>
      <c r="M19" s="135">
        <f>IF(SER_hh_tes_in!M19=0,"",SER_hh_tes_in!M19/SER_hh_fec_in!M19)</f>
        <v>0.72503859064557719</v>
      </c>
      <c r="N19" s="135">
        <f>IF(SER_hh_tes_in!N19=0,"",SER_hh_tes_in!N19/SER_hh_fec_in!N19)</f>
        <v>0.75019256890194708</v>
      </c>
      <c r="O19" s="135">
        <f>IF(SER_hh_tes_in!O19=0,"",SER_hh_tes_in!O19/SER_hh_fec_in!O19)</f>
        <v>0.78575867450975756</v>
      </c>
      <c r="P19" s="135">
        <f>IF(SER_hh_tes_in!P19=0,"",SER_hh_tes_in!P19/SER_hh_fec_in!P19)</f>
        <v>0.82405695785222133</v>
      </c>
      <c r="Q19" s="135">
        <f>IF(SER_hh_tes_in!Q19=0,"",SER_hh_tes_in!Q19/SER_hh_fec_in!Q19)</f>
        <v>0.78512228101927517</v>
      </c>
      <c r="R19" s="135">
        <f>IF(SER_hh_tes_in!R19=0,"",SER_hh_tes_in!R19/SER_hh_fec_in!R19)</f>
        <v>0.83420454552028456</v>
      </c>
      <c r="S19" s="135">
        <f>IF(SER_hh_tes_in!S19=0,"",SER_hh_tes_in!S19/SER_hh_fec_in!S19)</f>
        <v>0.85711692927573968</v>
      </c>
      <c r="T19" s="135">
        <f>IF(SER_hh_tes_in!T19=0,"",SER_hh_tes_in!T19/SER_hh_fec_in!T19)</f>
        <v>0.86961618289695031</v>
      </c>
      <c r="U19" s="135">
        <f>IF(SER_hh_tes_in!U19=0,"",SER_hh_tes_in!U19/SER_hh_fec_in!U19)</f>
        <v>0.90000550803154422</v>
      </c>
      <c r="V19" s="135">
        <f>IF(SER_hh_tes_in!V19=0,"",SER_hh_tes_in!V19/SER_hh_fec_in!V19)</f>
        <v>0.91612993367920537</v>
      </c>
      <c r="W19" s="135">
        <f>IF(SER_hh_tes_in!W19=0,"",SER_hh_tes_in!W19/SER_hh_fec_in!W19)</f>
        <v>0.89977346024307892</v>
      </c>
      <c r="X19" s="135">
        <f>IF(SER_hh_tes_in!X19=0,"",SER_hh_tes_in!X19/SER_hh_fec_in!X19)</f>
        <v>0.87074647372996239</v>
      </c>
      <c r="Y19" s="135">
        <f>IF(SER_hh_tes_in!Y19=0,"",SER_hh_tes_in!Y19/SER_hh_fec_in!Y19)</f>
        <v>0.90199591869846729</v>
      </c>
      <c r="DA19" s="162" t="s">
        <v>678</v>
      </c>
    </row>
    <row r="20" spans="1:105" ht="12" customHeight="1" x14ac:dyDescent="0.25">
      <c r="A20" s="131" t="s">
        <v>29</v>
      </c>
      <c r="B20" s="136"/>
      <c r="C20" s="136" t="str">
        <f>IF(SER_hh_tes_in!C20=0,"",SER_hh_tes_in!C20/SER_hh_fec_in!C20)</f>
        <v/>
      </c>
      <c r="D20" s="136" t="str">
        <f>IF(SER_hh_tes_in!D20=0,"",SER_hh_tes_in!D20/SER_hh_fec_in!D20)</f>
        <v/>
      </c>
      <c r="E20" s="136" t="str">
        <f>IF(SER_hh_tes_in!E20=0,"",SER_hh_tes_in!E20/SER_hh_fec_in!E20)</f>
        <v/>
      </c>
      <c r="F20" s="136" t="str">
        <f>IF(SER_hh_tes_in!F20=0,"",SER_hh_tes_in!F20/SER_hh_fec_in!F20)</f>
        <v/>
      </c>
      <c r="G20" s="136" t="str">
        <f>IF(SER_hh_tes_in!G20=0,"",SER_hh_tes_in!G20/SER_hh_fec_in!G20)</f>
        <v/>
      </c>
      <c r="H20" s="136" t="str">
        <f>IF(SER_hh_tes_in!H20=0,"",SER_hh_tes_in!H20/SER_hh_fec_in!H20)</f>
        <v/>
      </c>
      <c r="I20" s="136" t="str">
        <f>IF(SER_hh_tes_in!I20=0,"",SER_hh_tes_in!I20/SER_hh_fec_in!I20)</f>
        <v/>
      </c>
      <c r="J20" s="136" t="str">
        <f>IF(SER_hh_tes_in!J20=0,"",SER_hh_tes_in!J20/SER_hh_fec_in!J20)</f>
        <v/>
      </c>
      <c r="K20" s="136" t="str">
        <f>IF(SER_hh_tes_in!K20=0,"",SER_hh_tes_in!K20/SER_hh_fec_in!K20)</f>
        <v/>
      </c>
      <c r="L20" s="136" t="str">
        <f>IF(SER_hh_tes_in!L20=0,"",SER_hh_tes_in!L20/SER_hh_fec_in!L20)</f>
        <v/>
      </c>
      <c r="M20" s="136" t="str">
        <f>IF(SER_hh_tes_in!M20=0,"",SER_hh_tes_in!M20/SER_hh_fec_in!M20)</f>
        <v/>
      </c>
      <c r="N20" s="136" t="str">
        <f>IF(SER_hh_tes_in!N20=0,"",SER_hh_tes_in!N20/SER_hh_fec_in!N20)</f>
        <v/>
      </c>
      <c r="O20" s="136" t="str">
        <f>IF(SER_hh_tes_in!O20=0,"",SER_hh_tes_in!O20/SER_hh_fec_in!O20)</f>
        <v/>
      </c>
      <c r="P20" s="136" t="str">
        <f>IF(SER_hh_tes_in!P20=0,"",SER_hh_tes_in!P20/SER_hh_fec_in!P20)</f>
        <v/>
      </c>
      <c r="Q20" s="136" t="str">
        <f>IF(SER_hh_tes_in!Q20=0,"",SER_hh_tes_in!Q20/SER_hh_fec_in!Q20)</f>
        <v/>
      </c>
      <c r="R20" s="136" t="str">
        <f>IF(SER_hh_tes_in!R20=0,"",SER_hh_tes_in!R20/SER_hh_fec_in!R20)</f>
        <v/>
      </c>
      <c r="S20" s="136" t="str">
        <f>IF(SER_hh_tes_in!S20=0,"",SER_hh_tes_in!S20/SER_hh_fec_in!S20)</f>
        <v/>
      </c>
      <c r="T20" s="136" t="str">
        <f>IF(SER_hh_tes_in!T20=0,"",SER_hh_tes_in!T20/SER_hh_fec_in!T20)</f>
        <v/>
      </c>
      <c r="U20" s="136" t="str">
        <f>IF(SER_hh_tes_in!U20=0,"",SER_hh_tes_in!U20/SER_hh_fec_in!U20)</f>
        <v/>
      </c>
      <c r="V20" s="136" t="str">
        <f>IF(SER_hh_tes_in!V20=0,"",SER_hh_tes_in!V20/SER_hh_fec_in!V20)</f>
        <v/>
      </c>
      <c r="W20" s="136" t="str">
        <f>IF(SER_hh_tes_in!W20=0,"",SER_hh_tes_in!W20/SER_hh_fec_in!W20)</f>
        <v/>
      </c>
      <c r="X20" s="136" t="str">
        <f>IF(SER_hh_tes_in!X20=0,"",SER_hh_tes_in!X20/SER_hh_fec_in!X20)</f>
        <v/>
      </c>
      <c r="Y20" s="136" t="str">
        <f>IF(SER_hh_tes_in!Y20=0,"",SER_hh_tes_in!Y20/SER_hh_fec_in!Y20)</f>
        <v/>
      </c>
      <c r="DA20" s="163" t="s">
        <v>679</v>
      </c>
    </row>
    <row r="21" spans="1:105" s="2" customFormat="1" ht="12" customHeight="1" x14ac:dyDescent="0.25">
      <c r="A21" s="131" t="s">
        <v>52</v>
      </c>
      <c r="B21" s="136"/>
      <c r="C21" s="136">
        <f>IF(SER_hh_tes_in!C21=0,"",SER_hh_tes_in!C21/SER_hh_fec_in!C21)</f>
        <v>0.58133995308259456</v>
      </c>
      <c r="D21" s="136">
        <f>IF(SER_hh_tes_in!D21=0,"",SER_hh_tes_in!D21/SER_hh_fec_in!D21)</f>
        <v>0.58352745369049486</v>
      </c>
      <c r="E21" s="136">
        <f>IF(SER_hh_tes_in!E21=0,"",SER_hh_tes_in!E21/SER_hh_fec_in!E21)</f>
        <v>0.58601902656491833</v>
      </c>
      <c r="F21" s="136">
        <f>IF(SER_hh_tes_in!F21=0,"",SER_hh_tes_in!F21/SER_hh_fec_in!F21)</f>
        <v>0.58855206383932224</v>
      </c>
      <c r="G21" s="136">
        <f>IF(SER_hh_tes_in!G21=0,"",SER_hh_tes_in!G21/SER_hh_fec_in!G21)</f>
        <v>0.59136513378595368</v>
      </c>
      <c r="H21" s="136">
        <f>IF(SER_hh_tes_in!H21=0,"",SER_hh_tes_in!H21/SER_hh_fec_in!H21)</f>
        <v>0.59442903868543406</v>
      </c>
      <c r="I21" s="136">
        <f>IF(SER_hh_tes_in!I21=0,"",SER_hh_tes_in!I21/SER_hh_fec_in!I21)</f>
        <v>0.59780256176701596</v>
      </c>
      <c r="J21" s="136">
        <f>IF(SER_hh_tes_in!J21=0,"",SER_hh_tes_in!J21/SER_hh_fec_in!J21)</f>
        <v>0.60172651717233505</v>
      </c>
      <c r="K21" s="136">
        <f>IF(SER_hh_tes_in!K21=0,"",SER_hh_tes_in!K21/SER_hh_fec_in!K21)</f>
        <v>0.60640566026343379</v>
      </c>
      <c r="L21" s="136">
        <f>IF(SER_hh_tes_in!L21=0,"",SER_hh_tes_in!L21/SER_hh_fec_in!L21)</f>
        <v>0.61189477149420324</v>
      </c>
      <c r="M21" s="136">
        <f>IF(SER_hh_tes_in!M21=0,"",SER_hh_tes_in!M21/SER_hh_fec_in!M21)</f>
        <v>0.62308467279363677</v>
      </c>
      <c r="N21" s="136">
        <f>IF(SER_hh_tes_in!N21=0,"",SER_hh_tes_in!N21/SER_hh_fec_in!N21)</f>
        <v>0.64152996813196184</v>
      </c>
      <c r="O21" s="136">
        <f>IF(SER_hh_tes_in!O21=0,"",SER_hh_tes_in!O21/SER_hh_fec_in!O21)</f>
        <v>0.66849590086215405</v>
      </c>
      <c r="P21" s="136" t="str">
        <f>IF(SER_hh_tes_in!P21=0,"",SER_hh_tes_in!P21/SER_hh_fec_in!P21)</f>
        <v/>
      </c>
      <c r="Q21" s="136" t="str">
        <f>IF(SER_hh_tes_in!Q21=0,"",SER_hh_tes_in!Q21/SER_hh_fec_in!Q21)</f>
        <v/>
      </c>
      <c r="R21" s="136">
        <f>IF(SER_hh_tes_in!R21=0,"",SER_hh_tes_in!R21/SER_hh_fec_in!R21)</f>
        <v>0.74973670014821325</v>
      </c>
      <c r="S21" s="136">
        <f>IF(SER_hh_tes_in!S21=0,"",SER_hh_tes_in!S21/SER_hh_fec_in!S21)</f>
        <v>0.76752125477883615</v>
      </c>
      <c r="T21" s="136">
        <f>IF(SER_hh_tes_in!T21=0,"",SER_hh_tes_in!T21/SER_hh_fec_in!T21)</f>
        <v>0.78346529149918187</v>
      </c>
      <c r="U21" s="136">
        <f>IF(SER_hh_tes_in!U21=0,"",SER_hh_tes_in!U21/SER_hh_fec_in!U21)</f>
        <v>0.79704441901309642</v>
      </c>
      <c r="V21" s="136">
        <f>IF(SER_hh_tes_in!V21=0,"",SER_hh_tes_in!V21/SER_hh_fec_in!V21)</f>
        <v>0.80773424602440436</v>
      </c>
      <c r="W21" s="136">
        <f>IF(SER_hh_tes_in!W21=0,"",SER_hh_tes_in!W21/SER_hh_fec_in!W21)</f>
        <v>0.8143047802418153</v>
      </c>
      <c r="X21" s="136">
        <f>IF(SER_hh_tes_in!X21=0,"",SER_hh_tes_in!X21/SER_hh_fec_in!X21)</f>
        <v>0.81784717159860254</v>
      </c>
      <c r="Y21" s="136">
        <f>IF(SER_hh_tes_in!Y21=0,"",SER_hh_tes_in!Y21/SER_hh_fec_in!Y21)</f>
        <v>0.81964095187971076</v>
      </c>
      <c r="DA21" s="163" t="s">
        <v>680</v>
      </c>
    </row>
    <row r="22" spans="1:105" ht="12" customHeight="1" x14ac:dyDescent="0.25">
      <c r="A22" s="131" t="s">
        <v>161</v>
      </c>
      <c r="B22" s="136"/>
      <c r="C22" s="136">
        <f>IF(SER_hh_tes_in!C22=0,"",SER_hh_tes_in!C22/SER_hh_fec_in!C22)</f>
        <v>0.54804305441475099</v>
      </c>
      <c r="D22" s="136" t="str">
        <f>IF(SER_hh_tes_in!D22=0,"",SER_hh_tes_in!D22/SER_hh_fec_in!D22)</f>
        <v/>
      </c>
      <c r="E22" s="136" t="str">
        <f>IF(SER_hh_tes_in!E22=0,"",SER_hh_tes_in!E22/SER_hh_fec_in!E22)</f>
        <v/>
      </c>
      <c r="F22" s="136" t="str">
        <f>IF(SER_hh_tes_in!F22=0,"",SER_hh_tes_in!F22/SER_hh_fec_in!F22)</f>
        <v/>
      </c>
      <c r="G22" s="136">
        <f>IF(SER_hh_tes_in!G22=0,"",SER_hh_tes_in!G22/SER_hh_fec_in!G22)</f>
        <v>0.55838338399957743</v>
      </c>
      <c r="H22" s="136">
        <f>IF(SER_hh_tes_in!H22=0,"",SER_hh_tes_in!H22/SER_hh_fec_in!H22)</f>
        <v>0.56154360498856937</v>
      </c>
      <c r="I22" s="136">
        <f>IF(SER_hh_tes_in!I22=0,"",SER_hh_tes_in!I22/SER_hh_fec_in!I22)</f>
        <v>0.56502317723347539</v>
      </c>
      <c r="J22" s="136">
        <f>IF(SER_hh_tes_in!J22=0,"",SER_hh_tes_in!J22/SER_hh_fec_in!J22)</f>
        <v>0.56907048504445235</v>
      </c>
      <c r="K22" s="136">
        <f>IF(SER_hh_tes_in!K22=0,"",SER_hh_tes_in!K22/SER_hh_fec_in!K22)</f>
        <v>0.57389672041797679</v>
      </c>
      <c r="L22" s="136">
        <f>IF(SER_hh_tes_in!L22=0,"",SER_hh_tes_in!L22/SER_hh_fec_in!L22)</f>
        <v>0.57955838587153896</v>
      </c>
      <c r="M22" s="136">
        <f>IF(SER_hh_tes_in!M22=0,"",SER_hh_tes_in!M22/SER_hh_fec_in!M22)</f>
        <v>0.59110004989551557</v>
      </c>
      <c r="N22" s="136">
        <f>IF(SER_hh_tes_in!N22=0,"",SER_hh_tes_in!N22/SER_hh_fec_in!N22)</f>
        <v>0.61012518657198833</v>
      </c>
      <c r="O22" s="136">
        <f>IF(SER_hh_tes_in!O22=0,"",SER_hh_tes_in!O22/SER_hh_fec_in!O22)</f>
        <v>0.63793881310333067</v>
      </c>
      <c r="P22" s="136" t="str">
        <f>IF(SER_hh_tes_in!P22=0,"",SER_hh_tes_in!P22/SER_hh_fec_in!P22)</f>
        <v/>
      </c>
      <c r="Q22" s="136" t="str">
        <f>IF(SER_hh_tes_in!Q22=0,"",SER_hh_tes_in!Q22/SER_hh_fec_in!Q22)</f>
        <v/>
      </c>
      <c r="R22" s="136" t="str">
        <f>IF(SER_hh_tes_in!R22=0,"",SER_hh_tes_in!R22/SER_hh_fec_in!R22)</f>
        <v/>
      </c>
      <c r="S22" s="136" t="str">
        <f>IF(SER_hh_tes_in!S22=0,"",SER_hh_tes_in!S22/SER_hh_fec_in!S22)</f>
        <v/>
      </c>
      <c r="T22" s="136" t="str">
        <f>IF(SER_hh_tes_in!T22=0,"",SER_hh_tes_in!T22/SER_hh_fec_in!T22)</f>
        <v/>
      </c>
      <c r="U22" s="136" t="str">
        <f>IF(SER_hh_tes_in!U22=0,"",SER_hh_tes_in!U22/SER_hh_fec_in!U22)</f>
        <v/>
      </c>
      <c r="V22" s="136" t="str">
        <f>IF(SER_hh_tes_in!V22=0,"",SER_hh_tes_in!V22/SER_hh_fec_in!V22)</f>
        <v/>
      </c>
      <c r="W22" s="136">
        <f>IF(SER_hh_tes_in!W22=0,"",SER_hh_tes_in!W22/SER_hh_fec_in!W22)</f>
        <v>0.78833130115840655</v>
      </c>
      <c r="X22" s="136">
        <f>IF(SER_hh_tes_in!X22=0,"",SER_hh_tes_in!X22/SER_hh_fec_in!X22)</f>
        <v>0.79176070260030795</v>
      </c>
      <c r="Y22" s="136">
        <f>IF(SER_hh_tes_in!Y22=0,"",SER_hh_tes_in!Y22/SER_hh_fec_in!Y22)</f>
        <v>0.79349726755400829</v>
      </c>
      <c r="DA22" s="163" t="s">
        <v>681</v>
      </c>
    </row>
    <row r="23" spans="1:105" ht="12" customHeight="1" x14ac:dyDescent="0.25">
      <c r="A23" s="131" t="s">
        <v>149</v>
      </c>
      <c r="B23" s="136"/>
      <c r="C23" s="136">
        <f>IF(SER_hh_tes_in!C23=0,"",SER_hh_tes_in!C23/SER_hh_fec_in!C23)</f>
        <v>0.59361543872471245</v>
      </c>
      <c r="D23" s="136">
        <f>IF(SER_hh_tes_in!D23=0,"",SER_hh_tes_in!D23/SER_hh_fec_in!D23)</f>
        <v>0.59894580688975951</v>
      </c>
      <c r="E23" s="136">
        <f>IF(SER_hh_tes_in!E23=0,"",SER_hh_tes_in!E23/SER_hh_fec_in!E23)</f>
        <v>0.60451760935606624</v>
      </c>
      <c r="F23" s="136">
        <f>IF(SER_hh_tes_in!F23=0,"",SER_hh_tes_in!F23/SER_hh_fec_in!F23)</f>
        <v>0.61013233807660394</v>
      </c>
      <c r="G23" s="136">
        <f>IF(SER_hh_tes_in!G23=0,"",SER_hh_tes_in!G23/SER_hh_fec_in!G23)</f>
        <v>0.61596768749132869</v>
      </c>
      <c r="H23" s="136">
        <f>IF(SER_hh_tes_in!H23=0,"",SER_hh_tes_in!H23/SER_hh_fec_in!H23)</f>
        <v>0.62200006598586333</v>
      </c>
      <c r="I23" s="136">
        <f>IF(SER_hh_tes_in!I23=0,"",SER_hh_tes_in!I23/SER_hh_fec_in!I23)</f>
        <v>0.62827136939839223</v>
      </c>
      <c r="J23" s="136">
        <f>IF(SER_hh_tes_in!J23=0,"",SER_hh_tes_in!J23/SER_hh_fec_in!J23)</f>
        <v>0.63495750288048114</v>
      </c>
      <c r="K23" s="136">
        <f>IF(SER_hh_tes_in!K23=0,"",SER_hh_tes_in!K23/SER_hh_fec_in!K23)</f>
        <v>0.64220555517541245</v>
      </c>
      <c r="L23" s="136">
        <f>IF(SER_hh_tes_in!L23=0,"",SER_hh_tes_in!L23/SER_hh_fec_in!L23)</f>
        <v>0.65005047410393213</v>
      </c>
      <c r="M23" s="136">
        <f>IF(SER_hh_tes_in!M23=0,"",SER_hh_tes_in!M23/SER_hh_fec_in!M23)</f>
        <v>0.66215379442526734</v>
      </c>
      <c r="N23" s="136">
        <f>IF(SER_hh_tes_in!N23=0,"",SER_hh_tes_in!N23/SER_hh_fec_in!N23)</f>
        <v>0.67964606888508083</v>
      </c>
      <c r="O23" s="136">
        <f>IF(SER_hh_tes_in!O23=0,"",SER_hh_tes_in!O23/SER_hh_fec_in!O23)</f>
        <v>0.70333421776523597</v>
      </c>
      <c r="P23" s="136">
        <f>IF(SER_hh_tes_in!P23=0,"",SER_hh_tes_in!P23/SER_hh_fec_in!P23)</f>
        <v>0.73087724096780748</v>
      </c>
      <c r="Q23" s="136">
        <f>IF(SER_hh_tes_in!Q23=0,"",SER_hh_tes_in!Q23/SER_hh_fec_in!Q23)</f>
        <v>0.75499183534711223</v>
      </c>
      <c r="R23" s="136">
        <f>IF(SER_hh_tes_in!R23=0,"",SER_hh_tes_in!R23/SER_hh_fec_in!R23)</f>
        <v>0.76973244036315114</v>
      </c>
      <c r="S23" s="136">
        <f>IF(SER_hh_tes_in!S23=0,"",SER_hh_tes_in!S23/SER_hh_fec_in!S23)</f>
        <v>0.78228573204835805</v>
      </c>
      <c r="T23" s="136">
        <f>IF(SER_hh_tes_in!T23=0,"",SER_hh_tes_in!T23/SER_hh_fec_in!T23)</f>
        <v>0.79284875123625409</v>
      </c>
      <c r="U23" s="136">
        <f>IF(SER_hh_tes_in!U23=0,"",SER_hh_tes_in!U23/SER_hh_fec_in!U23)</f>
        <v>0.8016091347389761</v>
      </c>
      <c r="V23" s="136">
        <f>IF(SER_hh_tes_in!V23=0,"",SER_hh_tes_in!V23/SER_hh_fec_in!V23)</f>
        <v>0.80873145240388289</v>
      </c>
      <c r="W23" s="136">
        <f>IF(SER_hh_tes_in!W23=0,"",SER_hh_tes_in!W23/SER_hh_fec_in!W23)</f>
        <v>0.81344504361869097</v>
      </c>
      <c r="X23" s="136">
        <f>IF(SER_hh_tes_in!X23=0,"",SER_hh_tes_in!X23/SER_hh_fec_in!X23)</f>
        <v>0.8160926764266534</v>
      </c>
      <c r="Y23" s="136">
        <f>IF(SER_hh_tes_in!Y23=0,"",SER_hh_tes_in!Y23/SER_hh_fec_in!Y23)</f>
        <v>0.81764505807151777</v>
      </c>
      <c r="DA23" s="163" t="s">
        <v>682</v>
      </c>
    </row>
    <row r="24" spans="1:105" ht="12" customHeight="1" x14ac:dyDescent="0.25">
      <c r="A24" s="131" t="s">
        <v>128</v>
      </c>
      <c r="B24" s="136"/>
      <c r="C24" s="136" t="str">
        <f>IF(SER_hh_tes_in!C24=0,"",SER_hh_tes_in!C24/SER_hh_fec_in!C24)</f>
        <v/>
      </c>
      <c r="D24" s="136" t="str">
        <f>IF(SER_hh_tes_in!D24=0,"",SER_hh_tes_in!D24/SER_hh_fec_in!D24)</f>
        <v/>
      </c>
      <c r="E24" s="136" t="str">
        <f>IF(SER_hh_tes_in!E24=0,"",SER_hh_tes_in!E24/SER_hh_fec_in!E24)</f>
        <v/>
      </c>
      <c r="F24" s="136" t="str">
        <f>IF(SER_hh_tes_in!F24=0,"",SER_hh_tes_in!F24/SER_hh_fec_in!F24)</f>
        <v/>
      </c>
      <c r="G24" s="136" t="str">
        <f>IF(SER_hh_tes_in!G24=0,"",SER_hh_tes_in!G24/SER_hh_fec_in!G24)</f>
        <v/>
      </c>
      <c r="H24" s="136" t="str">
        <f>IF(SER_hh_tes_in!H24=0,"",SER_hh_tes_in!H24/SER_hh_fec_in!H24)</f>
        <v/>
      </c>
      <c r="I24" s="136" t="str">
        <f>IF(SER_hh_tes_in!I24=0,"",SER_hh_tes_in!I24/SER_hh_fec_in!I24)</f>
        <v/>
      </c>
      <c r="J24" s="136" t="str">
        <f>IF(SER_hh_tes_in!J24=0,"",SER_hh_tes_in!J24/SER_hh_fec_in!J24)</f>
        <v/>
      </c>
      <c r="K24" s="136" t="str">
        <f>IF(SER_hh_tes_in!K24=0,"",SER_hh_tes_in!K24/SER_hh_fec_in!K24)</f>
        <v/>
      </c>
      <c r="L24" s="136" t="str">
        <f>IF(SER_hh_tes_in!L24=0,"",SER_hh_tes_in!L24/SER_hh_fec_in!L24)</f>
        <v/>
      </c>
      <c r="M24" s="136" t="str">
        <f>IF(SER_hh_tes_in!M24=0,"",SER_hh_tes_in!M24/SER_hh_fec_in!M24)</f>
        <v/>
      </c>
      <c r="N24" s="136" t="str">
        <f>IF(SER_hh_tes_in!N24=0,"",SER_hh_tes_in!N24/SER_hh_fec_in!N24)</f>
        <v/>
      </c>
      <c r="O24" s="136" t="str">
        <f>IF(SER_hh_tes_in!O24=0,"",SER_hh_tes_in!O24/SER_hh_fec_in!O24)</f>
        <v/>
      </c>
      <c r="P24" s="136" t="str">
        <f>IF(SER_hh_tes_in!P24=0,"",SER_hh_tes_in!P24/SER_hh_fec_in!P24)</f>
        <v/>
      </c>
      <c r="Q24" s="136" t="str">
        <f>IF(SER_hh_tes_in!Q24=0,"",SER_hh_tes_in!Q24/SER_hh_fec_in!Q24)</f>
        <v/>
      </c>
      <c r="R24" s="136" t="str">
        <f>IF(SER_hh_tes_in!R24=0,"",SER_hh_tes_in!R24/SER_hh_fec_in!R24)</f>
        <v/>
      </c>
      <c r="S24" s="136" t="str">
        <f>IF(SER_hh_tes_in!S24=0,"",SER_hh_tes_in!S24/SER_hh_fec_in!S24)</f>
        <v/>
      </c>
      <c r="T24" s="136" t="str">
        <f>IF(SER_hh_tes_in!T24=0,"",SER_hh_tes_in!T24/SER_hh_fec_in!T24)</f>
        <v/>
      </c>
      <c r="U24" s="136" t="str">
        <f>IF(SER_hh_tes_in!U24=0,"",SER_hh_tes_in!U24/SER_hh_fec_in!U24)</f>
        <v/>
      </c>
      <c r="V24" s="136" t="str">
        <f>IF(SER_hh_tes_in!V24=0,"",SER_hh_tes_in!V24/SER_hh_fec_in!V24)</f>
        <v/>
      </c>
      <c r="W24" s="136" t="str">
        <f>IF(SER_hh_tes_in!W24=0,"",SER_hh_tes_in!W24/SER_hh_fec_in!W24)</f>
        <v/>
      </c>
      <c r="X24" s="136" t="str">
        <f>IF(SER_hh_tes_in!X24=0,"",SER_hh_tes_in!X24/SER_hh_fec_in!X24)</f>
        <v/>
      </c>
      <c r="Y24" s="136" t="str">
        <f>IF(SER_hh_tes_in!Y24=0,"",SER_hh_tes_in!Y24/SER_hh_fec_in!Y24)</f>
        <v/>
      </c>
      <c r="DA24" s="163" t="s">
        <v>683</v>
      </c>
    </row>
    <row r="25" spans="1:105" ht="12" customHeight="1" x14ac:dyDescent="0.25">
      <c r="A25" s="131" t="s">
        <v>162</v>
      </c>
      <c r="B25" s="136"/>
      <c r="C25" s="136" t="str">
        <f>IF(SER_hh_tes_in!C25=0,"",SER_hh_tes_in!C25/SER_hh_fec_in!C25)</f>
        <v/>
      </c>
      <c r="D25" s="136" t="str">
        <f>IF(SER_hh_tes_in!D25=0,"",SER_hh_tes_in!D25/SER_hh_fec_in!D25)</f>
        <v/>
      </c>
      <c r="E25" s="136" t="str">
        <f>IF(SER_hh_tes_in!E25=0,"",SER_hh_tes_in!E25/SER_hh_fec_in!E25)</f>
        <v/>
      </c>
      <c r="F25" s="136">
        <f>IF(SER_hh_tes_in!F25=0,"",SER_hh_tes_in!F25/SER_hh_fec_in!F25)</f>
        <v>0.81814641152667844</v>
      </c>
      <c r="G25" s="136">
        <f>IF(SER_hh_tes_in!G25=0,"",SER_hh_tes_in!G25/SER_hh_fec_in!G25)</f>
        <v>0.8207441692703763</v>
      </c>
      <c r="H25" s="136">
        <f>IF(SER_hh_tes_in!H25=0,"",SER_hh_tes_in!H25/SER_hh_fec_in!H25)</f>
        <v>0.82339673656276768</v>
      </c>
      <c r="I25" s="136">
        <f>IF(SER_hh_tes_in!I25=0,"",SER_hh_tes_in!I25/SER_hh_fec_in!I25)</f>
        <v>0.82611695803427398</v>
      </c>
      <c r="J25" s="136">
        <f>IF(SER_hh_tes_in!J25=0,"",SER_hh_tes_in!J25/SER_hh_fec_in!J25)</f>
        <v>0.82895745360198481</v>
      </c>
      <c r="K25" s="136">
        <f>IF(SER_hh_tes_in!K25=0,"",SER_hh_tes_in!K25/SER_hh_fec_in!K25)</f>
        <v>0.83196296403611003</v>
      </c>
      <c r="L25" s="136">
        <f>IF(SER_hh_tes_in!L25=0,"",SER_hh_tes_in!L25/SER_hh_fec_in!L25)</f>
        <v>0.83514545932695916</v>
      </c>
      <c r="M25" s="136">
        <f>IF(SER_hh_tes_in!M25=0,"",SER_hh_tes_in!M25/SER_hh_fec_in!M25)</f>
        <v>0.83955202136299012</v>
      </c>
      <c r="N25" s="136">
        <f>IF(SER_hh_tes_in!N25=0,"",SER_hh_tes_in!N25/SER_hh_fec_in!N25)</f>
        <v>0.84551371116895035</v>
      </c>
      <c r="O25" s="136">
        <f>IF(SER_hh_tes_in!O25=0,"",SER_hh_tes_in!O25/SER_hh_fec_in!O25)</f>
        <v>0.85332074396169832</v>
      </c>
      <c r="P25" s="136">
        <f>IF(SER_hh_tes_in!P25=0,"",SER_hh_tes_in!P25/SER_hh_fec_in!P25)</f>
        <v>0.8624209640134054</v>
      </c>
      <c r="Q25" s="136">
        <f>IF(SER_hh_tes_in!Q25=0,"",SER_hh_tes_in!Q25/SER_hh_fec_in!Q25)</f>
        <v>0.8710068128357773</v>
      </c>
      <c r="R25" s="136">
        <f>IF(SER_hh_tes_in!R25=0,"",SER_hh_tes_in!R25/SER_hh_fec_in!R25)</f>
        <v>0.87758586222820867</v>
      </c>
      <c r="S25" s="136">
        <f>IF(SER_hh_tes_in!S25=0,"",SER_hh_tes_in!S25/SER_hh_fec_in!S25)</f>
        <v>0.88398617747851138</v>
      </c>
      <c r="T25" s="136">
        <f>IF(SER_hh_tes_in!T25=0,"",SER_hh_tes_in!T25/SER_hh_fec_in!T25)</f>
        <v>0.89016499442448127</v>
      </c>
      <c r="U25" s="136">
        <f>IF(SER_hh_tes_in!U25=0,"",SER_hh_tes_in!U25/SER_hh_fec_in!U25)</f>
        <v>0.89607954890393482</v>
      </c>
      <c r="V25" s="136" t="str">
        <f>IF(SER_hh_tes_in!V25=0,"",SER_hh_tes_in!V25/SER_hh_fec_in!V25)</f>
        <v/>
      </c>
      <c r="W25" s="136" t="str">
        <f>IF(SER_hh_tes_in!W25=0,"",SER_hh_tes_in!W25/SER_hh_fec_in!W25)</f>
        <v/>
      </c>
      <c r="X25" s="136">
        <f>IF(SER_hh_tes_in!X25=0,"",SER_hh_tes_in!X25/SER_hh_fec_in!X25)</f>
        <v>0.91167964465665452</v>
      </c>
      <c r="Y25" s="136" t="str">
        <f>IF(SER_hh_tes_in!Y25=0,"",SER_hh_tes_in!Y25/SER_hh_fec_in!Y25)</f>
        <v/>
      </c>
      <c r="DA25" s="163" t="s">
        <v>684</v>
      </c>
    </row>
    <row r="26" spans="1:105" ht="12" customHeight="1" x14ac:dyDescent="0.25">
      <c r="A26" s="131" t="s">
        <v>24</v>
      </c>
      <c r="B26" s="137"/>
      <c r="C26" s="137">
        <f>IF(SER_hh_tes_in!C26=0,"",SER_hh_tes_in!C26/SER_hh_fec_in!C26)</f>
        <v>0.6903742907472753</v>
      </c>
      <c r="D26" s="137">
        <f>IF(SER_hh_tes_in!D26=0,"",SER_hh_tes_in!D26/SER_hh_fec_in!D26)</f>
        <v>0.69237926601796795</v>
      </c>
      <c r="E26" s="137">
        <f>IF(SER_hh_tes_in!E26=0,"",SER_hh_tes_in!E26/SER_hh_fec_in!E26)</f>
        <v>0.69457421736963321</v>
      </c>
      <c r="F26" s="137">
        <f>IF(SER_hh_tes_in!F26=0,"",SER_hh_tes_in!F26/SER_hh_fec_in!F26)</f>
        <v>0.69679565185874881</v>
      </c>
      <c r="G26" s="137">
        <f>IF(SER_hh_tes_in!G26=0,"",SER_hh_tes_in!G26/SER_hh_fec_in!G26)</f>
        <v>0.69919352552714131</v>
      </c>
      <c r="H26" s="137">
        <f>IF(SER_hh_tes_in!H26=0,"",SER_hh_tes_in!H26/SER_hh_fec_in!H26)</f>
        <v>0.70175091155586355</v>
      </c>
      <c r="I26" s="137">
        <f>IF(SER_hh_tes_in!I26=0,"",SER_hh_tes_in!I26/SER_hh_fec_in!I26)</f>
        <v>0.70450670072545074</v>
      </c>
      <c r="J26" s="137">
        <f>IF(SER_hh_tes_in!J26=0,"",SER_hh_tes_in!J26/SER_hh_fec_in!J26)</f>
        <v>0.70761683328280256</v>
      </c>
      <c r="K26" s="137">
        <f>IF(SER_hh_tes_in!K26=0,"",SER_hh_tes_in!K26/SER_hh_fec_in!K26)</f>
        <v>0.71121906911482624</v>
      </c>
      <c r="L26" s="137">
        <f>IF(SER_hh_tes_in!L26=0,"",SER_hh_tes_in!L26/SER_hh_fec_in!L26)</f>
        <v>0.71536077258753505</v>
      </c>
      <c r="M26" s="137">
        <f>IF(SER_hh_tes_in!M26=0,"",SER_hh_tes_in!M26/SER_hh_fec_in!M26)</f>
        <v>0.72323464973444418</v>
      </c>
      <c r="N26" s="137">
        <f>IF(SER_hh_tes_in!N26=0,"",SER_hh_tes_in!N26/SER_hh_fec_in!N26)</f>
        <v>0.73621796401243489</v>
      </c>
      <c r="O26" s="137">
        <f>IF(SER_hh_tes_in!O26=0,"",SER_hh_tes_in!O26/SER_hh_fec_in!O26)</f>
        <v>0.75601583056976118</v>
      </c>
      <c r="P26" s="137">
        <f>IF(SER_hh_tes_in!P26=0,"",SER_hh_tes_in!P26/SER_hh_fec_in!P26)</f>
        <v>0.7816896269114868</v>
      </c>
      <c r="Q26" s="137">
        <f>IF(SER_hh_tes_in!Q26=0,"",SER_hh_tes_in!Q26/SER_hh_fec_in!Q26)</f>
        <v>0.80645937803787626</v>
      </c>
      <c r="R26" s="137">
        <f>IF(SER_hh_tes_in!R26=0,"",SER_hh_tes_in!R26/SER_hh_fec_in!R26)</f>
        <v>0.82322204343860761</v>
      </c>
      <c r="S26" s="137">
        <f>IF(SER_hh_tes_in!S26=0,"",SER_hh_tes_in!S26/SER_hh_fec_in!S26)</f>
        <v>0.83946217685393087</v>
      </c>
      <c r="T26" s="137">
        <f>IF(SER_hh_tes_in!T26=0,"",SER_hh_tes_in!T26/SER_hh_fec_in!T26)</f>
        <v>0.85557627814706927</v>
      </c>
      <c r="U26" s="137">
        <f>IF(SER_hh_tes_in!U26=0,"",SER_hh_tes_in!U26/SER_hh_fec_in!U26)</f>
        <v>0.87172633792347132</v>
      </c>
      <c r="V26" s="137">
        <f>IF(SER_hh_tes_in!V26=0,"",SER_hh_tes_in!V26/SER_hh_fec_in!V26)</f>
        <v>0.8875918995263099</v>
      </c>
      <c r="W26" s="137">
        <f>IF(SER_hh_tes_in!W26=0,"",SER_hh_tes_in!W26/SER_hh_fec_in!W26)</f>
        <v>0.90208242064745447</v>
      </c>
      <c r="X26" s="137">
        <f>IF(SER_hh_tes_in!X26=0,"",SER_hh_tes_in!X26/SER_hh_fec_in!X26)</f>
        <v>0.91583902371977044</v>
      </c>
      <c r="Y26" s="137">
        <f>IF(SER_hh_tes_in!Y26=0,"",SER_hh_tes_in!Y26/SER_hh_fec_in!Y26)</f>
        <v>0.92867309825816813</v>
      </c>
      <c r="DA26" s="164" t="s">
        <v>685</v>
      </c>
    </row>
    <row r="27" spans="1:105" ht="12" customHeight="1" x14ac:dyDescent="0.25">
      <c r="A27" s="144" t="s">
        <v>26</v>
      </c>
      <c r="B27" s="148"/>
      <c r="C27" s="148">
        <f>IF(SER_hh_tes_in!C27=0,"",SER_hh_tes_in!C27/SER_hh_fec_in!C27)</f>
        <v>1</v>
      </c>
      <c r="D27" s="148">
        <f>IF(SER_hh_tes_in!D27=0,"",SER_hh_tes_in!D27/SER_hh_fec_in!D27)</f>
        <v>1</v>
      </c>
      <c r="E27" s="148">
        <f>IF(SER_hh_tes_in!E27=0,"",SER_hh_tes_in!E27/SER_hh_fec_in!E27)</f>
        <v>1</v>
      </c>
      <c r="F27" s="148">
        <f>IF(SER_hh_tes_in!F27=0,"",SER_hh_tes_in!F27/SER_hh_fec_in!F27)</f>
        <v>1</v>
      </c>
      <c r="G27" s="148">
        <f>IF(SER_hh_tes_in!G27=0,"",SER_hh_tes_in!G27/SER_hh_fec_in!G27)</f>
        <v>1</v>
      </c>
      <c r="H27" s="148">
        <f>IF(SER_hh_tes_in!H27=0,"",SER_hh_tes_in!H27/SER_hh_fec_in!H27)</f>
        <v>1</v>
      </c>
      <c r="I27" s="148">
        <f>IF(SER_hh_tes_in!I27=0,"",SER_hh_tes_in!I27/SER_hh_fec_in!I27)</f>
        <v>1</v>
      </c>
      <c r="J27" s="148">
        <f>IF(SER_hh_tes_in!J27=0,"",SER_hh_tes_in!J27/SER_hh_fec_in!J27)</f>
        <v>1</v>
      </c>
      <c r="K27" s="148">
        <f>IF(SER_hh_tes_in!K27=0,"",SER_hh_tes_in!K27/SER_hh_fec_in!K27)</f>
        <v>1</v>
      </c>
      <c r="L27" s="148">
        <f>IF(SER_hh_tes_in!L27=0,"",SER_hh_tes_in!L27/SER_hh_fec_in!L27)</f>
        <v>1</v>
      </c>
      <c r="M27" s="148">
        <f>IF(SER_hh_tes_in!M27=0,"",SER_hh_tes_in!M27/SER_hh_fec_in!M27)</f>
        <v>1</v>
      </c>
      <c r="N27" s="148">
        <f>IF(SER_hh_tes_in!N27=0,"",SER_hh_tes_in!N27/SER_hh_fec_in!N27)</f>
        <v>1</v>
      </c>
      <c r="O27" s="148">
        <f>IF(SER_hh_tes_in!O27=0,"",SER_hh_tes_in!O27/SER_hh_fec_in!O27)</f>
        <v>1</v>
      </c>
      <c r="P27" s="148">
        <f>IF(SER_hh_tes_in!P27=0,"",SER_hh_tes_in!P27/SER_hh_fec_in!P27)</f>
        <v>1</v>
      </c>
      <c r="Q27" s="148">
        <f>IF(SER_hh_tes_in!Q27=0,"",SER_hh_tes_in!Q27/SER_hh_fec_in!Q27)</f>
        <v>1</v>
      </c>
      <c r="R27" s="148">
        <f>IF(SER_hh_tes_in!R27=0,"",SER_hh_tes_in!R27/SER_hh_fec_in!R27)</f>
        <v>1</v>
      </c>
      <c r="S27" s="148">
        <f>IF(SER_hh_tes_in!S27=0,"",SER_hh_tes_in!S27/SER_hh_fec_in!S27)</f>
        <v>1</v>
      </c>
      <c r="T27" s="148">
        <f>IF(SER_hh_tes_in!T27=0,"",SER_hh_tes_in!T27/SER_hh_fec_in!T27)</f>
        <v>1</v>
      </c>
      <c r="U27" s="148">
        <f>IF(SER_hh_tes_in!U27=0,"",SER_hh_tes_in!U27/SER_hh_fec_in!U27)</f>
        <v>1</v>
      </c>
      <c r="V27" s="148">
        <f>IF(SER_hh_tes_in!V27=0,"",SER_hh_tes_in!V27/SER_hh_fec_in!V27)</f>
        <v>1</v>
      </c>
      <c r="W27" s="148">
        <f>IF(SER_hh_tes_in!W27=0,"",SER_hh_tes_in!W27/SER_hh_fec_in!W27)</f>
        <v>1</v>
      </c>
      <c r="X27" s="148" t="str">
        <f>IF(SER_hh_tes_in!X27=0,"",SER_hh_tes_in!X27/SER_hh_fec_in!X27)</f>
        <v/>
      </c>
      <c r="Y27" s="148">
        <f>IF(SER_hh_tes_in!Y27=0,"",SER_hh_tes_in!Y27/SER_hh_fec_in!Y27)</f>
        <v>1</v>
      </c>
      <c r="DA27" s="166" t="s">
        <v>686</v>
      </c>
    </row>
    <row r="28" spans="1:105" ht="12" hidden="1" customHeight="1" x14ac:dyDescent="0.25">
      <c r="A28" s="78" t="s">
        <v>26</v>
      </c>
      <c r="B28" s="149"/>
      <c r="C28" s="149"/>
      <c r="D28" s="149"/>
      <c r="E28" s="149"/>
      <c r="F28" s="149"/>
      <c r="G28" s="149"/>
      <c r="H28" s="149"/>
      <c r="I28" s="149"/>
      <c r="J28" s="149"/>
      <c r="K28" s="149"/>
      <c r="L28" s="149"/>
      <c r="M28" s="149"/>
      <c r="N28" s="149"/>
      <c r="O28" s="149"/>
      <c r="P28" s="149"/>
      <c r="Q28" s="149"/>
      <c r="R28" s="149"/>
      <c r="S28" s="149"/>
      <c r="T28" s="149"/>
      <c r="U28" s="149"/>
      <c r="V28" s="149"/>
      <c r="W28" s="149"/>
      <c r="X28" s="149"/>
      <c r="Y28" s="149"/>
      <c r="DA28" s="167"/>
    </row>
    <row r="29" spans="1:105" ht="12.95" customHeight="1" x14ac:dyDescent="0.25">
      <c r="A29" s="129" t="s">
        <v>34</v>
      </c>
      <c r="B29" s="135"/>
      <c r="C29" s="135">
        <f>IF(SER_hh_tes_in!C29=0,"",SER_hh_tes_in!C29/SER_hh_fec_in!C29)</f>
        <v>0.70857428310300641</v>
      </c>
      <c r="D29" s="135">
        <f>IF(SER_hh_tes_in!D29=0,"",SER_hh_tes_in!D29/SER_hh_fec_in!D29)</f>
        <v>0.78775095635237224</v>
      </c>
      <c r="E29" s="135">
        <f>IF(SER_hh_tes_in!E29=0,"",SER_hh_tes_in!E29/SER_hh_fec_in!E29)</f>
        <v>0.80040101743752157</v>
      </c>
      <c r="F29" s="135">
        <f>IF(SER_hh_tes_in!F29=0,"",SER_hh_tes_in!F29/SER_hh_fec_in!F29)</f>
        <v>0.77293640352952542</v>
      </c>
      <c r="G29" s="135">
        <f>IF(SER_hh_tes_in!G29=0,"",SER_hh_tes_in!G29/SER_hh_fec_in!G29)</f>
        <v>0.70327714093666749</v>
      </c>
      <c r="H29" s="135">
        <f>IF(SER_hh_tes_in!H29=0,"",SER_hh_tes_in!H29/SER_hh_fec_in!H29)</f>
        <v>0.69479784036655035</v>
      </c>
      <c r="I29" s="135">
        <f>IF(SER_hh_tes_in!I29=0,"",SER_hh_tes_in!I29/SER_hh_fec_in!I29)</f>
        <v>0.65646999646751425</v>
      </c>
      <c r="J29" s="135">
        <f>IF(SER_hh_tes_in!J29=0,"",SER_hh_tes_in!J29/SER_hh_fec_in!J29)</f>
        <v>0.67538749837587986</v>
      </c>
      <c r="K29" s="135">
        <f>IF(SER_hh_tes_in!K29=0,"",SER_hh_tes_in!K29/SER_hh_fec_in!K29)</f>
        <v>0.66066915694817085</v>
      </c>
      <c r="L29" s="135">
        <f>IF(SER_hh_tes_in!L29=0,"",SER_hh_tes_in!L29/SER_hh_fec_in!L29)</f>
        <v>0.6751559303584227</v>
      </c>
      <c r="M29" s="135">
        <f>IF(SER_hh_tes_in!M29=0,"",SER_hh_tes_in!M29/SER_hh_fec_in!M29)</f>
        <v>0.69883200479785657</v>
      </c>
      <c r="N29" s="135">
        <f>IF(SER_hh_tes_in!N29=0,"",SER_hh_tes_in!N29/SER_hh_fec_in!N29)</f>
        <v>0.70900917231630611</v>
      </c>
      <c r="O29" s="135">
        <f>IF(SER_hh_tes_in!O29=0,"",SER_hh_tes_in!O29/SER_hh_fec_in!O29)</f>
        <v>0.71217759873829878</v>
      </c>
      <c r="P29" s="135">
        <f>IF(SER_hh_tes_in!P29=0,"",SER_hh_tes_in!P29/SER_hh_fec_in!P29)</f>
        <v>0.6831293012706916</v>
      </c>
      <c r="Q29" s="135">
        <f>IF(SER_hh_tes_in!Q29=0,"",SER_hh_tes_in!Q29/SER_hh_fec_in!Q29)</f>
        <v>0.69762742765751684</v>
      </c>
      <c r="R29" s="135">
        <f>IF(SER_hh_tes_in!R29=0,"",SER_hh_tes_in!R29/SER_hh_fec_in!R29)</f>
        <v>0.69811118292202534</v>
      </c>
      <c r="S29" s="135">
        <f>IF(SER_hh_tes_in!S29=0,"",SER_hh_tes_in!S29/SER_hh_fec_in!S29)</f>
        <v>0.69732961405562177</v>
      </c>
      <c r="T29" s="135">
        <f>IF(SER_hh_tes_in!T29=0,"",SER_hh_tes_in!T29/SER_hh_fec_in!T29)</f>
        <v>0.69520660247949961</v>
      </c>
      <c r="U29" s="135">
        <f>IF(SER_hh_tes_in!U29=0,"",SER_hh_tes_in!U29/SER_hh_fec_in!U29)</f>
        <v>0.69265131449176653</v>
      </c>
      <c r="V29" s="135">
        <f>IF(SER_hh_tes_in!V29=0,"",SER_hh_tes_in!V29/SER_hh_fec_in!V29)</f>
        <v>0.71047629005774182</v>
      </c>
      <c r="W29" s="135">
        <f>IF(SER_hh_tes_in!W29=0,"",SER_hh_tes_in!W29/SER_hh_fec_in!W29)</f>
        <v>0.77358362148884263</v>
      </c>
      <c r="X29" s="135">
        <f>IF(SER_hh_tes_in!X29=0,"",SER_hh_tes_in!X29/SER_hh_fec_in!X29)</f>
        <v>0.84647919037154673</v>
      </c>
      <c r="Y29" s="135">
        <f>IF(SER_hh_tes_in!Y29=0,"",SER_hh_tes_in!Y29/SER_hh_fec_in!Y29)</f>
        <v>0.74231008949585253</v>
      </c>
      <c r="DA29" s="162" t="s">
        <v>687</v>
      </c>
    </row>
    <row r="30" spans="1:105" s="2" customFormat="1" ht="12" customHeight="1" x14ac:dyDescent="0.25">
      <c r="A30" s="131" t="s">
        <v>52</v>
      </c>
      <c r="B30" s="136"/>
      <c r="C30" s="136">
        <f>IF(SER_hh_tes_in!C30=0,"",SER_hh_tes_in!C30/SER_hh_fec_in!C30)</f>
        <v>0.620238388382226</v>
      </c>
      <c r="D30" s="136">
        <f>IF(SER_hh_tes_in!D30=0,"",SER_hh_tes_in!D30/SER_hh_fec_in!D30)</f>
        <v>0.62033195183849532</v>
      </c>
      <c r="E30" s="136">
        <f>IF(SER_hh_tes_in!E30=0,"",SER_hh_tes_in!E30/SER_hh_fec_in!E30)</f>
        <v>0.62042552372283</v>
      </c>
      <c r="F30" s="136">
        <f>IF(SER_hh_tes_in!F30=0,"",SER_hh_tes_in!F30/SER_hh_fec_in!F30)</f>
        <v>0.62051909675644634</v>
      </c>
      <c r="G30" s="136">
        <f>IF(SER_hh_tes_in!G30=0,"",SER_hh_tes_in!G30/SER_hh_fec_in!G30)</f>
        <v>0.62061267755181493</v>
      </c>
      <c r="H30" s="136">
        <f>IF(SER_hh_tes_in!H30=0,"",SER_hh_tes_in!H30/SER_hh_fec_in!H30)</f>
        <v>0.62070626529965356</v>
      </c>
      <c r="I30" s="136">
        <f>IF(SER_hh_tes_in!I30=0,"",SER_hh_tes_in!I30/SER_hh_fec_in!I30)</f>
        <v>0.62079986162927558</v>
      </c>
      <c r="J30" s="136">
        <f>IF(SER_hh_tes_in!J30=0,"",SER_hh_tes_in!J30/SER_hh_fec_in!J30)</f>
        <v>0.62089347321540078</v>
      </c>
      <c r="K30" s="136">
        <f>IF(SER_hh_tes_in!K30=0,"",SER_hh_tes_in!K30/SER_hh_fec_in!K30)</f>
        <v>0.62098710573329707</v>
      </c>
      <c r="L30" s="136">
        <f>IF(SER_hh_tes_in!L30=0,"",SER_hh_tes_in!L30/SER_hh_fec_in!L30)</f>
        <v>0.62108076070133122</v>
      </c>
      <c r="M30" s="136">
        <f>IF(SER_hh_tes_in!M30=0,"",SER_hh_tes_in!M30/SER_hh_fec_in!M30)</f>
        <v>0.62115188630431273</v>
      </c>
      <c r="N30" s="136">
        <f>IF(SER_hh_tes_in!N30=0,"",SER_hh_tes_in!N30/SER_hh_fec_in!N30)</f>
        <v>0.62119164217074685</v>
      </c>
      <c r="O30" s="136">
        <f>IF(SER_hh_tes_in!O30=0,"",SER_hh_tes_in!O30/SER_hh_fec_in!O30)</f>
        <v>0.62121540320777802</v>
      </c>
      <c r="P30" s="136">
        <f>IF(SER_hh_tes_in!P30=0,"",SER_hh_tes_in!P30/SER_hh_fec_in!P30)</f>
        <v>0.62128170445362074</v>
      </c>
      <c r="Q30" s="136">
        <f>IF(SER_hh_tes_in!Q30=0,"",SER_hh_tes_in!Q30/SER_hh_fec_in!Q30)</f>
        <v>0.62155156601247019</v>
      </c>
      <c r="R30" s="136">
        <f>IF(SER_hh_tes_in!R30=0,"",SER_hh_tes_in!R30/SER_hh_fec_in!R30)</f>
        <v>0.62226042513003432</v>
      </c>
      <c r="S30" s="136">
        <f>IF(SER_hh_tes_in!S30=0,"",SER_hh_tes_in!S30/SER_hh_fec_in!S30)</f>
        <v>0.62326035191633911</v>
      </c>
      <c r="T30" s="136">
        <f>IF(SER_hh_tes_in!T30=0,"",SER_hh_tes_in!T30/SER_hh_fec_in!T30)</f>
        <v>0.62435746765822098</v>
      </c>
      <c r="U30" s="136">
        <f>IF(SER_hh_tes_in!U30=0,"",SER_hh_tes_in!U30/SER_hh_fec_in!U30)</f>
        <v>0.62535789364251915</v>
      </c>
      <c r="V30" s="136">
        <f>IF(SER_hh_tes_in!V30=0,"",SER_hh_tes_in!V30/SER_hh_fec_in!V30)</f>
        <v>0.62606775115607149</v>
      </c>
      <c r="W30" s="136">
        <f>IF(SER_hh_tes_in!W30=0,"",SER_hh_tes_in!W30/SER_hh_fec_in!W30)</f>
        <v>0.6264089140666228</v>
      </c>
      <c r="X30" s="136">
        <f>IF(SER_hh_tes_in!X30=0,"",SER_hh_tes_in!X30/SER_hh_fec_in!X30)</f>
        <v>0.62679357175804973</v>
      </c>
      <c r="Y30" s="136">
        <f>IF(SER_hh_tes_in!Y30=0,"",SER_hh_tes_in!Y30/SER_hh_fec_in!Y30)</f>
        <v>0.62683203752719241</v>
      </c>
      <c r="DA30" s="163" t="s">
        <v>688</v>
      </c>
    </row>
    <row r="31" spans="1:105" ht="12" customHeight="1" x14ac:dyDescent="0.25">
      <c r="A31" s="131" t="s">
        <v>149</v>
      </c>
      <c r="B31" s="136"/>
      <c r="C31" s="136">
        <f>IF(SER_hh_tes_in!C31=0,"",SER_hh_tes_in!C31/SER_hh_fec_in!C31)</f>
        <v>0.63434091618557287</v>
      </c>
      <c r="D31" s="136">
        <f>IF(SER_hh_tes_in!D31=0,"",SER_hh_tes_in!D31/SER_hh_fec_in!D31)</f>
        <v>0.63443660701942495</v>
      </c>
      <c r="E31" s="136">
        <f>IF(SER_hh_tes_in!E31=0,"",SER_hh_tes_in!E31/SER_hh_fec_in!E31)</f>
        <v>0.63453230647297365</v>
      </c>
      <c r="F31" s="136">
        <f>IF(SER_hh_tes_in!F31=0,"",SER_hh_tes_in!F31/SER_hh_fec_in!F31)</f>
        <v>0.63462800710193534</v>
      </c>
      <c r="G31" s="136">
        <f>IF(SER_hh_tes_in!G31=0,"",SER_hh_tes_in!G31/SER_hh_fec_in!G31)</f>
        <v>0.63472371566913055</v>
      </c>
      <c r="H31" s="136">
        <f>IF(SER_hh_tes_in!H31=0,"",SER_hh_tes_in!H31/SER_hh_fec_in!H31)</f>
        <v>0.63481943134687613</v>
      </c>
      <c r="I31" s="136">
        <f>IF(SER_hh_tes_in!I31=0,"",SER_hh_tes_in!I31/SER_hh_fec_in!I31)</f>
        <v>0.63491515580153102</v>
      </c>
      <c r="J31" s="136">
        <f>IF(SER_hh_tes_in!J31=0,"",SER_hh_tes_in!J31/SER_hh_fec_in!J31)</f>
        <v>0.63501089585958048</v>
      </c>
      <c r="K31" s="136">
        <f>IF(SER_hh_tes_in!K31=0,"",SER_hh_tes_in!K31/SER_hh_fec_in!K31)</f>
        <v>0.63510665732533245</v>
      </c>
      <c r="L31" s="136">
        <f>IF(SER_hh_tes_in!L31=0,"",SER_hh_tes_in!L31/SER_hh_fec_in!L31)</f>
        <v>0.63520244175167717</v>
      </c>
      <c r="M31" s="136">
        <f>IF(SER_hh_tes_in!M31=0,"",SER_hh_tes_in!M31/SER_hh_fec_in!M31)</f>
        <v>0.63527518455670917</v>
      </c>
      <c r="N31" s="136">
        <f>IF(SER_hh_tes_in!N31=0,"",SER_hh_tes_in!N31/SER_hh_fec_in!N31)</f>
        <v>0.63531584436301913</v>
      </c>
      <c r="O31" s="136">
        <f>IF(SER_hh_tes_in!O31=0,"",SER_hh_tes_in!O31/SER_hh_fec_in!O31)</f>
        <v>0.63534014566116859</v>
      </c>
      <c r="P31" s="136">
        <f>IF(SER_hh_tes_in!P31=0,"",SER_hh_tes_in!P31/SER_hh_fec_in!P31)</f>
        <v>0.63540795441635045</v>
      </c>
      <c r="Q31" s="136">
        <f>IF(SER_hh_tes_in!Q31=0,"",SER_hh_tes_in!Q31/SER_hh_fec_in!Q31)</f>
        <v>0.63568395189037052</v>
      </c>
      <c r="R31" s="136">
        <f>IF(SER_hh_tes_in!R31=0,"",SER_hh_tes_in!R31/SER_hh_fec_in!R31)</f>
        <v>0.63640892852919972</v>
      </c>
      <c r="S31" s="136">
        <f>IF(SER_hh_tes_in!S31=0,"",SER_hh_tes_in!S31/SER_hh_fec_in!S31)</f>
        <v>0.63743159092098989</v>
      </c>
      <c r="T31" s="136">
        <f>IF(SER_hh_tes_in!T31=0,"",SER_hh_tes_in!T31/SER_hh_fec_in!T31)</f>
        <v>0.63855365207989723</v>
      </c>
      <c r="U31" s="136">
        <f>IF(SER_hh_tes_in!U31=0,"",SER_hh_tes_in!U31/SER_hh_fec_in!U31)</f>
        <v>0.6395768250200804</v>
      </c>
      <c r="V31" s="136">
        <f>IF(SER_hh_tes_in!V31=0,"",SER_hh_tes_in!V31/SER_hh_fec_in!V31)</f>
        <v>0.64030282275569705</v>
      </c>
      <c r="W31" s="136">
        <f>IF(SER_hh_tes_in!W31=0,"",SER_hh_tes_in!W31/SER_hh_fec_in!W31)</f>
        <v>0.64065174277951586</v>
      </c>
      <c r="X31" s="136">
        <f>IF(SER_hh_tes_in!X31=0,"",SER_hh_tes_in!X31/SER_hh_fec_in!X31)</f>
        <v>0.64104794523008546</v>
      </c>
      <c r="Y31" s="136">
        <f>IF(SER_hh_tes_in!Y31=0,"",SER_hh_tes_in!Y31/SER_hh_fec_in!Y31)</f>
        <v>0.64108756547514245</v>
      </c>
      <c r="DA31" s="163" t="s">
        <v>689</v>
      </c>
    </row>
    <row r="32" spans="1:105" ht="12" customHeight="1" x14ac:dyDescent="0.25">
      <c r="A32" s="131" t="s">
        <v>128</v>
      </c>
      <c r="B32" s="136"/>
      <c r="C32" s="136" t="str">
        <f>IF(SER_hh_tes_in!C32=0,"",SER_hh_tes_in!C32/SER_hh_fec_in!C32)</f>
        <v/>
      </c>
      <c r="D32" s="136" t="str">
        <f>IF(SER_hh_tes_in!D32=0,"",SER_hh_tes_in!D32/SER_hh_fec_in!D32)</f>
        <v/>
      </c>
      <c r="E32" s="136" t="str">
        <f>IF(SER_hh_tes_in!E32=0,"",SER_hh_tes_in!E32/SER_hh_fec_in!E32)</f>
        <v/>
      </c>
      <c r="F32" s="136" t="str">
        <f>IF(SER_hh_tes_in!F32=0,"",SER_hh_tes_in!F32/SER_hh_fec_in!F32)</f>
        <v/>
      </c>
      <c r="G32" s="136" t="str">
        <f>IF(SER_hh_tes_in!G32=0,"",SER_hh_tes_in!G32/SER_hh_fec_in!G32)</f>
        <v/>
      </c>
      <c r="H32" s="136" t="str">
        <f>IF(SER_hh_tes_in!H32=0,"",SER_hh_tes_in!H32/SER_hh_fec_in!H32)</f>
        <v/>
      </c>
      <c r="I32" s="136" t="str">
        <f>IF(SER_hh_tes_in!I32=0,"",SER_hh_tes_in!I32/SER_hh_fec_in!I32)</f>
        <v/>
      </c>
      <c r="J32" s="136" t="str">
        <f>IF(SER_hh_tes_in!J32=0,"",SER_hh_tes_in!J32/SER_hh_fec_in!J32)</f>
        <v/>
      </c>
      <c r="K32" s="136" t="str">
        <f>IF(SER_hh_tes_in!K32=0,"",SER_hh_tes_in!K32/SER_hh_fec_in!K32)</f>
        <v/>
      </c>
      <c r="L32" s="136" t="str">
        <f>IF(SER_hh_tes_in!L32=0,"",SER_hh_tes_in!L32/SER_hh_fec_in!L32)</f>
        <v/>
      </c>
      <c r="M32" s="136" t="str">
        <f>IF(SER_hh_tes_in!M32=0,"",SER_hh_tes_in!M32/SER_hh_fec_in!M32)</f>
        <v/>
      </c>
      <c r="N32" s="136" t="str">
        <f>IF(SER_hh_tes_in!N32=0,"",SER_hh_tes_in!N32/SER_hh_fec_in!N32)</f>
        <v/>
      </c>
      <c r="O32" s="136" t="str">
        <f>IF(SER_hh_tes_in!O32=0,"",SER_hh_tes_in!O32/SER_hh_fec_in!O32)</f>
        <v/>
      </c>
      <c r="P32" s="136" t="str">
        <f>IF(SER_hh_tes_in!P32=0,"",SER_hh_tes_in!P32/SER_hh_fec_in!P32)</f>
        <v/>
      </c>
      <c r="Q32" s="136" t="str">
        <f>IF(SER_hh_tes_in!Q32=0,"",SER_hh_tes_in!Q32/SER_hh_fec_in!Q32)</f>
        <v/>
      </c>
      <c r="R32" s="136" t="str">
        <f>IF(SER_hh_tes_in!R32=0,"",SER_hh_tes_in!R32/SER_hh_fec_in!R32)</f>
        <v/>
      </c>
      <c r="S32" s="136" t="str">
        <f>IF(SER_hh_tes_in!S32=0,"",SER_hh_tes_in!S32/SER_hh_fec_in!S32)</f>
        <v/>
      </c>
      <c r="T32" s="136" t="str">
        <f>IF(SER_hh_tes_in!T32=0,"",SER_hh_tes_in!T32/SER_hh_fec_in!T32)</f>
        <v/>
      </c>
      <c r="U32" s="136" t="str">
        <f>IF(SER_hh_tes_in!U32=0,"",SER_hh_tes_in!U32/SER_hh_fec_in!U32)</f>
        <v/>
      </c>
      <c r="V32" s="136" t="str">
        <f>IF(SER_hh_tes_in!V32=0,"",SER_hh_tes_in!V32/SER_hh_fec_in!V32)</f>
        <v/>
      </c>
      <c r="W32" s="136" t="str">
        <f>IF(SER_hh_tes_in!W32=0,"",SER_hh_tes_in!W32/SER_hh_fec_in!W32)</f>
        <v/>
      </c>
      <c r="X32" s="136" t="str">
        <f>IF(SER_hh_tes_in!X32=0,"",SER_hh_tes_in!X32/SER_hh_fec_in!X32)</f>
        <v/>
      </c>
      <c r="Y32" s="136" t="str">
        <f>IF(SER_hh_tes_in!Y32=0,"",SER_hh_tes_in!Y32/SER_hh_fec_in!Y32)</f>
        <v/>
      </c>
      <c r="DA32" s="163" t="s">
        <v>690</v>
      </c>
    </row>
    <row r="33" spans="1:105" ht="12" customHeight="1" x14ac:dyDescent="0.25">
      <c r="A33" s="62" t="s">
        <v>24</v>
      </c>
      <c r="B33" s="149"/>
      <c r="C33" s="149">
        <f>IF(SER_hh_tes_in!C33=0,"",SER_hh_tes_in!C33/SER_hh_fec_in!C33)</f>
        <v>0.83563810403143024</v>
      </c>
      <c r="D33" s="149">
        <f>IF(SER_hh_tes_in!D33=0,"",SER_hh_tes_in!D33/SER_hh_fec_in!D33)</f>
        <v>0.83661088380233195</v>
      </c>
      <c r="E33" s="149">
        <f>IF(SER_hh_tes_in!E33=0,"",SER_hh_tes_in!E33/SER_hh_fec_in!E33)</f>
        <v>0.83762953036446519</v>
      </c>
      <c r="F33" s="149">
        <f>IF(SER_hh_tes_in!F33=0,"",SER_hh_tes_in!F33/SER_hh_fec_in!F33)</f>
        <v>0.83865443148903929</v>
      </c>
      <c r="G33" s="149">
        <f>IF(SER_hh_tes_in!G33=0,"",SER_hh_tes_in!G33/SER_hh_fec_in!G33)</f>
        <v>0.8397215732304969</v>
      </c>
      <c r="H33" s="149">
        <f>IF(SER_hh_tes_in!H33=0,"",SER_hh_tes_in!H33/SER_hh_fec_in!H33)</f>
        <v>0.84082655135390238</v>
      </c>
      <c r="I33" s="149">
        <f>IF(SER_hh_tes_in!I33=0,"",SER_hh_tes_in!I33/SER_hh_fec_in!I33)</f>
        <v>0.84197823282412232</v>
      </c>
      <c r="J33" s="149">
        <f>IF(SER_hh_tes_in!J33=0,"",SER_hh_tes_in!J33/SER_hh_fec_in!J33)</f>
        <v>0.84321294246645639</v>
      </c>
      <c r="K33" s="149">
        <f>IF(SER_hh_tes_in!K33=0,"",SER_hh_tes_in!K33/SER_hh_fec_in!K33)</f>
        <v>0.84456156593697507</v>
      </c>
      <c r="L33" s="149">
        <f>IF(SER_hh_tes_in!L33=0,"",SER_hh_tes_in!L33/SER_hh_fec_in!L33)</f>
        <v>0.84603236641492496</v>
      </c>
      <c r="M33" s="149">
        <f>IF(SER_hh_tes_in!M33=0,"",SER_hh_tes_in!M33/SER_hh_fec_in!M33)</f>
        <v>0.84813528608434174</v>
      </c>
      <c r="N33" s="149">
        <f>IF(SER_hh_tes_in!N33=0,"",SER_hh_tes_in!N33/SER_hh_fec_in!N33)</f>
        <v>0.85101550063831188</v>
      </c>
      <c r="O33" s="149">
        <f>IF(SER_hh_tes_in!O33=0,"",SER_hh_tes_in!O33/SER_hh_fec_in!O33)</f>
        <v>0.85501727052334298</v>
      </c>
      <c r="P33" s="149">
        <f>IF(SER_hh_tes_in!P33=0,"",SER_hh_tes_in!P33/SER_hh_fec_in!P33)</f>
        <v>0.86030944490266181</v>
      </c>
      <c r="Q33" s="149">
        <f>IF(SER_hh_tes_in!Q33=0,"",SER_hh_tes_in!Q33/SER_hh_fec_in!Q33)</f>
        <v>0.86715757016760087</v>
      </c>
      <c r="R33" s="149">
        <f>IF(SER_hh_tes_in!R33=0,"",SER_hh_tes_in!R33/SER_hh_fec_in!R33)</f>
        <v>0.87647623137819097</v>
      </c>
      <c r="S33" s="149">
        <f>IF(SER_hh_tes_in!S33=0,"",SER_hh_tes_in!S33/SER_hh_fec_in!S33)</f>
        <v>0.88813691854186505</v>
      </c>
      <c r="T33" s="149">
        <f>IF(SER_hh_tes_in!T33=0,"",SER_hh_tes_in!T33/SER_hh_fec_in!T33)</f>
        <v>0.90069028860923261</v>
      </c>
      <c r="U33" s="149">
        <f>IF(SER_hh_tes_in!U33=0,"",SER_hh_tes_in!U33/SER_hh_fec_in!U33)</f>
        <v>0.9126869985309366</v>
      </c>
      <c r="V33" s="149">
        <f>IF(SER_hh_tes_in!V33=0,"",SER_hh_tes_in!V33/SER_hh_fec_in!V33)</f>
        <v>0.92267770525760406</v>
      </c>
      <c r="W33" s="149">
        <f>IF(SER_hh_tes_in!W33=0,"",SER_hh_tes_in!W33/SER_hh_fec_in!W33)</f>
        <v>0.93015884087214984</v>
      </c>
      <c r="X33" s="149">
        <f>IF(SER_hh_tes_in!X33=0,"",SER_hh_tes_in!X33/SER_hh_fec_in!X33)</f>
        <v>0.93478181194647036</v>
      </c>
      <c r="Y33" s="149">
        <f>IF(SER_hh_tes_in!Y33=0,"",SER_hh_tes_in!Y33/SER_hh_fec_in!Y33)</f>
        <v>0.938881443391683</v>
      </c>
      <c r="DA33" s="167" t="s">
        <v>691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692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84</v>
      </c>
      <c r="B3" s="125"/>
      <c r="C3" s="125">
        <f t="shared" ref="C3:Q3" si="0">SUM(C4,C16,C19,C29)</f>
        <v>285.7553706221093</v>
      </c>
      <c r="D3" s="125">
        <f t="shared" si="0"/>
        <v>249.71372642074306</v>
      </c>
      <c r="E3" s="125">
        <f t="shared" si="0"/>
        <v>249.18246642329103</v>
      </c>
      <c r="F3" s="125">
        <f t="shared" si="0"/>
        <v>145.71498411183958</v>
      </c>
      <c r="G3" s="125">
        <f t="shared" si="0"/>
        <v>153.30894854041182</v>
      </c>
      <c r="H3" s="125">
        <f t="shared" si="0"/>
        <v>439.80675976395884</v>
      </c>
      <c r="I3" s="125">
        <f t="shared" si="0"/>
        <v>364.41056875915814</v>
      </c>
      <c r="J3" s="125">
        <f t="shared" si="0"/>
        <v>191.32608343422993</v>
      </c>
      <c r="K3" s="125">
        <f t="shared" si="0"/>
        <v>69.199472475687131</v>
      </c>
      <c r="L3" s="125">
        <f t="shared" si="0"/>
        <v>139.68620954177845</v>
      </c>
      <c r="M3" s="125">
        <f t="shared" si="0"/>
        <v>108.42685616301311</v>
      </c>
      <c r="N3" s="125">
        <f t="shared" si="0"/>
        <v>66.966518064022509</v>
      </c>
      <c r="O3" s="125">
        <f t="shared" si="0"/>
        <v>24.274015892579925</v>
      </c>
      <c r="P3" s="125">
        <f t="shared" si="0"/>
        <v>76.161910945826804</v>
      </c>
      <c r="Q3" s="125">
        <f t="shared" si="0"/>
        <v>35.865518510538351</v>
      </c>
      <c r="R3" s="125">
        <f t="shared" ref="R3:W3" si="1">SUM(R4,R16,R19,R29)</f>
        <v>37.277160911463469</v>
      </c>
      <c r="S3" s="125">
        <f t="shared" si="1"/>
        <v>154.82239180855936</v>
      </c>
      <c r="T3" s="125">
        <f t="shared" si="1"/>
        <v>141.55310228647562</v>
      </c>
      <c r="U3" s="125">
        <f t="shared" si="1"/>
        <v>110.59490889810327</v>
      </c>
      <c r="V3" s="125">
        <f t="shared" si="1"/>
        <v>67.19094826529151</v>
      </c>
      <c r="W3" s="125">
        <f t="shared" si="1"/>
        <v>25.67663642099291</v>
      </c>
      <c r="X3" s="125">
        <f t="shared" ref="X3:Y3" si="2">SUM(X4,X16,X19,X29)</f>
        <v>29.324043807636045</v>
      </c>
      <c r="Y3" s="125">
        <f t="shared" si="2"/>
        <v>49.195397221520516</v>
      </c>
      <c r="DA3" s="154" t="s">
        <v>693</v>
      </c>
    </row>
    <row r="4" spans="1:105" ht="12.95" customHeight="1" x14ac:dyDescent="0.25">
      <c r="A4" s="129" t="s">
        <v>32</v>
      </c>
      <c r="B4" s="130"/>
      <c r="C4" s="130">
        <f t="shared" ref="C4:Q4" si="3">SUM(C5:C15)</f>
        <v>217.18137602663867</v>
      </c>
      <c r="D4" s="130">
        <f t="shared" si="3"/>
        <v>207.26219748464851</v>
      </c>
      <c r="E4" s="130">
        <f t="shared" si="3"/>
        <v>217.14757237640342</v>
      </c>
      <c r="F4" s="130">
        <f t="shared" si="3"/>
        <v>115.97065347007906</v>
      </c>
      <c r="G4" s="130">
        <f t="shared" si="3"/>
        <v>115.65407745682575</v>
      </c>
      <c r="H4" s="130">
        <f t="shared" si="3"/>
        <v>333.21372235955579</v>
      </c>
      <c r="I4" s="130">
        <f t="shared" si="3"/>
        <v>253.18604136928619</v>
      </c>
      <c r="J4" s="130">
        <f t="shared" si="3"/>
        <v>145.47689928807102</v>
      </c>
      <c r="K4" s="130">
        <f t="shared" si="3"/>
        <v>47.447770376489274</v>
      </c>
      <c r="L4" s="130">
        <f t="shared" si="3"/>
        <v>93.107831347574091</v>
      </c>
      <c r="M4" s="130">
        <f t="shared" si="3"/>
        <v>53.737980505452626</v>
      </c>
      <c r="N4" s="130">
        <f t="shared" si="3"/>
        <v>32.971965785023741</v>
      </c>
      <c r="O4" s="130">
        <f t="shared" si="3"/>
        <v>6.7159884437527069</v>
      </c>
      <c r="P4" s="130">
        <f t="shared" si="3"/>
        <v>3.1013106730937885</v>
      </c>
      <c r="Q4" s="130">
        <f t="shared" si="3"/>
        <v>1.6966812739859427</v>
      </c>
      <c r="R4" s="130">
        <f t="shared" ref="R4:W4" si="4">SUM(R5:R15)</f>
        <v>10.209688670376901</v>
      </c>
      <c r="S4" s="130">
        <f t="shared" si="4"/>
        <v>105.91212739237169</v>
      </c>
      <c r="T4" s="130">
        <f t="shared" si="4"/>
        <v>101.60307571318614</v>
      </c>
      <c r="U4" s="130">
        <f t="shared" si="4"/>
        <v>74.408644914770761</v>
      </c>
      <c r="V4" s="130">
        <f t="shared" si="4"/>
        <v>41.419999312595216</v>
      </c>
      <c r="W4" s="130">
        <f t="shared" si="4"/>
        <v>10.03937945732341</v>
      </c>
      <c r="X4" s="130">
        <f t="shared" ref="X4:Y4" si="5">SUM(X5:X15)</f>
        <v>13.758117162360248</v>
      </c>
      <c r="Y4" s="130">
        <f t="shared" si="5"/>
        <v>22.473600741423805</v>
      </c>
      <c r="DA4" s="155" t="s">
        <v>694</v>
      </c>
    </row>
    <row r="5" spans="1:105" ht="12" customHeight="1" x14ac:dyDescent="0.25">
      <c r="A5" s="131" t="s">
        <v>29</v>
      </c>
      <c r="B5" s="132"/>
      <c r="C5" s="132">
        <v>0</v>
      </c>
      <c r="D5" s="132">
        <v>0</v>
      </c>
      <c r="E5" s="132">
        <v>0</v>
      </c>
      <c r="F5" s="132">
        <v>0</v>
      </c>
      <c r="G5" s="132">
        <v>0</v>
      </c>
      <c r="H5" s="132">
        <v>0</v>
      </c>
      <c r="I5" s="132">
        <v>0</v>
      </c>
      <c r="J5" s="132">
        <v>0</v>
      </c>
      <c r="K5" s="132">
        <v>0</v>
      </c>
      <c r="L5" s="132">
        <v>0</v>
      </c>
      <c r="M5" s="132">
        <v>0</v>
      </c>
      <c r="N5" s="132">
        <v>0</v>
      </c>
      <c r="O5" s="132">
        <v>0</v>
      </c>
      <c r="P5" s="132">
        <v>0</v>
      </c>
      <c r="Q5" s="132">
        <v>0</v>
      </c>
      <c r="R5" s="132">
        <v>0</v>
      </c>
      <c r="S5" s="132">
        <v>0</v>
      </c>
      <c r="T5" s="132">
        <v>0</v>
      </c>
      <c r="U5" s="132">
        <v>0</v>
      </c>
      <c r="V5" s="132">
        <v>0</v>
      </c>
      <c r="W5" s="132">
        <v>0</v>
      </c>
      <c r="X5" s="132">
        <v>0</v>
      </c>
      <c r="Y5" s="132">
        <v>0</v>
      </c>
      <c r="DA5" s="156" t="s">
        <v>695</v>
      </c>
    </row>
    <row r="6" spans="1:105" ht="12" customHeight="1" x14ac:dyDescent="0.25">
      <c r="A6" s="131" t="s">
        <v>52</v>
      </c>
      <c r="B6" s="132"/>
      <c r="C6" s="132">
        <v>8.3161281248926677</v>
      </c>
      <c r="D6" s="132">
        <v>9.4275490805595901</v>
      </c>
      <c r="E6" s="132">
        <v>9.1159271514373383</v>
      </c>
      <c r="F6" s="132">
        <v>3.953990357613018</v>
      </c>
      <c r="G6" s="132">
        <v>2.5295246622259011</v>
      </c>
      <c r="H6" s="132">
        <v>5.759887654478975</v>
      </c>
      <c r="I6" s="132">
        <v>8.5663376694179316</v>
      </c>
      <c r="J6" s="132">
        <v>6.5857404688710668</v>
      </c>
      <c r="K6" s="132">
        <v>3.2513876021888706</v>
      </c>
      <c r="L6" s="132">
        <v>5.9901716530429612</v>
      </c>
      <c r="M6" s="132">
        <v>4.0487747379477783</v>
      </c>
      <c r="N6" s="132">
        <v>0.86954840113062126</v>
      </c>
      <c r="O6" s="132">
        <v>0.57035582076019697</v>
      </c>
      <c r="P6" s="132">
        <v>0</v>
      </c>
      <c r="Q6" s="132">
        <v>0</v>
      </c>
      <c r="R6" s="132">
        <v>0</v>
      </c>
      <c r="S6" s="132">
        <v>1.9170253183648882</v>
      </c>
      <c r="T6" s="132">
        <v>2.1964294882355353</v>
      </c>
      <c r="U6" s="132">
        <v>2.9490492246844302</v>
      </c>
      <c r="V6" s="132">
        <v>2.3370474223393383</v>
      </c>
      <c r="W6" s="132">
        <v>2.2334364035989571</v>
      </c>
      <c r="X6" s="132">
        <v>1.0781814865581645</v>
      </c>
      <c r="Y6" s="132">
        <v>1.1101512900927448</v>
      </c>
      <c r="DA6" s="156" t="s">
        <v>696</v>
      </c>
    </row>
    <row r="7" spans="1:105" ht="12" customHeight="1" x14ac:dyDescent="0.25">
      <c r="A7" s="131" t="s">
        <v>161</v>
      </c>
      <c r="B7" s="132"/>
      <c r="C7" s="132">
        <v>13.893013243256528</v>
      </c>
      <c r="D7" s="132">
        <v>22.795272619956801</v>
      </c>
      <c r="E7" s="132">
        <v>29.887356978055582</v>
      </c>
      <c r="F7" s="132">
        <v>17.060121198039401</v>
      </c>
      <c r="G7" s="132">
        <v>9.4075506948019356</v>
      </c>
      <c r="H7" s="132">
        <v>17.486467436693616</v>
      </c>
      <c r="I7" s="132">
        <v>2.3288065590413982</v>
      </c>
      <c r="J7" s="132">
        <v>0</v>
      </c>
      <c r="K7" s="132">
        <v>0</v>
      </c>
      <c r="L7" s="132">
        <v>0</v>
      </c>
      <c r="M7" s="132">
        <v>0</v>
      </c>
      <c r="N7" s="132">
        <v>2.3409114982868924</v>
      </c>
      <c r="O7" s="132">
        <v>0.69597766508785441</v>
      </c>
      <c r="P7" s="132">
        <v>1.368925385549761</v>
      </c>
      <c r="Q7" s="132">
        <v>1.0633516488946873</v>
      </c>
      <c r="R7" s="132">
        <v>2.7561454322185739</v>
      </c>
      <c r="S7" s="132">
        <v>0.85163096291955609</v>
      </c>
      <c r="T7" s="132">
        <v>3.3518319011717534</v>
      </c>
      <c r="U7" s="132">
        <v>2.2385117724616173</v>
      </c>
      <c r="V7" s="132">
        <v>2.4373485295445754</v>
      </c>
      <c r="W7" s="132">
        <v>3.9174046252298416</v>
      </c>
      <c r="X7" s="132">
        <v>3.2102358770275883</v>
      </c>
      <c r="Y7" s="132">
        <v>0.70425352823681697</v>
      </c>
      <c r="DA7" s="156" t="s">
        <v>697</v>
      </c>
    </row>
    <row r="8" spans="1:105" ht="12" customHeight="1" x14ac:dyDescent="0.25">
      <c r="A8" s="131" t="s">
        <v>73</v>
      </c>
      <c r="B8" s="132"/>
      <c r="C8" s="132">
        <v>0.26603352530279262</v>
      </c>
      <c r="D8" s="132">
        <v>0.35507020046415766</v>
      </c>
      <c r="E8" s="132">
        <v>0.27634776256314975</v>
      </c>
      <c r="F8" s="132">
        <v>0.1816729052307669</v>
      </c>
      <c r="G8" s="132">
        <v>0.14224824658292878</v>
      </c>
      <c r="H8" s="132">
        <v>0.40943201580703525</v>
      </c>
      <c r="I8" s="132">
        <v>0.42801746415530034</v>
      </c>
      <c r="J8" s="132">
        <v>0.18591190290958823</v>
      </c>
      <c r="K8" s="132">
        <v>0.12434067320402925</v>
      </c>
      <c r="L8" s="132">
        <v>0.36182288004828456</v>
      </c>
      <c r="M8" s="132">
        <v>0.64815837343180616</v>
      </c>
      <c r="N8" s="132">
        <v>0.52245165557151196</v>
      </c>
      <c r="O8" s="132">
        <v>0.39874822551252875</v>
      </c>
      <c r="P8" s="132">
        <v>1.7323852875440273</v>
      </c>
      <c r="Q8" s="132">
        <v>0.63332962509125534</v>
      </c>
      <c r="R8" s="132">
        <v>0.35269767352966275</v>
      </c>
      <c r="S8" s="132">
        <v>0.29424036564065448</v>
      </c>
      <c r="T8" s="132">
        <v>0.37734460870669206</v>
      </c>
      <c r="U8" s="132">
        <v>0.62844520865970344</v>
      </c>
      <c r="V8" s="132">
        <v>0.66402949268066758</v>
      </c>
      <c r="W8" s="132">
        <v>0.47449953476251644</v>
      </c>
      <c r="X8" s="132">
        <v>0.16241461236404328</v>
      </c>
      <c r="Y8" s="132">
        <v>0.10336037922641722</v>
      </c>
      <c r="DA8" s="156" t="s">
        <v>698</v>
      </c>
    </row>
    <row r="9" spans="1:105" ht="12" customHeight="1" x14ac:dyDescent="0.25">
      <c r="A9" s="131" t="s">
        <v>78</v>
      </c>
      <c r="B9" s="132"/>
      <c r="C9" s="132">
        <v>194.70620113318668</v>
      </c>
      <c r="D9" s="132">
        <v>174.68430558366796</v>
      </c>
      <c r="E9" s="132">
        <v>177.86794048434734</v>
      </c>
      <c r="F9" s="132">
        <v>94.774869009195868</v>
      </c>
      <c r="G9" s="132">
        <v>103.57475385321499</v>
      </c>
      <c r="H9" s="132">
        <v>309.55793525257616</v>
      </c>
      <c r="I9" s="132">
        <v>241.86287967667155</v>
      </c>
      <c r="J9" s="132">
        <v>138.70524691629038</v>
      </c>
      <c r="K9" s="132">
        <v>44.072042101096372</v>
      </c>
      <c r="L9" s="132">
        <v>86.755836814482848</v>
      </c>
      <c r="M9" s="132">
        <v>49.04104739407304</v>
      </c>
      <c r="N9" s="132">
        <v>29.239054230034718</v>
      </c>
      <c r="O9" s="132">
        <v>5.0509067323921268</v>
      </c>
      <c r="P9" s="132">
        <v>0</v>
      </c>
      <c r="Q9" s="132">
        <v>0</v>
      </c>
      <c r="R9" s="132">
        <v>7.1008455646286643</v>
      </c>
      <c r="S9" s="132">
        <v>102.84923074544659</v>
      </c>
      <c r="T9" s="132">
        <v>95.677469715072164</v>
      </c>
      <c r="U9" s="132">
        <v>68.592638708965012</v>
      </c>
      <c r="V9" s="132">
        <v>35.981573868030637</v>
      </c>
      <c r="W9" s="132">
        <v>3.23535135362726</v>
      </c>
      <c r="X9" s="132">
        <v>9.109096385035107</v>
      </c>
      <c r="Y9" s="132">
        <v>20.441116254139622</v>
      </c>
      <c r="DA9" s="156" t="s">
        <v>699</v>
      </c>
    </row>
    <row r="10" spans="1:105" ht="12" customHeight="1" x14ac:dyDescent="0.25">
      <c r="A10" s="131" t="s">
        <v>128</v>
      </c>
      <c r="B10" s="132"/>
      <c r="C10" s="132">
        <v>0</v>
      </c>
      <c r="D10" s="132">
        <v>0</v>
      </c>
      <c r="E10" s="132">
        <v>0</v>
      </c>
      <c r="F10" s="132">
        <v>0</v>
      </c>
      <c r="G10" s="132">
        <v>0</v>
      </c>
      <c r="H10" s="132">
        <v>0</v>
      </c>
      <c r="I10" s="132">
        <v>0</v>
      </c>
      <c r="J10" s="132">
        <v>0</v>
      </c>
      <c r="K10" s="132">
        <v>0</v>
      </c>
      <c r="L10" s="132">
        <v>0</v>
      </c>
      <c r="M10" s="132">
        <v>0</v>
      </c>
      <c r="N10" s="132">
        <v>0</v>
      </c>
      <c r="O10" s="132">
        <v>0</v>
      </c>
      <c r="P10" s="132">
        <v>0</v>
      </c>
      <c r="Q10" s="132">
        <v>0</v>
      </c>
      <c r="R10" s="132">
        <v>0</v>
      </c>
      <c r="S10" s="132">
        <v>0</v>
      </c>
      <c r="T10" s="132">
        <v>0</v>
      </c>
      <c r="U10" s="132">
        <v>0</v>
      </c>
      <c r="V10" s="132">
        <v>0</v>
      </c>
      <c r="W10" s="132">
        <v>0.17868754010483315</v>
      </c>
      <c r="X10" s="132">
        <v>0.198188801375347</v>
      </c>
      <c r="Y10" s="132">
        <v>0.11471928972820368</v>
      </c>
      <c r="DA10" s="156" t="s">
        <v>700</v>
      </c>
    </row>
    <row r="11" spans="1:105" ht="12" customHeight="1" x14ac:dyDescent="0.25">
      <c r="A11" s="131" t="s">
        <v>25</v>
      </c>
      <c r="B11" s="132"/>
      <c r="C11" s="132">
        <v>0</v>
      </c>
      <c r="D11" s="132">
        <v>0</v>
      </c>
      <c r="E11" s="132">
        <v>0</v>
      </c>
      <c r="F11" s="132">
        <v>0</v>
      </c>
      <c r="G11" s="132">
        <v>0</v>
      </c>
      <c r="H11" s="132">
        <v>0</v>
      </c>
      <c r="I11" s="132">
        <v>0</v>
      </c>
      <c r="J11" s="132">
        <v>0</v>
      </c>
      <c r="K11" s="132">
        <v>0</v>
      </c>
      <c r="L11" s="132">
        <v>0</v>
      </c>
      <c r="M11" s="132">
        <v>0</v>
      </c>
      <c r="N11" s="132">
        <v>0</v>
      </c>
      <c r="O11" s="132">
        <v>0</v>
      </c>
      <c r="P11" s="132">
        <v>0</v>
      </c>
      <c r="Q11" s="132">
        <v>0</v>
      </c>
      <c r="R11" s="132">
        <v>0</v>
      </c>
      <c r="S11" s="132">
        <v>0</v>
      </c>
      <c r="T11" s="132">
        <v>0</v>
      </c>
      <c r="U11" s="132">
        <v>0</v>
      </c>
      <c r="V11" s="132">
        <v>0</v>
      </c>
      <c r="W11" s="132">
        <v>0</v>
      </c>
      <c r="X11" s="132">
        <v>0</v>
      </c>
      <c r="Y11" s="132">
        <v>0</v>
      </c>
      <c r="DA11" s="156" t="s">
        <v>701</v>
      </c>
    </row>
    <row r="12" spans="1:105" ht="12" customHeight="1" x14ac:dyDescent="0.25">
      <c r="A12" s="131" t="s">
        <v>162</v>
      </c>
      <c r="B12" s="132"/>
      <c r="C12" s="132">
        <v>0</v>
      </c>
      <c r="D12" s="132">
        <v>0</v>
      </c>
      <c r="E12" s="132">
        <v>0</v>
      </c>
      <c r="F12" s="132">
        <v>0</v>
      </c>
      <c r="G12" s="132">
        <v>0</v>
      </c>
      <c r="H12" s="132">
        <v>0</v>
      </c>
      <c r="I12" s="132">
        <v>0</v>
      </c>
      <c r="J12" s="132">
        <v>0</v>
      </c>
      <c r="K12" s="132">
        <v>0</v>
      </c>
      <c r="L12" s="132">
        <v>0</v>
      </c>
      <c r="M12" s="132">
        <v>0</v>
      </c>
      <c r="N12" s="132">
        <v>0</v>
      </c>
      <c r="O12" s="132">
        <v>0</v>
      </c>
      <c r="P12" s="132">
        <v>0</v>
      </c>
      <c r="Q12" s="132">
        <v>0</v>
      </c>
      <c r="R12" s="132">
        <v>0</v>
      </c>
      <c r="S12" s="132">
        <v>0</v>
      </c>
      <c r="T12" s="132">
        <v>0</v>
      </c>
      <c r="U12" s="132">
        <v>0</v>
      </c>
      <c r="V12" s="132">
        <v>0</v>
      </c>
      <c r="W12" s="132">
        <v>0</v>
      </c>
      <c r="X12" s="132">
        <v>0</v>
      </c>
      <c r="Y12" s="132">
        <v>0</v>
      </c>
      <c r="DA12" s="156" t="s">
        <v>702</v>
      </c>
    </row>
    <row r="13" spans="1:105" ht="12" customHeight="1" x14ac:dyDescent="0.25">
      <c r="A13" s="131" t="s">
        <v>77</v>
      </c>
      <c r="B13" s="132"/>
      <c r="C13" s="132">
        <v>0</v>
      </c>
      <c r="D13" s="132">
        <v>0</v>
      </c>
      <c r="E13" s="132">
        <v>0</v>
      </c>
      <c r="F13" s="132">
        <v>0</v>
      </c>
      <c r="G13" s="132">
        <v>0</v>
      </c>
      <c r="H13" s="132">
        <v>0</v>
      </c>
      <c r="I13" s="132">
        <v>0</v>
      </c>
      <c r="J13" s="132">
        <v>0</v>
      </c>
      <c r="K13" s="132">
        <v>0</v>
      </c>
      <c r="L13" s="132">
        <v>0</v>
      </c>
      <c r="M13" s="132">
        <v>0</v>
      </c>
      <c r="N13" s="132">
        <v>0</v>
      </c>
      <c r="O13" s="132">
        <v>0</v>
      </c>
      <c r="P13" s="132">
        <v>0</v>
      </c>
      <c r="Q13" s="132">
        <v>0</v>
      </c>
      <c r="R13" s="132">
        <v>0</v>
      </c>
      <c r="S13" s="132">
        <v>0</v>
      </c>
      <c r="T13" s="132">
        <v>0</v>
      </c>
      <c r="U13" s="132">
        <v>0</v>
      </c>
      <c r="V13" s="132">
        <v>0</v>
      </c>
      <c r="W13" s="132">
        <v>0</v>
      </c>
      <c r="X13" s="132">
        <v>0</v>
      </c>
      <c r="Y13" s="132">
        <v>0</v>
      </c>
      <c r="DA13" s="156" t="s">
        <v>703</v>
      </c>
    </row>
    <row r="14" spans="1:105" ht="12" customHeight="1" x14ac:dyDescent="0.25">
      <c r="A14" s="60" t="s">
        <v>76</v>
      </c>
      <c r="B14" s="65"/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X14" s="65">
        <v>0</v>
      </c>
      <c r="Y14" s="65">
        <v>0</v>
      </c>
      <c r="DA14" s="109" t="s">
        <v>704</v>
      </c>
    </row>
    <row r="15" spans="1:105" ht="12" customHeight="1" x14ac:dyDescent="0.25">
      <c r="A15" s="133" t="s">
        <v>80</v>
      </c>
      <c r="B15" s="134"/>
      <c r="C15" s="134">
        <v>0</v>
      </c>
      <c r="D15" s="134">
        <v>0</v>
      </c>
      <c r="E15" s="134">
        <v>0</v>
      </c>
      <c r="F15" s="134">
        <v>0</v>
      </c>
      <c r="G15" s="134">
        <v>0</v>
      </c>
      <c r="H15" s="134">
        <v>0</v>
      </c>
      <c r="I15" s="134">
        <v>0</v>
      </c>
      <c r="J15" s="134">
        <v>0</v>
      </c>
      <c r="K15" s="134">
        <v>0</v>
      </c>
      <c r="L15" s="134">
        <v>0</v>
      </c>
      <c r="M15" s="134">
        <v>0</v>
      </c>
      <c r="N15" s="134">
        <v>0</v>
      </c>
      <c r="O15" s="134">
        <v>0</v>
      </c>
      <c r="P15" s="134">
        <v>0</v>
      </c>
      <c r="Q15" s="134">
        <v>0</v>
      </c>
      <c r="R15" s="134">
        <v>0</v>
      </c>
      <c r="S15" s="134">
        <v>0</v>
      </c>
      <c r="T15" s="134">
        <v>0</v>
      </c>
      <c r="U15" s="134">
        <v>0</v>
      </c>
      <c r="V15" s="134">
        <v>0</v>
      </c>
      <c r="W15" s="134">
        <v>0</v>
      </c>
      <c r="X15" s="134">
        <v>0</v>
      </c>
      <c r="Y15" s="134">
        <v>0</v>
      </c>
      <c r="DA15" s="157" t="s">
        <v>705</v>
      </c>
    </row>
    <row r="16" spans="1:105" ht="12.95" customHeight="1" x14ac:dyDescent="0.25">
      <c r="A16" s="129" t="s">
        <v>74</v>
      </c>
      <c r="B16" s="130"/>
      <c r="C16" s="130">
        <f t="shared" ref="C16:Q16" si="6">SUM(C17:C18)</f>
        <v>0.30988999309257442</v>
      </c>
      <c r="D16" s="130">
        <f t="shared" si="6"/>
        <v>8.1602502832953117E-2</v>
      </c>
      <c r="E16" s="130">
        <f t="shared" si="6"/>
        <v>0.4589781243795934</v>
      </c>
      <c r="F16" s="130">
        <f t="shared" si="6"/>
        <v>0.16889776741826226</v>
      </c>
      <c r="G16" s="130">
        <f t="shared" si="6"/>
        <v>8.6793873989198661E-2</v>
      </c>
      <c r="H16" s="130">
        <f t="shared" si="6"/>
        <v>0.40181311814698822</v>
      </c>
      <c r="I16" s="130">
        <f t="shared" si="6"/>
        <v>0.3005788401787276</v>
      </c>
      <c r="J16" s="130">
        <f t="shared" si="6"/>
        <v>0.20048118139934398</v>
      </c>
      <c r="K16" s="130">
        <f t="shared" si="6"/>
        <v>0.14933967817445817</v>
      </c>
      <c r="L16" s="130">
        <f t="shared" si="6"/>
        <v>0.23842249284546177</v>
      </c>
      <c r="M16" s="130">
        <f t="shared" si="6"/>
        <v>0.26982045048334652</v>
      </c>
      <c r="N16" s="130">
        <f t="shared" si="6"/>
        <v>0.26529127872027586</v>
      </c>
      <c r="O16" s="130">
        <f t="shared" si="6"/>
        <v>0.1227644731861816</v>
      </c>
      <c r="P16" s="130">
        <f t="shared" si="6"/>
        <v>0.38414774098595822</v>
      </c>
      <c r="Q16" s="130">
        <f t="shared" si="6"/>
        <v>0.28255643397969166</v>
      </c>
      <c r="R16" s="130">
        <f t="shared" ref="R16:W16" si="7">SUM(R17:R18)</f>
        <v>0.13974392974995395</v>
      </c>
      <c r="S16" s="130">
        <f t="shared" si="7"/>
        <v>0.37251073518012889</v>
      </c>
      <c r="T16" s="130">
        <f t="shared" si="7"/>
        <v>0.23926301191763366</v>
      </c>
      <c r="U16" s="130">
        <f t="shared" si="7"/>
        <v>0.2636640675315598</v>
      </c>
      <c r="V16" s="130">
        <f t="shared" si="7"/>
        <v>0.14921523045928159</v>
      </c>
      <c r="W16" s="130">
        <f t="shared" si="7"/>
        <v>0.14034795227057592</v>
      </c>
      <c r="X16" s="130">
        <f t="shared" ref="X16:Y16" si="8">SUM(X17:X18)</f>
        <v>0.2420980790390431</v>
      </c>
      <c r="Y16" s="130">
        <f t="shared" si="8"/>
        <v>0.20028067837613872</v>
      </c>
      <c r="DA16" s="155" t="s">
        <v>706</v>
      </c>
    </row>
    <row r="17" spans="1:105" ht="12.95" customHeight="1" x14ac:dyDescent="0.25">
      <c r="A17" s="131" t="s">
        <v>73</v>
      </c>
      <c r="B17" s="132"/>
      <c r="C17" s="132">
        <v>0.30988999309257442</v>
      </c>
      <c r="D17" s="132">
        <v>8.1602502832953117E-2</v>
      </c>
      <c r="E17" s="132">
        <v>0.4589781243795934</v>
      </c>
      <c r="F17" s="132">
        <v>0.16889776741826226</v>
      </c>
      <c r="G17" s="132">
        <v>8.6793873989198661E-2</v>
      </c>
      <c r="H17" s="132">
        <v>0.40181311814698822</v>
      </c>
      <c r="I17" s="132">
        <v>0.3005788401787276</v>
      </c>
      <c r="J17" s="132">
        <v>0.20048118139934398</v>
      </c>
      <c r="K17" s="132">
        <v>0.14933967817445817</v>
      </c>
      <c r="L17" s="132">
        <v>0.23842249284546177</v>
      </c>
      <c r="M17" s="132">
        <v>0.26982045048334652</v>
      </c>
      <c r="N17" s="132">
        <v>0.26529127872027586</v>
      </c>
      <c r="O17" s="132">
        <v>0.1227644731861816</v>
      </c>
      <c r="P17" s="132">
        <v>0.38414774098595822</v>
      </c>
      <c r="Q17" s="132">
        <v>0.28255643397969166</v>
      </c>
      <c r="R17" s="132">
        <v>0.13974392974995395</v>
      </c>
      <c r="S17" s="132">
        <v>0.37251073518012889</v>
      </c>
      <c r="T17" s="132">
        <v>0.23926301191763366</v>
      </c>
      <c r="U17" s="132">
        <v>0.2636640675315598</v>
      </c>
      <c r="V17" s="132">
        <v>0.14921523045928159</v>
      </c>
      <c r="W17" s="132">
        <v>0.14034795227057592</v>
      </c>
      <c r="X17" s="132">
        <v>0.2420980790390431</v>
      </c>
      <c r="Y17" s="132">
        <v>0.20028067837613872</v>
      </c>
      <c r="DA17" s="156" t="s">
        <v>707</v>
      </c>
    </row>
    <row r="18" spans="1:105" ht="12" customHeight="1" x14ac:dyDescent="0.25">
      <c r="A18" s="131" t="s">
        <v>72</v>
      </c>
      <c r="B18" s="132"/>
      <c r="C18" s="132">
        <v>0</v>
      </c>
      <c r="D18" s="132">
        <v>0</v>
      </c>
      <c r="E18" s="132">
        <v>0</v>
      </c>
      <c r="F18" s="132">
        <v>0</v>
      </c>
      <c r="G18" s="132">
        <v>0</v>
      </c>
      <c r="H18" s="132">
        <v>0</v>
      </c>
      <c r="I18" s="132">
        <v>0</v>
      </c>
      <c r="J18" s="132">
        <v>0</v>
      </c>
      <c r="K18" s="132">
        <v>0</v>
      </c>
      <c r="L18" s="132">
        <v>0</v>
      </c>
      <c r="M18" s="132">
        <v>0</v>
      </c>
      <c r="N18" s="132">
        <v>0</v>
      </c>
      <c r="O18" s="132">
        <v>0</v>
      </c>
      <c r="P18" s="132">
        <v>0</v>
      </c>
      <c r="Q18" s="132">
        <v>0</v>
      </c>
      <c r="R18" s="132">
        <v>0</v>
      </c>
      <c r="S18" s="132">
        <v>0</v>
      </c>
      <c r="T18" s="132">
        <v>0</v>
      </c>
      <c r="U18" s="132">
        <v>0</v>
      </c>
      <c r="V18" s="132">
        <v>0</v>
      </c>
      <c r="W18" s="132">
        <v>0</v>
      </c>
      <c r="X18" s="132">
        <v>0</v>
      </c>
      <c r="Y18" s="132">
        <v>0</v>
      </c>
      <c r="DA18" s="156" t="s">
        <v>708</v>
      </c>
    </row>
    <row r="19" spans="1:105" ht="12.95" customHeight="1" x14ac:dyDescent="0.25">
      <c r="A19" s="129" t="s">
        <v>35</v>
      </c>
      <c r="B19" s="130"/>
      <c r="C19" s="130">
        <f t="shared" ref="C19:Q19" si="9">SUM(C20:C27)</f>
        <v>27.71758318939445</v>
      </c>
      <c r="D19" s="130">
        <f t="shared" si="9"/>
        <v>28.014452177472354</v>
      </c>
      <c r="E19" s="130">
        <f t="shared" si="9"/>
        <v>22.700916272588309</v>
      </c>
      <c r="F19" s="130">
        <f t="shared" si="9"/>
        <v>17.693673960057424</v>
      </c>
      <c r="G19" s="130">
        <f t="shared" si="9"/>
        <v>16.171121220971589</v>
      </c>
      <c r="H19" s="130">
        <f t="shared" si="9"/>
        <v>39.492628804040983</v>
      </c>
      <c r="I19" s="130">
        <f t="shared" si="9"/>
        <v>31.972079287448391</v>
      </c>
      <c r="J19" s="130">
        <f t="shared" si="9"/>
        <v>15.850716417763037</v>
      </c>
      <c r="K19" s="130">
        <f t="shared" si="9"/>
        <v>6.5577923336665735</v>
      </c>
      <c r="L19" s="130">
        <f t="shared" si="9"/>
        <v>14.33752580856765</v>
      </c>
      <c r="M19" s="130">
        <f t="shared" si="9"/>
        <v>20.237233702630803</v>
      </c>
      <c r="N19" s="130">
        <f t="shared" si="9"/>
        <v>13.373496995670481</v>
      </c>
      <c r="O19" s="130">
        <f t="shared" si="9"/>
        <v>6.7124784799932247</v>
      </c>
      <c r="P19" s="130">
        <f t="shared" si="9"/>
        <v>17.337514924585992</v>
      </c>
      <c r="Q19" s="130">
        <f t="shared" si="9"/>
        <v>10.835075154882503</v>
      </c>
      <c r="R19" s="130">
        <f t="shared" ref="R19:W19" si="10">SUM(R20:R27)</f>
        <v>9.7941078164501398</v>
      </c>
      <c r="S19" s="130">
        <f t="shared" si="10"/>
        <v>16.665254951081902</v>
      </c>
      <c r="T19" s="130">
        <f t="shared" si="10"/>
        <v>11.214006406819811</v>
      </c>
      <c r="U19" s="130">
        <f t="shared" si="10"/>
        <v>8.9803936077966711</v>
      </c>
      <c r="V19" s="130">
        <f t="shared" si="10"/>
        <v>6.1672022759246756</v>
      </c>
      <c r="W19" s="130">
        <f t="shared" si="10"/>
        <v>0.49470633671601943</v>
      </c>
      <c r="X19" s="130">
        <f t="shared" ref="X19:Y19" si="11">SUM(X20:X27)</f>
        <v>7.9979367819277076</v>
      </c>
      <c r="Y19" s="130">
        <f t="shared" si="11"/>
        <v>8.8312997530694179</v>
      </c>
      <c r="DA19" s="155" t="s">
        <v>709</v>
      </c>
    </row>
    <row r="20" spans="1:105" ht="12" customHeight="1" x14ac:dyDescent="0.25">
      <c r="A20" s="131" t="s">
        <v>29</v>
      </c>
      <c r="B20" s="132"/>
      <c r="C20" s="132">
        <v>0</v>
      </c>
      <c r="D20" s="132">
        <v>0</v>
      </c>
      <c r="E20" s="132">
        <v>0</v>
      </c>
      <c r="F20" s="132">
        <v>0</v>
      </c>
      <c r="G20" s="132">
        <v>0</v>
      </c>
      <c r="H20" s="132">
        <v>0</v>
      </c>
      <c r="I20" s="132">
        <v>0</v>
      </c>
      <c r="J20" s="132">
        <v>0</v>
      </c>
      <c r="K20" s="132">
        <v>0</v>
      </c>
      <c r="L20" s="132">
        <v>0</v>
      </c>
      <c r="M20" s="132">
        <v>0</v>
      </c>
      <c r="N20" s="132">
        <v>0</v>
      </c>
      <c r="O20" s="132">
        <v>0</v>
      </c>
      <c r="P20" s="132">
        <v>0</v>
      </c>
      <c r="Q20" s="132">
        <v>0</v>
      </c>
      <c r="R20" s="132">
        <v>0</v>
      </c>
      <c r="S20" s="132">
        <v>0</v>
      </c>
      <c r="T20" s="132">
        <v>0</v>
      </c>
      <c r="U20" s="132">
        <v>0</v>
      </c>
      <c r="V20" s="132">
        <v>0</v>
      </c>
      <c r="W20" s="132">
        <v>0</v>
      </c>
      <c r="X20" s="132">
        <v>0</v>
      </c>
      <c r="Y20" s="132">
        <v>0</v>
      </c>
      <c r="DA20" s="156" t="s">
        <v>710</v>
      </c>
    </row>
    <row r="21" spans="1:105" s="2" customFormat="1" ht="12" customHeight="1" x14ac:dyDescent="0.25">
      <c r="A21" s="131" t="s">
        <v>52</v>
      </c>
      <c r="B21" s="132"/>
      <c r="C21" s="132">
        <v>2.3166512674244206</v>
      </c>
      <c r="D21" s="132">
        <v>0.96470605337223891</v>
      </c>
      <c r="E21" s="132">
        <v>1.1644794696449678</v>
      </c>
      <c r="F21" s="132">
        <v>1.3565805218253248</v>
      </c>
      <c r="G21" s="132">
        <v>1.3022570473632669</v>
      </c>
      <c r="H21" s="132">
        <v>2.8961579372437583</v>
      </c>
      <c r="I21" s="132">
        <v>1.3457886570533444</v>
      </c>
      <c r="J21" s="132">
        <v>0.78765163576977359</v>
      </c>
      <c r="K21" s="132">
        <v>0.28062449027035202</v>
      </c>
      <c r="L21" s="132">
        <v>0.67937703144366379</v>
      </c>
      <c r="M21" s="132">
        <v>0.94048566608807482</v>
      </c>
      <c r="N21" s="132">
        <v>0.3779351708924808</v>
      </c>
      <c r="O21" s="132">
        <v>0.1838827597325525</v>
      </c>
      <c r="P21" s="132">
        <v>0</v>
      </c>
      <c r="Q21" s="132">
        <v>0</v>
      </c>
      <c r="R21" s="132">
        <v>0.25933973657227971</v>
      </c>
      <c r="S21" s="132">
        <v>0.85888584823830971</v>
      </c>
      <c r="T21" s="132">
        <v>0.5982961368008316</v>
      </c>
      <c r="U21" s="132">
        <v>0.53451426735063556</v>
      </c>
      <c r="V21" s="132">
        <v>0.34505626868048961</v>
      </c>
      <c r="W21" s="132">
        <v>0.26116471651921486</v>
      </c>
      <c r="X21" s="132">
        <v>0.20556701355057455</v>
      </c>
      <c r="Y21" s="132">
        <v>0.35685342633245859</v>
      </c>
      <c r="DA21" s="156" t="s">
        <v>711</v>
      </c>
    </row>
    <row r="22" spans="1:105" ht="12" customHeight="1" x14ac:dyDescent="0.25">
      <c r="A22" s="131" t="s">
        <v>161</v>
      </c>
      <c r="B22" s="132"/>
      <c r="C22" s="132">
        <v>0.41972603081309984</v>
      </c>
      <c r="D22" s="132">
        <v>0</v>
      </c>
      <c r="E22" s="132">
        <v>0</v>
      </c>
      <c r="F22" s="132">
        <v>0</v>
      </c>
      <c r="G22" s="132">
        <v>0.55962151659696768</v>
      </c>
      <c r="H22" s="132">
        <v>3.6294308263778485</v>
      </c>
      <c r="I22" s="132">
        <v>2.7956344936243833</v>
      </c>
      <c r="J22" s="132">
        <v>1.2023495651091347</v>
      </c>
      <c r="K22" s="132">
        <v>0.32076641293854108</v>
      </c>
      <c r="L22" s="132">
        <v>0.89595723612807521</v>
      </c>
      <c r="M22" s="132">
        <v>1.7745333352614669</v>
      </c>
      <c r="N22" s="132">
        <v>1.3634253312424467</v>
      </c>
      <c r="O22" s="132">
        <v>0.67490886347100942</v>
      </c>
      <c r="P22" s="132">
        <v>0</v>
      </c>
      <c r="Q22" s="132">
        <v>0</v>
      </c>
      <c r="R22" s="132">
        <v>0</v>
      </c>
      <c r="S22" s="132">
        <v>0</v>
      </c>
      <c r="T22" s="132">
        <v>0</v>
      </c>
      <c r="U22" s="132">
        <v>0</v>
      </c>
      <c r="V22" s="132">
        <v>0</v>
      </c>
      <c r="W22" s="132">
        <v>0.2090603191341257</v>
      </c>
      <c r="X22" s="132">
        <v>0.45105907939136192</v>
      </c>
      <c r="Y22" s="132">
        <v>0.51599189931239831</v>
      </c>
      <c r="DA22" s="156" t="s">
        <v>712</v>
      </c>
    </row>
    <row r="23" spans="1:105" ht="12" customHeight="1" x14ac:dyDescent="0.25">
      <c r="A23" s="131" t="s">
        <v>149</v>
      </c>
      <c r="B23" s="132"/>
      <c r="C23" s="132">
        <v>24.981205891156929</v>
      </c>
      <c r="D23" s="132">
        <v>27.049746124100114</v>
      </c>
      <c r="E23" s="132">
        <v>21.536436802943342</v>
      </c>
      <c r="F23" s="132">
        <v>16.337093438232099</v>
      </c>
      <c r="G23" s="132">
        <v>14.309242657011353</v>
      </c>
      <c r="H23" s="132">
        <v>32.967040040419377</v>
      </c>
      <c r="I23" s="132">
        <v>27.830656136770664</v>
      </c>
      <c r="J23" s="132">
        <v>13.860715216884129</v>
      </c>
      <c r="K23" s="132">
        <v>5.9564014304576807</v>
      </c>
      <c r="L23" s="132">
        <v>12.762191540995911</v>
      </c>
      <c r="M23" s="132">
        <v>17.522214701281261</v>
      </c>
      <c r="N23" s="132">
        <v>11.632136493535553</v>
      </c>
      <c r="O23" s="132">
        <v>5.8536868567896629</v>
      </c>
      <c r="P23" s="132">
        <v>17.337514924585992</v>
      </c>
      <c r="Q23" s="132">
        <v>10.835075154882503</v>
      </c>
      <c r="R23" s="132">
        <v>9.5347680798778605</v>
      </c>
      <c r="S23" s="132">
        <v>15.806369102843592</v>
      </c>
      <c r="T23" s="132">
        <v>10.61571027001898</v>
      </c>
      <c r="U23" s="132">
        <v>8.4458793404460355</v>
      </c>
      <c r="V23" s="132">
        <v>5.8221460072441857</v>
      </c>
      <c r="W23" s="132">
        <v>2.4481301062678883E-2</v>
      </c>
      <c r="X23" s="132">
        <v>7.3413106889857715</v>
      </c>
      <c r="Y23" s="132">
        <v>7.9584544274245612</v>
      </c>
      <c r="DA23" s="156" t="s">
        <v>713</v>
      </c>
    </row>
    <row r="24" spans="1:105" ht="12" customHeight="1" x14ac:dyDescent="0.25">
      <c r="A24" s="131" t="s">
        <v>128</v>
      </c>
      <c r="B24" s="132"/>
      <c r="C24" s="132">
        <v>0</v>
      </c>
      <c r="D24" s="132">
        <v>0</v>
      </c>
      <c r="E24" s="132">
        <v>0</v>
      </c>
      <c r="F24" s="132">
        <v>0</v>
      </c>
      <c r="G24" s="132">
        <v>0</v>
      </c>
      <c r="H24" s="132">
        <v>0</v>
      </c>
      <c r="I24" s="132">
        <v>0</v>
      </c>
      <c r="J24" s="132">
        <v>0</v>
      </c>
      <c r="K24" s="132">
        <v>0</v>
      </c>
      <c r="L24" s="132">
        <v>0</v>
      </c>
      <c r="M24" s="132">
        <v>0</v>
      </c>
      <c r="N24" s="132">
        <v>0</v>
      </c>
      <c r="O24" s="132">
        <v>0</v>
      </c>
      <c r="P24" s="132">
        <v>0</v>
      </c>
      <c r="Q24" s="132">
        <v>0</v>
      </c>
      <c r="R24" s="132">
        <v>0</v>
      </c>
      <c r="S24" s="132">
        <v>0</v>
      </c>
      <c r="T24" s="132">
        <v>0</v>
      </c>
      <c r="U24" s="132">
        <v>0</v>
      </c>
      <c r="V24" s="132">
        <v>0</v>
      </c>
      <c r="W24" s="132">
        <v>0</v>
      </c>
      <c r="X24" s="132">
        <v>0</v>
      </c>
      <c r="Y24" s="132">
        <v>0</v>
      </c>
      <c r="DA24" s="156" t="s">
        <v>714</v>
      </c>
    </row>
    <row r="25" spans="1:105" ht="12" customHeight="1" x14ac:dyDescent="0.25">
      <c r="A25" s="131" t="s">
        <v>162</v>
      </c>
      <c r="B25" s="132"/>
      <c r="C25" s="132">
        <v>0</v>
      </c>
      <c r="D25" s="132">
        <v>0</v>
      </c>
      <c r="E25" s="132">
        <v>0</v>
      </c>
      <c r="F25" s="132">
        <v>0</v>
      </c>
      <c r="G25" s="132">
        <v>0</v>
      </c>
      <c r="H25" s="132">
        <v>0</v>
      </c>
      <c r="I25" s="132">
        <v>0</v>
      </c>
      <c r="J25" s="132">
        <v>0</v>
      </c>
      <c r="K25" s="132">
        <v>0</v>
      </c>
      <c r="L25" s="132">
        <v>0</v>
      </c>
      <c r="M25" s="132">
        <v>0</v>
      </c>
      <c r="N25" s="132">
        <v>0</v>
      </c>
      <c r="O25" s="132">
        <v>0</v>
      </c>
      <c r="P25" s="132">
        <v>0</v>
      </c>
      <c r="Q25" s="132">
        <v>0</v>
      </c>
      <c r="R25" s="132">
        <v>0</v>
      </c>
      <c r="S25" s="132">
        <v>0</v>
      </c>
      <c r="T25" s="132">
        <v>0</v>
      </c>
      <c r="U25" s="132">
        <v>0</v>
      </c>
      <c r="V25" s="132">
        <v>0</v>
      </c>
      <c r="W25" s="132">
        <v>0</v>
      </c>
      <c r="X25" s="132">
        <v>0</v>
      </c>
      <c r="Y25" s="132">
        <v>0</v>
      </c>
      <c r="DA25" s="156" t="s">
        <v>715</v>
      </c>
    </row>
    <row r="26" spans="1:105" ht="12" customHeight="1" x14ac:dyDescent="0.25">
      <c r="A26" s="131" t="s">
        <v>24</v>
      </c>
      <c r="B26" s="65"/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X26" s="65">
        <v>0</v>
      </c>
      <c r="Y26" s="65">
        <v>0</v>
      </c>
      <c r="DA26" s="109" t="s">
        <v>716</v>
      </c>
    </row>
    <row r="27" spans="1:105" ht="12" customHeight="1" x14ac:dyDescent="0.25">
      <c r="A27" s="144" t="s">
        <v>26</v>
      </c>
      <c r="B27" s="147"/>
      <c r="C27" s="147">
        <v>0</v>
      </c>
      <c r="D27" s="147">
        <v>0</v>
      </c>
      <c r="E27" s="147">
        <v>0</v>
      </c>
      <c r="F27" s="147">
        <v>0</v>
      </c>
      <c r="G27" s="147">
        <v>0</v>
      </c>
      <c r="H27" s="147">
        <v>0</v>
      </c>
      <c r="I27" s="147">
        <v>0</v>
      </c>
      <c r="J27" s="147">
        <v>0</v>
      </c>
      <c r="K27" s="147">
        <v>0</v>
      </c>
      <c r="L27" s="147">
        <v>0</v>
      </c>
      <c r="M27" s="147">
        <v>0</v>
      </c>
      <c r="N27" s="147">
        <v>0</v>
      </c>
      <c r="O27" s="147">
        <v>0</v>
      </c>
      <c r="P27" s="147">
        <v>0</v>
      </c>
      <c r="Q27" s="147">
        <v>0</v>
      </c>
      <c r="R27" s="147">
        <v>0</v>
      </c>
      <c r="S27" s="147">
        <v>0</v>
      </c>
      <c r="T27" s="147">
        <v>0</v>
      </c>
      <c r="U27" s="147">
        <v>0</v>
      </c>
      <c r="V27" s="147">
        <v>0</v>
      </c>
      <c r="W27" s="147">
        <v>0</v>
      </c>
      <c r="X27" s="147">
        <v>0</v>
      </c>
      <c r="Y27" s="147">
        <v>0</v>
      </c>
      <c r="DA27" s="160" t="s">
        <v>717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DA28" s="111"/>
    </row>
    <row r="29" spans="1:105" ht="12.95" customHeight="1" x14ac:dyDescent="0.25">
      <c r="A29" s="129" t="s">
        <v>34</v>
      </c>
      <c r="B29" s="130"/>
      <c r="C29" s="130">
        <f t="shared" ref="C29:Q29" si="12">SUM(C30:C33)</f>
        <v>40.546521412983594</v>
      </c>
      <c r="D29" s="130">
        <f t="shared" si="12"/>
        <v>14.355474255789218</v>
      </c>
      <c r="E29" s="130">
        <f t="shared" si="12"/>
        <v>8.8749996499197046</v>
      </c>
      <c r="F29" s="130">
        <f t="shared" si="12"/>
        <v>11.881758914284864</v>
      </c>
      <c r="G29" s="130">
        <f t="shared" si="12"/>
        <v>21.39695598862528</v>
      </c>
      <c r="H29" s="130">
        <f t="shared" si="12"/>
        <v>66.698595482215069</v>
      </c>
      <c r="I29" s="130">
        <f t="shared" si="12"/>
        <v>78.951869262244827</v>
      </c>
      <c r="J29" s="130">
        <f t="shared" si="12"/>
        <v>29.797986546996512</v>
      </c>
      <c r="K29" s="130">
        <f t="shared" si="12"/>
        <v>15.04457008735683</v>
      </c>
      <c r="L29" s="130">
        <f t="shared" si="12"/>
        <v>32.002429892791262</v>
      </c>
      <c r="M29" s="130">
        <f t="shared" si="12"/>
        <v>34.181821504446347</v>
      </c>
      <c r="N29" s="130">
        <f t="shared" si="12"/>
        <v>20.355764004608016</v>
      </c>
      <c r="O29" s="130">
        <f t="shared" si="12"/>
        <v>10.722784495647812</v>
      </c>
      <c r="P29" s="130">
        <f t="shared" si="12"/>
        <v>55.338937607161071</v>
      </c>
      <c r="Q29" s="130">
        <f t="shared" si="12"/>
        <v>23.05120564769021</v>
      </c>
      <c r="R29" s="130">
        <f t="shared" ref="R29:W29" si="13">SUM(R30:R33)</f>
        <v>17.133620494886472</v>
      </c>
      <c r="S29" s="130">
        <f t="shared" si="13"/>
        <v>31.872498729925645</v>
      </c>
      <c r="T29" s="130">
        <f t="shared" si="13"/>
        <v>28.49675715455205</v>
      </c>
      <c r="U29" s="130">
        <f t="shared" si="13"/>
        <v>26.942206308004273</v>
      </c>
      <c r="V29" s="130">
        <f t="shared" si="13"/>
        <v>19.454531446312338</v>
      </c>
      <c r="W29" s="130">
        <f t="shared" si="13"/>
        <v>15.002202674682906</v>
      </c>
      <c r="X29" s="130">
        <f t="shared" ref="X29:Y29" si="14">SUM(X30:X33)</f>
        <v>7.3258917843090456</v>
      </c>
      <c r="Y29" s="130">
        <f t="shared" si="14"/>
        <v>17.690216048651152</v>
      </c>
      <c r="DA29" s="155" t="s">
        <v>718</v>
      </c>
    </row>
    <row r="30" spans="1:105" s="2" customFormat="1" ht="12" customHeight="1" x14ac:dyDescent="0.25">
      <c r="A30" s="131" t="s">
        <v>52</v>
      </c>
      <c r="B30" s="132"/>
      <c r="C30" s="132">
        <v>9.8295104024124456</v>
      </c>
      <c r="D30" s="132">
        <v>10.959581685781046</v>
      </c>
      <c r="E30" s="132">
        <v>6.9071906674146462</v>
      </c>
      <c r="F30" s="132">
        <v>3.6057042674166961</v>
      </c>
      <c r="G30" s="132">
        <v>2.4574774112640809</v>
      </c>
      <c r="H30" s="132">
        <v>4.7751321344890831</v>
      </c>
      <c r="I30" s="132">
        <v>9.6727521746955158</v>
      </c>
      <c r="J30" s="132">
        <v>4.2176130548408564</v>
      </c>
      <c r="K30" s="132">
        <v>2.9143043666267268</v>
      </c>
      <c r="L30" s="132">
        <v>6.8186593673682427</v>
      </c>
      <c r="M30" s="132">
        <v>6.8625210867333104</v>
      </c>
      <c r="N30" s="132">
        <v>3.2428554521204234</v>
      </c>
      <c r="O30" s="132">
        <v>2.3279124935245363</v>
      </c>
      <c r="P30" s="132">
        <v>11.873247488473076</v>
      </c>
      <c r="Q30" s="132">
        <v>4.5633226908186924</v>
      </c>
      <c r="R30" s="132">
        <v>2.9040633276216417</v>
      </c>
      <c r="S30" s="132">
        <v>4.8065006497222535</v>
      </c>
      <c r="T30" s="132">
        <v>4.9792298631467728</v>
      </c>
      <c r="U30" s="132">
        <v>5.0012491181885377</v>
      </c>
      <c r="V30" s="132">
        <v>5.1552918525327138</v>
      </c>
      <c r="W30" s="132">
        <v>3.6909124293938449</v>
      </c>
      <c r="X30" s="132">
        <v>2.7086021034836536</v>
      </c>
      <c r="Y30" s="132">
        <v>3.6486810493129145</v>
      </c>
      <c r="DA30" s="156" t="s">
        <v>719</v>
      </c>
    </row>
    <row r="31" spans="1:105" ht="12" customHeight="1" x14ac:dyDescent="0.25">
      <c r="A31" s="131" t="s">
        <v>149</v>
      </c>
      <c r="B31" s="132"/>
      <c r="C31" s="132">
        <v>30.717011010571145</v>
      </c>
      <c r="D31" s="132">
        <v>3.3958925700081712</v>
      </c>
      <c r="E31" s="132">
        <v>1.967808982505058</v>
      </c>
      <c r="F31" s="132">
        <v>8.2760546468681682</v>
      </c>
      <c r="G31" s="132">
        <v>18.9394785773612</v>
      </c>
      <c r="H31" s="132">
        <v>61.923463347725985</v>
      </c>
      <c r="I31" s="132">
        <v>69.279117087549309</v>
      </c>
      <c r="J31" s="132">
        <v>25.580373492155655</v>
      </c>
      <c r="K31" s="132">
        <v>12.130265720730103</v>
      </c>
      <c r="L31" s="132">
        <v>25.183770525423018</v>
      </c>
      <c r="M31" s="132">
        <v>27.319300417713034</v>
      </c>
      <c r="N31" s="132">
        <v>17.112908552487593</v>
      </c>
      <c r="O31" s="132">
        <v>8.3948720021232752</v>
      </c>
      <c r="P31" s="132">
        <v>43.465690118687995</v>
      </c>
      <c r="Q31" s="132">
        <v>18.487882956871516</v>
      </c>
      <c r="R31" s="132">
        <v>14.229557167264829</v>
      </c>
      <c r="S31" s="132">
        <v>27.065998080203393</v>
      </c>
      <c r="T31" s="132">
        <v>23.517527291405276</v>
      </c>
      <c r="U31" s="132">
        <v>21.940957189815737</v>
      </c>
      <c r="V31" s="132">
        <v>14.299239593779623</v>
      </c>
      <c r="W31" s="132">
        <v>11.311290245289062</v>
      </c>
      <c r="X31" s="132">
        <v>4.617289680825392</v>
      </c>
      <c r="Y31" s="132">
        <v>14.041534999338237</v>
      </c>
      <c r="DA31" s="156" t="s">
        <v>720</v>
      </c>
    </row>
    <row r="32" spans="1:105" ht="12" customHeight="1" x14ac:dyDescent="0.25">
      <c r="A32" s="131" t="s">
        <v>128</v>
      </c>
      <c r="B32" s="132"/>
      <c r="C32" s="132">
        <v>0</v>
      </c>
      <c r="D32" s="132">
        <v>0</v>
      </c>
      <c r="E32" s="132">
        <v>0</v>
      </c>
      <c r="F32" s="132">
        <v>0</v>
      </c>
      <c r="G32" s="132">
        <v>0</v>
      </c>
      <c r="H32" s="132">
        <v>0</v>
      </c>
      <c r="I32" s="132">
        <v>0</v>
      </c>
      <c r="J32" s="132">
        <v>0</v>
      </c>
      <c r="K32" s="132">
        <v>0</v>
      </c>
      <c r="L32" s="132">
        <v>0</v>
      </c>
      <c r="M32" s="132">
        <v>0</v>
      </c>
      <c r="N32" s="132">
        <v>0</v>
      </c>
      <c r="O32" s="132">
        <v>0</v>
      </c>
      <c r="P32" s="132">
        <v>0</v>
      </c>
      <c r="Q32" s="132">
        <v>0</v>
      </c>
      <c r="R32" s="132">
        <v>0</v>
      </c>
      <c r="S32" s="132">
        <v>0</v>
      </c>
      <c r="T32" s="132">
        <v>0</v>
      </c>
      <c r="U32" s="132">
        <v>0</v>
      </c>
      <c r="V32" s="132">
        <v>0</v>
      </c>
      <c r="W32" s="132">
        <v>0</v>
      </c>
      <c r="X32" s="132">
        <v>0</v>
      </c>
      <c r="Y32" s="132">
        <v>0</v>
      </c>
      <c r="DA32" s="156" t="s">
        <v>721</v>
      </c>
    </row>
    <row r="33" spans="1:105" ht="12" customHeight="1" x14ac:dyDescent="0.25">
      <c r="A33" s="62" t="s">
        <v>24</v>
      </c>
      <c r="B33" s="68"/>
      <c r="C33" s="68">
        <v>0</v>
      </c>
      <c r="D33" s="68">
        <v>0</v>
      </c>
      <c r="E33" s="68">
        <v>0</v>
      </c>
      <c r="F33" s="68">
        <v>0</v>
      </c>
      <c r="G33" s="68">
        <v>0</v>
      </c>
      <c r="H33" s="68">
        <v>0</v>
      </c>
      <c r="I33" s="68">
        <v>0</v>
      </c>
      <c r="J33" s="68">
        <v>0</v>
      </c>
      <c r="K33" s="68">
        <v>0</v>
      </c>
      <c r="L33" s="68">
        <v>0</v>
      </c>
      <c r="M33" s="68">
        <v>0</v>
      </c>
      <c r="N33" s="68">
        <v>0</v>
      </c>
      <c r="O33" s="68">
        <v>0</v>
      </c>
      <c r="P33" s="68">
        <v>0</v>
      </c>
      <c r="Q33" s="68">
        <v>0</v>
      </c>
      <c r="R33" s="68">
        <v>0</v>
      </c>
      <c r="S33" s="68">
        <v>0</v>
      </c>
      <c r="T33" s="68">
        <v>0</v>
      </c>
      <c r="U33" s="68">
        <v>0</v>
      </c>
      <c r="V33" s="68">
        <v>0</v>
      </c>
      <c r="W33" s="68">
        <v>0</v>
      </c>
      <c r="X33" s="68">
        <v>0</v>
      </c>
      <c r="Y33" s="68">
        <v>0</v>
      </c>
      <c r="DA33" s="111" t="s">
        <v>722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723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87</v>
      </c>
      <c r="B3" s="125"/>
      <c r="C3" s="125">
        <f>IF(SER_hh_fec_in!C3=0,0,11630*1000*SER_hh_fec_in!C3/SER_hh_num_in!C3)</f>
        <v>188867.67101257259</v>
      </c>
      <c r="D3" s="125">
        <f>IF(SER_hh_fec_in!D3=0,0,11630*1000*SER_hh_fec_in!D3/SER_hh_num_in!D3)</f>
        <v>177044.7628708253</v>
      </c>
      <c r="E3" s="125">
        <f>IF(SER_hh_fec_in!E3=0,0,11630*1000*SER_hh_fec_in!E3/SER_hh_num_in!E3)</f>
        <v>212622.206716246</v>
      </c>
      <c r="F3" s="125">
        <f>IF(SER_hh_fec_in!F3=0,0,11630*1000*SER_hh_fec_in!F3/SER_hh_num_in!F3)</f>
        <v>197482.02862292805</v>
      </c>
      <c r="G3" s="125">
        <f>IF(SER_hh_fec_in!G3=0,0,11630*1000*SER_hh_fec_in!G3/SER_hh_num_in!G3)</f>
        <v>216622.41670159492</v>
      </c>
      <c r="H3" s="125">
        <f>IF(SER_hh_fec_in!H3=0,0,11630*1000*SER_hh_fec_in!H3/SER_hh_num_in!H3)</f>
        <v>220062.74035214973</v>
      </c>
      <c r="I3" s="125">
        <f>IF(SER_hh_fec_in!I3=0,0,11630*1000*SER_hh_fec_in!I3/SER_hh_num_in!I3)</f>
        <v>208208.50225273109</v>
      </c>
      <c r="J3" s="125">
        <f>IF(SER_hh_fec_in!J3=0,0,11630*1000*SER_hh_fec_in!J3/SER_hh_num_in!J3)</f>
        <v>232092.77242118752</v>
      </c>
      <c r="K3" s="125">
        <f>IF(SER_hh_fec_in!K3=0,0,11630*1000*SER_hh_fec_in!K3/SER_hh_num_in!K3)</f>
        <v>216184.74440655889</v>
      </c>
      <c r="L3" s="125">
        <f>IF(SER_hh_fec_in!L3=0,0,11630*1000*SER_hh_fec_in!L3/SER_hh_num_in!L3)</f>
        <v>200036.52021264497</v>
      </c>
      <c r="M3" s="125">
        <f>IF(SER_hh_fec_in!M3=0,0,11630*1000*SER_hh_fec_in!M3/SER_hh_num_in!M3)</f>
        <v>169550.00331080382</v>
      </c>
      <c r="N3" s="125">
        <f>IF(SER_hh_fec_in!N3=0,0,11630*1000*SER_hh_fec_in!N3/SER_hh_num_in!N3)</f>
        <v>155283.63947141671</v>
      </c>
      <c r="O3" s="125">
        <f>IF(SER_hh_fec_in!O3=0,0,11630*1000*SER_hh_fec_in!O3/SER_hh_num_in!O3)</f>
        <v>117324.26160399652</v>
      </c>
      <c r="P3" s="125">
        <f>IF(SER_hh_fec_in!P3=0,0,11630*1000*SER_hh_fec_in!P3/SER_hh_num_in!P3)</f>
        <v>92381.162416911786</v>
      </c>
      <c r="Q3" s="125">
        <f>IF(SER_hh_fec_in!Q3=0,0,11630*1000*SER_hh_fec_in!Q3/SER_hh_num_in!Q3)</f>
        <v>99852.746747599478</v>
      </c>
      <c r="R3" s="125">
        <f>IF(SER_hh_fec_in!R3=0,0,11630*1000*SER_hh_fec_in!R3/SER_hh_num_in!R3)</f>
        <v>103482.28102400253</v>
      </c>
      <c r="S3" s="125">
        <f>IF(SER_hh_fec_in!S3=0,0,11630*1000*SER_hh_fec_in!S3/SER_hh_num_in!S3)</f>
        <v>159719.6470829375</v>
      </c>
      <c r="T3" s="125">
        <f>IF(SER_hh_fec_in!T3=0,0,11630*1000*SER_hh_fec_in!T3/SER_hh_num_in!T3)</f>
        <v>171922.63833737851</v>
      </c>
      <c r="U3" s="125">
        <f>IF(SER_hh_fec_in!U3=0,0,11630*1000*SER_hh_fec_in!U3/SER_hh_num_in!U3)</f>
        <v>153015.8576586089</v>
      </c>
      <c r="V3" s="125">
        <f>IF(SER_hh_fec_in!V3=0,0,11630*1000*SER_hh_fec_in!V3/SER_hh_num_in!V3)</f>
        <v>118359.76526413155</v>
      </c>
      <c r="W3" s="125">
        <f>IF(SER_hh_fec_in!W3=0,0,11630*1000*SER_hh_fec_in!W3/SER_hh_num_in!W3)</f>
        <v>114507.51533717282</v>
      </c>
      <c r="X3" s="125">
        <f>IF(SER_hh_fec_in!X3=0,0,11630*1000*SER_hh_fec_in!X3/SER_hh_num_in!X3)</f>
        <v>96661.16678399079</v>
      </c>
      <c r="Y3" s="125">
        <f>IF(SER_hh_fec_in!Y3=0,0,11630*1000*SER_hh_fec_in!Y3/SER_hh_num_in!Y3)</f>
        <v>103599.31736743258</v>
      </c>
      <c r="DA3" s="154" t="s">
        <v>724</v>
      </c>
    </row>
    <row r="4" spans="1:105" ht="12.95" customHeight="1" x14ac:dyDescent="0.25">
      <c r="A4" s="129" t="s">
        <v>32</v>
      </c>
      <c r="B4" s="130"/>
      <c r="C4" s="130">
        <f>IF(SER_hh_fec_in!C4=0,0,11630*1000*SER_hh_fec_in!C4/SER_hh_num_in!C4)</f>
        <v>122330.8951183824</v>
      </c>
      <c r="D4" s="130">
        <f>IF(SER_hh_fec_in!D4=0,0,11630*1000*SER_hh_fec_in!D4/SER_hh_num_in!D4)</f>
        <v>115678.99578294715</v>
      </c>
      <c r="E4" s="130">
        <f>IF(SER_hh_fec_in!E4=0,0,11630*1000*SER_hh_fec_in!E4/SER_hh_num_in!E4)</f>
        <v>137832.37258329085</v>
      </c>
      <c r="F4" s="130">
        <f>IF(SER_hh_fec_in!F4=0,0,11630*1000*SER_hh_fec_in!F4/SER_hh_num_in!F4)</f>
        <v>132417.57959337684</v>
      </c>
      <c r="G4" s="130">
        <f>IF(SER_hh_fec_in!G4=0,0,11630*1000*SER_hh_fec_in!G4/SER_hh_num_in!G4)</f>
        <v>150936.9713543941</v>
      </c>
      <c r="H4" s="130">
        <f>IF(SER_hh_fec_in!H4=0,0,11630*1000*SER_hh_fec_in!H4/SER_hh_num_in!H4)</f>
        <v>153155.88621367718</v>
      </c>
      <c r="I4" s="130">
        <f>IF(SER_hh_fec_in!I4=0,0,11630*1000*SER_hh_fec_in!I4/SER_hh_num_in!I4)</f>
        <v>139775.62261298121</v>
      </c>
      <c r="J4" s="130">
        <f>IF(SER_hh_fec_in!J4=0,0,11630*1000*SER_hh_fec_in!J4/SER_hh_num_in!J4)</f>
        <v>165769.63285563875</v>
      </c>
      <c r="K4" s="130">
        <f>IF(SER_hh_fec_in!K4=0,0,11630*1000*SER_hh_fec_in!K4/SER_hh_num_in!K4)</f>
        <v>149230.63339735405</v>
      </c>
      <c r="L4" s="130">
        <f>IF(SER_hh_fec_in!L4=0,0,11630*1000*SER_hh_fec_in!L4/SER_hh_num_in!L4)</f>
        <v>136290.13247788622</v>
      </c>
      <c r="M4" s="130">
        <f>IF(SER_hh_fec_in!M4=0,0,11630*1000*SER_hh_fec_in!M4/SER_hh_num_in!M4)</f>
        <v>104279.98063751933</v>
      </c>
      <c r="N4" s="130">
        <f>IF(SER_hh_fec_in!N4=0,0,11630*1000*SER_hh_fec_in!N4/SER_hh_num_in!N4)</f>
        <v>88047.308042649558</v>
      </c>
      <c r="O4" s="130">
        <f>IF(SER_hh_fec_in!O4=0,0,11630*1000*SER_hh_fec_in!O4/SER_hh_num_in!O4)</f>
        <v>54650.661822997667</v>
      </c>
      <c r="P4" s="130">
        <f>IF(SER_hh_fec_in!P4=0,0,11630*1000*SER_hh_fec_in!P4/SER_hh_num_in!P4)</f>
        <v>30124.184703456576</v>
      </c>
      <c r="Q4" s="130">
        <f>IF(SER_hh_fec_in!Q4=0,0,11630*1000*SER_hh_fec_in!Q4/SER_hh_num_in!Q4)</f>
        <v>34104.414839383971</v>
      </c>
      <c r="R4" s="130">
        <f>IF(SER_hh_fec_in!R4=0,0,11630*1000*SER_hh_fec_in!R4/SER_hh_num_in!R4)</f>
        <v>41779.348003111838</v>
      </c>
      <c r="S4" s="130">
        <f>IF(SER_hh_fec_in!S4=0,0,11630*1000*SER_hh_fec_in!S4/SER_hh_num_in!S4)</f>
        <v>96700.603696956838</v>
      </c>
      <c r="T4" s="130">
        <f>IF(SER_hh_fec_in!T4=0,0,11630*1000*SER_hh_fec_in!T4/SER_hh_num_in!T4)</f>
        <v>111557.9565444694</v>
      </c>
      <c r="U4" s="130">
        <f>IF(SER_hh_fec_in!U4=0,0,11630*1000*SER_hh_fec_in!U4/SER_hh_num_in!U4)</f>
        <v>93090.459996831109</v>
      </c>
      <c r="V4" s="130">
        <f>IF(SER_hh_fec_in!V4=0,0,11630*1000*SER_hh_fec_in!V4/SER_hh_num_in!V4)</f>
        <v>67703.16678071201</v>
      </c>
      <c r="W4" s="130">
        <f>IF(SER_hh_fec_in!W4=0,0,11630*1000*SER_hh_fec_in!W4/SER_hh_num_in!W4)</f>
        <v>57162.214355892269</v>
      </c>
      <c r="X4" s="130">
        <f>IF(SER_hh_fec_in!X4=0,0,11630*1000*SER_hh_fec_in!X4/SER_hh_num_in!X4)</f>
        <v>40891.175719391045</v>
      </c>
      <c r="Y4" s="130">
        <f>IF(SER_hh_fec_in!Y4=0,0,11630*1000*SER_hh_fec_in!Y4/SER_hh_num_in!Y4)</f>
        <v>44807.61625010056</v>
      </c>
      <c r="DA4" s="155" t="s">
        <v>725</v>
      </c>
    </row>
    <row r="5" spans="1:105" ht="12" customHeight="1" x14ac:dyDescent="0.25">
      <c r="A5" s="131" t="s">
        <v>29</v>
      </c>
      <c r="B5" s="132"/>
      <c r="C5" s="132">
        <f>IF(SER_hh_fec_in!C5=0,0,11630*1000*SER_hh_fec_in!C5/SER_hh_num_in!C5)</f>
        <v>0</v>
      </c>
      <c r="D5" s="132">
        <f>IF(SER_hh_fec_in!D5=0,0,11630*1000*SER_hh_fec_in!D5/SER_hh_num_in!D5)</f>
        <v>0</v>
      </c>
      <c r="E5" s="132">
        <f>IF(SER_hh_fec_in!E5=0,0,11630*1000*SER_hh_fec_in!E5/SER_hh_num_in!E5)</f>
        <v>0</v>
      </c>
      <c r="F5" s="132">
        <f>IF(SER_hh_fec_in!F5=0,0,11630*1000*SER_hh_fec_in!F5/SER_hh_num_in!F5)</f>
        <v>0</v>
      </c>
      <c r="G5" s="132">
        <f>IF(SER_hh_fec_in!G5=0,0,11630*1000*SER_hh_fec_in!G5/SER_hh_num_in!G5)</f>
        <v>0</v>
      </c>
      <c r="H5" s="132">
        <f>IF(SER_hh_fec_in!H5=0,0,11630*1000*SER_hh_fec_in!H5/SER_hh_num_in!H5)</f>
        <v>0</v>
      </c>
      <c r="I5" s="132">
        <f>IF(SER_hh_fec_in!I5=0,0,11630*1000*SER_hh_fec_in!I5/SER_hh_num_in!I5)</f>
        <v>0</v>
      </c>
      <c r="J5" s="132">
        <f>IF(SER_hh_fec_in!J5=0,0,11630*1000*SER_hh_fec_in!J5/SER_hh_num_in!J5)</f>
        <v>0</v>
      </c>
      <c r="K5" s="132">
        <f>IF(SER_hh_fec_in!K5=0,0,11630*1000*SER_hh_fec_in!K5/SER_hh_num_in!K5)</f>
        <v>0</v>
      </c>
      <c r="L5" s="132">
        <f>IF(SER_hh_fec_in!L5=0,0,11630*1000*SER_hh_fec_in!L5/SER_hh_num_in!L5)</f>
        <v>0</v>
      </c>
      <c r="M5" s="132">
        <f>IF(SER_hh_fec_in!M5=0,0,11630*1000*SER_hh_fec_in!M5/SER_hh_num_in!M5)</f>
        <v>0</v>
      </c>
      <c r="N5" s="132">
        <f>IF(SER_hh_fec_in!N5=0,0,11630*1000*SER_hh_fec_in!N5/SER_hh_num_in!N5)</f>
        <v>0</v>
      </c>
      <c r="O5" s="132">
        <f>IF(SER_hh_fec_in!O5=0,0,11630*1000*SER_hh_fec_in!O5/SER_hh_num_in!O5)</f>
        <v>0</v>
      </c>
      <c r="P5" s="132">
        <f>IF(SER_hh_fec_in!P5=0,0,11630*1000*SER_hh_fec_in!P5/SER_hh_num_in!P5)</f>
        <v>0</v>
      </c>
      <c r="Q5" s="132">
        <f>IF(SER_hh_fec_in!Q5=0,0,11630*1000*SER_hh_fec_in!Q5/SER_hh_num_in!Q5)</f>
        <v>0</v>
      </c>
      <c r="R5" s="132">
        <f>IF(SER_hh_fec_in!R5=0,0,11630*1000*SER_hh_fec_in!R5/SER_hh_num_in!R5)</f>
        <v>0</v>
      </c>
      <c r="S5" s="132">
        <f>IF(SER_hh_fec_in!S5=0,0,11630*1000*SER_hh_fec_in!S5/SER_hh_num_in!S5)</f>
        <v>0</v>
      </c>
      <c r="T5" s="132">
        <f>IF(SER_hh_fec_in!T5=0,0,11630*1000*SER_hh_fec_in!T5/SER_hh_num_in!T5)</f>
        <v>0</v>
      </c>
      <c r="U5" s="132">
        <f>IF(SER_hh_fec_in!U5=0,0,11630*1000*SER_hh_fec_in!U5/SER_hh_num_in!U5)</f>
        <v>0</v>
      </c>
      <c r="V5" s="132">
        <f>IF(SER_hh_fec_in!V5=0,0,11630*1000*SER_hh_fec_in!V5/SER_hh_num_in!V5)</f>
        <v>0</v>
      </c>
      <c r="W5" s="132">
        <f>IF(SER_hh_fec_in!W5=0,0,11630*1000*SER_hh_fec_in!W5/SER_hh_num_in!W5)</f>
        <v>0</v>
      </c>
      <c r="X5" s="132">
        <f>IF(SER_hh_fec_in!X5=0,0,11630*1000*SER_hh_fec_in!X5/SER_hh_num_in!X5)</f>
        <v>0</v>
      </c>
      <c r="Y5" s="132">
        <f>IF(SER_hh_fec_in!Y5=0,0,11630*1000*SER_hh_fec_in!Y5/SER_hh_num_in!Y5)</f>
        <v>0</v>
      </c>
      <c r="DA5" s="156" t="s">
        <v>726</v>
      </c>
    </row>
    <row r="6" spans="1:105" ht="12" customHeight="1" x14ac:dyDescent="0.25">
      <c r="A6" s="131" t="s">
        <v>52</v>
      </c>
      <c r="B6" s="132"/>
      <c r="C6" s="132">
        <f>IF(SER_hh_fec_in!C6=0,0,11630*1000*SER_hh_fec_in!C6/SER_hh_num_in!C6)</f>
        <v>137512.23990409149</v>
      </c>
      <c r="D6" s="132">
        <f>IF(SER_hh_fec_in!D6=0,0,11630*1000*SER_hh_fec_in!D6/SER_hh_num_in!D6)</f>
        <v>129199.52468858608</v>
      </c>
      <c r="E6" s="132">
        <f>IF(SER_hh_fec_in!E6=0,0,11630*1000*SER_hh_fec_in!E6/SER_hh_num_in!E6)</f>
        <v>154487.6155207557</v>
      </c>
      <c r="F6" s="132">
        <f>IF(SER_hh_fec_in!F6=0,0,11630*1000*SER_hh_fec_in!F6/SER_hh_num_in!F6)</f>
        <v>155891.91337987574</v>
      </c>
      <c r="G6" s="132">
        <f>IF(SER_hh_fec_in!G6=0,0,11630*1000*SER_hh_fec_in!G6/SER_hh_num_in!G6)</f>
        <v>177926.78018506282</v>
      </c>
      <c r="H6" s="132">
        <f>IF(SER_hh_fec_in!H6=0,0,11630*1000*SER_hh_fec_in!H6/SER_hh_num_in!H6)</f>
        <v>176561.8991836042</v>
      </c>
      <c r="I6" s="132">
        <f>IF(SER_hh_fec_in!I6=0,0,11630*1000*SER_hh_fec_in!I6/SER_hh_num_in!I6)</f>
        <v>163113.25452336555</v>
      </c>
      <c r="J6" s="132">
        <f>IF(SER_hh_fec_in!J6=0,0,11630*1000*SER_hh_fec_in!J6/SER_hh_num_in!J6)</f>
        <v>187163.46742340061</v>
      </c>
      <c r="K6" s="132">
        <f>IF(SER_hh_fec_in!K6=0,0,11630*1000*SER_hh_fec_in!K6/SER_hh_num_in!K6)</f>
        <v>184227.20532531253</v>
      </c>
      <c r="L6" s="132">
        <f>IF(SER_hh_fec_in!L6=0,0,11630*1000*SER_hh_fec_in!L6/SER_hh_num_in!L6)</f>
        <v>186450.89976747308</v>
      </c>
      <c r="M6" s="132">
        <f>IF(SER_hh_fec_in!M6=0,0,11630*1000*SER_hh_fec_in!M6/SER_hh_num_in!M6)</f>
        <v>162363.33312503289</v>
      </c>
      <c r="N6" s="132">
        <f>IF(SER_hh_fec_in!N6=0,0,11630*1000*SER_hh_fec_in!N6/SER_hh_num_in!N6)</f>
        <v>143064.66817104776</v>
      </c>
      <c r="O6" s="132">
        <f>IF(SER_hh_fec_in!O6=0,0,11630*1000*SER_hh_fec_in!O6/SER_hh_num_in!O6)</f>
        <v>149383.82793373658</v>
      </c>
      <c r="P6" s="132">
        <f>IF(SER_hh_fec_in!P6=0,0,11630*1000*SER_hh_fec_in!P6/SER_hh_num_in!P6)</f>
        <v>0</v>
      </c>
      <c r="Q6" s="132">
        <f>IF(SER_hh_fec_in!Q6=0,0,11630*1000*SER_hh_fec_in!Q6/SER_hh_num_in!Q6)</f>
        <v>0</v>
      </c>
      <c r="R6" s="132">
        <f>IF(SER_hh_fec_in!R6=0,0,11630*1000*SER_hh_fec_in!R6/SER_hh_num_in!R6)</f>
        <v>0</v>
      </c>
      <c r="S6" s="132">
        <f>IF(SER_hh_fec_in!S6=0,0,11630*1000*SER_hh_fec_in!S6/SER_hh_num_in!S6)</f>
        <v>134649.89247113586</v>
      </c>
      <c r="T6" s="132">
        <f>IF(SER_hh_fec_in!T6=0,0,11630*1000*SER_hh_fec_in!T6/SER_hh_num_in!T6)</f>
        <v>121395.26208538486</v>
      </c>
      <c r="U6" s="132">
        <f>IF(SER_hh_fec_in!U6=0,0,11630*1000*SER_hh_fec_in!U6/SER_hh_num_in!U6)</f>
        <v>113324.33336640075</v>
      </c>
      <c r="V6" s="132">
        <f>IF(SER_hh_fec_in!V6=0,0,11630*1000*SER_hh_fec_in!V6/SER_hh_num_in!V6)</f>
        <v>95989.735330881318</v>
      </c>
      <c r="W6" s="132">
        <f>IF(SER_hh_fec_in!W6=0,0,11630*1000*SER_hh_fec_in!W6/SER_hh_num_in!W6)</f>
        <v>90940.090831404974</v>
      </c>
      <c r="X6" s="132">
        <f>IF(SER_hh_fec_in!X6=0,0,11630*1000*SER_hh_fec_in!X6/SER_hh_num_in!X6)</f>
        <v>53429.032566877715</v>
      </c>
      <c r="Y6" s="132">
        <f>IF(SER_hh_fec_in!Y6=0,0,11630*1000*SER_hh_fec_in!Y6/SER_hh_num_in!Y6)</f>
        <v>51428.22546611492</v>
      </c>
      <c r="DA6" s="156" t="s">
        <v>727</v>
      </c>
    </row>
    <row r="7" spans="1:105" ht="12" customHeight="1" x14ac:dyDescent="0.25">
      <c r="A7" s="131" t="s">
        <v>161</v>
      </c>
      <c r="B7" s="132"/>
      <c r="C7" s="132">
        <f>IF(SER_hh_fec_in!C7=0,0,11630*1000*SER_hh_fec_in!C7/SER_hh_num_in!C7)</f>
        <v>103550.29896353537</v>
      </c>
      <c r="D7" s="132">
        <f>IF(SER_hh_fec_in!D7=0,0,11630*1000*SER_hh_fec_in!D7/SER_hh_num_in!D7)</f>
        <v>134129.90175205845</v>
      </c>
      <c r="E7" s="132">
        <f>IF(SER_hh_fec_in!E7=0,0,11630*1000*SER_hh_fec_in!E7/SER_hh_num_in!E7)</f>
        <v>165885.89188391686</v>
      </c>
      <c r="F7" s="132">
        <f>IF(SER_hh_fec_in!F7=0,0,11630*1000*SER_hh_fec_in!F7/SER_hh_num_in!F7)</f>
        <v>171823.80125433858</v>
      </c>
      <c r="G7" s="132">
        <f>IF(SER_hh_fec_in!G7=0,0,11630*1000*SER_hh_fec_in!G7/SER_hh_num_in!G7)</f>
        <v>179321.70984168389</v>
      </c>
      <c r="H7" s="132">
        <f>IF(SER_hh_fec_in!H7=0,0,11630*1000*SER_hh_fec_in!H7/SER_hh_num_in!H7)</f>
        <v>187521.11854602242</v>
      </c>
      <c r="I7" s="132">
        <f>IF(SER_hh_fec_in!I7=0,0,11630*1000*SER_hh_fec_in!I7/SER_hh_num_in!I7)</f>
        <v>179341.64929416086</v>
      </c>
      <c r="J7" s="132">
        <f>IF(SER_hh_fec_in!J7=0,0,11630*1000*SER_hh_fec_in!J7/SER_hh_num_in!J7)</f>
        <v>0</v>
      </c>
      <c r="K7" s="132">
        <f>IF(SER_hh_fec_in!K7=0,0,11630*1000*SER_hh_fec_in!K7/SER_hh_num_in!K7)</f>
        <v>0</v>
      </c>
      <c r="L7" s="132">
        <f>IF(SER_hh_fec_in!L7=0,0,11630*1000*SER_hh_fec_in!L7/SER_hh_num_in!L7)</f>
        <v>0</v>
      </c>
      <c r="M7" s="132">
        <f>IF(SER_hh_fec_in!M7=0,0,11630*1000*SER_hh_fec_in!M7/SER_hh_num_in!M7)</f>
        <v>0</v>
      </c>
      <c r="N7" s="132">
        <f>IF(SER_hh_fec_in!N7=0,0,11630*1000*SER_hh_fec_in!N7/SER_hh_num_in!N7)</f>
        <v>161095.76607535238</v>
      </c>
      <c r="O7" s="132">
        <f>IF(SER_hh_fec_in!O7=0,0,11630*1000*SER_hh_fec_in!O7/SER_hh_num_in!O7)</f>
        <v>137599.11096746635</v>
      </c>
      <c r="P7" s="132">
        <f>IF(SER_hh_fec_in!P7=0,0,11630*1000*SER_hh_fec_in!P7/SER_hh_num_in!P7)</f>
        <v>132047.71109496334</v>
      </c>
      <c r="Q7" s="132">
        <f>IF(SER_hh_fec_in!Q7=0,0,11630*1000*SER_hh_fec_in!Q7/SER_hh_num_in!Q7)</f>
        <v>148851.72541111804</v>
      </c>
      <c r="R7" s="132">
        <f>IF(SER_hh_fec_in!R7=0,0,11630*1000*SER_hh_fec_in!R7/SER_hh_num_in!R7)</f>
        <v>153147.68473712186</v>
      </c>
      <c r="S7" s="132">
        <f>IF(SER_hh_fec_in!S7=0,0,11630*1000*SER_hh_fec_in!S7/SER_hh_num_in!S7)</f>
        <v>116710.47648655676</v>
      </c>
      <c r="T7" s="132">
        <f>IF(SER_hh_fec_in!T7=0,0,11630*1000*SER_hh_fec_in!T7/SER_hh_num_in!T7)</f>
        <v>144734.9845692672</v>
      </c>
      <c r="U7" s="132">
        <f>IF(SER_hh_fec_in!U7=0,0,11630*1000*SER_hh_fec_in!U7/SER_hh_num_in!U7)</f>
        <v>107581.4546171729</v>
      </c>
      <c r="V7" s="132">
        <f>IF(SER_hh_fec_in!V7=0,0,11630*1000*SER_hh_fec_in!V7/SER_hh_num_in!V7)</f>
        <v>70503.032774001564</v>
      </c>
      <c r="W7" s="132">
        <f>IF(SER_hh_fec_in!W7=0,0,11630*1000*SER_hh_fec_in!W7/SER_hh_num_in!W7)</f>
        <v>77346.725774890496</v>
      </c>
      <c r="X7" s="132">
        <f>IF(SER_hh_fec_in!X7=0,0,11630*1000*SER_hh_fec_in!X7/SER_hh_num_in!X7)</f>
        <v>57293.264215139687</v>
      </c>
      <c r="Y7" s="132">
        <f>IF(SER_hh_fec_in!Y7=0,0,11630*1000*SER_hh_fec_in!Y7/SER_hh_num_in!Y7)</f>
        <v>53945.368764197134</v>
      </c>
      <c r="DA7" s="156" t="s">
        <v>728</v>
      </c>
    </row>
    <row r="8" spans="1:105" ht="12" customHeight="1" x14ac:dyDescent="0.25">
      <c r="A8" s="131" t="s">
        <v>73</v>
      </c>
      <c r="B8" s="132"/>
      <c r="C8" s="132">
        <f>IF(SER_hh_fec_in!C8=0,0,11630*1000*SER_hh_fec_in!C8/SER_hh_num_in!C8)</f>
        <v>38728.959235896677</v>
      </c>
      <c r="D8" s="132">
        <f>IF(SER_hh_fec_in!D8=0,0,11630*1000*SER_hh_fec_in!D8/SER_hh_num_in!D8)</f>
        <v>36042.449556355597</v>
      </c>
      <c r="E8" s="132">
        <f>IF(SER_hh_fec_in!E8=0,0,11630*1000*SER_hh_fec_in!E8/SER_hh_num_in!E8)</f>
        <v>40251.336674034355</v>
      </c>
      <c r="F8" s="132">
        <f>IF(SER_hh_fec_in!F8=0,0,11630*1000*SER_hh_fec_in!F8/SER_hh_num_in!F8)</f>
        <v>39877.851567363497</v>
      </c>
      <c r="G8" s="132">
        <f>IF(SER_hh_fec_in!G8=0,0,11630*1000*SER_hh_fec_in!G8/SER_hh_num_in!G8)</f>
        <v>40866.737242415838</v>
      </c>
      <c r="H8" s="132">
        <f>IF(SER_hh_fec_in!H8=0,0,11630*1000*SER_hh_fec_in!H8/SER_hh_num_in!H8)</f>
        <v>40782.530182888833</v>
      </c>
      <c r="I8" s="132">
        <f>IF(SER_hh_fec_in!I8=0,0,11630*1000*SER_hh_fec_in!I8/SER_hh_num_in!I8)</f>
        <v>39635.56821976167</v>
      </c>
      <c r="J8" s="132">
        <f>IF(SER_hh_fec_in!J8=0,0,11630*1000*SER_hh_fec_in!J8/SER_hh_num_in!J8)</f>
        <v>39262.582137936348</v>
      </c>
      <c r="K8" s="132">
        <f>IF(SER_hh_fec_in!K8=0,0,11630*1000*SER_hh_fec_in!K8/SER_hh_num_in!K8)</f>
        <v>36821.132785565038</v>
      </c>
      <c r="L8" s="132">
        <f>IF(SER_hh_fec_in!L8=0,0,11630*1000*SER_hh_fec_in!L8/SER_hh_num_in!L8)</f>
        <v>33334.776104827957</v>
      </c>
      <c r="M8" s="132">
        <f>IF(SER_hh_fec_in!M8=0,0,11630*1000*SER_hh_fec_in!M8/SER_hh_num_in!M8)</f>
        <v>30079.907292212232</v>
      </c>
      <c r="N8" s="132">
        <f>IF(SER_hh_fec_in!N8=0,0,11630*1000*SER_hh_fec_in!N8/SER_hh_num_in!N8)</f>
        <v>27286.038029888965</v>
      </c>
      <c r="O8" s="132">
        <f>IF(SER_hh_fec_in!O8=0,0,11630*1000*SER_hh_fec_in!O8/SER_hh_num_in!O8)</f>
        <v>25934.451489447896</v>
      </c>
      <c r="P8" s="132">
        <f>IF(SER_hh_fec_in!P8=0,0,11630*1000*SER_hh_fec_in!P8/SER_hh_num_in!P8)</f>
        <v>25541.787447979139</v>
      </c>
      <c r="Q8" s="132">
        <f>IF(SER_hh_fec_in!Q8=0,0,11630*1000*SER_hh_fec_in!Q8/SER_hh_num_in!Q8)</f>
        <v>28053.28580778266</v>
      </c>
      <c r="R8" s="132">
        <f>IF(SER_hh_fec_in!R8=0,0,11630*1000*SER_hh_fec_in!R8/SER_hh_num_in!R8)</f>
        <v>24701.937349154203</v>
      </c>
      <c r="S8" s="132">
        <f>IF(SER_hh_fec_in!S8=0,0,11630*1000*SER_hh_fec_in!S8/SER_hh_num_in!S8)</f>
        <v>23018.000104183517</v>
      </c>
      <c r="T8" s="132">
        <f>IF(SER_hh_fec_in!T8=0,0,11630*1000*SER_hh_fec_in!T8/SER_hh_num_in!T8)</f>
        <v>21315.593685295247</v>
      </c>
      <c r="U8" s="132">
        <f>IF(SER_hh_fec_in!U8=0,0,11630*1000*SER_hh_fec_in!U8/SER_hh_num_in!U8)</f>
        <v>18576.923035774951</v>
      </c>
      <c r="V8" s="132">
        <f>IF(SER_hh_fec_in!V8=0,0,11630*1000*SER_hh_fec_in!V8/SER_hh_num_in!V8)</f>
        <v>16305.385871690372</v>
      </c>
      <c r="W8" s="132">
        <f>IF(SER_hh_fec_in!W8=0,0,11630*1000*SER_hh_fec_in!W8/SER_hh_num_in!W8)</f>
        <v>13110.204341836959</v>
      </c>
      <c r="X8" s="132">
        <f>IF(SER_hh_fec_in!X8=0,0,11630*1000*SER_hh_fec_in!X8/SER_hh_num_in!X8)</f>
        <v>8651.6083696040987</v>
      </c>
      <c r="Y8" s="132">
        <f>IF(SER_hh_fec_in!Y8=0,0,11630*1000*SER_hh_fec_in!Y8/SER_hh_num_in!Y8)</f>
        <v>8496.9878652394709</v>
      </c>
      <c r="DA8" s="156" t="s">
        <v>729</v>
      </c>
    </row>
    <row r="9" spans="1:105" ht="12" customHeight="1" x14ac:dyDescent="0.25">
      <c r="A9" s="131" t="s">
        <v>78</v>
      </c>
      <c r="B9" s="132"/>
      <c r="C9" s="132">
        <f>IF(SER_hh_fec_in!C9=0,0,11630*1000*SER_hh_fec_in!C9/SER_hh_num_in!C9)</f>
        <v>136969.09742136716</v>
      </c>
      <c r="D9" s="132">
        <f>IF(SER_hh_fec_in!D9=0,0,11630*1000*SER_hh_fec_in!D9/SER_hh_num_in!D9)</f>
        <v>122568.66940819507</v>
      </c>
      <c r="E9" s="132">
        <f>IF(SER_hh_fec_in!E9=0,0,11630*1000*SER_hh_fec_in!E9/SER_hh_num_in!E9)</f>
        <v>146413.3973540132</v>
      </c>
      <c r="F9" s="132">
        <f>IF(SER_hh_fec_in!F9=0,0,11630*1000*SER_hh_fec_in!F9/SER_hh_num_in!F9)</f>
        <v>145580.72002996292</v>
      </c>
      <c r="G9" s="132">
        <f>IF(SER_hh_fec_in!G9=0,0,11630*1000*SER_hh_fec_in!G9/SER_hh_num_in!G9)</f>
        <v>176328.40619716156</v>
      </c>
      <c r="H9" s="132">
        <f>IF(SER_hh_fec_in!H9=0,0,11630*1000*SER_hh_fec_in!H9/SER_hh_num_in!H9)</f>
        <v>174796.94431558513</v>
      </c>
      <c r="I9" s="132">
        <f>IF(SER_hh_fec_in!I9=0,0,11630*1000*SER_hh_fec_in!I9/SER_hh_num_in!I9)</f>
        <v>151287.91289736622</v>
      </c>
      <c r="J9" s="132">
        <f>IF(SER_hh_fec_in!J9=0,0,11630*1000*SER_hh_fec_in!J9/SER_hh_num_in!J9)</f>
        <v>186252.38889472015</v>
      </c>
      <c r="K9" s="132">
        <f>IF(SER_hh_fec_in!K9=0,0,11630*1000*SER_hh_fec_in!K9/SER_hh_num_in!K9)</f>
        <v>180898.3882554314</v>
      </c>
      <c r="L9" s="132">
        <f>IF(SER_hh_fec_in!L9=0,0,11630*1000*SER_hh_fec_in!L9/SER_hh_num_in!L9)</f>
        <v>178830.32149858456</v>
      </c>
      <c r="M9" s="132">
        <f>IF(SER_hh_fec_in!M9=0,0,11630*1000*SER_hh_fec_in!M9/SER_hh_num_in!M9)</f>
        <v>144524.79336121338</v>
      </c>
      <c r="N9" s="132">
        <f>IF(SER_hh_fec_in!N9=0,0,11630*1000*SER_hh_fec_in!N9/SER_hh_num_in!N9)</f>
        <v>145720.8496704647</v>
      </c>
      <c r="O9" s="132">
        <f>IF(SER_hh_fec_in!O9=0,0,11630*1000*SER_hh_fec_in!O9/SER_hh_num_in!O9)</f>
        <v>147224.47893344989</v>
      </c>
      <c r="P9" s="132">
        <f>IF(SER_hh_fec_in!P9=0,0,11630*1000*SER_hh_fec_in!P9/SER_hh_num_in!P9)</f>
        <v>0</v>
      </c>
      <c r="Q9" s="132">
        <f>IF(SER_hh_fec_in!Q9=0,0,11630*1000*SER_hh_fec_in!Q9/SER_hh_num_in!Q9)</f>
        <v>0</v>
      </c>
      <c r="R9" s="132">
        <f>IF(SER_hh_fec_in!R9=0,0,11630*1000*SER_hh_fec_in!R9/SER_hh_num_in!R9)</f>
        <v>120686.75785186788</v>
      </c>
      <c r="S9" s="132">
        <f>IF(SER_hh_fec_in!S9=0,0,11630*1000*SER_hh_fec_in!S9/SER_hh_num_in!S9)</f>
        <v>113085.20925002615</v>
      </c>
      <c r="T9" s="132">
        <f>IF(SER_hh_fec_in!T9=0,0,11630*1000*SER_hh_fec_in!T9/SER_hh_num_in!T9)</f>
        <v>120242.05275517664</v>
      </c>
      <c r="U9" s="132">
        <f>IF(SER_hh_fec_in!U9=0,0,11630*1000*SER_hh_fec_in!U9/SER_hh_num_in!U9)</f>
        <v>107312.47308061838</v>
      </c>
      <c r="V9" s="132">
        <f>IF(SER_hh_fec_in!V9=0,0,11630*1000*SER_hh_fec_in!V9/SER_hh_num_in!V9)</f>
        <v>95300.826931188101</v>
      </c>
      <c r="W9" s="132">
        <f>IF(SER_hh_fec_in!W9=0,0,11630*1000*SER_hh_fec_in!W9/SER_hh_num_in!W9)</f>
        <v>70116.613659669412</v>
      </c>
      <c r="X9" s="132">
        <f>IF(SER_hh_fec_in!X9=0,0,11630*1000*SER_hh_fec_in!X9/SER_hh_num_in!X9)</f>
        <v>41620.932669957067</v>
      </c>
      <c r="Y9" s="132">
        <f>IF(SER_hh_fec_in!Y9=0,0,11630*1000*SER_hh_fec_in!Y9/SER_hh_num_in!Y9)</f>
        <v>48043.597524052624</v>
      </c>
      <c r="DA9" s="156" t="s">
        <v>730</v>
      </c>
    </row>
    <row r="10" spans="1:105" ht="12" customHeight="1" x14ac:dyDescent="0.25">
      <c r="A10" s="131" t="s">
        <v>128</v>
      </c>
      <c r="B10" s="132"/>
      <c r="C10" s="132">
        <f>IF(SER_hh_fec_in!C10=0,0,11630*1000*SER_hh_fec_in!C10/SER_hh_num_in!C10)</f>
        <v>115947.94607030644</v>
      </c>
      <c r="D10" s="132">
        <f>IF(SER_hh_fec_in!D10=0,0,11630*1000*SER_hh_fec_in!D10/SER_hh_num_in!D10)</f>
        <v>112228.14414220197</v>
      </c>
      <c r="E10" s="132">
        <f>IF(SER_hh_fec_in!E10=0,0,11630*1000*SER_hh_fec_in!E10/SER_hh_num_in!E10)</f>
        <v>121561.44127056254</v>
      </c>
      <c r="F10" s="132">
        <f>IF(SER_hh_fec_in!F10=0,0,11630*1000*SER_hh_fec_in!F10/SER_hh_num_in!F10)</f>
        <v>129513.88630808458</v>
      </c>
      <c r="G10" s="132">
        <f>IF(SER_hh_fec_in!G10=0,0,11630*1000*SER_hh_fec_in!G10/SER_hh_num_in!G10)</f>
        <v>136725.31758151427</v>
      </c>
      <c r="H10" s="132">
        <f>IF(SER_hh_fec_in!H10=0,0,11630*1000*SER_hh_fec_in!H10/SER_hh_num_in!H10)</f>
        <v>172749.80558991758</v>
      </c>
      <c r="I10" s="132">
        <f>IF(SER_hh_fec_in!I10=0,0,11630*1000*SER_hh_fec_in!I10/SER_hh_num_in!I10)</f>
        <v>138523.02825209079</v>
      </c>
      <c r="J10" s="132">
        <f>IF(SER_hh_fec_in!J10=0,0,11630*1000*SER_hh_fec_in!J10/SER_hh_num_in!J10)</f>
        <v>125974.3699602842</v>
      </c>
      <c r="K10" s="132">
        <f>IF(SER_hh_fec_in!K10=0,0,11630*1000*SER_hh_fec_in!K10/SER_hh_num_in!K10)</f>
        <v>147360.83198956295</v>
      </c>
      <c r="L10" s="132">
        <f>IF(SER_hh_fec_in!L10=0,0,11630*1000*SER_hh_fec_in!L10/SER_hh_num_in!L10)</f>
        <v>177992.75783413512</v>
      </c>
      <c r="M10" s="132">
        <f>IF(SER_hh_fec_in!M10=0,0,11630*1000*SER_hh_fec_in!M10/SER_hh_num_in!M10)</f>
        <v>145807.79251760579</v>
      </c>
      <c r="N10" s="132">
        <f>IF(SER_hh_fec_in!N10=0,0,11630*1000*SER_hh_fec_in!N10/SER_hh_num_in!N10)</f>
        <v>109873.55428868125</v>
      </c>
      <c r="O10" s="132">
        <f>IF(SER_hh_fec_in!O10=0,0,11630*1000*SER_hh_fec_in!O10/SER_hh_num_in!O10)</f>
        <v>134278.00780653371</v>
      </c>
      <c r="P10" s="132">
        <f>IF(SER_hh_fec_in!P10=0,0,11630*1000*SER_hh_fec_in!P10/SER_hh_num_in!P10)</f>
        <v>168929.37466974216</v>
      </c>
      <c r="Q10" s="132">
        <f>IF(SER_hh_fec_in!Q10=0,0,11630*1000*SER_hh_fec_in!Q10/SER_hh_num_in!Q10)</f>
        <v>133313.84528268984</v>
      </c>
      <c r="R10" s="132">
        <f>IF(SER_hh_fec_in!R10=0,0,11630*1000*SER_hh_fec_in!R10/SER_hh_num_in!R10)</f>
        <v>152847.84726050487</v>
      </c>
      <c r="S10" s="132">
        <f>IF(SER_hh_fec_in!S10=0,0,11630*1000*SER_hh_fec_in!S10/SER_hh_num_in!S10)</f>
        <v>147691.67603398659</v>
      </c>
      <c r="T10" s="132">
        <f>IF(SER_hh_fec_in!T10=0,0,11630*1000*SER_hh_fec_in!T10/SER_hh_num_in!T10)</f>
        <v>131692.43710922688</v>
      </c>
      <c r="U10" s="132">
        <f>IF(SER_hh_fec_in!U10=0,0,11630*1000*SER_hh_fec_in!U10/SER_hh_num_in!U10)</f>
        <v>120781.55540102838</v>
      </c>
      <c r="V10" s="132">
        <f>IF(SER_hh_fec_in!V10=0,0,11630*1000*SER_hh_fec_in!V10/SER_hh_num_in!V10)</f>
        <v>97028.778752108003</v>
      </c>
      <c r="W10" s="132">
        <f>IF(SER_hh_fec_in!W10=0,0,11630*1000*SER_hh_fec_in!W10/SER_hh_num_in!W10)</f>
        <v>83916.463975285689</v>
      </c>
      <c r="X10" s="132">
        <f>IF(SER_hh_fec_in!X10=0,0,11630*1000*SER_hh_fec_in!X10/SER_hh_num_in!X10)</f>
        <v>60370.766165592016</v>
      </c>
      <c r="Y10" s="132">
        <f>IF(SER_hh_fec_in!Y10=0,0,11630*1000*SER_hh_fec_in!Y10/SER_hh_num_in!Y10)</f>
        <v>53585.382457350912</v>
      </c>
      <c r="DA10" s="156" t="s">
        <v>731</v>
      </c>
    </row>
    <row r="11" spans="1:105" ht="12" customHeight="1" x14ac:dyDescent="0.25">
      <c r="A11" s="131" t="s">
        <v>25</v>
      </c>
      <c r="B11" s="132"/>
      <c r="C11" s="132">
        <f>IF(SER_hh_fec_in!C11=0,0,11630*1000*SER_hh_fec_in!C11/SER_hh_num_in!C11)</f>
        <v>90838.58157456154</v>
      </c>
      <c r="D11" s="132">
        <f>IF(SER_hh_fec_in!D11=0,0,11630*1000*SER_hh_fec_in!D11/SER_hh_num_in!D11)</f>
        <v>93412.138193362072</v>
      </c>
      <c r="E11" s="132">
        <f>IF(SER_hh_fec_in!E11=0,0,11630*1000*SER_hh_fec_in!E11/SER_hh_num_in!E11)</f>
        <v>99856.769667534361</v>
      </c>
      <c r="F11" s="132">
        <f>IF(SER_hh_fec_in!F11=0,0,11630*1000*SER_hh_fec_in!F11/SER_hh_num_in!F11)</f>
        <v>105749.64995002674</v>
      </c>
      <c r="G11" s="132">
        <f>IF(SER_hh_fec_in!G11=0,0,11630*1000*SER_hh_fec_in!G11/SER_hh_num_in!G11)</f>
        <v>115155.9130835306</v>
      </c>
      <c r="H11" s="132">
        <f>IF(SER_hh_fec_in!H11=0,0,11630*1000*SER_hh_fec_in!H11/SER_hh_num_in!H11)</f>
        <v>120551.14731936762</v>
      </c>
      <c r="I11" s="132">
        <f>IF(SER_hh_fec_in!I11=0,0,11630*1000*SER_hh_fec_in!I11/SER_hh_num_in!I11)</f>
        <v>122671.61008450527</v>
      </c>
      <c r="J11" s="132">
        <f>IF(SER_hh_fec_in!J11=0,0,11630*1000*SER_hh_fec_in!J11/SER_hh_num_in!J11)</f>
        <v>132622.68115890282</v>
      </c>
      <c r="K11" s="132">
        <f>IF(SER_hh_fec_in!K11=0,0,11630*1000*SER_hh_fec_in!K11/SER_hh_num_in!K11)</f>
        <v>145530.37704695726</v>
      </c>
      <c r="L11" s="132">
        <f>IF(SER_hh_fec_in!L11=0,0,11630*1000*SER_hh_fec_in!L11/SER_hh_num_in!L11)</f>
        <v>0</v>
      </c>
      <c r="M11" s="132">
        <f>IF(SER_hh_fec_in!M11=0,0,11630*1000*SER_hh_fec_in!M11/SER_hh_num_in!M11)</f>
        <v>110275.54876364559</v>
      </c>
      <c r="N11" s="132">
        <f>IF(SER_hh_fec_in!N11=0,0,11630*1000*SER_hh_fec_in!N11/SER_hh_num_in!N11)</f>
        <v>116310.99248242326</v>
      </c>
      <c r="O11" s="132">
        <f>IF(SER_hh_fec_in!O11=0,0,11630*1000*SER_hh_fec_in!O11/SER_hh_num_in!O11)</f>
        <v>115343.19015513998</v>
      </c>
      <c r="P11" s="132">
        <f>IF(SER_hh_fec_in!P11=0,0,11630*1000*SER_hh_fec_in!P11/SER_hh_num_in!P11)</f>
        <v>109395.72731808163</v>
      </c>
      <c r="Q11" s="132">
        <f>IF(SER_hh_fec_in!Q11=0,0,11630*1000*SER_hh_fec_in!Q11/SER_hh_num_in!Q11)</f>
        <v>0</v>
      </c>
      <c r="R11" s="132">
        <f>IF(SER_hh_fec_in!R11=0,0,11630*1000*SER_hh_fec_in!R11/SER_hh_num_in!R11)</f>
        <v>114412.12493028758</v>
      </c>
      <c r="S11" s="132">
        <f>IF(SER_hh_fec_in!S11=0,0,11630*1000*SER_hh_fec_in!S11/SER_hh_num_in!S11)</f>
        <v>117095.00988400064</v>
      </c>
      <c r="T11" s="132">
        <f>IF(SER_hh_fec_in!T11=0,0,11630*1000*SER_hh_fec_in!T11/SER_hh_num_in!T11)</f>
        <v>110320.23279415515</v>
      </c>
      <c r="U11" s="132">
        <f>IF(SER_hh_fec_in!U11=0,0,11630*1000*SER_hh_fec_in!U11/SER_hh_num_in!U11)</f>
        <v>100320.91703631498</v>
      </c>
      <c r="V11" s="132">
        <f>IF(SER_hh_fec_in!V11=0,0,11630*1000*SER_hh_fec_in!V11/SER_hh_num_in!V11)</f>
        <v>83562.76266431516</v>
      </c>
      <c r="W11" s="132">
        <f>IF(SER_hh_fec_in!W11=0,0,11630*1000*SER_hh_fec_in!W11/SER_hh_num_in!W11)</f>
        <v>63481.073083957082</v>
      </c>
      <c r="X11" s="132">
        <f>IF(SER_hh_fec_in!X11=0,0,11630*1000*SER_hh_fec_in!X11/SER_hh_num_in!X11)</f>
        <v>43719.265462638505</v>
      </c>
      <c r="Y11" s="132">
        <f>IF(SER_hh_fec_in!Y11=0,0,11630*1000*SER_hh_fec_in!Y11/SER_hh_num_in!Y11)</f>
        <v>43895.940061179834</v>
      </c>
      <c r="DA11" s="156" t="s">
        <v>732</v>
      </c>
    </row>
    <row r="12" spans="1:105" ht="12" customHeight="1" x14ac:dyDescent="0.25">
      <c r="A12" s="131" t="s">
        <v>162</v>
      </c>
      <c r="B12" s="132"/>
      <c r="C12" s="132">
        <f>IF(SER_hh_fec_in!C12=0,0,11630*1000*SER_hh_fec_in!C12/SER_hh_num_in!C12)</f>
        <v>0</v>
      </c>
      <c r="D12" s="132">
        <f>IF(SER_hh_fec_in!D12=0,0,11630*1000*SER_hh_fec_in!D12/SER_hh_num_in!D12)</f>
        <v>0</v>
      </c>
      <c r="E12" s="132">
        <f>IF(SER_hh_fec_in!E12=0,0,11630*1000*SER_hh_fec_in!E12/SER_hh_num_in!E12)</f>
        <v>0</v>
      </c>
      <c r="F12" s="132">
        <f>IF(SER_hh_fec_in!F12=0,0,11630*1000*SER_hh_fec_in!F12/SER_hh_num_in!F12)</f>
        <v>153898.57663343579</v>
      </c>
      <c r="G12" s="132">
        <f>IF(SER_hh_fec_in!G12=0,0,11630*1000*SER_hh_fec_in!G12/SER_hh_num_in!G12)</f>
        <v>115847.0497146187</v>
      </c>
      <c r="H12" s="132">
        <f>IF(SER_hh_fec_in!H12=0,0,11630*1000*SER_hh_fec_in!H12/SER_hh_num_in!H12)</f>
        <v>134624.20856597563</v>
      </c>
      <c r="I12" s="132">
        <f>IF(SER_hh_fec_in!I12=0,0,11630*1000*SER_hh_fec_in!I12/SER_hh_num_in!I12)</f>
        <v>131195.63853311219</v>
      </c>
      <c r="J12" s="132">
        <f>IF(SER_hh_fec_in!J12=0,0,11630*1000*SER_hh_fec_in!J12/SER_hh_num_in!J12)</f>
        <v>0</v>
      </c>
      <c r="K12" s="132">
        <f>IF(SER_hh_fec_in!K12=0,0,11630*1000*SER_hh_fec_in!K12/SER_hh_num_in!K12)</f>
        <v>114102.28048894496</v>
      </c>
      <c r="L12" s="132">
        <f>IF(SER_hh_fec_in!L12=0,0,11630*1000*SER_hh_fec_in!L12/SER_hh_num_in!L12)</f>
        <v>83929.068564555273</v>
      </c>
      <c r="M12" s="132">
        <f>IF(SER_hh_fec_in!M12=0,0,11630*1000*SER_hh_fec_in!M12/SER_hh_num_in!M12)</f>
        <v>148593.71914042396</v>
      </c>
      <c r="N12" s="132">
        <f>IF(SER_hh_fec_in!N12=0,0,11630*1000*SER_hh_fec_in!N12/SER_hh_num_in!N12)</f>
        <v>94509.578300089604</v>
      </c>
      <c r="O12" s="132">
        <f>IF(SER_hh_fec_in!O12=0,0,11630*1000*SER_hh_fec_in!O12/SER_hh_num_in!O12)</f>
        <v>103521.90515112254</v>
      </c>
      <c r="P12" s="132">
        <f>IF(SER_hh_fec_in!P12=0,0,11630*1000*SER_hh_fec_in!P12/SER_hh_num_in!P12)</f>
        <v>137555.80435125236</v>
      </c>
      <c r="Q12" s="132">
        <f>IF(SER_hh_fec_in!Q12=0,0,11630*1000*SER_hh_fec_in!Q12/SER_hh_num_in!Q12)</f>
        <v>102856.21118172204</v>
      </c>
      <c r="R12" s="132">
        <f>IF(SER_hh_fec_in!R12=0,0,11630*1000*SER_hh_fec_in!R12/SER_hh_num_in!R12)</f>
        <v>99134.561677413818</v>
      </c>
      <c r="S12" s="132">
        <f>IF(SER_hh_fec_in!S12=0,0,11630*1000*SER_hh_fec_in!S12/SER_hh_num_in!S12)</f>
        <v>113341.51342504787</v>
      </c>
      <c r="T12" s="132">
        <f>IF(SER_hh_fec_in!T12=0,0,11630*1000*SER_hh_fec_in!T12/SER_hh_num_in!T12)</f>
        <v>125960.64730778275</v>
      </c>
      <c r="U12" s="132">
        <f>IF(SER_hh_fec_in!U12=0,0,11630*1000*SER_hh_fec_in!U12/SER_hh_num_in!U12)</f>
        <v>88271.173810752764</v>
      </c>
      <c r="V12" s="132">
        <f>IF(SER_hh_fec_in!V12=0,0,11630*1000*SER_hh_fec_in!V12/SER_hh_num_in!V12)</f>
        <v>81699.251352879888</v>
      </c>
      <c r="W12" s="132">
        <f>IF(SER_hh_fec_in!W12=0,0,11630*1000*SER_hh_fec_in!W12/SER_hh_num_in!W12)</f>
        <v>0</v>
      </c>
      <c r="X12" s="132">
        <f>IF(SER_hh_fec_in!X12=0,0,11630*1000*SER_hh_fec_in!X12/SER_hh_num_in!X12)</f>
        <v>39620.459532469664</v>
      </c>
      <c r="Y12" s="132">
        <f>IF(SER_hh_fec_in!Y12=0,0,11630*1000*SER_hh_fec_in!Y12/SER_hh_num_in!Y12)</f>
        <v>41521.765592794407</v>
      </c>
      <c r="DA12" s="156" t="s">
        <v>733</v>
      </c>
    </row>
    <row r="13" spans="1:105" ht="12" customHeight="1" x14ac:dyDescent="0.25">
      <c r="A13" s="131" t="s">
        <v>77</v>
      </c>
      <c r="B13" s="132"/>
      <c r="C13" s="132">
        <f>IF(SER_hh_fec_in!C13=0,0,11630*1000*SER_hh_fec_in!C13/SER_hh_num_in!C13)</f>
        <v>31920.609424792703</v>
      </c>
      <c r="D13" s="132">
        <f>IF(SER_hh_fec_in!D13=0,0,11630*1000*SER_hh_fec_in!D13/SER_hh_num_in!D13)</f>
        <v>45016.882312866212</v>
      </c>
      <c r="E13" s="132">
        <f>IF(SER_hh_fec_in!E13=0,0,11630*1000*SER_hh_fec_in!E13/SER_hh_num_in!E13)</f>
        <v>30864.50083446594</v>
      </c>
      <c r="F13" s="132">
        <f>IF(SER_hh_fec_in!F13=0,0,11630*1000*SER_hh_fec_in!F13/SER_hh_num_in!F13)</f>
        <v>38995.840614759334</v>
      </c>
      <c r="G13" s="132">
        <f>IF(SER_hh_fec_in!G13=0,0,11630*1000*SER_hh_fec_in!G13/SER_hh_num_in!G13)</f>
        <v>48720.182617210608</v>
      </c>
      <c r="H13" s="132">
        <f>IF(SER_hh_fec_in!H13=0,0,11630*1000*SER_hh_fec_in!H13/SER_hh_num_in!H13)</f>
        <v>47662.620652595848</v>
      </c>
      <c r="I13" s="132">
        <f>IF(SER_hh_fec_in!I13=0,0,11630*1000*SER_hh_fec_in!I13/SER_hh_num_in!I13)</f>
        <v>43029.298300731323</v>
      </c>
      <c r="J13" s="132">
        <f>IF(SER_hh_fec_in!J13=0,0,11630*1000*SER_hh_fec_in!J13/SER_hh_num_in!J13)</f>
        <v>40703.791541766819</v>
      </c>
      <c r="K13" s="132">
        <f>IF(SER_hh_fec_in!K13=0,0,11630*1000*SER_hh_fec_in!K13/SER_hh_num_in!K13)</f>
        <v>40218.658284554556</v>
      </c>
      <c r="L13" s="132">
        <f>IF(SER_hh_fec_in!L13=0,0,11630*1000*SER_hh_fec_in!L13/SER_hh_num_in!L13)</f>
        <v>32281.186669322557</v>
      </c>
      <c r="M13" s="132">
        <f>IF(SER_hh_fec_in!M13=0,0,11630*1000*SER_hh_fec_in!M13/SER_hh_num_in!M13)</f>
        <v>31297.802547567484</v>
      </c>
      <c r="N13" s="132">
        <f>IF(SER_hh_fec_in!N13=0,0,11630*1000*SER_hh_fec_in!N13/SER_hh_num_in!N13)</f>
        <v>31173.210647153421</v>
      </c>
      <c r="O13" s="132">
        <f>IF(SER_hh_fec_in!O13=0,0,11630*1000*SER_hh_fec_in!O13/SER_hh_num_in!O13)</f>
        <v>24233.871735532841</v>
      </c>
      <c r="P13" s="132">
        <f>IF(SER_hh_fec_in!P13=0,0,11630*1000*SER_hh_fec_in!P13/SER_hh_num_in!P13)</f>
        <v>24786.374641340517</v>
      </c>
      <c r="Q13" s="132">
        <f>IF(SER_hh_fec_in!Q13=0,0,11630*1000*SER_hh_fec_in!Q13/SER_hh_num_in!Q13)</f>
        <v>31522.262692436478</v>
      </c>
      <c r="R13" s="132">
        <f>IF(SER_hh_fec_in!R13=0,0,11630*1000*SER_hh_fec_in!R13/SER_hh_num_in!R13)</f>
        <v>26867.887597010638</v>
      </c>
      <c r="S13" s="132">
        <f>IF(SER_hh_fec_in!S13=0,0,11630*1000*SER_hh_fec_in!S13/SER_hh_num_in!S13)</f>
        <v>26504.638052080511</v>
      </c>
      <c r="T13" s="132">
        <f>IF(SER_hh_fec_in!T13=0,0,11630*1000*SER_hh_fec_in!T13/SER_hh_num_in!T13)</f>
        <v>23467.694247800333</v>
      </c>
      <c r="U13" s="132">
        <f>IF(SER_hh_fec_in!U13=0,0,11630*1000*SER_hh_fec_in!U13/SER_hh_num_in!U13)</f>
        <v>20197.417291848513</v>
      </c>
      <c r="V13" s="132">
        <f>IF(SER_hh_fec_in!V13=0,0,11630*1000*SER_hh_fec_in!V13/SER_hh_num_in!V13)</f>
        <v>17488.670174909908</v>
      </c>
      <c r="W13" s="132">
        <f>IF(SER_hh_fec_in!W13=0,0,11630*1000*SER_hh_fec_in!W13/SER_hh_num_in!W13)</f>
        <v>10962.998374371877</v>
      </c>
      <c r="X13" s="132">
        <f>IF(SER_hh_fec_in!X13=0,0,11630*1000*SER_hh_fec_in!X13/SER_hh_num_in!X13)</f>
        <v>7994.4161112518159</v>
      </c>
      <c r="Y13" s="132">
        <f>IF(SER_hh_fec_in!Y13=0,0,11630*1000*SER_hh_fec_in!Y13/SER_hh_num_in!Y13)</f>
        <v>0</v>
      </c>
      <c r="DA13" s="156" t="s">
        <v>734</v>
      </c>
    </row>
    <row r="14" spans="1:105" ht="12" customHeight="1" x14ac:dyDescent="0.25">
      <c r="A14" s="60" t="s">
        <v>76</v>
      </c>
      <c r="B14" s="65"/>
      <c r="C14" s="65">
        <f>IF(SER_hh_fec_in!C14=0,0,11630*1000*SER_hh_fec_in!C14/SER_hh_num_in!C14)</f>
        <v>98298.98654704215</v>
      </c>
      <c r="D14" s="65">
        <f>IF(SER_hh_fec_in!D14=0,0,11630*1000*SER_hh_fec_in!D14/SER_hh_num_in!D14)</f>
        <v>104014.44670985806</v>
      </c>
      <c r="E14" s="65">
        <f>IF(SER_hh_fec_in!E14=0,0,11630*1000*SER_hh_fec_in!E14/SER_hh_num_in!E14)</f>
        <v>104003.08012214881</v>
      </c>
      <c r="F14" s="65">
        <f>IF(SER_hh_fec_in!F14=0,0,11630*1000*SER_hh_fec_in!F14/SER_hh_num_in!F14)</f>
        <v>114880.76160389341</v>
      </c>
      <c r="G14" s="65">
        <f>IF(SER_hh_fec_in!G14=0,0,11630*1000*SER_hh_fec_in!G14/SER_hh_num_in!G14)</f>
        <v>128798.61177154924</v>
      </c>
      <c r="H14" s="65">
        <f>IF(SER_hh_fec_in!H14=0,0,11630*1000*SER_hh_fec_in!H14/SER_hh_num_in!H14)</f>
        <v>132519.96144245571</v>
      </c>
      <c r="I14" s="65">
        <f>IF(SER_hh_fec_in!I14=0,0,11630*1000*SER_hh_fec_in!I14/SER_hh_num_in!I14)</f>
        <v>133908.71230735513</v>
      </c>
      <c r="J14" s="65">
        <f>IF(SER_hh_fec_in!J14=0,0,11630*1000*SER_hh_fec_in!J14/SER_hh_num_in!J14)</f>
        <v>136252.71610675886</v>
      </c>
      <c r="K14" s="65">
        <f>IF(SER_hh_fec_in!K14=0,0,11630*1000*SER_hh_fec_in!K14/SER_hh_num_in!K14)</f>
        <v>136048.27158234568</v>
      </c>
      <c r="L14" s="65">
        <f>IF(SER_hh_fec_in!L14=0,0,11630*1000*SER_hh_fec_in!L14/SER_hh_num_in!L14)</f>
        <v>134578.61032802088</v>
      </c>
      <c r="M14" s="65">
        <f>IF(SER_hh_fec_in!M14=0,0,11630*1000*SER_hh_fec_in!M14/SER_hh_num_in!M14)</f>
        <v>126535.57912283321</v>
      </c>
      <c r="N14" s="65">
        <f>IF(SER_hh_fec_in!N14=0,0,11630*1000*SER_hh_fec_in!N14/SER_hh_num_in!N14)</f>
        <v>124812.40051443508</v>
      </c>
      <c r="O14" s="65">
        <f>IF(SER_hh_fec_in!O14=0,0,11630*1000*SER_hh_fec_in!O14/SER_hh_num_in!O14)</f>
        <v>123751.48987182436</v>
      </c>
      <c r="P14" s="65">
        <f>IF(SER_hh_fec_in!P14=0,0,11630*1000*SER_hh_fec_in!P14/SER_hh_num_in!P14)</f>
        <v>0</v>
      </c>
      <c r="Q14" s="65">
        <f>IF(SER_hh_fec_in!Q14=0,0,11630*1000*SER_hh_fec_in!Q14/SER_hh_num_in!Q14)</f>
        <v>0</v>
      </c>
      <c r="R14" s="65">
        <f>IF(SER_hh_fec_in!R14=0,0,11630*1000*SER_hh_fec_in!R14/SER_hh_num_in!R14)</f>
        <v>0</v>
      </c>
      <c r="S14" s="65">
        <f>IF(SER_hh_fec_in!S14=0,0,11630*1000*SER_hh_fec_in!S14/SER_hh_num_in!S14)</f>
        <v>0</v>
      </c>
      <c r="T14" s="65">
        <f>IF(SER_hh_fec_in!T14=0,0,11630*1000*SER_hh_fec_in!T14/SER_hh_num_in!T14)</f>
        <v>118630.01952922478</v>
      </c>
      <c r="U14" s="65">
        <f>IF(SER_hh_fec_in!U14=0,0,11630*1000*SER_hh_fec_in!U14/SER_hh_num_in!U14)</f>
        <v>94519.675113298217</v>
      </c>
      <c r="V14" s="65">
        <f>IF(SER_hh_fec_in!V14=0,0,11630*1000*SER_hh_fec_in!V14/SER_hh_num_in!V14)</f>
        <v>55569.761686171201</v>
      </c>
      <c r="W14" s="65">
        <f>IF(SER_hh_fec_in!W14=0,0,11630*1000*SER_hh_fec_in!W14/SER_hh_num_in!W14)</f>
        <v>64210.08477013767</v>
      </c>
      <c r="X14" s="65">
        <f>IF(SER_hh_fec_in!X14=0,0,11630*1000*SER_hh_fec_in!X14/SER_hh_num_in!X14)</f>
        <v>44071.332629469878</v>
      </c>
      <c r="Y14" s="65">
        <f>IF(SER_hh_fec_in!Y14=0,0,11630*1000*SER_hh_fec_in!Y14/SER_hh_num_in!Y14)</f>
        <v>40105.67732621637</v>
      </c>
      <c r="DA14" s="109" t="s">
        <v>735</v>
      </c>
    </row>
    <row r="15" spans="1:105" ht="12" customHeight="1" x14ac:dyDescent="0.25">
      <c r="A15" s="133" t="s">
        <v>80</v>
      </c>
      <c r="B15" s="134"/>
      <c r="C15" s="134">
        <f>IF(SER_hh_fec_in!C15=0,0,11630*1000*SER_hh_fec_in!C15/SER_hh_num_in!C15)</f>
        <v>1418.3432732265867</v>
      </c>
      <c r="D15" s="134">
        <f>IF(SER_hh_fec_in!D15=0,0,11630*1000*SER_hh_fec_in!D15/SER_hh_num_in!D15)</f>
        <v>1299.3859359108008</v>
      </c>
      <c r="E15" s="134">
        <f>IF(SER_hh_fec_in!E15=0,0,11630*1000*SER_hh_fec_in!E15/SER_hh_num_in!E15)</f>
        <v>1561.9086720255198</v>
      </c>
      <c r="F15" s="134">
        <f>IF(SER_hh_fec_in!F15=0,0,11630*1000*SER_hh_fec_in!F15/SER_hh_num_in!F15)</f>
        <v>1418.4199763035806</v>
      </c>
      <c r="G15" s="134">
        <f>IF(SER_hh_fec_in!G15=0,0,11630*1000*SER_hh_fec_in!G15/SER_hh_num_in!G15)</f>
        <v>1767.4296083942093</v>
      </c>
      <c r="H15" s="134">
        <f>IF(SER_hh_fec_in!H15=0,0,11630*1000*SER_hh_fec_in!H15/SER_hh_num_in!H15)</f>
        <v>1739.7445140771756</v>
      </c>
      <c r="I15" s="134">
        <f>IF(SER_hh_fec_in!I15=0,0,11630*1000*SER_hh_fec_in!I15/SER_hh_num_in!I15)</f>
        <v>1521.2226999195648</v>
      </c>
      <c r="J15" s="134">
        <f>IF(SER_hh_fec_in!J15=0,0,11630*1000*SER_hh_fec_in!J15/SER_hh_num_in!J15)</f>
        <v>1891.4295033359692</v>
      </c>
      <c r="K15" s="134">
        <f>IF(SER_hh_fec_in!K15=0,0,11630*1000*SER_hh_fec_in!K15/SER_hh_num_in!K15)</f>
        <v>1817.0908396849791</v>
      </c>
      <c r="L15" s="134">
        <f>IF(SER_hh_fec_in!L15=0,0,11630*1000*SER_hh_fec_in!L15/SER_hh_num_in!L15)</f>
        <v>1774.0671483659626</v>
      </c>
      <c r="M15" s="134">
        <f>IF(SER_hh_fec_in!M15=0,0,11630*1000*SER_hh_fec_in!M15/SER_hh_num_in!M15)</f>
        <v>1285.8129114794244</v>
      </c>
      <c r="N15" s="134">
        <f>IF(SER_hh_fec_in!N15=0,0,11630*1000*SER_hh_fec_in!N15/SER_hh_num_in!N15)</f>
        <v>1280.2874072671393</v>
      </c>
      <c r="O15" s="134">
        <f>IF(SER_hh_fec_in!O15=0,0,11630*1000*SER_hh_fec_in!O15/SER_hh_num_in!O15)</f>
        <v>927.14348163042519</v>
      </c>
      <c r="P15" s="134">
        <f>IF(SER_hh_fec_in!P15=0,0,11630*1000*SER_hh_fec_in!P15/SER_hh_num_in!P15)</f>
        <v>550.68657946831286</v>
      </c>
      <c r="Q15" s="134">
        <f>IF(SER_hh_fec_in!Q15=0,0,11630*1000*SER_hh_fec_in!Q15/SER_hh_num_in!Q15)</f>
        <v>534.24262402111594</v>
      </c>
      <c r="R15" s="134">
        <f>IF(SER_hh_fec_in!R15=0,0,11630*1000*SER_hh_fec_in!R15/SER_hh_num_in!R15)</f>
        <v>1062.6076056453926</v>
      </c>
      <c r="S15" s="134">
        <f>IF(SER_hh_fec_in!S15=0,0,11630*1000*SER_hh_fec_in!S15/SER_hh_num_in!S15)</f>
        <v>1337.2241107989025</v>
      </c>
      <c r="T15" s="134">
        <f>IF(SER_hh_fec_in!T15=0,0,11630*1000*SER_hh_fec_in!T15/SER_hh_num_in!T15)</f>
        <v>1433.1639645409798</v>
      </c>
      <c r="U15" s="134">
        <f>IF(SER_hh_fec_in!U15=0,0,11630*1000*SER_hh_fec_in!U15/SER_hh_num_in!U15)</f>
        <v>1261.6273727401019</v>
      </c>
      <c r="V15" s="134">
        <f>IF(SER_hh_fec_in!V15=0,0,11630*1000*SER_hh_fec_in!V15/SER_hh_num_in!V15)</f>
        <v>1053.8441624197856</v>
      </c>
      <c r="W15" s="134">
        <f>IF(SER_hh_fec_in!W15=0,0,11630*1000*SER_hh_fec_in!W15/SER_hh_num_in!W15)</f>
        <v>690.85140713129886</v>
      </c>
      <c r="X15" s="134">
        <f>IF(SER_hh_fec_in!X15=0,0,11630*1000*SER_hh_fec_in!X15/SER_hh_num_in!X15)</f>
        <v>514.13811378059711</v>
      </c>
      <c r="Y15" s="134">
        <f>IF(SER_hh_fec_in!Y15=0,0,11630*1000*SER_hh_fec_in!Y15/SER_hh_num_in!Y15)</f>
        <v>590.73773014722804</v>
      </c>
      <c r="DA15" s="157" t="s">
        <v>736</v>
      </c>
    </row>
    <row r="16" spans="1:105" ht="12.95" customHeight="1" x14ac:dyDescent="0.25">
      <c r="A16" s="129" t="s">
        <v>74</v>
      </c>
      <c r="B16" s="130"/>
      <c r="C16" s="130">
        <f>IF(SER_hh_fec_in!C16=0,0,11630*1000*SER_hh_fec_in!C16/SER_hh_num_in!C16)</f>
        <v>10615.040870801065</v>
      </c>
      <c r="D16" s="130">
        <f>IF(SER_hh_fec_in!D16=0,0,11630*1000*SER_hh_fec_in!D16/SER_hh_num_in!D16)</f>
        <v>8871.2423782097449</v>
      </c>
      <c r="E16" s="130">
        <f>IF(SER_hh_fec_in!E16=0,0,11630*1000*SER_hh_fec_in!E16/SER_hh_num_in!E16)</f>
        <v>19775.962471258481</v>
      </c>
      <c r="F16" s="130">
        <f>IF(SER_hh_fec_in!F16=0,0,11630*1000*SER_hh_fec_in!F16/SER_hh_num_in!F16)</f>
        <v>8514.1851679422853</v>
      </c>
      <c r="G16" s="130">
        <f>IF(SER_hh_fec_in!G16=0,0,11630*1000*SER_hh_fec_in!G16/SER_hh_num_in!G16)</f>
        <v>8131.8707029980178</v>
      </c>
      <c r="H16" s="130">
        <f>IF(SER_hh_fec_in!H16=0,0,11630*1000*SER_hh_fec_in!H16/SER_hh_num_in!H16)</f>
        <v>9162.3389740120183</v>
      </c>
      <c r="I16" s="130">
        <f>IF(SER_hh_fec_in!I16=0,0,11630*1000*SER_hh_fec_in!I16/SER_hh_num_in!I16)</f>
        <v>8057.7627181907283</v>
      </c>
      <c r="J16" s="130">
        <f>IF(SER_hh_fec_in!J16=0,0,11630*1000*SER_hh_fec_in!J16/SER_hh_num_in!J16)</f>
        <v>9054.6945656068474</v>
      </c>
      <c r="K16" s="130">
        <f>IF(SER_hh_fec_in!K16=0,0,11630*1000*SER_hh_fec_in!K16/SER_hh_num_in!K16)</f>
        <v>8891.2793666953366</v>
      </c>
      <c r="L16" s="130">
        <f>IF(SER_hh_fec_in!L16=0,0,11630*1000*SER_hh_fec_in!L16/SER_hh_num_in!L16)</f>
        <v>6850.8285910050909</v>
      </c>
      <c r="M16" s="130">
        <f>IF(SER_hh_fec_in!M16=0,0,11630*1000*SER_hh_fec_in!M16/SER_hh_num_in!M16)</f>
        <v>7004.6973501007378</v>
      </c>
      <c r="N16" s="130">
        <f>IF(SER_hh_fec_in!N16=0,0,11630*1000*SER_hh_fec_in!N16/SER_hh_num_in!N16)</f>
        <v>10393.445102192463</v>
      </c>
      <c r="O16" s="130">
        <f>IF(SER_hh_fec_in!O16=0,0,11630*1000*SER_hh_fec_in!O16/SER_hh_num_in!O16)</f>
        <v>5818.8263311716992</v>
      </c>
      <c r="P16" s="130">
        <f>IF(SER_hh_fec_in!P16=0,0,11630*1000*SER_hh_fec_in!P16/SER_hh_num_in!P16)</f>
        <v>4696.9917295744726</v>
      </c>
      <c r="Q16" s="130">
        <f>IF(SER_hh_fec_in!Q16=0,0,11630*1000*SER_hh_fec_in!Q16/SER_hh_num_in!Q16)</f>
        <v>7875.819029001932</v>
      </c>
      <c r="R16" s="130">
        <f>IF(SER_hh_fec_in!R16=0,0,11630*1000*SER_hh_fec_in!R16/SER_hh_num_in!R16)</f>
        <v>4740.5807561344718</v>
      </c>
      <c r="S16" s="130">
        <f>IF(SER_hh_fec_in!S16=0,0,11630*1000*SER_hh_fec_in!S16/SER_hh_num_in!S16)</f>
        <v>6879.0069133217139</v>
      </c>
      <c r="T16" s="130">
        <f>IF(SER_hh_fec_in!T16=0,0,11630*1000*SER_hh_fec_in!T16/SER_hh_num_in!T16)</f>
        <v>4983.837675619121</v>
      </c>
      <c r="U16" s="130">
        <f>IF(SER_hh_fec_in!U16=0,0,11630*1000*SER_hh_fec_in!U16/SER_hh_num_in!U16)</f>
        <v>6250.1317121843676</v>
      </c>
      <c r="V16" s="130">
        <f>IF(SER_hh_fec_in!V16=0,0,11630*1000*SER_hh_fec_in!V16/SER_hh_num_in!V16)</f>
        <v>4227.0878597008523</v>
      </c>
      <c r="W16" s="130">
        <f>IF(SER_hh_fec_in!W16=0,0,11630*1000*SER_hh_fec_in!W16/SER_hh_num_in!W16)</f>
        <v>4542.3513635356985</v>
      </c>
      <c r="X16" s="130">
        <f>IF(SER_hh_fec_in!X16=0,0,11630*1000*SER_hh_fec_in!X16/SER_hh_num_in!X16)</f>
        <v>5081.7818636098891</v>
      </c>
      <c r="Y16" s="130">
        <f>IF(SER_hh_fec_in!Y16=0,0,11630*1000*SER_hh_fec_in!Y16/SER_hh_num_in!Y16)</f>
        <v>4098.3710448305192</v>
      </c>
      <c r="DA16" s="155" t="s">
        <v>737</v>
      </c>
    </row>
    <row r="17" spans="1:105" ht="12.95" customHeight="1" x14ac:dyDescent="0.25">
      <c r="A17" s="131" t="s">
        <v>73</v>
      </c>
      <c r="B17" s="132"/>
      <c r="C17" s="132">
        <f>IF(SER_hh_fec_in!C17=0,0,11630*1000*SER_hh_fec_in!C17/SER_hh_num_in!C17)</f>
        <v>20992.374411496388</v>
      </c>
      <c r="D17" s="132">
        <f>IF(SER_hh_fec_in!D17=0,0,11630*1000*SER_hh_fec_in!D17/SER_hh_num_in!D17)</f>
        <v>18056.984965118485</v>
      </c>
      <c r="E17" s="132">
        <f>IF(SER_hh_fec_in!E17=0,0,11630*1000*SER_hh_fec_in!E17/SER_hh_num_in!E17)</f>
        <v>41076.764876795118</v>
      </c>
      <c r="F17" s="132">
        <f>IF(SER_hh_fec_in!F17=0,0,11630*1000*SER_hh_fec_in!F17/SER_hh_num_in!F17)</f>
        <v>18092.258594805695</v>
      </c>
      <c r="G17" s="132">
        <f>IF(SER_hh_fec_in!G17=0,0,11630*1000*SER_hh_fec_in!G17/SER_hh_num_in!G17)</f>
        <v>17725.834535026876</v>
      </c>
      <c r="H17" s="132">
        <f>IF(SER_hh_fec_in!H17=0,0,11630*1000*SER_hh_fec_in!H17/SER_hh_num_in!H17)</f>
        <v>20396.787911300311</v>
      </c>
      <c r="I17" s="132">
        <f>IF(SER_hh_fec_in!I17=0,0,11630*1000*SER_hh_fec_in!I17/SER_hh_num_in!I17)</f>
        <v>18333.002354873719</v>
      </c>
      <c r="J17" s="132">
        <f>IF(SER_hh_fec_in!J17=0,0,11630*1000*SER_hh_fec_in!J17/SER_hh_num_in!J17)</f>
        <v>20977.656691882759</v>
      </c>
      <c r="K17" s="132">
        <f>IF(SER_hh_fec_in!K17=0,0,11630*1000*SER_hh_fec_in!K17/SER_hh_num_in!K17)</f>
        <v>20857.084415144083</v>
      </c>
      <c r="L17" s="132">
        <f>IF(SER_hh_fec_in!L17=0,0,11630*1000*SER_hh_fec_in!L17/SER_hh_num_in!L17)</f>
        <v>16461.26057826115</v>
      </c>
      <c r="M17" s="132">
        <f>IF(SER_hh_fec_in!M17=0,0,11630*1000*SER_hh_fec_in!M17/SER_hh_num_in!M17)</f>
        <v>17260.7491113221</v>
      </c>
      <c r="N17" s="132">
        <f>IF(SER_hh_fec_in!N17=0,0,11630*1000*SER_hh_fec_in!N17/SER_hh_num_in!N17)</f>
        <v>26243.986770087315</v>
      </c>
      <c r="O17" s="132">
        <f>IF(SER_hh_fec_in!O17=0,0,11630*1000*SER_hh_fec_in!O17/SER_hh_num_in!O17)</f>
        <v>14956.917287745158</v>
      </c>
      <c r="P17" s="132">
        <f>IF(SER_hh_fec_in!P17=0,0,11630*1000*SER_hh_fec_in!P17/SER_hh_num_in!P17)</f>
        <v>12436.006925187088</v>
      </c>
      <c r="Q17" s="132">
        <f>IF(SER_hh_fec_in!Q17=0,0,11630*1000*SER_hh_fec_in!Q17/SER_hh_num_in!Q17)</f>
        <v>21283.508335273171</v>
      </c>
      <c r="R17" s="132">
        <f>IF(SER_hh_fec_in!R17=0,0,11630*1000*SER_hh_fec_in!R17/SER_hh_num_in!R17)</f>
        <v>13204.295926397297</v>
      </c>
      <c r="S17" s="132">
        <f>IF(SER_hh_fec_in!S17=0,0,11630*1000*SER_hh_fec_in!S17/SER_hh_num_in!S17)</f>
        <v>18903.111806040895</v>
      </c>
      <c r="T17" s="132">
        <f>IF(SER_hh_fec_in!T17=0,0,11630*1000*SER_hh_fec_in!T17/SER_hh_num_in!T17)</f>
        <v>13516.362841533792</v>
      </c>
      <c r="U17" s="132">
        <f>IF(SER_hh_fec_in!U17=0,0,11630*1000*SER_hh_fec_in!U17/SER_hh_num_in!U17)</f>
        <v>16612.884271647115</v>
      </c>
      <c r="V17" s="132">
        <f>IF(SER_hh_fec_in!V17=0,0,11630*1000*SER_hh_fec_in!V17/SER_hh_num_in!V17)</f>
        <v>11104.012107715527</v>
      </c>
      <c r="W17" s="132">
        <f>IF(SER_hh_fec_in!W17=0,0,11630*1000*SER_hh_fec_in!W17/SER_hh_num_in!W17)</f>
        <v>11709.868781569496</v>
      </c>
      <c r="X17" s="132">
        <f>IF(SER_hh_fec_in!X17=0,0,11630*1000*SER_hh_fec_in!X17/SER_hh_num_in!X17)</f>
        <v>13053.782946874577</v>
      </c>
      <c r="Y17" s="132">
        <f>IF(SER_hh_fec_in!Y17=0,0,11630*1000*SER_hh_fec_in!Y17/SER_hh_num_in!Y17)</f>
        <v>11503.060103118083</v>
      </c>
      <c r="DA17" s="156" t="s">
        <v>738</v>
      </c>
    </row>
    <row r="18" spans="1:105" ht="12" customHeight="1" x14ac:dyDescent="0.25">
      <c r="A18" s="131" t="s">
        <v>72</v>
      </c>
      <c r="B18" s="132"/>
      <c r="C18" s="132">
        <f>IF(SER_hh_fec_in!C18=0,0,11630*1000*SER_hh_fec_in!C18/SER_hh_num_in!C18)</f>
        <v>10548.904897392009</v>
      </c>
      <c r="D18" s="132">
        <f>IF(SER_hh_fec_in!D18=0,0,11630*1000*SER_hh_fec_in!D18/SER_hh_num_in!D18)</f>
        <v>8853.9968769585921</v>
      </c>
      <c r="E18" s="132">
        <f>IF(SER_hh_fec_in!E18=0,0,11630*1000*SER_hh_fec_in!E18/SER_hh_num_in!E18)</f>
        <v>19638.776193909653</v>
      </c>
      <c r="F18" s="132">
        <f>IF(SER_hh_fec_in!F18=0,0,11630*1000*SER_hh_fec_in!F18/SER_hh_num_in!F18)</f>
        <v>8445.6074525743134</v>
      </c>
      <c r="G18" s="132">
        <f>IF(SER_hh_fec_in!G18=0,0,11630*1000*SER_hh_fec_in!G18/SER_hh_num_in!G18)</f>
        <v>8086.9096593067552</v>
      </c>
      <c r="H18" s="132">
        <f>IF(SER_hh_fec_in!H18=0,0,11630*1000*SER_hh_fec_in!H18/SER_hh_num_in!H18)</f>
        <v>9090.7277918426244</v>
      </c>
      <c r="I18" s="132">
        <f>IF(SER_hh_fec_in!I18=0,0,11630*1000*SER_hh_fec_in!I18/SER_hh_num_in!I18)</f>
        <v>7993.6307875496905</v>
      </c>
      <c r="J18" s="132">
        <f>IF(SER_hh_fec_in!J18=0,0,11630*1000*SER_hh_fec_in!J18/SER_hh_num_in!J18)</f>
        <v>8955.3592240695652</v>
      </c>
      <c r="K18" s="132">
        <f>IF(SER_hh_fec_in!K18=0,0,11630*1000*SER_hh_fec_in!K18/SER_hh_num_in!K18)</f>
        <v>8717.7011060391706</v>
      </c>
      <c r="L18" s="132">
        <f>IF(SER_hh_fec_in!L18=0,0,11630*1000*SER_hh_fec_in!L18/SER_hh_num_in!L18)</f>
        <v>6731.3022061391175</v>
      </c>
      <c r="M18" s="132">
        <f>IF(SER_hh_fec_in!M18=0,0,11630*1000*SER_hh_fec_in!M18/SER_hh_num_in!M18)</f>
        <v>6897.1333324615334</v>
      </c>
      <c r="N18" s="132">
        <f>IF(SER_hh_fec_in!N18=0,0,11630*1000*SER_hh_fec_in!N18/SER_hh_num_in!N18)</f>
        <v>10225.508050963497</v>
      </c>
      <c r="O18" s="132">
        <f>IF(SER_hh_fec_in!O18=0,0,11630*1000*SER_hh_fec_in!O18/SER_hh_num_in!O18)</f>
        <v>5668.5939254028517</v>
      </c>
      <c r="P18" s="132">
        <f>IF(SER_hh_fec_in!P18=0,0,11630*1000*SER_hh_fec_in!P18/SER_hh_num_in!P18)</f>
        <v>4579.0985513112628</v>
      </c>
      <c r="Q18" s="132">
        <f>IF(SER_hh_fec_in!Q18=0,0,11630*1000*SER_hh_fec_in!Q18/SER_hh_num_in!Q18)</f>
        <v>7683.3244472429769</v>
      </c>
      <c r="R18" s="132">
        <f>IF(SER_hh_fec_in!R18=0,0,11630*1000*SER_hh_fec_in!R18/SER_hh_num_in!R18)</f>
        <v>4607.7582302742994</v>
      </c>
      <c r="S18" s="132">
        <f>IF(SER_hh_fec_in!S18=0,0,11630*1000*SER_hh_fec_in!S18/SER_hh_num_in!S18)</f>
        <v>6685.3756862462915</v>
      </c>
      <c r="T18" s="132">
        <f>IF(SER_hh_fec_in!T18=0,0,11630*1000*SER_hh_fec_in!T18/SER_hh_num_in!T18)</f>
        <v>4841.8817011069887</v>
      </c>
      <c r="U18" s="132">
        <f>IF(SER_hh_fec_in!U18=0,0,11630*1000*SER_hh_fec_in!U18/SER_hh_num_in!U18)</f>
        <v>6081.688050107864</v>
      </c>
      <c r="V18" s="132">
        <f>IF(SER_hh_fec_in!V18=0,0,11630*1000*SER_hh_fec_in!V18/SER_hh_num_in!V18)</f>
        <v>4121.6359226480981</v>
      </c>
      <c r="W18" s="132">
        <f>IF(SER_hh_fec_in!W18=0,0,11630*1000*SER_hh_fec_in!W18/SER_hh_num_in!W18)</f>
        <v>4439.6995657100506</v>
      </c>
      <c r="X18" s="132">
        <f>IF(SER_hh_fec_in!X18=0,0,11630*1000*SER_hh_fec_in!X18/SER_hh_num_in!X18)</f>
        <v>4896.008355880268</v>
      </c>
      <c r="Y18" s="132">
        <f>IF(SER_hh_fec_in!Y18=0,0,11630*1000*SER_hh_fec_in!Y18/SER_hh_num_in!Y18)</f>
        <v>3933.042433447416</v>
      </c>
      <c r="DA18" s="156" t="s">
        <v>739</v>
      </c>
    </row>
    <row r="19" spans="1:105" ht="12.95" customHeight="1" x14ac:dyDescent="0.25">
      <c r="A19" s="129" t="s">
        <v>35</v>
      </c>
      <c r="B19" s="130"/>
      <c r="C19" s="130">
        <f>IF(SER_hh_fec_in!C19=0,0,11630*1000*SER_hh_fec_in!C19/SER_hh_num_in!C19)</f>
        <v>28690.710474839325</v>
      </c>
      <c r="D19" s="130">
        <f>IF(SER_hh_fec_in!D19=0,0,11630*1000*SER_hh_fec_in!D19/SER_hh_num_in!D19)</f>
        <v>28783.384766386116</v>
      </c>
      <c r="E19" s="130">
        <f>IF(SER_hh_fec_in!E19=0,0,11630*1000*SER_hh_fec_in!E19/SER_hh_num_in!E19)</f>
        <v>28346.670780585002</v>
      </c>
      <c r="F19" s="130">
        <f>IF(SER_hh_fec_in!F19=0,0,11630*1000*SER_hh_fec_in!F19/SER_hh_num_in!F19)</f>
        <v>28881.431923361357</v>
      </c>
      <c r="G19" s="130">
        <f>IF(SER_hh_fec_in!G19=0,0,11630*1000*SER_hh_fec_in!G19/SER_hh_num_in!G19)</f>
        <v>27103.877624871842</v>
      </c>
      <c r="H19" s="130">
        <f>IF(SER_hh_fec_in!H19=0,0,11630*1000*SER_hh_fec_in!H19/SER_hh_num_in!H19)</f>
        <v>27599.906695103367</v>
      </c>
      <c r="I19" s="130">
        <f>IF(SER_hh_fec_in!I19=0,0,11630*1000*SER_hh_fec_in!I19/SER_hh_num_in!I19)</f>
        <v>27241.326770748354</v>
      </c>
      <c r="J19" s="130">
        <f>IF(SER_hh_fec_in!J19=0,0,11630*1000*SER_hh_fec_in!J19/SER_hh_num_in!J19)</f>
        <v>25537.057230616461</v>
      </c>
      <c r="K19" s="130">
        <f>IF(SER_hh_fec_in!K19=0,0,11630*1000*SER_hh_fec_in!K19/SER_hh_num_in!K19)</f>
        <v>24180.634170499186</v>
      </c>
      <c r="L19" s="130">
        <f>IF(SER_hh_fec_in!L19=0,0,11630*1000*SER_hh_fec_in!L19/SER_hh_num_in!L19)</f>
        <v>23774.180996930441</v>
      </c>
      <c r="M19" s="130">
        <f>IF(SER_hh_fec_in!M19=0,0,11630*1000*SER_hh_fec_in!M19/SER_hh_num_in!M19)</f>
        <v>26248.86841143962</v>
      </c>
      <c r="N19" s="130">
        <f>IF(SER_hh_fec_in!N19=0,0,11630*1000*SER_hh_fec_in!N19/SER_hh_num_in!N19)</f>
        <v>25061.324577052252</v>
      </c>
      <c r="O19" s="130">
        <f>IF(SER_hh_fec_in!O19=0,0,11630*1000*SER_hh_fec_in!O19/SER_hh_num_in!O19)</f>
        <v>24760.124233059767</v>
      </c>
      <c r="P19" s="130">
        <f>IF(SER_hh_fec_in!P19=0,0,11630*1000*SER_hh_fec_in!P19/SER_hh_num_in!P19)</f>
        <v>23870.221386787875</v>
      </c>
      <c r="Q19" s="130">
        <f>IF(SER_hh_fec_in!Q19=0,0,11630*1000*SER_hh_fec_in!Q19/SER_hh_num_in!Q19)</f>
        <v>24717.431714676768</v>
      </c>
      <c r="R19" s="130">
        <f>IF(SER_hh_fec_in!R19=0,0,11630*1000*SER_hh_fec_in!R19/SER_hh_num_in!R19)</f>
        <v>23649.305363819622</v>
      </c>
      <c r="S19" s="130">
        <f>IF(SER_hh_fec_in!S19=0,0,11630*1000*SER_hh_fec_in!S19/SER_hh_num_in!S19)</f>
        <v>22785.822240094447</v>
      </c>
      <c r="T19" s="130">
        <f>IF(SER_hh_fec_in!T19=0,0,11630*1000*SER_hh_fec_in!T19/SER_hh_num_in!T19)</f>
        <v>22161.310228165632</v>
      </c>
      <c r="U19" s="130">
        <f>IF(SER_hh_fec_in!U19=0,0,11630*1000*SER_hh_fec_in!U19/SER_hh_num_in!U19)</f>
        <v>20398.647815052111</v>
      </c>
      <c r="V19" s="130">
        <f>IF(SER_hh_fec_in!V19=0,0,11630*1000*SER_hh_fec_in!V19/SER_hh_num_in!V19)</f>
        <v>17876.112339325457</v>
      </c>
      <c r="W19" s="130">
        <f>IF(SER_hh_fec_in!W19=0,0,11630*1000*SER_hh_fec_in!W19/SER_hh_num_in!W19)</f>
        <v>20709.968844499301</v>
      </c>
      <c r="X19" s="130">
        <f>IF(SER_hh_fec_in!X19=0,0,11630*1000*SER_hh_fec_in!X19/SER_hh_num_in!X19)</f>
        <v>21594.861323373083</v>
      </c>
      <c r="Y19" s="130">
        <f>IF(SER_hh_fec_in!Y19=0,0,11630*1000*SER_hh_fec_in!Y19/SER_hh_num_in!Y19)</f>
        <v>21604.443297575679</v>
      </c>
      <c r="DA19" s="155" t="s">
        <v>740</v>
      </c>
    </row>
    <row r="20" spans="1:105" ht="12" customHeight="1" x14ac:dyDescent="0.25">
      <c r="A20" s="131" t="s">
        <v>29</v>
      </c>
      <c r="B20" s="132"/>
      <c r="C20" s="132">
        <f>IF(SER_hh_fec_in!C20=0,0,11630*1000*SER_hh_fec_in!C20/SER_hh_num_in!C20)</f>
        <v>0</v>
      </c>
      <c r="D20" s="132">
        <f>IF(SER_hh_fec_in!D20=0,0,11630*1000*SER_hh_fec_in!D20/SER_hh_num_in!D20)</f>
        <v>0</v>
      </c>
      <c r="E20" s="132">
        <f>IF(SER_hh_fec_in!E20=0,0,11630*1000*SER_hh_fec_in!E20/SER_hh_num_in!E20)</f>
        <v>0</v>
      </c>
      <c r="F20" s="132">
        <f>IF(SER_hh_fec_in!F20=0,0,11630*1000*SER_hh_fec_in!F20/SER_hh_num_in!F20)</f>
        <v>0</v>
      </c>
      <c r="G20" s="132">
        <f>IF(SER_hh_fec_in!G20=0,0,11630*1000*SER_hh_fec_in!G20/SER_hh_num_in!G20)</f>
        <v>0</v>
      </c>
      <c r="H20" s="132">
        <f>IF(SER_hh_fec_in!H20=0,0,11630*1000*SER_hh_fec_in!H20/SER_hh_num_in!H20)</f>
        <v>0</v>
      </c>
      <c r="I20" s="132">
        <f>IF(SER_hh_fec_in!I20=0,0,11630*1000*SER_hh_fec_in!I20/SER_hh_num_in!I20)</f>
        <v>0</v>
      </c>
      <c r="J20" s="132">
        <f>IF(SER_hh_fec_in!J20=0,0,11630*1000*SER_hh_fec_in!J20/SER_hh_num_in!J20)</f>
        <v>0</v>
      </c>
      <c r="K20" s="132">
        <f>IF(SER_hh_fec_in!K20=0,0,11630*1000*SER_hh_fec_in!K20/SER_hh_num_in!K20)</f>
        <v>0</v>
      </c>
      <c r="L20" s="132">
        <f>IF(SER_hh_fec_in!L20=0,0,11630*1000*SER_hh_fec_in!L20/SER_hh_num_in!L20)</f>
        <v>0</v>
      </c>
      <c r="M20" s="132">
        <f>IF(SER_hh_fec_in!M20=0,0,11630*1000*SER_hh_fec_in!M20/SER_hh_num_in!M20)</f>
        <v>0</v>
      </c>
      <c r="N20" s="132">
        <f>IF(SER_hh_fec_in!N20=0,0,11630*1000*SER_hh_fec_in!N20/SER_hh_num_in!N20)</f>
        <v>0</v>
      </c>
      <c r="O20" s="132">
        <f>IF(SER_hh_fec_in!O20=0,0,11630*1000*SER_hh_fec_in!O20/SER_hh_num_in!O20)</f>
        <v>0</v>
      </c>
      <c r="P20" s="132">
        <f>IF(SER_hh_fec_in!P20=0,0,11630*1000*SER_hh_fec_in!P20/SER_hh_num_in!P20)</f>
        <v>0</v>
      </c>
      <c r="Q20" s="132">
        <f>IF(SER_hh_fec_in!Q20=0,0,11630*1000*SER_hh_fec_in!Q20/SER_hh_num_in!Q20)</f>
        <v>0</v>
      </c>
      <c r="R20" s="132">
        <f>IF(SER_hh_fec_in!R20=0,0,11630*1000*SER_hh_fec_in!R20/SER_hh_num_in!R20)</f>
        <v>0</v>
      </c>
      <c r="S20" s="132">
        <f>IF(SER_hh_fec_in!S20=0,0,11630*1000*SER_hh_fec_in!S20/SER_hh_num_in!S20)</f>
        <v>0</v>
      </c>
      <c r="T20" s="132">
        <f>IF(SER_hh_fec_in!T20=0,0,11630*1000*SER_hh_fec_in!T20/SER_hh_num_in!T20)</f>
        <v>0</v>
      </c>
      <c r="U20" s="132">
        <f>IF(SER_hh_fec_in!U20=0,0,11630*1000*SER_hh_fec_in!U20/SER_hh_num_in!U20)</f>
        <v>0</v>
      </c>
      <c r="V20" s="132">
        <f>IF(SER_hh_fec_in!V20=0,0,11630*1000*SER_hh_fec_in!V20/SER_hh_num_in!V20)</f>
        <v>0</v>
      </c>
      <c r="W20" s="132">
        <f>IF(SER_hh_fec_in!W20=0,0,11630*1000*SER_hh_fec_in!W20/SER_hh_num_in!W20)</f>
        <v>0</v>
      </c>
      <c r="X20" s="132">
        <f>IF(SER_hh_fec_in!X20=0,0,11630*1000*SER_hh_fec_in!X20/SER_hh_num_in!X20)</f>
        <v>0</v>
      </c>
      <c r="Y20" s="132">
        <f>IF(SER_hh_fec_in!Y20=0,0,11630*1000*SER_hh_fec_in!Y20/SER_hh_num_in!Y20)</f>
        <v>0</v>
      </c>
      <c r="DA20" s="156" t="s">
        <v>741</v>
      </c>
    </row>
    <row r="21" spans="1:105" s="2" customFormat="1" ht="12" customHeight="1" x14ac:dyDescent="0.25">
      <c r="A21" s="131" t="s">
        <v>52</v>
      </c>
      <c r="B21" s="132"/>
      <c r="C21" s="132">
        <f>IF(SER_hh_fec_in!C21=0,0,11630*1000*SER_hh_fec_in!C21/SER_hh_num_in!C21)</f>
        <v>32555.448115680174</v>
      </c>
      <c r="D21" s="132">
        <f>IF(SER_hh_fec_in!D21=0,0,11630*1000*SER_hh_fec_in!D21/SER_hh_num_in!D21)</f>
        <v>31940.298531000186</v>
      </c>
      <c r="E21" s="132">
        <f>IF(SER_hh_fec_in!E21=0,0,11630*1000*SER_hh_fec_in!E21/SER_hh_num_in!E21)</f>
        <v>31051.042061401658</v>
      </c>
      <c r="F21" s="132">
        <f>IF(SER_hh_fec_in!F21=0,0,11630*1000*SER_hh_fec_in!F21/SER_hh_num_in!F21)</f>
        <v>31367.222672597549</v>
      </c>
      <c r="G21" s="132">
        <f>IF(SER_hh_fec_in!G21=0,0,11630*1000*SER_hh_fec_in!G21/SER_hh_num_in!G21)</f>
        <v>30740.572770634484</v>
      </c>
      <c r="H21" s="132">
        <f>IF(SER_hh_fec_in!H21=0,0,11630*1000*SER_hh_fec_in!H21/SER_hh_num_in!H21)</f>
        <v>32013.170972466211</v>
      </c>
      <c r="I21" s="132">
        <f>IF(SER_hh_fec_in!I21=0,0,11630*1000*SER_hh_fec_in!I21/SER_hh_num_in!I21)</f>
        <v>29822.329100270163</v>
      </c>
      <c r="J21" s="132">
        <f>IF(SER_hh_fec_in!J21=0,0,11630*1000*SER_hh_fec_in!J21/SER_hh_num_in!J21)</f>
        <v>28770.778138579826</v>
      </c>
      <c r="K21" s="132">
        <f>IF(SER_hh_fec_in!K21=0,0,11630*1000*SER_hh_fec_in!K21/SER_hh_num_in!K21)</f>
        <v>27082.527312746675</v>
      </c>
      <c r="L21" s="132">
        <f>IF(SER_hh_fec_in!L21=0,0,11630*1000*SER_hh_fec_in!L21/SER_hh_num_in!L21)</f>
        <v>25975.965669758727</v>
      </c>
      <c r="M21" s="132">
        <f>IF(SER_hh_fec_in!M21=0,0,11630*1000*SER_hh_fec_in!M21/SER_hh_num_in!M21)</f>
        <v>31575.254719245731</v>
      </c>
      <c r="N21" s="132">
        <f>IF(SER_hh_fec_in!N21=0,0,11630*1000*SER_hh_fec_in!N21/SER_hh_num_in!N21)</f>
        <v>28553.33177473917</v>
      </c>
      <c r="O21" s="132">
        <f>IF(SER_hh_fec_in!O21=0,0,11630*1000*SER_hh_fec_in!O21/SER_hh_num_in!O21)</f>
        <v>29456.979212648181</v>
      </c>
      <c r="P21" s="132">
        <f>IF(SER_hh_fec_in!P21=0,0,11630*1000*SER_hh_fec_in!P21/SER_hh_num_in!P21)</f>
        <v>0</v>
      </c>
      <c r="Q21" s="132">
        <f>IF(SER_hh_fec_in!Q21=0,0,11630*1000*SER_hh_fec_in!Q21/SER_hh_num_in!Q21)</f>
        <v>0</v>
      </c>
      <c r="R21" s="132">
        <f>IF(SER_hh_fec_in!R21=0,0,11630*1000*SER_hh_fec_in!R21/SER_hh_num_in!R21)</f>
        <v>26612.470744316513</v>
      </c>
      <c r="S21" s="132">
        <f>IF(SER_hh_fec_in!S21=0,0,11630*1000*SER_hh_fec_in!S21/SER_hh_num_in!S21)</f>
        <v>25920.61988845473</v>
      </c>
      <c r="T21" s="132">
        <f>IF(SER_hh_fec_in!T21=0,0,11630*1000*SER_hh_fec_in!T21/SER_hh_num_in!T21)</f>
        <v>23611.986198911476</v>
      </c>
      <c r="U21" s="132">
        <f>IF(SER_hh_fec_in!U21=0,0,11630*1000*SER_hh_fec_in!U21/SER_hh_num_in!U21)</f>
        <v>21098.143793801628</v>
      </c>
      <c r="V21" s="132">
        <f>IF(SER_hh_fec_in!V21=0,0,11630*1000*SER_hh_fec_in!V21/SER_hh_num_in!V21)</f>
        <v>20490.000467610447</v>
      </c>
      <c r="W21" s="132">
        <f>IF(SER_hh_fec_in!W21=0,0,11630*1000*SER_hh_fec_in!W21/SER_hh_num_in!W21)</f>
        <v>22411.043056525858</v>
      </c>
      <c r="X21" s="132">
        <f>IF(SER_hh_fec_in!X21=0,0,11630*1000*SER_hh_fec_in!X21/SER_hh_num_in!X21)</f>
        <v>22735.111614497251</v>
      </c>
      <c r="Y21" s="132">
        <f>IF(SER_hh_fec_in!Y21=0,0,11630*1000*SER_hh_fec_in!Y21/SER_hh_num_in!Y21)</f>
        <v>22716.921747989214</v>
      </c>
      <c r="DA21" s="156" t="s">
        <v>742</v>
      </c>
    </row>
    <row r="22" spans="1:105" ht="12" customHeight="1" x14ac:dyDescent="0.25">
      <c r="A22" s="131" t="s">
        <v>161</v>
      </c>
      <c r="B22" s="132"/>
      <c r="C22" s="132">
        <f>IF(SER_hh_fec_in!C22=0,0,11630*1000*SER_hh_fec_in!C22/SER_hh_num_in!C22)</f>
        <v>34563.058314953261</v>
      </c>
      <c r="D22" s="132">
        <f>IF(SER_hh_fec_in!D22=0,0,11630*1000*SER_hh_fec_in!D22/SER_hh_num_in!D22)</f>
        <v>0</v>
      </c>
      <c r="E22" s="132">
        <f>IF(SER_hh_fec_in!E22=0,0,11630*1000*SER_hh_fec_in!E22/SER_hh_num_in!E22)</f>
        <v>0</v>
      </c>
      <c r="F22" s="132">
        <f>IF(SER_hh_fec_in!F22=0,0,11630*1000*SER_hh_fec_in!F22/SER_hh_num_in!F22)</f>
        <v>0</v>
      </c>
      <c r="G22" s="132">
        <f>IF(SER_hh_fec_in!G22=0,0,11630*1000*SER_hh_fec_in!G22/SER_hh_num_in!G22)</f>
        <v>28442.818289446997</v>
      </c>
      <c r="H22" s="132">
        <f>IF(SER_hh_fec_in!H22=0,0,11630*1000*SER_hh_fec_in!H22/SER_hh_num_in!H22)</f>
        <v>33379.575518490303</v>
      </c>
      <c r="I22" s="132">
        <f>IF(SER_hh_fec_in!I22=0,0,11630*1000*SER_hh_fec_in!I22/SER_hh_num_in!I22)</f>
        <v>32806.056010330802</v>
      </c>
      <c r="J22" s="132">
        <f>IF(SER_hh_fec_in!J22=0,0,11630*1000*SER_hh_fec_in!J22/SER_hh_num_in!J22)</f>
        <v>32023.027135027412</v>
      </c>
      <c r="K22" s="132">
        <f>IF(SER_hh_fec_in!K22=0,0,11630*1000*SER_hh_fec_in!K22/SER_hh_num_in!K22)</f>
        <v>29991.819705635658</v>
      </c>
      <c r="L22" s="132">
        <f>IF(SER_hh_fec_in!L22=0,0,11630*1000*SER_hh_fec_in!L22/SER_hh_num_in!L22)</f>
        <v>27877.471481654829</v>
      </c>
      <c r="M22" s="132">
        <f>IF(SER_hh_fec_in!M22=0,0,11630*1000*SER_hh_fec_in!M22/SER_hh_num_in!M22)</f>
        <v>31625.420855966979</v>
      </c>
      <c r="N22" s="132">
        <f>IF(SER_hh_fec_in!N22=0,0,11630*1000*SER_hh_fec_in!N22/SER_hh_num_in!N22)</f>
        <v>30853.412210526083</v>
      </c>
      <c r="O22" s="132">
        <f>IF(SER_hh_fec_in!O22=0,0,11630*1000*SER_hh_fec_in!O22/SER_hh_num_in!O22)</f>
        <v>30864.487116813496</v>
      </c>
      <c r="P22" s="132">
        <f>IF(SER_hh_fec_in!P22=0,0,11630*1000*SER_hh_fec_in!P22/SER_hh_num_in!P22)</f>
        <v>0</v>
      </c>
      <c r="Q22" s="132">
        <f>IF(SER_hh_fec_in!Q22=0,0,11630*1000*SER_hh_fec_in!Q22/SER_hh_num_in!Q22)</f>
        <v>0</v>
      </c>
      <c r="R22" s="132">
        <f>IF(SER_hh_fec_in!R22=0,0,11630*1000*SER_hh_fec_in!R22/SER_hh_num_in!R22)</f>
        <v>0</v>
      </c>
      <c r="S22" s="132">
        <f>IF(SER_hh_fec_in!S22=0,0,11630*1000*SER_hh_fec_in!S22/SER_hh_num_in!S22)</f>
        <v>0</v>
      </c>
      <c r="T22" s="132">
        <f>IF(SER_hh_fec_in!T22=0,0,11630*1000*SER_hh_fec_in!T22/SER_hh_num_in!T22)</f>
        <v>0</v>
      </c>
      <c r="U22" s="132">
        <f>IF(SER_hh_fec_in!U22=0,0,11630*1000*SER_hh_fec_in!U22/SER_hh_num_in!U22)</f>
        <v>0</v>
      </c>
      <c r="V22" s="132">
        <f>IF(SER_hh_fec_in!V22=0,0,11630*1000*SER_hh_fec_in!V22/SER_hh_num_in!V22)</f>
        <v>0</v>
      </c>
      <c r="W22" s="132">
        <f>IF(SER_hh_fec_in!W22=0,0,11630*1000*SER_hh_fec_in!W22/SER_hh_num_in!W22)</f>
        <v>22287.465490728362</v>
      </c>
      <c r="X22" s="132">
        <f>IF(SER_hh_fec_in!X22=0,0,11630*1000*SER_hh_fec_in!X22/SER_hh_num_in!X22)</f>
        <v>23809.115908766787</v>
      </c>
      <c r="Y22" s="132">
        <f>IF(SER_hh_fec_in!Y22=0,0,11630*1000*SER_hh_fec_in!Y22/SER_hh_num_in!Y22)</f>
        <v>19625.265065694592</v>
      </c>
      <c r="DA22" s="156" t="s">
        <v>743</v>
      </c>
    </row>
    <row r="23" spans="1:105" ht="12" customHeight="1" x14ac:dyDescent="0.25">
      <c r="A23" s="131" t="s">
        <v>149</v>
      </c>
      <c r="B23" s="132"/>
      <c r="C23" s="132">
        <f>IF(SER_hh_fec_in!C23=0,0,11630*1000*SER_hh_fec_in!C23/SER_hh_num_in!C23)</f>
        <v>31500.46328170038</v>
      </c>
      <c r="D23" s="132">
        <f>IF(SER_hh_fec_in!D23=0,0,11630*1000*SER_hh_fec_in!D23/SER_hh_num_in!D23)</f>
        <v>31439.932895884544</v>
      </c>
      <c r="E23" s="132">
        <f>IF(SER_hh_fec_in!E23=0,0,11630*1000*SER_hh_fec_in!E23/SER_hh_num_in!E23)</f>
        <v>30949.040836022912</v>
      </c>
      <c r="F23" s="132">
        <f>IF(SER_hh_fec_in!F23=0,0,11630*1000*SER_hh_fec_in!F23/SER_hh_num_in!F23)</f>
        <v>30475.845989125988</v>
      </c>
      <c r="G23" s="132">
        <f>IF(SER_hh_fec_in!G23=0,0,11630*1000*SER_hh_fec_in!G23/SER_hh_num_in!G23)</f>
        <v>29670.051881886062</v>
      </c>
      <c r="H23" s="132">
        <f>IF(SER_hh_fec_in!H23=0,0,11630*1000*SER_hh_fec_in!H23/SER_hh_num_in!H23)</f>
        <v>29944.233238484478</v>
      </c>
      <c r="I23" s="132">
        <f>IF(SER_hh_fec_in!I23=0,0,11630*1000*SER_hh_fec_in!I23/SER_hh_num_in!I23)</f>
        <v>29245.930380140169</v>
      </c>
      <c r="J23" s="132">
        <f>IF(SER_hh_fec_in!J23=0,0,11630*1000*SER_hh_fec_in!J23/SER_hh_num_in!J23)</f>
        <v>28012.616482131118</v>
      </c>
      <c r="K23" s="132">
        <f>IF(SER_hh_fec_in!K23=0,0,11630*1000*SER_hh_fec_in!K23/SER_hh_num_in!K23)</f>
        <v>26228.829523985722</v>
      </c>
      <c r="L23" s="132">
        <f>IF(SER_hh_fec_in!L23=0,0,11630*1000*SER_hh_fec_in!L23/SER_hh_num_in!L23)</f>
        <v>25827.627392185434</v>
      </c>
      <c r="M23" s="132">
        <f>IF(SER_hh_fec_in!M23=0,0,11630*1000*SER_hh_fec_in!M23/SER_hh_num_in!M23)</f>
        <v>28593.798016898778</v>
      </c>
      <c r="N23" s="132">
        <f>IF(SER_hh_fec_in!N23=0,0,11630*1000*SER_hh_fec_in!N23/SER_hh_num_in!N23)</f>
        <v>28045.204361845757</v>
      </c>
      <c r="O23" s="132">
        <f>IF(SER_hh_fec_in!O23=0,0,11630*1000*SER_hh_fec_in!O23/SER_hh_num_in!O23)</f>
        <v>27419.407681218745</v>
      </c>
      <c r="P23" s="132">
        <f>IF(SER_hh_fec_in!P23=0,0,11630*1000*SER_hh_fec_in!P23/SER_hh_num_in!P23)</f>
        <v>26474.147056859114</v>
      </c>
      <c r="Q23" s="132">
        <f>IF(SER_hh_fec_in!Q23=0,0,11630*1000*SER_hh_fec_in!Q23/SER_hh_num_in!Q23)</f>
        <v>25624.522806829962</v>
      </c>
      <c r="R23" s="132">
        <f>IF(SER_hh_fec_in!R23=0,0,11630*1000*SER_hh_fec_in!R23/SER_hh_num_in!R23)</f>
        <v>24860.371198596353</v>
      </c>
      <c r="S23" s="132">
        <f>IF(SER_hh_fec_in!S23=0,0,11630*1000*SER_hh_fec_in!S23/SER_hh_num_in!S23)</f>
        <v>22654.495794549883</v>
      </c>
      <c r="T23" s="132">
        <f>IF(SER_hh_fec_in!T23=0,0,11630*1000*SER_hh_fec_in!T23/SER_hh_num_in!T23)</f>
        <v>21430.861642296502</v>
      </c>
      <c r="U23" s="132">
        <f>IF(SER_hh_fec_in!U23=0,0,11630*1000*SER_hh_fec_in!U23/SER_hh_num_in!U23)</f>
        <v>21167.234868962187</v>
      </c>
      <c r="V23" s="132">
        <f>IF(SER_hh_fec_in!V23=0,0,11630*1000*SER_hh_fec_in!V23/SER_hh_num_in!V23)</f>
        <v>20614.078373608456</v>
      </c>
      <c r="W23" s="132">
        <f>IF(SER_hh_fec_in!W23=0,0,11630*1000*SER_hh_fec_in!W23/SER_hh_num_in!W23)</f>
        <v>23223.917326179781</v>
      </c>
      <c r="X23" s="132">
        <f>IF(SER_hh_fec_in!X23=0,0,11630*1000*SER_hh_fec_in!X23/SER_hh_num_in!X23)</f>
        <v>23006.140082794383</v>
      </c>
      <c r="Y23" s="132">
        <f>IF(SER_hh_fec_in!Y23=0,0,11630*1000*SER_hh_fec_in!Y23/SER_hh_num_in!Y23)</f>
        <v>22620.832294925935</v>
      </c>
      <c r="DA23" s="156" t="s">
        <v>744</v>
      </c>
    </row>
    <row r="24" spans="1:105" ht="12" customHeight="1" x14ac:dyDescent="0.25">
      <c r="A24" s="131" t="s">
        <v>128</v>
      </c>
      <c r="B24" s="132"/>
      <c r="C24" s="132">
        <f>IF(SER_hh_fec_in!C24=0,0,11630*1000*SER_hh_fec_in!C24/SER_hh_num_in!C24)</f>
        <v>0</v>
      </c>
      <c r="D24" s="132">
        <f>IF(SER_hh_fec_in!D24=0,0,11630*1000*SER_hh_fec_in!D24/SER_hh_num_in!D24)</f>
        <v>0</v>
      </c>
      <c r="E24" s="132">
        <f>IF(SER_hh_fec_in!E24=0,0,11630*1000*SER_hh_fec_in!E24/SER_hh_num_in!E24)</f>
        <v>0</v>
      </c>
      <c r="F24" s="132">
        <f>IF(SER_hh_fec_in!F24=0,0,11630*1000*SER_hh_fec_in!F24/SER_hh_num_in!F24)</f>
        <v>0</v>
      </c>
      <c r="G24" s="132">
        <f>IF(SER_hh_fec_in!G24=0,0,11630*1000*SER_hh_fec_in!G24/SER_hh_num_in!G24)</f>
        <v>0</v>
      </c>
      <c r="H24" s="132">
        <f>IF(SER_hh_fec_in!H24=0,0,11630*1000*SER_hh_fec_in!H24/SER_hh_num_in!H24)</f>
        <v>0</v>
      </c>
      <c r="I24" s="132">
        <f>IF(SER_hh_fec_in!I24=0,0,11630*1000*SER_hh_fec_in!I24/SER_hh_num_in!I24)</f>
        <v>0</v>
      </c>
      <c r="J24" s="132">
        <f>IF(SER_hh_fec_in!J24=0,0,11630*1000*SER_hh_fec_in!J24/SER_hh_num_in!J24)</f>
        <v>0</v>
      </c>
      <c r="K24" s="132">
        <f>IF(SER_hh_fec_in!K24=0,0,11630*1000*SER_hh_fec_in!K24/SER_hh_num_in!K24)</f>
        <v>0</v>
      </c>
      <c r="L24" s="132">
        <f>IF(SER_hh_fec_in!L24=0,0,11630*1000*SER_hh_fec_in!L24/SER_hh_num_in!L24)</f>
        <v>0</v>
      </c>
      <c r="M24" s="132">
        <f>IF(SER_hh_fec_in!M24=0,0,11630*1000*SER_hh_fec_in!M24/SER_hh_num_in!M24)</f>
        <v>0</v>
      </c>
      <c r="N24" s="132">
        <f>IF(SER_hh_fec_in!N24=0,0,11630*1000*SER_hh_fec_in!N24/SER_hh_num_in!N24)</f>
        <v>0</v>
      </c>
      <c r="O24" s="132">
        <f>IF(SER_hh_fec_in!O24=0,0,11630*1000*SER_hh_fec_in!O24/SER_hh_num_in!O24)</f>
        <v>0</v>
      </c>
      <c r="P24" s="132">
        <f>IF(SER_hh_fec_in!P24=0,0,11630*1000*SER_hh_fec_in!P24/SER_hh_num_in!P24)</f>
        <v>0</v>
      </c>
      <c r="Q24" s="132">
        <f>IF(SER_hh_fec_in!Q24=0,0,11630*1000*SER_hh_fec_in!Q24/SER_hh_num_in!Q24)</f>
        <v>0</v>
      </c>
      <c r="R24" s="132">
        <f>IF(SER_hh_fec_in!R24=0,0,11630*1000*SER_hh_fec_in!R24/SER_hh_num_in!R24)</f>
        <v>0</v>
      </c>
      <c r="S24" s="132">
        <f>IF(SER_hh_fec_in!S24=0,0,11630*1000*SER_hh_fec_in!S24/SER_hh_num_in!S24)</f>
        <v>0</v>
      </c>
      <c r="T24" s="132">
        <f>IF(SER_hh_fec_in!T24=0,0,11630*1000*SER_hh_fec_in!T24/SER_hh_num_in!T24)</f>
        <v>0</v>
      </c>
      <c r="U24" s="132">
        <f>IF(SER_hh_fec_in!U24=0,0,11630*1000*SER_hh_fec_in!U24/SER_hh_num_in!U24)</f>
        <v>0</v>
      </c>
      <c r="V24" s="132">
        <f>IF(SER_hh_fec_in!V24=0,0,11630*1000*SER_hh_fec_in!V24/SER_hh_num_in!V24)</f>
        <v>0</v>
      </c>
      <c r="W24" s="132">
        <f>IF(SER_hh_fec_in!W24=0,0,11630*1000*SER_hh_fec_in!W24/SER_hh_num_in!W24)</f>
        <v>0</v>
      </c>
      <c r="X24" s="132">
        <f>IF(SER_hh_fec_in!X24=0,0,11630*1000*SER_hh_fec_in!X24/SER_hh_num_in!X24)</f>
        <v>0</v>
      </c>
      <c r="Y24" s="132">
        <f>IF(SER_hh_fec_in!Y24=0,0,11630*1000*SER_hh_fec_in!Y24/SER_hh_num_in!Y24)</f>
        <v>0</v>
      </c>
      <c r="DA24" s="156" t="s">
        <v>745</v>
      </c>
    </row>
    <row r="25" spans="1:105" ht="12" customHeight="1" x14ac:dyDescent="0.25">
      <c r="A25" s="131" t="s">
        <v>162</v>
      </c>
      <c r="B25" s="132"/>
      <c r="C25" s="132">
        <f>IF(SER_hh_fec_in!C25=0,0,11630*1000*SER_hh_fec_in!C25/SER_hh_num_in!C25)</f>
        <v>0</v>
      </c>
      <c r="D25" s="132">
        <f>IF(SER_hh_fec_in!D25=0,0,11630*1000*SER_hh_fec_in!D25/SER_hh_num_in!D25)</f>
        <v>0</v>
      </c>
      <c r="E25" s="132">
        <f>IF(SER_hh_fec_in!E25=0,0,11630*1000*SER_hh_fec_in!E25/SER_hh_num_in!E25)</f>
        <v>0</v>
      </c>
      <c r="F25" s="132">
        <f>IF(SER_hh_fec_in!F25=0,0,11630*1000*SER_hh_fec_in!F25/SER_hh_num_in!F25)</f>
        <v>32481.1204426412</v>
      </c>
      <c r="G25" s="132">
        <f>IF(SER_hh_fec_in!G25=0,0,11630*1000*SER_hh_fec_in!G25/SER_hh_num_in!G25)</f>
        <v>25414.295542583768</v>
      </c>
      <c r="H25" s="132">
        <f>IF(SER_hh_fec_in!H25=0,0,11630*1000*SER_hh_fec_in!H25/SER_hh_num_in!H25)</f>
        <v>22651.420294566913</v>
      </c>
      <c r="I25" s="132">
        <f>IF(SER_hh_fec_in!I25=0,0,11630*1000*SER_hh_fec_in!I25/SER_hh_num_in!I25)</f>
        <v>20868.391602679938</v>
      </c>
      <c r="J25" s="132">
        <f>IF(SER_hh_fec_in!J25=0,0,11630*1000*SER_hh_fec_in!J25/SER_hh_num_in!J25)</f>
        <v>19776.797813552515</v>
      </c>
      <c r="K25" s="132">
        <f>IF(SER_hh_fec_in!K25=0,0,11630*1000*SER_hh_fec_in!K25/SER_hh_num_in!K25)</f>
        <v>19997.469135840613</v>
      </c>
      <c r="L25" s="132">
        <f>IF(SER_hh_fec_in!L25=0,0,11630*1000*SER_hh_fec_in!L25/SER_hh_num_in!L25)</f>
        <v>19958.196123221038</v>
      </c>
      <c r="M25" s="132">
        <f>IF(SER_hh_fec_in!M25=0,0,11630*1000*SER_hh_fec_in!M25/SER_hh_num_in!M25)</f>
        <v>21396.589294075235</v>
      </c>
      <c r="N25" s="132">
        <f>IF(SER_hh_fec_in!N25=0,0,11630*1000*SER_hh_fec_in!N25/SER_hh_num_in!N25)</f>
        <v>21318.498914371536</v>
      </c>
      <c r="O25" s="132">
        <f>IF(SER_hh_fec_in!O25=0,0,11630*1000*SER_hh_fec_in!O25/SER_hh_num_in!O25)</f>
        <v>22764.961833236175</v>
      </c>
      <c r="P25" s="132">
        <f>IF(SER_hh_fec_in!P25=0,0,11630*1000*SER_hh_fec_in!P25/SER_hh_num_in!P25)</f>
        <v>22741.665674404918</v>
      </c>
      <c r="Q25" s="132">
        <f>IF(SER_hh_fec_in!Q25=0,0,11630*1000*SER_hh_fec_in!Q25/SER_hh_num_in!Q25)</f>
        <v>22023.732329056649</v>
      </c>
      <c r="R25" s="132">
        <f>IF(SER_hh_fec_in!R25=0,0,11630*1000*SER_hh_fec_in!R25/SER_hh_num_in!R25)</f>
        <v>20628.173711937132</v>
      </c>
      <c r="S25" s="132">
        <f>IF(SER_hh_fec_in!S25=0,0,11630*1000*SER_hh_fec_in!S25/SER_hh_num_in!S25)</f>
        <v>19434.064694892295</v>
      </c>
      <c r="T25" s="132">
        <f>IF(SER_hh_fec_in!T25=0,0,11630*1000*SER_hh_fec_in!T25/SER_hh_num_in!T25)</f>
        <v>18968.263691699132</v>
      </c>
      <c r="U25" s="132">
        <f>IF(SER_hh_fec_in!U25=0,0,11630*1000*SER_hh_fec_in!U25/SER_hh_num_in!U25)</f>
        <v>17388.015581221603</v>
      </c>
      <c r="V25" s="132">
        <f>IF(SER_hh_fec_in!V25=0,0,11630*1000*SER_hh_fec_in!V25/SER_hh_num_in!V25)</f>
        <v>0</v>
      </c>
      <c r="W25" s="132">
        <f>IF(SER_hh_fec_in!W25=0,0,11630*1000*SER_hh_fec_in!W25/SER_hh_num_in!W25)</f>
        <v>0</v>
      </c>
      <c r="X25" s="132">
        <f>IF(SER_hh_fec_in!X25=0,0,11630*1000*SER_hh_fec_in!X25/SER_hh_num_in!X25)</f>
        <v>21044.274689044316</v>
      </c>
      <c r="Y25" s="132">
        <f>IF(SER_hh_fec_in!Y25=0,0,11630*1000*SER_hh_fec_in!Y25/SER_hh_num_in!Y25)</f>
        <v>0</v>
      </c>
      <c r="DA25" s="156" t="s">
        <v>746</v>
      </c>
    </row>
    <row r="26" spans="1:105" ht="12" customHeight="1" x14ac:dyDescent="0.25">
      <c r="A26" s="131" t="s">
        <v>24</v>
      </c>
      <c r="B26" s="65"/>
      <c r="C26" s="65">
        <f>IF(SER_hh_fec_in!C26=0,0,11630*1000*SER_hh_fec_in!C26/SER_hh_num_in!C26)</f>
        <v>26464.489015524945</v>
      </c>
      <c r="D26" s="65">
        <f>IF(SER_hh_fec_in!D26=0,0,11630*1000*SER_hh_fec_in!D26/SER_hh_num_in!D26)</f>
        <v>26343.817341973252</v>
      </c>
      <c r="E26" s="65">
        <f>IF(SER_hh_fec_in!E26=0,0,11630*1000*SER_hh_fec_in!E26/SER_hh_num_in!E26)</f>
        <v>25298.805000282166</v>
      </c>
      <c r="F26" s="65">
        <f>IF(SER_hh_fec_in!F26=0,0,11630*1000*SER_hh_fec_in!F26/SER_hh_num_in!F26)</f>
        <v>24286.383172488167</v>
      </c>
      <c r="G26" s="65">
        <f>IF(SER_hh_fec_in!G26=0,0,11630*1000*SER_hh_fec_in!G26/SER_hh_num_in!G26)</f>
        <v>16309.394672919174</v>
      </c>
      <c r="H26" s="65">
        <f>IF(SER_hh_fec_in!H26=0,0,11630*1000*SER_hh_fec_in!H26/SER_hh_num_in!H26)</f>
        <v>23678.619760245307</v>
      </c>
      <c r="I26" s="65">
        <f>IF(SER_hh_fec_in!I26=0,0,11630*1000*SER_hh_fec_in!I26/SER_hh_num_in!I26)</f>
        <v>20761.847243708475</v>
      </c>
      <c r="J26" s="65">
        <f>IF(SER_hh_fec_in!J26=0,0,11630*1000*SER_hh_fec_in!J26/SER_hh_num_in!J26)</f>
        <v>10172.584671934374</v>
      </c>
      <c r="K26" s="65">
        <f>IF(SER_hh_fec_in!K26=0,0,11630*1000*SER_hh_fec_in!K26/SER_hh_num_in!K26)</f>
        <v>3751.146216995623</v>
      </c>
      <c r="L26" s="65">
        <f>IF(SER_hh_fec_in!L26=0,0,11630*1000*SER_hh_fec_in!L26/SER_hh_num_in!L26)</f>
        <v>3626.1400899495952</v>
      </c>
      <c r="M26" s="65">
        <f>IF(SER_hh_fec_in!M26=0,0,11630*1000*SER_hh_fec_in!M26/SER_hh_num_in!M26)</f>
        <v>18165.226953805184</v>
      </c>
      <c r="N26" s="65">
        <f>IF(SER_hh_fec_in!N26=0,0,11630*1000*SER_hh_fec_in!N26/SER_hh_num_in!N26)</f>
        <v>13480.53991103059</v>
      </c>
      <c r="O26" s="65">
        <f>IF(SER_hh_fec_in!O26=0,0,11630*1000*SER_hh_fec_in!O26/SER_hh_num_in!O26)</f>
        <v>10500.313271282941</v>
      </c>
      <c r="P26" s="65">
        <f>IF(SER_hh_fec_in!P26=0,0,11630*1000*SER_hh_fec_in!P26/SER_hh_num_in!P26)</f>
        <v>12854.456700645856</v>
      </c>
      <c r="Q26" s="65">
        <f>IF(SER_hh_fec_in!Q26=0,0,11630*1000*SER_hh_fec_in!Q26/SER_hh_num_in!Q26)</f>
        <v>24155.357059514983</v>
      </c>
      <c r="R26" s="65">
        <f>IF(SER_hh_fec_in!R26=0,0,11630*1000*SER_hh_fec_in!R26/SER_hh_num_in!R26)</f>
        <v>7725.4158730491299</v>
      </c>
      <c r="S26" s="65">
        <f>IF(SER_hh_fec_in!S26=0,0,11630*1000*SER_hh_fec_in!S26/SER_hh_num_in!S26)</f>
        <v>4512.3207707423207</v>
      </c>
      <c r="T26" s="65">
        <f>IF(SER_hh_fec_in!T26=0,0,11630*1000*SER_hh_fec_in!T26/SER_hh_num_in!T26)</f>
        <v>9711.1189519042637</v>
      </c>
      <c r="U26" s="65">
        <f>IF(SER_hh_fec_in!U26=0,0,11630*1000*SER_hh_fec_in!U26/SER_hh_num_in!U26)</f>
        <v>3231.7443336343163</v>
      </c>
      <c r="V26" s="65">
        <f>IF(SER_hh_fec_in!V26=0,0,11630*1000*SER_hh_fec_in!V26/SER_hh_num_in!V26)</f>
        <v>2428.1607821195657</v>
      </c>
      <c r="W26" s="65">
        <f>IF(SER_hh_fec_in!W26=0,0,11630*1000*SER_hh_fec_in!W26/SER_hh_num_in!W26)</f>
        <v>20671.456956808805</v>
      </c>
      <c r="X26" s="65">
        <f>IF(SER_hh_fec_in!X26=0,0,11630*1000*SER_hh_fec_in!X26/SER_hh_num_in!X26)</f>
        <v>20554.85121388088</v>
      </c>
      <c r="Y26" s="65">
        <f>IF(SER_hh_fec_in!Y26=0,0,11630*1000*SER_hh_fec_in!Y26/SER_hh_num_in!Y26)</f>
        <v>3343.1765192634343</v>
      </c>
      <c r="DA26" s="109" t="s">
        <v>747</v>
      </c>
    </row>
    <row r="27" spans="1:105" ht="12" customHeight="1" x14ac:dyDescent="0.25">
      <c r="A27" s="144" t="s">
        <v>86</v>
      </c>
      <c r="B27" s="147"/>
      <c r="C27" s="145">
        <f>IF(SER_hh_fec_in!C27=0,0,11630*1000*SER_hh_fec_in!C27/SER_hh_num_in!C19)</f>
        <v>315.46282215551003</v>
      </c>
      <c r="D27" s="145">
        <f>IF(SER_hh_fec_in!D27=0,0,11630*1000*SER_hh_fec_in!D27/SER_hh_num_in!D19)</f>
        <v>559.18664106412962</v>
      </c>
      <c r="E27" s="145">
        <f>IF(SER_hh_fec_in!E27=0,0,11630*1000*SER_hh_fec_in!E27/SER_hh_num_in!E19)</f>
        <v>686.2562898271284</v>
      </c>
      <c r="F27" s="145">
        <f>IF(SER_hh_fec_in!F27=0,0,11630*1000*SER_hh_fec_in!F27/SER_hh_num_in!F19)</f>
        <v>1214.0468458020805</v>
      </c>
      <c r="G27" s="145">
        <f>IF(SER_hh_fec_in!G27=0,0,11630*1000*SER_hh_fec_in!G27/SER_hh_num_in!G19)</f>
        <v>3741.8267269441253</v>
      </c>
      <c r="H27" s="145">
        <f>IF(SER_hh_fec_in!H27=0,0,11630*1000*SER_hh_fec_in!H27/SER_hh_num_in!H19)</f>
        <v>1239.5947734337224</v>
      </c>
      <c r="I27" s="145">
        <f>IF(SER_hh_fec_in!I27=0,0,11630*1000*SER_hh_fec_in!I27/SER_hh_num_in!I19)</f>
        <v>2991.3613547708123</v>
      </c>
      <c r="J27" s="145">
        <f>IF(SER_hh_fec_in!J27=0,0,11630*1000*SER_hh_fec_in!J27/SER_hh_num_in!J19)</f>
        <v>6724.9841439945058</v>
      </c>
      <c r="K27" s="145">
        <f>IF(SER_hh_fec_in!K27=0,0,11630*1000*SER_hh_fec_in!K27/SER_hh_num_in!K19)</f>
        <v>9106.5154369503944</v>
      </c>
      <c r="L27" s="145">
        <f>IF(SER_hh_fec_in!L27=0,0,11630*1000*SER_hh_fec_in!L27/SER_hh_num_in!L19)</f>
        <v>9594.2923247231847</v>
      </c>
      <c r="M27" s="145">
        <f>IF(SER_hh_fec_in!M27=0,0,11630*1000*SER_hh_fec_in!M27/SER_hh_num_in!M19)</f>
        <v>3135.7997981639624</v>
      </c>
      <c r="N27" s="145">
        <f>IF(SER_hh_fec_in!N27=0,0,11630*1000*SER_hh_fec_in!N27/SER_hh_num_in!N19)</f>
        <v>4251.2062066823519</v>
      </c>
      <c r="O27" s="145">
        <f>IF(SER_hh_fec_in!O27=0,0,11630*1000*SER_hh_fec_in!O27/SER_hh_num_in!O19)</f>
        <v>5695.2293319132159</v>
      </c>
      <c r="P27" s="145">
        <f>IF(SER_hh_fec_in!P27=0,0,11630*1000*SER_hh_fec_in!P27/SER_hh_num_in!P19)</f>
        <v>6077.7764264503903</v>
      </c>
      <c r="Q27" s="145">
        <f>IF(SER_hh_fec_in!Q27=0,0,11630*1000*SER_hh_fec_in!Q27/SER_hh_num_in!Q19)</f>
        <v>0.3396974062076355</v>
      </c>
      <c r="R27" s="145">
        <f>IF(SER_hh_fec_in!R27=0,0,11630*1000*SER_hh_fec_in!R27/SER_hh_num_in!R19)</f>
        <v>5558.553847414837</v>
      </c>
      <c r="S27" s="145">
        <f>IF(SER_hh_fec_in!S27=0,0,11630*1000*SER_hh_fec_in!S27/SER_hh_num_in!S19)</f>
        <v>7148.7478309248481</v>
      </c>
      <c r="T27" s="145">
        <f>IF(SER_hh_fec_in!T27=0,0,11630*1000*SER_hh_fec_in!T27/SER_hh_num_in!T19)</f>
        <v>6533.0532890896093</v>
      </c>
      <c r="U27" s="145">
        <f>IF(SER_hh_fec_in!U27=0,0,11630*1000*SER_hh_fec_in!U27/SER_hh_num_in!U19)</f>
        <v>9390.2136807429124</v>
      </c>
      <c r="V27" s="145">
        <f>IF(SER_hh_fec_in!V27=0,0,11630*1000*SER_hh_fec_in!V27/SER_hh_num_in!V19)</f>
        <v>9372.756377898746</v>
      </c>
      <c r="W27" s="145">
        <f>IF(SER_hh_fec_in!W27=0,0,11630*1000*SER_hh_fec_in!W27/SER_hh_num_in!W19)</f>
        <v>0.56380090979049358</v>
      </c>
      <c r="X27" s="145">
        <f>IF(SER_hh_fec_in!X27=0,0,11630*1000*SER_hh_fec_in!X27/SER_hh_num_in!X19)</f>
        <v>0</v>
      </c>
      <c r="Y27" s="145">
        <f>IF(SER_hh_fec_in!Y27=0,0,11630*1000*SER_hh_fec_in!Y27/SER_hh_num_in!Y19)</f>
        <v>9004.6866021187161</v>
      </c>
      <c r="DA27" s="158" t="s">
        <v>748</v>
      </c>
    </row>
    <row r="28" spans="1:105" ht="12" customHeight="1" x14ac:dyDescent="0.25">
      <c r="A28" s="78" t="s">
        <v>85</v>
      </c>
      <c r="B28" s="68"/>
      <c r="C28" s="146">
        <f>IF(SER_hh_fec_in!C27=0,0,11630*1000*SER_hh_fec_in!C27/SER_hh_num_in!C27)</f>
        <v>15777.277200523306</v>
      </c>
      <c r="D28" s="146">
        <f>IF(SER_hh_fec_in!D27=0,0,11630*1000*SER_hh_fec_in!D27/SER_hh_num_in!D27)</f>
        <v>15449.859449557964</v>
      </c>
      <c r="E28" s="146">
        <f>IF(SER_hh_fec_in!E27=0,0,11630*1000*SER_hh_fec_in!E27/SER_hh_num_in!E27)</f>
        <v>15827.114795811971</v>
      </c>
      <c r="F28" s="146">
        <f>IF(SER_hh_fec_in!F27=0,0,11630*1000*SER_hh_fec_in!F27/SER_hh_num_in!F27)</f>
        <v>15441.507212000812</v>
      </c>
      <c r="G28" s="146">
        <f>IF(SER_hh_fec_in!G27=0,0,11630*1000*SER_hh_fec_in!G27/SER_hh_num_in!G27)</f>
        <v>15815.266547029605</v>
      </c>
      <c r="H28" s="146">
        <f>IF(SER_hh_fec_in!H27=0,0,11630*1000*SER_hh_fec_in!H27/SER_hh_num_in!H27)</f>
        <v>15890.283109396836</v>
      </c>
      <c r="I28" s="146">
        <f>IF(SER_hh_fec_in!I27=0,0,11630*1000*SER_hh_fec_in!I27/SER_hh_num_in!I27)</f>
        <v>16454.784388752167</v>
      </c>
      <c r="J28" s="146">
        <f>IF(SER_hh_fec_in!J27=0,0,11630*1000*SER_hh_fec_in!J27/SER_hh_num_in!J27)</f>
        <v>15627.392235852793</v>
      </c>
      <c r="K28" s="146">
        <f>IF(SER_hh_fec_in!K27=0,0,11630*1000*SER_hh_fec_in!K27/SER_hh_num_in!K27)</f>
        <v>16250.241089176665</v>
      </c>
      <c r="L28" s="146">
        <f>IF(SER_hh_fec_in!L27=0,0,11630*1000*SER_hh_fec_in!L27/SER_hh_num_in!L27)</f>
        <v>16453.229249640674</v>
      </c>
      <c r="M28" s="146">
        <f>IF(SER_hh_fec_in!M27=0,0,11630*1000*SER_hh_fec_in!M27/SER_hh_num_in!M27)</f>
        <v>16051.645565428264</v>
      </c>
      <c r="N28" s="146">
        <f>IF(SER_hh_fec_in!N27=0,0,11630*1000*SER_hh_fec_in!N27/SER_hh_num_in!N27)</f>
        <v>16674.540934306569</v>
      </c>
      <c r="O28" s="146">
        <f>IF(SER_hh_fec_in!O27=0,0,11630*1000*SER_hh_fec_in!O27/SER_hh_num_in!O27)</f>
        <v>17420.554870132415</v>
      </c>
      <c r="P28" s="146">
        <f>IF(SER_hh_fec_in!P27=0,0,11630*1000*SER_hh_fec_in!P27/SER_hh_num_in!P27)</f>
        <v>15944.87661205581</v>
      </c>
      <c r="Q28" s="146">
        <f>IF(SER_hh_fec_in!Q27=0,0,11630*1000*SER_hh_fec_in!Q27/SER_hh_num_in!Q27)</f>
        <v>17324.602612071027</v>
      </c>
      <c r="R28" s="146">
        <f>IF(SER_hh_fec_in!R27=0,0,11630*1000*SER_hh_fec_in!R27/SER_hh_num_in!R27)</f>
        <v>17808.076009814195</v>
      </c>
      <c r="S28" s="146">
        <f>IF(SER_hh_fec_in!S27=0,0,11630*1000*SER_hh_fec_in!S27/SER_hh_num_in!S27)</f>
        <v>17154.877037608636</v>
      </c>
      <c r="T28" s="146">
        <f>IF(SER_hh_fec_in!T27=0,0,11630*1000*SER_hh_fec_in!T27/SER_hh_num_in!T27)</f>
        <v>17516.513071297406</v>
      </c>
      <c r="U28" s="146">
        <f>IF(SER_hh_fec_in!U27=0,0,11630*1000*SER_hh_fec_in!U27/SER_hh_num_in!U27)</f>
        <v>15990.736789050647</v>
      </c>
      <c r="V28" s="146">
        <f>IF(SER_hh_fec_in!V27=0,0,11630*1000*SER_hh_fec_in!V27/SER_hh_num_in!V27)</f>
        <v>14024.090273353821</v>
      </c>
      <c r="W28" s="146">
        <f>IF(SER_hh_fec_in!W27=0,0,11630*1000*SER_hh_fec_in!W27/SER_hh_num_in!W27)</f>
        <v>15733.511739023614</v>
      </c>
      <c r="X28" s="146">
        <f>IF(SER_hh_fec_in!X27=0,0,11630*1000*SER_hh_fec_in!X27/SER_hh_num_in!X27)</f>
        <v>0</v>
      </c>
      <c r="Y28" s="146">
        <f>IF(SER_hh_fec_in!Y27=0,0,11630*1000*SER_hh_fec_in!Y27/SER_hh_num_in!Y27)</f>
        <v>16593.080193209906</v>
      </c>
      <c r="DA28" s="159"/>
    </row>
    <row r="29" spans="1:105" ht="12.95" customHeight="1" x14ac:dyDescent="0.25">
      <c r="A29" s="129" t="s">
        <v>34</v>
      </c>
      <c r="B29" s="130"/>
      <c r="C29" s="130">
        <f>IF(SER_hh_fec_in!C29=0,0,11630*1000*SER_hh_fec_in!C29/SER_hh_num_in!C29)</f>
        <v>27231.024548549853</v>
      </c>
      <c r="D29" s="130">
        <f>IF(SER_hh_fec_in!D29=0,0,11630*1000*SER_hh_fec_in!D29/SER_hh_num_in!D29)</f>
        <v>23711.139943282284</v>
      </c>
      <c r="E29" s="130">
        <f>IF(SER_hh_fec_in!E29=0,0,11630*1000*SER_hh_fec_in!E29/SER_hh_num_in!E29)</f>
        <v>26667.200881111647</v>
      </c>
      <c r="F29" s="130">
        <f>IF(SER_hh_fec_in!F29=0,0,11630*1000*SER_hh_fec_in!F29/SER_hh_num_in!F29)</f>
        <v>27668.831938247582</v>
      </c>
      <c r="G29" s="130">
        <f>IF(SER_hh_fec_in!G29=0,0,11630*1000*SER_hh_fec_in!G29/SER_hh_num_in!G29)</f>
        <v>30449.697019330924</v>
      </c>
      <c r="H29" s="130">
        <f>IF(SER_hh_fec_in!H29=0,0,11630*1000*SER_hh_fec_in!H29/SER_hh_num_in!H29)</f>
        <v>30144.608469357183</v>
      </c>
      <c r="I29" s="130">
        <f>IF(SER_hh_fec_in!I29=0,0,11630*1000*SER_hh_fec_in!I29/SER_hh_num_in!I29)</f>
        <v>33133.79015081079</v>
      </c>
      <c r="J29" s="130">
        <f>IF(SER_hh_fec_in!J29=0,0,11630*1000*SER_hh_fec_in!J29/SER_hh_num_in!J29)</f>
        <v>31731.387769325418</v>
      </c>
      <c r="K29" s="130">
        <f>IF(SER_hh_fec_in!K29=0,0,11630*1000*SER_hh_fec_in!K29/SER_hh_num_in!K29)</f>
        <v>33882.197472010288</v>
      </c>
      <c r="L29" s="130">
        <f>IF(SER_hh_fec_in!L29=0,0,11630*1000*SER_hh_fec_in!L29/SER_hh_num_in!L29)</f>
        <v>33121.378146823212</v>
      </c>
      <c r="M29" s="130">
        <f>IF(SER_hh_fec_in!M29=0,0,11630*1000*SER_hh_fec_in!M29/SER_hh_num_in!M29)</f>
        <v>32016.456911744121</v>
      </c>
      <c r="N29" s="130">
        <f>IF(SER_hh_fec_in!N29=0,0,11630*1000*SER_hh_fec_in!N29/SER_hh_num_in!N29)</f>
        <v>31781.56174952244</v>
      </c>
      <c r="O29" s="130">
        <f>IF(SER_hh_fec_in!O29=0,0,11630*1000*SER_hh_fec_in!O29/SER_hh_num_in!O29)</f>
        <v>32094.649216767364</v>
      </c>
      <c r="P29" s="130">
        <f>IF(SER_hh_fec_in!P29=0,0,11630*1000*SER_hh_fec_in!P29/SER_hh_num_in!P29)</f>
        <v>33689.764597092864</v>
      </c>
      <c r="Q29" s="130">
        <f>IF(SER_hh_fec_in!Q29=0,0,11630*1000*SER_hh_fec_in!Q29/SER_hh_num_in!Q29)</f>
        <v>33155.081164536801</v>
      </c>
      <c r="R29" s="130">
        <f>IF(SER_hh_fec_in!R29=0,0,11630*1000*SER_hh_fec_in!R29/SER_hh_num_in!R29)</f>
        <v>33313.046900936599</v>
      </c>
      <c r="S29" s="130">
        <f>IF(SER_hh_fec_in!S29=0,0,11630*1000*SER_hh_fec_in!S29/SER_hh_num_in!S29)</f>
        <v>33354.214232564511</v>
      </c>
      <c r="T29" s="130">
        <f>IF(SER_hh_fec_in!T29=0,0,11630*1000*SER_hh_fec_in!T29/SER_hh_num_in!T29)</f>
        <v>33219.533889124366</v>
      </c>
      <c r="U29" s="130">
        <f>IF(SER_hh_fec_in!U29=0,0,11630*1000*SER_hh_fec_in!U29/SER_hh_num_in!U29)</f>
        <v>33276.618134541328</v>
      </c>
      <c r="V29" s="130">
        <f>IF(SER_hh_fec_in!V29=0,0,11630*1000*SER_hh_fec_in!V29/SER_hh_num_in!V29)</f>
        <v>28553.398284393224</v>
      </c>
      <c r="W29" s="130">
        <f>IF(SER_hh_fec_in!W29=0,0,11630*1000*SER_hh_fec_in!W29/SER_hh_num_in!W29)</f>
        <v>32092.980773245574</v>
      </c>
      <c r="X29" s="130">
        <f>IF(SER_hh_fec_in!X29=0,0,11630*1000*SER_hh_fec_in!X29/SER_hh_num_in!X29)</f>
        <v>29093.347877616758</v>
      </c>
      <c r="Y29" s="130">
        <f>IF(SER_hh_fec_in!Y29=0,0,11630*1000*SER_hh_fec_in!Y29/SER_hh_num_in!Y29)</f>
        <v>33088.88677492585</v>
      </c>
      <c r="DA29" s="155" t="s">
        <v>749</v>
      </c>
    </row>
    <row r="30" spans="1:105" s="2" customFormat="1" ht="12" customHeight="1" x14ac:dyDescent="0.25">
      <c r="A30" s="131" t="s">
        <v>52</v>
      </c>
      <c r="B30" s="132"/>
      <c r="C30" s="132">
        <f>IF(SER_hh_fec_in!C30=0,0,11630*1000*SER_hh_fec_in!C30/SER_hh_num_in!C30)</f>
        <v>31377.736295033552</v>
      </c>
      <c r="D30" s="132">
        <f>IF(SER_hh_fec_in!D30=0,0,11630*1000*SER_hh_fec_in!D30/SER_hh_num_in!D30)</f>
        <v>32399.661812049682</v>
      </c>
      <c r="E30" s="132">
        <f>IF(SER_hh_fec_in!E30=0,0,11630*1000*SER_hh_fec_in!E30/SER_hh_num_in!E30)</f>
        <v>33042.359328146566</v>
      </c>
      <c r="F30" s="132">
        <f>IF(SER_hh_fec_in!F30=0,0,11630*1000*SER_hh_fec_in!F30/SER_hh_num_in!F30)</f>
        <v>33601.450658960683</v>
      </c>
      <c r="G30" s="132">
        <f>IF(SER_hh_fec_in!G30=0,0,11630*1000*SER_hh_fec_in!G30/SER_hh_num_in!G30)</f>
        <v>34020.987285727737</v>
      </c>
      <c r="H30" s="132">
        <f>IF(SER_hh_fec_in!H30=0,0,11630*1000*SER_hh_fec_in!H30/SER_hh_num_in!H30)</f>
        <v>32958.877061504492</v>
      </c>
      <c r="I30" s="132">
        <f>IF(SER_hh_fec_in!I30=0,0,11630*1000*SER_hh_fec_in!I30/SER_hh_num_in!I30)</f>
        <v>37056.120166858629</v>
      </c>
      <c r="J30" s="132">
        <f>IF(SER_hh_fec_in!J30=0,0,11630*1000*SER_hh_fec_in!J30/SER_hh_num_in!J30)</f>
        <v>28005.623670355017</v>
      </c>
      <c r="K30" s="132">
        <f>IF(SER_hh_fec_in!K30=0,0,11630*1000*SER_hh_fec_in!K30/SER_hh_num_in!K30)</f>
        <v>36709.741526161459</v>
      </c>
      <c r="L30" s="132">
        <f>IF(SER_hh_fec_in!L30=0,0,11630*1000*SER_hh_fec_in!L30/SER_hh_num_in!L30)</f>
        <v>36954.068782520626</v>
      </c>
      <c r="M30" s="132">
        <f>IF(SER_hh_fec_in!M30=0,0,11630*1000*SER_hh_fec_in!M30/SER_hh_num_in!M30)</f>
        <v>37581.53181624748</v>
      </c>
      <c r="N30" s="132">
        <f>IF(SER_hh_fec_in!N30=0,0,11630*1000*SER_hh_fec_in!N30/SER_hh_num_in!N30)</f>
        <v>33041.045167019001</v>
      </c>
      <c r="O30" s="132">
        <f>IF(SER_hh_fec_in!O30=0,0,11630*1000*SER_hh_fec_in!O30/SER_hh_num_in!O30)</f>
        <v>35302.843207993559</v>
      </c>
      <c r="P30" s="132">
        <f>IF(SER_hh_fec_in!P30=0,0,11630*1000*SER_hh_fec_in!P30/SER_hh_num_in!P30)</f>
        <v>38803.175257429473</v>
      </c>
      <c r="Q30" s="132">
        <f>IF(SER_hh_fec_in!Q30=0,0,11630*1000*SER_hh_fec_in!Q30/SER_hh_num_in!Q30)</f>
        <v>37427.563630142788</v>
      </c>
      <c r="R30" s="132">
        <f>IF(SER_hh_fec_in!R30=0,0,11630*1000*SER_hh_fec_in!R30/SER_hh_num_in!R30)</f>
        <v>37244.145545148531</v>
      </c>
      <c r="S30" s="132">
        <f>IF(SER_hh_fec_in!S30=0,0,11630*1000*SER_hh_fec_in!S30/SER_hh_num_in!S30)</f>
        <v>37738.396584413902</v>
      </c>
      <c r="T30" s="132">
        <f>IF(SER_hh_fec_in!T30=0,0,11630*1000*SER_hh_fec_in!T30/SER_hh_num_in!T30)</f>
        <v>36956.336369576289</v>
      </c>
      <c r="U30" s="132">
        <f>IF(SER_hh_fec_in!U30=0,0,11630*1000*SER_hh_fec_in!U30/SER_hh_num_in!U30)</f>
        <v>35323.337629760579</v>
      </c>
      <c r="V30" s="132">
        <f>IF(SER_hh_fec_in!V30=0,0,11630*1000*SER_hh_fec_in!V30/SER_hh_num_in!V30)</f>
        <v>36333.969953637556</v>
      </c>
      <c r="W30" s="132">
        <f>IF(SER_hh_fec_in!W30=0,0,11630*1000*SER_hh_fec_in!W30/SER_hh_num_in!W30)</f>
        <v>37302.286650093716</v>
      </c>
      <c r="X30" s="132">
        <f>IF(SER_hh_fec_in!X30=0,0,11630*1000*SER_hh_fec_in!X30/SER_hh_num_in!X30)</f>
        <v>38710.069105155591</v>
      </c>
      <c r="Y30" s="132">
        <f>IF(SER_hh_fec_in!Y30=0,0,11630*1000*SER_hh_fec_in!Y30/SER_hh_num_in!Y30)</f>
        <v>39114.04886368024</v>
      </c>
      <c r="DA30" s="156" t="s">
        <v>750</v>
      </c>
    </row>
    <row r="31" spans="1:105" ht="12" customHeight="1" x14ac:dyDescent="0.25">
      <c r="A31" s="131" t="s">
        <v>149</v>
      </c>
      <c r="B31" s="132"/>
      <c r="C31" s="132">
        <f>IF(SER_hh_fec_in!C31=0,0,11630*1000*SER_hh_fec_in!C31/SER_hh_num_in!C31)</f>
        <v>31793.914367505164</v>
      </c>
      <c r="D31" s="132">
        <f>IF(SER_hh_fec_in!D31=0,0,11630*1000*SER_hh_fec_in!D31/SER_hh_num_in!D31)</f>
        <v>32375.965601066539</v>
      </c>
      <c r="E31" s="132">
        <f>IF(SER_hh_fec_in!E31=0,0,11630*1000*SER_hh_fec_in!E31/SER_hh_num_in!E31)</f>
        <v>29548.675229062101</v>
      </c>
      <c r="F31" s="132">
        <f>IF(SER_hh_fec_in!F31=0,0,11630*1000*SER_hh_fec_in!F31/SER_hh_num_in!F31)</f>
        <v>30141.017257122225</v>
      </c>
      <c r="G31" s="132">
        <f>IF(SER_hh_fec_in!G31=0,0,11630*1000*SER_hh_fec_in!G31/SER_hh_num_in!G31)</f>
        <v>34503.152992658986</v>
      </c>
      <c r="H31" s="132">
        <f>IF(SER_hh_fec_in!H31=0,0,11630*1000*SER_hh_fec_in!H31/SER_hh_num_in!H31)</f>
        <v>31786.549980392596</v>
      </c>
      <c r="I31" s="132">
        <f>IF(SER_hh_fec_in!I31=0,0,11630*1000*SER_hh_fec_in!I31/SER_hh_num_in!I31)</f>
        <v>34416.029516185292</v>
      </c>
      <c r="J31" s="132">
        <f>IF(SER_hh_fec_in!J31=0,0,11630*1000*SER_hh_fec_in!J31/SER_hh_num_in!J31)</f>
        <v>33788.101424726534</v>
      </c>
      <c r="K31" s="132">
        <f>IF(SER_hh_fec_in!K31=0,0,11630*1000*SER_hh_fec_in!K31/SER_hh_num_in!K31)</f>
        <v>35316.884937360737</v>
      </c>
      <c r="L31" s="132">
        <f>IF(SER_hh_fec_in!L31=0,0,11630*1000*SER_hh_fec_in!L31/SER_hh_num_in!L31)</f>
        <v>35128.582827978949</v>
      </c>
      <c r="M31" s="132">
        <f>IF(SER_hh_fec_in!M31=0,0,11630*1000*SER_hh_fec_in!M31/SER_hh_num_in!M31)</f>
        <v>34995.382304286897</v>
      </c>
      <c r="N31" s="132">
        <f>IF(SER_hh_fec_in!N31=0,0,11630*1000*SER_hh_fec_in!N31/SER_hh_num_in!N31)</f>
        <v>35225.733639117971</v>
      </c>
      <c r="O31" s="132">
        <f>IF(SER_hh_fec_in!O31=0,0,11630*1000*SER_hh_fec_in!O31/SER_hh_num_in!O31)</f>
        <v>35403.485176646245</v>
      </c>
      <c r="P31" s="132">
        <f>IF(SER_hh_fec_in!P31=0,0,11630*1000*SER_hh_fec_in!P31/SER_hh_num_in!P31)</f>
        <v>36880.173357704749</v>
      </c>
      <c r="Q31" s="132">
        <f>IF(SER_hh_fec_in!Q31=0,0,11630*1000*SER_hh_fec_in!Q31/SER_hh_num_in!Q31)</f>
        <v>36497.338728074814</v>
      </c>
      <c r="R31" s="132">
        <f>IF(SER_hh_fec_in!R31=0,0,11630*1000*SER_hh_fec_in!R31/SER_hh_num_in!R31)</f>
        <v>37330.731720446172</v>
      </c>
      <c r="S31" s="132">
        <f>IF(SER_hh_fec_in!S31=0,0,11630*1000*SER_hh_fec_in!S31/SER_hh_num_in!S31)</f>
        <v>37013.241465877451</v>
      </c>
      <c r="T31" s="132">
        <f>IF(SER_hh_fec_in!T31=0,0,11630*1000*SER_hh_fec_in!T31/SER_hh_num_in!T31)</f>
        <v>34038.380773440986</v>
      </c>
      <c r="U31" s="132">
        <f>IF(SER_hh_fec_in!U31=0,0,11630*1000*SER_hh_fec_in!U31/SER_hh_num_in!U31)</f>
        <v>37358.527444619707</v>
      </c>
      <c r="V31" s="132">
        <f>IF(SER_hh_fec_in!V31=0,0,11630*1000*SER_hh_fec_in!V31/SER_hh_num_in!V31)</f>
        <v>34192.815907619086</v>
      </c>
      <c r="W31" s="132">
        <f>IF(SER_hh_fec_in!W31=0,0,11630*1000*SER_hh_fec_in!W31/SER_hh_num_in!W31)</f>
        <v>34173.090391311402</v>
      </c>
      <c r="X31" s="132">
        <f>IF(SER_hh_fec_in!X31=0,0,11630*1000*SER_hh_fec_in!X31/SER_hh_num_in!X31)</f>
        <v>37272.214762776493</v>
      </c>
      <c r="Y31" s="132">
        <f>IF(SER_hh_fec_in!Y31=0,0,11630*1000*SER_hh_fec_in!Y31/SER_hh_num_in!Y31)</f>
        <v>38346.284009867697</v>
      </c>
      <c r="DA31" s="156" t="s">
        <v>751</v>
      </c>
    </row>
    <row r="32" spans="1:105" ht="12" customHeight="1" x14ac:dyDescent="0.25">
      <c r="A32" s="131" t="s">
        <v>128</v>
      </c>
      <c r="B32" s="132"/>
      <c r="C32" s="132">
        <f>IF(SER_hh_fec_in!C32=0,0,11630*1000*SER_hh_fec_in!C32/SER_hh_num_in!C32)</f>
        <v>0</v>
      </c>
      <c r="D32" s="132">
        <f>IF(SER_hh_fec_in!D32=0,0,11630*1000*SER_hh_fec_in!D32/SER_hh_num_in!D32)</f>
        <v>0</v>
      </c>
      <c r="E32" s="132">
        <f>IF(SER_hh_fec_in!E32=0,0,11630*1000*SER_hh_fec_in!E32/SER_hh_num_in!E32)</f>
        <v>0</v>
      </c>
      <c r="F32" s="132">
        <f>IF(SER_hh_fec_in!F32=0,0,11630*1000*SER_hh_fec_in!F32/SER_hh_num_in!F32)</f>
        <v>0</v>
      </c>
      <c r="G32" s="132">
        <f>IF(SER_hh_fec_in!G32=0,0,11630*1000*SER_hh_fec_in!G32/SER_hh_num_in!G32)</f>
        <v>0</v>
      </c>
      <c r="H32" s="132">
        <f>IF(SER_hh_fec_in!H32=0,0,11630*1000*SER_hh_fec_in!H32/SER_hh_num_in!H32)</f>
        <v>0</v>
      </c>
      <c r="I32" s="132">
        <f>IF(SER_hh_fec_in!I32=0,0,11630*1000*SER_hh_fec_in!I32/SER_hh_num_in!I32)</f>
        <v>0</v>
      </c>
      <c r="J32" s="132">
        <f>IF(SER_hh_fec_in!J32=0,0,11630*1000*SER_hh_fec_in!J32/SER_hh_num_in!J32)</f>
        <v>0</v>
      </c>
      <c r="K32" s="132">
        <f>IF(SER_hh_fec_in!K32=0,0,11630*1000*SER_hh_fec_in!K32/SER_hh_num_in!K32)</f>
        <v>0</v>
      </c>
      <c r="L32" s="132">
        <f>IF(SER_hh_fec_in!L32=0,0,11630*1000*SER_hh_fec_in!L32/SER_hh_num_in!L32)</f>
        <v>0</v>
      </c>
      <c r="M32" s="132">
        <f>IF(SER_hh_fec_in!M32=0,0,11630*1000*SER_hh_fec_in!M32/SER_hh_num_in!M32)</f>
        <v>0</v>
      </c>
      <c r="N32" s="132">
        <f>IF(SER_hh_fec_in!N32=0,0,11630*1000*SER_hh_fec_in!N32/SER_hh_num_in!N32)</f>
        <v>0</v>
      </c>
      <c r="O32" s="132">
        <f>IF(SER_hh_fec_in!O32=0,0,11630*1000*SER_hh_fec_in!O32/SER_hh_num_in!O32)</f>
        <v>0</v>
      </c>
      <c r="P32" s="132">
        <f>IF(SER_hh_fec_in!P32=0,0,11630*1000*SER_hh_fec_in!P32/SER_hh_num_in!P32)</f>
        <v>0</v>
      </c>
      <c r="Q32" s="132">
        <f>IF(SER_hh_fec_in!Q32=0,0,11630*1000*SER_hh_fec_in!Q32/SER_hh_num_in!Q32)</f>
        <v>0</v>
      </c>
      <c r="R32" s="132">
        <f>IF(SER_hh_fec_in!R32=0,0,11630*1000*SER_hh_fec_in!R32/SER_hh_num_in!R32)</f>
        <v>0</v>
      </c>
      <c r="S32" s="132">
        <f>IF(SER_hh_fec_in!S32=0,0,11630*1000*SER_hh_fec_in!S32/SER_hh_num_in!S32)</f>
        <v>0</v>
      </c>
      <c r="T32" s="132">
        <f>IF(SER_hh_fec_in!T32=0,0,11630*1000*SER_hh_fec_in!T32/SER_hh_num_in!T32)</f>
        <v>0</v>
      </c>
      <c r="U32" s="132">
        <f>IF(SER_hh_fec_in!U32=0,0,11630*1000*SER_hh_fec_in!U32/SER_hh_num_in!U32)</f>
        <v>0</v>
      </c>
      <c r="V32" s="132">
        <f>IF(SER_hh_fec_in!V32=0,0,11630*1000*SER_hh_fec_in!V32/SER_hh_num_in!V32)</f>
        <v>0</v>
      </c>
      <c r="W32" s="132">
        <f>IF(SER_hh_fec_in!W32=0,0,11630*1000*SER_hh_fec_in!W32/SER_hh_num_in!W32)</f>
        <v>0</v>
      </c>
      <c r="X32" s="132">
        <f>IF(SER_hh_fec_in!X32=0,0,11630*1000*SER_hh_fec_in!X32/SER_hh_num_in!X32)</f>
        <v>0</v>
      </c>
      <c r="Y32" s="132">
        <f>IF(SER_hh_fec_in!Y32=0,0,11630*1000*SER_hh_fec_in!Y32/SER_hh_num_in!Y32)</f>
        <v>0</v>
      </c>
      <c r="DA32" s="156" t="s">
        <v>752</v>
      </c>
    </row>
    <row r="33" spans="1:105" ht="12" customHeight="1" x14ac:dyDescent="0.25">
      <c r="A33" s="62" t="s">
        <v>24</v>
      </c>
      <c r="B33" s="68"/>
      <c r="C33" s="68">
        <f>IF(SER_hh_fec_in!C33=0,0,11630*1000*SER_hh_fec_in!C33/SER_hh_num_in!C33)</f>
        <v>22110.296643538848</v>
      </c>
      <c r="D33" s="68">
        <f>IF(SER_hh_fec_in!D33=0,0,11630*1000*SER_hh_fec_in!D33/SER_hh_num_in!D33)</f>
        <v>21955.508736793909</v>
      </c>
      <c r="E33" s="68">
        <f>IF(SER_hh_fec_in!E33=0,0,11630*1000*SER_hh_fec_in!E33/SER_hh_num_in!E33)</f>
        <v>25745.488013862723</v>
      </c>
      <c r="F33" s="68">
        <f>IF(SER_hh_fec_in!F33=0,0,11630*1000*SER_hh_fec_in!F33/SER_hh_num_in!F33)</f>
        <v>26349.067409449908</v>
      </c>
      <c r="G33" s="68">
        <f>IF(SER_hh_fec_in!G33=0,0,11630*1000*SER_hh_fec_in!G33/SER_hh_num_in!G33)</f>
        <v>24827.895329144587</v>
      </c>
      <c r="H33" s="68">
        <f>IF(SER_hh_fec_in!H33=0,0,11630*1000*SER_hh_fec_in!H33/SER_hh_num_in!H33)</f>
        <v>26698.267168889914</v>
      </c>
      <c r="I33" s="68">
        <f>IF(SER_hh_fec_in!I33=0,0,11630*1000*SER_hh_fec_in!I33/SER_hh_num_in!I33)</f>
        <v>24366.422223802605</v>
      </c>
      <c r="J33" s="68">
        <f>IF(SER_hh_fec_in!J33=0,0,11630*1000*SER_hh_fec_in!J33/SER_hh_num_in!J33)</f>
        <v>27748.076739623983</v>
      </c>
      <c r="K33" s="68">
        <f>IF(SER_hh_fec_in!K33=0,0,11630*1000*SER_hh_fec_in!K33/SER_hh_num_in!K33)</f>
        <v>25896.901323019774</v>
      </c>
      <c r="L33" s="68">
        <f>IF(SER_hh_fec_in!L33=0,0,11630*1000*SER_hh_fec_in!L33/SER_hh_num_in!L33)</f>
        <v>26185.825677215737</v>
      </c>
      <c r="M33" s="68">
        <f>IF(SER_hh_fec_in!M33=0,0,11630*1000*SER_hh_fec_in!M33/SER_hh_num_in!M33)</f>
        <v>26283.694876248319</v>
      </c>
      <c r="N33" s="68">
        <f>IF(SER_hh_fec_in!N33=0,0,11630*1000*SER_hh_fec_in!N33/SER_hh_num_in!N33)</f>
        <v>27227.163021689146</v>
      </c>
      <c r="O33" s="68">
        <f>IF(SER_hh_fec_in!O33=0,0,11630*1000*SER_hh_fec_in!O33/SER_hh_num_in!O33)</f>
        <v>27507.767722287823</v>
      </c>
      <c r="P33" s="68">
        <f>IF(SER_hh_fec_in!P33=0,0,11630*1000*SER_hh_fec_in!P33/SER_hh_num_in!P33)</f>
        <v>25242.797338519616</v>
      </c>
      <c r="Q33" s="68">
        <f>IF(SER_hh_fec_in!Q33=0,0,11630*1000*SER_hh_fec_in!Q33/SER_hh_num_in!Q33)</f>
        <v>26493.902321977625</v>
      </c>
      <c r="R33" s="68">
        <f>IF(SER_hh_fec_in!R33=0,0,11630*1000*SER_hh_fec_in!R33/SER_hh_num_in!R33)</f>
        <v>25631.84263464409</v>
      </c>
      <c r="S33" s="68">
        <f>IF(SER_hh_fec_in!S33=0,0,11630*1000*SER_hh_fec_in!S33/SER_hh_num_in!S33)</f>
        <v>25415.338674537456</v>
      </c>
      <c r="T33" s="68">
        <f>IF(SER_hh_fec_in!T33=0,0,11630*1000*SER_hh_fec_in!T33/SER_hh_num_in!T33)</f>
        <v>29491.883076260667</v>
      </c>
      <c r="U33" s="68">
        <f>IF(SER_hh_fec_in!U33=0,0,11630*1000*SER_hh_fec_in!U33/SER_hh_num_in!U33)</f>
        <v>23781.547156093096</v>
      </c>
      <c r="V33" s="68">
        <f>IF(SER_hh_fec_in!V33=0,0,11630*1000*SER_hh_fec_in!V33/SER_hh_num_in!V33)</f>
        <v>18912.966105967858</v>
      </c>
      <c r="W33" s="68">
        <f>IF(SER_hh_fec_in!W33=0,0,11630*1000*SER_hh_fec_in!W33/SER_hh_num_in!W33)</f>
        <v>29435.007631117129</v>
      </c>
      <c r="X33" s="68">
        <f>IF(SER_hh_fec_in!X33=0,0,11630*1000*SER_hh_fec_in!X33/SER_hh_num_in!X33)</f>
        <v>26537.907487160439</v>
      </c>
      <c r="Y33" s="68">
        <f>IF(SER_hh_fec_in!Y33=0,0,11630*1000*SER_hh_fec_in!Y33/SER_hh_num_in!Y33)</f>
        <v>26148.659396784442</v>
      </c>
      <c r="DA33" s="111" t="s">
        <v>753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754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88</v>
      </c>
      <c r="B3" s="125"/>
      <c r="C3" s="125">
        <f>IF(SER_hh_tes_in!C3=0,0,11630*1000*SER_hh_tes_in!C3/SER_hh_num_in!C3)</f>
        <v>137987.63384285523</v>
      </c>
      <c r="D3" s="125">
        <f>IF(SER_hh_tes_in!D3=0,0,11630*1000*SER_hh_tes_in!D3/SER_hh_num_in!D3)</f>
        <v>132489.69364841323</v>
      </c>
      <c r="E3" s="125">
        <f>IF(SER_hh_tes_in!E3=0,0,11630*1000*SER_hh_tes_in!E3/SER_hh_num_in!E3)</f>
        <v>173306.813663226</v>
      </c>
      <c r="F3" s="125">
        <f>IF(SER_hh_tes_in!F3=0,0,11630*1000*SER_hh_tes_in!F3/SER_hh_num_in!F3)</f>
        <v>152483.01811883922</v>
      </c>
      <c r="G3" s="125">
        <f>IF(SER_hh_tes_in!G3=0,0,11630*1000*SER_hh_tes_in!G3/SER_hh_num_in!G3)</f>
        <v>164164.85708639218</v>
      </c>
      <c r="H3" s="125">
        <f>IF(SER_hh_tes_in!H3=0,0,11630*1000*SER_hh_tes_in!H3/SER_hh_num_in!H3)</f>
        <v>168857.80481910033</v>
      </c>
      <c r="I3" s="125">
        <f>IF(SER_hh_tes_in!I3=0,0,11630*1000*SER_hh_tes_in!I3/SER_hh_num_in!I3)</f>
        <v>159603.37263193625</v>
      </c>
      <c r="J3" s="125">
        <f>IF(SER_hh_tes_in!J3=0,0,11630*1000*SER_hh_tes_in!J3/SER_hh_num_in!J3)</f>
        <v>177559.91633754087</v>
      </c>
      <c r="K3" s="125">
        <f>IF(SER_hh_tes_in!K3=0,0,11630*1000*SER_hh_tes_in!K3/SER_hh_num_in!K3)</f>
        <v>176784.52701652027</v>
      </c>
      <c r="L3" s="125">
        <f>IF(SER_hh_tes_in!L3=0,0,11630*1000*SER_hh_tes_in!L3/SER_hh_num_in!L3)</f>
        <v>167386.23976601174</v>
      </c>
      <c r="M3" s="125">
        <f>IF(SER_hh_tes_in!M3=0,0,11630*1000*SER_hh_tes_in!M3/SER_hh_num_in!M3)</f>
        <v>160203.35177346392</v>
      </c>
      <c r="N3" s="125">
        <f>IF(SER_hh_tes_in!N3=0,0,11630*1000*SER_hh_tes_in!N3/SER_hh_num_in!N3)</f>
        <v>172537.95215270936</v>
      </c>
      <c r="O3" s="125">
        <f>IF(SER_hh_tes_in!O3=0,0,11630*1000*SER_hh_tes_in!O3/SER_hh_num_in!O3)</f>
        <v>147191.75472701938</v>
      </c>
      <c r="P3" s="125">
        <f>IF(SER_hh_tes_in!P3=0,0,11630*1000*SER_hh_tes_in!P3/SER_hh_num_in!P3)</f>
        <v>147589.45307629852</v>
      </c>
      <c r="Q3" s="125">
        <f>IF(SER_hh_tes_in!Q3=0,0,11630*1000*SER_hh_tes_in!Q3/SER_hh_num_in!Q3)</f>
        <v>186995.38751771126</v>
      </c>
      <c r="R3" s="125">
        <f>IF(SER_hh_tes_in!R3=0,0,11630*1000*SER_hh_tes_in!R3/SER_hh_num_in!R3)</f>
        <v>162807.03895742848</v>
      </c>
      <c r="S3" s="125">
        <f>IF(SER_hh_tes_in!S3=0,0,11630*1000*SER_hh_tes_in!S3/SER_hh_num_in!S3)</f>
        <v>163694.00337427994</v>
      </c>
      <c r="T3" s="125">
        <f>IF(SER_hh_tes_in!T3=0,0,11630*1000*SER_hh_tes_in!T3/SER_hh_num_in!T3)</f>
        <v>159644.32063034625</v>
      </c>
      <c r="U3" s="125">
        <f>IF(SER_hh_tes_in!U3=0,0,11630*1000*SER_hh_tes_in!U3/SER_hh_num_in!U3)</f>
        <v>152183.69871885664</v>
      </c>
      <c r="V3" s="125">
        <f>IF(SER_hh_tes_in!V3=0,0,11630*1000*SER_hh_tes_in!V3/SER_hh_num_in!V3)</f>
        <v>121691.67073181903</v>
      </c>
      <c r="W3" s="125">
        <f>IF(SER_hh_tes_in!W3=0,0,11630*1000*SER_hh_tes_in!W3/SER_hh_num_in!W3)</f>
        <v>118678.72693179609</v>
      </c>
      <c r="X3" s="125">
        <f>IF(SER_hh_tes_in!X3=0,0,11630*1000*SER_hh_tes_in!X3/SER_hh_num_in!X3)</f>
        <v>102735.28108016205</v>
      </c>
      <c r="Y3" s="125">
        <f>IF(SER_hh_tes_in!Y3=0,0,11630*1000*SER_hh_tes_in!Y3/SER_hh_num_in!Y3)</f>
        <v>99945.453910564174</v>
      </c>
      <c r="DA3" s="154" t="s">
        <v>755</v>
      </c>
    </row>
    <row r="4" spans="1:105" ht="12.95" customHeight="1" x14ac:dyDescent="0.25">
      <c r="A4" s="129" t="s">
        <v>32</v>
      </c>
      <c r="B4" s="130"/>
      <c r="C4" s="130">
        <f>IF(SER_hh_tes_in!C4=0,0,11630*1000*SER_hh_tes_in!C4/SER_hh_num_in!C4)</f>
        <v>74980.787287283034</v>
      </c>
      <c r="D4" s="130">
        <f>IF(SER_hh_tes_in!D4=0,0,11630*1000*SER_hh_tes_in!D4/SER_hh_num_in!D4)</f>
        <v>72987.750576902792</v>
      </c>
      <c r="E4" s="130">
        <f>IF(SER_hh_tes_in!E4=0,0,11630*1000*SER_hh_tes_in!E4/SER_hh_num_in!E4)</f>
        <v>82926.78321926092</v>
      </c>
      <c r="F4" s="130">
        <f>IF(SER_hh_tes_in!F4=0,0,11630*1000*SER_hh_tes_in!F4/SER_hh_num_in!F4)</f>
        <v>88993.300680865825</v>
      </c>
      <c r="G4" s="130">
        <f>IF(SER_hh_tes_in!G4=0,0,11630*1000*SER_hh_tes_in!G4/SER_hh_num_in!G4)</f>
        <v>101570.07992122757</v>
      </c>
      <c r="H4" s="130">
        <f>IF(SER_hh_tes_in!H4=0,0,11630*1000*SER_hh_tes_in!H4/SER_hh_num_in!H4)</f>
        <v>103164.86726891746</v>
      </c>
      <c r="I4" s="130">
        <f>IF(SER_hh_tes_in!I4=0,0,11630*1000*SER_hh_tes_in!I4/SER_hh_num_in!I4)</f>
        <v>95003.699492997679</v>
      </c>
      <c r="J4" s="130">
        <f>IF(SER_hh_tes_in!J4=0,0,11630*1000*SER_hh_tes_in!J4/SER_hh_num_in!J4)</f>
        <v>109588.09339302155</v>
      </c>
      <c r="K4" s="130">
        <f>IF(SER_hh_tes_in!K4=0,0,11630*1000*SER_hh_tes_in!K4/SER_hh_num_in!K4)</f>
        <v>107730.95424121591</v>
      </c>
      <c r="L4" s="130">
        <f>IF(SER_hh_tes_in!L4=0,0,11630*1000*SER_hh_tes_in!L4/SER_hh_num_in!L4)</f>
        <v>103916.24325256268</v>
      </c>
      <c r="M4" s="130">
        <f>IF(SER_hh_tes_in!M4=0,0,11630*1000*SER_hh_tes_in!M4/SER_hh_num_in!M4)</f>
        <v>95214.174592336974</v>
      </c>
      <c r="N4" s="130">
        <f>IF(SER_hh_tes_in!N4=0,0,11630*1000*SER_hh_tes_in!N4/SER_hh_num_in!N4)</f>
        <v>94739.236684025847</v>
      </c>
      <c r="O4" s="130">
        <f>IF(SER_hh_tes_in!O4=0,0,11630*1000*SER_hh_tes_in!O4/SER_hh_num_in!O4)</f>
        <v>83720.593766437858</v>
      </c>
      <c r="P4" s="130">
        <f>IF(SER_hh_tes_in!P4=0,0,11630*1000*SER_hh_tes_in!P4/SER_hh_num_in!P4)</f>
        <v>87032.542036930026</v>
      </c>
      <c r="Q4" s="130">
        <f>IF(SER_hh_tes_in!Q4=0,0,11630*1000*SER_hh_tes_in!Q4/SER_hh_num_in!Q4)</f>
        <v>113467.29677098471</v>
      </c>
      <c r="R4" s="130">
        <f>IF(SER_hh_tes_in!R4=0,0,11630*1000*SER_hh_tes_in!R4/SER_hh_num_in!R4)</f>
        <v>100664.46760220555</v>
      </c>
      <c r="S4" s="130">
        <f>IF(SER_hh_tes_in!S4=0,0,11630*1000*SER_hh_tes_in!S4/SER_hh_num_in!S4)</f>
        <v>92688.826645884081</v>
      </c>
      <c r="T4" s="130">
        <f>IF(SER_hh_tes_in!T4=0,0,11630*1000*SER_hh_tes_in!T4/SER_hh_num_in!T4)</f>
        <v>96645.780657315045</v>
      </c>
      <c r="U4" s="130">
        <f>IF(SER_hh_tes_in!U4=0,0,11630*1000*SER_hh_tes_in!U4/SER_hh_num_in!U4)</f>
        <v>84689.142077097174</v>
      </c>
      <c r="V4" s="130">
        <f>IF(SER_hh_tes_in!V4=0,0,11630*1000*SER_hh_tes_in!V4/SER_hh_num_in!V4)</f>
        <v>67233.701861145644</v>
      </c>
      <c r="W4" s="130">
        <f>IF(SER_hh_tes_in!W4=0,0,11630*1000*SER_hh_tes_in!W4/SER_hh_num_in!W4)</f>
        <v>55929.361860985999</v>
      </c>
      <c r="X4" s="130">
        <f>IF(SER_hh_tes_in!X4=0,0,11630*1000*SER_hh_tes_in!X4/SER_hh_num_in!X4)</f>
        <v>37926.273399683436</v>
      </c>
      <c r="Y4" s="130">
        <f>IF(SER_hh_tes_in!Y4=0,0,11630*1000*SER_hh_tes_in!Y4/SER_hh_num_in!Y4)</f>
        <v>38613.720758356612</v>
      </c>
      <c r="DA4" s="155" t="s">
        <v>756</v>
      </c>
    </row>
    <row r="5" spans="1:105" ht="12" customHeight="1" x14ac:dyDescent="0.25">
      <c r="A5" s="131" t="s">
        <v>29</v>
      </c>
      <c r="B5" s="132"/>
      <c r="C5" s="132">
        <f>IF(SER_hh_tes_in!C5=0,0,11630*1000*SER_hh_tes_in!C5/SER_hh_num_in!C5)</f>
        <v>0</v>
      </c>
      <c r="D5" s="132">
        <f>IF(SER_hh_tes_in!D5=0,0,11630*1000*SER_hh_tes_in!D5/SER_hh_num_in!D5)</f>
        <v>0</v>
      </c>
      <c r="E5" s="132">
        <f>IF(SER_hh_tes_in!E5=0,0,11630*1000*SER_hh_tes_in!E5/SER_hh_num_in!E5)</f>
        <v>0</v>
      </c>
      <c r="F5" s="132">
        <f>IF(SER_hh_tes_in!F5=0,0,11630*1000*SER_hh_tes_in!F5/SER_hh_num_in!F5)</f>
        <v>0</v>
      </c>
      <c r="G5" s="132">
        <f>IF(SER_hh_tes_in!G5=0,0,11630*1000*SER_hh_tes_in!G5/SER_hh_num_in!G5)</f>
        <v>0</v>
      </c>
      <c r="H5" s="132">
        <f>IF(SER_hh_tes_in!H5=0,0,11630*1000*SER_hh_tes_in!H5/SER_hh_num_in!H5)</f>
        <v>0</v>
      </c>
      <c r="I5" s="132">
        <f>IF(SER_hh_tes_in!I5=0,0,11630*1000*SER_hh_tes_in!I5/SER_hh_num_in!I5)</f>
        <v>0</v>
      </c>
      <c r="J5" s="132">
        <f>IF(SER_hh_tes_in!J5=0,0,11630*1000*SER_hh_tes_in!J5/SER_hh_num_in!J5)</f>
        <v>0</v>
      </c>
      <c r="K5" s="132">
        <f>IF(SER_hh_tes_in!K5=0,0,11630*1000*SER_hh_tes_in!K5/SER_hh_num_in!K5)</f>
        <v>0</v>
      </c>
      <c r="L5" s="132">
        <f>IF(SER_hh_tes_in!L5=0,0,11630*1000*SER_hh_tes_in!L5/SER_hh_num_in!L5)</f>
        <v>0</v>
      </c>
      <c r="M5" s="132">
        <f>IF(SER_hh_tes_in!M5=0,0,11630*1000*SER_hh_tes_in!M5/SER_hh_num_in!M5)</f>
        <v>0</v>
      </c>
      <c r="N5" s="132">
        <f>IF(SER_hh_tes_in!N5=0,0,11630*1000*SER_hh_tes_in!N5/SER_hh_num_in!N5)</f>
        <v>0</v>
      </c>
      <c r="O5" s="132">
        <f>IF(SER_hh_tes_in!O5=0,0,11630*1000*SER_hh_tes_in!O5/SER_hh_num_in!O5)</f>
        <v>0</v>
      </c>
      <c r="P5" s="132">
        <f>IF(SER_hh_tes_in!P5=0,0,11630*1000*SER_hh_tes_in!P5/SER_hh_num_in!P5)</f>
        <v>0</v>
      </c>
      <c r="Q5" s="132">
        <f>IF(SER_hh_tes_in!Q5=0,0,11630*1000*SER_hh_tes_in!Q5/SER_hh_num_in!Q5)</f>
        <v>0</v>
      </c>
      <c r="R5" s="132">
        <f>IF(SER_hh_tes_in!R5=0,0,11630*1000*SER_hh_tes_in!R5/SER_hh_num_in!R5)</f>
        <v>0</v>
      </c>
      <c r="S5" s="132">
        <f>IF(SER_hh_tes_in!S5=0,0,11630*1000*SER_hh_tes_in!S5/SER_hh_num_in!S5)</f>
        <v>0</v>
      </c>
      <c r="T5" s="132">
        <f>IF(SER_hh_tes_in!T5=0,0,11630*1000*SER_hh_tes_in!T5/SER_hh_num_in!T5)</f>
        <v>0</v>
      </c>
      <c r="U5" s="132">
        <f>IF(SER_hh_tes_in!U5=0,0,11630*1000*SER_hh_tes_in!U5/SER_hh_num_in!U5)</f>
        <v>0</v>
      </c>
      <c r="V5" s="132">
        <f>IF(SER_hh_tes_in!V5=0,0,11630*1000*SER_hh_tes_in!V5/SER_hh_num_in!V5)</f>
        <v>0</v>
      </c>
      <c r="W5" s="132">
        <f>IF(SER_hh_tes_in!W5=0,0,11630*1000*SER_hh_tes_in!W5/SER_hh_num_in!W5)</f>
        <v>0</v>
      </c>
      <c r="X5" s="132">
        <f>IF(SER_hh_tes_in!X5=0,0,11630*1000*SER_hh_tes_in!X5/SER_hh_num_in!X5)</f>
        <v>0</v>
      </c>
      <c r="Y5" s="132">
        <f>IF(SER_hh_tes_in!Y5=0,0,11630*1000*SER_hh_tes_in!Y5/SER_hh_num_in!Y5)</f>
        <v>0</v>
      </c>
      <c r="DA5" s="156" t="s">
        <v>757</v>
      </c>
    </row>
    <row r="6" spans="1:105" ht="12" customHeight="1" x14ac:dyDescent="0.25">
      <c r="A6" s="131" t="s">
        <v>52</v>
      </c>
      <c r="B6" s="132"/>
      <c r="C6" s="132">
        <f>IF(SER_hh_tes_in!C6=0,0,11630*1000*SER_hh_tes_in!C6/SER_hh_num_in!C6)</f>
        <v>73811.16797297314</v>
      </c>
      <c r="D6" s="132">
        <f>IF(SER_hh_tes_in!D6=0,0,11630*1000*SER_hh_tes_in!D6/SER_hh_num_in!D6)</f>
        <v>69900.520176963721</v>
      </c>
      <c r="E6" s="132">
        <f>IF(SER_hh_tes_in!E6=0,0,11630*1000*SER_hh_tes_in!E6/SER_hh_num_in!E6)</f>
        <v>84276.364779812662</v>
      </c>
      <c r="F6" s="132">
        <f>IF(SER_hh_tes_in!F6=0,0,11630*1000*SER_hh_tes_in!F6/SER_hh_num_in!F6)</f>
        <v>85739.210546432296</v>
      </c>
      <c r="G6" s="132">
        <f>IF(SER_hh_tes_in!G6=0,0,11630*1000*SER_hh_tes_in!G6/SER_hh_num_in!G6)</f>
        <v>98689.022130209094</v>
      </c>
      <c r="H6" s="132">
        <f>IF(SER_hh_tes_in!H6=0,0,11630*1000*SER_hh_tes_in!H6/SER_hh_num_in!H6)</f>
        <v>98786.347821567135</v>
      </c>
      <c r="I6" s="132">
        <f>IF(SER_hh_tes_in!I6=0,0,11630*1000*SER_hh_tes_in!I6/SER_hh_num_in!I6)</f>
        <v>92087.290781670948</v>
      </c>
      <c r="J6" s="132">
        <f>IF(SER_hh_tes_in!J6=0,0,11630*1000*SER_hh_tes_in!J6/SER_hh_num_in!J6)</f>
        <v>106695.09142064866</v>
      </c>
      <c r="K6" s="132">
        <f>IF(SER_hh_tes_in!K6=0,0,11630*1000*SER_hh_tes_in!K6/SER_hh_num_in!K6)</f>
        <v>106150.44339653532</v>
      </c>
      <c r="L6" s="132">
        <f>IF(SER_hh_tes_in!L6=0,0,11630*1000*SER_hh_tes_in!L6/SER_hh_num_in!L6)</f>
        <v>108699.07655120228</v>
      </c>
      <c r="M6" s="132">
        <f>IF(SER_hh_tes_in!M6=0,0,11630*1000*SER_hh_tes_in!M6/SER_hh_num_in!M6)</f>
        <v>96653.139576242364</v>
      </c>
      <c r="N6" s="132">
        <f>IF(SER_hh_tes_in!N6=0,0,11630*1000*SER_hh_tes_in!N6/SER_hh_num_in!N6)</f>
        <v>87918.426314407814</v>
      </c>
      <c r="O6" s="132">
        <f>IF(SER_hh_tes_in!O6=0,0,11630*1000*SER_hh_tes_in!O6/SER_hh_num_in!O6)</f>
        <v>95824.920673245928</v>
      </c>
      <c r="P6" s="132">
        <f>IF(SER_hh_tes_in!P6=0,0,11630*1000*SER_hh_tes_in!P6/SER_hh_num_in!P6)</f>
        <v>0</v>
      </c>
      <c r="Q6" s="132">
        <f>IF(SER_hh_tes_in!Q6=0,0,11630*1000*SER_hh_tes_in!Q6/SER_hh_num_in!Q6)</f>
        <v>0</v>
      </c>
      <c r="R6" s="132">
        <f>IF(SER_hh_tes_in!R6=0,0,11630*1000*SER_hh_tes_in!R6/SER_hh_num_in!R6)</f>
        <v>0</v>
      </c>
      <c r="S6" s="132">
        <f>IF(SER_hh_tes_in!S6=0,0,11630*1000*SER_hh_tes_in!S6/SER_hh_num_in!S6)</f>
        <v>95732.767723147263</v>
      </c>
      <c r="T6" s="132">
        <f>IF(SER_hh_tes_in!T6=0,0,11630*1000*SER_hh_tes_in!T6/SER_hh_num_in!T6)</f>
        <v>86474.953684243592</v>
      </c>
      <c r="U6" s="132">
        <f>IF(SER_hh_tes_in!U6=0,0,11630*1000*SER_hh_tes_in!U6/SER_hh_num_in!U6)</f>
        <v>80777.718345077737</v>
      </c>
      <c r="V6" s="132">
        <f>IF(SER_hh_tes_in!V6=0,0,11630*1000*SER_hh_tes_in!V6/SER_hh_num_in!V6)</f>
        <v>68567.83313033625</v>
      </c>
      <c r="W6" s="132">
        <f>IF(SER_hh_tes_in!W6=0,0,11630*1000*SER_hh_tes_in!W6/SER_hh_num_in!W6)</f>
        <v>65174.063944507128</v>
      </c>
      <c r="X6" s="132">
        <f>IF(SER_hh_tes_in!X6=0,0,11630*1000*SER_hh_tes_in!X6/SER_hh_num_in!X6)</f>
        <v>38402.16647110026</v>
      </c>
      <c r="Y6" s="132">
        <f>IF(SER_hh_tes_in!Y6=0,0,11630*1000*SER_hh_tes_in!Y6/SER_hh_num_in!Y6)</f>
        <v>37056.452371801322</v>
      </c>
      <c r="DA6" s="156" t="s">
        <v>758</v>
      </c>
    </row>
    <row r="7" spans="1:105" ht="12" customHeight="1" x14ac:dyDescent="0.25">
      <c r="A7" s="131" t="s">
        <v>161</v>
      </c>
      <c r="B7" s="132"/>
      <c r="C7" s="132">
        <f>IF(SER_hh_tes_in!C7=0,0,11630*1000*SER_hh_tes_in!C7/SER_hh_num_in!C7)</f>
        <v>53801.711756580087</v>
      </c>
      <c r="D7" s="132">
        <f>IF(SER_hh_tes_in!D7=0,0,11630*1000*SER_hh_tes_in!D7/SER_hh_num_in!D7)</f>
        <v>70223.290724519102</v>
      </c>
      <c r="E7" s="132">
        <f>IF(SER_hh_tes_in!E7=0,0,11630*1000*SER_hh_tes_in!E7/SER_hh_num_in!E7)</f>
        <v>87543.727144893157</v>
      </c>
      <c r="F7" s="132">
        <f>IF(SER_hh_tes_in!F7=0,0,11630*1000*SER_hh_tes_in!F7/SER_hh_num_in!F7)</f>
        <v>91392.989657946004</v>
      </c>
      <c r="G7" s="132">
        <f>IF(SER_hh_tes_in!G7=0,0,11630*1000*SER_hh_tes_in!G7/SER_hh_num_in!G7)</f>
        <v>96161.375624807784</v>
      </c>
      <c r="H7" s="132">
        <f>IF(SER_hh_tes_in!H7=0,0,11630*1000*SER_hh_tes_in!H7/SER_hh_num_in!H7)</f>
        <v>101403.85380743491</v>
      </c>
      <c r="I7" s="132">
        <f>IF(SER_hh_tes_in!I7=0,0,11630*1000*SER_hh_tes_in!I7/SER_hh_num_in!I7)</f>
        <v>97826.435190123317</v>
      </c>
      <c r="J7" s="132">
        <f>IF(SER_hh_tes_in!J7=0,0,11630*1000*SER_hh_tes_in!J7/SER_hh_num_in!J7)</f>
        <v>0</v>
      </c>
      <c r="K7" s="132">
        <f>IF(SER_hh_tes_in!K7=0,0,11630*1000*SER_hh_tes_in!K7/SER_hh_num_in!K7)</f>
        <v>0</v>
      </c>
      <c r="L7" s="132">
        <f>IF(SER_hh_tes_in!L7=0,0,11630*1000*SER_hh_tes_in!L7/SER_hh_num_in!L7)</f>
        <v>0</v>
      </c>
      <c r="M7" s="132">
        <f>IF(SER_hh_tes_in!M7=0,0,11630*1000*SER_hh_tes_in!M7/SER_hh_num_in!M7)</f>
        <v>0</v>
      </c>
      <c r="N7" s="132">
        <f>IF(SER_hh_tes_in!N7=0,0,11630*1000*SER_hh_tes_in!N7/SER_hh_num_in!N7)</f>
        <v>95375.778301696948</v>
      </c>
      <c r="O7" s="132">
        <f>IF(SER_hh_tes_in!O7=0,0,11630*1000*SER_hh_tes_in!O7/SER_hh_num_in!O7)</f>
        <v>84917.844411002239</v>
      </c>
      <c r="P7" s="132">
        <f>IF(SER_hh_tes_in!P7=0,0,11630*1000*SER_hh_tes_in!P7/SER_hh_num_in!P7)</f>
        <v>85310.863596885218</v>
      </c>
      <c r="Q7" s="132">
        <f>IF(SER_hh_tes_in!Q7=0,0,11630*1000*SER_hh_tes_in!Q7/SER_hh_num_in!Q7)</f>
        <v>99604.876362356779</v>
      </c>
      <c r="R7" s="132">
        <f>IF(SER_hh_tes_in!R7=0,0,11630*1000*SER_hh_tes_in!R7/SER_hh_num_in!R7)</f>
        <v>103826.97899024992</v>
      </c>
      <c r="S7" s="132">
        <f>IF(SER_hh_tes_in!S7=0,0,11630*1000*SER_hh_tes_in!S7/SER_hh_num_in!S7)</f>
        <v>79607.585095948423</v>
      </c>
      <c r="T7" s="132">
        <f>IF(SER_hh_tes_in!T7=0,0,11630*1000*SER_hh_tes_in!T7/SER_hh_num_in!T7)</f>
        <v>98921.916508910013</v>
      </c>
      <c r="U7" s="132">
        <f>IF(SER_hh_tes_in!U7=0,0,11630*1000*SER_hh_tes_in!U7/SER_hh_num_in!U7)</f>
        <v>73571.965385172924</v>
      </c>
      <c r="V7" s="132">
        <f>IF(SER_hh_tes_in!V7=0,0,11630*1000*SER_hh_tes_in!V7/SER_hh_num_in!V7)</f>
        <v>48296.640091614354</v>
      </c>
      <c r="W7" s="132">
        <f>IF(SER_hh_tes_in!W7=0,0,11630*1000*SER_hh_tes_in!W7/SER_hh_num_in!W7)</f>
        <v>53108.605604656128</v>
      </c>
      <c r="X7" s="132">
        <f>IF(SER_hh_tes_in!X7=0,0,11630*1000*SER_hh_tes_in!X7/SER_hh_num_in!X7)</f>
        <v>39402.592428305092</v>
      </c>
      <c r="Y7" s="132">
        <f>IF(SER_hh_tes_in!Y7=0,0,11630*1000*SER_hh_tes_in!Y7/SER_hh_num_in!Y7)</f>
        <v>37138.323864705817</v>
      </c>
      <c r="DA7" s="156" t="s">
        <v>759</v>
      </c>
    </row>
    <row r="8" spans="1:105" ht="12" customHeight="1" x14ac:dyDescent="0.25">
      <c r="A8" s="131" t="s">
        <v>73</v>
      </c>
      <c r="B8" s="132"/>
      <c r="C8" s="132">
        <f>IF(SER_hh_tes_in!C8=0,0,11630*1000*SER_hh_tes_in!C8/SER_hh_num_in!C8)</f>
        <v>74577.573728155287</v>
      </c>
      <c r="D8" s="132">
        <f>IF(SER_hh_tes_in!D8=0,0,11630*1000*SER_hh_tes_in!D8/SER_hh_num_in!D8)</f>
        <v>73015.217629638224</v>
      </c>
      <c r="E8" s="132">
        <f>IF(SER_hh_tes_in!E8=0,0,11630*1000*SER_hh_tes_in!E8/SER_hh_num_in!E8)</f>
        <v>85629.348509690826</v>
      </c>
      <c r="F8" s="132">
        <f>IF(SER_hh_tes_in!F8=0,0,11630*1000*SER_hh_tes_in!F8/SER_hh_num_in!F8)</f>
        <v>88897.236325539649</v>
      </c>
      <c r="G8" s="132">
        <f>IF(SER_hh_tes_in!G8=0,0,11630*1000*SER_hh_tes_in!G8/SER_hh_num_in!G8)</f>
        <v>95318.400921155917</v>
      </c>
      <c r="H8" s="132">
        <f>IF(SER_hh_tes_in!H8=0,0,11630*1000*SER_hh_tes_in!H8/SER_hh_num_in!H8)</f>
        <v>99379.260458121702</v>
      </c>
      <c r="I8" s="132">
        <f>IF(SER_hh_tes_in!I8=0,0,11630*1000*SER_hh_tes_in!I8/SER_hh_num_in!I8)</f>
        <v>100779.92867393214</v>
      </c>
      <c r="J8" s="132">
        <f>IF(SER_hh_tes_in!J8=0,0,11630*1000*SER_hh_tes_in!J8/SER_hh_num_in!J8)</f>
        <v>104084.63849619305</v>
      </c>
      <c r="K8" s="132">
        <f>IF(SER_hh_tes_in!K8=0,0,11630*1000*SER_hh_tes_in!K8/SER_hh_num_in!K8)</f>
        <v>101723.64944219992</v>
      </c>
      <c r="L8" s="132">
        <f>IF(SER_hh_tes_in!L8=0,0,11630*1000*SER_hh_tes_in!L8/SER_hh_num_in!L8)</f>
        <v>95933.370011201405</v>
      </c>
      <c r="M8" s="132">
        <f>IF(SER_hh_tes_in!M8=0,0,11630*1000*SER_hh_tes_in!M8/SER_hh_num_in!M8)</f>
        <v>90865.901864197062</v>
      </c>
      <c r="N8" s="132">
        <f>IF(SER_hh_tes_in!N8=0,0,11630*1000*SER_hh_tes_in!N8/SER_hh_num_in!N8)</f>
        <v>87308.219167898962</v>
      </c>
      <c r="O8" s="132">
        <f>IF(SER_hh_tes_in!O8=0,0,11630*1000*SER_hh_tes_in!O8/SER_hh_num_in!O8)</f>
        <v>88639.191119798837</v>
      </c>
      <c r="P8" s="132">
        <f>IF(SER_hh_tes_in!P8=0,0,11630*1000*SER_hh_tes_in!P8/SER_hh_num_in!P8)</f>
        <v>93300.238739571243</v>
      </c>
      <c r="Q8" s="132">
        <f>IF(SER_hh_tes_in!Q8=0,0,11630*1000*SER_hh_tes_in!Q8/SER_hh_num_in!Q8)</f>
        <v>107636.56364689028</v>
      </c>
      <c r="R8" s="132">
        <f>IF(SER_hh_tes_in!R8=0,0,11630*1000*SER_hh_tes_in!R8/SER_hh_num_in!R8)</f>
        <v>99001.9683972731</v>
      </c>
      <c r="S8" s="132">
        <f>IF(SER_hh_tes_in!S8=0,0,11630*1000*SER_hh_tes_in!S8/SER_hh_num_in!S8)</f>
        <v>94822.11774910854</v>
      </c>
      <c r="T8" s="132">
        <f>IF(SER_hh_tes_in!T8=0,0,11630*1000*SER_hh_tes_in!T8/SER_hh_num_in!T8)</f>
        <v>89317.980681826506</v>
      </c>
      <c r="U8" s="132">
        <f>IF(SER_hh_tes_in!U8=0,0,11630*1000*SER_hh_tes_in!U8/SER_hh_num_in!U8)</f>
        <v>78746.448611378088</v>
      </c>
      <c r="V8" s="132">
        <f>IF(SER_hh_tes_in!V8=0,0,11630*1000*SER_hh_tes_in!V8/SER_hh_num_in!V8)</f>
        <v>69846.631981493643</v>
      </c>
      <c r="W8" s="132">
        <f>IF(SER_hh_tes_in!W8=0,0,11630*1000*SER_hh_tes_in!W8/SER_hh_num_in!W8)</f>
        <v>56731.786967980428</v>
      </c>
      <c r="X8" s="132">
        <f>IF(SER_hh_tes_in!X8=0,0,11630*1000*SER_hh_tes_in!X8/SER_hh_num_in!X8)</f>
        <v>37748.977731579078</v>
      </c>
      <c r="Y8" s="132">
        <f>IF(SER_hh_tes_in!Y8=0,0,11630*1000*SER_hh_tes_in!Y8/SER_hh_num_in!Y8)</f>
        <v>37333.140690367414</v>
      </c>
      <c r="DA8" s="156" t="s">
        <v>760</v>
      </c>
    </row>
    <row r="9" spans="1:105" ht="12" customHeight="1" x14ac:dyDescent="0.25">
      <c r="A9" s="131" t="s">
        <v>78</v>
      </c>
      <c r="B9" s="132"/>
      <c r="C9" s="132">
        <f>IF(SER_hh_tes_in!C9=0,0,11630*1000*SER_hh_tes_in!C9/SER_hh_num_in!C9)</f>
        <v>76193.257126051074</v>
      </c>
      <c r="D9" s="132">
        <f>IF(SER_hh_tes_in!D9=0,0,11630*1000*SER_hh_tes_in!D9/SER_hh_num_in!D9)</f>
        <v>68743.568995548834</v>
      </c>
      <c r="E9" s="132">
        <f>IF(SER_hh_tes_in!E9=0,0,11630*1000*SER_hh_tes_in!E9/SER_hh_num_in!E9)</f>
        <v>82829.35227637284</v>
      </c>
      <c r="F9" s="132">
        <f>IF(SER_hh_tes_in!F9=0,0,11630*1000*SER_hh_tes_in!F9/SER_hh_num_in!F9)</f>
        <v>83063.925960769193</v>
      </c>
      <c r="G9" s="132">
        <f>IF(SER_hh_tes_in!G9=0,0,11630*1000*SER_hh_tes_in!G9/SER_hh_num_in!G9)</f>
        <v>101507.76223868382</v>
      </c>
      <c r="H9" s="132">
        <f>IF(SER_hh_tes_in!H9=0,0,11630*1000*SER_hh_tes_in!H9/SER_hh_num_in!H9)</f>
        <v>101557.37862083655</v>
      </c>
      <c r="I9" s="132">
        <f>IF(SER_hh_tes_in!I9=0,0,11630*1000*SER_hh_tes_in!I9/SER_hh_num_in!I9)</f>
        <v>88748.299912176051</v>
      </c>
      <c r="J9" s="132">
        <f>IF(SER_hh_tes_in!J9=0,0,11630*1000*SER_hh_tes_in!J9/SER_hh_num_in!J9)</f>
        <v>110410.31764342728</v>
      </c>
      <c r="K9" s="132">
        <f>IF(SER_hh_tes_in!K9=0,0,11630*1000*SER_hh_tes_in!K9/SER_hh_num_in!K9)</f>
        <v>108498.61312433226</v>
      </c>
      <c r="L9" s="132">
        <f>IF(SER_hh_tes_in!L9=0,0,11630*1000*SER_hh_tes_in!L9/SER_hh_num_in!L9)</f>
        <v>108658.68514179533</v>
      </c>
      <c r="M9" s="132">
        <f>IF(SER_hh_tes_in!M9=0,0,11630*1000*SER_hh_tes_in!M9/SER_hh_num_in!M9)</f>
        <v>89907.843957041754</v>
      </c>
      <c r="N9" s="132">
        <f>IF(SER_hh_tes_in!N9=0,0,11630*1000*SER_hh_tes_in!N9/SER_hh_num_in!N9)</f>
        <v>93995.145153533726</v>
      </c>
      <c r="O9" s="132">
        <f>IF(SER_hh_tes_in!O9=0,0,11630*1000*SER_hh_tes_in!O9/SER_hh_num_in!O9)</f>
        <v>99764.566990026855</v>
      </c>
      <c r="P9" s="132">
        <f>IF(SER_hh_tes_in!P9=0,0,11630*1000*SER_hh_tes_in!P9/SER_hh_num_in!P9)</f>
        <v>0</v>
      </c>
      <c r="Q9" s="132">
        <f>IF(SER_hh_tes_in!Q9=0,0,11630*1000*SER_hh_tes_in!Q9/SER_hh_num_in!Q9)</f>
        <v>0</v>
      </c>
      <c r="R9" s="132">
        <f>IF(SER_hh_tes_in!R9=0,0,11630*1000*SER_hh_tes_in!R9/SER_hh_num_in!R9)</f>
        <v>92299.691206256655</v>
      </c>
      <c r="S9" s="132">
        <f>IF(SER_hh_tes_in!S9=0,0,11630*1000*SER_hh_tes_in!S9/SER_hh_num_in!S9)</f>
        <v>87903.288761477233</v>
      </c>
      <c r="T9" s="132">
        <f>IF(SER_hh_tes_in!T9=0,0,11630*1000*SER_hh_tes_in!T9/SER_hh_num_in!T9)</f>
        <v>94688.238052326691</v>
      </c>
      <c r="U9" s="132">
        <f>IF(SER_hh_tes_in!U9=0,0,11630*1000*SER_hh_tes_in!U9/SER_hh_num_in!U9)</f>
        <v>85453.647615739974</v>
      </c>
      <c r="V9" s="132">
        <f>IF(SER_hh_tes_in!V9=0,0,11630*1000*SER_hh_tes_in!V9/SER_hh_num_in!V9)</f>
        <v>76651.440261010954</v>
      </c>
      <c r="W9" s="132">
        <f>IF(SER_hh_tes_in!W9=0,0,11630*1000*SER_hh_tes_in!W9/SER_hh_num_in!W9)</f>
        <v>56812.918769683449</v>
      </c>
      <c r="X9" s="132">
        <f>IF(SER_hh_tes_in!X9=0,0,11630*1000*SER_hh_tes_in!X9/SER_hh_num_in!X9)</f>
        <v>33881.542224556295</v>
      </c>
      <c r="Y9" s="132">
        <f>IF(SER_hh_tes_in!Y9=0,0,11630*1000*SER_hh_tes_in!Y9/SER_hh_num_in!Y9)</f>
        <v>39234.118637726053</v>
      </c>
      <c r="DA9" s="156" t="s">
        <v>761</v>
      </c>
    </row>
    <row r="10" spans="1:105" ht="12" customHeight="1" x14ac:dyDescent="0.25">
      <c r="A10" s="131" t="s">
        <v>128</v>
      </c>
      <c r="B10" s="132"/>
      <c r="C10" s="132">
        <f>IF(SER_hh_tes_in!C10=0,0,11630*1000*SER_hh_tes_in!C10/SER_hh_num_in!C10)</f>
        <v>76047.850455071122</v>
      </c>
      <c r="D10" s="132">
        <f>IF(SER_hh_tes_in!D10=0,0,11630*1000*SER_hh_tes_in!D10/SER_hh_num_in!D10)</f>
        <v>73645.288581101981</v>
      </c>
      <c r="E10" s="132">
        <f>IF(SER_hh_tes_in!E10=0,0,11630*1000*SER_hh_tes_in!E10/SER_hh_num_in!E10)</f>
        <v>79810.550613090265</v>
      </c>
      <c r="F10" s="132">
        <f>IF(SER_hh_tes_in!F10=0,0,11630*1000*SER_hh_tes_in!F10/SER_hh_num_in!F10)</f>
        <v>85075.368208317785</v>
      </c>
      <c r="G10" s="132">
        <f>IF(SER_hh_tes_in!G10=0,0,11630*1000*SER_hh_tes_in!G10/SER_hh_num_in!G10)</f>
        <v>89858.882201837099</v>
      </c>
      <c r="H10" s="132">
        <f>IF(SER_hh_tes_in!H10=0,0,11630*1000*SER_hh_tes_in!H10/SER_hh_num_in!H10)</f>
        <v>113594.02275576715</v>
      </c>
      <c r="I10" s="132">
        <f>IF(SER_hh_tes_in!I10=0,0,11630*1000*SER_hh_tes_in!I10/SER_hh_num_in!I10)</f>
        <v>91135.306761348023</v>
      </c>
      <c r="J10" s="132">
        <f>IF(SER_hh_tes_in!J10=0,0,11630*1000*SER_hh_tes_in!J10/SER_hh_num_in!J10)</f>
        <v>82922.777172611735</v>
      </c>
      <c r="K10" s="132">
        <f>IF(SER_hh_tes_in!K10=0,0,11630*1000*SER_hh_tes_in!K10/SER_hh_num_in!K10)</f>
        <v>97050.97130986987</v>
      </c>
      <c r="L10" s="132">
        <f>IF(SER_hh_tes_in!L10=0,0,11630*1000*SER_hh_tes_in!L10/SER_hh_num_in!L10)</f>
        <v>117285.59770841092</v>
      </c>
      <c r="M10" s="132">
        <f>IF(SER_hh_tes_in!M10=0,0,11630*1000*SER_hh_tes_in!M10/SER_hh_num_in!M10)</f>
        <v>96123.425041132985</v>
      </c>
      <c r="N10" s="132">
        <f>IF(SER_hh_tes_in!N10=0,0,11630*1000*SER_hh_tes_in!N10/SER_hh_num_in!N10)</f>
        <v>72463.667669162154</v>
      </c>
      <c r="O10" s="132">
        <f>IF(SER_hh_tes_in!O10=0,0,11630*1000*SER_hh_tes_in!O10/SER_hh_num_in!O10)</f>
        <v>88588.612054791112</v>
      </c>
      <c r="P10" s="132">
        <f>IF(SER_hh_tes_in!P10=0,0,11630*1000*SER_hh_tes_in!P10/SER_hh_num_in!P10)</f>
        <v>111481.79471072282</v>
      </c>
      <c r="Q10" s="132">
        <f>IF(SER_hh_tes_in!Q10=0,0,11630*1000*SER_hh_tes_in!Q10/SER_hh_num_in!Q10)</f>
        <v>88008.384867556233</v>
      </c>
      <c r="R10" s="132">
        <f>IF(SER_hh_tes_in!R10=0,0,11630*1000*SER_hh_tes_in!R10/SER_hh_num_in!R10)</f>
        <v>100956.13904403939</v>
      </c>
      <c r="S10" s="132">
        <f>IF(SER_hh_tes_in!S10=0,0,11630*1000*SER_hh_tes_in!S10/SER_hh_num_in!S10)</f>
        <v>97607.251544802144</v>
      </c>
      <c r="T10" s="132">
        <f>IF(SER_hh_tes_in!T10=0,0,11630*1000*SER_hh_tes_in!T10/SER_hh_num_in!T10)</f>
        <v>87084.648339940119</v>
      </c>
      <c r="U10" s="132">
        <f>IF(SER_hh_tes_in!U10=0,0,11630*1000*SER_hh_tes_in!U10/SER_hh_num_in!U10)</f>
        <v>79912.834318121924</v>
      </c>
      <c r="V10" s="132">
        <f>IF(SER_hh_tes_in!V10=0,0,11630*1000*SER_hh_tes_in!V10/SER_hh_num_in!V10)</f>
        <v>64226.407618363002</v>
      </c>
      <c r="W10" s="132">
        <f>IF(SER_hh_tes_in!W10=0,0,11630*1000*SER_hh_tes_in!W10/SER_hh_num_in!W10)</f>
        <v>55567.204976679073</v>
      </c>
      <c r="X10" s="132">
        <f>IF(SER_hh_tes_in!X10=0,0,11630*1000*SER_hh_tes_in!X10/SER_hh_num_in!X10)</f>
        <v>40360.306861578669</v>
      </c>
      <c r="Y10" s="132">
        <f>IF(SER_hh_tes_in!Y10=0,0,11630*1000*SER_hh_tes_in!Y10/SER_hh_num_in!Y10)</f>
        <v>36145.566189852972</v>
      </c>
      <c r="DA10" s="156" t="s">
        <v>762</v>
      </c>
    </row>
    <row r="11" spans="1:105" ht="12" customHeight="1" x14ac:dyDescent="0.25">
      <c r="A11" s="131" t="s">
        <v>25</v>
      </c>
      <c r="B11" s="132"/>
      <c r="C11" s="132">
        <f>IF(SER_hh_tes_in!C11=0,0,11630*1000*SER_hh_tes_in!C11/SER_hh_num_in!C11)</f>
        <v>74338.120603400064</v>
      </c>
      <c r="D11" s="132">
        <f>IF(SER_hh_tes_in!D11=0,0,11630*1000*SER_hh_tes_in!D11/SER_hh_num_in!D11)</f>
        <v>76484.190091053955</v>
      </c>
      <c r="E11" s="132">
        <f>IF(SER_hh_tes_in!E11=0,0,11630*1000*SER_hh_tes_in!E11/SER_hh_num_in!E11)</f>
        <v>81803.693645274252</v>
      </c>
      <c r="F11" s="132">
        <f>IF(SER_hh_tes_in!F11=0,0,11630*1000*SER_hh_tes_in!F11/SER_hh_num_in!F11)</f>
        <v>86676.48028177509</v>
      </c>
      <c r="G11" s="132">
        <f>IF(SER_hh_tes_in!G11=0,0,11630*1000*SER_hh_tes_in!G11/SER_hh_num_in!G11)</f>
        <v>94435.528120825242</v>
      </c>
      <c r="H11" s="132">
        <f>IF(SER_hh_tes_in!H11=0,0,11630*1000*SER_hh_tes_in!H11/SER_hh_num_in!H11)</f>
        <v>98911.609654627449</v>
      </c>
      <c r="I11" s="132">
        <f>IF(SER_hh_tes_in!I11=0,0,11630*1000*SER_hh_tes_in!I11/SER_hh_num_in!I11)</f>
        <v>100703.98464378304</v>
      </c>
      <c r="J11" s="132">
        <f>IF(SER_hh_tes_in!J11=0,0,11630*1000*SER_hh_tes_in!J11/SER_hh_num_in!J11)</f>
        <v>108929.87500176781</v>
      </c>
      <c r="K11" s="132">
        <f>IF(SER_hh_tes_in!K11=0,0,11630*1000*SER_hh_tes_in!K11/SER_hh_num_in!K11)</f>
        <v>119594.01213688208</v>
      </c>
      <c r="L11" s="132">
        <f>IF(SER_hh_tes_in!L11=0,0,11630*1000*SER_hh_tes_in!L11/SER_hh_num_in!L11)</f>
        <v>0</v>
      </c>
      <c r="M11" s="132">
        <f>IF(SER_hh_tes_in!M11=0,0,11630*1000*SER_hh_tes_in!M11/SER_hh_num_in!M11)</f>
        <v>90717.362713652285</v>
      </c>
      <c r="N11" s="132">
        <f>IF(SER_hh_tes_in!N11=0,0,11630*1000*SER_hh_tes_in!N11/SER_hh_num_in!N11)</f>
        <v>95733.507610280125</v>
      </c>
      <c r="O11" s="132">
        <f>IF(SER_hh_tes_in!O11=0,0,11630*1000*SER_hh_tes_in!O11/SER_hh_num_in!O11)</f>
        <v>94988.120966490736</v>
      </c>
      <c r="P11" s="132">
        <f>IF(SER_hh_tes_in!P11=0,0,11630*1000*SER_hh_tes_in!P11/SER_hh_num_in!P11)</f>
        <v>90138.232666940268</v>
      </c>
      <c r="Q11" s="132">
        <f>IF(SER_hh_tes_in!Q11=0,0,11630*1000*SER_hh_tes_in!Q11/SER_hh_num_in!Q11)</f>
        <v>0</v>
      </c>
      <c r="R11" s="132">
        <f>IF(SER_hh_tes_in!R11=0,0,11630*1000*SER_hh_tes_in!R11/SER_hh_num_in!R11)</f>
        <v>94358.959923552116</v>
      </c>
      <c r="S11" s="132">
        <f>IF(SER_hh_tes_in!S11=0,0,11630*1000*SER_hh_tes_in!S11/SER_hh_num_in!S11)</f>
        <v>96609.988663264769</v>
      </c>
      <c r="T11" s="132">
        <f>IF(SER_hh_tes_in!T11=0,0,11630*1000*SER_hh_tes_in!T11/SER_hh_num_in!T11)</f>
        <v>91054.099114205135</v>
      </c>
      <c r="U11" s="132">
        <f>IF(SER_hh_tes_in!U11=0,0,11630*1000*SER_hh_tes_in!U11/SER_hh_num_in!U11)</f>
        <v>82830.005329684587</v>
      </c>
      <c r="V11" s="132">
        <f>IF(SER_hh_tes_in!V11=0,0,11630*1000*SER_hh_tes_in!V11/SER_hh_num_in!V11)</f>
        <v>69016.837594250537</v>
      </c>
      <c r="W11" s="132">
        <f>IF(SER_hh_tes_in!W11=0,0,11630*1000*SER_hh_tes_in!W11/SER_hh_num_in!W11)</f>
        <v>52447.290029452197</v>
      </c>
      <c r="X11" s="132">
        <f>IF(SER_hh_tes_in!X11=0,0,11630*1000*SER_hh_tes_in!X11/SER_hh_num_in!X11)</f>
        <v>36228.682957786747</v>
      </c>
      <c r="Y11" s="132">
        <f>IF(SER_hh_tes_in!Y11=0,0,11630*1000*SER_hh_tes_in!Y11/SER_hh_num_in!Y11)</f>
        <v>36479.390457253692</v>
      </c>
      <c r="DA11" s="156" t="s">
        <v>763</v>
      </c>
    </row>
    <row r="12" spans="1:105" ht="12" customHeight="1" x14ac:dyDescent="0.25">
      <c r="A12" s="131" t="s">
        <v>162</v>
      </c>
      <c r="B12" s="132"/>
      <c r="C12" s="132">
        <f>IF(SER_hh_tes_in!C12=0,0,11630*1000*SER_hh_tes_in!C12/SER_hh_num_in!C12)</f>
        <v>0</v>
      </c>
      <c r="D12" s="132">
        <f>IF(SER_hh_tes_in!D12=0,0,11630*1000*SER_hh_tes_in!D12/SER_hh_num_in!D12)</f>
        <v>0</v>
      </c>
      <c r="E12" s="132">
        <f>IF(SER_hh_tes_in!E12=0,0,11630*1000*SER_hh_tes_in!E12/SER_hh_num_in!E12)</f>
        <v>0</v>
      </c>
      <c r="F12" s="132">
        <f>IF(SER_hh_tes_in!F12=0,0,11630*1000*SER_hh_tes_in!F12/SER_hh_num_in!F12)</f>
        <v>124706.79250854494</v>
      </c>
      <c r="G12" s="132">
        <f>IF(SER_hh_tes_in!G12=0,0,11630*1000*SER_hh_tes_in!G12/SER_hh_num_in!G12)</f>
        <v>94171.016935692314</v>
      </c>
      <c r="H12" s="132">
        <f>IF(SER_hh_tes_in!H12=0,0,11630*1000*SER_hh_tes_in!H12/SER_hh_num_in!H12)</f>
        <v>109788.48210113781</v>
      </c>
      <c r="I12" s="132">
        <f>IF(SER_hh_tes_in!I12=0,0,11630*1000*SER_hh_tes_in!I12/SER_hh_num_in!I12)</f>
        <v>107345.88749884316</v>
      </c>
      <c r="J12" s="132">
        <f>IF(SER_hh_tes_in!J12=0,0,11630*1000*SER_hh_tes_in!J12/SER_hh_num_in!J12)</f>
        <v>0</v>
      </c>
      <c r="K12" s="132">
        <f>IF(SER_hh_tes_in!K12=0,0,11630*1000*SER_hh_tes_in!K12/SER_hh_num_in!K12)</f>
        <v>94020.551461004768</v>
      </c>
      <c r="L12" s="132">
        <f>IF(SER_hh_tes_in!L12=0,0,11630*1000*SER_hh_tes_in!L12/SER_hh_num_in!L12)</f>
        <v>69422.300919723886</v>
      </c>
      <c r="M12" s="132">
        <f>IF(SER_hh_tes_in!M12=0,0,11630*1000*SER_hh_tes_in!M12/SER_hh_num_in!M12)</f>
        <v>123558.47530251826</v>
      </c>
      <c r="N12" s="132">
        <f>IF(SER_hh_tes_in!N12=0,0,11630*1000*SER_hh_tes_in!N12/SER_hh_num_in!N12)</f>
        <v>79144.539441309287</v>
      </c>
      <c r="O12" s="132">
        <f>IF(SER_hh_tes_in!O12=0,0,11630*1000*SER_hh_tes_in!O12/SER_hh_num_in!O12)</f>
        <v>87492.139222645739</v>
      </c>
      <c r="P12" s="132">
        <f>IF(SER_hh_tes_in!P12=0,0,11630*1000*SER_hh_tes_in!P12/SER_hh_num_in!P12)</f>
        <v>117495.89718978478</v>
      </c>
      <c r="Q12" s="132">
        <f>IF(SER_hh_tes_in!Q12=0,0,11630*1000*SER_hh_tes_in!Q12/SER_hh_num_in!Q12)</f>
        <v>88731.239997062032</v>
      </c>
      <c r="R12" s="132">
        <f>IF(SER_hh_tes_in!R12=0,0,11630*1000*SER_hh_tes_in!R12/SER_hh_num_in!R12)</f>
        <v>86166.645309100786</v>
      </c>
      <c r="S12" s="132">
        <f>IF(SER_hh_tes_in!S12=0,0,11630*1000*SER_hh_tes_in!S12/SER_hh_num_in!S12)</f>
        <v>99233.648151980553</v>
      </c>
      <c r="T12" s="132">
        <f>IF(SER_hh_tes_in!T12=0,0,11630*1000*SER_hh_tes_in!T12/SER_hh_num_in!T12)</f>
        <v>111052.89172116912</v>
      </c>
      <c r="U12" s="132">
        <f>IF(SER_hh_tes_in!U12=0,0,11630*1000*SER_hh_tes_in!U12/SER_hh_num_in!U12)</f>
        <v>78341.150197765004</v>
      </c>
      <c r="V12" s="132">
        <f>IF(SER_hh_tes_in!V12=0,0,11630*1000*SER_hh_tes_in!V12/SER_hh_num_in!V12)</f>
        <v>72962.280259280466</v>
      </c>
      <c r="W12" s="132">
        <f>IF(SER_hh_tes_in!W12=0,0,11630*1000*SER_hh_tes_in!W12/SER_hh_num_in!W12)</f>
        <v>0</v>
      </c>
      <c r="X12" s="132">
        <f>IF(SER_hh_tes_in!X12=0,0,11630*1000*SER_hh_tes_in!X12/SER_hh_num_in!X12)</f>
        <v>35775.543707624092</v>
      </c>
      <c r="Y12" s="132">
        <f>IF(SER_hh_tes_in!Y12=0,0,11630*1000*SER_hh_tes_in!Y12/SER_hh_num_in!Y12)</f>
        <v>37683.093357994767</v>
      </c>
      <c r="DA12" s="156" t="s">
        <v>764</v>
      </c>
    </row>
    <row r="13" spans="1:105" ht="12" customHeight="1" x14ac:dyDescent="0.25">
      <c r="A13" s="131" t="s">
        <v>77</v>
      </c>
      <c r="B13" s="132"/>
      <c r="C13" s="132">
        <f>IF(SER_hh_tes_in!C13=0,0,11630*1000*SER_hh_tes_in!C13/SER_hh_num_in!C13)</f>
        <v>55683.93149144471</v>
      </c>
      <c r="D13" s="132">
        <f>IF(SER_hh_tes_in!D13=0,0,11630*1000*SER_hh_tes_in!D13/SER_hh_num_in!D13)</f>
        <v>82997.524910886772</v>
      </c>
      <c r="E13" s="132">
        <f>IF(SER_hh_tes_in!E13=0,0,11630*1000*SER_hh_tes_in!E13/SER_hh_num_in!E13)</f>
        <v>60019.592972412254</v>
      </c>
      <c r="F13" s="132">
        <f>IF(SER_hh_tes_in!F13=0,0,11630*1000*SER_hh_tes_in!F13/SER_hh_num_in!F13)</f>
        <v>79794.524411684251</v>
      </c>
      <c r="G13" s="132">
        <f>IF(SER_hh_tes_in!G13=0,0,11630*1000*SER_hh_tes_in!G13/SER_hh_num_in!G13)</f>
        <v>104720.72655750702</v>
      </c>
      <c r="H13" s="132">
        <f>IF(SER_hh_tes_in!H13=0,0,11630*1000*SER_hh_tes_in!H13/SER_hh_num_in!H13)</f>
        <v>107436.8116092386</v>
      </c>
      <c r="I13" s="132">
        <f>IF(SER_hh_tes_in!I13=0,0,11630*1000*SER_hh_tes_in!I13/SER_hh_num_in!I13)</f>
        <v>101570.09842467029</v>
      </c>
      <c r="J13" s="132">
        <f>IF(SER_hh_tes_in!J13=0,0,11630*1000*SER_hh_tes_in!J13/SER_hh_num_in!J13)</f>
        <v>100516.39174676464</v>
      </c>
      <c r="K13" s="132">
        <f>IF(SER_hh_tes_in!K13=0,0,11630*1000*SER_hh_tes_in!K13/SER_hh_num_in!K13)</f>
        <v>103836.39940278136</v>
      </c>
      <c r="L13" s="132">
        <f>IF(SER_hh_tes_in!L13=0,0,11630*1000*SER_hh_tes_in!L13/SER_hh_num_in!L13)</f>
        <v>87085.176190375132</v>
      </c>
      <c r="M13" s="132">
        <f>IF(SER_hh_tes_in!M13=0,0,11630*1000*SER_hh_tes_in!M13/SER_hh_num_in!M13)</f>
        <v>88868.257992001701</v>
      </c>
      <c r="N13" s="132">
        <f>IF(SER_hh_tes_in!N13=0,0,11630*1000*SER_hh_tes_in!N13/SER_hh_num_in!N13)</f>
        <v>93976.993627022355</v>
      </c>
      <c r="O13" s="132">
        <f>IF(SER_hh_tes_in!O13=0,0,11630*1000*SER_hh_tes_in!O13/SER_hh_num_in!O13)</f>
        <v>78179.324187689868</v>
      </c>
      <c r="P13" s="132">
        <f>IF(SER_hh_tes_in!P13=0,0,11630*1000*SER_hh_tes_in!P13/SER_hh_num_in!P13)</f>
        <v>85568.00667670017</v>
      </c>
      <c r="Q13" s="132">
        <f>IF(SER_hh_tes_in!Q13=0,0,11630*1000*SER_hh_tes_in!Q13/SER_hh_num_in!Q13)</f>
        <v>114366.42012094833</v>
      </c>
      <c r="R13" s="132">
        <f>IF(SER_hh_tes_in!R13=0,0,11630*1000*SER_hh_tes_in!R13/SER_hh_num_in!R13)</f>
        <v>102069.61475218589</v>
      </c>
      <c r="S13" s="132">
        <f>IF(SER_hh_tes_in!S13=0,0,11630*1000*SER_hh_tes_in!S13/SER_hh_num_in!S13)</f>
        <v>103621.98245901053</v>
      </c>
      <c r="T13" s="132">
        <f>IF(SER_hh_tes_in!T13=0,0,11630*1000*SER_hh_tes_in!T13/SER_hh_num_in!T13)</f>
        <v>93367.311288411045</v>
      </c>
      <c r="U13" s="132">
        <f>IF(SER_hh_tes_in!U13=0,0,11630*1000*SER_hh_tes_in!U13/SER_hh_num_in!U13)</f>
        <v>81293.428494431108</v>
      </c>
      <c r="V13" s="132">
        <f>IF(SER_hh_tes_in!V13=0,0,11630*1000*SER_hh_tes_in!V13/SER_hh_num_in!V13)</f>
        <v>71137.295064419581</v>
      </c>
      <c r="W13" s="132">
        <f>IF(SER_hh_tes_in!W13=0,0,11630*1000*SER_hh_tes_in!W13/SER_hh_num_in!W13)</f>
        <v>45061.502015587394</v>
      </c>
      <c r="X13" s="132">
        <f>IF(SER_hh_tes_in!X13=0,0,11630*1000*SER_hh_tes_in!X13/SER_hh_num_in!X13)</f>
        <v>33145.766939438065</v>
      </c>
      <c r="Y13" s="132">
        <f>IF(SER_hh_tes_in!Y13=0,0,11630*1000*SER_hh_tes_in!Y13/SER_hh_num_in!Y13)</f>
        <v>0</v>
      </c>
      <c r="DA13" s="156" t="s">
        <v>765</v>
      </c>
    </row>
    <row r="14" spans="1:105" ht="12" customHeight="1" x14ac:dyDescent="0.25">
      <c r="A14" s="60" t="s">
        <v>76</v>
      </c>
      <c r="B14" s="65"/>
      <c r="C14" s="65">
        <f>IF(SER_hh_tes_in!C14=0,0,11630*1000*SER_hh_tes_in!C14/SER_hh_num_in!C14)</f>
        <v>73609.101490593734</v>
      </c>
      <c r="D14" s="65">
        <f>IF(SER_hh_tes_in!D14=0,0,11630*1000*SER_hh_tes_in!D14/SER_hh_num_in!D14)</f>
        <v>78228.114941095671</v>
      </c>
      <c r="E14" s="65">
        <f>IF(SER_hh_tes_in!E14=0,0,11630*1000*SER_hh_tes_in!E14/SER_hh_num_in!E14)</f>
        <v>78557.697656172037</v>
      </c>
      <c r="F14" s="65">
        <f>IF(SER_hh_tes_in!F14=0,0,11630*1000*SER_hh_tes_in!F14/SER_hh_num_in!F14)</f>
        <v>87147.364688460933</v>
      </c>
      <c r="G14" s="65">
        <f>IF(SER_hh_tes_in!G14=0,0,11630*1000*SER_hh_tes_in!G14/SER_hh_num_in!G14)</f>
        <v>98122.771934742748</v>
      </c>
      <c r="H14" s="65">
        <f>IF(SER_hh_tes_in!H14=0,0,11630*1000*SER_hh_tes_in!H14/SER_hh_num_in!H14)</f>
        <v>101386.34869608385</v>
      </c>
      <c r="I14" s="65">
        <f>IF(SER_hh_tes_in!I14=0,0,11630*1000*SER_hh_tes_in!I14/SER_hh_num_in!I14)</f>
        <v>102880.63635929623</v>
      </c>
      <c r="J14" s="65">
        <f>IF(SER_hh_tes_in!J14=0,0,11630*1000*SER_hh_tes_in!J14/SER_hh_num_in!J14)</f>
        <v>105118.69693755508</v>
      </c>
      <c r="K14" s="65">
        <f>IF(SER_hh_tes_in!K14=0,0,11630*1000*SER_hh_tes_in!K14/SER_hh_num_in!K14)</f>
        <v>105394.54682824138</v>
      </c>
      <c r="L14" s="65">
        <f>IF(SER_hh_tes_in!L14=0,0,11630*1000*SER_hh_tes_in!L14/SER_hh_num_in!L14)</f>
        <v>104681.80032344075</v>
      </c>
      <c r="M14" s="65">
        <f>IF(SER_hh_tes_in!M14=0,0,11630*1000*SER_hh_tes_in!M14/SER_hh_num_in!M14)</f>
        <v>98749.287421381174</v>
      </c>
      <c r="N14" s="65">
        <f>IF(SER_hh_tes_in!N14=0,0,11630*1000*SER_hh_tes_in!N14/SER_hh_num_in!N14)</f>
        <v>97622.057628694674</v>
      </c>
      <c r="O14" s="65">
        <f>IF(SER_hh_tes_in!O14=0,0,11630*1000*SER_hh_tes_in!O14/SER_hh_num_in!O14)</f>
        <v>96941.462019237602</v>
      </c>
      <c r="P14" s="65">
        <f>IF(SER_hh_tes_in!P14=0,0,11630*1000*SER_hh_tes_in!P14/SER_hh_num_in!P14)</f>
        <v>0</v>
      </c>
      <c r="Q14" s="65">
        <f>IF(SER_hh_tes_in!Q14=0,0,11630*1000*SER_hh_tes_in!Q14/SER_hh_num_in!Q14)</f>
        <v>0</v>
      </c>
      <c r="R14" s="65">
        <f>IF(SER_hh_tes_in!R14=0,0,11630*1000*SER_hh_tes_in!R14/SER_hh_num_in!R14)</f>
        <v>0</v>
      </c>
      <c r="S14" s="65">
        <f>IF(SER_hh_tes_in!S14=0,0,11630*1000*SER_hh_tes_in!S14/SER_hh_num_in!S14)</f>
        <v>0</v>
      </c>
      <c r="T14" s="65">
        <f>IF(SER_hh_tes_in!T14=0,0,11630*1000*SER_hh_tes_in!T14/SER_hh_num_in!T14)</f>
        <v>100156.4911411277</v>
      </c>
      <c r="U14" s="65">
        <f>IF(SER_hh_tes_in!U14=0,0,11630*1000*SER_hh_tes_in!U14/SER_hh_num_in!U14)</f>
        <v>81738.902268948834</v>
      </c>
      <c r="V14" s="65">
        <f>IF(SER_hh_tes_in!V14=0,0,11630*1000*SER_hh_tes_in!V14/SER_hh_num_in!V14)</f>
        <v>49038.266149762057</v>
      </c>
      <c r="W14" s="65">
        <f>IF(SER_hh_tes_in!W14=0,0,11630*1000*SER_hh_tes_in!W14/SER_hh_num_in!W14)</f>
        <v>57584.851309087615</v>
      </c>
      <c r="X14" s="65">
        <f>IF(SER_hh_tes_in!X14=0,0,11630*1000*SER_hh_tes_in!X14/SER_hh_num_in!X14)</f>
        <v>40178.937183655311</v>
      </c>
      <c r="Y14" s="65">
        <f>IF(SER_hh_tes_in!Y14=0,0,11630*1000*SER_hh_tes_in!Y14/SER_hh_num_in!Y14)</f>
        <v>37125.674299405422</v>
      </c>
      <c r="DA14" s="109" t="s">
        <v>766</v>
      </c>
    </row>
    <row r="15" spans="1:105" ht="12" customHeight="1" x14ac:dyDescent="0.25">
      <c r="A15" s="133" t="s">
        <v>80</v>
      </c>
      <c r="B15" s="134"/>
      <c r="C15" s="134">
        <f>IF(SER_hh_tes_in!C15=0,0,11630*1000*SER_hh_tes_in!C15/SER_hh_num_in!C15)</f>
        <v>1418.3432732265867</v>
      </c>
      <c r="D15" s="134">
        <f>IF(SER_hh_tes_in!D15=0,0,11630*1000*SER_hh_tes_in!D15/SER_hh_num_in!D15)</f>
        <v>1299.3859359108008</v>
      </c>
      <c r="E15" s="134">
        <f>IF(SER_hh_tes_in!E15=0,0,11630*1000*SER_hh_tes_in!E15/SER_hh_num_in!E15)</f>
        <v>1561.9086720255198</v>
      </c>
      <c r="F15" s="134">
        <f>IF(SER_hh_tes_in!F15=0,0,11630*1000*SER_hh_tes_in!F15/SER_hh_num_in!F15)</f>
        <v>1418.4199763035806</v>
      </c>
      <c r="G15" s="134">
        <f>IF(SER_hh_tes_in!G15=0,0,11630*1000*SER_hh_tes_in!G15/SER_hh_num_in!G15)</f>
        <v>1767.4296083942093</v>
      </c>
      <c r="H15" s="134">
        <f>IF(SER_hh_tes_in!H15=0,0,11630*1000*SER_hh_tes_in!H15/SER_hh_num_in!H15)</f>
        <v>1739.7445140771756</v>
      </c>
      <c r="I15" s="134">
        <f>IF(SER_hh_tes_in!I15=0,0,11630*1000*SER_hh_tes_in!I15/SER_hh_num_in!I15)</f>
        <v>1521.2226999195648</v>
      </c>
      <c r="J15" s="134">
        <f>IF(SER_hh_tes_in!J15=0,0,11630*1000*SER_hh_tes_in!J15/SER_hh_num_in!J15)</f>
        <v>1891.4295033359692</v>
      </c>
      <c r="K15" s="134">
        <f>IF(SER_hh_tes_in!K15=0,0,11630*1000*SER_hh_tes_in!K15/SER_hh_num_in!K15)</f>
        <v>1817.0908396849791</v>
      </c>
      <c r="L15" s="134">
        <f>IF(SER_hh_tes_in!L15=0,0,11630*1000*SER_hh_tes_in!L15/SER_hh_num_in!L15)</f>
        <v>1774.0671483659626</v>
      </c>
      <c r="M15" s="134">
        <f>IF(SER_hh_tes_in!M15=0,0,11630*1000*SER_hh_tes_in!M15/SER_hh_num_in!M15)</f>
        <v>1285.8129114794244</v>
      </c>
      <c r="N15" s="134">
        <f>IF(SER_hh_tes_in!N15=0,0,11630*1000*SER_hh_tes_in!N15/SER_hh_num_in!N15)</f>
        <v>1280.2874072671393</v>
      </c>
      <c r="O15" s="134">
        <f>IF(SER_hh_tes_in!O15=0,0,11630*1000*SER_hh_tes_in!O15/SER_hh_num_in!O15)</f>
        <v>927.14348163042519</v>
      </c>
      <c r="P15" s="134">
        <f>IF(SER_hh_tes_in!P15=0,0,11630*1000*SER_hh_tes_in!P15/SER_hh_num_in!P15)</f>
        <v>550.68657946831286</v>
      </c>
      <c r="Q15" s="134">
        <f>IF(SER_hh_tes_in!Q15=0,0,11630*1000*SER_hh_tes_in!Q15/SER_hh_num_in!Q15)</f>
        <v>534.24262402111594</v>
      </c>
      <c r="R15" s="134">
        <f>IF(SER_hh_tes_in!R15=0,0,11630*1000*SER_hh_tes_in!R15/SER_hh_num_in!R15)</f>
        <v>1062.6076056453926</v>
      </c>
      <c r="S15" s="134">
        <f>IF(SER_hh_tes_in!S15=0,0,11630*1000*SER_hh_tes_in!S15/SER_hh_num_in!S15)</f>
        <v>1337.2241107989025</v>
      </c>
      <c r="T15" s="134">
        <f>IF(SER_hh_tes_in!T15=0,0,11630*1000*SER_hh_tes_in!T15/SER_hh_num_in!T15)</f>
        <v>1433.1639645409798</v>
      </c>
      <c r="U15" s="134">
        <f>IF(SER_hh_tes_in!U15=0,0,11630*1000*SER_hh_tes_in!U15/SER_hh_num_in!U15)</f>
        <v>1261.6273727401019</v>
      </c>
      <c r="V15" s="134">
        <f>IF(SER_hh_tes_in!V15=0,0,11630*1000*SER_hh_tes_in!V15/SER_hh_num_in!V15)</f>
        <v>1053.8441624197856</v>
      </c>
      <c r="W15" s="134">
        <f>IF(SER_hh_tes_in!W15=0,0,11630*1000*SER_hh_tes_in!W15/SER_hh_num_in!W15)</f>
        <v>690.85140713129886</v>
      </c>
      <c r="X15" s="134">
        <f>IF(SER_hh_tes_in!X15=0,0,11630*1000*SER_hh_tes_in!X15/SER_hh_num_in!X15)</f>
        <v>514.13811378059711</v>
      </c>
      <c r="Y15" s="134">
        <f>IF(SER_hh_tes_in!Y15=0,0,11630*1000*SER_hh_tes_in!Y15/SER_hh_num_in!Y15)</f>
        <v>590.73773014722804</v>
      </c>
      <c r="DA15" s="157" t="s">
        <v>767</v>
      </c>
    </row>
    <row r="16" spans="1:105" ht="12.95" customHeight="1" x14ac:dyDescent="0.25">
      <c r="A16" s="129" t="s">
        <v>74</v>
      </c>
      <c r="B16" s="130"/>
      <c r="C16" s="130">
        <f>IF(SER_hh_tes_in!C16=0,0,11630*1000*SER_hh_tes_in!C16/SER_hh_num_in!C16)</f>
        <v>24959.454989728532</v>
      </c>
      <c r="D16" s="130">
        <f>IF(SER_hh_tes_in!D16=0,0,11630*1000*SER_hh_tes_in!D16/SER_hh_num_in!D16)</f>
        <v>21809.129578582983</v>
      </c>
      <c r="E16" s="130">
        <f>IF(SER_hh_tes_in!E16=0,0,11630*1000*SER_hh_tes_in!E16/SER_hh_num_in!E16)</f>
        <v>50312.233464829136</v>
      </c>
      <c r="F16" s="130">
        <f>IF(SER_hh_tes_in!F16=0,0,11630*1000*SER_hh_tes_in!F16/SER_hh_num_in!F16)</f>
        <v>22477.28462154909</v>
      </c>
      <c r="G16" s="130">
        <f>IF(SER_hh_tes_in!G16=0,0,11630*1000*SER_hh_tes_in!G16/SER_hh_num_in!G16)</f>
        <v>22338.933351831965</v>
      </c>
      <c r="H16" s="130">
        <f>IF(SER_hh_tes_in!H16=0,0,11630*1000*SER_hh_tes_in!H16/SER_hh_num_in!H16)</f>
        <v>26041.811455963529</v>
      </c>
      <c r="I16" s="130">
        <f>IF(SER_hh_tes_in!I16=0,0,11630*1000*SER_hh_tes_in!I16/SER_hh_num_in!I16)</f>
        <v>23728.100338137468</v>
      </c>
      <c r="J16" s="130">
        <f>IF(SER_hh_tes_in!J16=0,0,11630*1000*SER_hh_tes_in!J16/SER_hh_num_in!J16)</f>
        <v>27529.379647035188</v>
      </c>
      <c r="K16" s="130">
        <f>IF(SER_hh_tes_in!K16=0,0,11630*1000*SER_hh_tes_in!K16/SER_hh_num_in!K16)</f>
        <v>27741.101164123982</v>
      </c>
      <c r="L16" s="130">
        <f>IF(SER_hh_tes_in!L16=0,0,11630*1000*SER_hh_tes_in!L16/SER_hh_num_in!L16)</f>
        <v>22164.401342364246</v>
      </c>
      <c r="M16" s="130">
        <f>IF(SER_hh_tes_in!M16=0,0,11630*1000*SER_hh_tes_in!M16/SER_hh_num_in!M16)</f>
        <v>23583.609851897229</v>
      </c>
      <c r="N16" s="130">
        <f>IF(SER_hh_tes_in!N16=0,0,11630*1000*SER_hh_tes_in!N16/SER_hh_num_in!N16)</f>
        <v>36464.477213190665</v>
      </c>
      <c r="O16" s="130">
        <f>IF(SER_hh_tes_in!O16=0,0,11630*1000*SER_hh_tes_in!O16/SER_hh_num_in!O16)</f>
        <v>21158.588350970149</v>
      </c>
      <c r="P16" s="130">
        <f>IF(SER_hh_tes_in!P16=0,0,11630*1000*SER_hh_tes_in!P16/SER_hh_num_in!P16)</f>
        <v>17872.023670926897</v>
      </c>
      <c r="Q16" s="130">
        <f>IF(SER_hh_tes_in!Q16=0,0,11630*1000*SER_hh_tes_in!Q16/SER_hh_num_in!Q16)</f>
        <v>30991.990391369345</v>
      </c>
      <c r="R16" s="130">
        <f>IF(SER_hh_tes_in!R16=0,0,11630*1000*SER_hh_tes_in!R16/SER_hh_num_in!R16)</f>
        <v>19158.002743577621</v>
      </c>
      <c r="S16" s="130">
        <f>IF(SER_hh_tes_in!S16=0,0,11630*1000*SER_hh_tes_in!S16/SER_hh_num_in!S16)</f>
        <v>28216.181401020498</v>
      </c>
      <c r="T16" s="130">
        <f>IF(SER_hh_tes_in!T16=0,0,11630*1000*SER_hh_tes_in!T16/SER_hh_num_in!T16)</f>
        <v>20632.266673407899</v>
      </c>
      <c r="U16" s="130">
        <f>IF(SER_hh_tes_in!U16=0,0,11630*1000*SER_hh_tes_in!U16/SER_hh_num_in!U16)</f>
        <v>26086.567959086362</v>
      </c>
      <c r="V16" s="130">
        <f>IF(SER_hh_tes_in!V16=0,0,11630*1000*SER_hh_tes_in!V16/SER_hh_num_in!V16)</f>
        <v>17794.614777168365</v>
      </c>
      <c r="W16" s="130">
        <f>IF(SER_hh_tes_in!W16=0,0,11630*1000*SER_hh_tes_in!W16/SER_hh_num_in!W16)</f>
        <v>19288.480451129504</v>
      </c>
      <c r="X16" s="130">
        <f>IF(SER_hh_tes_in!X16=0,0,11630*1000*SER_hh_tes_in!X16/SER_hh_num_in!X16)</f>
        <v>21378.444775821161</v>
      </c>
      <c r="Y16" s="130">
        <f>IF(SER_hh_tes_in!Y16=0,0,11630*1000*SER_hh_tes_in!Y16/SER_hh_num_in!Y16)</f>
        <v>17282.398968828526</v>
      </c>
      <c r="DA16" s="155" t="s">
        <v>768</v>
      </c>
    </row>
    <row r="17" spans="1:105" ht="12.95" customHeight="1" x14ac:dyDescent="0.25">
      <c r="A17" s="131" t="s">
        <v>73</v>
      </c>
      <c r="B17" s="132"/>
      <c r="C17" s="132">
        <f>IF(SER_hh_tes_in!C17=0,0,11630*1000*SER_hh_tes_in!C17/SER_hh_num_in!C17)</f>
        <v>24981.431971936578</v>
      </c>
      <c r="D17" s="132">
        <f>IF(SER_hh_tes_in!D17=0,0,11630*1000*SER_hh_tes_in!D17/SER_hh_num_in!D17)</f>
        <v>21820.140277418534</v>
      </c>
      <c r="E17" s="132">
        <f>IF(SER_hh_tes_in!E17=0,0,11630*1000*SER_hh_tes_in!E17/SER_hh_num_in!E17)</f>
        <v>50381.676653108814</v>
      </c>
      <c r="F17" s="132">
        <f>IF(SER_hh_tes_in!F17=0,0,11630*1000*SER_hh_tes_in!F17/SER_hh_num_in!F17)</f>
        <v>22511.337979600496</v>
      </c>
      <c r="G17" s="132">
        <f>IF(SER_hh_tes_in!G17=0,0,11630*1000*SER_hh_tes_in!G17/SER_hh_num_in!G17)</f>
        <v>22365.470286682601</v>
      </c>
      <c r="H17" s="132">
        <f>IF(SER_hh_tes_in!H17=0,0,11630*1000*SER_hh_tes_in!H17/SER_hh_num_in!H17)</f>
        <v>26087.523798947361</v>
      </c>
      <c r="I17" s="132">
        <f>IF(SER_hh_tes_in!I17=0,0,11630*1000*SER_hh_tes_in!I17/SER_hh_num_in!I17)</f>
        <v>23760.854491482281</v>
      </c>
      <c r="J17" s="132">
        <f>IF(SER_hh_tes_in!J17=0,0,11630*1000*SER_hh_tes_in!J17/SER_hh_num_in!J17)</f>
        <v>27545.40567890391</v>
      </c>
      <c r="K17" s="132">
        <f>IF(SER_hh_tes_in!K17=0,0,11630*1000*SER_hh_tes_in!K17/SER_hh_num_in!K17)</f>
        <v>27743.004026339942</v>
      </c>
      <c r="L17" s="132">
        <f>IF(SER_hh_tes_in!L17=0,0,11630*1000*SER_hh_tes_in!L17/SER_hh_num_in!L17)</f>
        <v>22178.104507231561</v>
      </c>
      <c r="M17" s="132">
        <f>IF(SER_hh_tes_in!M17=0,0,11630*1000*SER_hh_tes_in!M17/SER_hh_num_in!M17)</f>
        <v>23599.645387057124</v>
      </c>
      <c r="N17" s="132">
        <f>IF(SER_hh_tes_in!N17=0,0,11630*1000*SER_hh_tes_in!N17/SER_hh_num_in!N17)</f>
        <v>36479.14656155667</v>
      </c>
      <c r="O17" s="132">
        <f>IF(SER_hh_tes_in!O17=0,0,11630*1000*SER_hh_tes_in!O17/SER_hh_num_in!O17)</f>
        <v>21165.500086953722</v>
      </c>
      <c r="P17" s="132">
        <f>IF(SER_hh_tes_in!P17=0,0,11630*1000*SER_hh_tes_in!P17/SER_hh_num_in!P17)</f>
        <v>17907.307989964549</v>
      </c>
      <c r="Q17" s="132">
        <f>IF(SER_hh_tes_in!Q17=0,0,11630*1000*SER_hh_tes_in!Q17/SER_hh_num_in!Q17)</f>
        <v>31047.191028275083</v>
      </c>
      <c r="R17" s="132">
        <f>IF(SER_hh_tes_in!R17=0,0,11630*1000*SER_hh_tes_in!R17/SER_hh_num_in!R17)</f>
        <v>19576.367734652093</v>
      </c>
      <c r="S17" s="132">
        <f>IF(SER_hh_tes_in!S17=0,0,11630*1000*SER_hh_tes_in!S17/SER_hh_num_in!S17)</f>
        <v>28586.116198343574</v>
      </c>
      <c r="T17" s="132">
        <f>IF(SER_hh_tes_in!T17=0,0,11630*1000*SER_hh_tes_in!T17/SER_hh_num_in!T17)</f>
        <v>20867.489629183259</v>
      </c>
      <c r="U17" s="132">
        <f>IF(SER_hh_tes_in!U17=0,0,11630*1000*SER_hh_tes_in!U17/SER_hh_num_in!U17)</f>
        <v>26128.607699028005</v>
      </c>
      <c r="V17" s="132">
        <f>IF(SER_hh_tes_in!V17=0,0,11630*1000*SER_hh_tes_in!V17/SER_hh_num_in!V17)</f>
        <v>17755.017900323332</v>
      </c>
      <c r="W17" s="132">
        <f>IF(SER_hh_tes_in!W17=0,0,11630*1000*SER_hh_tes_in!W17/SER_hh_num_in!W17)</f>
        <v>18959.634267703437</v>
      </c>
      <c r="X17" s="132">
        <f>IF(SER_hh_tes_in!X17=0,0,11630*1000*SER_hh_tes_in!X17/SER_hh_num_in!X17)</f>
        <v>21236.988303621718</v>
      </c>
      <c r="Y17" s="132">
        <f>IF(SER_hh_tes_in!Y17=0,0,11630*1000*SER_hh_tes_in!Y17/SER_hh_num_in!Y17)</f>
        <v>18728.668709022368</v>
      </c>
      <c r="DA17" s="156" t="s">
        <v>769</v>
      </c>
    </row>
    <row r="18" spans="1:105" ht="12" customHeight="1" x14ac:dyDescent="0.25">
      <c r="A18" s="131" t="s">
        <v>72</v>
      </c>
      <c r="B18" s="132"/>
      <c r="C18" s="132">
        <f>IF(SER_hh_tes_in!C18=0,0,11630*1000*SER_hh_tes_in!C18/SER_hh_num_in!C18)</f>
        <v>24959.314927822918</v>
      </c>
      <c r="D18" s="132">
        <f>IF(SER_hh_tes_in!D18=0,0,11630*1000*SER_hh_tes_in!D18/SER_hh_num_in!D18)</f>
        <v>21809.108906871494</v>
      </c>
      <c r="E18" s="132">
        <f>IF(SER_hh_tes_in!E18=0,0,11630*1000*SER_hh_tes_in!E18/SER_hh_num_in!E18)</f>
        <v>50311.786220997368</v>
      </c>
      <c r="F18" s="132">
        <f>IF(SER_hh_tes_in!F18=0,0,11630*1000*SER_hh_tes_in!F18/SER_hh_num_in!F18)</f>
        <v>22477.040804093151</v>
      </c>
      <c r="G18" s="132">
        <f>IF(SER_hh_tes_in!G18=0,0,11630*1000*SER_hh_tes_in!G18/SER_hh_num_in!G18)</f>
        <v>22338.808989440346</v>
      </c>
      <c r="H18" s="132">
        <f>IF(SER_hh_tes_in!H18=0,0,11630*1000*SER_hh_tes_in!H18/SER_hh_num_in!H18)</f>
        <v>26041.520074077413</v>
      </c>
      <c r="I18" s="132">
        <f>IF(SER_hh_tes_in!I18=0,0,11630*1000*SER_hh_tes_in!I18/SER_hh_num_in!I18)</f>
        <v>23727.895906205486</v>
      </c>
      <c r="J18" s="132">
        <f>IF(SER_hh_tes_in!J18=0,0,11630*1000*SER_hh_tes_in!J18/SER_hh_num_in!J18)</f>
        <v>27529.246127249389</v>
      </c>
      <c r="K18" s="132">
        <f>IF(SER_hh_tes_in!K18=0,0,11630*1000*SER_hh_tes_in!K18/SER_hh_num_in!K18)</f>
        <v>27741.073560840094</v>
      </c>
      <c r="L18" s="132">
        <f>IF(SER_hh_tes_in!L18=0,0,11630*1000*SER_hh_tes_in!L18/SER_hh_num_in!L18)</f>
        <v>22164.230914046351</v>
      </c>
      <c r="M18" s="132">
        <f>IF(SER_hh_tes_in!M18=0,0,11630*1000*SER_hh_tes_in!M18/SER_hh_num_in!M18)</f>
        <v>23583.441673476627</v>
      </c>
      <c r="N18" s="132">
        <f>IF(SER_hh_tes_in!N18=0,0,11630*1000*SER_hh_tes_in!N18/SER_hh_num_in!N18)</f>
        <v>36464.321790924361</v>
      </c>
      <c r="O18" s="132">
        <f>IF(SER_hh_tes_in!O18=0,0,11630*1000*SER_hh_tes_in!O18/SER_hh_num_in!O18)</f>
        <v>21158.474720373804</v>
      </c>
      <c r="P18" s="132">
        <f>IF(SER_hh_tes_in!P18=0,0,11630*1000*SER_hh_tes_in!P18/SER_hh_num_in!P18)</f>
        <v>17871.4861631938</v>
      </c>
      <c r="Q18" s="132">
        <f>IF(SER_hh_tes_in!Q18=0,0,11630*1000*SER_hh_tes_in!Q18/SER_hh_num_in!Q18)</f>
        <v>30991.197874234495</v>
      </c>
      <c r="R18" s="132">
        <f>IF(SER_hh_tes_in!R18=0,0,11630*1000*SER_hh_tes_in!R18/SER_hh_num_in!R18)</f>
        <v>19151.437270410326</v>
      </c>
      <c r="S18" s="132">
        <f>IF(SER_hh_tes_in!S18=0,0,11630*1000*SER_hh_tes_in!S18/SER_hh_num_in!S18)</f>
        <v>28210.224123586322</v>
      </c>
      <c r="T18" s="132">
        <f>IF(SER_hh_tes_in!T18=0,0,11630*1000*SER_hh_tes_in!T18/SER_hh_num_in!T18)</f>
        <v>20628.353259352225</v>
      </c>
      <c r="U18" s="132">
        <f>IF(SER_hh_tes_in!U18=0,0,11630*1000*SER_hh_tes_in!U18/SER_hh_num_in!U18)</f>
        <v>26085.884614800383</v>
      </c>
      <c r="V18" s="132">
        <f>IF(SER_hh_tes_in!V18=0,0,11630*1000*SER_hh_tes_in!V18/SER_hh_num_in!V18)</f>
        <v>17795.22196247592</v>
      </c>
      <c r="W18" s="132">
        <f>IF(SER_hh_tes_in!W18=0,0,11630*1000*SER_hh_tes_in!W18/SER_hh_num_in!W18)</f>
        <v>19293.1901225496</v>
      </c>
      <c r="X18" s="132">
        <f>IF(SER_hh_tes_in!X18=0,0,11630*1000*SER_hh_tes_in!X18/SER_hh_num_in!X18)</f>
        <v>21381.741170886475</v>
      </c>
      <c r="Y18" s="132">
        <f>IF(SER_hh_tes_in!Y18=0,0,11630*1000*SER_hh_tes_in!Y18/SER_hh_num_in!Y18)</f>
        <v>17250.107299867217</v>
      </c>
      <c r="DA18" s="156" t="s">
        <v>770</v>
      </c>
    </row>
    <row r="19" spans="1:105" ht="12.95" customHeight="1" x14ac:dyDescent="0.25">
      <c r="A19" s="129" t="s">
        <v>35</v>
      </c>
      <c r="B19" s="130"/>
      <c r="C19" s="130">
        <f>IF(SER_hh_tes_in!C19=0,0,11630*1000*SER_hh_tes_in!C19/SER_hh_num_in!C19)</f>
        <v>18752.187868194593</v>
      </c>
      <c r="D19" s="130">
        <f>IF(SER_hh_tes_in!D19=0,0,11630*1000*SER_hh_tes_in!D19/SER_hh_num_in!D19)</f>
        <v>19014.340326401896</v>
      </c>
      <c r="E19" s="130">
        <f>IF(SER_hh_tes_in!E19=0,0,11630*1000*SER_hh_tes_in!E19/SER_hh_num_in!E19)</f>
        <v>18723.34226168344</v>
      </c>
      <c r="F19" s="130">
        <f>IF(SER_hh_tes_in!F19=0,0,11630*1000*SER_hh_tes_in!F19/SER_hh_num_in!F19)</f>
        <v>19626.185368212362</v>
      </c>
      <c r="G19" s="130">
        <f>IF(SER_hh_tes_in!G19=0,0,11630*1000*SER_hh_tes_in!G19/SER_hh_num_in!G19)</f>
        <v>18841.267951189806</v>
      </c>
      <c r="H19" s="130">
        <f>IF(SER_hh_tes_in!H19=0,0,11630*1000*SER_hh_tes_in!H19/SER_hh_num_in!H19)</f>
        <v>18706.717231014758</v>
      </c>
      <c r="I19" s="130">
        <f>IF(SER_hh_tes_in!I19=0,0,11630*1000*SER_hh_tes_in!I19/SER_hh_num_in!I19)</f>
        <v>19120.233697542983</v>
      </c>
      <c r="J19" s="130">
        <f>IF(SER_hh_tes_in!J19=0,0,11630*1000*SER_hh_tes_in!J19/SER_hh_num_in!J19)</f>
        <v>19011.460691964417</v>
      </c>
      <c r="K19" s="130">
        <f>IF(SER_hh_tes_in!K19=0,0,11630*1000*SER_hh_tes_in!K19/SER_hh_num_in!K19)</f>
        <v>18927.548771795864</v>
      </c>
      <c r="L19" s="130">
        <f>IF(SER_hh_tes_in!L19=0,0,11630*1000*SER_hh_tes_in!L19/SER_hh_num_in!L19)</f>
        <v>18943.500293613259</v>
      </c>
      <c r="M19" s="130">
        <f>IF(SER_hh_tes_in!M19=0,0,11630*1000*SER_hh_tes_in!M19/SER_hh_num_in!M19)</f>
        <v>19031.442559071391</v>
      </c>
      <c r="N19" s="130">
        <f>IF(SER_hh_tes_in!N19=0,0,11630*1000*SER_hh_tes_in!N19/SER_hh_num_in!N19)</f>
        <v>18800.819464544329</v>
      </c>
      <c r="O19" s="130">
        <f>IF(SER_hh_tes_in!O19=0,0,11630*1000*SER_hh_tes_in!O19/SER_hh_num_in!O19)</f>
        <v>19455.482398065971</v>
      </c>
      <c r="P19" s="130">
        <f>IF(SER_hh_tes_in!P19=0,0,11630*1000*SER_hh_tes_in!P19/SER_hh_num_in!P19)</f>
        <v>19670.422019255446</v>
      </c>
      <c r="Q19" s="130">
        <f>IF(SER_hh_tes_in!Q19=0,0,11630*1000*SER_hh_tes_in!Q19/SER_hh_num_in!Q19)</f>
        <v>19406.206368765193</v>
      </c>
      <c r="R19" s="130">
        <f>IF(SER_hh_tes_in!R19=0,0,11630*1000*SER_hh_tes_in!R19/SER_hh_num_in!R19)</f>
        <v>19728.358032895576</v>
      </c>
      <c r="S19" s="130">
        <f>IF(SER_hh_tes_in!S19=0,0,11630*1000*SER_hh_tes_in!S19/SER_hh_num_in!S19)</f>
        <v>19530.11398945261</v>
      </c>
      <c r="T19" s="130">
        <f>IF(SER_hh_tes_in!T19=0,0,11630*1000*SER_hh_tes_in!T19/SER_hh_num_in!T19)</f>
        <v>19271.834008612539</v>
      </c>
      <c r="U19" s="130">
        <f>IF(SER_hh_tes_in!U19=0,0,11630*1000*SER_hh_tes_in!U19/SER_hh_num_in!U19)</f>
        <v>18358.895389942525</v>
      </c>
      <c r="V19" s="130">
        <f>IF(SER_hh_tes_in!V19=0,0,11630*1000*SER_hh_tes_in!V19/SER_hh_num_in!V19)</f>
        <v>16376.841611868254</v>
      </c>
      <c r="W19" s="130">
        <f>IF(SER_hh_tes_in!W19=0,0,11630*1000*SER_hh_tes_in!W19/SER_hh_num_in!W19)</f>
        <v>18634.280328741497</v>
      </c>
      <c r="X19" s="130">
        <f>IF(SER_hh_tes_in!X19=0,0,11630*1000*SER_hh_tes_in!X19/SER_hh_num_in!X19)</f>
        <v>18803.649348014664</v>
      </c>
      <c r="Y19" s="130">
        <f>IF(SER_hh_tes_in!Y19=0,0,11630*1000*SER_hh_tes_in!Y19/SER_hh_num_in!Y19)</f>
        <v>19487.119680165717</v>
      </c>
      <c r="DA19" s="155" t="s">
        <v>771</v>
      </c>
    </row>
    <row r="20" spans="1:105" ht="12" customHeight="1" x14ac:dyDescent="0.25">
      <c r="A20" s="131" t="s">
        <v>29</v>
      </c>
      <c r="B20" s="132"/>
      <c r="C20" s="132">
        <f>IF(SER_hh_tes_in!C20=0,0,11630*1000*SER_hh_tes_in!C20/SER_hh_num_in!C20)</f>
        <v>0</v>
      </c>
      <c r="D20" s="132">
        <f>IF(SER_hh_tes_in!D20=0,0,11630*1000*SER_hh_tes_in!D20/SER_hh_num_in!D20)</f>
        <v>0</v>
      </c>
      <c r="E20" s="132">
        <f>IF(SER_hh_tes_in!E20=0,0,11630*1000*SER_hh_tes_in!E20/SER_hh_num_in!E20)</f>
        <v>0</v>
      </c>
      <c r="F20" s="132">
        <f>IF(SER_hh_tes_in!F20=0,0,11630*1000*SER_hh_tes_in!F20/SER_hh_num_in!F20)</f>
        <v>0</v>
      </c>
      <c r="G20" s="132">
        <f>IF(SER_hh_tes_in!G20=0,0,11630*1000*SER_hh_tes_in!G20/SER_hh_num_in!G20)</f>
        <v>0</v>
      </c>
      <c r="H20" s="132">
        <f>IF(SER_hh_tes_in!H20=0,0,11630*1000*SER_hh_tes_in!H20/SER_hh_num_in!H20)</f>
        <v>0</v>
      </c>
      <c r="I20" s="132">
        <f>IF(SER_hh_tes_in!I20=0,0,11630*1000*SER_hh_tes_in!I20/SER_hh_num_in!I20)</f>
        <v>0</v>
      </c>
      <c r="J20" s="132">
        <f>IF(SER_hh_tes_in!J20=0,0,11630*1000*SER_hh_tes_in!J20/SER_hh_num_in!J20)</f>
        <v>0</v>
      </c>
      <c r="K20" s="132">
        <f>IF(SER_hh_tes_in!K20=0,0,11630*1000*SER_hh_tes_in!K20/SER_hh_num_in!K20)</f>
        <v>0</v>
      </c>
      <c r="L20" s="132">
        <f>IF(SER_hh_tes_in!L20=0,0,11630*1000*SER_hh_tes_in!L20/SER_hh_num_in!L20)</f>
        <v>0</v>
      </c>
      <c r="M20" s="132">
        <f>IF(SER_hh_tes_in!M20=0,0,11630*1000*SER_hh_tes_in!M20/SER_hh_num_in!M20)</f>
        <v>0</v>
      </c>
      <c r="N20" s="132">
        <f>IF(SER_hh_tes_in!N20=0,0,11630*1000*SER_hh_tes_in!N20/SER_hh_num_in!N20)</f>
        <v>0</v>
      </c>
      <c r="O20" s="132">
        <f>IF(SER_hh_tes_in!O20=0,0,11630*1000*SER_hh_tes_in!O20/SER_hh_num_in!O20)</f>
        <v>0</v>
      </c>
      <c r="P20" s="132">
        <f>IF(SER_hh_tes_in!P20=0,0,11630*1000*SER_hh_tes_in!P20/SER_hh_num_in!P20)</f>
        <v>0</v>
      </c>
      <c r="Q20" s="132">
        <f>IF(SER_hh_tes_in!Q20=0,0,11630*1000*SER_hh_tes_in!Q20/SER_hh_num_in!Q20)</f>
        <v>0</v>
      </c>
      <c r="R20" s="132">
        <f>IF(SER_hh_tes_in!R20=0,0,11630*1000*SER_hh_tes_in!R20/SER_hh_num_in!R20)</f>
        <v>0</v>
      </c>
      <c r="S20" s="132">
        <f>IF(SER_hh_tes_in!S20=0,0,11630*1000*SER_hh_tes_in!S20/SER_hh_num_in!S20)</f>
        <v>0</v>
      </c>
      <c r="T20" s="132">
        <f>IF(SER_hh_tes_in!T20=0,0,11630*1000*SER_hh_tes_in!T20/SER_hh_num_in!T20)</f>
        <v>0</v>
      </c>
      <c r="U20" s="132">
        <f>IF(SER_hh_tes_in!U20=0,0,11630*1000*SER_hh_tes_in!U20/SER_hh_num_in!U20)</f>
        <v>0</v>
      </c>
      <c r="V20" s="132">
        <f>IF(SER_hh_tes_in!V20=0,0,11630*1000*SER_hh_tes_in!V20/SER_hh_num_in!V20)</f>
        <v>0</v>
      </c>
      <c r="W20" s="132">
        <f>IF(SER_hh_tes_in!W20=0,0,11630*1000*SER_hh_tes_in!W20/SER_hh_num_in!W20)</f>
        <v>0</v>
      </c>
      <c r="X20" s="132">
        <f>IF(SER_hh_tes_in!X20=0,0,11630*1000*SER_hh_tes_in!X20/SER_hh_num_in!X20)</f>
        <v>0</v>
      </c>
      <c r="Y20" s="132">
        <f>IF(SER_hh_tes_in!Y20=0,0,11630*1000*SER_hh_tes_in!Y20/SER_hh_num_in!Y20)</f>
        <v>0</v>
      </c>
      <c r="DA20" s="156" t="s">
        <v>772</v>
      </c>
    </row>
    <row r="21" spans="1:105" s="2" customFormat="1" ht="12" customHeight="1" x14ac:dyDescent="0.25">
      <c r="A21" s="131" t="s">
        <v>52</v>
      </c>
      <c r="B21" s="132"/>
      <c r="C21" s="132">
        <f>IF(SER_hh_tes_in!C21=0,0,11630*1000*SER_hh_tes_in!C21/SER_hh_num_in!C21)</f>
        <v>18925.782680152355</v>
      </c>
      <c r="D21" s="132">
        <f>IF(SER_hh_tes_in!D21=0,0,11630*1000*SER_hh_tes_in!D21/SER_hh_num_in!D21)</f>
        <v>18638.041071908792</v>
      </c>
      <c r="E21" s="132">
        <f>IF(SER_hh_tes_in!E21=0,0,11630*1000*SER_hh_tes_in!E21/SER_hh_num_in!E21)</f>
        <v>18196.501442648932</v>
      </c>
      <c r="F21" s="132">
        <f>IF(SER_hh_tes_in!F21=0,0,11630*1000*SER_hh_tes_in!F21/SER_hh_num_in!F21)</f>
        <v>18461.243640864868</v>
      </c>
      <c r="G21" s="132">
        <f>IF(SER_hh_tes_in!G21=0,0,11630*1000*SER_hh_tes_in!G21/SER_hh_num_in!G21)</f>
        <v>18178.902929163105</v>
      </c>
      <c r="H21" s="132">
        <f>IF(SER_hh_tes_in!H21=0,0,11630*1000*SER_hh_tes_in!H21/SER_hh_num_in!H21)</f>
        <v>19029.558446435534</v>
      </c>
      <c r="I21" s="132">
        <f>IF(SER_hh_tes_in!I21=0,0,11630*1000*SER_hh_tes_in!I21/SER_hh_num_in!I21)</f>
        <v>17827.864734000534</v>
      </c>
      <c r="J21" s="132">
        <f>IF(SER_hh_tes_in!J21=0,0,11630*1000*SER_hh_tes_in!J21/SER_hh_num_in!J21)</f>
        <v>17312.140125665595</v>
      </c>
      <c r="K21" s="132">
        <f>IF(SER_hh_tes_in!K21=0,0,11630*1000*SER_hh_tes_in!K21/SER_hh_num_in!K21)</f>
        <v>16422.997856688628</v>
      </c>
      <c r="L21" s="132">
        <f>IF(SER_hh_tes_in!L21=0,0,11630*1000*SER_hh_tes_in!L21/SER_hh_num_in!L21)</f>
        <v>15894.557577838284</v>
      </c>
      <c r="M21" s="132">
        <f>IF(SER_hh_tes_in!M21=0,0,11630*1000*SER_hh_tes_in!M21/SER_hh_num_in!M21)</f>
        <v>19674.057255116961</v>
      </c>
      <c r="N21" s="132">
        <f>IF(SER_hh_tes_in!N21=0,0,11630*1000*SER_hh_tes_in!N21/SER_hh_num_in!N21)</f>
        <v>18317.818023509753</v>
      </c>
      <c r="O21" s="132">
        <f>IF(SER_hh_tes_in!O21=0,0,11630*1000*SER_hh_tes_in!O21/SER_hh_num_in!O21)</f>
        <v>19691.869855436995</v>
      </c>
      <c r="P21" s="132">
        <f>IF(SER_hh_tes_in!P21=0,0,11630*1000*SER_hh_tes_in!P21/SER_hh_num_in!P21)</f>
        <v>0</v>
      </c>
      <c r="Q21" s="132">
        <f>IF(SER_hh_tes_in!Q21=0,0,11630*1000*SER_hh_tes_in!Q21/SER_hh_num_in!Q21)</f>
        <v>0</v>
      </c>
      <c r="R21" s="132">
        <f>IF(SER_hh_tes_in!R21=0,0,11630*1000*SER_hh_tes_in!R21/SER_hh_num_in!R21)</f>
        <v>19952.345998634726</v>
      </c>
      <c r="S21" s="132">
        <f>IF(SER_hh_tes_in!S21=0,0,11630*1000*SER_hh_tes_in!S21/SER_hh_num_in!S21)</f>
        <v>19894.626701432033</v>
      </c>
      <c r="T21" s="132">
        <f>IF(SER_hh_tes_in!T21=0,0,11630*1000*SER_hh_tes_in!T21/SER_hh_num_in!T21)</f>
        <v>18499.171650204837</v>
      </c>
      <c r="U21" s="132">
        <f>IF(SER_hh_tes_in!U21=0,0,11630*1000*SER_hh_tes_in!U21/SER_hh_num_in!U21)</f>
        <v>16816.157762385385</v>
      </c>
      <c r="V21" s="132">
        <f>IF(SER_hh_tes_in!V21=0,0,11630*1000*SER_hh_tes_in!V21/SER_hh_num_in!V21)</f>
        <v>16550.475078745018</v>
      </c>
      <c r="W21" s="132">
        <f>IF(SER_hh_tes_in!W21=0,0,11630*1000*SER_hh_tes_in!W21/SER_hh_num_in!W21)</f>
        <v>18249.419491134147</v>
      </c>
      <c r="X21" s="132">
        <f>IF(SER_hh_tes_in!X21=0,0,11630*1000*SER_hh_tes_in!X21/SER_hh_num_in!X21)</f>
        <v>18593.846729895115</v>
      </c>
      <c r="Y21" s="132">
        <f>IF(SER_hh_tes_in!Y21=0,0,11630*1000*SER_hh_tes_in!Y21/SER_hh_num_in!Y21)</f>
        <v>18619.719365298784</v>
      </c>
      <c r="DA21" s="156" t="s">
        <v>773</v>
      </c>
    </row>
    <row r="22" spans="1:105" ht="12" customHeight="1" x14ac:dyDescent="0.25">
      <c r="A22" s="131" t="s">
        <v>161</v>
      </c>
      <c r="B22" s="132"/>
      <c r="C22" s="132">
        <f>IF(SER_hh_tes_in!C22=0,0,11630*1000*SER_hh_tes_in!C22/SER_hh_num_in!C22)</f>
        <v>18942.044048842141</v>
      </c>
      <c r="D22" s="132">
        <f>IF(SER_hh_tes_in!D22=0,0,11630*1000*SER_hh_tes_in!D22/SER_hh_num_in!D22)</f>
        <v>0</v>
      </c>
      <c r="E22" s="132">
        <f>IF(SER_hh_tes_in!E22=0,0,11630*1000*SER_hh_tes_in!E22/SER_hh_num_in!E22)</f>
        <v>0</v>
      </c>
      <c r="F22" s="132">
        <f>IF(SER_hh_tes_in!F22=0,0,11630*1000*SER_hh_tes_in!F22/SER_hh_num_in!F22)</f>
        <v>0</v>
      </c>
      <c r="G22" s="132">
        <f>IF(SER_hh_tes_in!G22=0,0,11630*1000*SER_hh_tes_in!G22/SER_hh_num_in!G22)</f>
        <v>15881.997126946486</v>
      </c>
      <c r="H22" s="132">
        <f>IF(SER_hh_tes_in!H22=0,0,11630*1000*SER_hh_tes_in!H22/SER_hh_num_in!H22)</f>
        <v>18744.08716964124</v>
      </c>
      <c r="I22" s="132">
        <f>IF(SER_hh_tes_in!I22=0,0,11630*1000*SER_hh_tes_in!I22/SER_hh_num_in!I22)</f>
        <v>18536.181999456461</v>
      </c>
      <c r="J22" s="132">
        <f>IF(SER_hh_tes_in!J22=0,0,11630*1000*SER_hh_tes_in!J22/SER_hh_num_in!J22)</f>
        <v>18223.359584321712</v>
      </c>
      <c r="K22" s="132">
        <f>IF(SER_hh_tes_in!K22=0,0,11630*1000*SER_hh_tes_in!K22/SER_hh_num_in!K22)</f>
        <v>17212.206968431557</v>
      </c>
      <c r="L22" s="132">
        <f>IF(SER_hh_tes_in!L22=0,0,11630*1000*SER_hh_tes_in!L22/SER_hh_num_in!L22)</f>
        <v>16156.622374087732</v>
      </c>
      <c r="M22" s="132">
        <f>IF(SER_hh_tes_in!M22=0,0,11630*1000*SER_hh_tes_in!M22/SER_hh_num_in!M22)</f>
        <v>18693.787845928757</v>
      </c>
      <c r="N22" s="132">
        <f>IF(SER_hh_tes_in!N22=0,0,11630*1000*SER_hh_tes_in!N22/SER_hh_num_in!N22)</f>
        <v>18824.443881329687</v>
      </c>
      <c r="O22" s="132">
        <f>IF(SER_hh_tes_in!O22=0,0,11630*1000*SER_hh_tes_in!O22/SER_hh_num_in!O22)</f>
        <v>19689.654278343041</v>
      </c>
      <c r="P22" s="132">
        <f>IF(SER_hh_tes_in!P22=0,0,11630*1000*SER_hh_tes_in!P22/SER_hh_num_in!P22)</f>
        <v>0</v>
      </c>
      <c r="Q22" s="132">
        <f>IF(SER_hh_tes_in!Q22=0,0,11630*1000*SER_hh_tes_in!Q22/SER_hh_num_in!Q22)</f>
        <v>0</v>
      </c>
      <c r="R22" s="132">
        <f>IF(SER_hh_tes_in!R22=0,0,11630*1000*SER_hh_tes_in!R22/SER_hh_num_in!R22)</f>
        <v>0</v>
      </c>
      <c r="S22" s="132">
        <f>IF(SER_hh_tes_in!S22=0,0,11630*1000*SER_hh_tes_in!S22/SER_hh_num_in!S22)</f>
        <v>0</v>
      </c>
      <c r="T22" s="132">
        <f>IF(SER_hh_tes_in!T22=0,0,11630*1000*SER_hh_tes_in!T22/SER_hh_num_in!T22)</f>
        <v>0</v>
      </c>
      <c r="U22" s="132">
        <f>IF(SER_hh_tes_in!U22=0,0,11630*1000*SER_hh_tes_in!U22/SER_hh_num_in!U22)</f>
        <v>0</v>
      </c>
      <c r="V22" s="132">
        <f>IF(SER_hh_tes_in!V22=0,0,11630*1000*SER_hh_tes_in!V22/SER_hh_num_in!V22)</f>
        <v>0</v>
      </c>
      <c r="W22" s="132">
        <f>IF(SER_hh_tes_in!W22=0,0,11630*1000*SER_hh_tes_in!W22/SER_hh_num_in!W22)</f>
        <v>17569.906669828975</v>
      </c>
      <c r="X22" s="132">
        <f>IF(SER_hh_tes_in!X22=0,0,11630*1000*SER_hh_tes_in!X22/SER_hh_num_in!X22)</f>
        <v>18851.12234021736</v>
      </c>
      <c r="Y22" s="132">
        <f>IF(SER_hh_tes_in!Y22=0,0,11630*1000*SER_hh_tes_in!Y22/SER_hh_num_in!Y22)</f>
        <v>15572.59420465179</v>
      </c>
      <c r="DA22" s="156" t="s">
        <v>774</v>
      </c>
    </row>
    <row r="23" spans="1:105" ht="12" customHeight="1" x14ac:dyDescent="0.25">
      <c r="A23" s="131" t="s">
        <v>149</v>
      </c>
      <c r="B23" s="132"/>
      <c r="C23" s="132">
        <f>IF(SER_hh_tes_in!C23=0,0,11630*1000*SER_hh_tes_in!C23/SER_hh_num_in!C23)</f>
        <v>18699.161330998268</v>
      </c>
      <c r="D23" s="132">
        <f>IF(SER_hh_tes_in!D23=0,0,11630*1000*SER_hh_tes_in!D23/SER_hh_num_in!D23)</f>
        <v>18830.81597688546</v>
      </c>
      <c r="E23" s="132">
        <f>IF(SER_hh_tes_in!E23=0,0,11630*1000*SER_hh_tes_in!E23/SER_hh_num_in!E23)</f>
        <v>18709.240178055839</v>
      </c>
      <c r="F23" s="132">
        <f>IF(SER_hh_tes_in!F23=0,0,11630*1000*SER_hh_tes_in!F23/SER_hh_num_in!F23)</f>
        <v>18594.29916820793</v>
      </c>
      <c r="G23" s="132">
        <f>IF(SER_hh_tes_in!G23=0,0,11630*1000*SER_hh_tes_in!G23/SER_hh_num_in!G23)</f>
        <v>18275.793245433102</v>
      </c>
      <c r="H23" s="132">
        <f>IF(SER_hh_tes_in!H23=0,0,11630*1000*SER_hh_tes_in!H23/SER_hh_num_in!H23)</f>
        <v>18625.315050233428</v>
      </c>
      <c r="I23" s="132">
        <f>IF(SER_hh_tes_in!I23=0,0,11630*1000*SER_hh_tes_in!I23/SER_hh_num_in!I23)</f>
        <v>18374.380729260709</v>
      </c>
      <c r="J23" s="132">
        <f>IF(SER_hh_tes_in!J23=0,0,11630*1000*SER_hh_tes_in!J23/SER_hh_num_in!J23)</f>
        <v>17786.821010642579</v>
      </c>
      <c r="K23" s="132">
        <f>IF(SER_hh_tes_in!K23=0,0,11630*1000*SER_hh_tes_in!K23/SER_hh_num_in!K23)</f>
        <v>16844.300026052497</v>
      </c>
      <c r="L23" s="132">
        <f>IF(SER_hh_tes_in!L23=0,0,11630*1000*SER_hh_tes_in!L23/SER_hh_num_in!L23)</f>
        <v>16789.261431269842</v>
      </c>
      <c r="M23" s="132">
        <f>IF(SER_hh_tes_in!M23=0,0,11630*1000*SER_hh_tes_in!M23/SER_hh_num_in!M23)</f>
        <v>18933.491853919211</v>
      </c>
      <c r="N23" s="132">
        <f>IF(SER_hh_tes_in!N23=0,0,11630*1000*SER_hh_tes_in!N23/SER_hh_num_in!N23)</f>
        <v>19060.812895607189</v>
      </c>
      <c r="O23" s="132">
        <f>IF(SER_hh_tes_in!O23=0,0,11630*1000*SER_hh_tes_in!O23/SER_hh_num_in!O23)</f>
        <v>19285.007653056084</v>
      </c>
      <c r="P23" s="132">
        <f>IF(SER_hh_tes_in!P23=0,0,11630*1000*SER_hh_tes_in!P23/SER_hh_num_in!P23)</f>
        <v>19349.351557893191</v>
      </c>
      <c r="Q23" s="132">
        <f>IF(SER_hh_tes_in!Q23=0,0,11630*1000*SER_hh_tes_in!Q23/SER_hh_num_in!Q23)</f>
        <v>19346.305503822488</v>
      </c>
      <c r="R23" s="132">
        <f>IF(SER_hh_tes_in!R23=0,0,11630*1000*SER_hh_tes_in!R23/SER_hh_num_in!R23)</f>
        <v>19135.834191029371</v>
      </c>
      <c r="S23" s="132">
        <f>IF(SER_hh_tes_in!S23=0,0,11630*1000*SER_hh_tes_in!S23/SER_hh_num_in!S23)</f>
        <v>17722.288826825905</v>
      </c>
      <c r="T23" s="132">
        <f>IF(SER_hh_tes_in!T23=0,0,11630*1000*SER_hh_tes_in!T23/SER_hh_num_in!T23)</f>
        <v>16991.431891011718</v>
      </c>
      <c r="U23" s="132">
        <f>IF(SER_hh_tes_in!U23=0,0,11630*1000*SER_hh_tes_in!U23/SER_hh_num_in!U23)</f>
        <v>16967.848828125461</v>
      </c>
      <c r="V23" s="132">
        <f>IF(SER_hh_tes_in!V23=0,0,11630*1000*SER_hh_tes_in!V23/SER_hh_num_in!V23)</f>
        <v>16671.253543055838</v>
      </c>
      <c r="W23" s="132">
        <f>IF(SER_hh_tes_in!W23=0,0,11630*1000*SER_hh_tes_in!W23/SER_hh_num_in!W23)</f>
        <v>18891.380442391182</v>
      </c>
      <c r="X23" s="132">
        <f>IF(SER_hh_tes_in!X23=0,0,11630*1000*SER_hh_tes_in!X23/SER_hh_num_in!X23)</f>
        <v>18775.142434414178</v>
      </c>
      <c r="Y23" s="132">
        <f>IF(SER_hh_tes_in!Y23=0,0,11630*1000*SER_hh_tes_in!Y23/SER_hh_num_in!Y23)</f>
        <v>18495.811735410782</v>
      </c>
      <c r="DA23" s="156" t="s">
        <v>775</v>
      </c>
    </row>
    <row r="24" spans="1:105" ht="12" customHeight="1" x14ac:dyDescent="0.25">
      <c r="A24" s="131" t="s">
        <v>128</v>
      </c>
      <c r="B24" s="132"/>
      <c r="C24" s="132">
        <f>IF(SER_hh_tes_in!C24=0,0,11630*1000*SER_hh_tes_in!C24/SER_hh_num_in!C24)</f>
        <v>0</v>
      </c>
      <c r="D24" s="132">
        <f>IF(SER_hh_tes_in!D24=0,0,11630*1000*SER_hh_tes_in!D24/SER_hh_num_in!D24)</f>
        <v>0</v>
      </c>
      <c r="E24" s="132">
        <f>IF(SER_hh_tes_in!E24=0,0,11630*1000*SER_hh_tes_in!E24/SER_hh_num_in!E24)</f>
        <v>0</v>
      </c>
      <c r="F24" s="132">
        <f>IF(SER_hh_tes_in!F24=0,0,11630*1000*SER_hh_tes_in!F24/SER_hh_num_in!F24)</f>
        <v>0</v>
      </c>
      <c r="G24" s="132">
        <f>IF(SER_hh_tes_in!G24=0,0,11630*1000*SER_hh_tes_in!G24/SER_hh_num_in!G24)</f>
        <v>0</v>
      </c>
      <c r="H24" s="132">
        <f>IF(SER_hh_tes_in!H24=0,0,11630*1000*SER_hh_tes_in!H24/SER_hh_num_in!H24)</f>
        <v>0</v>
      </c>
      <c r="I24" s="132">
        <f>IF(SER_hh_tes_in!I24=0,0,11630*1000*SER_hh_tes_in!I24/SER_hh_num_in!I24)</f>
        <v>0</v>
      </c>
      <c r="J24" s="132">
        <f>IF(SER_hh_tes_in!J24=0,0,11630*1000*SER_hh_tes_in!J24/SER_hh_num_in!J24)</f>
        <v>0</v>
      </c>
      <c r="K24" s="132">
        <f>IF(SER_hh_tes_in!K24=0,0,11630*1000*SER_hh_tes_in!K24/SER_hh_num_in!K24)</f>
        <v>0</v>
      </c>
      <c r="L24" s="132">
        <f>IF(SER_hh_tes_in!L24=0,0,11630*1000*SER_hh_tes_in!L24/SER_hh_num_in!L24)</f>
        <v>0</v>
      </c>
      <c r="M24" s="132">
        <f>IF(SER_hh_tes_in!M24=0,0,11630*1000*SER_hh_tes_in!M24/SER_hh_num_in!M24)</f>
        <v>0</v>
      </c>
      <c r="N24" s="132">
        <f>IF(SER_hh_tes_in!N24=0,0,11630*1000*SER_hh_tes_in!N24/SER_hh_num_in!N24)</f>
        <v>0</v>
      </c>
      <c r="O24" s="132">
        <f>IF(SER_hh_tes_in!O24=0,0,11630*1000*SER_hh_tes_in!O24/SER_hh_num_in!O24)</f>
        <v>0</v>
      </c>
      <c r="P24" s="132">
        <f>IF(SER_hh_tes_in!P24=0,0,11630*1000*SER_hh_tes_in!P24/SER_hh_num_in!P24)</f>
        <v>0</v>
      </c>
      <c r="Q24" s="132">
        <f>IF(SER_hh_tes_in!Q24=0,0,11630*1000*SER_hh_tes_in!Q24/SER_hh_num_in!Q24)</f>
        <v>0</v>
      </c>
      <c r="R24" s="132">
        <f>IF(SER_hh_tes_in!R24=0,0,11630*1000*SER_hh_tes_in!R24/SER_hh_num_in!R24)</f>
        <v>0</v>
      </c>
      <c r="S24" s="132">
        <f>IF(SER_hh_tes_in!S24=0,0,11630*1000*SER_hh_tes_in!S24/SER_hh_num_in!S24)</f>
        <v>0</v>
      </c>
      <c r="T24" s="132">
        <f>IF(SER_hh_tes_in!T24=0,0,11630*1000*SER_hh_tes_in!T24/SER_hh_num_in!T24)</f>
        <v>0</v>
      </c>
      <c r="U24" s="132">
        <f>IF(SER_hh_tes_in!U24=0,0,11630*1000*SER_hh_tes_in!U24/SER_hh_num_in!U24)</f>
        <v>0</v>
      </c>
      <c r="V24" s="132">
        <f>IF(SER_hh_tes_in!V24=0,0,11630*1000*SER_hh_tes_in!V24/SER_hh_num_in!V24)</f>
        <v>0</v>
      </c>
      <c r="W24" s="132">
        <f>IF(SER_hh_tes_in!W24=0,0,11630*1000*SER_hh_tes_in!W24/SER_hh_num_in!W24)</f>
        <v>0</v>
      </c>
      <c r="X24" s="132">
        <f>IF(SER_hh_tes_in!X24=0,0,11630*1000*SER_hh_tes_in!X24/SER_hh_num_in!X24)</f>
        <v>0</v>
      </c>
      <c r="Y24" s="132">
        <f>IF(SER_hh_tes_in!Y24=0,0,11630*1000*SER_hh_tes_in!Y24/SER_hh_num_in!Y24)</f>
        <v>0</v>
      </c>
      <c r="DA24" s="156" t="s">
        <v>776</v>
      </c>
    </row>
    <row r="25" spans="1:105" ht="12" customHeight="1" x14ac:dyDescent="0.25">
      <c r="A25" s="131" t="s">
        <v>162</v>
      </c>
      <c r="B25" s="132"/>
      <c r="C25" s="132">
        <f>IF(SER_hh_tes_in!C25=0,0,11630*1000*SER_hh_tes_in!C25/SER_hh_num_in!C25)</f>
        <v>0</v>
      </c>
      <c r="D25" s="132">
        <f>IF(SER_hh_tes_in!D25=0,0,11630*1000*SER_hh_tes_in!D25/SER_hh_num_in!D25)</f>
        <v>0</v>
      </c>
      <c r="E25" s="132">
        <f>IF(SER_hh_tes_in!E25=0,0,11630*1000*SER_hh_tes_in!E25/SER_hh_num_in!E25)</f>
        <v>0</v>
      </c>
      <c r="F25" s="132">
        <f>IF(SER_hh_tes_in!F25=0,0,11630*1000*SER_hh_tes_in!F25/SER_hh_num_in!F25)</f>
        <v>26574.312132512736</v>
      </c>
      <c r="G25" s="132">
        <f>IF(SER_hh_tes_in!G25=0,0,11630*1000*SER_hh_tes_in!G25/SER_hh_num_in!G25)</f>
        <v>20858.634882689741</v>
      </c>
      <c r="H25" s="132">
        <f>IF(SER_hh_tes_in!H25=0,0,11630*1000*SER_hh_tes_in!H25/SER_hh_num_in!H25)</f>
        <v>18651.10554905804</v>
      </c>
      <c r="I25" s="132">
        <f>IF(SER_hh_tes_in!I25=0,0,11630*1000*SER_hh_tes_in!I25/SER_hh_num_in!I25)</f>
        <v>17239.732189873939</v>
      </c>
      <c r="J25" s="132">
        <f>IF(SER_hh_tes_in!J25=0,0,11630*1000*SER_hh_tes_in!J25/SER_hh_num_in!J25)</f>
        <v>16394.123955923791</v>
      </c>
      <c r="K25" s="132">
        <f>IF(SER_hh_tes_in!K25=0,0,11630*1000*SER_hh_tes_in!K25/SER_hh_num_in!K25)</f>
        <v>16637.153695474586</v>
      </c>
      <c r="L25" s="132">
        <f>IF(SER_hh_tes_in!L25=0,0,11630*1000*SER_hh_tes_in!L25/SER_hh_num_in!L25)</f>
        <v>16667.99686866497</v>
      </c>
      <c r="M25" s="132">
        <f>IF(SER_hh_tes_in!M25=0,0,11630*1000*SER_hh_tes_in!M25/SER_hh_num_in!M25)</f>
        <v>17963.549792114576</v>
      </c>
      <c r="N25" s="132">
        <f>IF(SER_hh_tes_in!N25=0,0,11630*1000*SER_hh_tes_in!N25/SER_hh_num_in!N25)</f>
        <v>18025.083133641518</v>
      </c>
      <c r="O25" s="132">
        <f>IF(SER_hh_tes_in!O25=0,0,11630*1000*SER_hh_tes_in!O25/SER_hh_num_in!O25)</f>
        <v>19425.814167796761</v>
      </c>
      <c r="P25" s="132">
        <f>IF(SER_hh_tes_in!P25=0,0,11630*1000*SER_hh_tes_in!P25/SER_hh_num_in!P25)</f>
        <v>19612.889234190861</v>
      </c>
      <c r="Q25" s="132">
        <f>IF(SER_hh_tes_in!Q25=0,0,11630*1000*SER_hh_tes_in!Q25/SER_hh_num_in!Q25)</f>
        <v>19182.820902679905</v>
      </c>
      <c r="R25" s="132">
        <f>IF(SER_hh_tes_in!R25=0,0,11630*1000*SER_hh_tes_in!R25/SER_hh_num_in!R25)</f>
        <v>18102.993613183618</v>
      </c>
      <c r="S25" s="132">
        <f>IF(SER_hh_tes_in!S25=0,0,11630*1000*SER_hh_tes_in!S25/SER_hh_num_in!S25)</f>
        <v>17179.444562507932</v>
      </c>
      <c r="T25" s="132">
        <f>IF(SER_hh_tes_in!T25=0,0,11630*1000*SER_hh_tes_in!T25/SER_hh_num_in!T25)</f>
        <v>16884.88434336345</v>
      </c>
      <c r="U25" s="132">
        <f>IF(SER_hh_tes_in!U25=0,0,11630*1000*SER_hh_tes_in!U25/SER_hh_num_in!U25)</f>
        <v>15581.045158355644</v>
      </c>
      <c r="V25" s="132">
        <f>IF(SER_hh_tes_in!V25=0,0,11630*1000*SER_hh_tes_in!V25/SER_hh_num_in!V25)</f>
        <v>0</v>
      </c>
      <c r="W25" s="132">
        <f>IF(SER_hh_tes_in!W25=0,0,11630*1000*SER_hh_tes_in!W25/SER_hh_num_in!W25)</f>
        <v>0</v>
      </c>
      <c r="X25" s="132">
        <f>IF(SER_hh_tes_in!X25=0,0,11630*1000*SER_hh_tes_in!X25/SER_hh_num_in!X25)</f>
        <v>19185.636870564947</v>
      </c>
      <c r="Y25" s="132">
        <f>IF(SER_hh_tes_in!Y25=0,0,11630*1000*SER_hh_tes_in!Y25/SER_hh_num_in!Y25)</f>
        <v>0</v>
      </c>
      <c r="DA25" s="156" t="s">
        <v>777</v>
      </c>
    </row>
    <row r="26" spans="1:105" ht="12" customHeight="1" x14ac:dyDescent="0.25">
      <c r="A26" s="131" t="s">
        <v>24</v>
      </c>
      <c r="B26" s="65"/>
      <c r="C26" s="65">
        <f>IF(SER_hh_tes_in!C26=0,0,11630*1000*SER_hh_tes_in!C26/SER_hh_num_in!C26)</f>
        <v>18270.402834082091</v>
      </c>
      <c r="D26" s="65">
        <f>IF(SER_hh_tes_in!D26=0,0,11630*1000*SER_hh_tes_in!D26/SER_hh_num_in!D26)</f>
        <v>18239.912915346857</v>
      </c>
      <c r="E26" s="65">
        <f>IF(SER_hh_tes_in!E26=0,0,11630*1000*SER_hh_tes_in!E26/SER_hh_num_in!E26)</f>
        <v>17571.897683457944</v>
      </c>
      <c r="F26" s="65">
        <f>IF(SER_hh_tes_in!F26=0,0,11630*1000*SER_hh_tes_in!F26/SER_hh_num_in!F26)</f>
        <v>16922.64619396524</v>
      </c>
      <c r="G26" s="65">
        <f>IF(SER_hh_tes_in!G26=0,0,11630*1000*SER_hh_tes_in!G26/SER_hh_num_in!G26)</f>
        <v>11403.423160571934</v>
      </c>
      <c r="H26" s="65">
        <f>IF(SER_hh_tes_in!H26=0,0,11630*1000*SER_hh_tes_in!H26/SER_hh_num_in!H26)</f>
        <v>16616.493001136827</v>
      </c>
      <c r="I26" s="65">
        <f>IF(SER_hh_tes_in!I26=0,0,11630*1000*SER_hh_tes_in!I26/SER_hh_num_in!I26)</f>
        <v>14626.860502630851</v>
      </c>
      <c r="J26" s="65">
        <f>IF(SER_hh_tes_in!J26=0,0,11630*1000*SER_hh_tes_in!J26/SER_hh_num_in!J26)</f>
        <v>7198.2921518553785</v>
      </c>
      <c r="K26" s="65">
        <f>IF(SER_hh_tes_in!K26=0,0,11630*1000*SER_hh_tes_in!K26/SER_hh_num_in!K26)</f>
        <v>2667.8867205652291</v>
      </c>
      <c r="L26" s="65">
        <f>IF(SER_hh_tes_in!L26=0,0,11630*1000*SER_hh_tes_in!L26/SER_hh_num_in!L26)</f>
        <v>2593.9983762569764</v>
      </c>
      <c r="M26" s="65">
        <f>IF(SER_hh_tes_in!M26=0,0,11630*1000*SER_hh_tes_in!M26/SER_hh_num_in!M26)</f>
        <v>13137.721553281977</v>
      </c>
      <c r="N26" s="65">
        <f>IF(SER_hh_tes_in!N26=0,0,11630*1000*SER_hh_tes_in!N26/SER_hh_num_in!N26)</f>
        <v>9924.615647087312</v>
      </c>
      <c r="O26" s="65">
        <f>IF(SER_hh_tes_in!O26=0,0,11630*1000*SER_hh_tes_in!O26/SER_hh_num_in!O26)</f>
        <v>7938.4030590316579</v>
      </c>
      <c r="P26" s="65">
        <f>IF(SER_hh_tes_in!P26=0,0,11630*1000*SER_hh_tes_in!P26/SER_hh_num_in!P26)</f>
        <v>10048.195462477721</v>
      </c>
      <c r="Q26" s="65">
        <f>IF(SER_hh_tes_in!Q26=0,0,11630*1000*SER_hh_tes_in!Q26/SER_hh_num_in!Q26)</f>
        <v>19480.314230499273</v>
      </c>
      <c r="R26" s="65">
        <f>IF(SER_hh_tes_in!R26=0,0,11630*1000*SER_hh_tes_in!R26/SER_hh_num_in!R26)</f>
        <v>6359.7326414245599</v>
      </c>
      <c r="S26" s="65">
        <f>IF(SER_hh_tes_in!S26=0,0,11630*1000*SER_hh_tes_in!S26/SER_hh_num_in!S26)</f>
        <v>3787.9226168705559</v>
      </c>
      <c r="T26" s="65">
        <f>IF(SER_hh_tes_in!T26=0,0,11630*1000*SER_hh_tes_in!T26/SER_hh_num_in!T26)</f>
        <v>8308.6030095137194</v>
      </c>
      <c r="U26" s="65">
        <f>IF(SER_hh_tes_in!U26=0,0,11630*1000*SER_hh_tes_in!U26/SER_hh_num_in!U26)</f>
        <v>2817.1966530639716</v>
      </c>
      <c r="V26" s="65">
        <f>IF(SER_hh_tes_in!V26=0,0,11630*1000*SER_hh_tes_in!V26/SER_hh_num_in!V26)</f>
        <v>2155.215840956796</v>
      </c>
      <c r="W26" s="65">
        <f>IF(SER_hh_tes_in!W26=0,0,11630*1000*SER_hh_tes_in!W26/SER_hh_num_in!W26)</f>
        <v>18647.35792990775</v>
      </c>
      <c r="X26" s="65">
        <f>IF(SER_hh_tes_in!X26=0,0,11630*1000*SER_hh_tes_in!X26/SER_hh_num_in!X26)</f>
        <v>18824.9348684258</v>
      </c>
      <c r="Y26" s="65">
        <f>IF(SER_hh_tes_in!Y26=0,0,11630*1000*SER_hh_tes_in!Y26/SER_hh_num_in!Y26)</f>
        <v>3104.7180961683316</v>
      </c>
      <c r="DA26" s="109" t="s">
        <v>778</v>
      </c>
    </row>
    <row r="27" spans="1:105" ht="12" customHeight="1" x14ac:dyDescent="0.25">
      <c r="A27" s="144" t="s">
        <v>86</v>
      </c>
      <c r="B27" s="147"/>
      <c r="C27" s="145">
        <f>IF(SER_hh_tes_in!C27=0,0,11630*1000*SER_hh_tes_in!C27/SER_hh_num_in!C19)</f>
        <v>315.46282215551003</v>
      </c>
      <c r="D27" s="145">
        <f>IF(SER_hh_tes_in!D27=0,0,11630*1000*SER_hh_tes_in!D27/SER_hh_num_in!D19)</f>
        <v>559.18664106412962</v>
      </c>
      <c r="E27" s="145">
        <f>IF(SER_hh_tes_in!E27=0,0,11630*1000*SER_hh_tes_in!E27/SER_hh_num_in!E19)</f>
        <v>686.2562898271284</v>
      </c>
      <c r="F27" s="145">
        <f>IF(SER_hh_tes_in!F27=0,0,11630*1000*SER_hh_tes_in!F27/SER_hh_num_in!F19)</f>
        <v>1214.0468458020805</v>
      </c>
      <c r="G27" s="145">
        <f>IF(SER_hh_tes_in!G27=0,0,11630*1000*SER_hh_tes_in!G27/SER_hh_num_in!G19)</f>
        <v>3741.8267269441253</v>
      </c>
      <c r="H27" s="145">
        <f>IF(SER_hh_tes_in!H27=0,0,11630*1000*SER_hh_tes_in!H27/SER_hh_num_in!H19)</f>
        <v>1239.5947734337224</v>
      </c>
      <c r="I27" s="145">
        <f>IF(SER_hh_tes_in!I27=0,0,11630*1000*SER_hh_tes_in!I27/SER_hh_num_in!I19)</f>
        <v>2991.3613547708123</v>
      </c>
      <c r="J27" s="145">
        <f>IF(SER_hh_tes_in!J27=0,0,11630*1000*SER_hh_tes_in!J27/SER_hh_num_in!J19)</f>
        <v>6724.9841439945058</v>
      </c>
      <c r="K27" s="145">
        <f>IF(SER_hh_tes_in!K27=0,0,11630*1000*SER_hh_tes_in!K27/SER_hh_num_in!K19)</f>
        <v>9106.5154369503944</v>
      </c>
      <c r="L27" s="145">
        <f>IF(SER_hh_tes_in!L27=0,0,11630*1000*SER_hh_tes_in!L27/SER_hh_num_in!L19)</f>
        <v>9594.2923247231847</v>
      </c>
      <c r="M27" s="145">
        <f>IF(SER_hh_tes_in!M27=0,0,11630*1000*SER_hh_tes_in!M27/SER_hh_num_in!M19)</f>
        <v>3135.7997981639624</v>
      </c>
      <c r="N27" s="145">
        <f>IF(SER_hh_tes_in!N27=0,0,11630*1000*SER_hh_tes_in!N27/SER_hh_num_in!N19)</f>
        <v>4251.2062066823519</v>
      </c>
      <c r="O27" s="145">
        <f>IF(SER_hh_tes_in!O27=0,0,11630*1000*SER_hh_tes_in!O27/SER_hh_num_in!O19)</f>
        <v>5695.2293319132159</v>
      </c>
      <c r="P27" s="145">
        <f>IF(SER_hh_tes_in!P27=0,0,11630*1000*SER_hh_tes_in!P27/SER_hh_num_in!P19)</f>
        <v>6077.7764264503903</v>
      </c>
      <c r="Q27" s="145">
        <f>IF(SER_hh_tes_in!Q27=0,0,11630*1000*SER_hh_tes_in!Q27/SER_hh_num_in!Q19)</f>
        <v>0.3396974062076355</v>
      </c>
      <c r="R27" s="145">
        <f>IF(SER_hh_tes_in!R27=0,0,11630*1000*SER_hh_tes_in!R27/SER_hh_num_in!R19)</f>
        <v>5558.553847414837</v>
      </c>
      <c r="S27" s="145">
        <f>IF(SER_hh_tes_in!S27=0,0,11630*1000*SER_hh_tes_in!S27/SER_hh_num_in!S19)</f>
        <v>7148.7478309248481</v>
      </c>
      <c r="T27" s="145">
        <f>IF(SER_hh_tes_in!T27=0,0,11630*1000*SER_hh_tes_in!T27/SER_hh_num_in!T19)</f>
        <v>6533.0532890896093</v>
      </c>
      <c r="U27" s="145">
        <f>IF(SER_hh_tes_in!U27=0,0,11630*1000*SER_hh_tes_in!U27/SER_hh_num_in!U19)</f>
        <v>9390.2136807429124</v>
      </c>
      <c r="V27" s="145">
        <f>IF(SER_hh_tes_in!V27=0,0,11630*1000*SER_hh_tes_in!V27/SER_hh_num_in!V19)</f>
        <v>9372.756377898746</v>
      </c>
      <c r="W27" s="145">
        <f>IF(SER_hh_tes_in!W27=0,0,11630*1000*SER_hh_tes_in!W27/SER_hh_num_in!W19)</f>
        <v>0.56380090979049358</v>
      </c>
      <c r="X27" s="145">
        <f>IF(SER_hh_tes_in!X27=0,0,11630*1000*SER_hh_tes_in!X27/SER_hh_num_in!X19)</f>
        <v>0</v>
      </c>
      <c r="Y27" s="145">
        <f>IF(SER_hh_tes_in!Y27=0,0,11630*1000*SER_hh_tes_in!Y27/SER_hh_num_in!Y19)</f>
        <v>9004.6866021187161</v>
      </c>
      <c r="DA27" s="158" t="s">
        <v>779</v>
      </c>
    </row>
    <row r="28" spans="1:105" ht="12" customHeight="1" x14ac:dyDescent="0.25">
      <c r="A28" s="78" t="s">
        <v>85</v>
      </c>
      <c r="B28" s="68"/>
      <c r="C28" s="146">
        <f>IF(SER_hh_tes_in!C27=0,0,11630*1000*SER_hh_tes_in!C27/SER_hh_num_in!C27)</f>
        <v>15777.277200523306</v>
      </c>
      <c r="D28" s="146">
        <f>IF(SER_hh_tes_in!D27=0,0,11630*1000*SER_hh_tes_in!D27/SER_hh_num_in!D27)</f>
        <v>15449.859449557964</v>
      </c>
      <c r="E28" s="146">
        <f>IF(SER_hh_tes_in!E27=0,0,11630*1000*SER_hh_tes_in!E27/SER_hh_num_in!E27)</f>
        <v>15827.114795811971</v>
      </c>
      <c r="F28" s="146">
        <f>IF(SER_hh_tes_in!F27=0,0,11630*1000*SER_hh_tes_in!F27/SER_hh_num_in!F27)</f>
        <v>15441.507212000812</v>
      </c>
      <c r="G28" s="146">
        <f>IF(SER_hh_tes_in!G27=0,0,11630*1000*SER_hh_tes_in!G27/SER_hh_num_in!G27)</f>
        <v>15815.266547029605</v>
      </c>
      <c r="H28" s="146">
        <f>IF(SER_hh_tes_in!H27=0,0,11630*1000*SER_hh_tes_in!H27/SER_hh_num_in!H27)</f>
        <v>15890.283109396836</v>
      </c>
      <c r="I28" s="146">
        <f>IF(SER_hh_tes_in!I27=0,0,11630*1000*SER_hh_tes_in!I27/SER_hh_num_in!I27)</f>
        <v>16454.784388752167</v>
      </c>
      <c r="J28" s="146">
        <f>IF(SER_hh_tes_in!J27=0,0,11630*1000*SER_hh_tes_in!J27/SER_hh_num_in!J27)</f>
        <v>15627.392235852793</v>
      </c>
      <c r="K28" s="146">
        <f>IF(SER_hh_tes_in!K27=0,0,11630*1000*SER_hh_tes_in!K27/SER_hh_num_in!K27)</f>
        <v>16250.241089176665</v>
      </c>
      <c r="L28" s="146">
        <f>IF(SER_hh_tes_in!L27=0,0,11630*1000*SER_hh_tes_in!L27/SER_hh_num_in!L27)</f>
        <v>16453.229249640674</v>
      </c>
      <c r="M28" s="146">
        <f>IF(SER_hh_tes_in!M27=0,0,11630*1000*SER_hh_tes_in!M27/SER_hh_num_in!M27)</f>
        <v>16051.645565428264</v>
      </c>
      <c r="N28" s="146">
        <f>IF(SER_hh_tes_in!N27=0,0,11630*1000*SER_hh_tes_in!N27/SER_hh_num_in!N27)</f>
        <v>16674.540934306569</v>
      </c>
      <c r="O28" s="146">
        <f>IF(SER_hh_tes_in!O27=0,0,11630*1000*SER_hh_tes_in!O27/SER_hh_num_in!O27)</f>
        <v>17420.554870132415</v>
      </c>
      <c r="P28" s="146">
        <f>IF(SER_hh_tes_in!P27=0,0,11630*1000*SER_hh_tes_in!P27/SER_hh_num_in!P27)</f>
        <v>15944.87661205581</v>
      </c>
      <c r="Q28" s="146">
        <f>IF(SER_hh_tes_in!Q27=0,0,11630*1000*SER_hh_tes_in!Q27/SER_hh_num_in!Q27)</f>
        <v>17324.602612071027</v>
      </c>
      <c r="R28" s="146">
        <f>IF(SER_hh_tes_in!R27=0,0,11630*1000*SER_hh_tes_in!R27/SER_hh_num_in!R27)</f>
        <v>17808.076009814195</v>
      </c>
      <c r="S28" s="146">
        <f>IF(SER_hh_tes_in!S27=0,0,11630*1000*SER_hh_tes_in!S27/SER_hh_num_in!S27)</f>
        <v>17154.877037608636</v>
      </c>
      <c r="T28" s="146">
        <f>IF(SER_hh_tes_in!T27=0,0,11630*1000*SER_hh_tes_in!T27/SER_hh_num_in!T27)</f>
        <v>17516.513071297406</v>
      </c>
      <c r="U28" s="146">
        <f>IF(SER_hh_tes_in!U27=0,0,11630*1000*SER_hh_tes_in!U27/SER_hh_num_in!U27)</f>
        <v>15990.736789050647</v>
      </c>
      <c r="V28" s="146">
        <f>IF(SER_hh_tes_in!V27=0,0,11630*1000*SER_hh_tes_in!V27/SER_hh_num_in!V27)</f>
        <v>14024.090273353821</v>
      </c>
      <c r="W28" s="146">
        <f>IF(SER_hh_tes_in!W27=0,0,11630*1000*SER_hh_tes_in!W27/SER_hh_num_in!W27)</f>
        <v>15733.511739023614</v>
      </c>
      <c r="X28" s="146">
        <f>IF(SER_hh_tes_in!X27=0,0,11630*1000*SER_hh_tes_in!X27/SER_hh_num_in!X27)</f>
        <v>0</v>
      </c>
      <c r="Y28" s="146">
        <f>IF(SER_hh_tes_in!Y27=0,0,11630*1000*SER_hh_tes_in!Y27/SER_hh_num_in!Y27)</f>
        <v>16593.080193209906</v>
      </c>
      <c r="DA28" s="159"/>
    </row>
    <row r="29" spans="1:105" ht="12.95" customHeight="1" x14ac:dyDescent="0.25">
      <c r="A29" s="129" t="s">
        <v>34</v>
      </c>
      <c r="B29" s="130"/>
      <c r="C29" s="130">
        <f>IF(SER_hh_tes_in!C29=0,0,11630*1000*SER_hh_tes_in!C29/SER_hh_num_in!C29)</f>
        <v>19295.203697649078</v>
      </c>
      <c r="D29" s="130">
        <f>IF(SER_hh_tes_in!D29=0,0,11630*1000*SER_hh_tes_in!D29/SER_hh_num_in!D29)</f>
        <v>18678.473166525553</v>
      </c>
      <c r="E29" s="130">
        <f>IF(SER_hh_tes_in!E29=0,0,11630*1000*SER_hh_tes_in!E29/SER_hh_num_in!E29)</f>
        <v>21344.454717452532</v>
      </c>
      <c r="F29" s="130">
        <f>IF(SER_hh_tes_in!F29=0,0,11630*1000*SER_hh_tes_in!F29/SER_hh_num_in!F29)</f>
        <v>21386.247448211954</v>
      </c>
      <c r="G29" s="130">
        <f>IF(SER_hh_tes_in!G29=0,0,11630*1000*SER_hh_tes_in!G29/SER_hh_num_in!G29)</f>
        <v>21414.575862142818</v>
      </c>
      <c r="H29" s="130">
        <f>IF(SER_hh_tes_in!H29=0,0,11630*1000*SER_hh_tes_in!H29/SER_hh_num_in!H29)</f>
        <v>20944.408863204593</v>
      </c>
      <c r="I29" s="130">
        <f>IF(SER_hh_tes_in!I29=0,0,11630*1000*SER_hh_tes_in!I29/SER_hh_num_in!I29)</f>
        <v>21751.339103258117</v>
      </c>
      <c r="J29" s="130">
        <f>IF(SER_hh_tes_in!J29=0,0,11630*1000*SER_hh_tes_in!J29/SER_hh_num_in!J29)</f>
        <v>21430.982605519686</v>
      </c>
      <c r="K29" s="130">
        <f>IF(SER_hh_tes_in!K29=0,0,11630*1000*SER_hh_tes_in!K29/SER_hh_num_in!K29)</f>
        <v>22384.922839384482</v>
      </c>
      <c r="L29" s="130">
        <f>IF(SER_hh_tes_in!L29=0,0,11630*1000*SER_hh_tes_in!L29/SER_hh_num_in!L29)</f>
        <v>22362.094877471554</v>
      </c>
      <c r="M29" s="130">
        <f>IF(SER_hh_tes_in!M29=0,0,11630*1000*SER_hh_tes_in!M29/SER_hh_num_in!M29)</f>
        <v>22374.124770158334</v>
      </c>
      <c r="N29" s="130">
        <f>IF(SER_hh_tes_in!N29=0,0,11630*1000*SER_hh_tes_in!N29/SER_hh_num_in!N29)</f>
        <v>22533.418790948475</v>
      </c>
      <c r="O29" s="130">
        <f>IF(SER_hh_tes_in!O29=0,0,11630*1000*SER_hh_tes_in!O29/SER_hh_num_in!O29)</f>
        <v>22857.090211545401</v>
      </c>
      <c r="P29" s="130">
        <f>IF(SER_hh_tes_in!P29=0,0,11630*1000*SER_hh_tes_in!P29/SER_hh_num_in!P29)</f>
        <v>23014.465349186135</v>
      </c>
      <c r="Q29" s="130">
        <f>IF(SER_hh_tes_in!Q29=0,0,11630*1000*SER_hh_tes_in!Q29/SER_hh_num_in!Q29)</f>
        <v>23129.893986591993</v>
      </c>
      <c r="R29" s="130">
        <f>IF(SER_hh_tes_in!R29=0,0,11630*1000*SER_hh_tes_in!R29/SER_hh_num_in!R29)</f>
        <v>23256.21057874976</v>
      </c>
      <c r="S29" s="130">
        <f>IF(SER_hh_tes_in!S29=0,0,11630*1000*SER_hh_tes_in!S29/SER_hh_num_in!S29)</f>
        <v>23258.881337922739</v>
      </c>
      <c r="T29" s="130">
        <f>IF(SER_hh_tes_in!T29=0,0,11630*1000*SER_hh_tes_in!T29/SER_hh_num_in!T29)</f>
        <v>23094.439291010745</v>
      </c>
      <c r="U29" s="130">
        <f>IF(SER_hh_tes_in!U29=0,0,11630*1000*SER_hh_tes_in!U29/SER_hh_num_in!U29)</f>
        <v>23049.093292730609</v>
      </c>
      <c r="V29" s="130">
        <f>IF(SER_hh_tes_in!V29=0,0,11630*1000*SER_hh_tes_in!V29/SER_hh_num_in!V29)</f>
        <v>20286.512481636786</v>
      </c>
      <c r="W29" s="130">
        <f>IF(SER_hh_tes_in!W29=0,0,11630*1000*SER_hh_tes_in!W29/SER_hh_num_in!W29)</f>
        <v>24826.604290939111</v>
      </c>
      <c r="X29" s="130">
        <f>IF(SER_hh_tes_in!X29=0,0,11630*1000*SER_hh_tes_in!X29/SER_hh_num_in!X29)</f>
        <v>24626.91355664279</v>
      </c>
      <c r="Y29" s="130">
        <f>IF(SER_hh_tes_in!Y29=0,0,11630*1000*SER_hh_tes_in!Y29/SER_hh_num_in!Y29)</f>
        <v>24562.214503213334</v>
      </c>
      <c r="DA29" s="155" t="s">
        <v>780</v>
      </c>
    </row>
    <row r="30" spans="1:105" s="2" customFormat="1" ht="12" customHeight="1" x14ac:dyDescent="0.25">
      <c r="A30" s="131" t="s">
        <v>52</v>
      </c>
      <c r="B30" s="132"/>
      <c r="C30" s="132">
        <f>IF(SER_hh_tes_in!C30=0,0,11630*1000*SER_hh_tes_in!C30/SER_hh_num_in!C30)</f>
        <v>19461.676590714087</v>
      </c>
      <c r="D30" s="132">
        <f>IF(SER_hh_tes_in!D30=0,0,11630*1000*SER_hh_tes_in!D30/SER_hh_num_in!D30)</f>
        <v>20098.545450775939</v>
      </c>
      <c r="E30" s="132">
        <f>IF(SER_hh_tes_in!E30=0,0,11630*1000*SER_hh_tes_in!E30/SER_hh_num_in!E30)</f>
        <v>20500.32309120327</v>
      </c>
      <c r="F30" s="132">
        <f>IF(SER_hh_tes_in!F30=0,0,11630*1000*SER_hh_tes_in!F30/SER_hh_num_in!F30)</f>
        <v>20850.34181260458</v>
      </c>
      <c r="G30" s="132">
        <f>IF(SER_hh_tes_in!G30=0,0,11630*1000*SER_hh_tes_in!G30/SER_hh_num_in!G30)</f>
        <v>21113.856012351742</v>
      </c>
      <c r="H30" s="132">
        <f>IF(SER_hh_tes_in!H30=0,0,11630*1000*SER_hh_tes_in!H30/SER_hh_num_in!H30)</f>
        <v>20457.78148931688</v>
      </c>
      <c r="I30" s="132">
        <f>IF(SER_hh_tes_in!I30=0,0,11630*1000*SER_hh_tes_in!I30/SER_hh_num_in!I30)</f>
        <v>23004.434272103648</v>
      </c>
      <c r="J30" s="132">
        <f>IF(SER_hh_tes_in!J30=0,0,11630*1000*SER_hh_tes_in!J30/SER_hh_num_in!J30)</f>
        <v>17388.508950250165</v>
      </c>
      <c r="K30" s="132">
        <f>IF(SER_hh_tes_in!K30=0,0,11630*1000*SER_hh_tes_in!K30/SER_hh_num_in!K30)</f>
        <v>22796.276142548431</v>
      </c>
      <c r="L30" s="132">
        <f>IF(SER_hh_tes_in!L30=0,0,11630*1000*SER_hh_tes_in!L30/SER_hh_num_in!L30)</f>
        <v>22951.461150457228</v>
      </c>
      <c r="M30" s="132">
        <f>IF(SER_hh_tes_in!M30=0,0,11630*1000*SER_hh_tes_in!M30/SER_hh_num_in!M30)</f>
        <v>23343.839377867665</v>
      </c>
      <c r="N30" s="132">
        <f>IF(SER_hh_tes_in!N30=0,0,11630*1000*SER_hh_tes_in!N30/SER_hh_num_in!N30)</f>
        <v>20524.82110633835</v>
      </c>
      <c r="O30" s="132">
        <f>IF(SER_hh_tes_in!O30=0,0,11630*1000*SER_hh_tes_in!O30/SER_hh_num_in!O30)</f>
        <v>21930.669977834688</v>
      </c>
      <c r="P30" s="132">
        <f>IF(SER_hh_tes_in!P30=0,0,11630*1000*SER_hh_tes_in!P30/SER_hh_num_in!P30)</f>
        <v>24107.702862148344</v>
      </c>
      <c r="Q30" s="132">
        <f>IF(SER_hh_tes_in!Q30=0,0,11630*1000*SER_hh_tes_in!Q30/SER_hh_num_in!Q30)</f>
        <v>23263.160786346623</v>
      </c>
      <c r="R30" s="132">
        <f>IF(SER_hh_tes_in!R30=0,0,11630*1000*SER_hh_tes_in!R30/SER_hh_num_in!R30)</f>
        <v>23175.557840529</v>
      </c>
      <c r="S30" s="132">
        <f>IF(SER_hh_tes_in!S30=0,0,11630*1000*SER_hh_tes_in!S30/SER_hh_num_in!S30)</f>
        <v>23520.846335960181</v>
      </c>
      <c r="T30" s="132">
        <f>IF(SER_hh_tes_in!T30=0,0,11630*1000*SER_hh_tes_in!T30/SER_hh_num_in!T30)</f>
        <v>23073.964589634063</v>
      </c>
      <c r="U30" s="132">
        <f>IF(SER_hh_tes_in!U30=0,0,11630*1000*SER_hh_tes_in!U30/SER_hh_num_in!U30)</f>
        <v>22089.728016570611</v>
      </c>
      <c r="V30" s="132">
        <f>IF(SER_hh_tes_in!V30=0,0,11630*1000*SER_hh_tes_in!V30/SER_hh_num_in!V30)</f>
        <v>22747.526859446134</v>
      </c>
      <c r="W30" s="132">
        <f>IF(SER_hh_tes_in!W30=0,0,11630*1000*SER_hh_tes_in!W30/SER_hh_num_in!W30)</f>
        <v>23366.484872687091</v>
      </c>
      <c r="X30" s="132">
        <f>IF(SER_hh_tes_in!X30=0,0,11630*1000*SER_hh_tes_in!X30/SER_hh_num_in!X30)</f>
        <v>24263.222477421405</v>
      </c>
      <c r="Y30" s="132">
        <f>IF(SER_hh_tes_in!Y30=0,0,11630*1000*SER_hh_tes_in!Y30/SER_hh_num_in!Y30)</f>
        <v>24517.93894515885</v>
      </c>
      <c r="DA30" s="156" t="s">
        <v>781</v>
      </c>
    </row>
    <row r="31" spans="1:105" ht="12" customHeight="1" x14ac:dyDescent="0.25">
      <c r="A31" s="131" t="s">
        <v>149</v>
      </c>
      <c r="B31" s="132"/>
      <c r="C31" s="132">
        <f>IF(SER_hh_tes_in!C31=0,0,11630*1000*SER_hh_tes_in!C31/SER_hh_num_in!C31)</f>
        <v>20168.180769008875</v>
      </c>
      <c r="D31" s="132">
        <f>IF(SER_hh_tes_in!D31=0,0,11630*1000*SER_hh_tes_in!D31/SER_hh_num_in!D31)</f>
        <v>20540.497764918269</v>
      </c>
      <c r="E31" s="132">
        <f>IF(SER_hh_tes_in!E31=0,0,11630*1000*SER_hh_tes_in!E31/SER_hh_num_in!E31)</f>
        <v>18749.589046317597</v>
      </c>
      <c r="F31" s="132">
        <f>IF(SER_hh_tes_in!F31=0,0,11630*1000*SER_hh_tes_in!F31/SER_hh_num_in!F31)</f>
        <v>19128.333713912521</v>
      </c>
      <c r="G31" s="132">
        <f>IF(SER_hh_tes_in!G31=0,0,11630*1000*SER_hh_tes_in!G31/SER_hh_num_in!G31)</f>
        <v>21899.969469800995</v>
      </c>
      <c r="H31" s="132">
        <f>IF(SER_hh_tes_in!H31=0,0,11630*1000*SER_hh_tes_in!H31/SER_hh_num_in!H31)</f>
        <v>20178.719583031881</v>
      </c>
      <c r="I31" s="132">
        <f>IF(SER_hh_tes_in!I31=0,0,11630*1000*SER_hh_tes_in!I31/SER_hh_num_in!I31)</f>
        <v>21851.258742338872</v>
      </c>
      <c r="J31" s="132">
        <f>IF(SER_hh_tes_in!J31=0,0,11630*1000*SER_hh_tes_in!J31/SER_hh_num_in!J31)</f>
        <v>21455.812555109966</v>
      </c>
      <c r="K31" s="132">
        <f>IF(SER_hh_tes_in!K31=0,0,11630*1000*SER_hh_tes_in!K31/SER_hh_num_in!K31)</f>
        <v>22429.988739710559</v>
      </c>
      <c r="L31" s="132">
        <f>IF(SER_hh_tes_in!L31=0,0,11630*1000*SER_hh_tes_in!L31/SER_hh_num_in!L31)</f>
        <v>22313.761587608264</v>
      </c>
      <c r="M31" s="132">
        <f>IF(SER_hh_tes_in!M31=0,0,11630*1000*SER_hh_tes_in!M31/SER_hh_num_in!M31)</f>
        <v>22231.697951988455</v>
      </c>
      <c r="N31" s="132">
        <f>IF(SER_hh_tes_in!N31=0,0,11630*1000*SER_hh_tes_in!N31/SER_hh_num_in!N31)</f>
        <v>22379.466710243039</v>
      </c>
      <c r="O31" s="132">
        <f>IF(SER_hh_tes_in!O31=0,0,11630*1000*SER_hh_tes_in!O31/SER_hh_num_in!O31)</f>
        <v>22493.255429043449</v>
      </c>
      <c r="P31" s="132">
        <f>IF(SER_hh_tes_in!P31=0,0,11630*1000*SER_hh_tes_in!P31/SER_hh_num_in!P31)</f>
        <v>23433.955511739558</v>
      </c>
      <c r="Q31" s="132">
        <f>IF(SER_hh_tes_in!Q31=0,0,11630*1000*SER_hh_tes_in!Q31/SER_hh_num_in!Q31)</f>
        <v>23200.772516144065</v>
      </c>
      <c r="R31" s="132">
        <f>IF(SER_hh_tes_in!R31=0,0,11630*1000*SER_hh_tes_in!R31/SER_hh_num_in!R31)</f>
        <v>23757.610975420157</v>
      </c>
      <c r="S31" s="132">
        <f>IF(SER_hh_tes_in!S31=0,0,11630*1000*SER_hh_tes_in!S31/SER_hh_num_in!S31)</f>
        <v>23593.409392737012</v>
      </c>
      <c r="T31" s="132">
        <f>IF(SER_hh_tes_in!T31=0,0,11630*1000*SER_hh_tes_in!T31/SER_hh_num_in!T31)</f>
        <v>21735.332353766898</v>
      </c>
      <c r="U31" s="132">
        <f>IF(SER_hh_tes_in!U31=0,0,11630*1000*SER_hh_tes_in!U31/SER_hh_num_in!U31)</f>
        <v>23893.648370455412</v>
      </c>
      <c r="V31" s="132">
        <f>IF(SER_hh_tes_in!V31=0,0,11630*1000*SER_hh_tes_in!V31/SER_hh_num_in!V31)</f>
        <v>21893.756543614396</v>
      </c>
      <c r="W31" s="132">
        <f>IF(SER_hh_tes_in!W31=0,0,11630*1000*SER_hh_tes_in!W31/SER_hh_num_in!W31)</f>
        <v>21893.049915355576</v>
      </c>
      <c r="X31" s="132">
        <f>IF(SER_hh_tes_in!X31=0,0,11630*1000*SER_hh_tes_in!X31/SER_hh_num_in!X31)</f>
        <v>23893.276687852329</v>
      </c>
      <c r="Y31" s="132">
        <f>IF(SER_hh_tes_in!Y31=0,0,11630*1000*SER_hh_tes_in!Y31/SER_hh_num_in!Y31)</f>
        <v>24583.325860904461</v>
      </c>
      <c r="DA31" s="156" t="s">
        <v>782</v>
      </c>
    </row>
    <row r="32" spans="1:105" ht="12" customHeight="1" x14ac:dyDescent="0.25">
      <c r="A32" s="131" t="s">
        <v>128</v>
      </c>
      <c r="B32" s="132"/>
      <c r="C32" s="132">
        <f>IF(SER_hh_tes_in!C32=0,0,11630*1000*SER_hh_tes_in!C32/SER_hh_num_in!C32)</f>
        <v>0</v>
      </c>
      <c r="D32" s="132">
        <f>IF(SER_hh_tes_in!D32=0,0,11630*1000*SER_hh_tes_in!D32/SER_hh_num_in!D32)</f>
        <v>0</v>
      </c>
      <c r="E32" s="132">
        <f>IF(SER_hh_tes_in!E32=0,0,11630*1000*SER_hh_tes_in!E32/SER_hh_num_in!E32)</f>
        <v>0</v>
      </c>
      <c r="F32" s="132">
        <f>IF(SER_hh_tes_in!F32=0,0,11630*1000*SER_hh_tes_in!F32/SER_hh_num_in!F32)</f>
        <v>0</v>
      </c>
      <c r="G32" s="132">
        <f>IF(SER_hh_tes_in!G32=0,0,11630*1000*SER_hh_tes_in!G32/SER_hh_num_in!G32)</f>
        <v>0</v>
      </c>
      <c r="H32" s="132">
        <f>IF(SER_hh_tes_in!H32=0,0,11630*1000*SER_hh_tes_in!H32/SER_hh_num_in!H32)</f>
        <v>0</v>
      </c>
      <c r="I32" s="132">
        <f>IF(SER_hh_tes_in!I32=0,0,11630*1000*SER_hh_tes_in!I32/SER_hh_num_in!I32)</f>
        <v>0</v>
      </c>
      <c r="J32" s="132">
        <f>IF(SER_hh_tes_in!J32=0,0,11630*1000*SER_hh_tes_in!J32/SER_hh_num_in!J32)</f>
        <v>0</v>
      </c>
      <c r="K32" s="132">
        <f>IF(SER_hh_tes_in!K32=0,0,11630*1000*SER_hh_tes_in!K32/SER_hh_num_in!K32)</f>
        <v>0</v>
      </c>
      <c r="L32" s="132">
        <f>IF(SER_hh_tes_in!L32=0,0,11630*1000*SER_hh_tes_in!L32/SER_hh_num_in!L32)</f>
        <v>0</v>
      </c>
      <c r="M32" s="132">
        <f>IF(SER_hh_tes_in!M32=0,0,11630*1000*SER_hh_tes_in!M32/SER_hh_num_in!M32)</f>
        <v>0</v>
      </c>
      <c r="N32" s="132">
        <f>IF(SER_hh_tes_in!N32=0,0,11630*1000*SER_hh_tes_in!N32/SER_hh_num_in!N32)</f>
        <v>0</v>
      </c>
      <c r="O32" s="132">
        <f>IF(SER_hh_tes_in!O32=0,0,11630*1000*SER_hh_tes_in!O32/SER_hh_num_in!O32)</f>
        <v>0</v>
      </c>
      <c r="P32" s="132">
        <f>IF(SER_hh_tes_in!P32=0,0,11630*1000*SER_hh_tes_in!P32/SER_hh_num_in!P32)</f>
        <v>0</v>
      </c>
      <c r="Q32" s="132">
        <f>IF(SER_hh_tes_in!Q32=0,0,11630*1000*SER_hh_tes_in!Q32/SER_hh_num_in!Q32)</f>
        <v>0</v>
      </c>
      <c r="R32" s="132">
        <f>IF(SER_hh_tes_in!R32=0,0,11630*1000*SER_hh_tes_in!R32/SER_hh_num_in!R32)</f>
        <v>0</v>
      </c>
      <c r="S32" s="132">
        <f>IF(SER_hh_tes_in!S32=0,0,11630*1000*SER_hh_tes_in!S32/SER_hh_num_in!S32)</f>
        <v>0</v>
      </c>
      <c r="T32" s="132">
        <f>IF(SER_hh_tes_in!T32=0,0,11630*1000*SER_hh_tes_in!T32/SER_hh_num_in!T32)</f>
        <v>0</v>
      </c>
      <c r="U32" s="132">
        <f>IF(SER_hh_tes_in!U32=0,0,11630*1000*SER_hh_tes_in!U32/SER_hh_num_in!U32)</f>
        <v>0</v>
      </c>
      <c r="V32" s="132">
        <f>IF(SER_hh_tes_in!V32=0,0,11630*1000*SER_hh_tes_in!V32/SER_hh_num_in!V32)</f>
        <v>0</v>
      </c>
      <c r="W32" s="132">
        <f>IF(SER_hh_tes_in!W32=0,0,11630*1000*SER_hh_tes_in!W32/SER_hh_num_in!W32)</f>
        <v>0</v>
      </c>
      <c r="X32" s="132">
        <f>IF(SER_hh_tes_in!X32=0,0,11630*1000*SER_hh_tes_in!X32/SER_hh_num_in!X32)</f>
        <v>0</v>
      </c>
      <c r="Y32" s="132">
        <f>IF(SER_hh_tes_in!Y32=0,0,11630*1000*SER_hh_tes_in!Y32/SER_hh_num_in!Y32)</f>
        <v>0</v>
      </c>
      <c r="DA32" s="156" t="s">
        <v>783</v>
      </c>
    </row>
    <row r="33" spans="1:105" ht="12" customHeight="1" x14ac:dyDescent="0.25">
      <c r="A33" s="62" t="s">
        <v>24</v>
      </c>
      <c r="B33" s="68"/>
      <c r="C33" s="68">
        <f>IF(SER_hh_tes_in!C33=0,0,11630*1000*SER_hh_tes_in!C33/SER_hh_num_in!C33)</f>
        <v>18476.206366779297</v>
      </c>
      <c r="D33" s="68">
        <f>IF(SER_hh_tes_in!D33=0,0,11630*1000*SER_hh_tes_in!D33/SER_hh_num_in!D33)</f>
        <v>18368.217568618973</v>
      </c>
      <c r="E33" s="68">
        <f>IF(SER_hh_tes_in!E33=0,0,11630*1000*SER_hh_tes_in!E33/SER_hh_num_in!E33)</f>
        <v>21565.1810340558</v>
      </c>
      <c r="F33" s="68">
        <f>IF(SER_hh_tes_in!F33=0,0,11630*1000*SER_hh_tes_in!F33/SER_hh_num_in!F33)</f>
        <v>22097.762148538586</v>
      </c>
      <c r="G33" s="68">
        <f>IF(SER_hh_tes_in!G33=0,0,11630*1000*SER_hh_tes_in!G33/SER_hh_num_in!G33)</f>
        <v>20848.5193257914</v>
      </c>
      <c r="H33" s="68">
        <f>IF(SER_hh_tes_in!H33=0,0,11630*1000*SER_hh_tes_in!H33/SER_hh_num_in!H33)</f>
        <v>22448.61191074282</v>
      </c>
      <c r="I33" s="68">
        <f>IF(SER_hh_tes_in!I33=0,0,11630*1000*SER_hh_tes_in!I33/SER_hh_num_in!I33)</f>
        <v>20515.997124243735</v>
      </c>
      <c r="J33" s="68">
        <f>IF(SER_hh_tes_in!J33=0,0,11630*1000*SER_hh_tes_in!J33/SER_hh_num_in!J33)</f>
        <v>23397.537435403374</v>
      </c>
      <c r="K33" s="68">
        <f>IF(SER_hh_tes_in!K33=0,0,11630*1000*SER_hh_tes_in!K33/SER_hh_num_in!K33)</f>
        <v>21871.527534284905</v>
      </c>
      <c r="L33" s="68">
        <f>IF(SER_hh_tes_in!L33=0,0,11630*1000*SER_hh_tes_in!L33/SER_hh_num_in!L33)</f>
        <v>22154.056064223536</v>
      </c>
      <c r="M33" s="68">
        <f>IF(SER_hh_tes_in!M33=0,0,11630*1000*SER_hh_tes_in!M33/SER_hh_num_in!M33)</f>
        <v>22292.129073220418</v>
      </c>
      <c r="N33" s="68">
        <f>IF(SER_hh_tes_in!N33=0,0,11630*1000*SER_hh_tes_in!N33/SER_hh_num_in!N33)</f>
        <v>23170.737769863721</v>
      </c>
      <c r="O33" s="68">
        <f>IF(SER_hh_tes_in!O33=0,0,11630*1000*SER_hh_tes_in!O33/SER_hh_num_in!O33)</f>
        <v>23519.616476100648</v>
      </c>
      <c r="P33" s="68">
        <f>IF(SER_hh_tes_in!P33=0,0,11630*1000*SER_hh_tes_in!P33/SER_hh_num_in!P33)</f>
        <v>21716.616966092202</v>
      </c>
      <c r="Q33" s="68">
        <f>IF(SER_hh_tes_in!Q33=0,0,11630*1000*SER_hh_tes_in!Q33/SER_hh_num_in!Q33)</f>
        <v>22974.387961783872</v>
      </c>
      <c r="R33" s="68">
        <f>IF(SER_hh_tes_in!R33=0,0,11630*1000*SER_hh_tes_in!R33/SER_hh_num_in!R33)</f>
        <v>22465.700835691692</v>
      </c>
      <c r="S33" s="68">
        <f>IF(SER_hh_tes_in!S33=0,0,11630*1000*SER_hh_tes_in!S33/SER_hh_num_in!S33)</f>
        <v>22572.300574101584</v>
      </c>
      <c r="T33" s="68">
        <f>IF(SER_hh_tes_in!T33=0,0,11630*1000*SER_hh_tes_in!T33/SER_hh_num_in!T33)</f>
        <v>26563.052679586966</v>
      </c>
      <c r="U33" s="68">
        <f>IF(SER_hh_tes_in!U33=0,0,11630*1000*SER_hh_tes_in!U33/SER_hh_num_in!U33)</f>
        <v>21705.108894316538</v>
      </c>
      <c r="V33" s="68">
        <f>IF(SER_hh_tes_in!V33=0,0,11630*1000*SER_hh_tes_in!V33/SER_hh_num_in!V33)</f>
        <v>17450.572166269267</v>
      </c>
      <c r="W33" s="68">
        <f>IF(SER_hh_tes_in!W33=0,0,11630*1000*SER_hh_tes_in!W33/SER_hh_num_in!W33)</f>
        <v>27379.232579222793</v>
      </c>
      <c r="X33" s="68">
        <f>IF(SER_hh_tes_in!X33=0,0,11630*1000*SER_hh_tes_in!X33/SER_hh_num_in!X33)</f>
        <v>24807.153246115638</v>
      </c>
      <c r="Y33" s="68">
        <f>IF(SER_hh_tes_in!Y33=0,0,11630*1000*SER_hh_tes_in!Y33/SER_hh_num_in!Y33)</f>
        <v>24550.491077210474</v>
      </c>
      <c r="DA33" s="111" t="s">
        <v>784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785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89</v>
      </c>
      <c r="B3" s="125"/>
      <c r="C3" s="125">
        <f>IF(SER_hh_emi_in!C3=0,0,1000000*SER_hh_emi_in!C3/SER_hh_num_in!C3)</f>
        <v>24757.496227732772</v>
      </c>
      <c r="D3" s="125">
        <f>IF(SER_hh_emi_in!D3=0,0,1000000*SER_hh_emi_in!D3/SER_hh_num_in!D3)</f>
        <v>20912.04461775965</v>
      </c>
      <c r="E3" s="125">
        <f>IF(SER_hh_emi_in!E3=0,0,1000000*SER_hh_emi_in!E3/SER_hh_num_in!E3)</f>
        <v>28821.310318719483</v>
      </c>
      <c r="F3" s="125">
        <f>IF(SER_hh_emi_in!F3=0,0,1000000*SER_hh_emi_in!F3/SER_hh_num_in!F3)</f>
        <v>22410.156661500976</v>
      </c>
      <c r="G3" s="125">
        <f>IF(SER_hh_emi_in!G3=0,0,1000000*SER_hh_emi_in!G3/SER_hh_num_in!G3)</f>
        <v>29495.670524293953</v>
      </c>
      <c r="H3" s="125">
        <f>IF(SER_hh_emi_in!H3=0,0,1000000*SER_hh_emi_in!H3/SER_hh_num_in!H3)</f>
        <v>28558.440211183672</v>
      </c>
      <c r="I3" s="125">
        <f>IF(SER_hh_emi_in!I3=0,0,1000000*SER_hh_emi_in!I3/SER_hh_num_in!I3)</f>
        <v>27842.72175127803</v>
      </c>
      <c r="J3" s="125">
        <f>IF(SER_hh_emi_in!J3=0,0,1000000*SER_hh_emi_in!J3/SER_hh_num_in!J3)</f>
        <v>33407.134376983544</v>
      </c>
      <c r="K3" s="125">
        <f>IF(SER_hh_emi_in!K3=0,0,1000000*SER_hh_emi_in!K3/SER_hh_num_in!K3)</f>
        <v>27909.062032032936</v>
      </c>
      <c r="L3" s="125">
        <f>IF(SER_hh_emi_in!L3=0,0,1000000*SER_hh_emi_in!L3/SER_hh_num_in!L3)</f>
        <v>23923.645302891084</v>
      </c>
      <c r="M3" s="125">
        <f>IF(SER_hh_emi_in!M3=0,0,1000000*SER_hh_emi_in!M3/SER_hh_num_in!M3)</f>
        <v>14533.292708005485</v>
      </c>
      <c r="N3" s="125">
        <f>IF(SER_hh_emi_in!N3=0,0,1000000*SER_hh_emi_in!N3/SER_hh_num_in!N3)</f>
        <v>13979.334170078278</v>
      </c>
      <c r="O3" s="125">
        <f>IF(SER_hh_emi_in!O3=0,0,1000000*SER_hh_emi_in!O3/SER_hh_num_in!O3)</f>
        <v>9627.7176361416077</v>
      </c>
      <c r="P3" s="125">
        <f>IF(SER_hh_emi_in!P3=0,0,1000000*SER_hh_emi_in!P3/SER_hh_num_in!P3)</f>
        <v>7441.1034786445634</v>
      </c>
      <c r="Q3" s="125">
        <f>IF(SER_hh_emi_in!Q3=0,0,1000000*SER_hh_emi_in!Q3/SER_hh_num_in!Q3)</f>
        <v>7693.1157713571583</v>
      </c>
      <c r="R3" s="125">
        <f>IF(SER_hh_emi_in!R3=0,0,1000000*SER_hh_emi_in!R3/SER_hh_num_in!R3)</f>
        <v>10950.536916467518</v>
      </c>
      <c r="S3" s="125">
        <f>IF(SER_hh_emi_in!S3=0,0,1000000*SER_hh_emi_in!S3/SER_hh_num_in!S3)</f>
        <v>25057.183800004383</v>
      </c>
      <c r="T3" s="125">
        <f>IF(SER_hh_emi_in!T3=0,0,1000000*SER_hh_emi_in!T3/SER_hh_num_in!T3)</f>
        <v>26334.899963008029</v>
      </c>
      <c r="U3" s="125">
        <f>IF(SER_hh_emi_in!U3=0,0,1000000*SER_hh_emi_in!U3/SER_hh_num_in!U3)</f>
        <v>22431.209454011994</v>
      </c>
      <c r="V3" s="125">
        <f>IF(SER_hh_emi_in!V3=0,0,1000000*SER_hh_emi_in!V3/SER_hh_num_in!V3)</f>
        <v>15183.620738633588</v>
      </c>
      <c r="W3" s="125">
        <f>IF(SER_hh_emi_in!W3=0,0,1000000*SER_hh_emi_in!W3/SER_hh_num_in!W3)</f>
        <v>6072.3066343318169</v>
      </c>
      <c r="X3" s="125">
        <f>IF(SER_hh_emi_in!X3=0,0,1000000*SER_hh_emi_in!X3/SER_hh_num_in!X3)</f>
        <v>7216.0422920823021</v>
      </c>
      <c r="Y3" s="125">
        <f>IF(SER_hh_emi_in!Y3=0,0,1000000*SER_hh_emi_in!Y3/SER_hh_num_in!Y3)</f>
        <v>12359.266481222801</v>
      </c>
      <c r="DA3" s="154" t="s">
        <v>786</v>
      </c>
    </row>
    <row r="4" spans="1:105" ht="12.95" customHeight="1" x14ac:dyDescent="0.25">
      <c r="A4" s="129" t="s">
        <v>32</v>
      </c>
      <c r="B4" s="130"/>
      <c r="C4" s="130">
        <f>IF(SER_hh_emi_in!C4=0,0,1000000*SER_hh_emi_in!C4/SER_hh_num_in!C4)</f>
        <v>18816.329106982335</v>
      </c>
      <c r="D4" s="130">
        <f>IF(SER_hh_emi_in!D4=0,0,1000000*SER_hh_emi_in!D4/SER_hh_num_in!D4)</f>
        <v>17356.980665416253</v>
      </c>
      <c r="E4" s="130">
        <f>IF(SER_hh_emi_in!E4=0,0,1000000*SER_hh_emi_in!E4/SER_hh_num_in!E4)</f>
        <v>25116.043107886755</v>
      </c>
      <c r="F4" s="130">
        <f>IF(SER_hh_emi_in!F4=0,0,1000000*SER_hh_emi_in!F4/SER_hh_num_in!F4)</f>
        <v>17835.643521783473</v>
      </c>
      <c r="G4" s="130">
        <f>IF(SER_hh_emi_in!G4=0,0,1000000*SER_hh_emi_in!G4/SER_hh_num_in!G4)</f>
        <v>22251.111862256996</v>
      </c>
      <c r="H4" s="130">
        <f>IF(SER_hh_emi_in!H4=0,0,1000000*SER_hh_emi_in!H4/SER_hh_num_in!H4)</f>
        <v>21636.921116579779</v>
      </c>
      <c r="I4" s="130">
        <f>IF(SER_hh_emi_in!I4=0,0,1000000*SER_hh_emi_in!I4/SER_hh_num_in!I4)</f>
        <v>19344.632416003282</v>
      </c>
      <c r="J4" s="130">
        <f>IF(SER_hh_emi_in!J4=0,0,1000000*SER_hh_emi_in!J4/SER_hh_num_in!J4)</f>
        <v>25401.483352551601</v>
      </c>
      <c r="K4" s="130">
        <f>IF(SER_hh_emi_in!K4=0,0,1000000*SER_hh_emi_in!K4/SER_hh_num_in!K4)</f>
        <v>19136.313028749642</v>
      </c>
      <c r="L4" s="130">
        <f>IF(SER_hh_emi_in!L4=0,0,1000000*SER_hh_emi_in!L4/SER_hh_num_in!L4)</f>
        <v>15946.303786091026</v>
      </c>
      <c r="M4" s="130">
        <f>IF(SER_hh_emi_in!M4=0,0,1000000*SER_hh_emi_in!M4/SER_hh_num_in!M4)</f>
        <v>7202.9184268578747</v>
      </c>
      <c r="N4" s="130">
        <f>IF(SER_hh_emi_in!N4=0,0,1000000*SER_hh_emi_in!N4/SER_hh_num_in!N4)</f>
        <v>6882.9340583688636</v>
      </c>
      <c r="O4" s="130">
        <f>IF(SER_hh_emi_in!O4=0,0,1000000*SER_hh_emi_in!O4/SER_hh_num_in!O4)</f>
        <v>2663.7388996604518</v>
      </c>
      <c r="P4" s="130">
        <f>IF(SER_hh_emi_in!P4=0,0,1000000*SER_hh_emi_in!P4/SER_hh_num_in!P4)</f>
        <v>303.00150496919991</v>
      </c>
      <c r="Q4" s="130">
        <f>IF(SER_hh_emi_in!Q4=0,0,1000000*SER_hh_emi_in!Q4/SER_hh_num_in!Q4)</f>
        <v>363.93633801871067</v>
      </c>
      <c r="R4" s="130">
        <f>IF(SER_hh_emi_in!R4=0,0,1000000*SER_hh_emi_in!R4/SER_hh_num_in!R4)</f>
        <v>2999.1976308534058</v>
      </c>
      <c r="S4" s="130">
        <f>IF(SER_hh_emi_in!S4=0,0,1000000*SER_hh_emi_in!S4/SER_hh_num_in!S4)</f>
        <v>17141.316651416164</v>
      </c>
      <c r="T4" s="130">
        <f>IF(SER_hh_emi_in!T4=0,0,1000000*SER_hh_emi_in!T4/SER_hh_num_in!T4)</f>
        <v>18902.495188170327</v>
      </c>
      <c r="U4" s="130">
        <f>IF(SER_hh_emi_in!U4=0,0,1000000*SER_hh_emi_in!U4/SER_hh_num_in!U4)</f>
        <v>15091.796863906569</v>
      </c>
      <c r="V4" s="130">
        <f>IF(SER_hh_emi_in!V4=0,0,1000000*SER_hh_emi_in!V4/SER_hh_num_in!V4)</f>
        <v>9359.9744726594417</v>
      </c>
      <c r="W4" s="130">
        <f>IF(SER_hh_emi_in!W4=0,0,1000000*SER_hh_emi_in!W4/SER_hh_num_in!W4)</f>
        <v>2374.2280524499515</v>
      </c>
      <c r="X4" s="130">
        <f>IF(SER_hh_emi_in!X4=0,0,1000000*SER_hh_emi_in!X4/SER_hh_num_in!X4)</f>
        <v>3385.5888346873357</v>
      </c>
      <c r="Y4" s="130">
        <f>IF(SER_hh_emi_in!Y4=0,0,1000000*SER_hh_emi_in!Y4/SER_hh_num_in!Y4)</f>
        <v>5646.000155363281</v>
      </c>
      <c r="DA4" s="155" t="s">
        <v>787</v>
      </c>
    </row>
    <row r="5" spans="1:105" ht="12" customHeight="1" x14ac:dyDescent="0.25">
      <c r="A5" s="131" t="s">
        <v>29</v>
      </c>
      <c r="B5" s="132"/>
      <c r="C5" s="132">
        <f>IF(SER_hh_emi_in!C5=0,0,1000000*SER_hh_emi_in!C5/SER_hh_num_in!C5)</f>
        <v>0</v>
      </c>
      <c r="D5" s="132">
        <f>IF(SER_hh_emi_in!D5=0,0,1000000*SER_hh_emi_in!D5/SER_hh_num_in!D5)</f>
        <v>0</v>
      </c>
      <c r="E5" s="132">
        <f>IF(SER_hh_emi_in!E5=0,0,1000000*SER_hh_emi_in!E5/SER_hh_num_in!E5)</f>
        <v>0</v>
      </c>
      <c r="F5" s="132">
        <f>IF(SER_hh_emi_in!F5=0,0,1000000*SER_hh_emi_in!F5/SER_hh_num_in!F5)</f>
        <v>0</v>
      </c>
      <c r="G5" s="132">
        <f>IF(SER_hh_emi_in!G5=0,0,1000000*SER_hh_emi_in!G5/SER_hh_num_in!G5)</f>
        <v>0</v>
      </c>
      <c r="H5" s="132">
        <f>IF(SER_hh_emi_in!H5=0,0,1000000*SER_hh_emi_in!H5/SER_hh_num_in!H5)</f>
        <v>0</v>
      </c>
      <c r="I5" s="132">
        <f>IF(SER_hh_emi_in!I5=0,0,1000000*SER_hh_emi_in!I5/SER_hh_num_in!I5)</f>
        <v>0</v>
      </c>
      <c r="J5" s="132">
        <f>IF(SER_hh_emi_in!J5=0,0,1000000*SER_hh_emi_in!J5/SER_hh_num_in!J5)</f>
        <v>0</v>
      </c>
      <c r="K5" s="132">
        <f>IF(SER_hh_emi_in!K5=0,0,1000000*SER_hh_emi_in!K5/SER_hh_num_in!K5)</f>
        <v>0</v>
      </c>
      <c r="L5" s="132">
        <f>IF(SER_hh_emi_in!L5=0,0,1000000*SER_hh_emi_in!L5/SER_hh_num_in!L5)</f>
        <v>0</v>
      </c>
      <c r="M5" s="132">
        <f>IF(SER_hh_emi_in!M5=0,0,1000000*SER_hh_emi_in!M5/SER_hh_num_in!M5)</f>
        <v>0</v>
      </c>
      <c r="N5" s="132">
        <f>IF(SER_hh_emi_in!N5=0,0,1000000*SER_hh_emi_in!N5/SER_hh_num_in!N5)</f>
        <v>0</v>
      </c>
      <c r="O5" s="132">
        <f>IF(SER_hh_emi_in!O5=0,0,1000000*SER_hh_emi_in!O5/SER_hh_num_in!O5)</f>
        <v>0</v>
      </c>
      <c r="P5" s="132">
        <f>IF(SER_hh_emi_in!P5=0,0,1000000*SER_hh_emi_in!P5/SER_hh_num_in!P5)</f>
        <v>0</v>
      </c>
      <c r="Q5" s="132">
        <f>IF(SER_hh_emi_in!Q5=0,0,1000000*SER_hh_emi_in!Q5/SER_hh_num_in!Q5)</f>
        <v>0</v>
      </c>
      <c r="R5" s="132">
        <f>IF(SER_hh_emi_in!R5=0,0,1000000*SER_hh_emi_in!R5/SER_hh_num_in!R5)</f>
        <v>0</v>
      </c>
      <c r="S5" s="132">
        <f>IF(SER_hh_emi_in!S5=0,0,1000000*SER_hh_emi_in!S5/SER_hh_num_in!S5)</f>
        <v>0</v>
      </c>
      <c r="T5" s="132">
        <f>IF(SER_hh_emi_in!T5=0,0,1000000*SER_hh_emi_in!T5/SER_hh_num_in!T5)</f>
        <v>0</v>
      </c>
      <c r="U5" s="132">
        <f>IF(SER_hh_emi_in!U5=0,0,1000000*SER_hh_emi_in!U5/SER_hh_num_in!U5)</f>
        <v>0</v>
      </c>
      <c r="V5" s="132">
        <f>IF(SER_hh_emi_in!V5=0,0,1000000*SER_hh_emi_in!V5/SER_hh_num_in!V5)</f>
        <v>0</v>
      </c>
      <c r="W5" s="132">
        <f>IF(SER_hh_emi_in!W5=0,0,1000000*SER_hh_emi_in!W5/SER_hh_num_in!W5)</f>
        <v>0</v>
      </c>
      <c r="X5" s="132">
        <f>IF(SER_hh_emi_in!X5=0,0,1000000*SER_hh_emi_in!X5/SER_hh_num_in!X5)</f>
        <v>0</v>
      </c>
      <c r="Y5" s="132">
        <f>IF(SER_hh_emi_in!Y5=0,0,1000000*SER_hh_emi_in!Y5/SER_hh_num_in!Y5)</f>
        <v>0</v>
      </c>
      <c r="DA5" s="156" t="s">
        <v>788</v>
      </c>
    </row>
    <row r="6" spans="1:105" ht="12" customHeight="1" x14ac:dyDescent="0.25">
      <c r="A6" s="131" t="s">
        <v>52</v>
      </c>
      <c r="B6" s="132"/>
      <c r="C6" s="132">
        <f>IF(SER_hh_emi_in!C6=0,0,1000000*SER_hh_emi_in!C6/SER_hh_num_in!C6)</f>
        <v>31237.280416613423</v>
      </c>
      <c r="D6" s="132">
        <f>IF(SER_hh_emi_in!D6=0,0,1000000*SER_hh_emi_in!D6/SER_hh_num_in!D6)</f>
        <v>29348.964028259223</v>
      </c>
      <c r="E6" s="132">
        <f>IF(SER_hh_emi_in!E6=0,0,1000000*SER_hh_emi_in!E6/SER_hh_num_in!E6)</f>
        <v>35093.406741694867</v>
      </c>
      <c r="F6" s="132">
        <f>IF(SER_hh_emi_in!F6=0,0,1000000*SER_hh_emi_in!F6/SER_hh_num_in!F6)</f>
        <v>35412.407043372579</v>
      </c>
      <c r="G6" s="132">
        <f>IF(SER_hh_emi_in!G6=0,0,1000000*SER_hh_emi_in!G6/SER_hh_num_in!G6)</f>
        <v>40417.847386838876</v>
      </c>
      <c r="H6" s="132">
        <f>IF(SER_hh_emi_in!H6=0,0,1000000*SER_hh_emi_in!H6/SER_hh_num_in!H6)</f>
        <v>40107.801018547536</v>
      </c>
      <c r="I6" s="132">
        <f>IF(SER_hh_emi_in!I6=0,0,1000000*SER_hh_emi_in!I6/SER_hh_num_in!I6)</f>
        <v>37052.80689752772</v>
      </c>
      <c r="J6" s="132">
        <f>IF(SER_hh_emi_in!J6=0,0,1000000*SER_hh_emi_in!J6/SER_hh_num_in!J6)</f>
        <v>42516.053259899687</v>
      </c>
      <c r="K6" s="132">
        <f>IF(SER_hh_emi_in!K6=0,0,1000000*SER_hh_emi_in!K6/SER_hh_num_in!K6)</f>
        <v>41849.051961698002</v>
      </c>
      <c r="L6" s="132">
        <f>IF(SER_hh_emi_in!L6=0,0,1000000*SER_hh_emi_in!L6/SER_hh_num_in!L6)</f>
        <v>42354.186391179195</v>
      </c>
      <c r="M6" s="132">
        <f>IF(SER_hh_emi_in!M6=0,0,1000000*SER_hh_emi_in!M6/SER_hh_num_in!M6)</f>
        <v>36882.454752682475</v>
      </c>
      <c r="N6" s="132">
        <f>IF(SER_hh_emi_in!N6=0,0,1000000*SER_hh_emi_in!N6/SER_hh_num_in!N6)</f>
        <v>32498.57002173521</v>
      </c>
      <c r="O6" s="132">
        <f>IF(SER_hh_emi_in!O6=0,0,1000000*SER_hh_emi_in!O6/SER_hh_num_in!O6)</f>
        <v>33934.03035342761</v>
      </c>
      <c r="P6" s="132">
        <f>IF(SER_hh_emi_in!P6=0,0,1000000*SER_hh_emi_in!P6/SER_hh_num_in!P6)</f>
        <v>0</v>
      </c>
      <c r="Q6" s="132">
        <f>IF(SER_hh_emi_in!Q6=0,0,1000000*SER_hh_emi_in!Q6/SER_hh_num_in!Q6)</f>
        <v>0</v>
      </c>
      <c r="R6" s="132">
        <f>IF(SER_hh_emi_in!R6=0,0,1000000*SER_hh_emi_in!R6/SER_hh_num_in!R6)</f>
        <v>0</v>
      </c>
      <c r="S6" s="132">
        <f>IF(SER_hh_emi_in!S6=0,0,1000000*SER_hh_emi_in!S6/SER_hh_num_in!S6)</f>
        <v>30587.069573743229</v>
      </c>
      <c r="T6" s="132">
        <f>IF(SER_hh_emi_in!T6=0,0,1000000*SER_hh_emi_in!T6/SER_hh_num_in!T6)</f>
        <v>27576.147735316026</v>
      </c>
      <c r="U6" s="132">
        <f>IF(SER_hh_emi_in!U6=0,0,1000000*SER_hh_emi_in!U6/SER_hh_num_in!U6)</f>
        <v>25742.755567511602</v>
      </c>
      <c r="V6" s="132">
        <f>IF(SER_hh_emi_in!V6=0,0,1000000*SER_hh_emi_in!V6/SER_hh_num_in!V6)</f>
        <v>21805.028277763009</v>
      </c>
      <c r="W6" s="132">
        <f>IF(SER_hh_emi_in!W6=0,0,1000000*SER_hh_emi_in!W6/SER_hh_num_in!W6)</f>
        <v>20657.951033261961</v>
      </c>
      <c r="X6" s="132">
        <f>IF(SER_hh_emi_in!X6=0,0,1000000*SER_hh_emi_in!X6/SER_hh_num_in!X6)</f>
        <v>12136.939037891943</v>
      </c>
      <c r="Y6" s="132">
        <f>IF(SER_hh_emi_in!Y6=0,0,1000000*SER_hh_emi_in!Y6/SER_hh_num_in!Y6)</f>
        <v>11682.435696882665</v>
      </c>
      <c r="DA6" s="156" t="s">
        <v>789</v>
      </c>
    </row>
    <row r="7" spans="1:105" ht="12" customHeight="1" x14ac:dyDescent="0.25">
      <c r="A7" s="131" t="s">
        <v>161</v>
      </c>
      <c r="B7" s="132"/>
      <c r="C7" s="132">
        <f>IF(SER_hh_emi_in!C7=0,0,1000000*SER_hh_emi_in!C7/SER_hh_num_in!C7)</f>
        <v>27424.430603342029</v>
      </c>
      <c r="D7" s="132">
        <f>IF(SER_hh_emi_in!D7=0,0,1000000*SER_hh_emi_in!D7/SER_hh_num_in!D7)</f>
        <v>35563.663130726032</v>
      </c>
      <c r="E7" s="132">
        <f>IF(SER_hh_emi_in!E7=0,0,1000000*SER_hh_emi_in!E7/SER_hh_num_in!E7)</f>
        <v>43922.991579315094</v>
      </c>
      <c r="F7" s="132">
        <f>IF(SER_hh_emi_in!F7=0,0,1000000*SER_hh_emi_in!F7/SER_hh_num_in!F7)</f>
        <v>45471.21743707703</v>
      </c>
      <c r="G7" s="132">
        <f>IF(SER_hh_emi_in!G7=0,0,1000000*SER_hh_emi_in!G7/SER_hh_num_in!G7)</f>
        <v>47416.007810385665</v>
      </c>
      <c r="H7" s="132">
        <f>IF(SER_hh_emi_in!H7=0,0,1000000*SER_hh_emi_in!H7/SER_hh_num_in!H7)</f>
        <v>49667.252515156055</v>
      </c>
      <c r="I7" s="132">
        <f>IF(SER_hh_emi_in!I7=0,0,1000000*SER_hh_emi_in!I7/SER_hh_num_in!I7)</f>
        <v>47527.241355480728</v>
      </c>
      <c r="J7" s="132">
        <f>IF(SER_hh_emi_in!J7=0,0,1000000*SER_hh_emi_in!J7/SER_hh_num_in!J7)</f>
        <v>0</v>
      </c>
      <c r="K7" s="132">
        <f>IF(SER_hh_emi_in!K7=0,0,1000000*SER_hh_emi_in!K7/SER_hh_num_in!K7)</f>
        <v>0</v>
      </c>
      <c r="L7" s="132">
        <f>IF(SER_hh_emi_in!L7=0,0,1000000*SER_hh_emi_in!L7/SER_hh_num_in!L7)</f>
        <v>0</v>
      </c>
      <c r="M7" s="132">
        <f>IF(SER_hh_emi_in!M7=0,0,1000000*SER_hh_emi_in!M7/SER_hh_num_in!M7)</f>
        <v>0</v>
      </c>
      <c r="N7" s="132">
        <f>IF(SER_hh_emi_in!N7=0,0,1000000*SER_hh_emi_in!N7/SER_hh_num_in!N7)</f>
        <v>42352.977829627664</v>
      </c>
      <c r="O7" s="132">
        <f>IF(SER_hh_emi_in!O7=0,0,1000000*SER_hh_emi_in!O7/SER_hh_num_in!O7)</f>
        <v>36212.724401949687</v>
      </c>
      <c r="P7" s="132">
        <f>IF(SER_hh_emi_in!P7=0,0,1000000*SER_hh_emi_in!P7/SER_hh_num_in!P7)</f>
        <v>34738.124776296667</v>
      </c>
      <c r="Q7" s="132">
        <f>IF(SER_hh_emi_in!Q7=0,0,1000000*SER_hh_emi_in!Q7/SER_hh_num_in!Q7)</f>
        <v>39173.802133537822</v>
      </c>
      <c r="R7" s="132">
        <f>IF(SER_hh_emi_in!R7=0,0,1000000*SER_hh_emi_in!R7/SER_hh_num_in!R7)</f>
        <v>40192.179308896157</v>
      </c>
      <c r="S7" s="132">
        <f>IF(SER_hh_emi_in!S7=0,0,1000000*SER_hh_emi_in!S7/SER_hh_num_in!S7)</f>
        <v>30693.231206968085</v>
      </c>
      <c r="T7" s="132">
        <f>IF(SER_hh_emi_in!T7=0,0,1000000*SER_hh_emi_in!T7/SER_hh_num_in!T7)</f>
        <v>38065.471225904876</v>
      </c>
      <c r="U7" s="132">
        <f>IF(SER_hh_emi_in!U7=0,0,1000000*SER_hh_emi_in!U7/SER_hh_num_in!U7)</f>
        <v>28343.091941555544</v>
      </c>
      <c r="V7" s="132">
        <f>IF(SER_hh_emi_in!V7=0,0,1000000*SER_hh_emi_in!V7/SER_hh_num_in!V7)</f>
        <v>18641.716065197637</v>
      </c>
      <c r="W7" s="132">
        <f>IF(SER_hh_emi_in!W7=0,0,1000000*SER_hh_emi_in!W7/SER_hh_num_in!W7)</f>
        <v>20278.354560180189</v>
      </c>
      <c r="X7" s="132">
        <f>IF(SER_hh_emi_in!X7=0,0,1000000*SER_hh_emi_in!X7/SER_hh_num_in!X7)</f>
        <v>14944.210089023976</v>
      </c>
      <c r="Y7" s="132">
        <f>IF(SER_hh_emi_in!Y7=0,0,1000000*SER_hh_emi_in!Y7/SER_hh_num_in!Y7)</f>
        <v>14063.505785806683</v>
      </c>
      <c r="DA7" s="156" t="s">
        <v>790</v>
      </c>
    </row>
    <row r="8" spans="1:105" ht="12" customHeight="1" x14ac:dyDescent="0.25">
      <c r="A8" s="131" t="s">
        <v>73</v>
      </c>
      <c r="B8" s="132"/>
      <c r="C8" s="132">
        <f>IF(SER_hh_emi_in!C8=0,0,1000000*SER_hh_emi_in!C8/SER_hh_num_in!C8)</f>
        <v>7821.7006072816939</v>
      </c>
      <c r="D8" s="132">
        <f>IF(SER_hh_emi_in!D8=0,0,1000000*SER_hh_emi_in!D8/SER_hh_num_in!D8)</f>
        <v>7279.1331124015787</v>
      </c>
      <c r="E8" s="132">
        <f>IF(SER_hh_emi_in!E8=0,0,1000000*SER_hh_emi_in!E8/SER_hh_num_in!E8)</f>
        <v>8129.1599546879797</v>
      </c>
      <c r="F8" s="132">
        <f>IF(SER_hh_emi_in!F8=0,0,1000000*SER_hh_emi_in!F8/SER_hh_num_in!F8)</f>
        <v>8053.7309025447339</v>
      </c>
      <c r="G8" s="132">
        <f>IF(SER_hh_emi_in!G8=0,0,1000000*SER_hh_emi_in!G8/SER_hh_num_in!G8)</f>
        <v>8253.4462534783033</v>
      </c>
      <c r="H8" s="132">
        <f>IF(SER_hh_emi_in!H8=0,0,1000000*SER_hh_emi_in!H8/SER_hh_num_in!H8)</f>
        <v>8236.4397957362307</v>
      </c>
      <c r="I8" s="132">
        <f>IF(SER_hh_emi_in!I8=0,0,1000000*SER_hh_emi_in!I8/SER_hh_num_in!I8)</f>
        <v>8004.799357663067</v>
      </c>
      <c r="J8" s="132">
        <f>IF(SER_hh_emi_in!J8=0,0,1000000*SER_hh_emi_in!J8/SER_hh_num_in!J8)</f>
        <v>7929.4710885776258</v>
      </c>
      <c r="K8" s="132">
        <f>IF(SER_hh_emi_in!K8=0,0,1000000*SER_hh_emi_in!K8/SER_hh_num_in!K8)</f>
        <v>7436.3959773727165</v>
      </c>
      <c r="L8" s="132">
        <f>IF(SER_hh_emi_in!L8=0,0,1000000*SER_hh_emi_in!L8/SER_hh_num_in!L8)</f>
        <v>6731.3581343133728</v>
      </c>
      <c r="M8" s="132">
        <f>IF(SER_hh_emi_in!M8=0,0,1000000*SER_hh_emi_in!M8/SER_hh_num_in!M8)</f>
        <v>6072.4389837407552</v>
      </c>
      <c r="N8" s="132">
        <f>IF(SER_hh_emi_in!N8=0,0,1000000*SER_hh_emi_in!N8/SER_hh_num_in!N8)</f>
        <v>5492.0838187489398</v>
      </c>
      <c r="O8" s="132">
        <f>IF(SER_hh_emi_in!O8=0,0,1000000*SER_hh_emi_in!O8/SER_hh_num_in!O8)</f>
        <v>5219.910983474887</v>
      </c>
      <c r="P8" s="132">
        <f>IF(SER_hh_emi_in!P8=0,0,1000000*SER_hh_emi_in!P8/SER_hh_num_in!P8)</f>
        <v>5137.255186659575</v>
      </c>
      <c r="Q8" s="132">
        <f>IF(SER_hh_emi_in!Q8=0,0,1000000*SER_hh_emi_in!Q8/SER_hh_num_in!Q8)</f>
        <v>5644.1317698467255</v>
      </c>
      <c r="R8" s="132">
        <f>IF(SER_hh_emi_in!R8=0,0,1000000*SER_hh_emi_in!R8/SER_hh_num_in!R8)</f>
        <v>4970.42060734399</v>
      </c>
      <c r="S8" s="132">
        <f>IF(SER_hh_emi_in!S8=0,0,1000000*SER_hh_emi_in!S8/SER_hh_num_in!S8)</f>
        <v>4632.1957849212822</v>
      </c>
      <c r="T8" s="132">
        <f>IF(SER_hh_emi_in!T8=0,0,1000000*SER_hh_emi_in!T8/SER_hh_num_in!T8)</f>
        <v>4289.5849189475275</v>
      </c>
      <c r="U8" s="132">
        <f>IF(SER_hh_emi_in!U8=0,0,1000000*SER_hh_emi_in!U8/SER_hh_num_in!U8)</f>
        <v>3738.6970498406827</v>
      </c>
      <c r="V8" s="132">
        <f>IF(SER_hh_emi_in!V8=0,0,1000000*SER_hh_emi_in!V8/SER_hh_num_in!V8)</f>
        <v>3278.5179580487934</v>
      </c>
      <c r="W8" s="132">
        <f>IF(SER_hh_emi_in!W8=0,0,1000000*SER_hh_emi_in!W8/SER_hh_num_in!W8)</f>
        <v>2631.8251623160236</v>
      </c>
      <c r="X8" s="132">
        <f>IF(SER_hh_emi_in!X8=0,0,1000000*SER_hh_emi_in!X8/SER_hh_num_in!X8)</f>
        <v>1733.8636360885373</v>
      </c>
      <c r="Y8" s="132">
        <f>IF(SER_hh_emi_in!Y8=0,0,1000000*SER_hh_emi_in!Y8/SER_hh_num_in!Y8)</f>
        <v>1701.7970349391376</v>
      </c>
      <c r="DA8" s="156" t="s">
        <v>791</v>
      </c>
    </row>
    <row r="9" spans="1:105" ht="12" customHeight="1" x14ac:dyDescent="0.25">
      <c r="A9" s="131" t="s">
        <v>78</v>
      </c>
      <c r="B9" s="132"/>
      <c r="C9" s="132">
        <f>IF(SER_hh_emi_in!C9=0,0,1000000*SER_hh_emi_in!C9/SER_hh_num_in!C9)</f>
        <v>27662.278915219311</v>
      </c>
      <c r="D9" s="132">
        <f>IF(SER_hh_emi_in!D9=0,0,1000000*SER_hh_emi_in!D9/SER_hh_num_in!D9)</f>
        <v>24753.96847367908</v>
      </c>
      <c r="E9" s="132">
        <f>IF(SER_hh_emi_in!E9=0,0,1000000*SER_hh_emi_in!E9/SER_hh_num_in!E9)</f>
        <v>29569.649729616511</v>
      </c>
      <c r="F9" s="132">
        <f>IF(SER_hh_emi_in!F9=0,0,1000000*SER_hh_emi_in!F9/SER_hh_num_in!F9)</f>
        <v>29401.482217251309</v>
      </c>
      <c r="G9" s="132">
        <f>IF(SER_hh_emi_in!G9=0,0,1000000*SER_hh_emi_in!G9/SER_hh_num_in!G9)</f>
        <v>35611.284915578748</v>
      </c>
      <c r="H9" s="132">
        <f>IF(SER_hh_emi_in!H9=0,0,1000000*SER_hh_emi_in!H9/SER_hh_num_in!H9)</f>
        <v>35301.990873975577</v>
      </c>
      <c r="I9" s="132">
        <f>IF(SER_hh_emi_in!I9=0,0,1000000*SER_hh_emi_in!I9/SER_hh_num_in!I9)</f>
        <v>30554.106888752081</v>
      </c>
      <c r="J9" s="132">
        <f>IF(SER_hh_emi_in!J9=0,0,1000000*SER_hh_emi_in!J9/SER_hh_num_in!J9)</f>
        <v>37615.532461177681</v>
      </c>
      <c r="K9" s="132">
        <f>IF(SER_hh_emi_in!K9=0,0,1000000*SER_hh_emi_in!K9/SER_hh_num_in!K9)</f>
        <v>36534.238492066928</v>
      </c>
      <c r="L9" s="132">
        <f>IF(SER_hh_emi_in!L9=0,0,1000000*SER_hh_emi_in!L9/SER_hh_num_in!L9)</f>
        <v>36111.565156336175</v>
      </c>
      <c r="M9" s="132">
        <f>IF(SER_hh_emi_in!M9=0,0,1000000*SER_hh_emi_in!M9/SER_hh_num_in!M9)</f>
        <v>29176.219886519622</v>
      </c>
      <c r="N9" s="132">
        <f>IF(SER_hh_emi_in!N9=0,0,1000000*SER_hh_emi_in!N9/SER_hh_num_in!N9)</f>
        <v>29330.426046201716</v>
      </c>
      <c r="O9" s="132">
        <f>IF(SER_hh_emi_in!O9=0,0,1000000*SER_hh_emi_in!O9/SER_hh_num_in!O9)</f>
        <v>29632.347340515982</v>
      </c>
      <c r="P9" s="132">
        <f>IF(SER_hh_emi_in!P9=0,0,1000000*SER_hh_emi_in!P9/SER_hh_num_in!P9)</f>
        <v>0</v>
      </c>
      <c r="Q9" s="132">
        <f>IF(SER_hh_emi_in!Q9=0,0,1000000*SER_hh_emi_in!Q9/SER_hh_num_in!Q9)</f>
        <v>0</v>
      </c>
      <c r="R9" s="132">
        <f>IF(SER_hh_emi_in!R9=0,0,1000000*SER_hh_emi_in!R9/SER_hh_num_in!R9)</f>
        <v>24284.085081326528</v>
      </c>
      <c r="S9" s="132">
        <f>IF(SER_hh_emi_in!S9=0,0,1000000*SER_hh_emi_in!S9/SER_hh_num_in!S9)</f>
        <v>22757.530074461414</v>
      </c>
      <c r="T9" s="132">
        <f>IF(SER_hh_emi_in!T9=0,0,1000000*SER_hh_emi_in!T9/SER_hh_num_in!T9)</f>
        <v>24197.707262440454</v>
      </c>
      <c r="U9" s="132">
        <f>IF(SER_hh_emi_in!U9=0,0,1000000*SER_hh_emi_in!U9/SER_hh_num_in!U9)</f>
        <v>21597.162551891837</v>
      </c>
      <c r="V9" s="132">
        <f>IF(SER_hh_emi_in!V9=0,0,1000000*SER_hh_emi_in!V9/SER_hh_num_in!V9)</f>
        <v>19162.102324316791</v>
      </c>
      <c r="W9" s="132">
        <f>IF(SER_hh_emi_in!W9=0,0,1000000*SER_hh_emi_in!W9/SER_hh_num_in!W9)</f>
        <v>14075.6515546464</v>
      </c>
      <c r="X9" s="132">
        <f>IF(SER_hh_emi_in!X9=0,0,1000000*SER_hh_emi_in!X9/SER_hh_num_in!X9)</f>
        <v>8341.2261135243989</v>
      </c>
      <c r="Y9" s="132">
        <f>IF(SER_hh_emi_in!Y9=0,0,1000000*SER_hh_emi_in!Y9/SER_hh_num_in!Y9)</f>
        <v>9622.28652211189</v>
      </c>
      <c r="DA9" s="156" t="s">
        <v>792</v>
      </c>
    </row>
    <row r="10" spans="1:105" ht="12" customHeight="1" x14ac:dyDescent="0.25">
      <c r="A10" s="131" t="s">
        <v>128</v>
      </c>
      <c r="B10" s="132"/>
      <c r="C10" s="132">
        <f>IF(SER_hh_emi_in!C10=0,0,1000000*SER_hh_emi_in!C10/SER_hh_num_in!C10)</f>
        <v>0</v>
      </c>
      <c r="D10" s="132">
        <f>IF(SER_hh_emi_in!D10=0,0,1000000*SER_hh_emi_in!D10/SER_hh_num_in!D10)</f>
        <v>0</v>
      </c>
      <c r="E10" s="132">
        <f>IF(SER_hh_emi_in!E10=0,0,1000000*SER_hh_emi_in!E10/SER_hh_num_in!E10)</f>
        <v>0</v>
      </c>
      <c r="F10" s="132">
        <f>IF(SER_hh_emi_in!F10=0,0,1000000*SER_hh_emi_in!F10/SER_hh_num_in!F10)</f>
        <v>0</v>
      </c>
      <c r="G10" s="132">
        <f>IF(SER_hh_emi_in!G10=0,0,1000000*SER_hh_emi_in!G10/SER_hh_num_in!G10)</f>
        <v>0</v>
      </c>
      <c r="H10" s="132">
        <f>IF(SER_hh_emi_in!H10=0,0,1000000*SER_hh_emi_in!H10/SER_hh_num_in!H10)</f>
        <v>0</v>
      </c>
      <c r="I10" s="132">
        <f>IF(SER_hh_emi_in!I10=0,0,1000000*SER_hh_emi_in!I10/SER_hh_num_in!I10)</f>
        <v>0</v>
      </c>
      <c r="J10" s="132">
        <f>IF(SER_hh_emi_in!J10=0,0,1000000*SER_hh_emi_in!J10/SER_hh_num_in!J10)</f>
        <v>0</v>
      </c>
      <c r="K10" s="132">
        <f>IF(SER_hh_emi_in!K10=0,0,1000000*SER_hh_emi_in!K10/SER_hh_num_in!K10)</f>
        <v>0</v>
      </c>
      <c r="L10" s="132">
        <f>IF(SER_hh_emi_in!L10=0,0,1000000*SER_hh_emi_in!L10/SER_hh_num_in!L10)</f>
        <v>0</v>
      </c>
      <c r="M10" s="132">
        <f>IF(SER_hh_emi_in!M10=0,0,1000000*SER_hh_emi_in!M10/SER_hh_num_in!M10)</f>
        <v>0</v>
      </c>
      <c r="N10" s="132">
        <f>IF(SER_hh_emi_in!N10=0,0,1000000*SER_hh_emi_in!N10/SER_hh_num_in!N10)</f>
        <v>0</v>
      </c>
      <c r="O10" s="132">
        <f>IF(SER_hh_emi_in!O10=0,0,1000000*SER_hh_emi_in!O10/SER_hh_num_in!O10)</f>
        <v>0</v>
      </c>
      <c r="P10" s="132">
        <f>IF(SER_hh_emi_in!P10=0,0,1000000*SER_hh_emi_in!P10/SER_hh_num_in!P10)</f>
        <v>0</v>
      </c>
      <c r="Q10" s="132">
        <f>IF(SER_hh_emi_in!Q10=0,0,1000000*SER_hh_emi_in!Q10/SER_hh_num_in!Q10)</f>
        <v>0</v>
      </c>
      <c r="R10" s="132">
        <f>IF(SER_hh_emi_in!R10=0,0,1000000*SER_hh_emi_in!R10/SER_hh_num_in!R10)</f>
        <v>0</v>
      </c>
      <c r="S10" s="132">
        <f>IF(SER_hh_emi_in!S10=0,0,1000000*SER_hh_emi_in!S10/SER_hh_num_in!S10)</f>
        <v>0</v>
      </c>
      <c r="T10" s="132">
        <f>IF(SER_hh_emi_in!T10=0,0,1000000*SER_hh_emi_in!T10/SER_hh_num_in!T10)</f>
        <v>0</v>
      </c>
      <c r="U10" s="132">
        <f>IF(SER_hh_emi_in!U10=0,0,1000000*SER_hh_emi_in!U10/SER_hh_num_in!U10)</f>
        <v>0</v>
      </c>
      <c r="V10" s="132">
        <f>IF(SER_hh_emi_in!V10=0,0,1000000*SER_hh_emi_in!V10/SER_hh_num_in!V10)</f>
        <v>0</v>
      </c>
      <c r="W10" s="132">
        <f>IF(SER_hh_emi_in!W10=0,0,1000000*SER_hh_emi_in!W10/SER_hh_num_in!W10)</f>
        <v>2581.1685873118499</v>
      </c>
      <c r="X10" s="132">
        <f>IF(SER_hh_emi_in!X10=0,0,1000000*SER_hh_emi_in!X10/SER_hh_num_in!X10)</f>
        <v>4839.9016103572649</v>
      </c>
      <c r="Y10" s="132">
        <f>IF(SER_hh_emi_in!Y10=0,0,1000000*SER_hh_emi_in!Y10/SER_hh_num_in!Y10)</f>
        <v>3931.2398192770897</v>
      </c>
      <c r="DA10" s="156" t="s">
        <v>793</v>
      </c>
    </row>
    <row r="11" spans="1:105" ht="12" customHeight="1" x14ac:dyDescent="0.25">
      <c r="A11" s="131" t="s">
        <v>25</v>
      </c>
      <c r="B11" s="132"/>
      <c r="C11" s="132">
        <f>IF(SER_hh_emi_in!C11=0,0,1000000*SER_hh_emi_in!C11/SER_hh_num_in!C11)</f>
        <v>0</v>
      </c>
      <c r="D11" s="132">
        <f>IF(SER_hh_emi_in!D11=0,0,1000000*SER_hh_emi_in!D11/SER_hh_num_in!D11)</f>
        <v>0</v>
      </c>
      <c r="E11" s="132">
        <f>IF(SER_hh_emi_in!E11=0,0,1000000*SER_hh_emi_in!E11/SER_hh_num_in!E11)</f>
        <v>0</v>
      </c>
      <c r="F11" s="132">
        <f>IF(SER_hh_emi_in!F11=0,0,1000000*SER_hh_emi_in!F11/SER_hh_num_in!F11)</f>
        <v>0</v>
      </c>
      <c r="G11" s="132">
        <f>IF(SER_hh_emi_in!G11=0,0,1000000*SER_hh_emi_in!G11/SER_hh_num_in!G11)</f>
        <v>0</v>
      </c>
      <c r="H11" s="132">
        <f>IF(SER_hh_emi_in!H11=0,0,1000000*SER_hh_emi_in!H11/SER_hh_num_in!H11)</f>
        <v>0</v>
      </c>
      <c r="I11" s="132">
        <f>IF(SER_hh_emi_in!I11=0,0,1000000*SER_hh_emi_in!I11/SER_hh_num_in!I11)</f>
        <v>0</v>
      </c>
      <c r="J11" s="132">
        <f>IF(SER_hh_emi_in!J11=0,0,1000000*SER_hh_emi_in!J11/SER_hh_num_in!J11)</f>
        <v>0</v>
      </c>
      <c r="K11" s="132">
        <f>IF(SER_hh_emi_in!K11=0,0,1000000*SER_hh_emi_in!K11/SER_hh_num_in!K11)</f>
        <v>0</v>
      </c>
      <c r="L11" s="132">
        <f>IF(SER_hh_emi_in!L11=0,0,1000000*SER_hh_emi_in!L11/SER_hh_num_in!L11)</f>
        <v>0</v>
      </c>
      <c r="M11" s="132">
        <f>IF(SER_hh_emi_in!M11=0,0,1000000*SER_hh_emi_in!M11/SER_hh_num_in!M11)</f>
        <v>0</v>
      </c>
      <c r="N11" s="132">
        <f>IF(SER_hh_emi_in!N11=0,0,1000000*SER_hh_emi_in!N11/SER_hh_num_in!N11)</f>
        <v>0</v>
      </c>
      <c r="O11" s="132">
        <f>IF(SER_hh_emi_in!O11=0,0,1000000*SER_hh_emi_in!O11/SER_hh_num_in!O11)</f>
        <v>0</v>
      </c>
      <c r="P11" s="132">
        <f>IF(SER_hh_emi_in!P11=0,0,1000000*SER_hh_emi_in!P11/SER_hh_num_in!P11)</f>
        <v>0</v>
      </c>
      <c r="Q11" s="132">
        <f>IF(SER_hh_emi_in!Q11=0,0,1000000*SER_hh_emi_in!Q11/SER_hh_num_in!Q11)</f>
        <v>0</v>
      </c>
      <c r="R11" s="132">
        <f>IF(SER_hh_emi_in!R11=0,0,1000000*SER_hh_emi_in!R11/SER_hh_num_in!R11)</f>
        <v>0</v>
      </c>
      <c r="S11" s="132">
        <f>IF(SER_hh_emi_in!S11=0,0,1000000*SER_hh_emi_in!S11/SER_hh_num_in!S11)</f>
        <v>0</v>
      </c>
      <c r="T11" s="132">
        <f>IF(SER_hh_emi_in!T11=0,0,1000000*SER_hh_emi_in!T11/SER_hh_num_in!T11)</f>
        <v>0</v>
      </c>
      <c r="U11" s="132">
        <f>IF(SER_hh_emi_in!U11=0,0,1000000*SER_hh_emi_in!U11/SER_hh_num_in!U11)</f>
        <v>0</v>
      </c>
      <c r="V11" s="132">
        <f>IF(SER_hh_emi_in!V11=0,0,1000000*SER_hh_emi_in!V11/SER_hh_num_in!V11)</f>
        <v>0</v>
      </c>
      <c r="W11" s="132">
        <f>IF(SER_hh_emi_in!W11=0,0,1000000*SER_hh_emi_in!W11/SER_hh_num_in!W11)</f>
        <v>0</v>
      </c>
      <c r="X11" s="132">
        <f>IF(SER_hh_emi_in!X11=0,0,1000000*SER_hh_emi_in!X11/SER_hh_num_in!X11)</f>
        <v>0</v>
      </c>
      <c r="Y11" s="132">
        <f>IF(SER_hh_emi_in!Y11=0,0,1000000*SER_hh_emi_in!Y11/SER_hh_num_in!Y11)</f>
        <v>0</v>
      </c>
      <c r="DA11" s="156" t="s">
        <v>794</v>
      </c>
    </row>
    <row r="12" spans="1:105" ht="12" customHeight="1" x14ac:dyDescent="0.25">
      <c r="A12" s="131" t="s">
        <v>162</v>
      </c>
      <c r="B12" s="132"/>
      <c r="C12" s="132">
        <f>IF(SER_hh_emi_in!C12=0,0,1000000*SER_hh_emi_in!C12/SER_hh_num_in!C12)</f>
        <v>0</v>
      </c>
      <c r="D12" s="132">
        <f>IF(SER_hh_emi_in!D12=0,0,1000000*SER_hh_emi_in!D12/SER_hh_num_in!D12)</f>
        <v>0</v>
      </c>
      <c r="E12" s="132">
        <f>IF(SER_hh_emi_in!E12=0,0,1000000*SER_hh_emi_in!E12/SER_hh_num_in!E12)</f>
        <v>0</v>
      </c>
      <c r="F12" s="132">
        <f>IF(SER_hh_emi_in!F12=0,0,1000000*SER_hh_emi_in!F12/SER_hh_num_in!F12)</f>
        <v>0</v>
      </c>
      <c r="G12" s="132">
        <f>IF(SER_hh_emi_in!G12=0,0,1000000*SER_hh_emi_in!G12/SER_hh_num_in!G12)</f>
        <v>0</v>
      </c>
      <c r="H12" s="132">
        <f>IF(SER_hh_emi_in!H12=0,0,1000000*SER_hh_emi_in!H12/SER_hh_num_in!H12)</f>
        <v>0</v>
      </c>
      <c r="I12" s="132">
        <f>IF(SER_hh_emi_in!I12=0,0,1000000*SER_hh_emi_in!I12/SER_hh_num_in!I12)</f>
        <v>0</v>
      </c>
      <c r="J12" s="132">
        <f>IF(SER_hh_emi_in!J12=0,0,1000000*SER_hh_emi_in!J12/SER_hh_num_in!J12)</f>
        <v>0</v>
      </c>
      <c r="K12" s="132">
        <f>IF(SER_hh_emi_in!K12=0,0,1000000*SER_hh_emi_in!K12/SER_hh_num_in!K12)</f>
        <v>0</v>
      </c>
      <c r="L12" s="132">
        <f>IF(SER_hh_emi_in!L12=0,0,1000000*SER_hh_emi_in!L12/SER_hh_num_in!L12)</f>
        <v>0</v>
      </c>
      <c r="M12" s="132">
        <f>IF(SER_hh_emi_in!M12=0,0,1000000*SER_hh_emi_in!M12/SER_hh_num_in!M12)</f>
        <v>0</v>
      </c>
      <c r="N12" s="132">
        <f>IF(SER_hh_emi_in!N12=0,0,1000000*SER_hh_emi_in!N12/SER_hh_num_in!N12)</f>
        <v>0</v>
      </c>
      <c r="O12" s="132">
        <f>IF(SER_hh_emi_in!O12=0,0,1000000*SER_hh_emi_in!O12/SER_hh_num_in!O12)</f>
        <v>0</v>
      </c>
      <c r="P12" s="132">
        <f>IF(SER_hh_emi_in!P12=0,0,1000000*SER_hh_emi_in!P12/SER_hh_num_in!P12)</f>
        <v>0</v>
      </c>
      <c r="Q12" s="132">
        <f>IF(SER_hh_emi_in!Q12=0,0,1000000*SER_hh_emi_in!Q12/SER_hh_num_in!Q12)</f>
        <v>0</v>
      </c>
      <c r="R12" s="132">
        <f>IF(SER_hh_emi_in!R12=0,0,1000000*SER_hh_emi_in!R12/SER_hh_num_in!R12)</f>
        <v>0</v>
      </c>
      <c r="S12" s="132">
        <f>IF(SER_hh_emi_in!S12=0,0,1000000*SER_hh_emi_in!S12/SER_hh_num_in!S12)</f>
        <v>0</v>
      </c>
      <c r="T12" s="132">
        <f>IF(SER_hh_emi_in!T12=0,0,1000000*SER_hh_emi_in!T12/SER_hh_num_in!T12)</f>
        <v>0</v>
      </c>
      <c r="U12" s="132">
        <f>IF(SER_hh_emi_in!U12=0,0,1000000*SER_hh_emi_in!U12/SER_hh_num_in!U12)</f>
        <v>0</v>
      </c>
      <c r="V12" s="132">
        <f>IF(SER_hh_emi_in!V12=0,0,1000000*SER_hh_emi_in!V12/SER_hh_num_in!V12)</f>
        <v>0</v>
      </c>
      <c r="W12" s="132">
        <f>IF(SER_hh_emi_in!W12=0,0,1000000*SER_hh_emi_in!W12/SER_hh_num_in!W12)</f>
        <v>0</v>
      </c>
      <c r="X12" s="132">
        <f>IF(SER_hh_emi_in!X12=0,0,1000000*SER_hh_emi_in!X12/SER_hh_num_in!X12)</f>
        <v>0</v>
      </c>
      <c r="Y12" s="132">
        <f>IF(SER_hh_emi_in!Y12=0,0,1000000*SER_hh_emi_in!Y12/SER_hh_num_in!Y12)</f>
        <v>0</v>
      </c>
      <c r="DA12" s="156" t="s">
        <v>795</v>
      </c>
    </row>
    <row r="13" spans="1:105" ht="12" customHeight="1" x14ac:dyDescent="0.25">
      <c r="A13" s="131" t="s">
        <v>77</v>
      </c>
      <c r="B13" s="132"/>
      <c r="C13" s="132">
        <f>IF(SER_hh_emi_in!C13=0,0,1000000*SER_hh_emi_in!C13/SER_hh_num_in!C13)</f>
        <v>0</v>
      </c>
      <c r="D13" s="132">
        <f>IF(SER_hh_emi_in!D13=0,0,1000000*SER_hh_emi_in!D13/SER_hh_num_in!D13)</f>
        <v>0</v>
      </c>
      <c r="E13" s="132">
        <f>IF(SER_hh_emi_in!E13=0,0,1000000*SER_hh_emi_in!E13/SER_hh_num_in!E13)</f>
        <v>0</v>
      </c>
      <c r="F13" s="132">
        <f>IF(SER_hh_emi_in!F13=0,0,1000000*SER_hh_emi_in!F13/SER_hh_num_in!F13)</f>
        <v>0</v>
      </c>
      <c r="G13" s="132">
        <f>IF(SER_hh_emi_in!G13=0,0,1000000*SER_hh_emi_in!G13/SER_hh_num_in!G13)</f>
        <v>0</v>
      </c>
      <c r="H13" s="132">
        <f>IF(SER_hh_emi_in!H13=0,0,1000000*SER_hh_emi_in!H13/SER_hh_num_in!H13)</f>
        <v>0</v>
      </c>
      <c r="I13" s="132">
        <f>IF(SER_hh_emi_in!I13=0,0,1000000*SER_hh_emi_in!I13/SER_hh_num_in!I13)</f>
        <v>0</v>
      </c>
      <c r="J13" s="132">
        <f>IF(SER_hh_emi_in!J13=0,0,1000000*SER_hh_emi_in!J13/SER_hh_num_in!J13)</f>
        <v>0</v>
      </c>
      <c r="K13" s="132">
        <f>IF(SER_hh_emi_in!K13=0,0,1000000*SER_hh_emi_in!K13/SER_hh_num_in!K13)</f>
        <v>0</v>
      </c>
      <c r="L13" s="132">
        <f>IF(SER_hh_emi_in!L13=0,0,1000000*SER_hh_emi_in!L13/SER_hh_num_in!L13)</f>
        <v>0</v>
      </c>
      <c r="M13" s="132">
        <f>IF(SER_hh_emi_in!M13=0,0,1000000*SER_hh_emi_in!M13/SER_hh_num_in!M13)</f>
        <v>0</v>
      </c>
      <c r="N13" s="132">
        <f>IF(SER_hh_emi_in!N13=0,0,1000000*SER_hh_emi_in!N13/SER_hh_num_in!N13)</f>
        <v>0</v>
      </c>
      <c r="O13" s="132">
        <f>IF(SER_hh_emi_in!O13=0,0,1000000*SER_hh_emi_in!O13/SER_hh_num_in!O13)</f>
        <v>0</v>
      </c>
      <c r="P13" s="132">
        <f>IF(SER_hh_emi_in!P13=0,0,1000000*SER_hh_emi_in!P13/SER_hh_num_in!P13)</f>
        <v>0</v>
      </c>
      <c r="Q13" s="132">
        <f>IF(SER_hh_emi_in!Q13=0,0,1000000*SER_hh_emi_in!Q13/SER_hh_num_in!Q13)</f>
        <v>0</v>
      </c>
      <c r="R13" s="132">
        <f>IF(SER_hh_emi_in!R13=0,0,1000000*SER_hh_emi_in!R13/SER_hh_num_in!R13)</f>
        <v>0</v>
      </c>
      <c r="S13" s="132">
        <f>IF(SER_hh_emi_in!S13=0,0,1000000*SER_hh_emi_in!S13/SER_hh_num_in!S13)</f>
        <v>0</v>
      </c>
      <c r="T13" s="132">
        <f>IF(SER_hh_emi_in!T13=0,0,1000000*SER_hh_emi_in!T13/SER_hh_num_in!T13)</f>
        <v>0</v>
      </c>
      <c r="U13" s="132">
        <f>IF(SER_hh_emi_in!U13=0,0,1000000*SER_hh_emi_in!U13/SER_hh_num_in!U13)</f>
        <v>0</v>
      </c>
      <c r="V13" s="132">
        <f>IF(SER_hh_emi_in!V13=0,0,1000000*SER_hh_emi_in!V13/SER_hh_num_in!V13)</f>
        <v>0</v>
      </c>
      <c r="W13" s="132">
        <f>IF(SER_hh_emi_in!W13=0,0,1000000*SER_hh_emi_in!W13/SER_hh_num_in!W13)</f>
        <v>0</v>
      </c>
      <c r="X13" s="132">
        <f>IF(SER_hh_emi_in!X13=0,0,1000000*SER_hh_emi_in!X13/SER_hh_num_in!X13)</f>
        <v>0</v>
      </c>
      <c r="Y13" s="132">
        <f>IF(SER_hh_emi_in!Y13=0,0,1000000*SER_hh_emi_in!Y13/SER_hh_num_in!Y13)</f>
        <v>0</v>
      </c>
      <c r="DA13" s="156" t="s">
        <v>796</v>
      </c>
    </row>
    <row r="14" spans="1:105" ht="12" customHeight="1" x14ac:dyDescent="0.25">
      <c r="A14" s="60" t="s">
        <v>76</v>
      </c>
      <c r="B14" s="65"/>
      <c r="C14" s="65">
        <f>IF(SER_hh_emi_in!C14=0,0,1000000*SER_hh_emi_in!C14/SER_hh_num_in!C14)</f>
        <v>0</v>
      </c>
      <c r="D14" s="65">
        <f>IF(SER_hh_emi_in!D14=0,0,1000000*SER_hh_emi_in!D14/SER_hh_num_in!D14)</f>
        <v>0</v>
      </c>
      <c r="E14" s="65">
        <f>IF(SER_hh_emi_in!E14=0,0,1000000*SER_hh_emi_in!E14/SER_hh_num_in!E14)</f>
        <v>0</v>
      </c>
      <c r="F14" s="65">
        <f>IF(SER_hh_emi_in!F14=0,0,1000000*SER_hh_emi_in!F14/SER_hh_num_in!F14)</f>
        <v>0</v>
      </c>
      <c r="G14" s="65">
        <f>IF(SER_hh_emi_in!G14=0,0,1000000*SER_hh_emi_in!G14/SER_hh_num_in!G14)</f>
        <v>0</v>
      </c>
      <c r="H14" s="65">
        <f>IF(SER_hh_emi_in!H14=0,0,1000000*SER_hh_emi_in!H14/SER_hh_num_in!H14)</f>
        <v>0</v>
      </c>
      <c r="I14" s="65">
        <f>IF(SER_hh_emi_in!I14=0,0,1000000*SER_hh_emi_in!I14/SER_hh_num_in!I14)</f>
        <v>0</v>
      </c>
      <c r="J14" s="65">
        <f>IF(SER_hh_emi_in!J14=0,0,1000000*SER_hh_emi_in!J14/SER_hh_num_in!J14)</f>
        <v>0</v>
      </c>
      <c r="K14" s="65">
        <f>IF(SER_hh_emi_in!K14=0,0,1000000*SER_hh_emi_in!K14/SER_hh_num_in!K14)</f>
        <v>0</v>
      </c>
      <c r="L14" s="65">
        <f>IF(SER_hh_emi_in!L14=0,0,1000000*SER_hh_emi_in!L14/SER_hh_num_in!L14)</f>
        <v>0</v>
      </c>
      <c r="M14" s="65">
        <f>IF(SER_hh_emi_in!M14=0,0,1000000*SER_hh_emi_in!M14/SER_hh_num_in!M14)</f>
        <v>0</v>
      </c>
      <c r="N14" s="65">
        <f>IF(SER_hh_emi_in!N14=0,0,1000000*SER_hh_emi_in!N14/SER_hh_num_in!N14)</f>
        <v>0</v>
      </c>
      <c r="O14" s="65">
        <f>IF(SER_hh_emi_in!O14=0,0,1000000*SER_hh_emi_in!O14/SER_hh_num_in!O14)</f>
        <v>0</v>
      </c>
      <c r="P14" s="65">
        <f>IF(SER_hh_emi_in!P14=0,0,1000000*SER_hh_emi_in!P14/SER_hh_num_in!P14)</f>
        <v>0</v>
      </c>
      <c r="Q14" s="65">
        <f>IF(SER_hh_emi_in!Q14=0,0,1000000*SER_hh_emi_in!Q14/SER_hh_num_in!Q14)</f>
        <v>0</v>
      </c>
      <c r="R14" s="65">
        <f>IF(SER_hh_emi_in!R14=0,0,1000000*SER_hh_emi_in!R14/SER_hh_num_in!R14)</f>
        <v>0</v>
      </c>
      <c r="S14" s="65">
        <f>IF(SER_hh_emi_in!S14=0,0,1000000*SER_hh_emi_in!S14/SER_hh_num_in!S14)</f>
        <v>0</v>
      </c>
      <c r="T14" s="65">
        <f>IF(SER_hh_emi_in!T14=0,0,1000000*SER_hh_emi_in!T14/SER_hh_num_in!T14)</f>
        <v>0</v>
      </c>
      <c r="U14" s="65">
        <f>IF(SER_hh_emi_in!U14=0,0,1000000*SER_hh_emi_in!U14/SER_hh_num_in!U14)</f>
        <v>0</v>
      </c>
      <c r="V14" s="65">
        <f>IF(SER_hh_emi_in!V14=0,0,1000000*SER_hh_emi_in!V14/SER_hh_num_in!V14)</f>
        <v>0</v>
      </c>
      <c r="W14" s="65">
        <f>IF(SER_hh_emi_in!W14=0,0,1000000*SER_hh_emi_in!W14/SER_hh_num_in!W14)</f>
        <v>0</v>
      </c>
      <c r="X14" s="65">
        <f>IF(SER_hh_emi_in!X14=0,0,1000000*SER_hh_emi_in!X14/SER_hh_num_in!X14)</f>
        <v>0</v>
      </c>
      <c r="Y14" s="65">
        <f>IF(SER_hh_emi_in!Y14=0,0,1000000*SER_hh_emi_in!Y14/SER_hh_num_in!Y14)</f>
        <v>0</v>
      </c>
      <c r="DA14" s="109" t="s">
        <v>797</v>
      </c>
    </row>
    <row r="15" spans="1:105" ht="12" customHeight="1" x14ac:dyDescent="0.25">
      <c r="A15" s="133" t="s">
        <v>80</v>
      </c>
      <c r="B15" s="134"/>
      <c r="C15" s="134">
        <f>IF(SER_hh_emi_in!C15=0,0,1000000*SER_hh_emi_in!C15/SER_hh_num_in!C15)</f>
        <v>0</v>
      </c>
      <c r="D15" s="134">
        <f>IF(SER_hh_emi_in!D15=0,0,1000000*SER_hh_emi_in!D15/SER_hh_num_in!D15)</f>
        <v>0</v>
      </c>
      <c r="E15" s="134">
        <f>IF(SER_hh_emi_in!E15=0,0,1000000*SER_hh_emi_in!E15/SER_hh_num_in!E15)</f>
        <v>0</v>
      </c>
      <c r="F15" s="134">
        <f>IF(SER_hh_emi_in!F15=0,0,1000000*SER_hh_emi_in!F15/SER_hh_num_in!F15)</f>
        <v>0</v>
      </c>
      <c r="G15" s="134">
        <f>IF(SER_hh_emi_in!G15=0,0,1000000*SER_hh_emi_in!G15/SER_hh_num_in!G15)</f>
        <v>0</v>
      </c>
      <c r="H15" s="134">
        <f>IF(SER_hh_emi_in!H15=0,0,1000000*SER_hh_emi_in!H15/SER_hh_num_in!H15)</f>
        <v>0</v>
      </c>
      <c r="I15" s="134">
        <f>IF(SER_hh_emi_in!I15=0,0,1000000*SER_hh_emi_in!I15/SER_hh_num_in!I15)</f>
        <v>0</v>
      </c>
      <c r="J15" s="134">
        <f>IF(SER_hh_emi_in!J15=0,0,1000000*SER_hh_emi_in!J15/SER_hh_num_in!J15)</f>
        <v>0</v>
      </c>
      <c r="K15" s="134">
        <f>IF(SER_hh_emi_in!K15=0,0,1000000*SER_hh_emi_in!K15/SER_hh_num_in!K15)</f>
        <v>0</v>
      </c>
      <c r="L15" s="134">
        <f>IF(SER_hh_emi_in!L15=0,0,1000000*SER_hh_emi_in!L15/SER_hh_num_in!L15)</f>
        <v>0</v>
      </c>
      <c r="M15" s="134">
        <f>IF(SER_hh_emi_in!M15=0,0,1000000*SER_hh_emi_in!M15/SER_hh_num_in!M15)</f>
        <v>0</v>
      </c>
      <c r="N15" s="134">
        <f>IF(SER_hh_emi_in!N15=0,0,1000000*SER_hh_emi_in!N15/SER_hh_num_in!N15)</f>
        <v>0</v>
      </c>
      <c r="O15" s="134">
        <f>IF(SER_hh_emi_in!O15=0,0,1000000*SER_hh_emi_in!O15/SER_hh_num_in!O15)</f>
        <v>0</v>
      </c>
      <c r="P15" s="134">
        <f>IF(SER_hh_emi_in!P15=0,0,1000000*SER_hh_emi_in!P15/SER_hh_num_in!P15)</f>
        <v>0</v>
      </c>
      <c r="Q15" s="134">
        <f>IF(SER_hh_emi_in!Q15=0,0,1000000*SER_hh_emi_in!Q15/SER_hh_num_in!Q15)</f>
        <v>0</v>
      </c>
      <c r="R15" s="134">
        <f>IF(SER_hh_emi_in!R15=0,0,1000000*SER_hh_emi_in!R15/SER_hh_num_in!R15)</f>
        <v>0</v>
      </c>
      <c r="S15" s="134">
        <f>IF(SER_hh_emi_in!S15=0,0,1000000*SER_hh_emi_in!S15/SER_hh_num_in!S15)</f>
        <v>0</v>
      </c>
      <c r="T15" s="134">
        <f>IF(SER_hh_emi_in!T15=0,0,1000000*SER_hh_emi_in!T15/SER_hh_num_in!T15)</f>
        <v>0</v>
      </c>
      <c r="U15" s="134">
        <f>IF(SER_hh_emi_in!U15=0,0,1000000*SER_hh_emi_in!U15/SER_hh_num_in!U15)</f>
        <v>0</v>
      </c>
      <c r="V15" s="134">
        <f>IF(SER_hh_emi_in!V15=0,0,1000000*SER_hh_emi_in!V15/SER_hh_num_in!V15)</f>
        <v>0</v>
      </c>
      <c r="W15" s="134">
        <f>IF(SER_hh_emi_in!W15=0,0,1000000*SER_hh_emi_in!W15/SER_hh_num_in!W15)</f>
        <v>0</v>
      </c>
      <c r="X15" s="134">
        <f>IF(SER_hh_emi_in!X15=0,0,1000000*SER_hh_emi_in!X15/SER_hh_num_in!X15)</f>
        <v>0</v>
      </c>
      <c r="Y15" s="134">
        <f>IF(SER_hh_emi_in!Y15=0,0,1000000*SER_hh_emi_in!Y15/SER_hh_num_in!Y15)</f>
        <v>0</v>
      </c>
      <c r="DA15" s="157" t="s">
        <v>798</v>
      </c>
    </row>
    <row r="16" spans="1:105" ht="12.95" customHeight="1" x14ac:dyDescent="0.25">
      <c r="A16" s="129" t="s">
        <v>74</v>
      </c>
      <c r="B16" s="130"/>
      <c r="C16" s="130">
        <f>IF(SER_hh_emi_in!C16=0,0,1000000*SER_hh_emi_in!C16/SER_hh_num_in!C16)</f>
        <v>26.848490435363829</v>
      </c>
      <c r="D16" s="130">
        <f>IF(SER_hh_emi_in!D16=0,0,1000000*SER_hh_emi_in!D16/SER_hh_num_in!D16)</f>
        <v>6.8337259814397671</v>
      </c>
      <c r="E16" s="130">
        <f>IF(SER_hh_emi_in!E16=0,0,1000000*SER_hh_emi_in!E16/SER_hh_num_in!E16)</f>
        <v>53.087005446750972</v>
      </c>
      <c r="F16" s="130">
        <f>IF(SER_hh_emi_in!F16=0,0,1000000*SER_hh_emi_in!F16/SER_hh_num_in!F16)</f>
        <v>25.975540200559745</v>
      </c>
      <c r="G16" s="130">
        <f>IF(SER_hh_emi_in!G16=0,0,1000000*SER_hh_emi_in!G16/SER_hh_num_in!G16)</f>
        <v>16.698591537451382</v>
      </c>
      <c r="H16" s="130">
        <f>IF(SER_hh_emi_in!H16=0,0,1000000*SER_hh_emi_in!H16/SER_hh_num_in!H16)</f>
        <v>26.091358661309986</v>
      </c>
      <c r="I16" s="130">
        <f>IF(SER_hh_emi_in!I16=0,0,1000000*SER_hh_emi_in!I16/SER_hh_num_in!I16)</f>
        <v>22.965670397307488</v>
      </c>
      <c r="J16" s="130">
        <f>IF(SER_hh_emi_in!J16=0,0,1000000*SER_hh_emi_in!J16/SER_hh_num_in!J16)</f>
        <v>35.005691052922352</v>
      </c>
      <c r="K16" s="130">
        <f>IF(SER_hh_emi_in!K16=0,0,1000000*SER_hh_emi_in!K16/SER_hh_num_in!K16)</f>
        <v>60.23066640398406</v>
      </c>
      <c r="L16" s="130">
        <f>IF(SER_hh_emi_in!L16=0,0,1000000*SER_hh_emi_in!L16/SER_hh_num_in!L16)</f>
        <v>40.833917462410184</v>
      </c>
      <c r="M16" s="130">
        <f>IF(SER_hh_emi_in!M16=0,0,1000000*SER_hh_emi_in!M16/SER_hh_num_in!M16)</f>
        <v>36.166128247643947</v>
      </c>
      <c r="N16" s="130">
        <f>IF(SER_hh_emi_in!N16=0,0,1000000*SER_hh_emi_in!N16/SER_hh_num_in!N16)</f>
        <v>55.379845702781729</v>
      </c>
      <c r="O16" s="130">
        <f>IF(SER_hh_emi_in!O16=0,0,1000000*SER_hh_emi_in!O16/SER_hh_num_in!O16)</f>
        <v>48.691641663937844</v>
      </c>
      <c r="P16" s="130">
        <f>IF(SER_hh_emi_in!P16=0,0,1000000*SER_hh_emi_in!P16/SER_hh_num_in!P16)</f>
        <v>37.5316619063993</v>
      </c>
      <c r="Q16" s="130">
        <f>IF(SER_hh_emi_in!Q16=0,0,1000000*SER_hh_emi_in!Q16/SER_hh_num_in!Q16)</f>
        <v>60.608056116877115</v>
      </c>
      <c r="R16" s="130">
        <f>IF(SER_hh_emi_in!R16=0,0,1000000*SER_hh_emi_in!R16/SER_hh_num_in!R16)</f>
        <v>41.051169782313686</v>
      </c>
      <c r="S16" s="130">
        <f>IF(SER_hh_emi_in!S16=0,0,1000000*SER_hh_emi_in!S16/SER_hh_num_in!S16)</f>
        <v>60.288888770204451</v>
      </c>
      <c r="T16" s="130">
        <f>IF(SER_hh_emi_in!T16=0,0,1000000*SER_hh_emi_in!T16/SER_hh_num_in!T16)</f>
        <v>44.513100609741215</v>
      </c>
      <c r="U16" s="130">
        <f>IF(SER_hh_emi_in!U16=0,0,1000000*SER_hh_emi_in!U16/SER_hh_num_in!U16)</f>
        <v>53.477180669738893</v>
      </c>
      <c r="V16" s="130">
        <f>IF(SER_hh_emi_in!V16=0,0,1000000*SER_hh_emi_in!V16/SER_hh_num_in!V16)</f>
        <v>33.719236388450881</v>
      </c>
      <c r="W16" s="130">
        <f>IF(SER_hh_emi_in!W16=0,0,1000000*SER_hh_emi_in!W16/SER_hh_num_in!W16)</f>
        <v>33.19109978870619</v>
      </c>
      <c r="X16" s="130">
        <f>IF(SER_hh_emi_in!X16=0,0,1000000*SER_hh_emi_in!X16/SER_hh_num_in!X16)</f>
        <v>59.575343313417733</v>
      </c>
      <c r="Y16" s="130">
        <f>IF(SER_hh_emi_in!Y16=0,0,1000000*SER_hh_emi_in!Y16/SER_hh_num_in!Y16)</f>
        <v>50.316135551151667</v>
      </c>
      <c r="DA16" s="155" t="s">
        <v>799</v>
      </c>
    </row>
    <row r="17" spans="1:105" ht="12.95" customHeight="1" x14ac:dyDescent="0.25">
      <c r="A17" s="131" t="s">
        <v>73</v>
      </c>
      <c r="B17" s="132"/>
      <c r="C17" s="132">
        <f>IF(SER_hh_emi_in!C17=0,0,1000000*SER_hh_emi_in!C17/SER_hh_num_in!C17)</f>
        <v>4239.6199361458112</v>
      </c>
      <c r="D17" s="132">
        <f>IF(SER_hh_emi_in!D17=0,0,1000000*SER_hh_emi_in!D17/SER_hh_num_in!D17)</f>
        <v>3646.78868355533</v>
      </c>
      <c r="E17" s="132">
        <f>IF(SER_hh_emi_in!E17=0,0,1000000*SER_hh_emi_in!E17/SER_hh_num_in!E17)</f>
        <v>8295.8634345175433</v>
      </c>
      <c r="F17" s="132">
        <f>IF(SER_hh_emi_in!F17=0,0,1000000*SER_hh_emi_in!F17/SER_hh_num_in!F17)</f>
        <v>3653.9125458069584</v>
      </c>
      <c r="G17" s="132">
        <f>IF(SER_hh_emi_in!G17=0,0,1000000*SER_hh_emi_in!G17/SER_hh_num_in!G17)</f>
        <v>3579.9095426940276</v>
      </c>
      <c r="H17" s="132">
        <f>IF(SER_hh_emi_in!H17=0,0,1000000*SER_hh_emi_in!H17/SER_hh_num_in!H17)</f>
        <v>4119.3352865662109</v>
      </c>
      <c r="I17" s="132">
        <f>IF(SER_hh_emi_in!I17=0,0,1000000*SER_hh_emi_in!I17/SER_hh_num_in!I17)</f>
        <v>3702.5331555902962</v>
      </c>
      <c r="J17" s="132">
        <f>IF(SER_hh_emi_in!J17=0,0,1000000*SER_hh_emi_in!J17/SER_hh_num_in!J17)</f>
        <v>4236.6475454926422</v>
      </c>
      <c r="K17" s="132">
        <f>IF(SER_hh_emi_in!K17=0,0,1000000*SER_hh_emi_in!K17/SER_hh_num_in!K17)</f>
        <v>4212.2967684824998</v>
      </c>
      <c r="L17" s="132">
        <f>IF(SER_hh_emi_in!L17=0,0,1000000*SER_hh_emi_in!L17/SER_hh_num_in!L17)</f>
        <v>3324.0553332674663</v>
      </c>
      <c r="M17" s="132">
        <f>IF(SER_hh_emi_in!M17=0,0,1000000*SER_hh_emi_in!M17/SER_hh_num_in!M17)</f>
        <v>3484.5468363294372</v>
      </c>
      <c r="N17" s="132">
        <f>IF(SER_hh_emi_in!N17=0,0,1000000*SER_hh_emi_in!N17/SER_hh_num_in!N17)</f>
        <v>5282.3416474599226</v>
      </c>
      <c r="O17" s="132">
        <f>IF(SER_hh_emi_in!O17=0,0,1000000*SER_hh_emi_in!O17/SER_hh_num_in!O17)</f>
        <v>3010.4271478805986</v>
      </c>
      <c r="P17" s="132">
        <f>IF(SER_hh_emi_in!P17=0,0,1000000*SER_hh_emi_in!P17/SER_hh_num_in!P17)</f>
        <v>2501.2713463327518</v>
      </c>
      <c r="Q17" s="132">
        <f>IF(SER_hh_emi_in!Q17=0,0,1000000*SER_hh_emi_in!Q17/SER_hh_num_in!Q17)</f>
        <v>4282.0982323427788</v>
      </c>
      <c r="R17" s="132">
        <f>IF(SER_hh_emi_in!R17=0,0,1000000*SER_hh_emi_in!R17/SER_hh_num_in!R17)</f>
        <v>2656.9132473441659</v>
      </c>
      <c r="S17" s="132">
        <f>IF(SER_hh_emi_in!S17=0,0,1000000*SER_hh_emi_in!S17/SER_hh_num_in!S17)</f>
        <v>3804.106109719055</v>
      </c>
      <c r="T17" s="132">
        <f>IF(SER_hh_emi_in!T17=0,0,1000000*SER_hh_emi_in!T17/SER_hh_num_in!T17)</f>
        <v>2720.0549541373475</v>
      </c>
      <c r="U17" s="132">
        <f>IF(SER_hh_emi_in!U17=0,0,1000000*SER_hh_emi_in!U17/SER_hh_num_in!U17)</f>
        <v>3343.4245970735242</v>
      </c>
      <c r="V17" s="132">
        <f>IF(SER_hh_emi_in!V17=0,0,1000000*SER_hh_emi_in!V17/SER_hh_num_in!V17)</f>
        <v>2232.6796426659807</v>
      </c>
      <c r="W17" s="132">
        <f>IF(SER_hh_emi_in!W17=0,0,1000000*SER_hh_emi_in!W17/SER_hh_num_in!W17)</f>
        <v>2350.7129639777463</v>
      </c>
      <c r="X17" s="132">
        <f>IF(SER_hh_emi_in!X17=0,0,1000000*SER_hh_emi_in!X17/SER_hh_num_in!X17)</f>
        <v>2616.1007986095669</v>
      </c>
      <c r="Y17" s="132">
        <f>IF(SER_hh_emi_in!Y17=0,0,1000000*SER_hh_emi_in!Y17/SER_hh_num_in!Y17)</f>
        <v>2303.8603663654094</v>
      </c>
      <c r="DA17" s="156" t="s">
        <v>800</v>
      </c>
    </row>
    <row r="18" spans="1:105" ht="12" customHeight="1" x14ac:dyDescent="0.25">
      <c r="A18" s="131" t="s">
        <v>72</v>
      </c>
      <c r="B18" s="132"/>
      <c r="C18" s="132">
        <f>IF(SER_hh_emi_in!C18=0,0,1000000*SER_hh_emi_in!C18/SER_hh_num_in!C18)</f>
        <v>0</v>
      </c>
      <c r="D18" s="132">
        <f>IF(SER_hh_emi_in!D18=0,0,1000000*SER_hh_emi_in!D18/SER_hh_num_in!D18)</f>
        <v>0</v>
      </c>
      <c r="E18" s="132">
        <f>IF(SER_hh_emi_in!E18=0,0,1000000*SER_hh_emi_in!E18/SER_hh_num_in!E18)</f>
        <v>0</v>
      </c>
      <c r="F18" s="132">
        <f>IF(SER_hh_emi_in!F18=0,0,1000000*SER_hh_emi_in!F18/SER_hh_num_in!F18)</f>
        <v>0</v>
      </c>
      <c r="G18" s="132">
        <f>IF(SER_hh_emi_in!G18=0,0,1000000*SER_hh_emi_in!G18/SER_hh_num_in!G18)</f>
        <v>0</v>
      </c>
      <c r="H18" s="132">
        <f>IF(SER_hh_emi_in!H18=0,0,1000000*SER_hh_emi_in!H18/SER_hh_num_in!H18)</f>
        <v>0</v>
      </c>
      <c r="I18" s="132">
        <f>IF(SER_hh_emi_in!I18=0,0,1000000*SER_hh_emi_in!I18/SER_hh_num_in!I18)</f>
        <v>0</v>
      </c>
      <c r="J18" s="132">
        <f>IF(SER_hh_emi_in!J18=0,0,1000000*SER_hh_emi_in!J18/SER_hh_num_in!J18)</f>
        <v>0</v>
      </c>
      <c r="K18" s="132">
        <f>IF(SER_hh_emi_in!K18=0,0,1000000*SER_hh_emi_in!K18/SER_hh_num_in!K18)</f>
        <v>0</v>
      </c>
      <c r="L18" s="132">
        <f>IF(SER_hh_emi_in!L18=0,0,1000000*SER_hh_emi_in!L18/SER_hh_num_in!L18)</f>
        <v>0</v>
      </c>
      <c r="M18" s="132">
        <f>IF(SER_hh_emi_in!M18=0,0,1000000*SER_hh_emi_in!M18/SER_hh_num_in!M18)</f>
        <v>0</v>
      </c>
      <c r="N18" s="132">
        <f>IF(SER_hh_emi_in!N18=0,0,1000000*SER_hh_emi_in!N18/SER_hh_num_in!N18)</f>
        <v>0</v>
      </c>
      <c r="O18" s="132">
        <f>IF(SER_hh_emi_in!O18=0,0,1000000*SER_hh_emi_in!O18/SER_hh_num_in!O18)</f>
        <v>0</v>
      </c>
      <c r="P18" s="132">
        <f>IF(SER_hh_emi_in!P18=0,0,1000000*SER_hh_emi_in!P18/SER_hh_num_in!P18)</f>
        <v>0</v>
      </c>
      <c r="Q18" s="132">
        <f>IF(SER_hh_emi_in!Q18=0,0,1000000*SER_hh_emi_in!Q18/SER_hh_num_in!Q18)</f>
        <v>0</v>
      </c>
      <c r="R18" s="132">
        <f>IF(SER_hh_emi_in!R18=0,0,1000000*SER_hh_emi_in!R18/SER_hh_num_in!R18)</f>
        <v>0</v>
      </c>
      <c r="S18" s="132">
        <f>IF(SER_hh_emi_in!S18=0,0,1000000*SER_hh_emi_in!S18/SER_hh_num_in!S18)</f>
        <v>0</v>
      </c>
      <c r="T18" s="132">
        <f>IF(SER_hh_emi_in!T18=0,0,1000000*SER_hh_emi_in!T18/SER_hh_num_in!T18)</f>
        <v>0</v>
      </c>
      <c r="U18" s="132">
        <f>IF(SER_hh_emi_in!U18=0,0,1000000*SER_hh_emi_in!U18/SER_hh_num_in!U18)</f>
        <v>0</v>
      </c>
      <c r="V18" s="132">
        <f>IF(SER_hh_emi_in!V18=0,0,1000000*SER_hh_emi_in!V18/SER_hh_num_in!V18)</f>
        <v>0</v>
      </c>
      <c r="W18" s="132">
        <f>IF(SER_hh_emi_in!W18=0,0,1000000*SER_hh_emi_in!W18/SER_hh_num_in!W18)</f>
        <v>0</v>
      </c>
      <c r="X18" s="132">
        <f>IF(SER_hh_emi_in!X18=0,0,1000000*SER_hh_emi_in!X18/SER_hh_num_in!X18)</f>
        <v>0</v>
      </c>
      <c r="Y18" s="132">
        <f>IF(SER_hh_emi_in!Y18=0,0,1000000*SER_hh_emi_in!Y18/SER_hh_num_in!Y18)</f>
        <v>0</v>
      </c>
      <c r="DA18" s="156" t="s">
        <v>801</v>
      </c>
    </row>
    <row r="19" spans="1:105" ht="12.95" customHeight="1" x14ac:dyDescent="0.25">
      <c r="A19" s="129" t="s">
        <v>35</v>
      </c>
      <c r="B19" s="130"/>
      <c r="C19" s="130">
        <f>IF(SER_hh_emi_in!C19=0,0,1000000*SER_hh_emi_in!C19/SER_hh_num_in!C19)</f>
        <v>2401.4175473215369</v>
      </c>
      <c r="D19" s="130">
        <f>IF(SER_hh_emi_in!D19=0,0,1000000*SER_hh_emi_in!D19/SER_hh_num_in!D19)</f>
        <v>2346.0443375480049</v>
      </c>
      <c r="E19" s="130">
        <f>IF(SER_hh_emi_in!E19=0,0,1000000*SER_hh_emi_in!E19/SER_hh_num_in!E19)</f>
        <v>2625.6668930313713</v>
      </c>
      <c r="F19" s="130">
        <f>IF(SER_hh_emi_in!F19=0,0,1000000*SER_hh_emi_in!F19/SER_hh_num_in!F19)</f>
        <v>2721.1889551322374</v>
      </c>
      <c r="G19" s="130">
        <f>IF(SER_hh_emi_in!G19=0,0,1000000*SER_hh_emi_in!G19/SER_hh_num_in!G19)</f>
        <v>3111.2212827972398</v>
      </c>
      <c r="H19" s="130">
        <f>IF(SER_hh_emi_in!H19=0,0,1000000*SER_hh_emi_in!H19/SER_hh_num_in!H19)</f>
        <v>2564.4168795586111</v>
      </c>
      <c r="I19" s="130">
        <f>IF(SER_hh_emi_in!I19=0,0,1000000*SER_hh_emi_in!I19/SER_hh_num_in!I19)</f>
        <v>2442.8207733968297</v>
      </c>
      <c r="J19" s="130">
        <f>IF(SER_hh_emi_in!J19=0,0,1000000*SER_hh_emi_in!J19/SER_hh_num_in!J19)</f>
        <v>2767.6676584544134</v>
      </c>
      <c r="K19" s="130">
        <f>IF(SER_hh_emi_in!K19=0,0,1000000*SER_hh_emi_in!K19/SER_hh_num_in!K19)</f>
        <v>2644.8443389188287</v>
      </c>
      <c r="L19" s="130">
        <f>IF(SER_hh_emi_in!L19=0,0,1000000*SER_hh_emi_in!L19/SER_hh_num_in!L19)</f>
        <v>2455.5457771415172</v>
      </c>
      <c r="M19" s="130">
        <f>IF(SER_hh_emi_in!M19=0,0,1000000*SER_hh_emi_in!M19/SER_hh_num_in!M19)</f>
        <v>2712.5534337956396</v>
      </c>
      <c r="N19" s="130">
        <f>IF(SER_hh_emi_in!N19=0,0,1000000*SER_hh_emi_in!N19/SER_hh_num_in!N19)</f>
        <v>2791.7321809427481</v>
      </c>
      <c r="O19" s="130">
        <f>IF(SER_hh_emi_in!O19=0,0,1000000*SER_hh_emi_in!O19/SER_hh_num_in!O19)</f>
        <v>2662.3467550668693</v>
      </c>
      <c r="P19" s="130">
        <f>IF(SER_hh_emi_in!P19=0,0,1000000*SER_hh_emi_in!P19/SER_hh_num_in!P19)</f>
        <v>1693.894507297126</v>
      </c>
      <c r="Q19" s="130">
        <f>IF(SER_hh_emi_in!Q19=0,0,1000000*SER_hh_emi_in!Q19/SER_hh_num_in!Q19)</f>
        <v>2324.1121561751402</v>
      </c>
      <c r="R19" s="130">
        <f>IF(SER_hh_emi_in!R19=0,0,1000000*SER_hh_emi_in!R19/SER_hh_num_in!R19)</f>
        <v>2877.1166200835482</v>
      </c>
      <c r="S19" s="130">
        <f>IF(SER_hh_emi_in!S19=0,0,1000000*SER_hh_emi_in!S19/SER_hh_num_in!S19)</f>
        <v>2697.1832142959183</v>
      </c>
      <c r="T19" s="130">
        <f>IF(SER_hh_emi_in!T19=0,0,1000000*SER_hh_emi_in!T19/SER_hh_num_in!T19)</f>
        <v>2086.2823360131079</v>
      </c>
      <c r="U19" s="130">
        <f>IF(SER_hh_emi_in!U19=0,0,1000000*SER_hh_emi_in!U19/SER_hh_num_in!U19)</f>
        <v>1821.4318543501452</v>
      </c>
      <c r="V19" s="130">
        <f>IF(SER_hh_emi_in!V19=0,0,1000000*SER_hh_emi_in!V19/SER_hh_num_in!V19)</f>
        <v>1393.6469538479416</v>
      </c>
      <c r="W19" s="130">
        <f>IF(SER_hh_emi_in!W19=0,0,1000000*SER_hh_emi_in!W19/SER_hh_num_in!W19)</f>
        <v>116.99385080012402</v>
      </c>
      <c r="X19" s="130">
        <f>IF(SER_hh_emi_in!X19=0,0,1000000*SER_hh_emi_in!X19/SER_hh_num_in!X19)</f>
        <v>1968.1272626104264</v>
      </c>
      <c r="Y19" s="130">
        <f>IF(SER_hh_emi_in!Y19=0,0,1000000*SER_hh_emi_in!Y19/SER_hh_num_in!Y19)</f>
        <v>2218.6707128770813</v>
      </c>
      <c r="DA19" s="155" t="s">
        <v>802</v>
      </c>
    </row>
    <row r="20" spans="1:105" ht="12" customHeight="1" x14ac:dyDescent="0.25">
      <c r="A20" s="131" t="s">
        <v>29</v>
      </c>
      <c r="B20" s="132"/>
      <c r="C20" s="132">
        <f>IF(SER_hh_emi_in!C20=0,0,1000000*SER_hh_emi_in!C20/SER_hh_num_in!C20)</f>
        <v>0</v>
      </c>
      <c r="D20" s="132">
        <f>IF(SER_hh_emi_in!D20=0,0,1000000*SER_hh_emi_in!D20/SER_hh_num_in!D20)</f>
        <v>0</v>
      </c>
      <c r="E20" s="132">
        <f>IF(SER_hh_emi_in!E20=0,0,1000000*SER_hh_emi_in!E20/SER_hh_num_in!E20)</f>
        <v>0</v>
      </c>
      <c r="F20" s="132">
        <f>IF(SER_hh_emi_in!F20=0,0,1000000*SER_hh_emi_in!F20/SER_hh_num_in!F20)</f>
        <v>0</v>
      </c>
      <c r="G20" s="132">
        <f>IF(SER_hh_emi_in!G20=0,0,1000000*SER_hh_emi_in!G20/SER_hh_num_in!G20)</f>
        <v>0</v>
      </c>
      <c r="H20" s="132">
        <f>IF(SER_hh_emi_in!H20=0,0,1000000*SER_hh_emi_in!H20/SER_hh_num_in!H20)</f>
        <v>0</v>
      </c>
      <c r="I20" s="132">
        <f>IF(SER_hh_emi_in!I20=0,0,1000000*SER_hh_emi_in!I20/SER_hh_num_in!I20)</f>
        <v>0</v>
      </c>
      <c r="J20" s="132">
        <f>IF(SER_hh_emi_in!J20=0,0,1000000*SER_hh_emi_in!J20/SER_hh_num_in!J20)</f>
        <v>0</v>
      </c>
      <c r="K20" s="132">
        <f>IF(SER_hh_emi_in!K20=0,0,1000000*SER_hh_emi_in!K20/SER_hh_num_in!K20)</f>
        <v>0</v>
      </c>
      <c r="L20" s="132">
        <f>IF(SER_hh_emi_in!L20=0,0,1000000*SER_hh_emi_in!L20/SER_hh_num_in!L20)</f>
        <v>0</v>
      </c>
      <c r="M20" s="132">
        <f>IF(SER_hh_emi_in!M20=0,0,1000000*SER_hh_emi_in!M20/SER_hh_num_in!M20)</f>
        <v>0</v>
      </c>
      <c r="N20" s="132">
        <f>IF(SER_hh_emi_in!N20=0,0,1000000*SER_hh_emi_in!N20/SER_hh_num_in!N20)</f>
        <v>0</v>
      </c>
      <c r="O20" s="132">
        <f>IF(SER_hh_emi_in!O20=0,0,1000000*SER_hh_emi_in!O20/SER_hh_num_in!O20)</f>
        <v>0</v>
      </c>
      <c r="P20" s="132">
        <f>IF(SER_hh_emi_in!P20=0,0,1000000*SER_hh_emi_in!P20/SER_hh_num_in!P20)</f>
        <v>0</v>
      </c>
      <c r="Q20" s="132">
        <f>IF(SER_hh_emi_in!Q20=0,0,1000000*SER_hh_emi_in!Q20/SER_hh_num_in!Q20)</f>
        <v>0</v>
      </c>
      <c r="R20" s="132">
        <f>IF(SER_hh_emi_in!R20=0,0,1000000*SER_hh_emi_in!R20/SER_hh_num_in!R20)</f>
        <v>0</v>
      </c>
      <c r="S20" s="132">
        <f>IF(SER_hh_emi_in!S20=0,0,1000000*SER_hh_emi_in!S20/SER_hh_num_in!S20)</f>
        <v>0</v>
      </c>
      <c r="T20" s="132">
        <f>IF(SER_hh_emi_in!T20=0,0,1000000*SER_hh_emi_in!T20/SER_hh_num_in!T20)</f>
        <v>0</v>
      </c>
      <c r="U20" s="132">
        <f>IF(SER_hh_emi_in!U20=0,0,1000000*SER_hh_emi_in!U20/SER_hh_num_in!U20)</f>
        <v>0</v>
      </c>
      <c r="V20" s="132">
        <f>IF(SER_hh_emi_in!V20=0,0,1000000*SER_hh_emi_in!V20/SER_hh_num_in!V20)</f>
        <v>0</v>
      </c>
      <c r="W20" s="132">
        <f>IF(SER_hh_emi_in!W20=0,0,1000000*SER_hh_emi_in!W20/SER_hh_num_in!W20)</f>
        <v>0</v>
      </c>
      <c r="X20" s="132">
        <f>IF(SER_hh_emi_in!X20=0,0,1000000*SER_hh_emi_in!X20/SER_hh_num_in!X20)</f>
        <v>0</v>
      </c>
      <c r="Y20" s="132">
        <f>IF(SER_hh_emi_in!Y20=0,0,1000000*SER_hh_emi_in!Y20/SER_hh_num_in!Y20)</f>
        <v>0</v>
      </c>
      <c r="DA20" s="156" t="s">
        <v>803</v>
      </c>
    </row>
    <row r="21" spans="1:105" s="2" customFormat="1" ht="12" customHeight="1" x14ac:dyDescent="0.25">
      <c r="A21" s="131" t="s">
        <v>52</v>
      </c>
      <c r="B21" s="132"/>
      <c r="C21" s="132">
        <f>IF(SER_hh_emi_in!C21=0,0,1000000*SER_hh_emi_in!C21/SER_hh_num_in!C21)</f>
        <v>7395.2955939579078</v>
      </c>
      <c r="D21" s="132">
        <f>IF(SER_hh_emi_in!D21=0,0,1000000*SER_hh_emi_in!D21/SER_hh_num_in!D21)</f>
        <v>7255.5582143020029</v>
      </c>
      <c r="E21" s="132">
        <f>IF(SER_hh_emi_in!E21=0,0,1000000*SER_hh_emi_in!E21/SER_hh_num_in!E21)</f>
        <v>7053.5547146680037</v>
      </c>
      <c r="F21" s="132">
        <f>IF(SER_hh_emi_in!F21=0,0,1000000*SER_hh_emi_in!F21/SER_hh_num_in!F21)</f>
        <v>7125.3783023072592</v>
      </c>
      <c r="G21" s="132">
        <f>IF(SER_hh_emi_in!G21=0,0,1000000*SER_hh_emi_in!G21/SER_hh_num_in!G21)</f>
        <v>6983.0285105773301</v>
      </c>
      <c r="H21" s="132">
        <f>IF(SER_hh_emi_in!H21=0,0,1000000*SER_hh_emi_in!H21/SER_hh_num_in!H21)</f>
        <v>7272.1119181054255</v>
      </c>
      <c r="I21" s="132">
        <f>IF(SER_hh_emi_in!I21=0,0,1000000*SER_hh_emi_in!I21/SER_hh_num_in!I21)</f>
        <v>6774.4402784173717</v>
      </c>
      <c r="J21" s="132">
        <f>IF(SER_hh_emi_in!J21=0,0,1000000*SER_hh_emi_in!J21/SER_hh_num_in!J21)</f>
        <v>6535.5699619597954</v>
      </c>
      <c r="K21" s="132">
        <f>IF(SER_hh_emi_in!K21=0,0,1000000*SER_hh_emi_in!K21/SER_hh_num_in!K21)</f>
        <v>6152.0669043635362</v>
      </c>
      <c r="L21" s="132">
        <f>IF(SER_hh_emi_in!L21=0,0,1000000*SER_hh_emi_in!L21/SER_hh_num_in!L21)</f>
        <v>5900.7003615423937</v>
      </c>
      <c r="M21" s="132">
        <f>IF(SER_hh_emi_in!M21=0,0,1000000*SER_hh_emi_in!M21/SER_hh_num_in!M21)</f>
        <v>7172.6348620238605</v>
      </c>
      <c r="N21" s="132">
        <f>IF(SER_hh_emi_in!N21=0,0,1000000*SER_hh_emi_in!N21/SER_hh_num_in!N21)</f>
        <v>6486.1748459497512</v>
      </c>
      <c r="O21" s="132">
        <f>IF(SER_hh_emi_in!O21=0,0,1000000*SER_hh_emi_in!O21/SER_hh_num_in!O21)</f>
        <v>6691.4473979451623</v>
      </c>
      <c r="P21" s="132">
        <f>IF(SER_hh_emi_in!P21=0,0,1000000*SER_hh_emi_in!P21/SER_hh_num_in!P21)</f>
        <v>0</v>
      </c>
      <c r="Q21" s="132">
        <f>IF(SER_hh_emi_in!Q21=0,0,1000000*SER_hh_emi_in!Q21/SER_hh_num_in!Q21)</f>
        <v>0</v>
      </c>
      <c r="R21" s="132">
        <f>IF(SER_hh_emi_in!R21=0,0,1000000*SER_hh_emi_in!R21/SER_hh_num_in!R21)</f>
        <v>6045.2888542789397</v>
      </c>
      <c r="S21" s="132">
        <f>IF(SER_hh_emi_in!S21=0,0,1000000*SER_hh_emi_in!S21/SER_hh_num_in!S21)</f>
        <v>5888.1280138613774</v>
      </c>
      <c r="T21" s="132">
        <f>IF(SER_hh_emi_in!T21=0,0,1000000*SER_hh_emi_in!T21/SER_hh_num_in!T21)</f>
        <v>5363.6987849447314</v>
      </c>
      <c r="U21" s="132">
        <f>IF(SER_hh_emi_in!U21=0,0,1000000*SER_hh_emi_in!U21/SER_hh_num_in!U21)</f>
        <v>4792.6543441999784</v>
      </c>
      <c r="V21" s="132">
        <f>IF(SER_hh_emi_in!V21=0,0,1000000*SER_hh_emi_in!V21/SER_hh_num_in!V21)</f>
        <v>4654.5085062223898</v>
      </c>
      <c r="W21" s="132">
        <f>IF(SER_hh_emi_in!W21=0,0,1000000*SER_hh_emi_in!W21/SER_hh_num_in!W21)</f>
        <v>5090.8925407204142</v>
      </c>
      <c r="X21" s="132">
        <f>IF(SER_hh_emi_in!X21=0,0,1000000*SER_hh_emi_in!X21/SER_hh_num_in!X21)</f>
        <v>5164.5079543491956</v>
      </c>
      <c r="Y21" s="132">
        <f>IF(SER_hh_emi_in!Y21=0,0,1000000*SER_hh_emi_in!Y21/SER_hh_num_in!Y21)</f>
        <v>5160.3759442732298</v>
      </c>
      <c r="DA21" s="156" t="s">
        <v>804</v>
      </c>
    </row>
    <row r="22" spans="1:105" ht="12" customHeight="1" x14ac:dyDescent="0.25">
      <c r="A22" s="131" t="s">
        <v>161</v>
      </c>
      <c r="B22" s="132"/>
      <c r="C22" s="132">
        <f>IF(SER_hh_emi_in!C22=0,0,1000000*SER_hh_emi_in!C22/SER_hh_num_in!C22)</f>
        <v>9153.7369151535422</v>
      </c>
      <c r="D22" s="132">
        <f>IF(SER_hh_emi_in!D22=0,0,1000000*SER_hh_emi_in!D22/SER_hh_num_in!D22)</f>
        <v>0</v>
      </c>
      <c r="E22" s="132">
        <f>IF(SER_hh_emi_in!E22=0,0,1000000*SER_hh_emi_in!E22/SER_hh_num_in!E22)</f>
        <v>0</v>
      </c>
      <c r="F22" s="132">
        <f>IF(SER_hh_emi_in!F22=0,0,1000000*SER_hh_emi_in!F22/SER_hh_num_in!F22)</f>
        <v>0</v>
      </c>
      <c r="G22" s="132">
        <f>IF(SER_hh_emi_in!G22=0,0,1000000*SER_hh_emi_in!G22/SER_hh_num_in!G22)</f>
        <v>7520.8121501432515</v>
      </c>
      <c r="H22" s="132">
        <f>IF(SER_hh_emi_in!H22=0,0,1000000*SER_hh_emi_in!H22/SER_hh_num_in!H22)</f>
        <v>8840.9871857643357</v>
      </c>
      <c r="I22" s="132">
        <f>IF(SER_hh_emi_in!I22=0,0,1000000*SER_hh_emi_in!I22/SER_hh_num_in!I22)</f>
        <v>8693.9166003040446</v>
      </c>
      <c r="J22" s="132">
        <f>IF(SER_hh_emi_in!J22=0,0,1000000*SER_hh_emi_in!J22/SER_hh_num_in!J22)</f>
        <v>8499.8620749505499</v>
      </c>
      <c r="K22" s="132">
        <f>IF(SER_hh_emi_in!K22=0,0,1000000*SER_hh_emi_in!K22/SER_hh_num_in!K22)</f>
        <v>7926.4240175159166</v>
      </c>
      <c r="L22" s="132">
        <f>IF(SER_hh_emi_in!L22=0,0,1000000*SER_hh_emi_in!L22/SER_hh_num_in!L22)</f>
        <v>7359.0911662351446</v>
      </c>
      <c r="M22" s="132">
        <f>IF(SER_hh_emi_in!M22=0,0,1000000*SER_hh_emi_in!M22/SER_hh_num_in!M22)</f>
        <v>8324.6055136745126</v>
      </c>
      <c r="N22" s="132">
        <f>IF(SER_hh_emi_in!N22=0,0,1000000*SER_hh_emi_in!N22/SER_hh_num_in!N22)</f>
        <v>8111.5346179213138</v>
      </c>
      <c r="O22" s="132">
        <f>IF(SER_hh_emi_in!O22=0,0,1000000*SER_hh_emi_in!O22/SER_hh_num_in!O22)</f>
        <v>8122.7789766240385</v>
      </c>
      <c r="P22" s="132">
        <f>IF(SER_hh_emi_in!P22=0,0,1000000*SER_hh_emi_in!P22/SER_hh_num_in!P22)</f>
        <v>0</v>
      </c>
      <c r="Q22" s="132">
        <f>IF(SER_hh_emi_in!Q22=0,0,1000000*SER_hh_emi_in!Q22/SER_hh_num_in!Q22)</f>
        <v>0</v>
      </c>
      <c r="R22" s="132">
        <f>IF(SER_hh_emi_in!R22=0,0,1000000*SER_hh_emi_in!R22/SER_hh_num_in!R22)</f>
        <v>0</v>
      </c>
      <c r="S22" s="132">
        <f>IF(SER_hh_emi_in!S22=0,0,1000000*SER_hh_emi_in!S22/SER_hh_num_in!S22)</f>
        <v>0</v>
      </c>
      <c r="T22" s="132">
        <f>IF(SER_hh_emi_in!T22=0,0,1000000*SER_hh_emi_in!T22/SER_hh_num_in!T22)</f>
        <v>0</v>
      </c>
      <c r="U22" s="132">
        <f>IF(SER_hh_emi_in!U22=0,0,1000000*SER_hh_emi_in!U22/SER_hh_num_in!U22)</f>
        <v>0</v>
      </c>
      <c r="V22" s="132">
        <f>IF(SER_hh_emi_in!V22=0,0,1000000*SER_hh_emi_in!V22/SER_hh_num_in!V22)</f>
        <v>0</v>
      </c>
      <c r="W22" s="132">
        <f>IF(SER_hh_emi_in!W22=0,0,1000000*SER_hh_emi_in!W22/SER_hh_num_in!W22)</f>
        <v>5843.2095598219912</v>
      </c>
      <c r="X22" s="132">
        <f>IF(SER_hh_emi_in!X22=0,0,1000000*SER_hh_emi_in!X22/SER_hh_num_in!X22)</f>
        <v>6210.3012465558186</v>
      </c>
      <c r="Y22" s="132">
        <f>IF(SER_hh_emi_in!Y22=0,0,1000000*SER_hh_emi_in!Y22/SER_hh_num_in!Y22)</f>
        <v>5116.2877392834398</v>
      </c>
      <c r="DA22" s="156" t="s">
        <v>805</v>
      </c>
    </row>
    <row r="23" spans="1:105" ht="12" customHeight="1" x14ac:dyDescent="0.25">
      <c r="A23" s="131" t="s">
        <v>149</v>
      </c>
      <c r="B23" s="132"/>
      <c r="C23" s="132">
        <f>IF(SER_hh_emi_in!C23=0,0,1000000*SER_hh_emi_in!C23/SER_hh_num_in!C23)</f>
        <v>6361.8335643722103</v>
      </c>
      <c r="D23" s="132">
        <f>IF(SER_hh_emi_in!D23=0,0,1000000*SER_hh_emi_in!D23/SER_hh_num_in!D23)</f>
        <v>6349.608847652843</v>
      </c>
      <c r="E23" s="132">
        <f>IF(SER_hh_emi_in!E23=0,0,1000000*SER_hh_emi_in!E23/SER_hh_num_in!E23)</f>
        <v>6250.4682872431877</v>
      </c>
      <c r="F23" s="132">
        <f>IF(SER_hh_emi_in!F23=0,0,1000000*SER_hh_emi_in!F23/SER_hh_num_in!F23)</f>
        <v>6154.9018559638844</v>
      </c>
      <c r="G23" s="132">
        <f>IF(SER_hh_emi_in!G23=0,0,1000000*SER_hh_emi_in!G23/SER_hh_num_in!G23)</f>
        <v>5992.1636780657091</v>
      </c>
      <c r="H23" s="132">
        <f>IF(SER_hh_emi_in!H23=0,0,1000000*SER_hh_emi_in!H23/SER_hh_num_in!H23)</f>
        <v>6047.5373448443261</v>
      </c>
      <c r="I23" s="132">
        <f>IF(SER_hh_emi_in!I23=0,0,1000000*SER_hh_emi_in!I23/SER_hh_num_in!I23)</f>
        <v>5906.5080995731078</v>
      </c>
      <c r="J23" s="132">
        <f>IF(SER_hh_emi_in!J23=0,0,1000000*SER_hh_emi_in!J23/SER_hh_num_in!J23)</f>
        <v>5657.4280247312008</v>
      </c>
      <c r="K23" s="132">
        <f>IF(SER_hh_emi_in!K23=0,0,1000000*SER_hh_emi_in!K23/SER_hh_num_in!K23)</f>
        <v>5297.1744106641563</v>
      </c>
      <c r="L23" s="132">
        <f>IF(SER_hh_emi_in!L23=0,0,1000000*SER_hh_emi_in!L23/SER_hh_num_in!L23)</f>
        <v>5215.4245521157854</v>
      </c>
      <c r="M23" s="132">
        <f>IF(SER_hh_emi_in!M23=0,0,1000000*SER_hh_emi_in!M23/SER_hh_num_in!M23)</f>
        <v>5772.4278231395874</v>
      </c>
      <c r="N23" s="132">
        <f>IF(SER_hh_emi_in!N23=0,0,1000000*SER_hh_emi_in!N23/SER_hh_num_in!N23)</f>
        <v>5644.8874292588907</v>
      </c>
      <c r="O23" s="132">
        <f>IF(SER_hh_emi_in!O23=0,0,1000000*SER_hh_emi_in!O23/SER_hh_num_in!O23)</f>
        <v>5518.792921986581</v>
      </c>
      <c r="P23" s="132">
        <f>IF(SER_hh_emi_in!P23=0,0,1000000*SER_hh_emi_in!P23/SER_hh_num_in!P23)</f>
        <v>5324.7819698303247</v>
      </c>
      <c r="Q23" s="132">
        <f>IF(SER_hh_emi_in!Q23=0,0,1000000*SER_hh_emi_in!Q23/SER_hh_num_in!Q23)</f>
        <v>5155.4810460408753</v>
      </c>
      <c r="R23" s="132">
        <f>IF(SER_hh_emi_in!R23=0,0,1000000*SER_hh_emi_in!R23/SER_hh_num_in!R23)</f>
        <v>5002.3000044551263</v>
      </c>
      <c r="S23" s="132">
        <f>IF(SER_hh_emi_in!S23=0,0,1000000*SER_hh_emi_in!S23/SER_hh_num_in!S23)</f>
        <v>4559.0433336542583</v>
      </c>
      <c r="T23" s="132">
        <f>IF(SER_hh_emi_in!T23=0,0,1000000*SER_hh_emi_in!T23/SER_hh_num_in!T23)</f>
        <v>4312.7816310490334</v>
      </c>
      <c r="U23" s="132">
        <f>IF(SER_hh_emi_in!U23=0,0,1000000*SER_hh_emi_in!U23/SER_hh_num_in!U23)</f>
        <v>4260.0100353256621</v>
      </c>
      <c r="V23" s="132">
        <f>IF(SER_hh_emi_in!V23=0,0,1000000*SER_hh_emi_in!V23/SER_hh_num_in!V23)</f>
        <v>4144.8651794153593</v>
      </c>
      <c r="W23" s="132">
        <f>IF(SER_hh_emi_in!W23=0,0,1000000*SER_hh_emi_in!W23/SER_hh_num_in!W23)</f>
        <v>4662.1157377035124</v>
      </c>
      <c r="X23" s="132">
        <f>IF(SER_hh_emi_in!X23=0,0,1000000*SER_hh_emi_in!X23/SER_hh_num_in!X23)</f>
        <v>4610.6467135591665</v>
      </c>
      <c r="Y23" s="132">
        <f>IF(SER_hh_emi_in!Y23=0,0,1000000*SER_hh_emi_in!Y23/SER_hh_num_in!Y23)</f>
        <v>4530.5543491294029</v>
      </c>
      <c r="DA23" s="156" t="s">
        <v>806</v>
      </c>
    </row>
    <row r="24" spans="1:105" ht="12" customHeight="1" x14ac:dyDescent="0.25">
      <c r="A24" s="131" t="s">
        <v>128</v>
      </c>
      <c r="B24" s="132"/>
      <c r="C24" s="132">
        <f>IF(SER_hh_emi_in!C24=0,0,1000000*SER_hh_emi_in!C24/SER_hh_num_in!C24)</f>
        <v>0</v>
      </c>
      <c r="D24" s="132">
        <f>IF(SER_hh_emi_in!D24=0,0,1000000*SER_hh_emi_in!D24/SER_hh_num_in!D24)</f>
        <v>0</v>
      </c>
      <c r="E24" s="132">
        <f>IF(SER_hh_emi_in!E24=0,0,1000000*SER_hh_emi_in!E24/SER_hh_num_in!E24)</f>
        <v>0</v>
      </c>
      <c r="F24" s="132">
        <f>IF(SER_hh_emi_in!F24=0,0,1000000*SER_hh_emi_in!F24/SER_hh_num_in!F24)</f>
        <v>0</v>
      </c>
      <c r="G24" s="132">
        <f>IF(SER_hh_emi_in!G24=0,0,1000000*SER_hh_emi_in!G24/SER_hh_num_in!G24)</f>
        <v>0</v>
      </c>
      <c r="H24" s="132">
        <f>IF(SER_hh_emi_in!H24=0,0,1000000*SER_hh_emi_in!H24/SER_hh_num_in!H24)</f>
        <v>0</v>
      </c>
      <c r="I24" s="132">
        <f>IF(SER_hh_emi_in!I24=0,0,1000000*SER_hh_emi_in!I24/SER_hh_num_in!I24)</f>
        <v>0</v>
      </c>
      <c r="J24" s="132">
        <f>IF(SER_hh_emi_in!J24=0,0,1000000*SER_hh_emi_in!J24/SER_hh_num_in!J24)</f>
        <v>0</v>
      </c>
      <c r="K24" s="132">
        <f>IF(SER_hh_emi_in!K24=0,0,1000000*SER_hh_emi_in!K24/SER_hh_num_in!K24)</f>
        <v>0</v>
      </c>
      <c r="L24" s="132">
        <f>IF(SER_hh_emi_in!L24=0,0,1000000*SER_hh_emi_in!L24/SER_hh_num_in!L24)</f>
        <v>0</v>
      </c>
      <c r="M24" s="132">
        <f>IF(SER_hh_emi_in!M24=0,0,1000000*SER_hh_emi_in!M24/SER_hh_num_in!M24)</f>
        <v>0</v>
      </c>
      <c r="N24" s="132">
        <f>IF(SER_hh_emi_in!N24=0,0,1000000*SER_hh_emi_in!N24/SER_hh_num_in!N24)</f>
        <v>0</v>
      </c>
      <c r="O24" s="132">
        <f>IF(SER_hh_emi_in!O24=0,0,1000000*SER_hh_emi_in!O24/SER_hh_num_in!O24)</f>
        <v>0</v>
      </c>
      <c r="P24" s="132">
        <f>IF(SER_hh_emi_in!P24=0,0,1000000*SER_hh_emi_in!P24/SER_hh_num_in!P24)</f>
        <v>0</v>
      </c>
      <c r="Q24" s="132">
        <f>IF(SER_hh_emi_in!Q24=0,0,1000000*SER_hh_emi_in!Q24/SER_hh_num_in!Q24)</f>
        <v>0</v>
      </c>
      <c r="R24" s="132">
        <f>IF(SER_hh_emi_in!R24=0,0,1000000*SER_hh_emi_in!R24/SER_hh_num_in!R24)</f>
        <v>0</v>
      </c>
      <c r="S24" s="132">
        <f>IF(SER_hh_emi_in!S24=0,0,1000000*SER_hh_emi_in!S24/SER_hh_num_in!S24)</f>
        <v>0</v>
      </c>
      <c r="T24" s="132">
        <f>IF(SER_hh_emi_in!T24=0,0,1000000*SER_hh_emi_in!T24/SER_hh_num_in!T24)</f>
        <v>0</v>
      </c>
      <c r="U24" s="132">
        <f>IF(SER_hh_emi_in!U24=0,0,1000000*SER_hh_emi_in!U24/SER_hh_num_in!U24)</f>
        <v>0</v>
      </c>
      <c r="V24" s="132">
        <f>IF(SER_hh_emi_in!V24=0,0,1000000*SER_hh_emi_in!V24/SER_hh_num_in!V24)</f>
        <v>0</v>
      </c>
      <c r="W24" s="132">
        <f>IF(SER_hh_emi_in!W24=0,0,1000000*SER_hh_emi_in!W24/SER_hh_num_in!W24)</f>
        <v>0</v>
      </c>
      <c r="X24" s="132">
        <f>IF(SER_hh_emi_in!X24=0,0,1000000*SER_hh_emi_in!X24/SER_hh_num_in!X24)</f>
        <v>0</v>
      </c>
      <c r="Y24" s="132">
        <f>IF(SER_hh_emi_in!Y24=0,0,1000000*SER_hh_emi_in!Y24/SER_hh_num_in!Y24)</f>
        <v>0</v>
      </c>
      <c r="DA24" s="156" t="s">
        <v>807</v>
      </c>
    </row>
    <row r="25" spans="1:105" ht="12" customHeight="1" x14ac:dyDescent="0.25">
      <c r="A25" s="131" t="s">
        <v>162</v>
      </c>
      <c r="B25" s="132"/>
      <c r="C25" s="132">
        <f>IF(SER_hh_emi_in!C25=0,0,1000000*SER_hh_emi_in!C25/SER_hh_num_in!C25)</f>
        <v>0</v>
      </c>
      <c r="D25" s="132">
        <f>IF(SER_hh_emi_in!D25=0,0,1000000*SER_hh_emi_in!D25/SER_hh_num_in!D25)</f>
        <v>0</v>
      </c>
      <c r="E25" s="132">
        <f>IF(SER_hh_emi_in!E25=0,0,1000000*SER_hh_emi_in!E25/SER_hh_num_in!E25)</f>
        <v>0</v>
      </c>
      <c r="F25" s="132">
        <f>IF(SER_hh_emi_in!F25=0,0,1000000*SER_hh_emi_in!F25/SER_hh_num_in!F25)</f>
        <v>0</v>
      </c>
      <c r="G25" s="132">
        <f>IF(SER_hh_emi_in!G25=0,0,1000000*SER_hh_emi_in!G25/SER_hh_num_in!G25)</f>
        <v>0</v>
      </c>
      <c r="H25" s="132">
        <f>IF(SER_hh_emi_in!H25=0,0,1000000*SER_hh_emi_in!H25/SER_hh_num_in!H25)</f>
        <v>0</v>
      </c>
      <c r="I25" s="132">
        <f>IF(SER_hh_emi_in!I25=0,0,1000000*SER_hh_emi_in!I25/SER_hh_num_in!I25)</f>
        <v>0</v>
      </c>
      <c r="J25" s="132">
        <f>IF(SER_hh_emi_in!J25=0,0,1000000*SER_hh_emi_in!J25/SER_hh_num_in!J25)</f>
        <v>0</v>
      </c>
      <c r="K25" s="132">
        <f>IF(SER_hh_emi_in!K25=0,0,1000000*SER_hh_emi_in!K25/SER_hh_num_in!K25)</f>
        <v>0</v>
      </c>
      <c r="L25" s="132">
        <f>IF(SER_hh_emi_in!L25=0,0,1000000*SER_hh_emi_in!L25/SER_hh_num_in!L25)</f>
        <v>0</v>
      </c>
      <c r="M25" s="132">
        <f>IF(SER_hh_emi_in!M25=0,0,1000000*SER_hh_emi_in!M25/SER_hh_num_in!M25)</f>
        <v>0</v>
      </c>
      <c r="N25" s="132">
        <f>IF(SER_hh_emi_in!N25=0,0,1000000*SER_hh_emi_in!N25/SER_hh_num_in!N25)</f>
        <v>0</v>
      </c>
      <c r="O25" s="132">
        <f>IF(SER_hh_emi_in!O25=0,0,1000000*SER_hh_emi_in!O25/SER_hh_num_in!O25)</f>
        <v>0</v>
      </c>
      <c r="P25" s="132">
        <f>IF(SER_hh_emi_in!P25=0,0,1000000*SER_hh_emi_in!P25/SER_hh_num_in!P25)</f>
        <v>0</v>
      </c>
      <c r="Q25" s="132">
        <f>IF(SER_hh_emi_in!Q25=0,0,1000000*SER_hh_emi_in!Q25/SER_hh_num_in!Q25)</f>
        <v>0</v>
      </c>
      <c r="R25" s="132">
        <f>IF(SER_hh_emi_in!R25=0,0,1000000*SER_hh_emi_in!R25/SER_hh_num_in!R25)</f>
        <v>0</v>
      </c>
      <c r="S25" s="132">
        <f>IF(SER_hh_emi_in!S25=0,0,1000000*SER_hh_emi_in!S25/SER_hh_num_in!S25)</f>
        <v>0</v>
      </c>
      <c r="T25" s="132">
        <f>IF(SER_hh_emi_in!T25=0,0,1000000*SER_hh_emi_in!T25/SER_hh_num_in!T25)</f>
        <v>0</v>
      </c>
      <c r="U25" s="132">
        <f>IF(SER_hh_emi_in!U25=0,0,1000000*SER_hh_emi_in!U25/SER_hh_num_in!U25)</f>
        <v>0</v>
      </c>
      <c r="V25" s="132">
        <f>IF(SER_hh_emi_in!V25=0,0,1000000*SER_hh_emi_in!V25/SER_hh_num_in!V25)</f>
        <v>0</v>
      </c>
      <c r="W25" s="132">
        <f>IF(SER_hh_emi_in!W25=0,0,1000000*SER_hh_emi_in!W25/SER_hh_num_in!W25)</f>
        <v>0</v>
      </c>
      <c r="X25" s="132">
        <f>IF(SER_hh_emi_in!X25=0,0,1000000*SER_hh_emi_in!X25/SER_hh_num_in!X25)</f>
        <v>0</v>
      </c>
      <c r="Y25" s="132">
        <f>IF(SER_hh_emi_in!Y25=0,0,1000000*SER_hh_emi_in!Y25/SER_hh_num_in!Y25)</f>
        <v>0</v>
      </c>
      <c r="DA25" s="156" t="s">
        <v>808</v>
      </c>
    </row>
    <row r="26" spans="1:105" ht="12" customHeight="1" x14ac:dyDescent="0.25">
      <c r="A26" s="131" t="s">
        <v>24</v>
      </c>
      <c r="B26" s="65"/>
      <c r="C26" s="65">
        <f>IF(SER_hh_emi_in!C26=0,0,1000000*SER_hh_emi_in!C26/SER_hh_num_in!C26)</f>
        <v>0</v>
      </c>
      <c r="D26" s="65">
        <f>IF(SER_hh_emi_in!D26=0,0,1000000*SER_hh_emi_in!D26/SER_hh_num_in!D26)</f>
        <v>0</v>
      </c>
      <c r="E26" s="65">
        <f>IF(SER_hh_emi_in!E26=0,0,1000000*SER_hh_emi_in!E26/SER_hh_num_in!E26)</f>
        <v>0</v>
      </c>
      <c r="F26" s="65">
        <f>IF(SER_hh_emi_in!F26=0,0,1000000*SER_hh_emi_in!F26/SER_hh_num_in!F26)</f>
        <v>0</v>
      </c>
      <c r="G26" s="65">
        <f>IF(SER_hh_emi_in!G26=0,0,1000000*SER_hh_emi_in!G26/SER_hh_num_in!G26)</f>
        <v>0</v>
      </c>
      <c r="H26" s="65">
        <f>IF(SER_hh_emi_in!H26=0,0,1000000*SER_hh_emi_in!H26/SER_hh_num_in!H26)</f>
        <v>0</v>
      </c>
      <c r="I26" s="65">
        <f>IF(SER_hh_emi_in!I26=0,0,1000000*SER_hh_emi_in!I26/SER_hh_num_in!I26)</f>
        <v>0</v>
      </c>
      <c r="J26" s="65">
        <f>IF(SER_hh_emi_in!J26=0,0,1000000*SER_hh_emi_in!J26/SER_hh_num_in!J26)</f>
        <v>0</v>
      </c>
      <c r="K26" s="65">
        <f>IF(SER_hh_emi_in!K26=0,0,1000000*SER_hh_emi_in!K26/SER_hh_num_in!K26)</f>
        <v>0</v>
      </c>
      <c r="L26" s="65">
        <f>IF(SER_hh_emi_in!L26=0,0,1000000*SER_hh_emi_in!L26/SER_hh_num_in!L26)</f>
        <v>0</v>
      </c>
      <c r="M26" s="65">
        <f>IF(SER_hh_emi_in!M26=0,0,1000000*SER_hh_emi_in!M26/SER_hh_num_in!M26)</f>
        <v>0</v>
      </c>
      <c r="N26" s="65">
        <f>IF(SER_hh_emi_in!N26=0,0,1000000*SER_hh_emi_in!N26/SER_hh_num_in!N26)</f>
        <v>0</v>
      </c>
      <c r="O26" s="65">
        <f>IF(SER_hh_emi_in!O26=0,0,1000000*SER_hh_emi_in!O26/SER_hh_num_in!O26)</f>
        <v>0</v>
      </c>
      <c r="P26" s="65">
        <f>IF(SER_hh_emi_in!P26=0,0,1000000*SER_hh_emi_in!P26/SER_hh_num_in!P26)</f>
        <v>0</v>
      </c>
      <c r="Q26" s="65">
        <f>IF(SER_hh_emi_in!Q26=0,0,1000000*SER_hh_emi_in!Q26/SER_hh_num_in!Q26)</f>
        <v>0</v>
      </c>
      <c r="R26" s="65">
        <f>IF(SER_hh_emi_in!R26=0,0,1000000*SER_hh_emi_in!R26/SER_hh_num_in!R26)</f>
        <v>0</v>
      </c>
      <c r="S26" s="65">
        <f>IF(SER_hh_emi_in!S26=0,0,1000000*SER_hh_emi_in!S26/SER_hh_num_in!S26)</f>
        <v>0</v>
      </c>
      <c r="T26" s="65">
        <f>IF(SER_hh_emi_in!T26=0,0,1000000*SER_hh_emi_in!T26/SER_hh_num_in!T26)</f>
        <v>0</v>
      </c>
      <c r="U26" s="65">
        <f>IF(SER_hh_emi_in!U26=0,0,1000000*SER_hh_emi_in!U26/SER_hh_num_in!U26)</f>
        <v>0</v>
      </c>
      <c r="V26" s="65">
        <f>IF(SER_hh_emi_in!V26=0,0,1000000*SER_hh_emi_in!V26/SER_hh_num_in!V26)</f>
        <v>0</v>
      </c>
      <c r="W26" s="65">
        <f>IF(SER_hh_emi_in!W26=0,0,1000000*SER_hh_emi_in!W26/SER_hh_num_in!W26)</f>
        <v>0</v>
      </c>
      <c r="X26" s="65">
        <f>IF(SER_hh_emi_in!X26=0,0,1000000*SER_hh_emi_in!X26/SER_hh_num_in!X26)</f>
        <v>0</v>
      </c>
      <c r="Y26" s="65">
        <f>IF(SER_hh_emi_in!Y26=0,0,1000000*SER_hh_emi_in!Y26/SER_hh_num_in!Y26)</f>
        <v>0</v>
      </c>
      <c r="DA26" s="109" t="s">
        <v>809</v>
      </c>
    </row>
    <row r="27" spans="1:105" ht="12" customHeight="1" x14ac:dyDescent="0.25">
      <c r="A27" s="144" t="s">
        <v>86</v>
      </c>
      <c r="B27" s="147"/>
      <c r="C27" s="145">
        <f>IF(SER_hh_emi_in!C27=0,0,1000000*SER_hh_emi_in!C27/SER_hh_num_in!C19)</f>
        <v>0</v>
      </c>
      <c r="D27" s="145">
        <f>IF(SER_hh_emi_in!D27=0,0,1000000*SER_hh_emi_in!D27/SER_hh_num_in!D19)</f>
        <v>0</v>
      </c>
      <c r="E27" s="145">
        <f>IF(SER_hh_emi_in!E27=0,0,1000000*SER_hh_emi_in!E27/SER_hh_num_in!E19)</f>
        <v>0</v>
      </c>
      <c r="F27" s="145">
        <f>IF(SER_hh_emi_in!F27=0,0,1000000*SER_hh_emi_in!F27/SER_hh_num_in!F19)</f>
        <v>0</v>
      </c>
      <c r="G27" s="145">
        <f>IF(SER_hh_emi_in!G27=0,0,1000000*SER_hh_emi_in!G27/SER_hh_num_in!G19)</f>
        <v>0</v>
      </c>
      <c r="H27" s="145">
        <f>IF(SER_hh_emi_in!H27=0,0,1000000*SER_hh_emi_in!H27/SER_hh_num_in!H19)</f>
        <v>0</v>
      </c>
      <c r="I27" s="145">
        <f>IF(SER_hh_emi_in!I27=0,0,1000000*SER_hh_emi_in!I27/SER_hh_num_in!I19)</f>
        <v>0</v>
      </c>
      <c r="J27" s="145">
        <f>IF(SER_hh_emi_in!J27=0,0,1000000*SER_hh_emi_in!J27/SER_hh_num_in!J19)</f>
        <v>0</v>
      </c>
      <c r="K27" s="145">
        <f>IF(SER_hh_emi_in!K27=0,0,1000000*SER_hh_emi_in!K27/SER_hh_num_in!K19)</f>
        <v>0</v>
      </c>
      <c r="L27" s="145">
        <f>IF(SER_hh_emi_in!L27=0,0,1000000*SER_hh_emi_in!L27/SER_hh_num_in!L19)</f>
        <v>0</v>
      </c>
      <c r="M27" s="145">
        <f>IF(SER_hh_emi_in!M27=0,0,1000000*SER_hh_emi_in!M27/SER_hh_num_in!M19)</f>
        <v>0</v>
      </c>
      <c r="N27" s="145">
        <f>IF(SER_hh_emi_in!N27=0,0,1000000*SER_hh_emi_in!N27/SER_hh_num_in!N19)</f>
        <v>0</v>
      </c>
      <c r="O27" s="145">
        <f>IF(SER_hh_emi_in!O27=0,0,1000000*SER_hh_emi_in!O27/SER_hh_num_in!O19)</f>
        <v>0</v>
      </c>
      <c r="P27" s="145">
        <f>IF(SER_hh_emi_in!P27=0,0,1000000*SER_hh_emi_in!P27/SER_hh_num_in!P19)</f>
        <v>0</v>
      </c>
      <c r="Q27" s="145">
        <f>IF(SER_hh_emi_in!Q27=0,0,1000000*SER_hh_emi_in!Q27/SER_hh_num_in!Q19)</f>
        <v>0</v>
      </c>
      <c r="R27" s="145">
        <f>IF(SER_hh_emi_in!R27=0,0,1000000*SER_hh_emi_in!R27/SER_hh_num_in!R19)</f>
        <v>0</v>
      </c>
      <c r="S27" s="145">
        <f>IF(SER_hh_emi_in!S27=0,0,1000000*SER_hh_emi_in!S27/SER_hh_num_in!S19)</f>
        <v>0</v>
      </c>
      <c r="T27" s="145">
        <f>IF(SER_hh_emi_in!T27=0,0,1000000*SER_hh_emi_in!T27/SER_hh_num_in!T19)</f>
        <v>0</v>
      </c>
      <c r="U27" s="145">
        <f>IF(SER_hh_emi_in!U27=0,0,1000000*SER_hh_emi_in!U27/SER_hh_num_in!U19)</f>
        <v>0</v>
      </c>
      <c r="V27" s="145">
        <f>IF(SER_hh_emi_in!V27=0,0,1000000*SER_hh_emi_in!V27/SER_hh_num_in!V19)</f>
        <v>0</v>
      </c>
      <c r="W27" s="145">
        <f>IF(SER_hh_emi_in!W27=0,0,1000000*SER_hh_emi_in!W27/SER_hh_num_in!W19)</f>
        <v>0</v>
      </c>
      <c r="X27" s="145">
        <f>IF(SER_hh_emi_in!X27=0,0,1000000*SER_hh_emi_in!X27/SER_hh_num_in!X19)</f>
        <v>0</v>
      </c>
      <c r="Y27" s="145">
        <f>IF(SER_hh_emi_in!Y27=0,0,1000000*SER_hh_emi_in!Y27/SER_hh_num_in!Y19)</f>
        <v>0</v>
      </c>
      <c r="DA27" s="158" t="s">
        <v>810</v>
      </c>
    </row>
    <row r="28" spans="1:105" ht="12" customHeight="1" x14ac:dyDescent="0.25">
      <c r="A28" s="78" t="s">
        <v>85</v>
      </c>
      <c r="B28" s="68"/>
      <c r="C28" s="146">
        <f>IF(SER_hh_emi_in!C27=0,0,1000000*SER_hh_emi_in!C27/SER_hh_num_in!C27)</f>
        <v>0</v>
      </c>
      <c r="D28" s="146">
        <f>IF(SER_hh_emi_in!D27=0,0,1000000*SER_hh_emi_in!D27/SER_hh_num_in!D27)</f>
        <v>0</v>
      </c>
      <c r="E28" s="146">
        <f>IF(SER_hh_emi_in!E27=0,0,1000000*SER_hh_emi_in!E27/SER_hh_num_in!E27)</f>
        <v>0</v>
      </c>
      <c r="F28" s="146">
        <f>IF(SER_hh_emi_in!F27=0,0,1000000*SER_hh_emi_in!F27/SER_hh_num_in!F27)</f>
        <v>0</v>
      </c>
      <c r="G28" s="146">
        <f>IF(SER_hh_emi_in!G27=0,0,1000000*SER_hh_emi_in!G27/SER_hh_num_in!G27)</f>
        <v>0</v>
      </c>
      <c r="H28" s="146">
        <f>IF(SER_hh_emi_in!H27=0,0,1000000*SER_hh_emi_in!H27/SER_hh_num_in!H27)</f>
        <v>0</v>
      </c>
      <c r="I28" s="146">
        <f>IF(SER_hh_emi_in!I27=0,0,1000000*SER_hh_emi_in!I27/SER_hh_num_in!I27)</f>
        <v>0</v>
      </c>
      <c r="J28" s="146">
        <f>IF(SER_hh_emi_in!J27=0,0,1000000*SER_hh_emi_in!J27/SER_hh_num_in!J27)</f>
        <v>0</v>
      </c>
      <c r="K28" s="146">
        <f>IF(SER_hh_emi_in!K27=0,0,1000000*SER_hh_emi_in!K27/SER_hh_num_in!K27)</f>
        <v>0</v>
      </c>
      <c r="L28" s="146">
        <f>IF(SER_hh_emi_in!L27=0,0,1000000*SER_hh_emi_in!L27/SER_hh_num_in!L27)</f>
        <v>0</v>
      </c>
      <c r="M28" s="146">
        <f>IF(SER_hh_emi_in!M27=0,0,1000000*SER_hh_emi_in!M27/SER_hh_num_in!M27)</f>
        <v>0</v>
      </c>
      <c r="N28" s="146">
        <f>IF(SER_hh_emi_in!N27=0,0,1000000*SER_hh_emi_in!N27/SER_hh_num_in!N27)</f>
        <v>0</v>
      </c>
      <c r="O28" s="146">
        <f>IF(SER_hh_emi_in!O27=0,0,1000000*SER_hh_emi_in!O27/SER_hh_num_in!O27)</f>
        <v>0</v>
      </c>
      <c r="P28" s="146">
        <f>IF(SER_hh_emi_in!P27=0,0,1000000*SER_hh_emi_in!P27/SER_hh_num_in!P27)</f>
        <v>0</v>
      </c>
      <c r="Q28" s="146">
        <f>IF(SER_hh_emi_in!Q27=0,0,1000000*SER_hh_emi_in!Q27/SER_hh_num_in!Q27)</f>
        <v>0</v>
      </c>
      <c r="R28" s="146">
        <f>IF(SER_hh_emi_in!R27=0,0,1000000*SER_hh_emi_in!R27/SER_hh_num_in!R27)</f>
        <v>0</v>
      </c>
      <c r="S28" s="146">
        <f>IF(SER_hh_emi_in!S27=0,0,1000000*SER_hh_emi_in!S27/SER_hh_num_in!S27)</f>
        <v>0</v>
      </c>
      <c r="T28" s="146">
        <f>IF(SER_hh_emi_in!T27=0,0,1000000*SER_hh_emi_in!T27/SER_hh_num_in!T27)</f>
        <v>0</v>
      </c>
      <c r="U28" s="146">
        <f>IF(SER_hh_emi_in!U27=0,0,1000000*SER_hh_emi_in!U27/SER_hh_num_in!U27)</f>
        <v>0</v>
      </c>
      <c r="V28" s="146">
        <f>IF(SER_hh_emi_in!V27=0,0,1000000*SER_hh_emi_in!V27/SER_hh_num_in!V27)</f>
        <v>0</v>
      </c>
      <c r="W28" s="146">
        <f>IF(SER_hh_emi_in!W27=0,0,1000000*SER_hh_emi_in!W27/SER_hh_num_in!W27)</f>
        <v>0</v>
      </c>
      <c r="X28" s="146">
        <f>IF(SER_hh_emi_in!X27=0,0,1000000*SER_hh_emi_in!X27/SER_hh_num_in!X27)</f>
        <v>0</v>
      </c>
      <c r="Y28" s="146">
        <f>IF(SER_hh_emi_in!Y27=0,0,1000000*SER_hh_emi_in!Y27/SER_hh_num_in!Y27)</f>
        <v>0</v>
      </c>
      <c r="DA28" s="159"/>
    </row>
    <row r="29" spans="1:105" ht="12.95" customHeight="1" x14ac:dyDescent="0.25">
      <c r="A29" s="129" t="s">
        <v>34</v>
      </c>
      <c r="B29" s="130"/>
      <c r="C29" s="130">
        <f>IF(SER_hh_emi_in!C29=0,0,1000000*SER_hh_emi_in!C29/SER_hh_num_in!C29)</f>
        <v>3512.9010829935387</v>
      </c>
      <c r="D29" s="130">
        <f>IF(SER_hh_emi_in!D29=0,0,1000000*SER_hh_emi_in!D29/SER_hh_num_in!D29)</f>
        <v>1202.1858888139484</v>
      </c>
      <c r="E29" s="130">
        <f>IF(SER_hh_emi_in!E29=0,0,1000000*SER_hh_emi_in!E29/SER_hh_num_in!E29)</f>
        <v>1026.513312354605</v>
      </c>
      <c r="F29" s="130">
        <f>IF(SER_hh_emi_in!F29=0,0,1000000*SER_hh_emi_in!F29/SER_hh_num_in!F29)</f>
        <v>1827.3486443847098</v>
      </c>
      <c r="G29" s="130">
        <f>IF(SER_hh_emi_in!G29=0,0,1000000*SER_hh_emi_in!G29/SER_hh_num_in!G29)</f>
        <v>4116.6387877022635</v>
      </c>
      <c r="H29" s="130">
        <f>IF(SER_hh_emi_in!H29=0,0,1000000*SER_hh_emi_in!H29/SER_hh_num_in!H29)</f>
        <v>4331.0108563839758</v>
      </c>
      <c r="I29" s="130">
        <f>IF(SER_hh_emi_in!I29=0,0,1000000*SER_hh_emi_in!I29/SER_hh_num_in!I29)</f>
        <v>6032.30289148061</v>
      </c>
      <c r="J29" s="130">
        <f>IF(SER_hh_emi_in!J29=0,0,1000000*SER_hh_emi_in!J29/SER_hh_num_in!J29)</f>
        <v>5202.9776749246021</v>
      </c>
      <c r="K29" s="130">
        <f>IF(SER_hh_emi_in!K29=0,0,1000000*SER_hh_emi_in!K29/SER_hh_num_in!K29)</f>
        <v>6067.6739979604818</v>
      </c>
      <c r="L29" s="130">
        <f>IF(SER_hh_emi_in!L29=0,0,1000000*SER_hh_emi_in!L29/SER_hh_num_in!L29)</f>
        <v>5480.9618221961346</v>
      </c>
      <c r="M29" s="130">
        <f>IF(SER_hh_emi_in!M29=0,0,1000000*SER_hh_emi_in!M29/SER_hh_num_in!M29)</f>
        <v>4581.6547191043292</v>
      </c>
      <c r="N29" s="130">
        <f>IF(SER_hh_emi_in!N29=0,0,1000000*SER_hh_emi_in!N29/SER_hh_num_in!N29)</f>
        <v>4249.2880850638849</v>
      </c>
      <c r="O29" s="130">
        <f>IF(SER_hh_emi_in!O29=0,0,1000000*SER_hh_emi_in!O29/SER_hh_num_in!O29)</f>
        <v>4252.9403397503484</v>
      </c>
      <c r="P29" s="130">
        <f>IF(SER_hh_emi_in!P29=0,0,1000000*SER_hh_emi_in!P29/SER_hh_num_in!P29)</f>
        <v>5406.6758044718408</v>
      </c>
      <c r="Q29" s="130">
        <f>IF(SER_hh_emi_in!Q29=0,0,1000000*SER_hh_emi_in!Q29/SER_hh_num_in!Q29)</f>
        <v>4944.4592210464298</v>
      </c>
      <c r="R29" s="130">
        <f>IF(SER_hh_emi_in!R29=0,0,1000000*SER_hh_emi_in!R29/SER_hh_num_in!R29)</f>
        <v>5033.1714957482518</v>
      </c>
      <c r="S29" s="130">
        <f>IF(SER_hh_emi_in!S29=0,0,1000000*SER_hh_emi_in!S29/SER_hh_num_in!S29)</f>
        <v>5158.3950455220947</v>
      </c>
      <c r="T29" s="130">
        <f>IF(SER_hh_emi_in!T29=0,0,1000000*SER_hh_emi_in!T29/SER_hh_num_in!T29)</f>
        <v>5301.6093382148538</v>
      </c>
      <c r="U29" s="130">
        <f>IF(SER_hh_emi_in!U29=0,0,1000000*SER_hh_emi_in!U29/SER_hh_num_in!U29)</f>
        <v>5464.5035550855446</v>
      </c>
      <c r="V29" s="130">
        <f>IF(SER_hh_emi_in!V29=0,0,1000000*SER_hh_emi_in!V29/SER_hh_num_in!V29)</f>
        <v>4396.2800757377545</v>
      </c>
      <c r="W29" s="130">
        <f>IF(SER_hh_emi_in!W29=0,0,1000000*SER_hh_emi_in!W29/SER_hh_num_in!W29)</f>
        <v>3547.8936312930355</v>
      </c>
      <c r="X29" s="130">
        <f>IF(SER_hh_emi_in!X29=0,0,1000000*SER_hh_emi_in!X29/SER_hh_num_in!X29)</f>
        <v>1802.7508514711217</v>
      </c>
      <c r="Y29" s="130">
        <f>IF(SER_hh_emi_in!Y29=0,0,1000000*SER_hh_emi_in!Y29/SER_hh_num_in!Y29)</f>
        <v>4444.2794774312897</v>
      </c>
      <c r="DA29" s="155" t="s">
        <v>811</v>
      </c>
    </row>
    <row r="30" spans="1:105" s="2" customFormat="1" ht="12" customHeight="1" x14ac:dyDescent="0.25">
      <c r="A30" s="131" t="s">
        <v>52</v>
      </c>
      <c r="B30" s="132"/>
      <c r="C30" s="132">
        <f>IF(SER_hh_emi_in!C30=0,0,1000000*SER_hh_emi_in!C30/SER_hh_num_in!C30)</f>
        <v>7127.7665767798235</v>
      </c>
      <c r="D30" s="132">
        <f>IF(SER_hh_emi_in!D30=0,0,1000000*SER_hh_emi_in!D30/SER_hh_num_in!D30)</f>
        <v>7359.9071772252073</v>
      </c>
      <c r="E30" s="132">
        <f>IF(SER_hh_emi_in!E30=0,0,1000000*SER_hh_emi_in!E30/SER_hh_num_in!E30)</f>
        <v>7505.902344981776</v>
      </c>
      <c r="F30" s="132">
        <f>IF(SER_hh_emi_in!F30=0,0,1000000*SER_hh_emi_in!F30/SER_hh_num_in!F30)</f>
        <v>7632.9055316895101</v>
      </c>
      <c r="G30" s="132">
        <f>IF(SER_hh_emi_in!G30=0,0,1000000*SER_hh_emi_in!G30/SER_hh_num_in!G30)</f>
        <v>7728.2074718259146</v>
      </c>
      <c r="H30" s="132">
        <f>IF(SER_hh_emi_in!H30=0,0,1000000*SER_hh_emi_in!H30/SER_hh_num_in!H30)</f>
        <v>7486.9385132913621</v>
      </c>
      <c r="I30" s="132">
        <f>IF(SER_hh_emi_in!I30=0,0,1000000*SER_hh_emi_in!I30/SER_hh_num_in!I30)</f>
        <v>8417.668257103609</v>
      </c>
      <c r="J30" s="132">
        <f>IF(SER_hh_emi_in!J30=0,0,1000000*SER_hh_emi_in!J30/SER_hh_num_in!J30)</f>
        <v>6361.7574729578464</v>
      </c>
      <c r="K30" s="132">
        <f>IF(SER_hh_emi_in!K30=0,0,1000000*SER_hh_emi_in!K30/SER_hh_num_in!K30)</f>
        <v>8338.9848850828384</v>
      </c>
      <c r="L30" s="132">
        <f>IF(SER_hh_emi_in!L30=0,0,1000000*SER_hh_emi_in!L30/SER_hh_num_in!L30)</f>
        <v>8394.4862646373876</v>
      </c>
      <c r="M30" s="132">
        <f>IF(SER_hh_emi_in!M30=0,0,1000000*SER_hh_emi_in!M30/SER_hh_num_in!M30)</f>
        <v>8537.0207673787791</v>
      </c>
      <c r="N30" s="132">
        <f>IF(SER_hh_emi_in!N30=0,0,1000000*SER_hh_emi_in!N30/SER_hh_num_in!N30)</f>
        <v>7505.603820140037</v>
      </c>
      <c r="O30" s="132">
        <f>IF(SER_hh_emi_in!O30=0,0,1000000*SER_hh_emi_in!O30/SER_hh_num_in!O30)</f>
        <v>8019.3938631278197</v>
      </c>
      <c r="P30" s="132">
        <f>IF(SER_hh_emi_in!P30=0,0,1000000*SER_hh_emi_in!P30/SER_hh_num_in!P30)</f>
        <v>8814.5292914776801</v>
      </c>
      <c r="Q30" s="132">
        <f>IF(SER_hh_emi_in!Q30=0,0,1000000*SER_hh_emi_in!Q30/SER_hh_num_in!Q30)</f>
        <v>8502.0453542232353</v>
      </c>
      <c r="R30" s="132">
        <f>IF(SER_hh_emi_in!R30=0,0,1000000*SER_hh_emi_in!R30/SER_hh_num_in!R30)</f>
        <v>8460.3801020359406</v>
      </c>
      <c r="S30" s="132">
        <f>IF(SER_hh_emi_in!S30=0,0,1000000*SER_hh_emi_in!S30/SER_hh_num_in!S30)</f>
        <v>8572.6541681154631</v>
      </c>
      <c r="T30" s="132">
        <f>IF(SER_hh_emi_in!T30=0,0,1000000*SER_hh_emi_in!T30/SER_hh_num_in!T30)</f>
        <v>8395.0013697129507</v>
      </c>
      <c r="U30" s="132">
        <f>IF(SER_hh_emi_in!U30=0,0,1000000*SER_hh_emi_in!U30/SER_hh_num_in!U30)</f>
        <v>8024.049375976414</v>
      </c>
      <c r="V30" s="132">
        <f>IF(SER_hh_emi_in!V30=0,0,1000000*SER_hh_emi_in!V30/SER_hh_num_in!V30)</f>
        <v>8253.6246146683079</v>
      </c>
      <c r="W30" s="132">
        <f>IF(SER_hh_emi_in!W30=0,0,1000000*SER_hh_emi_in!W30/SER_hh_num_in!W30)</f>
        <v>8473.5874354352891</v>
      </c>
      <c r="X30" s="132">
        <f>IF(SER_hh_emi_in!X30=0,0,1000000*SER_hh_emi_in!X30/SER_hh_num_in!X30)</f>
        <v>8793.3792979271457</v>
      </c>
      <c r="Y30" s="132">
        <f>IF(SER_hh_emi_in!Y30=0,0,1000000*SER_hh_emi_in!Y30/SER_hh_num_in!Y30)</f>
        <v>8885.1473398736034</v>
      </c>
      <c r="DA30" s="156" t="s">
        <v>812</v>
      </c>
    </row>
    <row r="31" spans="1:105" ht="12" customHeight="1" x14ac:dyDescent="0.25">
      <c r="A31" s="131" t="s">
        <v>149</v>
      </c>
      <c r="B31" s="132"/>
      <c r="C31" s="132">
        <f>IF(SER_hh_emi_in!C31=0,0,1000000*SER_hh_emi_in!C31/SER_hh_num_in!C31)</f>
        <v>6421.0989456613434</v>
      </c>
      <c r="D31" s="132">
        <f>IF(SER_hh_emi_in!D31=0,0,1000000*SER_hh_emi_in!D31/SER_hh_num_in!D31)</f>
        <v>6538.6500127913987</v>
      </c>
      <c r="E31" s="132">
        <f>IF(SER_hh_emi_in!E31=0,0,1000000*SER_hh_emi_in!E31/SER_hh_num_in!E31)</f>
        <v>5967.6504492613831</v>
      </c>
      <c r="F31" s="132">
        <f>IF(SER_hh_emi_in!F31=0,0,1000000*SER_hh_emi_in!F31/SER_hh_num_in!F31)</f>
        <v>6087.2798452484058</v>
      </c>
      <c r="G31" s="132">
        <f>IF(SER_hh_emi_in!G31=0,0,1000000*SER_hh_emi_in!G31/SER_hh_num_in!G31)</f>
        <v>6968.2567783974109</v>
      </c>
      <c r="H31" s="132">
        <f>IF(SER_hh_emi_in!H31=0,0,1000000*SER_hh_emi_in!H31/SER_hh_num_in!H31)</f>
        <v>6419.6116340400895</v>
      </c>
      <c r="I31" s="132">
        <f>IF(SER_hh_emi_in!I31=0,0,1000000*SER_hh_emi_in!I31/SER_hh_num_in!I31)</f>
        <v>6950.6613210887808</v>
      </c>
      <c r="J31" s="132">
        <f>IF(SER_hh_emi_in!J31=0,0,1000000*SER_hh_emi_in!J31/SER_hh_num_in!J31)</f>
        <v>6823.8449637377716</v>
      </c>
      <c r="K31" s="132">
        <f>IF(SER_hh_emi_in!K31=0,0,1000000*SER_hh_emi_in!K31/SER_hh_num_in!K31)</f>
        <v>7132.5980819493752</v>
      </c>
      <c r="L31" s="132">
        <f>IF(SER_hh_emi_in!L31=0,0,1000000*SER_hh_emi_in!L31/SER_hh_num_in!L31)</f>
        <v>7093.5851203083275</v>
      </c>
      <c r="M31" s="132">
        <f>IF(SER_hh_emi_in!M31=0,0,1000000*SER_hh_emi_in!M31/SER_hh_num_in!M31)</f>
        <v>7064.7599306425336</v>
      </c>
      <c r="N31" s="132">
        <f>IF(SER_hh_emi_in!N31=0,0,1000000*SER_hh_emi_in!N31/SER_hh_num_in!N31)</f>
        <v>7090.171226436104</v>
      </c>
      <c r="O31" s="132">
        <f>IF(SER_hh_emi_in!O31=0,0,1000000*SER_hh_emi_in!O31/SER_hh_num_in!O31)</f>
        <v>7125.7740385239304</v>
      </c>
      <c r="P31" s="132">
        <f>IF(SER_hh_emi_in!P31=0,0,1000000*SER_hh_emi_in!P31/SER_hh_num_in!P31)</f>
        <v>7417.7604935696563</v>
      </c>
      <c r="Q31" s="132">
        <f>IF(SER_hh_emi_in!Q31=0,0,1000000*SER_hh_emi_in!Q31/SER_hh_num_in!Q31)</f>
        <v>7343.018227577325</v>
      </c>
      <c r="R31" s="132">
        <f>IF(SER_hh_emi_in!R31=0,0,1000000*SER_hh_emi_in!R31/SER_hh_num_in!R31)</f>
        <v>7511.5338367129652</v>
      </c>
      <c r="S31" s="132">
        <f>IF(SER_hh_emi_in!S31=0,0,1000000*SER_hh_emi_in!S31/SER_hh_num_in!S31)</f>
        <v>7448.630651163724</v>
      </c>
      <c r="T31" s="132">
        <f>IF(SER_hh_emi_in!T31=0,0,1000000*SER_hh_emi_in!T31/SER_hh_num_in!T31)</f>
        <v>6849.9393911731668</v>
      </c>
      <c r="U31" s="132">
        <f>IF(SER_hh_emi_in!U31=0,0,1000000*SER_hh_emi_in!U31/SER_hh_num_in!U31)</f>
        <v>7518.5872318367674</v>
      </c>
      <c r="V31" s="132">
        <f>IF(SER_hh_emi_in!V31=0,0,1000000*SER_hh_emi_in!V31/SER_hh_num_in!V31)</f>
        <v>6875.1369560666562</v>
      </c>
      <c r="W31" s="132">
        <f>IF(SER_hh_emi_in!W31=0,0,1000000*SER_hh_emi_in!W31/SER_hh_num_in!W31)</f>
        <v>6860.121842567064</v>
      </c>
      <c r="X31" s="132">
        <f>IF(SER_hh_emi_in!X31=0,0,1000000*SER_hh_emi_in!X31/SER_hh_num_in!X31)</f>
        <v>7469.7021701431649</v>
      </c>
      <c r="Y31" s="132">
        <f>IF(SER_hh_emi_in!Y31=0,0,1000000*SER_hh_emi_in!Y31/SER_hh_num_in!Y31)</f>
        <v>7680.0853977785155</v>
      </c>
      <c r="DA31" s="156" t="s">
        <v>813</v>
      </c>
    </row>
    <row r="32" spans="1:105" ht="12" customHeight="1" x14ac:dyDescent="0.25">
      <c r="A32" s="131" t="s">
        <v>128</v>
      </c>
      <c r="B32" s="132"/>
      <c r="C32" s="132">
        <f>IF(SER_hh_emi_in!C32=0,0,1000000*SER_hh_emi_in!C32/SER_hh_num_in!C32)</f>
        <v>0</v>
      </c>
      <c r="D32" s="132">
        <f>IF(SER_hh_emi_in!D32=0,0,1000000*SER_hh_emi_in!D32/SER_hh_num_in!D32)</f>
        <v>0</v>
      </c>
      <c r="E32" s="132">
        <f>IF(SER_hh_emi_in!E32=0,0,1000000*SER_hh_emi_in!E32/SER_hh_num_in!E32)</f>
        <v>0</v>
      </c>
      <c r="F32" s="132">
        <f>IF(SER_hh_emi_in!F32=0,0,1000000*SER_hh_emi_in!F32/SER_hh_num_in!F32)</f>
        <v>0</v>
      </c>
      <c r="G32" s="132">
        <f>IF(SER_hh_emi_in!G32=0,0,1000000*SER_hh_emi_in!G32/SER_hh_num_in!G32)</f>
        <v>0</v>
      </c>
      <c r="H32" s="132">
        <f>IF(SER_hh_emi_in!H32=0,0,1000000*SER_hh_emi_in!H32/SER_hh_num_in!H32)</f>
        <v>0</v>
      </c>
      <c r="I32" s="132">
        <f>IF(SER_hh_emi_in!I32=0,0,1000000*SER_hh_emi_in!I32/SER_hh_num_in!I32)</f>
        <v>0</v>
      </c>
      <c r="J32" s="132">
        <f>IF(SER_hh_emi_in!J32=0,0,1000000*SER_hh_emi_in!J32/SER_hh_num_in!J32)</f>
        <v>0</v>
      </c>
      <c r="K32" s="132">
        <f>IF(SER_hh_emi_in!K32=0,0,1000000*SER_hh_emi_in!K32/SER_hh_num_in!K32)</f>
        <v>0</v>
      </c>
      <c r="L32" s="132">
        <f>IF(SER_hh_emi_in!L32=0,0,1000000*SER_hh_emi_in!L32/SER_hh_num_in!L32)</f>
        <v>0</v>
      </c>
      <c r="M32" s="132">
        <f>IF(SER_hh_emi_in!M32=0,0,1000000*SER_hh_emi_in!M32/SER_hh_num_in!M32)</f>
        <v>0</v>
      </c>
      <c r="N32" s="132">
        <f>IF(SER_hh_emi_in!N32=0,0,1000000*SER_hh_emi_in!N32/SER_hh_num_in!N32)</f>
        <v>0</v>
      </c>
      <c r="O32" s="132">
        <f>IF(SER_hh_emi_in!O32=0,0,1000000*SER_hh_emi_in!O32/SER_hh_num_in!O32)</f>
        <v>0</v>
      </c>
      <c r="P32" s="132">
        <f>IF(SER_hh_emi_in!P32=0,0,1000000*SER_hh_emi_in!P32/SER_hh_num_in!P32)</f>
        <v>0</v>
      </c>
      <c r="Q32" s="132">
        <f>IF(SER_hh_emi_in!Q32=0,0,1000000*SER_hh_emi_in!Q32/SER_hh_num_in!Q32)</f>
        <v>0</v>
      </c>
      <c r="R32" s="132">
        <f>IF(SER_hh_emi_in!R32=0,0,1000000*SER_hh_emi_in!R32/SER_hh_num_in!R32)</f>
        <v>0</v>
      </c>
      <c r="S32" s="132">
        <f>IF(SER_hh_emi_in!S32=0,0,1000000*SER_hh_emi_in!S32/SER_hh_num_in!S32)</f>
        <v>0</v>
      </c>
      <c r="T32" s="132">
        <f>IF(SER_hh_emi_in!T32=0,0,1000000*SER_hh_emi_in!T32/SER_hh_num_in!T32)</f>
        <v>0</v>
      </c>
      <c r="U32" s="132">
        <f>IF(SER_hh_emi_in!U32=0,0,1000000*SER_hh_emi_in!U32/SER_hh_num_in!U32)</f>
        <v>0</v>
      </c>
      <c r="V32" s="132">
        <f>IF(SER_hh_emi_in!V32=0,0,1000000*SER_hh_emi_in!V32/SER_hh_num_in!V32)</f>
        <v>0</v>
      </c>
      <c r="W32" s="132">
        <f>IF(SER_hh_emi_in!W32=0,0,1000000*SER_hh_emi_in!W32/SER_hh_num_in!W32)</f>
        <v>0</v>
      </c>
      <c r="X32" s="132">
        <f>IF(SER_hh_emi_in!X32=0,0,1000000*SER_hh_emi_in!X32/SER_hh_num_in!X32)</f>
        <v>0</v>
      </c>
      <c r="Y32" s="132">
        <f>IF(SER_hh_emi_in!Y32=0,0,1000000*SER_hh_emi_in!Y32/SER_hh_num_in!Y32)</f>
        <v>0</v>
      </c>
      <c r="DA32" s="156" t="s">
        <v>814</v>
      </c>
    </row>
    <row r="33" spans="1:105" ht="12" customHeight="1" x14ac:dyDescent="0.25">
      <c r="A33" s="62" t="s">
        <v>24</v>
      </c>
      <c r="B33" s="68"/>
      <c r="C33" s="68">
        <f>IF(SER_hh_emi_in!C33=0,0,1000000*SER_hh_emi_in!C33/SER_hh_num_in!C33)</f>
        <v>0</v>
      </c>
      <c r="D33" s="68">
        <f>IF(SER_hh_emi_in!D33=0,0,1000000*SER_hh_emi_in!D33/SER_hh_num_in!D33)</f>
        <v>0</v>
      </c>
      <c r="E33" s="68">
        <f>IF(SER_hh_emi_in!E33=0,0,1000000*SER_hh_emi_in!E33/SER_hh_num_in!E33)</f>
        <v>0</v>
      </c>
      <c r="F33" s="68">
        <f>IF(SER_hh_emi_in!F33=0,0,1000000*SER_hh_emi_in!F33/SER_hh_num_in!F33)</f>
        <v>0</v>
      </c>
      <c r="G33" s="68">
        <f>IF(SER_hh_emi_in!G33=0,0,1000000*SER_hh_emi_in!G33/SER_hh_num_in!G33)</f>
        <v>0</v>
      </c>
      <c r="H33" s="68">
        <f>IF(SER_hh_emi_in!H33=0,0,1000000*SER_hh_emi_in!H33/SER_hh_num_in!H33)</f>
        <v>0</v>
      </c>
      <c r="I33" s="68">
        <f>IF(SER_hh_emi_in!I33=0,0,1000000*SER_hh_emi_in!I33/SER_hh_num_in!I33)</f>
        <v>0</v>
      </c>
      <c r="J33" s="68">
        <f>IF(SER_hh_emi_in!J33=0,0,1000000*SER_hh_emi_in!J33/SER_hh_num_in!J33)</f>
        <v>0</v>
      </c>
      <c r="K33" s="68">
        <f>IF(SER_hh_emi_in!K33=0,0,1000000*SER_hh_emi_in!K33/SER_hh_num_in!K33)</f>
        <v>0</v>
      </c>
      <c r="L33" s="68">
        <f>IF(SER_hh_emi_in!L33=0,0,1000000*SER_hh_emi_in!L33/SER_hh_num_in!L33)</f>
        <v>0</v>
      </c>
      <c r="M33" s="68">
        <f>IF(SER_hh_emi_in!M33=0,0,1000000*SER_hh_emi_in!M33/SER_hh_num_in!M33)</f>
        <v>0</v>
      </c>
      <c r="N33" s="68">
        <f>IF(SER_hh_emi_in!N33=0,0,1000000*SER_hh_emi_in!N33/SER_hh_num_in!N33)</f>
        <v>0</v>
      </c>
      <c r="O33" s="68">
        <f>IF(SER_hh_emi_in!O33=0,0,1000000*SER_hh_emi_in!O33/SER_hh_num_in!O33)</f>
        <v>0</v>
      </c>
      <c r="P33" s="68">
        <f>IF(SER_hh_emi_in!P33=0,0,1000000*SER_hh_emi_in!P33/SER_hh_num_in!P33)</f>
        <v>0</v>
      </c>
      <c r="Q33" s="68">
        <f>IF(SER_hh_emi_in!Q33=0,0,1000000*SER_hh_emi_in!Q33/SER_hh_num_in!Q33)</f>
        <v>0</v>
      </c>
      <c r="R33" s="68">
        <f>IF(SER_hh_emi_in!R33=0,0,1000000*SER_hh_emi_in!R33/SER_hh_num_in!R33)</f>
        <v>0</v>
      </c>
      <c r="S33" s="68">
        <f>IF(SER_hh_emi_in!S33=0,0,1000000*SER_hh_emi_in!S33/SER_hh_num_in!S33)</f>
        <v>0</v>
      </c>
      <c r="T33" s="68">
        <f>IF(SER_hh_emi_in!T33=0,0,1000000*SER_hh_emi_in!T33/SER_hh_num_in!T33)</f>
        <v>0</v>
      </c>
      <c r="U33" s="68">
        <f>IF(SER_hh_emi_in!U33=0,0,1000000*SER_hh_emi_in!U33/SER_hh_num_in!U33)</f>
        <v>0</v>
      </c>
      <c r="V33" s="68">
        <f>IF(SER_hh_emi_in!V33=0,0,1000000*SER_hh_emi_in!V33/SER_hh_num_in!V33)</f>
        <v>0</v>
      </c>
      <c r="W33" s="68">
        <f>IF(SER_hh_emi_in!W33=0,0,1000000*SER_hh_emi_in!W33/SER_hh_num_in!W33)</f>
        <v>0</v>
      </c>
      <c r="X33" s="68">
        <f>IF(SER_hh_emi_in!X33=0,0,1000000*SER_hh_emi_in!X33/SER_hh_num_in!X33)</f>
        <v>0</v>
      </c>
      <c r="Y33" s="68">
        <f>IF(SER_hh_emi_in!Y33=0,0,1000000*SER_hh_emi_in!Y33/SER_hh_num_in!Y33)</f>
        <v>0</v>
      </c>
      <c r="DA33" s="111" t="s">
        <v>815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816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90</v>
      </c>
      <c r="B3" s="125"/>
      <c r="C3" s="125">
        <f>IF(SER_hh_fech_in!C3=0,0,SER_hh_fech_in!C3/SER_summary!C$27)</f>
        <v>209.85296779174729</v>
      </c>
      <c r="D3" s="125">
        <f>IF(SER_hh_fech_in!D3=0,0,SER_hh_fech_in!D3/SER_summary!D$27)</f>
        <v>196.7164031898059</v>
      </c>
      <c r="E3" s="125">
        <f>IF(SER_hh_fech_in!E3=0,0,SER_hh_fech_in!E3/SER_summary!E$27)</f>
        <v>236.24689635138446</v>
      </c>
      <c r="F3" s="125">
        <f>IF(SER_hh_fech_in!F3=0,0,SER_hh_fech_in!F3/SER_summary!F$27)</f>
        <v>219.42447624769781</v>
      </c>
      <c r="G3" s="125">
        <f>IF(SER_hh_fech_in!G3=0,0,SER_hh_fech_in!G3/SER_summary!G$27)</f>
        <v>240.69157411288325</v>
      </c>
      <c r="H3" s="125">
        <f>IF(SER_hh_fech_in!H3=0,0,SER_hh_fech_in!H3/SER_summary!H$27)</f>
        <v>244.51415594683303</v>
      </c>
      <c r="I3" s="125">
        <f>IF(SER_hh_fech_in!I3=0,0,SER_hh_fech_in!I3/SER_summary!I$27)</f>
        <v>231.34278028081229</v>
      </c>
      <c r="J3" s="125">
        <f>IF(SER_hh_fech_in!J3=0,0,SER_hh_fech_in!J3/SER_summary!J$27)</f>
        <v>257.88085824576393</v>
      </c>
      <c r="K3" s="125">
        <f>IF(SER_hh_fech_in!K3=0,0,SER_hh_fech_in!K3/SER_summary!K$27)</f>
        <v>240.20527156284317</v>
      </c>
      <c r="L3" s="125">
        <f>IF(SER_hh_fech_in!L3=0,0,SER_hh_fech_in!L3/SER_summary!L$27)</f>
        <v>222.2628002362722</v>
      </c>
      <c r="M3" s="125">
        <f>IF(SER_hh_fech_in!M3=0,0,SER_hh_fech_in!M3/SER_summary!M$27)</f>
        <v>188.38889256755979</v>
      </c>
      <c r="N3" s="125">
        <f>IF(SER_hh_fech_in!N3=0,0,SER_hh_fech_in!N3/SER_summary!N$27)</f>
        <v>172.53737719046305</v>
      </c>
      <c r="O3" s="125">
        <f>IF(SER_hh_fech_in!O3=0,0,SER_hh_fech_in!O3/SER_summary!O$27)</f>
        <v>130.36029067110721</v>
      </c>
      <c r="P3" s="125">
        <f>IF(SER_hh_fech_in!P3=0,0,SER_hh_fech_in!P3/SER_summary!P$27)</f>
        <v>102.64573601879087</v>
      </c>
      <c r="Q3" s="125">
        <f>IF(SER_hh_fech_in!Q3=0,0,SER_hh_fech_in!Q3/SER_summary!Q$27)</f>
        <v>110.94749638622164</v>
      </c>
      <c r="R3" s="125">
        <f>IF(SER_hh_fech_in!R3=0,0,SER_hh_fech_in!R3/SER_summary!R$27)</f>
        <v>114.98031224889169</v>
      </c>
      <c r="S3" s="125">
        <f>IF(SER_hh_fech_in!S3=0,0,SER_hh_fech_in!S3/SER_summary!S$27)</f>
        <v>177.46627453659721</v>
      </c>
      <c r="T3" s="125">
        <f>IF(SER_hh_fech_in!T3=0,0,SER_hh_fech_in!T3/SER_summary!T$27)</f>
        <v>191.0251537081983</v>
      </c>
      <c r="U3" s="125">
        <f>IF(SER_hh_fech_in!U3=0,0,SER_hh_fech_in!U3/SER_summary!U$27)</f>
        <v>170.01761962067658</v>
      </c>
      <c r="V3" s="125">
        <f>IF(SER_hh_fech_in!V3=0,0,SER_hh_fech_in!V3/SER_summary!V$27)</f>
        <v>131.51085029347951</v>
      </c>
      <c r="W3" s="125">
        <f>IF(SER_hh_fech_in!W3=0,0,SER_hh_fech_in!W3/SER_summary!W$27)</f>
        <v>127.23057259685871</v>
      </c>
      <c r="X3" s="125">
        <f>IF(SER_hh_fech_in!X3=0,0,SER_hh_fech_in!X3/SER_summary!X$27)</f>
        <v>107.40129642665643</v>
      </c>
      <c r="Y3" s="125">
        <f>IF(SER_hh_fech_in!Y3=0,0,SER_hh_fech_in!Y3/SER_summary!Y$27)</f>
        <v>115.11035263048065</v>
      </c>
      <c r="DA3" s="154" t="s">
        <v>817</v>
      </c>
    </row>
    <row r="4" spans="1:105" ht="12.95" customHeight="1" x14ac:dyDescent="0.25">
      <c r="A4" s="129" t="s">
        <v>32</v>
      </c>
      <c r="B4" s="130"/>
      <c r="C4" s="130">
        <f>IF(SER_hh_fech_in!C4=0,0,SER_hh_fech_in!C4/SER_summary!C$27)</f>
        <v>135.92321679820265</v>
      </c>
      <c r="D4" s="130">
        <f>IF(SER_hh_fech_in!D4=0,0,SER_hh_fech_in!D4/SER_summary!D$27)</f>
        <v>128.53221753660796</v>
      </c>
      <c r="E4" s="130">
        <f>IF(SER_hh_fech_in!E4=0,0,SER_hh_fech_in!E4/SER_summary!E$27)</f>
        <v>153.14708064810097</v>
      </c>
      <c r="F4" s="130">
        <f>IF(SER_hh_fech_in!F4=0,0,SER_hh_fech_in!F4/SER_summary!F$27)</f>
        <v>147.13064399264093</v>
      </c>
      <c r="G4" s="130">
        <f>IF(SER_hh_fech_in!G4=0,0,SER_hh_fech_in!G4/SER_summary!G$27)</f>
        <v>167.70774594932678</v>
      </c>
      <c r="H4" s="130">
        <f>IF(SER_hh_fech_in!H4=0,0,SER_hh_fech_in!H4/SER_summary!H$27)</f>
        <v>170.17320690408576</v>
      </c>
      <c r="I4" s="130">
        <f>IF(SER_hh_fech_in!I4=0,0,SER_hh_fech_in!I4/SER_summary!I$27)</f>
        <v>155.30624734775688</v>
      </c>
      <c r="J4" s="130">
        <f>IF(SER_hh_fech_in!J4=0,0,SER_hh_fech_in!J4/SER_summary!J$27)</f>
        <v>184.1884809507097</v>
      </c>
      <c r="K4" s="130">
        <f>IF(SER_hh_fech_in!K4=0,0,SER_hh_fech_in!K4/SER_summary!K$27)</f>
        <v>165.81181488594891</v>
      </c>
      <c r="L4" s="130">
        <f>IF(SER_hh_fech_in!L4=0,0,SER_hh_fech_in!L4/SER_summary!L$27)</f>
        <v>151.4334805309847</v>
      </c>
      <c r="M4" s="130">
        <f>IF(SER_hh_fech_in!M4=0,0,SER_hh_fech_in!M4/SER_summary!M$27)</f>
        <v>115.86664515279925</v>
      </c>
      <c r="N4" s="130">
        <f>IF(SER_hh_fech_in!N4=0,0,SER_hh_fech_in!N4/SER_summary!N$27)</f>
        <v>97.83034226961064</v>
      </c>
      <c r="O4" s="130">
        <f>IF(SER_hh_fech_in!O4=0,0,SER_hh_fech_in!O4/SER_summary!O$27)</f>
        <v>60.722957581108503</v>
      </c>
      <c r="P4" s="130">
        <f>IF(SER_hh_fech_in!P4=0,0,SER_hh_fech_in!P4/SER_summary!P$27)</f>
        <v>33.471316337173974</v>
      </c>
      <c r="Q4" s="130">
        <f>IF(SER_hh_fech_in!Q4=0,0,SER_hh_fech_in!Q4/SER_summary!Q$27)</f>
        <v>37.893794265982187</v>
      </c>
      <c r="R4" s="130">
        <f>IF(SER_hh_fech_in!R4=0,0,SER_hh_fech_in!R4/SER_summary!R$27)</f>
        <v>46.421497781235374</v>
      </c>
      <c r="S4" s="130">
        <f>IF(SER_hh_fech_in!S4=0,0,SER_hh_fech_in!S4/SER_summary!S$27)</f>
        <v>107.44511521884093</v>
      </c>
      <c r="T4" s="130">
        <f>IF(SER_hh_fech_in!T4=0,0,SER_hh_fech_in!T4/SER_summary!T$27)</f>
        <v>123.95328504941041</v>
      </c>
      <c r="U4" s="130">
        <f>IF(SER_hh_fech_in!U4=0,0,SER_hh_fech_in!U4/SER_summary!U$27)</f>
        <v>103.43384444092347</v>
      </c>
      <c r="V4" s="130">
        <f>IF(SER_hh_fech_in!V4=0,0,SER_hh_fech_in!V4/SER_summary!V$27)</f>
        <v>75.225740867457787</v>
      </c>
      <c r="W4" s="130">
        <f>IF(SER_hh_fech_in!W4=0,0,SER_hh_fech_in!W4/SER_summary!W$27)</f>
        <v>63.513571506546974</v>
      </c>
      <c r="X4" s="130">
        <f>IF(SER_hh_fech_in!X4=0,0,SER_hh_fech_in!X4/SER_summary!X$27)</f>
        <v>45.434639688212272</v>
      </c>
      <c r="Y4" s="130">
        <f>IF(SER_hh_fech_in!Y4=0,0,SER_hh_fech_in!Y4/SER_summary!Y$27)</f>
        <v>49.786240277889512</v>
      </c>
      <c r="DA4" s="155" t="s">
        <v>818</v>
      </c>
    </row>
    <row r="5" spans="1:105" ht="12" customHeight="1" x14ac:dyDescent="0.25">
      <c r="A5" s="131" t="s">
        <v>29</v>
      </c>
      <c r="B5" s="132"/>
      <c r="C5" s="132">
        <f>IF(SER_hh_fech_in!C5=0,0,SER_hh_fech_in!C5/SER_summary!C$27)</f>
        <v>0</v>
      </c>
      <c r="D5" s="132">
        <f>IF(SER_hh_fech_in!D5=0,0,SER_hh_fech_in!D5/SER_summary!D$27)</f>
        <v>0</v>
      </c>
      <c r="E5" s="132">
        <f>IF(SER_hh_fech_in!E5=0,0,SER_hh_fech_in!E5/SER_summary!E$27)</f>
        <v>0</v>
      </c>
      <c r="F5" s="132">
        <f>IF(SER_hh_fech_in!F5=0,0,SER_hh_fech_in!F5/SER_summary!F$27)</f>
        <v>0</v>
      </c>
      <c r="G5" s="132">
        <f>IF(SER_hh_fech_in!G5=0,0,SER_hh_fech_in!G5/SER_summary!G$27)</f>
        <v>0</v>
      </c>
      <c r="H5" s="132">
        <f>IF(SER_hh_fech_in!H5=0,0,SER_hh_fech_in!H5/SER_summary!H$27)</f>
        <v>0</v>
      </c>
      <c r="I5" s="132">
        <f>IF(SER_hh_fech_in!I5=0,0,SER_hh_fech_in!I5/SER_summary!I$27)</f>
        <v>0</v>
      </c>
      <c r="J5" s="132">
        <f>IF(SER_hh_fech_in!J5=0,0,SER_hh_fech_in!J5/SER_summary!J$27)</f>
        <v>0</v>
      </c>
      <c r="K5" s="132">
        <f>IF(SER_hh_fech_in!K5=0,0,SER_hh_fech_in!K5/SER_summary!K$27)</f>
        <v>0</v>
      </c>
      <c r="L5" s="132">
        <f>IF(SER_hh_fech_in!L5=0,0,SER_hh_fech_in!L5/SER_summary!L$27)</f>
        <v>0</v>
      </c>
      <c r="M5" s="132">
        <f>IF(SER_hh_fech_in!M5=0,0,SER_hh_fech_in!M5/SER_summary!M$27)</f>
        <v>0</v>
      </c>
      <c r="N5" s="132">
        <f>IF(SER_hh_fech_in!N5=0,0,SER_hh_fech_in!N5/SER_summary!N$27)</f>
        <v>0</v>
      </c>
      <c r="O5" s="132">
        <f>IF(SER_hh_fech_in!O5=0,0,SER_hh_fech_in!O5/SER_summary!O$27)</f>
        <v>0</v>
      </c>
      <c r="P5" s="132">
        <f>IF(SER_hh_fech_in!P5=0,0,SER_hh_fech_in!P5/SER_summary!P$27)</f>
        <v>0</v>
      </c>
      <c r="Q5" s="132">
        <f>IF(SER_hh_fech_in!Q5=0,0,SER_hh_fech_in!Q5/SER_summary!Q$27)</f>
        <v>0</v>
      </c>
      <c r="R5" s="132">
        <f>IF(SER_hh_fech_in!R5=0,0,SER_hh_fech_in!R5/SER_summary!R$27)</f>
        <v>0</v>
      </c>
      <c r="S5" s="132">
        <f>IF(SER_hh_fech_in!S5=0,0,SER_hh_fech_in!S5/SER_summary!S$27)</f>
        <v>0</v>
      </c>
      <c r="T5" s="132">
        <f>IF(SER_hh_fech_in!T5=0,0,SER_hh_fech_in!T5/SER_summary!T$27)</f>
        <v>0</v>
      </c>
      <c r="U5" s="132">
        <f>IF(SER_hh_fech_in!U5=0,0,SER_hh_fech_in!U5/SER_summary!U$27)</f>
        <v>0</v>
      </c>
      <c r="V5" s="132">
        <f>IF(SER_hh_fech_in!V5=0,0,SER_hh_fech_in!V5/SER_summary!V$27)</f>
        <v>0</v>
      </c>
      <c r="W5" s="132">
        <f>IF(SER_hh_fech_in!W5=0,0,SER_hh_fech_in!W5/SER_summary!W$27)</f>
        <v>0</v>
      </c>
      <c r="X5" s="132">
        <f>IF(SER_hh_fech_in!X5=0,0,SER_hh_fech_in!X5/SER_summary!X$27)</f>
        <v>0</v>
      </c>
      <c r="Y5" s="132">
        <f>IF(SER_hh_fech_in!Y5=0,0,SER_hh_fech_in!Y5/SER_summary!Y$27)</f>
        <v>0</v>
      </c>
      <c r="DA5" s="156" t="s">
        <v>819</v>
      </c>
    </row>
    <row r="6" spans="1:105" ht="12" customHeight="1" x14ac:dyDescent="0.25">
      <c r="A6" s="131" t="s">
        <v>52</v>
      </c>
      <c r="B6" s="132"/>
      <c r="C6" s="132">
        <f>IF(SER_hh_fech_in!C6=0,0,SER_hh_fech_in!C6/SER_summary!C$27)</f>
        <v>152.79137767121276</v>
      </c>
      <c r="D6" s="132">
        <f>IF(SER_hh_fech_in!D6=0,0,SER_hh_fech_in!D6/SER_summary!D$27)</f>
        <v>143.55502743176231</v>
      </c>
      <c r="E6" s="132">
        <f>IF(SER_hh_fech_in!E6=0,0,SER_hh_fech_in!E6/SER_summary!E$27)</f>
        <v>171.65290613417304</v>
      </c>
      <c r="F6" s="132">
        <f>IF(SER_hh_fech_in!F6=0,0,SER_hh_fech_in!F6/SER_summary!F$27)</f>
        <v>173.21323708875079</v>
      </c>
      <c r="G6" s="132">
        <f>IF(SER_hh_fech_in!G6=0,0,SER_hh_fech_in!G6/SER_summary!G$27)</f>
        <v>197.69642242784758</v>
      </c>
      <c r="H6" s="132">
        <f>IF(SER_hh_fech_in!H6=0,0,SER_hh_fech_in!H6/SER_summary!H$27)</f>
        <v>196.17988798178243</v>
      </c>
      <c r="I6" s="132">
        <f>IF(SER_hh_fech_in!I6=0,0,SER_hh_fech_in!I6/SER_summary!I$27)</f>
        <v>181.23694947040616</v>
      </c>
      <c r="J6" s="132">
        <f>IF(SER_hh_fech_in!J6=0,0,SER_hh_fech_in!J6/SER_summary!J$27)</f>
        <v>207.9594082482229</v>
      </c>
      <c r="K6" s="132">
        <f>IF(SER_hh_fech_in!K6=0,0,SER_hh_fech_in!K6/SER_summary!K$27)</f>
        <v>204.69689480590276</v>
      </c>
      <c r="L6" s="132">
        <f>IF(SER_hh_fech_in!L6=0,0,SER_hh_fech_in!L6/SER_summary!L$27)</f>
        <v>207.16766640830343</v>
      </c>
      <c r="M6" s="132">
        <f>IF(SER_hh_fech_in!M6=0,0,SER_hh_fech_in!M6/SER_summary!M$27)</f>
        <v>180.40370347225877</v>
      </c>
      <c r="N6" s="132">
        <f>IF(SER_hh_fech_in!N6=0,0,SER_hh_fech_in!N6/SER_summary!N$27)</f>
        <v>158.96074241227532</v>
      </c>
      <c r="O6" s="132">
        <f>IF(SER_hh_fech_in!O6=0,0,SER_hh_fech_in!O6/SER_summary!O$27)</f>
        <v>165.98203103748506</v>
      </c>
      <c r="P6" s="132">
        <f>IF(SER_hh_fech_in!P6=0,0,SER_hh_fech_in!P6/SER_summary!P$27)</f>
        <v>0</v>
      </c>
      <c r="Q6" s="132">
        <f>IF(SER_hh_fech_in!Q6=0,0,SER_hh_fech_in!Q6/SER_summary!Q$27)</f>
        <v>0</v>
      </c>
      <c r="R6" s="132">
        <f>IF(SER_hh_fech_in!R6=0,0,SER_hh_fech_in!R6/SER_summary!R$27)</f>
        <v>0</v>
      </c>
      <c r="S6" s="132">
        <f>IF(SER_hh_fech_in!S6=0,0,SER_hh_fech_in!S6/SER_summary!S$27)</f>
        <v>149.61099163459539</v>
      </c>
      <c r="T6" s="132">
        <f>IF(SER_hh_fech_in!T6=0,0,SER_hh_fech_in!T6/SER_summary!T$27)</f>
        <v>134.88362453931649</v>
      </c>
      <c r="U6" s="132">
        <f>IF(SER_hh_fech_in!U6=0,0,SER_hh_fech_in!U6/SER_summary!U$27)</f>
        <v>125.91592596266752</v>
      </c>
      <c r="V6" s="132">
        <f>IF(SER_hh_fech_in!V6=0,0,SER_hh_fech_in!V6/SER_summary!V$27)</f>
        <v>106.65526147875703</v>
      </c>
      <c r="W6" s="132">
        <f>IF(SER_hh_fech_in!W6=0,0,SER_hh_fech_in!W6/SER_summary!W$27)</f>
        <v>101.04454536822776</v>
      </c>
      <c r="X6" s="132">
        <f>IF(SER_hh_fech_in!X6=0,0,SER_hh_fech_in!X6/SER_summary!X$27)</f>
        <v>59.36559174097524</v>
      </c>
      <c r="Y6" s="132">
        <f>IF(SER_hh_fech_in!Y6=0,0,SER_hh_fech_in!Y6/SER_summary!Y$27)</f>
        <v>57.142472740127687</v>
      </c>
      <c r="DA6" s="156" t="s">
        <v>820</v>
      </c>
    </row>
    <row r="7" spans="1:105" ht="12" customHeight="1" x14ac:dyDescent="0.25">
      <c r="A7" s="131" t="s">
        <v>161</v>
      </c>
      <c r="B7" s="132"/>
      <c r="C7" s="132">
        <f>IF(SER_hh_fech_in!C7=0,0,SER_hh_fech_in!C7/SER_summary!C$27)</f>
        <v>115.05588773726151</v>
      </c>
      <c r="D7" s="132">
        <f>IF(SER_hh_fech_in!D7=0,0,SER_hh_fech_in!D7/SER_summary!D$27)</f>
        <v>149.03322416895384</v>
      </c>
      <c r="E7" s="132">
        <f>IF(SER_hh_fech_in!E7=0,0,SER_hh_fech_in!E7/SER_summary!E$27)</f>
        <v>184.31765764879654</v>
      </c>
      <c r="F7" s="132">
        <f>IF(SER_hh_fech_in!F7=0,0,SER_hh_fech_in!F7/SER_summary!F$27)</f>
        <v>190.91533472704285</v>
      </c>
      <c r="G7" s="132">
        <f>IF(SER_hh_fech_in!G7=0,0,SER_hh_fech_in!G7/SER_summary!G$27)</f>
        <v>199.24634426853765</v>
      </c>
      <c r="H7" s="132">
        <f>IF(SER_hh_fech_in!H7=0,0,SER_hh_fech_in!H7/SER_summary!H$27)</f>
        <v>208.35679838446936</v>
      </c>
      <c r="I7" s="132">
        <f>IF(SER_hh_fech_in!I7=0,0,SER_hh_fech_in!I7/SER_summary!I$27)</f>
        <v>199.26849921573427</v>
      </c>
      <c r="J7" s="132">
        <f>IF(SER_hh_fech_in!J7=0,0,SER_hh_fech_in!J7/SER_summary!J$27)</f>
        <v>0</v>
      </c>
      <c r="K7" s="132">
        <f>IF(SER_hh_fech_in!K7=0,0,SER_hh_fech_in!K7/SER_summary!K$27)</f>
        <v>0</v>
      </c>
      <c r="L7" s="132">
        <f>IF(SER_hh_fech_in!L7=0,0,SER_hh_fech_in!L7/SER_summary!L$27)</f>
        <v>0</v>
      </c>
      <c r="M7" s="132">
        <f>IF(SER_hh_fech_in!M7=0,0,SER_hh_fech_in!M7/SER_summary!M$27)</f>
        <v>0</v>
      </c>
      <c r="N7" s="132">
        <f>IF(SER_hh_fech_in!N7=0,0,SER_hh_fech_in!N7/SER_summary!N$27)</f>
        <v>178.99529563928047</v>
      </c>
      <c r="O7" s="132">
        <f>IF(SER_hh_fech_in!O7=0,0,SER_hh_fech_in!O7/SER_summary!O$27)</f>
        <v>152.88790107496257</v>
      </c>
      <c r="P7" s="132">
        <f>IF(SER_hh_fech_in!P7=0,0,SER_hh_fech_in!P7/SER_summary!P$27)</f>
        <v>146.71967899440369</v>
      </c>
      <c r="Q7" s="132">
        <f>IF(SER_hh_fech_in!Q7=0,0,SER_hh_fech_in!Q7/SER_summary!Q$27)</f>
        <v>165.39080601235338</v>
      </c>
      <c r="R7" s="132">
        <f>IF(SER_hh_fech_in!R7=0,0,SER_hh_fech_in!R7/SER_summary!R$27)</f>
        <v>170.16409415235762</v>
      </c>
      <c r="S7" s="132">
        <f>IF(SER_hh_fech_in!S7=0,0,SER_hh_fech_in!S7/SER_summary!S$27)</f>
        <v>129.67830720728529</v>
      </c>
      <c r="T7" s="132">
        <f>IF(SER_hh_fech_in!T7=0,0,SER_hh_fech_in!T7/SER_summary!T$27)</f>
        <v>160.81664952140795</v>
      </c>
      <c r="U7" s="132">
        <f>IF(SER_hh_fech_in!U7=0,0,SER_hh_fech_in!U7/SER_summary!U$27)</f>
        <v>119.53494957463657</v>
      </c>
      <c r="V7" s="132">
        <f>IF(SER_hh_fech_in!V7=0,0,SER_hh_fech_in!V7/SER_summary!V$27)</f>
        <v>78.336703082223963</v>
      </c>
      <c r="W7" s="132">
        <f>IF(SER_hh_fech_in!W7=0,0,SER_hh_fech_in!W7/SER_summary!W$27)</f>
        <v>85.940806416545001</v>
      </c>
      <c r="X7" s="132">
        <f>IF(SER_hh_fech_in!X7=0,0,SER_hh_fech_in!X7/SER_summary!X$27)</f>
        <v>63.659182461266319</v>
      </c>
      <c r="Y7" s="132">
        <f>IF(SER_hh_fech_in!Y7=0,0,SER_hh_fech_in!Y7/SER_summary!Y$27)</f>
        <v>59.939298626885702</v>
      </c>
      <c r="DA7" s="156" t="s">
        <v>821</v>
      </c>
    </row>
    <row r="8" spans="1:105" ht="12" customHeight="1" x14ac:dyDescent="0.25">
      <c r="A8" s="131" t="s">
        <v>73</v>
      </c>
      <c r="B8" s="132"/>
      <c r="C8" s="132">
        <f>IF(SER_hh_fech_in!C8=0,0,SER_hh_fech_in!C8/SER_summary!C$27)</f>
        <v>43.032176928774078</v>
      </c>
      <c r="D8" s="132">
        <f>IF(SER_hh_fech_in!D8=0,0,SER_hh_fech_in!D8/SER_summary!D$27)</f>
        <v>40.047166173728442</v>
      </c>
      <c r="E8" s="132">
        <f>IF(SER_hh_fech_in!E8=0,0,SER_hh_fech_in!E8/SER_summary!E$27)</f>
        <v>44.723707415593736</v>
      </c>
      <c r="F8" s="132">
        <f>IF(SER_hh_fech_in!F8=0,0,SER_hh_fech_in!F8/SER_summary!F$27)</f>
        <v>44.308723963737215</v>
      </c>
      <c r="G8" s="132">
        <f>IF(SER_hh_fech_in!G8=0,0,SER_hh_fech_in!G8/SER_summary!G$27)</f>
        <v>45.407485824906487</v>
      </c>
      <c r="H8" s="132">
        <f>IF(SER_hh_fech_in!H8=0,0,SER_hh_fech_in!H8/SER_summary!H$27)</f>
        <v>45.31392242543204</v>
      </c>
      <c r="I8" s="132">
        <f>IF(SER_hh_fech_in!I8=0,0,SER_hh_fech_in!I8/SER_summary!I$27)</f>
        <v>44.039520244179627</v>
      </c>
      <c r="J8" s="132">
        <f>IF(SER_hh_fech_in!J8=0,0,SER_hh_fech_in!J8/SER_summary!J$27)</f>
        <v>43.625091264373722</v>
      </c>
      <c r="K8" s="132">
        <f>IF(SER_hh_fech_in!K8=0,0,SER_hh_fech_in!K8/SER_summary!K$27)</f>
        <v>40.912369761738923</v>
      </c>
      <c r="L8" s="132">
        <f>IF(SER_hh_fech_in!L8=0,0,SER_hh_fech_in!L8/SER_summary!L$27)</f>
        <v>37.038640116475506</v>
      </c>
      <c r="M8" s="132">
        <f>IF(SER_hh_fech_in!M8=0,0,SER_hh_fech_in!M8/SER_summary!M$27)</f>
        <v>33.422119213569147</v>
      </c>
      <c r="N8" s="132">
        <f>IF(SER_hh_fech_in!N8=0,0,SER_hh_fech_in!N8/SER_summary!N$27)</f>
        <v>30.317820033209969</v>
      </c>
      <c r="O8" s="132">
        <f>IF(SER_hh_fech_in!O8=0,0,SER_hh_fech_in!O8/SER_summary!O$27)</f>
        <v>28.816057210497654</v>
      </c>
      <c r="P8" s="132">
        <f>IF(SER_hh_fech_in!P8=0,0,SER_hh_fech_in!P8/SER_summary!P$27)</f>
        <v>28.379763831087931</v>
      </c>
      <c r="Q8" s="132">
        <f>IF(SER_hh_fech_in!Q8=0,0,SER_hh_fech_in!Q8/SER_summary!Q$27)</f>
        <v>31.170317564202957</v>
      </c>
      <c r="R8" s="132">
        <f>IF(SER_hh_fech_in!R8=0,0,SER_hh_fech_in!R8/SER_summary!R$27)</f>
        <v>27.446597054615779</v>
      </c>
      <c r="S8" s="132">
        <f>IF(SER_hh_fech_in!S8=0,0,SER_hh_fech_in!S8/SER_summary!S$27)</f>
        <v>25.575555671315019</v>
      </c>
      <c r="T8" s="132">
        <f>IF(SER_hh_fech_in!T8=0,0,SER_hh_fech_in!T8/SER_summary!T$27)</f>
        <v>23.68399298366138</v>
      </c>
      <c r="U8" s="132">
        <f>IF(SER_hh_fech_in!U8=0,0,SER_hh_fech_in!U8/SER_summary!U$27)</f>
        <v>20.641025595305504</v>
      </c>
      <c r="V8" s="132">
        <f>IF(SER_hh_fech_in!V8=0,0,SER_hh_fech_in!V8/SER_summary!V$27)</f>
        <v>18.117095412989304</v>
      </c>
      <c r="W8" s="132">
        <f>IF(SER_hh_fech_in!W8=0,0,SER_hh_fech_in!W8/SER_summary!W$27)</f>
        <v>14.566893713152179</v>
      </c>
      <c r="X8" s="132">
        <f>IF(SER_hh_fech_in!X8=0,0,SER_hh_fech_in!X8/SER_summary!X$27)</f>
        <v>9.6128981884489981</v>
      </c>
      <c r="Y8" s="132">
        <f>IF(SER_hh_fech_in!Y8=0,0,SER_hh_fech_in!Y8/SER_summary!Y$27)</f>
        <v>9.4410976280438561</v>
      </c>
      <c r="DA8" s="156" t="s">
        <v>822</v>
      </c>
    </row>
    <row r="9" spans="1:105" ht="12" customHeight="1" x14ac:dyDescent="0.25">
      <c r="A9" s="131" t="s">
        <v>78</v>
      </c>
      <c r="B9" s="132"/>
      <c r="C9" s="132">
        <f>IF(SER_hh_fech_in!C9=0,0,SER_hh_fech_in!C9/SER_summary!C$27)</f>
        <v>152.18788602374127</v>
      </c>
      <c r="D9" s="132">
        <f>IF(SER_hh_fech_in!D9=0,0,SER_hh_fech_in!D9/SER_summary!D$27)</f>
        <v>136.18741045355009</v>
      </c>
      <c r="E9" s="132">
        <f>IF(SER_hh_fech_in!E9=0,0,SER_hh_fech_in!E9/SER_summary!E$27)</f>
        <v>162.68155261557024</v>
      </c>
      <c r="F9" s="132">
        <f>IF(SER_hh_fech_in!F9=0,0,SER_hh_fech_in!F9/SER_summary!F$27)</f>
        <v>161.75635558884767</v>
      </c>
      <c r="G9" s="132">
        <f>IF(SER_hh_fech_in!G9=0,0,SER_hh_fech_in!G9/SER_summary!G$27)</f>
        <v>195.9204513301795</v>
      </c>
      <c r="H9" s="132">
        <f>IF(SER_hh_fech_in!H9=0,0,SER_hh_fech_in!H9/SER_summary!H$27)</f>
        <v>194.21882701731681</v>
      </c>
      <c r="I9" s="132">
        <f>IF(SER_hh_fech_in!I9=0,0,SER_hh_fech_in!I9/SER_summary!I$27)</f>
        <v>168.09768099707355</v>
      </c>
      <c r="J9" s="132">
        <f>IF(SER_hh_fech_in!J9=0,0,SER_hh_fech_in!J9/SER_summary!J$27)</f>
        <v>206.94709877191127</v>
      </c>
      <c r="K9" s="132">
        <f>IF(SER_hh_fech_in!K9=0,0,SER_hh_fech_in!K9/SER_summary!K$27)</f>
        <v>200.99820917270151</v>
      </c>
      <c r="L9" s="132">
        <f>IF(SER_hh_fech_in!L9=0,0,SER_hh_fech_in!L9/SER_summary!L$27)</f>
        <v>198.70035722064949</v>
      </c>
      <c r="M9" s="132">
        <f>IF(SER_hh_fech_in!M9=0,0,SER_hh_fech_in!M9/SER_summary!M$27)</f>
        <v>160.58310373468154</v>
      </c>
      <c r="N9" s="132">
        <f>IF(SER_hh_fech_in!N9=0,0,SER_hh_fech_in!N9/SER_summary!N$27)</f>
        <v>161.91205518940527</v>
      </c>
      <c r="O9" s="132">
        <f>IF(SER_hh_fech_in!O9=0,0,SER_hh_fech_in!O9/SER_summary!O$27)</f>
        <v>163.58275437049983</v>
      </c>
      <c r="P9" s="132">
        <f>IF(SER_hh_fech_in!P9=0,0,SER_hh_fech_in!P9/SER_summary!P$27)</f>
        <v>0</v>
      </c>
      <c r="Q9" s="132">
        <f>IF(SER_hh_fech_in!Q9=0,0,SER_hh_fech_in!Q9/SER_summary!Q$27)</f>
        <v>0</v>
      </c>
      <c r="R9" s="132">
        <f>IF(SER_hh_fech_in!R9=0,0,SER_hh_fech_in!R9/SER_summary!R$27)</f>
        <v>134.09639761318653</v>
      </c>
      <c r="S9" s="132">
        <f>IF(SER_hh_fech_in!S9=0,0,SER_hh_fech_in!S9/SER_summary!S$27)</f>
        <v>125.65023250002905</v>
      </c>
      <c r="T9" s="132">
        <f>IF(SER_hh_fech_in!T9=0,0,SER_hh_fech_in!T9/SER_summary!T$27)</f>
        <v>133.60228083908513</v>
      </c>
      <c r="U9" s="132">
        <f>IF(SER_hh_fech_in!U9=0,0,SER_hh_fech_in!U9/SER_summary!U$27)</f>
        <v>119.23608120068711</v>
      </c>
      <c r="V9" s="132">
        <f>IF(SER_hh_fech_in!V9=0,0,SER_hh_fech_in!V9/SER_summary!V$27)</f>
        <v>105.88980770132011</v>
      </c>
      <c r="W9" s="132">
        <f>IF(SER_hh_fech_in!W9=0,0,SER_hh_fech_in!W9/SER_summary!W$27)</f>
        <v>77.907348510743802</v>
      </c>
      <c r="X9" s="132">
        <f>IF(SER_hh_fech_in!X9=0,0,SER_hh_fech_in!X9/SER_summary!X$27)</f>
        <v>46.245480744396744</v>
      </c>
      <c r="Y9" s="132">
        <f>IF(SER_hh_fech_in!Y9=0,0,SER_hh_fech_in!Y9/SER_summary!Y$27)</f>
        <v>53.381775026725137</v>
      </c>
      <c r="DA9" s="156" t="s">
        <v>823</v>
      </c>
    </row>
    <row r="10" spans="1:105" ht="12" customHeight="1" x14ac:dyDescent="0.25">
      <c r="A10" s="131" t="s">
        <v>128</v>
      </c>
      <c r="B10" s="132"/>
      <c r="C10" s="132">
        <f>IF(SER_hh_fech_in!C10=0,0,SER_hh_fech_in!C10/SER_summary!C$27)</f>
        <v>128.83105118922936</v>
      </c>
      <c r="D10" s="132">
        <f>IF(SER_hh_fech_in!D10=0,0,SER_hh_fech_in!D10/SER_summary!D$27)</f>
        <v>124.69793793577996</v>
      </c>
      <c r="E10" s="132">
        <f>IF(SER_hh_fech_in!E10=0,0,SER_hh_fech_in!E10/SER_summary!E$27)</f>
        <v>135.06826807840284</v>
      </c>
      <c r="F10" s="132">
        <f>IF(SER_hh_fech_in!F10=0,0,SER_hh_fech_in!F10/SER_summary!F$27)</f>
        <v>143.90431812009396</v>
      </c>
      <c r="G10" s="132">
        <f>IF(SER_hh_fech_in!G10=0,0,SER_hh_fech_in!G10/SER_summary!G$27)</f>
        <v>151.91701953501587</v>
      </c>
      <c r="H10" s="132">
        <f>IF(SER_hh_fech_in!H10=0,0,SER_hh_fech_in!H10/SER_summary!H$27)</f>
        <v>191.94422843324176</v>
      </c>
      <c r="I10" s="132">
        <f>IF(SER_hh_fech_in!I10=0,0,SER_hh_fech_in!I10/SER_summary!I$27)</f>
        <v>153.91447583565642</v>
      </c>
      <c r="J10" s="132">
        <f>IF(SER_hh_fech_in!J10=0,0,SER_hh_fech_in!J10/SER_summary!J$27)</f>
        <v>139.97152217809355</v>
      </c>
      <c r="K10" s="132">
        <f>IF(SER_hh_fech_in!K10=0,0,SER_hh_fech_in!K10/SER_summary!K$27)</f>
        <v>163.73425776618103</v>
      </c>
      <c r="L10" s="132">
        <f>IF(SER_hh_fech_in!L10=0,0,SER_hh_fech_in!L10/SER_summary!L$27)</f>
        <v>197.76973092681681</v>
      </c>
      <c r="M10" s="132">
        <f>IF(SER_hh_fech_in!M10=0,0,SER_hh_fech_in!M10/SER_summary!M$27)</f>
        <v>162.00865835289531</v>
      </c>
      <c r="N10" s="132">
        <f>IF(SER_hh_fech_in!N10=0,0,SER_hh_fech_in!N10/SER_summary!N$27)</f>
        <v>122.08172698742364</v>
      </c>
      <c r="O10" s="132">
        <f>IF(SER_hh_fech_in!O10=0,0,SER_hh_fech_in!O10/SER_summary!O$27)</f>
        <v>149.19778645170408</v>
      </c>
      <c r="P10" s="132">
        <f>IF(SER_hh_fech_in!P10=0,0,SER_hh_fech_in!P10/SER_summary!P$27)</f>
        <v>187.69930518860241</v>
      </c>
      <c r="Q10" s="132">
        <f>IF(SER_hh_fech_in!Q10=0,0,SER_hh_fech_in!Q10/SER_summary!Q$27)</f>
        <v>148.12649475854428</v>
      </c>
      <c r="R10" s="132">
        <f>IF(SER_hh_fech_in!R10=0,0,SER_hh_fech_in!R10/SER_summary!R$27)</f>
        <v>169.83094140056096</v>
      </c>
      <c r="S10" s="132">
        <f>IF(SER_hh_fech_in!S10=0,0,SER_hh_fech_in!S10/SER_summary!S$27)</f>
        <v>164.1018622599851</v>
      </c>
      <c r="T10" s="132">
        <f>IF(SER_hh_fech_in!T10=0,0,SER_hh_fech_in!T10/SER_summary!T$27)</f>
        <v>146.32493012136317</v>
      </c>
      <c r="U10" s="132">
        <f>IF(SER_hh_fech_in!U10=0,0,SER_hh_fech_in!U10/SER_summary!U$27)</f>
        <v>134.20172822336488</v>
      </c>
      <c r="V10" s="132">
        <f>IF(SER_hh_fech_in!V10=0,0,SER_hh_fech_in!V10/SER_summary!V$27)</f>
        <v>107.8097541690089</v>
      </c>
      <c r="W10" s="132">
        <f>IF(SER_hh_fech_in!W10=0,0,SER_hh_fech_in!W10/SER_summary!W$27)</f>
        <v>93.240515528095216</v>
      </c>
      <c r="X10" s="132">
        <f>IF(SER_hh_fech_in!X10=0,0,SER_hh_fech_in!X10/SER_summary!X$27)</f>
        <v>67.07862907288002</v>
      </c>
      <c r="Y10" s="132">
        <f>IF(SER_hh_fech_in!Y10=0,0,SER_hh_fech_in!Y10/SER_summary!Y$27)</f>
        <v>59.539313841501013</v>
      </c>
      <c r="DA10" s="156" t="s">
        <v>824</v>
      </c>
    </row>
    <row r="11" spans="1:105" ht="12" customHeight="1" x14ac:dyDescent="0.25">
      <c r="A11" s="131" t="s">
        <v>25</v>
      </c>
      <c r="B11" s="132"/>
      <c r="C11" s="132">
        <f>IF(SER_hh_fech_in!C11=0,0,SER_hh_fech_in!C11/SER_summary!C$27)</f>
        <v>100.93175730506836</v>
      </c>
      <c r="D11" s="132">
        <f>IF(SER_hh_fech_in!D11=0,0,SER_hh_fech_in!D11/SER_summary!D$27)</f>
        <v>103.79126465929119</v>
      </c>
      <c r="E11" s="132">
        <f>IF(SER_hh_fech_in!E11=0,0,SER_hh_fech_in!E11/SER_summary!E$27)</f>
        <v>110.95196629726041</v>
      </c>
      <c r="F11" s="132">
        <f>IF(SER_hh_fech_in!F11=0,0,SER_hh_fech_in!F11/SER_summary!F$27)</f>
        <v>117.49961105558525</v>
      </c>
      <c r="G11" s="132">
        <f>IF(SER_hh_fech_in!G11=0,0,SER_hh_fech_in!G11/SER_summary!G$27)</f>
        <v>127.95101453725623</v>
      </c>
      <c r="H11" s="132">
        <f>IF(SER_hh_fech_in!H11=0,0,SER_hh_fech_in!H11/SER_summary!H$27)</f>
        <v>133.94571924374179</v>
      </c>
      <c r="I11" s="132">
        <f>IF(SER_hh_fech_in!I11=0,0,SER_hh_fech_in!I11/SER_summary!I$27)</f>
        <v>136.30178898278362</v>
      </c>
      <c r="J11" s="132">
        <f>IF(SER_hh_fech_in!J11=0,0,SER_hh_fech_in!J11/SER_summary!J$27)</f>
        <v>147.35853462100314</v>
      </c>
      <c r="K11" s="132">
        <f>IF(SER_hh_fech_in!K11=0,0,SER_hh_fech_in!K11/SER_summary!K$27)</f>
        <v>161.70041894106359</v>
      </c>
      <c r="L11" s="132">
        <f>IF(SER_hh_fech_in!L11=0,0,SER_hh_fech_in!L11/SER_summary!L$27)</f>
        <v>0</v>
      </c>
      <c r="M11" s="132">
        <f>IF(SER_hh_fech_in!M11=0,0,SER_hh_fech_in!M11/SER_summary!M$27)</f>
        <v>122.52838751516177</v>
      </c>
      <c r="N11" s="132">
        <f>IF(SER_hh_fech_in!N11=0,0,SER_hh_fech_in!N11/SER_summary!N$27)</f>
        <v>129.23443609158144</v>
      </c>
      <c r="O11" s="132">
        <f>IF(SER_hh_fech_in!O11=0,0,SER_hh_fech_in!O11/SER_summary!O$27)</f>
        <v>128.15910017237772</v>
      </c>
      <c r="P11" s="132">
        <f>IF(SER_hh_fech_in!P11=0,0,SER_hh_fech_in!P11/SER_summary!P$27)</f>
        <v>121.5508081312018</v>
      </c>
      <c r="Q11" s="132">
        <f>IF(SER_hh_fech_in!Q11=0,0,SER_hh_fech_in!Q11/SER_summary!Q$27)</f>
        <v>0</v>
      </c>
      <c r="R11" s="132">
        <f>IF(SER_hh_fech_in!R11=0,0,SER_hh_fech_in!R11/SER_summary!R$27)</f>
        <v>127.12458325587509</v>
      </c>
      <c r="S11" s="132">
        <f>IF(SER_hh_fech_in!S11=0,0,SER_hh_fech_in!S11/SER_summary!S$27)</f>
        <v>130.10556653777849</v>
      </c>
      <c r="T11" s="132">
        <f>IF(SER_hh_fech_in!T11=0,0,SER_hh_fech_in!T11/SER_summary!T$27)</f>
        <v>122.57803643795013</v>
      </c>
      <c r="U11" s="132">
        <f>IF(SER_hh_fech_in!U11=0,0,SER_hh_fech_in!U11/SER_summary!U$27)</f>
        <v>111.46768559590554</v>
      </c>
      <c r="V11" s="132">
        <f>IF(SER_hh_fech_in!V11=0,0,SER_hh_fech_in!V11/SER_summary!V$27)</f>
        <v>92.847514071461291</v>
      </c>
      <c r="W11" s="132">
        <f>IF(SER_hh_fech_in!W11=0,0,SER_hh_fech_in!W11/SER_summary!W$27)</f>
        <v>70.53452564884121</v>
      </c>
      <c r="X11" s="132">
        <f>IF(SER_hh_fech_in!X11=0,0,SER_hh_fech_in!X11/SER_summary!X$27)</f>
        <v>48.576961625153892</v>
      </c>
      <c r="Y11" s="132">
        <f>IF(SER_hh_fech_in!Y11=0,0,SER_hh_fech_in!Y11/SER_summary!Y$27)</f>
        <v>48.77326673464426</v>
      </c>
      <c r="DA11" s="156" t="s">
        <v>825</v>
      </c>
    </row>
    <row r="12" spans="1:105" ht="12" customHeight="1" x14ac:dyDescent="0.25">
      <c r="A12" s="131" t="s">
        <v>162</v>
      </c>
      <c r="B12" s="132"/>
      <c r="C12" s="132">
        <f>IF(SER_hh_fech_in!C12=0,0,SER_hh_fech_in!C12/SER_summary!C$27)</f>
        <v>0</v>
      </c>
      <c r="D12" s="132">
        <f>IF(SER_hh_fech_in!D12=0,0,SER_hh_fech_in!D12/SER_summary!D$27)</f>
        <v>0</v>
      </c>
      <c r="E12" s="132">
        <f>IF(SER_hh_fech_in!E12=0,0,SER_hh_fech_in!E12/SER_summary!E$27)</f>
        <v>0</v>
      </c>
      <c r="F12" s="132">
        <f>IF(SER_hh_fech_in!F12=0,0,SER_hh_fech_in!F12/SER_summary!F$27)</f>
        <v>170.99841848159531</v>
      </c>
      <c r="G12" s="132">
        <f>IF(SER_hh_fech_in!G12=0,0,SER_hh_fech_in!G12/SER_summary!G$27)</f>
        <v>128.71894412735412</v>
      </c>
      <c r="H12" s="132">
        <f>IF(SER_hh_fech_in!H12=0,0,SER_hh_fech_in!H12/SER_summary!H$27)</f>
        <v>149.58245396219513</v>
      </c>
      <c r="I12" s="132">
        <f>IF(SER_hh_fech_in!I12=0,0,SER_hh_fech_in!I12/SER_summary!I$27)</f>
        <v>145.77293170345797</v>
      </c>
      <c r="J12" s="132">
        <f>IF(SER_hh_fech_in!J12=0,0,SER_hh_fech_in!J12/SER_summary!J$27)</f>
        <v>0</v>
      </c>
      <c r="K12" s="132">
        <f>IF(SER_hh_fech_in!K12=0,0,SER_hh_fech_in!K12/SER_summary!K$27)</f>
        <v>126.78031165438325</v>
      </c>
      <c r="L12" s="132">
        <f>IF(SER_hh_fech_in!L12=0,0,SER_hh_fech_in!L12/SER_summary!L$27)</f>
        <v>93.25452062728364</v>
      </c>
      <c r="M12" s="132">
        <f>IF(SER_hh_fech_in!M12=0,0,SER_hh_fech_in!M12/SER_summary!M$27)</f>
        <v>165.10413237824883</v>
      </c>
      <c r="N12" s="132">
        <f>IF(SER_hh_fech_in!N12=0,0,SER_hh_fech_in!N12/SER_summary!N$27)</f>
        <v>105.01064255565514</v>
      </c>
      <c r="O12" s="132">
        <f>IF(SER_hh_fech_in!O12=0,0,SER_hh_fech_in!O12/SER_summary!O$27)</f>
        <v>115.02433905680279</v>
      </c>
      <c r="P12" s="132">
        <f>IF(SER_hh_fech_in!P12=0,0,SER_hh_fech_in!P12/SER_summary!P$27)</f>
        <v>152.83978261250263</v>
      </c>
      <c r="Q12" s="132">
        <f>IF(SER_hh_fech_in!Q12=0,0,SER_hh_fech_in!Q12/SER_summary!Q$27)</f>
        <v>114.28467909080227</v>
      </c>
      <c r="R12" s="132">
        <f>IF(SER_hh_fech_in!R12=0,0,SER_hh_fech_in!R12/SER_summary!R$27)</f>
        <v>110.14951297490424</v>
      </c>
      <c r="S12" s="132">
        <f>IF(SER_hh_fech_in!S12=0,0,SER_hh_fech_in!S12/SER_summary!S$27)</f>
        <v>125.93501491671987</v>
      </c>
      <c r="T12" s="132">
        <f>IF(SER_hh_fech_in!T12=0,0,SER_hh_fech_in!T12/SER_summary!T$27)</f>
        <v>139.95627478642524</v>
      </c>
      <c r="U12" s="132">
        <f>IF(SER_hh_fech_in!U12=0,0,SER_hh_fech_in!U12/SER_summary!U$27)</f>
        <v>98.079082011947534</v>
      </c>
      <c r="V12" s="132">
        <f>IF(SER_hh_fech_in!V12=0,0,SER_hh_fech_in!V12/SER_summary!V$27)</f>
        <v>90.776945947644322</v>
      </c>
      <c r="W12" s="132">
        <f>IF(SER_hh_fech_in!W12=0,0,SER_hh_fech_in!W12/SER_summary!W$27)</f>
        <v>0</v>
      </c>
      <c r="X12" s="132">
        <f>IF(SER_hh_fech_in!X12=0,0,SER_hh_fech_in!X12/SER_summary!X$27)</f>
        <v>44.022732813855185</v>
      </c>
      <c r="Y12" s="132">
        <f>IF(SER_hh_fech_in!Y12=0,0,SER_hh_fech_in!Y12/SER_summary!Y$27)</f>
        <v>46.135295103104895</v>
      </c>
      <c r="DA12" s="156" t="s">
        <v>826</v>
      </c>
    </row>
    <row r="13" spans="1:105" ht="12" customHeight="1" x14ac:dyDescent="0.25">
      <c r="A13" s="131" t="s">
        <v>77</v>
      </c>
      <c r="B13" s="132"/>
      <c r="C13" s="132">
        <f>IF(SER_hh_fech_in!C13=0,0,SER_hh_fech_in!C13/SER_summary!C$27)</f>
        <v>35.467343805325221</v>
      </c>
      <c r="D13" s="132">
        <f>IF(SER_hh_fech_in!D13=0,0,SER_hh_fech_in!D13/SER_summary!D$27)</f>
        <v>50.018758125406904</v>
      </c>
      <c r="E13" s="132">
        <f>IF(SER_hh_fech_in!E13=0,0,SER_hh_fech_in!E13/SER_summary!E$27)</f>
        <v>34.293889816073268</v>
      </c>
      <c r="F13" s="132">
        <f>IF(SER_hh_fech_in!F13=0,0,SER_hh_fech_in!F13/SER_summary!F$27)</f>
        <v>43.328711794177032</v>
      </c>
      <c r="G13" s="132">
        <f>IF(SER_hh_fech_in!G13=0,0,SER_hh_fech_in!G13/SER_summary!G$27)</f>
        <v>54.133536241345119</v>
      </c>
      <c r="H13" s="132">
        <f>IF(SER_hh_fech_in!H13=0,0,SER_hh_fech_in!H13/SER_summary!H$27)</f>
        <v>52.958467391773162</v>
      </c>
      <c r="I13" s="132">
        <f>IF(SER_hh_fech_in!I13=0,0,SER_hh_fech_in!I13/SER_summary!I$27)</f>
        <v>47.81033144525702</v>
      </c>
      <c r="J13" s="132">
        <f>IF(SER_hh_fech_in!J13=0,0,SER_hh_fech_in!J13/SER_summary!J$27)</f>
        <v>45.226435046407573</v>
      </c>
      <c r="K13" s="132">
        <f>IF(SER_hh_fech_in!K13=0,0,SER_hh_fech_in!K13/SER_summary!K$27)</f>
        <v>44.687398093949497</v>
      </c>
      <c r="L13" s="132">
        <f>IF(SER_hh_fech_in!L13=0,0,SER_hh_fech_in!L13/SER_summary!L$27)</f>
        <v>35.867985188136174</v>
      </c>
      <c r="M13" s="132">
        <f>IF(SER_hh_fech_in!M13=0,0,SER_hh_fech_in!M13/SER_summary!M$27)</f>
        <v>34.775336163963871</v>
      </c>
      <c r="N13" s="132">
        <f>IF(SER_hh_fech_in!N13=0,0,SER_hh_fech_in!N13/SER_summary!N$27)</f>
        <v>34.636900719059362</v>
      </c>
      <c r="O13" s="132">
        <f>IF(SER_hh_fech_in!O13=0,0,SER_hh_fech_in!O13/SER_summary!O$27)</f>
        <v>26.926524150592037</v>
      </c>
      <c r="P13" s="132">
        <f>IF(SER_hh_fech_in!P13=0,0,SER_hh_fech_in!P13/SER_summary!P$27)</f>
        <v>27.540416268156129</v>
      </c>
      <c r="Q13" s="132">
        <f>IF(SER_hh_fech_in!Q13=0,0,SER_hh_fech_in!Q13/SER_summary!Q$27)</f>
        <v>35.024736324929421</v>
      </c>
      <c r="R13" s="132">
        <f>IF(SER_hh_fech_in!R13=0,0,SER_hh_fech_in!R13/SER_summary!R$27)</f>
        <v>29.853208441122931</v>
      </c>
      <c r="S13" s="132">
        <f>IF(SER_hh_fech_in!S13=0,0,SER_hh_fech_in!S13/SER_summary!S$27)</f>
        <v>29.449597835645012</v>
      </c>
      <c r="T13" s="132">
        <f>IF(SER_hh_fech_in!T13=0,0,SER_hh_fech_in!T13/SER_summary!T$27)</f>
        <v>26.075215830889253</v>
      </c>
      <c r="U13" s="132">
        <f>IF(SER_hh_fech_in!U13=0,0,SER_hh_fech_in!U13/SER_summary!U$27)</f>
        <v>22.441574768720571</v>
      </c>
      <c r="V13" s="132">
        <f>IF(SER_hh_fech_in!V13=0,0,SER_hh_fech_in!V13/SER_summary!V$27)</f>
        <v>19.431855749899899</v>
      </c>
      <c r="W13" s="132">
        <f>IF(SER_hh_fech_in!W13=0,0,SER_hh_fech_in!W13/SER_summary!W$27)</f>
        <v>12.181109304857642</v>
      </c>
      <c r="X13" s="132">
        <f>IF(SER_hh_fech_in!X13=0,0,SER_hh_fech_in!X13/SER_summary!X$27)</f>
        <v>8.8826845680575737</v>
      </c>
      <c r="Y13" s="132">
        <f>IF(SER_hh_fech_in!Y13=0,0,SER_hh_fech_in!Y13/SER_summary!Y$27)</f>
        <v>0</v>
      </c>
      <c r="DA13" s="156" t="s">
        <v>827</v>
      </c>
    </row>
    <row r="14" spans="1:105" ht="12" customHeight="1" x14ac:dyDescent="0.25">
      <c r="A14" s="60" t="s">
        <v>76</v>
      </c>
      <c r="B14" s="65"/>
      <c r="C14" s="65">
        <f>IF(SER_hh_fech_in!C14=0,0,SER_hh_fech_in!C14/SER_summary!C$27)</f>
        <v>109.22109616338015</v>
      </c>
      <c r="D14" s="65">
        <f>IF(SER_hh_fech_in!D14=0,0,SER_hh_fech_in!D14/SER_summary!D$27)</f>
        <v>115.57160745539785</v>
      </c>
      <c r="E14" s="65">
        <f>IF(SER_hh_fech_in!E14=0,0,SER_hh_fech_in!E14/SER_summary!E$27)</f>
        <v>115.55897791349869</v>
      </c>
      <c r="F14" s="65">
        <f>IF(SER_hh_fech_in!F14=0,0,SER_hh_fech_in!F14/SER_summary!F$27)</f>
        <v>127.64529067099265</v>
      </c>
      <c r="G14" s="65">
        <f>IF(SER_hh_fech_in!G14=0,0,SER_hh_fech_in!G14/SER_summary!G$27)</f>
        <v>143.10956863505473</v>
      </c>
      <c r="H14" s="65">
        <f>IF(SER_hh_fech_in!H14=0,0,SER_hh_fech_in!H14/SER_summary!H$27)</f>
        <v>147.24440160272857</v>
      </c>
      <c r="I14" s="65">
        <f>IF(SER_hh_fech_in!I14=0,0,SER_hh_fech_in!I14/SER_summary!I$27)</f>
        <v>148.78745811928346</v>
      </c>
      <c r="J14" s="65">
        <f>IF(SER_hh_fech_in!J14=0,0,SER_hh_fech_in!J14/SER_summary!J$27)</f>
        <v>151.39190678528763</v>
      </c>
      <c r="K14" s="65">
        <f>IF(SER_hh_fech_in!K14=0,0,SER_hh_fech_in!K14/SER_summary!K$27)</f>
        <v>151.16474620260627</v>
      </c>
      <c r="L14" s="65">
        <f>IF(SER_hh_fech_in!L14=0,0,SER_hh_fech_in!L14/SER_summary!L$27)</f>
        <v>149.53178925335652</v>
      </c>
      <c r="M14" s="65">
        <f>IF(SER_hh_fech_in!M14=0,0,SER_hh_fech_in!M14/SER_summary!M$27)</f>
        <v>140.59508791425912</v>
      </c>
      <c r="N14" s="65">
        <f>IF(SER_hh_fech_in!N14=0,0,SER_hh_fech_in!N14/SER_summary!N$27)</f>
        <v>138.68044501603902</v>
      </c>
      <c r="O14" s="65">
        <f>IF(SER_hh_fech_in!O14=0,0,SER_hh_fech_in!O14/SER_summary!O$27)</f>
        <v>137.50165541313814</v>
      </c>
      <c r="P14" s="65">
        <f>IF(SER_hh_fech_in!P14=0,0,SER_hh_fech_in!P14/SER_summary!P$27)</f>
        <v>0</v>
      </c>
      <c r="Q14" s="65">
        <f>IF(SER_hh_fech_in!Q14=0,0,SER_hh_fech_in!Q14/SER_summary!Q$27)</f>
        <v>0</v>
      </c>
      <c r="R14" s="65">
        <f>IF(SER_hh_fech_in!R14=0,0,SER_hh_fech_in!R14/SER_summary!R$27)</f>
        <v>0</v>
      </c>
      <c r="S14" s="65">
        <f>IF(SER_hh_fech_in!S14=0,0,SER_hh_fech_in!S14/SER_summary!S$27)</f>
        <v>0</v>
      </c>
      <c r="T14" s="65">
        <f>IF(SER_hh_fech_in!T14=0,0,SER_hh_fech_in!T14/SER_summary!T$27)</f>
        <v>131.81113281024972</v>
      </c>
      <c r="U14" s="65">
        <f>IF(SER_hh_fech_in!U14=0,0,SER_hh_fech_in!U14/SER_summary!U$27)</f>
        <v>105.02186123699803</v>
      </c>
      <c r="V14" s="65">
        <f>IF(SER_hh_fech_in!V14=0,0,SER_hh_fech_in!V14/SER_summary!V$27)</f>
        <v>61.744179651301337</v>
      </c>
      <c r="W14" s="65">
        <f>IF(SER_hh_fech_in!W14=0,0,SER_hh_fech_in!W14/SER_summary!W$27)</f>
        <v>71.344538633486309</v>
      </c>
      <c r="X14" s="65">
        <f>IF(SER_hh_fech_in!X14=0,0,SER_hh_fech_in!X14/SER_summary!X$27)</f>
        <v>48.968147366077645</v>
      </c>
      <c r="Y14" s="65">
        <f>IF(SER_hh_fech_in!Y14=0,0,SER_hh_fech_in!Y14/SER_summary!Y$27)</f>
        <v>44.561863695795964</v>
      </c>
      <c r="DA14" s="109" t="s">
        <v>828</v>
      </c>
    </row>
    <row r="15" spans="1:105" ht="12" customHeight="1" x14ac:dyDescent="0.25">
      <c r="A15" s="133" t="s">
        <v>80</v>
      </c>
      <c r="B15" s="134"/>
      <c r="C15" s="134">
        <f>IF(SER_hh_fech_in!C15=0,0,SER_hh_fech_in!C15/SER_summary!C$27)</f>
        <v>1.5759369702517627</v>
      </c>
      <c r="D15" s="134">
        <f>IF(SER_hh_fech_in!D15=0,0,SER_hh_fech_in!D15/SER_summary!D$27)</f>
        <v>1.4437621510120009</v>
      </c>
      <c r="E15" s="134">
        <f>IF(SER_hh_fech_in!E15=0,0,SER_hh_fech_in!E15/SER_summary!E$27)</f>
        <v>1.7354540800283556</v>
      </c>
      <c r="F15" s="134">
        <f>IF(SER_hh_fech_in!F15=0,0,SER_hh_fech_in!F15/SER_summary!F$27)</f>
        <v>1.5760221958928671</v>
      </c>
      <c r="G15" s="134">
        <f>IF(SER_hh_fech_in!G15=0,0,SER_hh_fech_in!G15/SER_summary!G$27)</f>
        <v>1.9638106759935658</v>
      </c>
      <c r="H15" s="134">
        <f>IF(SER_hh_fech_in!H15=0,0,SER_hh_fech_in!H15/SER_summary!H$27)</f>
        <v>1.9330494600857506</v>
      </c>
      <c r="I15" s="134">
        <f>IF(SER_hh_fech_in!I15=0,0,SER_hh_fech_in!I15/SER_summary!I$27)</f>
        <v>1.6902474443550717</v>
      </c>
      <c r="J15" s="134">
        <f>IF(SER_hh_fech_in!J15=0,0,SER_hh_fech_in!J15/SER_summary!J$27)</f>
        <v>2.1015883370399657</v>
      </c>
      <c r="K15" s="134">
        <f>IF(SER_hh_fech_in!K15=0,0,SER_hh_fech_in!K15/SER_summary!K$27)</f>
        <v>2.0189898218721987</v>
      </c>
      <c r="L15" s="134">
        <f>IF(SER_hh_fech_in!L15=0,0,SER_hh_fech_in!L15/SER_summary!L$27)</f>
        <v>1.971185720406625</v>
      </c>
      <c r="M15" s="134">
        <f>IF(SER_hh_fech_in!M15=0,0,SER_hh_fech_in!M15/SER_summary!M$27)</f>
        <v>1.4286810127549161</v>
      </c>
      <c r="N15" s="134">
        <f>IF(SER_hh_fech_in!N15=0,0,SER_hh_fech_in!N15/SER_summary!N$27)</f>
        <v>1.422541563630155</v>
      </c>
      <c r="O15" s="134">
        <f>IF(SER_hh_fech_in!O15=0,0,SER_hh_fech_in!O15/SER_summary!O$27)</f>
        <v>1.0301594240338054</v>
      </c>
      <c r="P15" s="134">
        <f>IF(SER_hh_fech_in!P15=0,0,SER_hh_fech_in!P15/SER_summary!P$27)</f>
        <v>0.61187397718701431</v>
      </c>
      <c r="Q15" s="134">
        <f>IF(SER_hh_fech_in!Q15=0,0,SER_hh_fech_in!Q15/SER_summary!Q$27)</f>
        <v>0.59360291557901768</v>
      </c>
      <c r="R15" s="134">
        <f>IF(SER_hh_fech_in!R15=0,0,SER_hh_fech_in!R15/SER_summary!R$27)</f>
        <v>1.1806751173837695</v>
      </c>
      <c r="S15" s="134">
        <f>IF(SER_hh_fech_in!S15=0,0,SER_hh_fech_in!S15/SER_summary!S$27)</f>
        <v>1.4858045675543361</v>
      </c>
      <c r="T15" s="134">
        <f>IF(SER_hh_fech_in!T15=0,0,SER_hh_fech_in!T15/SER_summary!T$27)</f>
        <v>1.5924044050455328</v>
      </c>
      <c r="U15" s="134">
        <f>IF(SER_hh_fech_in!U15=0,0,SER_hh_fech_in!U15/SER_summary!U$27)</f>
        <v>1.4018081919334469</v>
      </c>
      <c r="V15" s="134">
        <f>IF(SER_hh_fech_in!V15=0,0,SER_hh_fech_in!V15/SER_summary!V$27)</f>
        <v>1.1709379582442061</v>
      </c>
      <c r="W15" s="134">
        <f>IF(SER_hh_fech_in!W15=0,0,SER_hh_fech_in!W15/SER_summary!W$27)</f>
        <v>0.76761267459033211</v>
      </c>
      <c r="X15" s="134">
        <f>IF(SER_hh_fech_in!X15=0,0,SER_hh_fech_in!X15/SER_summary!X$27)</f>
        <v>0.57126457086733007</v>
      </c>
      <c r="Y15" s="134">
        <f>IF(SER_hh_fech_in!Y15=0,0,SER_hh_fech_in!Y15/SER_summary!Y$27)</f>
        <v>0.65637525571914224</v>
      </c>
      <c r="DA15" s="157" t="s">
        <v>829</v>
      </c>
    </row>
    <row r="16" spans="1:105" ht="12.95" customHeight="1" x14ac:dyDescent="0.25">
      <c r="A16" s="129" t="s">
        <v>74</v>
      </c>
      <c r="B16" s="130"/>
      <c r="C16" s="130">
        <f>IF(SER_hh_fech_in!C16=0,0,SER_hh_fech_in!C16/SER_summary!C$27)</f>
        <v>11.794489856445626</v>
      </c>
      <c r="D16" s="130">
        <f>IF(SER_hh_fech_in!D16=0,0,SER_hh_fech_in!D16/SER_summary!D$27)</f>
        <v>9.8569359757886055</v>
      </c>
      <c r="E16" s="130">
        <f>IF(SER_hh_fech_in!E16=0,0,SER_hh_fech_in!E16/SER_summary!E$27)</f>
        <v>21.973291634731648</v>
      </c>
      <c r="F16" s="130">
        <f>IF(SER_hh_fech_in!F16=0,0,SER_hh_fech_in!F16/SER_summary!F$27)</f>
        <v>9.4602057421580934</v>
      </c>
      <c r="G16" s="130">
        <f>IF(SER_hh_fech_in!G16=0,0,SER_hh_fech_in!G16/SER_summary!G$27)</f>
        <v>9.0354118922200204</v>
      </c>
      <c r="H16" s="130">
        <f>IF(SER_hh_fech_in!H16=0,0,SER_hh_fech_in!H16/SER_summary!H$27)</f>
        <v>10.180376637791131</v>
      </c>
      <c r="I16" s="130">
        <f>IF(SER_hh_fech_in!I16=0,0,SER_hh_fech_in!I16/SER_summary!I$27)</f>
        <v>8.9530696868785853</v>
      </c>
      <c r="J16" s="130">
        <f>IF(SER_hh_fech_in!J16=0,0,SER_hh_fech_in!J16/SER_summary!J$27)</f>
        <v>10.060771739563164</v>
      </c>
      <c r="K16" s="130">
        <f>IF(SER_hh_fech_in!K16=0,0,SER_hh_fech_in!K16/SER_summary!K$27)</f>
        <v>9.8791992963281494</v>
      </c>
      <c r="L16" s="130">
        <f>IF(SER_hh_fech_in!L16=0,0,SER_hh_fech_in!L16/SER_summary!L$27)</f>
        <v>7.6120317677834342</v>
      </c>
      <c r="M16" s="130">
        <f>IF(SER_hh_fech_in!M16=0,0,SER_hh_fech_in!M16/SER_summary!M$27)</f>
        <v>7.7829970556674866</v>
      </c>
      <c r="N16" s="130">
        <f>IF(SER_hh_fech_in!N16=0,0,SER_hh_fech_in!N16/SER_summary!N$27)</f>
        <v>11.548272335769406</v>
      </c>
      <c r="O16" s="130">
        <f>IF(SER_hh_fech_in!O16=0,0,SER_hh_fech_in!O16/SER_summary!O$27)</f>
        <v>6.4653625901907752</v>
      </c>
      <c r="P16" s="130">
        <f>IF(SER_hh_fech_in!P16=0,0,SER_hh_fech_in!P16/SER_summary!P$27)</f>
        <v>5.218879699527192</v>
      </c>
      <c r="Q16" s="130">
        <f>IF(SER_hh_fech_in!Q16=0,0,SER_hh_fech_in!Q16/SER_summary!Q$27)</f>
        <v>8.7509100322243683</v>
      </c>
      <c r="R16" s="130">
        <f>IF(SER_hh_fech_in!R16=0,0,SER_hh_fech_in!R16/SER_summary!R$27)</f>
        <v>5.267311951260524</v>
      </c>
      <c r="S16" s="130">
        <f>IF(SER_hh_fech_in!S16=0,0,SER_hh_fech_in!S16/SER_summary!S$27)</f>
        <v>7.6433410148019041</v>
      </c>
      <c r="T16" s="130">
        <f>IF(SER_hh_fech_in!T16=0,0,SER_hh_fech_in!T16/SER_summary!T$27)</f>
        <v>5.5375974173545774</v>
      </c>
      <c r="U16" s="130">
        <f>IF(SER_hh_fech_in!U16=0,0,SER_hh_fech_in!U16/SER_summary!U$27)</f>
        <v>6.9445907913159646</v>
      </c>
      <c r="V16" s="130">
        <f>IF(SER_hh_fech_in!V16=0,0,SER_hh_fech_in!V16/SER_summary!V$27)</f>
        <v>4.6967642885565022</v>
      </c>
      <c r="W16" s="130">
        <f>IF(SER_hh_fech_in!W16=0,0,SER_hh_fech_in!W16/SER_summary!W$27)</f>
        <v>5.0470570705952209</v>
      </c>
      <c r="X16" s="130">
        <f>IF(SER_hh_fech_in!X16=0,0,SER_hh_fech_in!X16/SER_summary!X$27)</f>
        <v>5.6464242928998765</v>
      </c>
      <c r="Y16" s="130">
        <f>IF(SER_hh_fech_in!Y16=0,0,SER_hh_fech_in!Y16/SER_summary!Y$27)</f>
        <v>4.5537456053672436</v>
      </c>
      <c r="DA16" s="155" t="s">
        <v>830</v>
      </c>
    </row>
    <row r="17" spans="1:105" ht="12.95" customHeight="1" x14ac:dyDescent="0.25">
      <c r="A17" s="131" t="s">
        <v>73</v>
      </c>
      <c r="B17" s="132"/>
      <c r="C17" s="132">
        <f>IF(SER_hh_fech_in!C17=0,0,SER_hh_fech_in!C17/SER_summary!C$27)</f>
        <v>23.324860457218207</v>
      </c>
      <c r="D17" s="132">
        <f>IF(SER_hh_fech_in!D17=0,0,SER_hh_fech_in!D17/SER_summary!D$27)</f>
        <v>20.063316627909426</v>
      </c>
      <c r="E17" s="132">
        <f>IF(SER_hh_fech_in!E17=0,0,SER_hh_fech_in!E17/SER_summary!E$27)</f>
        <v>45.640849863105693</v>
      </c>
      <c r="F17" s="132">
        <f>IF(SER_hh_fech_in!F17=0,0,SER_hh_fech_in!F17/SER_summary!F$27)</f>
        <v>20.102509549784102</v>
      </c>
      <c r="G17" s="132">
        <f>IF(SER_hh_fech_in!G17=0,0,SER_hh_fech_in!G17/SER_summary!G$27)</f>
        <v>19.695371705585416</v>
      </c>
      <c r="H17" s="132">
        <f>IF(SER_hh_fech_in!H17=0,0,SER_hh_fech_in!H17/SER_summary!H$27)</f>
        <v>22.663097679222567</v>
      </c>
      <c r="I17" s="132">
        <f>IF(SER_hh_fech_in!I17=0,0,SER_hh_fech_in!I17/SER_summary!I$27)</f>
        <v>20.370002616526353</v>
      </c>
      <c r="J17" s="132">
        <f>IF(SER_hh_fech_in!J17=0,0,SER_hh_fech_in!J17/SER_summary!J$27)</f>
        <v>23.308507435425287</v>
      </c>
      <c r="K17" s="132">
        <f>IF(SER_hh_fech_in!K17=0,0,SER_hh_fech_in!K17/SER_summary!K$27)</f>
        <v>23.174538239048974</v>
      </c>
      <c r="L17" s="132">
        <f>IF(SER_hh_fech_in!L17=0,0,SER_hh_fech_in!L17/SER_summary!L$27)</f>
        <v>18.290289531401278</v>
      </c>
      <c r="M17" s="132">
        <f>IF(SER_hh_fech_in!M17=0,0,SER_hh_fech_in!M17/SER_summary!M$27)</f>
        <v>19.178610123691222</v>
      </c>
      <c r="N17" s="132">
        <f>IF(SER_hh_fech_in!N17=0,0,SER_hh_fech_in!N17/SER_summary!N$27)</f>
        <v>29.159985300097023</v>
      </c>
      <c r="O17" s="132">
        <f>IF(SER_hh_fech_in!O17=0,0,SER_hh_fech_in!O17/SER_summary!O$27)</f>
        <v>16.618796986383504</v>
      </c>
      <c r="P17" s="132">
        <f>IF(SER_hh_fech_in!P17=0,0,SER_hh_fech_in!P17/SER_summary!P$27)</f>
        <v>13.817785472430097</v>
      </c>
      <c r="Q17" s="132">
        <f>IF(SER_hh_fech_in!Q17=0,0,SER_hh_fech_in!Q17/SER_summary!Q$27)</f>
        <v>23.648342594747966</v>
      </c>
      <c r="R17" s="132">
        <f>IF(SER_hh_fech_in!R17=0,0,SER_hh_fech_in!R17/SER_summary!R$27)</f>
        <v>14.671439918219219</v>
      </c>
      <c r="S17" s="132">
        <f>IF(SER_hh_fech_in!S17=0,0,SER_hh_fech_in!S17/SER_summary!S$27)</f>
        <v>21.003457562267663</v>
      </c>
      <c r="T17" s="132">
        <f>IF(SER_hh_fech_in!T17=0,0,SER_hh_fech_in!T17/SER_summary!T$27)</f>
        <v>15.018180935037542</v>
      </c>
      <c r="U17" s="132">
        <f>IF(SER_hh_fech_in!U17=0,0,SER_hh_fech_in!U17/SER_summary!U$27)</f>
        <v>18.458760301830132</v>
      </c>
      <c r="V17" s="132">
        <f>IF(SER_hh_fech_in!V17=0,0,SER_hh_fech_in!V17/SER_summary!V$27)</f>
        <v>12.33779123079503</v>
      </c>
      <c r="W17" s="132">
        <f>IF(SER_hh_fech_in!W17=0,0,SER_hh_fech_in!W17/SER_summary!W$27)</f>
        <v>13.010965312854998</v>
      </c>
      <c r="X17" s="132">
        <f>IF(SER_hh_fech_in!X17=0,0,SER_hh_fech_in!X17/SER_summary!X$27)</f>
        <v>14.504203274305086</v>
      </c>
      <c r="Y17" s="132">
        <f>IF(SER_hh_fech_in!Y17=0,0,SER_hh_fech_in!Y17/SER_summary!Y$27)</f>
        <v>12.781177892353426</v>
      </c>
      <c r="DA17" s="156" t="s">
        <v>831</v>
      </c>
    </row>
    <row r="18" spans="1:105" ht="12" customHeight="1" x14ac:dyDescent="0.25">
      <c r="A18" s="131" t="s">
        <v>72</v>
      </c>
      <c r="B18" s="132"/>
      <c r="C18" s="132">
        <f>IF(SER_hh_fech_in!C18=0,0,SER_hh_fech_in!C18/SER_summary!C$27)</f>
        <v>11.721005441546675</v>
      </c>
      <c r="D18" s="132">
        <f>IF(SER_hh_fech_in!D18=0,0,SER_hh_fech_in!D18/SER_summary!D$27)</f>
        <v>9.8377743077317685</v>
      </c>
      <c r="E18" s="132">
        <f>IF(SER_hh_fech_in!E18=0,0,SER_hh_fech_in!E18/SER_summary!E$27)</f>
        <v>21.820862437677395</v>
      </c>
      <c r="F18" s="132">
        <f>IF(SER_hh_fech_in!F18=0,0,SER_hh_fech_in!F18/SER_summary!F$27)</f>
        <v>9.384008280638124</v>
      </c>
      <c r="G18" s="132">
        <f>IF(SER_hh_fech_in!G18=0,0,SER_hh_fech_in!G18/SER_summary!G$27)</f>
        <v>8.9854551770075055</v>
      </c>
      <c r="H18" s="132">
        <f>IF(SER_hh_fech_in!H18=0,0,SER_hh_fech_in!H18/SER_summary!H$27)</f>
        <v>10.100808657602917</v>
      </c>
      <c r="I18" s="132">
        <f>IF(SER_hh_fech_in!I18=0,0,SER_hh_fech_in!I18/SER_summary!I$27)</f>
        <v>8.8818119861663209</v>
      </c>
      <c r="J18" s="132">
        <f>IF(SER_hh_fech_in!J18=0,0,SER_hh_fech_in!J18/SER_summary!J$27)</f>
        <v>9.9503991378550722</v>
      </c>
      <c r="K18" s="132">
        <f>IF(SER_hh_fech_in!K18=0,0,SER_hh_fech_in!K18/SER_summary!K$27)</f>
        <v>9.686334562265742</v>
      </c>
      <c r="L18" s="132">
        <f>IF(SER_hh_fech_in!L18=0,0,SER_hh_fech_in!L18/SER_summary!L$27)</f>
        <v>7.4792246734879084</v>
      </c>
      <c r="M18" s="132">
        <f>IF(SER_hh_fech_in!M18=0,0,SER_hh_fech_in!M18/SER_summary!M$27)</f>
        <v>7.6634814805128153</v>
      </c>
      <c r="N18" s="132">
        <f>IF(SER_hh_fech_in!N18=0,0,SER_hh_fech_in!N18/SER_summary!N$27)</f>
        <v>11.361675612181667</v>
      </c>
      <c r="O18" s="132">
        <f>IF(SER_hh_fech_in!O18=0,0,SER_hh_fech_in!O18/SER_summary!O$27)</f>
        <v>6.2984376948920557</v>
      </c>
      <c r="P18" s="132">
        <f>IF(SER_hh_fech_in!P18=0,0,SER_hh_fech_in!P18/SER_summary!P$27)</f>
        <v>5.087887279234736</v>
      </c>
      <c r="Q18" s="132">
        <f>IF(SER_hh_fech_in!Q18=0,0,SER_hh_fech_in!Q18/SER_summary!Q$27)</f>
        <v>8.537027163603307</v>
      </c>
      <c r="R18" s="132">
        <f>IF(SER_hh_fech_in!R18=0,0,SER_hh_fech_in!R18/SER_summary!R$27)</f>
        <v>5.1197313669714442</v>
      </c>
      <c r="S18" s="132">
        <f>IF(SER_hh_fech_in!S18=0,0,SER_hh_fech_in!S18/SER_summary!S$27)</f>
        <v>7.4281952069403241</v>
      </c>
      <c r="T18" s="132">
        <f>IF(SER_hh_fech_in!T18=0,0,SER_hh_fech_in!T18/SER_summary!T$27)</f>
        <v>5.3798685567855413</v>
      </c>
      <c r="U18" s="132">
        <f>IF(SER_hh_fech_in!U18=0,0,SER_hh_fech_in!U18/SER_summary!U$27)</f>
        <v>6.7574311667865166</v>
      </c>
      <c r="V18" s="132">
        <f>IF(SER_hh_fech_in!V18=0,0,SER_hh_fech_in!V18/SER_summary!V$27)</f>
        <v>4.5795954696089982</v>
      </c>
      <c r="W18" s="132">
        <f>IF(SER_hh_fech_in!W18=0,0,SER_hh_fech_in!W18/SER_summary!W$27)</f>
        <v>4.9329995174556123</v>
      </c>
      <c r="X18" s="132">
        <f>IF(SER_hh_fech_in!X18=0,0,SER_hh_fech_in!X18/SER_summary!X$27)</f>
        <v>5.440009284311409</v>
      </c>
      <c r="Y18" s="132">
        <f>IF(SER_hh_fech_in!Y18=0,0,SER_hh_fech_in!Y18/SER_summary!Y$27)</f>
        <v>4.3700471482749066</v>
      </c>
      <c r="DA18" s="156" t="s">
        <v>832</v>
      </c>
    </row>
    <row r="19" spans="1:105" ht="12.95" customHeight="1" x14ac:dyDescent="0.25">
      <c r="A19" s="129" t="s">
        <v>35</v>
      </c>
      <c r="B19" s="130"/>
      <c r="C19" s="130">
        <f>IF(SER_hh_fech_in!C19=0,0,SER_hh_fech_in!C19/SER_summary!C$27)</f>
        <v>31.878567194265912</v>
      </c>
      <c r="D19" s="130">
        <f>IF(SER_hh_fech_in!D19=0,0,SER_hh_fech_in!D19/SER_summary!D$27)</f>
        <v>31.981538629317907</v>
      </c>
      <c r="E19" s="130">
        <f>IF(SER_hh_fech_in!E19=0,0,SER_hh_fech_in!E19/SER_summary!E$27)</f>
        <v>31.496300867316673</v>
      </c>
      <c r="F19" s="130">
        <f>IF(SER_hh_fech_in!F19=0,0,SER_hh_fech_in!F19/SER_summary!F$27)</f>
        <v>32.09047991484595</v>
      </c>
      <c r="G19" s="130">
        <f>IF(SER_hh_fech_in!G19=0,0,SER_hh_fech_in!G19/SER_summary!G$27)</f>
        <v>30.115419583190935</v>
      </c>
      <c r="H19" s="130">
        <f>IF(SER_hh_fech_in!H19=0,0,SER_hh_fech_in!H19/SER_summary!H$27)</f>
        <v>30.666562994559296</v>
      </c>
      <c r="I19" s="130">
        <f>IF(SER_hh_fech_in!I19=0,0,SER_hh_fech_in!I19/SER_summary!I$27)</f>
        <v>30.268140856387056</v>
      </c>
      <c r="J19" s="130">
        <f>IF(SER_hh_fech_in!J19=0,0,SER_hh_fech_in!J19/SER_summary!J$27)</f>
        <v>28.374508034018291</v>
      </c>
      <c r="K19" s="130">
        <f>IF(SER_hh_fech_in!K19=0,0,SER_hh_fech_in!K19/SER_summary!K$27)</f>
        <v>26.867371300554645</v>
      </c>
      <c r="L19" s="130">
        <f>IF(SER_hh_fech_in!L19=0,0,SER_hh_fech_in!L19/SER_summary!L$27)</f>
        <v>26.415756663256047</v>
      </c>
      <c r="M19" s="130">
        <f>IF(SER_hh_fech_in!M19=0,0,SER_hh_fech_in!M19/SER_summary!M$27)</f>
        <v>29.165409346044022</v>
      </c>
      <c r="N19" s="130">
        <f>IF(SER_hh_fech_in!N19=0,0,SER_hh_fech_in!N19/SER_summary!N$27)</f>
        <v>27.84591619672473</v>
      </c>
      <c r="O19" s="130">
        <f>IF(SER_hh_fech_in!O19=0,0,SER_hh_fech_in!O19/SER_summary!O$27)</f>
        <v>27.511249147844179</v>
      </c>
      <c r="P19" s="130">
        <f>IF(SER_hh_fech_in!P19=0,0,SER_hh_fech_in!P19/SER_summary!P$27)</f>
        <v>26.522468207542083</v>
      </c>
      <c r="Q19" s="130">
        <f>IF(SER_hh_fech_in!Q19=0,0,SER_hh_fech_in!Q19/SER_summary!Q$27)</f>
        <v>27.463813016307519</v>
      </c>
      <c r="R19" s="130">
        <f>IF(SER_hh_fech_in!R19=0,0,SER_hh_fech_in!R19/SER_summary!R$27)</f>
        <v>26.277005959799581</v>
      </c>
      <c r="S19" s="130">
        <f>IF(SER_hh_fech_in!S19=0,0,SER_hh_fech_in!S19/SER_summary!S$27)</f>
        <v>25.317580266771607</v>
      </c>
      <c r="T19" s="130">
        <f>IF(SER_hh_fech_in!T19=0,0,SER_hh_fech_in!T19/SER_summary!T$27)</f>
        <v>24.623678031295139</v>
      </c>
      <c r="U19" s="130">
        <f>IF(SER_hh_fech_in!U19=0,0,SER_hh_fech_in!U19/SER_summary!U$27)</f>
        <v>22.665164238946794</v>
      </c>
      <c r="V19" s="130">
        <f>IF(SER_hh_fech_in!V19=0,0,SER_hh_fech_in!V19/SER_summary!V$27)</f>
        <v>19.862347043694953</v>
      </c>
      <c r="W19" s="130">
        <f>IF(SER_hh_fech_in!W19=0,0,SER_hh_fech_in!W19/SER_summary!W$27)</f>
        <v>23.011076493888115</v>
      </c>
      <c r="X19" s="130">
        <f>IF(SER_hh_fech_in!X19=0,0,SER_hh_fech_in!X19/SER_summary!X$27)</f>
        <v>23.994290359303424</v>
      </c>
      <c r="Y19" s="130">
        <f>IF(SER_hh_fech_in!Y19=0,0,SER_hh_fech_in!Y19/SER_summary!Y$27)</f>
        <v>24.004936997306309</v>
      </c>
      <c r="DA19" s="155" t="s">
        <v>833</v>
      </c>
    </row>
    <row r="20" spans="1:105" ht="12" customHeight="1" x14ac:dyDescent="0.25">
      <c r="A20" s="131" t="s">
        <v>29</v>
      </c>
      <c r="B20" s="132"/>
      <c r="C20" s="132">
        <f>IF(SER_hh_fech_in!C20=0,0,SER_hh_fech_in!C20/SER_summary!C$27)</f>
        <v>0</v>
      </c>
      <c r="D20" s="132">
        <f>IF(SER_hh_fech_in!D20=0,0,SER_hh_fech_in!D20/SER_summary!D$27)</f>
        <v>0</v>
      </c>
      <c r="E20" s="132">
        <f>IF(SER_hh_fech_in!E20=0,0,SER_hh_fech_in!E20/SER_summary!E$27)</f>
        <v>0</v>
      </c>
      <c r="F20" s="132">
        <f>IF(SER_hh_fech_in!F20=0,0,SER_hh_fech_in!F20/SER_summary!F$27)</f>
        <v>0</v>
      </c>
      <c r="G20" s="132">
        <f>IF(SER_hh_fech_in!G20=0,0,SER_hh_fech_in!G20/SER_summary!G$27)</f>
        <v>0</v>
      </c>
      <c r="H20" s="132">
        <f>IF(SER_hh_fech_in!H20=0,0,SER_hh_fech_in!H20/SER_summary!H$27)</f>
        <v>0</v>
      </c>
      <c r="I20" s="132">
        <f>IF(SER_hh_fech_in!I20=0,0,SER_hh_fech_in!I20/SER_summary!I$27)</f>
        <v>0</v>
      </c>
      <c r="J20" s="132">
        <f>IF(SER_hh_fech_in!J20=0,0,SER_hh_fech_in!J20/SER_summary!J$27)</f>
        <v>0</v>
      </c>
      <c r="K20" s="132">
        <f>IF(SER_hh_fech_in!K20=0,0,SER_hh_fech_in!K20/SER_summary!K$27)</f>
        <v>0</v>
      </c>
      <c r="L20" s="132">
        <f>IF(SER_hh_fech_in!L20=0,0,SER_hh_fech_in!L20/SER_summary!L$27)</f>
        <v>0</v>
      </c>
      <c r="M20" s="132">
        <f>IF(SER_hh_fech_in!M20=0,0,SER_hh_fech_in!M20/SER_summary!M$27)</f>
        <v>0</v>
      </c>
      <c r="N20" s="132">
        <f>IF(SER_hh_fech_in!N20=0,0,SER_hh_fech_in!N20/SER_summary!N$27)</f>
        <v>0</v>
      </c>
      <c r="O20" s="132">
        <f>IF(SER_hh_fech_in!O20=0,0,SER_hh_fech_in!O20/SER_summary!O$27)</f>
        <v>0</v>
      </c>
      <c r="P20" s="132">
        <f>IF(SER_hh_fech_in!P20=0,0,SER_hh_fech_in!P20/SER_summary!P$27)</f>
        <v>0</v>
      </c>
      <c r="Q20" s="132">
        <f>IF(SER_hh_fech_in!Q20=0,0,SER_hh_fech_in!Q20/SER_summary!Q$27)</f>
        <v>0</v>
      </c>
      <c r="R20" s="132">
        <f>IF(SER_hh_fech_in!R20=0,0,SER_hh_fech_in!R20/SER_summary!R$27)</f>
        <v>0</v>
      </c>
      <c r="S20" s="132">
        <f>IF(SER_hh_fech_in!S20=0,0,SER_hh_fech_in!S20/SER_summary!S$27)</f>
        <v>0</v>
      </c>
      <c r="T20" s="132">
        <f>IF(SER_hh_fech_in!T20=0,0,SER_hh_fech_in!T20/SER_summary!T$27)</f>
        <v>0</v>
      </c>
      <c r="U20" s="132">
        <f>IF(SER_hh_fech_in!U20=0,0,SER_hh_fech_in!U20/SER_summary!U$27)</f>
        <v>0</v>
      </c>
      <c r="V20" s="132">
        <f>IF(SER_hh_fech_in!V20=0,0,SER_hh_fech_in!V20/SER_summary!V$27)</f>
        <v>0</v>
      </c>
      <c r="W20" s="132">
        <f>IF(SER_hh_fech_in!W20=0,0,SER_hh_fech_in!W20/SER_summary!W$27)</f>
        <v>0</v>
      </c>
      <c r="X20" s="132">
        <f>IF(SER_hh_fech_in!X20=0,0,SER_hh_fech_in!X20/SER_summary!X$27)</f>
        <v>0</v>
      </c>
      <c r="Y20" s="132">
        <f>IF(SER_hh_fech_in!Y20=0,0,SER_hh_fech_in!Y20/SER_summary!Y$27)</f>
        <v>0</v>
      </c>
      <c r="DA20" s="156" t="s">
        <v>834</v>
      </c>
    </row>
    <row r="21" spans="1:105" s="2" customFormat="1" ht="12" customHeight="1" x14ac:dyDescent="0.25">
      <c r="A21" s="131" t="s">
        <v>52</v>
      </c>
      <c r="B21" s="132"/>
      <c r="C21" s="132">
        <f>IF(SER_hh_fech_in!C21=0,0,SER_hh_fech_in!C21/SER_summary!C$27)</f>
        <v>36.17272012853352</v>
      </c>
      <c r="D21" s="132">
        <f>IF(SER_hh_fech_in!D21=0,0,SER_hh_fech_in!D21/SER_summary!D$27)</f>
        <v>35.489220590000208</v>
      </c>
      <c r="E21" s="132">
        <f>IF(SER_hh_fech_in!E21=0,0,SER_hh_fech_in!E21/SER_summary!E$27)</f>
        <v>34.501157846001846</v>
      </c>
      <c r="F21" s="132">
        <f>IF(SER_hh_fech_in!F21=0,0,SER_hh_fech_in!F21/SER_summary!F$27)</f>
        <v>34.852469636219496</v>
      </c>
      <c r="G21" s="132">
        <f>IF(SER_hh_fech_in!G21=0,0,SER_hh_fech_in!G21/SER_summary!G$27)</f>
        <v>34.156191967371647</v>
      </c>
      <c r="H21" s="132">
        <f>IF(SER_hh_fech_in!H21=0,0,SER_hh_fech_in!H21/SER_summary!H$27)</f>
        <v>35.570189969406897</v>
      </c>
      <c r="I21" s="132">
        <f>IF(SER_hh_fech_in!I21=0,0,SER_hh_fech_in!I21/SER_summary!I$27)</f>
        <v>33.135921222522398</v>
      </c>
      <c r="J21" s="132">
        <f>IF(SER_hh_fech_in!J21=0,0,SER_hh_fech_in!J21/SER_summary!J$27)</f>
        <v>31.967531265088695</v>
      </c>
      <c r="K21" s="132">
        <f>IF(SER_hh_fech_in!K21=0,0,SER_hh_fech_in!K21/SER_summary!K$27)</f>
        <v>30.091697014162964</v>
      </c>
      <c r="L21" s="132">
        <f>IF(SER_hh_fech_in!L21=0,0,SER_hh_fech_in!L21/SER_summary!L$27)</f>
        <v>28.862184077509696</v>
      </c>
      <c r="M21" s="132">
        <f>IF(SER_hh_fech_in!M21=0,0,SER_hh_fech_in!M21/SER_summary!M$27)</f>
        <v>35.083616354717478</v>
      </c>
      <c r="N21" s="132">
        <f>IF(SER_hh_fech_in!N21=0,0,SER_hh_fech_in!N21/SER_summary!N$27)</f>
        <v>31.72592419415464</v>
      </c>
      <c r="O21" s="132">
        <f>IF(SER_hh_fech_in!O21=0,0,SER_hh_fech_in!O21/SER_summary!O$27)</f>
        <v>32.729976902942411</v>
      </c>
      <c r="P21" s="132">
        <f>IF(SER_hh_fech_in!P21=0,0,SER_hh_fech_in!P21/SER_summary!P$27)</f>
        <v>0</v>
      </c>
      <c r="Q21" s="132">
        <f>IF(SER_hh_fech_in!Q21=0,0,SER_hh_fech_in!Q21/SER_summary!Q$27)</f>
        <v>0</v>
      </c>
      <c r="R21" s="132">
        <f>IF(SER_hh_fech_in!R21=0,0,SER_hh_fech_in!R21/SER_summary!R$27)</f>
        <v>29.569411938129459</v>
      </c>
      <c r="S21" s="132">
        <f>IF(SER_hh_fech_in!S21=0,0,SER_hh_fech_in!S21/SER_summary!S$27)</f>
        <v>28.800688764949701</v>
      </c>
      <c r="T21" s="132">
        <f>IF(SER_hh_fech_in!T21=0,0,SER_hh_fech_in!T21/SER_summary!T$27)</f>
        <v>26.235540221012744</v>
      </c>
      <c r="U21" s="132">
        <f>IF(SER_hh_fech_in!U21=0,0,SER_hh_fech_in!U21/SER_summary!U$27)</f>
        <v>23.442381993112924</v>
      </c>
      <c r="V21" s="132">
        <f>IF(SER_hh_fech_in!V21=0,0,SER_hh_fech_in!V21/SER_summary!V$27)</f>
        <v>22.766667186233832</v>
      </c>
      <c r="W21" s="132">
        <f>IF(SER_hh_fech_in!W21=0,0,SER_hh_fech_in!W21/SER_summary!W$27)</f>
        <v>24.9011589516954</v>
      </c>
      <c r="X21" s="132">
        <f>IF(SER_hh_fech_in!X21=0,0,SER_hh_fech_in!X21/SER_summary!X$27)</f>
        <v>25.26123512721917</v>
      </c>
      <c r="Y21" s="132">
        <f>IF(SER_hh_fech_in!Y21=0,0,SER_hh_fech_in!Y21/SER_summary!Y$27)</f>
        <v>25.24102416443246</v>
      </c>
      <c r="DA21" s="156" t="s">
        <v>835</v>
      </c>
    </row>
    <row r="22" spans="1:105" ht="12" customHeight="1" x14ac:dyDescent="0.25">
      <c r="A22" s="131" t="s">
        <v>161</v>
      </c>
      <c r="B22" s="132"/>
      <c r="C22" s="132">
        <f>IF(SER_hh_fech_in!C22=0,0,SER_hh_fech_in!C22/SER_summary!C$27)</f>
        <v>38.403398127725843</v>
      </c>
      <c r="D22" s="132">
        <f>IF(SER_hh_fech_in!D22=0,0,SER_hh_fech_in!D22/SER_summary!D$27)</f>
        <v>0</v>
      </c>
      <c r="E22" s="132">
        <f>IF(SER_hh_fech_in!E22=0,0,SER_hh_fech_in!E22/SER_summary!E$27)</f>
        <v>0</v>
      </c>
      <c r="F22" s="132">
        <f>IF(SER_hh_fech_in!F22=0,0,SER_hh_fech_in!F22/SER_summary!F$27)</f>
        <v>0</v>
      </c>
      <c r="G22" s="132">
        <f>IF(SER_hh_fech_in!G22=0,0,SER_hh_fech_in!G22/SER_summary!G$27)</f>
        <v>31.603131432718886</v>
      </c>
      <c r="H22" s="132">
        <f>IF(SER_hh_fech_in!H22=0,0,SER_hh_fech_in!H22/SER_summary!H$27)</f>
        <v>37.088417242767001</v>
      </c>
      <c r="I22" s="132">
        <f>IF(SER_hh_fech_in!I22=0,0,SER_hh_fech_in!I22/SER_summary!I$27)</f>
        <v>36.451173344811998</v>
      </c>
      <c r="J22" s="132">
        <f>IF(SER_hh_fech_in!J22=0,0,SER_hh_fech_in!J22/SER_summary!J$27)</f>
        <v>35.581141261141568</v>
      </c>
      <c r="K22" s="132">
        <f>IF(SER_hh_fech_in!K22=0,0,SER_hh_fech_in!K22/SER_summary!K$27)</f>
        <v>33.324244117372949</v>
      </c>
      <c r="L22" s="132">
        <f>IF(SER_hh_fech_in!L22=0,0,SER_hh_fech_in!L22/SER_summary!L$27)</f>
        <v>30.974968312949809</v>
      </c>
      <c r="M22" s="132">
        <f>IF(SER_hh_fech_in!M22=0,0,SER_hh_fech_in!M22/SER_summary!M$27)</f>
        <v>35.139356506629973</v>
      </c>
      <c r="N22" s="132">
        <f>IF(SER_hh_fech_in!N22=0,0,SER_hh_fech_in!N22/SER_summary!N$27)</f>
        <v>34.281569122806765</v>
      </c>
      <c r="O22" s="132">
        <f>IF(SER_hh_fech_in!O22=0,0,SER_hh_fech_in!O22/SER_summary!O$27)</f>
        <v>34.293874574237208</v>
      </c>
      <c r="P22" s="132">
        <f>IF(SER_hh_fech_in!P22=0,0,SER_hh_fech_in!P22/SER_summary!P$27)</f>
        <v>0</v>
      </c>
      <c r="Q22" s="132">
        <f>IF(SER_hh_fech_in!Q22=0,0,SER_hh_fech_in!Q22/SER_summary!Q$27)</f>
        <v>0</v>
      </c>
      <c r="R22" s="132">
        <f>IF(SER_hh_fech_in!R22=0,0,SER_hh_fech_in!R22/SER_summary!R$27)</f>
        <v>0</v>
      </c>
      <c r="S22" s="132">
        <f>IF(SER_hh_fech_in!S22=0,0,SER_hh_fech_in!S22/SER_summary!S$27)</f>
        <v>0</v>
      </c>
      <c r="T22" s="132">
        <f>IF(SER_hh_fech_in!T22=0,0,SER_hh_fech_in!T22/SER_summary!T$27)</f>
        <v>0</v>
      </c>
      <c r="U22" s="132">
        <f>IF(SER_hh_fech_in!U22=0,0,SER_hh_fech_in!U22/SER_summary!U$27)</f>
        <v>0</v>
      </c>
      <c r="V22" s="132">
        <f>IF(SER_hh_fech_in!V22=0,0,SER_hh_fech_in!V22/SER_summary!V$27)</f>
        <v>0</v>
      </c>
      <c r="W22" s="132">
        <f>IF(SER_hh_fech_in!W22=0,0,SER_hh_fech_in!W22/SER_summary!W$27)</f>
        <v>24.763850545253739</v>
      </c>
      <c r="X22" s="132">
        <f>IF(SER_hh_fech_in!X22=0,0,SER_hh_fech_in!X22/SER_summary!X$27)</f>
        <v>26.454573231963096</v>
      </c>
      <c r="Y22" s="132">
        <f>IF(SER_hh_fech_in!Y22=0,0,SER_hh_fech_in!Y22/SER_summary!Y$27)</f>
        <v>21.805850072993991</v>
      </c>
      <c r="DA22" s="156" t="s">
        <v>836</v>
      </c>
    </row>
    <row r="23" spans="1:105" ht="12" customHeight="1" x14ac:dyDescent="0.25">
      <c r="A23" s="131" t="s">
        <v>149</v>
      </c>
      <c r="B23" s="132"/>
      <c r="C23" s="132">
        <f>IF(SER_hh_fech_in!C23=0,0,SER_hh_fech_in!C23/SER_summary!C$27)</f>
        <v>35.000514757444861</v>
      </c>
      <c r="D23" s="132">
        <f>IF(SER_hh_fech_in!D23=0,0,SER_hh_fech_in!D23/SER_summary!D$27)</f>
        <v>34.933258773205047</v>
      </c>
      <c r="E23" s="132">
        <f>IF(SER_hh_fech_in!E23=0,0,SER_hh_fech_in!E23/SER_summary!E$27)</f>
        <v>34.387823151136573</v>
      </c>
      <c r="F23" s="132">
        <f>IF(SER_hh_fech_in!F23=0,0,SER_hh_fech_in!F23/SER_summary!F$27)</f>
        <v>33.862051099028868</v>
      </c>
      <c r="G23" s="132">
        <f>IF(SER_hh_fech_in!G23=0,0,SER_hh_fech_in!G23/SER_summary!G$27)</f>
        <v>32.966724313206733</v>
      </c>
      <c r="H23" s="132">
        <f>IF(SER_hh_fech_in!H23=0,0,SER_hh_fech_in!H23/SER_summary!H$27)</f>
        <v>33.27137026498275</v>
      </c>
      <c r="I23" s="132">
        <f>IF(SER_hh_fech_in!I23=0,0,SER_hh_fech_in!I23/SER_summary!I$27)</f>
        <v>32.495478200155738</v>
      </c>
      <c r="J23" s="132">
        <f>IF(SER_hh_fech_in!J23=0,0,SER_hh_fech_in!J23/SER_summary!J$27)</f>
        <v>31.125129424590131</v>
      </c>
      <c r="K23" s="132">
        <f>IF(SER_hh_fech_in!K23=0,0,SER_hh_fech_in!K23/SER_summary!K$27)</f>
        <v>29.143143915539682</v>
      </c>
      <c r="L23" s="132">
        <f>IF(SER_hh_fech_in!L23=0,0,SER_hh_fech_in!L23/SER_summary!L$27)</f>
        <v>28.697363769094927</v>
      </c>
      <c r="M23" s="132">
        <f>IF(SER_hh_fech_in!M23=0,0,SER_hh_fech_in!M23/SER_summary!M$27)</f>
        <v>31.770886685443088</v>
      </c>
      <c r="N23" s="132">
        <f>IF(SER_hh_fech_in!N23=0,0,SER_hh_fech_in!N23/SER_summary!N$27)</f>
        <v>31.161338179828626</v>
      </c>
      <c r="O23" s="132">
        <f>IF(SER_hh_fech_in!O23=0,0,SER_hh_fech_in!O23/SER_summary!O$27)</f>
        <v>30.466008534687486</v>
      </c>
      <c r="P23" s="132">
        <f>IF(SER_hh_fech_in!P23=0,0,SER_hh_fech_in!P23/SER_summary!P$27)</f>
        <v>29.415718952065681</v>
      </c>
      <c r="Q23" s="132">
        <f>IF(SER_hh_fech_in!Q23=0,0,SER_hh_fech_in!Q23/SER_summary!Q$27)</f>
        <v>28.471692007588846</v>
      </c>
      <c r="R23" s="132">
        <f>IF(SER_hh_fech_in!R23=0,0,SER_hh_fech_in!R23/SER_summary!R$27)</f>
        <v>27.622634665107057</v>
      </c>
      <c r="S23" s="132">
        <f>IF(SER_hh_fech_in!S23=0,0,SER_hh_fech_in!S23/SER_summary!S$27)</f>
        <v>25.171661993944316</v>
      </c>
      <c r="T23" s="132">
        <f>IF(SER_hh_fech_in!T23=0,0,SER_hh_fech_in!T23/SER_summary!T$27)</f>
        <v>23.812068491440552</v>
      </c>
      <c r="U23" s="132">
        <f>IF(SER_hh_fech_in!U23=0,0,SER_hh_fech_in!U23/SER_summary!U$27)</f>
        <v>23.519149854402432</v>
      </c>
      <c r="V23" s="132">
        <f>IF(SER_hh_fech_in!V23=0,0,SER_hh_fech_in!V23/SER_summary!V$27)</f>
        <v>22.904531526231619</v>
      </c>
      <c r="W23" s="132">
        <f>IF(SER_hh_fech_in!W23=0,0,SER_hh_fech_in!W23/SER_summary!W$27)</f>
        <v>25.804352584644203</v>
      </c>
      <c r="X23" s="132">
        <f>IF(SER_hh_fech_in!X23=0,0,SER_hh_fech_in!X23/SER_summary!X$27)</f>
        <v>25.562377869771538</v>
      </c>
      <c r="Y23" s="132">
        <f>IF(SER_hh_fech_in!Y23=0,0,SER_hh_fech_in!Y23/SER_summary!Y$27)</f>
        <v>25.134258105473261</v>
      </c>
      <c r="DA23" s="156" t="s">
        <v>837</v>
      </c>
    </row>
    <row r="24" spans="1:105" ht="12" customHeight="1" x14ac:dyDescent="0.25">
      <c r="A24" s="131" t="s">
        <v>128</v>
      </c>
      <c r="B24" s="132"/>
      <c r="C24" s="132">
        <f>IF(SER_hh_fech_in!C24=0,0,SER_hh_fech_in!C24/SER_summary!C$27)</f>
        <v>0</v>
      </c>
      <c r="D24" s="132">
        <f>IF(SER_hh_fech_in!D24=0,0,SER_hh_fech_in!D24/SER_summary!D$27)</f>
        <v>0</v>
      </c>
      <c r="E24" s="132">
        <f>IF(SER_hh_fech_in!E24=0,0,SER_hh_fech_in!E24/SER_summary!E$27)</f>
        <v>0</v>
      </c>
      <c r="F24" s="132">
        <f>IF(SER_hh_fech_in!F24=0,0,SER_hh_fech_in!F24/SER_summary!F$27)</f>
        <v>0</v>
      </c>
      <c r="G24" s="132">
        <f>IF(SER_hh_fech_in!G24=0,0,SER_hh_fech_in!G24/SER_summary!G$27)</f>
        <v>0</v>
      </c>
      <c r="H24" s="132">
        <f>IF(SER_hh_fech_in!H24=0,0,SER_hh_fech_in!H24/SER_summary!H$27)</f>
        <v>0</v>
      </c>
      <c r="I24" s="132">
        <f>IF(SER_hh_fech_in!I24=0,0,SER_hh_fech_in!I24/SER_summary!I$27)</f>
        <v>0</v>
      </c>
      <c r="J24" s="132">
        <f>IF(SER_hh_fech_in!J24=0,0,SER_hh_fech_in!J24/SER_summary!J$27)</f>
        <v>0</v>
      </c>
      <c r="K24" s="132">
        <f>IF(SER_hh_fech_in!K24=0,0,SER_hh_fech_in!K24/SER_summary!K$27)</f>
        <v>0</v>
      </c>
      <c r="L24" s="132">
        <f>IF(SER_hh_fech_in!L24=0,0,SER_hh_fech_in!L24/SER_summary!L$27)</f>
        <v>0</v>
      </c>
      <c r="M24" s="132">
        <f>IF(SER_hh_fech_in!M24=0,0,SER_hh_fech_in!M24/SER_summary!M$27)</f>
        <v>0</v>
      </c>
      <c r="N24" s="132">
        <f>IF(SER_hh_fech_in!N24=0,0,SER_hh_fech_in!N24/SER_summary!N$27)</f>
        <v>0</v>
      </c>
      <c r="O24" s="132">
        <f>IF(SER_hh_fech_in!O24=0,0,SER_hh_fech_in!O24/SER_summary!O$27)</f>
        <v>0</v>
      </c>
      <c r="P24" s="132">
        <f>IF(SER_hh_fech_in!P24=0,0,SER_hh_fech_in!P24/SER_summary!P$27)</f>
        <v>0</v>
      </c>
      <c r="Q24" s="132">
        <f>IF(SER_hh_fech_in!Q24=0,0,SER_hh_fech_in!Q24/SER_summary!Q$27)</f>
        <v>0</v>
      </c>
      <c r="R24" s="132">
        <f>IF(SER_hh_fech_in!R24=0,0,SER_hh_fech_in!R24/SER_summary!R$27)</f>
        <v>0</v>
      </c>
      <c r="S24" s="132">
        <f>IF(SER_hh_fech_in!S24=0,0,SER_hh_fech_in!S24/SER_summary!S$27)</f>
        <v>0</v>
      </c>
      <c r="T24" s="132">
        <f>IF(SER_hh_fech_in!T24=0,0,SER_hh_fech_in!T24/SER_summary!T$27)</f>
        <v>0</v>
      </c>
      <c r="U24" s="132">
        <f>IF(SER_hh_fech_in!U24=0,0,SER_hh_fech_in!U24/SER_summary!U$27)</f>
        <v>0</v>
      </c>
      <c r="V24" s="132">
        <f>IF(SER_hh_fech_in!V24=0,0,SER_hh_fech_in!V24/SER_summary!V$27)</f>
        <v>0</v>
      </c>
      <c r="W24" s="132">
        <f>IF(SER_hh_fech_in!W24=0,0,SER_hh_fech_in!W24/SER_summary!W$27)</f>
        <v>0</v>
      </c>
      <c r="X24" s="132">
        <f>IF(SER_hh_fech_in!X24=0,0,SER_hh_fech_in!X24/SER_summary!X$27)</f>
        <v>0</v>
      </c>
      <c r="Y24" s="132">
        <f>IF(SER_hh_fech_in!Y24=0,0,SER_hh_fech_in!Y24/SER_summary!Y$27)</f>
        <v>0</v>
      </c>
      <c r="DA24" s="156" t="s">
        <v>838</v>
      </c>
    </row>
    <row r="25" spans="1:105" ht="12" customHeight="1" x14ac:dyDescent="0.25">
      <c r="A25" s="131" t="s">
        <v>162</v>
      </c>
      <c r="B25" s="132"/>
      <c r="C25" s="132">
        <f>IF(SER_hh_fech_in!C25=0,0,SER_hh_fech_in!C25/SER_summary!C$27)</f>
        <v>0</v>
      </c>
      <c r="D25" s="132">
        <f>IF(SER_hh_fech_in!D25=0,0,SER_hh_fech_in!D25/SER_summary!D$27)</f>
        <v>0</v>
      </c>
      <c r="E25" s="132">
        <f>IF(SER_hh_fech_in!E25=0,0,SER_hh_fech_in!E25/SER_summary!E$27)</f>
        <v>0</v>
      </c>
      <c r="F25" s="132">
        <f>IF(SER_hh_fech_in!F25=0,0,SER_hh_fech_in!F25/SER_summary!F$27)</f>
        <v>36.090133825156883</v>
      </c>
      <c r="G25" s="132">
        <f>IF(SER_hh_fech_in!G25=0,0,SER_hh_fech_in!G25/SER_summary!G$27)</f>
        <v>28.238106158426408</v>
      </c>
      <c r="H25" s="132">
        <f>IF(SER_hh_fech_in!H25=0,0,SER_hh_fech_in!H25/SER_summary!H$27)</f>
        <v>25.168244771741016</v>
      </c>
      <c r="I25" s="132">
        <f>IF(SER_hh_fech_in!I25=0,0,SER_hh_fech_in!I25/SER_summary!I$27)</f>
        <v>23.187101780755484</v>
      </c>
      <c r="J25" s="132">
        <f>IF(SER_hh_fech_in!J25=0,0,SER_hh_fech_in!J25/SER_summary!J$27)</f>
        <v>21.974219792836127</v>
      </c>
      <c r="K25" s="132">
        <f>IF(SER_hh_fech_in!K25=0,0,SER_hh_fech_in!K25/SER_summary!K$27)</f>
        <v>22.21941015093401</v>
      </c>
      <c r="L25" s="132">
        <f>IF(SER_hh_fech_in!L25=0,0,SER_hh_fech_in!L25/SER_summary!L$27)</f>
        <v>22.175773470245598</v>
      </c>
      <c r="M25" s="132">
        <f>IF(SER_hh_fech_in!M25=0,0,SER_hh_fech_in!M25/SER_summary!M$27)</f>
        <v>23.773988104528037</v>
      </c>
      <c r="N25" s="132">
        <f>IF(SER_hh_fech_in!N25=0,0,SER_hh_fech_in!N25/SER_summary!N$27)</f>
        <v>23.68722101596838</v>
      </c>
      <c r="O25" s="132">
        <f>IF(SER_hh_fech_in!O25=0,0,SER_hh_fech_in!O25/SER_summary!O$27)</f>
        <v>25.294402036929078</v>
      </c>
      <c r="P25" s="132">
        <f>IF(SER_hh_fech_in!P25=0,0,SER_hh_fech_in!P25/SER_summary!P$27)</f>
        <v>25.268517416005466</v>
      </c>
      <c r="Q25" s="132">
        <f>IF(SER_hh_fech_in!Q25=0,0,SER_hh_fech_in!Q25/SER_summary!Q$27)</f>
        <v>24.470813698951833</v>
      </c>
      <c r="R25" s="132">
        <f>IF(SER_hh_fech_in!R25=0,0,SER_hh_fech_in!R25/SER_summary!R$27)</f>
        <v>22.920193013263479</v>
      </c>
      <c r="S25" s="132">
        <f>IF(SER_hh_fech_in!S25=0,0,SER_hh_fech_in!S25/SER_summary!S$27)</f>
        <v>21.593405216546994</v>
      </c>
      <c r="T25" s="132">
        <f>IF(SER_hh_fech_in!T25=0,0,SER_hh_fech_in!T25/SER_summary!T$27)</f>
        <v>21.075848546332363</v>
      </c>
      <c r="U25" s="132">
        <f>IF(SER_hh_fech_in!U25=0,0,SER_hh_fech_in!U25/SER_summary!U$27)</f>
        <v>19.320017312468451</v>
      </c>
      <c r="V25" s="132">
        <f>IF(SER_hh_fech_in!V25=0,0,SER_hh_fech_in!V25/SER_summary!V$27)</f>
        <v>0</v>
      </c>
      <c r="W25" s="132">
        <f>IF(SER_hh_fech_in!W25=0,0,SER_hh_fech_in!W25/SER_summary!W$27)</f>
        <v>0</v>
      </c>
      <c r="X25" s="132">
        <f>IF(SER_hh_fech_in!X25=0,0,SER_hh_fech_in!X25/SER_summary!X$27)</f>
        <v>23.382527432271463</v>
      </c>
      <c r="Y25" s="132">
        <f>IF(SER_hh_fech_in!Y25=0,0,SER_hh_fech_in!Y25/SER_summary!Y$27)</f>
        <v>0</v>
      </c>
      <c r="DA25" s="156" t="s">
        <v>839</v>
      </c>
    </row>
    <row r="26" spans="1:105" ht="12" customHeight="1" x14ac:dyDescent="0.25">
      <c r="A26" s="131" t="s">
        <v>24</v>
      </c>
      <c r="B26" s="65"/>
      <c r="C26" s="65">
        <f>IF(SER_hh_fech_in!C26=0,0,SER_hh_fech_in!C26/SER_summary!C$27)</f>
        <v>29.404987795027711</v>
      </c>
      <c r="D26" s="65">
        <f>IF(SER_hh_fech_in!D26=0,0,SER_hh_fech_in!D26/SER_summary!D$27)</f>
        <v>29.270908157748057</v>
      </c>
      <c r="E26" s="65">
        <f>IF(SER_hh_fech_in!E26=0,0,SER_hh_fech_in!E26/SER_summary!E$27)</f>
        <v>28.109783333646853</v>
      </c>
      <c r="F26" s="65">
        <f>IF(SER_hh_fech_in!F26=0,0,SER_hh_fech_in!F26/SER_summary!F$27)</f>
        <v>26.984870191653517</v>
      </c>
      <c r="G26" s="65">
        <f>IF(SER_hh_fech_in!G26=0,0,SER_hh_fech_in!G26/SER_summary!G$27)</f>
        <v>18.121549636576859</v>
      </c>
      <c r="H26" s="65">
        <f>IF(SER_hh_fech_in!H26=0,0,SER_hh_fech_in!H26/SER_summary!H$27)</f>
        <v>26.309577511383676</v>
      </c>
      <c r="I26" s="65">
        <f>IF(SER_hh_fech_in!I26=0,0,SER_hh_fech_in!I26/SER_summary!I$27)</f>
        <v>23.068719159676078</v>
      </c>
      <c r="J26" s="65">
        <f>IF(SER_hh_fech_in!J26=0,0,SER_hh_fech_in!J26/SER_summary!J$27)</f>
        <v>11.30287185770486</v>
      </c>
      <c r="K26" s="65">
        <f>IF(SER_hh_fech_in!K26=0,0,SER_hh_fech_in!K26/SER_summary!K$27)</f>
        <v>4.1679402411062467</v>
      </c>
      <c r="L26" s="65">
        <f>IF(SER_hh_fech_in!L26=0,0,SER_hh_fech_in!L26/SER_summary!L$27)</f>
        <v>4.0290445443884391</v>
      </c>
      <c r="M26" s="65">
        <f>IF(SER_hh_fech_in!M26=0,0,SER_hh_fech_in!M26/SER_summary!M$27)</f>
        <v>20.183585504227981</v>
      </c>
      <c r="N26" s="65">
        <f>IF(SER_hh_fech_in!N26=0,0,SER_hh_fech_in!N26/SER_summary!N$27)</f>
        <v>14.978377678922881</v>
      </c>
      <c r="O26" s="65">
        <f>IF(SER_hh_fech_in!O26=0,0,SER_hh_fech_in!O26/SER_summary!O$27)</f>
        <v>11.667014745869931</v>
      </c>
      <c r="P26" s="65">
        <f>IF(SER_hh_fech_in!P26=0,0,SER_hh_fech_in!P26/SER_summary!P$27)</f>
        <v>14.282729667384285</v>
      </c>
      <c r="Q26" s="65">
        <f>IF(SER_hh_fech_in!Q26=0,0,SER_hh_fech_in!Q26/SER_summary!Q$27)</f>
        <v>26.839285621683313</v>
      </c>
      <c r="R26" s="65">
        <f>IF(SER_hh_fech_in!R26=0,0,SER_hh_fech_in!R26/SER_summary!R$27)</f>
        <v>8.5837954144990327</v>
      </c>
      <c r="S26" s="65">
        <f>IF(SER_hh_fech_in!S26=0,0,SER_hh_fech_in!S26/SER_summary!S$27)</f>
        <v>5.0136897452692457</v>
      </c>
      <c r="T26" s="65">
        <f>IF(SER_hh_fech_in!T26=0,0,SER_hh_fech_in!T26/SER_summary!T$27)</f>
        <v>10.790132168782513</v>
      </c>
      <c r="U26" s="65">
        <f>IF(SER_hh_fech_in!U26=0,0,SER_hh_fech_in!U26/SER_summary!U$27)</f>
        <v>3.5908270373714628</v>
      </c>
      <c r="V26" s="65">
        <f>IF(SER_hh_fech_in!V26=0,0,SER_hh_fech_in!V26/SER_summary!V$27)</f>
        <v>2.6979564245772951</v>
      </c>
      <c r="W26" s="65">
        <f>IF(SER_hh_fech_in!W26=0,0,SER_hh_fech_in!W26/SER_summary!W$27)</f>
        <v>22.968285507565341</v>
      </c>
      <c r="X26" s="65">
        <f>IF(SER_hh_fech_in!X26=0,0,SER_hh_fech_in!X26/SER_summary!X$27)</f>
        <v>22.838723570978754</v>
      </c>
      <c r="Y26" s="65">
        <f>IF(SER_hh_fech_in!Y26=0,0,SER_hh_fech_in!Y26/SER_summary!Y$27)</f>
        <v>3.7146405769593716</v>
      </c>
      <c r="DA26" s="109" t="s">
        <v>840</v>
      </c>
    </row>
    <row r="27" spans="1:105" ht="12" customHeight="1" x14ac:dyDescent="0.25">
      <c r="A27" s="144" t="s">
        <v>86</v>
      </c>
      <c r="B27" s="147"/>
      <c r="C27" s="145">
        <f>IF(SER_hh_fech_in!C27=0,0,SER_hh_fech_in!C27/SER_summary!C$27)</f>
        <v>0.35051424683945553</v>
      </c>
      <c r="D27" s="145">
        <f>IF(SER_hh_fech_in!D27=0,0,SER_hh_fech_in!D27/SER_summary!D$27)</f>
        <v>0.62131849007125517</v>
      </c>
      <c r="E27" s="145">
        <f>IF(SER_hh_fech_in!E27=0,0,SER_hh_fech_in!E27/SER_summary!E$27)</f>
        <v>0.76250698869680944</v>
      </c>
      <c r="F27" s="145">
        <f>IF(SER_hh_fech_in!F27=0,0,SER_hh_fech_in!F27/SER_summary!F$27)</f>
        <v>1.3489409397800893</v>
      </c>
      <c r="G27" s="145">
        <f>IF(SER_hh_fech_in!G27=0,0,SER_hh_fech_in!G27/SER_summary!G$27)</f>
        <v>4.1575852521601391</v>
      </c>
      <c r="H27" s="145">
        <f>IF(SER_hh_fech_in!H27=0,0,SER_hh_fech_in!H27/SER_summary!H$27)</f>
        <v>1.3773275260374693</v>
      </c>
      <c r="I27" s="145">
        <f>IF(SER_hh_fech_in!I27=0,0,SER_hh_fech_in!I27/SER_summary!I$27)</f>
        <v>3.3237348386342354</v>
      </c>
      <c r="J27" s="145">
        <f>IF(SER_hh_fech_in!J27=0,0,SER_hh_fech_in!J27/SER_summary!J$27)</f>
        <v>7.4722046044383399</v>
      </c>
      <c r="K27" s="145">
        <f>IF(SER_hh_fech_in!K27=0,0,SER_hh_fech_in!K27/SER_summary!K$27)</f>
        <v>10.118350485500436</v>
      </c>
      <c r="L27" s="145">
        <f>IF(SER_hh_fech_in!L27=0,0,SER_hh_fech_in!L27/SER_summary!L$27)</f>
        <v>10.660324805247983</v>
      </c>
      <c r="M27" s="145">
        <f>IF(SER_hh_fech_in!M27=0,0,SER_hh_fech_in!M27/SER_summary!M$27)</f>
        <v>3.484221997959958</v>
      </c>
      <c r="N27" s="145">
        <f>IF(SER_hh_fech_in!N27=0,0,SER_hh_fech_in!N27/SER_summary!N$27)</f>
        <v>4.7235624518692809</v>
      </c>
      <c r="O27" s="145">
        <f>IF(SER_hh_fech_in!O27=0,0,SER_hh_fech_in!O27/SER_summary!O$27)</f>
        <v>6.3280325910146829</v>
      </c>
      <c r="P27" s="145">
        <f>IF(SER_hh_fech_in!P27=0,0,SER_hh_fech_in!P27/SER_summary!P$27)</f>
        <v>6.7530849182782111</v>
      </c>
      <c r="Q27" s="145">
        <f>IF(SER_hh_fech_in!Q27=0,0,SER_hh_fech_in!Q27/SER_summary!Q$27)</f>
        <v>3.7744156245292831E-4</v>
      </c>
      <c r="R27" s="145">
        <f>IF(SER_hh_fech_in!R27=0,0,SER_hh_fech_in!R27/SER_summary!R$27)</f>
        <v>6.1761709415720407</v>
      </c>
      <c r="S27" s="145">
        <f>IF(SER_hh_fech_in!S27=0,0,SER_hh_fech_in!S27/SER_summary!S$27)</f>
        <v>7.9430531454720539</v>
      </c>
      <c r="T27" s="145">
        <f>IF(SER_hh_fech_in!T27=0,0,SER_hh_fech_in!T27/SER_summary!T$27)</f>
        <v>7.2589480989884532</v>
      </c>
      <c r="U27" s="145">
        <f>IF(SER_hh_fech_in!U27=0,0,SER_hh_fech_in!U27/SER_summary!U$27)</f>
        <v>10.433570756381014</v>
      </c>
      <c r="V27" s="145">
        <f>IF(SER_hh_fech_in!V27=0,0,SER_hh_fech_in!V27/SER_summary!V$27)</f>
        <v>10.41417375322083</v>
      </c>
      <c r="W27" s="145">
        <f>IF(SER_hh_fech_in!W27=0,0,SER_hh_fech_in!W27/SER_summary!W$27)</f>
        <v>6.2644545532277069E-4</v>
      </c>
      <c r="X27" s="145">
        <f>IF(SER_hh_fech_in!X27=0,0,SER_hh_fech_in!X27/SER_summary!X$27)</f>
        <v>0</v>
      </c>
      <c r="Y27" s="145">
        <f>IF(SER_hh_fech_in!Y27=0,0,SER_hh_fech_in!Y27/SER_summary!Y$27)</f>
        <v>10.005207335687462</v>
      </c>
      <c r="DA27" s="158" t="s">
        <v>841</v>
      </c>
    </row>
    <row r="28" spans="1:105" ht="12" customHeight="1" x14ac:dyDescent="0.25">
      <c r="A28" s="78" t="s">
        <v>85</v>
      </c>
      <c r="B28" s="68"/>
      <c r="C28" s="146">
        <f>IF(SER_hh_fech_in!C28=0,0,SER_hh_fech_in!C28/SER_summary!C$27)</f>
        <v>17.530308000581449</v>
      </c>
      <c r="D28" s="146">
        <f>IF(SER_hh_fech_in!D28=0,0,SER_hh_fech_in!D28/SER_summary!D$27)</f>
        <v>17.166510499508849</v>
      </c>
      <c r="E28" s="146">
        <f>IF(SER_hh_fech_in!E28=0,0,SER_hh_fech_in!E28/SER_summary!E$27)</f>
        <v>17.585683106457747</v>
      </c>
      <c r="F28" s="146">
        <f>IF(SER_hh_fech_in!F28=0,0,SER_hh_fech_in!F28/SER_summary!F$27)</f>
        <v>17.157230235556455</v>
      </c>
      <c r="G28" s="146">
        <f>IF(SER_hh_fech_in!G28=0,0,SER_hh_fech_in!G28/SER_summary!G$27)</f>
        <v>17.572518385588449</v>
      </c>
      <c r="H28" s="146">
        <f>IF(SER_hh_fech_in!H28=0,0,SER_hh_fech_in!H28/SER_summary!H$27)</f>
        <v>17.655870121552041</v>
      </c>
      <c r="I28" s="146">
        <f>IF(SER_hh_fech_in!I28=0,0,SER_hh_fech_in!I28/SER_summary!I$27)</f>
        <v>18.283093765280181</v>
      </c>
      <c r="J28" s="146">
        <f>IF(SER_hh_fech_in!J28=0,0,SER_hh_fech_in!J28/SER_summary!J$27)</f>
        <v>17.363769150947547</v>
      </c>
      <c r="K28" s="146">
        <f>IF(SER_hh_fech_in!K28=0,0,SER_hh_fech_in!K28/SER_summary!K$27)</f>
        <v>18.055823432418514</v>
      </c>
      <c r="L28" s="146">
        <f>IF(SER_hh_fech_in!L28=0,0,SER_hh_fech_in!L28/SER_summary!L$27)</f>
        <v>18.281365832934082</v>
      </c>
      <c r="M28" s="146">
        <f>IF(SER_hh_fech_in!M28=0,0,SER_hh_fech_in!M28/SER_summary!M$27)</f>
        <v>17.835161739364736</v>
      </c>
      <c r="N28" s="146">
        <f>IF(SER_hh_fech_in!N28=0,0,SER_hh_fech_in!N28/SER_summary!N$27)</f>
        <v>18.527267704785082</v>
      </c>
      <c r="O28" s="146">
        <f>IF(SER_hh_fech_in!O28=0,0,SER_hh_fech_in!O28/SER_summary!O$27)</f>
        <v>19.356172077924899</v>
      </c>
      <c r="P28" s="146">
        <f>IF(SER_hh_fech_in!P28=0,0,SER_hh_fech_in!P28/SER_summary!P$27)</f>
        <v>17.7165295689509</v>
      </c>
      <c r="Q28" s="146">
        <f>IF(SER_hh_fech_in!Q28=0,0,SER_hh_fech_in!Q28/SER_summary!Q$27)</f>
        <v>19.249558457856697</v>
      </c>
      <c r="R28" s="146">
        <f>IF(SER_hh_fech_in!R28=0,0,SER_hh_fech_in!R28/SER_summary!R$27)</f>
        <v>19.786751122015772</v>
      </c>
      <c r="S28" s="146">
        <f>IF(SER_hh_fech_in!S28=0,0,SER_hh_fech_in!S28/SER_summary!S$27)</f>
        <v>19.060974486231817</v>
      </c>
      <c r="T28" s="146">
        <f>IF(SER_hh_fech_in!T28=0,0,SER_hh_fech_in!T28/SER_summary!T$27)</f>
        <v>19.462792301441556</v>
      </c>
      <c r="U28" s="146">
        <f>IF(SER_hh_fech_in!U28=0,0,SER_hh_fech_in!U28/SER_summary!U$27)</f>
        <v>17.767485321167388</v>
      </c>
      <c r="V28" s="146">
        <f>IF(SER_hh_fech_in!V28=0,0,SER_hh_fech_in!V28/SER_summary!V$27)</f>
        <v>15.582322525948689</v>
      </c>
      <c r="W28" s="146">
        <f>IF(SER_hh_fech_in!W28=0,0,SER_hh_fech_in!W28/SER_summary!W$27)</f>
        <v>17.481679710026238</v>
      </c>
      <c r="X28" s="146">
        <f>IF(SER_hh_fech_in!X28=0,0,SER_hh_fech_in!X28/SER_summary!X$27)</f>
        <v>0</v>
      </c>
      <c r="Y28" s="146">
        <f>IF(SER_hh_fech_in!Y28=0,0,SER_hh_fech_in!Y28/SER_summary!Y$27)</f>
        <v>18.43675577023323</v>
      </c>
      <c r="DA28" s="159"/>
    </row>
    <row r="29" spans="1:105" ht="12.95" customHeight="1" x14ac:dyDescent="0.25">
      <c r="A29" s="129" t="s">
        <v>34</v>
      </c>
      <c r="B29" s="130"/>
      <c r="C29" s="130">
        <f>IF(SER_hh_fech_in!C29=0,0,SER_hh_fech_in!C29/SER_summary!C$27)</f>
        <v>30.256693942833166</v>
      </c>
      <c r="D29" s="130">
        <f>IF(SER_hh_fech_in!D29=0,0,SER_hh_fech_in!D29/SER_summary!D$27)</f>
        <v>26.345711048091427</v>
      </c>
      <c r="E29" s="130">
        <f>IF(SER_hh_fech_in!E29=0,0,SER_hh_fech_in!E29/SER_summary!E$27)</f>
        <v>29.630223201235168</v>
      </c>
      <c r="F29" s="130">
        <f>IF(SER_hh_fech_in!F29=0,0,SER_hh_fech_in!F29/SER_summary!F$27)</f>
        <v>30.743146598052864</v>
      </c>
      <c r="G29" s="130">
        <f>IF(SER_hh_fech_in!G29=0,0,SER_hh_fech_in!G29/SER_summary!G$27)</f>
        <v>33.832996688145471</v>
      </c>
      <c r="H29" s="130">
        <f>IF(SER_hh_fech_in!H29=0,0,SER_hh_fech_in!H29/SER_summary!H$27)</f>
        <v>33.49400941039687</v>
      </c>
      <c r="I29" s="130">
        <f>IF(SER_hh_fech_in!I29=0,0,SER_hh_fech_in!I29/SER_summary!I$27)</f>
        <v>36.815322389789763</v>
      </c>
      <c r="J29" s="130">
        <f>IF(SER_hh_fech_in!J29=0,0,SER_hh_fech_in!J29/SER_summary!J$27)</f>
        <v>35.257097521472687</v>
      </c>
      <c r="K29" s="130">
        <f>IF(SER_hh_fech_in!K29=0,0,SER_hh_fech_in!K29/SER_summary!K$27)</f>
        <v>37.64688608001142</v>
      </c>
      <c r="L29" s="130">
        <f>IF(SER_hh_fech_in!L29=0,0,SER_hh_fech_in!L29/SER_summary!L$27)</f>
        <v>36.801531274248013</v>
      </c>
      <c r="M29" s="130">
        <f>IF(SER_hh_fech_in!M29=0,0,SER_hh_fech_in!M29/SER_summary!M$27)</f>
        <v>35.573841013049019</v>
      </c>
      <c r="N29" s="130">
        <f>IF(SER_hh_fech_in!N29=0,0,SER_hh_fech_in!N29/SER_summary!N$27)</f>
        <v>35.312846388358274</v>
      </c>
      <c r="O29" s="130">
        <f>IF(SER_hh_fech_in!O29=0,0,SER_hh_fech_in!O29/SER_summary!O$27)</f>
        <v>35.66072135196373</v>
      </c>
      <c r="P29" s="130">
        <f>IF(SER_hh_fech_in!P29=0,0,SER_hh_fech_in!P29/SER_summary!P$27)</f>
        <v>37.433071774547628</v>
      </c>
      <c r="Q29" s="130">
        <f>IF(SER_hh_fech_in!Q29=0,0,SER_hh_fech_in!Q29/SER_summary!Q$27)</f>
        <v>36.838979071707556</v>
      </c>
      <c r="R29" s="130">
        <f>IF(SER_hh_fech_in!R29=0,0,SER_hh_fech_in!R29/SER_summary!R$27)</f>
        <v>37.014496556596221</v>
      </c>
      <c r="S29" s="130">
        <f>IF(SER_hh_fech_in!S29=0,0,SER_hh_fech_in!S29/SER_summary!S$27)</f>
        <v>37.060238036182788</v>
      </c>
      <c r="T29" s="130">
        <f>IF(SER_hh_fech_in!T29=0,0,SER_hh_fech_in!T29/SER_summary!T$27)</f>
        <v>36.910593210138174</v>
      </c>
      <c r="U29" s="130">
        <f>IF(SER_hh_fech_in!U29=0,0,SER_hh_fech_in!U29/SER_summary!U$27)</f>
        <v>36.974020149490372</v>
      </c>
      <c r="V29" s="130">
        <f>IF(SER_hh_fech_in!V29=0,0,SER_hh_fech_in!V29/SER_summary!V$27)</f>
        <v>31.725998093770251</v>
      </c>
      <c r="W29" s="130">
        <f>IF(SER_hh_fech_in!W29=0,0,SER_hh_fech_in!W29/SER_summary!W$27)</f>
        <v>35.65886752582842</v>
      </c>
      <c r="X29" s="130">
        <f>IF(SER_hh_fech_in!X29=0,0,SER_hh_fech_in!X29/SER_summary!X$27)</f>
        <v>32.325942086240843</v>
      </c>
      <c r="Y29" s="130">
        <f>IF(SER_hh_fech_in!Y29=0,0,SER_hh_fech_in!Y29/SER_summary!Y$27)</f>
        <v>36.765429749917608</v>
      </c>
      <c r="DA29" s="155" t="s">
        <v>842</v>
      </c>
    </row>
    <row r="30" spans="1:105" s="2" customFormat="1" ht="12" customHeight="1" x14ac:dyDescent="0.25">
      <c r="A30" s="131" t="s">
        <v>52</v>
      </c>
      <c r="B30" s="132"/>
      <c r="C30" s="132">
        <f>IF(SER_hh_fech_in!C30=0,0,SER_hh_fech_in!C30/SER_summary!C$27)</f>
        <v>34.864151438926164</v>
      </c>
      <c r="D30" s="132">
        <f>IF(SER_hh_fech_in!D30=0,0,SER_hh_fech_in!D30/SER_summary!D$27)</f>
        <v>35.99962423561076</v>
      </c>
      <c r="E30" s="132">
        <f>IF(SER_hh_fech_in!E30=0,0,SER_hh_fech_in!E30/SER_summary!E$27)</f>
        <v>36.713732586829522</v>
      </c>
      <c r="F30" s="132">
        <f>IF(SER_hh_fech_in!F30=0,0,SER_hh_fech_in!F30/SER_summary!F$27)</f>
        <v>37.334945176622973</v>
      </c>
      <c r="G30" s="132">
        <f>IF(SER_hh_fech_in!G30=0,0,SER_hh_fech_in!G30/SER_summary!G$27)</f>
        <v>37.801096984141928</v>
      </c>
      <c r="H30" s="132">
        <f>IF(SER_hh_fech_in!H30=0,0,SER_hh_fech_in!H30/SER_summary!H$27)</f>
        <v>36.620974512782766</v>
      </c>
      <c r="I30" s="132">
        <f>IF(SER_hh_fech_in!I30=0,0,SER_hh_fech_in!I30/SER_summary!I$27)</f>
        <v>41.17346685206514</v>
      </c>
      <c r="J30" s="132">
        <f>IF(SER_hh_fech_in!J30=0,0,SER_hh_fech_in!J30/SER_summary!J$27)</f>
        <v>31.117359633727798</v>
      </c>
      <c r="K30" s="132">
        <f>IF(SER_hh_fech_in!K30=0,0,SER_hh_fech_in!K30/SER_summary!K$27)</f>
        <v>40.788601695734947</v>
      </c>
      <c r="L30" s="132">
        <f>IF(SER_hh_fech_in!L30=0,0,SER_hh_fech_in!L30/SER_summary!L$27)</f>
        <v>41.06007642502292</v>
      </c>
      <c r="M30" s="132">
        <f>IF(SER_hh_fech_in!M30=0,0,SER_hh_fech_in!M30/SER_summary!M$27)</f>
        <v>41.757257573608314</v>
      </c>
      <c r="N30" s="132">
        <f>IF(SER_hh_fech_in!N30=0,0,SER_hh_fech_in!N30/SER_summary!N$27)</f>
        <v>36.712272407798899</v>
      </c>
      <c r="O30" s="132">
        <f>IF(SER_hh_fech_in!O30=0,0,SER_hh_fech_in!O30/SER_summary!O$27)</f>
        <v>39.225381342215059</v>
      </c>
      <c r="P30" s="132">
        <f>IF(SER_hh_fech_in!P30=0,0,SER_hh_fech_in!P30/SER_summary!P$27)</f>
        <v>43.114639174921635</v>
      </c>
      <c r="Q30" s="132">
        <f>IF(SER_hh_fech_in!Q30=0,0,SER_hh_fech_in!Q30/SER_summary!Q$27)</f>
        <v>41.586181811269761</v>
      </c>
      <c r="R30" s="132">
        <f>IF(SER_hh_fech_in!R30=0,0,SER_hh_fech_in!R30/SER_summary!R$27)</f>
        <v>41.382383939053923</v>
      </c>
      <c r="S30" s="132">
        <f>IF(SER_hh_fech_in!S30=0,0,SER_hh_fech_in!S30/SER_summary!S$27)</f>
        <v>41.93155176045989</v>
      </c>
      <c r="T30" s="132">
        <f>IF(SER_hh_fech_in!T30=0,0,SER_hh_fech_in!T30/SER_summary!T$27)</f>
        <v>41.062595966195865</v>
      </c>
      <c r="U30" s="132">
        <f>IF(SER_hh_fech_in!U30=0,0,SER_hh_fech_in!U30/SER_summary!U$27)</f>
        <v>39.248152921956205</v>
      </c>
      <c r="V30" s="132">
        <f>IF(SER_hh_fech_in!V30=0,0,SER_hh_fech_in!V30/SER_summary!V$27)</f>
        <v>40.371077726263948</v>
      </c>
      <c r="W30" s="132">
        <f>IF(SER_hh_fech_in!W30=0,0,SER_hh_fech_in!W30/SER_summary!W$27)</f>
        <v>41.446985166770801</v>
      </c>
      <c r="X30" s="132">
        <f>IF(SER_hh_fech_in!X30=0,0,SER_hh_fech_in!X30/SER_summary!X$27)</f>
        <v>43.011187894617322</v>
      </c>
      <c r="Y30" s="132">
        <f>IF(SER_hh_fech_in!Y30=0,0,SER_hh_fech_in!Y30/SER_summary!Y$27)</f>
        <v>43.460054292978043</v>
      </c>
      <c r="DA30" s="156" t="s">
        <v>843</v>
      </c>
    </row>
    <row r="31" spans="1:105" ht="12" customHeight="1" x14ac:dyDescent="0.25">
      <c r="A31" s="131" t="s">
        <v>149</v>
      </c>
      <c r="B31" s="132"/>
      <c r="C31" s="132">
        <f>IF(SER_hh_fech_in!C31=0,0,SER_hh_fech_in!C31/SER_summary!C$27)</f>
        <v>35.326571519450177</v>
      </c>
      <c r="D31" s="132">
        <f>IF(SER_hh_fech_in!D31=0,0,SER_hh_fech_in!D31/SER_summary!D$27)</f>
        <v>35.973295112296157</v>
      </c>
      <c r="E31" s="132">
        <f>IF(SER_hh_fech_in!E31=0,0,SER_hh_fech_in!E31/SER_summary!E$27)</f>
        <v>32.831861365624562</v>
      </c>
      <c r="F31" s="132">
        <f>IF(SER_hh_fech_in!F31=0,0,SER_hh_fech_in!F31/SER_summary!F$27)</f>
        <v>33.490019174580247</v>
      </c>
      <c r="G31" s="132">
        <f>IF(SER_hh_fech_in!G31=0,0,SER_hh_fech_in!G31/SER_summary!G$27)</f>
        <v>38.336836658509988</v>
      </c>
      <c r="H31" s="132">
        <f>IF(SER_hh_fech_in!H31=0,0,SER_hh_fech_in!H31/SER_summary!H$27)</f>
        <v>35.318388867102883</v>
      </c>
      <c r="I31" s="132">
        <f>IF(SER_hh_fech_in!I31=0,0,SER_hh_fech_in!I31/SER_summary!I$27)</f>
        <v>38.240032795761429</v>
      </c>
      <c r="J31" s="132">
        <f>IF(SER_hh_fech_in!J31=0,0,SER_hh_fech_in!J31/SER_summary!J$27)</f>
        <v>37.542334916362819</v>
      </c>
      <c r="K31" s="132">
        <f>IF(SER_hh_fech_in!K31=0,0,SER_hh_fech_in!K31/SER_summary!K$27)</f>
        <v>39.240983263734144</v>
      </c>
      <c r="L31" s="132">
        <f>IF(SER_hh_fech_in!L31=0,0,SER_hh_fech_in!L31/SER_summary!L$27)</f>
        <v>39.031758697754391</v>
      </c>
      <c r="M31" s="132">
        <f>IF(SER_hh_fech_in!M31=0,0,SER_hh_fech_in!M31/SER_summary!M$27)</f>
        <v>38.883758115874329</v>
      </c>
      <c r="N31" s="132">
        <f>IF(SER_hh_fech_in!N31=0,0,SER_hh_fech_in!N31/SER_summary!N$27)</f>
        <v>39.13970404346442</v>
      </c>
      <c r="O31" s="132">
        <f>IF(SER_hh_fech_in!O31=0,0,SER_hh_fech_in!O31/SER_summary!O$27)</f>
        <v>39.337205751829153</v>
      </c>
      <c r="P31" s="132">
        <f>IF(SER_hh_fech_in!P31=0,0,SER_hh_fech_in!P31/SER_summary!P$27)</f>
        <v>40.977970397449724</v>
      </c>
      <c r="Q31" s="132">
        <f>IF(SER_hh_fech_in!Q31=0,0,SER_hh_fech_in!Q31/SER_summary!Q$27)</f>
        <v>40.552598586749795</v>
      </c>
      <c r="R31" s="132">
        <f>IF(SER_hh_fech_in!R31=0,0,SER_hh_fech_in!R31/SER_summary!R$27)</f>
        <v>41.478590800495745</v>
      </c>
      <c r="S31" s="132">
        <f>IF(SER_hh_fech_in!S31=0,0,SER_hh_fech_in!S31/SER_summary!S$27)</f>
        <v>41.125823850974946</v>
      </c>
      <c r="T31" s="132">
        <f>IF(SER_hh_fech_in!T31=0,0,SER_hh_fech_in!T31/SER_summary!T$27)</f>
        <v>37.820423081601085</v>
      </c>
      <c r="U31" s="132">
        <f>IF(SER_hh_fech_in!U31=0,0,SER_hh_fech_in!U31/SER_summary!U$27)</f>
        <v>41.509474938466347</v>
      </c>
      <c r="V31" s="132">
        <f>IF(SER_hh_fech_in!V31=0,0,SER_hh_fech_in!V31/SER_summary!V$27)</f>
        <v>37.992017675132317</v>
      </c>
      <c r="W31" s="132">
        <f>IF(SER_hh_fech_in!W31=0,0,SER_hh_fech_in!W31/SER_summary!W$27)</f>
        <v>37.970100434790453</v>
      </c>
      <c r="X31" s="132">
        <f>IF(SER_hh_fech_in!X31=0,0,SER_hh_fech_in!X31/SER_summary!X$27)</f>
        <v>41.413571958640546</v>
      </c>
      <c r="Y31" s="132">
        <f>IF(SER_hh_fech_in!Y31=0,0,SER_hh_fech_in!Y31/SER_summary!Y$27)</f>
        <v>42.606982233186329</v>
      </c>
      <c r="DA31" s="156" t="s">
        <v>844</v>
      </c>
    </row>
    <row r="32" spans="1:105" ht="12" customHeight="1" x14ac:dyDescent="0.25">
      <c r="A32" s="131" t="s">
        <v>128</v>
      </c>
      <c r="B32" s="132"/>
      <c r="C32" s="132">
        <f>IF(SER_hh_fech_in!C32=0,0,SER_hh_fech_in!C32/SER_summary!C$27)</f>
        <v>0</v>
      </c>
      <c r="D32" s="132">
        <f>IF(SER_hh_fech_in!D32=0,0,SER_hh_fech_in!D32/SER_summary!D$27)</f>
        <v>0</v>
      </c>
      <c r="E32" s="132">
        <f>IF(SER_hh_fech_in!E32=0,0,SER_hh_fech_in!E32/SER_summary!E$27)</f>
        <v>0</v>
      </c>
      <c r="F32" s="132">
        <f>IF(SER_hh_fech_in!F32=0,0,SER_hh_fech_in!F32/SER_summary!F$27)</f>
        <v>0</v>
      </c>
      <c r="G32" s="132">
        <f>IF(SER_hh_fech_in!G32=0,0,SER_hh_fech_in!G32/SER_summary!G$27)</f>
        <v>0</v>
      </c>
      <c r="H32" s="132">
        <f>IF(SER_hh_fech_in!H32=0,0,SER_hh_fech_in!H32/SER_summary!H$27)</f>
        <v>0</v>
      </c>
      <c r="I32" s="132">
        <f>IF(SER_hh_fech_in!I32=0,0,SER_hh_fech_in!I32/SER_summary!I$27)</f>
        <v>0</v>
      </c>
      <c r="J32" s="132">
        <f>IF(SER_hh_fech_in!J32=0,0,SER_hh_fech_in!J32/SER_summary!J$27)</f>
        <v>0</v>
      </c>
      <c r="K32" s="132">
        <f>IF(SER_hh_fech_in!K32=0,0,SER_hh_fech_in!K32/SER_summary!K$27)</f>
        <v>0</v>
      </c>
      <c r="L32" s="132">
        <f>IF(SER_hh_fech_in!L32=0,0,SER_hh_fech_in!L32/SER_summary!L$27)</f>
        <v>0</v>
      </c>
      <c r="M32" s="132">
        <f>IF(SER_hh_fech_in!M32=0,0,SER_hh_fech_in!M32/SER_summary!M$27)</f>
        <v>0</v>
      </c>
      <c r="N32" s="132">
        <f>IF(SER_hh_fech_in!N32=0,0,SER_hh_fech_in!N32/SER_summary!N$27)</f>
        <v>0</v>
      </c>
      <c r="O32" s="132">
        <f>IF(SER_hh_fech_in!O32=0,0,SER_hh_fech_in!O32/SER_summary!O$27)</f>
        <v>0</v>
      </c>
      <c r="P32" s="132">
        <f>IF(SER_hh_fech_in!P32=0,0,SER_hh_fech_in!P32/SER_summary!P$27)</f>
        <v>0</v>
      </c>
      <c r="Q32" s="132">
        <f>IF(SER_hh_fech_in!Q32=0,0,SER_hh_fech_in!Q32/SER_summary!Q$27)</f>
        <v>0</v>
      </c>
      <c r="R32" s="132">
        <f>IF(SER_hh_fech_in!R32=0,0,SER_hh_fech_in!R32/SER_summary!R$27)</f>
        <v>0</v>
      </c>
      <c r="S32" s="132">
        <f>IF(SER_hh_fech_in!S32=0,0,SER_hh_fech_in!S32/SER_summary!S$27)</f>
        <v>0</v>
      </c>
      <c r="T32" s="132">
        <f>IF(SER_hh_fech_in!T32=0,0,SER_hh_fech_in!T32/SER_summary!T$27)</f>
        <v>0</v>
      </c>
      <c r="U32" s="132">
        <f>IF(SER_hh_fech_in!U32=0,0,SER_hh_fech_in!U32/SER_summary!U$27)</f>
        <v>0</v>
      </c>
      <c r="V32" s="132">
        <f>IF(SER_hh_fech_in!V32=0,0,SER_hh_fech_in!V32/SER_summary!V$27)</f>
        <v>0</v>
      </c>
      <c r="W32" s="132">
        <f>IF(SER_hh_fech_in!W32=0,0,SER_hh_fech_in!W32/SER_summary!W$27)</f>
        <v>0</v>
      </c>
      <c r="X32" s="132">
        <f>IF(SER_hh_fech_in!X32=0,0,SER_hh_fech_in!X32/SER_summary!X$27)</f>
        <v>0</v>
      </c>
      <c r="Y32" s="132">
        <f>IF(SER_hh_fech_in!Y32=0,0,SER_hh_fech_in!Y32/SER_summary!Y$27)</f>
        <v>0</v>
      </c>
      <c r="DA32" s="156" t="s">
        <v>845</v>
      </c>
    </row>
    <row r="33" spans="1:105" ht="12" customHeight="1" x14ac:dyDescent="0.25">
      <c r="A33" s="62" t="s">
        <v>24</v>
      </c>
      <c r="B33" s="68"/>
      <c r="C33" s="68">
        <f>IF(SER_hh_fech_in!C33=0,0,SER_hh_fech_in!C33/SER_summary!C$27)</f>
        <v>24.566996270598718</v>
      </c>
      <c r="D33" s="68">
        <f>IF(SER_hh_fech_in!D33=0,0,SER_hh_fech_in!D33/SER_summary!D$27)</f>
        <v>24.395009707548788</v>
      </c>
      <c r="E33" s="68">
        <f>IF(SER_hh_fech_in!E33=0,0,SER_hh_fech_in!E33/SER_summary!E$27)</f>
        <v>28.606097793180808</v>
      </c>
      <c r="F33" s="68">
        <f>IF(SER_hh_fech_in!F33=0,0,SER_hh_fech_in!F33/SER_summary!F$27)</f>
        <v>29.276741566055449</v>
      </c>
      <c r="G33" s="68">
        <f>IF(SER_hh_fech_in!G33=0,0,SER_hh_fech_in!G33/SER_summary!G$27)</f>
        <v>27.586550365716207</v>
      </c>
      <c r="H33" s="68">
        <f>IF(SER_hh_fech_in!H33=0,0,SER_hh_fech_in!H33/SER_summary!H$27)</f>
        <v>29.664741298766572</v>
      </c>
      <c r="I33" s="68">
        <f>IF(SER_hh_fech_in!I33=0,0,SER_hh_fech_in!I33/SER_summary!I$27)</f>
        <v>27.073802470891781</v>
      </c>
      <c r="J33" s="68">
        <f>IF(SER_hh_fech_in!J33=0,0,SER_hh_fech_in!J33/SER_summary!J$27)</f>
        <v>30.83119637735998</v>
      </c>
      <c r="K33" s="68">
        <f>IF(SER_hh_fech_in!K33=0,0,SER_hh_fech_in!K33/SER_summary!K$27)</f>
        <v>28.774334803355298</v>
      </c>
      <c r="L33" s="68">
        <f>IF(SER_hh_fech_in!L33=0,0,SER_hh_fech_in!L33/SER_summary!L$27)</f>
        <v>29.095361863573039</v>
      </c>
      <c r="M33" s="68">
        <f>IF(SER_hh_fech_in!M33=0,0,SER_hh_fech_in!M33/SER_summary!M$27)</f>
        <v>29.204105418053686</v>
      </c>
      <c r="N33" s="68">
        <f>IF(SER_hh_fech_in!N33=0,0,SER_hh_fech_in!N33/SER_summary!N$27)</f>
        <v>30.252403357432392</v>
      </c>
      <c r="O33" s="68">
        <f>IF(SER_hh_fech_in!O33=0,0,SER_hh_fech_in!O33/SER_summary!O$27)</f>
        <v>30.564186358097572</v>
      </c>
      <c r="P33" s="68">
        <f>IF(SER_hh_fech_in!P33=0,0,SER_hh_fech_in!P33/SER_summary!P$27)</f>
        <v>28.047552598355129</v>
      </c>
      <c r="Q33" s="68">
        <f>IF(SER_hh_fech_in!Q33=0,0,SER_hh_fech_in!Q33/SER_summary!Q$27)</f>
        <v>29.437669246641804</v>
      </c>
      <c r="R33" s="68">
        <f>IF(SER_hh_fech_in!R33=0,0,SER_hh_fech_in!R33/SER_summary!R$27)</f>
        <v>28.479825149604544</v>
      </c>
      <c r="S33" s="68">
        <f>IF(SER_hh_fech_in!S33=0,0,SER_hh_fech_in!S33/SER_summary!S$27)</f>
        <v>28.239265193930507</v>
      </c>
      <c r="T33" s="68">
        <f>IF(SER_hh_fech_in!T33=0,0,SER_hh_fech_in!T33/SER_summary!T$27)</f>
        <v>32.768758973622951</v>
      </c>
      <c r="U33" s="68">
        <f>IF(SER_hh_fech_in!U33=0,0,SER_hh_fech_in!U33/SER_summary!U$27)</f>
        <v>26.423941284547887</v>
      </c>
      <c r="V33" s="68">
        <f>IF(SER_hh_fech_in!V33=0,0,SER_hh_fech_in!V33/SER_summary!V$27)</f>
        <v>21.014406784408731</v>
      </c>
      <c r="W33" s="68">
        <f>IF(SER_hh_fech_in!W33=0,0,SER_hh_fech_in!W33/SER_summary!W$27)</f>
        <v>32.705564034574593</v>
      </c>
      <c r="X33" s="68">
        <f>IF(SER_hh_fech_in!X33=0,0,SER_hh_fech_in!X33/SER_summary!X$27)</f>
        <v>29.486563874622711</v>
      </c>
      <c r="Y33" s="68">
        <f>IF(SER_hh_fech_in!Y33=0,0,SER_hh_fech_in!Y33/SER_summary!Y$27)</f>
        <v>29.054065996427159</v>
      </c>
      <c r="DA33" s="111" t="s">
        <v>846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847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91</v>
      </c>
      <c r="B3" s="125"/>
      <c r="C3" s="125">
        <f>IF(SER_hh_tesh_in!C3=0,0,SER_hh_tesh_in!C3/SER_summary!C$27)</f>
        <v>153.319593158728</v>
      </c>
      <c r="D3" s="125">
        <f>IF(SER_hh_tesh_in!D3=0,0,SER_hh_tesh_in!D3/SER_summary!D$27)</f>
        <v>147.21077072045915</v>
      </c>
      <c r="E3" s="125">
        <f>IF(SER_hh_tesh_in!E3=0,0,SER_hh_tesh_in!E3/SER_summary!E$27)</f>
        <v>192.56312629247336</v>
      </c>
      <c r="F3" s="125">
        <f>IF(SER_hh_tesh_in!F3=0,0,SER_hh_tesh_in!F3/SER_summary!F$27)</f>
        <v>169.42557568759912</v>
      </c>
      <c r="G3" s="125">
        <f>IF(SER_hh_tesh_in!G3=0,0,SER_hh_tesh_in!G3/SER_summary!G$27)</f>
        <v>182.40539676265797</v>
      </c>
      <c r="H3" s="125">
        <f>IF(SER_hh_tesh_in!H3=0,0,SER_hh_tesh_in!H3/SER_summary!H$27)</f>
        <v>187.61978313233371</v>
      </c>
      <c r="I3" s="125">
        <f>IF(SER_hh_tesh_in!I3=0,0,SER_hh_tesh_in!I3/SER_summary!I$27)</f>
        <v>177.33708070215135</v>
      </c>
      <c r="J3" s="125">
        <f>IF(SER_hh_tesh_in!J3=0,0,SER_hh_tesh_in!J3/SER_summary!J$27)</f>
        <v>197.28879593060097</v>
      </c>
      <c r="K3" s="125">
        <f>IF(SER_hh_tesh_in!K3=0,0,SER_hh_tesh_in!K3/SER_summary!K$27)</f>
        <v>196.42725224057801</v>
      </c>
      <c r="L3" s="125">
        <f>IF(SER_hh_tesh_in!L3=0,0,SER_hh_tesh_in!L3/SER_summary!L$27)</f>
        <v>185.98471085112416</v>
      </c>
      <c r="M3" s="125">
        <f>IF(SER_hh_tesh_in!M3=0,0,SER_hh_tesh_in!M3/SER_summary!M$27)</f>
        <v>178.00372419273768</v>
      </c>
      <c r="N3" s="125">
        <f>IF(SER_hh_tesh_in!N3=0,0,SER_hh_tesh_in!N3/SER_summary!N$27)</f>
        <v>191.70883572523266</v>
      </c>
      <c r="O3" s="125">
        <f>IF(SER_hh_tesh_in!O3=0,0,SER_hh_tesh_in!O3/SER_summary!O$27)</f>
        <v>163.54639414113259</v>
      </c>
      <c r="P3" s="125">
        <f>IF(SER_hh_tesh_in!P3=0,0,SER_hh_tesh_in!P3/SER_summary!P$27)</f>
        <v>163.98828119588725</v>
      </c>
      <c r="Q3" s="125">
        <f>IF(SER_hh_tesh_in!Q3=0,0,SER_hh_tesh_in!Q3/SER_summary!Q$27)</f>
        <v>207.77265279745697</v>
      </c>
      <c r="R3" s="125">
        <f>IF(SER_hh_tesh_in!R3=0,0,SER_hh_tesh_in!R3/SER_summary!R$27)</f>
        <v>180.8967099526983</v>
      </c>
      <c r="S3" s="125">
        <f>IF(SER_hh_tesh_in!S3=0,0,SER_hh_tesh_in!S3/SER_summary!S$27)</f>
        <v>181.88222597142214</v>
      </c>
      <c r="T3" s="125">
        <f>IF(SER_hh_tesh_in!T3=0,0,SER_hh_tesh_in!T3/SER_summary!T$27)</f>
        <v>177.38257847816246</v>
      </c>
      <c r="U3" s="125">
        <f>IF(SER_hh_tesh_in!U3=0,0,SER_hh_tesh_in!U3/SER_summary!U$27)</f>
        <v>169.0929985765074</v>
      </c>
      <c r="V3" s="125">
        <f>IF(SER_hh_tesh_in!V3=0,0,SER_hh_tesh_in!V3/SER_summary!V$27)</f>
        <v>135.21296747979892</v>
      </c>
      <c r="W3" s="125">
        <f>IF(SER_hh_tesh_in!W3=0,0,SER_hh_tesh_in!W3/SER_summary!W$27)</f>
        <v>131.86525214644013</v>
      </c>
      <c r="X3" s="125">
        <f>IF(SER_hh_tesh_in!X3=0,0,SER_hh_tesh_in!X3/SER_summary!X$27)</f>
        <v>114.15031231129117</v>
      </c>
      <c r="Y3" s="125">
        <f>IF(SER_hh_tesh_in!Y3=0,0,SER_hh_tesh_in!Y3/SER_summary!Y$27)</f>
        <v>111.0505043450713</v>
      </c>
      <c r="DA3" s="154" t="s">
        <v>848</v>
      </c>
    </row>
    <row r="4" spans="1:105" ht="12.95" customHeight="1" x14ac:dyDescent="0.25">
      <c r="A4" s="129" t="s">
        <v>32</v>
      </c>
      <c r="B4" s="130"/>
      <c r="C4" s="130">
        <f>IF(SER_hh_tesh_in!C4=0,0,SER_hh_tesh_in!C4/SER_summary!C$27)</f>
        <v>83.311985874758918</v>
      </c>
      <c r="D4" s="130">
        <f>IF(SER_hh_tesh_in!D4=0,0,SER_hh_tesh_in!D4/SER_summary!D$27)</f>
        <v>81.097500641003109</v>
      </c>
      <c r="E4" s="130">
        <f>IF(SER_hh_tesh_in!E4=0,0,SER_hh_tesh_in!E4/SER_summary!E$27)</f>
        <v>92.140870243623255</v>
      </c>
      <c r="F4" s="130">
        <f>IF(SER_hh_tesh_in!F4=0,0,SER_hh_tesh_in!F4/SER_summary!F$27)</f>
        <v>98.88144520096202</v>
      </c>
      <c r="G4" s="130">
        <f>IF(SER_hh_tesh_in!G4=0,0,SER_hh_tesh_in!G4/SER_summary!G$27)</f>
        <v>112.85564435691953</v>
      </c>
      <c r="H4" s="130">
        <f>IF(SER_hh_tesh_in!H4=0,0,SER_hh_tesh_in!H4/SER_summary!H$27)</f>
        <v>114.62763029879717</v>
      </c>
      <c r="I4" s="130">
        <f>IF(SER_hh_tesh_in!I4=0,0,SER_hh_tesh_in!I4/SER_summary!I$27)</f>
        <v>105.55966610333074</v>
      </c>
      <c r="J4" s="130">
        <f>IF(SER_hh_tesh_in!J4=0,0,SER_hh_tesh_in!J4/SER_summary!J$27)</f>
        <v>121.76454821446839</v>
      </c>
      <c r="K4" s="130">
        <f>IF(SER_hh_tesh_in!K4=0,0,SER_hh_tesh_in!K4/SER_summary!K$27)</f>
        <v>119.70106026801764</v>
      </c>
      <c r="L4" s="130">
        <f>IF(SER_hh_tesh_in!L4=0,0,SER_hh_tesh_in!L4/SER_summary!L$27)</f>
        <v>115.46249250284743</v>
      </c>
      <c r="M4" s="130">
        <f>IF(SER_hh_tesh_in!M4=0,0,SER_hh_tesh_in!M4/SER_summary!M$27)</f>
        <v>105.79352732481885</v>
      </c>
      <c r="N4" s="130">
        <f>IF(SER_hh_tesh_in!N4=0,0,SER_hh_tesh_in!N4/SER_summary!N$27)</f>
        <v>105.26581853780652</v>
      </c>
      <c r="O4" s="130">
        <f>IF(SER_hh_tesh_in!O4=0,0,SER_hh_tesh_in!O4/SER_summary!O$27)</f>
        <v>93.022881962708709</v>
      </c>
      <c r="P4" s="130">
        <f>IF(SER_hh_tesh_in!P4=0,0,SER_hh_tesh_in!P4/SER_summary!P$27)</f>
        <v>96.702824485477805</v>
      </c>
      <c r="Q4" s="130">
        <f>IF(SER_hh_tesh_in!Q4=0,0,SER_hh_tesh_in!Q4/SER_summary!Q$27)</f>
        <v>126.07477418998302</v>
      </c>
      <c r="R4" s="130">
        <f>IF(SER_hh_tesh_in!R4=0,0,SER_hh_tesh_in!R4/SER_summary!R$27)</f>
        <v>111.84940844689505</v>
      </c>
      <c r="S4" s="130">
        <f>IF(SER_hh_tesh_in!S4=0,0,SER_hh_tesh_in!S4/SER_summary!S$27)</f>
        <v>102.98758516209342</v>
      </c>
      <c r="T4" s="130">
        <f>IF(SER_hh_tesh_in!T4=0,0,SER_hh_tesh_in!T4/SER_summary!T$27)</f>
        <v>107.38420073035002</v>
      </c>
      <c r="U4" s="130">
        <f>IF(SER_hh_tesh_in!U4=0,0,SER_hh_tesh_in!U4/SER_summary!U$27)</f>
        <v>94.09904675233021</v>
      </c>
      <c r="V4" s="130">
        <f>IF(SER_hh_tesh_in!V4=0,0,SER_hh_tesh_in!V4/SER_summary!V$27)</f>
        <v>74.704113179050722</v>
      </c>
      <c r="W4" s="130">
        <f>IF(SER_hh_tesh_in!W4=0,0,SER_hh_tesh_in!W4/SER_summary!W$27)</f>
        <v>62.143735401095562</v>
      </c>
      <c r="X4" s="130">
        <f>IF(SER_hh_tesh_in!X4=0,0,SER_hh_tesh_in!X4/SER_summary!X$27)</f>
        <v>42.140303777426041</v>
      </c>
      <c r="Y4" s="130">
        <f>IF(SER_hh_tesh_in!Y4=0,0,SER_hh_tesh_in!Y4/SER_summary!Y$27)</f>
        <v>42.904134175951789</v>
      </c>
      <c r="DA4" s="155" t="s">
        <v>849</v>
      </c>
    </row>
    <row r="5" spans="1:105" ht="12" customHeight="1" x14ac:dyDescent="0.25">
      <c r="A5" s="131" t="s">
        <v>29</v>
      </c>
      <c r="B5" s="132"/>
      <c r="C5" s="132">
        <f>IF(SER_hh_tesh_in!C5=0,0,SER_hh_tesh_in!C5/SER_summary!C$27)</f>
        <v>0</v>
      </c>
      <c r="D5" s="132">
        <f>IF(SER_hh_tesh_in!D5=0,0,SER_hh_tesh_in!D5/SER_summary!D$27)</f>
        <v>0</v>
      </c>
      <c r="E5" s="132">
        <f>IF(SER_hh_tesh_in!E5=0,0,SER_hh_tesh_in!E5/SER_summary!E$27)</f>
        <v>0</v>
      </c>
      <c r="F5" s="132">
        <f>IF(SER_hh_tesh_in!F5=0,0,SER_hh_tesh_in!F5/SER_summary!F$27)</f>
        <v>0</v>
      </c>
      <c r="G5" s="132">
        <f>IF(SER_hh_tesh_in!G5=0,0,SER_hh_tesh_in!G5/SER_summary!G$27)</f>
        <v>0</v>
      </c>
      <c r="H5" s="132">
        <f>IF(SER_hh_tesh_in!H5=0,0,SER_hh_tesh_in!H5/SER_summary!H$27)</f>
        <v>0</v>
      </c>
      <c r="I5" s="132">
        <f>IF(SER_hh_tesh_in!I5=0,0,SER_hh_tesh_in!I5/SER_summary!I$27)</f>
        <v>0</v>
      </c>
      <c r="J5" s="132">
        <f>IF(SER_hh_tesh_in!J5=0,0,SER_hh_tesh_in!J5/SER_summary!J$27)</f>
        <v>0</v>
      </c>
      <c r="K5" s="132">
        <f>IF(SER_hh_tesh_in!K5=0,0,SER_hh_tesh_in!K5/SER_summary!K$27)</f>
        <v>0</v>
      </c>
      <c r="L5" s="132">
        <f>IF(SER_hh_tesh_in!L5=0,0,SER_hh_tesh_in!L5/SER_summary!L$27)</f>
        <v>0</v>
      </c>
      <c r="M5" s="132">
        <f>IF(SER_hh_tesh_in!M5=0,0,SER_hh_tesh_in!M5/SER_summary!M$27)</f>
        <v>0</v>
      </c>
      <c r="N5" s="132">
        <f>IF(SER_hh_tesh_in!N5=0,0,SER_hh_tesh_in!N5/SER_summary!N$27)</f>
        <v>0</v>
      </c>
      <c r="O5" s="132">
        <f>IF(SER_hh_tesh_in!O5=0,0,SER_hh_tesh_in!O5/SER_summary!O$27)</f>
        <v>0</v>
      </c>
      <c r="P5" s="132">
        <f>IF(SER_hh_tesh_in!P5=0,0,SER_hh_tesh_in!P5/SER_summary!P$27)</f>
        <v>0</v>
      </c>
      <c r="Q5" s="132">
        <f>IF(SER_hh_tesh_in!Q5=0,0,SER_hh_tesh_in!Q5/SER_summary!Q$27)</f>
        <v>0</v>
      </c>
      <c r="R5" s="132">
        <f>IF(SER_hh_tesh_in!R5=0,0,SER_hh_tesh_in!R5/SER_summary!R$27)</f>
        <v>0</v>
      </c>
      <c r="S5" s="132">
        <f>IF(SER_hh_tesh_in!S5=0,0,SER_hh_tesh_in!S5/SER_summary!S$27)</f>
        <v>0</v>
      </c>
      <c r="T5" s="132">
        <f>IF(SER_hh_tesh_in!T5=0,0,SER_hh_tesh_in!T5/SER_summary!T$27)</f>
        <v>0</v>
      </c>
      <c r="U5" s="132">
        <f>IF(SER_hh_tesh_in!U5=0,0,SER_hh_tesh_in!U5/SER_summary!U$27)</f>
        <v>0</v>
      </c>
      <c r="V5" s="132">
        <f>IF(SER_hh_tesh_in!V5=0,0,SER_hh_tesh_in!V5/SER_summary!V$27)</f>
        <v>0</v>
      </c>
      <c r="W5" s="132">
        <f>IF(SER_hh_tesh_in!W5=0,0,SER_hh_tesh_in!W5/SER_summary!W$27)</f>
        <v>0</v>
      </c>
      <c r="X5" s="132">
        <f>IF(SER_hh_tesh_in!X5=0,0,SER_hh_tesh_in!X5/SER_summary!X$27)</f>
        <v>0</v>
      </c>
      <c r="Y5" s="132">
        <f>IF(SER_hh_tesh_in!Y5=0,0,SER_hh_tesh_in!Y5/SER_summary!Y$27)</f>
        <v>0</v>
      </c>
      <c r="DA5" s="156" t="s">
        <v>850</v>
      </c>
    </row>
    <row r="6" spans="1:105" ht="12" customHeight="1" x14ac:dyDescent="0.25">
      <c r="A6" s="131" t="s">
        <v>52</v>
      </c>
      <c r="B6" s="132"/>
      <c r="C6" s="132">
        <f>IF(SER_hh_tesh_in!C6=0,0,SER_hh_tesh_in!C6/SER_summary!C$27)</f>
        <v>82.012408858859033</v>
      </c>
      <c r="D6" s="132">
        <f>IF(SER_hh_tesh_in!D6=0,0,SER_hh_tesh_in!D6/SER_summary!D$27)</f>
        <v>77.667244641070795</v>
      </c>
      <c r="E6" s="132">
        <f>IF(SER_hh_tesh_in!E6=0,0,SER_hh_tesh_in!E6/SER_summary!E$27)</f>
        <v>93.640405310902963</v>
      </c>
      <c r="F6" s="132">
        <f>IF(SER_hh_tesh_in!F6=0,0,SER_hh_tesh_in!F6/SER_summary!F$27)</f>
        <v>95.265789496035879</v>
      </c>
      <c r="G6" s="132">
        <f>IF(SER_hh_tesh_in!G6=0,0,SER_hh_tesh_in!G6/SER_summary!G$27)</f>
        <v>109.65446903356566</v>
      </c>
      <c r="H6" s="132">
        <f>IF(SER_hh_tesh_in!H6=0,0,SER_hh_tesh_in!H6/SER_summary!H$27)</f>
        <v>109.76260869063015</v>
      </c>
      <c r="I6" s="132">
        <f>IF(SER_hh_tesh_in!I6=0,0,SER_hh_tesh_in!I6/SER_summary!I$27)</f>
        <v>102.31921197963437</v>
      </c>
      <c r="J6" s="132">
        <f>IF(SER_hh_tesh_in!J6=0,0,SER_hh_tesh_in!J6/SER_summary!J$27)</f>
        <v>118.55010157849851</v>
      </c>
      <c r="K6" s="132">
        <f>IF(SER_hh_tesh_in!K6=0,0,SER_hh_tesh_in!K6/SER_summary!K$27)</f>
        <v>117.94493710726144</v>
      </c>
      <c r="L6" s="132">
        <f>IF(SER_hh_tesh_in!L6=0,0,SER_hh_tesh_in!L6/SER_summary!L$27)</f>
        <v>120.77675172355809</v>
      </c>
      <c r="M6" s="132">
        <f>IF(SER_hh_tesh_in!M6=0,0,SER_hh_tesh_in!M6/SER_summary!M$27)</f>
        <v>107.39237730693596</v>
      </c>
      <c r="N6" s="132">
        <f>IF(SER_hh_tesh_in!N6=0,0,SER_hh_tesh_in!N6/SER_summary!N$27)</f>
        <v>97.687140349342044</v>
      </c>
      <c r="O6" s="132">
        <f>IF(SER_hh_tesh_in!O6=0,0,SER_hh_tesh_in!O6/SER_summary!O$27)</f>
        <v>106.47213408138434</v>
      </c>
      <c r="P6" s="132">
        <f>IF(SER_hh_tesh_in!P6=0,0,SER_hh_tesh_in!P6/SER_summary!P$27)</f>
        <v>0</v>
      </c>
      <c r="Q6" s="132">
        <f>IF(SER_hh_tesh_in!Q6=0,0,SER_hh_tesh_in!Q6/SER_summary!Q$27)</f>
        <v>0</v>
      </c>
      <c r="R6" s="132">
        <f>IF(SER_hh_tesh_in!R6=0,0,SER_hh_tesh_in!R6/SER_summary!R$27)</f>
        <v>0</v>
      </c>
      <c r="S6" s="132">
        <f>IF(SER_hh_tesh_in!S6=0,0,SER_hh_tesh_in!S6/SER_summary!S$27)</f>
        <v>106.36974191460807</v>
      </c>
      <c r="T6" s="132">
        <f>IF(SER_hh_tesh_in!T6=0,0,SER_hh_tesh_in!T6/SER_summary!T$27)</f>
        <v>96.083281871381743</v>
      </c>
      <c r="U6" s="132">
        <f>IF(SER_hh_tesh_in!U6=0,0,SER_hh_tesh_in!U6/SER_summary!U$27)</f>
        <v>89.753020383419724</v>
      </c>
      <c r="V6" s="132">
        <f>IF(SER_hh_tesh_in!V6=0,0,SER_hh_tesh_in!V6/SER_summary!V$27)</f>
        <v>76.186481255929166</v>
      </c>
      <c r="W6" s="132">
        <f>IF(SER_hh_tesh_in!W6=0,0,SER_hh_tesh_in!W6/SER_summary!W$27)</f>
        <v>72.41562660500793</v>
      </c>
      <c r="X6" s="132">
        <f>IF(SER_hh_tesh_in!X6=0,0,SER_hh_tesh_in!X6/SER_summary!X$27)</f>
        <v>42.669073856778063</v>
      </c>
      <c r="Y6" s="132">
        <f>IF(SER_hh_tesh_in!Y6=0,0,SER_hh_tesh_in!Y6/SER_summary!Y$27)</f>
        <v>41.173835968668136</v>
      </c>
      <c r="DA6" s="156" t="s">
        <v>851</v>
      </c>
    </row>
    <row r="7" spans="1:105" ht="12" customHeight="1" x14ac:dyDescent="0.25">
      <c r="A7" s="131" t="s">
        <v>161</v>
      </c>
      <c r="B7" s="132"/>
      <c r="C7" s="132">
        <f>IF(SER_hh_tesh_in!C7=0,0,SER_hh_tesh_in!C7/SER_summary!C$27)</f>
        <v>59.77967972953342</v>
      </c>
      <c r="D7" s="132">
        <f>IF(SER_hh_tesh_in!D7=0,0,SER_hh_tesh_in!D7/SER_summary!D$27)</f>
        <v>78.025878582798995</v>
      </c>
      <c r="E7" s="132">
        <f>IF(SER_hh_tesh_in!E7=0,0,SER_hh_tesh_in!E7/SER_summary!E$27)</f>
        <v>97.27080793877019</v>
      </c>
      <c r="F7" s="132">
        <f>IF(SER_hh_tesh_in!F7=0,0,SER_hh_tesh_in!F7/SER_summary!F$27)</f>
        <v>101.54776628660666</v>
      </c>
      <c r="G7" s="132">
        <f>IF(SER_hh_tesh_in!G7=0,0,SER_hh_tesh_in!G7/SER_summary!G$27)</f>
        <v>106.84597291645309</v>
      </c>
      <c r="H7" s="132">
        <f>IF(SER_hh_tesh_in!H7=0,0,SER_hh_tesh_in!H7/SER_summary!H$27)</f>
        <v>112.67094867492767</v>
      </c>
      <c r="I7" s="132">
        <f>IF(SER_hh_tesh_in!I7=0,0,SER_hh_tesh_in!I7/SER_summary!I$27)</f>
        <v>108.696039100137</v>
      </c>
      <c r="J7" s="132">
        <f>IF(SER_hh_tesh_in!J7=0,0,SER_hh_tesh_in!J7/SER_summary!J$27)</f>
        <v>0</v>
      </c>
      <c r="K7" s="132">
        <f>IF(SER_hh_tesh_in!K7=0,0,SER_hh_tesh_in!K7/SER_summary!K$27)</f>
        <v>0</v>
      </c>
      <c r="L7" s="132">
        <f>IF(SER_hh_tesh_in!L7=0,0,SER_hh_tesh_in!L7/SER_summary!L$27)</f>
        <v>0</v>
      </c>
      <c r="M7" s="132">
        <f>IF(SER_hh_tesh_in!M7=0,0,SER_hh_tesh_in!M7/SER_summary!M$27)</f>
        <v>0</v>
      </c>
      <c r="N7" s="132">
        <f>IF(SER_hh_tesh_in!N7=0,0,SER_hh_tesh_in!N7/SER_summary!N$27)</f>
        <v>105.97308700188553</v>
      </c>
      <c r="O7" s="132">
        <f>IF(SER_hh_tesh_in!O7=0,0,SER_hh_tesh_in!O7/SER_summary!O$27)</f>
        <v>94.35316045666913</v>
      </c>
      <c r="P7" s="132">
        <f>IF(SER_hh_tesh_in!P7=0,0,SER_hh_tesh_in!P7/SER_summary!P$27)</f>
        <v>94.789848440983576</v>
      </c>
      <c r="Q7" s="132">
        <f>IF(SER_hh_tesh_in!Q7=0,0,SER_hh_tesh_in!Q7/SER_summary!Q$27)</f>
        <v>110.67208484706309</v>
      </c>
      <c r="R7" s="132">
        <f>IF(SER_hh_tesh_in!R7=0,0,SER_hh_tesh_in!R7/SER_summary!R$27)</f>
        <v>115.36330998916658</v>
      </c>
      <c r="S7" s="132">
        <f>IF(SER_hh_tesh_in!S7=0,0,SER_hh_tesh_in!S7/SER_summary!S$27)</f>
        <v>88.452872328831575</v>
      </c>
      <c r="T7" s="132">
        <f>IF(SER_hh_tesh_in!T7=0,0,SER_hh_tesh_in!T7/SER_summary!T$27)</f>
        <v>109.91324056545554</v>
      </c>
      <c r="U7" s="132">
        <f>IF(SER_hh_tesh_in!U7=0,0,SER_hh_tesh_in!U7/SER_summary!U$27)</f>
        <v>81.746628205747697</v>
      </c>
      <c r="V7" s="132">
        <f>IF(SER_hh_tesh_in!V7=0,0,SER_hh_tesh_in!V7/SER_summary!V$27)</f>
        <v>53.662933435127059</v>
      </c>
      <c r="W7" s="132">
        <f>IF(SER_hh_tesh_in!W7=0,0,SER_hh_tesh_in!W7/SER_summary!W$27)</f>
        <v>59.009561782951259</v>
      </c>
      <c r="X7" s="132">
        <f>IF(SER_hh_tesh_in!X7=0,0,SER_hh_tesh_in!X7/SER_summary!X$27)</f>
        <v>43.780658253672321</v>
      </c>
      <c r="Y7" s="132">
        <f>IF(SER_hh_tesh_in!Y7=0,0,SER_hh_tesh_in!Y7/SER_summary!Y$27)</f>
        <v>41.264804294117575</v>
      </c>
      <c r="DA7" s="156" t="s">
        <v>852</v>
      </c>
    </row>
    <row r="8" spans="1:105" ht="12" customHeight="1" x14ac:dyDescent="0.25">
      <c r="A8" s="131" t="s">
        <v>73</v>
      </c>
      <c r="B8" s="132"/>
      <c r="C8" s="132">
        <f>IF(SER_hh_tesh_in!C8=0,0,SER_hh_tesh_in!C8/SER_summary!C$27)</f>
        <v>82.863970809061414</v>
      </c>
      <c r="D8" s="132">
        <f>IF(SER_hh_tesh_in!D8=0,0,SER_hh_tesh_in!D8/SER_summary!D$27)</f>
        <v>81.128019588486922</v>
      </c>
      <c r="E8" s="132">
        <f>IF(SER_hh_tesh_in!E8=0,0,SER_hh_tesh_in!E8/SER_summary!E$27)</f>
        <v>95.143720566323154</v>
      </c>
      <c r="F8" s="132">
        <f>IF(SER_hh_tesh_in!F8=0,0,SER_hh_tesh_in!F8/SER_summary!F$27)</f>
        <v>98.774707028377378</v>
      </c>
      <c r="G8" s="132">
        <f>IF(SER_hh_tesh_in!G8=0,0,SER_hh_tesh_in!G8/SER_summary!G$27)</f>
        <v>105.90933435683991</v>
      </c>
      <c r="H8" s="132">
        <f>IF(SER_hh_tesh_in!H8=0,0,SER_hh_tesh_in!H8/SER_summary!H$27)</f>
        <v>110.42140050902411</v>
      </c>
      <c r="I8" s="132">
        <f>IF(SER_hh_tesh_in!I8=0,0,SER_hh_tesh_in!I8/SER_summary!I$27)</f>
        <v>111.97769852659125</v>
      </c>
      <c r="J8" s="132">
        <f>IF(SER_hh_tesh_in!J8=0,0,SER_hh_tesh_in!J8/SER_summary!J$27)</f>
        <v>115.64959832910338</v>
      </c>
      <c r="K8" s="132">
        <f>IF(SER_hh_tesh_in!K8=0,0,SER_hh_tesh_in!K8/SER_summary!K$27)</f>
        <v>113.02627715799989</v>
      </c>
      <c r="L8" s="132">
        <f>IF(SER_hh_tesh_in!L8=0,0,SER_hh_tesh_in!L8/SER_summary!L$27)</f>
        <v>106.59263334577933</v>
      </c>
      <c r="M8" s="132">
        <f>IF(SER_hh_tesh_in!M8=0,0,SER_hh_tesh_in!M8/SER_summary!M$27)</f>
        <v>100.96211318244119</v>
      </c>
      <c r="N8" s="132">
        <f>IF(SER_hh_tesh_in!N8=0,0,SER_hh_tesh_in!N8/SER_summary!N$27)</f>
        <v>97.009132408776651</v>
      </c>
      <c r="O8" s="132">
        <f>IF(SER_hh_tesh_in!O8=0,0,SER_hh_tesh_in!O8/SER_summary!O$27)</f>
        <v>98.48799013310979</v>
      </c>
      <c r="P8" s="132">
        <f>IF(SER_hh_tesh_in!P8=0,0,SER_hh_tesh_in!P8/SER_summary!P$27)</f>
        <v>103.66693193285694</v>
      </c>
      <c r="Q8" s="132">
        <f>IF(SER_hh_tesh_in!Q8=0,0,SER_hh_tesh_in!Q8/SER_summary!Q$27)</f>
        <v>119.59618182987809</v>
      </c>
      <c r="R8" s="132">
        <f>IF(SER_hh_tesh_in!R8=0,0,SER_hh_tesh_in!R8/SER_summary!R$27)</f>
        <v>110.00218710808122</v>
      </c>
      <c r="S8" s="132">
        <f>IF(SER_hh_tesh_in!S8=0,0,SER_hh_tesh_in!S8/SER_summary!S$27)</f>
        <v>105.3579086101206</v>
      </c>
      <c r="T8" s="132">
        <f>IF(SER_hh_tesh_in!T8=0,0,SER_hh_tesh_in!T8/SER_summary!T$27)</f>
        <v>99.242200757584982</v>
      </c>
      <c r="U8" s="132">
        <f>IF(SER_hh_tesh_in!U8=0,0,SER_hh_tesh_in!U8/SER_summary!U$27)</f>
        <v>87.496054012642333</v>
      </c>
      <c r="V8" s="132">
        <f>IF(SER_hh_tesh_in!V8=0,0,SER_hh_tesh_in!V8/SER_summary!V$27)</f>
        <v>77.607368868326276</v>
      </c>
      <c r="W8" s="132">
        <f>IF(SER_hh_tesh_in!W8=0,0,SER_hh_tesh_in!W8/SER_summary!W$27)</f>
        <v>63.035318853311594</v>
      </c>
      <c r="X8" s="132">
        <f>IF(SER_hh_tesh_in!X8=0,0,SER_hh_tesh_in!X8/SER_summary!X$27)</f>
        <v>41.943308590643419</v>
      </c>
      <c r="Y8" s="132">
        <f>IF(SER_hh_tesh_in!Y8=0,0,SER_hh_tesh_in!Y8/SER_summary!Y$27)</f>
        <v>41.481267433741571</v>
      </c>
      <c r="DA8" s="156" t="s">
        <v>853</v>
      </c>
    </row>
    <row r="9" spans="1:105" ht="12" customHeight="1" x14ac:dyDescent="0.25">
      <c r="A9" s="131" t="s">
        <v>78</v>
      </c>
      <c r="B9" s="132"/>
      <c r="C9" s="132">
        <f>IF(SER_hh_tesh_in!C9=0,0,SER_hh_tesh_in!C9/SER_summary!C$27)</f>
        <v>84.659174584501187</v>
      </c>
      <c r="D9" s="132">
        <f>IF(SER_hh_tesh_in!D9=0,0,SER_hh_tesh_in!D9/SER_summary!D$27)</f>
        <v>76.3817433283876</v>
      </c>
      <c r="E9" s="132">
        <f>IF(SER_hh_tesh_in!E9=0,0,SER_hh_tesh_in!E9/SER_summary!E$27)</f>
        <v>92.032613640414283</v>
      </c>
      <c r="F9" s="132">
        <f>IF(SER_hh_tesh_in!F9=0,0,SER_hh_tesh_in!F9/SER_summary!F$27)</f>
        <v>92.293251067521311</v>
      </c>
      <c r="G9" s="132">
        <f>IF(SER_hh_tesh_in!G9=0,0,SER_hh_tesh_in!G9/SER_summary!G$27)</f>
        <v>112.78640248742647</v>
      </c>
      <c r="H9" s="132">
        <f>IF(SER_hh_tesh_in!H9=0,0,SER_hh_tesh_in!H9/SER_summary!H$27)</f>
        <v>112.8415318009295</v>
      </c>
      <c r="I9" s="132">
        <f>IF(SER_hh_tesh_in!I9=0,0,SER_hh_tesh_in!I9/SER_summary!I$27)</f>
        <v>98.609222124640041</v>
      </c>
      <c r="J9" s="132">
        <f>IF(SER_hh_tesh_in!J9=0,0,SER_hh_tesh_in!J9/SER_summary!J$27)</f>
        <v>122.67813071491919</v>
      </c>
      <c r="K9" s="132">
        <f>IF(SER_hh_tesh_in!K9=0,0,SER_hh_tesh_in!K9/SER_summary!K$27)</f>
        <v>120.55401458259136</v>
      </c>
      <c r="L9" s="132">
        <f>IF(SER_hh_tesh_in!L9=0,0,SER_hh_tesh_in!L9/SER_summary!L$27)</f>
        <v>120.73187237977258</v>
      </c>
      <c r="M9" s="132">
        <f>IF(SER_hh_tesh_in!M9=0,0,SER_hh_tesh_in!M9/SER_summary!M$27)</f>
        <v>99.897604396713064</v>
      </c>
      <c r="N9" s="132">
        <f>IF(SER_hh_tesh_in!N9=0,0,SER_hh_tesh_in!N9/SER_summary!N$27)</f>
        <v>104.43905017059305</v>
      </c>
      <c r="O9" s="132">
        <f>IF(SER_hh_tesh_in!O9=0,0,SER_hh_tesh_in!O9/SER_summary!O$27)</f>
        <v>110.84951887780758</v>
      </c>
      <c r="P9" s="132">
        <f>IF(SER_hh_tesh_in!P9=0,0,SER_hh_tesh_in!P9/SER_summary!P$27)</f>
        <v>0</v>
      </c>
      <c r="Q9" s="132">
        <f>IF(SER_hh_tesh_in!Q9=0,0,SER_hh_tesh_in!Q9/SER_summary!Q$27)</f>
        <v>0</v>
      </c>
      <c r="R9" s="132">
        <f>IF(SER_hh_tesh_in!R9=0,0,SER_hh_tesh_in!R9/SER_summary!R$27)</f>
        <v>102.55521245139629</v>
      </c>
      <c r="S9" s="132">
        <f>IF(SER_hh_tesh_in!S9=0,0,SER_hh_tesh_in!S9/SER_summary!S$27)</f>
        <v>97.670320846085815</v>
      </c>
      <c r="T9" s="132">
        <f>IF(SER_hh_tesh_in!T9=0,0,SER_hh_tesh_in!T9/SER_summary!T$27)</f>
        <v>105.20915339147408</v>
      </c>
      <c r="U9" s="132">
        <f>IF(SER_hh_tesh_in!U9=0,0,SER_hh_tesh_in!U9/SER_summary!U$27)</f>
        <v>94.948497350822208</v>
      </c>
      <c r="V9" s="132">
        <f>IF(SER_hh_tesh_in!V9=0,0,SER_hh_tesh_in!V9/SER_summary!V$27)</f>
        <v>85.168266956678835</v>
      </c>
      <c r="W9" s="132">
        <f>IF(SER_hh_tesh_in!W9=0,0,SER_hh_tesh_in!W9/SER_summary!W$27)</f>
        <v>63.125465299648283</v>
      </c>
      <c r="X9" s="132">
        <f>IF(SER_hh_tesh_in!X9=0,0,SER_hh_tesh_in!X9/SER_summary!X$27)</f>
        <v>37.64615802728477</v>
      </c>
      <c r="Y9" s="132">
        <f>IF(SER_hh_tesh_in!Y9=0,0,SER_hh_tesh_in!Y9/SER_summary!Y$27)</f>
        <v>43.593465153028944</v>
      </c>
      <c r="DA9" s="156" t="s">
        <v>854</v>
      </c>
    </row>
    <row r="10" spans="1:105" ht="12" customHeight="1" x14ac:dyDescent="0.25">
      <c r="A10" s="131" t="s">
        <v>128</v>
      </c>
      <c r="B10" s="132"/>
      <c r="C10" s="132">
        <f>IF(SER_hh_tesh_in!C10=0,0,SER_hh_tesh_in!C10/SER_summary!C$27)</f>
        <v>84.497611616745687</v>
      </c>
      <c r="D10" s="132">
        <f>IF(SER_hh_tesh_in!D10=0,0,SER_hh_tesh_in!D10/SER_summary!D$27)</f>
        <v>81.828098423446647</v>
      </c>
      <c r="E10" s="132">
        <f>IF(SER_hh_tesh_in!E10=0,0,SER_hh_tesh_in!E10/SER_summary!E$27)</f>
        <v>88.678389570100308</v>
      </c>
      <c r="F10" s="132">
        <f>IF(SER_hh_tesh_in!F10=0,0,SER_hh_tesh_in!F10/SER_summary!F$27)</f>
        <v>94.528186898130855</v>
      </c>
      <c r="G10" s="132">
        <f>IF(SER_hh_tesh_in!G10=0,0,SER_hh_tesh_in!G10/SER_summary!G$27)</f>
        <v>99.843202446485662</v>
      </c>
      <c r="H10" s="132">
        <f>IF(SER_hh_tesh_in!H10=0,0,SER_hh_tesh_in!H10/SER_summary!H$27)</f>
        <v>126.21558083974128</v>
      </c>
      <c r="I10" s="132">
        <f>IF(SER_hh_tesh_in!I10=0,0,SER_hh_tesh_in!I10/SER_summary!I$27)</f>
        <v>101.26145195705335</v>
      </c>
      <c r="J10" s="132">
        <f>IF(SER_hh_tesh_in!J10=0,0,SER_hh_tesh_in!J10/SER_summary!J$27)</f>
        <v>92.136419080679701</v>
      </c>
      <c r="K10" s="132">
        <f>IF(SER_hh_tesh_in!K10=0,0,SER_hh_tesh_in!K10/SER_summary!K$27)</f>
        <v>107.83441256652205</v>
      </c>
      <c r="L10" s="132">
        <f>IF(SER_hh_tesh_in!L10=0,0,SER_hh_tesh_in!L10/SER_summary!L$27)</f>
        <v>130.31733078712324</v>
      </c>
      <c r="M10" s="132">
        <f>IF(SER_hh_tesh_in!M10=0,0,SER_hh_tesh_in!M10/SER_summary!M$27)</f>
        <v>106.80380560125887</v>
      </c>
      <c r="N10" s="132">
        <f>IF(SER_hh_tesh_in!N10=0,0,SER_hh_tesh_in!N10/SER_summary!N$27)</f>
        <v>80.515186299069086</v>
      </c>
      <c r="O10" s="132">
        <f>IF(SER_hh_tesh_in!O10=0,0,SER_hh_tesh_in!O10/SER_summary!O$27)</f>
        <v>98.431791171990099</v>
      </c>
      <c r="P10" s="132">
        <f>IF(SER_hh_tesh_in!P10=0,0,SER_hh_tesh_in!P10/SER_summary!P$27)</f>
        <v>123.86866078969203</v>
      </c>
      <c r="Q10" s="132">
        <f>IF(SER_hh_tesh_in!Q10=0,0,SER_hh_tesh_in!Q10/SER_summary!Q$27)</f>
        <v>97.78709429728471</v>
      </c>
      <c r="R10" s="132">
        <f>IF(SER_hh_tesh_in!R10=0,0,SER_hh_tesh_in!R10/SER_summary!R$27)</f>
        <v>112.17348782671043</v>
      </c>
      <c r="S10" s="132">
        <f>IF(SER_hh_tesh_in!S10=0,0,SER_hh_tesh_in!S10/SER_summary!S$27)</f>
        <v>108.45250171644683</v>
      </c>
      <c r="T10" s="132">
        <f>IF(SER_hh_tesh_in!T10=0,0,SER_hh_tesh_in!T10/SER_summary!T$27)</f>
        <v>96.760720377711223</v>
      </c>
      <c r="U10" s="132">
        <f>IF(SER_hh_tesh_in!U10=0,0,SER_hh_tesh_in!U10/SER_summary!U$27)</f>
        <v>88.792038131246599</v>
      </c>
      <c r="V10" s="132">
        <f>IF(SER_hh_tesh_in!V10=0,0,SER_hh_tesh_in!V10/SER_summary!V$27)</f>
        <v>71.36267513151445</v>
      </c>
      <c r="W10" s="132">
        <f>IF(SER_hh_tesh_in!W10=0,0,SER_hh_tesh_in!W10/SER_summary!W$27)</f>
        <v>61.741338862976754</v>
      </c>
      <c r="X10" s="132">
        <f>IF(SER_hh_tesh_in!X10=0,0,SER_hh_tesh_in!X10/SER_summary!X$27)</f>
        <v>44.844785401754073</v>
      </c>
      <c r="Y10" s="132">
        <f>IF(SER_hh_tesh_in!Y10=0,0,SER_hh_tesh_in!Y10/SER_summary!Y$27)</f>
        <v>40.161740210947748</v>
      </c>
      <c r="DA10" s="156" t="s">
        <v>855</v>
      </c>
    </row>
    <row r="11" spans="1:105" ht="12" customHeight="1" x14ac:dyDescent="0.25">
      <c r="A11" s="131" t="s">
        <v>25</v>
      </c>
      <c r="B11" s="132"/>
      <c r="C11" s="132">
        <f>IF(SER_hh_tesh_in!C11=0,0,SER_hh_tesh_in!C11/SER_summary!C$27)</f>
        <v>82.597911781555624</v>
      </c>
      <c r="D11" s="132">
        <f>IF(SER_hh_tesh_in!D11=0,0,SER_hh_tesh_in!D11/SER_summary!D$27)</f>
        <v>84.982433434504401</v>
      </c>
      <c r="E11" s="132">
        <f>IF(SER_hh_tesh_in!E11=0,0,SER_hh_tesh_in!E11/SER_summary!E$27)</f>
        <v>90.892992939193618</v>
      </c>
      <c r="F11" s="132">
        <f>IF(SER_hh_tesh_in!F11=0,0,SER_hh_tesh_in!F11/SER_summary!F$27)</f>
        <v>96.307200313083428</v>
      </c>
      <c r="G11" s="132">
        <f>IF(SER_hh_tesh_in!G11=0,0,SER_hh_tesh_in!G11/SER_summary!G$27)</f>
        <v>104.92836457869471</v>
      </c>
      <c r="H11" s="132">
        <f>IF(SER_hh_tesh_in!H11=0,0,SER_hh_tesh_in!H11/SER_summary!H$27)</f>
        <v>109.90178850514161</v>
      </c>
      <c r="I11" s="132">
        <f>IF(SER_hh_tesh_in!I11=0,0,SER_hh_tesh_in!I11/SER_summary!I$27)</f>
        <v>111.89331627087003</v>
      </c>
      <c r="J11" s="132">
        <f>IF(SER_hh_tesh_in!J11=0,0,SER_hh_tesh_in!J11/SER_summary!J$27)</f>
        <v>121.03319444640867</v>
      </c>
      <c r="K11" s="132">
        <f>IF(SER_hh_tesh_in!K11=0,0,SER_hh_tesh_in!K11/SER_summary!K$27)</f>
        <v>132.88223570764671</v>
      </c>
      <c r="L11" s="132">
        <f>IF(SER_hh_tesh_in!L11=0,0,SER_hh_tesh_in!L11/SER_summary!L$27)</f>
        <v>0</v>
      </c>
      <c r="M11" s="132">
        <f>IF(SER_hh_tesh_in!M11=0,0,SER_hh_tesh_in!M11/SER_summary!M$27)</f>
        <v>100.79706968183586</v>
      </c>
      <c r="N11" s="132">
        <f>IF(SER_hh_tesh_in!N11=0,0,SER_hh_tesh_in!N11/SER_summary!N$27)</f>
        <v>106.37056401142239</v>
      </c>
      <c r="O11" s="132">
        <f>IF(SER_hh_tesh_in!O11=0,0,SER_hh_tesh_in!O11/SER_summary!O$27)</f>
        <v>105.54235662943412</v>
      </c>
      <c r="P11" s="132">
        <f>IF(SER_hh_tesh_in!P11=0,0,SER_hh_tesh_in!P11/SER_summary!P$27)</f>
        <v>100.15359185215586</v>
      </c>
      <c r="Q11" s="132">
        <f>IF(SER_hh_tesh_in!Q11=0,0,SER_hh_tesh_in!Q11/SER_summary!Q$27)</f>
        <v>0</v>
      </c>
      <c r="R11" s="132">
        <f>IF(SER_hh_tesh_in!R11=0,0,SER_hh_tesh_in!R11/SER_summary!R$27)</f>
        <v>104.84328880394679</v>
      </c>
      <c r="S11" s="132">
        <f>IF(SER_hh_tesh_in!S11=0,0,SER_hh_tesh_in!S11/SER_summary!S$27)</f>
        <v>107.34443184807196</v>
      </c>
      <c r="T11" s="132">
        <f>IF(SER_hh_tesh_in!T11=0,0,SER_hh_tesh_in!T11/SER_summary!T$27)</f>
        <v>101.17122123800569</v>
      </c>
      <c r="U11" s="132">
        <f>IF(SER_hh_tesh_in!U11=0,0,SER_hh_tesh_in!U11/SER_summary!U$27)</f>
        <v>92.033339255205107</v>
      </c>
      <c r="V11" s="132">
        <f>IF(SER_hh_tesh_in!V11=0,0,SER_hh_tesh_in!V11/SER_summary!V$27)</f>
        <v>76.685375104722823</v>
      </c>
      <c r="W11" s="132">
        <f>IF(SER_hh_tesh_in!W11=0,0,SER_hh_tesh_in!W11/SER_summary!W$27)</f>
        <v>58.274766699391336</v>
      </c>
      <c r="X11" s="132">
        <f>IF(SER_hh_tesh_in!X11=0,0,SER_hh_tesh_in!X11/SER_summary!X$27)</f>
        <v>40.254092175318604</v>
      </c>
      <c r="Y11" s="132">
        <f>IF(SER_hh_tesh_in!Y11=0,0,SER_hh_tesh_in!Y11/SER_summary!Y$27)</f>
        <v>40.532656063615214</v>
      </c>
      <c r="DA11" s="156" t="s">
        <v>856</v>
      </c>
    </row>
    <row r="12" spans="1:105" ht="12" customHeight="1" x14ac:dyDescent="0.25">
      <c r="A12" s="131" t="s">
        <v>162</v>
      </c>
      <c r="B12" s="132"/>
      <c r="C12" s="132">
        <f>IF(SER_hh_tesh_in!C12=0,0,SER_hh_tesh_in!C12/SER_summary!C$27)</f>
        <v>0</v>
      </c>
      <c r="D12" s="132">
        <f>IF(SER_hh_tesh_in!D12=0,0,SER_hh_tesh_in!D12/SER_summary!D$27)</f>
        <v>0</v>
      </c>
      <c r="E12" s="132">
        <f>IF(SER_hh_tesh_in!E12=0,0,SER_hh_tesh_in!E12/SER_summary!E$27)</f>
        <v>0</v>
      </c>
      <c r="F12" s="132">
        <f>IF(SER_hh_tesh_in!F12=0,0,SER_hh_tesh_in!F12/SER_summary!F$27)</f>
        <v>138.56310278727213</v>
      </c>
      <c r="G12" s="132">
        <f>IF(SER_hh_tesh_in!G12=0,0,SER_hh_tesh_in!G12/SER_summary!G$27)</f>
        <v>104.63446326188036</v>
      </c>
      <c r="H12" s="132">
        <f>IF(SER_hh_tesh_in!H12=0,0,SER_hh_tesh_in!H12/SER_summary!H$27)</f>
        <v>121.98720233459757</v>
      </c>
      <c r="I12" s="132">
        <f>IF(SER_hh_tesh_in!I12=0,0,SER_hh_tesh_in!I12/SER_summary!I$27)</f>
        <v>119.27320833204794</v>
      </c>
      <c r="J12" s="132">
        <f>IF(SER_hh_tesh_in!J12=0,0,SER_hh_tesh_in!J12/SER_summary!J$27)</f>
        <v>0</v>
      </c>
      <c r="K12" s="132">
        <f>IF(SER_hh_tesh_in!K12=0,0,SER_hh_tesh_in!K12/SER_summary!K$27)</f>
        <v>104.46727940111639</v>
      </c>
      <c r="L12" s="132">
        <f>IF(SER_hh_tesh_in!L12=0,0,SER_hh_tesh_in!L12/SER_summary!L$27)</f>
        <v>77.135889910804323</v>
      </c>
      <c r="M12" s="132">
        <f>IF(SER_hh_tesh_in!M12=0,0,SER_hh_tesh_in!M12/SER_summary!M$27)</f>
        <v>137.28719478057585</v>
      </c>
      <c r="N12" s="132">
        <f>IF(SER_hh_tesh_in!N12=0,0,SER_hh_tesh_in!N12/SER_summary!N$27)</f>
        <v>87.938377157010336</v>
      </c>
      <c r="O12" s="132">
        <f>IF(SER_hh_tesh_in!O12=0,0,SER_hh_tesh_in!O12/SER_summary!O$27)</f>
        <v>97.213488025161908</v>
      </c>
      <c r="P12" s="132">
        <f>IF(SER_hh_tesh_in!P12=0,0,SER_hh_tesh_in!P12/SER_summary!P$27)</f>
        <v>130.55099687753864</v>
      </c>
      <c r="Q12" s="132">
        <f>IF(SER_hh_tesh_in!Q12=0,0,SER_hh_tesh_in!Q12/SER_summary!Q$27)</f>
        <v>98.590266663402261</v>
      </c>
      <c r="R12" s="132">
        <f>IF(SER_hh_tesh_in!R12=0,0,SER_hh_tesh_in!R12/SER_summary!R$27)</f>
        <v>95.740717010111979</v>
      </c>
      <c r="S12" s="132">
        <f>IF(SER_hh_tesh_in!S12=0,0,SER_hh_tesh_in!S12/SER_summary!S$27)</f>
        <v>110.25960905775617</v>
      </c>
      <c r="T12" s="132">
        <f>IF(SER_hh_tesh_in!T12=0,0,SER_hh_tesh_in!T12/SER_summary!T$27)</f>
        <v>123.3921019124101</v>
      </c>
      <c r="U12" s="132">
        <f>IF(SER_hh_tesh_in!U12=0,0,SER_hh_tesh_in!U12/SER_summary!U$27)</f>
        <v>87.045722441961132</v>
      </c>
      <c r="V12" s="132">
        <f>IF(SER_hh_tesh_in!V12=0,0,SER_hh_tesh_in!V12/SER_summary!V$27)</f>
        <v>81.069200288089405</v>
      </c>
      <c r="W12" s="132">
        <f>IF(SER_hh_tesh_in!W12=0,0,SER_hh_tesh_in!W12/SER_summary!W$27)</f>
        <v>0</v>
      </c>
      <c r="X12" s="132">
        <f>IF(SER_hh_tesh_in!X12=0,0,SER_hh_tesh_in!X12/SER_summary!X$27)</f>
        <v>39.750604119582327</v>
      </c>
      <c r="Y12" s="132">
        <f>IF(SER_hh_tesh_in!Y12=0,0,SER_hh_tesh_in!Y12/SER_summary!Y$27)</f>
        <v>41.870103731105296</v>
      </c>
      <c r="DA12" s="156" t="s">
        <v>857</v>
      </c>
    </row>
    <row r="13" spans="1:105" ht="12" customHeight="1" x14ac:dyDescent="0.25">
      <c r="A13" s="131" t="s">
        <v>77</v>
      </c>
      <c r="B13" s="132"/>
      <c r="C13" s="132">
        <f>IF(SER_hh_tesh_in!C13=0,0,SER_hh_tesh_in!C13/SER_summary!C$27)</f>
        <v>61.871034990494117</v>
      </c>
      <c r="D13" s="132">
        <f>IF(SER_hh_tesh_in!D13=0,0,SER_hh_tesh_in!D13/SER_summary!D$27)</f>
        <v>92.219472123207524</v>
      </c>
      <c r="E13" s="132">
        <f>IF(SER_hh_tesh_in!E13=0,0,SER_hh_tesh_in!E13/SER_summary!E$27)</f>
        <v>66.68843663601362</v>
      </c>
      <c r="F13" s="132">
        <f>IF(SER_hh_tesh_in!F13=0,0,SER_hh_tesh_in!F13/SER_summary!F$27)</f>
        <v>88.660582679649153</v>
      </c>
      <c r="G13" s="132">
        <f>IF(SER_hh_tesh_in!G13=0,0,SER_hh_tesh_in!G13/SER_summary!G$27)</f>
        <v>116.35636284167447</v>
      </c>
      <c r="H13" s="132">
        <f>IF(SER_hh_tesh_in!H13=0,0,SER_hh_tesh_in!H13/SER_summary!H$27)</f>
        <v>119.37423512137623</v>
      </c>
      <c r="I13" s="132">
        <f>IF(SER_hh_tesh_in!I13=0,0,SER_hh_tesh_in!I13/SER_summary!I$27)</f>
        <v>112.8556649163003</v>
      </c>
      <c r="J13" s="132">
        <f>IF(SER_hh_tesh_in!J13=0,0,SER_hh_tesh_in!J13/SER_summary!J$27)</f>
        <v>111.68487971862737</v>
      </c>
      <c r="K13" s="132">
        <f>IF(SER_hh_tesh_in!K13=0,0,SER_hh_tesh_in!K13/SER_summary!K$27)</f>
        <v>115.37377711420149</v>
      </c>
      <c r="L13" s="132">
        <f>IF(SER_hh_tesh_in!L13=0,0,SER_hh_tesh_in!L13/SER_summary!L$27)</f>
        <v>96.761306878194588</v>
      </c>
      <c r="M13" s="132">
        <f>IF(SER_hh_tesh_in!M13=0,0,SER_hh_tesh_in!M13/SER_summary!M$27)</f>
        <v>98.742508880001893</v>
      </c>
      <c r="N13" s="132">
        <f>IF(SER_hh_tesh_in!N13=0,0,SER_hh_tesh_in!N13/SER_summary!N$27)</f>
        <v>104.41888180780265</v>
      </c>
      <c r="O13" s="132">
        <f>IF(SER_hh_tesh_in!O13=0,0,SER_hh_tesh_in!O13/SER_summary!O$27)</f>
        <v>86.865915764099839</v>
      </c>
      <c r="P13" s="132">
        <f>IF(SER_hh_tesh_in!P13=0,0,SER_hh_tesh_in!P13/SER_summary!P$27)</f>
        <v>95.075562974111307</v>
      </c>
      <c r="Q13" s="132">
        <f>IF(SER_hh_tesh_in!Q13=0,0,SER_hh_tesh_in!Q13/SER_summary!Q$27)</f>
        <v>127.07380013438703</v>
      </c>
      <c r="R13" s="132">
        <f>IF(SER_hh_tesh_in!R13=0,0,SER_hh_tesh_in!R13/SER_summary!R$27)</f>
        <v>113.41068305798433</v>
      </c>
      <c r="S13" s="132">
        <f>IF(SER_hh_tesh_in!S13=0,0,SER_hh_tesh_in!S13/SER_summary!S$27)</f>
        <v>115.13553606556725</v>
      </c>
      <c r="T13" s="132">
        <f>IF(SER_hh_tesh_in!T13=0,0,SER_hh_tesh_in!T13/SER_summary!T$27)</f>
        <v>103.74145698712336</v>
      </c>
      <c r="U13" s="132">
        <f>IF(SER_hh_tesh_in!U13=0,0,SER_hh_tesh_in!U13/SER_summary!U$27)</f>
        <v>90.326031660479018</v>
      </c>
      <c r="V13" s="132">
        <f>IF(SER_hh_tesh_in!V13=0,0,SER_hh_tesh_in!V13/SER_summary!V$27)</f>
        <v>79.041438960466195</v>
      </c>
      <c r="W13" s="132">
        <f>IF(SER_hh_tesh_in!W13=0,0,SER_hh_tesh_in!W13/SER_summary!W$27)</f>
        <v>50.068335572874886</v>
      </c>
      <c r="X13" s="132">
        <f>IF(SER_hh_tesh_in!X13=0,0,SER_hh_tesh_in!X13/SER_summary!X$27)</f>
        <v>36.828629932708964</v>
      </c>
      <c r="Y13" s="132">
        <f>IF(SER_hh_tesh_in!Y13=0,0,SER_hh_tesh_in!Y13/SER_summary!Y$27)</f>
        <v>0</v>
      </c>
      <c r="DA13" s="156" t="s">
        <v>858</v>
      </c>
    </row>
    <row r="14" spans="1:105" ht="12" customHeight="1" x14ac:dyDescent="0.25">
      <c r="A14" s="60" t="s">
        <v>76</v>
      </c>
      <c r="B14" s="65"/>
      <c r="C14" s="65">
        <f>IF(SER_hh_tesh_in!C14=0,0,SER_hh_tesh_in!C14/SER_summary!C$27)</f>
        <v>81.787890545104133</v>
      </c>
      <c r="D14" s="65">
        <f>IF(SER_hh_tesh_in!D14=0,0,SER_hh_tesh_in!D14/SER_summary!D$27)</f>
        <v>86.920127712328522</v>
      </c>
      <c r="E14" s="65">
        <f>IF(SER_hh_tesh_in!E14=0,0,SER_hh_tesh_in!E14/SER_summary!E$27)</f>
        <v>87.286330729080049</v>
      </c>
      <c r="F14" s="65">
        <f>IF(SER_hh_tesh_in!F14=0,0,SER_hh_tesh_in!F14/SER_summary!F$27)</f>
        <v>96.830405209401022</v>
      </c>
      <c r="G14" s="65">
        <f>IF(SER_hh_tesh_in!G14=0,0,SER_hh_tesh_in!G14/SER_summary!G$27)</f>
        <v>109.02530214971416</v>
      </c>
      <c r="H14" s="65">
        <f>IF(SER_hh_tesh_in!H14=0,0,SER_hh_tesh_in!H14/SER_summary!H$27)</f>
        <v>112.65149855120427</v>
      </c>
      <c r="I14" s="65">
        <f>IF(SER_hh_tesh_in!I14=0,0,SER_hh_tesh_in!I14/SER_summary!I$27)</f>
        <v>114.3118181769958</v>
      </c>
      <c r="J14" s="65">
        <f>IF(SER_hh_tesh_in!J14=0,0,SER_hh_tesh_in!J14/SER_summary!J$27)</f>
        <v>116.79855215283898</v>
      </c>
      <c r="K14" s="65">
        <f>IF(SER_hh_tesh_in!K14=0,0,SER_hh_tesh_in!K14/SER_summary!K$27)</f>
        <v>117.10505203137927</v>
      </c>
      <c r="L14" s="65">
        <f>IF(SER_hh_tesh_in!L14=0,0,SER_hh_tesh_in!L14/SER_summary!L$27)</f>
        <v>116.31311147048973</v>
      </c>
      <c r="M14" s="65">
        <f>IF(SER_hh_tesh_in!M14=0,0,SER_hh_tesh_in!M14/SER_summary!M$27)</f>
        <v>109.72143046820131</v>
      </c>
      <c r="N14" s="65">
        <f>IF(SER_hh_tesh_in!N14=0,0,SER_hh_tesh_in!N14/SER_summary!N$27)</f>
        <v>108.46895292077188</v>
      </c>
      <c r="O14" s="65">
        <f>IF(SER_hh_tesh_in!O14=0,0,SER_hh_tesh_in!O14/SER_summary!O$27)</f>
        <v>107.71273557693064</v>
      </c>
      <c r="P14" s="65">
        <f>IF(SER_hh_tesh_in!P14=0,0,SER_hh_tesh_in!P14/SER_summary!P$27)</f>
        <v>0</v>
      </c>
      <c r="Q14" s="65">
        <f>IF(SER_hh_tesh_in!Q14=0,0,SER_hh_tesh_in!Q14/SER_summary!Q$27)</f>
        <v>0</v>
      </c>
      <c r="R14" s="65">
        <f>IF(SER_hh_tesh_in!R14=0,0,SER_hh_tesh_in!R14/SER_summary!R$27)</f>
        <v>0</v>
      </c>
      <c r="S14" s="65">
        <f>IF(SER_hh_tesh_in!S14=0,0,SER_hh_tesh_in!S14/SER_summary!S$27)</f>
        <v>0</v>
      </c>
      <c r="T14" s="65">
        <f>IF(SER_hh_tesh_in!T14=0,0,SER_hh_tesh_in!T14/SER_summary!T$27)</f>
        <v>111.28499015680853</v>
      </c>
      <c r="U14" s="65">
        <f>IF(SER_hh_tesh_in!U14=0,0,SER_hh_tesh_in!U14/SER_summary!U$27)</f>
        <v>90.821002521054268</v>
      </c>
      <c r="V14" s="65">
        <f>IF(SER_hh_tesh_in!V14=0,0,SER_hh_tesh_in!V14/SER_summary!V$27)</f>
        <v>54.486962388624505</v>
      </c>
      <c r="W14" s="65">
        <f>IF(SER_hh_tesh_in!W14=0,0,SER_hh_tesh_in!W14/SER_summary!W$27)</f>
        <v>63.983168121208472</v>
      </c>
      <c r="X14" s="65">
        <f>IF(SER_hh_tesh_in!X14=0,0,SER_hh_tesh_in!X14/SER_summary!X$27)</f>
        <v>44.643263537394787</v>
      </c>
      <c r="Y14" s="65">
        <f>IF(SER_hh_tesh_in!Y14=0,0,SER_hh_tesh_in!Y14/SER_summary!Y$27)</f>
        <v>41.250749221561577</v>
      </c>
      <c r="DA14" s="109" t="s">
        <v>859</v>
      </c>
    </row>
    <row r="15" spans="1:105" ht="12" customHeight="1" x14ac:dyDescent="0.25">
      <c r="A15" s="133" t="s">
        <v>80</v>
      </c>
      <c r="B15" s="134"/>
      <c r="C15" s="134">
        <f>IF(SER_hh_tesh_in!C15=0,0,SER_hh_tesh_in!C15/SER_summary!C$27)</f>
        <v>1.5759369702517627</v>
      </c>
      <c r="D15" s="134">
        <f>IF(SER_hh_tesh_in!D15=0,0,SER_hh_tesh_in!D15/SER_summary!D$27)</f>
        <v>1.4437621510120009</v>
      </c>
      <c r="E15" s="134">
        <f>IF(SER_hh_tesh_in!E15=0,0,SER_hh_tesh_in!E15/SER_summary!E$27)</f>
        <v>1.7354540800283556</v>
      </c>
      <c r="F15" s="134">
        <f>IF(SER_hh_tesh_in!F15=0,0,SER_hh_tesh_in!F15/SER_summary!F$27)</f>
        <v>1.5760221958928671</v>
      </c>
      <c r="G15" s="134">
        <f>IF(SER_hh_tesh_in!G15=0,0,SER_hh_tesh_in!G15/SER_summary!G$27)</f>
        <v>1.9638106759935658</v>
      </c>
      <c r="H15" s="134">
        <f>IF(SER_hh_tesh_in!H15=0,0,SER_hh_tesh_in!H15/SER_summary!H$27)</f>
        <v>1.9330494600857506</v>
      </c>
      <c r="I15" s="134">
        <f>IF(SER_hh_tesh_in!I15=0,0,SER_hh_tesh_in!I15/SER_summary!I$27)</f>
        <v>1.6902474443550717</v>
      </c>
      <c r="J15" s="134">
        <f>IF(SER_hh_tesh_in!J15=0,0,SER_hh_tesh_in!J15/SER_summary!J$27)</f>
        <v>2.1015883370399657</v>
      </c>
      <c r="K15" s="134">
        <f>IF(SER_hh_tesh_in!K15=0,0,SER_hh_tesh_in!K15/SER_summary!K$27)</f>
        <v>2.0189898218721987</v>
      </c>
      <c r="L15" s="134">
        <f>IF(SER_hh_tesh_in!L15=0,0,SER_hh_tesh_in!L15/SER_summary!L$27)</f>
        <v>1.971185720406625</v>
      </c>
      <c r="M15" s="134">
        <f>IF(SER_hh_tesh_in!M15=0,0,SER_hh_tesh_in!M15/SER_summary!M$27)</f>
        <v>1.4286810127549161</v>
      </c>
      <c r="N15" s="134">
        <f>IF(SER_hh_tesh_in!N15=0,0,SER_hh_tesh_in!N15/SER_summary!N$27)</f>
        <v>1.422541563630155</v>
      </c>
      <c r="O15" s="134">
        <f>IF(SER_hh_tesh_in!O15=0,0,SER_hh_tesh_in!O15/SER_summary!O$27)</f>
        <v>1.0301594240338054</v>
      </c>
      <c r="P15" s="134">
        <f>IF(SER_hh_tesh_in!P15=0,0,SER_hh_tesh_in!P15/SER_summary!P$27)</f>
        <v>0.61187397718701431</v>
      </c>
      <c r="Q15" s="134">
        <f>IF(SER_hh_tesh_in!Q15=0,0,SER_hh_tesh_in!Q15/SER_summary!Q$27)</f>
        <v>0.59360291557901768</v>
      </c>
      <c r="R15" s="134">
        <f>IF(SER_hh_tesh_in!R15=0,0,SER_hh_tesh_in!R15/SER_summary!R$27)</f>
        <v>1.1806751173837695</v>
      </c>
      <c r="S15" s="134">
        <f>IF(SER_hh_tesh_in!S15=0,0,SER_hh_tesh_in!S15/SER_summary!S$27)</f>
        <v>1.4858045675543361</v>
      </c>
      <c r="T15" s="134">
        <f>IF(SER_hh_tesh_in!T15=0,0,SER_hh_tesh_in!T15/SER_summary!T$27)</f>
        <v>1.5924044050455328</v>
      </c>
      <c r="U15" s="134">
        <f>IF(SER_hh_tesh_in!U15=0,0,SER_hh_tesh_in!U15/SER_summary!U$27)</f>
        <v>1.4018081919334469</v>
      </c>
      <c r="V15" s="134">
        <f>IF(SER_hh_tesh_in!V15=0,0,SER_hh_tesh_in!V15/SER_summary!V$27)</f>
        <v>1.1709379582442061</v>
      </c>
      <c r="W15" s="134">
        <f>IF(SER_hh_tesh_in!W15=0,0,SER_hh_tesh_in!W15/SER_summary!W$27)</f>
        <v>0.76761267459033211</v>
      </c>
      <c r="X15" s="134">
        <f>IF(SER_hh_tesh_in!X15=0,0,SER_hh_tesh_in!X15/SER_summary!X$27)</f>
        <v>0.57126457086733007</v>
      </c>
      <c r="Y15" s="134">
        <f>IF(SER_hh_tesh_in!Y15=0,0,SER_hh_tesh_in!Y15/SER_summary!Y$27)</f>
        <v>0.65637525571914224</v>
      </c>
      <c r="DA15" s="157" t="s">
        <v>860</v>
      </c>
    </row>
    <row r="16" spans="1:105" ht="12.95" customHeight="1" x14ac:dyDescent="0.25">
      <c r="A16" s="129" t="s">
        <v>74</v>
      </c>
      <c r="B16" s="130"/>
      <c r="C16" s="130">
        <f>IF(SER_hh_tesh_in!C16=0,0,SER_hh_tesh_in!C16/SER_summary!C$27)</f>
        <v>27.732727766365034</v>
      </c>
      <c r="D16" s="130">
        <f>IF(SER_hh_tesh_in!D16=0,0,SER_hh_tesh_in!D16/SER_summary!D$27)</f>
        <v>24.232366198425535</v>
      </c>
      <c r="E16" s="130">
        <f>IF(SER_hh_tesh_in!E16=0,0,SER_hh_tesh_in!E16/SER_summary!E$27)</f>
        <v>55.902481627587939</v>
      </c>
      <c r="F16" s="130">
        <f>IF(SER_hh_tesh_in!F16=0,0,SER_hh_tesh_in!F16/SER_summary!F$27)</f>
        <v>24.974760690610097</v>
      </c>
      <c r="G16" s="130">
        <f>IF(SER_hh_tesh_in!G16=0,0,SER_hh_tesh_in!G16/SER_summary!G$27)</f>
        <v>24.821037057591074</v>
      </c>
      <c r="H16" s="130">
        <f>IF(SER_hh_tesh_in!H16=0,0,SER_hh_tesh_in!H16/SER_summary!H$27)</f>
        <v>28.935346062181697</v>
      </c>
      <c r="I16" s="130">
        <f>IF(SER_hh_tesh_in!I16=0,0,SER_hh_tesh_in!I16/SER_summary!I$27)</f>
        <v>26.364555931263851</v>
      </c>
      <c r="J16" s="130">
        <f>IF(SER_hh_tesh_in!J16=0,0,SER_hh_tesh_in!J16/SER_summary!J$27)</f>
        <v>30.588199607816875</v>
      </c>
      <c r="K16" s="130">
        <f>IF(SER_hh_tesh_in!K16=0,0,SER_hh_tesh_in!K16/SER_summary!K$27)</f>
        <v>30.823445737915527</v>
      </c>
      <c r="L16" s="130">
        <f>IF(SER_hh_tesh_in!L16=0,0,SER_hh_tesh_in!L16/SER_summary!L$27)</f>
        <v>24.627112602626941</v>
      </c>
      <c r="M16" s="130">
        <f>IF(SER_hh_tesh_in!M16=0,0,SER_hh_tesh_in!M16/SER_summary!M$27)</f>
        <v>26.204010946552476</v>
      </c>
      <c r="N16" s="130">
        <f>IF(SER_hh_tesh_in!N16=0,0,SER_hh_tesh_in!N16/SER_summary!N$27)</f>
        <v>40.516085792434083</v>
      </c>
      <c r="O16" s="130">
        <f>IF(SER_hh_tesh_in!O16=0,0,SER_hh_tesh_in!O16/SER_summary!O$27)</f>
        <v>23.509542612189048</v>
      </c>
      <c r="P16" s="130">
        <f>IF(SER_hh_tesh_in!P16=0,0,SER_hh_tesh_in!P16/SER_summary!P$27)</f>
        <v>19.857804078807664</v>
      </c>
      <c r="Q16" s="130">
        <f>IF(SER_hh_tesh_in!Q16=0,0,SER_hh_tesh_in!Q16/SER_summary!Q$27)</f>
        <v>34.435544879299272</v>
      </c>
      <c r="R16" s="130">
        <f>IF(SER_hh_tesh_in!R16=0,0,SER_hh_tesh_in!R16/SER_summary!R$27)</f>
        <v>21.286669715086244</v>
      </c>
      <c r="S16" s="130">
        <f>IF(SER_hh_tesh_in!S16=0,0,SER_hh_tesh_in!S16/SER_summary!S$27)</f>
        <v>31.351312667800553</v>
      </c>
      <c r="T16" s="130">
        <f>IF(SER_hh_tesh_in!T16=0,0,SER_hh_tesh_in!T16/SER_summary!T$27)</f>
        <v>22.924740748230992</v>
      </c>
      <c r="U16" s="130">
        <f>IF(SER_hh_tesh_in!U16=0,0,SER_hh_tesh_in!U16/SER_summary!U$27)</f>
        <v>28.98507551009596</v>
      </c>
      <c r="V16" s="130">
        <f>IF(SER_hh_tesh_in!V16=0,0,SER_hh_tesh_in!V16/SER_summary!V$27)</f>
        <v>19.771794196853737</v>
      </c>
      <c r="W16" s="130">
        <f>IF(SER_hh_tesh_in!W16=0,0,SER_hh_tesh_in!W16/SER_summary!W$27)</f>
        <v>21.431644945699453</v>
      </c>
      <c r="X16" s="130">
        <f>IF(SER_hh_tesh_in!X16=0,0,SER_hh_tesh_in!X16/SER_summary!X$27)</f>
        <v>23.753827528690177</v>
      </c>
      <c r="Y16" s="130">
        <f>IF(SER_hh_tesh_in!Y16=0,0,SER_hh_tesh_in!Y16/SER_summary!Y$27)</f>
        <v>19.202665520920583</v>
      </c>
      <c r="DA16" s="155" t="s">
        <v>861</v>
      </c>
    </row>
    <row r="17" spans="1:105" ht="12.95" customHeight="1" x14ac:dyDescent="0.25">
      <c r="A17" s="131" t="s">
        <v>73</v>
      </c>
      <c r="B17" s="132"/>
      <c r="C17" s="132">
        <f>IF(SER_hh_tesh_in!C17=0,0,SER_hh_tesh_in!C17/SER_summary!C$27)</f>
        <v>27.757146635485082</v>
      </c>
      <c r="D17" s="132">
        <f>IF(SER_hh_tesh_in!D17=0,0,SER_hh_tesh_in!D17/SER_summary!D$27)</f>
        <v>24.244600308242816</v>
      </c>
      <c r="E17" s="132">
        <f>IF(SER_hh_tesh_in!E17=0,0,SER_hh_tesh_in!E17/SER_summary!E$27)</f>
        <v>55.979640725676468</v>
      </c>
      <c r="F17" s="132">
        <f>IF(SER_hh_tesh_in!F17=0,0,SER_hh_tesh_in!F17/SER_summary!F$27)</f>
        <v>25.01259775511166</v>
      </c>
      <c r="G17" s="132">
        <f>IF(SER_hh_tesh_in!G17=0,0,SER_hh_tesh_in!G17/SER_summary!G$27)</f>
        <v>24.850522540758444</v>
      </c>
      <c r="H17" s="132">
        <f>IF(SER_hh_tesh_in!H17=0,0,SER_hh_tesh_in!H17/SER_summary!H$27)</f>
        <v>28.986137554385955</v>
      </c>
      <c r="I17" s="132">
        <f>IF(SER_hh_tesh_in!I17=0,0,SER_hh_tesh_in!I17/SER_summary!I$27)</f>
        <v>26.400949434980308</v>
      </c>
      <c r="J17" s="132">
        <f>IF(SER_hh_tesh_in!J17=0,0,SER_hh_tesh_in!J17/SER_summary!J$27)</f>
        <v>30.606006309893232</v>
      </c>
      <c r="K17" s="132">
        <f>IF(SER_hh_tesh_in!K17=0,0,SER_hh_tesh_in!K17/SER_summary!K$27)</f>
        <v>30.825560029266594</v>
      </c>
      <c r="L17" s="132">
        <f>IF(SER_hh_tesh_in!L17=0,0,SER_hh_tesh_in!L17/SER_summary!L$27)</f>
        <v>24.642338341368401</v>
      </c>
      <c r="M17" s="132">
        <f>IF(SER_hh_tesh_in!M17=0,0,SER_hh_tesh_in!M17/SER_summary!M$27)</f>
        <v>26.221828207841249</v>
      </c>
      <c r="N17" s="132">
        <f>IF(SER_hh_tesh_in!N17=0,0,SER_hh_tesh_in!N17/SER_summary!N$27)</f>
        <v>40.532385068396309</v>
      </c>
      <c r="O17" s="132">
        <f>IF(SER_hh_tesh_in!O17=0,0,SER_hh_tesh_in!O17/SER_summary!O$27)</f>
        <v>23.517222318837462</v>
      </c>
      <c r="P17" s="132">
        <f>IF(SER_hh_tesh_in!P17=0,0,SER_hh_tesh_in!P17/SER_summary!P$27)</f>
        <v>19.897008877738386</v>
      </c>
      <c r="Q17" s="132">
        <f>IF(SER_hh_tesh_in!Q17=0,0,SER_hh_tesh_in!Q17/SER_summary!Q$27)</f>
        <v>34.496878920305647</v>
      </c>
      <c r="R17" s="132">
        <f>IF(SER_hh_tesh_in!R17=0,0,SER_hh_tesh_in!R17/SER_summary!R$27)</f>
        <v>21.751519705168992</v>
      </c>
      <c r="S17" s="132">
        <f>IF(SER_hh_tesh_in!S17=0,0,SER_hh_tesh_in!S17/SER_summary!S$27)</f>
        <v>31.762351331492859</v>
      </c>
      <c r="T17" s="132">
        <f>IF(SER_hh_tesh_in!T17=0,0,SER_hh_tesh_in!T17/SER_summary!T$27)</f>
        <v>23.186099587981392</v>
      </c>
      <c r="U17" s="132">
        <f>IF(SER_hh_tesh_in!U17=0,0,SER_hh_tesh_in!U17/SER_summary!U$27)</f>
        <v>29.031786332253343</v>
      </c>
      <c r="V17" s="132">
        <f>IF(SER_hh_tesh_in!V17=0,0,SER_hh_tesh_in!V17/SER_summary!V$27)</f>
        <v>19.727797667025925</v>
      </c>
      <c r="W17" s="132">
        <f>IF(SER_hh_tesh_in!W17=0,0,SER_hh_tesh_in!W17/SER_summary!W$27)</f>
        <v>21.066260297448267</v>
      </c>
      <c r="X17" s="132">
        <f>IF(SER_hh_tesh_in!X17=0,0,SER_hh_tesh_in!X17/SER_summary!X$27)</f>
        <v>23.596653670690799</v>
      </c>
      <c r="Y17" s="132">
        <f>IF(SER_hh_tesh_in!Y17=0,0,SER_hh_tesh_in!Y17/SER_summary!Y$27)</f>
        <v>20.809631898913743</v>
      </c>
      <c r="DA17" s="156" t="s">
        <v>862</v>
      </c>
    </row>
    <row r="18" spans="1:105" ht="12" customHeight="1" x14ac:dyDescent="0.25">
      <c r="A18" s="131" t="s">
        <v>72</v>
      </c>
      <c r="B18" s="132"/>
      <c r="C18" s="132">
        <f>IF(SER_hh_tesh_in!C18=0,0,SER_hh_tesh_in!C18/SER_summary!C$27)</f>
        <v>27.732572142025461</v>
      </c>
      <c r="D18" s="132">
        <f>IF(SER_hh_tesh_in!D18=0,0,SER_hh_tesh_in!D18/SER_summary!D$27)</f>
        <v>24.232343229857214</v>
      </c>
      <c r="E18" s="132">
        <f>IF(SER_hh_tesh_in!E18=0,0,SER_hh_tesh_in!E18/SER_summary!E$27)</f>
        <v>55.901984689997086</v>
      </c>
      <c r="F18" s="132">
        <f>IF(SER_hh_tesh_in!F18=0,0,SER_hh_tesh_in!F18/SER_summary!F$27)</f>
        <v>24.974489782325719</v>
      </c>
      <c r="G18" s="132">
        <f>IF(SER_hh_tesh_in!G18=0,0,SER_hh_tesh_in!G18/SER_summary!G$27)</f>
        <v>24.82089887715594</v>
      </c>
      <c r="H18" s="132">
        <f>IF(SER_hh_tesh_in!H18=0,0,SER_hh_tesh_in!H18/SER_summary!H$27)</f>
        <v>28.93502230453046</v>
      </c>
      <c r="I18" s="132">
        <f>IF(SER_hh_tesh_in!I18=0,0,SER_hh_tesh_in!I18/SER_summary!I$27)</f>
        <v>26.364328784672757</v>
      </c>
      <c r="J18" s="132">
        <f>IF(SER_hh_tesh_in!J18=0,0,SER_hh_tesh_in!J18/SER_summary!J$27)</f>
        <v>30.588051252499323</v>
      </c>
      <c r="K18" s="132">
        <f>IF(SER_hh_tesh_in!K18=0,0,SER_hh_tesh_in!K18/SER_summary!K$27)</f>
        <v>30.823415067600095</v>
      </c>
      <c r="L18" s="132">
        <f>IF(SER_hh_tesh_in!L18=0,0,SER_hh_tesh_in!L18/SER_summary!L$27)</f>
        <v>24.626923237829278</v>
      </c>
      <c r="M18" s="132">
        <f>IF(SER_hh_tesh_in!M18=0,0,SER_hh_tesh_in!M18/SER_summary!M$27)</f>
        <v>26.203824081640697</v>
      </c>
      <c r="N18" s="132">
        <f>IF(SER_hh_tesh_in!N18=0,0,SER_hh_tesh_in!N18/SER_summary!N$27)</f>
        <v>40.515913101027081</v>
      </c>
      <c r="O18" s="132">
        <f>IF(SER_hh_tesh_in!O18=0,0,SER_hh_tesh_in!O18/SER_summary!O$27)</f>
        <v>23.509416355970888</v>
      </c>
      <c r="P18" s="132">
        <f>IF(SER_hh_tesh_in!P18=0,0,SER_hh_tesh_in!P18/SER_summary!P$27)</f>
        <v>19.857206847993112</v>
      </c>
      <c r="Q18" s="132">
        <f>IF(SER_hh_tesh_in!Q18=0,0,SER_hh_tesh_in!Q18/SER_summary!Q$27)</f>
        <v>34.434664304704995</v>
      </c>
      <c r="R18" s="132">
        <f>IF(SER_hh_tesh_in!R18=0,0,SER_hh_tesh_in!R18/SER_summary!R$27)</f>
        <v>21.279374744900363</v>
      </c>
      <c r="S18" s="132">
        <f>IF(SER_hh_tesh_in!S18=0,0,SER_hh_tesh_in!S18/SER_summary!S$27)</f>
        <v>31.344693470651467</v>
      </c>
      <c r="T18" s="132">
        <f>IF(SER_hh_tesh_in!T18=0,0,SER_hh_tesh_in!T18/SER_summary!T$27)</f>
        <v>22.920392510391356</v>
      </c>
      <c r="U18" s="132">
        <f>IF(SER_hh_tesh_in!U18=0,0,SER_hh_tesh_in!U18/SER_summary!U$27)</f>
        <v>28.984316238667095</v>
      </c>
      <c r="V18" s="132">
        <f>IF(SER_hh_tesh_in!V18=0,0,SER_hh_tesh_in!V18/SER_summary!V$27)</f>
        <v>19.772468847195466</v>
      </c>
      <c r="W18" s="132">
        <f>IF(SER_hh_tesh_in!W18=0,0,SER_hh_tesh_in!W18/SER_summary!W$27)</f>
        <v>21.436877913944002</v>
      </c>
      <c r="X18" s="132">
        <f>IF(SER_hh_tesh_in!X18=0,0,SER_hh_tesh_in!X18/SER_summary!X$27)</f>
        <v>23.75749018987386</v>
      </c>
      <c r="Y18" s="132">
        <f>IF(SER_hh_tesh_in!Y18=0,0,SER_hh_tesh_in!Y18/SER_summary!Y$27)</f>
        <v>19.166785888741352</v>
      </c>
      <c r="DA18" s="156" t="s">
        <v>863</v>
      </c>
    </row>
    <row r="19" spans="1:105" ht="12.95" customHeight="1" x14ac:dyDescent="0.25">
      <c r="A19" s="129" t="s">
        <v>35</v>
      </c>
      <c r="B19" s="130"/>
      <c r="C19" s="130">
        <f>IF(SER_hh_tesh_in!C19=0,0,SER_hh_tesh_in!C19/SER_summary!C$27)</f>
        <v>20.83576429799399</v>
      </c>
      <c r="D19" s="130">
        <f>IF(SER_hh_tesh_in!D19=0,0,SER_hh_tesh_in!D19/SER_summary!D$27)</f>
        <v>21.127044807113219</v>
      </c>
      <c r="E19" s="130">
        <f>IF(SER_hh_tesh_in!E19=0,0,SER_hh_tesh_in!E19/SER_summary!E$27)</f>
        <v>20.803713624092712</v>
      </c>
      <c r="F19" s="130">
        <f>IF(SER_hh_tesh_in!F19=0,0,SER_hh_tesh_in!F19/SER_summary!F$27)</f>
        <v>21.806872631347066</v>
      </c>
      <c r="G19" s="130">
        <f>IF(SER_hh_tesh_in!G19=0,0,SER_hh_tesh_in!G19/SER_summary!G$27)</f>
        <v>20.934742167988674</v>
      </c>
      <c r="H19" s="130">
        <f>IF(SER_hh_tesh_in!H19=0,0,SER_hh_tesh_in!H19/SER_summary!H$27)</f>
        <v>20.785241367794175</v>
      </c>
      <c r="I19" s="130">
        <f>IF(SER_hh_tesh_in!I19=0,0,SER_hh_tesh_in!I19/SER_summary!I$27)</f>
        <v>21.244704108381089</v>
      </c>
      <c r="J19" s="130">
        <f>IF(SER_hh_tesh_in!J19=0,0,SER_hh_tesh_in!J19/SER_summary!J$27)</f>
        <v>21.123845213293798</v>
      </c>
      <c r="K19" s="130">
        <f>IF(SER_hh_tesh_in!K19=0,0,SER_hh_tesh_in!K19/SER_summary!K$27)</f>
        <v>21.030609746439843</v>
      </c>
      <c r="L19" s="130">
        <f>IF(SER_hh_tesh_in!L19=0,0,SER_hh_tesh_in!L19/SER_summary!L$27)</f>
        <v>21.048333659570286</v>
      </c>
      <c r="M19" s="130">
        <f>IF(SER_hh_tesh_in!M19=0,0,SER_hh_tesh_in!M19/SER_summary!M$27)</f>
        <v>21.146047287857101</v>
      </c>
      <c r="N19" s="130">
        <f>IF(SER_hh_tesh_in!N19=0,0,SER_hh_tesh_in!N19/SER_summary!N$27)</f>
        <v>20.88979940504926</v>
      </c>
      <c r="O19" s="130">
        <f>IF(SER_hh_tesh_in!O19=0,0,SER_hh_tesh_in!O19/SER_summary!O$27)</f>
        <v>21.617202664517741</v>
      </c>
      <c r="P19" s="130">
        <f>IF(SER_hh_tesh_in!P19=0,0,SER_hh_tesh_in!P19/SER_summary!P$27)</f>
        <v>21.856024465839383</v>
      </c>
      <c r="Q19" s="130">
        <f>IF(SER_hh_tesh_in!Q19=0,0,SER_hh_tesh_in!Q19/SER_summary!Q$27)</f>
        <v>21.562451520850214</v>
      </c>
      <c r="R19" s="130">
        <f>IF(SER_hh_tesh_in!R19=0,0,SER_hh_tesh_in!R19/SER_summary!R$27)</f>
        <v>21.920397814328417</v>
      </c>
      <c r="S19" s="130">
        <f>IF(SER_hh_tesh_in!S19=0,0,SER_hh_tesh_in!S19/SER_summary!S$27)</f>
        <v>21.700126654947343</v>
      </c>
      <c r="T19" s="130">
        <f>IF(SER_hh_tesh_in!T19=0,0,SER_hh_tesh_in!T19/SER_summary!T$27)</f>
        <v>21.41314889845837</v>
      </c>
      <c r="U19" s="130">
        <f>IF(SER_hh_tesh_in!U19=0,0,SER_hh_tesh_in!U19/SER_summary!U$27)</f>
        <v>20.398772655491697</v>
      </c>
      <c r="V19" s="130">
        <f>IF(SER_hh_tesh_in!V19=0,0,SER_hh_tesh_in!V19/SER_summary!V$27)</f>
        <v>18.196490679853618</v>
      </c>
      <c r="W19" s="130">
        <f>IF(SER_hh_tesh_in!W19=0,0,SER_hh_tesh_in!W19/SER_summary!W$27)</f>
        <v>20.704755920823889</v>
      </c>
      <c r="X19" s="130">
        <f>IF(SER_hh_tesh_in!X19=0,0,SER_hh_tesh_in!X19/SER_summary!X$27)</f>
        <v>20.892943720016294</v>
      </c>
      <c r="Y19" s="130">
        <f>IF(SER_hh_tesh_in!Y19=0,0,SER_hh_tesh_in!Y19/SER_summary!Y$27)</f>
        <v>21.652355200184129</v>
      </c>
      <c r="DA19" s="155" t="s">
        <v>864</v>
      </c>
    </row>
    <row r="20" spans="1:105" ht="12" customHeight="1" x14ac:dyDescent="0.25">
      <c r="A20" s="131" t="s">
        <v>29</v>
      </c>
      <c r="B20" s="132"/>
      <c r="C20" s="132">
        <f>IF(SER_hh_tesh_in!C20=0,0,SER_hh_tesh_in!C20/SER_summary!C$27)</f>
        <v>0</v>
      </c>
      <c r="D20" s="132">
        <f>IF(SER_hh_tesh_in!D20=0,0,SER_hh_tesh_in!D20/SER_summary!D$27)</f>
        <v>0</v>
      </c>
      <c r="E20" s="132">
        <f>IF(SER_hh_tesh_in!E20=0,0,SER_hh_tesh_in!E20/SER_summary!E$27)</f>
        <v>0</v>
      </c>
      <c r="F20" s="132">
        <f>IF(SER_hh_tesh_in!F20=0,0,SER_hh_tesh_in!F20/SER_summary!F$27)</f>
        <v>0</v>
      </c>
      <c r="G20" s="132">
        <f>IF(SER_hh_tesh_in!G20=0,0,SER_hh_tesh_in!G20/SER_summary!G$27)</f>
        <v>0</v>
      </c>
      <c r="H20" s="132">
        <f>IF(SER_hh_tesh_in!H20=0,0,SER_hh_tesh_in!H20/SER_summary!H$27)</f>
        <v>0</v>
      </c>
      <c r="I20" s="132">
        <f>IF(SER_hh_tesh_in!I20=0,0,SER_hh_tesh_in!I20/SER_summary!I$27)</f>
        <v>0</v>
      </c>
      <c r="J20" s="132">
        <f>IF(SER_hh_tesh_in!J20=0,0,SER_hh_tesh_in!J20/SER_summary!J$27)</f>
        <v>0</v>
      </c>
      <c r="K20" s="132">
        <f>IF(SER_hh_tesh_in!K20=0,0,SER_hh_tesh_in!K20/SER_summary!K$27)</f>
        <v>0</v>
      </c>
      <c r="L20" s="132">
        <f>IF(SER_hh_tesh_in!L20=0,0,SER_hh_tesh_in!L20/SER_summary!L$27)</f>
        <v>0</v>
      </c>
      <c r="M20" s="132">
        <f>IF(SER_hh_tesh_in!M20=0,0,SER_hh_tesh_in!M20/SER_summary!M$27)</f>
        <v>0</v>
      </c>
      <c r="N20" s="132">
        <f>IF(SER_hh_tesh_in!N20=0,0,SER_hh_tesh_in!N20/SER_summary!N$27)</f>
        <v>0</v>
      </c>
      <c r="O20" s="132">
        <f>IF(SER_hh_tesh_in!O20=0,0,SER_hh_tesh_in!O20/SER_summary!O$27)</f>
        <v>0</v>
      </c>
      <c r="P20" s="132">
        <f>IF(SER_hh_tesh_in!P20=0,0,SER_hh_tesh_in!P20/SER_summary!P$27)</f>
        <v>0</v>
      </c>
      <c r="Q20" s="132">
        <f>IF(SER_hh_tesh_in!Q20=0,0,SER_hh_tesh_in!Q20/SER_summary!Q$27)</f>
        <v>0</v>
      </c>
      <c r="R20" s="132">
        <f>IF(SER_hh_tesh_in!R20=0,0,SER_hh_tesh_in!R20/SER_summary!R$27)</f>
        <v>0</v>
      </c>
      <c r="S20" s="132">
        <f>IF(SER_hh_tesh_in!S20=0,0,SER_hh_tesh_in!S20/SER_summary!S$27)</f>
        <v>0</v>
      </c>
      <c r="T20" s="132">
        <f>IF(SER_hh_tesh_in!T20=0,0,SER_hh_tesh_in!T20/SER_summary!T$27)</f>
        <v>0</v>
      </c>
      <c r="U20" s="132">
        <f>IF(SER_hh_tesh_in!U20=0,0,SER_hh_tesh_in!U20/SER_summary!U$27)</f>
        <v>0</v>
      </c>
      <c r="V20" s="132">
        <f>IF(SER_hh_tesh_in!V20=0,0,SER_hh_tesh_in!V20/SER_summary!V$27)</f>
        <v>0</v>
      </c>
      <c r="W20" s="132">
        <f>IF(SER_hh_tesh_in!W20=0,0,SER_hh_tesh_in!W20/SER_summary!W$27)</f>
        <v>0</v>
      </c>
      <c r="X20" s="132">
        <f>IF(SER_hh_tesh_in!X20=0,0,SER_hh_tesh_in!X20/SER_summary!X$27)</f>
        <v>0</v>
      </c>
      <c r="Y20" s="132">
        <f>IF(SER_hh_tesh_in!Y20=0,0,SER_hh_tesh_in!Y20/SER_summary!Y$27)</f>
        <v>0</v>
      </c>
      <c r="DA20" s="156" t="s">
        <v>865</v>
      </c>
    </row>
    <row r="21" spans="1:105" s="2" customFormat="1" ht="12" customHeight="1" x14ac:dyDescent="0.25">
      <c r="A21" s="131" t="s">
        <v>52</v>
      </c>
      <c r="B21" s="132"/>
      <c r="C21" s="132">
        <f>IF(SER_hh_tesh_in!C21=0,0,SER_hh_tesh_in!C21/SER_summary!C$27)</f>
        <v>21.028647422391504</v>
      </c>
      <c r="D21" s="132">
        <f>IF(SER_hh_tesh_in!D21=0,0,SER_hh_tesh_in!D21/SER_summary!D$27)</f>
        <v>20.708934524343103</v>
      </c>
      <c r="E21" s="132">
        <f>IF(SER_hh_tesh_in!E21=0,0,SER_hh_tesh_in!E21/SER_summary!E$27)</f>
        <v>20.218334936276595</v>
      </c>
      <c r="F21" s="132">
        <f>IF(SER_hh_tesh_in!F21=0,0,SER_hh_tesh_in!F21/SER_summary!F$27)</f>
        <v>20.512492934294297</v>
      </c>
      <c r="G21" s="132">
        <f>IF(SER_hh_tesh_in!G21=0,0,SER_hh_tesh_in!G21/SER_summary!G$27)</f>
        <v>20.198781032403449</v>
      </c>
      <c r="H21" s="132">
        <f>IF(SER_hh_tesh_in!H21=0,0,SER_hh_tesh_in!H21/SER_summary!H$27)</f>
        <v>21.143953829372816</v>
      </c>
      <c r="I21" s="132">
        <f>IF(SER_hh_tesh_in!I21=0,0,SER_hh_tesh_in!I21/SER_summary!I$27)</f>
        <v>19.808738593333924</v>
      </c>
      <c r="J21" s="132">
        <f>IF(SER_hh_tesh_in!J21=0,0,SER_hh_tesh_in!J21/SER_summary!J$27)</f>
        <v>19.235711250739552</v>
      </c>
      <c r="K21" s="132">
        <f>IF(SER_hh_tesh_in!K21=0,0,SER_hh_tesh_in!K21/SER_summary!K$27)</f>
        <v>18.247775396320694</v>
      </c>
      <c r="L21" s="132">
        <f>IF(SER_hh_tesh_in!L21=0,0,SER_hh_tesh_in!L21/SER_summary!L$27)</f>
        <v>17.660619530931427</v>
      </c>
      <c r="M21" s="132">
        <f>IF(SER_hh_tesh_in!M21=0,0,SER_hh_tesh_in!M21/SER_summary!M$27)</f>
        <v>21.860063616796623</v>
      </c>
      <c r="N21" s="132">
        <f>IF(SER_hh_tesh_in!N21=0,0,SER_hh_tesh_in!N21/SER_summary!N$27)</f>
        <v>20.353131137233063</v>
      </c>
      <c r="O21" s="132">
        <f>IF(SER_hh_tesh_in!O21=0,0,SER_hh_tesh_in!O21/SER_summary!O$27)</f>
        <v>21.87985539492999</v>
      </c>
      <c r="P21" s="132">
        <f>IF(SER_hh_tesh_in!P21=0,0,SER_hh_tesh_in!P21/SER_summary!P$27)</f>
        <v>0</v>
      </c>
      <c r="Q21" s="132">
        <f>IF(SER_hh_tesh_in!Q21=0,0,SER_hh_tesh_in!Q21/SER_summary!Q$27)</f>
        <v>0</v>
      </c>
      <c r="R21" s="132">
        <f>IF(SER_hh_tesh_in!R21=0,0,SER_hh_tesh_in!R21/SER_summary!R$27)</f>
        <v>22.169273331816363</v>
      </c>
      <c r="S21" s="132">
        <f>IF(SER_hh_tesh_in!S21=0,0,SER_hh_tesh_in!S21/SER_summary!S$27)</f>
        <v>22.105140779368924</v>
      </c>
      <c r="T21" s="132">
        <f>IF(SER_hh_tesh_in!T21=0,0,SER_hh_tesh_in!T21/SER_summary!T$27)</f>
        <v>20.554635166894258</v>
      </c>
      <c r="U21" s="132">
        <f>IF(SER_hh_tesh_in!U21=0,0,SER_hh_tesh_in!U21/SER_summary!U$27)</f>
        <v>18.684619735983762</v>
      </c>
      <c r="V21" s="132">
        <f>IF(SER_hh_tesh_in!V21=0,0,SER_hh_tesh_in!V21/SER_summary!V$27)</f>
        <v>18.389416754161129</v>
      </c>
      <c r="W21" s="132">
        <f>IF(SER_hh_tesh_in!W21=0,0,SER_hh_tesh_in!W21/SER_summary!W$27)</f>
        <v>20.277132767926833</v>
      </c>
      <c r="X21" s="132">
        <f>IF(SER_hh_tesh_in!X21=0,0,SER_hh_tesh_in!X21/SER_summary!X$27)</f>
        <v>20.65982969988346</v>
      </c>
      <c r="Y21" s="132">
        <f>IF(SER_hh_tesh_in!Y21=0,0,SER_hh_tesh_in!Y21/SER_summary!Y$27)</f>
        <v>20.688577072554207</v>
      </c>
      <c r="DA21" s="156" t="s">
        <v>866</v>
      </c>
    </row>
    <row r="22" spans="1:105" ht="12" customHeight="1" x14ac:dyDescent="0.25">
      <c r="A22" s="131" t="s">
        <v>161</v>
      </c>
      <c r="B22" s="132"/>
      <c r="C22" s="132">
        <f>IF(SER_hh_tesh_in!C22=0,0,SER_hh_tesh_in!C22/SER_summary!C$27)</f>
        <v>21.046715609824599</v>
      </c>
      <c r="D22" s="132">
        <f>IF(SER_hh_tesh_in!D22=0,0,SER_hh_tesh_in!D22/SER_summary!D$27)</f>
        <v>0</v>
      </c>
      <c r="E22" s="132">
        <f>IF(SER_hh_tesh_in!E22=0,0,SER_hh_tesh_in!E22/SER_summary!E$27)</f>
        <v>0</v>
      </c>
      <c r="F22" s="132">
        <f>IF(SER_hh_tesh_in!F22=0,0,SER_hh_tesh_in!F22/SER_summary!F$27)</f>
        <v>0</v>
      </c>
      <c r="G22" s="132">
        <f>IF(SER_hh_tesh_in!G22=0,0,SER_hh_tesh_in!G22/SER_summary!G$27)</f>
        <v>17.646663474384983</v>
      </c>
      <c r="H22" s="132">
        <f>IF(SER_hh_tesh_in!H22=0,0,SER_hh_tesh_in!H22/SER_summary!H$27)</f>
        <v>20.826763521823601</v>
      </c>
      <c r="I22" s="132">
        <f>IF(SER_hh_tesh_in!I22=0,0,SER_hh_tesh_in!I22/SER_summary!I$27)</f>
        <v>20.595757777173844</v>
      </c>
      <c r="J22" s="132">
        <f>IF(SER_hh_tesh_in!J22=0,0,SER_hh_tesh_in!J22/SER_summary!J$27)</f>
        <v>20.248177315913011</v>
      </c>
      <c r="K22" s="132">
        <f>IF(SER_hh_tesh_in!K22=0,0,SER_hh_tesh_in!K22/SER_summary!K$27)</f>
        <v>19.124674409368392</v>
      </c>
      <c r="L22" s="132">
        <f>IF(SER_hh_tesh_in!L22=0,0,SER_hh_tesh_in!L22/SER_summary!L$27)</f>
        <v>17.951802637875257</v>
      </c>
      <c r="M22" s="132">
        <f>IF(SER_hh_tesh_in!M22=0,0,SER_hh_tesh_in!M22/SER_summary!M$27)</f>
        <v>20.770875384365286</v>
      </c>
      <c r="N22" s="132">
        <f>IF(SER_hh_tesh_in!N22=0,0,SER_hh_tesh_in!N22/SER_summary!N$27)</f>
        <v>20.916048757032993</v>
      </c>
      <c r="O22" s="132">
        <f>IF(SER_hh_tesh_in!O22=0,0,SER_hh_tesh_in!O22/SER_summary!O$27)</f>
        <v>21.877393642603373</v>
      </c>
      <c r="P22" s="132">
        <f>IF(SER_hh_tesh_in!P22=0,0,SER_hh_tesh_in!P22/SER_summary!P$27)</f>
        <v>0</v>
      </c>
      <c r="Q22" s="132">
        <f>IF(SER_hh_tesh_in!Q22=0,0,SER_hh_tesh_in!Q22/SER_summary!Q$27)</f>
        <v>0</v>
      </c>
      <c r="R22" s="132">
        <f>IF(SER_hh_tesh_in!R22=0,0,SER_hh_tesh_in!R22/SER_summary!R$27)</f>
        <v>0</v>
      </c>
      <c r="S22" s="132">
        <f>IF(SER_hh_tesh_in!S22=0,0,SER_hh_tesh_in!S22/SER_summary!S$27)</f>
        <v>0</v>
      </c>
      <c r="T22" s="132">
        <f>IF(SER_hh_tesh_in!T22=0,0,SER_hh_tesh_in!T22/SER_summary!T$27)</f>
        <v>0</v>
      </c>
      <c r="U22" s="132">
        <f>IF(SER_hh_tesh_in!U22=0,0,SER_hh_tesh_in!U22/SER_summary!U$27)</f>
        <v>0</v>
      </c>
      <c r="V22" s="132">
        <f>IF(SER_hh_tesh_in!V22=0,0,SER_hh_tesh_in!V22/SER_summary!V$27)</f>
        <v>0</v>
      </c>
      <c r="W22" s="132">
        <f>IF(SER_hh_tesh_in!W22=0,0,SER_hh_tesh_in!W22/SER_summary!W$27)</f>
        <v>19.522118522032198</v>
      </c>
      <c r="X22" s="132">
        <f>IF(SER_hh_tesh_in!X22=0,0,SER_hh_tesh_in!X22/SER_summary!X$27)</f>
        <v>20.9456914891304</v>
      </c>
      <c r="Y22" s="132">
        <f>IF(SER_hh_tesh_in!Y22=0,0,SER_hh_tesh_in!Y22/SER_summary!Y$27)</f>
        <v>17.302882449613101</v>
      </c>
      <c r="DA22" s="156" t="s">
        <v>867</v>
      </c>
    </row>
    <row r="23" spans="1:105" ht="12" customHeight="1" x14ac:dyDescent="0.25">
      <c r="A23" s="131" t="s">
        <v>149</v>
      </c>
      <c r="B23" s="132"/>
      <c r="C23" s="132">
        <f>IF(SER_hh_tesh_in!C23=0,0,SER_hh_tesh_in!C23/SER_summary!C$27)</f>
        <v>20.776845923331408</v>
      </c>
      <c r="D23" s="132">
        <f>IF(SER_hh_tesh_in!D23=0,0,SER_hh_tesh_in!D23/SER_summary!D$27)</f>
        <v>20.923128863206067</v>
      </c>
      <c r="E23" s="132">
        <f>IF(SER_hh_tesh_in!E23=0,0,SER_hh_tesh_in!E23/SER_summary!E$27)</f>
        <v>20.78804464228427</v>
      </c>
      <c r="F23" s="132">
        <f>IF(SER_hh_tesh_in!F23=0,0,SER_hh_tesh_in!F23/SER_summary!F$27)</f>
        <v>20.660332409119921</v>
      </c>
      <c r="G23" s="132">
        <f>IF(SER_hh_tesh_in!G23=0,0,SER_hh_tesh_in!G23/SER_summary!G$27)</f>
        <v>20.306436939370112</v>
      </c>
      <c r="H23" s="132">
        <f>IF(SER_hh_tesh_in!H23=0,0,SER_hh_tesh_in!H23/SER_summary!H$27)</f>
        <v>20.694794500259366</v>
      </c>
      <c r="I23" s="132">
        <f>IF(SER_hh_tesh_in!I23=0,0,SER_hh_tesh_in!I23/SER_summary!I$27)</f>
        <v>20.415978588067453</v>
      </c>
      <c r="J23" s="132">
        <f>IF(SER_hh_tesh_in!J23=0,0,SER_hh_tesh_in!J23/SER_summary!J$27)</f>
        <v>19.763134456269533</v>
      </c>
      <c r="K23" s="132">
        <f>IF(SER_hh_tesh_in!K23=0,0,SER_hh_tesh_in!K23/SER_summary!K$27)</f>
        <v>18.715888917836104</v>
      </c>
      <c r="L23" s="132">
        <f>IF(SER_hh_tesh_in!L23=0,0,SER_hh_tesh_in!L23/SER_summary!L$27)</f>
        <v>18.654734923633157</v>
      </c>
      <c r="M23" s="132">
        <f>IF(SER_hh_tesh_in!M23=0,0,SER_hh_tesh_in!M23/SER_summary!M$27)</f>
        <v>21.037213171021346</v>
      </c>
      <c r="N23" s="132">
        <f>IF(SER_hh_tesh_in!N23=0,0,SER_hh_tesh_in!N23/SER_summary!N$27)</f>
        <v>21.178680995119105</v>
      </c>
      <c r="O23" s="132">
        <f>IF(SER_hh_tesh_in!O23=0,0,SER_hh_tesh_in!O23/SER_summary!O$27)</f>
        <v>21.427786281173422</v>
      </c>
      <c r="P23" s="132">
        <f>IF(SER_hh_tesh_in!P23=0,0,SER_hh_tesh_in!P23/SER_summary!P$27)</f>
        <v>21.499279508770211</v>
      </c>
      <c r="Q23" s="132">
        <f>IF(SER_hh_tesh_in!Q23=0,0,SER_hh_tesh_in!Q23/SER_summary!Q$27)</f>
        <v>21.49589500424721</v>
      </c>
      <c r="R23" s="132">
        <f>IF(SER_hh_tesh_in!R23=0,0,SER_hh_tesh_in!R23/SER_summary!R$27)</f>
        <v>21.262037990032635</v>
      </c>
      <c r="S23" s="132">
        <f>IF(SER_hh_tesh_in!S23=0,0,SER_hh_tesh_in!S23/SER_summary!S$27)</f>
        <v>19.69143202980656</v>
      </c>
      <c r="T23" s="132">
        <f>IF(SER_hh_tesh_in!T23=0,0,SER_hh_tesh_in!T23/SER_summary!T$27)</f>
        <v>18.879368767790794</v>
      </c>
      <c r="U23" s="132">
        <f>IF(SER_hh_tesh_in!U23=0,0,SER_hh_tesh_in!U23/SER_summary!U$27)</f>
        <v>18.853165364583848</v>
      </c>
      <c r="V23" s="132">
        <f>IF(SER_hh_tesh_in!V23=0,0,SER_hh_tesh_in!V23/SER_summary!V$27)</f>
        <v>18.523615047839819</v>
      </c>
      <c r="W23" s="132">
        <f>IF(SER_hh_tesh_in!W23=0,0,SER_hh_tesh_in!W23/SER_summary!W$27)</f>
        <v>20.990422713767984</v>
      </c>
      <c r="X23" s="132">
        <f>IF(SER_hh_tesh_in!X23=0,0,SER_hh_tesh_in!X23/SER_summary!X$27)</f>
        <v>20.861269371571307</v>
      </c>
      <c r="Y23" s="132">
        <f>IF(SER_hh_tesh_in!Y23=0,0,SER_hh_tesh_in!Y23/SER_summary!Y$27)</f>
        <v>20.5509019282342</v>
      </c>
      <c r="DA23" s="156" t="s">
        <v>868</v>
      </c>
    </row>
    <row r="24" spans="1:105" ht="12" customHeight="1" x14ac:dyDescent="0.25">
      <c r="A24" s="131" t="s">
        <v>128</v>
      </c>
      <c r="B24" s="132"/>
      <c r="C24" s="132">
        <f>IF(SER_hh_tesh_in!C24=0,0,SER_hh_tesh_in!C24/SER_summary!C$27)</f>
        <v>0</v>
      </c>
      <c r="D24" s="132">
        <f>IF(SER_hh_tesh_in!D24=0,0,SER_hh_tesh_in!D24/SER_summary!D$27)</f>
        <v>0</v>
      </c>
      <c r="E24" s="132">
        <f>IF(SER_hh_tesh_in!E24=0,0,SER_hh_tesh_in!E24/SER_summary!E$27)</f>
        <v>0</v>
      </c>
      <c r="F24" s="132">
        <f>IF(SER_hh_tesh_in!F24=0,0,SER_hh_tesh_in!F24/SER_summary!F$27)</f>
        <v>0</v>
      </c>
      <c r="G24" s="132">
        <f>IF(SER_hh_tesh_in!G24=0,0,SER_hh_tesh_in!G24/SER_summary!G$27)</f>
        <v>0</v>
      </c>
      <c r="H24" s="132">
        <f>IF(SER_hh_tesh_in!H24=0,0,SER_hh_tesh_in!H24/SER_summary!H$27)</f>
        <v>0</v>
      </c>
      <c r="I24" s="132">
        <f>IF(SER_hh_tesh_in!I24=0,0,SER_hh_tesh_in!I24/SER_summary!I$27)</f>
        <v>0</v>
      </c>
      <c r="J24" s="132">
        <f>IF(SER_hh_tesh_in!J24=0,0,SER_hh_tesh_in!J24/SER_summary!J$27)</f>
        <v>0</v>
      </c>
      <c r="K24" s="132">
        <f>IF(SER_hh_tesh_in!K24=0,0,SER_hh_tesh_in!K24/SER_summary!K$27)</f>
        <v>0</v>
      </c>
      <c r="L24" s="132">
        <f>IF(SER_hh_tesh_in!L24=0,0,SER_hh_tesh_in!L24/SER_summary!L$27)</f>
        <v>0</v>
      </c>
      <c r="M24" s="132">
        <f>IF(SER_hh_tesh_in!M24=0,0,SER_hh_tesh_in!M24/SER_summary!M$27)</f>
        <v>0</v>
      </c>
      <c r="N24" s="132">
        <f>IF(SER_hh_tesh_in!N24=0,0,SER_hh_tesh_in!N24/SER_summary!N$27)</f>
        <v>0</v>
      </c>
      <c r="O24" s="132">
        <f>IF(SER_hh_tesh_in!O24=0,0,SER_hh_tesh_in!O24/SER_summary!O$27)</f>
        <v>0</v>
      </c>
      <c r="P24" s="132">
        <f>IF(SER_hh_tesh_in!P24=0,0,SER_hh_tesh_in!P24/SER_summary!P$27)</f>
        <v>0</v>
      </c>
      <c r="Q24" s="132">
        <f>IF(SER_hh_tesh_in!Q24=0,0,SER_hh_tesh_in!Q24/SER_summary!Q$27)</f>
        <v>0</v>
      </c>
      <c r="R24" s="132">
        <f>IF(SER_hh_tesh_in!R24=0,0,SER_hh_tesh_in!R24/SER_summary!R$27)</f>
        <v>0</v>
      </c>
      <c r="S24" s="132">
        <f>IF(SER_hh_tesh_in!S24=0,0,SER_hh_tesh_in!S24/SER_summary!S$27)</f>
        <v>0</v>
      </c>
      <c r="T24" s="132">
        <f>IF(SER_hh_tesh_in!T24=0,0,SER_hh_tesh_in!T24/SER_summary!T$27)</f>
        <v>0</v>
      </c>
      <c r="U24" s="132">
        <f>IF(SER_hh_tesh_in!U24=0,0,SER_hh_tesh_in!U24/SER_summary!U$27)</f>
        <v>0</v>
      </c>
      <c r="V24" s="132">
        <f>IF(SER_hh_tesh_in!V24=0,0,SER_hh_tesh_in!V24/SER_summary!V$27)</f>
        <v>0</v>
      </c>
      <c r="W24" s="132">
        <f>IF(SER_hh_tesh_in!W24=0,0,SER_hh_tesh_in!W24/SER_summary!W$27)</f>
        <v>0</v>
      </c>
      <c r="X24" s="132">
        <f>IF(SER_hh_tesh_in!X24=0,0,SER_hh_tesh_in!X24/SER_summary!X$27)</f>
        <v>0</v>
      </c>
      <c r="Y24" s="132">
        <f>IF(SER_hh_tesh_in!Y24=0,0,SER_hh_tesh_in!Y24/SER_summary!Y$27)</f>
        <v>0</v>
      </c>
      <c r="DA24" s="156" t="s">
        <v>869</v>
      </c>
    </row>
    <row r="25" spans="1:105" ht="12" customHeight="1" x14ac:dyDescent="0.25">
      <c r="A25" s="131" t="s">
        <v>162</v>
      </c>
      <c r="B25" s="132"/>
      <c r="C25" s="132">
        <f>IF(SER_hh_tesh_in!C25=0,0,SER_hh_tesh_in!C25/SER_summary!C$27)</f>
        <v>0</v>
      </c>
      <c r="D25" s="132">
        <f>IF(SER_hh_tesh_in!D25=0,0,SER_hh_tesh_in!D25/SER_summary!D$27)</f>
        <v>0</v>
      </c>
      <c r="E25" s="132">
        <f>IF(SER_hh_tesh_in!E25=0,0,SER_hh_tesh_in!E25/SER_summary!E$27)</f>
        <v>0</v>
      </c>
      <c r="F25" s="132">
        <f>IF(SER_hh_tesh_in!F25=0,0,SER_hh_tesh_in!F25/SER_summary!F$27)</f>
        <v>29.527013480569703</v>
      </c>
      <c r="G25" s="132">
        <f>IF(SER_hh_tesh_in!G25=0,0,SER_hh_tesh_in!G25/SER_summary!G$27)</f>
        <v>23.176260980766379</v>
      </c>
      <c r="H25" s="132">
        <f>IF(SER_hh_tesh_in!H25=0,0,SER_hh_tesh_in!H25/SER_summary!H$27)</f>
        <v>20.723450610064489</v>
      </c>
      <c r="I25" s="132">
        <f>IF(SER_hh_tesh_in!I25=0,0,SER_hh_tesh_in!I25/SER_summary!I$27)</f>
        <v>19.155257988748819</v>
      </c>
      <c r="J25" s="132">
        <f>IF(SER_hh_tesh_in!J25=0,0,SER_hh_tesh_in!J25/SER_summary!J$27)</f>
        <v>18.215693284359769</v>
      </c>
      <c r="K25" s="132">
        <f>IF(SER_hh_tesh_in!K25=0,0,SER_hh_tesh_in!K25/SER_summary!K$27)</f>
        <v>18.485726328305091</v>
      </c>
      <c r="L25" s="132">
        <f>IF(SER_hh_tesh_in!L25=0,0,SER_hh_tesh_in!L25/SER_summary!L$27)</f>
        <v>18.519996520738857</v>
      </c>
      <c r="M25" s="132">
        <f>IF(SER_hh_tesh_in!M25=0,0,SER_hh_tesh_in!M25/SER_summary!M$27)</f>
        <v>19.959499769016194</v>
      </c>
      <c r="N25" s="132">
        <f>IF(SER_hh_tesh_in!N25=0,0,SER_hh_tesh_in!N25/SER_summary!N$27)</f>
        <v>20.027870148490582</v>
      </c>
      <c r="O25" s="132">
        <f>IF(SER_hh_tesh_in!O25=0,0,SER_hh_tesh_in!O25/SER_summary!O$27)</f>
        <v>21.58423796421862</v>
      </c>
      <c r="P25" s="132">
        <f>IF(SER_hh_tesh_in!P25=0,0,SER_hh_tesh_in!P25/SER_summary!P$27)</f>
        <v>21.792099149100956</v>
      </c>
      <c r="Q25" s="132">
        <f>IF(SER_hh_tesh_in!Q25=0,0,SER_hh_tesh_in!Q25/SER_summary!Q$27)</f>
        <v>21.314245447422117</v>
      </c>
      <c r="R25" s="132">
        <f>IF(SER_hh_tesh_in!R25=0,0,SER_hh_tesh_in!R25/SER_summary!R$27)</f>
        <v>20.114437347981799</v>
      </c>
      <c r="S25" s="132">
        <f>IF(SER_hh_tesh_in!S25=0,0,SER_hh_tesh_in!S25/SER_summary!S$27)</f>
        <v>19.088271736119925</v>
      </c>
      <c r="T25" s="132">
        <f>IF(SER_hh_tesh_in!T25=0,0,SER_hh_tesh_in!T25/SER_summary!T$27)</f>
        <v>18.760982603737162</v>
      </c>
      <c r="U25" s="132">
        <f>IF(SER_hh_tesh_in!U25=0,0,SER_hh_tesh_in!U25/SER_summary!U$27)</f>
        <v>17.31227239817294</v>
      </c>
      <c r="V25" s="132">
        <f>IF(SER_hh_tesh_in!V25=0,0,SER_hh_tesh_in!V25/SER_summary!V$27)</f>
        <v>0</v>
      </c>
      <c r="W25" s="132">
        <f>IF(SER_hh_tesh_in!W25=0,0,SER_hh_tesh_in!W25/SER_summary!W$27)</f>
        <v>0</v>
      </c>
      <c r="X25" s="132">
        <f>IF(SER_hh_tesh_in!X25=0,0,SER_hh_tesh_in!X25/SER_summary!X$27)</f>
        <v>21.317374300627719</v>
      </c>
      <c r="Y25" s="132">
        <f>IF(SER_hh_tesh_in!Y25=0,0,SER_hh_tesh_in!Y25/SER_summary!Y$27)</f>
        <v>0</v>
      </c>
      <c r="DA25" s="156" t="s">
        <v>870</v>
      </c>
    </row>
    <row r="26" spans="1:105" ht="12" customHeight="1" x14ac:dyDescent="0.25">
      <c r="A26" s="131" t="s">
        <v>24</v>
      </c>
      <c r="B26" s="65"/>
      <c r="C26" s="65">
        <f>IF(SER_hh_tesh_in!C26=0,0,SER_hh_tesh_in!C26/SER_summary!C$27)</f>
        <v>20.300447593424543</v>
      </c>
      <c r="D26" s="65">
        <f>IF(SER_hh_tesh_in!D26=0,0,SER_hh_tesh_in!D26/SER_summary!D$27)</f>
        <v>20.266569905940951</v>
      </c>
      <c r="E26" s="65">
        <f>IF(SER_hh_tesh_in!E26=0,0,SER_hh_tesh_in!E26/SER_summary!E$27)</f>
        <v>19.524330759397717</v>
      </c>
      <c r="F26" s="65">
        <f>IF(SER_hh_tesh_in!F26=0,0,SER_hh_tesh_in!F26/SER_summary!F$27)</f>
        <v>18.80294021551693</v>
      </c>
      <c r="G26" s="65">
        <f>IF(SER_hh_tesh_in!G26=0,0,SER_hh_tesh_in!G26/SER_summary!G$27)</f>
        <v>12.670470178413261</v>
      </c>
      <c r="H26" s="65">
        <f>IF(SER_hh_tesh_in!H26=0,0,SER_hh_tesh_in!H26/SER_summary!H$27)</f>
        <v>18.462770001263141</v>
      </c>
      <c r="I26" s="65">
        <f>IF(SER_hh_tesh_in!I26=0,0,SER_hh_tesh_in!I26/SER_summary!I$27)</f>
        <v>16.252067225145389</v>
      </c>
      <c r="J26" s="65">
        <f>IF(SER_hh_tesh_in!J26=0,0,SER_hh_tesh_in!J26/SER_summary!J$27)</f>
        <v>7.9981023909504207</v>
      </c>
      <c r="K26" s="65">
        <f>IF(SER_hh_tesh_in!K26=0,0,SER_hh_tesh_in!K26/SER_summary!K$27)</f>
        <v>2.9643185784058095</v>
      </c>
      <c r="L26" s="65">
        <f>IF(SER_hh_tesh_in!L26=0,0,SER_hh_tesh_in!L26/SER_summary!L$27)</f>
        <v>2.8822204180633069</v>
      </c>
      <c r="M26" s="65">
        <f>IF(SER_hh_tesh_in!M26=0,0,SER_hh_tesh_in!M26/SER_summary!M$27)</f>
        <v>14.59746839253553</v>
      </c>
      <c r="N26" s="65">
        <f>IF(SER_hh_tesh_in!N26=0,0,SER_hh_tesh_in!N26/SER_summary!N$27)</f>
        <v>11.027350718985906</v>
      </c>
      <c r="O26" s="65">
        <f>IF(SER_hh_tesh_in!O26=0,0,SER_hh_tesh_in!O26/SER_summary!O$27)</f>
        <v>8.8204478433685072</v>
      </c>
      <c r="P26" s="65">
        <f>IF(SER_hh_tesh_in!P26=0,0,SER_hh_tesh_in!P26/SER_summary!P$27)</f>
        <v>11.164661624975246</v>
      </c>
      <c r="Q26" s="65">
        <f>IF(SER_hh_tesh_in!Q26=0,0,SER_hh_tesh_in!Q26/SER_summary!Q$27)</f>
        <v>21.644793589443637</v>
      </c>
      <c r="R26" s="65">
        <f>IF(SER_hh_tesh_in!R26=0,0,SER_hh_tesh_in!R26/SER_summary!R$27)</f>
        <v>7.0663696015828448</v>
      </c>
      <c r="S26" s="65">
        <f>IF(SER_hh_tesh_in!S26=0,0,SER_hh_tesh_in!S26/SER_summary!S$27)</f>
        <v>4.2088029076339506</v>
      </c>
      <c r="T26" s="65">
        <f>IF(SER_hh_tesh_in!T26=0,0,SER_hh_tesh_in!T26/SER_summary!T$27)</f>
        <v>9.2317811216819088</v>
      </c>
      <c r="U26" s="65">
        <f>IF(SER_hh_tesh_in!U26=0,0,SER_hh_tesh_in!U26/SER_summary!U$27)</f>
        <v>3.1302185034044134</v>
      </c>
      <c r="V26" s="65">
        <f>IF(SER_hh_tesh_in!V26=0,0,SER_hh_tesh_in!V26/SER_summary!V$27)</f>
        <v>2.3946842677297733</v>
      </c>
      <c r="W26" s="65">
        <f>IF(SER_hh_tesh_in!W26=0,0,SER_hh_tesh_in!W26/SER_summary!W$27)</f>
        <v>20.719286588786392</v>
      </c>
      <c r="X26" s="65">
        <f>IF(SER_hh_tesh_in!X26=0,0,SER_hh_tesh_in!X26/SER_summary!X$27)</f>
        <v>20.916594298250889</v>
      </c>
      <c r="Y26" s="65">
        <f>IF(SER_hh_tesh_in!Y26=0,0,SER_hh_tesh_in!Y26/SER_summary!Y$27)</f>
        <v>3.4496867735203685</v>
      </c>
      <c r="DA26" s="109" t="s">
        <v>871</v>
      </c>
    </row>
    <row r="27" spans="1:105" ht="12" customHeight="1" x14ac:dyDescent="0.25">
      <c r="A27" s="144" t="s">
        <v>86</v>
      </c>
      <c r="B27" s="147"/>
      <c r="C27" s="145">
        <f>IF(SER_hh_tesh_in!C27=0,0,SER_hh_tesh_in!C27/SER_summary!C$27)</f>
        <v>0.35051424683945553</v>
      </c>
      <c r="D27" s="145">
        <f>IF(SER_hh_tesh_in!D27=0,0,SER_hh_tesh_in!D27/SER_summary!D$27)</f>
        <v>0.62131849007125517</v>
      </c>
      <c r="E27" s="145">
        <f>IF(SER_hh_tesh_in!E27=0,0,SER_hh_tesh_in!E27/SER_summary!E$27)</f>
        <v>0.76250698869680944</v>
      </c>
      <c r="F27" s="145">
        <f>IF(SER_hh_tesh_in!F27=0,0,SER_hh_tesh_in!F27/SER_summary!F$27)</f>
        <v>1.3489409397800893</v>
      </c>
      <c r="G27" s="145">
        <f>IF(SER_hh_tesh_in!G27=0,0,SER_hh_tesh_in!G27/SER_summary!G$27)</f>
        <v>4.1575852521601391</v>
      </c>
      <c r="H27" s="145">
        <f>IF(SER_hh_tesh_in!H27=0,0,SER_hh_tesh_in!H27/SER_summary!H$27)</f>
        <v>1.3773275260374693</v>
      </c>
      <c r="I27" s="145">
        <f>IF(SER_hh_tesh_in!I27=0,0,SER_hh_tesh_in!I27/SER_summary!I$27)</f>
        <v>3.3237348386342354</v>
      </c>
      <c r="J27" s="145">
        <f>IF(SER_hh_tesh_in!J27=0,0,SER_hh_tesh_in!J27/SER_summary!J$27)</f>
        <v>7.4722046044383399</v>
      </c>
      <c r="K27" s="145">
        <f>IF(SER_hh_tesh_in!K27=0,0,SER_hh_tesh_in!K27/SER_summary!K$27)</f>
        <v>10.118350485500436</v>
      </c>
      <c r="L27" s="145">
        <f>IF(SER_hh_tesh_in!L27=0,0,SER_hh_tesh_in!L27/SER_summary!L$27)</f>
        <v>10.660324805247983</v>
      </c>
      <c r="M27" s="145">
        <f>IF(SER_hh_tesh_in!M27=0,0,SER_hh_tesh_in!M27/SER_summary!M$27)</f>
        <v>3.484221997959958</v>
      </c>
      <c r="N27" s="145">
        <f>IF(SER_hh_tesh_in!N27=0,0,SER_hh_tesh_in!N27/SER_summary!N$27)</f>
        <v>4.7235624518692809</v>
      </c>
      <c r="O27" s="145">
        <f>IF(SER_hh_tesh_in!O27=0,0,SER_hh_tesh_in!O27/SER_summary!O$27)</f>
        <v>6.3280325910146829</v>
      </c>
      <c r="P27" s="145">
        <f>IF(SER_hh_tesh_in!P27=0,0,SER_hh_tesh_in!P27/SER_summary!P$27)</f>
        <v>6.7530849182782111</v>
      </c>
      <c r="Q27" s="145">
        <f>IF(SER_hh_tesh_in!Q27=0,0,SER_hh_tesh_in!Q27/SER_summary!Q$27)</f>
        <v>3.7744156245292831E-4</v>
      </c>
      <c r="R27" s="145">
        <f>IF(SER_hh_tesh_in!R27=0,0,SER_hh_tesh_in!R27/SER_summary!R$27)</f>
        <v>6.1761709415720407</v>
      </c>
      <c r="S27" s="145">
        <f>IF(SER_hh_tesh_in!S27=0,0,SER_hh_tesh_in!S27/SER_summary!S$27)</f>
        <v>7.9430531454720539</v>
      </c>
      <c r="T27" s="145">
        <f>IF(SER_hh_tesh_in!T27=0,0,SER_hh_tesh_in!T27/SER_summary!T$27)</f>
        <v>7.2589480989884532</v>
      </c>
      <c r="U27" s="145">
        <f>IF(SER_hh_tesh_in!U27=0,0,SER_hh_tesh_in!U27/SER_summary!U$27)</f>
        <v>10.433570756381014</v>
      </c>
      <c r="V27" s="145">
        <f>IF(SER_hh_tesh_in!V27=0,0,SER_hh_tesh_in!V27/SER_summary!V$27)</f>
        <v>10.41417375322083</v>
      </c>
      <c r="W27" s="145">
        <f>IF(SER_hh_tesh_in!W27=0,0,SER_hh_tesh_in!W27/SER_summary!W$27)</f>
        <v>6.2644545532277069E-4</v>
      </c>
      <c r="X27" s="145">
        <f>IF(SER_hh_tesh_in!X27=0,0,SER_hh_tesh_in!X27/SER_summary!X$27)</f>
        <v>0</v>
      </c>
      <c r="Y27" s="145">
        <f>IF(SER_hh_tesh_in!Y27=0,0,SER_hh_tesh_in!Y27/SER_summary!Y$27)</f>
        <v>10.005207335687462</v>
      </c>
      <c r="DA27" s="158" t="s">
        <v>872</v>
      </c>
    </row>
    <row r="28" spans="1:105" ht="12" customHeight="1" x14ac:dyDescent="0.25">
      <c r="A28" s="78" t="s">
        <v>85</v>
      </c>
      <c r="B28" s="68"/>
      <c r="C28" s="146">
        <f>IF(SER_hh_tesh_in!C28=0,0,SER_hh_tesh_in!C28/SER_summary!C$27)</f>
        <v>17.530308000581449</v>
      </c>
      <c r="D28" s="146">
        <f>IF(SER_hh_tesh_in!D28=0,0,SER_hh_tesh_in!D28/SER_summary!D$27)</f>
        <v>17.166510499508849</v>
      </c>
      <c r="E28" s="146">
        <f>IF(SER_hh_tesh_in!E28=0,0,SER_hh_tesh_in!E28/SER_summary!E$27)</f>
        <v>17.585683106457747</v>
      </c>
      <c r="F28" s="146">
        <f>IF(SER_hh_tesh_in!F28=0,0,SER_hh_tesh_in!F28/SER_summary!F$27)</f>
        <v>17.157230235556455</v>
      </c>
      <c r="G28" s="146">
        <f>IF(SER_hh_tesh_in!G28=0,0,SER_hh_tesh_in!G28/SER_summary!G$27)</f>
        <v>17.572518385588449</v>
      </c>
      <c r="H28" s="146">
        <f>IF(SER_hh_tesh_in!H28=0,0,SER_hh_tesh_in!H28/SER_summary!H$27)</f>
        <v>17.655870121552041</v>
      </c>
      <c r="I28" s="146">
        <f>IF(SER_hh_tesh_in!I28=0,0,SER_hh_tesh_in!I28/SER_summary!I$27)</f>
        <v>18.283093765280181</v>
      </c>
      <c r="J28" s="146">
        <f>IF(SER_hh_tesh_in!J28=0,0,SER_hh_tesh_in!J28/SER_summary!J$27)</f>
        <v>17.363769150947547</v>
      </c>
      <c r="K28" s="146">
        <f>IF(SER_hh_tesh_in!K28=0,0,SER_hh_tesh_in!K28/SER_summary!K$27)</f>
        <v>18.055823432418514</v>
      </c>
      <c r="L28" s="146">
        <f>IF(SER_hh_tesh_in!L28=0,0,SER_hh_tesh_in!L28/SER_summary!L$27)</f>
        <v>18.281365832934082</v>
      </c>
      <c r="M28" s="146">
        <f>IF(SER_hh_tesh_in!M28=0,0,SER_hh_tesh_in!M28/SER_summary!M$27)</f>
        <v>17.835161739364736</v>
      </c>
      <c r="N28" s="146">
        <f>IF(SER_hh_tesh_in!N28=0,0,SER_hh_tesh_in!N28/SER_summary!N$27)</f>
        <v>18.527267704785082</v>
      </c>
      <c r="O28" s="146">
        <f>IF(SER_hh_tesh_in!O28=0,0,SER_hh_tesh_in!O28/SER_summary!O$27)</f>
        <v>19.356172077924899</v>
      </c>
      <c r="P28" s="146">
        <f>IF(SER_hh_tesh_in!P28=0,0,SER_hh_tesh_in!P28/SER_summary!P$27)</f>
        <v>17.7165295689509</v>
      </c>
      <c r="Q28" s="146">
        <f>IF(SER_hh_tesh_in!Q28=0,0,SER_hh_tesh_in!Q28/SER_summary!Q$27)</f>
        <v>19.249558457856697</v>
      </c>
      <c r="R28" s="146">
        <f>IF(SER_hh_tesh_in!R28=0,0,SER_hh_tesh_in!R28/SER_summary!R$27)</f>
        <v>19.786751122015772</v>
      </c>
      <c r="S28" s="146">
        <f>IF(SER_hh_tesh_in!S28=0,0,SER_hh_tesh_in!S28/SER_summary!S$27)</f>
        <v>19.060974486231817</v>
      </c>
      <c r="T28" s="146">
        <f>IF(SER_hh_tesh_in!T28=0,0,SER_hh_tesh_in!T28/SER_summary!T$27)</f>
        <v>19.462792301441556</v>
      </c>
      <c r="U28" s="146">
        <f>IF(SER_hh_tesh_in!U28=0,0,SER_hh_tesh_in!U28/SER_summary!U$27)</f>
        <v>17.767485321167388</v>
      </c>
      <c r="V28" s="146">
        <f>IF(SER_hh_tesh_in!V28=0,0,SER_hh_tesh_in!V28/SER_summary!V$27)</f>
        <v>15.582322525948689</v>
      </c>
      <c r="W28" s="146">
        <f>IF(SER_hh_tesh_in!W28=0,0,SER_hh_tesh_in!W28/SER_summary!W$27)</f>
        <v>17.481679710026238</v>
      </c>
      <c r="X28" s="146">
        <f>IF(SER_hh_tesh_in!X28=0,0,SER_hh_tesh_in!X28/SER_summary!X$27)</f>
        <v>0</v>
      </c>
      <c r="Y28" s="146">
        <f>IF(SER_hh_tesh_in!Y28=0,0,SER_hh_tesh_in!Y28/SER_summary!Y$27)</f>
        <v>18.43675577023323</v>
      </c>
      <c r="DA28" s="159"/>
    </row>
    <row r="29" spans="1:105" ht="12.95" customHeight="1" x14ac:dyDescent="0.25">
      <c r="A29" s="129" t="s">
        <v>34</v>
      </c>
      <c r="B29" s="130"/>
      <c r="C29" s="130">
        <f>IF(SER_hh_tesh_in!C29=0,0,SER_hh_tesh_in!C29/SER_summary!C$27)</f>
        <v>21.439115219610084</v>
      </c>
      <c r="D29" s="130">
        <f>IF(SER_hh_tesh_in!D29=0,0,SER_hh_tesh_in!D29/SER_summary!D$27)</f>
        <v>20.75385907391728</v>
      </c>
      <c r="E29" s="130">
        <f>IF(SER_hh_tesh_in!E29=0,0,SER_hh_tesh_in!E29/SER_summary!E$27)</f>
        <v>23.716060797169483</v>
      </c>
      <c r="F29" s="130">
        <f>IF(SER_hh_tesh_in!F29=0,0,SER_hh_tesh_in!F29/SER_summary!F$27)</f>
        <v>23.762497164679946</v>
      </c>
      <c r="G29" s="130">
        <f>IF(SER_hh_tesh_in!G29=0,0,SER_hh_tesh_in!G29/SER_summary!G$27)</f>
        <v>23.793973180158687</v>
      </c>
      <c r="H29" s="130">
        <f>IF(SER_hh_tesh_in!H29=0,0,SER_hh_tesh_in!H29/SER_summary!H$27)</f>
        <v>23.271565403560658</v>
      </c>
      <c r="I29" s="130">
        <f>IF(SER_hh_tesh_in!I29=0,0,SER_hh_tesh_in!I29/SER_summary!I$27)</f>
        <v>24.168154559175683</v>
      </c>
      <c r="J29" s="130">
        <f>IF(SER_hh_tesh_in!J29=0,0,SER_hh_tesh_in!J29/SER_summary!J$27)</f>
        <v>23.812202895021873</v>
      </c>
      <c r="K29" s="130">
        <f>IF(SER_hh_tesh_in!K29=0,0,SER_hh_tesh_in!K29/SER_summary!K$27)</f>
        <v>24.872136488204973</v>
      </c>
      <c r="L29" s="130">
        <f>IF(SER_hh_tesh_in!L29=0,0,SER_hh_tesh_in!L29/SER_summary!L$27)</f>
        <v>24.846772086079504</v>
      </c>
      <c r="M29" s="130">
        <f>IF(SER_hh_tesh_in!M29=0,0,SER_hh_tesh_in!M29/SER_summary!M$27)</f>
        <v>24.860138633509262</v>
      </c>
      <c r="N29" s="130">
        <f>IF(SER_hh_tesh_in!N29=0,0,SER_hh_tesh_in!N29/SER_summary!N$27)</f>
        <v>25.037131989942758</v>
      </c>
      <c r="O29" s="130">
        <f>IF(SER_hh_tesh_in!O29=0,0,SER_hh_tesh_in!O29/SER_summary!O$27)</f>
        <v>25.396766901717104</v>
      </c>
      <c r="P29" s="130">
        <f>IF(SER_hh_tesh_in!P29=0,0,SER_hh_tesh_in!P29/SER_summary!P$27)</f>
        <v>25.571628165762373</v>
      </c>
      <c r="Q29" s="130">
        <f>IF(SER_hh_tesh_in!Q29=0,0,SER_hh_tesh_in!Q29/SER_summary!Q$27)</f>
        <v>25.699882207324436</v>
      </c>
      <c r="R29" s="130">
        <f>IF(SER_hh_tesh_in!R29=0,0,SER_hh_tesh_in!R29/SER_summary!R$27)</f>
        <v>25.840233976388621</v>
      </c>
      <c r="S29" s="130">
        <f>IF(SER_hh_tesh_in!S29=0,0,SER_hh_tesh_in!S29/SER_summary!S$27)</f>
        <v>25.843201486580821</v>
      </c>
      <c r="T29" s="130">
        <f>IF(SER_hh_tesh_in!T29=0,0,SER_hh_tesh_in!T29/SER_summary!T$27)</f>
        <v>25.660488101123043</v>
      </c>
      <c r="U29" s="130">
        <f>IF(SER_hh_tesh_in!U29=0,0,SER_hh_tesh_in!U29/SER_summary!U$27)</f>
        <v>25.610103658589569</v>
      </c>
      <c r="V29" s="130">
        <f>IF(SER_hh_tesh_in!V29=0,0,SER_hh_tesh_in!V29/SER_summary!V$27)</f>
        <v>22.540569424040875</v>
      </c>
      <c r="W29" s="130">
        <f>IF(SER_hh_tesh_in!W29=0,0,SER_hh_tesh_in!W29/SER_summary!W$27)</f>
        <v>27.585115878821238</v>
      </c>
      <c r="X29" s="130">
        <f>IF(SER_hh_tesh_in!X29=0,0,SER_hh_tesh_in!X29/SER_summary!X$27)</f>
        <v>27.363237285158657</v>
      </c>
      <c r="Y29" s="130">
        <f>IF(SER_hh_tesh_in!Y29=0,0,SER_hh_tesh_in!Y29/SER_summary!Y$27)</f>
        <v>27.291349448014817</v>
      </c>
      <c r="DA29" s="155" t="s">
        <v>873</v>
      </c>
    </row>
    <row r="30" spans="1:105" s="2" customFormat="1" ht="12" customHeight="1" x14ac:dyDescent="0.25">
      <c r="A30" s="131" t="s">
        <v>52</v>
      </c>
      <c r="B30" s="132"/>
      <c r="C30" s="132">
        <f>IF(SER_hh_tesh_in!C30=0,0,SER_hh_tesh_in!C30/SER_summary!C$27)</f>
        <v>21.624085100793426</v>
      </c>
      <c r="D30" s="132">
        <f>IF(SER_hh_tesh_in!D30=0,0,SER_hh_tesh_in!D30/SER_summary!D$27)</f>
        <v>22.331717167528822</v>
      </c>
      <c r="E30" s="132">
        <f>IF(SER_hh_tesh_in!E30=0,0,SER_hh_tesh_in!E30/SER_summary!E$27)</f>
        <v>22.778136768003638</v>
      </c>
      <c r="F30" s="132">
        <f>IF(SER_hh_tesh_in!F30=0,0,SER_hh_tesh_in!F30/SER_summary!F$27)</f>
        <v>23.16704645844953</v>
      </c>
      <c r="G30" s="132">
        <f>IF(SER_hh_tesh_in!G30=0,0,SER_hh_tesh_in!G30/SER_summary!G$27)</f>
        <v>23.459840013724158</v>
      </c>
      <c r="H30" s="132">
        <f>IF(SER_hh_tesh_in!H30=0,0,SER_hh_tesh_in!H30/SER_summary!H$27)</f>
        <v>22.730868321463198</v>
      </c>
      <c r="I30" s="132">
        <f>IF(SER_hh_tesh_in!I30=0,0,SER_hh_tesh_in!I30/SER_summary!I$27)</f>
        <v>25.560482524559607</v>
      </c>
      <c r="J30" s="132">
        <f>IF(SER_hh_tesh_in!J30=0,0,SER_hh_tesh_in!J30/SER_summary!J$27)</f>
        <v>19.320565500277961</v>
      </c>
      <c r="K30" s="132">
        <f>IF(SER_hh_tesh_in!K30=0,0,SER_hh_tesh_in!K30/SER_summary!K$27)</f>
        <v>25.329195713942696</v>
      </c>
      <c r="L30" s="132">
        <f>IF(SER_hh_tesh_in!L30=0,0,SER_hh_tesh_in!L30/SER_summary!L$27)</f>
        <v>25.501623500508032</v>
      </c>
      <c r="M30" s="132">
        <f>IF(SER_hh_tesh_in!M30=0,0,SER_hh_tesh_in!M30/SER_summary!M$27)</f>
        <v>25.937599308741852</v>
      </c>
      <c r="N30" s="132">
        <f>IF(SER_hh_tesh_in!N30=0,0,SER_hh_tesh_in!N30/SER_summary!N$27)</f>
        <v>22.805356784820393</v>
      </c>
      <c r="O30" s="132">
        <f>IF(SER_hh_tesh_in!O30=0,0,SER_hh_tesh_in!O30/SER_summary!O$27)</f>
        <v>24.367411086482981</v>
      </c>
      <c r="P30" s="132">
        <f>IF(SER_hh_tesh_in!P30=0,0,SER_hh_tesh_in!P30/SER_summary!P$27)</f>
        <v>26.78633651349816</v>
      </c>
      <c r="Q30" s="132">
        <f>IF(SER_hh_tesh_in!Q30=0,0,SER_hh_tesh_in!Q30/SER_summary!Q$27)</f>
        <v>25.847956429274024</v>
      </c>
      <c r="R30" s="132">
        <f>IF(SER_hh_tesh_in!R30=0,0,SER_hh_tesh_in!R30/SER_summary!R$27)</f>
        <v>25.750619822809998</v>
      </c>
      <c r="S30" s="132">
        <f>IF(SER_hh_tesh_in!S30=0,0,SER_hh_tesh_in!S30/SER_summary!S$27)</f>
        <v>26.134273706622423</v>
      </c>
      <c r="T30" s="132">
        <f>IF(SER_hh_tesh_in!T30=0,0,SER_hh_tesh_in!T30/SER_summary!T$27)</f>
        <v>25.637738432926731</v>
      </c>
      <c r="U30" s="132">
        <f>IF(SER_hh_tesh_in!U30=0,0,SER_hh_tesh_in!U30/SER_summary!U$27)</f>
        <v>24.544142240634017</v>
      </c>
      <c r="V30" s="132">
        <f>IF(SER_hh_tesh_in!V30=0,0,SER_hh_tesh_in!V30/SER_summary!V$27)</f>
        <v>25.275029843829039</v>
      </c>
      <c r="W30" s="132">
        <f>IF(SER_hh_tesh_in!W30=0,0,SER_hh_tesh_in!W30/SER_summary!W$27)</f>
        <v>25.962760969652326</v>
      </c>
      <c r="X30" s="132">
        <f>IF(SER_hh_tesh_in!X30=0,0,SER_hh_tesh_in!X30/SER_summary!X$27)</f>
        <v>26.959136086023783</v>
      </c>
      <c r="Y30" s="132">
        <f>IF(SER_hh_tesh_in!Y30=0,0,SER_hh_tesh_in!Y30/SER_summary!Y$27)</f>
        <v>27.242154383509835</v>
      </c>
      <c r="DA30" s="156" t="s">
        <v>874</v>
      </c>
    </row>
    <row r="31" spans="1:105" ht="12" customHeight="1" x14ac:dyDescent="0.25">
      <c r="A31" s="131" t="s">
        <v>149</v>
      </c>
      <c r="B31" s="132"/>
      <c r="C31" s="132">
        <f>IF(SER_hh_tesh_in!C31=0,0,SER_hh_tesh_in!C31/SER_summary!C$27)</f>
        <v>22.409089743343191</v>
      </c>
      <c r="D31" s="132">
        <f>IF(SER_hh_tesh_in!D31=0,0,SER_hh_tesh_in!D31/SER_summary!D$27)</f>
        <v>22.822775294353633</v>
      </c>
      <c r="E31" s="132">
        <f>IF(SER_hh_tesh_in!E31=0,0,SER_hh_tesh_in!E31/SER_summary!E$27)</f>
        <v>20.832876718130667</v>
      </c>
      <c r="F31" s="132">
        <f>IF(SER_hh_tesh_in!F31=0,0,SER_hh_tesh_in!F31/SER_summary!F$27)</f>
        <v>21.253704126569467</v>
      </c>
      <c r="G31" s="132">
        <f>IF(SER_hh_tesh_in!G31=0,0,SER_hh_tesh_in!G31/SER_summary!G$27)</f>
        <v>24.333299410889996</v>
      </c>
      <c r="H31" s="132">
        <f>IF(SER_hh_tesh_in!H31=0,0,SER_hh_tesh_in!H31/SER_summary!H$27)</f>
        <v>22.420799536702091</v>
      </c>
      <c r="I31" s="132">
        <f>IF(SER_hh_tesh_in!I31=0,0,SER_hh_tesh_in!I31/SER_summary!I$27)</f>
        <v>24.279176380376523</v>
      </c>
      <c r="J31" s="132">
        <f>IF(SER_hh_tesh_in!J31=0,0,SER_hh_tesh_in!J31/SER_summary!J$27)</f>
        <v>23.839791727899961</v>
      </c>
      <c r="K31" s="132">
        <f>IF(SER_hh_tesh_in!K31=0,0,SER_hh_tesh_in!K31/SER_summary!K$27)</f>
        <v>24.922209710789506</v>
      </c>
      <c r="L31" s="132">
        <f>IF(SER_hh_tesh_in!L31=0,0,SER_hh_tesh_in!L31/SER_summary!L$27)</f>
        <v>24.793068430675849</v>
      </c>
      <c r="M31" s="132">
        <f>IF(SER_hh_tesh_in!M31=0,0,SER_hh_tesh_in!M31/SER_summary!M$27)</f>
        <v>24.701886613320507</v>
      </c>
      <c r="N31" s="132">
        <f>IF(SER_hh_tesh_in!N31=0,0,SER_hh_tesh_in!N31/SER_summary!N$27)</f>
        <v>24.866074122492272</v>
      </c>
      <c r="O31" s="132">
        <f>IF(SER_hh_tesh_in!O31=0,0,SER_hh_tesh_in!O31/SER_summary!O$27)</f>
        <v>24.992506032270494</v>
      </c>
      <c r="P31" s="132">
        <f>IF(SER_hh_tesh_in!P31=0,0,SER_hh_tesh_in!P31/SER_summary!P$27)</f>
        <v>26.037728346377286</v>
      </c>
      <c r="Q31" s="132">
        <f>IF(SER_hh_tesh_in!Q31=0,0,SER_hh_tesh_in!Q31/SER_summary!Q$27)</f>
        <v>25.778636129048962</v>
      </c>
      <c r="R31" s="132">
        <f>IF(SER_hh_tesh_in!R31=0,0,SER_hh_tesh_in!R31/SER_summary!R$27)</f>
        <v>26.397345528244617</v>
      </c>
      <c r="S31" s="132">
        <f>IF(SER_hh_tesh_in!S31=0,0,SER_hh_tesh_in!S31/SER_summary!S$27)</f>
        <v>26.214899325263346</v>
      </c>
      <c r="T31" s="132">
        <f>IF(SER_hh_tesh_in!T31=0,0,SER_hh_tesh_in!T31/SER_summary!T$27)</f>
        <v>24.150369281963215</v>
      </c>
      <c r="U31" s="132">
        <f>IF(SER_hh_tesh_in!U31=0,0,SER_hh_tesh_in!U31/SER_summary!U$27)</f>
        <v>26.548498189394905</v>
      </c>
      <c r="V31" s="132">
        <f>IF(SER_hh_tesh_in!V31=0,0,SER_hh_tesh_in!V31/SER_summary!V$27)</f>
        <v>24.326396159571551</v>
      </c>
      <c r="W31" s="132">
        <f>IF(SER_hh_tesh_in!W31=0,0,SER_hh_tesh_in!W31/SER_summary!W$27)</f>
        <v>24.325611017061753</v>
      </c>
      <c r="X31" s="132">
        <f>IF(SER_hh_tesh_in!X31=0,0,SER_hh_tesh_in!X31/SER_summary!X$27)</f>
        <v>26.54808520872481</v>
      </c>
      <c r="Y31" s="132">
        <f>IF(SER_hh_tesh_in!Y31=0,0,SER_hh_tesh_in!Y31/SER_summary!Y$27)</f>
        <v>27.314806512116068</v>
      </c>
      <c r="DA31" s="156" t="s">
        <v>875</v>
      </c>
    </row>
    <row r="32" spans="1:105" ht="12" customHeight="1" x14ac:dyDescent="0.25">
      <c r="A32" s="131" t="s">
        <v>128</v>
      </c>
      <c r="B32" s="132"/>
      <c r="C32" s="132">
        <f>IF(SER_hh_tesh_in!C32=0,0,SER_hh_tesh_in!C32/SER_summary!C$27)</f>
        <v>0</v>
      </c>
      <c r="D32" s="132">
        <f>IF(SER_hh_tesh_in!D32=0,0,SER_hh_tesh_in!D32/SER_summary!D$27)</f>
        <v>0</v>
      </c>
      <c r="E32" s="132">
        <f>IF(SER_hh_tesh_in!E32=0,0,SER_hh_tesh_in!E32/SER_summary!E$27)</f>
        <v>0</v>
      </c>
      <c r="F32" s="132">
        <f>IF(SER_hh_tesh_in!F32=0,0,SER_hh_tesh_in!F32/SER_summary!F$27)</f>
        <v>0</v>
      </c>
      <c r="G32" s="132">
        <f>IF(SER_hh_tesh_in!G32=0,0,SER_hh_tesh_in!G32/SER_summary!G$27)</f>
        <v>0</v>
      </c>
      <c r="H32" s="132">
        <f>IF(SER_hh_tesh_in!H32=0,0,SER_hh_tesh_in!H32/SER_summary!H$27)</f>
        <v>0</v>
      </c>
      <c r="I32" s="132">
        <f>IF(SER_hh_tesh_in!I32=0,0,SER_hh_tesh_in!I32/SER_summary!I$27)</f>
        <v>0</v>
      </c>
      <c r="J32" s="132">
        <f>IF(SER_hh_tesh_in!J32=0,0,SER_hh_tesh_in!J32/SER_summary!J$27)</f>
        <v>0</v>
      </c>
      <c r="K32" s="132">
        <f>IF(SER_hh_tesh_in!K32=0,0,SER_hh_tesh_in!K32/SER_summary!K$27)</f>
        <v>0</v>
      </c>
      <c r="L32" s="132">
        <f>IF(SER_hh_tesh_in!L32=0,0,SER_hh_tesh_in!L32/SER_summary!L$27)</f>
        <v>0</v>
      </c>
      <c r="M32" s="132">
        <f>IF(SER_hh_tesh_in!M32=0,0,SER_hh_tesh_in!M32/SER_summary!M$27)</f>
        <v>0</v>
      </c>
      <c r="N32" s="132">
        <f>IF(SER_hh_tesh_in!N32=0,0,SER_hh_tesh_in!N32/SER_summary!N$27)</f>
        <v>0</v>
      </c>
      <c r="O32" s="132">
        <f>IF(SER_hh_tesh_in!O32=0,0,SER_hh_tesh_in!O32/SER_summary!O$27)</f>
        <v>0</v>
      </c>
      <c r="P32" s="132">
        <f>IF(SER_hh_tesh_in!P32=0,0,SER_hh_tesh_in!P32/SER_summary!P$27)</f>
        <v>0</v>
      </c>
      <c r="Q32" s="132">
        <f>IF(SER_hh_tesh_in!Q32=0,0,SER_hh_tesh_in!Q32/SER_summary!Q$27)</f>
        <v>0</v>
      </c>
      <c r="R32" s="132">
        <f>IF(SER_hh_tesh_in!R32=0,0,SER_hh_tesh_in!R32/SER_summary!R$27)</f>
        <v>0</v>
      </c>
      <c r="S32" s="132">
        <f>IF(SER_hh_tesh_in!S32=0,0,SER_hh_tesh_in!S32/SER_summary!S$27)</f>
        <v>0</v>
      </c>
      <c r="T32" s="132">
        <f>IF(SER_hh_tesh_in!T32=0,0,SER_hh_tesh_in!T32/SER_summary!T$27)</f>
        <v>0</v>
      </c>
      <c r="U32" s="132">
        <f>IF(SER_hh_tesh_in!U32=0,0,SER_hh_tesh_in!U32/SER_summary!U$27)</f>
        <v>0</v>
      </c>
      <c r="V32" s="132">
        <f>IF(SER_hh_tesh_in!V32=0,0,SER_hh_tesh_in!V32/SER_summary!V$27)</f>
        <v>0</v>
      </c>
      <c r="W32" s="132">
        <f>IF(SER_hh_tesh_in!W32=0,0,SER_hh_tesh_in!W32/SER_summary!W$27)</f>
        <v>0</v>
      </c>
      <c r="X32" s="132">
        <f>IF(SER_hh_tesh_in!X32=0,0,SER_hh_tesh_in!X32/SER_summary!X$27)</f>
        <v>0</v>
      </c>
      <c r="Y32" s="132">
        <f>IF(SER_hh_tesh_in!Y32=0,0,SER_hh_tesh_in!Y32/SER_summary!Y$27)</f>
        <v>0</v>
      </c>
      <c r="DA32" s="156" t="s">
        <v>876</v>
      </c>
    </row>
    <row r="33" spans="1:105" ht="12" customHeight="1" x14ac:dyDescent="0.25">
      <c r="A33" s="62" t="s">
        <v>24</v>
      </c>
      <c r="B33" s="68"/>
      <c r="C33" s="68">
        <f>IF(SER_hh_tesh_in!C33=0,0,SER_hh_tesh_in!C33/SER_summary!C$27)</f>
        <v>20.529118185310328</v>
      </c>
      <c r="D33" s="68">
        <f>IF(SER_hh_tesh_in!D33=0,0,SER_hh_tesh_in!D33/SER_summary!D$27)</f>
        <v>20.40913063179886</v>
      </c>
      <c r="E33" s="68">
        <f>IF(SER_hh_tesh_in!E33=0,0,SER_hh_tesh_in!E33/SER_summary!E$27)</f>
        <v>23.961312260062005</v>
      </c>
      <c r="F33" s="68">
        <f>IF(SER_hh_tesh_in!F33=0,0,SER_hh_tesh_in!F33/SER_summary!F$27)</f>
        <v>24.553069053931761</v>
      </c>
      <c r="G33" s="68">
        <f>IF(SER_hh_tesh_in!G33=0,0,SER_hh_tesh_in!G33/SER_summary!G$27)</f>
        <v>23.165021473101554</v>
      </c>
      <c r="H33" s="68">
        <f>IF(SER_hh_tesh_in!H33=0,0,SER_hh_tesh_in!H33/SER_summary!H$27)</f>
        <v>24.942902123047578</v>
      </c>
      <c r="I33" s="68">
        <f>IF(SER_hh_tesh_in!I33=0,0,SER_hh_tesh_in!I33/SER_summary!I$27)</f>
        <v>22.795552360270815</v>
      </c>
      <c r="J33" s="68">
        <f>IF(SER_hh_tesh_in!J33=0,0,SER_hh_tesh_in!J33/SER_summary!J$27)</f>
        <v>25.99726381711486</v>
      </c>
      <c r="K33" s="68">
        <f>IF(SER_hh_tesh_in!K33=0,0,SER_hh_tesh_in!K33/SER_summary!K$27)</f>
        <v>24.301697260316555</v>
      </c>
      <c r="L33" s="68">
        <f>IF(SER_hh_tesh_in!L33=0,0,SER_hh_tesh_in!L33/SER_summary!L$27)</f>
        <v>24.615617849137262</v>
      </c>
      <c r="M33" s="68">
        <f>IF(SER_hh_tesh_in!M33=0,0,SER_hh_tesh_in!M33/SER_summary!M$27)</f>
        <v>24.769032303578243</v>
      </c>
      <c r="N33" s="68">
        <f>IF(SER_hh_tesh_in!N33=0,0,SER_hh_tesh_in!N33/SER_summary!N$27)</f>
        <v>25.745264188737476</v>
      </c>
      <c r="O33" s="68">
        <f>IF(SER_hh_tesh_in!O33=0,0,SER_hh_tesh_in!O33/SER_summary!O$27)</f>
        <v>26.132907195667379</v>
      </c>
      <c r="P33" s="68">
        <f>IF(SER_hh_tesh_in!P33=0,0,SER_hh_tesh_in!P33/SER_summary!P$27)</f>
        <v>24.129574406769112</v>
      </c>
      <c r="Q33" s="68">
        <f>IF(SER_hh_tesh_in!Q33=0,0,SER_hh_tesh_in!Q33/SER_summary!Q$27)</f>
        <v>25.527097735315412</v>
      </c>
      <c r="R33" s="68">
        <f>IF(SER_hh_tesh_in!R33=0,0,SER_hh_tesh_in!R33/SER_summary!R$27)</f>
        <v>24.961889817435214</v>
      </c>
      <c r="S33" s="68">
        <f>IF(SER_hh_tesh_in!S33=0,0,SER_hh_tesh_in!S33/SER_summary!S$27)</f>
        <v>25.080333971223983</v>
      </c>
      <c r="T33" s="68">
        <f>IF(SER_hh_tesh_in!T33=0,0,SER_hh_tesh_in!T33/SER_summary!T$27)</f>
        <v>29.514502977318845</v>
      </c>
      <c r="U33" s="68">
        <f>IF(SER_hh_tesh_in!U33=0,0,SER_hh_tesh_in!U33/SER_summary!U$27)</f>
        <v>24.116787660351712</v>
      </c>
      <c r="V33" s="68">
        <f>IF(SER_hh_tesh_in!V33=0,0,SER_hh_tesh_in!V33/SER_summary!V$27)</f>
        <v>19.389524629188074</v>
      </c>
      <c r="W33" s="68">
        <f>IF(SER_hh_tesh_in!W33=0,0,SER_hh_tesh_in!W33/SER_summary!W$27)</f>
        <v>30.421369532469775</v>
      </c>
      <c r="X33" s="68">
        <f>IF(SER_hh_tesh_in!X33=0,0,SER_hh_tesh_in!X33/SER_summary!X$27)</f>
        <v>27.563503606795155</v>
      </c>
      <c r="Y33" s="68">
        <f>IF(SER_hh_tesh_in!Y33=0,0,SER_hh_tesh_in!Y33/SER_summary!Y$27)</f>
        <v>27.278323419122749</v>
      </c>
      <c r="DA33" s="111" t="s">
        <v>877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tabColor theme="6" tint="0.79998168889431442"/>
    <pageSetUpPr fitToPage="1"/>
  </sheetPr>
  <dimension ref="A1:DA33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878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23" t="s">
        <v>92</v>
      </c>
      <c r="B3" s="125"/>
      <c r="C3" s="125">
        <f>IF(SER_hh_emih_in!C3=0,0,SER_hh_emih_in!C3/SER_summary!C$27)</f>
        <v>27.508329141925298</v>
      </c>
      <c r="D3" s="125">
        <f>IF(SER_hh_emih_in!D3=0,0,SER_hh_emih_in!D3/SER_summary!D$27)</f>
        <v>23.235605130844053</v>
      </c>
      <c r="E3" s="125">
        <f>IF(SER_hh_emih_in!E3=0,0,SER_hh_emih_in!E3/SER_summary!E$27)</f>
        <v>32.023678131910543</v>
      </c>
      <c r="F3" s="125">
        <f>IF(SER_hh_emih_in!F3=0,0,SER_hh_emih_in!F3/SER_summary!F$27)</f>
        <v>24.900174068334415</v>
      </c>
      <c r="G3" s="125">
        <f>IF(SER_hh_emih_in!G3=0,0,SER_hh_emih_in!G3/SER_summary!G$27)</f>
        <v>32.772967249215505</v>
      </c>
      <c r="H3" s="125">
        <f>IF(SER_hh_emih_in!H3=0,0,SER_hh_emih_in!H3/SER_summary!H$27)</f>
        <v>31.731600234648525</v>
      </c>
      <c r="I3" s="125">
        <f>IF(SER_hh_emih_in!I3=0,0,SER_hh_emih_in!I3/SER_summary!I$27)</f>
        <v>30.93635750142003</v>
      </c>
      <c r="J3" s="125">
        <f>IF(SER_hh_emih_in!J3=0,0,SER_hh_emih_in!J3/SER_summary!J$27)</f>
        <v>37.119038196648383</v>
      </c>
      <c r="K3" s="125">
        <f>IF(SER_hh_emih_in!K3=0,0,SER_hh_emih_in!K3/SER_summary!K$27)</f>
        <v>31.010068924481033</v>
      </c>
      <c r="L3" s="125">
        <f>IF(SER_hh_emih_in!L3=0,0,SER_hh_emih_in!L3/SER_summary!L$27)</f>
        <v>26.581828114323425</v>
      </c>
      <c r="M3" s="125">
        <f>IF(SER_hh_emih_in!M3=0,0,SER_hh_emih_in!M3/SER_summary!M$27)</f>
        <v>16.148103008894985</v>
      </c>
      <c r="N3" s="125">
        <f>IF(SER_hh_emih_in!N3=0,0,SER_hh_emih_in!N3/SER_summary!N$27)</f>
        <v>15.532593522309202</v>
      </c>
      <c r="O3" s="125">
        <f>IF(SER_hh_emih_in!O3=0,0,SER_hh_emih_in!O3/SER_summary!O$27)</f>
        <v>10.697464040157339</v>
      </c>
      <c r="P3" s="125">
        <f>IF(SER_hh_emih_in!P3=0,0,SER_hh_emih_in!P3/SER_summary!P$27)</f>
        <v>8.2678927540495142</v>
      </c>
      <c r="Q3" s="125">
        <f>IF(SER_hh_emih_in!Q3=0,0,SER_hh_emih_in!Q3/SER_summary!Q$27)</f>
        <v>8.5479064126190654</v>
      </c>
      <c r="R3" s="125">
        <f>IF(SER_hh_emih_in!R3=0,0,SER_hh_emih_in!R3/SER_summary!R$27)</f>
        <v>12.167263240519464</v>
      </c>
      <c r="S3" s="125">
        <f>IF(SER_hh_emih_in!S3=0,0,SER_hh_emih_in!S3/SER_summary!S$27)</f>
        <v>27.841315333338201</v>
      </c>
      <c r="T3" s="125">
        <f>IF(SER_hh_emih_in!T3=0,0,SER_hh_emih_in!T3/SER_summary!T$27)</f>
        <v>29.260999958897802</v>
      </c>
      <c r="U3" s="125">
        <f>IF(SER_hh_emih_in!U3=0,0,SER_hh_emih_in!U3/SER_summary!U$27)</f>
        <v>24.923566060013329</v>
      </c>
      <c r="V3" s="125">
        <f>IF(SER_hh_emih_in!V3=0,0,SER_hh_emih_in!V3/SER_summary!V$27)</f>
        <v>16.870689709592877</v>
      </c>
      <c r="W3" s="125">
        <f>IF(SER_hh_emih_in!W3=0,0,SER_hh_emih_in!W3/SER_summary!W$27)</f>
        <v>6.7470073714797971</v>
      </c>
      <c r="X3" s="125">
        <f>IF(SER_hh_emih_in!X3=0,0,SER_hh_emih_in!X3/SER_summary!X$27)</f>
        <v>8.0178247689803364</v>
      </c>
      <c r="Y3" s="125">
        <f>IF(SER_hh_emih_in!Y3=0,0,SER_hh_emih_in!Y3/SER_summary!Y$27)</f>
        <v>13.732518312469779</v>
      </c>
      <c r="DA3" s="154" t="s">
        <v>879</v>
      </c>
    </row>
    <row r="4" spans="1:105" ht="12.95" customHeight="1" x14ac:dyDescent="0.25">
      <c r="A4" s="129" t="s">
        <v>32</v>
      </c>
      <c r="B4" s="130"/>
      <c r="C4" s="130">
        <f>IF(SER_hh_emih_in!C4=0,0,SER_hh_emih_in!C4/SER_summary!C$27)</f>
        <v>20.90703234109148</v>
      </c>
      <c r="D4" s="130">
        <f>IF(SER_hh_emih_in!D4=0,0,SER_hh_emih_in!D4/SER_summary!D$27)</f>
        <v>19.285534072684726</v>
      </c>
      <c r="E4" s="130">
        <f>IF(SER_hh_emih_in!E4=0,0,SER_hh_emih_in!E4/SER_summary!E$27)</f>
        <v>27.906714564318619</v>
      </c>
      <c r="F4" s="130">
        <f>IF(SER_hh_emih_in!F4=0,0,SER_hh_emih_in!F4/SER_summary!F$27)</f>
        <v>19.817381690870523</v>
      </c>
      <c r="G4" s="130">
        <f>IF(SER_hh_emih_in!G4=0,0,SER_hh_emih_in!G4/SER_summary!G$27)</f>
        <v>24.723457624729996</v>
      </c>
      <c r="H4" s="130">
        <f>IF(SER_hh_emih_in!H4=0,0,SER_hh_emih_in!H4/SER_summary!H$27)</f>
        <v>24.04102346286642</v>
      </c>
      <c r="I4" s="130">
        <f>IF(SER_hh_emih_in!I4=0,0,SER_hh_emih_in!I4/SER_summary!I$27)</f>
        <v>21.494036017781422</v>
      </c>
      <c r="J4" s="130">
        <f>IF(SER_hh_emih_in!J4=0,0,SER_hh_emih_in!J4/SER_summary!J$27)</f>
        <v>28.223870391724002</v>
      </c>
      <c r="K4" s="130">
        <f>IF(SER_hh_emih_in!K4=0,0,SER_hh_emih_in!K4/SER_summary!K$27)</f>
        <v>21.26257003194404</v>
      </c>
      <c r="L4" s="130">
        <f>IF(SER_hh_emih_in!L4=0,0,SER_hh_emih_in!L4/SER_summary!L$27)</f>
        <v>17.718115317878919</v>
      </c>
      <c r="M4" s="130">
        <f>IF(SER_hh_emih_in!M4=0,0,SER_hh_emih_in!M4/SER_summary!M$27)</f>
        <v>8.0032426965087495</v>
      </c>
      <c r="N4" s="130">
        <f>IF(SER_hh_emih_in!N4=0,0,SER_hh_emih_in!N4/SER_summary!N$27)</f>
        <v>7.6477045092987392</v>
      </c>
      <c r="O4" s="130">
        <f>IF(SER_hh_emih_in!O4=0,0,SER_hh_emih_in!O4/SER_summary!O$27)</f>
        <v>2.9597098885116124</v>
      </c>
      <c r="P4" s="130">
        <f>IF(SER_hh_emih_in!P4=0,0,SER_hh_emih_in!P4/SER_summary!P$27)</f>
        <v>0.33666833885466657</v>
      </c>
      <c r="Q4" s="130">
        <f>IF(SER_hh_emih_in!Q4=0,0,SER_hh_emih_in!Q4/SER_summary!Q$27)</f>
        <v>0.4043737089096785</v>
      </c>
      <c r="R4" s="130">
        <f>IF(SER_hh_emih_in!R4=0,0,SER_hh_emih_in!R4/SER_summary!R$27)</f>
        <v>3.33244181205934</v>
      </c>
      <c r="S4" s="130">
        <f>IF(SER_hh_emih_in!S4=0,0,SER_hh_emih_in!S4/SER_summary!S$27)</f>
        <v>19.045907390462403</v>
      </c>
      <c r="T4" s="130">
        <f>IF(SER_hh_emih_in!T4=0,0,SER_hh_emih_in!T4/SER_summary!T$27)</f>
        <v>21.002772431300357</v>
      </c>
      <c r="U4" s="130">
        <f>IF(SER_hh_emih_in!U4=0,0,SER_hh_emih_in!U4/SER_summary!U$27)</f>
        <v>16.768663182118413</v>
      </c>
      <c r="V4" s="130">
        <f>IF(SER_hh_emih_in!V4=0,0,SER_hh_emih_in!V4/SER_summary!V$27)</f>
        <v>10.399971636288269</v>
      </c>
      <c r="W4" s="130">
        <f>IF(SER_hh_emih_in!W4=0,0,SER_hh_emih_in!W4/SER_summary!W$27)</f>
        <v>2.6380311693888352</v>
      </c>
      <c r="X4" s="130">
        <f>IF(SER_hh_emih_in!X4=0,0,SER_hh_emih_in!X4/SER_summary!X$27)</f>
        <v>3.7617653718748176</v>
      </c>
      <c r="Y4" s="130">
        <f>IF(SER_hh_emih_in!Y4=0,0,SER_hh_emih_in!Y4/SER_summary!Y$27)</f>
        <v>6.2733335059592008</v>
      </c>
      <c r="DA4" s="155" t="s">
        <v>880</v>
      </c>
    </row>
    <row r="5" spans="1:105" ht="12" customHeight="1" x14ac:dyDescent="0.25">
      <c r="A5" s="131" t="s">
        <v>29</v>
      </c>
      <c r="B5" s="132"/>
      <c r="C5" s="132">
        <f>IF(SER_hh_emih_in!C5=0,0,SER_hh_emih_in!C5/SER_summary!C$27)</f>
        <v>0</v>
      </c>
      <c r="D5" s="132">
        <f>IF(SER_hh_emih_in!D5=0,0,SER_hh_emih_in!D5/SER_summary!D$27)</f>
        <v>0</v>
      </c>
      <c r="E5" s="132">
        <f>IF(SER_hh_emih_in!E5=0,0,SER_hh_emih_in!E5/SER_summary!E$27)</f>
        <v>0</v>
      </c>
      <c r="F5" s="132">
        <f>IF(SER_hh_emih_in!F5=0,0,SER_hh_emih_in!F5/SER_summary!F$27)</f>
        <v>0</v>
      </c>
      <c r="G5" s="132">
        <f>IF(SER_hh_emih_in!G5=0,0,SER_hh_emih_in!G5/SER_summary!G$27)</f>
        <v>0</v>
      </c>
      <c r="H5" s="132">
        <f>IF(SER_hh_emih_in!H5=0,0,SER_hh_emih_in!H5/SER_summary!H$27)</f>
        <v>0</v>
      </c>
      <c r="I5" s="132">
        <f>IF(SER_hh_emih_in!I5=0,0,SER_hh_emih_in!I5/SER_summary!I$27)</f>
        <v>0</v>
      </c>
      <c r="J5" s="132">
        <f>IF(SER_hh_emih_in!J5=0,0,SER_hh_emih_in!J5/SER_summary!J$27)</f>
        <v>0</v>
      </c>
      <c r="K5" s="132">
        <f>IF(SER_hh_emih_in!K5=0,0,SER_hh_emih_in!K5/SER_summary!K$27)</f>
        <v>0</v>
      </c>
      <c r="L5" s="132">
        <f>IF(SER_hh_emih_in!L5=0,0,SER_hh_emih_in!L5/SER_summary!L$27)</f>
        <v>0</v>
      </c>
      <c r="M5" s="132">
        <f>IF(SER_hh_emih_in!M5=0,0,SER_hh_emih_in!M5/SER_summary!M$27)</f>
        <v>0</v>
      </c>
      <c r="N5" s="132">
        <f>IF(SER_hh_emih_in!N5=0,0,SER_hh_emih_in!N5/SER_summary!N$27)</f>
        <v>0</v>
      </c>
      <c r="O5" s="132">
        <f>IF(SER_hh_emih_in!O5=0,0,SER_hh_emih_in!O5/SER_summary!O$27)</f>
        <v>0</v>
      </c>
      <c r="P5" s="132">
        <f>IF(SER_hh_emih_in!P5=0,0,SER_hh_emih_in!P5/SER_summary!P$27)</f>
        <v>0</v>
      </c>
      <c r="Q5" s="132">
        <f>IF(SER_hh_emih_in!Q5=0,0,SER_hh_emih_in!Q5/SER_summary!Q$27)</f>
        <v>0</v>
      </c>
      <c r="R5" s="132">
        <f>IF(SER_hh_emih_in!R5=0,0,SER_hh_emih_in!R5/SER_summary!R$27)</f>
        <v>0</v>
      </c>
      <c r="S5" s="132">
        <f>IF(SER_hh_emih_in!S5=0,0,SER_hh_emih_in!S5/SER_summary!S$27)</f>
        <v>0</v>
      </c>
      <c r="T5" s="132">
        <f>IF(SER_hh_emih_in!T5=0,0,SER_hh_emih_in!T5/SER_summary!T$27)</f>
        <v>0</v>
      </c>
      <c r="U5" s="132">
        <f>IF(SER_hh_emih_in!U5=0,0,SER_hh_emih_in!U5/SER_summary!U$27)</f>
        <v>0</v>
      </c>
      <c r="V5" s="132">
        <f>IF(SER_hh_emih_in!V5=0,0,SER_hh_emih_in!V5/SER_summary!V$27)</f>
        <v>0</v>
      </c>
      <c r="W5" s="132">
        <f>IF(SER_hh_emih_in!W5=0,0,SER_hh_emih_in!W5/SER_summary!W$27)</f>
        <v>0</v>
      </c>
      <c r="X5" s="132">
        <f>IF(SER_hh_emih_in!X5=0,0,SER_hh_emih_in!X5/SER_summary!X$27)</f>
        <v>0</v>
      </c>
      <c r="Y5" s="132">
        <f>IF(SER_hh_emih_in!Y5=0,0,SER_hh_emih_in!Y5/SER_summary!Y$27)</f>
        <v>0</v>
      </c>
      <c r="DA5" s="156" t="s">
        <v>881</v>
      </c>
    </row>
    <row r="6" spans="1:105" ht="12" customHeight="1" x14ac:dyDescent="0.25">
      <c r="A6" s="131" t="s">
        <v>52</v>
      </c>
      <c r="B6" s="132"/>
      <c r="C6" s="132">
        <f>IF(SER_hh_emih_in!C6=0,0,SER_hh_emih_in!C6/SER_summary!C$27)</f>
        <v>34.708089351792687</v>
      </c>
      <c r="D6" s="132">
        <f>IF(SER_hh_emih_in!D6=0,0,SER_hh_emih_in!D6/SER_summary!D$27)</f>
        <v>32.609960031399133</v>
      </c>
      <c r="E6" s="132">
        <f>IF(SER_hh_emih_in!E6=0,0,SER_hh_emih_in!E6/SER_summary!E$27)</f>
        <v>38.992674157438749</v>
      </c>
      <c r="F6" s="132">
        <f>IF(SER_hh_emih_in!F6=0,0,SER_hh_emih_in!F6/SER_summary!F$27)</f>
        <v>39.347118937080637</v>
      </c>
      <c r="G6" s="132">
        <f>IF(SER_hh_emih_in!G6=0,0,SER_hh_emih_in!G6/SER_summary!G$27)</f>
        <v>44.908719318709863</v>
      </c>
      <c r="H6" s="132">
        <f>IF(SER_hh_emih_in!H6=0,0,SER_hh_emih_in!H6/SER_summary!H$27)</f>
        <v>44.564223353941706</v>
      </c>
      <c r="I6" s="132">
        <f>IF(SER_hh_emih_in!I6=0,0,SER_hh_emih_in!I6/SER_summary!I$27)</f>
        <v>41.169785441697464</v>
      </c>
      <c r="J6" s="132">
        <f>IF(SER_hh_emih_in!J6=0,0,SER_hh_emih_in!J6/SER_summary!J$27)</f>
        <v>47.240059177666318</v>
      </c>
      <c r="K6" s="132">
        <f>IF(SER_hh_emih_in!K6=0,0,SER_hh_emih_in!K6/SER_summary!K$27)</f>
        <v>46.498946624108882</v>
      </c>
      <c r="L6" s="132">
        <f>IF(SER_hh_emih_in!L6=0,0,SER_hh_emih_in!L6/SER_summary!L$27)</f>
        <v>47.060207101310219</v>
      </c>
      <c r="M6" s="132">
        <f>IF(SER_hh_emih_in!M6=0,0,SER_hh_emih_in!M6/SER_summary!M$27)</f>
        <v>40.980505280758308</v>
      </c>
      <c r="N6" s="132">
        <f>IF(SER_hh_emih_in!N6=0,0,SER_hh_emih_in!N6/SER_summary!N$27)</f>
        <v>36.109522246372464</v>
      </c>
      <c r="O6" s="132">
        <f>IF(SER_hh_emih_in!O6=0,0,SER_hh_emih_in!O6/SER_summary!O$27)</f>
        <v>37.704478170475113</v>
      </c>
      <c r="P6" s="132">
        <f>IF(SER_hh_emih_in!P6=0,0,SER_hh_emih_in!P6/SER_summary!P$27)</f>
        <v>0</v>
      </c>
      <c r="Q6" s="132">
        <f>IF(SER_hh_emih_in!Q6=0,0,SER_hh_emih_in!Q6/SER_summary!Q$27)</f>
        <v>0</v>
      </c>
      <c r="R6" s="132">
        <f>IF(SER_hh_emih_in!R6=0,0,SER_hh_emih_in!R6/SER_summary!R$27)</f>
        <v>0</v>
      </c>
      <c r="S6" s="132">
        <f>IF(SER_hh_emih_in!S6=0,0,SER_hh_emih_in!S6/SER_summary!S$27)</f>
        <v>33.985632859714698</v>
      </c>
      <c r="T6" s="132">
        <f>IF(SER_hh_emih_in!T6=0,0,SER_hh_emih_in!T6/SER_summary!T$27)</f>
        <v>30.640164150351133</v>
      </c>
      <c r="U6" s="132">
        <f>IF(SER_hh_emih_in!U6=0,0,SER_hh_emih_in!U6/SER_summary!U$27)</f>
        <v>28.603061741679561</v>
      </c>
      <c r="V6" s="132">
        <f>IF(SER_hh_emih_in!V6=0,0,SER_hh_emih_in!V6/SER_summary!V$27)</f>
        <v>24.227809197514453</v>
      </c>
      <c r="W6" s="132">
        <f>IF(SER_hh_emih_in!W6=0,0,SER_hh_emih_in!W6/SER_summary!W$27)</f>
        <v>22.953278925846625</v>
      </c>
      <c r="X6" s="132">
        <f>IF(SER_hh_emih_in!X6=0,0,SER_hh_emih_in!X6/SER_summary!X$27)</f>
        <v>13.485487819879937</v>
      </c>
      <c r="Y6" s="132">
        <f>IF(SER_hh_emih_in!Y6=0,0,SER_hh_emih_in!Y6/SER_summary!Y$27)</f>
        <v>12.980484107647406</v>
      </c>
      <c r="DA6" s="156" t="s">
        <v>882</v>
      </c>
    </row>
    <row r="7" spans="1:105" ht="12" customHeight="1" x14ac:dyDescent="0.25">
      <c r="A7" s="131" t="s">
        <v>161</v>
      </c>
      <c r="B7" s="132"/>
      <c r="C7" s="132">
        <f>IF(SER_hh_emih_in!C7=0,0,SER_hh_emih_in!C7/SER_summary!C$27)</f>
        <v>30.471589559268917</v>
      </c>
      <c r="D7" s="132">
        <f>IF(SER_hh_emih_in!D7=0,0,SER_hh_emih_in!D7/SER_summary!D$27)</f>
        <v>39.515181256362261</v>
      </c>
      <c r="E7" s="132">
        <f>IF(SER_hh_emih_in!E7=0,0,SER_hh_emih_in!E7/SER_summary!E$27)</f>
        <v>48.803323977016774</v>
      </c>
      <c r="F7" s="132">
        <f>IF(SER_hh_emih_in!F7=0,0,SER_hh_emih_in!F7/SER_summary!F$27)</f>
        <v>50.52357493008558</v>
      </c>
      <c r="G7" s="132">
        <f>IF(SER_hh_emih_in!G7=0,0,SER_hh_emih_in!G7/SER_summary!G$27)</f>
        <v>52.684453122650737</v>
      </c>
      <c r="H7" s="132">
        <f>IF(SER_hh_emih_in!H7=0,0,SER_hh_emih_in!H7/SER_summary!H$27)</f>
        <v>55.18583612795117</v>
      </c>
      <c r="I7" s="132">
        <f>IF(SER_hh_emih_in!I7=0,0,SER_hh_emih_in!I7/SER_summary!I$27)</f>
        <v>52.808045950534137</v>
      </c>
      <c r="J7" s="132">
        <f>IF(SER_hh_emih_in!J7=0,0,SER_hh_emih_in!J7/SER_summary!J$27)</f>
        <v>0</v>
      </c>
      <c r="K7" s="132">
        <f>IF(SER_hh_emih_in!K7=0,0,SER_hh_emih_in!K7/SER_summary!K$27)</f>
        <v>0</v>
      </c>
      <c r="L7" s="132">
        <f>IF(SER_hh_emih_in!L7=0,0,SER_hh_emih_in!L7/SER_summary!L$27)</f>
        <v>0</v>
      </c>
      <c r="M7" s="132">
        <f>IF(SER_hh_emih_in!M7=0,0,SER_hh_emih_in!M7/SER_summary!M$27)</f>
        <v>0</v>
      </c>
      <c r="N7" s="132">
        <f>IF(SER_hh_emih_in!N7=0,0,SER_hh_emih_in!N7/SER_summary!N$27)</f>
        <v>47.058864255141863</v>
      </c>
      <c r="O7" s="132">
        <f>IF(SER_hh_emih_in!O7=0,0,SER_hh_emih_in!O7/SER_summary!O$27)</f>
        <v>40.236360446610753</v>
      </c>
      <c r="P7" s="132">
        <f>IF(SER_hh_emih_in!P7=0,0,SER_hh_emih_in!P7/SER_summary!P$27)</f>
        <v>38.59791641810741</v>
      </c>
      <c r="Q7" s="132">
        <f>IF(SER_hh_emih_in!Q7=0,0,SER_hh_emih_in!Q7/SER_summary!Q$27)</f>
        <v>43.526446815042021</v>
      </c>
      <c r="R7" s="132">
        <f>IF(SER_hh_emih_in!R7=0,0,SER_hh_emih_in!R7/SER_summary!R$27)</f>
        <v>44.657977009884618</v>
      </c>
      <c r="S7" s="132">
        <f>IF(SER_hh_emih_in!S7=0,0,SER_hh_emih_in!S7/SER_summary!S$27)</f>
        <v>34.103590229964539</v>
      </c>
      <c r="T7" s="132">
        <f>IF(SER_hh_emih_in!T7=0,0,SER_hh_emih_in!T7/SER_summary!T$27)</f>
        <v>42.294968028783181</v>
      </c>
      <c r="U7" s="132">
        <f>IF(SER_hh_emih_in!U7=0,0,SER_hh_emih_in!U7/SER_summary!U$27)</f>
        <v>31.492324379506165</v>
      </c>
      <c r="V7" s="132">
        <f>IF(SER_hh_emih_in!V7=0,0,SER_hh_emih_in!V7/SER_summary!V$27)</f>
        <v>20.713017850219597</v>
      </c>
      <c r="W7" s="132">
        <f>IF(SER_hh_emih_in!W7=0,0,SER_hh_emih_in!W7/SER_summary!W$27)</f>
        <v>22.531505066866881</v>
      </c>
      <c r="X7" s="132">
        <f>IF(SER_hh_emih_in!X7=0,0,SER_hh_emih_in!X7/SER_summary!X$27)</f>
        <v>16.604677876693305</v>
      </c>
      <c r="Y7" s="132">
        <f>IF(SER_hh_emih_in!Y7=0,0,SER_hh_emih_in!Y7/SER_summary!Y$27)</f>
        <v>15.626117539785204</v>
      </c>
      <c r="DA7" s="156" t="s">
        <v>883</v>
      </c>
    </row>
    <row r="8" spans="1:105" ht="12" customHeight="1" x14ac:dyDescent="0.25">
      <c r="A8" s="131" t="s">
        <v>73</v>
      </c>
      <c r="B8" s="132"/>
      <c r="C8" s="132">
        <f>IF(SER_hh_emih_in!C8=0,0,SER_hh_emih_in!C8/SER_summary!C$27)</f>
        <v>8.6907784525352145</v>
      </c>
      <c r="D8" s="132">
        <f>IF(SER_hh_emih_in!D8=0,0,SER_hh_emih_in!D8/SER_summary!D$27)</f>
        <v>8.0879256804461992</v>
      </c>
      <c r="E8" s="132">
        <f>IF(SER_hh_emih_in!E8=0,0,SER_hh_emih_in!E8/SER_summary!E$27)</f>
        <v>9.0323999496533123</v>
      </c>
      <c r="F8" s="132">
        <f>IF(SER_hh_emih_in!F8=0,0,SER_hh_emih_in!F8/SER_summary!F$27)</f>
        <v>8.9485898917163702</v>
      </c>
      <c r="G8" s="132">
        <f>IF(SER_hh_emih_in!G8=0,0,SER_hh_emih_in!G8/SER_summary!G$27)</f>
        <v>9.1704958371981142</v>
      </c>
      <c r="H8" s="132">
        <f>IF(SER_hh_emih_in!H8=0,0,SER_hh_emih_in!H8/SER_summary!H$27)</f>
        <v>9.1515997730402567</v>
      </c>
      <c r="I8" s="132">
        <f>IF(SER_hh_emih_in!I8=0,0,SER_hh_emih_in!I8/SER_summary!I$27)</f>
        <v>8.8942215085145175</v>
      </c>
      <c r="J8" s="132">
        <f>IF(SER_hh_emih_in!J8=0,0,SER_hh_emih_in!J8/SER_summary!J$27)</f>
        <v>8.8105234317529177</v>
      </c>
      <c r="K8" s="132">
        <f>IF(SER_hh_emih_in!K8=0,0,SER_hh_emih_in!K8/SER_summary!K$27)</f>
        <v>8.2626621970807932</v>
      </c>
      <c r="L8" s="132">
        <f>IF(SER_hh_emih_in!L8=0,0,SER_hh_emih_in!L8/SER_summary!L$27)</f>
        <v>7.4792868159037473</v>
      </c>
      <c r="M8" s="132">
        <f>IF(SER_hh_emih_in!M8=0,0,SER_hh_emih_in!M8/SER_summary!M$27)</f>
        <v>6.747154426378617</v>
      </c>
      <c r="N8" s="132">
        <f>IF(SER_hh_emih_in!N8=0,0,SER_hh_emih_in!N8/SER_summary!N$27)</f>
        <v>6.1023153541654906</v>
      </c>
      <c r="O8" s="132">
        <f>IF(SER_hh_emih_in!O8=0,0,SER_hh_emih_in!O8/SER_summary!O$27)</f>
        <v>5.7999010927498729</v>
      </c>
      <c r="P8" s="132">
        <f>IF(SER_hh_emih_in!P8=0,0,SER_hh_emih_in!P8/SER_summary!P$27)</f>
        <v>5.708061318510639</v>
      </c>
      <c r="Q8" s="132">
        <f>IF(SER_hh_emih_in!Q8=0,0,SER_hh_emih_in!Q8/SER_summary!Q$27)</f>
        <v>6.2712575220519176</v>
      </c>
      <c r="R8" s="132">
        <f>IF(SER_hh_emih_in!R8=0,0,SER_hh_emih_in!R8/SER_summary!R$27)</f>
        <v>5.5226895637155442</v>
      </c>
      <c r="S8" s="132">
        <f>IF(SER_hh_emih_in!S8=0,0,SER_hh_emih_in!S8/SER_summary!S$27)</f>
        <v>5.1468842054680914</v>
      </c>
      <c r="T8" s="132">
        <f>IF(SER_hh_emih_in!T8=0,0,SER_hh_emih_in!T8/SER_summary!T$27)</f>
        <v>4.7662054654972517</v>
      </c>
      <c r="U8" s="132">
        <f>IF(SER_hh_emih_in!U8=0,0,SER_hh_emih_in!U8/SER_summary!U$27)</f>
        <v>4.1541078331563144</v>
      </c>
      <c r="V8" s="132">
        <f>IF(SER_hh_emih_in!V8=0,0,SER_hh_emih_in!V8/SER_summary!V$27)</f>
        <v>3.6427977311653259</v>
      </c>
      <c r="W8" s="132">
        <f>IF(SER_hh_emih_in!W8=0,0,SER_hh_emih_in!W8/SER_summary!W$27)</f>
        <v>2.9242501803511378</v>
      </c>
      <c r="X8" s="132">
        <f>IF(SER_hh_emih_in!X8=0,0,SER_hh_emih_in!X8/SER_summary!X$27)</f>
        <v>1.9265151512094858</v>
      </c>
      <c r="Y8" s="132">
        <f>IF(SER_hh_emih_in!Y8=0,0,SER_hh_emih_in!Y8/SER_summary!Y$27)</f>
        <v>1.8908855943768195</v>
      </c>
      <c r="DA8" s="156" t="s">
        <v>884</v>
      </c>
    </row>
    <row r="9" spans="1:105" ht="12" customHeight="1" x14ac:dyDescent="0.25">
      <c r="A9" s="131" t="s">
        <v>78</v>
      </c>
      <c r="B9" s="132"/>
      <c r="C9" s="132">
        <f>IF(SER_hh_emih_in!C9=0,0,SER_hh_emih_in!C9/SER_summary!C$27)</f>
        <v>30.735865461354788</v>
      </c>
      <c r="D9" s="132">
        <f>IF(SER_hh_emih_in!D9=0,0,SER_hh_emih_in!D9/SER_summary!D$27)</f>
        <v>27.504409415198978</v>
      </c>
      <c r="E9" s="132">
        <f>IF(SER_hh_emih_in!E9=0,0,SER_hh_emih_in!E9/SER_summary!E$27)</f>
        <v>32.855166366240574</v>
      </c>
      <c r="F9" s="132">
        <f>IF(SER_hh_emih_in!F9=0,0,SER_hh_emih_in!F9/SER_summary!F$27)</f>
        <v>32.668313574723669</v>
      </c>
      <c r="G9" s="132">
        <f>IF(SER_hh_emih_in!G9=0,0,SER_hh_emih_in!G9/SER_summary!G$27)</f>
        <v>39.568094350643051</v>
      </c>
      <c r="H9" s="132">
        <f>IF(SER_hh_emih_in!H9=0,0,SER_hh_emih_in!H9/SER_summary!H$27)</f>
        <v>39.224434304417308</v>
      </c>
      <c r="I9" s="132">
        <f>IF(SER_hh_emih_in!I9=0,0,SER_hh_emih_in!I9/SER_summary!I$27)</f>
        <v>33.949007654168973</v>
      </c>
      <c r="J9" s="132">
        <f>IF(SER_hh_emih_in!J9=0,0,SER_hh_emih_in!J9/SER_summary!J$27)</f>
        <v>41.795036067975204</v>
      </c>
      <c r="K9" s="132">
        <f>IF(SER_hh_emih_in!K9=0,0,SER_hh_emih_in!K9/SER_summary!K$27)</f>
        <v>40.593598324518801</v>
      </c>
      <c r="L9" s="132">
        <f>IF(SER_hh_emih_in!L9=0,0,SER_hh_emih_in!L9/SER_summary!L$27)</f>
        <v>40.123961284817973</v>
      </c>
      <c r="M9" s="132">
        <f>IF(SER_hh_emih_in!M9=0,0,SER_hh_emih_in!M9/SER_summary!M$27)</f>
        <v>32.418022096132916</v>
      </c>
      <c r="N9" s="132">
        <f>IF(SER_hh_emih_in!N9=0,0,SER_hh_emih_in!N9/SER_summary!N$27)</f>
        <v>32.58936227355747</v>
      </c>
      <c r="O9" s="132">
        <f>IF(SER_hh_emih_in!O9=0,0,SER_hh_emih_in!O9/SER_summary!O$27)</f>
        <v>32.924830378351082</v>
      </c>
      <c r="P9" s="132">
        <f>IF(SER_hh_emih_in!P9=0,0,SER_hh_emih_in!P9/SER_summary!P$27)</f>
        <v>0</v>
      </c>
      <c r="Q9" s="132">
        <f>IF(SER_hh_emih_in!Q9=0,0,SER_hh_emih_in!Q9/SER_summary!Q$27)</f>
        <v>0</v>
      </c>
      <c r="R9" s="132">
        <f>IF(SER_hh_emih_in!R9=0,0,SER_hh_emih_in!R9/SER_summary!R$27)</f>
        <v>26.982316757029476</v>
      </c>
      <c r="S9" s="132">
        <f>IF(SER_hh_emih_in!S9=0,0,SER_hh_emih_in!S9/SER_summary!S$27)</f>
        <v>25.286144527179349</v>
      </c>
      <c r="T9" s="132">
        <f>IF(SER_hh_emih_in!T9=0,0,SER_hh_emih_in!T9/SER_summary!T$27)</f>
        <v>26.886341402711608</v>
      </c>
      <c r="U9" s="132">
        <f>IF(SER_hh_emih_in!U9=0,0,SER_hh_emih_in!U9/SER_summary!U$27)</f>
        <v>23.996847279879823</v>
      </c>
      <c r="V9" s="132">
        <f>IF(SER_hh_emih_in!V9=0,0,SER_hh_emih_in!V9/SER_summary!V$27)</f>
        <v>21.291224804796435</v>
      </c>
      <c r="W9" s="132">
        <f>IF(SER_hh_emih_in!W9=0,0,SER_hh_emih_in!W9/SER_summary!W$27)</f>
        <v>15.639612838496001</v>
      </c>
      <c r="X9" s="132">
        <f>IF(SER_hh_emih_in!X9=0,0,SER_hh_emih_in!X9/SER_summary!X$27)</f>
        <v>9.2680290150271105</v>
      </c>
      <c r="Y9" s="132">
        <f>IF(SER_hh_emih_in!Y9=0,0,SER_hh_emih_in!Y9/SER_summary!Y$27)</f>
        <v>10.691429469013212</v>
      </c>
      <c r="DA9" s="156" t="s">
        <v>885</v>
      </c>
    </row>
    <row r="10" spans="1:105" ht="12" customHeight="1" x14ac:dyDescent="0.25">
      <c r="A10" s="131" t="s">
        <v>128</v>
      </c>
      <c r="B10" s="132"/>
      <c r="C10" s="132">
        <f>IF(SER_hh_emih_in!C10=0,0,SER_hh_emih_in!C10/SER_summary!C$27)</f>
        <v>0</v>
      </c>
      <c r="D10" s="132">
        <f>IF(SER_hh_emih_in!D10=0,0,SER_hh_emih_in!D10/SER_summary!D$27)</f>
        <v>0</v>
      </c>
      <c r="E10" s="132">
        <f>IF(SER_hh_emih_in!E10=0,0,SER_hh_emih_in!E10/SER_summary!E$27)</f>
        <v>0</v>
      </c>
      <c r="F10" s="132">
        <f>IF(SER_hh_emih_in!F10=0,0,SER_hh_emih_in!F10/SER_summary!F$27)</f>
        <v>0</v>
      </c>
      <c r="G10" s="132">
        <f>IF(SER_hh_emih_in!G10=0,0,SER_hh_emih_in!G10/SER_summary!G$27)</f>
        <v>0</v>
      </c>
      <c r="H10" s="132">
        <f>IF(SER_hh_emih_in!H10=0,0,SER_hh_emih_in!H10/SER_summary!H$27)</f>
        <v>0</v>
      </c>
      <c r="I10" s="132">
        <f>IF(SER_hh_emih_in!I10=0,0,SER_hh_emih_in!I10/SER_summary!I$27)</f>
        <v>0</v>
      </c>
      <c r="J10" s="132">
        <f>IF(SER_hh_emih_in!J10=0,0,SER_hh_emih_in!J10/SER_summary!J$27)</f>
        <v>0</v>
      </c>
      <c r="K10" s="132">
        <f>IF(SER_hh_emih_in!K10=0,0,SER_hh_emih_in!K10/SER_summary!K$27)</f>
        <v>0</v>
      </c>
      <c r="L10" s="132">
        <f>IF(SER_hh_emih_in!L10=0,0,SER_hh_emih_in!L10/SER_summary!L$27)</f>
        <v>0</v>
      </c>
      <c r="M10" s="132">
        <f>IF(SER_hh_emih_in!M10=0,0,SER_hh_emih_in!M10/SER_summary!M$27)</f>
        <v>0</v>
      </c>
      <c r="N10" s="132">
        <f>IF(SER_hh_emih_in!N10=0,0,SER_hh_emih_in!N10/SER_summary!N$27)</f>
        <v>0</v>
      </c>
      <c r="O10" s="132">
        <f>IF(SER_hh_emih_in!O10=0,0,SER_hh_emih_in!O10/SER_summary!O$27)</f>
        <v>0</v>
      </c>
      <c r="P10" s="132">
        <f>IF(SER_hh_emih_in!P10=0,0,SER_hh_emih_in!P10/SER_summary!P$27)</f>
        <v>0</v>
      </c>
      <c r="Q10" s="132">
        <f>IF(SER_hh_emih_in!Q10=0,0,SER_hh_emih_in!Q10/SER_summary!Q$27)</f>
        <v>0</v>
      </c>
      <c r="R10" s="132">
        <f>IF(SER_hh_emih_in!R10=0,0,SER_hh_emih_in!R10/SER_summary!R$27)</f>
        <v>0</v>
      </c>
      <c r="S10" s="132">
        <f>IF(SER_hh_emih_in!S10=0,0,SER_hh_emih_in!S10/SER_summary!S$27)</f>
        <v>0</v>
      </c>
      <c r="T10" s="132">
        <f>IF(SER_hh_emih_in!T10=0,0,SER_hh_emih_in!T10/SER_summary!T$27)</f>
        <v>0</v>
      </c>
      <c r="U10" s="132">
        <f>IF(SER_hh_emih_in!U10=0,0,SER_hh_emih_in!U10/SER_summary!U$27)</f>
        <v>0</v>
      </c>
      <c r="V10" s="132">
        <f>IF(SER_hh_emih_in!V10=0,0,SER_hh_emih_in!V10/SER_summary!V$27)</f>
        <v>0</v>
      </c>
      <c r="W10" s="132">
        <f>IF(SER_hh_emih_in!W10=0,0,SER_hh_emih_in!W10/SER_summary!W$27)</f>
        <v>2.8679650970131672</v>
      </c>
      <c r="X10" s="132">
        <f>IF(SER_hh_emih_in!X10=0,0,SER_hh_emih_in!X10/SER_summary!X$27)</f>
        <v>5.3776684559525165</v>
      </c>
      <c r="Y10" s="132">
        <f>IF(SER_hh_emih_in!Y10=0,0,SER_hh_emih_in!Y10/SER_summary!Y$27)</f>
        <v>4.3680442436412106</v>
      </c>
      <c r="DA10" s="156" t="s">
        <v>886</v>
      </c>
    </row>
    <row r="11" spans="1:105" ht="12" customHeight="1" x14ac:dyDescent="0.25">
      <c r="A11" s="131" t="s">
        <v>25</v>
      </c>
      <c r="B11" s="132"/>
      <c r="C11" s="132">
        <f>IF(SER_hh_emih_in!C11=0,0,SER_hh_emih_in!C11/SER_summary!C$27)</f>
        <v>0</v>
      </c>
      <c r="D11" s="132">
        <f>IF(SER_hh_emih_in!D11=0,0,SER_hh_emih_in!D11/SER_summary!D$27)</f>
        <v>0</v>
      </c>
      <c r="E11" s="132">
        <f>IF(SER_hh_emih_in!E11=0,0,SER_hh_emih_in!E11/SER_summary!E$27)</f>
        <v>0</v>
      </c>
      <c r="F11" s="132">
        <f>IF(SER_hh_emih_in!F11=0,0,SER_hh_emih_in!F11/SER_summary!F$27)</f>
        <v>0</v>
      </c>
      <c r="G11" s="132">
        <f>IF(SER_hh_emih_in!G11=0,0,SER_hh_emih_in!G11/SER_summary!G$27)</f>
        <v>0</v>
      </c>
      <c r="H11" s="132">
        <f>IF(SER_hh_emih_in!H11=0,0,SER_hh_emih_in!H11/SER_summary!H$27)</f>
        <v>0</v>
      </c>
      <c r="I11" s="132">
        <f>IF(SER_hh_emih_in!I11=0,0,SER_hh_emih_in!I11/SER_summary!I$27)</f>
        <v>0</v>
      </c>
      <c r="J11" s="132">
        <f>IF(SER_hh_emih_in!J11=0,0,SER_hh_emih_in!J11/SER_summary!J$27)</f>
        <v>0</v>
      </c>
      <c r="K11" s="132">
        <f>IF(SER_hh_emih_in!K11=0,0,SER_hh_emih_in!K11/SER_summary!K$27)</f>
        <v>0</v>
      </c>
      <c r="L11" s="132">
        <f>IF(SER_hh_emih_in!L11=0,0,SER_hh_emih_in!L11/SER_summary!L$27)</f>
        <v>0</v>
      </c>
      <c r="M11" s="132">
        <f>IF(SER_hh_emih_in!M11=0,0,SER_hh_emih_in!M11/SER_summary!M$27)</f>
        <v>0</v>
      </c>
      <c r="N11" s="132">
        <f>IF(SER_hh_emih_in!N11=0,0,SER_hh_emih_in!N11/SER_summary!N$27)</f>
        <v>0</v>
      </c>
      <c r="O11" s="132">
        <f>IF(SER_hh_emih_in!O11=0,0,SER_hh_emih_in!O11/SER_summary!O$27)</f>
        <v>0</v>
      </c>
      <c r="P11" s="132">
        <f>IF(SER_hh_emih_in!P11=0,0,SER_hh_emih_in!P11/SER_summary!P$27)</f>
        <v>0</v>
      </c>
      <c r="Q11" s="132">
        <f>IF(SER_hh_emih_in!Q11=0,0,SER_hh_emih_in!Q11/SER_summary!Q$27)</f>
        <v>0</v>
      </c>
      <c r="R11" s="132">
        <f>IF(SER_hh_emih_in!R11=0,0,SER_hh_emih_in!R11/SER_summary!R$27)</f>
        <v>0</v>
      </c>
      <c r="S11" s="132">
        <f>IF(SER_hh_emih_in!S11=0,0,SER_hh_emih_in!S11/SER_summary!S$27)</f>
        <v>0</v>
      </c>
      <c r="T11" s="132">
        <f>IF(SER_hh_emih_in!T11=0,0,SER_hh_emih_in!T11/SER_summary!T$27)</f>
        <v>0</v>
      </c>
      <c r="U11" s="132">
        <f>IF(SER_hh_emih_in!U11=0,0,SER_hh_emih_in!U11/SER_summary!U$27)</f>
        <v>0</v>
      </c>
      <c r="V11" s="132">
        <f>IF(SER_hh_emih_in!V11=0,0,SER_hh_emih_in!V11/SER_summary!V$27)</f>
        <v>0</v>
      </c>
      <c r="W11" s="132">
        <f>IF(SER_hh_emih_in!W11=0,0,SER_hh_emih_in!W11/SER_summary!W$27)</f>
        <v>0</v>
      </c>
      <c r="X11" s="132">
        <f>IF(SER_hh_emih_in!X11=0,0,SER_hh_emih_in!X11/SER_summary!X$27)</f>
        <v>0</v>
      </c>
      <c r="Y11" s="132">
        <f>IF(SER_hh_emih_in!Y11=0,0,SER_hh_emih_in!Y11/SER_summary!Y$27)</f>
        <v>0</v>
      </c>
      <c r="DA11" s="156" t="s">
        <v>887</v>
      </c>
    </row>
    <row r="12" spans="1:105" ht="12" customHeight="1" x14ac:dyDescent="0.25">
      <c r="A12" s="131" t="s">
        <v>162</v>
      </c>
      <c r="B12" s="132"/>
      <c r="C12" s="132">
        <f>IF(SER_hh_emih_in!C12=0,0,SER_hh_emih_in!C12/SER_summary!C$27)</f>
        <v>0</v>
      </c>
      <c r="D12" s="132">
        <f>IF(SER_hh_emih_in!D12=0,0,SER_hh_emih_in!D12/SER_summary!D$27)</f>
        <v>0</v>
      </c>
      <c r="E12" s="132">
        <f>IF(SER_hh_emih_in!E12=0,0,SER_hh_emih_in!E12/SER_summary!E$27)</f>
        <v>0</v>
      </c>
      <c r="F12" s="132">
        <f>IF(SER_hh_emih_in!F12=0,0,SER_hh_emih_in!F12/SER_summary!F$27)</f>
        <v>0</v>
      </c>
      <c r="G12" s="132">
        <f>IF(SER_hh_emih_in!G12=0,0,SER_hh_emih_in!G12/SER_summary!G$27)</f>
        <v>0</v>
      </c>
      <c r="H12" s="132">
        <f>IF(SER_hh_emih_in!H12=0,0,SER_hh_emih_in!H12/SER_summary!H$27)</f>
        <v>0</v>
      </c>
      <c r="I12" s="132">
        <f>IF(SER_hh_emih_in!I12=0,0,SER_hh_emih_in!I12/SER_summary!I$27)</f>
        <v>0</v>
      </c>
      <c r="J12" s="132">
        <f>IF(SER_hh_emih_in!J12=0,0,SER_hh_emih_in!J12/SER_summary!J$27)</f>
        <v>0</v>
      </c>
      <c r="K12" s="132">
        <f>IF(SER_hh_emih_in!K12=0,0,SER_hh_emih_in!K12/SER_summary!K$27)</f>
        <v>0</v>
      </c>
      <c r="L12" s="132">
        <f>IF(SER_hh_emih_in!L12=0,0,SER_hh_emih_in!L12/SER_summary!L$27)</f>
        <v>0</v>
      </c>
      <c r="M12" s="132">
        <f>IF(SER_hh_emih_in!M12=0,0,SER_hh_emih_in!M12/SER_summary!M$27)</f>
        <v>0</v>
      </c>
      <c r="N12" s="132">
        <f>IF(SER_hh_emih_in!N12=0,0,SER_hh_emih_in!N12/SER_summary!N$27)</f>
        <v>0</v>
      </c>
      <c r="O12" s="132">
        <f>IF(SER_hh_emih_in!O12=0,0,SER_hh_emih_in!O12/SER_summary!O$27)</f>
        <v>0</v>
      </c>
      <c r="P12" s="132">
        <f>IF(SER_hh_emih_in!P12=0,0,SER_hh_emih_in!P12/SER_summary!P$27)</f>
        <v>0</v>
      </c>
      <c r="Q12" s="132">
        <f>IF(SER_hh_emih_in!Q12=0,0,SER_hh_emih_in!Q12/SER_summary!Q$27)</f>
        <v>0</v>
      </c>
      <c r="R12" s="132">
        <f>IF(SER_hh_emih_in!R12=0,0,SER_hh_emih_in!R12/SER_summary!R$27)</f>
        <v>0</v>
      </c>
      <c r="S12" s="132">
        <f>IF(SER_hh_emih_in!S12=0,0,SER_hh_emih_in!S12/SER_summary!S$27)</f>
        <v>0</v>
      </c>
      <c r="T12" s="132">
        <f>IF(SER_hh_emih_in!T12=0,0,SER_hh_emih_in!T12/SER_summary!T$27)</f>
        <v>0</v>
      </c>
      <c r="U12" s="132">
        <f>IF(SER_hh_emih_in!U12=0,0,SER_hh_emih_in!U12/SER_summary!U$27)</f>
        <v>0</v>
      </c>
      <c r="V12" s="132">
        <f>IF(SER_hh_emih_in!V12=0,0,SER_hh_emih_in!V12/SER_summary!V$27)</f>
        <v>0</v>
      </c>
      <c r="W12" s="132">
        <f>IF(SER_hh_emih_in!W12=0,0,SER_hh_emih_in!W12/SER_summary!W$27)</f>
        <v>0</v>
      </c>
      <c r="X12" s="132">
        <f>IF(SER_hh_emih_in!X12=0,0,SER_hh_emih_in!X12/SER_summary!X$27)</f>
        <v>0</v>
      </c>
      <c r="Y12" s="132">
        <f>IF(SER_hh_emih_in!Y12=0,0,SER_hh_emih_in!Y12/SER_summary!Y$27)</f>
        <v>0</v>
      </c>
      <c r="DA12" s="156" t="s">
        <v>888</v>
      </c>
    </row>
    <row r="13" spans="1:105" ht="12" customHeight="1" x14ac:dyDescent="0.25">
      <c r="A13" s="131" t="s">
        <v>77</v>
      </c>
      <c r="B13" s="132"/>
      <c r="C13" s="132">
        <f>IF(SER_hh_emih_in!C13=0,0,SER_hh_emih_in!C13/SER_summary!C$27)</f>
        <v>0</v>
      </c>
      <c r="D13" s="132">
        <f>IF(SER_hh_emih_in!D13=0,0,SER_hh_emih_in!D13/SER_summary!D$27)</f>
        <v>0</v>
      </c>
      <c r="E13" s="132">
        <f>IF(SER_hh_emih_in!E13=0,0,SER_hh_emih_in!E13/SER_summary!E$27)</f>
        <v>0</v>
      </c>
      <c r="F13" s="132">
        <f>IF(SER_hh_emih_in!F13=0,0,SER_hh_emih_in!F13/SER_summary!F$27)</f>
        <v>0</v>
      </c>
      <c r="G13" s="132">
        <f>IF(SER_hh_emih_in!G13=0,0,SER_hh_emih_in!G13/SER_summary!G$27)</f>
        <v>0</v>
      </c>
      <c r="H13" s="132">
        <f>IF(SER_hh_emih_in!H13=0,0,SER_hh_emih_in!H13/SER_summary!H$27)</f>
        <v>0</v>
      </c>
      <c r="I13" s="132">
        <f>IF(SER_hh_emih_in!I13=0,0,SER_hh_emih_in!I13/SER_summary!I$27)</f>
        <v>0</v>
      </c>
      <c r="J13" s="132">
        <f>IF(SER_hh_emih_in!J13=0,0,SER_hh_emih_in!J13/SER_summary!J$27)</f>
        <v>0</v>
      </c>
      <c r="K13" s="132">
        <f>IF(SER_hh_emih_in!K13=0,0,SER_hh_emih_in!K13/SER_summary!K$27)</f>
        <v>0</v>
      </c>
      <c r="L13" s="132">
        <f>IF(SER_hh_emih_in!L13=0,0,SER_hh_emih_in!L13/SER_summary!L$27)</f>
        <v>0</v>
      </c>
      <c r="M13" s="132">
        <f>IF(SER_hh_emih_in!M13=0,0,SER_hh_emih_in!M13/SER_summary!M$27)</f>
        <v>0</v>
      </c>
      <c r="N13" s="132">
        <f>IF(SER_hh_emih_in!N13=0,0,SER_hh_emih_in!N13/SER_summary!N$27)</f>
        <v>0</v>
      </c>
      <c r="O13" s="132">
        <f>IF(SER_hh_emih_in!O13=0,0,SER_hh_emih_in!O13/SER_summary!O$27)</f>
        <v>0</v>
      </c>
      <c r="P13" s="132">
        <f>IF(SER_hh_emih_in!P13=0,0,SER_hh_emih_in!P13/SER_summary!P$27)</f>
        <v>0</v>
      </c>
      <c r="Q13" s="132">
        <f>IF(SER_hh_emih_in!Q13=0,0,SER_hh_emih_in!Q13/SER_summary!Q$27)</f>
        <v>0</v>
      </c>
      <c r="R13" s="132">
        <f>IF(SER_hh_emih_in!R13=0,0,SER_hh_emih_in!R13/SER_summary!R$27)</f>
        <v>0</v>
      </c>
      <c r="S13" s="132">
        <f>IF(SER_hh_emih_in!S13=0,0,SER_hh_emih_in!S13/SER_summary!S$27)</f>
        <v>0</v>
      </c>
      <c r="T13" s="132">
        <f>IF(SER_hh_emih_in!T13=0,0,SER_hh_emih_in!T13/SER_summary!T$27)</f>
        <v>0</v>
      </c>
      <c r="U13" s="132">
        <f>IF(SER_hh_emih_in!U13=0,0,SER_hh_emih_in!U13/SER_summary!U$27)</f>
        <v>0</v>
      </c>
      <c r="V13" s="132">
        <f>IF(SER_hh_emih_in!V13=0,0,SER_hh_emih_in!V13/SER_summary!V$27)</f>
        <v>0</v>
      </c>
      <c r="W13" s="132">
        <f>IF(SER_hh_emih_in!W13=0,0,SER_hh_emih_in!W13/SER_summary!W$27)</f>
        <v>0</v>
      </c>
      <c r="X13" s="132">
        <f>IF(SER_hh_emih_in!X13=0,0,SER_hh_emih_in!X13/SER_summary!X$27)</f>
        <v>0</v>
      </c>
      <c r="Y13" s="132">
        <f>IF(SER_hh_emih_in!Y13=0,0,SER_hh_emih_in!Y13/SER_summary!Y$27)</f>
        <v>0</v>
      </c>
      <c r="DA13" s="156" t="s">
        <v>889</v>
      </c>
    </row>
    <row r="14" spans="1:105" ht="12" customHeight="1" x14ac:dyDescent="0.25">
      <c r="A14" s="60" t="s">
        <v>76</v>
      </c>
      <c r="B14" s="65"/>
      <c r="C14" s="65">
        <f>IF(SER_hh_emih_in!C14=0,0,SER_hh_emih_in!C14/SER_summary!C$27)</f>
        <v>0</v>
      </c>
      <c r="D14" s="65">
        <f>IF(SER_hh_emih_in!D14=0,0,SER_hh_emih_in!D14/SER_summary!D$27)</f>
        <v>0</v>
      </c>
      <c r="E14" s="65">
        <f>IF(SER_hh_emih_in!E14=0,0,SER_hh_emih_in!E14/SER_summary!E$27)</f>
        <v>0</v>
      </c>
      <c r="F14" s="65">
        <f>IF(SER_hh_emih_in!F14=0,0,SER_hh_emih_in!F14/SER_summary!F$27)</f>
        <v>0</v>
      </c>
      <c r="G14" s="65">
        <f>IF(SER_hh_emih_in!G14=0,0,SER_hh_emih_in!G14/SER_summary!G$27)</f>
        <v>0</v>
      </c>
      <c r="H14" s="65">
        <f>IF(SER_hh_emih_in!H14=0,0,SER_hh_emih_in!H14/SER_summary!H$27)</f>
        <v>0</v>
      </c>
      <c r="I14" s="65">
        <f>IF(SER_hh_emih_in!I14=0,0,SER_hh_emih_in!I14/SER_summary!I$27)</f>
        <v>0</v>
      </c>
      <c r="J14" s="65">
        <f>IF(SER_hh_emih_in!J14=0,0,SER_hh_emih_in!J14/SER_summary!J$27)</f>
        <v>0</v>
      </c>
      <c r="K14" s="65">
        <f>IF(SER_hh_emih_in!K14=0,0,SER_hh_emih_in!K14/SER_summary!K$27)</f>
        <v>0</v>
      </c>
      <c r="L14" s="65">
        <f>IF(SER_hh_emih_in!L14=0,0,SER_hh_emih_in!L14/SER_summary!L$27)</f>
        <v>0</v>
      </c>
      <c r="M14" s="65">
        <f>IF(SER_hh_emih_in!M14=0,0,SER_hh_emih_in!M14/SER_summary!M$27)</f>
        <v>0</v>
      </c>
      <c r="N14" s="65">
        <f>IF(SER_hh_emih_in!N14=0,0,SER_hh_emih_in!N14/SER_summary!N$27)</f>
        <v>0</v>
      </c>
      <c r="O14" s="65">
        <f>IF(SER_hh_emih_in!O14=0,0,SER_hh_emih_in!O14/SER_summary!O$27)</f>
        <v>0</v>
      </c>
      <c r="P14" s="65">
        <f>IF(SER_hh_emih_in!P14=0,0,SER_hh_emih_in!P14/SER_summary!P$27)</f>
        <v>0</v>
      </c>
      <c r="Q14" s="65">
        <f>IF(SER_hh_emih_in!Q14=0,0,SER_hh_emih_in!Q14/SER_summary!Q$27)</f>
        <v>0</v>
      </c>
      <c r="R14" s="65">
        <f>IF(SER_hh_emih_in!R14=0,0,SER_hh_emih_in!R14/SER_summary!R$27)</f>
        <v>0</v>
      </c>
      <c r="S14" s="65">
        <f>IF(SER_hh_emih_in!S14=0,0,SER_hh_emih_in!S14/SER_summary!S$27)</f>
        <v>0</v>
      </c>
      <c r="T14" s="65">
        <f>IF(SER_hh_emih_in!T14=0,0,SER_hh_emih_in!T14/SER_summary!T$27)</f>
        <v>0</v>
      </c>
      <c r="U14" s="65">
        <f>IF(SER_hh_emih_in!U14=0,0,SER_hh_emih_in!U14/SER_summary!U$27)</f>
        <v>0</v>
      </c>
      <c r="V14" s="65">
        <f>IF(SER_hh_emih_in!V14=0,0,SER_hh_emih_in!V14/SER_summary!V$27)</f>
        <v>0</v>
      </c>
      <c r="W14" s="65">
        <f>IF(SER_hh_emih_in!W14=0,0,SER_hh_emih_in!W14/SER_summary!W$27)</f>
        <v>0</v>
      </c>
      <c r="X14" s="65">
        <f>IF(SER_hh_emih_in!X14=0,0,SER_hh_emih_in!X14/SER_summary!X$27)</f>
        <v>0</v>
      </c>
      <c r="Y14" s="65">
        <f>IF(SER_hh_emih_in!Y14=0,0,SER_hh_emih_in!Y14/SER_summary!Y$27)</f>
        <v>0</v>
      </c>
      <c r="DA14" s="109" t="s">
        <v>890</v>
      </c>
    </row>
    <row r="15" spans="1:105" ht="12" customHeight="1" x14ac:dyDescent="0.25">
      <c r="A15" s="133" t="s">
        <v>80</v>
      </c>
      <c r="B15" s="134"/>
      <c r="C15" s="134">
        <f>IF(SER_hh_emih_in!C15=0,0,SER_hh_emih_in!C15/SER_summary!C$27)</f>
        <v>0</v>
      </c>
      <c r="D15" s="134">
        <f>IF(SER_hh_emih_in!D15=0,0,SER_hh_emih_in!D15/SER_summary!D$27)</f>
        <v>0</v>
      </c>
      <c r="E15" s="134">
        <f>IF(SER_hh_emih_in!E15=0,0,SER_hh_emih_in!E15/SER_summary!E$27)</f>
        <v>0</v>
      </c>
      <c r="F15" s="134">
        <f>IF(SER_hh_emih_in!F15=0,0,SER_hh_emih_in!F15/SER_summary!F$27)</f>
        <v>0</v>
      </c>
      <c r="G15" s="134">
        <f>IF(SER_hh_emih_in!G15=0,0,SER_hh_emih_in!G15/SER_summary!G$27)</f>
        <v>0</v>
      </c>
      <c r="H15" s="134">
        <f>IF(SER_hh_emih_in!H15=0,0,SER_hh_emih_in!H15/SER_summary!H$27)</f>
        <v>0</v>
      </c>
      <c r="I15" s="134">
        <f>IF(SER_hh_emih_in!I15=0,0,SER_hh_emih_in!I15/SER_summary!I$27)</f>
        <v>0</v>
      </c>
      <c r="J15" s="134">
        <f>IF(SER_hh_emih_in!J15=0,0,SER_hh_emih_in!J15/SER_summary!J$27)</f>
        <v>0</v>
      </c>
      <c r="K15" s="134">
        <f>IF(SER_hh_emih_in!K15=0,0,SER_hh_emih_in!K15/SER_summary!K$27)</f>
        <v>0</v>
      </c>
      <c r="L15" s="134">
        <f>IF(SER_hh_emih_in!L15=0,0,SER_hh_emih_in!L15/SER_summary!L$27)</f>
        <v>0</v>
      </c>
      <c r="M15" s="134">
        <f>IF(SER_hh_emih_in!M15=0,0,SER_hh_emih_in!M15/SER_summary!M$27)</f>
        <v>0</v>
      </c>
      <c r="N15" s="134">
        <f>IF(SER_hh_emih_in!N15=0,0,SER_hh_emih_in!N15/SER_summary!N$27)</f>
        <v>0</v>
      </c>
      <c r="O15" s="134">
        <f>IF(SER_hh_emih_in!O15=0,0,SER_hh_emih_in!O15/SER_summary!O$27)</f>
        <v>0</v>
      </c>
      <c r="P15" s="134">
        <f>IF(SER_hh_emih_in!P15=0,0,SER_hh_emih_in!P15/SER_summary!P$27)</f>
        <v>0</v>
      </c>
      <c r="Q15" s="134">
        <f>IF(SER_hh_emih_in!Q15=0,0,SER_hh_emih_in!Q15/SER_summary!Q$27)</f>
        <v>0</v>
      </c>
      <c r="R15" s="134">
        <f>IF(SER_hh_emih_in!R15=0,0,SER_hh_emih_in!R15/SER_summary!R$27)</f>
        <v>0</v>
      </c>
      <c r="S15" s="134">
        <f>IF(SER_hh_emih_in!S15=0,0,SER_hh_emih_in!S15/SER_summary!S$27)</f>
        <v>0</v>
      </c>
      <c r="T15" s="134">
        <f>IF(SER_hh_emih_in!T15=0,0,SER_hh_emih_in!T15/SER_summary!T$27)</f>
        <v>0</v>
      </c>
      <c r="U15" s="134">
        <f>IF(SER_hh_emih_in!U15=0,0,SER_hh_emih_in!U15/SER_summary!U$27)</f>
        <v>0</v>
      </c>
      <c r="V15" s="134">
        <f>IF(SER_hh_emih_in!V15=0,0,SER_hh_emih_in!V15/SER_summary!V$27)</f>
        <v>0</v>
      </c>
      <c r="W15" s="134">
        <f>IF(SER_hh_emih_in!W15=0,0,SER_hh_emih_in!W15/SER_summary!W$27)</f>
        <v>0</v>
      </c>
      <c r="X15" s="134">
        <f>IF(SER_hh_emih_in!X15=0,0,SER_hh_emih_in!X15/SER_summary!X$27)</f>
        <v>0</v>
      </c>
      <c r="Y15" s="134">
        <f>IF(SER_hh_emih_in!Y15=0,0,SER_hh_emih_in!Y15/SER_summary!Y$27)</f>
        <v>0</v>
      </c>
      <c r="DA15" s="157" t="s">
        <v>891</v>
      </c>
    </row>
    <row r="16" spans="1:105" ht="12.95" customHeight="1" x14ac:dyDescent="0.25">
      <c r="A16" s="129" t="s">
        <v>74</v>
      </c>
      <c r="B16" s="130"/>
      <c r="C16" s="130">
        <f>IF(SER_hh_emih_in!C16=0,0,SER_hh_emih_in!C16/SER_summary!C$27)</f>
        <v>2.983165603929314E-2</v>
      </c>
      <c r="D16" s="130">
        <f>IF(SER_hh_emih_in!D16=0,0,SER_hh_emih_in!D16/SER_summary!D$27)</f>
        <v>7.5930288682664075E-3</v>
      </c>
      <c r="E16" s="130">
        <f>IF(SER_hh_emih_in!E16=0,0,SER_hh_emih_in!E16/SER_summary!E$27)</f>
        <v>5.898556160750109E-2</v>
      </c>
      <c r="F16" s="130">
        <f>IF(SER_hh_emih_in!F16=0,0,SER_hh_emih_in!F16/SER_summary!F$27)</f>
        <v>2.8861711333955268E-2</v>
      </c>
      <c r="G16" s="130">
        <f>IF(SER_hh_emih_in!G16=0,0,SER_hh_emih_in!G16/SER_summary!G$27)</f>
        <v>1.8553990597168203E-2</v>
      </c>
      <c r="H16" s="130">
        <f>IF(SER_hh_emih_in!H16=0,0,SER_hh_emih_in!H16/SER_summary!H$27)</f>
        <v>2.8990398512566649E-2</v>
      </c>
      <c r="I16" s="130">
        <f>IF(SER_hh_emih_in!I16=0,0,SER_hh_emih_in!I16/SER_summary!I$27)</f>
        <v>2.5517411552563873E-2</v>
      </c>
      <c r="J16" s="130">
        <f>IF(SER_hh_emih_in!J16=0,0,SER_hh_emih_in!J16/SER_summary!J$27)</f>
        <v>3.8895212281024834E-2</v>
      </c>
      <c r="K16" s="130">
        <f>IF(SER_hh_emih_in!K16=0,0,SER_hh_emih_in!K16/SER_summary!K$27)</f>
        <v>6.6922962671093378E-2</v>
      </c>
      <c r="L16" s="130">
        <f>IF(SER_hh_emih_in!L16=0,0,SER_hh_emih_in!L16/SER_summary!L$27)</f>
        <v>4.537101940267798E-2</v>
      </c>
      <c r="M16" s="130">
        <f>IF(SER_hh_emih_in!M16=0,0,SER_hh_emih_in!M16/SER_summary!M$27)</f>
        <v>4.0184586941826604E-2</v>
      </c>
      <c r="N16" s="130">
        <f>IF(SER_hh_emih_in!N16=0,0,SER_hh_emih_in!N16/SER_summary!N$27)</f>
        <v>6.1533161891979715E-2</v>
      </c>
      <c r="O16" s="130">
        <f>IF(SER_hh_emih_in!O16=0,0,SER_hh_emih_in!O16/SER_summary!O$27)</f>
        <v>5.4101824071042033E-2</v>
      </c>
      <c r="P16" s="130">
        <f>IF(SER_hh_emih_in!P16=0,0,SER_hh_emih_in!P16/SER_summary!P$27)</f>
        <v>4.1701846562665887E-2</v>
      </c>
      <c r="Q16" s="130">
        <f>IF(SER_hh_emih_in!Q16=0,0,SER_hh_emih_in!Q16/SER_summary!Q$27)</f>
        <v>6.7342284574307909E-2</v>
      </c>
      <c r="R16" s="130">
        <f>IF(SER_hh_emih_in!R16=0,0,SER_hh_emih_in!R16/SER_summary!R$27)</f>
        <v>4.5612410869237431E-2</v>
      </c>
      <c r="S16" s="130">
        <f>IF(SER_hh_emih_in!S16=0,0,SER_hh_emih_in!S16/SER_summary!S$27)</f>
        <v>6.6987654189116064E-2</v>
      </c>
      <c r="T16" s="130">
        <f>IF(SER_hh_emih_in!T16=0,0,SER_hh_emih_in!T16/SER_summary!T$27)</f>
        <v>4.9459000677490227E-2</v>
      </c>
      <c r="U16" s="130">
        <f>IF(SER_hh_emih_in!U16=0,0,SER_hh_emih_in!U16/SER_summary!U$27)</f>
        <v>5.9419089633043223E-2</v>
      </c>
      <c r="V16" s="130">
        <f>IF(SER_hh_emih_in!V16=0,0,SER_hh_emih_in!V16/SER_summary!V$27)</f>
        <v>3.7465818209389865E-2</v>
      </c>
      <c r="W16" s="130">
        <f>IF(SER_hh_emih_in!W16=0,0,SER_hh_emih_in!W16/SER_summary!W$27)</f>
        <v>3.6878999765229105E-2</v>
      </c>
      <c r="X16" s="130">
        <f>IF(SER_hh_emih_in!X16=0,0,SER_hh_emih_in!X16/SER_summary!X$27)</f>
        <v>6.619482590379748E-2</v>
      </c>
      <c r="Y16" s="130">
        <f>IF(SER_hh_emih_in!Y16=0,0,SER_hh_emih_in!Y16/SER_summary!Y$27)</f>
        <v>5.5906817279057407E-2</v>
      </c>
      <c r="DA16" s="155" t="s">
        <v>892</v>
      </c>
    </row>
    <row r="17" spans="1:105" ht="12.95" customHeight="1" x14ac:dyDescent="0.25">
      <c r="A17" s="131" t="s">
        <v>73</v>
      </c>
      <c r="B17" s="132"/>
      <c r="C17" s="132">
        <f>IF(SER_hh_emih_in!C17=0,0,SER_hh_emih_in!C17/SER_summary!C$27)</f>
        <v>4.7106888179397899</v>
      </c>
      <c r="D17" s="132">
        <f>IF(SER_hh_emih_in!D17=0,0,SER_hh_emih_in!D17/SER_summary!D$27)</f>
        <v>4.0519874261725892</v>
      </c>
      <c r="E17" s="132">
        <f>IF(SER_hh_emih_in!E17=0,0,SER_hh_emih_in!E17/SER_summary!E$27)</f>
        <v>9.2176260383528277</v>
      </c>
      <c r="F17" s="132">
        <f>IF(SER_hh_emih_in!F17=0,0,SER_hh_emih_in!F17/SER_summary!F$27)</f>
        <v>4.0599028286743977</v>
      </c>
      <c r="G17" s="132">
        <f>IF(SER_hh_emih_in!G17=0,0,SER_hh_emih_in!G17/SER_summary!G$27)</f>
        <v>3.9776772696600307</v>
      </c>
      <c r="H17" s="132">
        <f>IF(SER_hh_emih_in!H17=0,0,SER_hh_emih_in!H17/SER_summary!H$27)</f>
        <v>4.5770392072957895</v>
      </c>
      <c r="I17" s="132">
        <f>IF(SER_hh_emih_in!I17=0,0,SER_hh_emih_in!I17/SER_summary!I$27)</f>
        <v>4.1139257284336619</v>
      </c>
      <c r="J17" s="132">
        <f>IF(SER_hh_emih_in!J17=0,0,SER_hh_emih_in!J17/SER_summary!J$27)</f>
        <v>4.7073861616584916</v>
      </c>
      <c r="K17" s="132">
        <f>IF(SER_hh_emih_in!K17=0,0,SER_hh_emih_in!K17/SER_summary!K$27)</f>
        <v>4.6803297427583317</v>
      </c>
      <c r="L17" s="132">
        <f>IF(SER_hh_emih_in!L17=0,0,SER_hh_emih_in!L17/SER_summary!L$27)</f>
        <v>3.6933948147416293</v>
      </c>
      <c r="M17" s="132">
        <f>IF(SER_hh_emih_in!M17=0,0,SER_hh_emih_in!M17/SER_summary!M$27)</f>
        <v>3.8717187070327079</v>
      </c>
      <c r="N17" s="132">
        <f>IF(SER_hh_emih_in!N17=0,0,SER_hh_emih_in!N17/SER_summary!N$27)</f>
        <v>5.8692684971776936</v>
      </c>
      <c r="O17" s="132">
        <f>IF(SER_hh_emih_in!O17=0,0,SER_hh_emih_in!O17/SER_summary!O$27)</f>
        <v>3.3449190532006643</v>
      </c>
      <c r="P17" s="132">
        <f>IF(SER_hh_emih_in!P17=0,0,SER_hh_emih_in!P17/SER_summary!P$27)</f>
        <v>2.7791903848141688</v>
      </c>
      <c r="Q17" s="132">
        <f>IF(SER_hh_emih_in!Q17=0,0,SER_hh_emih_in!Q17/SER_summary!Q$27)</f>
        <v>4.7578869248253097</v>
      </c>
      <c r="R17" s="132">
        <f>IF(SER_hh_emih_in!R17=0,0,SER_hh_emih_in!R17/SER_summary!R$27)</f>
        <v>2.9521258303824065</v>
      </c>
      <c r="S17" s="132">
        <f>IF(SER_hh_emih_in!S17=0,0,SER_hh_emih_in!S17/SER_summary!S$27)</f>
        <v>4.2267845663545058</v>
      </c>
      <c r="T17" s="132">
        <f>IF(SER_hh_emih_in!T17=0,0,SER_hh_emih_in!T17/SER_summary!T$27)</f>
        <v>3.02228328237483</v>
      </c>
      <c r="U17" s="132">
        <f>IF(SER_hh_emih_in!U17=0,0,SER_hh_emih_in!U17/SER_summary!U$27)</f>
        <v>3.7149162189705831</v>
      </c>
      <c r="V17" s="132">
        <f>IF(SER_hh_emih_in!V17=0,0,SER_hh_emih_in!V17/SER_summary!V$27)</f>
        <v>2.4807551585177565</v>
      </c>
      <c r="W17" s="132">
        <f>IF(SER_hh_emih_in!W17=0,0,SER_hh_emih_in!W17/SER_summary!W$27)</f>
        <v>2.6119032933086075</v>
      </c>
      <c r="X17" s="132">
        <f>IF(SER_hh_emih_in!X17=0,0,SER_hh_emih_in!X17/SER_summary!X$27)</f>
        <v>2.9067786651217409</v>
      </c>
      <c r="Y17" s="132">
        <f>IF(SER_hh_emih_in!Y17=0,0,SER_hh_emih_in!Y17/SER_summary!Y$27)</f>
        <v>2.5598448515171217</v>
      </c>
      <c r="DA17" s="156" t="s">
        <v>893</v>
      </c>
    </row>
    <row r="18" spans="1:105" ht="12" customHeight="1" x14ac:dyDescent="0.25">
      <c r="A18" s="131" t="s">
        <v>72</v>
      </c>
      <c r="B18" s="132"/>
      <c r="C18" s="132">
        <f>IF(SER_hh_emih_in!C18=0,0,SER_hh_emih_in!C18/SER_summary!C$27)</f>
        <v>0</v>
      </c>
      <c r="D18" s="132">
        <f>IF(SER_hh_emih_in!D18=0,0,SER_hh_emih_in!D18/SER_summary!D$27)</f>
        <v>0</v>
      </c>
      <c r="E18" s="132">
        <f>IF(SER_hh_emih_in!E18=0,0,SER_hh_emih_in!E18/SER_summary!E$27)</f>
        <v>0</v>
      </c>
      <c r="F18" s="132">
        <f>IF(SER_hh_emih_in!F18=0,0,SER_hh_emih_in!F18/SER_summary!F$27)</f>
        <v>0</v>
      </c>
      <c r="G18" s="132">
        <f>IF(SER_hh_emih_in!G18=0,0,SER_hh_emih_in!G18/SER_summary!G$27)</f>
        <v>0</v>
      </c>
      <c r="H18" s="132">
        <f>IF(SER_hh_emih_in!H18=0,0,SER_hh_emih_in!H18/SER_summary!H$27)</f>
        <v>0</v>
      </c>
      <c r="I18" s="132">
        <f>IF(SER_hh_emih_in!I18=0,0,SER_hh_emih_in!I18/SER_summary!I$27)</f>
        <v>0</v>
      </c>
      <c r="J18" s="132">
        <f>IF(SER_hh_emih_in!J18=0,0,SER_hh_emih_in!J18/SER_summary!J$27)</f>
        <v>0</v>
      </c>
      <c r="K18" s="132">
        <f>IF(SER_hh_emih_in!K18=0,0,SER_hh_emih_in!K18/SER_summary!K$27)</f>
        <v>0</v>
      </c>
      <c r="L18" s="132">
        <f>IF(SER_hh_emih_in!L18=0,0,SER_hh_emih_in!L18/SER_summary!L$27)</f>
        <v>0</v>
      </c>
      <c r="M18" s="132">
        <f>IF(SER_hh_emih_in!M18=0,0,SER_hh_emih_in!M18/SER_summary!M$27)</f>
        <v>0</v>
      </c>
      <c r="N18" s="132">
        <f>IF(SER_hh_emih_in!N18=0,0,SER_hh_emih_in!N18/SER_summary!N$27)</f>
        <v>0</v>
      </c>
      <c r="O18" s="132">
        <f>IF(SER_hh_emih_in!O18=0,0,SER_hh_emih_in!O18/SER_summary!O$27)</f>
        <v>0</v>
      </c>
      <c r="P18" s="132">
        <f>IF(SER_hh_emih_in!P18=0,0,SER_hh_emih_in!P18/SER_summary!P$27)</f>
        <v>0</v>
      </c>
      <c r="Q18" s="132">
        <f>IF(SER_hh_emih_in!Q18=0,0,SER_hh_emih_in!Q18/SER_summary!Q$27)</f>
        <v>0</v>
      </c>
      <c r="R18" s="132">
        <f>IF(SER_hh_emih_in!R18=0,0,SER_hh_emih_in!R18/SER_summary!R$27)</f>
        <v>0</v>
      </c>
      <c r="S18" s="132">
        <f>IF(SER_hh_emih_in!S18=0,0,SER_hh_emih_in!S18/SER_summary!S$27)</f>
        <v>0</v>
      </c>
      <c r="T18" s="132">
        <f>IF(SER_hh_emih_in!T18=0,0,SER_hh_emih_in!T18/SER_summary!T$27)</f>
        <v>0</v>
      </c>
      <c r="U18" s="132">
        <f>IF(SER_hh_emih_in!U18=0,0,SER_hh_emih_in!U18/SER_summary!U$27)</f>
        <v>0</v>
      </c>
      <c r="V18" s="132">
        <f>IF(SER_hh_emih_in!V18=0,0,SER_hh_emih_in!V18/SER_summary!V$27)</f>
        <v>0</v>
      </c>
      <c r="W18" s="132">
        <f>IF(SER_hh_emih_in!W18=0,0,SER_hh_emih_in!W18/SER_summary!W$27)</f>
        <v>0</v>
      </c>
      <c r="X18" s="132">
        <f>IF(SER_hh_emih_in!X18=0,0,SER_hh_emih_in!X18/SER_summary!X$27)</f>
        <v>0</v>
      </c>
      <c r="Y18" s="132">
        <f>IF(SER_hh_emih_in!Y18=0,0,SER_hh_emih_in!Y18/SER_summary!Y$27)</f>
        <v>0</v>
      </c>
      <c r="DA18" s="156" t="s">
        <v>894</v>
      </c>
    </row>
    <row r="19" spans="1:105" ht="12.95" customHeight="1" x14ac:dyDescent="0.25">
      <c r="A19" s="129" t="s">
        <v>35</v>
      </c>
      <c r="B19" s="130"/>
      <c r="C19" s="130">
        <f>IF(SER_hh_emih_in!C19=0,0,SER_hh_emih_in!C19/SER_summary!C$27)</f>
        <v>2.6682417192461516</v>
      </c>
      <c r="D19" s="130">
        <f>IF(SER_hh_emih_in!D19=0,0,SER_hh_emih_in!D19/SER_summary!D$27)</f>
        <v>2.6067159306088943</v>
      </c>
      <c r="E19" s="130">
        <f>IF(SER_hh_emih_in!E19=0,0,SER_hh_emih_in!E19/SER_summary!E$27)</f>
        <v>2.9174076589237461</v>
      </c>
      <c r="F19" s="130">
        <f>IF(SER_hh_emih_in!F19=0,0,SER_hh_emih_in!F19/SER_summary!F$27)</f>
        <v>3.0235432834802634</v>
      </c>
      <c r="G19" s="130">
        <f>IF(SER_hh_emih_in!G19=0,0,SER_hh_emih_in!G19/SER_summary!G$27)</f>
        <v>3.4569125364413775</v>
      </c>
      <c r="H19" s="130">
        <f>IF(SER_hh_emih_in!H19=0,0,SER_hh_emih_in!H19/SER_summary!H$27)</f>
        <v>2.8493520883984567</v>
      </c>
      <c r="I19" s="130">
        <f>IF(SER_hh_emih_in!I19=0,0,SER_hh_emih_in!I19/SER_summary!I$27)</f>
        <v>2.7142453037742551</v>
      </c>
      <c r="J19" s="130">
        <f>IF(SER_hh_emih_in!J19=0,0,SER_hh_emih_in!J19/SER_summary!J$27)</f>
        <v>3.0751862871715705</v>
      </c>
      <c r="K19" s="130">
        <f>IF(SER_hh_emih_in!K19=0,0,SER_hh_emih_in!K19/SER_summary!K$27)</f>
        <v>2.9387159321320313</v>
      </c>
      <c r="L19" s="130">
        <f>IF(SER_hh_emih_in!L19=0,0,SER_hh_emih_in!L19/SER_summary!L$27)</f>
        <v>2.728384196823908</v>
      </c>
      <c r="M19" s="130">
        <f>IF(SER_hh_emih_in!M19=0,0,SER_hh_emih_in!M19/SER_summary!M$27)</f>
        <v>3.013948259772933</v>
      </c>
      <c r="N19" s="130">
        <f>IF(SER_hh_emih_in!N19=0,0,SER_hh_emih_in!N19/SER_summary!N$27)</f>
        <v>3.1019246454919429</v>
      </c>
      <c r="O19" s="130">
        <f>IF(SER_hh_emih_in!O19=0,0,SER_hh_emih_in!O19/SER_summary!O$27)</f>
        <v>2.9581630611854095</v>
      </c>
      <c r="P19" s="130">
        <f>IF(SER_hh_emih_in!P19=0,0,SER_hh_emih_in!P19/SER_summary!P$27)</f>
        <v>1.8821050081079178</v>
      </c>
      <c r="Q19" s="130">
        <f>IF(SER_hh_emih_in!Q19=0,0,SER_hh_emih_in!Q19/SER_summary!Q$27)</f>
        <v>2.5823468401946004</v>
      </c>
      <c r="R19" s="130">
        <f>IF(SER_hh_emih_in!R19=0,0,SER_hh_emih_in!R19/SER_summary!R$27)</f>
        <v>3.1967962445372757</v>
      </c>
      <c r="S19" s="130">
        <f>IF(SER_hh_emih_in!S19=0,0,SER_hh_emih_in!S19/SER_summary!S$27)</f>
        <v>2.9968702381065757</v>
      </c>
      <c r="T19" s="130">
        <f>IF(SER_hh_emih_in!T19=0,0,SER_hh_emih_in!T19/SER_summary!T$27)</f>
        <v>2.3180914844590079</v>
      </c>
      <c r="U19" s="130">
        <f>IF(SER_hh_emih_in!U19=0,0,SER_hh_emih_in!U19/SER_summary!U$27)</f>
        <v>2.0238131715001617</v>
      </c>
      <c r="V19" s="130">
        <f>IF(SER_hh_emih_in!V19=0,0,SER_hh_emih_in!V19/SER_summary!V$27)</f>
        <v>1.5484966153866018</v>
      </c>
      <c r="W19" s="130">
        <f>IF(SER_hh_emih_in!W19=0,0,SER_hh_emih_in!W19/SER_summary!W$27)</f>
        <v>0.12999316755569337</v>
      </c>
      <c r="X19" s="130">
        <f>IF(SER_hh_emih_in!X19=0,0,SER_hh_emih_in!X19/SER_summary!X$27)</f>
        <v>2.1868080695671406</v>
      </c>
      <c r="Y19" s="130">
        <f>IF(SER_hh_emih_in!Y19=0,0,SER_hh_emih_in!Y19/SER_summary!Y$27)</f>
        <v>2.4651896809745346</v>
      </c>
      <c r="DA19" s="155" t="s">
        <v>895</v>
      </c>
    </row>
    <row r="20" spans="1:105" ht="12" customHeight="1" x14ac:dyDescent="0.25">
      <c r="A20" s="131" t="s">
        <v>29</v>
      </c>
      <c r="B20" s="132"/>
      <c r="C20" s="132">
        <f>IF(SER_hh_emih_in!C20=0,0,SER_hh_emih_in!C20/SER_summary!C$27)</f>
        <v>0</v>
      </c>
      <c r="D20" s="132">
        <f>IF(SER_hh_emih_in!D20=0,0,SER_hh_emih_in!D20/SER_summary!D$27)</f>
        <v>0</v>
      </c>
      <c r="E20" s="132">
        <f>IF(SER_hh_emih_in!E20=0,0,SER_hh_emih_in!E20/SER_summary!E$27)</f>
        <v>0</v>
      </c>
      <c r="F20" s="132">
        <f>IF(SER_hh_emih_in!F20=0,0,SER_hh_emih_in!F20/SER_summary!F$27)</f>
        <v>0</v>
      </c>
      <c r="G20" s="132">
        <f>IF(SER_hh_emih_in!G20=0,0,SER_hh_emih_in!G20/SER_summary!G$27)</f>
        <v>0</v>
      </c>
      <c r="H20" s="132">
        <f>IF(SER_hh_emih_in!H20=0,0,SER_hh_emih_in!H20/SER_summary!H$27)</f>
        <v>0</v>
      </c>
      <c r="I20" s="132">
        <f>IF(SER_hh_emih_in!I20=0,0,SER_hh_emih_in!I20/SER_summary!I$27)</f>
        <v>0</v>
      </c>
      <c r="J20" s="132">
        <f>IF(SER_hh_emih_in!J20=0,0,SER_hh_emih_in!J20/SER_summary!J$27)</f>
        <v>0</v>
      </c>
      <c r="K20" s="132">
        <f>IF(SER_hh_emih_in!K20=0,0,SER_hh_emih_in!K20/SER_summary!K$27)</f>
        <v>0</v>
      </c>
      <c r="L20" s="132">
        <f>IF(SER_hh_emih_in!L20=0,0,SER_hh_emih_in!L20/SER_summary!L$27)</f>
        <v>0</v>
      </c>
      <c r="M20" s="132">
        <f>IF(SER_hh_emih_in!M20=0,0,SER_hh_emih_in!M20/SER_summary!M$27)</f>
        <v>0</v>
      </c>
      <c r="N20" s="132">
        <f>IF(SER_hh_emih_in!N20=0,0,SER_hh_emih_in!N20/SER_summary!N$27)</f>
        <v>0</v>
      </c>
      <c r="O20" s="132">
        <f>IF(SER_hh_emih_in!O20=0,0,SER_hh_emih_in!O20/SER_summary!O$27)</f>
        <v>0</v>
      </c>
      <c r="P20" s="132">
        <f>IF(SER_hh_emih_in!P20=0,0,SER_hh_emih_in!P20/SER_summary!P$27)</f>
        <v>0</v>
      </c>
      <c r="Q20" s="132">
        <f>IF(SER_hh_emih_in!Q20=0,0,SER_hh_emih_in!Q20/SER_summary!Q$27)</f>
        <v>0</v>
      </c>
      <c r="R20" s="132">
        <f>IF(SER_hh_emih_in!R20=0,0,SER_hh_emih_in!R20/SER_summary!R$27)</f>
        <v>0</v>
      </c>
      <c r="S20" s="132">
        <f>IF(SER_hh_emih_in!S20=0,0,SER_hh_emih_in!S20/SER_summary!S$27)</f>
        <v>0</v>
      </c>
      <c r="T20" s="132">
        <f>IF(SER_hh_emih_in!T20=0,0,SER_hh_emih_in!T20/SER_summary!T$27)</f>
        <v>0</v>
      </c>
      <c r="U20" s="132">
        <f>IF(SER_hh_emih_in!U20=0,0,SER_hh_emih_in!U20/SER_summary!U$27)</f>
        <v>0</v>
      </c>
      <c r="V20" s="132">
        <f>IF(SER_hh_emih_in!V20=0,0,SER_hh_emih_in!V20/SER_summary!V$27)</f>
        <v>0</v>
      </c>
      <c r="W20" s="132">
        <f>IF(SER_hh_emih_in!W20=0,0,SER_hh_emih_in!W20/SER_summary!W$27)</f>
        <v>0</v>
      </c>
      <c r="X20" s="132">
        <f>IF(SER_hh_emih_in!X20=0,0,SER_hh_emih_in!X20/SER_summary!X$27)</f>
        <v>0</v>
      </c>
      <c r="Y20" s="132">
        <f>IF(SER_hh_emih_in!Y20=0,0,SER_hh_emih_in!Y20/SER_summary!Y$27)</f>
        <v>0</v>
      </c>
      <c r="DA20" s="156" t="s">
        <v>896</v>
      </c>
    </row>
    <row r="21" spans="1:105" s="2" customFormat="1" ht="12" customHeight="1" x14ac:dyDescent="0.25">
      <c r="A21" s="131" t="s">
        <v>52</v>
      </c>
      <c r="B21" s="132"/>
      <c r="C21" s="132">
        <f>IF(SER_hh_emih_in!C21=0,0,SER_hh_emih_in!C21/SER_summary!C$27)</f>
        <v>8.2169951043976752</v>
      </c>
      <c r="D21" s="132">
        <f>IF(SER_hh_emih_in!D21=0,0,SER_hh_emih_in!D21/SER_summary!D$27)</f>
        <v>8.0617313492244485</v>
      </c>
      <c r="E21" s="132">
        <f>IF(SER_hh_emih_in!E21=0,0,SER_hh_emih_in!E21/SER_summary!E$27)</f>
        <v>7.8372830162977829</v>
      </c>
      <c r="F21" s="132">
        <f>IF(SER_hh_emih_in!F21=0,0,SER_hh_emih_in!F21/SER_summary!F$27)</f>
        <v>7.91708700256362</v>
      </c>
      <c r="G21" s="132">
        <f>IF(SER_hh_emih_in!G21=0,0,SER_hh_emih_in!G21/SER_summary!G$27)</f>
        <v>7.7589205673081443</v>
      </c>
      <c r="H21" s="132">
        <f>IF(SER_hh_emih_in!H21=0,0,SER_hh_emih_in!H21/SER_summary!H$27)</f>
        <v>8.0801243534504721</v>
      </c>
      <c r="I21" s="132">
        <f>IF(SER_hh_emih_in!I21=0,0,SER_hh_emih_in!I21/SER_summary!I$27)</f>
        <v>7.52715586490819</v>
      </c>
      <c r="J21" s="132">
        <f>IF(SER_hh_emih_in!J21=0,0,SER_hh_emih_in!J21/SER_summary!J$27)</f>
        <v>7.2617444021775501</v>
      </c>
      <c r="K21" s="132">
        <f>IF(SER_hh_emih_in!K21=0,0,SER_hh_emih_in!K21/SER_summary!K$27)</f>
        <v>6.835629893737261</v>
      </c>
      <c r="L21" s="132">
        <f>IF(SER_hh_emih_in!L21=0,0,SER_hh_emih_in!L21/SER_summary!L$27)</f>
        <v>6.5563337350471045</v>
      </c>
      <c r="M21" s="132">
        <f>IF(SER_hh_emih_in!M21=0,0,SER_hh_emih_in!M21/SER_summary!M$27)</f>
        <v>7.9695942911376232</v>
      </c>
      <c r="N21" s="132">
        <f>IF(SER_hh_emih_in!N21=0,0,SER_hh_emih_in!N21/SER_summary!N$27)</f>
        <v>7.2068609399441694</v>
      </c>
      <c r="O21" s="132">
        <f>IF(SER_hh_emih_in!O21=0,0,SER_hh_emih_in!O21/SER_summary!O$27)</f>
        <v>7.4349415532724006</v>
      </c>
      <c r="P21" s="132">
        <f>IF(SER_hh_emih_in!P21=0,0,SER_hh_emih_in!P21/SER_summary!P$27)</f>
        <v>0</v>
      </c>
      <c r="Q21" s="132">
        <f>IF(SER_hh_emih_in!Q21=0,0,SER_hh_emih_in!Q21/SER_summary!Q$27)</f>
        <v>0</v>
      </c>
      <c r="R21" s="132">
        <f>IF(SER_hh_emih_in!R21=0,0,SER_hh_emih_in!R21/SER_summary!R$27)</f>
        <v>6.7169876158654889</v>
      </c>
      <c r="S21" s="132">
        <f>IF(SER_hh_emih_in!S21=0,0,SER_hh_emih_in!S21/SER_summary!S$27)</f>
        <v>6.5423644598459747</v>
      </c>
      <c r="T21" s="132">
        <f>IF(SER_hh_emih_in!T21=0,0,SER_hh_emih_in!T21/SER_summary!T$27)</f>
        <v>5.959665316605256</v>
      </c>
      <c r="U21" s="132">
        <f>IF(SER_hh_emih_in!U21=0,0,SER_hh_emih_in!U21/SER_summary!U$27)</f>
        <v>5.3251714935555325</v>
      </c>
      <c r="V21" s="132">
        <f>IF(SER_hh_emih_in!V21=0,0,SER_hh_emih_in!V21/SER_summary!V$27)</f>
        <v>5.1716761180248776</v>
      </c>
      <c r="W21" s="132">
        <f>IF(SER_hh_emih_in!W21=0,0,SER_hh_emih_in!W21/SER_summary!W$27)</f>
        <v>5.6565472674671273</v>
      </c>
      <c r="X21" s="132">
        <f>IF(SER_hh_emih_in!X21=0,0,SER_hh_emih_in!X21/SER_summary!X$27)</f>
        <v>5.7383421714991059</v>
      </c>
      <c r="Y21" s="132">
        <f>IF(SER_hh_emih_in!Y21=0,0,SER_hh_emih_in!Y21/SER_summary!Y$27)</f>
        <v>5.7337510491924775</v>
      </c>
      <c r="DA21" s="156" t="s">
        <v>897</v>
      </c>
    </row>
    <row r="22" spans="1:105" ht="12" customHeight="1" x14ac:dyDescent="0.25">
      <c r="A22" s="131" t="s">
        <v>161</v>
      </c>
      <c r="B22" s="132"/>
      <c r="C22" s="132">
        <f>IF(SER_hh_emih_in!C22=0,0,SER_hh_emih_in!C22/SER_summary!C$27)</f>
        <v>10.170818794615046</v>
      </c>
      <c r="D22" s="132">
        <f>IF(SER_hh_emih_in!D22=0,0,SER_hh_emih_in!D22/SER_summary!D$27)</f>
        <v>0</v>
      </c>
      <c r="E22" s="132">
        <f>IF(SER_hh_emih_in!E22=0,0,SER_hh_emih_in!E22/SER_summary!E$27)</f>
        <v>0</v>
      </c>
      <c r="F22" s="132">
        <f>IF(SER_hh_emih_in!F22=0,0,SER_hh_emih_in!F22/SER_summary!F$27)</f>
        <v>0</v>
      </c>
      <c r="G22" s="132">
        <f>IF(SER_hh_emih_in!G22=0,0,SER_hh_emih_in!G22/SER_summary!G$27)</f>
        <v>8.356457944603612</v>
      </c>
      <c r="H22" s="132">
        <f>IF(SER_hh_emih_in!H22=0,0,SER_hh_emih_in!H22/SER_summary!H$27)</f>
        <v>9.8233190952937068</v>
      </c>
      <c r="I22" s="132">
        <f>IF(SER_hh_emih_in!I22=0,0,SER_hh_emih_in!I22/SER_summary!I$27)</f>
        <v>9.6599073336711587</v>
      </c>
      <c r="J22" s="132">
        <f>IF(SER_hh_emih_in!J22=0,0,SER_hh_emih_in!J22/SER_summary!J$27)</f>
        <v>9.4442911943894998</v>
      </c>
      <c r="K22" s="132">
        <f>IF(SER_hh_emih_in!K22=0,0,SER_hh_emih_in!K22/SER_summary!K$27)</f>
        <v>8.8071377972399052</v>
      </c>
      <c r="L22" s="132">
        <f>IF(SER_hh_emih_in!L22=0,0,SER_hh_emih_in!L22/SER_summary!L$27)</f>
        <v>8.1767679624834937</v>
      </c>
      <c r="M22" s="132">
        <f>IF(SER_hh_emih_in!M22=0,0,SER_hh_emih_in!M22/SER_summary!M$27)</f>
        <v>9.2495616818605697</v>
      </c>
      <c r="N22" s="132">
        <f>IF(SER_hh_emih_in!N22=0,0,SER_hh_emih_in!N22/SER_summary!N$27)</f>
        <v>9.0128162421347948</v>
      </c>
      <c r="O22" s="132">
        <f>IF(SER_hh_emih_in!O22=0,0,SER_hh_emih_in!O22/SER_summary!O$27)</f>
        <v>9.0253099740267064</v>
      </c>
      <c r="P22" s="132">
        <f>IF(SER_hh_emih_in!P22=0,0,SER_hh_emih_in!P22/SER_summary!P$27)</f>
        <v>0</v>
      </c>
      <c r="Q22" s="132">
        <f>IF(SER_hh_emih_in!Q22=0,0,SER_hh_emih_in!Q22/SER_summary!Q$27)</f>
        <v>0</v>
      </c>
      <c r="R22" s="132">
        <f>IF(SER_hh_emih_in!R22=0,0,SER_hh_emih_in!R22/SER_summary!R$27)</f>
        <v>0</v>
      </c>
      <c r="S22" s="132">
        <f>IF(SER_hh_emih_in!S22=0,0,SER_hh_emih_in!S22/SER_summary!S$27)</f>
        <v>0</v>
      </c>
      <c r="T22" s="132">
        <f>IF(SER_hh_emih_in!T22=0,0,SER_hh_emih_in!T22/SER_summary!T$27)</f>
        <v>0</v>
      </c>
      <c r="U22" s="132">
        <f>IF(SER_hh_emih_in!U22=0,0,SER_hh_emih_in!U22/SER_summary!U$27)</f>
        <v>0</v>
      </c>
      <c r="V22" s="132">
        <f>IF(SER_hh_emih_in!V22=0,0,SER_hh_emih_in!V22/SER_summary!V$27)</f>
        <v>0</v>
      </c>
      <c r="W22" s="132">
        <f>IF(SER_hh_emih_in!W22=0,0,SER_hh_emih_in!W22/SER_summary!W$27)</f>
        <v>6.4924550664688798</v>
      </c>
      <c r="X22" s="132">
        <f>IF(SER_hh_emih_in!X22=0,0,SER_hh_emih_in!X22/SER_summary!X$27)</f>
        <v>6.9003347183953538</v>
      </c>
      <c r="Y22" s="132">
        <f>IF(SER_hh_emih_in!Y22=0,0,SER_hh_emih_in!Y22/SER_summary!Y$27)</f>
        <v>5.6847641547593772</v>
      </c>
      <c r="DA22" s="156" t="s">
        <v>898</v>
      </c>
    </row>
    <row r="23" spans="1:105" ht="12" customHeight="1" x14ac:dyDescent="0.25">
      <c r="A23" s="131" t="s">
        <v>149</v>
      </c>
      <c r="B23" s="132"/>
      <c r="C23" s="132">
        <f>IF(SER_hh_emih_in!C23=0,0,SER_hh_emih_in!C23/SER_summary!C$27)</f>
        <v>7.0687039604135657</v>
      </c>
      <c r="D23" s="132">
        <f>IF(SER_hh_emih_in!D23=0,0,SER_hh_emih_in!D23/SER_summary!D$27)</f>
        <v>7.055120941836492</v>
      </c>
      <c r="E23" s="132">
        <f>IF(SER_hh_emih_in!E23=0,0,SER_hh_emih_in!E23/SER_summary!E$27)</f>
        <v>6.9449647636035428</v>
      </c>
      <c r="F23" s="132">
        <f>IF(SER_hh_emih_in!F23=0,0,SER_hh_emih_in!F23/SER_summary!F$27)</f>
        <v>6.8387798399598703</v>
      </c>
      <c r="G23" s="132">
        <f>IF(SER_hh_emih_in!G23=0,0,SER_hh_emih_in!G23/SER_summary!G$27)</f>
        <v>6.6579596422952321</v>
      </c>
      <c r="H23" s="132">
        <f>IF(SER_hh_emih_in!H23=0,0,SER_hh_emih_in!H23/SER_summary!H$27)</f>
        <v>6.719485938715918</v>
      </c>
      <c r="I23" s="132">
        <f>IF(SER_hh_emih_in!I23=0,0,SER_hh_emih_in!I23/SER_summary!I$27)</f>
        <v>6.5627867773034518</v>
      </c>
      <c r="J23" s="132">
        <f>IF(SER_hh_emih_in!J23=0,0,SER_hh_emih_in!J23/SER_summary!J$27)</f>
        <v>6.2860311385902232</v>
      </c>
      <c r="K23" s="132">
        <f>IF(SER_hh_emih_in!K23=0,0,SER_hh_emih_in!K23/SER_summary!K$27)</f>
        <v>5.8857493451823943</v>
      </c>
      <c r="L23" s="132">
        <f>IF(SER_hh_emih_in!L23=0,0,SER_hh_emih_in!L23/SER_summary!L$27)</f>
        <v>5.7949161690175393</v>
      </c>
      <c r="M23" s="132">
        <f>IF(SER_hh_emih_in!M23=0,0,SER_hh_emih_in!M23/SER_summary!M$27)</f>
        <v>6.4138086923773194</v>
      </c>
      <c r="N23" s="132">
        <f>IF(SER_hh_emih_in!N23=0,0,SER_hh_emih_in!N23/SER_summary!N$27)</f>
        <v>6.2720971436209911</v>
      </c>
      <c r="O23" s="132">
        <f>IF(SER_hh_emih_in!O23=0,0,SER_hh_emih_in!O23/SER_summary!O$27)</f>
        <v>6.1319921355406439</v>
      </c>
      <c r="P23" s="132">
        <f>IF(SER_hh_emih_in!P23=0,0,SER_hh_emih_in!P23/SER_summary!P$27)</f>
        <v>5.9164244109225832</v>
      </c>
      <c r="Q23" s="132">
        <f>IF(SER_hh_emih_in!Q23=0,0,SER_hh_emih_in!Q23/SER_summary!Q$27)</f>
        <v>5.7283122733787506</v>
      </c>
      <c r="R23" s="132">
        <f>IF(SER_hh_emih_in!R23=0,0,SER_hh_emih_in!R23/SER_summary!R$27)</f>
        <v>5.5581111160612515</v>
      </c>
      <c r="S23" s="132">
        <f>IF(SER_hh_emih_in!S23=0,0,SER_hh_emih_in!S23/SER_summary!S$27)</f>
        <v>5.0656037040602868</v>
      </c>
      <c r="T23" s="132">
        <f>IF(SER_hh_emih_in!T23=0,0,SER_hh_emih_in!T23/SER_summary!T$27)</f>
        <v>4.7919795900544804</v>
      </c>
      <c r="U23" s="132">
        <f>IF(SER_hh_emih_in!U23=0,0,SER_hh_emih_in!U23/SER_summary!U$27)</f>
        <v>4.7333444836951806</v>
      </c>
      <c r="V23" s="132">
        <f>IF(SER_hh_emih_in!V23=0,0,SER_hh_emih_in!V23/SER_summary!V$27)</f>
        <v>4.6054057549059548</v>
      </c>
      <c r="W23" s="132">
        <f>IF(SER_hh_emih_in!W23=0,0,SER_hh_emih_in!W23/SER_summary!W$27)</f>
        <v>5.1801285974483475</v>
      </c>
      <c r="X23" s="132">
        <f>IF(SER_hh_emih_in!X23=0,0,SER_hh_emih_in!X23/SER_summary!X$27)</f>
        <v>5.1229407928435187</v>
      </c>
      <c r="Y23" s="132">
        <f>IF(SER_hh_emih_in!Y23=0,0,SER_hh_emih_in!Y23/SER_summary!Y$27)</f>
        <v>5.0339492768104472</v>
      </c>
      <c r="DA23" s="156" t="s">
        <v>899</v>
      </c>
    </row>
    <row r="24" spans="1:105" ht="12" customHeight="1" x14ac:dyDescent="0.25">
      <c r="A24" s="131" t="s">
        <v>128</v>
      </c>
      <c r="B24" s="132"/>
      <c r="C24" s="132">
        <f>IF(SER_hh_emih_in!C24=0,0,SER_hh_emih_in!C24/SER_summary!C$27)</f>
        <v>0</v>
      </c>
      <c r="D24" s="132">
        <f>IF(SER_hh_emih_in!D24=0,0,SER_hh_emih_in!D24/SER_summary!D$27)</f>
        <v>0</v>
      </c>
      <c r="E24" s="132">
        <f>IF(SER_hh_emih_in!E24=0,0,SER_hh_emih_in!E24/SER_summary!E$27)</f>
        <v>0</v>
      </c>
      <c r="F24" s="132">
        <f>IF(SER_hh_emih_in!F24=0,0,SER_hh_emih_in!F24/SER_summary!F$27)</f>
        <v>0</v>
      </c>
      <c r="G24" s="132">
        <f>IF(SER_hh_emih_in!G24=0,0,SER_hh_emih_in!G24/SER_summary!G$27)</f>
        <v>0</v>
      </c>
      <c r="H24" s="132">
        <f>IF(SER_hh_emih_in!H24=0,0,SER_hh_emih_in!H24/SER_summary!H$27)</f>
        <v>0</v>
      </c>
      <c r="I24" s="132">
        <f>IF(SER_hh_emih_in!I24=0,0,SER_hh_emih_in!I24/SER_summary!I$27)</f>
        <v>0</v>
      </c>
      <c r="J24" s="132">
        <f>IF(SER_hh_emih_in!J24=0,0,SER_hh_emih_in!J24/SER_summary!J$27)</f>
        <v>0</v>
      </c>
      <c r="K24" s="132">
        <f>IF(SER_hh_emih_in!K24=0,0,SER_hh_emih_in!K24/SER_summary!K$27)</f>
        <v>0</v>
      </c>
      <c r="L24" s="132">
        <f>IF(SER_hh_emih_in!L24=0,0,SER_hh_emih_in!L24/SER_summary!L$27)</f>
        <v>0</v>
      </c>
      <c r="M24" s="132">
        <f>IF(SER_hh_emih_in!M24=0,0,SER_hh_emih_in!M24/SER_summary!M$27)</f>
        <v>0</v>
      </c>
      <c r="N24" s="132">
        <f>IF(SER_hh_emih_in!N24=0,0,SER_hh_emih_in!N24/SER_summary!N$27)</f>
        <v>0</v>
      </c>
      <c r="O24" s="132">
        <f>IF(SER_hh_emih_in!O24=0,0,SER_hh_emih_in!O24/SER_summary!O$27)</f>
        <v>0</v>
      </c>
      <c r="P24" s="132">
        <f>IF(SER_hh_emih_in!P24=0,0,SER_hh_emih_in!P24/SER_summary!P$27)</f>
        <v>0</v>
      </c>
      <c r="Q24" s="132">
        <f>IF(SER_hh_emih_in!Q24=0,0,SER_hh_emih_in!Q24/SER_summary!Q$27)</f>
        <v>0</v>
      </c>
      <c r="R24" s="132">
        <f>IF(SER_hh_emih_in!R24=0,0,SER_hh_emih_in!R24/SER_summary!R$27)</f>
        <v>0</v>
      </c>
      <c r="S24" s="132">
        <f>IF(SER_hh_emih_in!S24=0,0,SER_hh_emih_in!S24/SER_summary!S$27)</f>
        <v>0</v>
      </c>
      <c r="T24" s="132">
        <f>IF(SER_hh_emih_in!T24=0,0,SER_hh_emih_in!T24/SER_summary!T$27)</f>
        <v>0</v>
      </c>
      <c r="U24" s="132">
        <f>IF(SER_hh_emih_in!U24=0,0,SER_hh_emih_in!U24/SER_summary!U$27)</f>
        <v>0</v>
      </c>
      <c r="V24" s="132">
        <f>IF(SER_hh_emih_in!V24=0,0,SER_hh_emih_in!V24/SER_summary!V$27)</f>
        <v>0</v>
      </c>
      <c r="W24" s="132">
        <f>IF(SER_hh_emih_in!W24=0,0,SER_hh_emih_in!W24/SER_summary!W$27)</f>
        <v>0</v>
      </c>
      <c r="X24" s="132">
        <f>IF(SER_hh_emih_in!X24=0,0,SER_hh_emih_in!X24/SER_summary!X$27)</f>
        <v>0</v>
      </c>
      <c r="Y24" s="132">
        <f>IF(SER_hh_emih_in!Y24=0,0,SER_hh_emih_in!Y24/SER_summary!Y$27)</f>
        <v>0</v>
      </c>
      <c r="DA24" s="156" t="s">
        <v>900</v>
      </c>
    </row>
    <row r="25" spans="1:105" ht="12" customHeight="1" x14ac:dyDescent="0.25">
      <c r="A25" s="131" t="s">
        <v>162</v>
      </c>
      <c r="B25" s="132"/>
      <c r="C25" s="132">
        <f>IF(SER_hh_emih_in!C25=0,0,SER_hh_emih_in!C25/SER_summary!C$27)</f>
        <v>0</v>
      </c>
      <c r="D25" s="132">
        <f>IF(SER_hh_emih_in!D25=0,0,SER_hh_emih_in!D25/SER_summary!D$27)</f>
        <v>0</v>
      </c>
      <c r="E25" s="132">
        <f>IF(SER_hh_emih_in!E25=0,0,SER_hh_emih_in!E25/SER_summary!E$27)</f>
        <v>0</v>
      </c>
      <c r="F25" s="132">
        <f>IF(SER_hh_emih_in!F25=0,0,SER_hh_emih_in!F25/SER_summary!F$27)</f>
        <v>0</v>
      </c>
      <c r="G25" s="132">
        <f>IF(SER_hh_emih_in!G25=0,0,SER_hh_emih_in!G25/SER_summary!G$27)</f>
        <v>0</v>
      </c>
      <c r="H25" s="132">
        <f>IF(SER_hh_emih_in!H25=0,0,SER_hh_emih_in!H25/SER_summary!H$27)</f>
        <v>0</v>
      </c>
      <c r="I25" s="132">
        <f>IF(SER_hh_emih_in!I25=0,0,SER_hh_emih_in!I25/SER_summary!I$27)</f>
        <v>0</v>
      </c>
      <c r="J25" s="132">
        <f>IF(SER_hh_emih_in!J25=0,0,SER_hh_emih_in!J25/SER_summary!J$27)</f>
        <v>0</v>
      </c>
      <c r="K25" s="132">
        <f>IF(SER_hh_emih_in!K25=0,0,SER_hh_emih_in!K25/SER_summary!K$27)</f>
        <v>0</v>
      </c>
      <c r="L25" s="132">
        <f>IF(SER_hh_emih_in!L25=0,0,SER_hh_emih_in!L25/SER_summary!L$27)</f>
        <v>0</v>
      </c>
      <c r="M25" s="132">
        <f>IF(SER_hh_emih_in!M25=0,0,SER_hh_emih_in!M25/SER_summary!M$27)</f>
        <v>0</v>
      </c>
      <c r="N25" s="132">
        <f>IF(SER_hh_emih_in!N25=0,0,SER_hh_emih_in!N25/SER_summary!N$27)</f>
        <v>0</v>
      </c>
      <c r="O25" s="132">
        <f>IF(SER_hh_emih_in!O25=0,0,SER_hh_emih_in!O25/SER_summary!O$27)</f>
        <v>0</v>
      </c>
      <c r="P25" s="132">
        <f>IF(SER_hh_emih_in!P25=0,0,SER_hh_emih_in!P25/SER_summary!P$27)</f>
        <v>0</v>
      </c>
      <c r="Q25" s="132">
        <f>IF(SER_hh_emih_in!Q25=0,0,SER_hh_emih_in!Q25/SER_summary!Q$27)</f>
        <v>0</v>
      </c>
      <c r="R25" s="132">
        <f>IF(SER_hh_emih_in!R25=0,0,SER_hh_emih_in!R25/SER_summary!R$27)</f>
        <v>0</v>
      </c>
      <c r="S25" s="132">
        <f>IF(SER_hh_emih_in!S25=0,0,SER_hh_emih_in!S25/SER_summary!S$27)</f>
        <v>0</v>
      </c>
      <c r="T25" s="132">
        <f>IF(SER_hh_emih_in!T25=0,0,SER_hh_emih_in!T25/SER_summary!T$27)</f>
        <v>0</v>
      </c>
      <c r="U25" s="132">
        <f>IF(SER_hh_emih_in!U25=0,0,SER_hh_emih_in!U25/SER_summary!U$27)</f>
        <v>0</v>
      </c>
      <c r="V25" s="132">
        <f>IF(SER_hh_emih_in!V25=0,0,SER_hh_emih_in!V25/SER_summary!V$27)</f>
        <v>0</v>
      </c>
      <c r="W25" s="132">
        <f>IF(SER_hh_emih_in!W25=0,0,SER_hh_emih_in!W25/SER_summary!W$27)</f>
        <v>0</v>
      </c>
      <c r="X25" s="132">
        <f>IF(SER_hh_emih_in!X25=0,0,SER_hh_emih_in!X25/SER_summary!X$27)</f>
        <v>0</v>
      </c>
      <c r="Y25" s="132">
        <f>IF(SER_hh_emih_in!Y25=0,0,SER_hh_emih_in!Y25/SER_summary!Y$27)</f>
        <v>0</v>
      </c>
      <c r="DA25" s="156" t="s">
        <v>901</v>
      </c>
    </row>
    <row r="26" spans="1:105" ht="12" customHeight="1" x14ac:dyDescent="0.25">
      <c r="A26" s="131" t="s">
        <v>24</v>
      </c>
      <c r="B26" s="65"/>
      <c r="C26" s="65">
        <f>IF(SER_hh_emih_in!C26=0,0,SER_hh_emih_in!C26/SER_summary!C$27)</f>
        <v>0</v>
      </c>
      <c r="D26" s="65">
        <f>IF(SER_hh_emih_in!D26=0,0,SER_hh_emih_in!D26/SER_summary!D$27)</f>
        <v>0</v>
      </c>
      <c r="E26" s="65">
        <f>IF(SER_hh_emih_in!E26=0,0,SER_hh_emih_in!E26/SER_summary!E$27)</f>
        <v>0</v>
      </c>
      <c r="F26" s="65">
        <f>IF(SER_hh_emih_in!F26=0,0,SER_hh_emih_in!F26/SER_summary!F$27)</f>
        <v>0</v>
      </c>
      <c r="G26" s="65">
        <f>IF(SER_hh_emih_in!G26=0,0,SER_hh_emih_in!G26/SER_summary!G$27)</f>
        <v>0</v>
      </c>
      <c r="H26" s="65">
        <f>IF(SER_hh_emih_in!H26=0,0,SER_hh_emih_in!H26/SER_summary!H$27)</f>
        <v>0</v>
      </c>
      <c r="I26" s="65">
        <f>IF(SER_hh_emih_in!I26=0,0,SER_hh_emih_in!I26/SER_summary!I$27)</f>
        <v>0</v>
      </c>
      <c r="J26" s="65">
        <f>IF(SER_hh_emih_in!J26=0,0,SER_hh_emih_in!J26/SER_summary!J$27)</f>
        <v>0</v>
      </c>
      <c r="K26" s="65">
        <f>IF(SER_hh_emih_in!K26=0,0,SER_hh_emih_in!K26/SER_summary!K$27)</f>
        <v>0</v>
      </c>
      <c r="L26" s="65">
        <f>IF(SER_hh_emih_in!L26=0,0,SER_hh_emih_in!L26/SER_summary!L$27)</f>
        <v>0</v>
      </c>
      <c r="M26" s="65">
        <f>IF(SER_hh_emih_in!M26=0,0,SER_hh_emih_in!M26/SER_summary!M$27)</f>
        <v>0</v>
      </c>
      <c r="N26" s="65">
        <f>IF(SER_hh_emih_in!N26=0,0,SER_hh_emih_in!N26/SER_summary!N$27)</f>
        <v>0</v>
      </c>
      <c r="O26" s="65">
        <f>IF(SER_hh_emih_in!O26=0,0,SER_hh_emih_in!O26/SER_summary!O$27)</f>
        <v>0</v>
      </c>
      <c r="P26" s="65">
        <f>IF(SER_hh_emih_in!P26=0,0,SER_hh_emih_in!P26/SER_summary!P$27)</f>
        <v>0</v>
      </c>
      <c r="Q26" s="65">
        <f>IF(SER_hh_emih_in!Q26=0,0,SER_hh_emih_in!Q26/SER_summary!Q$27)</f>
        <v>0</v>
      </c>
      <c r="R26" s="65">
        <f>IF(SER_hh_emih_in!R26=0,0,SER_hh_emih_in!R26/SER_summary!R$27)</f>
        <v>0</v>
      </c>
      <c r="S26" s="65">
        <f>IF(SER_hh_emih_in!S26=0,0,SER_hh_emih_in!S26/SER_summary!S$27)</f>
        <v>0</v>
      </c>
      <c r="T26" s="65">
        <f>IF(SER_hh_emih_in!T26=0,0,SER_hh_emih_in!T26/SER_summary!T$27)</f>
        <v>0</v>
      </c>
      <c r="U26" s="65">
        <f>IF(SER_hh_emih_in!U26=0,0,SER_hh_emih_in!U26/SER_summary!U$27)</f>
        <v>0</v>
      </c>
      <c r="V26" s="65">
        <f>IF(SER_hh_emih_in!V26=0,0,SER_hh_emih_in!V26/SER_summary!V$27)</f>
        <v>0</v>
      </c>
      <c r="W26" s="65">
        <f>IF(SER_hh_emih_in!W26=0,0,SER_hh_emih_in!W26/SER_summary!W$27)</f>
        <v>0</v>
      </c>
      <c r="X26" s="65">
        <f>IF(SER_hh_emih_in!X26=0,0,SER_hh_emih_in!X26/SER_summary!X$27)</f>
        <v>0</v>
      </c>
      <c r="Y26" s="65">
        <f>IF(SER_hh_emih_in!Y26=0,0,SER_hh_emih_in!Y26/SER_summary!Y$27)</f>
        <v>0</v>
      </c>
      <c r="DA26" s="109" t="s">
        <v>902</v>
      </c>
    </row>
    <row r="27" spans="1:105" ht="12" customHeight="1" x14ac:dyDescent="0.25">
      <c r="A27" s="144" t="s">
        <v>86</v>
      </c>
      <c r="B27" s="147"/>
      <c r="C27" s="145">
        <f>IF(SER_hh_emih_in!C27=0,0,SER_hh_emih_in!C27/SER_summary!C$27)</f>
        <v>0</v>
      </c>
      <c r="D27" s="145">
        <f>IF(SER_hh_emih_in!D27=0,0,SER_hh_emih_in!D27/SER_summary!D$27)</f>
        <v>0</v>
      </c>
      <c r="E27" s="145">
        <f>IF(SER_hh_emih_in!E27=0,0,SER_hh_emih_in!E27/SER_summary!E$27)</f>
        <v>0</v>
      </c>
      <c r="F27" s="145">
        <f>IF(SER_hh_emih_in!F27=0,0,SER_hh_emih_in!F27/SER_summary!F$27)</f>
        <v>0</v>
      </c>
      <c r="G27" s="145">
        <f>IF(SER_hh_emih_in!G27=0,0,SER_hh_emih_in!G27/SER_summary!G$27)</f>
        <v>0</v>
      </c>
      <c r="H27" s="145">
        <f>IF(SER_hh_emih_in!H27=0,0,SER_hh_emih_in!H27/SER_summary!H$27)</f>
        <v>0</v>
      </c>
      <c r="I27" s="145">
        <f>IF(SER_hh_emih_in!I27=0,0,SER_hh_emih_in!I27/SER_summary!I$27)</f>
        <v>0</v>
      </c>
      <c r="J27" s="145">
        <f>IF(SER_hh_emih_in!J27=0,0,SER_hh_emih_in!J27/SER_summary!J$27)</f>
        <v>0</v>
      </c>
      <c r="K27" s="145">
        <f>IF(SER_hh_emih_in!K27=0,0,SER_hh_emih_in!K27/SER_summary!K$27)</f>
        <v>0</v>
      </c>
      <c r="L27" s="145">
        <f>IF(SER_hh_emih_in!L27=0,0,SER_hh_emih_in!L27/SER_summary!L$27)</f>
        <v>0</v>
      </c>
      <c r="M27" s="145">
        <f>IF(SER_hh_emih_in!M27=0,0,SER_hh_emih_in!M27/SER_summary!M$27)</f>
        <v>0</v>
      </c>
      <c r="N27" s="145">
        <f>IF(SER_hh_emih_in!N27=0,0,SER_hh_emih_in!N27/SER_summary!N$27)</f>
        <v>0</v>
      </c>
      <c r="O27" s="145">
        <f>IF(SER_hh_emih_in!O27=0,0,SER_hh_emih_in!O27/SER_summary!O$27)</f>
        <v>0</v>
      </c>
      <c r="P27" s="145">
        <f>IF(SER_hh_emih_in!P27=0,0,SER_hh_emih_in!P27/SER_summary!P$27)</f>
        <v>0</v>
      </c>
      <c r="Q27" s="145">
        <f>IF(SER_hh_emih_in!Q27=0,0,SER_hh_emih_in!Q27/SER_summary!Q$27)</f>
        <v>0</v>
      </c>
      <c r="R27" s="145">
        <f>IF(SER_hh_emih_in!R27=0,0,SER_hh_emih_in!R27/SER_summary!R$27)</f>
        <v>0</v>
      </c>
      <c r="S27" s="145">
        <f>IF(SER_hh_emih_in!S27=0,0,SER_hh_emih_in!S27/SER_summary!S$27)</f>
        <v>0</v>
      </c>
      <c r="T27" s="145">
        <f>IF(SER_hh_emih_in!T27=0,0,SER_hh_emih_in!T27/SER_summary!T$27)</f>
        <v>0</v>
      </c>
      <c r="U27" s="145">
        <f>IF(SER_hh_emih_in!U27=0,0,SER_hh_emih_in!U27/SER_summary!U$27)</f>
        <v>0</v>
      </c>
      <c r="V27" s="145">
        <f>IF(SER_hh_emih_in!V27=0,0,SER_hh_emih_in!V27/SER_summary!V$27)</f>
        <v>0</v>
      </c>
      <c r="W27" s="145">
        <f>IF(SER_hh_emih_in!W27=0,0,SER_hh_emih_in!W27/SER_summary!W$27)</f>
        <v>0</v>
      </c>
      <c r="X27" s="145">
        <f>IF(SER_hh_emih_in!X27=0,0,SER_hh_emih_in!X27/SER_summary!X$27)</f>
        <v>0</v>
      </c>
      <c r="Y27" s="145">
        <f>IF(SER_hh_emih_in!Y27=0,0,SER_hh_emih_in!Y27/SER_summary!Y$27)</f>
        <v>0</v>
      </c>
      <c r="DA27" s="158" t="s">
        <v>903</v>
      </c>
    </row>
    <row r="28" spans="1:105" ht="12" customHeight="1" x14ac:dyDescent="0.25">
      <c r="A28" s="78" t="s">
        <v>85</v>
      </c>
      <c r="B28" s="68"/>
      <c r="C28" s="146">
        <f>IF(SER_hh_emih_in!C28=0,0,SER_hh_emih_in!C28/SER_summary!C$27)</f>
        <v>0</v>
      </c>
      <c r="D28" s="146">
        <f>IF(SER_hh_emih_in!D28=0,0,SER_hh_emih_in!D28/SER_summary!D$27)</f>
        <v>0</v>
      </c>
      <c r="E28" s="146">
        <f>IF(SER_hh_emih_in!E28=0,0,SER_hh_emih_in!E28/SER_summary!E$27)</f>
        <v>0</v>
      </c>
      <c r="F28" s="146">
        <f>IF(SER_hh_emih_in!F28=0,0,SER_hh_emih_in!F28/SER_summary!F$27)</f>
        <v>0</v>
      </c>
      <c r="G28" s="146">
        <f>IF(SER_hh_emih_in!G28=0,0,SER_hh_emih_in!G28/SER_summary!G$27)</f>
        <v>0</v>
      </c>
      <c r="H28" s="146">
        <f>IF(SER_hh_emih_in!H28=0,0,SER_hh_emih_in!H28/SER_summary!H$27)</f>
        <v>0</v>
      </c>
      <c r="I28" s="146">
        <f>IF(SER_hh_emih_in!I28=0,0,SER_hh_emih_in!I28/SER_summary!I$27)</f>
        <v>0</v>
      </c>
      <c r="J28" s="146">
        <f>IF(SER_hh_emih_in!J28=0,0,SER_hh_emih_in!J28/SER_summary!J$27)</f>
        <v>0</v>
      </c>
      <c r="K28" s="146">
        <f>IF(SER_hh_emih_in!K28=0,0,SER_hh_emih_in!K28/SER_summary!K$27)</f>
        <v>0</v>
      </c>
      <c r="L28" s="146">
        <f>IF(SER_hh_emih_in!L28=0,0,SER_hh_emih_in!L28/SER_summary!L$27)</f>
        <v>0</v>
      </c>
      <c r="M28" s="146">
        <f>IF(SER_hh_emih_in!M28=0,0,SER_hh_emih_in!M28/SER_summary!M$27)</f>
        <v>0</v>
      </c>
      <c r="N28" s="146">
        <f>IF(SER_hh_emih_in!N28=0,0,SER_hh_emih_in!N28/SER_summary!N$27)</f>
        <v>0</v>
      </c>
      <c r="O28" s="146">
        <f>IF(SER_hh_emih_in!O28=0,0,SER_hh_emih_in!O28/SER_summary!O$27)</f>
        <v>0</v>
      </c>
      <c r="P28" s="146">
        <f>IF(SER_hh_emih_in!P28=0,0,SER_hh_emih_in!P28/SER_summary!P$27)</f>
        <v>0</v>
      </c>
      <c r="Q28" s="146">
        <f>IF(SER_hh_emih_in!Q28=0,0,SER_hh_emih_in!Q28/SER_summary!Q$27)</f>
        <v>0</v>
      </c>
      <c r="R28" s="146">
        <f>IF(SER_hh_emih_in!R28=0,0,SER_hh_emih_in!R28/SER_summary!R$27)</f>
        <v>0</v>
      </c>
      <c r="S28" s="146">
        <f>IF(SER_hh_emih_in!S28=0,0,SER_hh_emih_in!S28/SER_summary!S$27)</f>
        <v>0</v>
      </c>
      <c r="T28" s="146">
        <f>IF(SER_hh_emih_in!T28=0,0,SER_hh_emih_in!T28/SER_summary!T$27)</f>
        <v>0</v>
      </c>
      <c r="U28" s="146">
        <f>IF(SER_hh_emih_in!U28=0,0,SER_hh_emih_in!U28/SER_summary!U$27)</f>
        <v>0</v>
      </c>
      <c r="V28" s="146">
        <f>IF(SER_hh_emih_in!V28=0,0,SER_hh_emih_in!V28/SER_summary!V$27)</f>
        <v>0</v>
      </c>
      <c r="W28" s="146">
        <f>IF(SER_hh_emih_in!W28=0,0,SER_hh_emih_in!W28/SER_summary!W$27)</f>
        <v>0</v>
      </c>
      <c r="X28" s="146">
        <f>IF(SER_hh_emih_in!X28=0,0,SER_hh_emih_in!X28/SER_summary!X$27)</f>
        <v>0</v>
      </c>
      <c r="Y28" s="146">
        <f>IF(SER_hh_emih_in!Y28=0,0,SER_hh_emih_in!Y28/SER_summary!Y$27)</f>
        <v>0</v>
      </c>
      <c r="DA28" s="159"/>
    </row>
    <row r="29" spans="1:105" ht="12.95" customHeight="1" x14ac:dyDescent="0.25">
      <c r="A29" s="129" t="s">
        <v>34</v>
      </c>
      <c r="B29" s="130"/>
      <c r="C29" s="130">
        <f>IF(SER_hh_emih_in!C29=0,0,SER_hh_emih_in!C29/SER_summary!C$27)</f>
        <v>3.9032234255483758</v>
      </c>
      <c r="D29" s="130">
        <f>IF(SER_hh_emih_in!D29=0,0,SER_hh_emih_in!D29/SER_summary!D$27)</f>
        <v>1.3357620986821648</v>
      </c>
      <c r="E29" s="130">
        <f>IF(SER_hh_emih_in!E29=0,0,SER_hh_emih_in!E29/SER_summary!E$27)</f>
        <v>1.1405703470606723</v>
      </c>
      <c r="F29" s="130">
        <f>IF(SER_hh_emih_in!F29=0,0,SER_hh_emih_in!F29/SER_summary!F$27)</f>
        <v>2.0303873826496774</v>
      </c>
      <c r="G29" s="130">
        <f>IF(SER_hh_emih_in!G29=0,0,SER_hh_emih_in!G29/SER_summary!G$27)</f>
        <v>4.5740430974469595</v>
      </c>
      <c r="H29" s="130">
        <f>IF(SER_hh_emih_in!H29=0,0,SER_hh_emih_in!H29/SER_summary!H$27)</f>
        <v>4.8122342848710842</v>
      </c>
      <c r="I29" s="130">
        <f>IF(SER_hh_emih_in!I29=0,0,SER_hh_emih_in!I29/SER_summary!I$27)</f>
        <v>6.7025587683117882</v>
      </c>
      <c r="J29" s="130">
        <f>IF(SER_hh_emih_in!J29=0,0,SER_hh_emih_in!J29/SER_summary!J$27)</f>
        <v>5.7810863054717805</v>
      </c>
      <c r="K29" s="130">
        <f>IF(SER_hh_emih_in!K29=0,0,SER_hh_emih_in!K29/SER_summary!K$27)</f>
        <v>6.7418599977338669</v>
      </c>
      <c r="L29" s="130">
        <f>IF(SER_hh_emih_in!L29=0,0,SER_hh_emih_in!L29/SER_summary!L$27)</f>
        <v>6.0899575802179271</v>
      </c>
      <c r="M29" s="130">
        <f>IF(SER_hh_emih_in!M29=0,0,SER_hh_emih_in!M29/SER_summary!M$27)</f>
        <v>5.0907274656714767</v>
      </c>
      <c r="N29" s="130">
        <f>IF(SER_hh_emih_in!N29=0,0,SER_hh_emih_in!N29/SER_summary!N$27)</f>
        <v>4.7214312056265397</v>
      </c>
      <c r="O29" s="130">
        <f>IF(SER_hh_emih_in!O29=0,0,SER_hh_emih_in!O29/SER_summary!O$27)</f>
        <v>4.7254892663892747</v>
      </c>
      <c r="P29" s="130">
        <f>IF(SER_hh_emih_in!P29=0,0,SER_hh_emih_in!P29/SER_summary!P$27)</f>
        <v>6.0074175605242672</v>
      </c>
      <c r="Q29" s="130">
        <f>IF(SER_hh_emih_in!Q29=0,0,SER_hh_emih_in!Q29/SER_summary!Q$27)</f>
        <v>5.4938435789404778</v>
      </c>
      <c r="R29" s="130">
        <f>IF(SER_hh_emih_in!R29=0,0,SER_hh_emih_in!R29/SER_summary!R$27)</f>
        <v>5.5924127730536135</v>
      </c>
      <c r="S29" s="130">
        <f>IF(SER_hh_emih_in!S29=0,0,SER_hh_emih_in!S29/SER_summary!S$27)</f>
        <v>5.7315500505801049</v>
      </c>
      <c r="T29" s="130">
        <f>IF(SER_hh_emih_in!T29=0,0,SER_hh_emih_in!T29/SER_summary!T$27)</f>
        <v>5.8906770424609469</v>
      </c>
      <c r="U29" s="130">
        <f>IF(SER_hh_emih_in!U29=0,0,SER_hh_emih_in!U29/SER_summary!U$27)</f>
        <v>6.0716706167617174</v>
      </c>
      <c r="V29" s="130">
        <f>IF(SER_hh_emih_in!V29=0,0,SER_hh_emih_in!V29/SER_summary!V$27)</f>
        <v>4.884755639708616</v>
      </c>
      <c r="W29" s="130">
        <f>IF(SER_hh_emih_in!W29=0,0,SER_hh_emih_in!W29/SER_summary!W$27)</f>
        <v>3.9421040347700398</v>
      </c>
      <c r="X29" s="130">
        <f>IF(SER_hh_emih_in!X29=0,0,SER_hh_emih_in!X29/SER_summary!X$27)</f>
        <v>2.0030565016345796</v>
      </c>
      <c r="Y29" s="130">
        <f>IF(SER_hh_emih_in!Y29=0,0,SER_hh_emih_in!Y29/SER_summary!Y$27)</f>
        <v>4.9380883082569884</v>
      </c>
      <c r="DA29" s="155" t="s">
        <v>904</v>
      </c>
    </row>
    <row r="30" spans="1:105" s="2" customFormat="1" ht="12" customHeight="1" x14ac:dyDescent="0.25">
      <c r="A30" s="131" t="s">
        <v>52</v>
      </c>
      <c r="B30" s="132"/>
      <c r="C30" s="132">
        <f>IF(SER_hh_emih_in!C30=0,0,SER_hh_emih_in!C30/SER_summary!C$27)</f>
        <v>7.9197406408664692</v>
      </c>
      <c r="D30" s="132">
        <f>IF(SER_hh_emih_in!D30=0,0,SER_hh_emih_in!D30/SER_summary!D$27)</f>
        <v>8.1776746413613406</v>
      </c>
      <c r="E30" s="132">
        <f>IF(SER_hh_emih_in!E30=0,0,SER_hh_emih_in!E30/SER_summary!E$27)</f>
        <v>8.3398914944241973</v>
      </c>
      <c r="F30" s="132">
        <f>IF(SER_hh_emih_in!F30=0,0,SER_hh_emih_in!F30/SER_summary!F$27)</f>
        <v>8.4810061463216773</v>
      </c>
      <c r="G30" s="132">
        <f>IF(SER_hh_emih_in!G30=0,0,SER_hh_emih_in!G30/SER_summary!G$27)</f>
        <v>8.5868971909176821</v>
      </c>
      <c r="H30" s="132">
        <f>IF(SER_hh_emih_in!H30=0,0,SER_hh_emih_in!H30/SER_summary!H$27)</f>
        <v>8.3188205703237355</v>
      </c>
      <c r="I30" s="132">
        <f>IF(SER_hh_emih_in!I30=0,0,SER_hh_emih_in!I30/SER_summary!I$27)</f>
        <v>9.3529647301151204</v>
      </c>
      <c r="J30" s="132">
        <f>IF(SER_hh_emih_in!J30=0,0,SER_hh_emih_in!J30/SER_summary!J$27)</f>
        <v>7.0686194143976069</v>
      </c>
      <c r="K30" s="132">
        <f>IF(SER_hh_emih_in!K30=0,0,SER_hh_emih_in!K30/SER_summary!K$27)</f>
        <v>9.2655387612031515</v>
      </c>
      <c r="L30" s="132">
        <f>IF(SER_hh_emih_in!L30=0,0,SER_hh_emih_in!L30/SER_summary!L$27)</f>
        <v>9.3272069607082084</v>
      </c>
      <c r="M30" s="132">
        <f>IF(SER_hh_emih_in!M30=0,0,SER_hh_emih_in!M30/SER_summary!M$27)</f>
        <v>9.485578630420866</v>
      </c>
      <c r="N30" s="132">
        <f>IF(SER_hh_emih_in!N30=0,0,SER_hh_emih_in!N30/SER_summary!N$27)</f>
        <v>8.3395598001555982</v>
      </c>
      <c r="O30" s="132">
        <f>IF(SER_hh_emih_in!O30=0,0,SER_hh_emih_in!O30/SER_summary!O$27)</f>
        <v>8.9104376256975755</v>
      </c>
      <c r="P30" s="132">
        <f>IF(SER_hh_emih_in!P30=0,0,SER_hh_emih_in!P30/SER_summary!P$27)</f>
        <v>9.7939214349752</v>
      </c>
      <c r="Q30" s="132">
        <f>IF(SER_hh_emih_in!Q30=0,0,SER_hh_emih_in!Q30/SER_summary!Q$27)</f>
        <v>9.446717060248039</v>
      </c>
      <c r="R30" s="132">
        <f>IF(SER_hh_emih_in!R30=0,0,SER_hh_emih_in!R30/SER_summary!R$27)</f>
        <v>9.4004223355954899</v>
      </c>
      <c r="S30" s="132">
        <f>IF(SER_hh_emih_in!S30=0,0,SER_hh_emih_in!S30/SER_summary!S$27)</f>
        <v>9.5251712979060699</v>
      </c>
      <c r="T30" s="132">
        <f>IF(SER_hh_emih_in!T30=0,0,SER_hh_emih_in!T30/SER_summary!T$27)</f>
        <v>9.3277792996810547</v>
      </c>
      <c r="U30" s="132">
        <f>IF(SER_hh_emih_in!U30=0,0,SER_hh_emih_in!U30/SER_summary!U$27)</f>
        <v>8.9156104177515729</v>
      </c>
      <c r="V30" s="132">
        <f>IF(SER_hh_emih_in!V30=0,0,SER_hh_emih_in!V30/SER_summary!V$27)</f>
        <v>9.1706940162981194</v>
      </c>
      <c r="W30" s="132">
        <f>IF(SER_hh_emih_in!W30=0,0,SER_hh_emih_in!W30/SER_summary!W$27)</f>
        <v>9.4150971504836551</v>
      </c>
      <c r="X30" s="132">
        <f>IF(SER_hh_emih_in!X30=0,0,SER_hh_emih_in!X30/SER_summary!X$27)</f>
        <v>9.7704214421412736</v>
      </c>
      <c r="Y30" s="132">
        <f>IF(SER_hh_emih_in!Y30=0,0,SER_hh_emih_in!Y30/SER_summary!Y$27)</f>
        <v>9.8723859331928931</v>
      </c>
      <c r="DA30" s="156" t="s">
        <v>905</v>
      </c>
    </row>
    <row r="31" spans="1:105" ht="12" customHeight="1" x14ac:dyDescent="0.25">
      <c r="A31" s="131" t="s">
        <v>149</v>
      </c>
      <c r="B31" s="132"/>
      <c r="C31" s="132">
        <f>IF(SER_hh_emih_in!C31=0,0,SER_hh_emih_in!C31/SER_summary!C$27)</f>
        <v>7.1345543840681582</v>
      </c>
      <c r="D31" s="132">
        <f>IF(SER_hh_emih_in!D31=0,0,SER_hh_emih_in!D31/SER_summary!D$27)</f>
        <v>7.2651666808793323</v>
      </c>
      <c r="E31" s="132">
        <f>IF(SER_hh_emih_in!E31=0,0,SER_hh_emih_in!E31/SER_summary!E$27)</f>
        <v>6.6307227214015372</v>
      </c>
      <c r="F31" s="132">
        <f>IF(SER_hh_emih_in!F31=0,0,SER_hh_emih_in!F31/SER_summary!F$27)</f>
        <v>6.7636442724982277</v>
      </c>
      <c r="G31" s="132">
        <f>IF(SER_hh_emih_in!G31=0,0,SER_hh_emih_in!G31/SER_summary!G$27)</f>
        <v>7.742507531552679</v>
      </c>
      <c r="H31" s="132">
        <f>IF(SER_hh_emih_in!H31=0,0,SER_hh_emih_in!H31/SER_summary!H$27)</f>
        <v>7.1329018156000998</v>
      </c>
      <c r="I31" s="132">
        <f>IF(SER_hh_emih_in!I31=0,0,SER_hh_emih_in!I31/SER_summary!I$27)</f>
        <v>7.7229570234319773</v>
      </c>
      <c r="J31" s="132">
        <f>IF(SER_hh_emih_in!J31=0,0,SER_hh_emih_in!J31/SER_summary!J$27)</f>
        <v>7.5820499597086348</v>
      </c>
      <c r="K31" s="132">
        <f>IF(SER_hh_emih_in!K31=0,0,SER_hh_emih_in!K31/SER_summary!K$27)</f>
        <v>7.9251089799437482</v>
      </c>
      <c r="L31" s="132">
        <f>IF(SER_hh_emih_in!L31=0,0,SER_hh_emih_in!L31/SER_summary!L$27)</f>
        <v>7.8817612447870307</v>
      </c>
      <c r="M31" s="132">
        <f>IF(SER_hh_emih_in!M31=0,0,SER_hh_emih_in!M31/SER_summary!M$27)</f>
        <v>7.8497332562694817</v>
      </c>
      <c r="N31" s="132">
        <f>IF(SER_hh_emih_in!N31=0,0,SER_hh_emih_in!N31/SER_summary!N$27)</f>
        <v>7.8779680293734513</v>
      </c>
      <c r="O31" s="132">
        <f>IF(SER_hh_emih_in!O31=0,0,SER_hh_emih_in!O31/SER_summary!O$27)</f>
        <v>7.9175267094710318</v>
      </c>
      <c r="P31" s="132">
        <f>IF(SER_hh_emih_in!P31=0,0,SER_hh_emih_in!P31/SER_summary!P$27)</f>
        <v>8.2419561039662845</v>
      </c>
      <c r="Q31" s="132">
        <f>IF(SER_hh_emih_in!Q31=0,0,SER_hh_emih_in!Q31/SER_summary!Q$27)</f>
        <v>8.1589091417525825</v>
      </c>
      <c r="R31" s="132">
        <f>IF(SER_hh_emih_in!R31=0,0,SER_hh_emih_in!R31/SER_summary!R$27)</f>
        <v>8.3461487074588501</v>
      </c>
      <c r="S31" s="132">
        <f>IF(SER_hh_emih_in!S31=0,0,SER_hh_emih_in!S31/SER_summary!S$27)</f>
        <v>8.2762562790708039</v>
      </c>
      <c r="T31" s="132">
        <f>IF(SER_hh_emih_in!T31=0,0,SER_hh_emih_in!T31/SER_summary!T$27)</f>
        <v>7.611043767970183</v>
      </c>
      <c r="U31" s="132">
        <f>IF(SER_hh_emih_in!U31=0,0,SER_hh_emih_in!U31/SER_summary!U$27)</f>
        <v>8.3539858131519651</v>
      </c>
      <c r="V31" s="132">
        <f>IF(SER_hh_emih_in!V31=0,0,SER_hh_emih_in!V31/SER_summary!V$27)</f>
        <v>7.6390410622962843</v>
      </c>
      <c r="W31" s="132">
        <f>IF(SER_hh_emih_in!W31=0,0,SER_hh_emih_in!W31/SER_summary!W$27)</f>
        <v>7.6223576028522944</v>
      </c>
      <c r="X31" s="132">
        <f>IF(SER_hh_emih_in!X31=0,0,SER_hh_emih_in!X31/SER_summary!X$27)</f>
        <v>8.2996690779368496</v>
      </c>
      <c r="Y31" s="132">
        <f>IF(SER_hh_emih_in!Y31=0,0,SER_hh_emih_in!Y31/SER_summary!Y$27)</f>
        <v>8.5334282197539064</v>
      </c>
      <c r="DA31" s="156" t="s">
        <v>906</v>
      </c>
    </row>
    <row r="32" spans="1:105" ht="12" customHeight="1" x14ac:dyDescent="0.25">
      <c r="A32" s="131" t="s">
        <v>128</v>
      </c>
      <c r="B32" s="132"/>
      <c r="C32" s="132">
        <f>IF(SER_hh_emih_in!C32=0,0,SER_hh_emih_in!C32/SER_summary!C$27)</f>
        <v>0</v>
      </c>
      <c r="D32" s="132">
        <f>IF(SER_hh_emih_in!D32=0,0,SER_hh_emih_in!D32/SER_summary!D$27)</f>
        <v>0</v>
      </c>
      <c r="E32" s="132">
        <f>IF(SER_hh_emih_in!E32=0,0,SER_hh_emih_in!E32/SER_summary!E$27)</f>
        <v>0</v>
      </c>
      <c r="F32" s="132">
        <f>IF(SER_hh_emih_in!F32=0,0,SER_hh_emih_in!F32/SER_summary!F$27)</f>
        <v>0</v>
      </c>
      <c r="G32" s="132">
        <f>IF(SER_hh_emih_in!G32=0,0,SER_hh_emih_in!G32/SER_summary!G$27)</f>
        <v>0</v>
      </c>
      <c r="H32" s="132">
        <f>IF(SER_hh_emih_in!H32=0,0,SER_hh_emih_in!H32/SER_summary!H$27)</f>
        <v>0</v>
      </c>
      <c r="I32" s="132">
        <f>IF(SER_hh_emih_in!I32=0,0,SER_hh_emih_in!I32/SER_summary!I$27)</f>
        <v>0</v>
      </c>
      <c r="J32" s="132">
        <f>IF(SER_hh_emih_in!J32=0,0,SER_hh_emih_in!J32/SER_summary!J$27)</f>
        <v>0</v>
      </c>
      <c r="K32" s="132">
        <f>IF(SER_hh_emih_in!K32=0,0,SER_hh_emih_in!K32/SER_summary!K$27)</f>
        <v>0</v>
      </c>
      <c r="L32" s="132">
        <f>IF(SER_hh_emih_in!L32=0,0,SER_hh_emih_in!L32/SER_summary!L$27)</f>
        <v>0</v>
      </c>
      <c r="M32" s="132">
        <f>IF(SER_hh_emih_in!M32=0,0,SER_hh_emih_in!M32/SER_summary!M$27)</f>
        <v>0</v>
      </c>
      <c r="N32" s="132">
        <f>IF(SER_hh_emih_in!N32=0,0,SER_hh_emih_in!N32/SER_summary!N$27)</f>
        <v>0</v>
      </c>
      <c r="O32" s="132">
        <f>IF(SER_hh_emih_in!O32=0,0,SER_hh_emih_in!O32/SER_summary!O$27)</f>
        <v>0</v>
      </c>
      <c r="P32" s="132">
        <f>IF(SER_hh_emih_in!P32=0,0,SER_hh_emih_in!P32/SER_summary!P$27)</f>
        <v>0</v>
      </c>
      <c r="Q32" s="132">
        <f>IF(SER_hh_emih_in!Q32=0,0,SER_hh_emih_in!Q32/SER_summary!Q$27)</f>
        <v>0</v>
      </c>
      <c r="R32" s="132">
        <f>IF(SER_hh_emih_in!R32=0,0,SER_hh_emih_in!R32/SER_summary!R$27)</f>
        <v>0</v>
      </c>
      <c r="S32" s="132">
        <f>IF(SER_hh_emih_in!S32=0,0,SER_hh_emih_in!S32/SER_summary!S$27)</f>
        <v>0</v>
      </c>
      <c r="T32" s="132">
        <f>IF(SER_hh_emih_in!T32=0,0,SER_hh_emih_in!T32/SER_summary!T$27)</f>
        <v>0</v>
      </c>
      <c r="U32" s="132">
        <f>IF(SER_hh_emih_in!U32=0,0,SER_hh_emih_in!U32/SER_summary!U$27)</f>
        <v>0</v>
      </c>
      <c r="V32" s="132">
        <f>IF(SER_hh_emih_in!V32=0,0,SER_hh_emih_in!V32/SER_summary!V$27)</f>
        <v>0</v>
      </c>
      <c r="W32" s="132">
        <f>IF(SER_hh_emih_in!W32=0,0,SER_hh_emih_in!W32/SER_summary!W$27)</f>
        <v>0</v>
      </c>
      <c r="X32" s="132">
        <f>IF(SER_hh_emih_in!X32=0,0,SER_hh_emih_in!X32/SER_summary!X$27)</f>
        <v>0</v>
      </c>
      <c r="Y32" s="132">
        <f>IF(SER_hh_emih_in!Y32=0,0,SER_hh_emih_in!Y32/SER_summary!Y$27)</f>
        <v>0</v>
      </c>
      <c r="DA32" s="156" t="s">
        <v>907</v>
      </c>
    </row>
    <row r="33" spans="1:105" ht="12" customHeight="1" x14ac:dyDescent="0.25">
      <c r="A33" s="62" t="s">
        <v>24</v>
      </c>
      <c r="B33" s="68"/>
      <c r="C33" s="68">
        <f>IF(SER_hh_emih_in!C33=0,0,SER_hh_emih_in!C33/SER_summary!C$27)</f>
        <v>0</v>
      </c>
      <c r="D33" s="68">
        <f>IF(SER_hh_emih_in!D33=0,0,SER_hh_emih_in!D33/SER_summary!D$27)</f>
        <v>0</v>
      </c>
      <c r="E33" s="68">
        <f>IF(SER_hh_emih_in!E33=0,0,SER_hh_emih_in!E33/SER_summary!E$27)</f>
        <v>0</v>
      </c>
      <c r="F33" s="68">
        <f>IF(SER_hh_emih_in!F33=0,0,SER_hh_emih_in!F33/SER_summary!F$27)</f>
        <v>0</v>
      </c>
      <c r="G33" s="68">
        <f>IF(SER_hh_emih_in!G33=0,0,SER_hh_emih_in!G33/SER_summary!G$27)</f>
        <v>0</v>
      </c>
      <c r="H33" s="68">
        <f>IF(SER_hh_emih_in!H33=0,0,SER_hh_emih_in!H33/SER_summary!H$27)</f>
        <v>0</v>
      </c>
      <c r="I33" s="68">
        <f>IF(SER_hh_emih_in!I33=0,0,SER_hh_emih_in!I33/SER_summary!I$27)</f>
        <v>0</v>
      </c>
      <c r="J33" s="68">
        <f>IF(SER_hh_emih_in!J33=0,0,SER_hh_emih_in!J33/SER_summary!J$27)</f>
        <v>0</v>
      </c>
      <c r="K33" s="68">
        <f>IF(SER_hh_emih_in!K33=0,0,SER_hh_emih_in!K33/SER_summary!K$27)</f>
        <v>0</v>
      </c>
      <c r="L33" s="68">
        <f>IF(SER_hh_emih_in!L33=0,0,SER_hh_emih_in!L33/SER_summary!L$27)</f>
        <v>0</v>
      </c>
      <c r="M33" s="68">
        <f>IF(SER_hh_emih_in!M33=0,0,SER_hh_emih_in!M33/SER_summary!M$27)</f>
        <v>0</v>
      </c>
      <c r="N33" s="68">
        <f>IF(SER_hh_emih_in!N33=0,0,SER_hh_emih_in!N33/SER_summary!N$27)</f>
        <v>0</v>
      </c>
      <c r="O33" s="68">
        <f>IF(SER_hh_emih_in!O33=0,0,SER_hh_emih_in!O33/SER_summary!O$27)</f>
        <v>0</v>
      </c>
      <c r="P33" s="68">
        <f>IF(SER_hh_emih_in!P33=0,0,SER_hh_emih_in!P33/SER_summary!P$27)</f>
        <v>0</v>
      </c>
      <c r="Q33" s="68">
        <f>IF(SER_hh_emih_in!Q33=0,0,SER_hh_emih_in!Q33/SER_summary!Q$27)</f>
        <v>0</v>
      </c>
      <c r="R33" s="68">
        <f>IF(SER_hh_emih_in!R33=0,0,SER_hh_emih_in!R33/SER_summary!R$27)</f>
        <v>0</v>
      </c>
      <c r="S33" s="68">
        <f>IF(SER_hh_emih_in!S33=0,0,SER_hh_emih_in!S33/SER_summary!S$27)</f>
        <v>0</v>
      </c>
      <c r="T33" s="68">
        <f>IF(SER_hh_emih_in!T33=0,0,SER_hh_emih_in!T33/SER_summary!T$27)</f>
        <v>0</v>
      </c>
      <c r="U33" s="68">
        <f>IF(SER_hh_emih_in!U33=0,0,SER_hh_emih_in!U33/SER_summary!U$27)</f>
        <v>0</v>
      </c>
      <c r="V33" s="68">
        <f>IF(SER_hh_emih_in!V33=0,0,SER_hh_emih_in!V33/SER_summary!V$27)</f>
        <v>0</v>
      </c>
      <c r="W33" s="68">
        <f>IF(SER_hh_emih_in!W33=0,0,SER_hh_emih_in!W33/SER_summary!W$27)</f>
        <v>0</v>
      </c>
      <c r="X33" s="68">
        <f>IF(SER_hh_emih_in!X33=0,0,SER_hh_emih_in!X33/SER_summary!X$27)</f>
        <v>0</v>
      </c>
      <c r="Y33" s="68">
        <f>IF(SER_hh_emih_in!Y33=0,0,SER_hh_emih_in!Y33/SER_summary!Y$27)</f>
        <v>0</v>
      </c>
      <c r="DA33" s="111" t="s">
        <v>908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8" tint="0.59999389629810485"/>
    <pageSetUpPr fitToPage="1"/>
  </sheetPr>
  <dimension ref="A1:DA73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78" t="s">
        <v>81</v>
      </c>
      <c r="B3" s="179">
        <f t="shared" ref="B3" si="0">SUM(B4:B9)</f>
        <v>2582.0126027806377</v>
      </c>
      <c r="C3" s="179">
        <f t="shared" ref="C3:W3" si="1">SUM(C4:C9)</f>
        <v>2664.3245747810474</v>
      </c>
      <c r="D3" s="179">
        <f t="shared" si="1"/>
        <v>2753.2896192418229</v>
      </c>
      <c r="E3" s="179">
        <f t="shared" si="1"/>
        <v>2848.8549641796076</v>
      </c>
      <c r="F3" s="179">
        <f t="shared" si="1"/>
        <v>2947.3326148441752</v>
      </c>
      <c r="G3" s="179">
        <f t="shared" si="1"/>
        <v>3035.2365874995248</v>
      </c>
      <c r="H3" s="179">
        <f t="shared" si="1"/>
        <v>3154.8653390171148</v>
      </c>
      <c r="I3" s="179">
        <f t="shared" si="1"/>
        <v>3256.7995170635954</v>
      </c>
      <c r="J3" s="179">
        <f t="shared" si="1"/>
        <v>3335.3472048448079</v>
      </c>
      <c r="K3" s="179">
        <f t="shared" si="1"/>
        <v>3390.7370511636591</v>
      </c>
      <c r="L3" s="179">
        <f t="shared" si="1"/>
        <v>3443.5566678180558</v>
      </c>
      <c r="M3" s="179">
        <f t="shared" si="1"/>
        <v>3486.5258065535495</v>
      </c>
      <c r="N3" s="179">
        <f t="shared" si="1"/>
        <v>3519.03416083105</v>
      </c>
      <c r="O3" s="179">
        <f t="shared" si="1"/>
        <v>3554.6069105471615</v>
      </c>
      <c r="P3" s="179">
        <f t="shared" si="1"/>
        <v>3639.8775467622895</v>
      </c>
      <c r="Q3" s="179">
        <f t="shared" si="1"/>
        <v>3702.1966140687341</v>
      </c>
      <c r="R3" s="179">
        <f t="shared" si="1"/>
        <v>3704.3615061010159</v>
      </c>
      <c r="S3" s="179">
        <f t="shared" si="1"/>
        <v>3755.0989483061903</v>
      </c>
      <c r="T3" s="179">
        <f t="shared" si="1"/>
        <v>3705.0474355939741</v>
      </c>
      <c r="U3" s="179">
        <f t="shared" si="1"/>
        <v>3647.602975983234</v>
      </c>
      <c r="V3" s="179">
        <f t="shared" si="1"/>
        <v>3353.8461888619327</v>
      </c>
      <c r="W3" s="179">
        <f t="shared" si="1"/>
        <v>3369.5442880256319</v>
      </c>
      <c r="X3" s="179">
        <f t="shared" ref="X3:Y3" si="2">SUM(X4:X9)</f>
        <v>3368.4028344131216</v>
      </c>
      <c r="Y3" s="179">
        <f t="shared" si="2"/>
        <v>3329.9004405197425</v>
      </c>
      <c r="DA3" s="188" t="s">
        <v>218</v>
      </c>
    </row>
    <row r="4" spans="1:105" ht="12" customHeight="1" x14ac:dyDescent="0.25">
      <c r="A4" s="131" t="s">
        <v>7</v>
      </c>
      <c r="B4" s="180">
        <f t="shared" ref="B4:B9" si="3">B12*B44/11630</f>
        <v>130.31734813577501</v>
      </c>
      <c r="C4" s="180">
        <f t="shared" ref="C4:R9" si="4">C12*C44/11630</f>
        <v>132.98756110872105</v>
      </c>
      <c r="D4" s="180">
        <f t="shared" si="4"/>
        <v>135.34710077192457</v>
      </c>
      <c r="E4" s="180">
        <f t="shared" si="4"/>
        <v>138.16722232705257</v>
      </c>
      <c r="F4" s="180">
        <f t="shared" si="4"/>
        <v>140.4487638025382</v>
      </c>
      <c r="G4" s="180">
        <f t="shared" si="4"/>
        <v>141.79901241849677</v>
      </c>
      <c r="H4" s="180">
        <f t="shared" si="4"/>
        <v>146.06214121640238</v>
      </c>
      <c r="I4" s="180">
        <f t="shared" si="4"/>
        <v>149.96767458344706</v>
      </c>
      <c r="J4" s="180">
        <f t="shared" si="4"/>
        <v>152.25828712396373</v>
      </c>
      <c r="K4" s="180">
        <f t="shared" si="4"/>
        <v>154.44441159020025</v>
      </c>
      <c r="L4" s="180">
        <f t="shared" si="4"/>
        <v>157.18321203664649</v>
      </c>
      <c r="M4" s="180">
        <f t="shared" si="4"/>
        <v>161.20658491618912</v>
      </c>
      <c r="N4" s="180">
        <f t="shared" si="4"/>
        <v>164.20156758035475</v>
      </c>
      <c r="O4" s="180">
        <f t="shared" si="4"/>
        <v>166.37591543883292</v>
      </c>
      <c r="P4" s="180">
        <f t="shared" si="4"/>
        <v>170.62693032566318</v>
      </c>
      <c r="Q4" s="180">
        <f t="shared" si="4"/>
        <v>173.2240070029942</v>
      </c>
      <c r="R4" s="180">
        <f t="shared" si="4"/>
        <v>173.81273412194656</v>
      </c>
      <c r="S4" s="180">
        <f t="shared" ref="D4:W9" si="5">S12*S44/11630</f>
        <v>174.89943684954548</v>
      </c>
      <c r="T4" s="180">
        <f t="shared" si="5"/>
        <v>175.58931556731437</v>
      </c>
      <c r="U4" s="180">
        <f t="shared" si="5"/>
        <v>176.92198923207718</v>
      </c>
      <c r="V4" s="180">
        <f t="shared" si="5"/>
        <v>178.02539406023428</v>
      </c>
      <c r="W4" s="180">
        <f t="shared" si="5"/>
        <v>178.76671420414493</v>
      </c>
      <c r="X4" s="180">
        <f t="shared" ref="X4:Y4" si="6">X12*X44/11630</f>
        <v>178.2674749995563</v>
      </c>
      <c r="Y4" s="180">
        <f t="shared" si="6"/>
        <v>177.30848003158886</v>
      </c>
      <c r="DA4" s="189" t="s">
        <v>909</v>
      </c>
    </row>
    <row r="5" spans="1:105" ht="12" customHeight="1" x14ac:dyDescent="0.25">
      <c r="A5" s="131" t="s">
        <v>6</v>
      </c>
      <c r="B5" s="180">
        <f t="shared" si="3"/>
        <v>468.5026196595752</v>
      </c>
      <c r="C5" s="180">
        <f t="shared" si="4"/>
        <v>480.69665277625228</v>
      </c>
      <c r="D5" s="180">
        <f t="shared" si="5"/>
        <v>490.26486735271516</v>
      </c>
      <c r="E5" s="180">
        <f t="shared" si="5"/>
        <v>503.37158558628693</v>
      </c>
      <c r="F5" s="180">
        <f t="shared" si="5"/>
        <v>513.24746912437547</v>
      </c>
      <c r="G5" s="180">
        <f t="shared" si="5"/>
        <v>519.90718747002018</v>
      </c>
      <c r="H5" s="180">
        <f t="shared" si="5"/>
        <v>526.35707580151791</v>
      </c>
      <c r="I5" s="180">
        <f t="shared" si="5"/>
        <v>534.04723572313867</v>
      </c>
      <c r="J5" s="180">
        <f t="shared" si="5"/>
        <v>542.10868637553324</v>
      </c>
      <c r="K5" s="180">
        <f t="shared" si="5"/>
        <v>552.33579431929513</v>
      </c>
      <c r="L5" s="180">
        <f t="shared" si="5"/>
        <v>562.10291563756482</v>
      </c>
      <c r="M5" s="180">
        <f t="shared" si="5"/>
        <v>570.44211052587025</v>
      </c>
      <c r="N5" s="180">
        <f t="shared" si="5"/>
        <v>578.60414710476925</v>
      </c>
      <c r="O5" s="180">
        <f t="shared" si="5"/>
        <v>588.19581122571367</v>
      </c>
      <c r="P5" s="180">
        <f t="shared" si="5"/>
        <v>597.69999766114165</v>
      </c>
      <c r="Q5" s="180">
        <f t="shared" si="5"/>
        <v>610.85256848349673</v>
      </c>
      <c r="R5" s="180">
        <f t="shared" si="5"/>
        <v>611.13459164921267</v>
      </c>
      <c r="S5" s="180">
        <f t="shared" si="5"/>
        <v>617.31634949344357</v>
      </c>
      <c r="T5" s="180">
        <f t="shared" si="5"/>
        <v>604.16117838638377</v>
      </c>
      <c r="U5" s="180">
        <f t="shared" si="5"/>
        <v>588.50799093005855</v>
      </c>
      <c r="V5" s="180">
        <f t="shared" si="5"/>
        <v>570.93593178657318</v>
      </c>
      <c r="W5" s="180">
        <f t="shared" si="5"/>
        <v>552.76239393841729</v>
      </c>
      <c r="X5" s="180">
        <f t="shared" ref="X5:Y5" si="7">X13*X45/11630</f>
        <v>532.3163763071135</v>
      </c>
      <c r="Y5" s="180">
        <f t="shared" si="7"/>
        <v>516.84215416703</v>
      </c>
      <c r="DA5" s="189" t="s">
        <v>910</v>
      </c>
    </row>
    <row r="6" spans="1:105" ht="12" customHeight="1" x14ac:dyDescent="0.25">
      <c r="A6" s="131" t="s">
        <v>5</v>
      </c>
      <c r="B6" s="180">
        <f t="shared" si="3"/>
        <v>942.58202880570582</v>
      </c>
      <c r="C6" s="180">
        <f t="shared" si="4"/>
        <v>955.31278363845058</v>
      </c>
      <c r="D6" s="180">
        <f t="shared" si="5"/>
        <v>968.32540775682833</v>
      </c>
      <c r="E6" s="180">
        <f t="shared" si="5"/>
        <v>973.3175687588955</v>
      </c>
      <c r="F6" s="180">
        <f t="shared" si="5"/>
        <v>975.16310916488044</v>
      </c>
      <c r="G6" s="180">
        <f t="shared" si="5"/>
        <v>976.20153537864428</v>
      </c>
      <c r="H6" s="180">
        <f t="shared" si="5"/>
        <v>993.06951495302746</v>
      </c>
      <c r="I6" s="180">
        <f t="shared" si="5"/>
        <v>1008.6462772677439</v>
      </c>
      <c r="J6" s="180">
        <f t="shared" si="5"/>
        <v>1015.370388946668</v>
      </c>
      <c r="K6" s="180">
        <f t="shared" si="5"/>
        <v>1015.7019524084053</v>
      </c>
      <c r="L6" s="180">
        <f t="shared" si="5"/>
        <v>1028.5032467617957</v>
      </c>
      <c r="M6" s="180">
        <f t="shared" si="5"/>
        <v>1037.8529142074055</v>
      </c>
      <c r="N6" s="180">
        <f t="shared" si="5"/>
        <v>1035.8708793278468</v>
      </c>
      <c r="O6" s="180">
        <f t="shared" si="5"/>
        <v>1029.9281729418058</v>
      </c>
      <c r="P6" s="180">
        <f t="shared" si="5"/>
        <v>1039.4135139077791</v>
      </c>
      <c r="Q6" s="180">
        <f t="shared" si="5"/>
        <v>1034.8882724983534</v>
      </c>
      <c r="R6" s="180">
        <f t="shared" si="5"/>
        <v>1004.2757138960388</v>
      </c>
      <c r="S6" s="180">
        <f t="shared" si="5"/>
        <v>994.76530414557749</v>
      </c>
      <c r="T6" s="180">
        <f t="shared" si="5"/>
        <v>930.40184004953403</v>
      </c>
      <c r="U6" s="180">
        <f t="shared" si="5"/>
        <v>866.34584157047914</v>
      </c>
      <c r="V6" s="180">
        <f t="shared" si="5"/>
        <v>679.27357853995227</v>
      </c>
      <c r="W6" s="180">
        <f t="shared" si="5"/>
        <v>669.42833714027779</v>
      </c>
      <c r="X6" s="180">
        <f t="shared" ref="X6:Y6" si="8">X14*X46/11630</f>
        <v>656.17933302618326</v>
      </c>
      <c r="Y6" s="180">
        <f t="shared" si="8"/>
        <v>622.35734277300446</v>
      </c>
      <c r="DA6" s="189" t="s">
        <v>911</v>
      </c>
    </row>
    <row r="7" spans="1:105" ht="12" customHeight="1" x14ac:dyDescent="0.25">
      <c r="A7" s="131" t="s">
        <v>171</v>
      </c>
      <c r="B7" s="180">
        <f t="shared" si="3"/>
        <v>526.8493603710034</v>
      </c>
      <c r="C7" s="180">
        <f t="shared" si="4"/>
        <v>539.7088437744876</v>
      </c>
      <c r="D7" s="180">
        <f t="shared" si="5"/>
        <v>558.82839427409021</v>
      </c>
      <c r="E7" s="180">
        <f t="shared" si="5"/>
        <v>582.7868683413609</v>
      </c>
      <c r="F7" s="180">
        <f t="shared" si="5"/>
        <v>613.08921400186091</v>
      </c>
      <c r="G7" s="180">
        <f t="shared" si="5"/>
        <v>643.69519607506993</v>
      </c>
      <c r="H7" s="180">
        <f t="shared" si="5"/>
        <v>675.80808978980099</v>
      </c>
      <c r="I7" s="180">
        <f t="shared" si="5"/>
        <v>700.86780889867384</v>
      </c>
      <c r="J7" s="180">
        <f t="shared" si="5"/>
        <v>728.70583678993376</v>
      </c>
      <c r="K7" s="180">
        <f t="shared" si="5"/>
        <v>741.33338005359724</v>
      </c>
      <c r="L7" s="180">
        <f t="shared" si="5"/>
        <v>746.70045182798219</v>
      </c>
      <c r="M7" s="180">
        <f t="shared" si="5"/>
        <v>748.78761419062687</v>
      </c>
      <c r="N7" s="180">
        <f t="shared" si="5"/>
        <v>750.74824542774104</v>
      </c>
      <c r="O7" s="180">
        <f t="shared" si="5"/>
        <v>758.13485440317754</v>
      </c>
      <c r="P7" s="180">
        <f t="shared" si="5"/>
        <v>778.91067978764227</v>
      </c>
      <c r="Q7" s="180">
        <f t="shared" si="5"/>
        <v>789.21183038323375</v>
      </c>
      <c r="R7" s="180">
        <f t="shared" si="5"/>
        <v>786.57404215891449</v>
      </c>
      <c r="S7" s="180">
        <f t="shared" si="5"/>
        <v>787.4197881149405</v>
      </c>
      <c r="T7" s="180">
        <f t="shared" si="5"/>
        <v>785.59160206141644</v>
      </c>
      <c r="U7" s="180">
        <f t="shared" si="5"/>
        <v>785.19372626595509</v>
      </c>
      <c r="V7" s="180">
        <f t="shared" si="5"/>
        <v>784.5017599993231</v>
      </c>
      <c r="W7" s="180">
        <f t="shared" si="5"/>
        <v>782.45516733049658</v>
      </c>
      <c r="X7" s="180">
        <f t="shared" ref="X7:Y7" si="9">X15*X47/11630</f>
        <v>776.95216926970272</v>
      </c>
      <c r="Y7" s="180">
        <f t="shared" si="9"/>
        <v>769.00321488025236</v>
      </c>
      <c r="DA7" s="189" t="s">
        <v>912</v>
      </c>
    </row>
    <row r="8" spans="1:105" ht="12" customHeight="1" x14ac:dyDescent="0.25">
      <c r="A8" s="60" t="s">
        <v>4</v>
      </c>
      <c r="B8" s="55">
        <f t="shared" si="3"/>
        <v>161.61619623788332</v>
      </c>
      <c r="C8" s="55">
        <f t="shared" si="4"/>
        <v>172.94062630639542</v>
      </c>
      <c r="D8" s="55">
        <f t="shared" si="5"/>
        <v>186.21462254852412</v>
      </c>
      <c r="E8" s="55">
        <f t="shared" si="5"/>
        <v>201.15470173414818</v>
      </c>
      <c r="F8" s="55">
        <f t="shared" si="5"/>
        <v>219.43881713011501</v>
      </c>
      <c r="G8" s="55">
        <f t="shared" si="5"/>
        <v>230.93873649195032</v>
      </c>
      <c r="H8" s="55">
        <f t="shared" si="5"/>
        <v>257.25660429011856</v>
      </c>
      <c r="I8" s="55">
        <f t="shared" si="5"/>
        <v>281.6356321998224</v>
      </c>
      <c r="J8" s="55">
        <f t="shared" si="5"/>
        <v>296.4077281485666</v>
      </c>
      <c r="K8" s="55">
        <f t="shared" si="5"/>
        <v>305.99078219819597</v>
      </c>
      <c r="L8" s="55">
        <f t="shared" si="5"/>
        <v>315.90541169957686</v>
      </c>
      <c r="M8" s="55">
        <f t="shared" si="5"/>
        <v>323.84955552657368</v>
      </c>
      <c r="N8" s="55">
        <f t="shared" si="5"/>
        <v>330.94509632956493</v>
      </c>
      <c r="O8" s="55">
        <f t="shared" si="5"/>
        <v>334.84508600801212</v>
      </c>
      <c r="P8" s="55">
        <f t="shared" si="5"/>
        <v>341.6623050629089</v>
      </c>
      <c r="Q8" s="55">
        <f t="shared" si="5"/>
        <v>343.70274689668503</v>
      </c>
      <c r="R8" s="55">
        <f t="shared" si="5"/>
        <v>352.95447596965215</v>
      </c>
      <c r="S8" s="55">
        <f t="shared" si="5"/>
        <v>368.93487165461954</v>
      </c>
      <c r="T8" s="55">
        <f t="shared" si="5"/>
        <v>374.47343311950556</v>
      </c>
      <c r="U8" s="55">
        <f t="shared" si="5"/>
        <v>377.66935959476831</v>
      </c>
      <c r="V8" s="55">
        <f t="shared" si="5"/>
        <v>324.54667964228474</v>
      </c>
      <c r="W8" s="55">
        <f t="shared" si="5"/>
        <v>344.23163166209866</v>
      </c>
      <c r="X8" s="55">
        <f t="shared" ref="X8:Y8" si="10">X16*X48/11630</f>
        <v>360.35825016750169</v>
      </c>
      <c r="Y8" s="55">
        <f t="shared" si="10"/>
        <v>368.86708737726002</v>
      </c>
      <c r="DA8" s="101" t="s">
        <v>913</v>
      </c>
    </row>
    <row r="9" spans="1:105" ht="12" customHeight="1" x14ac:dyDescent="0.25">
      <c r="A9" s="62" t="s">
        <v>3</v>
      </c>
      <c r="B9" s="63">
        <f t="shared" si="3"/>
        <v>352.14504957069511</v>
      </c>
      <c r="C9" s="63">
        <f t="shared" si="4"/>
        <v>382.67810717674058</v>
      </c>
      <c r="D9" s="63">
        <f t="shared" si="5"/>
        <v>414.30922653774098</v>
      </c>
      <c r="E9" s="63">
        <f t="shared" si="5"/>
        <v>450.05701743186364</v>
      </c>
      <c r="F9" s="63">
        <f t="shared" si="5"/>
        <v>485.94524162040523</v>
      </c>
      <c r="G9" s="63">
        <f t="shared" si="5"/>
        <v>522.6949196653436</v>
      </c>
      <c r="H9" s="63">
        <f t="shared" si="5"/>
        <v>556.31191296624752</v>
      </c>
      <c r="I9" s="63">
        <f t="shared" si="5"/>
        <v>581.63488839076956</v>
      </c>
      <c r="J9" s="63">
        <f t="shared" si="5"/>
        <v>600.49627746014266</v>
      </c>
      <c r="K9" s="63">
        <f t="shared" si="5"/>
        <v>620.93073059396511</v>
      </c>
      <c r="L9" s="63">
        <f t="shared" si="5"/>
        <v>633.16142985448982</v>
      </c>
      <c r="M9" s="63">
        <f t="shared" si="5"/>
        <v>644.3870271868841</v>
      </c>
      <c r="N9" s="63">
        <f t="shared" si="5"/>
        <v>658.66422506077311</v>
      </c>
      <c r="O9" s="63">
        <f t="shared" si="5"/>
        <v>677.12707052961957</v>
      </c>
      <c r="P9" s="63">
        <f t="shared" si="5"/>
        <v>711.56412001715455</v>
      </c>
      <c r="Q9" s="63">
        <f t="shared" si="5"/>
        <v>750.31718880397159</v>
      </c>
      <c r="R9" s="63">
        <f t="shared" si="5"/>
        <v>775.60994830525101</v>
      </c>
      <c r="S9" s="63">
        <f t="shared" si="5"/>
        <v>811.76319804806326</v>
      </c>
      <c r="T9" s="63">
        <f t="shared" si="5"/>
        <v>834.83006640982035</v>
      </c>
      <c r="U9" s="63">
        <f t="shared" si="5"/>
        <v>852.96406838989549</v>
      </c>
      <c r="V9" s="63">
        <f t="shared" si="5"/>
        <v>816.56284483356524</v>
      </c>
      <c r="W9" s="63">
        <f t="shared" si="5"/>
        <v>841.90004375019623</v>
      </c>
      <c r="X9" s="63">
        <f t="shared" ref="X9:Y9" si="11">X17*X49/11630</f>
        <v>864.32923064306408</v>
      </c>
      <c r="Y9" s="63">
        <f t="shared" si="11"/>
        <v>875.52216129060719</v>
      </c>
      <c r="DA9" s="105" t="s">
        <v>914</v>
      </c>
    </row>
    <row r="10" spans="1:105" s="2" customFormat="1" ht="12" customHeight="1" x14ac:dyDescent="0.25">
      <c r="DA10" s="7"/>
    </row>
    <row r="11" spans="1:105" ht="12.95" customHeight="1" x14ac:dyDescent="0.25">
      <c r="A11" s="178" t="s">
        <v>108</v>
      </c>
      <c r="B11" s="179">
        <f t="shared" ref="B11" si="12">SUM(B12:B17)</f>
        <v>11053.279410176856</v>
      </c>
      <c r="C11" s="179">
        <f t="shared" ref="C11:W11" si="13">SUM(C12:C17)</f>
        <v>11367.705698200052</v>
      </c>
      <c r="D11" s="179">
        <f t="shared" si="13"/>
        <v>11708.417500891695</v>
      </c>
      <c r="E11" s="179">
        <f t="shared" si="13"/>
        <v>12081.987800672465</v>
      </c>
      <c r="F11" s="179">
        <f t="shared" si="13"/>
        <v>12474.940958026862</v>
      </c>
      <c r="G11" s="179">
        <f t="shared" si="13"/>
        <v>12786.024987277102</v>
      </c>
      <c r="H11" s="179">
        <f t="shared" si="13"/>
        <v>13355.710329625797</v>
      </c>
      <c r="I11" s="179">
        <f t="shared" si="13"/>
        <v>13851.311533981247</v>
      </c>
      <c r="J11" s="179">
        <f t="shared" si="13"/>
        <v>14158.388009752827</v>
      </c>
      <c r="K11" s="179">
        <f t="shared" si="13"/>
        <v>14367.198047384903</v>
      </c>
      <c r="L11" s="179">
        <f t="shared" si="13"/>
        <v>14571.877227199047</v>
      </c>
      <c r="M11" s="179">
        <f t="shared" si="13"/>
        <v>14746.44550135695</v>
      </c>
      <c r="N11" s="179">
        <f t="shared" si="13"/>
        <v>14868.386012510409</v>
      </c>
      <c r="O11" s="179">
        <f t="shared" si="13"/>
        <v>14989.932916881196</v>
      </c>
      <c r="P11" s="179">
        <f t="shared" si="13"/>
        <v>15326.912499837741</v>
      </c>
      <c r="Q11" s="179">
        <f t="shared" si="13"/>
        <v>15552.804833948201</v>
      </c>
      <c r="R11" s="179">
        <f t="shared" si="13"/>
        <v>15547.42764839397</v>
      </c>
      <c r="S11" s="179">
        <f t="shared" si="13"/>
        <v>15579.313569763101</v>
      </c>
      <c r="T11" s="179">
        <f t="shared" si="13"/>
        <v>15500.221981102099</v>
      </c>
      <c r="U11" s="179">
        <f t="shared" si="13"/>
        <v>15355.187221602069</v>
      </c>
      <c r="V11" s="179">
        <f t="shared" si="13"/>
        <v>15127.512321261078</v>
      </c>
      <c r="W11" s="179">
        <f t="shared" si="13"/>
        <v>14861.066692236936</v>
      </c>
      <c r="X11" s="179">
        <f t="shared" ref="X11:Y11" si="14">SUM(X12:X17)</f>
        <v>14588.784552594803</v>
      </c>
      <c r="Y11" s="179">
        <f t="shared" si="14"/>
        <v>14308.583765882211</v>
      </c>
      <c r="DA11" s="188" t="s">
        <v>915</v>
      </c>
    </row>
    <row r="12" spans="1:105" ht="12" customHeight="1" x14ac:dyDescent="0.25">
      <c r="A12" s="131" t="s">
        <v>7</v>
      </c>
      <c r="B12" s="180">
        <f>B20*B52</f>
        <v>173.01264370080636</v>
      </c>
      <c r="C12" s="180">
        <f t="shared" ref="C12:W12" si="15">C20*C52</f>
        <v>176.55768672310799</v>
      </c>
      <c r="D12" s="180">
        <f t="shared" si="15"/>
        <v>179.69027191523776</v>
      </c>
      <c r="E12" s="180">
        <f t="shared" si="15"/>
        <v>183.43433740452303</v>
      </c>
      <c r="F12" s="180">
        <f t="shared" si="15"/>
        <v>186.46337020816432</v>
      </c>
      <c r="G12" s="180">
        <f t="shared" si="15"/>
        <v>188.25599479761624</v>
      </c>
      <c r="H12" s="180">
        <f t="shared" si="15"/>
        <v>193.91583360122826</v>
      </c>
      <c r="I12" s="180">
        <f t="shared" si="15"/>
        <v>199.10091956683664</v>
      </c>
      <c r="J12" s="180">
        <f t="shared" si="15"/>
        <v>202.14199534836746</v>
      </c>
      <c r="K12" s="180">
        <f t="shared" si="15"/>
        <v>205.04435009064261</v>
      </c>
      <c r="L12" s="180">
        <f t="shared" si="15"/>
        <v>208.68045159659809</v>
      </c>
      <c r="M12" s="180">
        <f t="shared" si="15"/>
        <v>214.0219843122465</v>
      </c>
      <c r="N12" s="180">
        <f t="shared" si="15"/>
        <v>217.99819988122451</v>
      </c>
      <c r="O12" s="180">
        <f t="shared" si="15"/>
        <v>220.8849196979026</v>
      </c>
      <c r="P12" s="180">
        <f t="shared" si="15"/>
        <v>226.52867576340898</v>
      </c>
      <c r="Q12" s="180">
        <f t="shared" si="15"/>
        <v>229.97662116950025</v>
      </c>
      <c r="R12" s="180">
        <f t="shared" si="15"/>
        <v>230.75823034683083</v>
      </c>
      <c r="S12" s="180">
        <f t="shared" si="15"/>
        <v>232.20096467582346</v>
      </c>
      <c r="T12" s="180">
        <f t="shared" si="15"/>
        <v>233.11686530226785</v>
      </c>
      <c r="U12" s="180">
        <f t="shared" si="15"/>
        <v>234.88615693710696</v>
      </c>
      <c r="V12" s="180">
        <f t="shared" si="15"/>
        <v>236.35106540188639</v>
      </c>
      <c r="W12" s="180">
        <f t="shared" si="15"/>
        <v>237.33526098107376</v>
      </c>
      <c r="X12" s="180">
        <f t="shared" ref="X12:Y12" si="16">X20*X52</f>
        <v>236.67245824712788</v>
      </c>
      <c r="Y12" s="180">
        <f t="shared" si="16"/>
        <v>235.39927200540853</v>
      </c>
      <c r="DA12" s="189" t="s">
        <v>916</v>
      </c>
    </row>
    <row r="13" spans="1:105" ht="12" customHeight="1" x14ac:dyDescent="0.25">
      <c r="A13" s="131" t="s">
        <v>6</v>
      </c>
      <c r="B13" s="180">
        <f>B21*B53/1000</f>
        <v>1361.9213821060537</v>
      </c>
      <c r="C13" s="180">
        <f t="shared" ref="C13:W13" si="17">C21*C53/1000</f>
        <v>1400.3360936978208</v>
      </c>
      <c r="D13" s="180">
        <f t="shared" si="17"/>
        <v>1432.9008441331594</v>
      </c>
      <c r="E13" s="180">
        <f t="shared" si="17"/>
        <v>1476.0731047475188</v>
      </c>
      <c r="F13" s="180">
        <f t="shared" si="17"/>
        <v>1508.0944019400144</v>
      </c>
      <c r="G13" s="180">
        <f t="shared" si="17"/>
        <v>1531.4431704035349</v>
      </c>
      <c r="H13" s="180">
        <f t="shared" si="17"/>
        <v>1555.0261796497025</v>
      </c>
      <c r="I13" s="180">
        <f t="shared" si="17"/>
        <v>1582.9210700633921</v>
      </c>
      <c r="J13" s="180">
        <f t="shared" si="17"/>
        <v>1612.9923300082651</v>
      </c>
      <c r="K13" s="180">
        <f t="shared" si="17"/>
        <v>1646.7051347056722</v>
      </c>
      <c r="L13" s="180">
        <f t="shared" si="17"/>
        <v>1681.3071762485711</v>
      </c>
      <c r="M13" s="180">
        <f t="shared" si="17"/>
        <v>1715.7545644946015</v>
      </c>
      <c r="N13" s="180">
        <f t="shared" si="17"/>
        <v>1748.5492981568266</v>
      </c>
      <c r="O13" s="180">
        <f t="shared" si="17"/>
        <v>1786.80724524981</v>
      </c>
      <c r="P13" s="180">
        <f t="shared" si="17"/>
        <v>1825.2747033668111</v>
      </c>
      <c r="Q13" s="180">
        <f t="shared" si="17"/>
        <v>1874.9540200579427</v>
      </c>
      <c r="R13" s="180">
        <f t="shared" si="17"/>
        <v>1869.0505963178771</v>
      </c>
      <c r="S13" s="180">
        <f t="shared" si="17"/>
        <v>1856.9024392901149</v>
      </c>
      <c r="T13" s="180">
        <f t="shared" si="17"/>
        <v>1833.9432586297155</v>
      </c>
      <c r="U13" s="180">
        <f t="shared" si="17"/>
        <v>1802.0969415776333</v>
      </c>
      <c r="V13" s="180">
        <f t="shared" si="17"/>
        <v>1755.7902533950032</v>
      </c>
      <c r="W13" s="180">
        <f t="shared" si="17"/>
        <v>1701.879713997175</v>
      </c>
      <c r="X13" s="180">
        <f t="shared" ref="X13:Y13" si="18">X21*X53/1000</f>
        <v>1646.6612132102034</v>
      </c>
      <c r="Y13" s="180">
        <f t="shared" si="18"/>
        <v>1606.371827874427</v>
      </c>
      <c r="DA13" s="189" t="s">
        <v>917</v>
      </c>
    </row>
    <row r="14" spans="1:105" ht="12" customHeight="1" x14ac:dyDescent="0.25">
      <c r="A14" s="131" t="s">
        <v>5</v>
      </c>
      <c r="B14" s="180">
        <f>B22*B54</f>
        <v>4747.6171236174396</v>
      </c>
      <c r="C14" s="180">
        <f t="shared" ref="C14:W14" si="19">C22*C54</f>
        <v>4780.793848871479</v>
      </c>
      <c r="D14" s="180">
        <f t="shared" si="19"/>
        <v>4823.3065182312539</v>
      </c>
      <c r="E14" s="180">
        <f t="shared" si="19"/>
        <v>4828.5563434570922</v>
      </c>
      <c r="F14" s="180">
        <f t="shared" si="19"/>
        <v>4812.1846014485154</v>
      </c>
      <c r="G14" s="180">
        <f t="shared" si="19"/>
        <v>4796.6956704777722</v>
      </c>
      <c r="H14" s="180">
        <f t="shared" si="19"/>
        <v>4858.5805037921291</v>
      </c>
      <c r="I14" s="180">
        <f t="shared" si="19"/>
        <v>4918.3456246756614</v>
      </c>
      <c r="J14" s="180">
        <f t="shared" si="19"/>
        <v>4941.1624433242123</v>
      </c>
      <c r="K14" s="180">
        <f t="shared" si="19"/>
        <v>4936.8637423250693</v>
      </c>
      <c r="L14" s="180">
        <f t="shared" si="19"/>
        <v>4988.1131304685314</v>
      </c>
      <c r="M14" s="180">
        <f t="shared" si="19"/>
        <v>5016.4394745338559</v>
      </c>
      <c r="N14" s="180">
        <f t="shared" si="19"/>
        <v>4985.6329867298946</v>
      </c>
      <c r="O14" s="180">
        <f t="shared" si="19"/>
        <v>4942.4639481480899</v>
      </c>
      <c r="P14" s="180">
        <f t="shared" si="19"/>
        <v>4965.6102392165585</v>
      </c>
      <c r="Q14" s="180">
        <f t="shared" si="19"/>
        <v>4920.595100348025</v>
      </c>
      <c r="R14" s="180">
        <f t="shared" si="19"/>
        <v>4740.9222267453479</v>
      </c>
      <c r="S14" s="180">
        <f t="shared" si="19"/>
        <v>4569.2291072512462</v>
      </c>
      <c r="T14" s="180">
        <f t="shared" si="19"/>
        <v>4327.0506916967815</v>
      </c>
      <c r="U14" s="180">
        <f t="shared" si="19"/>
        <v>4074.0407956305648</v>
      </c>
      <c r="V14" s="180">
        <f t="shared" si="19"/>
        <v>3772.442330498568</v>
      </c>
      <c r="W14" s="180">
        <f t="shared" si="19"/>
        <v>3513.4939689048188</v>
      </c>
      <c r="X14" s="180">
        <f t="shared" ref="X14:Y14" si="20">X22*X54</f>
        <v>3286.3437656011597</v>
      </c>
      <c r="Y14" s="180">
        <f t="shared" si="20"/>
        <v>3047.2248628087982</v>
      </c>
      <c r="DA14" s="189" t="s">
        <v>918</v>
      </c>
    </row>
    <row r="15" spans="1:105" ht="12" customHeight="1" x14ac:dyDescent="0.25">
      <c r="A15" s="131" t="s">
        <v>171</v>
      </c>
      <c r="B15" s="180">
        <f>B23*B55/1000</f>
        <v>699.4586827756591</v>
      </c>
      <c r="C15" s="180">
        <f t="shared" ref="C15:W15" si="21">C23*C55/1000</f>
        <v>716.53126176909745</v>
      </c>
      <c r="D15" s="180">
        <f t="shared" si="21"/>
        <v>741.91486591411797</v>
      </c>
      <c r="E15" s="180">
        <f t="shared" si="21"/>
        <v>773.72274872260596</v>
      </c>
      <c r="F15" s="180">
        <f t="shared" si="21"/>
        <v>813.95291767598667</v>
      </c>
      <c r="G15" s="180">
        <f t="shared" si="21"/>
        <v>854.58620209509854</v>
      </c>
      <c r="H15" s="180">
        <f t="shared" si="21"/>
        <v>897.2201009423959</v>
      </c>
      <c r="I15" s="180">
        <f t="shared" si="21"/>
        <v>930.49002482780577</v>
      </c>
      <c r="J15" s="180">
        <f t="shared" si="21"/>
        <v>967.44850249622459</v>
      </c>
      <c r="K15" s="180">
        <f t="shared" si="21"/>
        <v>984.21315182914771</v>
      </c>
      <c r="L15" s="180">
        <f t="shared" si="21"/>
        <v>991.33861355701265</v>
      </c>
      <c r="M15" s="180">
        <f t="shared" si="21"/>
        <v>994.10958368002139</v>
      </c>
      <c r="N15" s="180">
        <f t="shared" si="21"/>
        <v>996.71256784527725</v>
      </c>
      <c r="O15" s="180">
        <f t="shared" si="21"/>
        <v>1006.5192188023918</v>
      </c>
      <c r="P15" s="180">
        <f t="shared" si="21"/>
        <v>1034.1017358367897</v>
      </c>
      <c r="Q15" s="180">
        <f t="shared" si="21"/>
        <v>1047.7778067759148</v>
      </c>
      <c r="R15" s="180">
        <f t="shared" si="21"/>
        <v>1044.2758116790158</v>
      </c>
      <c r="S15" s="180">
        <f t="shared" si="21"/>
        <v>1045.3986456366165</v>
      </c>
      <c r="T15" s="180">
        <f t="shared" si="21"/>
        <v>1042.9714990838213</v>
      </c>
      <c r="U15" s="180">
        <f t="shared" si="21"/>
        <v>1042.4432690037738</v>
      </c>
      <c r="V15" s="180">
        <f t="shared" si="21"/>
        <v>1041.5245968940785</v>
      </c>
      <c r="W15" s="180">
        <f t="shared" si="21"/>
        <v>1038.8074881339815</v>
      </c>
      <c r="X15" s="180">
        <f t="shared" ref="X15:Y15" si="22">X23*X55/1000</f>
        <v>1031.5015671925394</v>
      </c>
      <c r="Y15" s="180">
        <f t="shared" si="22"/>
        <v>1020.9483320841708</v>
      </c>
      <c r="DA15" s="189" t="s">
        <v>919</v>
      </c>
    </row>
    <row r="16" spans="1:105" ht="12" customHeight="1" x14ac:dyDescent="0.25">
      <c r="A16" s="60" t="s">
        <v>4</v>
      </c>
      <c r="B16" s="55">
        <f>B24*B56</f>
        <v>2092.7482549726633</v>
      </c>
      <c r="C16" s="55">
        <f t="shared" ref="C16:W16" si="23">C24*C56</f>
        <v>2228.740477170737</v>
      </c>
      <c r="D16" s="55">
        <f t="shared" si="23"/>
        <v>2389.3888136512523</v>
      </c>
      <c r="E16" s="55">
        <f t="shared" si="23"/>
        <v>2570.7812745082438</v>
      </c>
      <c r="F16" s="55">
        <f t="shared" si="23"/>
        <v>2794.0820748185479</v>
      </c>
      <c r="G16" s="55">
        <f t="shared" si="23"/>
        <v>2930.3826194749254</v>
      </c>
      <c r="H16" s="55">
        <f t="shared" si="23"/>
        <v>3253.8133825400564</v>
      </c>
      <c r="I16" s="55">
        <f t="shared" si="23"/>
        <v>3551.3809574022057</v>
      </c>
      <c r="J16" s="55">
        <f t="shared" si="23"/>
        <v>3726.9880889737392</v>
      </c>
      <c r="K16" s="55">
        <f t="shared" si="23"/>
        <v>3837.0969384030145</v>
      </c>
      <c r="L16" s="55">
        <f t="shared" si="23"/>
        <v>3951.2787910568736</v>
      </c>
      <c r="M16" s="55">
        <f t="shared" si="23"/>
        <v>4044.0601168259741</v>
      </c>
      <c r="N16" s="55">
        <f t="shared" si="23"/>
        <v>4126.2620144205639</v>
      </c>
      <c r="O16" s="55">
        <f t="shared" si="23"/>
        <v>4168.7060838116586</v>
      </c>
      <c r="P16" s="55">
        <f t="shared" si="23"/>
        <v>4247.5480383893109</v>
      </c>
      <c r="Q16" s="55">
        <f t="shared" si="23"/>
        <v>4267.1044819822728</v>
      </c>
      <c r="R16" s="55">
        <f t="shared" si="23"/>
        <v>4360.331583526051</v>
      </c>
      <c r="S16" s="55">
        <f t="shared" si="23"/>
        <v>4461.0647471163129</v>
      </c>
      <c r="T16" s="55">
        <f t="shared" si="23"/>
        <v>4545.7734446005861</v>
      </c>
      <c r="U16" s="55">
        <f t="shared" si="23"/>
        <v>4609.2128203020638</v>
      </c>
      <c r="V16" s="55">
        <f t="shared" si="23"/>
        <v>4677.7390238473818</v>
      </c>
      <c r="W16" s="55">
        <f t="shared" si="23"/>
        <v>4688.8552576342463</v>
      </c>
      <c r="X16" s="55">
        <f t="shared" ref="X16:Y16" si="24">X24*X56</f>
        <v>4683.0680472169925</v>
      </c>
      <c r="Y16" s="55">
        <f t="shared" si="24"/>
        <v>4686.0292410192969</v>
      </c>
      <c r="DA16" s="101" t="s">
        <v>920</v>
      </c>
    </row>
    <row r="17" spans="1:105" ht="12" customHeight="1" x14ac:dyDescent="0.25">
      <c r="A17" s="62" t="s">
        <v>3</v>
      </c>
      <c r="B17" s="63">
        <f>B25*B57/1000</f>
        <v>1978.5213230042336</v>
      </c>
      <c r="C17" s="63">
        <f t="shared" ref="C17:W17" si="25">C25*C57/1000</f>
        <v>2064.7463299678088</v>
      </c>
      <c r="D17" s="63">
        <f t="shared" si="25"/>
        <v>2141.2161870466748</v>
      </c>
      <c r="E17" s="63">
        <f t="shared" si="25"/>
        <v>2249.4199918324816</v>
      </c>
      <c r="F17" s="63">
        <f t="shared" si="25"/>
        <v>2360.163591935634</v>
      </c>
      <c r="G17" s="63">
        <f t="shared" si="25"/>
        <v>2484.6613300281542</v>
      </c>
      <c r="H17" s="63">
        <f t="shared" si="25"/>
        <v>2597.1543291002836</v>
      </c>
      <c r="I17" s="63">
        <f t="shared" si="25"/>
        <v>2669.0729374453458</v>
      </c>
      <c r="J17" s="63">
        <f t="shared" si="25"/>
        <v>2707.6546496020173</v>
      </c>
      <c r="K17" s="63">
        <f t="shared" si="25"/>
        <v>2757.2747300313576</v>
      </c>
      <c r="L17" s="63">
        <f t="shared" si="25"/>
        <v>2751.15906427146</v>
      </c>
      <c r="M17" s="63">
        <f t="shared" si="25"/>
        <v>2762.0597775102501</v>
      </c>
      <c r="N17" s="63">
        <f t="shared" si="25"/>
        <v>2793.2309454766219</v>
      </c>
      <c r="O17" s="63">
        <f t="shared" si="25"/>
        <v>2864.5515011713424</v>
      </c>
      <c r="P17" s="63">
        <f t="shared" si="25"/>
        <v>3027.8491072648617</v>
      </c>
      <c r="Q17" s="63">
        <f t="shared" si="25"/>
        <v>3212.3968036145443</v>
      </c>
      <c r="R17" s="63">
        <f t="shared" si="25"/>
        <v>3302.0891997788476</v>
      </c>
      <c r="S17" s="63">
        <f t="shared" si="25"/>
        <v>3414.5176657929878</v>
      </c>
      <c r="T17" s="63">
        <f t="shared" si="25"/>
        <v>3517.3662217889259</v>
      </c>
      <c r="U17" s="63">
        <f t="shared" si="25"/>
        <v>3592.5072381509253</v>
      </c>
      <c r="V17" s="63">
        <f t="shared" si="25"/>
        <v>3643.6650512241595</v>
      </c>
      <c r="W17" s="63">
        <f t="shared" si="25"/>
        <v>3680.6950025856409</v>
      </c>
      <c r="X17" s="63">
        <f t="shared" ref="X17:Y17" si="26">X25*X57/1000</f>
        <v>3704.5375011267797</v>
      </c>
      <c r="Y17" s="63">
        <f t="shared" si="26"/>
        <v>3712.6102300901098</v>
      </c>
      <c r="DA17" s="105" t="s">
        <v>921</v>
      </c>
    </row>
    <row r="18" spans="1:105" s="2" customFormat="1" ht="12" customHeight="1" x14ac:dyDescent="0.25">
      <c r="DA18" s="7"/>
    </row>
    <row r="19" spans="1:105" ht="12.95" customHeight="1" x14ac:dyDescent="0.25">
      <c r="A19" s="178" t="s">
        <v>107</v>
      </c>
      <c r="B19" s="179"/>
      <c r="C19" s="179"/>
      <c r="D19" s="179"/>
      <c r="E19" s="179"/>
      <c r="F19" s="179"/>
      <c r="G19" s="179"/>
      <c r="H19" s="179"/>
      <c r="I19" s="179"/>
      <c r="J19" s="179"/>
      <c r="K19" s="179"/>
      <c r="L19" s="179"/>
      <c r="M19" s="179"/>
      <c r="N19" s="179"/>
      <c r="O19" s="179"/>
      <c r="P19" s="179"/>
      <c r="Q19" s="179"/>
      <c r="R19" s="179"/>
      <c r="S19" s="179"/>
      <c r="T19" s="179"/>
      <c r="U19" s="179"/>
      <c r="V19" s="179"/>
      <c r="W19" s="179"/>
      <c r="X19" s="179"/>
      <c r="Y19" s="179"/>
      <c r="DA19" s="188"/>
    </row>
    <row r="20" spans="1:105" ht="12" customHeight="1" x14ac:dyDescent="0.25">
      <c r="A20" s="131" t="s">
        <v>158</v>
      </c>
      <c r="B20" s="181">
        <v>226.23405126806816</v>
      </c>
      <c r="C20" s="181">
        <v>232.58049187005236</v>
      </c>
      <c r="D20" s="181">
        <v>238.55362430572472</v>
      </c>
      <c r="E20" s="181">
        <v>245.64966355632211</v>
      </c>
      <c r="F20" s="181">
        <v>251.88412911135362</v>
      </c>
      <c r="G20" s="181">
        <v>256.51615417050215</v>
      </c>
      <c r="H20" s="181">
        <v>267.45152353695374</v>
      </c>
      <c r="I20" s="181">
        <v>278.04748918934229</v>
      </c>
      <c r="J20" s="181">
        <v>285.6312483286369</v>
      </c>
      <c r="K20" s="181">
        <v>293.35857762715017</v>
      </c>
      <c r="L20" s="181">
        <v>302.71115652584513</v>
      </c>
      <c r="M20" s="181">
        <v>315.43844563304543</v>
      </c>
      <c r="N20" s="181">
        <v>326.53301196654434</v>
      </c>
      <c r="O20" s="181">
        <v>336.45490639672789</v>
      </c>
      <c r="P20" s="181">
        <v>352.22627322895829</v>
      </c>
      <c r="Q20" s="181">
        <v>364.90426082473851</v>
      </c>
      <c r="R20" s="181">
        <v>372.92716251496313</v>
      </c>
      <c r="S20" s="181">
        <v>382.63464539189448</v>
      </c>
      <c r="T20" s="181">
        <v>391.80404804803919</v>
      </c>
      <c r="U20" s="181">
        <v>400.54566324064376</v>
      </c>
      <c r="V20" s="181">
        <v>408.64825665889742</v>
      </c>
      <c r="W20" s="181">
        <v>416.17751013106016</v>
      </c>
      <c r="X20" s="181">
        <v>420.1807412773328</v>
      </c>
      <c r="Y20" s="181">
        <v>422.38285561007109</v>
      </c>
      <c r="DA20" s="190" t="s">
        <v>922</v>
      </c>
    </row>
    <row r="21" spans="1:105" ht="12" customHeight="1" x14ac:dyDescent="0.25">
      <c r="A21" s="131" t="s">
        <v>156</v>
      </c>
      <c r="B21" s="181">
        <v>6865.8442198413977</v>
      </c>
      <c r="C21" s="181">
        <v>7142.9002840147759</v>
      </c>
      <c r="D21" s="181">
        <v>7406.5516353741677</v>
      </c>
      <c r="E21" s="181">
        <v>7747.9505911570495</v>
      </c>
      <c r="F21" s="181">
        <v>8045.9803244835039</v>
      </c>
      <c r="G21" s="181">
        <v>8324.6285026152436</v>
      </c>
      <c r="H21" s="181">
        <v>8638.0273245461922</v>
      </c>
      <c r="I21" s="181">
        <v>9003.5535836371</v>
      </c>
      <c r="J21" s="181">
        <v>9312.3099486628362</v>
      </c>
      <c r="K21" s="181">
        <v>9658.5113496585072</v>
      </c>
      <c r="L21" s="181">
        <v>10043.474947602335</v>
      </c>
      <c r="M21" s="181">
        <v>10454.556334626048</v>
      </c>
      <c r="N21" s="181">
        <v>10890.053495180971</v>
      </c>
      <c r="O21" s="181">
        <v>11426.506150889145</v>
      </c>
      <c r="P21" s="181">
        <v>12060.515939855706</v>
      </c>
      <c r="Q21" s="181">
        <v>12871.138224840835</v>
      </c>
      <c r="R21" s="181">
        <v>13338.670663865683</v>
      </c>
      <c r="S21" s="181">
        <v>13859.113118595671</v>
      </c>
      <c r="T21" s="181">
        <v>14341.120901675802</v>
      </c>
      <c r="U21" s="181">
        <v>14790.857600147863</v>
      </c>
      <c r="V21" s="181">
        <v>15185.987873876784</v>
      </c>
      <c r="W21" s="181">
        <v>15506.5454177919</v>
      </c>
      <c r="X21" s="181">
        <v>15755.230624637648</v>
      </c>
      <c r="Y21" s="181">
        <v>15961.682743448871</v>
      </c>
      <c r="DA21" s="190" t="s">
        <v>923</v>
      </c>
    </row>
    <row r="22" spans="1:105" ht="12" customHeight="1" x14ac:dyDescent="0.25">
      <c r="A22" s="131" t="s">
        <v>160</v>
      </c>
      <c r="B22" s="181">
        <v>110.67329424087598</v>
      </c>
      <c r="C22" s="181">
        <v>112.31923976560027</v>
      </c>
      <c r="D22" s="181">
        <v>114.77406683107641</v>
      </c>
      <c r="E22" s="181">
        <v>116.71406879167151</v>
      </c>
      <c r="F22" s="181">
        <v>118.5725557344801</v>
      </c>
      <c r="G22" s="181">
        <v>120.88985671736566</v>
      </c>
      <c r="H22" s="181">
        <v>125.91015908641008</v>
      </c>
      <c r="I22" s="181">
        <v>130.25594910900651</v>
      </c>
      <c r="J22" s="181">
        <v>133.74853039114652</v>
      </c>
      <c r="K22" s="181">
        <v>136.84246384451652</v>
      </c>
      <c r="L22" s="181">
        <v>142.17502956667278</v>
      </c>
      <c r="M22" s="181">
        <v>147.71322365505989</v>
      </c>
      <c r="N22" s="181">
        <v>152.67043364100664</v>
      </c>
      <c r="O22" s="181">
        <v>157.70196516510023</v>
      </c>
      <c r="P22" s="181">
        <v>166.43750103114374</v>
      </c>
      <c r="Q22" s="181">
        <v>173.58695949050269</v>
      </c>
      <c r="R22" s="181">
        <v>177.51095565103952</v>
      </c>
      <c r="S22" s="181">
        <v>182.27673135331563</v>
      </c>
      <c r="T22" s="181">
        <v>186.67765427095171</v>
      </c>
      <c r="U22" s="181">
        <v>190.67325430119328</v>
      </c>
      <c r="V22" s="181">
        <v>193.99031865950619</v>
      </c>
      <c r="W22" s="181">
        <v>196.40960359865699</v>
      </c>
      <c r="X22" s="181">
        <v>197.71840904435311</v>
      </c>
      <c r="Y22" s="181">
        <v>198.4635121704043</v>
      </c>
      <c r="DA22" s="190" t="s">
        <v>924</v>
      </c>
    </row>
    <row r="23" spans="1:105" ht="12" customHeight="1" x14ac:dyDescent="0.25">
      <c r="A23" s="131" t="s">
        <v>172</v>
      </c>
      <c r="B23" s="181">
        <v>1074.1963641140887</v>
      </c>
      <c r="C23" s="181">
        <v>1113.7411466331248</v>
      </c>
      <c r="D23" s="181">
        <v>1171.4154436381643</v>
      </c>
      <c r="E23" s="181">
        <v>1243.0628713650297</v>
      </c>
      <c r="F23" s="181">
        <v>1332.1004955824667</v>
      </c>
      <c r="G23" s="181">
        <v>1425.0365696254978</v>
      </c>
      <c r="H23" s="181">
        <v>1525.2680028601599</v>
      </c>
      <c r="I23" s="181">
        <v>1612.2539609157425</v>
      </c>
      <c r="J23" s="181">
        <v>1710.2201943002767</v>
      </c>
      <c r="K23" s="181">
        <v>1773.4370146637034</v>
      </c>
      <c r="L23" s="181">
        <v>1821.9580828457038</v>
      </c>
      <c r="M23" s="181">
        <v>1855.3501043470028</v>
      </c>
      <c r="N23" s="181">
        <v>1890.4640420143294</v>
      </c>
      <c r="O23" s="181">
        <v>1946.7871398537345</v>
      </c>
      <c r="P23" s="181">
        <v>2049.0777546752761</v>
      </c>
      <c r="Q23" s="181">
        <v>2122.7778801055556</v>
      </c>
      <c r="R23" s="181">
        <v>2160.2953415626939</v>
      </c>
      <c r="S23" s="181">
        <v>2206.0483300918718</v>
      </c>
      <c r="T23" s="181">
        <v>2247.10928518123</v>
      </c>
      <c r="U23" s="181">
        <v>2285.639556925832</v>
      </c>
      <c r="V23" s="181">
        <v>2320.1526986005638</v>
      </c>
      <c r="W23" s="181">
        <v>2349.0599748851268</v>
      </c>
      <c r="X23" s="181">
        <v>2372.5626278415066</v>
      </c>
      <c r="Y23" s="181">
        <v>2393.6536180303683</v>
      </c>
      <c r="DA23" s="190" t="s">
        <v>925</v>
      </c>
    </row>
    <row r="24" spans="1:105" ht="12" customHeight="1" x14ac:dyDescent="0.25">
      <c r="A24" s="60" t="s">
        <v>159</v>
      </c>
      <c r="B24" s="36">
        <v>42.712645485408977</v>
      </c>
      <c r="C24" s="36">
        <v>45.729813593182314</v>
      </c>
      <c r="D24" s="36">
        <v>49.333868579302056</v>
      </c>
      <c r="E24" s="36">
        <v>53.449215403029143</v>
      </c>
      <c r="F24" s="36">
        <v>58.554295767003417</v>
      </c>
      <c r="G24" s="36">
        <v>61.790156684967677</v>
      </c>
      <c r="H24" s="36">
        <v>69.343031617443572</v>
      </c>
      <c r="I24" s="36">
        <v>76.446735048985374</v>
      </c>
      <c r="J24" s="36">
        <v>80.864438827412016</v>
      </c>
      <c r="K24" s="36">
        <v>83.880174670461443</v>
      </c>
      <c r="L24" s="36">
        <v>87.118508121383499</v>
      </c>
      <c r="M24" s="36">
        <v>90.058146000931117</v>
      </c>
      <c r="N24" s="36">
        <v>92.985909796310423</v>
      </c>
      <c r="O24" s="36">
        <v>95.20145313151788</v>
      </c>
      <c r="P24" s="36">
        <v>98.713894151701425</v>
      </c>
      <c r="Q24" s="36">
        <v>101.04265000162081</v>
      </c>
      <c r="R24" s="36">
        <v>104.7611273314523</v>
      </c>
      <c r="S24" s="36">
        <v>108.96762027075397</v>
      </c>
      <c r="T24" s="36">
        <v>112.99894640527415</v>
      </c>
      <c r="U24" s="36">
        <v>116.85745360676796</v>
      </c>
      <c r="V24" s="36">
        <v>120.43285061884271</v>
      </c>
      <c r="W24" s="36">
        <v>123.71150758441543</v>
      </c>
      <c r="X24" s="36">
        <v>126.40106791057281</v>
      </c>
      <c r="Y24" s="36">
        <v>128.60695415373252</v>
      </c>
      <c r="DA24" s="89" t="s">
        <v>926</v>
      </c>
    </row>
    <row r="25" spans="1:105" ht="12" customHeight="1" x14ac:dyDescent="0.25">
      <c r="A25" s="62" t="s">
        <v>157</v>
      </c>
      <c r="B25" s="38">
        <v>5370.9337321100056</v>
      </c>
      <c r="C25" s="38">
        <v>5731.5613938730858</v>
      </c>
      <c r="D25" s="38">
        <v>6120.4276395656289</v>
      </c>
      <c r="E25" s="38">
        <v>6672.3879878984617</v>
      </c>
      <c r="F25" s="38">
        <v>7308.7853654825858</v>
      </c>
      <c r="G25" s="38">
        <v>8074.6084968647929</v>
      </c>
      <c r="H25" s="38">
        <v>8877.3728527384865</v>
      </c>
      <c r="I25" s="38">
        <v>9574.0641736595881</v>
      </c>
      <c r="J25" s="38">
        <v>10267.791230168159</v>
      </c>
      <c r="K25" s="38">
        <v>11117.565849718721</v>
      </c>
      <c r="L25" s="38">
        <v>11884.545213049403</v>
      </c>
      <c r="M25" s="38">
        <v>12925.664034790059</v>
      </c>
      <c r="N25" s="38">
        <v>14064.403134284385</v>
      </c>
      <c r="O25" s="38">
        <v>15409.307607300165</v>
      </c>
      <c r="P25" s="38">
        <v>17189.049276801336</v>
      </c>
      <c r="Q25" s="38">
        <v>18818.860744969668</v>
      </c>
      <c r="R25" s="38">
        <v>19808.074237610574</v>
      </c>
      <c r="S25" s="38">
        <v>20848.097670156134</v>
      </c>
      <c r="T25" s="38">
        <v>21831.609968899997</v>
      </c>
      <c r="U25" s="38">
        <v>22788.511007066456</v>
      </c>
      <c r="V25" s="38">
        <v>23691.233485790846</v>
      </c>
      <c r="W25" s="38">
        <v>24533.177729817719</v>
      </c>
      <c r="X25" s="38">
        <v>25254.097095225869</v>
      </c>
      <c r="Y25" s="38">
        <v>25857.122636868698</v>
      </c>
      <c r="DA25" s="90" t="s">
        <v>927</v>
      </c>
    </row>
    <row r="26" spans="1:105" s="2" customFormat="1" ht="12" customHeight="1" x14ac:dyDescent="0.25">
      <c r="DA26" s="7"/>
    </row>
    <row r="27" spans="1:105" ht="12.95" customHeight="1" x14ac:dyDescent="0.25">
      <c r="A27" s="178" t="s">
        <v>106</v>
      </c>
      <c r="B27" s="179"/>
      <c r="C27" s="179"/>
      <c r="D27" s="179"/>
      <c r="E27" s="179"/>
      <c r="F27" s="179"/>
      <c r="G27" s="179"/>
      <c r="H27" s="179"/>
      <c r="I27" s="179"/>
      <c r="J27" s="179"/>
      <c r="K27" s="179"/>
      <c r="L27" s="179"/>
      <c r="M27" s="179"/>
      <c r="N27" s="179"/>
      <c r="O27" s="179"/>
      <c r="P27" s="179"/>
      <c r="Q27" s="179"/>
      <c r="R27" s="179"/>
      <c r="S27" s="179"/>
      <c r="T27" s="179"/>
      <c r="U27" s="179"/>
      <c r="V27" s="179"/>
      <c r="W27" s="179"/>
      <c r="X27" s="179"/>
      <c r="Y27" s="179"/>
      <c r="DA27" s="188"/>
    </row>
    <row r="28" spans="1:105" ht="12" customHeight="1" x14ac:dyDescent="0.25">
      <c r="A28" s="131" t="s">
        <v>158</v>
      </c>
      <c r="B28" s="182"/>
      <c r="C28" s="182">
        <v>16.158964119254591</v>
      </c>
      <c r="D28" s="182">
        <v>16.063209012190782</v>
      </c>
      <c r="E28" s="182">
        <v>17.471519639593822</v>
      </c>
      <c r="F28" s="182">
        <v>16.903422572956799</v>
      </c>
      <c r="G28" s="182">
        <v>15.602759866864488</v>
      </c>
      <c r="H28" s="182">
        <v>22.216417928088333</v>
      </c>
      <c r="I28" s="182">
        <v>22.196105376894536</v>
      </c>
      <c r="J28" s="182">
        <v>19.512015709846821</v>
      </c>
      <c r="K28" s="182">
        <v>19.992983695101259</v>
      </c>
      <c r="L28" s="182">
        <v>21.965174619342974</v>
      </c>
      <c r="M28" s="182">
        <v>25.696639593445866</v>
      </c>
      <c r="N28" s="182">
        <v>24.430762605905556</v>
      </c>
      <c r="O28" s="182">
        <v>23.635312939828509</v>
      </c>
      <c r="P28" s="182">
        <v>29.872677534276306</v>
      </c>
      <c r="Q28" s="182">
        <v>27.178162251412687</v>
      </c>
      <c r="R28" s="182">
        <v>22.933222403414845</v>
      </c>
      <c r="S28" s="182">
        <v>25.039550872666325</v>
      </c>
      <c r="T28" s="182">
        <v>24.935147306954718</v>
      </c>
      <c r="U28" s="182">
        <v>24.900579311859133</v>
      </c>
      <c r="V28" s="182">
        <v>24.165802430444444</v>
      </c>
      <c r="W28" s="182">
        <v>25.000773111756587</v>
      </c>
      <c r="X28" s="182">
        <v>20.906653719229439</v>
      </c>
      <c r="Y28" s="182">
        <v>17.804874199602807</v>
      </c>
      <c r="DA28" s="191" t="s">
        <v>928</v>
      </c>
    </row>
    <row r="29" spans="1:105" ht="12" customHeight="1" x14ac:dyDescent="0.25">
      <c r="A29" s="131" t="s">
        <v>156</v>
      </c>
      <c r="B29" s="182"/>
      <c r="C29" s="182">
        <v>1138.3379757657658</v>
      </c>
      <c r="D29" s="182">
        <v>1162.0070407835246</v>
      </c>
      <c r="E29" s="182">
        <v>1278.424259412679</v>
      </c>
      <c r="F29" s="182">
        <v>1275.3891801234604</v>
      </c>
      <c r="G29" s="182">
        <v>1298.0779465094201</v>
      </c>
      <c r="H29" s="182">
        <v>1376.7098238968574</v>
      </c>
      <c r="I29" s="182">
        <v>1474.6073571453917</v>
      </c>
      <c r="J29" s="182">
        <v>1447.094340791502</v>
      </c>
      <c r="K29" s="182">
        <v>1508.2084417791957</v>
      </c>
      <c r="L29" s="182">
        <v>1663.3878573565071</v>
      </c>
      <c r="M29" s="182">
        <v>1686.4705671471729</v>
      </c>
      <c r="N29" s="182">
        <v>1733.5751070643437</v>
      </c>
      <c r="O29" s="182">
        <v>1913.162479605031</v>
      </c>
      <c r="P29" s="182">
        <v>2108.6171461119538</v>
      </c>
      <c r="Q29" s="182">
        <v>2257.7166257766312</v>
      </c>
      <c r="R29" s="182">
        <v>1975.7408808040436</v>
      </c>
      <c r="S29" s="182">
        <v>2183.8303120864948</v>
      </c>
      <c r="T29" s="182">
        <v>2168.478350227304</v>
      </c>
      <c r="U29" s="182">
        <v>2183.3118055364048</v>
      </c>
      <c r="V29" s="182">
        <v>2308.2927533339516</v>
      </c>
      <c r="W29" s="182">
        <v>2429.17469002707</v>
      </c>
      <c r="X29" s="182">
        <v>2506.4018326223795</v>
      </c>
      <c r="Y29" s="182">
        <v>2182.1929996152667</v>
      </c>
      <c r="DA29" s="191" t="s">
        <v>929</v>
      </c>
    </row>
    <row r="30" spans="1:105" ht="12" customHeight="1" x14ac:dyDescent="0.25">
      <c r="A30" s="131" t="s">
        <v>160</v>
      </c>
      <c r="B30" s="182"/>
      <c r="C30" s="182">
        <v>18.929361955135548</v>
      </c>
      <c r="D30" s="182">
        <v>20.187238173150959</v>
      </c>
      <c r="E30" s="182">
        <v>20.133071887343789</v>
      </c>
      <c r="F30" s="182">
        <v>20.524182845624196</v>
      </c>
      <c r="G30" s="182">
        <v>21.467900905778919</v>
      </c>
      <c r="H30" s="182">
        <v>24.668403319376637</v>
      </c>
      <c r="I30" s="182">
        <v>23.27515197773198</v>
      </c>
      <c r="J30" s="182">
        <v>23.679819455290968</v>
      </c>
      <c r="K30" s="182">
        <v>23.227005340713788</v>
      </c>
      <c r="L30" s="182">
        <v>25.856748567780457</v>
      </c>
      <c r="M30" s="182">
        <v>27.006094994166034</v>
      </c>
      <c r="N30" s="182">
        <v>29.625613305323384</v>
      </c>
      <c r="O30" s="182">
        <v>28.306683501825574</v>
      </c>
      <c r="P30" s="182">
        <v>32.415355321334488</v>
      </c>
      <c r="Q30" s="182">
        <v>30.376463800072742</v>
      </c>
      <c r="R30" s="182">
        <v>29.780744728317302</v>
      </c>
      <c r="S30" s="182">
        <v>31.771870696442136</v>
      </c>
      <c r="T30" s="182">
        <v>34.026536222959464</v>
      </c>
      <c r="U30" s="182">
        <v>32.30228353206715</v>
      </c>
      <c r="V30" s="182">
        <v>35.732419679647393</v>
      </c>
      <c r="W30" s="182">
        <v>32.795748739223541</v>
      </c>
      <c r="X30" s="182">
        <v>31.089550174013425</v>
      </c>
      <c r="Y30" s="182">
        <v>32.516973822493327</v>
      </c>
      <c r="DA30" s="191" t="s">
        <v>930</v>
      </c>
    </row>
    <row r="31" spans="1:105" ht="12" customHeight="1" x14ac:dyDescent="0.25">
      <c r="A31" s="131" t="s">
        <v>172</v>
      </c>
      <c r="B31" s="182"/>
      <c r="C31" s="182">
        <v>137.17108065584364</v>
      </c>
      <c r="D31" s="182">
        <v>157.35701356558093</v>
      </c>
      <c r="E31" s="182">
        <v>173.42987948965401</v>
      </c>
      <c r="F31" s="182">
        <v>192.96404039363074</v>
      </c>
      <c r="G31" s="182">
        <v>199.05161549608283</v>
      </c>
      <c r="H31" s="182">
        <v>208.58221210481565</v>
      </c>
      <c r="I31" s="182">
        <v>197.61905779774406</v>
      </c>
      <c r="J31" s="182">
        <v>210.9297292282231</v>
      </c>
      <c r="K31" s="182">
        <v>178.55980020370021</v>
      </c>
      <c r="L31" s="182">
        <v>166.29365391042825</v>
      </c>
      <c r="M31" s="182">
        <v>170.56310215714257</v>
      </c>
      <c r="N31" s="182">
        <v>192.47095123290751</v>
      </c>
      <c r="O31" s="182">
        <v>229.75297732905915</v>
      </c>
      <c r="P31" s="182">
        <v>295.25465521517231</v>
      </c>
      <c r="Q31" s="182">
        <v>272.75174092636234</v>
      </c>
      <c r="R31" s="182">
        <v>246.09967356195398</v>
      </c>
      <c r="S31" s="182">
        <v>243.37204632692192</v>
      </c>
      <c r="T31" s="182">
        <v>251.99068431758133</v>
      </c>
      <c r="U31" s="182">
        <v>217.09007194830247</v>
      </c>
      <c r="V31" s="182">
        <v>200.80679558516022</v>
      </c>
      <c r="W31" s="182">
        <v>199.47037844170563</v>
      </c>
      <c r="X31" s="182">
        <v>215.97360418928747</v>
      </c>
      <c r="Y31" s="182">
        <v>250.84396751792065</v>
      </c>
      <c r="DA31" s="191" t="s">
        <v>931</v>
      </c>
    </row>
    <row r="32" spans="1:105" ht="12" customHeight="1" x14ac:dyDescent="0.25">
      <c r="A32" s="60" t="s">
        <v>159</v>
      </c>
      <c r="B32" s="41"/>
      <c r="C32" s="41">
        <v>4.2337290913085539</v>
      </c>
      <c r="D32" s="41">
        <v>4.9575173728935695</v>
      </c>
      <c r="E32" s="41">
        <v>5.6211163307256484</v>
      </c>
      <c r="F32" s="41">
        <v>6.7802963362564626</v>
      </c>
      <c r="G32" s="41">
        <v>5.0995914163877742</v>
      </c>
      <c r="H32" s="41">
        <v>9.6263337749330447</v>
      </c>
      <c r="I32" s="41">
        <v>9.4104916581659666</v>
      </c>
      <c r="J32" s="41">
        <v>6.9840782892348301</v>
      </c>
      <c r="K32" s="41">
        <v>5.870908265775256</v>
      </c>
      <c r="L32" s="41">
        <v>6.4148026408872028</v>
      </c>
      <c r="M32" s="41">
        <v>6.473559836234557</v>
      </c>
      <c r="N32" s="41">
        <v>6.8593632062620031</v>
      </c>
      <c r="O32" s="41">
        <v>6.5895714312168678</v>
      </c>
      <c r="P32" s="41">
        <v>8.3786849543243989</v>
      </c>
      <c r="Q32" s="41">
        <v>7.7426053970146853</v>
      </c>
      <c r="R32" s="41">
        <v>7.9522064211400476</v>
      </c>
      <c r="S32" s="41">
        <v>9.164010312195245</v>
      </c>
      <c r="T32" s="41">
        <v>9.6524424652458265</v>
      </c>
      <c r="U32" s="41">
        <v>10.638803537750277</v>
      </c>
      <c r="V32" s="41">
        <v>8.6749884284625125</v>
      </c>
      <c r="W32" s="41">
        <v>12.904990740505767</v>
      </c>
      <c r="X32" s="41">
        <v>12.100051984323343</v>
      </c>
      <c r="Y32" s="41">
        <v>9.1899645323945407</v>
      </c>
      <c r="DA32" s="92" t="s">
        <v>932</v>
      </c>
    </row>
    <row r="33" spans="1:105" ht="12" customHeight="1" x14ac:dyDescent="0.25">
      <c r="A33" s="62" t="s">
        <v>157</v>
      </c>
      <c r="B33" s="42"/>
      <c r="C33" s="42">
        <v>1434.8144081850814</v>
      </c>
      <c r="D33" s="42">
        <v>1463.0529921145444</v>
      </c>
      <c r="E33" s="42">
        <v>1626.1470947548341</v>
      </c>
      <c r="F33" s="42">
        <v>1710.5841240061254</v>
      </c>
      <c r="G33" s="42">
        <v>1840.0098778042084</v>
      </c>
      <c r="H33" s="42">
        <v>2237.5787640587751</v>
      </c>
      <c r="I33" s="42">
        <v>2159.744313035646</v>
      </c>
      <c r="J33" s="42">
        <v>2319.8741512634051</v>
      </c>
      <c r="K33" s="42">
        <v>2560.3587435566878</v>
      </c>
      <c r="L33" s="42">
        <v>2606.9892411348901</v>
      </c>
      <c r="M33" s="42">
        <v>3278.6975857994312</v>
      </c>
      <c r="N33" s="42">
        <v>3298.4834125299712</v>
      </c>
      <c r="O33" s="42">
        <v>3664.7786242791844</v>
      </c>
      <c r="P33" s="42">
        <v>4340.1004130578585</v>
      </c>
      <c r="Q33" s="42">
        <v>4236.8007093032229</v>
      </c>
      <c r="R33" s="42">
        <v>4267.9110784403365</v>
      </c>
      <c r="S33" s="42">
        <v>4338.5068450755316</v>
      </c>
      <c r="T33" s="42">
        <v>4648.2909230230471</v>
      </c>
      <c r="U33" s="42">
        <v>5297.0014512243179</v>
      </c>
      <c r="V33" s="42">
        <v>5139.5231880276151</v>
      </c>
      <c r="W33" s="42">
        <v>5109.8553224672069</v>
      </c>
      <c r="X33" s="42">
        <v>5059.4262104836816</v>
      </c>
      <c r="Y33" s="42">
        <v>5251.316464665877</v>
      </c>
      <c r="DA33" s="93" t="s">
        <v>933</v>
      </c>
    </row>
    <row r="34" spans="1:105" s="2" customFormat="1" ht="12" customHeight="1" x14ac:dyDescent="0.25">
      <c r="DA34" s="7"/>
    </row>
    <row r="35" spans="1:105" ht="12.95" customHeight="1" x14ac:dyDescent="0.25">
      <c r="A35" s="178" t="s">
        <v>105</v>
      </c>
      <c r="B35" s="179"/>
      <c r="C35" s="179"/>
      <c r="D35" s="179"/>
      <c r="E35" s="179"/>
      <c r="F35" s="179"/>
      <c r="G35" s="179"/>
      <c r="H35" s="179"/>
      <c r="I35" s="179"/>
      <c r="J35" s="179"/>
      <c r="K35" s="179"/>
      <c r="L35" s="179"/>
      <c r="M35" s="179"/>
      <c r="N35" s="179"/>
      <c r="O35" s="179"/>
      <c r="P35" s="179"/>
      <c r="Q35" s="179"/>
      <c r="R35" s="179"/>
      <c r="S35" s="179"/>
      <c r="T35" s="179"/>
      <c r="U35" s="179"/>
      <c r="V35" s="179"/>
      <c r="W35" s="179"/>
      <c r="X35" s="179"/>
      <c r="Y35" s="179"/>
      <c r="DA35" s="188"/>
    </row>
    <row r="36" spans="1:105" ht="12" customHeight="1" x14ac:dyDescent="0.25">
      <c r="A36" s="131" t="s">
        <v>158</v>
      </c>
      <c r="B36" s="182"/>
      <c r="C36" s="182">
        <v>9.8125235172703924</v>
      </c>
      <c r="D36" s="182">
        <v>10.090076576518413</v>
      </c>
      <c r="E36" s="182">
        <v>10.375480388996408</v>
      </c>
      <c r="F36" s="182">
        <v>10.668957017925266</v>
      </c>
      <c r="G36" s="182">
        <v>10.970734807715928</v>
      </c>
      <c r="H36" s="182">
        <v>11.281048561636737</v>
      </c>
      <c r="I36" s="182">
        <v>11.600139724505993</v>
      </c>
      <c r="J36" s="182">
        <v>11.928256570552207</v>
      </c>
      <c r="K36" s="182">
        <v>12.265654396587991</v>
      </c>
      <c r="L36" s="182">
        <v>12.612595720648017</v>
      </c>
      <c r="M36" s="182">
        <v>12.96935048624556</v>
      </c>
      <c r="N36" s="182">
        <v>13.336196272406653</v>
      </c>
      <c r="O36" s="182">
        <v>13.713418509644953</v>
      </c>
      <c r="P36" s="182">
        <v>14.101310702045907</v>
      </c>
      <c r="Q36" s="182">
        <v>14.500174655632463</v>
      </c>
      <c r="R36" s="182">
        <v>14.910320713190231</v>
      </c>
      <c r="S36" s="182">
        <v>15.332067995734974</v>
      </c>
      <c r="T36" s="182">
        <v>15.765744650810007</v>
      </c>
      <c r="U36" s="182">
        <v>16.158964119254563</v>
      </c>
      <c r="V36" s="182">
        <v>16.063209012190782</v>
      </c>
      <c r="W36" s="182">
        <v>17.471519639593851</v>
      </c>
      <c r="X36" s="182">
        <v>16.903422572956799</v>
      </c>
      <c r="Y36" s="182">
        <v>15.602759866864517</v>
      </c>
      <c r="DA36" s="191" t="s">
        <v>934</v>
      </c>
    </row>
    <row r="37" spans="1:105" ht="12" customHeight="1" x14ac:dyDescent="0.25">
      <c r="A37" s="131" t="s">
        <v>156</v>
      </c>
      <c r="B37" s="182"/>
      <c r="C37" s="182">
        <v>861.28191159238759</v>
      </c>
      <c r="D37" s="182">
        <v>898.35568942413192</v>
      </c>
      <c r="E37" s="182">
        <v>937.02530362979724</v>
      </c>
      <c r="F37" s="182">
        <v>977.35944679700515</v>
      </c>
      <c r="G37" s="182">
        <v>1019.4297683776804</v>
      </c>
      <c r="H37" s="182">
        <v>1063.3110019659089</v>
      </c>
      <c r="I37" s="182">
        <v>1109.0810980544829</v>
      </c>
      <c r="J37" s="182">
        <v>1138.3379757657658</v>
      </c>
      <c r="K37" s="182">
        <v>1162.0070407835246</v>
      </c>
      <c r="L37" s="182">
        <v>1278.424259412679</v>
      </c>
      <c r="M37" s="182">
        <v>1275.3891801234604</v>
      </c>
      <c r="N37" s="182">
        <v>1298.0779465094201</v>
      </c>
      <c r="O37" s="182">
        <v>1376.7098238968574</v>
      </c>
      <c r="P37" s="182">
        <v>1474.6073571453926</v>
      </c>
      <c r="Q37" s="182">
        <v>1447.094340791502</v>
      </c>
      <c r="R37" s="182">
        <v>1508.2084417791957</v>
      </c>
      <c r="S37" s="182">
        <v>1663.3878573565071</v>
      </c>
      <c r="T37" s="182">
        <v>1686.4705671471729</v>
      </c>
      <c r="U37" s="182">
        <v>1733.5751070643437</v>
      </c>
      <c r="V37" s="182">
        <v>1913.162479605031</v>
      </c>
      <c r="W37" s="182">
        <v>2108.6171461119538</v>
      </c>
      <c r="X37" s="182">
        <v>2257.7166257766312</v>
      </c>
      <c r="Y37" s="182">
        <v>1975.7408808040436</v>
      </c>
      <c r="DA37" s="191" t="s">
        <v>935</v>
      </c>
    </row>
    <row r="38" spans="1:105" ht="12" customHeight="1" x14ac:dyDescent="0.25">
      <c r="A38" s="131" t="s">
        <v>160</v>
      </c>
      <c r="B38" s="182"/>
      <c r="C38" s="182">
        <v>17.283416430411265</v>
      </c>
      <c r="D38" s="182">
        <v>17.732411107674821</v>
      </c>
      <c r="E38" s="182">
        <v>18.193069926748677</v>
      </c>
      <c r="F38" s="182">
        <v>18.665695902815614</v>
      </c>
      <c r="G38" s="182">
        <v>19.150599922893377</v>
      </c>
      <c r="H38" s="182">
        <v>19.648100950332221</v>
      </c>
      <c r="I38" s="182">
        <v>18.929361955135562</v>
      </c>
      <c r="J38" s="182">
        <v>20.187238173150945</v>
      </c>
      <c r="K38" s="182">
        <v>20.133071887343789</v>
      </c>
      <c r="L38" s="182">
        <v>20.524182845624182</v>
      </c>
      <c r="M38" s="182">
        <v>21.467900905778919</v>
      </c>
      <c r="N38" s="182">
        <v>24.668403319376637</v>
      </c>
      <c r="O38" s="182">
        <v>23.27515197773198</v>
      </c>
      <c r="P38" s="182">
        <v>23.679819455290982</v>
      </c>
      <c r="Q38" s="182">
        <v>23.227005340713788</v>
      </c>
      <c r="R38" s="182">
        <v>25.856748567780471</v>
      </c>
      <c r="S38" s="182">
        <v>27.006094994166034</v>
      </c>
      <c r="T38" s="182">
        <v>29.625613305323384</v>
      </c>
      <c r="U38" s="182">
        <v>28.306683501825574</v>
      </c>
      <c r="V38" s="182">
        <v>32.415355321334488</v>
      </c>
      <c r="W38" s="182">
        <v>30.376463800072742</v>
      </c>
      <c r="X38" s="182">
        <v>29.780744728317302</v>
      </c>
      <c r="Y38" s="182">
        <v>31.771870696442136</v>
      </c>
      <c r="DA38" s="191" t="s">
        <v>936</v>
      </c>
    </row>
    <row r="39" spans="1:105" ht="12" customHeight="1" x14ac:dyDescent="0.25">
      <c r="A39" s="131" t="s">
        <v>172</v>
      </c>
      <c r="B39" s="182"/>
      <c r="C39" s="182">
        <v>97.626298136807463</v>
      </c>
      <c r="D39" s="182">
        <v>99.682716560541394</v>
      </c>
      <c r="E39" s="182">
        <v>101.7824517627887</v>
      </c>
      <c r="F39" s="182">
        <v>103.9264161761937</v>
      </c>
      <c r="G39" s="182">
        <v>106.11554145305172</v>
      </c>
      <c r="H39" s="182">
        <v>108.35077887015359</v>
      </c>
      <c r="I39" s="182">
        <v>110.63309974216145</v>
      </c>
      <c r="J39" s="182">
        <v>112.96349584368886</v>
      </c>
      <c r="K39" s="182">
        <v>115.34297984027353</v>
      </c>
      <c r="L39" s="182">
        <v>117.77258572842788</v>
      </c>
      <c r="M39" s="182">
        <v>137.17108065584353</v>
      </c>
      <c r="N39" s="182">
        <v>157.35701356558093</v>
      </c>
      <c r="O39" s="182">
        <v>173.42987948965401</v>
      </c>
      <c r="P39" s="182">
        <v>192.96404039363097</v>
      </c>
      <c r="Q39" s="182">
        <v>199.05161549608283</v>
      </c>
      <c r="R39" s="182">
        <v>208.58221210481543</v>
      </c>
      <c r="S39" s="182">
        <v>197.61905779774406</v>
      </c>
      <c r="T39" s="182">
        <v>210.9297292282231</v>
      </c>
      <c r="U39" s="182">
        <v>178.55980020370043</v>
      </c>
      <c r="V39" s="182">
        <v>166.29365391042847</v>
      </c>
      <c r="W39" s="182">
        <v>170.56310215714257</v>
      </c>
      <c r="X39" s="182">
        <v>192.47095123290774</v>
      </c>
      <c r="Y39" s="182">
        <v>229.75297732905892</v>
      </c>
      <c r="DA39" s="191" t="s">
        <v>937</v>
      </c>
    </row>
    <row r="40" spans="1:105" ht="12" customHeight="1" x14ac:dyDescent="0.25">
      <c r="A40" s="60" t="s">
        <v>159</v>
      </c>
      <c r="B40" s="41"/>
      <c r="C40" s="41">
        <v>1.2165609835352171</v>
      </c>
      <c r="D40" s="41">
        <v>1.3534623867738276</v>
      </c>
      <c r="E40" s="41">
        <v>1.5057695069985613</v>
      </c>
      <c r="F40" s="41">
        <v>1.6752159722821887</v>
      </c>
      <c r="G40" s="41">
        <v>1.8637304984235143</v>
      </c>
      <c r="H40" s="41">
        <v>2.0734588424571569</v>
      </c>
      <c r="I40" s="41">
        <v>2.3067882266241639</v>
      </c>
      <c r="J40" s="41">
        <v>2.5663745108081883</v>
      </c>
      <c r="K40" s="41">
        <v>2.8551724227258291</v>
      </c>
      <c r="L40" s="41">
        <v>3.1764691899651467</v>
      </c>
      <c r="M40" s="41">
        <v>3.5339219566869389</v>
      </c>
      <c r="N40" s="41">
        <v>3.931599410882697</v>
      </c>
      <c r="O40" s="41">
        <v>4.3740280960094111</v>
      </c>
      <c r="P40" s="41">
        <v>4.8662439341408543</v>
      </c>
      <c r="Q40" s="41">
        <v>5.4138495470952961</v>
      </c>
      <c r="R40" s="41">
        <v>4.233729091308561</v>
      </c>
      <c r="S40" s="41">
        <v>4.9575173728935766</v>
      </c>
      <c r="T40" s="41">
        <v>5.6211163307256413</v>
      </c>
      <c r="U40" s="41">
        <v>6.7802963362564697</v>
      </c>
      <c r="V40" s="41">
        <v>5.0995914163877671</v>
      </c>
      <c r="W40" s="41">
        <v>9.6263337749330589</v>
      </c>
      <c r="X40" s="41">
        <v>9.4104916581659666</v>
      </c>
      <c r="Y40" s="41">
        <v>6.9840782892348159</v>
      </c>
      <c r="DA40" s="92" t="s">
        <v>938</v>
      </c>
    </row>
    <row r="41" spans="1:105" ht="12" customHeight="1" x14ac:dyDescent="0.25">
      <c r="A41" s="62" t="s">
        <v>157</v>
      </c>
      <c r="B41" s="42"/>
      <c r="C41" s="42">
        <v>1074.1867464220013</v>
      </c>
      <c r="D41" s="42">
        <v>1074.1867464220013</v>
      </c>
      <c r="E41" s="42">
        <v>1074.1867464220013</v>
      </c>
      <c r="F41" s="42">
        <v>1074.1867464220004</v>
      </c>
      <c r="G41" s="42">
        <v>1074.1867464220004</v>
      </c>
      <c r="H41" s="42">
        <v>1434.8144081850824</v>
      </c>
      <c r="I41" s="42">
        <v>1463.0529921145444</v>
      </c>
      <c r="J41" s="42">
        <v>1626.1470947548351</v>
      </c>
      <c r="K41" s="42">
        <v>1710.5841240061254</v>
      </c>
      <c r="L41" s="42">
        <v>1840.0098778042084</v>
      </c>
      <c r="M41" s="42">
        <v>2237.5787640587751</v>
      </c>
      <c r="N41" s="42">
        <v>2159.744313035646</v>
      </c>
      <c r="O41" s="42">
        <v>2319.8741512634042</v>
      </c>
      <c r="P41" s="42">
        <v>2560.3587435566878</v>
      </c>
      <c r="Q41" s="42">
        <v>2606.9892411348883</v>
      </c>
      <c r="R41" s="42">
        <v>3278.6975857994294</v>
      </c>
      <c r="S41" s="42">
        <v>3298.4834125299712</v>
      </c>
      <c r="T41" s="42">
        <v>3664.7786242791844</v>
      </c>
      <c r="U41" s="42">
        <v>4340.1004130578585</v>
      </c>
      <c r="V41" s="42">
        <v>4236.8007093032247</v>
      </c>
      <c r="W41" s="42">
        <v>4267.9110784403347</v>
      </c>
      <c r="X41" s="42">
        <v>4338.5068450755316</v>
      </c>
      <c r="Y41" s="42">
        <v>4648.2909230230471</v>
      </c>
      <c r="DA41" s="93" t="s">
        <v>939</v>
      </c>
    </row>
    <row r="42" spans="1:105" s="2" customFormat="1" ht="12" customHeight="1" x14ac:dyDescent="0.25">
      <c r="DA42" s="7"/>
    </row>
    <row r="43" spans="1:105" ht="12.95" customHeight="1" x14ac:dyDescent="0.25">
      <c r="A43" s="178" t="s">
        <v>104</v>
      </c>
      <c r="B43" s="183"/>
      <c r="C43" s="183"/>
      <c r="D43" s="183"/>
      <c r="E43" s="183"/>
      <c r="F43" s="183"/>
      <c r="G43" s="183"/>
      <c r="H43" s="183"/>
      <c r="I43" s="183"/>
      <c r="J43" s="183"/>
      <c r="K43" s="183"/>
      <c r="L43" s="183"/>
      <c r="M43" s="183"/>
      <c r="N43" s="183"/>
      <c r="O43" s="183"/>
      <c r="P43" s="183"/>
      <c r="Q43" s="183"/>
      <c r="R43" s="183"/>
      <c r="S43" s="183"/>
      <c r="T43" s="183"/>
      <c r="U43" s="183"/>
      <c r="V43" s="183"/>
      <c r="W43" s="183"/>
      <c r="X43" s="183"/>
      <c r="Y43" s="183"/>
      <c r="DA43" s="192"/>
    </row>
    <row r="44" spans="1:105" ht="12" customHeight="1" x14ac:dyDescent="0.25">
      <c r="A44" s="131" t="s">
        <v>7</v>
      </c>
      <c r="B44" s="184">
        <v>8759.9999999999982</v>
      </c>
      <c r="C44" s="184">
        <v>8759.9999999999982</v>
      </c>
      <c r="D44" s="184">
        <v>8760</v>
      </c>
      <c r="E44" s="184">
        <v>8759.9999999999982</v>
      </c>
      <c r="F44" s="184">
        <v>8759.9999999999982</v>
      </c>
      <c r="G44" s="184">
        <v>8759.9999999999964</v>
      </c>
      <c r="H44" s="184">
        <v>8760</v>
      </c>
      <c r="I44" s="184">
        <v>8760.0000000000018</v>
      </c>
      <c r="J44" s="184">
        <v>8759.9999999999964</v>
      </c>
      <c r="K44" s="184">
        <v>8759.9999999999982</v>
      </c>
      <c r="L44" s="184">
        <v>8759.9999999999982</v>
      </c>
      <c r="M44" s="184">
        <v>8760</v>
      </c>
      <c r="N44" s="184">
        <v>8759.9999999999964</v>
      </c>
      <c r="O44" s="184">
        <v>8760</v>
      </c>
      <c r="P44" s="184">
        <v>8760</v>
      </c>
      <c r="Q44" s="184">
        <v>8760.0000000000018</v>
      </c>
      <c r="R44" s="184">
        <v>8760.0000000000018</v>
      </c>
      <c r="S44" s="184">
        <v>8760.0000000000018</v>
      </c>
      <c r="T44" s="184">
        <v>8759.9999999999982</v>
      </c>
      <c r="U44" s="184">
        <v>8760.0000000000018</v>
      </c>
      <c r="V44" s="184">
        <v>8760</v>
      </c>
      <c r="W44" s="184">
        <v>8759.9999999999982</v>
      </c>
      <c r="X44" s="184">
        <v>8759.9999999999982</v>
      </c>
      <c r="Y44" s="184">
        <v>8759.9999999999982</v>
      </c>
      <c r="DA44" s="193" t="s">
        <v>940</v>
      </c>
    </row>
    <row r="45" spans="1:105" ht="12" customHeight="1" x14ac:dyDescent="0.25">
      <c r="A45" s="131" t="s">
        <v>6</v>
      </c>
      <c r="B45" s="184">
        <v>4000.7342114088106</v>
      </c>
      <c r="C45" s="184">
        <v>3992.257356607271</v>
      </c>
      <c r="D45" s="184">
        <v>3979.186997242226</v>
      </c>
      <c r="E45" s="184">
        <v>3966.0715458736549</v>
      </c>
      <c r="F45" s="184">
        <v>3958.020173165467</v>
      </c>
      <c r="G45" s="184">
        <v>3948.2500605511063</v>
      </c>
      <c r="H45" s="184">
        <v>3936.6107604378972</v>
      </c>
      <c r="I45" s="184">
        <v>3923.7391357810211</v>
      </c>
      <c r="J45" s="184">
        <v>3908.7129586754736</v>
      </c>
      <c r="K45" s="184">
        <v>3900.9201784517127</v>
      </c>
      <c r="L45" s="184">
        <v>3888.1990163458299</v>
      </c>
      <c r="M45" s="184">
        <v>3866.6612828566631</v>
      </c>
      <c r="N45" s="184">
        <v>3848.4280871701967</v>
      </c>
      <c r="O45" s="184">
        <v>3828.4584432601532</v>
      </c>
      <c r="P45" s="184">
        <v>3808.3314034743075</v>
      </c>
      <c r="Q45" s="184">
        <v>3789.0077812380282</v>
      </c>
      <c r="R45" s="184">
        <v>3802.7302818246135</v>
      </c>
      <c r="S45" s="184">
        <v>3866.3254421451434</v>
      </c>
      <c r="T45" s="184">
        <v>3831.3041974284529</v>
      </c>
      <c r="U45" s="184">
        <v>3797.9909829516405</v>
      </c>
      <c r="V45" s="184">
        <v>3781.7642932228064</v>
      </c>
      <c r="W45" s="184">
        <v>3777.3683936833531</v>
      </c>
      <c r="X45" s="184">
        <v>3759.6315543150176</v>
      </c>
      <c r="Y45" s="184">
        <v>3741.8947149466821</v>
      </c>
      <c r="DA45" s="193" t="s">
        <v>941</v>
      </c>
    </row>
    <row r="46" spans="1:105" ht="12" customHeight="1" x14ac:dyDescent="0.25">
      <c r="A46" s="131" t="s">
        <v>5</v>
      </c>
      <c r="B46" s="184">
        <v>2308.9960099094315</v>
      </c>
      <c r="C46" s="184">
        <v>2323.9420115004118</v>
      </c>
      <c r="D46" s="184">
        <v>2334.8349207426368</v>
      </c>
      <c r="E46" s="184">
        <v>2344.3204385519134</v>
      </c>
      <c r="F46" s="184">
        <v>2356.7564212257694</v>
      </c>
      <c r="G46" s="184">
        <v>2366.8843379681834</v>
      </c>
      <c r="H46" s="184">
        <v>2377.1137372097442</v>
      </c>
      <c r="I46" s="184">
        <v>2385.0613803492975</v>
      </c>
      <c r="J46" s="184">
        <v>2389.8743987670437</v>
      </c>
      <c r="K46" s="184">
        <v>2392.736426010104</v>
      </c>
      <c r="L46" s="184">
        <v>2397.9994933908297</v>
      </c>
      <c r="M46" s="184">
        <v>2406.1347602232818</v>
      </c>
      <c r="N46" s="184">
        <v>2416.3788948461429</v>
      </c>
      <c r="O46" s="184">
        <v>2423.5006622155142</v>
      </c>
      <c r="P46" s="184">
        <v>2434.4196552677272</v>
      </c>
      <c r="Q46" s="184">
        <v>2445.9949180343215</v>
      </c>
      <c r="R46" s="184">
        <v>2463.598007729624</v>
      </c>
      <c r="S46" s="184">
        <v>2531.9633171497521</v>
      </c>
      <c r="T46" s="184">
        <v>2500.680988216704</v>
      </c>
      <c r="U46" s="184">
        <v>2473.1225441509623</v>
      </c>
      <c r="V46" s="184">
        <v>2094.1212684822099</v>
      </c>
      <c r="W46" s="184">
        <v>2215.8716166426811</v>
      </c>
      <c r="X46" s="184">
        <v>2322.1446651362512</v>
      </c>
      <c r="Y46" s="184">
        <v>2375.2811893830362</v>
      </c>
      <c r="DA46" s="193" t="s">
        <v>942</v>
      </c>
    </row>
    <row r="47" spans="1:105" ht="12" customHeight="1" x14ac:dyDescent="0.25">
      <c r="A47" s="131" t="s">
        <v>171</v>
      </c>
      <c r="B47" s="184">
        <v>8759.9999999999945</v>
      </c>
      <c r="C47" s="184">
        <v>8759.9999999999964</v>
      </c>
      <c r="D47" s="184">
        <v>8759.9999999999945</v>
      </c>
      <c r="E47" s="184">
        <v>8759.9999999999982</v>
      </c>
      <c r="F47" s="184">
        <v>8760</v>
      </c>
      <c r="G47" s="184">
        <v>8760</v>
      </c>
      <c r="H47" s="184">
        <v>8759.9999999999964</v>
      </c>
      <c r="I47" s="184">
        <v>8759.9999999999982</v>
      </c>
      <c r="J47" s="184">
        <v>8760.0000000000036</v>
      </c>
      <c r="K47" s="184">
        <v>8760.0000000000018</v>
      </c>
      <c r="L47" s="184">
        <v>8760.0000000000018</v>
      </c>
      <c r="M47" s="184">
        <v>8760.0000000000018</v>
      </c>
      <c r="N47" s="184">
        <v>8760</v>
      </c>
      <c r="O47" s="184">
        <v>8760.0000000000018</v>
      </c>
      <c r="P47" s="184">
        <v>8760.0000000000018</v>
      </c>
      <c r="Q47" s="184">
        <v>8759.9999999999964</v>
      </c>
      <c r="R47" s="184">
        <v>8759.9999999999982</v>
      </c>
      <c r="S47" s="184">
        <v>8759.9999999999982</v>
      </c>
      <c r="T47" s="184">
        <v>8759.9999999999982</v>
      </c>
      <c r="U47" s="184">
        <v>8760</v>
      </c>
      <c r="V47" s="184">
        <v>8760</v>
      </c>
      <c r="W47" s="184">
        <v>8759.9999999999982</v>
      </c>
      <c r="X47" s="184">
        <v>8759.9999999999982</v>
      </c>
      <c r="Y47" s="184">
        <v>8759.9999999999982</v>
      </c>
      <c r="DA47" s="193" t="s">
        <v>943</v>
      </c>
    </row>
    <row r="48" spans="1:105" ht="12" customHeight="1" x14ac:dyDescent="0.25">
      <c r="A48" s="60" t="s">
        <v>4</v>
      </c>
      <c r="B48" s="44">
        <v>898.14738002069691</v>
      </c>
      <c r="C48" s="44">
        <v>902.43772415198941</v>
      </c>
      <c r="D48" s="44">
        <v>906.37239442413772</v>
      </c>
      <c r="E48" s="44">
        <v>910.00708787084386</v>
      </c>
      <c r="F48" s="44">
        <v>913.3852817795173</v>
      </c>
      <c r="G48" s="44">
        <v>916.54157636337436</v>
      </c>
      <c r="H48" s="44">
        <v>919.50396539290352</v>
      </c>
      <c r="I48" s="44">
        <v>922.29542304013148</v>
      </c>
      <c r="J48" s="44">
        <v>924.93504032556598</v>
      </c>
      <c r="K48" s="44">
        <v>927.43885653462928</v>
      </c>
      <c r="L48" s="44">
        <v>929.82047897545999</v>
      </c>
      <c r="M48" s="44">
        <v>931.33391244691245</v>
      </c>
      <c r="N48" s="44">
        <v>932.77922169305725</v>
      </c>
      <c r="O48" s="44">
        <v>934.16236884526847</v>
      </c>
      <c r="P48" s="44">
        <v>935.48856233499168</v>
      </c>
      <c r="Q48" s="44">
        <v>936.76237909963913</v>
      </c>
      <c r="R48" s="44">
        <v>941.41018335298111</v>
      </c>
      <c r="S48" s="44">
        <v>961.81355810107766</v>
      </c>
      <c r="T48" s="44">
        <v>958.06051055025944</v>
      </c>
      <c r="U48" s="44">
        <v>952.93813137474251</v>
      </c>
      <c r="V48" s="44">
        <v>806.90219462805999</v>
      </c>
      <c r="W48" s="44">
        <v>853.81477061207545</v>
      </c>
      <c r="X48" s="44">
        <v>894.91897345771247</v>
      </c>
      <c r="Y48" s="44">
        <v>915.47107488053098</v>
      </c>
      <c r="DA48" s="95" t="s">
        <v>944</v>
      </c>
    </row>
    <row r="49" spans="1:105" ht="12" customHeight="1" x14ac:dyDescent="0.25">
      <c r="A49" s="62" t="s">
        <v>3</v>
      </c>
      <c r="B49" s="185">
        <v>2069.9533934203755</v>
      </c>
      <c r="C49" s="185">
        <v>2155.4930607552556</v>
      </c>
      <c r="D49" s="185">
        <v>2250.3175222488144</v>
      </c>
      <c r="E49" s="185">
        <v>2326.894546922108</v>
      </c>
      <c r="F49" s="185">
        <v>2394.5556906969864</v>
      </c>
      <c r="G49" s="185">
        <v>2446.5877269636035</v>
      </c>
      <c r="H49" s="185">
        <v>2491.1525184715497</v>
      </c>
      <c r="I49" s="185">
        <v>2534.3682658815178</v>
      </c>
      <c r="J49" s="185">
        <v>2579.2697410240125</v>
      </c>
      <c r="K49" s="185">
        <v>2619.0442026521191</v>
      </c>
      <c r="L49" s="185">
        <v>2676.5691322023595</v>
      </c>
      <c r="M49" s="185">
        <v>2713.2726044542133</v>
      </c>
      <c r="N49" s="185">
        <v>2742.438805449252</v>
      </c>
      <c r="O49" s="185">
        <v>2749.1172098107918</v>
      </c>
      <c r="P49" s="185">
        <v>2733.1252062540802</v>
      </c>
      <c r="Q49" s="185">
        <v>2716.4106551132172</v>
      </c>
      <c r="R49" s="185">
        <v>2731.7080651225879</v>
      </c>
      <c r="S49" s="185">
        <v>2764.9017862399733</v>
      </c>
      <c r="T49" s="185">
        <v>2760.3249306829907</v>
      </c>
      <c r="U49" s="185">
        <v>2761.2949557981478</v>
      </c>
      <c r="V49" s="185">
        <v>2606.3388790975146</v>
      </c>
      <c r="W49" s="185">
        <v>2660.1762715836335</v>
      </c>
      <c r="X49" s="185">
        <v>2713.469346530128</v>
      </c>
      <c r="Y49" s="185">
        <v>2742.631761687147</v>
      </c>
      <c r="DA49" s="194" t="s">
        <v>945</v>
      </c>
    </row>
    <row r="50" spans="1:105" s="2" customFormat="1" ht="12" customHeight="1" x14ac:dyDescent="0.25">
      <c r="DA50" s="7"/>
    </row>
    <row r="51" spans="1:105" ht="12.95" customHeight="1" x14ac:dyDescent="0.25">
      <c r="A51" s="178" t="s">
        <v>103</v>
      </c>
      <c r="B51" s="179"/>
      <c r="C51" s="179"/>
      <c r="D51" s="179"/>
      <c r="E51" s="179"/>
      <c r="F51" s="179"/>
      <c r="G51" s="179"/>
      <c r="H51" s="179"/>
      <c r="I51" s="179"/>
      <c r="J51" s="179"/>
      <c r="K51" s="179"/>
      <c r="L51" s="179"/>
      <c r="M51" s="179"/>
      <c r="N51" s="179"/>
      <c r="O51" s="179"/>
      <c r="P51" s="179"/>
      <c r="Q51" s="179"/>
      <c r="R51" s="179"/>
      <c r="S51" s="179"/>
      <c r="T51" s="179"/>
      <c r="U51" s="179"/>
      <c r="V51" s="179"/>
      <c r="W51" s="179"/>
      <c r="X51" s="179"/>
      <c r="Y51" s="179"/>
      <c r="DA51" s="188"/>
    </row>
    <row r="52" spans="1:105" ht="12" customHeight="1" x14ac:dyDescent="0.25">
      <c r="A52" s="131" t="s">
        <v>101</v>
      </c>
      <c r="B52" s="180">
        <v>0.7647506762622619</v>
      </c>
      <c r="C52" s="180">
        <v>0.75912508957008529</v>
      </c>
      <c r="D52" s="180">
        <v>0.75324897049122563</v>
      </c>
      <c r="E52" s="180">
        <v>0.7467314823432093</v>
      </c>
      <c r="F52" s="180">
        <v>0.74027439071293011</v>
      </c>
      <c r="G52" s="180">
        <v>0.73389528003170323</v>
      </c>
      <c r="H52" s="180">
        <v>0.72505039805628524</v>
      </c>
      <c r="I52" s="180">
        <v>0.71606803624561655</v>
      </c>
      <c r="J52" s="180">
        <v>0.70770266394589376</v>
      </c>
      <c r="K52" s="180">
        <v>0.69895467775020281</v>
      </c>
      <c r="L52" s="180">
        <v>0.68937152495990417</v>
      </c>
      <c r="M52" s="180">
        <v>0.67849048610016827</v>
      </c>
      <c r="N52" s="180">
        <v>0.66761458073819502</v>
      </c>
      <c r="O52" s="180">
        <v>0.6565067576617476</v>
      </c>
      <c r="P52" s="180">
        <v>0.6431339538835541</v>
      </c>
      <c r="Q52" s="180">
        <v>0.63023824564207198</v>
      </c>
      <c r="R52" s="180">
        <v>0.61877560430469314</v>
      </c>
      <c r="S52" s="180">
        <v>0.60684772660354158</v>
      </c>
      <c r="T52" s="180">
        <v>0.59498329959491725</v>
      </c>
      <c r="U52" s="180">
        <v>0.58641542898440957</v>
      </c>
      <c r="V52" s="180">
        <v>0.57837287092398115</v>
      </c>
      <c r="W52" s="180">
        <v>0.57027411429880859</v>
      </c>
      <c r="X52" s="180">
        <v>0.56326346021393792</v>
      </c>
      <c r="Y52" s="180">
        <v>0.55731256342165747</v>
      </c>
      <c r="DA52" s="189" t="s">
        <v>946</v>
      </c>
    </row>
    <row r="53" spans="1:105" ht="12" customHeight="1" x14ac:dyDescent="0.25">
      <c r="A53" s="131" t="s">
        <v>100</v>
      </c>
      <c r="B53" s="180">
        <v>198.3618239065602</v>
      </c>
      <c r="C53" s="180">
        <v>196.04586904729132</v>
      </c>
      <c r="D53" s="180">
        <v>193.46396469978453</v>
      </c>
      <c r="E53" s="180">
        <v>190.51142458654832</v>
      </c>
      <c r="F53" s="180">
        <v>187.43451277788498</v>
      </c>
      <c r="G53" s="180">
        <v>183.96534691276861</v>
      </c>
      <c r="H53" s="180">
        <v>180.02098410025548</v>
      </c>
      <c r="I53" s="180">
        <v>175.81070133687714</v>
      </c>
      <c r="J53" s="180">
        <v>173.21076498746439</v>
      </c>
      <c r="K53" s="180">
        <v>170.49264375134729</v>
      </c>
      <c r="L53" s="180">
        <v>167.40293424537762</v>
      </c>
      <c r="M53" s="180">
        <v>164.11548319960082</v>
      </c>
      <c r="N53" s="180">
        <v>160.56388510217957</v>
      </c>
      <c r="O53" s="180">
        <v>156.3738925665192</v>
      </c>
      <c r="P53" s="180">
        <v>151.34300327359369</v>
      </c>
      <c r="Q53" s="180">
        <v>145.6711898594445</v>
      </c>
      <c r="R53" s="180">
        <v>140.12270363501179</v>
      </c>
      <c r="S53" s="180">
        <v>133.98421842726634</v>
      </c>
      <c r="T53" s="180">
        <v>127.88005004653533</v>
      </c>
      <c r="U53" s="180">
        <v>121.83857016915759</v>
      </c>
      <c r="V53" s="180">
        <v>115.61910018480563</v>
      </c>
      <c r="W53" s="180">
        <v>109.75234445477922</v>
      </c>
      <c r="X53" s="180">
        <v>104.51520846893821</v>
      </c>
      <c r="Y53" s="180">
        <v>100.63925299691398</v>
      </c>
      <c r="DA53" s="189" t="s">
        <v>947</v>
      </c>
    </row>
    <row r="54" spans="1:105" ht="12" customHeight="1" x14ac:dyDescent="0.25">
      <c r="A54" s="131" t="s">
        <v>140</v>
      </c>
      <c r="B54" s="180">
        <v>42.897585692935479</v>
      </c>
      <c r="C54" s="180">
        <v>42.56433589515516</v>
      </c>
      <c r="D54" s="180">
        <v>42.024358388643314</v>
      </c>
      <c r="E54" s="180">
        <v>41.370816675715524</v>
      </c>
      <c r="F54" s="180">
        <v>40.58430360752665</v>
      </c>
      <c r="G54" s="180">
        <v>39.678231083458087</v>
      </c>
      <c r="H54" s="180">
        <v>38.587676634240175</v>
      </c>
      <c r="I54" s="180">
        <v>37.75908630906121</v>
      </c>
      <c r="J54" s="180">
        <v>36.943676531426718</v>
      </c>
      <c r="K54" s="180">
        <v>36.076986657697461</v>
      </c>
      <c r="L54" s="180">
        <v>35.084312242955171</v>
      </c>
      <c r="M54" s="180">
        <v>33.960666150298444</v>
      </c>
      <c r="N54" s="180">
        <v>32.656178854205955</v>
      </c>
      <c r="O54" s="180">
        <v>31.340534932293078</v>
      </c>
      <c r="P54" s="180">
        <v>29.834683941135328</v>
      </c>
      <c r="Q54" s="180">
        <v>28.346571164046694</v>
      </c>
      <c r="R54" s="180">
        <v>26.707772539207692</v>
      </c>
      <c r="S54" s="180">
        <v>25.067539193439305</v>
      </c>
      <c r="T54" s="180">
        <v>23.179264323818426</v>
      </c>
      <c r="U54" s="180">
        <v>21.36660860256303</v>
      </c>
      <c r="V54" s="180">
        <v>19.446549480234619</v>
      </c>
      <c r="W54" s="180">
        <v>17.888605773495097</v>
      </c>
      <c r="X54" s="180">
        <v>16.621334257570076</v>
      </c>
      <c r="Y54" s="180">
        <v>15.354081107828007</v>
      </c>
      <c r="DA54" s="189" t="s">
        <v>948</v>
      </c>
    </row>
    <row r="55" spans="1:105" ht="12" customHeight="1" x14ac:dyDescent="0.25">
      <c r="A55" s="131" t="s">
        <v>173</v>
      </c>
      <c r="B55" s="180">
        <v>651.1460158892985</v>
      </c>
      <c r="C55" s="180">
        <v>643.35529304560077</v>
      </c>
      <c r="D55" s="180">
        <v>633.34905642859724</v>
      </c>
      <c r="E55" s="180">
        <v>622.43251451390154</v>
      </c>
      <c r="F55" s="180">
        <v>611.02966358411436</v>
      </c>
      <c r="G55" s="180">
        <v>599.69422561533656</v>
      </c>
      <c r="H55" s="180">
        <v>588.23767315641715</v>
      </c>
      <c r="I55" s="180">
        <v>577.13613821689592</v>
      </c>
      <c r="J55" s="180">
        <v>565.68651552617678</v>
      </c>
      <c r="K55" s="180">
        <v>554.97496877033655</v>
      </c>
      <c r="L55" s="180">
        <v>544.10615858332358</v>
      </c>
      <c r="M55" s="180">
        <v>535.80700556238241</v>
      </c>
      <c r="N55" s="180">
        <v>527.23169851104865</v>
      </c>
      <c r="O55" s="180">
        <v>517.01554741008476</v>
      </c>
      <c r="P55" s="180">
        <v>504.6669085530466</v>
      </c>
      <c r="Q55" s="180">
        <v>493.58805581854551</v>
      </c>
      <c r="R55" s="180">
        <v>483.39492827106574</v>
      </c>
      <c r="S55" s="180">
        <v>473.87839666825454</v>
      </c>
      <c r="T55" s="180">
        <v>464.13919695040789</v>
      </c>
      <c r="U55" s="180">
        <v>456.08384132354286</v>
      </c>
      <c r="V55" s="180">
        <v>448.9034698114009</v>
      </c>
      <c r="W55" s="180">
        <v>442.22263341095874</v>
      </c>
      <c r="X55" s="180">
        <v>434.7626296933505</v>
      </c>
      <c r="Y55" s="180">
        <v>426.52300416142248</v>
      </c>
      <c r="DA55" s="189" t="s">
        <v>949</v>
      </c>
    </row>
    <row r="56" spans="1:105" ht="12" customHeight="1" x14ac:dyDescent="0.25">
      <c r="A56" s="60" t="s">
        <v>99</v>
      </c>
      <c r="B56" s="55">
        <v>48.995987749987648</v>
      </c>
      <c r="C56" s="55">
        <v>48.737143278078257</v>
      </c>
      <c r="D56" s="55">
        <v>48.433031555399175</v>
      </c>
      <c r="E56" s="55">
        <v>48.09764287695323</v>
      </c>
      <c r="F56" s="55">
        <v>47.717798296757458</v>
      </c>
      <c r="G56" s="55">
        <v>47.424748158760202</v>
      </c>
      <c r="H56" s="55">
        <v>46.923437101667531</v>
      </c>
      <c r="I56" s="55">
        <v>46.455626327619612</v>
      </c>
      <c r="J56" s="55">
        <v>46.089333494642858</v>
      </c>
      <c r="K56" s="55">
        <v>45.744980306463944</v>
      </c>
      <c r="L56" s="55">
        <v>45.355216431754073</v>
      </c>
      <c r="M56" s="55">
        <v>44.904989680602156</v>
      </c>
      <c r="N56" s="55">
        <v>44.375131925463926</v>
      </c>
      <c r="O56" s="55">
        <v>43.78826106837591</v>
      </c>
      <c r="P56" s="55">
        <v>43.028877291192352</v>
      </c>
      <c r="Q56" s="55">
        <v>42.230726152904985</v>
      </c>
      <c r="R56" s="55">
        <v>41.621655804929027</v>
      </c>
      <c r="S56" s="55">
        <v>40.939361032495881</v>
      </c>
      <c r="T56" s="55">
        <v>40.228458664535076</v>
      </c>
      <c r="U56" s="55">
        <v>39.443036606054498</v>
      </c>
      <c r="V56" s="55">
        <v>38.841055408145515</v>
      </c>
      <c r="W56" s="55">
        <v>37.901528719426302</v>
      </c>
      <c r="X56" s="55">
        <v>37.049275964426229</v>
      </c>
      <c r="Y56" s="55">
        <v>36.436826234277909</v>
      </c>
      <c r="DA56" s="101" t="s">
        <v>950</v>
      </c>
    </row>
    <row r="57" spans="1:105" ht="12" customHeight="1" x14ac:dyDescent="0.25">
      <c r="A57" s="62" t="s">
        <v>98</v>
      </c>
      <c r="B57" s="63">
        <v>368.37567203179009</v>
      </c>
      <c r="C57" s="63">
        <v>360.24150978736401</v>
      </c>
      <c r="D57" s="63">
        <v>349.847480134352</v>
      </c>
      <c r="E57" s="63">
        <v>337.12367984478669</v>
      </c>
      <c r="F57" s="63">
        <v>322.92145328032859</v>
      </c>
      <c r="G57" s="63">
        <v>307.71291648293516</v>
      </c>
      <c r="H57" s="63">
        <v>292.55888788078954</v>
      </c>
      <c r="I57" s="63">
        <v>278.78160089928872</v>
      </c>
      <c r="J57" s="63">
        <v>263.7037108474276</v>
      </c>
      <c r="K57" s="63">
        <v>248.01064975037838</v>
      </c>
      <c r="L57" s="63">
        <v>231.49047901729108</v>
      </c>
      <c r="M57" s="63">
        <v>213.68803723166798</v>
      </c>
      <c r="N57" s="63">
        <v>198.60287840211609</v>
      </c>
      <c r="O57" s="63">
        <v>185.89748314286751</v>
      </c>
      <c r="P57" s="63">
        <v>176.14988813554126</v>
      </c>
      <c r="Q57" s="63">
        <v>170.70091793273014</v>
      </c>
      <c r="R57" s="63">
        <v>166.70420153762382</v>
      </c>
      <c r="S57" s="63">
        <v>163.78077845830697</v>
      </c>
      <c r="T57" s="63">
        <v>161.11346010667813</v>
      </c>
      <c r="U57" s="63">
        <v>157.64554503086796</v>
      </c>
      <c r="V57" s="63">
        <v>153.79803054195128</v>
      </c>
      <c r="W57" s="63">
        <v>150.02928047564379</v>
      </c>
      <c r="X57" s="63">
        <v>146.69055429533054</v>
      </c>
      <c r="Y57" s="63">
        <v>143.58172338930081</v>
      </c>
      <c r="DA57" s="105" t="s">
        <v>951</v>
      </c>
    </row>
    <row r="58" spans="1:105" s="2" customFormat="1" ht="12" customHeight="1" x14ac:dyDescent="0.25">
      <c r="DA58" s="7"/>
    </row>
    <row r="59" spans="1:105" ht="12.95" customHeight="1" x14ac:dyDescent="0.25">
      <c r="A59" s="178" t="s">
        <v>102</v>
      </c>
      <c r="B59" s="179"/>
      <c r="C59" s="179"/>
      <c r="D59" s="179"/>
      <c r="E59" s="179"/>
      <c r="F59" s="179"/>
      <c r="G59" s="179"/>
      <c r="H59" s="179"/>
      <c r="I59" s="179"/>
      <c r="J59" s="179"/>
      <c r="K59" s="179"/>
      <c r="L59" s="179"/>
      <c r="M59" s="179"/>
      <c r="N59" s="179"/>
      <c r="O59" s="179"/>
      <c r="P59" s="179"/>
      <c r="Q59" s="179"/>
      <c r="R59" s="179"/>
      <c r="S59" s="179"/>
      <c r="T59" s="179"/>
      <c r="U59" s="179"/>
      <c r="V59" s="179"/>
      <c r="W59" s="179"/>
      <c r="X59" s="179"/>
      <c r="Y59" s="179"/>
      <c r="DA59" s="188"/>
    </row>
    <row r="60" spans="1:105" ht="12" customHeight="1" x14ac:dyDescent="0.25">
      <c r="A60" s="131" t="s">
        <v>101</v>
      </c>
      <c r="B60" s="180"/>
      <c r="C60" s="180">
        <v>0.68378003295443723</v>
      </c>
      <c r="D60" s="180">
        <v>0.67539294728261678</v>
      </c>
      <c r="E60" s="180">
        <v>0.66844335090634699</v>
      </c>
      <c r="F60" s="180">
        <v>0.66188518034283506</v>
      </c>
      <c r="G60" s="180">
        <v>0.65260899607711031</v>
      </c>
      <c r="H60" s="180">
        <v>0.64308424365783912</v>
      </c>
      <c r="I60" s="180">
        <v>0.6332777947293935</v>
      </c>
      <c r="J60" s="180">
        <v>0.62337065741250763</v>
      </c>
      <c r="K60" s="180">
        <v>0.61434163225344463</v>
      </c>
      <c r="L60" s="180">
        <v>0.60466592426028365</v>
      </c>
      <c r="M60" s="180">
        <v>0.59384621927682457</v>
      </c>
      <c r="N60" s="180">
        <v>0.58021441719714228</v>
      </c>
      <c r="O60" s="180">
        <v>0.56585101834042206</v>
      </c>
      <c r="P60" s="180">
        <v>0.54992536046462059</v>
      </c>
      <c r="Q60" s="180">
        <v>0.53487662798655611</v>
      </c>
      <c r="R60" s="180">
        <v>0.53129415533927371</v>
      </c>
      <c r="S60" s="180">
        <v>0.52588577823112281</v>
      </c>
      <c r="T60" s="180">
        <v>0.52026019137698187</v>
      </c>
      <c r="U60" s="180">
        <v>0.5147859610923845</v>
      </c>
      <c r="V60" s="180">
        <v>0.50955835535700889</v>
      </c>
      <c r="W60" s="180">
        <v>0.50650100522486685</v>
      </c>
      <c r="X60" s="180">
        <v>0.50344365509272482</v>
      </c>
      <c r="Y60" s="180">
        <v>0.50038630496058267</v>
      </c>
      <c r="DA60" s="189" t="s">
        <v>952</v>
      </c>
    </row>
    <row r="61" spans="1:105" ht="12" customHeight="1" x14ac:dyDescent="0.25">
      <c r="A61" s="131" t="s">
        <v>100</v>
      </c>
      <c r="B61" s="180"/>
      <c r="C61" s="180">
        <v>183.82955407614443</v>
      </c>
      <c r="D61" s="180">
        <v>181.37947199031575</v>
      </c>
      <c r="E61" s="180">
        <v>179.15985808513113</v>
      </c>
      <c r="F61" s="180">
        <v>177.11621142151265</v>
      </c>
      <c r="G61" s="180">
        <v>173.76823731587999</v>
      </c>
      <c r="H61" s="180">
        <v>170.33605405114491</v>
      </c>
      <c r="I61" s="180">
        <v>168.10864172273764</v>
      </c>
      <c r="J61" s="180">
        <v>165.38757403123418</v>
      </c>
      <c r="K61" s="180">
        <v>162.0976394452143</v>
      </c>
      <c r="L61" s="180">
        <v>158.49842191998013</v>
      </c>
      <c r="M61" s="180">
        <v>154.36942273939349</v>
      </c>
      <c r="N61" s="180">
        <v>149.03274122532432</v>
      </c>
      <c r="O61" s="180">
        <v>142.57088406068468</v>
      </c>
      <c r="P61" s="180">
        <v>135.80544885973569</v>
      </c>
      <c r="Q61" s="180">
        <v>128.01019216020939</v>
      </c>
      <c r="R61" s="180">
        <v>120.75146431479277</v>
      </c>
      <c r="S61" s="180">
        <v>115.16288239621251</v>
      </c>
      <c r="T61" s="180">
        <v>109.46860835949992</v>
      </c>
      <c r="U61" s="180">
        <v>103.74749621163312</v>
      </c>
      <c r="V61" s="180">
        <v>98.104790893318849</v>
      </c>
      <c r="W61" s="180">
        <v>95.69141303734321</v>
      </c>
      <c r="X61" s="180">
        <v>93.278035181367571</v>
      </c>
      <c r="Y61" s="180">
        <v>90.864657325391931</v>
      </c>
      <c r="DA61" s="189" t="s">
        <v>953</v>
      </c>
    </row>
    <row r="62" spans="1:105" ht="12" customHeight="1" x14ac:dyDescent="0.25">
      <c r="A62" s="131" t="s">
        <v>140</v>
      </c>
      <c r="B62" s="180"/>
      <c r="C62" s="180">
        <v>40.920215085968501</v>
      </c>
      <c r="D62" s="180">
        <v>39.787032158854757</v>
      </c>
      <c r="E62" s="180">
        <v>39.024775047866079</v>
      </c>
      <c r="F62" s="180">
        <v>38.215482360504986</v>
      </c>
      <c r="G62" s="180">
        <v>37.545616305491976</v>
      </c>
      <c r="H62" s="180">
        <v>36.676104076181574</v>
      </c>
      <c r="I62" s="180">
        <v>35.847614843764845</v>
      </c>
      <c r="J62" s="180">
        <v>34.882323093794028</v>
      </c>
      <c r="K62" s="180">
        <v>33.641439736412948</v>
      </c>
      <c r="L62" s="180">
        <v>32.316164325680276</v>
      </c>
      <c r="M62" s="180">
        <v>30.894948512114205</v>
      </c>
      <c r="N62" s="180">
        <v>29.499285997015356</v>
      </c>
      <c r="O62" s="180">
        <v>27.95063027765152</v>
      </c>
      <c r="P62" s="180">
        <v>26.196023325764969</v>
      </c>
      <c r="Q62" s="180">
        <v>24.241622277200943</v>
      </c>
      <c r="R62" s="180">
        <v>22.024904616231037</v>
      </c>
      <c r="S62" s="180">
        <v>20.856776146269809</v>
      </c>
      <c r="T62" s="180">
        <v>18.566568752007559</v>
      </c>
      <c r="U62" s="180">
        <v>16.660733856340116</v>
      </c>
      <c r="V62" s="180">
        <v>15.323757637676019</v>
      </c>
      <c r="W62" s="180">
        <v>14.557569755792217</v>
      </c>
      <c r="X62" s="180">
        <v>13.791381873908415</v>
      </c>
      <c r="Y62" s="180">
        <v>13.025193992024615</v>
      </c>
      <c r="DA62" s="189" t="s">
        <v>954</v>
      </c>
    </row>
    <row r="63" spans="1:105" ht="12" customHeight="1" x14ac:dyDescent="0.25">
      <c r="A63" s="131" t="s">
        <v>173</v>
      </c>
      <c r="B63" s="180"/>
      <c r="C63" s="180">
        <v>587.89034602393883</v>
      </c>
      <c r="D63" s="180">
        <v>573.80097550471601</v>
      </c>
      <c r="E63" s="180">
        <v>565.54914902725125</v>
      </c>
      <c r="F63" s="180">
        <v>559.17900854507639</v>
      </c>
      <c r="G63" s="180">
        <v>551.26403363634802</v>
      </c>
      <c r="H63" s="180">
        <v>542.64491533066325</v>
      </c>
      <c r="I63" s="180">
        <v>532.88497162951273</v>
      </c>
      <c r="J63" s="180">
        <v>523.93850943784798</v>
      </c>
      <c r="K63" s="180">
        <v>514.50422218165761</v>
      </c>
      <c r="L63" s="180">
        <v>504.00366902188688</v>
      </c>
      <c r="M63" s="180">
        <v>489.04202104275004</v>
      </c>
      <c r="N63" s="180">
        <v>482.64214135505716</v>
      </c>
      <c r="O63" s="180">
        <v>469.59030943857567</v>
      </c>
      <c r="P63" s="180">
        <v>458.87153829233927</v>
      </c>
      <c r="Q63" s="180">
        <v>452.44832161362535</v>
      </c>
      <c r="R63" s="180">
        <v>445.68966769713785</v>
      </c>
      <c r="S63" s="180">
        <v>437.3183427263192</v>
      </c>
      <c r="T63" s="180">
        <v>428.93276657381392</v>
      </c>
      <c r="U63" s="180">
        <v>420.75411471797656</v>
      </c>
      <c r="V63" s="180">
        <v>412.80445392627018</v>
      </c>
      <c r="W63" s="180">
        <v>404.54836484774478</v>
      </c>
      <c r="X63" s="180">
        <v>396.29227576921937</v>
      </c>
      <c r="Y63" s="180">
        <v>388.03618669069397</v>
      </c>
      <c r="DA63" s="189" t="s">
        <v>955</v>
      </c>
    </row>
    <row r="64" spans="1:105" ht="12" customHeight="1" x14ac:dyDescent="0.25">
      <c r="A64" s="60" t="s">
        <v>99</v>
      </c>
      <c r="B64" s="55"/>
      <c r="C64" s="55">
        <v>46.200128781509491</v>
      </c>
      <c r="D64" s="55">
        <v>45.781496247280437</v>
      </c>
      <c r="E64" s="55">
        <v>45.394741927224409</v>
      </c>
      <c r="F64" s="55">
        <v>45.039279468341427</v>
      </c>
      <c r="G64" s="55">
        <v>44.634136882998085</v>
      </c>
      <c r="H64" s="55">
        <v>44.152003976531667</v>
      </c>
      <c r="I64" s="55">
        <v>43.631189258783543</v>
      </c>
      <c r="J64" s="55">
        <v>43.148025148782651</v>
      </c>
      <c r="K64" s="55">
        <v>42.582992470627396</v>
      </c>
      <c r="L64" s="55">
        <v>42.061480809063177</v>
      </c>
      <c r="M64" s="55">
        <v>41.079302485142009</v>
      </c>
      <c r="N64" s="55">
        <v>40.067056649975477</v>
      </c>
      <c r="O64" s="55">
        <v>38.963671474134109</v>
      </c>
      <c r="P64" s="55">
        <v>37.866131080572664</v>
      </c>
      <c r="Q64" s="55">
        <v>36.785207960170041</v>
      </c>
      <c r="R64" s="55">
        <v>36.320225544000515</v>
      </c>
      <c r="S64" s="55">
        <v>35.758987106019234</v>
      </c>
      <c r="T64" s="55">
        <v>35.211587521419617</v>
      </c>
      <c r="U64" s="55">
        <v>34.667341676120103</v>
      </c>
      <c r="V64" s="55">
        <v>34.137459353846992</v>
      </c>
      <c r="W64" s="55">
        <v>33.796084760308524</v>
      </c>
      <c r="X64" s="55">
        <v>33.454710166770049</v>
      </c>
      <c r="Y64" s="55">
        <v>33.113335573231581</v>
      </c>
      <c r="DA64" s="101" t="s">
        <v>956</v>
      </c>
    </row>
    <row r="65" spans="1:105" ht="12" customHeight="1" x14ac:dyDescent="0.25">
      <c r="A65" s="62" t="s">
        <v>98</v>
      </c>
      <c r="B65" s="63"/>
      <c r="C65" s="63">
        <v>335.88265410160017</v>
      </c>
      <c r="D65" s="63">
        <v>322.73207069368146</v>
      </c>
      <c r="E65" s="63">
        <v>309.87852883175049</v>
      </c>
      <c r="F65" s="63">
        <v>296.06720745070237</v>
      </c>
      <c r="G65" s="63">
        <v>282.71696199487496</v>
      </c>
      <c r="H65" s="63">
        <v>265.65423313113695</v>
      </c>
      <c r="I65" s="63">
        <v>251.92460363978057</v>
      </c>
      <c r="J65" s="63">
        <v>233.84448731750572</v>
      </c>
      <c r="K65" s="63">
        <v>217.18360621640295</v>
      </c>
      <c r="L65" s="63">
        <v>197.19541946006433</v>
      </c>
      <c r="M65" s="63">
        <v>184.62299984514985</v>
      </c>
      <c r="N65" s="63">
        <v>174.40254384966394</v>
      </c>
      <c r="O65" s="63">
        <v>167.48906282402635</v>
      </c>
      <c r="P65" s="63">
        <v>165.74859629112206</v>
      </c>
      <c r="Q65" s="63">
        <v>164.89660034022418</v>
      </c>
      <c r="R65" s="63">
        <v>162.84673397966657</v>
      </c>
      <c r="S65" s="63">
        <v>158.50899596617199</v>
      </c>
      <c r="T65" s="63">
        <v>154.17685878574488</v>
      </c>
      <c r="U65" s="63">
        <v>149.99175947086454</v>
      </c>
      <c r="V65" s="63">
        <v>145.88743331346492</v>
      </c>
      <c r="W65" s="63">
        <v>143.26145951382256</v>
      </c>
      <c r="X65" s="63">
        <v>140.63548571418019</v>
      </c>
      <c r="Y65" s="63">
        <v>138.00951191453782</v>
      </c>
      <c r="DA65" s="105" t="s">
        <v>957</v>
      </c>
    </row>
    <row r="66" spans="1:105" s="2" customFormat="1" ht="12" customHeight="1" x14ac:dyDescent="0.25">
      <c r="DA66" s="7"/>
    </row>
    <row r="67" spans="1:105" ht="12.95" customHeight="1" x14ac:dyDescent="0.25">
      <c r="A67" s="178" t="s">
        <v>97</v>
      </c>
      <c r="B67" s="186"/>
      <c r="C67" s="186"/>
      <c r="D67" s="186"/>
      <c r="E67" s="186"/>
      <c r="F67" s="186"/>
      <c r="G67" s="186"/>
      <c r="H67" s="186"/>
      <c r="I67" s="186"/>
      <c r="J67" s="186"/>
      <c r="K67" s="186"/>
      <c r="L67" s="186"/>
      <c r="M67" s="186"/>
      <c r="N67" s="186"/>
      <c r="O67" s="186"/>
      <c r="P67" s="186"/>
      <c r="Q67" s="186"/>
      <c r="R67" s="186"/>
      <c r="S67" s="186"/>
      <c r="T67" s="186"/>
      <c r="U67" s="186"/>
      <c r="V67" s="186"/>
      <c r="W67" s="186"/>
      <c r="X67" s="186"/>
      <c r="Y67" s="186"/>
      <c r="DA67" s="195"/>
    </row>
    <row r="68" spans="1:105" ht="12" customHeight="1" x14ac:dyDescent="0.25">
      <c r="A68" s="131" t="s">
        <v>96</v>
      </c>
      <c r="B68" s="187">
        <f>1000000*B20/SER_summary!B$8</f>
        <v>403.53473351232299</v>
      </c>
      <c r="C68" s="187">
        <f>1000000*C20/SER_summary!C$8</f>
        <v>408.08556517470402</v>
      </c>
      <c r="D68" s="187">
        <f>1000000*D20/SER_summary!D$8</f>
        <v>411.58879165597295</v>
      </c>
      <c r="E68" s="187">
        <f>1000000*E20/SER_summary!E$8</f>
        <v>419.25499202141719</v>
      </c>
      <c r="F68" s="187">
        <f>1000000*F20/SER_summary!F$8</f>
        <v>426.86583511591789</v>
      </c>
      <c r="G68" s="187">
        <f>1000000*G20/SER_summary!G$8</f>
        <v>432.63531972097087</v>
      </c>
      <c r="H68" s="187">
        <f>1000000*H20/SER_summary!H$8</f>
        <v>441.37998720530885</v>
      </c>
      <c r="I68" s="187">
        <f>1000000*I20/SER_summary!I$8</f>
        <v>450.93057715158727</v>
      </c>
      <c r="J68" s="187">
        <f>1000000*J20/SER_summary!J$8</f>
        <v>460.79311618384679</v>
      </c>
      <c r="K68" s="187">
        <f>1000000*K20/SER_summary!K$8</f>
        <v>473.36241852953475</v>
      </c>
      <c r="L68" s="187">
        <f>1000000*L20/SER_summary!L$8</f>
        <v>485.81979904121761</v>
      </c>
      <c r="M68" s="187">
        <f>1000000*M20/SER_summary!M$8</f>
        <v>502.24116472187296</v>
      </c>
      <c r="N68" s="187">
        <f>1000000*N20/SER_summary!N$8</f>
        <v>518.02694660652037</v>
      </c>
      <c r="O68" s="187">
        <f>1000000*O20/SER_summary!O$8</f>
        <v>535.49647505772271</v>
      </c>
      <c r="P68" s="187">
        <f>1000000*P20/SER_summary!P$8</f>
        <v>553.79157257102906</v>
      </c>
      <c r="Q68" s="187">
        <f>1000000*Q20/SER_summary!Q$8</f>
        <v>571.82045040646767</v>
      </c>
      <c r="R68" s="187">
        <f>1000000*R20/SER_summary!R$8</f>
        <v>584.27218508183967</v>
      </c>
      <c r="S68" s="187">
        <f>1000000*S20/SER_summary!S$8</f>
        <v>596.76450549600827</v>
      </c>
      <c r="T68" s="187">
        <f>1000000*T20/SER_summary!T$8</f>
        <v>609.08276477906259</v>
      </c>
      <c r="U68" s="187">
        <f>1000000*U20/SER_summary!U$8</f>
        <v>621.09677663344667</v>
      </c>
      <c r="V68" s="187">
        <f>1000000*V20/SER_summary!V$8</f>
        <v>632.56421770712984</v>
      </c>
      <c r="W68" s="187">
        <f>1000000*W20/SER_summary!W$8</f>
        <v>643.30735002514564</v>
      </c>
      <c r="X68" s="187">
        <f>1000000*X20/SER_summary!X$8</f>
        <v>648.74714459151244</v>
      </c>
      <c r="Y68" s="187">
        <f>1000000*Y20/SER_summary!Y$8</f>
        <v>651.48426719044551</v>
      </c>
      <c r="DA68" s="196" t="s">
        <v>958</v>
      </c>
    </row>
    <row r="69" spans="1:105" ht="12" customHeight="1" x14ac:dyDescent="0.25">
      <c r="A69" s="131" t="s">
        <v>95</v>
      </c>
      <c r="B69" s="187">
        <f>1000*B21/SER_summary!B$3</f>
        <v>0.12061523492188216</v>
      </c>
      <c r="C69" s="187">
        <f>1000*C21/SER_summary!C$3</f>
        <v>0.12540051802767382</v>
      </c>
      <c r="D69" s="187">
        <f>1000*D21/SER_summary!D$3</f>
        <v>0.12995484616647138</v>
      </c>
      <c r="E69" s="187">
        <f>1000*E21/SER_summary!E$3</f>
        <v>0.13548594721555979</v>
      </c>
      <c r="F69" s="187">
        <f>1000*F21/SER_summary!F$3</f>
        <v>0.13965808722252962</v>
      </c>
      <c r="G69" s="187">
        <f>1000*G21/SER_summary!G$3</f>
        <v>0.14341836752560116</v>
      </c>
      <c r="H69" s="187">
        <f>1000*H21/SER_summary!H$3</f>
        <v>0.14819310534266522</v>
      </c>
      <c r="I69" s="187">
        <f>1000*I21/SER_summary!I$3</f>
        <v>0.15387868777283309</v>
      </c>
      <c r="J69" s="187">
        <f>1000*J21/SER_summary!J$3</f>
        <v>0.1578310295859576</v>
      </c>
      <c r="K69" s="187">
        <f>1000*K21/SER_summary!K$3</f>
        <v>0.16254485229057475</v>
      </c>
      <c r="L69" s="187">
        <f>1000*L21/SER_summary!L$3</f>
        <v>0.16825970476688942</v>
      </c>
      <c r="M69" s="187">
        <f>1000*M21/SER_summary!M$3</f>
        <v>0.17439230102175951</v>
      </c>
      <c r="N69" s="187">
        <f>1000*N21/SER_summary!N$3</f>
        <v>0.18118326222905681</v>
      </c>
      <c r="O69" s="187">
        <f>1000*O21/SER_summary!O$3</f>
        <v>0.1895656315859944</v>
      </c>
      <c r="P69" s="187">
        <f>1000*P21/SER_summary!P$3</f>
        <v>0.19985637039628887</v>
      </c>
      <c r="Q69" s="187">
        <f>1000*Q21/SER_summary!Q$3</f>
        <v>0.21346765289687944</v>
      </c>
      <c r="R69" s="187">
        <f>1000*R21/SER_summary!R$3</f>
        <v>0.2217062448518084</v>
      </c>
      <c r="S69" s="187">
        <f>1000*S21/SER_summary!S$3</f>
        <v>0.23072859460938347</v>
      </c>
      <c r="T69" s="187">
        <f>1000*T21/SER_summary!T$3</f>
        <v>0.23926684527873904</v>
      </c>
      <c r="U69" s="187">
        <f>1000*U21/SER_summary!U$3</f>
        <v>0.24726981388864377</v>
      </c>
      <c r="V69" s="187">
        <f>1000*V21/SER_summary!V$3</f>
        <v>0.25462121055525616</v>
      </c>
      <c r="W69" s="187">
        <f>1000*W21/SER_summary!W$3</f>
        <v>0.26177475960173041</v>
      </c>
      <c r="X69" s="187">
        <f>1000*X21/SER_summary!X$3</f>
        <v>0.26690149291443488</v>
      </c>
      <c r="Y69" s="187">
        <f>1000*Y21/SER_summary!Y$3</f>
        <v>0.27054983071906874</v>
      </c>
      <c r="DA69" s="196" t="s">
        <v>959</v>
      </c>
    </row>
    <row r="70" spans="1:105" ht="12" customHeight="1" x14ac:dyDescent="0.25">
      <c r="A70" s="131" t="s">
        <v>141</v>
      </c>
      <c r="B70" s="187">
        <f>1000000*B22/SER_summary!B$8</f>
        <v>197.40847166063375</v>
      </c>
      <c r="C70" s="187">
        <f>1000000*C22/SER_summary!C$8</f>
        <v>197.07525799432716</v>
      </c>
      <c r="D70" s="187">
        <f>1000000*D22/SER_summary!D$8</f>
        <v>198.02557860073972</v>
      </c>
      <c r="E70" s="187">
        <f>1000000*E22/SER_summary!E$8</f>
        <v>199.19813962545942</v>
      </c>
      <c r="F70" s="187">
        <f>1000000*F22/SER_summary!F$8</f>
        <v>200.94387528104932</v>
      </c>
      <c r="G70" s="187">
        <f>1000000*G22/SER_summary!G$8</f>
        <v>203.89055800819497</v>
      </c>
      <c r="H70" s="187">
        <f>1000000*H22/SER_summary!H$8</f>
        <v>207.79176604278865</v>
      </c>
      <c r="I70" s="187">
        <f>1000000*I22/SER_summary!I$8</f>
        <v>211.24589357163484</v>
      </c>
      <c r="J70" s="187">
        <f>1000000*J22/SER_summary!J$8</f>
        <v>215.76911652550231</v>
      </c>
      <c r="K70" s="187">
        <f>1000000*K22/SER_summary!K$8</f>
        <v>220.80854143392114</v>
      </c>
      <c r="L70" s="187">
        <f>1000000*L22/SER_summary!L$8</f>
        <v>228.1760774379087</v>
      </c>
      <c r="M70" s="187">
        <f>1000000*M22/SER_summary!M$8</f>
        <v>235.18902822531498</v>
      </c>
      <c r="N70" s="187">
        <f>1000000*N22/SER_summary!N$8</f>
        <v>242.20337815108002</v>
      </c>
      <c r="O70" s="187">
        <f>1000000*O22/SER_summary!O$8</f>
        <v>250.99603200914487</v>
      </c>
      <c r="P70" s="187">
        <f>1000000*P22/SER_summary!P$8</f>
        <v>261.68316345588119</v>
      </c>
      <c r="Q70" s="187">
        <f>1000000*Q22/SER_summary!Q$8</f>
        <v>272.01812644282279</v>
      </c>
      <c r="R70" s="187">
        <f>1000000*R22/SER_summary!R$8</f>
        <v>278.1098411678098</v>
      </c>
      <c r="S70" s="187">
        <f>1000000*S22/SER_summary!S$8</f>
        <v>284.28236898956561</v>
      </c>
      <c r="T70" s="187">
        <f>1000000*T22/SER_summary!T$8</f>
        <v>290.20154935173156</v>
      </c>
      <c r="U70" s="187">
        <f>1000000*U22/SER_summary!U$8</f>
        <v>295.66302797674069</v>
      </c>
      <c r="V70" s="187">
        <f>1000000*V22/SER_summary!V$8</f>
        <v>300.28596027520967</v>
      </c>
      <c r="W70" s="187">
        <f>1000000*W22/SER_summary!W$8</f>
        <v>303.60059958730443</v>
      </c>
      <c r="X70" s="187">
        <f>1000000*X22/SER_summary!X$8</f>
        <v>305.27161456940485</v>
      </c>
      <c r="Y70" s="187">
        <f>1000000*Y22/SER_summary!Y$8</f>
        <v>306.11056787243109</v>
      </c>
      <c r="DA70" s="196" t="s">
        <v>960</v>
      </c>
    </row>
    <row r="71" spans="1:105" ht="12" customHeight="1" x14ac:dyDescent="0.25">
      <c r="A71" s="131" t="s">
        <v>174</v>
      </c>
      <c r="B71" s="187">
        <f>1000*B23/SER_summary!B$3</f>
        <v>1.8870868994584535E-2</v>
      </c>
      <c r="C71" s="187">
        <f>1000*C23/SER_summary!C$3</f>
        <v>1.9552802248840744E-2</v>
      </c>
      <c r="D71" s="187">
        <f>1000*D23/SER_summary!D$3</f>
        <v>2.0553574898197004E-2</v>
      </c>
      <c r="E71" s="187">
        <f>1000*E23/SER_summary!E$3</f>
        <v>2.1737044989368442E-2</v>
      </c>
      <c r="F71" s="187">
        <f>1000*F23/SER_summary!F$3</f>
        <v>2.3121931660101774E-2</v>
      </c>
      <c r="G71" s="187">
        <f>1000*G23/SER_summary!G$3</f>
        <v>2.4550815500747596E-2</v>
      </c>
      <c r="H71" s="187">
        <f>1000*H23/SER_summary!H$3</f>
        <v>2.616734045067717E-2</v>
      </c>
      <c r="I71" s="187">
        <f>1000*I23/SER_summary!I$3</f>
        <v>2.7554845046198664E-2</v>
      </c>
      <c r="J71" s="187">
        <f>1000*J23/SER_summary!J$3</f>
        <v>2.8985913868112612E-2</v>
      </c>
      <c r="K71" s="187">
        <f>1000*K23/SER_summary!K$3</f>
        <v>2.9845495559244907E-2</v>
      </c>
      <c r="L71" s="187">
        <f>1000*L23/SER_summary!L$3</f>
        <v>3.0523512102795764E-2</v>
      </c>
      <c r="M71" s="187">
        <f>1000*M23/SER_summary!M$3</f>
        <v>3.0949067903187008E-2</v>
      </c>
      <c r="N71" s="187">
        <f>1000*N23/SER_summary!N$3</f>
        <v>3.1452595013463973E-2</v>
      </c>
      <c r="O71" s="187">
        <f>1000*O23/SER_summary!O$3</f>
        <v>3.2297180682928868E-2</v>
      </c>
      <c r="P71" s="187">
        <f>1000*P23/SER_summary!P$3</f>
        <v>3.3955532644822949E-2</v>
      </c>
      <c r="Q71" s="187">
        <f>1000*Q23/SER_summary!Q$3</f>
        <v>3.5206242351821987E-2</v>
      </c>
      <c r="R71" s="187">
        <f>1000*R23/SER_summary!R$3</f>
        <v>3.5906949051991571E-2</v>
      </c>
      <c r="S71" s="187">
        <f>1000*S23/SER_summary!S$3</f>
        <v>3.6726623593216698E-2</v>
      </c>
      <c r="T71" s="187">
        <f>1000*T23/SER_summary!T$3</f>
        <v>3.7490706155266305E-2</v>
      </c>
      <c r="U71" s="187">
        <f>1000*U23/SER_summary!U$3</f>
        <v>3.821074363206111E-2</v>
      </c>
      <c r="V71" s="187">
        <f>1000*V23/SER_summary!V$3</f>
        <v>3.8901656823192667E-2</v>
      </c>
      <c r="W71" s="187">
        <f>1000*W23/SER_summary!W$3</f>
        <v>3.9655809443543043E-2</v>
      </c>
      <c r="X71" s="187">
        <f>1000*X23/SER_summary!X$3</f>
        <v>4.0192398479629153E-2</v>
      </c>
      <c r="Y71" s="187">
        <f>1000*Y23/SER_summary!Y$3</f>
        <v>4.0572325084208119E-2</v>
      </c>
      <c r="DA71" s="196" t="s">
        <v>961</v>
      </c>
    </row>
    <row r="72" spans="1:105" ht="12" customHeight="1" x14ac:dyDescent="0.25">
      <c r="A72" s="60" t="s">
        <v>94</v>
      </c>
      <c r="B72" s="187">
        <f>1000000*B24/SER_summary!B$8</f>
        <v>76.186745173641413</v>
      </c>
      <c r="C72" s="187">
        <f>1000000*C24/SER_summary!C$8</f>
        <v>80.237498319224201</v>
      </c>
      <c r="D72" s="187">
        <f>1000000*D24/SER_summary!D$8</f>
        <v>85.118251359060267</v>
      </c>
      <c r="E72" s="187">
        <f>1000000*E24/SER_summary!E$8</f>
        <v>91.222801012345499</v>
      </c>
      <c r="F72" s="187">
        <f>1000000*F24/SER_summary!F$8</f>
        <v>99.23145396412248</v>
      </c>
      <c r="G72" s="187">
        <f>1000000*G24/SER_summary!G$8</f>
        <v>104.21411579109026</v>
      </c>
      <c r="H72" s="187">
        <f>1000000*H24/SER_summary!H$8</f>
        <v>114.43803349228503</v>
      </c>
      <c r="I72" s="187">
        <f>1000000*I24/SER_summary!I$8</f>
        <v>123.9794340797622</v>
      </c>
      <c r="J72" s="187">
        <f>1000000*J24/SER_summary!J$8</f>
        <v>130.45413264051976</v>
      </c>
      <c r="K72" s="187">
        <f>1000000*K24/SER_summary!K$8</f>
        <v>135.34876897021985</v>
      </c>
      <c r="L72" s="187">
        <f>1000000*L24/SER_summary!L$8</f>
        <v>139.81610917167387</v>
      </c>
      <c r="M72" s="187">
        <f>1000000*M24/SER_summary!M$8</f>
        <v>143.39060050028894</v>
      </c>
      <c r="N72" s="187">
        <f>1000000*N24/SER_summary!N$8</f>
        <v>147.51711209569007</v>
      </c>
      <c r="O72" s="187">
        <f>1000000*O24/SER_summary!O$8</f>
        <v>151.52117446665542</v>
      </c>
      <c r="P72" s="187">
        <f>1000000*P24/SER_summary!P$8</f>
        <v>155.20398911680729</v>
      </c>
      <c r="Q72" s="187">
        <f>1000000*Q24/SER_summary!Q$8</f>
        <v>158.33811724643158</v>
      </c>
      <c r="R72" s="187">
        <f>1000000*R24/SER_summary!R$8</f>
        <v>164.13128066295934</v>
      </c>
      <c r="S72" s="187">
        <f>1000000*S24/SER_summary!S$8</f>
        <v>169.94804001438919</v>
      </c>
      <c r="T72" s="187">
        <f>1000000*T24/SER_summary!T$8</f>
        <v>175.66360285590198</v>
      </c>
      <c r="U72" s="187">
        <f>1000000*U24/SER_summary!U$8</f>
        <v>181.20228084244897</v>
      </c>
      <c r="V72" s="187">
        <f>1000000*V24/SER_summary!V$8</f>
        <v>186.42319084096155</v>
      </c>
      <c r="W72" s="187">
        <f>1000000*W24/SER_summary!W$8</f>
        <v>191.22734932669405</v>
      </c>
      <c r="X72" s="187">
        <f>1000000*X24/SER_summary!X$8</f>
        <v>195.15966303219452</v>
      </c>
      <c r="Y72" s="187">
        <f>1000000*Y24/SER_summary!Y$8</f>
        <v>198.36365555468328</v>
      </c>
      <c r="DA72" s="196" t="s">
        <v>962</v>
      </c>
    </row>
    <row r="73" spans="1:105" ht="12" customHeight="1" x14ac:dyDescent="0.25">
      <c r="A73" s="62" t="s">
        <v>93</v>
      </c>
      <c r="B73" s="52">
        <f>1000*B25/SER_summary!B$3</f>
        <v>9.4353500182279754E-2</v>
      </c>
      <c r="C73" s="52">
        <f>1000*C25/SER_summary!C$3</f>
        <v>0.10062309976629298</v>
      </c>
      <c r="D73" s="52">
        <f>1000*D25/SER_summary!D$3</f>
        <v>0.10738860289233498</v>
      </c>
      <c r="E73" s="52">
        <f>1000*E25/SER_summary!E$3</f>
        <v>0.11667792612951394</v>
      </c>
      <c r="F73" s="52">
        <f>1000*F25/SER_summary!F$3</f>
        <v>0.12686222721142917</v>
      </c>
      <c r="G73" s="52">
        <f>1000*G25/SER_summary!G$3</f>
        <v>0.13911097277973278</v>
      </c>
      <c r="H73" s="52">
        <f>1000*H25/SER_summary!H$3</f>
        <v>0.1522992925240724</v>
      </c>
      <c r="I73" s="52">
        <f>1000*I25/SER_summary!I$3</f>
        <v>0.16362921795379543</v>
      </c>
      <c r="J73" s="52">
        <f>1000*J25/SER_summary!J$3</f>
        <v>0.17402514202867644</v>
      </c>
      <c r="K73" s="52">
        <f>1000*K25/SER_summary!K$3</f>
        <v>0.18709954706810597</v>
      </c>
      <c r="L73" s="52">
        <f>1000*L25/SER_summary!L$3</f>
        <v>0.19910340586988018</v>
      </c>
      <c r="M73" s="52">
        <f>1000*M25/SER_summary!M$3</f>
        <v>0.21561281235774868</v>
      </c>
      <c r="N73" s="52">
        <f>1000*N25/SER_summary!N$3</f>
        <v>0.23399650353433543</v>
      </c>
      <c r="O73" s="52">
        <f>1000*O25/SER_summary!O$3</f>
        <v>0.25564027098987058</v>
      </c>
      <c r="P73" s="52">
        <f>1000*P25/SER_summary!P$3</f>
        <v>0.28484196000868356</v>
      </c>
      <c r="Q73" s="52">
        <f>1000*Q25/SER_summary!Q$3</f>
        <v>0.31211055022848005</v>
      </c>
      <c r="R73" s="52">
        <f>1000*R25/SER_summary!R$3</f>
        <v>0.32923623857534878</v>
      </c>
      <c r="S73" s="52">
        <f>1000*S25/SER_summary!S$3</f>
        <v>0.34708225804579507</v>
      </c>
      <c r="T73" s="52">
        <f>1000*T25/SER_summary!T$3</f>
        <v>0.36423794767703138</v>
      </c>
      <c r="U73" s="52">
        <f>1000*U25/SER_summary!U$3</f>
        <v>0.38097255939103225</v>
      </c>
      <c r="V73" s="52">
        <f>1000*V25/SER_summary!V$3</f>
        <v>0.39722740461792039</v>
      </c>
      <c r="W73" s="52">
        <f>1000*W25/SER_summary!W$3</f>
        <v>0.41415844273869634</v>
      </c>
      <c r="X73" s="52">
        <f>1000*X25/SER_summary!X$3</f>
        <v>0.42781704549481309</v>
      </c>
      <c r="Y73" s="52">
        <f>1000*Y25/SER_summary!Y$3</f>
        <v>0.43827710804227299</v>
      </c>
      <c r="DA73" s="98" t="s">
        <v>963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  <ignoredErrors>
    <ignoredError sqref="B13:V15 B69:V71 B16:V16 B72:Q72 R72:V72 W13:Y17 W69:Y72" formula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8" tint="0.59999389629810485"/>
    <pageSetUpPr fitToPage="1"/>
  </sheetPr>
  <dimension ref="A1:DA15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97" t="s">
        <v>81</v>
      </c>
      <c r="B3" s="198">
        <f>'SER_se-appl'!B4</f>
        <v>130.31734813577501</v>
      </c>
      <c r="C3" s="198">
        <f>'SER_se-appl'!C4</f>
        <v>132.98756110872105</v>
      </c>
      <c r="D3" s="198">
        <f>'SER_se-appl'!D4</f>
        <v>135.34710077192457</v>
      </c>
      <c r="E3" s="198">
        <f>'SER_se-appl'!E4</f>
        <v>138.16722232705257</v>
      </c>
      <c r="F3" s="198">
        <f>'SER_se-appl'!F4</f>
        <v>140.4487638025382</v>
      </c>
      <c r="G3" s="198">
        <f>'SER_se-appl'!G4</f>
        <v>141.79901241849677</v>
      </c>
      <c r="H3" s="198">
        <f>'SER_se-appl'!H4</f>
        <v>146.06214121640238</v>
      </c>
      <c r="I3" s="198">
        <f>'SER_se-appl'!I4</f>
        <v>149.96767458344706</v>
      </c>
      <c r="J3" s="198">
        <f>'SER_se-appl'!J4</f>
        <v>152.25828712396373</v>
      </c>
      <c r="K3" s="198">
        <f>'SER_se-appl'!K4</f>
        <v>154.44441159020025</v>
      </c>
      <c r="L3" s="198">
        <f>'SER_se-appl'!L4</f>
        <v>157.18321203664649</v>
      </c>
      <c r="M3" s="198">
        <f>'SER_se-appl'!M4</f>
        <v>161.20658491618912</v>
      </c>
      <c r="N3" s="198">
        <f>'SER_se-appl'!N4</f>
        <v>164.20156758035475</v>
      </c>
      <c r="O3" s="198">
        <f>'SER_se-appl'!O4</f>
        <v>166.37591543883292</v>
      </c>
      <c r="P3" s="198">
        <f>'SER_se-appl'!P4</f>
        <v>170.62693032566318</v>
      </c>
      <c r="Q3" s="198">
        <f>'SER_se-appl'!Q4</f>
        <v>173.2240070029942</v>
      </c>
      <c r="R3" s="198">
        <f>'SER_se-appl'!R4</f>
        <v>173.81273412194656</v>
      </c>
      <c r="S3" s="198">
        <f>'SER_se-appl'!S4</f>
        <v>174.89943684954548</v>
      </c>
      <c r="T3" s="198">
        <f>'SER_se-appl'!T4</f>
        <v>175.58931556731437</v>
      </c>
      <c r="U3" s="198">
        <f>'SER_se-appl'!U4</f>
        <v>176.92198923207718</v>
      </c>
      <c r="V3" s="198">
        <f>'SER_se-appl'!V4</f>
        <v>178.02539406023428</v>
      </c>
      <c r="W3" s="198">
        <f>'SER_se-appl'!W4</f>
        <v>178.76671420414493</v>
      </c>
      <c r="X3" s="198">
        <f>'SER_se-appl'!X4</f>
        <v>178.2674749995563</v>
      </c>
      <c r="Y3" s="198">
        <f>'SER_se-appl'!Y4</f>
        <v>177.30848003158886</v>
      </c>
      <c r="DA3" s="205" t="s">
        <v>909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DA4" s="106"/>
    </row>
    <row r="5" spans="1:105" ht="12.95" customHeight="1" x14ac:dyDescent="0.25">
      <c r="A5" s="199" t="s">
        <v>108</v>
      </c>
      <c r="B5" s="59">
        <f>'SER_se-appl'!B12</f>
        <v>173.01264370080636</v>
      </c>
      <c r="C5" s="59">
        <f>'SER_se-appl'!C12</f>
        <v>176.55768672310799</v>
      </c>
      <c r="D5" s="59">
        <f>'SER_se-appl'!D12</f>
        <v>179.69027191523776</v>
      </c>
      <c r="E5" s="59">
        <f>'SER_se-appl'!E12</f>
        <v>183.43433740452303</v>
      </c>
      <c r="F5" s="59">
        <f>'SER_se-appl'!F12</f>
        <v>186.46337020816432</v>
      </c>
      <c r="G5" s="59">
        <f>'SER_se-appl'!G12</f>
        <v>188.25599479761624</v>
      </c>
      <c r="H5" s="59">
        <f>'SER_se-appl'!H12</f>
        <v>193.91583360122826</v>
      </c>
      <c r="I5" s="59">
        <f>'SER_se-appl'!I12</f>
        <v>199.10091956683664</v>
      </c>
      <c r="J5" s="59">
        <f>'SER_se-appl'!J12</f>
        <v>202.14199534836746</v>
      </c>
      <c r="K5" s="59">
        <f>'SER_se-appl'!K12</f>
        <v>205.04435009064261</v>
      </c>
      <c r="L5" s="59">
        <f>'SER_se-appl'!L12</f>
        <v>208.68045159659809</v>
      </c>
      <c r="M5" s="59">
        <f>'SER_se-appl'!M12</f>
        <v>214.0219843122465</v>
      </c>
      <c r="N5" s="59">
        <f>'SER_se-appl'!N12</f>
        <v>217.99819988122451</v>
      </c>
      <c r="O5" s="59">
        <f>'SER_se-appl'!O12</f>
        <v>220.8849196979026</v>
      </c>
      <c r="P5" s="59">
        <f>'SER_se-appl'!P12</f>
        <v>226.52867576340898</v>
      </c>
      <c r="Q5" s="59">
        <f>'SER_se-appl'!Q12</f>
        <v>229.97662116950025</v>
      </c>
      <c r="R5" s="59">
        <f>'SER_se-appl'!R12</f>
        <v>230.75823034683083</v>
      </c>
      <c r="S5" s="59">
        <f>'SER_se-appl'!S12</f>
        <v>232.20096467582346</v>
      </c>
      <c r="T5" s="59">
        <f>'SER_se-appl'!T12</f>
        <v>233.11686530226785</v>
      </c>
      <c r="U5" s="59">
        <f>'SER_se-appl'!U12</f>
        <v>234.88615693710696</v>
      </c>
      <c r="V5" s="59">
        <f>'SER_se-appl'!V12</f>
        <v>236.35106540188639</v>
      </c>
      <c r="W5" s="59">
        <f>'SER_se-appl'!W12</f>
        <v>237.33526098107376</v>
      </c>
      <c r="X5" s="59">
        <f>'SER_se-appl'!X12</f>
        <v>236.67245824712788</v>
      </c>
      <c r="Y5" s="59">
        <f>'SER_se-appl'!Y12</f>
        <v>235.39927200540853</v>
      </c>
      <c r="DA5" s="104" t="s">
        <v>916</v>
      </c>
    </row>
    <row r="6" spans="1:105" ht="12" customHeight="1" x14ac:dyDescent="0.25">
      <c r="A6" s="200" t="str">
        <f>"Penetration factor "&amp;MID('SER_se-appl'!A68,FIND("(",'SER_se-appl'!A68),100)</f>
        <v>Penetration factor (sqm per building cell)</v>
      </c>
      <c r="B6" s="201">
        <f>'SER_se-appl'!B68</f>
        <v>403.53473351232299</v>
      </c>
      <c r="C6" s="201">
        <f>'SER_se-appl'!C68</f>
        <v>408.08556517470402</v>
      </c>
      <c r="D6" s="201">
        <f>'SER_se-appl'!D68</f>
        <v>411.58879165597295</v>
      </c>
      <c r="E6" s="201">
        <f>'SER_se-appl'!E68</f>
        <v>419.25499202141719</v>
      </c>
      <c r="F6" s="201">
        <f>'SER_se-appl'!F68</f>
        <v>426.86583511591789</v>
      </c>
      <c r="G6" s="201">
        <f>'SER_se-appl'!G68</f>
        <v>432.63531972097087</v>
      </c>
      <c r="H6" s="201">
        <f>'SER_se-appl'!H68</f>
        <v>441.37998720530885</v>
      </c>
      <c r="I6" s="201">
        <f>'SER_se-appl'!I68</f>
        <v>450.93057715158727</v>
      </c>
      <c r="J6" s="201">
        <f>'SER_se-appl'!J68</f>
        <v>460.79311618384679</v>
      </c>
      <c r="K6" s="201">
        <f>'SER_se-appl'!K68</f>
        <v>473.36241852953475</v>
      </c>
      <c r="L6" s="201">
        <f>'SER_se-appl'!L68</f>
        <v>485.81979904121761</v>
      </c>
      <c r="M6" s="201">
        <f>'SER_se-appl'!M68</f>
        <v>502.24116472187296</v>
      </c>
      <c r="N6" s="201">
        <f>'SER_se-appl'!N68</f>
        <v>518.02694660652037</v>
      </c>
      <c r="O6" s="201">
        <f>'SER_se-appl'!O68</f>
        <v>535.49647505772271</v>
      </c>
      <c r="P6" s="201">
        <f>'SER_se-appl'!P68</f>
        <v>553.79157257102906</v>
      </c>
      <c r="Q6" s="201">
        <f>'SER_se-appl'!Q68</f>
        <v>571.82045040646767</v>
      </c>
      <c r="R6" s="201">
        <f>'SER_se-appl'!R68</f>
        <v>584.27218508183967</v>
      </c>
      <c r="S6" s="201">
        <f>'SER_se-appl'!S68</f>
        <v>596.76450549600827</v>
      </c>
      <c r="T6" s="201">
        <f>'SER_se-appl'!T68</f>
        <v>609.08276477906259</v>
      </c>
      <c r="U6" s="201">
        <f>'SER_se-appl'!U68</f>
        <v>621.09677663344667</v>
      </c>
      <c r="V6" s="201">
        <f>'SER_se-appl'!V68</f>
        <v>632.56421770712984</v>
      </c>
      <c r="W6" s="201">
        <f>'SER_se-appl'!W68</f>
        <v>643.30735002514564</v>
      </c>
      <c r="X6" s="201">
        <f>'SER_se-appl'!X68</f>
        <v>648.74714459151244</v>
      </c>
      <c r="Y6" s="201">
        <f>'SER_se-appl'!Y68</f>
        <v>651.48426719044551</v>
      </c>
      <c r="DA6" s="206" t="s">
        <v>958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DA7" s="106"/>
    </row>
    <row r="8" spans="1:105" ht="12.95" customHeight="1" x14ac:dyDescent="0.25">
      <c r="A8" s="199" t="str">
        <f>"Stock of appliances "&amp;MID('SER_se-appl'!A20,FIND("(",'SER_se-appl'!A20),100)</f>
        <v>Stock of appliances (serviced million m2)</v>
      </c>
      <c r="B8" s="34">
        <f>'SER_se-appl'!B20</f>
        <v>226.23405126806816</v>
      </c>
      <c r="C8" s="34">
        <f>'SER_se-appl'!C20</f>
        <v>232.58049187005236</v>
      </c>
      <c r="D8" s="34">
        <f>'SER_se-appl'!D20</f>
        <v>238.55362430572472</v>
      </c>
      <c r="E8" s="34">
        <f>'SER_se-appl'!E20</f>
        <v>245.64966355632211</v>
      </c>
      <c r="F8" s="34">
        <f>'SER_se-appl'!F20</f>
        <v>251.88412911135362</v>
      </c>
      <c r="G8" s="34">
        <f>'SER_se-appl'!G20</f>
        <v>256.51615417050215</v>
      </c>
      <c r="H8" s="34">
        <f>'SER_se-appl'!H20</f>
        <v>267.45152353695374</v>
      </c>
      <c r="I8" s="34">
        <f>'SER_se-appl'!I20</f>
        <v>278.04748918934229</v>
      </c>
      <c r="J8" s="34">
        <f>'SER_se-appl'!J20</f>
        <v>285.6312483286369</v>
      </c>
      <c r="K8" s="34">
        <f>'SER_se-appl'!K20</f>
        <v>293.35857762715017</v>
      </c>
      <c r="L8" s="34">
        <f>'SER_se-appl'!L20</f>
        <v>302.71115652584513</v>
      </c>
      <c r="M8" s="34">
        <f>'SER_se-appl'!M20</f>
        <v>315.43844563304543</v>
      </c>
      <c r="N8" s="34">
        <f>'SER_se-appl'!N20</f>
        <v>326.53301196654434</v>
      </c>
      <c r="O8" s="34">
        <f>'SER_se-appl'!O20</f>
        <v>336.45490639672789</v>
      </c>
      <c r="P8" s="34">
        <f>'SER_se-appl'!P20</f>
        <v>352.22627322895829</v>
      </c>
      <c r="Q8" s="34">
        <f>'SER_se-appl'!Q20</f>
        <v>364.90426082473851</v>
      </c>
      <c r="R8" s="34">
        <f>'SER_se-appl'!R20</f>
        <v>372.92716251496313</v>
      </c>
      <c r="S8" s="34">
        <f>'SER_se-appl'!S20</f>
        <v>382.63464539189448</v>
      </c>
      <c r="T8" s="34">
        <f>'SER_se-appl'!T20</f>
        <v>391.80404804803919</v>
      </c>
      <c r="U8" s="34">
        <f>'SER_se-appl'!U20</f>
        <v>400.54566324064376</v>
      </c>
      <c r="V8" s="34">
        <f>'SER_se-appl'!V20</f>
        <v>408.64825665889742</v>
      </c>
      <c r="W8" s="34">
        <f>'SER_se-appl'!W20</f>
        <v>416.17751013106016</v>
      </c>
      <c r="X8" s="34">
        <f>'SER_se-appl'!X20</f>
        <v>420.1807412773328</v>
      </c>
      <c r="Y8" s="34">
        <f>'SER_se-appl'!Y20</f>
        <v>422.38285561007109</v>
      </c>
      <c r="DA8" s="88" t="s">
        <v>922</v>
      </c>
    </row>
    <row r="9" spans="1:105" ht="12.95" customHeight="1" x14ac:dyDescent="0.25">
      <c r="A9" s="202" t="str">
        <f>"Number of new appliances "&amp;MID('SER_se-appl'!A28,FIND("(",'SER_se-appl'!A28),100)</f>
        <v>Number of new appliances (serviced million m2)</v>
      </c>
      <c r="B9" s="36"/>
      <c r="C9" s="36">
        <f>'SER_se-appl'!C28</f>
        <v>16.158964119254591</v>
      </c>
      <c r="D9" s="36">
        <f>'SER_se-appl'!D28</f>
        <v>16.063209012190782</v>
      </c>
      <c r="E9" s="36">
        <f>'SER_se-appl'!E28</f>
        <v>17.471519639593822</v>
      </c>
      <c r="F9" s="36">
        <f>'SER_se-appl'!F28</f>
        <v>16.903422572956799</v>
      </c>
      <c r="G9" s="36">
        <f>'SER_se-appl'!G28</f>
        <v>15.602759866864488</v>
      </c>
      <c r="H9" s="36">
        <f>'SER_se-appl'!H28</f>
        <v>22.216417928088333</v>
      </c>
      <c r="I9" s="36">
        <f>'SER_se-appl'!I28</f>
        <v>22.196105376894536</v>
      </c>
      <c r="J9" s="36">
        <f>'SER_se-appl'!J28</f>
        <v>19.512015709846821</v>
      </c>
      <c r="K9" s="36">
        <f>'SER_se-appl'!K28</f>
        <v>19.992983695101259</v>
      </c>
      <c r="L9" s="36">
        <f>'SER_se-appl'!L28</f>
        <v>21.965174619342974</v>
      </c>
      <c r="M9" s="36">
        <f>'SER_se-appl'!M28</f>
        <v>25.696639593445866</v>
      </c>
      <c r="N9" s="36">
        <f>'SER_se-appl'!N28</f>
        <v>24.430762605905556</v>
      </c>
      <c r="O9" s="36">
        <f>'SER_se-appl'!O28</f>
        <v>23.635312939828509</v>
      </c>
      <c r="P9" s="36">
        <f>'SER_se-appl'!P28</f>
        <v>29.872677534276306</v>
      </c>
      <c r="Q9" s="36">
        <f>'SER_se-appl'!Q28</f>
        <v>27.178162251412687</v>
      </c>
      <c r="R9" s="36">
        <f>'SER_se-appl'!R28</f>
        <v>22.933222403414845</v>
      </c>
      <c r="S9" s="36">
        <f>'SER_se-appl'!S28</f>
        <v>25.039550872666325</v>
      </c>
      <c r="T9" s="36">
        <f>'SER_se-appl'!T28</f>
        <v>24.935147306954718</v>
      </c>
      <c r="U9" s="36">
        <f>'SER_se-appl'!U28</f>
        <v>24.900579311859133</v>
      </c>
      <c r="V9" s="36">
        <f>'SER_se-appl'!V28</f>
        <v>24.165802430444444</v>
      </c>
      <c r="W9" s="36">
        <f>'SER_se-appl'!W28</f>
        <v>25.000773111756587</v>
      </c>
      <c r="X9" s="36">
        <f>'SER_se-appl'!X28</f>
        <v>20.906653719229439</v>
      </c>
      <c r="Y9" s="36">
        <f>'SER_se-appl'!Y28</f>
        <v>17.804874199602807</v>
      </c>
      <c r="DA9" s="89" t="s">
        <v>928</v>
      </c>
    </row>
    <row r="10" spans="1:105" ht="12" customHeight="1" x14ac:dyDescent="0.25">
      <c r="A10" s="203" t="str">
        <f>"Number of replaced appliances "&amp;MID('SER_se-appl'!A36,FIND("(",'SER_se-appl'!A36),100)</f>
        <v>Number of replaced appliances (serviced million m2)</v>
      </c>
      <c r="B10" s="38"/>
      <c r="C10" s="38">
        <f>'SER_se-appl'!C36</f>
        <v>9.8125235172703924</v>
      </c>
      <c r="D10" s="38">
        <f>'SER_se-appl'!D36</f>
        <v>10.090076576518413</v>
      </c>
      <c r="E10" s="38">
        <f>'SER_se-appl'!E36</f>
        <v>10.375480388996408</v>
      </c>
      <c r="F10" s="38">
        <f>'SER_se-appl'!F36</f>
        <v>10.668957017925266</v>
      </c>
      <c r="G10" s="38">
        <f>'SER_se-appl'!G36</f>
        <v>10.970734807715928</v>
      </c>
      <c r="H10" s="38">
        <f>'SER_se-appl'!H36</f>
        <v>11.281048561636737</v>
      </c>
      <c r="I10" s="38">
        <f>'SER_se-appl'!I36</f>
        <v>11.600139724505993</v>
      </c>
      <c r="J10" s="38">
        <f>'SER_se-appl'!J36</f>
        <v>11.928256570552207</v>
      </c>
      <c r="K10" s="38">
        <f>'SER_se-appl'!K36</f>
        <v>12.265654396587991</v>
      </c>
      <c r="L10" s="38">
        <f>'SER_se-appl'!L36</f>
        <v>12.612595720648017</v>
      </c>
      <c r="M10" s="38">
        <f>'SER_se-appl'!M36</f>
        <v>12.96935048624556</v>
      </c>
      <c r="N10" s="38">
        <f>'SER_se-appl'!N36</f>
        <v>13.336196272406653</v>
      </c>
      <c r="O10" s="38">
        <f>'SER_se-appl'!O36</f>
        <v>13.713418509644953</v>
      </c>
      <c r="P10" s="38">
        <f>'SER_se-appl'!P36</f>
        <v>14.101310702045907</v>
      </c>
      <c r="Q10" s="38">
        <f>'SER_se-appl'!Q36</f>
        <v>14.500174655632463</v>
      </c>
      <c r="R10" s="38">
        <f>'SER_se-appl'!R36</f>
        <v>14.910320713190231</v>
      </c>
      <c r="S10" s="38">
        <f>'SER_se-appl'!S36</f>
        <v>15.332067995734974</v>
      </c>
      <c r="T10" s="38">
        <f>'SER_se-appl'!T36</f>
        <v>15.765744650810007</v>
      </c>
      <c r="U10" s="38">
        <f>'SER_se-appl'!U36</f>
        <v>16.158964119254563</v>
      </c>
      <c r="V10" s="38">
        <f>'SER_se-appl'!V36</f>
        <v>16.063209012190782</v>
      </c>
      <c r="W10" s="38">
        <f>'SER_se-appl'!W36</f>
        <v>17.471519639593851</v>
      </c>
      <c r="X10" s="38">
        <f>'SER_se-appl'!X36</f>
        <v>16.903422572956799</v>
      </c>
      <c r="Y10" s="38">
        <f>'SER_se-appl'!Y36</f>
        <v>15.602759866864517</v>
      </c>
      <c r="DA10" s="90" t="s">
        <v>934</v>
      </c>
    </row>
    <row r="11" spans="1:105" ht="12.95" customHeight="1" x14ac:dyDescent="0.25">
      <c r="A11" s="5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DA11" s="207"/>
    </row>
    <row r="12" spans="1:105" ht="12" customHeight="1" x14ac:dyDescent="0.25">
      <c r="A12" s="197" t="s">
        <v>104</v>
      </c>
      <c r="B12" s="204">
        <f>'SER_se-appl'!B44</f>
        <v>8759.9999999999982</v>
      </c>
      <c r="C12" s="204">
        <f>'SER_se-appl'!C44</f>
        <v>8759.9999999999982</v>
      </c>
      <c r="D12" s="204">
        <f>'SER_se-appl'!D44</f>
        <v>8760</v>
      </c>
      <c r="E12" s="204">
        <f>'SER_se-appl'!E44</f>
        <v>8759.9999999999982</v>
      </c>
      <c r="F12" s="204">
        <f>'SER_se-appl'!F44</f>
        <v>8759.9999999999982</v>
      </c>
      <c r="G12" s="204">
        <f>'SER_se-appl'!G44</f>
        <v>8759.9999999999964</v>
      </c>
      <c r="H12" s="204">
        <f>'SER_se-appl'!H44</f>
        <v>8760</v>
      </c>
      <c r="I12" s="204">
        <f>'SER_se-appl'!I44</f>
        <v>8760.0000000000018</v>
      </c>
      <c r="J12" s="204">
        <f>'SER_se-appl'!J44</f>
        <v>8759.9999999999964</v>
      </c>
      <c r="K12" s="204">
        <f>'SER_se-appl'!K44</f>
        <v>8759.9999999999982</v>
      </c>
      <c r="L12" s="204">
        <f>'SER_se-appl'!L44</f>
        <v>8759.9999999999982</v>
      </c>
      <c r="M12" s="204">
        <f>'SER_se-appl'!M44</f>
        <v>8760</v>
      </c>
      <c r="N12" s="204">
        <f>'SER_se-appl'!N44</f>
        <v>8759.9999999999964</v>
      </c>
      <c r="O12" s="204">
        <f>'SER_se-appl'!O44</f>
        <v>8760</v>
      </c>
      <c r="P12" s="204">
        <f>'SER_se-appl'!P44</f>
        <v>8760</v>
      </c>
      <c r="Q12" s="204">
        <f>'SER_se-appl'!Q44</f>
        <v>8760.0000000000018</v>
      </c>
      <c r="R12" s="204">
        <f>'SER_se-appl'!R44</f>
        <v>8760.0000000000018</v>
      </c>
      <c r="S12" s="204">
        <f>'SER_se-appl'!S44</f>
        <v>8760.0000000000018</v>
      </c>
      <c r="T12" s="204">
        <f>'SER_se-appl'!T44</f>
        <v>8759.9999999999982</v>
      </c>
      <c r="U12" s="204">
        <f>'SER_se-appl'!U44</f>
        <v>8760.0000000000018</v>
      </c>
      <c r="V12" s="204">
        <f>'SER_se-appl'!V44</f>
        <v>8760</v>
      </c>
      <c r="W12" s="204">
        <f>'SER_se-appl'!W44</f>
        <v>8759.9999999999982</v>
      </c>
      <c r="X12" s="204">
        <f>'SER_se-appl'!X44</f>
        <v>8759.9999999999982</v>
      </c>
      <c r="Y12" s="204">
        <f>'SER_se-appl'!Y44</f>
        <v>8759.9999999999982</v>
      </c>
      <c r="DA12" s="208" t="s">
        <v>940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DA13" s="209"/>
    </row>
    <row r="14" spans="1:105" ht="12.95" customHeight="1" x14ac:dyDescent="0.25">
      <c r="A14" s="199" t="str">
        <f>"W per appliance in average operating mode "&amp;MID('SER_se-appl'!A52,FIND("(",'SER_se-appl'!A52),100)</f>
        <v>W per appliance in average operating mode (W per serviced m2)</v>
      </c>
      <c r="B14" s="59">
        <f>'SER_se-appl'!B52</f>
        <v>0.7647506762622619</v>
      </c>
      <c r="C14" s="59">
        <f>'SER_se-appl'!C52</f>
        <v>0.75912508957008529</v>
      </c>
      <c r="D14" s="59">
        <f>'SER_se-appl'!D52</f>
        <v>0.75324897049122563</v>
      </c>
      <c r="E14" s="59">
        <f>'SER_se-appl'!E52</f>
        <v>0.7467314823432093</v>
      </c>
      <c r="F14" s="59">
        <f>'SER_se-appl'!F52</f>
        <v>0.74027439071293011</v>
      </c>
      <c r="G14" s="59">
        <f>'SER_se-appl'!G52</f>
        <v>0.73389528003170323</v>
      </c>
      <c r="H14" s="59">
        <f>'SER_se-appl'!H52</f>
        <v>0.72505039805628524</v>
      </c>
      <c r="I14" s="59">
        <f>'SER_se-appl'!I52</f>
        <v>0.71606803624561655</v>
      </c>
      <c r="J14" s="59">
        <f>'SER_se-appl'!J52</f>
        <v>0.70770266394589376</v>
      </c>
      <c r="K14" s="59">
        <f>'SER_se-appl'!K52</f>
        <v>0.69895467775020281</v>
      </c>
      <c r="L14" s="59">
        <f>'SER_se-appl'!L52</f>
        <v>0.68937152495990417</v>
      </c>
      <c r="M14" s="59">
        <f>'SER_se-appl'!M52</f>
        <v>0.67849048610016827</v>
      </c>
      <c r="N14" s="59">
        <f>'SER_se-appl'!N52</f>
        <v>0.66761458073819502</v>
      </c>
      <c r="O14" s="59">
        <f>'SER_se-appl'!O52</f>
        <v>0.6565067576617476</v>
      </c>
      <c r="P14" s="59">
        <f>'SER_se-appl'!P52</f>
        <v>0.6431339538835541</v>
      </c>
      <c r="Q14" s="59">
        <f>'SER_se-appl'!Q52</f>
        <v>0.63023824564207198</v>
      </c>
      <c r="R14" s="59">
        <f>'SER_se-appl'!R52</f>
        <v>0.61877560430469314</v>
      </c>
      <c r="S14" s="59">
        <f>'SER_se-appl'!S52</f>
        <v>0.60684772660354158</v>
      </c>
      <c r="T14" s="59">
        <f>'SER_se-appl'!T52</f>
        <v>0.59498329959491725</v>
      </c>
      <c r="U14" s="59">
        <f>'SER_se-appl'!U52</f>
        <v>0.58641542898440957</v>
      </c>
      <c r="V14" s="59">
        <f>'SER_se-appl'!V52</f>
        <v>0.57837287092398115</v>
      </c>
      <c r="W14" s="59">
        <f>'SER_se-appl'!W52</f>
        <v>0.57027411429880859</v>
      </c>
      <c r="X14" s="59">
        <f>'SER_se-appl'!X52</f>
        <v>0.56326346021393792</v>
      </c>
      <c r="Y14" s="59">
        <f>'SER_se-appl'!Y52</f>
        <v>0.55731256342165747</v>
      </c>
      <c r="DA14" s="104" t="s">
        <v>946</v>
      </c>
    </row>
    <row r="15" spans="1:105" ht="12" customHeight="1" x14ac:dyDescent="0.25">
      <c r="A15" s="203" t="str">
        <f>"W per new appliance in average operating mode "&amp;MID('SER_se-appl'!A52,FIND("(",'SER_se-appl'!A52),100)</f>
        <v>W per new appliance in average operating mode (W per serviced m2)</v>
      </c>
      <c r="B15" s="63"/>
      <c r="C15" s="63">
        <f>'SER_se-appl'!C60</f>
        <v>0.68378003295443723</v>
      </c>
      <c r="D15" s="63">
        <f>'SER_se-appl'!D60</f>
        <v>0.67539294728261678</v>
      </c>
      <c r="E15" s="63">
        <f>'SER_se-appl'!E60</f>
        <v>0.66844335090634699</v>
      </c>
      <c r="F15" s="63">
        <f>'SER_se-appl'!F60</f>
        <v>0.66188518034283506</v>
      </c>
      <c r="G15" s="63">
        <f>'SER_se-appl'!G60</f>
        <v>0.65260899607711031</v>
      </c>
      <c r="H15" s="63">
        <f>'SER_se-appl'!H60</f>
        <v>0.64308424365783912</v>
      </c>
      <c r="I15" s="63">
        <f>'SER_se-appl'!I60</f>
        <v>0.6332777947293935</v>
      </c>
      <c r="J15" s="63">
        <f>'SER_se-appl'!J60</f>
        <v>0.62337065741250763</v>
      </c>
      <c r="K15" s="63">
        <f>'SER_se-appl'!K60</f>
        <v>0.61434163225344463</v>
      </c>
      <c r="L15" s="63">
        <f>'SER_se-appl'!L60</f>
        <v>0.60466592426028365</v>
      </c>
      <c r="M15" s="63">
        <f>'SER_se-appl'!M60</f>
        <v>0.59384621927682457</v>
      </c>
      <c r="N15" s="63">
        <f>'SER_se-appl'!N60</f>
        <v>0.58021441719714228</v>
      </c>
      <c r="O15" s="63">
        <f>'SER_se-appl'!O60</f>
        <v>0.56585101834042206</v>
      </c>
      <c r="P15" s="63">
        <f>'SER_se-appl'!P60</f>
        <v>0.54992536046462059</v>
      </c>
      <c r="Q15" s="63">
        <f>'SER_se-appl'!Q60</f>
        <v>0.53487662798655611</v>
      </c>
      <c r="R15" s="63">
        <f>'SER_se-appl'!R60</f>
        <v>0.53129415533927371</v>
      </c>
      <c r="S15" s="63">
        <f>'SER_se-appl'!S60</f>
        <v>0.52588577823112281</v>
      </c>
      <c r="T15" s="63">
        <f>'SER_se-appl'!T60</f>
        <v>0.52026019137698187</v>
      </c>
      <c r="U15" s="63">
        <f>'SER_se-appl'!U60</f>
        <v>0.5147859610923845</v>
      </c>
      <c r="V15" s="63">
        <f>'SER_se-appl'!V60</f>
        <v>0.50955835535700889</v>
      </c>
      <c r="W15" s="63">
        <f>'SER_se-appl'!W60</f>
        <v>0.50650100522486685</v>
      </c>
      <c r="X15" s="63">
        <f>'SER_se-appl'!X60</f>
        <v>0.50344365509272482</v>
      </c>
      <c r="Y15" s="63">
        <f>'SER_se-appl'!Y60</f>
        <v>0.50038630496058267</v>
      </c>
      <c r="DA15" s="105" t="s">
        <v>952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8" tint="0.59999389629810485"/>
    <pageSetUpPr fitToPage="1"/>
  </sheetPr>
  <dimension ref="A1:DA15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97" t="s">
        <v>81</v>
      </c>
      <c r="B3" s="198">
        <f>'SER_se-appl'!B5</f>
        <v>468.5026196595752</v>
      </c>
      <c r="C3" s="198">
        <f>'SER_se-appl'!C5</f>
        <v>480.69665277625228</v>
      </c>
      <c r="D3" s="198">
        <f>'SER_se-appl'!D5</f>
        <v>490.26486735271516</v>
      </c>
      <c r="E3" s="198">
        <f>'SER_se-appl'!E5</f>
        <v>503.37158558628693</v>
      </c>
      <c r="F3" s="198">
        <f>'SER_se-appl'!F5</f>
        <v>513.24746912437547</v>
      </c>
      <c r="G3" s="198">
        <f>'SER_se-appl'!G5</f>
        <v>519.90718747002018</v>
      </c>
      <c r="H3" s="198">
        <f>'SER_se-appl'!H5</f>
        <v>526.35707580151791</v>
      </c>
      <c r="I3" s="198">
        <f>'SER_se-appl'!I5</f>
        <v>534.04723572313867</v>
      </c>
      <c r="J3" s="198">
        <f>'SER_se-appl'!J5</f>
        <v>542.10868637553324</v>
      </c>
      <c r="K3" s="198">
        <f>'SER_se-appl'!K5</f>
        <v>552.33579431929513</v>
      </c>
      <c r="L3" s="198">
        <f>'SER_se-appl'!L5</f>
        <v>562.10291563756482</v>
      </c>
      <c r="M3" s="198">
        <f>'SER_se-appl'!M5</f>
        <v>570.44211052587025</v>
      </c>
      <c r="N3" s="198">
        <f>'SER_se-appl'!N5</f>
        <v>578.60414710476925</v>
      </c>
      <c r="O3" s="198">
        <f>'SER_se-appl'!O5</f>
        <v>588.19581122571367</v>
      </c>
      <c r="P3" s="198">
        <f>'SER_se-appl'!P5</f>
        <v>597.69999766114165</v>
      </c>
      <c r="Q3" s="198">
        <f>'SER_se-appl'!Q5</f>
        <v>610.85256848349673</v>
      </c>
      <c r="R3" s="198">
        <f>'SER_se-appl'!R5</f>
        <v>611.13459164921267</v>
      </c>
      <c r="S3" s="198">
        <f>'SER_se-appl'!S5</f>
        <v>617.31634949344357</v>
      </c>
      <c r="T3" s="198">
        <f>'SER_se-appl'!T5</f>
        <v>604.16117838638377</v>
      </c>
      <c r="U3" s="198">
        <f>'SER_se-appl'!U5</f>
        <v>588.50799093005855</v>
      </c>
      <c r="V3" s="198">
        <f>'SER_se-appl'!V5</f>
        <v>570.93593178657318</v>
      </c>
      <c r="W3" s="198">
        <f>'SER_se-appl'!W5</f>
        <v>552.76239393841729</v>
      </c>
      <c r="X3" s="198">
        <f>'SER_se-appl'!X5</f>
        <v>532.3163763071135</v>
      </c>
      <c r="Y3" s="198">
        <f>'SER_se-appl'!Y5</f>
        <v>516.84215416703</v>
      </c>
      <c r="DA3" s="205" t="s">
        <v>910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DA4" s="106"/>
    </row>
    <row r="5" spans="1:105" ht="12.95" customHeight="1" x14ac:dyDescent="0.25">
      <c r="A5" s="199" t="s">
        <v>108</v>
      </c>
      <c r="B5" s="59">
        <f>'SER_se-appl'!B13</f>
        <v>1361.9213821060537</v>
      </c>
      <c r="C5" s="59">
        <f>'SER_se-appl'!C13</f>
        <v>1400.3360936978208</v>
      </c>
      <c r="D5" s="59">
        <f>'SER_se-appl'!D13</f>
        <v>1432.9008441331594</v>
      </c>
      <c r="E5" s="59">
        <f>'SER_se-appl'!E13</f>
        <v>1476.0731047475188</v>
      </c>
      <c r="F5" s="59">
        <f>'SER_se-appl'!F13</f>
        <v>1508.0944019400144</v>
      </c>
      <c r="G5" s="59">
        <f>'SER_se-appl'!G13</f>
        <v>1531.4431704035349</v>
      </c>
      <c r="H5" s="59">
        <f>'SER_se-appl'!H13</f>
        <v>1555.0261796497025</v>
      </c>
      <c r="I5" s="59">
        <f>'SER_se-appl'!I13</f>
        <v>1582.9210700633921</v>
      </c>
      <c r="J5" s="59">
        <f>'SER_se-appl'!J13</f>
        <v>1612.9923300082651</v>
      </c>
      <c r="K5" s="59">
        <f>'SER_se-appl'!K13</f>
        <v>1646.7051347056722</v>
      </c>
      <c r="L5" s="59">
        <f>'SER_se-appl'!L13</f>
        <v>1681.3071762485711</v>
      </c>
      <c r="M5" s="59">
        <f>'SER_se-appl'!M13</f>
        <v>1715.7545644946015</v>
      </c>
      <c r="N5" s="59">
        <f>'SER_se-appl'!N13</f>
        <v>1748.5492981568266</v>
      </c>
      <c r="O5" s="59">
        <f>'SER_se-appl'!O13</f>
        <v>1786.80724524981</v>
      </c>
      <c r="P5" s="59">
        <f>'SER_se-appl'!P13</f>
        <v>1825.2747033668111</v>
      </c>
      <c r="Q5" s="59">
        <f>'SER_se-appl'!Q13</f>
        <v>1874.9540200579427</v>
      </c>
      <c r="R5" s="59">
        <f>'SER_se-appl'!R13</f>
        <v>1869.0505963178771</v>
      </c>
      <c r="S5" s="59">
        <f>'SER_se-appl'!S13</f>
        <v>1856.9024392901149</v>
      </c>
      <c r="T5" s="59">
        <f>'SER_se-appl'!T13</f>
        <v>1833.9432586297155</v>
      </c>
      <c r="U5" s="59">
        <f>'SER_se-appl'!U13</f>
        <v>1802.0969415776333</v>
      </c>
      <c r="V5" s="59">
        <f>'SER_se-appl'!V13</f>
        <v>1755.7902533950032</v>
      </c>
      <c r="W5" s="59">
        <f>'SER_se-appl'!W13</f>
        <v>1701.879713997175</v>
      </c>
      <c r="X5" s="59">
        <f>'SER_se-appl'!X13</f>
        <v>1646.6612132102034</v>
      </c>
      <c r="Y5" s="59">
        <f>'SER_se-appl'!Y13</f>
        <v>1606.371827874427</v>
      </c>
      <c r="DA5" s="104" t="s">
        <v>917</v>
      </c>
    </row>
    <row r="6" spans="1:105" ht="12" customHeight="1" x14ac:dyDescent="0.25">
      <c r="A6" s="200" t="str">
        <f>"Penetration factor "&amp;MID('SER_se-appl'!A69,FIND("(",'SER_se-appl'!A69),100)</f>
        <v>Penetration factor (unit per capita)</v>
      </c>
      <c r="B6" s="201">
        <f>'SER_se-appl'!B69</f>
        <v>0.12061523492188216</v>
      </c>
      <c r="C6" s="201">
        <f>'SER_se-appl'!C69</f>
        <v>0.12540051802767382</v>
      </c>
      <c r="D6" s="201">
        <f>'SER_se-appl'!D69</f>
        <v>0.12995484616647138</v>
      </c>
      <c r="E6" s="201">
        <f>'SER_se-appl'!E69</f>
        <v>0.13548594721555979</v>
      </c>
      <c r="F6" s="201">
        <f>'SER_se-appl'!F69</f>
        <v>0.13965808722252962</v>
      </c>
      <c r="G6" s="201">
        <f>'SER_se-appl'!G69</f>
        <v>0.14341836752560116</v>
      </c>
      <c r="H6" s="201">
        <f>'SER_se-appl'!H69</f>
        <v>0.14819310534266522</v>
      </c>
      <c r="I6" s="201">
        <f>'SER_se-appl'!I69</f>
        <v>0.15387868777283309</v>
      </c>
      <c r="J6" s="201">
        <f>'SER_se-appl'!J69</f>
        <v>0.1578310295859576</v>
      </c>
      <c r="K6" s="201">
        <f>'SER_se-appl'!K69</f>
        <v>0.16254485229057475</v>
      </c>
      <c r="L6" s="201">
        <f>'SER_se-appl'!L69</f>
        <v>0.16825970476688942</v>
      </c>
      <c r="M6" s="201">
        <f>'SER_se-appl'!M69</f>
        <v>0.17439230102175951</v>
      </c>
      <c r="N6" s="201">
        <f>'SER_se-appl'!N69</f>
        <v>0.18118326222905681</v>
      </c>
      <c r="O6" s="201">
        <f>'SER_se-appl'!O69</f>
        <v>0.1895656315859944</v>
      </c>
      <c r="P6" s="201">
        <f>'SER_se-appl'!P69</f>
        <v>0.19985637039628887</v>
      </c>
      <c r="Q6" s="201">
        <f>'SER_se-appl'!Q69</f>
        <v>0.21346765289687944</v>
      </c>
      <c r="R6" s="201">
        <f>'SER_se-appl'!R69</f>
        <v>0.2217062448518084</v>
      </c>
      <c r="S6" s="201">
        <f>'SER_se-appl'!S69</f>
        <v>0.23072859460938347</v>
      </c>
      <c r="T6" s="201">
        <f>'SER_se-appl'!T69</f>
        <v>0.23926684527873904</v>
      </c>
      <c r="U6" s="201">
        <f>'SER_se-appl'!U69</f>
        <v>0.24726981388864377</v>
      </c>
      <c r="V6" s="201">
        <f>'SER_se-appl'!V69</f>
        <v>0.25462121055525616</v>
      </c>
      <c r="W6" s="201">
        <f>'SER_se-appl'!W69</f>
        <v>0.26177475960173041</v>
      </c>
      <c r="X6" s="201">
        <f>'SER_se-appl'!X69</f>
        <v>0.26690149291443488</v>
      </c>
      <c r="Y6" s="201">
        <f>'SER_se-appl'!Y69</f>
        <v>0.27054983071906874</v>
      </c>
      <c r="DA6" s="206" t="s">
        <v>959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DA7" s="106"/>
    </row>
    <row r="8" spans="1:105" ht="12.95" customHeight="1" x14ac:dyDescent="0.25">
      <c r="A8" s="199" t="str">
        <f>"Stock of appliances "&amp;MID('SER_se-appl'!A21,FIND("(",'SER_se-appl'!A21),100)</f>
        <v>Stock of appliances (thousand units)</v>
      </c>
      <c r="B8" s="34">
        <f>'SER_se-appl'!B21</f>
        <v>6865.8442198413977</v>
      </c>
      <c r="C8" s="34">
        <f>'SER_se-appl'!C21</f>
        <v>7142.9002840147759</v>
      </c>
      <c r="D8" s="34">
        <f>'SER_se-appl'!D21</f>
        <v>7406.5516353741677</v>
      </c>
      <c r="E8" s="34">
        <f>'SER_se-appl'!E21</f>
        <v>7747.9505911570495</v>
      </c>
      <c r="F8" s="34">
        <f>'SER_se-appl'!F21</f>
        <v>8045.9803244835039</v>
      </c>
      <c r="G8" s="34">
        <f>'SER_se-appl'!G21</f>
        <v>8324.6285026152436</v>
      </c>
      <c r="H8" s="34">
        <f>'SER_se-appl'!H21</f>
        <v>8638.0273245461922</v>
      </c>
      <c r="I8" s="34">
        <f>'SER_se-appl'!I21</f>
        <v>9003.5535836371</v>
      </c>
      <c r="J8" s="34">
        <f>'SER_se-appl'!J21</f>
        <v>9312.3099486628362</v>
      </c>
      <c r="K8" s="34">
        <f>'SER_se-appl'!K21</f>
        <v>9658.5113496585072</v>
      </c>
      <c r="L8" s="34">
        <f>'SER_se-appl'!L21</f>
        <v>10043.474947602335</v>
      </c>
      <c r="M8" s="34">
        <f>'SER_se-appl'!M21</f>
        <v>10454.556334626048</v>
      </c>
      <c r="N8" s="34">
        <f>'SER_se-appl'!N21</f>
        <v>10890.053495180971</v>
      </c>
      <c r="O8" s="34">
        <f>'SER_se-appl'!O21</f>
        <v>11426.506150889145</v>
      </c>
      <c r="P8" s="34">
        <f>'SER_se-appl'!P21</f>
        <v>12060.515939855706</v>
      </c>
      <c r="Q8" s="34">
        <f>'SER_se-appl'!Q21</f>
        <v>12871.138224840835</v>
      </c>
      <c r="R8" s="34">
        <f>'SER_se-appl'!R21</f>
        <v>13338.670663865683</v>
      </c>
      <c r="S8" s="34">
        <f>'SER_se-appl'!S21</f>
        <v>13859.113118595671</v>
      </c>
      <c r="T8" s="34">
        <f>'SER_se-appl'!T21</f>
        <v>14341.120901675802</v>
      </c>
      <c r="U8" s="34">
        <f>'SER_se-appl'!U21</f>
        <v>14790.857600147863</v>
      </c>
      <c r="V8" s="34">
        <f>'SER_se-appl'!V21</f>
        <v>15185.987873876784</v>
      </c>
      <c r="W8" s="34">
        <f>'SER_se-appl'!W21</f>
        <v>15506.5454177919</v>
      </c>
      <c r="X8" s="34">
        <f>'SER_se-appl'!X21</f>
        <v>15755.230624637648</v>
      </c>
      <c r="Y8" s="34">
        <f>'SER_se-appl'!Y21</f>
        <v>15961.682743448871</v>
      </c>
      <c r="DA8" s="88" t="s">
        <v>923</v>
      </c>
    </row>
    <row r="9" spans="1:105" ht="12.95" customHeight="1" x14ac:dyDescent="0.25">
      <c r="A9" s="202" t="str">
        <f>"Number of new appliances "&amp;MID('SER_se-appl'!A29,FIND("(",'SER_se-appl'!A29),100)</f>
        <v>Number of new appliances (thousand units)</v>
      </c>
      <c r="B9" s="36"/>
      <c r="C9" s="36">
        <f>'SER_se-appl'!C29</f>
        <v>1138.3379757657658</v>
      </c>
      <c r="D9" s="36">
        <f>'SER_se-appl'!D29</f>
        <v>1162.0070407835246</v>
      </c>
      <c r="E9" s="36">
        <f>'SER_se-appl'!E29</f>
        <v>1278.424259412679</v>
      </c>
      <c r="F9" s="36">
        <f>'SER_se-appl'!F29</f>
        <v>1275.3891801234604</v>
      </c>
      <c r="G9" s="36">
        <f>'SER_se-appl'!G29</f>
        <v>1298.0779465094201</v>
      </c>
      <c r="H9" s="36">
        <f>'SER_se-appl'!H29</f>
        <v>1376.7098238968574</v>
      </c>
      <c r="I9" s="36">
        <f>'SER_se-appl'!I29</f>
        <v>1474.6073571453917</v>
      </c>
      <c r="J9" s="36">
        <f>'SER_se-appl'!J29</f>
        <v>1447.094340791502</v>
      </c>
      <c r="K9" s="36">
        <f>'SER_se-appl'!K29</f>
        <v>1508.2084417791957</v>
      </c>
      <c r="L9" s="36">
        <f>'SER_se-appl'!L29</f>
        <v>1663.3878573565071</v>
      </c>
      <c r="M9" s="36">
        <f>'SER_se-appl'!M29</f>
        <v>1686.4705671471729</v>
      </c>
      <c r="N9" s="36">
        <f>'SER_se-appl'!N29</f>
        <v>1733.5751070643437</v>
      </c>
      <c r="O9" s="36">
        <f>'SER_se-appl'!O29</f>
        <v>1913.162479605031</v>
      </c>
      <c r="P9" s="36">
        <f>'SER_se-appl'!P29</f>
        <v>2108.6171461119538</v>
      </c>
      <c r="Q9" s="36">
        <f>'SER_se-appl'!Q29</f>
        <v>2257.7166257766312</v>
      </c>
      <c r="R9" s="36">
        <f>'SER_se-appl'!R29</f>
        <v>1975.7408808040436</v>
      </c>
      <c r="S9" s="36">
        <f>'SER_se-appl'!S29</f>
        <v>2183.8303120864948</v>
      </c>
      <c r="T9" s="36">
        <f>'SER_se-appl'!T29</f>
        <v>2168.478350227304</v>
      </c>
      <c r="U9" s="36">
        <f>'SER_se-appl'!U29</f>
        <v>2183.3118055364048</v>
      </c>
      <c r="V9" s="36">
        <f>'SER_se-appl'!V29</f>
        <v>2308.2927533339516</v>
      </c>
      <c r="W9" s="36">
        <f>'SER_se-appl'!W29</f>
        <v>2429.17469002707</v>
      </c>
      <c r="X9" s="36">
        <f>'SER_se-appl'!X29</f>
        <v>2506.4018326223795</v>
      </c>
      <c r="Y9" s="36">
        <f>'SER_se-appl'!Y29</f>
        <v>2182.1929996152667</v>
      </c>
      <c r="DA9" s="89" t="s">
        <v>929</v>
      </c>
    </row>
    <row r="10" spans="1:105" ht="12" customHeight="1" x14ac:dyDescent="0.25">
      <c r="A10" s="203" t="str">
        <f>"Number of replaced appliances "&amp;MID('SER_se-appl'!A37,FIND("(",'SER_se-appl'!A37),100)</f>
        <v>Number of replaced appliances (thousand units)</v>
      </c>
      <c r="B10" s="38"/>
      <c r="C10" s="38">
        <f>'SER_se-appl'!C37</f>
        <v>861.28191159238759</v>
      </c>
      <c r="D10" s="38">
        <f>'SER_se-appl'!D37</f>
        <v>898.35568942413192</v>
      </c>
      <c r="E10" s="38">
        <f>'SER_se-appl'!E37</f>
        <v>937.02530362979724</v>
      </c>
      <c r="F10" s="38">
        <f>'SER_se-appl'!F37</f>
        <v>977.35944679700515</v>
      </c>
      <c r="G10" s="38">
        <f>'SER_se-appl'!G37</f>
        <v>1019.4297683776804</v>
      </c>
      <c r="H10" s="38">
        <f>'SER_se-appl'!H37</f>
        <v>1063.3110019659089</v>
      </c>
      <c r="I10" s="38">
        <f>'SER_se-appl'!I37</f>
        <v>1109.0810980544829</v>
      </c>
      <c r="J10" s="38">
        <f>'SER_se-appl'!J37</f>
        <v>1138.3379757657658</v>
      </c>
      <c r="K10" s="38">
        <f>'SER_se-appl'!K37</f>
        <v>1162.0070407835246</v>
      </c>
      <c r="L10" s="38">
        <f>'SER_se-appl'!L37</f>
        <v>1278.424259412679</v>
      </c>
      <c r="M10" s="38">
        <f>'SER_se-appl'!M37</f>
        <v>1275.3891801234604</v>
      </c>
      <c r="N10" s="38">
        <f>'SER_se-appl'!N37</f>
        <v>1298.0779465094201</v>
      </c>
      <c r="O10" s="38">
        <f>'SER_se-appl'!O37</f>
        <v>1376.7098238968574</v>
      </c>
      <c r="P10" s="38">
        <f>'SER_se-appl'!P37</f>
        <v>1474.6073571453926</v>
      </c>
      <c r="Q10" s="38">
        <f>'SER_se-appl'!Q37</f>
        <v>1447.094340791502</v>
      </c>
      <c r="R10" s="38">
        <f>'SER_se-appl'!R37</f>
        <v>1508.2084417791957</v>
      </c>
      <c r="S10" s="38">
        <f>'SER_se-appl'!S37</f>
        <v>1663.3878573565071</v>
      </c>
      <c r="T10" s="38">
        <f>'SER_se-appl'!T37</f>
        <v>1686.4705671471729</v>
      </c>
      <c r="U10" s="38">
        <f>'SER_se-appl'!U37</f>
        <v>1733.5751070643437</v>
      </c>
      <c r="V10" s="38">
        <f>'SER_se-appl'!V37</f>
        <v>1913.162479605031</v>
      </c>
      <c r="W10" s="38">
        <f>'SER_se-appl'!W37</f>
        <v>2108.6171461119538</v>
      </c>
      <c r="X10" s="38">
        <f>'SER_se-appl'!X37</f>
        <v>2257.7166257766312</v>
      </c>
      <c r="Y10" s="38">
        <f>'SER_se-appl'!Y37</f>
        <v>1975.7408808040436</v>
      </c>
      <c r="DA10" s="90" t="s">
        <v>935</v>
      </c>
    </row>
    <row r="11" spans="1:105" ht="12.95" customHeight="1" x14ac:dyDescent="0.25">
      <c r="A11" s="5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DA11" s="207"/>
    </row>
    <row r="12" spans="1:105" ht="12" customHeight="1" x14ac:dyDescent="0.25">
      <c r="A12" s="197" t="s">
        <v>104</v>
      </c>
      <c r="B12" s="204">
        <f>'SER_se-appl'!B45</f>
        <v>4000.7342114088106</v>
      </c>
      <c r="C12" s="204">
        <f>'SER_se-appl'!C45</f>
        <v>3992.257356607271</v>
      </c>
      <c r="D12" s="204">
        <f>'SER_se-appl'!D45</f>
        <v>3979.186997242226</v>
      </c>
      <c r="E12" s="204">
        <f>'SER_se-appl'!E45</f>
        <v>3966.0715458736549</v>
      </c>
      <c r="F12" s="204">
        <f>'SER_se-appl'!F45</f>
        <v>3958.020173165467</v>
      </c>
      <c r="G12" s="204">
        <f>'SER_se-appl'!G45</f>
        <v>3948.2500605511063</v>
      </c>
      <c r="H12" s="204">
        <f>'SER_se-appl'!H45</f>
        <v>3936.6107604378972</v>
      </c>
      <c r="I12" s="204">
        <f>'SER_se-appl'!I45</f>
        <v>3923.7391357810211</v>
      </c>
      <c r="J12" s="204">
        <f>'SER_se-appl'!J45</f>
        <v>3908.7129586754736</v>
      </c>
      <c r="K12" s="204">
        <f>'SER_se-appl'!K45</f>
        <v>3900.9201784517127</v>
      </c>
      <c r="L12" s="204">
        <f>'SER_se-appl'!L45</f>
        <v>3888.1990163458299</v>
      </c>
      <c r="M12" s="204">
        <f>'SER_se-appl'!M45</f>
        <v>3866.6612828566631</v>
      </c>
      <c r="N12" s="204">
        <f>'SER_se-appl'!N45</f>
        <v>3848.4280871701967</v>
      </c>
      <c r="O12" s="204">
        <f>'SER_se-appl'!O45</f>
        <v>3828.4584432601532</v>
      </c>
      <c r="P12" s="204">
        <f>'SER_se-appl'!P45</f>
        <v>3808.3314034743075</v>
      </c>
      <c r="Q12" s="204">
        <f>'SER_se-appl'!Q45</f>
        <v>3789.0077812380282</v>
      </c>
      <c r="R12" s="204">
        <f>'SER_se-appl'!R45</f>
        <v>3802.7302818246135</v>
      </c>
      <c r="S12" s="204">
        <f>'SER_se-appl'!S45</f>
        <v>3866.3254421451434</v>
      </c>
      <c r="T12" s="204">
        <f>'SER_se-appl'!T45</f>
        <v>3831.3041974284529</v>
      </c>
      <c r="U12" s="204">
        <f>'SER_se-appl'!U45</f>
        <v>3797.9909829516405</v>
      </c>
      <c r="V12" s="204">
        <f>'SER_se-appl'!V45</f>
        <v>3781.7642932228064</v>
      </c>
      <c r="W12" s="204">
        <f>'SER_se-appl'!W45</f>
        <v>3777.3683936833531</v>
      </c>
      <c r="X12" s="204">
        <f>'SER_se-appl'!X45</f>
        <v>3759.6315543150176</v>
      </c>
      <c r="Y12" s="204">
        <f>'SER_se-appl'!Y45</f>
        <v>3741.8947149466821</v>
      </c>
      <c r="DA12" s="208" t="s">
        <v>941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DA13" s="209"/>
    </row>
    <row r="14" spans="1:105" ht="12.95" customHeight="1" x14ac:dyDescent="0.25">
      <c r="A14" s="199" t="str">
        <f>"W per appliance in average operating mode "&amp;MID('SER_se-appl'!A53,FIND("(",'SER_se-appl'!A53),100)</f>
        <v>W per appliance in average operating mode (W per appliance)</v>
      </c>
      <c r="B14" s="59">
        <f>'SER_se-appl'!B53</f>
        <v>198.3618239065602</v>
      </c>
      <c r="C14" s="59">
        <f>'SER_se-appl'!C53</f>
        <v>196.04586904729132</v>
      </c>
      <c r="D14" s="59">
        <f>'SER_se-appl'!D53</f>
        <v>193.46396469978453</v>
      </c>
      <c r="E14" s="59">
        <f>'SER_se-appl'!E53</f>
        <v>190.51142458654832</v>
      </c>
      <c r="F14" s="59">
        <f>'SER_se-appl'!F53</f>
        <v>187.43451277788498</v>
      </c>
      <c r="G14" s="59">
        <f>'SER_se-appl'!G53</f>
        <v>183.96534691276861</v>
      </c>
      <c r="H14" s="59">
        <f>'SER_se-appl'!H53</f>
        <v>180.02098410025548</v>
      </c>
      <c r="I14" s="59">
        <f>'SER_se-appl'!I53</f>
        <v>175.81070133687714</v>
      </c>
      <c r="J14" s="59">
        <f>'SER_se-appl'!J53</f>
        <v>173.21076498746439</v>
      </c>
      <c r="K14" s="59">
        <f>'SER_se-appl'!K53</f>
        <v>170.49264375134729</v>
      </c>
      <c r="L14" s="59">
        <f>'SER_se-appl'!L53</f>
        <v>167.40293424537762</v>
      </c>
      <c r="M14" s="59">
        <f>'SER_se-appl'!M53</f>
        <v>164.11548319960082</v>
      </c>
      <c r="N14" s="59">
        <f>'SER_se-appl'!N53</f>
        <v>160.56388510217957</v>
      </c>
      <c r="O14" s="59">
        <f>'SER_se-appl'!O53</f>
        <v>156.3738925665192</v>
      </c>
      <c r="P14" s="59">
        <f>'SER_se-appl'!P53</f>
        <v>151.34300327359369</v>
      </c>
      <c r="Q14" s="59">
        <f>'SER_se-appl'!Q53</f>
        <v>145.6711898594445</v>
      </c>
      <c r="R14" s="59">
        <f>'SER_se-appl'!R53</f>
        <v>140.12270363501179</v>
      </c>
      <c r="S14" s="59">
        <f>'SER_se-appl'!S53</f>
        <v>133.98421842726634</v>
      </c>
      <c r="T14" s="59">
        <f>'SER_se-appl'!T53</f>
        <v>127.88005004653533</v>
      </c>
      <c r="U14" s="59">
        <f>'SER_se-appl'!U53</f>
        <v>121.83857016915759</v>
      </c>
      <c r="V14" s="59">
        <f>'SER_se-appl'!V53</f>
        <v>115.61910018480563</v>
      </c>
      <c r="W14" s="59">
        <f>'SER_se-appl'!W53</f>
        <v>109.75234445477922</v>
      </c>
      <c r="X14" s="59">
        <f>'SER_se-appl'!X53</f>
        <v>104.51520846893821</v>
      </c>
      <c r="Y14" s="59">
        <f>'SER_se-appl'!Y53</f>
        <v>100.63925299691398</v>
      </c>
      <c r="DA14" s="104" t="s">
        <v>947</v>
      </c>
    </row>
    <row r="15" spans="1:105" ht="12" customHeight="1" x14ac:dyDescent="0.25">
      <c r="A15" s="203" t="str">
        <f>"W per new appliance in average operating mode "&amp;MID('SER_se-appl'!A53,FIND("(",'SER_se-appl'!A53),100)</f>
        <v>W per new appliance in average operating mode (W per appliance)</v>
      </c>
      <c r="B15" s="63"/>
      <c r="C15" s="63">
        <f>'SER_se-appl'!C61</f>
        <v>183.82955407614443</v>
      </c>
      <c r="D15" s="63">
        <f>'SER_se-appl'!D61</f>
        <v>181.37947199031575</v>
      </c>
      <c r="E15" s="63">
        <f>'SER_se-appl'!E61</f>
        <v>179.15985808513113</v>
      </c>
      <c r="F15" s="63">
        <f>'SER_se-appl'!F61</f>
        <v>177.11621142151265</v>
      </c>
      <c r="G15" s="63">
        <f>'SER_se-appl'!G61</f>
        <v>173.76823731587999</v>
      </c>
      <c r="H15" s="63">
        <f>'SER_se-appl'!H61</f>
        <v>170.33605405114491</v>
      </c>
      <c r="I15" s="63">
        <f>'SER_se-appl'!I61</f>
        <v>168.10864172273764</v>
      </c>
      <c r="J15" s="63">
        <f>'SER_se-appl'!J61</f>
        <v>165.38757403123418</v>
      </c>
      <c r="K15" s="63">
        <f>'SER_se-appl'!K61</f>
        <v>162.0976394452143</v>
      </c>
      <c r="L15" s="63">
        <f>'SER_se-appl'!L61</f>
        <v>158.49842191998013</v>
      </c>
      <c r="M15" s="63">
        <f>'SER_se-appl'!M61</f>
        <v>154.36942273939349</v>
      </c>
      <c r="N15" s="63">
        <f>'SER_se-appl'!N61</f>
        <v>149.03274122532432</v>
      </c>
      <c r="O15" s="63">
        <f>'SER_se-appl'!O61</f>
        <v>142.57088406068468</v>
      </c>
      <c r="P15" s="63">
        <f>'SER_se-appl'!P61</f>
        <v>135.80544885973569</v>
      </c>
      <c r="Q15" s="63">
        <f>'SER_se-appl'!Q61</f>
        <v>128.01019216020939</v>
      </c>
      <c r="R15" s="63">
        <f>'SER_se-appl'!R61</f>
        <v>120.75146431479277</v>
      </c>
      <c r="S15" s="63">
        <f>'SER_se-appl'!S61</f>
        <v>115.16288239621251</v>
      </c>
      <c r="T15" s="63">
        <f>'SER_se-appl'!T61</f>
        <v>109.46860835949992</v>
      </c>
      <c r="U15" s="63">
        <f>'SER_se-appl'!U61</f>
        <v>103.74749621163312</v>
      </c>
      <c r="V15" s="63">
        <f>'SER_se-appl'!V61</f>
        <v>98.104790893318849</v>
      </c>
      <c r="W15" s="63">
        <f>'SER_se-appl'!W61</f>
        <v>95.69141303734321</v>
      </c>
      <c r="X15" s="63">
        <f>'SER_se-appl'!X61</f>
        <v>93.278035181367571</v>
      </c>
      <c r="Y15" s="63">
        <f>'SER_se-appl'!Y61</f>
        <v>90.864657325391931</v>
      </c>
      <c r="DA15" s="105" t="s">
        <v>953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8" tint="0.59999389629810485"/>
    <pageSetUpPr fitToPage="1"/>
  </sheetPr>
  <dimension ref="A1:DA16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97" t="s">
        <v>81</v>
      </c>
      <c r="B3" s="198">
        <f>'SER_se-appl'!B6</f>
        <v>942.58202880570582</v>
      </c>
      <c r="C3" s="198">
        <f>'SER_se-appl'!C6</f>
        <v>955.31278363845058</v>
      </c>
      <c r="D3" s="198">
        <f>'SER_se-appl'!D6</f>
        <v>968.32540775682833</v>
      </c>
      <c r="E3" s="198">
        <f>'SER_se-appl'!E6</f>
        <v>973.3175687588955</v>
      </c>
      <c r="F3" s="198">
        <f>'SER_se-appl'!F6</f>
        <v>975.16310916488044</v>
      </c>
      <c r="G3" s="198">
        <f>'SER_se-appl'!G6</f>
        <v>976.20153537864428</v>
      </c>
      <c r="H3" s="198">
        <f>'SER_se-appl'!H6</f>
        <v>993.06951495302746</v>
      </c>
      <c r="I3" s="198">
        <f>'SER_se-appl'!I6</f>
        <v>1008.6462772677439</v>
      </c>
      <c r="J3" s="198">
        <f>'SER_se-appl'!J6</f>
        <v>1015.370388946668</v>
      </c>
      <c r="K3" s="198">
        <f>'SER_se-appl'!K6</f>
        <v>1015.7019524084053</v>
      </c>
      <c r="L3" s="198">
        <f>'SER_se-appl'!L6</f>
        <v>1028.5032467617957</v>
      </c>
      <c r="M3" s="198">
        <f>'SER_se-appl'!M6</f>
        <v>1037.8529142074055</v>
      </c>
      <c r="N3" s="198">
        <f>'SER_se-appl'!N6</f>
        <v>1035.8708793278468</v>
      </c>
      <c r="O3" s="198">
        <f>'SER_se-appl'!O6</f>
        <v>1029.9281729418058</v>
      </c>
      <c r="P3" s="198">
        <f>'SER_se-appl'!P6</f>
        <v>1039.4135139077791</v>
      </c>
      <c r="Q3" s="198">
        <f>'SER_se-appl'!Q6</f>
        <v>1034.8882724983534</v>
      </c>
      <c r="R3" s="198">
        <f>'SER_se-appl'!R6</f>
        <v>1004.2757138960388</v>
      </c>
      <c r="S3" s="198">
        <f>'SER_se-appl'!S6</f>
        <v>994.76530414557749</v>
      </c>
      <c r="T3" s="198">
        <f>'SER_se-appl'!T6</f>
        <v>930.40184004953403</v>
      </c>
      <c r="U3" s="198">
        <f>'SER_se-appl'!U6</f>
        <v>866.34584157047914</v>
      </c>
      <c r="V3" s="198">
        <f>'SER_se-appl'!V6</f>
        <v>679.27357853995227</v>
      </c>
      <c r="W3" s="198">
        <f>'SER_se-appl'!W6</f>
        <v>669.42833714027779</v>
      </c>
      <c r="X3" s="198">
        <f>'SER_se-appl'!X6</f>
        <v>656.17933302618326</v>
      </c>
      <c r="Y3" s="198">
        <f>'SER_se-appl'!Y6</f>
        <v>622.35734277300446</v>
      </c>
      <c r="DA3" s="205" t="s">
        <v>911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DA4" s="106"/>
    </row>
    <row r="5" spans="1:105" ht="12.95" customHeight="1" x14ac:dyDescent="0.25">
      <c r="A5" s="199" t="s">
        <v>108</v>
      </c>
      <c r="B5" s="59">
        <f>'SER_se-appl'!B14</f>
        <v>4747.6171236174396</v>
      </c>
      <c r="C5" s="59">
        <f>'SER_se-appl'!C14</f>
        <v>4780.793848871479</v>
      </c>
      <c r="D5" s="59">
        <f>'SER_se-appl'!D14</f>
        <v>4823.3065182312539</v>
      </c>
      <c r="E5" s="59">
        <f>'SER_se-appl'!E14</f>
        <v>4828.5563434570922</v>
      </c>
      <c r="F5" s="59">
        <f>'SER_se-appl'!F14</f>
        <v>4812.1846014485154</v>
      </c>
      <c r="G5" s="59">
        <f>'SER_se-appl'!G14</f>
        <v>4796.6956704777722</v>
      </c>
      <c r="H5" s="59">
        <f>'SER_se-appl'!H14</f>
        <v>4858.5805037921291</v>
      </c>
      <c r="I5" s="59">
        <f>'SER_se-appl'!I14</f>
        <v>4918.3456246756614</v>
      </c>
      <c r="J5" s="59">
        <f>'SER_se-appl'!J14</f>
        <v>4941.1624433242123</v>
      </c>
      <c r="K5" s="59">
        <f>'SER_se-appl'!K14</f>
        <v>4936.8637423250693</v>
      </c>
      <c r="L5" s="59">
        <f>'SER_se-appl'!L14</f>
        <v>4988.1131304685314</v>
      </c>
      <c r="M5" s="59">
        <f>'SER_se-appl'!M14</f>
        <v>5016.4394745338559</v>
      </c>
      <c r="N5" s="59">
        <f>'SER_se-appl'!N14</f>
        <v>4985.6329867298946</v>
      </c>
      <c r="O5" s="59">
        <f>'SER_se-appl'!O14</f>
        <v>4942.4639481480899</v>
      </c>
      <c r="P5" s="59">
        <f>'SER_se-appl'!P14</f>
        <v>4965.6102392165585</v>
      </c>
      <c r="Q5" s="59">
        <f>'SER_se-appl'!Q14</f>
        <v>4920.595100348025</v>
      </c>
      <c r="R5" s="59">
        <f>'SER_se-appl'!R14</f>
        <v>4740.9222267453479</v>
      </c>
      <c r="S5" s="59">
        <f>'SER_se-appl'!S14</f>
        <v>4569.2291072512462</v>
      </c>
      <c r="T5" s="59">
        <f>'SER_se-appl'!T14</f>
        <v>4327.0506916967815</v>
      </c>
      <c r="U5" s="59">
        <f>'SER_se-appl'!U14</f>
        <v>4074.0407956305648</v>
      </c>
      <c r="V5" s="59">
        <f>'SER_se-appl'!V14</f>
        <v>3772.442330498568</v>
      </c>
      <c r="W5" s="59">
        <f>'SER_se-appl'!W14</f>
        <v>3513.4939689048188</v>
      </c>
      <c r="X5" s="59">
        <f>'SER_se-appl'!X14</f>
        <v>3286.3437656011597</v>
      </c>
      <c r="Y5" s="59">
        <f>'SER_se-appl'!Y14</f>
        <v>3047.2248628087982</v>
      </c>
      <c r="DA5" s="104" t="s">
        <v>918</v>
      </c>
    </row>
    <row r="6" spans="1:105" ht="12" customHeight="1" x14ac:dyDescent="0.25">
      <c r="A6" s="200" t="str">
        <f>"Penetration factor "&amp;MID('SER_se-appl'!A70,FIND("(",'SER_se-appl'!A70),100)</f>
        <v>Penetration factor (unit per building cell)</v>
      </c>
      <c r="B6" s="201">
        <f>'SER_se-appl'!B70</f>
        <v>197.40847166063375</v>
      </c>
      <c r="C6" s="201">
        <f>'SER_se-appl'!C70</f>
        <v>197.07525799432716</v>
      </c>
      <c r="D6" s="201">
        <f>'SER_se-appl'!D70</f>
        <v>198.02557860073972</v>
      </c>
      <c r="E6" s="201">
        <f>'SER_se-appl'!E70</f>
        <v>199.19813962545942</v>
      </c>
      <c r="F6" s="201">
        <f>'SER_se-appl'!F70</f>
        <v>200.94387528104932</v>
      </c>
      <c r="G6" s="201">
        <f>'SER_se-appl'!G70</f>
        <v>203.89055800819497</v>
      </c>
      <c r="H6" s="201">
        <f>'SER_se-appl'!H70</f>
        <v>207.79176604278865</v>
      </c>
      <c r="I6" s="201">
        <f>'SER_se-appl'!I70</f>
        <v>211.24589357163484</v>
      </c>
      <c r="J6" s="201">
        <f>'SER_se-appl'!J70</f>
        <v>215.76911652550231</v>
      </c>
      <c r="K6" s="201">
        <f>'SER_se-appl'!K70</f>
        <v>220.80854143392114</v>
      </c>
      <c r="L6" s="201">
        <f>'SER_se-appl'!L70</f>
        <v>228.1760774379087</v>
      </c>
      <c r="M6" s="201">
        <f>'SER_se-appl'!M70</f>
        <v>235.18902822531498</v>
      </c>
      <c r="N6" s="201">
        <f>'SER_se-appl'!N70</f>
        <v>242.20337815108002</v>
      </c>
      <c r="O6" s="201">
        <f>'SER_se-appl'!O70</f>
        <v>250.99603200914487</v>
      </c>
      <c r="P6" s="201">
        <f>'SER_se-appl'!P70</f>
        <v>261.68316345588119</v>
      </c>
      <c r="Q6" s="201">
        <f>'SER_se-appl'!Q70</f>
        <v>272.01812644282279</v>
      </c>
      <c r="R6" s="201">
        <f>'SER_se-appl'!R70</f>
        <v>278.1098411678098</v>
      </c>
      <c r="S6" s="201">
        <f>'SER_se-appl'!S70</f>
        <v>284.28236898956561</v>
      </c>
      <c r="T6" s="201">
        <f>'SER_se-appl'!T70</f>
        <v>290.20154935173156</v>
      </c>
      <c r="U6" s="201">
        <f>'SER_se-appl'!U70</f>
        <v>295.66302797674069</v>
      </c>
      <c r="V6" s="201">
        <f>'SER_se-appl'!V70</f>
        <v>300.28596027520967</v>
      </c>
      <c r="W6" s="201">
        <f>'SER_se-appl'!W70</f>
        <v>303.60059958730443</v>
      </c>
      <c r="X6" s="201">
        <f>'SER_se-appl'!X70</f>
        <v>305.27161456940485</v>
      </c>
      <c r="Y6" s="201">
        <f>'SER_se-appl'!Y70</f>
        <v>306.11056787243109</v>
      </c>
      <c r="DA6" s="206" t="s">
        <v>960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DA7" s="106"/>
    </row>
    <row r="8" spans="1:105" ht="12.95" customHeight="1" x14ac:dyDescent="0.25">
      <c r="A8" s="199" t="str">
        <f>"Stock of appliances "&amp;MID('SER_se-appl'!A22,FIND("(",'SER_se-appl'!A22),1000)</f>
        <v>Stock of appliances (million units)</v>
      </c>
      <c r="B8" s="34">
        <f>'SER_se-appl'!B22</f>
        <v>110.67329424087598</v>
      </c>
      <c r="C8" s="34">
        <f>'SER_se-appl'!C22</f>
        <v>112.31923976560027</v>
      </c>
      <c r="D8" s="34">
        <f>'SER_se-appl'!D22</f>
        <v>114.77406683107641</v>
      </c>
      <c r="E8" s="34">
        <f>'SER_se-appl'!E22</f>
        <v>116.71406879167151</v>
      </c>
      <c r="F8" s="34">
        <f>'SER_se-appl'!F22</f>
        <v>118.5725557344801</v>
      </c>
      <c r="G8" s="34">
        <f>'SER_se-appl'!G22</f>
        <v>120.88985671736566</v>
      </c>
      <c r="H8" s="34">
        <f>'SER_se-appl'!H22</f>
        <v>125.91015908641008</v>
      </c>
      <c r="I8" s="34">
        <f>'SER_se-appl'!I22</f>
        <v>130.25594910900651</v>
      </c>
      <c r="J8" s="34">
        <f>'SER_se-appl'!J22</f>
        <v>133.74853039114652</v>
      </c>
      <c r="K8" s="34">
        <f>'SER_se-appl'!K22</f>
        <v>136.84246384451652</v>
      </c>
      <c r="L8" s="34">
        <f>'SER_se-appl'!L22</f>
        <v>142.17502956667278</v>
      </c>
      <c r="M8" s="34">
        <f>'SER_se-appl'!M22</f>
        <v>147.71322365505989</v>
      </c>
      <c r="N8" s="34">
        <f>'SER_se-appl'!N22</f>
        <v>152.67043364100664</v>
      </c>
      <c r="O8" s="34">
        <f>'SER_se-appl'!O22</f>
        <v>157.70196516510023</v>
      </c>
      <c r="P8" s="34">
        <f>'SER_se-appl'!P22</f>
        <v>166.43750103114374</v>
      </c>
      <c r="Q8" s="34">
        <f>'SER_se-appl'!Q22</f>
        <v>173.58695949050269</v>
      </c>
      <c r="R8" s="34">
        <f>'SER_se-appl'!R22</f>
        <v>177.51095565103952</v>
      </c>
      <c r="S8" s="34">
        <f>'SER_se-appl'!S22</f>
        <v>182.27673135331563</v>
      </c>
      <c r="T8" s="34">
        <f>'SER_se-appl'!T22</f>
        <v>186.67765427095171</v>
      </c>
      <c r="U8" s="34">
        <f>'SER_se-appl'!U22</f>
        <v>190.67325430119328</v>
      </c>
      <c r="V8" s="34">
        <f>'SER_se-appl'!V22</f>
        <v>193.99031865950619</v>
      </c>
      <c r="W8" s="34">
        <f>'SER_se-appl'!W22</f>
        <v>196.40960359865699</v>
      </c>
      <c r="X8" s="34">
        <f>'SER_se-appl'!X22</f>
        <v>197.71840904435311</v>
      </c>
      <c r="Y8" s="34">
        <f>'SER_se-appl'!Y22</f>
        <v>198.4635121704043</v>
      </c>
      <c r="DA8" s="88" t="s">
        <v>924</v>
      </c>
    </row>
    <row r="9" spans="1:105" ht="12.95" customHeight="1" x14ac:dyDescent="0.25">
      <c r="A9" s="202" t="str">
        <f>"Number of new appliances "&amp;MID('SER_se-appl'!A30,FIND("(",'SER_se-appl'!A30),100)</f>
        <v>Number of new appliances (million units)</v>
      </c>
      <c r="B9" s="36"/>
      <c r="C9" s="36">
        <f>'SER_se-appl'!C30</f>
        <v>18.929361955135548</v>
      </c>
      <c r="D9" s="36">
        <f>'SER_se-appl'!D30</f>
        <v>20.187238173150959</v>
      </c>
      <c r="E9" s="36">
        <f>'SER_se-appl'!E30</f>
        <v>20.133071887343789</v>
      </c>
      <c r="F9" s="36">
        <f>'SER_se-appl'!F30</f>
        <v>20.524182845624196</v>
      </c>
      <c r="G9" s="36">
        <f>'SER_se-appl'!G30</f>
        <v>21.467900905778919</v>
      </c>
      <c r="H9" s="36">
        <f>'SER_se-appl'!H30</f>
        <v>24.668403319376637</v>
      </c>
      <c r="I9" s="36">
        <f>'SER_se-appl'!I30</f>
        <v>23.27515197773198</v>
      </c>
      <c r="J9" s="36">
        <f>'SER_se-appl'!J30</f>
        <v>23.679819455290968</v>
      </c>
      <c r="K9" s="36">
        <f>'SER_se-appl'!K30</f>
        <v>23.227005340713788</v>
      </c>
      <c r="L9" s="36">
        <f>'SER_se-appl'!L30</f>
        <v>25.856748567780457</v>
      </c>
      <c r="M9" s="36">
        <f>'SER_se-appl'!M30</f>
        <v>27.006094994166034</v>
      </c>
      <c r="N9" s="36">
        <f>'SER_se-appl'!N30</f>
        <v>29.625613305323384</v>
      </c>
      <c r="O9" s="36">
        <f>'SER_se-appl'!O30</f>
        <v>28.306683501825574</v>
      </c>
      <c r="P9" s="36">
        <f>'SER_se-appl'!P30</f>
        <v>32.415355321334488</v>
      </c>
      <c r="Q9" s="36">
        <f>'SER_se-appl'!Q30</f>
        <v>30.376463800072742</v>
      </c>
      <c r="R9" s="36">
        <f>'SER_se-appl'!R30</f>
        <v>29.780744728317302</v>
      </c>
      <c r="S9" s="36">
        <f>'SER_se-appl'!S30</f>
        <v>31.771870696442136</v>
      </c>
      <c r="T9" s="36">
        <f>'SER_se-appl'!T30</f>
        <v>34.026536222959464</v>
      </c>
      <c r="U9" s="36">
        <f>'SER_se-appl'!U30</f>
        <v>32.30228353206715</v>
      </c>
      <c r="V9" s="36">
        <f>'SER_se-appl'!V30</f>
        <v>35.732419679647393</v>
      </c>
      <c r="W9" s="36">
        <f>'SER_se-appl'!W30</f>
        <v>32.795748739223541</v>
      </c>
      <c r="X9" s="36">
        <f>'SER_se-appl'!X30</f>
        <v>31.089550174013425</v>
      </c>
      <c r="Y9" s="36">
        <f>'SER_se-appl'!Y30</f>
        <v>32.516973822493327</v>
      </c>
      <c r="DA9" s="89" t="s">
        <v>930</v>
      </c>
    </row>
    <row r="10" spans="1:105" ht="12" customHeight="1" x14ac:dyDescent="0.25">
      <c r="A10" s="203" t="str">
        <f>"Number of replaced appliances "&amp;MID('SER_se-appl'!A38,FIND("(",'SER_se-appl'!A38),100)</f>
        <v>Number of replaced appliances (million units)</v>
      </c>
      <c r="B10" s="38"/>
      <c r="C10" s="38">
        <f>'SER_se-appl'!C38</f>
        <v>17.283416430411265</v>
      </c>
      <c r="D10" s="38">
        <f>'SER_se-appl'!D38</f>
        <v>17.732411107674821</v>
      </c>
      <c r="E10" s="38">
        <f>'SER_se-appl'!E38</f>
        <v>18.193069926748677</v>
      </c>
      <c r="F10" s="38">
        <f>'SER_se-appl'!F38</f>
        <v>18.665695902815614</v>
      </c>
      <c r="G10" s="38">
        <f>'SER_se-appl'!G38</f>
        <v>19.150599922893377</v>
      </c>
      <c r="H10" s="38">
        <f>'SER_se-appl'!H38</f>
        <v>19.648100950332221</v>
      </c>
      <c r="I10" s="38">
        <f>'SER_se-appl'!I38</f>
        <v>18.929361955135562</v>
      </c>
      <c r="J10" s="38">
        <f>'SER_se-appl'!J38</f>
        <v>20.187238173150945</v>
      </c>
      <c r="K10" s="38">
        <f>'SER_se-appl'!K38</f>
        <v>20.133071887343789</v>
      </c>
      <c r="L10" s="38">
        <f>'SER_se-appl'!L38</f>
        <v>20.524182845624182</v>
      </c>
      <c r="M10" s="38">
        <f>'SER_se-appl'!M38</f>
        <v>21.467900905778919</v>
      </c>
      <c r="N10" s="38">
        <f>'SER_se-appl'!N38</f>
        <v>24.668403319376637</v>
      </c>
      <c r="O10" s="38">
        <f>'SER_se-appl'!O38</f>
        <v>23.27515197773198</v>
      </c>
      <c r="P10" s="38">
        <f>'SER_se-appl'!P38</f>
        <v>23.679819455290982</v>
      </c>
      <c r="Q10" s="38">
        <f>'SER_se-appl'!Q38</f>
        <v>23.227005340713788</v>
      </c>
      <c r="R10" s="38">
        <f>'SER_se-appl'!R38</f>
        <v>25.856748567780471</v>
      </c>
      <c r="S10" s="38">
        <f>'SER_se-appl'!S38</f>
        <v>27.006094994166034</v>
      </c>
      <c r="T10" s="38">
        <f>'SER_se-appl'!T38</f>
        <v>29.625613305323384</v>
      </c>
      <c r="U10" s="38">
        <f>'SER_se-appl'!U38</f>
        <v>28.306683501825574</v>
      </c>
      <c r="V10" s="38">
        <f>'SER_se-appl'!V38</f>
        <v>32.415355321334488</v>
      </c>
      <c r="W10" s="38">
        <f>'SER_se-appl'!W38</f>
        <v>30.376463800072742</v>
      </c>
      <c r="X10" s="38">
        <f>'SER_se-appl'!X38</f>
        <v>29.780744728317302</v>
      </c>
      <c r="Y10" s="38">
        <f>'SER_se-appl'!Y38</f>
        <v>31.771870696442136</v>
      </c>
      <c r="DA10" s="90" t="s">
        <v>936</v>
      </c>
    </row>
    <row r="11" spans="1:105" ht="12.95" customHeight="1" x14ac:dyDescent="0.25">
      <c r="A11" s="5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DA11" s="207"/>
    </row>
    <row r="12" spans="1:105" ht="12" customHeight="1" x14ac:dyDescent="0.25">
      <c r="A12" s="197" t="s">
        <v>104</v>
      </c>
      <c r="B12" s="204">
        <f>'SER_se-appl'!B46</f>
        <v>2308.9960099094315</v>
      </c>
      <c r="C12" s="204">
        <f>'SER_se-appl'!C46</f>
        <v>2323.9420115004118</v>
      </c>
      <c r="D12" s="204">
        <f>'SER_se-appl'!D46</f>
        <v>2334.8349207426368</v>
      </c>
      <c r="E12" s="204">
        <f>'SER_se-appl'!E46</f>
        <v>2344.3204385519134</v>
      </c>
      <c r="F12" s="204">
        <f>'SER_se-appl'!F46</f>
        <v>2356.7564212257694</v>
      </c>
      <c r="G12" s="204">
        <f>'SER_se-appl'!G46</f>
        <v>2366.8843379681834</v>
      </c>
      <c r="H12" s="204">
        <f>'SER_se-appl'!H46</f>
        <v>2377.1137372097442</v>
      </c>
      <c r="I12" s="204">
        <f>'SER_se-appl'!I46</f>
        <v>2385.0613803492975</v>
      </c>
      <c r="J12" s="204">
        <f>'SER_se-appl'!J46</f>
        <v>2389.8743987670437</v>
      </c>
      <c r="K12" s="204">
        <f>'SER_se-appl'!K46</f>
        <v>2392.736426010104</v>
      </c>
      <c r="L12" s="204">
        <f>'SER_se-appl'!L46</f>
        <v>2397.9994933908297</v>
      </c>
      <c r="M12" s="204">
        <f>'SER_se-appl'!M46</f>
        <v>2406.1347602232818</v>
      </c>
      <c r="N12" s="204">
        <f>'SER_se-appl'!N46</f>
        <v>2416.3788948461429</v>
      </c>
      <c r="O12" s="204">
        <f>'SER_se-appl'!O46</f>
        <v>2423.5006622155142</v>
      </c>
      <c r="P12" s="204">
        <f>'SER_se-appl'!P46</f>
        <v>2434.4196552677272</v>
      </c>
      <c r="Q12" s="204">
        <f>'SER_se-appl'!Q46</f>
        <v>2445.9949180343215</v>
      </c>
      <c r="R12" s="204">
        <f>'SER_se-appl'!R46</f>
        <v>2463.598007729624</v>
      </c>
      <c r="S12" s="204">
        <f>'SER_se-appl'!S46</f>
        <v>2531.9633171497521</v>
      </c>
      <c r="T12" s="204">
        <f>'SER_se-appl'!T46</f>
        <v>2500.680988216704</v>
      </c>
      <c r="U12" s="204">
        <f>'SER_se-appl'!U46</f>
        <v>2473.1225441509623</v>
      </c>
      <c r="V12" s="204">
        <f>'SER_se-appl'!V46</f>
        <v>2094.1212684822099</v>
      </c>
      <c r="W12" s="204">
        <f>'SER_se-appl'!W46</f>
        <v>2215.8716166426811</v>
      </c>
      <c r="X12" s="204">
        <f>'SER_se-appl'!X46</f>
        <v>2322.1446651362512</v>
      </c>
      <c r="Y12" s="204">
        <f>'SER_se-appl'!Y46</f>
        <v>2375.2811893830362</v>
      </c>
      <c r="DA12" s="208" t="s">
        <v>942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DA13" s="209"/>
    </row>
    <row r="14" spans="1:105" ht="12.95" customHeight="1" x14ac:dyDescent="0.25">
      <c r="A14" s="199" t="str">
        <f>"W per appliance in average operating mode "&amp;MID('SER_se-appl'!A54,FIND("(",'SER_se-appl'!A54),100)</f>
        <v>W per appliance in average operating mode (W per appliance)</v>
      </c>
      <c r="B14" s="59">
        <f>'SER_se-appl'!B54</f>
        <v>42.897585692935479</v>
      </c>
      <c r="C14" s="59">
        <f>'SER_se-appl'!C54</f>
        <v>42.56433589515516</v>
      </c>
      <c r="D14" s="59">
        <f>'SER_se-appl'!D54</f>
        <v>42.024358388643314</v>
      </c>
      <c r="E14" s="59">
        <f>'SER_se-appl'!E54</f>
        <v>41.370816675715524</v>
      </c>
      <c r="F14" s="59">
        <f>'SER_se-appl'!F54</f>
        <v>40.58430360752665</v>
      </c>
      <c r="G14" s="59">
        <f>'SER_se-appl'!G54</f>
        <v>39.678231083458087</v>
      </c>
      <c r="H14" s="59">
        <f>'SER_se-appl'!H54</f>
        <v>38.587676634240175</v>
      </c>
      <c r="I14" s="59">
        <f>'SER_se-appl'!I54</f>
        <v>37.75908630906121</v>
      </c>
      <c r="J14" s="59">
        <f>'SER_se-appl'!J54</f>
        <v>36.943676531426718</v>
      </c>
      <c r="K14" s="59">
        <f>'SER_se-appl'!K54</f>
        <v>36.076986657697461</v>
      </c>
      <c r="L14" s="59">
        <f>'SER_se-appl'!L54</f>
        <v>35.084312242955171</v>
      </c>
      <c r="M14" s="59">
        <f>'SER_se-appl'!M54</f>
        <v>33.960666150298444</v>
      </c>
      <c r="N14" s="59">
        <f>'SER_se-appl'!N54</f>
        <v>32.656178854205955</v>
      </c>
      <c r="O14" s="59">
        <f>'SER_se-appl'!O54</f>
        <v>31.340534932293078</v>
      </c>
      <c r="P14" s="59">
        <f>'SER_se-appl'!P54</f>
        <v>29.834683941135328</v>
      </c>
      <c r="Q14" s="59">
        <f>'SER_se-appl'!Q54</f>
        <v>28.346571164046694</v>
      </c>
      <c r="R14" s="59">
        <f>'SER_se-appl'!R54</f>
        <v>26.707772539207692</v>
      </c>
      <c r="S14" s="59">
        <f>'SER_se-appl'!S54</f>
        <v>25.067539193439305</v>
      </c>
      <c r="T14" s="59">
        <f>'SER_se-appl'!T54</f>
        <v>23.179264323818426</v>
      </c>
      <c r="U14" s="59">
        <f>'SER_se-appl'!U54</f>
        <v>21.36660860256303</v>
      </c>
      <c r="V14" s="59">
        <f>'SER_se-appl'!V54</f>
        <v>19.446549480234619</v>
      </c>
      <c r="W14" s="59">
        <f>'SER_se-appl'!W54</f>
        <v>17.888605773495097</v>
      </c>
      <c r="X14" s="59">
        <f>'SER_se-appl'!X54</f>
        <v>16.621334257570076</v>
      </c>
      <c r="Y14" s="59">
        <f>'SER_se-appl'!Y54</f>
        <v>15.354081107828007</v>
      </c>
      <c r="DA14" s="104" t="s">
        <v>948</v>
      </c>
    </row>
    <row r="15" spans="1:105" ht="12" customHeight="1" x14ac:dyDescent="0.25">
      <c r="A15" s="203" t="str">
        <f>"W per new appliance in average operating mode "&amp;MID('SER_se-appl'!A54,FIND("(",'SER_se-appl'!A54),100)</f>
        <v>W per new appliance in average operating mode (W per appliance)</v>
      </c>
      <c r="B15" s="63"/>
      <c r="C15" s="63">
        <f>'SER_se-appl'!C62</f>
        <v>40.920215085968501</v>
      </c>
      <c r="D15" s="63">
        <f>'SER_se-appl'!D62</f>
        <v>39.787032158854757</v>
      </c>
      <c r="E15" s="63">
        <f>'SER_se-appl'!E62</f>
        <v>39.024775047866079</v>
      </c>
      <c r="F15" s="63">
        <f>'SER_se-appl'!F62</f>
        <v>38.215482360504986</v>
      </c>
      <c r="G15" s="63">
        <f>'SER_se-appl'!G62</f>
        <v>37.545616305491976</v>
      </c>
      <c r="H15" s="63">
        <f>'SER_se-appl'!H62</f>
        <v>36.676104076181574</v>
      </c>
      <c r="I15" s="63">
        <f>'SER_se-appl'!I62</f>
        <v>35.847614843764845</v>
      </c>
      <c r="J15" s="63">
        <f>'SER_se-appl'!J62</f>
        <v>34.882323093794028</v>
      </c>
      <c r="K15" s="63">
        <f>'SER_se-appl'!K62</f>
        <v>33.641439736412948</v>
      </c>
      <c r="L15" s="63">
        <f>'SER_se-appl'!L62</f>
        <v>32.316164325680276</v>
      </c>
      <c r="M15" s="63">
        <f>'SER_se-appl'!M62</f>
        <v>30.894948512114205</v>
      </c>
      <c r="N15" s="63">
        <f>'SER_se-appl'!N62</f>
        <v>29.499285997015356</v>
      </c>
      <c r="O15" s="63">
        <f>'SER_se-appl'!O62</f>
        <v>27.95063027765152</v>
      </c>
      <c r="P15" s="63">
        <f>'SER_se-appl'!P62</f>
        <v>26.196023325764969</v>
      </c>
      <c r="Q15" s="63">
        <f>'SER_se-appl'!Q62</f>
        <v>24.241622277200943</v>
      </c>
      <c r="R15" s="63">
        <f>'SER_se-appl'!R62</f>
        <v>22.024904616231037</v>
      </c>
      <c r="S15" s="63">
        <f>'SER_se-appl'!S62</f>
        <v>20.856776146269809</v>
      </c>
      <c r="T15" s="63">
        <f>'SER_se-appl'!T62</f>
        <v>18.566568752007559</v>
      </c>
      <c r="U15" s="63">
        <f>'SER_se-appl'!U62</f>
        <v>16.660733856340116</v>
      </c>
      <c r="V15" s="63">
        <f>'SER_se-appl'!V62</f>
        <v>15.323757637676019</v>
      </c>
      <c r="W15" s="63">
        <f>'SER_se-appl'!W62</f>
        <v>14.557569755792217</v>
      </c>
      <c r="X15" s="63">
        <f>'SER_se-appl'!X62</f>
        <v>13.791381873908415</v>
      </c>
      <c r="Y15" s="63">
        <f>'SER_se-appl'!Y62</f>
        <v>13.025193992024615</v>
      </c>
      <c r="DA15" s="105" t="s">
        <v>954</v>
      </c>
    </row>
    <row r="16" spans="1:105" ht="12.95" customHeight="1" x14ac:dyDescent="0.25">
      <c r="A16" s="203" t="s">
        <v>109</v>
      </c>
      <c r="B16" s="63">
        <v>0</v>
      </c>
      <c r="C16" s="63">
        <v>0</v>
      </c>
      <c r="D16" s="63">
        <v>0</v>
      </c>
      <c r="E16" s="63">
        <v>0</v>
      </c>
      <c r="F16" s="63">
        <v>0</v>
      </c>
      <c r="G16" s="63">
        <v>0</v>
      </c>
      <c r="H16" s="63">
        <v>0</v>
      </c>
      <c r="I16" s="63">
        <v>0</v>
      </c>
      <c r="J16" s="63">
        <v>0</v>
      </c>
      <c r="K16" s="63">
        <v>0</v>
      </c>
      <c r="L16" s="63">
        <v>0</v>
      </c>
      <c r="M16" s="63">
        <v>0</v>
      </c>
      <c r="N16" s="63">
        <v>0</v>
      </c>
      <c r="O16" s="63">
        <v>0</v>
      </c>
      <c r="P16" s="63">
        <v>0</v>
      </c>
      <c r="Q16" s="63">
        <v>0</v>
      </c>
      <c r="R16" s="63">
        <v>0</v>
      </c>
      <c r="S16" s="63">
        <v>0</v>
      </c>
      <c r="T16" s="63">
        <v>0</v>
      </c>
      <c r="U16" s="63">
        <v>0</v>
      </c>
      <c r="V16" s="63">
        <v>0</v>
      </c>
      <c r="W16" s="63">
        <v>0</v>
      </c>
      <c r="X16" s="63">
        <v>0</v>
      </c>
      <c r="Y16" s="63">
        <v>0</v>
      </c>
      <c r="DA16" s="105" t="s">
        <v>964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8" tint="0.59999389629810485"/>
    <pageSetUpPr fitToPage="1"/>
  </sheetPr>
  <dimension ref="A1:DA15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970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97" t="s">
        <v>81</v>
      </c>
      <c r="B3" s="198">
        <f>'SER_se-appl'!B7</f>
        <v>526.8493603710034</v>
      </c>
      <c r="C3" s="198">
        <f>'SER_se-appl'!C7</f>
        <v>539.7088437744876</v>
      </c>
      <c r="D3" s="198">
        <f>'SER_se-appl'!D7</f>
        <v>558.82839427409021</v>
      </c>
      <c r="E3" s="198">
        <f>'SER_se-appl'!E7</f>
        <v>582.7868683413609</v>
      </c>
      <c r="F3" s="198">
        <f>'SER_se-appl'!F7</f>
        <v>613.08921400186091</v>
      </c>
      <c r="G3" s="198">
        <f>'SER_se-appl'!G7</f>
        <v>643.69519607506993</v>
      </c>
      <c r="H3" s="198">
        <f>'SER_se-appl'!H7</f>
        <v>675.80808978980099</v>
      </c>
      <c r="I3" s="198">
        <f>'SER_se-appl'!I7</f>
        <v>700.86780889867384</v>
      </c>
      <c r="J3" s="198">
        <f>'SER_se-appl'!J7</f>
        <v>728.70583678993376</v>
      </c>
      <c r="K3" s="198">
        <f>'SER_se-appl'!K7</f>
        <v>741.33338005359724</v>
      </c>
      <c r="L3" s="198">
        <f>'SER_se-appl'!L7</f>
        <v>746.70045182798219</v>
      </c>
      <c r="M3" s="198">
        <f>'SER_se-appl'!M7</f>
        <v>748.78761419062687</v>
      </c>
      <c r="N3" s="198">
        <f>'SER_se-appl'!N7</f>
        <v>750.74824542774104</v>
      </c>
      <c r="O3" s="198">
        <f>'SER_se-appl'!O7</f>
        <v>758.13485440317754</v>
      </c>
      <c r="P3" s="198">
        <f>'SER_se-appl'!P7</f>
        <v>778.91067978764227</v>
      </c>
      <c r="Q3" s="198">
        <f>'SER_se-appl'!Q7</f>
        <v>789.21183038323375</v>
      </c>
      <c r="R3" s="198">
        <f>'SER_se-appl'!R7</f>
        <v>786.57404215891449</v>
      </c>
      <c r="S3" s="198">
        <f>'SER_se-appl'!S7</f>
        <v>787.4197881149405</v>
      </c>
      <c r="T3" s="198">
        <f>'SER_se-appl'!T7</f>
        <v>785.59160206141644</v>
      </c>
      <c r="U3" s="198">
        <f>'SER_se-appl'!U7</f>
        <v>785.19372626595509</v>
      </c>
      <c r="V3" s="198">
        <f>'SER_se-appl'!V7</f>
        <v>784.5017599993231</v>
      </c>
      <c r="W3" s="198">
        <f>'SER_se-appl'!W7</f>
        <v>782.45516733049658</v>
      </c>
      <c r="X3" s="198">
        <f>'SER_se-appl'!X7</f>
        <v>776.95216926970272</v>
      </c>
      <c r="Y3" s="198">
        <f>'SER_se-appl'!Y7</f>
        <v>769.00321488025236</v>
      </c>
      <c r="DA3" s="205" t="s">
        <v>912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DA4" s="106"/>
    </row>
    <row r="5" spans="1:105" ht="12.95" customHeight="1" x14ac:dyDescent="0.25">
      <c r="A5" s="199" t="s">
        <v>108</v>
      </c>
      <c r="B5" s="59">
        <f>'SER_se-appl'!B15</f>
        <v>699.4586827756591</v>
      </c>
      <c r="C5" s="59">
        <f>'SER_se-appl'!C15</f>
        <v>716.53126176909745</v>
      </c>
      <c r="D5" s="59">
        <f>'SER_se-appl'!D15</f>
        <v>741.91486591411797</v>
      </c>
      <c r="E5" s="59">
        <f>'SER_se-appl'!E15</f>
        <v>773.72274872260596</v>
      </c>
      <c r="F5" s="59">
        <f>'SER_se-appl'!F15</f>
        <v>813.95291767598667</v>
      </c>
      <c r="G5" s="59">
        <f>'SER_se-appl'!G15</f>
        <v>854.58620209509854</v>
      </c>
      <c r="H5" s="59">
        <f>'SER_se-appl'!H15</f>
        <v>897.2201009423959</v>
      </c>
      <c r="I5" s="59">
        <f>'SER_se-appl'!I15</f>
        <v>930.49002482780577</v>
      </c>
      <c r="J5" s="59">
        <f>'SER_se-appl'!J15</f>
        <v>967.44850249622459</v>
      </c>
      <c r="K5" s="59">
        <f>'SER_se-appl'!K15</f>
        <v>984.21315182914771</v>
      </c>
      <c r="L5" s="59">
        <f>'SER_se-appl'!L15</f>
        <v>991.33861355701265</v>
      </c>
      <c r="M5" s="59">
        <f>'SER_se-appl'!M15</f>
        <v>994.10958368002139</v>
      </c>
      <c r="N5" s="59">
        <f>'SER_se-appl'!N15</f>
        <v>996.71256784527725</v>
      </c>
      <c r="O5" s="59">
        <f>'SER_se-appl'!O15</f>
        <v>1006.5192188023918</v>
      </c>
      <c r="P5" s="59">
        <f>'SER_se-appl'!P15</f>
        <v>1034.1017358367897</v>
      </c>
      <c r="Q5" s="59">
        <f>'SER_se-appl'!Q15</f>
        <v>1047.7778067759148</v>
      </c>
      <c r="R5" s="59">
        <f>'SER_se-appl'!R15</f>
        <v>1044.2758116790158</v>
      </c>
      <c r="S5" s="59">
        <f>'SER_se-appl'!S15</f>
        <v>1045.3986456366165</v>
      </c>
      <c r="T5" s="59">
        <f>'SER_se-appl'!T15</f>
        <v>1042.9714990838213</v>
      </c>
      <c r="U5" s="59">
        <f>'SER_se-appl'!U15</f>
        <v>1042.4432690037738</v>
      </c>
      <c r="V5" s="59">
        <f>'SER_se-appl'!V15</f>
        <v>1041.5245968940785</v>
      </c>
      <c r="W5" s="59">
        <f>'SER_se-appl'!W15</f>
        <v>1038.8074881339815</v>
      </c>
      <c r="X5" s="59">
        <f>'SER_se-appl'!X15</f>
        <v>1031.5015671925394</v>
      </c>
      <c r="Y5" s="59">
        <f>'SER_se-appl'!Y15</f>
        <v>1020.9483320841708</v>
      </c>
      <c r="DA5" s="104" t="s">
        <v>919</v>
      </c>
    </row>
    <row r="6" spans="1:105" ht="12" customHeight="1" x14ac:dyDescent="0.25">
      <c r="A6" s="200" t="str">
        <f>"Penetration factor "&amp;MID('SER_se-appl'!A71,FIND("(",'SER_se-appl'!A71),100)</f>
        <v>Penetration factor (unit per capita)</v>
      </c>
      <c r="B6" s="201">
        <f>'SER_se-appl'!B71</f>
        <v>1.8870868994584535E-2</v>
      </c>
      <c r="C6" s="201">
        <f>'SER_se-appl'!C71</f>
        <v>1.9552802248840744E-2</v>
      </c>
      <c r="D6" s="201">
        <f>'SER_se-appl'!D71</f>
        <v>2.0553574898197004E-2</v>
      </c>
      <c r="E6" s="201">
        <f>'SER_se-appl'!E71</f>
        <v>2.1737044989368442E-2</v>
      </c>
      <c r="F6" s="201">
        <f>'SER_se-appl'!F71</f>
        <v>2.3121931660101774E-2</v>
      </c>
      <c r="G6" s="201">
        <f>'SER_se-appl'!G71</f>
        <v>2.4550815500747596E-2</v>
      </c>
      <c r="H6" s="201">
        <f>'SER_se-appl'!H71</f>
        <v>2.616734045067717E-2</v>
      </c>
      <c r="I6" s="201">
        <f>'SER_se-appl'!I71</f>
        <v>2.7554845046198664E-2</v>
      </c>
      <c r="J6" s="201">
        <f>'SER_se-appl'!J71</f>
        <v>2.8985913868112612E-2</v>
      </c>
      <c r="K6" s="201">
        <f>'SER_se-appl'!K71</f>
        <v>2.9845495559244907E-2</v>
      </c>
      <c r="L6" s="201">
        <f>'SER_se-appl'!L71</f>
        <v>3.0523512102795764E-2</v>
      </c>
      <c r="M6" s="201">
        <f>'SER_se-appl'!M71</f>
        <v>3.0949067903187008E-2</v>
      </c>
      <c r="N6" s="201">
        <f>'SER_se-appl'!N71</f>
        <v>3.1452595013463973E-2</v>
      </c>
      <c r="O6" s="201">
        <f>'SER_se-appl'!O71</f>
        <v>3.2297180682928868E-2</v>
      </c>
      <c r="P6" s="201">
        <f>'SER_se-appl'!P71</f>
        <v>3.3955532644822949E-2</v>
      </c>
      <c r="Q6" s="201">
        <f>'SER_se-appl'!Q71</f>
        <v>3.5206242351821987E-2</v>
      </c>
      <c r="R6" s="201">
        <f>'SER_se-appl'!R71</f>
        <v>3.5906949051991571E-2</v>
      </c>
      <c r="S6" s="201">
        <f>'SER_se-appl'!S71</f>
        <v>3.6726623593216698E-2</v>
      </c>
      <c r="T6" s="201">
        <f>'SER_se-appl'!T71</f>
        <v>3.7490706155266305E-2</v>
      </c>
      <c r="U6" s="201">
        <f>'SER_se-appl'!U71</f>
        <v>3.821074363206111E-2</v>
      </c>
      <c r="V6" s="201">
        <f>'SER_se-appl'!V71</f>
        <v>3.8901656823192667E-2</v>
      </c>
      <c r="W6" s="201">
        <f>'SER_se-appl'!W71</f>
        <v>3.9655809443543043E-2</v>
      </c>
      <c r="X6" s="201">
        <f>'SER_se-appl'!X71</f>
        <v>4.0192398479629153E-2</v>
      </c>
      <c r="Y6" s="201">
        <f>'SER_se-appl'!Y71</f>
        <v>4.0572325084208119E-2</v>
      </c>
      <c r="DA6" s="206" t="s">
        <v>961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DA7" s="106"/>
    </row>
    <row r="8" spans="1:105" ht="12.95" customHeight="1" x14ac:dyDescent="0.25">
      <c r="A8" s="199" t="str">
        <f>"Stock of appliances "&amp;MID('SER_se-appl'!A23,FIND("(",'SER_se-appl'!A23),100)</f>
        <v>Stock of appliances (thousand units)</v>
      </c>
      <c r="B8" s="34">
        <f>'SER_se-appl'!B23</f>
        <v>1074.1963641140887</v>
      </c>
      <c r="C8" s="34">
        <f>'SER_se-appl'!C23</f>
        <v>1113.7411466331248</v>
      </c>
      <c r="D8" s="34">
        <f>'SER_se-appl'!D23</f>
        <v>1171.4154436381643</v>
      </c>
      <c r="E8" s="34">
        <f>'SER_se-appl'!E23</f>
        <v>1243.0628713650297</v>
      </c>
      <c r="F8" s="34">
        <f>'SER_se-appl'!F23</f>
        <v>1332.1004955824667</v>
      </c>
      <c r="G8" s="34">
        <f>'SER_se-appl'!G23</f>
        <v>1425.0365696254978</v>
      </c>
      <c r="H8" s="34">
        <f>'SER_se-appl'!H23</f>
        <v>1525.2680028601599</v>
      </c>
      <c r="I8" s="34">
        <f>'SER_se-appl'!I23</f>
        <v>1612.2539609157425</v>
      </c>
      <c r="J8" s="34">
        <f>'SER_se-appl'!J23</f>
        <v>1710.2201943002767</v>
      </c>
      <c r="K8" s="34">
        <f>'SER_se-appl'!K23</f>
        <v>1773.4370146637034</v>
      </c>
      <c r="L8" s="34">
        <f>'SER_se-appl'!L23</f>
        <v>1821.9580828457038</v>
      </c>
      <c r="M8" s="34">
        <f>'SER_se-appl'!M23</f>
        <v>1855.3501043470028</v>
      </c>
      <c r="N8" s="34">
        <f>'SER_se-appl'!N23</f>
        <v>1890.4640420143294</v>
      </c>
      <c r="O8" s="34">
        <f>'SER_se-appl'!O23</f>
        <v>1946.7871398537345</v>
      </c>
      <c r="P8" s="34">
        <f>'SER_se-appl'!P23</f>
        <v>2049.0777546752761</v>
      </c>
      <c r="Q8" s="34">
        <f>'SER_se-appl'!Q23</f>
        <v>2122.7778801055556</v>
      </c>
      <c r="R8" s="34">
        <f>'SER_se-appl'!R23</f>
        <v>2160.2953415626939</v>
      </c>
      <c r="S8" s="34">
        <f>'SER_se-appl'!S23</f>
        <v>2206.0483300918718</v>
      </c>
      <c r="T8" s="34">
        <f>'SER_se-appl'!T23</f>
        <v>2247.10928518123</v>
      </c>
      <c r="U8" s="34">
        <f>'SER_se-appl'!U23</f>
        <v>2285.639556925832</v>
      </c>
      <c r="V8" s="34">
        <f>'SER_se-appl'!V23</f>
        <v>2320.1526986005638</v>
      </c>
      <c r="W8" s="34">
        <f>'SER_se-appl'!W23</f>
        <v>2349.0599748851268</v>
      </c>
      <c r="X8" s="34">
        <f>'SER_se-appl'!X23</f>
        <v>2372.5626278415066</v>
      </c>
      <c r="Y8" s="34">
        <f>'SER_se-appl'!Y23</f>
        <v>2393.6536180303683</v>
      </c>
      <c r="DA8" s="88" t="s">
        <v>925</v>
      </c>
    </row>
    <row r="9" spans="1:105" ht="12.95" customHeight="1" x14ac:dyDescent="0.25">
      <c r="A9" s="202" t="str">
        <f>"Number of new appliances "&amp;MID('SER_se-appl'!A31,FIND("(",'SER_se-appl'!A31),100)</f>
        <v>Number of new appliances (thousand units)</v>
      </c>
      <c r="B9" s="36"/>
      <c r="C9" s="36">
        <f>'SER_se-appl'!C31</f>
        <v>137.17108065584364</v>
      </c>
      <c r="D9" s="36">
        <f>'SER_se-appl'!D31</f>
        <v>157.35701356558093</v>
      </c>
      <c r="E9" s="36">
        <f>'SER_se-appl'!E31</f>
        <v>173.42987948965401</v>
      </c>
      <c r="F9" s="36">
        <f>'SER_se-appl'!F31</f>
        <v>192.96404039363074</v>
      </c>
      <c r="G9" s="36">
        <f>'SER_se-appl'!G31</f>
        <v>199.05161549608283</v>
      </c>
      <c r="H9" s="36">
        <f>'SER_se-appl'!H31</f>
        <v>208.58221210481565</v>
      </c>
      <c r="I9" s="36">
        <f>'SER_se-appl'!I31</f>
        <v>197.61905779774406</v>
      </c>
      <c r="J9" s="36">
        <f>'SER_se-appl'!J31</f>
        <v>210.9297292282231</v>
      </c>
      <c r="K9" s="36">
        <f>'SER_se-appl'!K31</f>
        <v>178.55980020370021</v>
      </c>
      <c r="L9" s="36">
        <f>'SER_se-appl'!L31</f>
        <v>166.29365391042825</v>
      </c>
      <c r="M9" s="36">
        <f>'SER_se-appl'!M31</f>
        <v>170.56310215714257</v>
      </c>
      <c r="N9" s="36">
        <f>'SER_se-appl'!N31</f>
        <v>192.47095123290751</v>
      </c>
      <c r="O9" s="36">
        <f>'SER_se-appl'!O31</f>
        <v>229.75297732905915</v>
      </c>
      <c r="P9" s="36">
        <f>'SER_se-appl'!P31</f>
        <v>295.25465521517231</v>
      </c>
      <c r="Q9" s="36">
        <f>'SER_se-appl'!Q31</f>
        <v>272.75174092636234</v>
      </c>
      <c r="R9" s="36">
        <f>'SER_se-appl'!R31</f>
        <v>246.09967356195398</v>
      </c>
      <c r="S9" s="36">
        <f>'SER_se-appl'!S31</f>
        <v>243.37204632692192</v>
      </c>
      <c r="T9" s="36">
        <f>'SER_se-appl'!T31</f>
        <v>251.99068431758133</v>
      </c>
      <c r="U9" s="36">
        <f>'SER_se-appl'!U31</f>
        <v>217.09007194830247</v>
      </c>
      <c r="V9" s="36">
        <f>'SER_se-appl'!V31</f>
        <v>200.80679558516022</v>
      </c>
      <c r="W9" s="36">
        <f>'SER_se-appl'!W31</f>
        <v>199.47037844170563</v>
      </c>
      <c r="X9" s="36">
        <f>'SER_se-appl'!X31</f>
        <v>215.97360418928747</v>
      </c>
      <c r="Y9" s="36">
        <f>'SER_se-appl'!Y31</f>
        <v>250.84396751792065</v>
      </c>
      <c r="DA9" s="89" t="s">
        <v>931</v>
      </c>
    </row>
    <row r="10" spans="1:105" ht="12" customHeight="1" x14ac:dyDescent="0.25">
      <c r="A10" s="203" t="str">
        <f>"Number of replaced appliances "&amp;MID('SER_se-appl'!A39,FIND("(",'SER_se-appl'!A39),100)</f>
        <v>Number of replaced appliances (thousand units)</v>
      </c>
      <c r="B10" s="38"/>
      <c r="C10" s="38">
        <f>'SER_se-appl'!C39</f>
        <v>97.626298136807463</v>
      </c>
      <c r="D10" s="38">
        <f>'SER_se-appl'!D39</f>
        <v>99.682716560541394</v>
      </c>
      <c r="E10" s="38">
        <f>'SER_se-appl'!E39</f>
        <v>101.7824517627887</v>
      </c>
      <c r="F10" s="38">
        <f>'SER_se-appl'!F39</f>
        <v>103.9264161761937</v>
      </c>
      <c r="G10" s="38">
        <f>'SER_se-appl'!G39</f>
        <v>106.11554145305172</v>
      </c>
      <c r="H10" s="38">
        <f>'SER_se-appl'!H39</f>
        <v>108.35077887015359</v>
      </c>
      <c r="I10" s="38">
        <f>'SER_se-appl'!I39</f>
        <v>110.63309974216145</v>
      </c>
      <c r="J10" s="38">
        <f>'SER_se-appl'!J39</f>
        <v>112.96349584368886</v>
      </c>
      <c r="K10" s="38">
        <f>'SER_se-appl'!K39</f>
        <v>115.34297984027353</v>
      </c>
      <c r="L10" s="38">
        <f>'SER_se-appl'!L39</f>
        <v>117.77258572842788</v>
      </c>
      <c r="M10" s="38">
        <f>'SER_se-appl'!M39</f>
        <v>137.17108065584353</v>
      </c>
      <c r="N10" s="38">
        <f>'SER_se-appl'!N39</f>
        <v>157.35701356558093</v>
      </c>
      <c r="O10" s="38">
        <f>'SER_se-appl'!O39</f>
        <v>173.42987948965401</v>
      </c>
      <c r="P10" s="38">
        <f>'SER_se-appl'!P39</f>
        <v>192.96404039363097</v>
      </c>
      <c r="Q10" s="38">
        <f>'SER_se-appl'!Q39</f>
        <v>199.05161549608283</v>
      </c>
      <c r="R10" s="38">
        <f>'SER_se-appl'!R39</f>
        <v>208.58221210481543</v>
      </c>
      <c r="S10" s="38">
        <f>'SER_se-appl'!S39</f>
        <v>197.61905779774406</v>
      </c>
      <c r="T10" s="38">
        <f>'SER_se-appl'!T39</f>
        <v>210.9297292282231</v>
      </c>
      <c r="U10" s="38">
        <f>'SER_se-appl'!U39</f>
        <v>178.55980020370043</v>
      </c>
      <c r="V10" s="38">
        <f>'SER_se-appl'!V39</f>
        <v>166.29365391042847</v>
      </c>
      <c r="W10" s="38">
        <f>'SER_se-appl'!W39</f>
        <v>170.56310215714257</v>
      </c>
      <c r="X10" s="38">
        <f>'SER_se-appl'!X39</f>
        <v>192.47095123290774</v>
      </c>
      <c r="Y10" s="38">
        <f>'SER_se-appl'!Y39</f>
        <v>229.75297732905892</v>
      </c>
      <c r="DA10" s="90" t="s">
        <v>937</v>
      </c>
    </row>
    <row r="11" spans="1:105" ht="12.95" customHeight="1" x14ac:dyDescent="0.25">
      <c r="A11" s="5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DA11" s="207"/>
    </row>
    <row r="12" spans="1:105" ht="12" customHeight="1" x14ac:dyDescent="0.25">
      <c r="A12" s="197" t="s">
        <v>104</v>
      </c>
      <c r="B12" s="204">
        <f>'SER_se-appl'!B47</f>
        <v>8759.9999999999945</v>
      </c>
      <c r="C12" s="204">
        <f>'SER_se-appl'!C47</f>
        <v>8759.9999999999964</v>
      </c>
      <c r="D12" s="204">
        <f>'SER_se-appl'!D47</f>
        <v>8759.9999999999945</v>
      </c>
      <c r="E12" s="204">
        <f>'SER_se-appl'!E47</f>
        <v>8759.9999999999982</v>
      </c>
      <c r="F12" s="204">
        <f>'SER_se-appl'!F47</f>
        <v>8760</v>
      </c>
      <c r="G12" s="204">
        <f>'SER_se-appl'!G47</f>
        <v>8760</v>
      </c>
      <c r="H12" s="204">
        <f>'SER_se-appl'!H47</f>
        <v>8759.9999999999964</v>
      </c>
      <c r="I12" s="204">
        <f>'SER_se-appl'!I47</f>
        <v>8759.9999999999982</v>
      </c>
      <c r="J12" s="204">
        <f>'SER_se-appl'!J47</f>
        <v>8760.0000000000036</v>
      </c>
      <c r="K12" s="204">
        <f>'SER_se-appl'!K47</f>
        <v>8760.0000000000018</v>
      </c>
      <c r="L12" s="204">
        <f>'SER_se-appl'!L47</f>
        <v>8760.0000000000018</v>
      </c>
      <c r="M12" s="204">
        <f>'SER_se-appl'!M47</f>
        <v>8760.0000000000018</v>
      </c>
      <c r="N12" s="204">
        <f>'SER_se-appl'!N47</f>
        <v>8760</v>
      </c>
      <c r="O12" s="204">
        <f>'SER_se-appl'!O47</f>
        <v>8760.0000000000018</v>
      </c>
      <c r="P12" s="204">
        <f>'SER_se-appl'!P47</f>
        <v>8760.0000000000018</v>
      </c>
      <c r="Q12" s="204">
        <f>'SER_se-appl'!Q47</f>
        <v>8759.9999999999964</v>
      </c>
      <c r="R12" s="204">
        <f>'SER_se-appl'!R47</f>
        <v>8759.9999999999982</v>
      </c>
      <c r="S12" s="204">
        <f>'SER_se-appl'!S47</f>
        <v>8759.9999999999982</v>
      </c>
      <c r="T12" s="204">
        <f>'SER_se-appl'!T47</f>
        <v>8759.9999999999982</v>
      </c>
      <c r="U12" s="204">
        <f>'SER_se-appl'!U47</f>
        <v>8760</v>
      </c>
      <c r="V12" s="204">
        <f>'SER_se-appl'!V47</f>
        <v>8760</v>
      </c>
      <c r="W12" s="204">
        <f>'SER_se-appl'!W47</f>
        <v>8759.9999999999982</v>
      </c>
      <c r="X12" s="204">
        <f>'SER_se-appl'!X47</f>
        <v>8759.9999999999982</v>
      </c>
      <c r="Y12" s="204">
        <f>'SER_se-appl'!Y47</f>
        <v>8759.9999999999982</v>
      </c>
      <c r="DA12" s="208" t="s">
        <v>943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DA13" s="209"/>
    </row>
    <row r="14" spans="1:105" ht="12.95" customHeight="1" x14ac:dyDescent="0.25">
      <c r="A14" s="199" t="str">
        <f>"W per appliance in average operating mode "&amp;MID('SER_se-appl'!A55,FIND("(",'SER_se-appl'!A55),100)</f>
        <v>W per appliance in average operating mode (W per appliance)</v>
      </c>
      <c r="B14" s="59">
        <f>'SER_se-appl'!B55</f>
        <v>651.1460158892985</v>
      </c>
      <c r="C14" s="59">
        <f>'SER_se-appl'!C55</f>
        <v>643.35529304560077</v>
      </c>
      <c r="D14" s="59">
        <f>'SER_se-appl'!D55</f>
        <v>633.34905642859724</v>
      </c>
      <c r="E14" s="59">
        <f>'SER_se-appl'!E55</f>
        <v>622.43251451390154</v>
      </c>
      <c r="F14" s="59">
        <f>'SER_se-appl'!F55</f>
        <v>611.02966358411436</v>
      </c>
      <c r="G14" s="59">
        <f>'SER_se-appl'!G55</f>
        <v>599.69422561533656</v>
      </c>
      <c r="H14" s="59">
        <f>'SER_se-appl'!H55</f>
        <v>588.23767315641715</v>
      </c>
      <c r="I14" s="59">
        <f>'SER_se-appl'!I55</f>
        <v>577.13613821689592</v>
      </c>
      <c r="J14" s="59">
        <f>'SER_se-appl'!J55</f>
        <v>565.68651552617678</v>
      </c>
      <c r="K14" s="59">
        <f>'SER_se-appl'!K55</f>
        <v>554.97496877033655</v>
      </c>
      <c r="L14" s="59">
        <f>'SER_se-appl'!L55</f>
        <v>544.10615858332358</v>
      </c>
      <c r="M14" s="59">
        <f>'SER_se-appl'!M55</f>
        <v>535.80700556238241</v>
      </c>
      <c r="N14" s="59">
        <f>'SER_se-appl'!N55</f>
        <v>527.23169851104865</v>
      </c>
      <c r="O14" s="59">
        <f>'SER_se-appl'!O55</f>
        <v>517.01554741008476</v>
      </c>
      <c r="P14" s="59">
        <f>'SER_se-appl'!P55</f>
        <v>504.6669085530466</v>
      </c>
      <c r="Q14" s="59">
        <f>'SER_se-appl'!Q55</f>
        <v>493.58805581854551</v>
      </c>
      <c r="R14" s="59">
        <f>'SER_se-appl'!R55</f>
        <v>483.39492827106574</v>
      </c>
      <c r="S14" s="59">
        <f>'SER_se-appl'!S55</f>
        <v>473.87839666825454</v>
      </c>
      <c r="T14" s="59">
        <f>'SER_se-appl'!T55</f>
        <v>464.13919695040789</v>
      </c>
      <c r="U14" s="59">
        <f>'SER_se-appl'!U55</f>
        <v>456.08384132354286</v>
      </c>
      <c r="V14" s="59">
        <f>'SER_se-appl'!V55</f>
        <v>448.9034698114009</v>
      </c>
      <c r="W14" s="59">
        <f>'SER_se-appl'!W55</f>
        <v>442.22263341095874</v>
      </c>
      <c r="X14" s="59">
        <f>'SER_se-appl'!X55</f>
        <v>434.7626296933505</v>
      </c>
      <c r="Y14" s="59">
        <f>'SER_se-appl'!Y55</f>
        <v>426.52300416142248</v>
      </c>
      <c r="DA14" s="104" t="s">
        <v>949</v>
      </c>
    </row>
    <row r="15" spans="1:105" ht="12" customHeight="1" x14ac:dyDescent="0.25">
      <c r="A15" s="203" t="str">
        <f>"W per new appliance in average operating mode "&amp;MID('SER_se-appl'!A55,FIND("(",'SER_se-appl'!A55),100)</f>
        <v>W per new appliance in average operating mode (W per appliance)</v>
      </c>
      <c r="B15" s="63"/>
      <c r="C15" s="63">
        <f>'SER_se-appl'!C63</f>
        <v>587.89034602393883</v>
      </c>
      <c r="D15" s="63">
        <f>'SER_se-appl'!D63</f>
        <v>573.80097550471601</v>
      </c>
      <c r="E15" s="63">
        <f>'SER_se-appl'!E63</f>
        <v>565.54914902725125</v>
      </c>
      <c r="F15" s="63">
        <f>'SER_se-appl'!F63</f>
        <v>559.17900854507639</v>
      </c>
      <c r="G15" s="63">
        <f>'SER_se-appl'!G63</f>
        <v>551.26403363634802</v>
      </c>
      <c r="H15" s="63">
        <f>'SER_se-appl'!H63</f>
        <v>542.64491533066325</v>
      </c>
      <c r="I15" s="63">
        <f>'SER_se-appl'!I63</f>
        <v>532.88497162951273</v>
      </c>
      <c r="J15" s="63">
        <f>'SER_se-appl'!J63</f>
        <v>523.93850943784798</v>
      </c>
      <c r="K15" s="63">
        <f>'SER_se-appl'!K63</f>
        <v>514.50422218165761</v>
      </c>
      <c r="L15" s="63">
        <f>'SER_se-appl'!L63</f>
        <v>504.00366902188688</v>
      </c>
      <c r="M15" s="63">
        <f>'SER_se-appl'!M63</f>
        <v>489.04202104275004</v>
      </c>
      <c r="N15" s="63">
        <f>'SER_se-appl'!N63</f>
        <v>482.64214135505716</v>
      </c>
      <c r="O15" s="63">
        <f>'SER_se-appl'!O63</f>
        <v>469.59030943857567</v>
      </c>
      <c r="P15" s="63">
        <f>'SER_se-appl'!P63</f>
        <v>458.87153829233927</v>
      </c>
      <c r="Q15" s="63">
        <f>'SER_se-appl'!Q63</f>
        <v>452.44832161362535</v>
      </c>
      <c r="R15" s="63">
        <f>'SER_se-appl'!R63</f>
        <v>445.68966769713785</v>
      </c>
      <c r="S15" s="63">
        <f>'SER_se-appl'!S63</f>
        <v>437.3183427263192</v>
      </c>
      <c r="T15" s="63">
        <f>'SER_se-appl'!T63</f>
        <v>428.93276657381392</v>
      </c>
      <c r="U15" s="63">
        <f>'SER_se-appl'!U63</f>
        <v>420.75411471797656</v>
      </c>
      <c r="V15" s="63">
        <f>'SER_se-appl'!V63</f>
        <v>412.80445392627018</v>
      </c>
      <c r="W15" s="63">
        <f>'SER_se-appl'!W63</f>
        <v>404.54836484774478</v>
      </c>
      <c r="X15" s="63">
        <f>'SER_se-appl'!X63</f>
        <v>396.29227576921937</v>
      </c>
      <c r="Y15" s="63">
        <f>'SER_se-appl'!Y63</f>
        <v>388.03618669069397</v>
      </c>
      <c r="DA15" s="105" t="s">
        <v>955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8" tint="0.59999389629810485"/>
    <pageSetUpPr fitToPage="1"/>
  </sheetPr>
  <dimension ref="A1:DA15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971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97" t="s">
        <v>81</v>
      </c>
      <c r="B3" s="198">
        <f>'SER_se-appl'!B8</f>
        <v>161.61619623788332</v>
      </c>
      <c r="C3" s="198">
        <f>'SER_se-appl'!C8</f>
        <v>172.94062630639542</v>
      </c>
      <c r="D3" s="198">
        <f>'SER_se-appl'!D8</f>
        <v>186.21462254852412</v>
      </c>
      <c r="E3" s="198">
        <f>'SER_se-appl'!E8</f>
        <v>201.15470173414818</v>
      </c>
      <c r="F3" s="198">
        <f>'SER_se-appl'!F8</f>
        <v>219.43881713011501</v>
      </c>
      <c r="G3" s="198">
        <f>'SER_se-appl'!G8</f>
        <v>230.93873649195032</v>
      </c>
      <c r="H3" s="198">
        <f>'SER_se-appl'!H8</f>
        <v>257.25660429011856</v>
      </c>
      <c r="I3" s="198">
        <f>'SER_se-appl'!I8</f>
        <v>281.6356321998224</v>
      </c>
      <c r="J3" s="198">
        <f>'SER_se-appl'!J8</f>
        <v>296.4077281485666</v>
      </c>
      <c r="K3" s="198">
        <f>'SER_se-appl'!K8</f>
        <v>305.99078219819597</v>
      </c>
      <c r="L3" s="198">
        <f>'SER_se-appl'!L8</f>
        <v>315.90541169957686</v>
      </c>
      <c r="M3" s="198">
        <f>'SER_se-appl'!M8</f>
        <v>323.84955552657368</v>
      </c>
      <c r="N3" s="198">
        <f>'SER_se-appl'!N8</f>
        <v>330.94509632956493</v>
      </c>
      <c r="O3" s="198">
        <f>'SER_se-appl'!O8</f>
        <v>334.84508600801212</v>
      </c>
      <c r="P3" s="198">
        <f>'SER_se-appl'!P8</f>
        <v>341.6623050629089</v>
      </c>
      <c r="Q3" s="198">
        <f>'SER_se-appl'!Q8</f>
        <v>343.70274689668503</v>
      </c>
      <c r="R3" s="198">
        <f>'SER_se-appl'!R8</f>
        <v>352.95447596965215</v>
      </c>
      <c r="S3" s="198">
        <f>'SER_se-appl'!S8</f>
        <v>368.93487165461954</v>
      </c>
      <c r="T3" s="198">
        <f>'SER_se-appl'!T8</f>
        <v>374.47343311950556</v>
      </c>
      <c r="U3" s="198">
        <f>'SER_se-appl'!U8</f>
        <v>377.66935959476831</v>
      </c>
      <c r="V3" s="198">
        <f>'SER_se-appl'!V8</f>
        <v>324.54667964228474</v>
      </c>
      <c r="W3" s="198">
        <f>'SER_se-appl'!W8</f>
        <v>344.23163166209866</v>
      </c>
      <c r="X3" s="198">
        <f>'SER_se-appl'!X8</f>
        <v>360.35825016750169</v>
      </c>
      <c r="Y3" s="198">
        <f>'SER_se-appl'!Y8</f>
        <v>368.86708737726002</v>
      </c>
      <c r="DA3" s="205" t="s">
        <v>913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DA4" s="106"/>
    </row>
    <row r="5" spans="1:105" ht="12.95" customHeight="1" x14ac:dyDescent="0.25">
      <c r="A5" s="199" t="s">
        <v>108</v>
      </c>
      <c r="B5" s="59">
        <f>'SER_se-appl'!B16</f>
        <v>2092.7482549726633</v>
      </c>
      <c r="C5" s="59">
        <f>'SER_se-appl'!C16</f>
        <v>2228.740477170737</v>
      </c>
      <c r="D5" s="59">
        <f>'SER_se-appl'!D16</f>
        <v>2389.3888136512523</v>
      </c>
      <c r="E5" s="59">
        <f>'SER_se-appl'!E16</f>
        <v>2570.7812745082438</v>
      </c>
      <c r="F5" s="59">
        <f>'SER_se-appl'!F16</f>
        <v>2794.0820748185479</v>
      </c>
      <c r="G5" s="59">
        <f>'SER_se-appl'!G16</f>
        <v>2930.3826194749254</v>
      </c>
      <c r="H5" s="59">
        <f>'SER_se-appl'!H16</f>
        <v>3253.8133825400564</v>
      </c>
      <c r="I5" s="59">
        <f>'SER_se-appl'!I16</f>
        <v>3551.3809574022057</v>
      </c>
      <c r="J5" s="59">
        <f>'SER_se-appl'!J16</f>
        <v>3726.9880889737392</v>
      </c>
      <c r="K5" s="59">
        <f>'SER_se-appl'!K16</f>
        <v>3837.0969384030145</v>
      </c>
      <c r="L5" s="59">
        <f>'SER_se-appl'!L16</f>
        <v>3951.2787910568736</v>
      </c>
      <c r="M5" s="59">
        <f>'SER_se-appl'!M16</f>
        <v>4044.0601168259741</v>
      </c>
      <c r="N5" s="59">
        <f>'SER_se-appl'!N16</f>
        <v>4126.2620144205639</v>
      </c>
      <c r="O5" s="59">
        <f>'SER_se-appl'!O16</f>
        <v>4168.7060838116586</v>
      </c>
      <c r="P5" s="59">
        <f>'SER_se-appl'!P16</f>
        <v>4247.5480383893109</v>
      </c>
      <c r="Q5" s="59">
        <f>'SER_se-appl'!Q16</f>
        <v>4267.1044819822728</v>
      </c>
      <c r="R5" s="59">
        <f>'SER_se-appl'!R16</f>
        <v>4360.331583526051</v>
      </c>
      <c r="S5" s="59">
        <f>'SER_se-appl'!S16</f>
        <v>4461.0647471163129</v>
      </c>
      <c r="T5" s="59">
        <f>'SER_se-appl'!T16</f>
        <v>4545.7734446005861</v>
      </c>
      <c r="U5" s="59">
        <f>'SER_se-appl'!U16</f>
        <v>4609.2128203020638</v>
      </c>
      <c r="V5" s="59">
        <f>'SER_se-appl'!V16</f>
        <v>4677.7390238473818</v>
      </c>
      <c r="W5" s="59">
        <f>'SER_se-appl'!W16</f>
        <v>4688.8552576342463</v>
      </c>
      <c r="X5" s="59">
        <f>'SER_se-appl'!X16</f>
        <v>4683.0680472169925</v>
      </c>
      <c r="Y5" s="59">
        <f>'SER_se-appl'!Y16</f>
        <v>4686.0292410192969</v>
      </c>
      <c r="DA5" s="104" t="s">
        <v>920</v>
      </c>
    </row>
    <row r="6" spans="1:105" ht="12" customHeight="1" x14ac:dyDescent="0.25">
      <c r="A6" s="200" t="str">
        <f>"Penetration factor "&amp;MID('SER_se-appl'!A72,FIND("(",'SER_se-appl'!A72),100)</f>
        <v>Penetration factor (sqm per building cell)</v>
      </c>
      <c r="B6" s="201">
        <f>'SER_se-appl'!B72</f>
        <v>76.186745173641413</v>
      </c>
      <c r="C6" s="201">
        <f>'SER_se-appl'!C72</f>
        <v>80.237498319224201</v>
      </c>
      <c r="D6" s="201">
        <f>'SER_se-appl'!D72</f>
        <v>85.118251359060267</v>
      </c>
      <c r="E6" s="201">
        <f>'SER_se-appl'!E72</f>
        <v>91.222801012345499</v>
      </c>
      <c r="F6" s="201">
        <f>'SER_se-appl'!F72</f>
        <v>99.23145396412248</v>
      </c>
      <c r="G6" s="201">
        <f>'SER_se-appl'!G72</f>
        <v>104.21411579109026</v>
      </c>
      <c r="H6" s="201">
        <f>'SER_se-appl'!H72</f>
        <v>114.43803349228503</v>
      </c>
      <c r="I6" s="201">
        <f>'SER_se-appl'!I72</f>
        <v>123.9794340797622</v>
      </c>
      <c r="J6" s="201">
        <f>'SER_se-appl'!J72</f>
        <v>130.45413264051976</v>
      </c>
      <c r="K6" s="201">
        <f>'SER_se-appl'!K72</f>
        <v>135.34876897021985</v>
      </c>
      <c r="L6" s="201">
        <f>'SER_se-appl'!L72</f>
        <v>139.81610917167387</v>
      </c>
      <c r="M6" s="201">
        <f>'SER_se-appl'!M72</f>
        <v>143.39060050028894</v>
      </c>
      <c r="N6" s="201">
        <f>'SER_se-appl'!N72</f>
        <v>147.51711209569007</v>
      </c>
      <c r="O6" s="201">
        <f>'SER_se-appl'!O72</f>
        <v>151.52117446665542</v>
      </c>
      <c r="P6" s="201">
        <f>'SER_se-appl'!P72</f>
        <v>155.20398911680729</v>
      </c>
      <c r="Q6" s="201">
        <f>'SER_se-appl'!Q72</f>
        <v>158.33811724643158</v>
      </c>
      <c r="R6" s="201">
        <f>'SER_se-appl'!R72</f>
        <v>164.13128066295934</v>
      </c>
      <c r="S6" s="201">
        <f>'SER_se-appl'!S72</f>
        <v>169.94804001438919</v>
      </c>
      <c r="T6" s="201">
        <f>'SER_se-appl'!T72</f>
        <v>175.66360285590198</v>
      </c>
      <c r="U6" s="201">
        <f>'SER_se-appl'!U72</f>
        <v>181.20228084244897</v>
      </c>
      <c r="V6" s="201">
        <f>'SER_se-appl'!V72</f>
        <v>186.42319084096155</v>
      </c>
      <c r="W6" s="201">
        <f>'SER_se-appl'!W72</f>
        <v>191.22734932669405</v>
      </c>
      <c r="X6" s="201">
        <f>'SER_se-appl'!X72</f>
        <v>195.15966303219452</v>
      </c>
      <c r="Y6" s="201">
        <f>'SER_se-appl'!Y72</f>
        <v>198.36365555468328</v>
      </c>
      <c r="DA6" s="206" t="s">
        <v>962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DA7" s="106"/>
    </row>
    <row r="8" spans="1:105" ht="12.95" customHeight="1" x14ac:dyDescent="0.25">
      <c r="A8" s="199" t="str">
        <f>"Stock of appliances "&amp;MID('SER_se-appl'!A24,FIND("(",'SER_se-appl'!A24),100)</f>
        <v>Stock of appliances (serviced million m2)</v>
      </c>
      <c r="B8" s="34">
        <f>'SER_se-appl'!B24</f>
        <v>42.712645485408977</v>
      </c>
      <c r="C8" s="34">
        <f>'SER_se-appl'!C24</f>
        <v>45.729813593182314</v>
      </c>
      <c r="D8" s="34">
        <f>'SER_se-appl'!D24</f>
        <v>49.333868579302056</v>
      </c>
      <c r="E8" s="34">
        <f>'SER_se-appl'!E24</f>
        <v>53.449215403029143</v>
      </c>
      <c r="F8" s="34">
        <f>'SER_se-appl'!F24</f>
        <v>58.554295767003417</v>
      </c>
      <c r="G8" s="34">
        <f>'SER_se-appl'!G24</f>
        <v>61.790156684967677</v>
      </c>
      <c r="H8" s="34">
        <f>'SER_se-appl'!H24</f>
        <v>69.343031617443572</v>
      </c>
      <c r="I8" s="34">
        <f>'SER_se-appl'!I24</f>
        <v>76.446735048985374</v>
      </c>
      <c r="J8" s="34">
        <f>'SER_se-appl'!J24</f>
        <v>80.864438827412016</v>
      </c>
      <c r="K8" s="34">
        <f>'SER_se-appl'!K24</f>
        <v>83.880174670461443</v>
      </c>
      <c r="L8" s="34">
        <f>'SER_se-appl'!L24</f>
        <v>87.118508121383499</v>
      </c>
      <c r="M8" s="34">
        <f>'SER_se-appl'!M24</f>
        <v>90.058146000931117</v>
      </c>
      <c r="N8" s="34">
        <f>'SER_se-appl'!N24</f>
        <v>92.985909796310423</v>
      </c>
      <c r="O8" s="34">
        <f>'SER_se-appl'!O24</f>
        <v>95.20145313151788</v>
      </c>
      <c r="P8" s="34">
        <f>'SER_se-appl'!P24</f>
        <v>98.713894151701425</v>
      </c>
      <c r="Q8" s="34">
        <f>'SER_se-appl'!Q24</f>
        <v>101.04265000162081</v>
      </c>
      <c r="R8" s="34">
        <f>'SER_se-appl'!R24</f>
        <v>104.7611273314523</v>
      </c>
      <c r="S8" s="34">
        <f>'SER_se-appl'!S24</f>
        <v>108.96762027075397</v>
      </c>
      <c r="T8" s="34">
        <f>'SER_se-appl'!T24</f>
        <v>112.99894640527415</v>
      </c>
      <c r="U8" s="34">
        <f>'SER_se-appl'!U24</f>
        <v>116.85745360676796</v>
      </c>
      <c r="V8" s="34">
        <f>'SER_se-appl'!V24</f>
        <v>120.43285061884271</v>
      </c>
      <c r="W8" s="34">
        <f>'SER_se-appl'!W24</f>
        <v>123.71150758441543</v>
      </c>
      <c r="X8" s="34">
        <f>'SER_se-appl'!X24</f>
        <v>126.40106791057281</v>
      </c>
      <c r="Y8" s="34">
        <f>'SER_se-appl'!Y24</f>
        <v>128.60695415373252</v>
      </c>
      <c r="DA8" s="88" t="s">
        <v>926</v>
      </c>
    </row>
    <row r="9" spans="1:105" ht="12.95" customHeight="1" x14ac:dyDescent="0.25">
      <c r="A9" s="202" t="str">
        <f>"Number of new appliances "&amp;MID('SER_se-appl'!A32,FIND("(",'SER_se-appl'!A32),100)</f>
        <v>Number of new appliances (serviced million m2)</v>
      </c>
      <c r="B9" s="36"/>
      <c r="C9" s="36">
        <f>'SER_se-appl'!C32</f>
        <v>4.2337290913085539</v>
      </c>
      <c r="D9" s="36">
        <f>'SER_se-appl'!D32</f>
        <v>4.9575173728935695</v>
      </c>
      <c r="E9" s="36">
        <f>'SER_se-appl'!E32</f>
        <v>5.6211163307256484</v>
      </c>
      <c r="F9" s="36">
        <f>'SER_se-appl'!F32</f>
        <v>6.7802963362564626</v>
      </c>
      <c r="G9" s="36">
        <f>'SER_se-appl'!G32</f>
        <v>5.0995914163877742</v>
      </c>
      <c r="H9" s="36">
        <f>'SER_se-appl'!H32</f>
        <v>9.6263337749330447</v>
      </c>
      <c r="I9" s="36">
        <f>'SER_se-appl'!I32</f>
        <v>9.4104916581659666</v>
      </c>
      <c r="J9" s="36">
        <f>'SER_se-appl'!J32</f>
        <v>6.9840782892348301</v>
      </c>
      <c r="K9" s="36">
        <f>'SER_se-appl'!K32</f>
        <v>5.870908265775256</v>
      </c>
      <c r="L9" s="36">
        <f>'SER_se-appl'!L32</f>
        <v>6.4148026408872028</v>
      </c>
      <c r="M9" s="36">
        <f>'SER_se-appl'!M32</f>
        <v>6.473559836234557</v>
      </c>
      <c r="N9" s="36">
        <f>'SER_se-appl'!N32</f>
        <v>6.8593632062620031</v>
      </c>
      <c r="O9" s="36">
        <f>'SER_se-appl'!O32</f>
        <v>6.5895714312168678</v>
      </c>
      <c r="P9" s="36">
        <f>'SER_se-appl'!P32</f>
        <v>8.3786849543243989</v>
      </c>
      <c r="Q9" s="36">
        <f>'SER_se-appl'!Q32</f>
        <v>7.7426053970146853</v>
      </c>
      <c r="R9" s="36">
        <f>'SER_se-appl'!R32</f>
        <v>7.9522064211400476</v>
      </c>
      <c r="S9" s="36">
        <f>'SER_se-appl'!S32</f>
        <v>9.164010312195245</v>
      </c>
      <c r="T9" s="36">
        <f>'SER_se-appl'!T32</f>
        <v>9.6524424652458265</v>
      </c>
      <c r="U9" s="36">
        <f>'SER_se-appl'!U32</f>
        <v>10.638803537750277</v>
      </c>
      <c r="V9" s="36">
        <f>'SER_se-appl'!V32</f>
        <v>8.6749884284625125</v>
      </c>
      <c r="W9" s="36">
        <f>'SER_se-appl'!W32</f>
        <v>12.904990740505767</v>
      </c>
      <c r="X9" s="36">
        <f>'SER_se-appl'!X32</f>
        <v>12.100051984323343</v>
      </c>
      <c r="Y9" s="36">
        <f>'SER_se-appl'!Y32</f>
        <v>9.1899645323945407</v>
      </c>
      <c r="DA9" s="89" t="s">
        <v>932</v>
      </c>
    </row>
    <row r="10" spans="1:105" ht="12" customHeight="1" x14ac:dyDescent="0.25">
      <c r="A10" s="203" t="str">
        <f>"Number of replaced appliances "&amp;MID('SER_se-appl'!A40,FIND("(",'SER_se-appl'!A40),100)</f>
        <v>Number of replaced appliances (serviced million m2)</v>
      </c>
      <c r="B10" s="38"/>
      <c r="C10" s="38">
        <f>'SER_se-appl'!C40</f>
        <v>1.2165609835352171</v>
      </c>
      <c r="D10" s="38">
        <f>'SER_se-appl'!D40</f>
        <v>1.3534623867738276</v>
      </c>
      <c r="E10" s="38">
        <f>'SER_se-appl'!E40</f>
        <v>1.5057695069985613</v>
      </c>
      <c r="F10" s="38">
        <f>'SER_se-appl'!F40</f>
        <v>1.6752159722821887</v>
      </c>
      <c r="G10" s="38">
        <f>'SER_se-appl'!G40</f>
        <v>1.8637304984235143</v>
      </c>
      <c r="H10" s="38">
        <f>'SER_se-appl'!H40</f>
        <v>2.0734588424571569</v>
      </c>
      <c r="I10" s="38">
        <f>'SER_se-appl'!I40</f>
        <v>2.3067882266241639</v>
      </c>
      <c r="J10" s="38">
        <f>'SER_se-appl'!J40</f>
        <v>2.5663745108081883</v>
      </c>
      <c r="K10" s="38">
        <f>'SER_se-appl'!K40</f>
        <v>2.8551724227258291</v>
      </c>
      <c r="L10" s="38">
        <f>'SER_se-appl'!L40</f>
        <v>3.1764691899651467</v>
      </c>
      <c r="M10" s="38">
        <f>'SER_se-appl'!M40</f>
        <v>3.5339219566869389</v>
      </c>
      <c r="N10" s="38">
        <f>'SER_se-appl'!N40</f>
        <v>3.931599410882697</v>
      </c>
      <c r="O10" s="38">
        <f>'SER_se-appl'!O40</f>
        <v>4.3740280960094111</v>
      </c>
      <c r="P10" s="38">
        <f>'SER_se-appl'!P40</f>
        <v>4.8662439341408543</v>
      </c>
      <c r="Q10" s="38">
        <f>'SER_se-appl'!Q40</f>
        <v>5.4138495470952961</v>
      </c>
      <c r="R10" s="38">
        <f>'SER_se-appl'!R40</f>
        <v>4.233729091308561</v>
      </c>
      <c r="S10" s="38">
        <f>'SER_se-appl'!S40</f>
        <v>4.9575173728935766</v>
      </c>
      <c r="T10" s="38">
        <f>'SER_se-appl'!T40</f>
        <v>5.6211163307256413</v>
      </c>
      <c r="U10" s="38">
        <f>'SER_se-appl'!U40</f>
        <v>6.7802963362564697</v>
      </c>
      <c r="V10" s="38">
        <f>'SER_se-appl'!V40</f>
        <v>5.0995914163877671</v>
      </c>
      <c r="W10" s="38">
        <f>'SER_se-appl'!W40</f>
        <v>9.6263337749330589</v>
      </c>
      <c r="X10" s="38">
        <f>'SER_se-appl'!X40</f>
        <v>9.4104916581659666</v>
      </c>
      <c r="Y10" s="38">
        <f>'SER_se-appl'!Y40</f>
        <v>6.9840782892348159</v>
      </c>
      <c r="DA10" s="90" t="s">
        <v>938</v>
      </c>
    </row>
    <row r="11" spans="1:105" ht="12.95" customHeight="1" x14ac:dyDescent="0.25">
      <c r="A11" s="5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DA11" s="207"/>
    </row>
    <row r="12" spans="1:105" ht="12" customHeight="1" x14ac:dyDescent="0.25">
      <c r="A12" s="197" t="s">
        <v>104</v>
      </c>
      <c r="B12" s="204">
        <f>'SER_se-appl'!B48</f>
        <v>898.14738002069691</v>
      </c>
      <c r="C12" s="204">
        <f>'SER_se-appl'!C48</f>
        <v>902.43772415198941</v>
      </c>
      <c r="D12" s="204">
        <f>'SER_se-appl'!D48</f>
        <v>906.37239442413772</v>
      </c>
      <c r="E12" s="204">
        <f>'SER_se-appl'!E48</f>
        <v>910.00708787084386</v>
      </c>
      <c r="F12" s="204">
        <f>'SER_se-appl'!F48</f>
        <v>913.3852817795173</v>
      </c>
      <c r="G12" s="204">
        <f>'SER_se-appl'!G48</f>
        <v>916.54157636337436</v>
      </c>
      <c r="H12" s="204">
        <f>'SER_se-appl'!H48</f>
        <v>919.50396539290352</v>
      </c>
      <c r="I12" s="204">
        <f>'SER_se-appl'!I48</f>
        <v>922.29542304013148</v>
      </c>
      <c r="J12" s="204">
        <f>'SER_se-appl'!J48</f>
        <v>924.93504032556598</v>
      </c>
      <c r="K12" s="204">
        <f>'SER_se-appl'!K48</f>
        <v>927.43885653462928</v>
      </c>
      <c r="L12" s="204">
        <f>'SER_se-appl'!L48</f>
        <v>929.82047897545999</v>
      </c>
      <c r="M12" s="204">
        <f>'SER_se-appl'!M48</f>
        <v>931.33391244691245</v>
      </c>
      <c r="N12" s="204">
        <f>'SER_se-appl'!N48</f>
        <v>932.77922169305725</v>
      </c>
      <c r="O12" s="204">
        <f>'SER_se-appl'!O48</f>
        <v>934.16236884526847</v>
      </c>
      <c r="P12" s="204">
        <f>'SER_se-appl'!P48</f>
        <v>935.48856233499168</v>
      </c>
      <c r="Q12" s="204">
        <f>'SER_se-appl'!Q48</f>
        <v>936.76237909963913</v>
      </c>
      <c r="R12" s="204">
        <f>'SER_se-appl'!R48</f>
        <v>941.41018335298111</v>
      </c>
      <c r="S12" s="204">
        <f>'SER_se-appl'!S48</f>
        <v>961.81355810107766</v>
      </c>
      <c r="T12" s="204">
        <f>'SER_se-appl'!T48</f>
        <v>958.06051055025944</v>
      </c>
      <c r="U12" s="204">
        <f>'SER_se-appl'!U48</f>
        <v>952.93813137474251</v>
      </c>
      <c r="V12" s="204">
        <f>'SER_se-appl'!V48</f>
        <v>806.90219462805999</v>
      </c>
      <c r="W12" s="204">
        <f>'SER_se-appl'!W48</f>
        <v>853.81477061207545</v>
      </c>
      <c r="X12" s="204">
        <f>'SER_se-appl'!X48</f>
        <v>894.91897345771247</v>
      </c>
      <c r="Y12" s="204">
        <f>'SER_se-appl'!Y48</f>
        <v>915.47107488053098</v>
      </c>
      <c r="DA12" s="208" t="s">
        <v>944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DA13" s="209"/>
    </row>
    <row r="14" spans="1:105" ht="12.95" customHeight="1" x14ac:dyDescent="0.25">
      <c r="A14" s="199" t="str">
        <f>"W per appliance in average operating mode "&amp;MID('SER_se-appl'!A56,FIND("(",'SER_se-appl'!A56),100)</f>
        <v>W per appliance in average operating mode (W per serviced m2)</v>
      </c>
      <c r="B14" s="59">
        <f>'SER_se-appl'!B56</f>
        <v>48.995987749987648</v>
      </c>
      <c r="C14" s="59">
        <f>'SER_se-appl'!C56</f>
        <v>48.737143278078257</v>
      </c>
      <c r="D14" s="59">
        <f>'SER_se-appl'!D56</f>
        <v>48.433031555399175</v>
      </c>
      <c r="E14" s="59">
        <f>'SER_se-appl'!E56</f>
        <v>48.09764287695323</v>
      </c>
      <c r="F14" s="59">
        <f>'SER_se-appl'!F56</f>
        <v>47.717798296757458</v>
      </c>
      <c r="G14" s="59">
        <f>'SER_se-appl'!G56</f>
        <v>47.424748158760202</v>
      </c>
      <c r="H14" s="59">
        <f>'SER_se-appl'!H56</f>
        <v>46.923437101667531</v>
      </c>
      <c r="I14" s="59">
        <f>'SER_se-appl'!I56</f>
        <v>46.455626327619612</v>
      </c>
      <c r="J14" s="59">
        <f>'SER_se-appl'!J56</f>
        <v>46.089333494642858</v>
      </c>
      <c r="K14" s="59">
        <f>'SER_se-appl'!K56</f>
        <v>45.744980306463944</v>
      </c>
      <c r="L14" s="59">
        <f>'SER_se-appl'!L56</f>
        <v>45.355216431754073</v>
      </c>
      <c r="M14" s="59">
        <f>'SER_se-appl'!M56</f>
        <v>44.904989680602156</v>
      </c>
      <c r="N14" s="59">
        <f>'SER_se-appl'!N56</f>
        <v>44.375131925463926</v>
      </c>
      <c r="O14" s="59">
        <f>'SER_se-appl'!O56</f>
        <v>43.78826106837591</v>
      </c>
      <c r="P14" s="59">
        <f>'SER_se-appl'!P56</f>
        <v>43.028877291192352</v>
      </c>
      <c r="Q14" s="59">
        <f>'SER_se-appl'!Q56</f>
        <v>42.230726152904985</v>
      </c>
      <c r="R14" s="59">
        <f>'SER_se-appl'!R56</f>
        <v>41.621655804929027</v>
      </c>
      <c r="S14" s="59">
        <f>'SER_se-appl'!S56</f>
        <v>40.939361032495881</v>
      </c>
      <c r="T14" s="59">
        <f>'SER_se-appl'!T56</f>
        <v>40.228458664535076</v>
      </c>
      <c r="U14" s="59">
        <f>'SER_se-appl'!U56</f>
        <v>39.443036606054498</v>
      </c>
      <c r="V14" s="59">
        <f>'SER_se-appl'!V56</f>
        <v>38.841055408145515</v>
      </c>
      <c r="W14" s="59">
        <f>'SER_se-appl'!W56</f>
        <v>37.901528719426302</v>
      </c>
      <c r="X14" s="59">
        <f>'SER_se-appl'!X56</f>
        <v>37.049275964426229</v>
      </c>
      <c r="Y14" s="59">
        <f>'SER_se-appl'!Y56</f>
        <v>36.436826234277909</v>
      </c>
      <c r="DA14" s="104" t="s">
        <v>950</v>
      </c>
    </row>
    <row r="15" spans="1:105" ht="12" customHeight="1" x14ac:dyDescent="0.25">
      <c r="A15" s="203" t="str">
        <f>"W per new appliance in average operating mode "&amp;MID('SER_se-appl'!A56,FIND("(",'SER_se-appl'!A56),100)</f>
        <v>W per new appliance in average operating mode (W per serviced m2)</v>
      </c>
      <c r="B15" s="63"/>
      <c r="C15" s="63">
        <f>'SER_se-appl'!C64</f>
        <v>46.200128781509491</v>
      </c>
      <c r="D15" s="63">
        <f>'SER_se-appl'!D64</f>
        <v>45.781496247280437</v>
      </c>
      <c r="E15" s="63">
        <f>'SER_se-appl'!E64</f>
        <v>45.394741927224409</v>
      </c>
      <c r="F15" s="63">
        <f>'SER_se-appl'!F64</f>
        <v>45.039279468341427</v>
      </c>
      <c r="G15" s="63">
        <f>'SER_se-appl'!G64</f>
        <v>44.634136882998085</v>
      </c>
      <c r="H15" s="63">
        <f>'SER_se-appl'!H64</f>
        <v>44.152003976531667</v>
      </c>
      <c r="I15" s="63">
        <f>'SER_se-appl'!I64</f>
        <v>43.631189258783543</v>
      </c>
      <c r="J15" s="63">
        <f>'SER_se-appl'!J64</f>
        <v>43.148025148782651</v>
      </c>
      <c r="K15" s="63">
        <f>'SER_se-appl'!K64</f>
        <v>42.582992470627396</v>
      </c>
      <c r="L15" s="63">
        <f>'SER_se-appl'!L64</f>
        <v>42.061480809063177</v>
      </c>
      <c r="M15" s="63">
        <f>'SER_se-appl'!M64</f>
        <v>41.079302485142009</v>
      </c>
      <c r="N15" s="63">
        <f>'SER_se-appl'!N64</f>
        <v>40.067056649975477</v>
      </c>
      <c r="O15" s="63">
        <f>'SER_se-appl'!O64</f>
        <v>38.963671474134109</v>
      </c>
      <c r="P15" s="63">
        <f>'SER_se-appl'!P64</f>
        <v>37.866131080572664</v>
      </c>
      <c r="Q15" s="63">
        <f>'SER_se-appl'!Q64</f>
        <v>36.785207960170041</v>
      </c>
      <c r="R15" s="63">
        <f>'SER_se-appl'!R64</f>
        <v>36.320225544000515</v>
      </c>
      <c r="S15" s="63">
        <f>'SER_se-appl'!S64</f>
        <v>35.758987106019234</v>
      </c>
      <c r="T15" s="63">
        <f>'SER_se-appl'!T64</f>
        <v>35.211587521419617</v>
      </c>
      <c r="U15" s="63">
        <f>'SER_se-appl'!U64</f>
        <v>34.667341676120103</v>
      </c>
      <c r="V15" s="63">
        <f>'SER_se-appl'!V64</f>
        <v>34.137459353846992</v>
      </c>
      <c r="W15" s="63">
        <f>'SER_se-appl'!W64</f>
        <v>33.796084760308524</v>
      </c>
      <c r="X15" s="63">
        <f>'SER_se-appl'!X64</f>
        <v>33.454710166770049</v>
      </c>
      <c r="Y15" s="63">
        <f>'SER_se-appl'!Y64</f>
        <v>33.113335573231581</v>
      </c>
      <c r="DA15" s="105" t="s">
        <v>956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8" tint="0.59999389629810485"/>
    <pageSetUpPr fitToPage="1"/>
  </sheetPr>
  <dimension ref="A1:DA17"/>
  <sheetViews>
    <sheetView showGridLines="0" zoomScaleNormal="100" workbookViewId="0">
      <pane xSplit="1" ySplit="1" topLeftCell="I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972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2" spans="1:105" s="2" customFormat="1" ht="12" customHeight="1" x14ac:dyDescent="0.25">
      <c r="DA2" s="7"/>
    </row>
    <row r="3" spans="1:105" ht="12.95" customHeight="1" x14ac:dyDescent="0.25">
      <c r="A3" s="197" t="s">
        <v>81</v>
      </c>
      <c r="B3" s="198">
        <f>'SER_se-appl'!B9</f>
        <v>352.14504957069511</v>
      </c>
      <c r="C3" s="198">
        <f>'SER_se-appl'!C9</f>
        <v>382.67810717674058</v>
      </c>
      <c r="D3" s="198">
        <f>'SER_se-appl'!D9</f>
        <v>414.30922653774098</v>
      </c>
      <c r="E3" s="198">
        <f>'SER_se-appl'!E9</f>
        <v>450.05701743186364</v>
      </c>
      <c r="F3" s="198">
        <f>'SER_se-appl'!F9</f>
        <v>485.94524162040523</v>
      </c>
      <c r="G3" s="198">
        <f>'SER_se-appl'!G9</f>
        <v>522.6949196653436</v>
      </c>
      <c r="H3" s="198">
        <f>'SER_se-appl'!H9</f>
        <v>556.31191296624752</v>
      </c>
      <c r="I3" s="198">
        <f>'SER_se-appl'!I9</f>
        <v>581.63488839076956</v>
      </c>
      <c r="J3" s="198">
        <f>'SER_se-appl'!J9</f>
        <v>600.49627746014266</v>
      </c>
      <c r="K3" s="198">
        <f>'SER_se-appl'!K9</f>
        <v>620.93073059396511</v>
      </c>
      <c r="L3" s="198">
        <f>'SER_se-appl'!L9</f>
        <v>633.16142985448982</v>
      </c>
      <c r="M3" s="198">
        <f>'SER_se-appl'!M9</f>
        <v>644.3870271868841</v>
      </c>
      <c r="N3" s="198">
        <f>'SER_se-appl'!N9</f>
        <v>658.66422506077311</v>
      </c>
      <c r="O3" s="198">
        <f>'SER_se-appl'!O9</f>
        <v>677.12707052961957</v>
      </c>
      <c r="P3" s="198">
        <f>'SER_se-appl'!P9</f>
        <v>711.56412001715455</v>
      </c>
      <c r="Q3" s="198">
        <f>'SER_se-appl'!Q9</f>
        <v>750.31718880397159</v>
      </c>
      <c r="R3" s="198">
        <f>'SER_se-appl'!R9</f>
        <v>775.60994830525101</v>
      </c>
      <c r="S3" s="198">
        <f>'SER_se-appl'!S9</f>
        <v>811.76319804806326</v>
      </c>
      <c r="T3" s="198">
        <f>'SER_se-appl'!T9</f>
        <v>834.83006640982035</v>
      </c>
      <c r="U3" s="198">
        <f>'SER_se-appl'!U9</f>
        <v>852.96406838989549</v>
      </c>
      <c r="V3" s="198">
        <f>'SER_se-appl'!V9</f>
        <v>816.56284483356524</v>
      </c>
      <c r="W3" s="198">
        <f>'SER_se-appl'!W9</f>
        <v>841.90004375019623</v>
      </c>
      <c r="X3" s="198">
        <f>'SER_se-appl'!X9</f>
        <v>864.32923064306408</v>
      </c>
      <c r="Y3" s="198">
        <f>'SER_se-appl'!Y9</f>
        <v>875.52216129060719</v>
      </c>
      <c r="DA3" s="205" t="s">
        <v>914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DA4" s="106"/>
    </row>
    <row r="5" spans="1:105" ht="12.95" customHeight="1" x14ac:dyDescent="0.25">
      <c r="A5" s="199" t="s">
        <v>108</v>
      </c>
      <c r="B5" s="59">
        <f>'SER_se-appl'!B17</f>
        <v>1978.5213230042336</v>
      </c>
      <c r="C5" s="59">
        <f>'SER_se-appl'!C17</f>
        <v>2064.7463299678088</v>
      </c>
      <c r="D5" s="59">
        <f>'SER_se-appl'!D17</f>
        <v>2141.2161870466748</v>
      </c>
      <c r="E5" s="59">
        <f>'SER_se-appl'!E17</f>
        <v>2249.4199918324816</v>
      </c>
      <c r="F5" s="59">
        <f>'SER_se-appl'!F17</f>
        <v>2360.163591935634</v>
      </c>
      <c r="G5" s="59">
        <f>'SER_se-appl'!G17</f>
        <v>2484.6613300281542</v>
      </c>
      <c r="H5" s="59">
        <f>'SER_se-appl'!H17</f>
        <v>2597.1543291002836</v>
      </c>
      <c r="I5" s="59">
        <f>'SER_se-appl'!I17</f>
        <v>2669.0729374453458</v>
      </c>
      <c r="J5" s="59">
        <f>'SER_se-appl'!J17</f>
        <v>2707.6546496020173</v>
      </c>
      <c r="K5" s="59">
        <f>'SER_se-appl'!K17</f>
        <v>2757.2747300313576</v>
      </c>
      <c r="L5" s="59">
        <f>'SER_se-appl'!L17</f>
        <v>2751.15906427146</v>
      </c>
      <c r="M5" s="59">
        <f>'SER_se-appl'!M17</f>
        <v>2762.0597775102501</v>
      </c>
      <c r="N5" s="59">
        <f>'SER_se-appl'!N17</f>
        <v>2793.2309454766219</v>
      </c>
      <c r="O5" s="59">
        <f>'SER_se-appl'!O17</f>
        <v>2864.5515011713424</v>
      </c>
      <c r="P5" s="59">
        <f>'SER_se-appl'!P17</f>
        <v>3027.8491072648617</v>
      </c>
      <c r="Q5" s="59">
        <f>'SER_se-appl'!Q17</f>
        <v>3212.3968036145443</v>
      </c>
      <c r="R5" s="59">
        <f>'SER_se-appl'!R17</f>
        <v>3302.0891997788476</v>
      </c>
      <c r="S5" s="59">
        <f>'SER_se-appl'!S17</f>
        <v>3414.5176657929878</v>
      </c>
      <c r="T5" s="59">
        <f>'SER_se-appl'!T17</f>
        <v>3517.3662217889259</v>
      </c>
      <c r="U5" s="59">
        <f>'SER_se-appl'!U17</f>
        <v>3592.5072381509253</v>
      </c>
      <c r="V5" s="59">
        <f>'SER_se-appl'!V17</f>
        <v>3643.6650512241595</v>
      </c>
      <c r="W5" s="59">
        <f>'SER_se-appl'!W17</f>
        <v>3680.6950025856409</v>
      </c>
      <c r="X5" s="59">
        <f>'SER_se-appl'!X17</f>
        <v>3704.5375011267797</v>
      </c>
      <c r="Y5" s="59">
        <f>'SER_se-appl'!Y17</f>
        <v>3712.6102300901098</v>
      </c>
      <c r="DA5" s="104" t="s">
        <v>921</v>
      </c>
    </row>
    <row r="6" spans="1:105" ht="12" customHeight="1" x14ac:dyDescent="0.25">
      <c r="A6" s="200" t="str">
        <f>"Penetration factor "&amp;MID('SER_se-appl'!A73,FIND("(",'SER_se-appl'!A73),100)</f>
        <v>Penetration factor (unit per capita)</v>
      </c>
      <c r="B6" s="201">
        <f>'SER_se-appl'!B73</f>
        <v>9.4353500182279754E-2</v>
      </c>
      <c r="C6" s="201">
        <f>'SER_se-appl'!C73</f>
        <v>0.10062309976629298</v>
      </c>
      <c r="D6" s="201">
        <f>'SER_se-appl'!D73</f>
        <v>0.10738860289233498</v>
      </c>
      <c r="E6" s="201">
        <f>'SER_se-appl'!E73</f>
        <v>0.11667792612951394</v>
      </c>
      <c r="F6" s="201">
        <f>'SER_se-appl'!F73</f>
        <v>0.12686222721142917</v>
      </c>
      <c r="G6" s="201">
        <f>'SER_se-appl'!G73</f>
        <v>0.13911097277973278</v>
      </c>
      <c r="H6" s="201">
        <f>'SER_se-appl'!H73</f>
        <v>0.1522992925240724</v>
      </c>
      <c r="I6" s="201">
        <f>'SER_se-appl'!I73</f>
        <v>0.16362921795379543</v>
      </c>
      <c r="J6" s="201">
        <f>'SER_se-appl'!J73</f>
        <v>0.17402514202867644</v>
      </c>
      <c r="K6" s="201">
        <f>'SER_se-appl'!K73</f>
        <v>0.18709954706810597</v>
      </c>
      <c r="L6" s="201">
        <f>'SER_se-appl'!L73</f>
        <v>0.19910340586988018</v>
      </c>
      <c r="M6" s="201">
        <f>'SER_se-appl'!M73</f>
        <v>0.21561281235774868</v>
      </c>
      <c r="N6" s="201">
        <f>'SER_se-appl'!N73</f>
        <v>0.23399650353433543</v>
      </c>
      <c r="O6" s="201">
        <f>'SER_se-appl'!O73</f>
        <v>0.25564027098987058</v>
      </c>
      <c r="P6" s="201">
        <f>'SER_se-appl'!P73</f>
        <v>0.28484196000868356</v>
      </c>
      <c r="Q6" s="201">
        <f>'SER_se-appl'!Q73</f>
        <v>0.31211055022848005</v>
      </c>
      <c r="R6" s="201">
        <f>'SER_se-appl'!R73</f>
        <v>0.32923623857534878</v>
      </c>
      <c r="S6" s="201">
        <f>'SER_se-appl'!S73</f>
        <v>0.34708225804579507</v>
      </c>
      <c r="T6" s="201">
        <f>'SER_se-appl'!T73</f>
        <v>0.36423794767703138</v>
      </c>
      <c r="U6" s="201">
        <f>'SER_se-appl'!U73</f>
        <v>0.38097255939103225</v>
      </c>
      <c r="V6" s="201">
        <f>'SER_se-appl'!V73</f>
        <v>0.39722740461792039</v>
      </c>
      <c r="W6" s="201">
        <f>'SER_se-appl'!W73</f>
        <v>0.41415844273869634</v>
      </c>
      <c r="X6" s="201">
        <f>'SER_se-appl'!X73</f>
        <v>0.42781704549481309</v>
      </c>
      <c r="Y6" s="201">
        <f>'SER_se-appl'!Y73</f>
        <v>0.43827710804227299</v>
      </c>
      <c r="DA6" s="206" t="s">
        <v>963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DA7" s="106"/>
    </row>
    <row r="8" spans="1:105" ht="12.95" customHeight="1" x14ac:dyDescent="0.25">
      <c r="A8" s="199" t="str">
        <f>"Stock of appliances "&amp;MID('SER_se-appl'!A25,FIND("(",'SER_se-appl'!A25),100)</f>
        <v>Stock of appliances (thousand units)</v>
      </c>
      <c r="B8" s="34">
        <f>'SER_se-appl'!B25</f>
        <v>5370.9337321100056</v>
      </c>
      <c r="C8" s="34">
        <f>'SER_se-appl'!C25</f>
        <v>5731.5613938730858</v>
      </c>
      <c r="D8" s="34">
        <f>'SER_se-appl'!D25</f>
        <v>6120.4276395656289</v>
      </c>
      <c r="E8" s="34">
        <f>'SER_se-appl'!E25</f>
        <v>6672.3879878984617</v>
      </c>
      <c r="F8" s="34">
        <f>'SER_se-appl'!F25</f>
        <v>7308.7853654825858</v>
      </c>
      <c r="G8" s="34">
        <f>'SER_se-appl'!G25</f>
        <v>8074.6084968647929</v>
      </c>
      <c r="H8" s="34">
        <f>'SER_se-appl'!H25</f>
        <v>8877.3728527384865</v>
      </c>
      <c r="I8" s="34">
        <f>'SER_se-appl'!I25</f>
        <v>9574.0641736595881</v>
      </c>
      <c r="J8" s="34">
        <f>'SER_se-appl'!J25</f>
        <v>10267.791230168159</v>
      </c>
      <c r="K8" s="34">
        <f>'SER_se-appl'!K25</f>
        <v>11117.565849718721</v>
      </c>
      <c r="L8" s="34">
        <f>'SER_se-appl'!L25</f>
        <v>11884.545213049403</v>
      </c>
      <c r="M8" s="34">
        <f>'SER_se-appl'!M25</f>
        <v>12925.664034790059</v>
      </c>
      <c r="N8" s="34">
        <f>'SER_se-appl'!N25</f>
        <v>14064.403134284385</v>
      </c>
      <c r="O8" s="34">
        <f>'SER_se-appl'!O25</f>
        <v>15409.307607300165</v>
      </c>
      <c r="P8" s="34">
        <f>'SER_se-appl'!P25</f>
        <v>17189.049276801336</v>
      </c>
      <c r="Q8" s="34">
        <f>'SER_se-appl'!Q25</f>
        <v>18818.860744969668</v>
      </c>
      <c r="R8" s="34">
        <f>'SER_se-appl'!R25</f>
        <v>19808.074237610574</v>
      </c>
      <c r="S8" s="34">
        <f>'SER_se-appl'!S25</f>
        <v>20848.097670156134</v>
      </c>
      <c r="T8" s="34">
        <f>'SER_se-appl'!T25</f>
        <v>21831.609968899997</v>
      </c>
      <c r="U8" s="34">
        <f>'SER_se-appl'!U25</f>
        <v>22788.511007066456</v>
      </c>
      <c r="V8" s="34">
        <f>'SER_se-appl'!V25</f>
        <v>23691.233485790846</v>
      </c>
      <c r="W8" s="34">
        <f>'SER_se-appl'!W25</f>
        <v>24533.177729817719</v>
      </c>
      <c r="X8" s="34">
        <f>'SER_se-appl'!X25</f>
        <v>25254.097095225869</v>
      </c>
      <c r="Y8" s="34">
        <f>'SER_se-appl'!Y25</f>
        <v>25857.122636868698</v>
      </c>
      <c r="DA8" s="88" t="s">
        <v>927</v>
      </c>
    </row>
    <row r="9" spans="1:105" ht="12.95" customHeight="1" x14ac:dyDescent="0.25">
      <c r="A9" s="202" t="str">
        <f>"Number of new appliances "&amp;MID('SER_se-appl'!A33,FIND("(",'SER_se-appl'!A33),100)</f>
        <v>Number of new appliances (thousand units)</v>
      </c>
      <c r="B9" s="36"/>
      <c r="C9" s="36">
        <f>'SER_se-appl'!C33</f>
        <v>1434.8144081850814</v>
      </c>
      <c r="D9" s="36">
        <f>'SER_se-appl'!D33</f>
        <v>1463.0529921145444</v>
      </c>
      <c r="E9" s="36">
        <f>'SER_se-appl'!E33</f>
        <v>1626.1470947548341</v>
      </c>
      <c r="F9" s="36">
        <f>'SER_se-appl'!F33</f>
        <v>1710.5841240061254</v>
      </c>
      <c r="G9" s="36">
        <f>'SER_se-appl'!G33</f>
        <v>1840.0098778042084</v>
      </c>
      <c r="H9" s="36">
        <f>'SER_se-appl'!H33</f>
        <v>2237.5787640587751</v>
      </c>
      <c r="I9" s="36">
        <f>'SER_se-appl'!I33</f>
        <v>2159.744313035646</v>
      </c>
      <c r="J9" s="36">
        <f>'SER_se-appl'!J33</f>
        <v>2319.8741512634051</v>
      </c>
      <c r="K9" s="36">
        <f>'SER_se-appl'!K33</f>
        <v>2560.3587435566878</v>
      </c>
      <c r="L9" s="36">
        <f>'SER_se-appl'!L33</f>
        <v>2606.9892411348901</v>
      </c>
      <c r="M9" s="36">
        <f>'SER_se-appl'!M33</f>
        <v>3278.6975857994312</v>
      </c>
      <c r="N9" s="36">
        <f>'SER_se-appl'!N33</f>
        <v>3298.4834125299712</v>
      </c>
      <c r="O9" s="36">
        <f>'SER_se-appl'!O33</f>
        <v>3664.7786242791844</v>
      </c>
      <c r="P9" s="36">
        <f>'SER_se-appl'!P33</f>
        <v>4340.1004130578585</v>
      </c>
      <c r="Q9" s="36">
        <f>'SER_se-appl'!Q33</f>
        <v>4236.8007093032229</v>
      </c>
      <c r="R9" s="36">
        <f>'SER_se-appl'!R33</f>
        <v>4267.9110784403365</v>
      </c>
      <c r="S9" s="36">
        <f>'SER_se-appl'!S33</f>
        <v>4338.5068450755316</v>
      </c>
      <c r="T9" s="36">
        <f>'SER_se-appl'!T33</f>
        <v>4648.2909230230471</v>
      </c>
      <c r="U9" s="36">
        <f>'SER_se-appl'!U33</f>
        <v>5297.0014512243179</v>
      </c>
      <c r="V9" s="36">
        <f>'SER_se-appl'!V33</f>
        <v>5139.5231880276151</v>
      </c>
      <c r="W9" s="36">
        <f>'SER_se-appl'!W33</f>
        <v>5109.8553224672069</v>
      </c>
      <c r="X9" s="36">
        <f>'SER_se-appl'!X33</f>
        <v>5059.4262104836816</v>
      </c>
      <c r="Y9" s="36">
        <f>'SER_se-appl'!Y33</f>
        <v>5251.316464665877</v>
      </c>
      <c r="DA9" s="89" t="s">
        <v>933</v>
      </c>
    </row>
    <row r="10" spans="1:105" ht="12" customHeight="1" x14ac:dyDescent="0.25">
      <c r="A10" s="203" t="str">
        <f>"Number of replaced appliances "&amp;MID('SER_se-appl'!A41,FIND("(",'SER_se-appl'!A41),100)</f>
        <v>Number of replaced appliances (thousand units)</v>
      </c>
      <c r="B10" s="38"/>
      <c r="C10" s="38">
        <f>'SER_se-appl'!C41</f>
        <v>1074.1867464220013</v>
      </c>
      <c r="D10" s="38">
        <f>'SER_se-appl'!D41</f>
        <v>1074.1867464220013</v>
      </c>
      <c r="E10" s="38">
        <f>'SER_se-appl'!E41</f>
        <v>1074.1867464220013</v>
      </c>
      <c r="F10" s="38">
        <f>'SER_se-appl'!F41</f>
        <v>1074.1867464220004</v>
      </c>
      <c r="G10" s="38">
        <f>'SER_se-appl'!G41</f>
        <v>1074.1867464220004</v>
      </c>
      <c r="H10" s="38">
        <f>'SER_se-appl'!H41</f>
        <v>1434.8144081850824</v>
      </c>
      <c r="I10" s="38">
        <f>'SER_se-appl'!I41</f>
        <v>1463.0529921145444</v>
      </c>
      <c r="J10" s="38">
        <f>'SER_se-appl'!J41</f>
        <v>1626.1470947548351</v>
      </c>
      <c r="K10" s="38">
        <f>'SER_se-appl'!K41</f>
        <v>1710.5841240061254</v>
      </c>
      <c r="L10" s="38">
        <f>'SER_se-appl'!L41</f>
        <v>1840.0098778042084</v>
      </c>
      <c r="M10" s="38">
        <f>'SER_se-appl'!M41</f>
        <v>2237.5787640587751</v>
      </c>
      <c r="N10" s="38">
        <f>'SER_se-appl'!N41</f>
        <v>2159.744313035646</v>
      </c>
      <c r="O10" s="38">
        <f>'SER_se-appl'!O41</f>
        <v>2319.8741512634042</v>
      </c>
      <c r="P10" s="38">
        <f>'SER_se-appl'!P41</f>
        <v>2560.3587435566878</v>
      </c>
      <c r="Q10" s="38">
        <f>'SER_se-appl'!Q41</f>
        <v>2606.9892411348883</v>
      </c>
      <c r="R10" s="38">
        <f>'SER_se-appl'!R41</f>
        <v>3278.6975857994294</v>
      </c>
      <c r="S10" s="38">
        <f>'SER_se-appl'!S41</f>
        <v>3298.4834125299712</v>
      </c>
      <c r="T10" s="38">
        <f>'SER_se-appl'!T41</f>
        <v>3664.7786242791844</v>
      </c>
      <c r="U10" s="38">
        <f>'SER_se-appl'!U41</f>
        <v>4340.1004130578585</v>
      </c>
      <c r="V10" s="38">
        <f>'SER_se-appl'!V41</f>
        <v>4236.8007093032247</v>
      </c>
      <c r="W10" s="38">
        <f>'SER_se-appl'!W41</f>
        <v>4267.9110784403347</v>
      </c>
      <c r="X10" s="38">
        <f>'SER_se-appl'!X41</f>
        <v>4338.5068450755316</v>
      </c>
      <c r="Y10" s="38">
        <f>'SER_se-appl'!Y41</f>
        <v>4648.2909230230471</v>
      </c>
      <c r="DA10" s="90" t="s">
        <v>939</v>
      </c>
    </row>
    <row r="11" spans="1:105" ht="12.95" customHeight="1" x14ac:dyDescent="0.25">
      <c r="A11" s="5"/>
      <c r="B11" s="177"/>
      <c r="C11" s="177"/>
      <c r="D11" s="177"/>
      <c r="E11" s="177"/>
      <c r="F11" s="177"/>
      <c r="G11" s="177"/>
      <c r="H11" s="177"/>
      <c r="I11" s="177"/>
      <c r="J11" s="177"/>
      <c r="K11" s="177"/>
      <c r="L11" s="177"/>
      <c r="M11" s="177"/>
      <c r="N11" s="177"/>
      <c r="O11" s="177"/>
      <c r="P11" s="177"/>
      <c r="Q11" s="177"/>
      <c r="R11" s="177"/>
      <c r="S11" s="177"/>
      <c r="T11" s="177"/>
      <c r="U11" s="177"/>
      <c r="V11" s="177"/>
      <c r="W11" s="177"/>
      <c r="X11" s="177"/>
      <c r="Y11" s="177"/>
      <c r="DA11" s="207"/>
    </row>
    <row r="12" spans="1:105" ht="12" customHeight="1" x14ac:dyDescent="0.25">
      <c r="A12" s="197" t="s">
        <v>104</v>
      </c>
      <c r="B12" s="204">
        <f>'SER_se-appl'!B49</f>
        <v>2069.9533934203755</v>
      </c>
      <c r="C12" s="204">
        <f>'SER_se-appl'!C49</f>
        <v>2155.4930607552556</v>
      </c>
      <c r="D12" s="204">
        <f>'SER_se-appl'!D49</f>
        <v>2250.3175222488144</v>
      </c>
      <c r="E12" s="204">
        <f>'SER_se-appl'!E49</f>
        <v>2326.894546922108</v>
      </c>
      <c r="F12" s="204">
        <f>'SER_se-appl'!F49</f>
        <v>2394.5556906969864</v>
      </c>
      <c r="G12" s="204">
        <f>'SER_se-appl'!G49</f>
        <v>2446.5877269636035</v>
      </c>
      <c r="H12" s="204">
        <f>'SER_se-appl'!H49</f>
        <v>2491.1525184715497</v>
      </c>
      <c r="I12" s="204">
        <f>'SER_se-appl'!I49</f>
        <v>2534.3682658815178</v>
      </c>
      <c r="J12" s="204">
        <f>'SER_se-appl'!J49</f>
        <v>2579.2697410240125</v>
      </c>
      <c r="K12" s="204">
        <f>'SER_se-appl'!K49</f>
        <v>2619.0442026521191</v>
      </c>
      <c r="L12" s="204">
        <f>'SER_se-appl'!L49</f>
        <v>2676.5691322023595</v>
      </c>
      <c r="M12" s="204">
        <f>'SER_se-appl'!M49</f>
        <v>2713.2726044542133</v>
      </c>
      <c r="N12" s="204">
        <f>'SER_se-appl'!N49</f>
        <v>2742.438805449252</v>
      </c>
      <c r="O12" s="204">
        <f>'SER_se-appl'!O49</f>
        <v>2749.1172098107918</v>
      </c>
      <c r="P12" s="204">
        <f>'SER_se-appl'!P49</f>
        <v>2733.1252062540802</v>
      </c>
      <c r="Q12" s="204">
        <f>'SER_se-appl'!Q49</f>
        <v>2716.4106551132172</v>
      </c>
      <c r="R12" s="204">
        <f>'SER_se-appl'!R49</f>
        <v>2731.7080651225879</v>
      </c>
      <c r="S12" s="204">
        <f>'SER_se-appl'!S49</f>
        <v>2764.9017862399733</v>
      </c>
      <c r="T12" s="204">
        <f>'SER_se-appl'!T49</f>
        <v>2760.3249306829907</v>
      </c>
      <c r="U12" s="204">
        <f>'SER_se-appl'!U49</f>
        <v>2761.2949557981478</v>
      </c>
      <c r="V12" s="204">
        <f>'SER_se-appl'!V49</f>
        <v>2606.3388790975146</v>
      </c>
      <c r="W12" s="204">
        <f>'SER_se-appl'!W49</f>
        <v>2660.1762715836335</v>
      </c>
      <c r="X12" s="204">
        <f>'SER_se-appl'!X49</f>
        <v>2713.469346530128</v>
      </c>
      <c r="Y12" s="204">
        <f>'SER_se-appl'!Y49</f>
        <v>2742.631761687147</v>
      </c>
      <c r="DA12" s="208" t="s">
        <v>945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DA13" s="209"/>
    </row>
    <row r="14" spans="1:105" ht="12.95" customHeight="1" x14ac:dyDescent="0.25">
      <c r="A14" s="199" t="str">
        <f>"W per appliance in average operating mode "&amp;MID('SER_se-appl'!A57,FIND("(",'SER_se-appl'!A57),100)</f>
        <v>W per appliance in average operating mode (W per appliance)</v>
      </c>
      <c r="B14" s="59">
        <f>'SER_se-appl'!B57</f>
        <v>368.37567203179009</v>
      </c>
      <c r="C14" s="59">
        <f>'SER_se-appl'!C57</f>
        <v>360.24150978736401</v>
      </c>
      <c r="D14" s="59">
        <f>'SER_se-appl'!D57</f>
        <v>349.847480134352</v>
      </c>
      <c r="E14" s="59">
        <f>'SER_se-appl'!E57</f>
        <v>337.12367984478669</v>
      </c>
      <c r="F14" s="59">
        <f>'SER_se-appl'!F57</f>
        <v>322.92145328032859</v>
      </c>
      <c r="G14" s="59">
        <f>'SER_se-appl'!G57</f>
        <v>307.71291648293516</v>
      </c>
      <c r="H14" s="59">
        <f>'SER_se-appl'!H57</f>
        <v>292.55888788078954</v>
      </c>
      <c r="I14" s="59">
        <f>'SER_se-appl'!I57</f>
        <v>278.78160089928872</v>
      </c>
      <c r="J14" s="59">
        <f>'SER_se-appl'!J57</f>
        <v>263.7037108474276</v>
      </c>
      <c r="K14" s="59">
        <f>'SER_se-appl'!K57</f>
        <v>248.01064975037838</v>
      </c>
      <c r="L14" s="59">
        <f>'SER_se-appl'!L57</f>
        <v>231.49047901729108</v>
      </c>
      <c r="M14" s="59">
        <f>'SER_se-appl'!M57</f>
        <v>213.68803723166798</v>
      </c>
      <c r="N14" s="59">
        <f>'SER_se-appl'!N57</f>
        <v>198.60287840211609</v>
      </c>
      <c r="O14" s="59">
        <f>'SER_se-appl'!O57</f>
        <v>185.89748314286751</v>
      </c>
      <c r="P14" s="59">
        <f>'SER_se-appl'!P57</f>
        <v>176.14988813554126</v>
      </c>
      <c r="Q14" s="59">
        <f>'SER_se-appl'!Q57</f>
        <v>170.70091793273014</v>
      </c>
      <c r="R14" s="59">
        <f>'SER_se-appl'!R57</f>
        <v>166.70420153762382</v>
      </c>
      <c r="S14" s="59">
        <f>'SER_se-appl'!S57</f>
        <v>163.78077845830697</v>
      </c>
      <c r="T14" s="59">
        <f>'SER_se-appl'!T57</f>
        <v>161.11346010667813</v>
      </c>
      <c r="U14" s="59">
        <f>'SER_se-appl'!U57</f>
        <v>157.64554503086796</v>
      </c>
      <c r="V14" s="59">
        <f>'SER_se-appl'!V57</f>
        <v>153.79803054195128</v>
      </c>
      <c r="W14" s="59">
        <f>'SER_se-appl'!W57</f>
        <v>150.02928047564379</v>
      </c>
      <c r="X14" s="59">
        <f>'SER_se-appl'!X57</f>
        <v>146.69055429533054</v>
      </c>
      <c r="Y14" s="59">
        <f>'SER_se-appl'!Y57</f>
        <v>143.58172338930081</v>
      </c>
      <c r="DA14" s="104" t="s">
        <v>951</v>
      </c>
    </row>
    <row r="15" spans="1:105" ht="12" customHeight="1" x14ac:dyDescent="0.25">
      <c r="A15" s="203" t="str">
        <f>"W per new appliance in average operating mode "&amp;MID('SER_se-appl'!A57,FIND("(",'SER_se-appl'!A57),100)</f>
        <v>W per new appliance in average operating mode (W per appliance)</v>
      </c>
      <c r="B15" s="63"/>
      <c r="C15" s="63">
        <f>'SER_se-appl'!C65</f>
        <v>335.88265410160017</v>
      </c>
      <c r="D15" s="63">
        <f>'SER_se-appl'!D65</f>
        <v>322.73207069368146</v>
      </c>
      <c r="E15" s="63">
        <f>'SER_se-appl'!E65</f>
        <v>309.87852883175049</v>
      </c>
      <c r="F15" s="63">
        <f>'SER_se-appl'!F65</f>
        <v>296.06720745070237</v>
      </c>
      <c r="G15" s="63">
        <f>'SER_se-appl'!G65</f>
        <v>282.71696199487496</v>
      </c>
      <c r="H15" s="63">
        <f>'SER_se-appl'!H65</f>
        <v>265.65423313113695</v>
      </c>
      <c r="I15" s="63">
        <f>'SER_se-appl'!I65</f>
        <v>251.92460363978057</v>
      </c>
      <c r="J15" s="63">
        <f>'SER_se-appl'!J65</f>
        <v>233.84448731750572</v>
      </c>
      <c r="K15" s="63">
        <f>'SER_se-appl'!K65</f>
        <v>217.18360621640295</v>
      </c>
      <c r="L15" s="63">
        <f>'SER_se-appl'!L65</f>
        <v>197.19541946006433</v>
      </c>
      <c r="M15" s="63">
        <f>'SER_se-appl'!M65</f>
        <v>184.62299984514985</v>
      </c>
      <c r="N15" s="63">
        <f>'SER_se-appl'!N65</f>
        <v>174.40254384966394</v>
      </c>
      <c r="O15" s="63">
        <f>'SER_se-appl'!O65</f>
        <v>167.48906282402635</v>
      </c>
      <c r="P15" s="63">
        <f>'SER_se-appl'!P65</f>
        <v>165.74859629112206</v>
      </c>
      <c r="Q15" s="63">
        <f>'SER_se-appl'!Q65</f>
        <v>164.89660034022418</v>
      </c>
      <c r="R15" s="63">
        <f>'SER_se-appl'!R65</f>
        <v>162.84673397966657</v>
      </c>
      <c r="S15" s="63">
        <f>'SER_se-appl'!S65</f>
        <v>158.50899596617199</v>
      </c>
      <c r="T15" s="63">
        <f>'SER_se-appl'!T65</f>
        <v>154.17685878574488</v>
      </c>
      <c r="U15" s="63">
        <f>'SER_se-appl'!U65</f>
        <v>149.99175947086454</v>
      </c>
      <c r="V15" s="63">
        <f>'SER_se-appl'!V65</f>
        <v>145.88743331346492</v>
      </c>
      <c r="W15" s="63">
        <f>'SER_se-appl'!W65</f>
        <v>143.26145951382256</v>
      </c>
      <c r="X15" s="63">
        <f>'SER_se-appl'!X65</f>
        <v>140.63548571418019</v>
      </c>
      <c r="Y15" s="63">
        <f>'SER_se-appl'!Y65</f>
        <v>138.00951191453782</v>
      </c>
      <c r="DA15" s="105" t="s">
        <v>957</v>
      </c>
    </row>
    <row r="17" spans="1:105" ht="12" customHeight="1" x14ac:dyDescent="0.25">
      <c r="A17" s="197" t="s">
        <v>184</v>
      </c>
      <c r="B17" s="198">
        <v>103.68987250365225</v>
      </c>
      <c r="C17" s="198">
        <v>125.34296921218244</v>
      </c>
      <c r="D17" s="198">
        <v>147.11865078416045</v>
      </c>
      <c r="E17" s="198">
        <v>168.36859941102088</v>
      </c>
      <c r="F17" s="198">
        <v>188.69960136846444</v>
      </c>
      <c r="G17" s="198">
        <v>207.37974500730442</v>
      </c>
      <c r="H17" s="198">
        <v>223.34902737135528</v>
      </c>
      <c r="I17" s="198">
        <v>237.6800820188312</v>
      </c>
      <c r="J17" s="198">
        <v>251.04600708631148</v>
      </c>
      <c r="K17" s="198">
        <v>263.82368784619433</v>
      </c>
      <c r="L17" s="198">
        <v>276.5063266764061</v>
      </c>
      <c r="M17" s="198">
        <v>284.23460519951868</v>
      </c>
      <c r="N17" s="198">
        <v>293.17885094024075</v>
      </c>
      <c r="O17" s="198">
        <v>298.30826930053155</v>
      </c>
      <c r="P17" s="198">
        <v>303.43768766082201</v>
      </c>
      <c r="Q17" s="198">
        <v>308.56710602111303</v>
      </c>
      <c r="R17" s="198">
        <v>313.69652438140395</v>
      </c>
      <c r="S17" s="198">
        <v>318.82594274169526</v>
      </c>
      <c r="T17" s="198">
        <v>323.95536110198628</v>
      </c>
      <c r="U17" s="198">
        <v>329.08477946227725</v>
      </c>
      <c r="V17" s="198">
        <v>334.21419782256794</v>
      </c>
      <c r="W17" s="198">
        <v>339.34361618285902</v>
      </c>
      <c r="X17" s="198">
        <v>344.47303454314988</v>
      </c>
      <c r="Y17" s="198">
        <v>347.91776488858164</v>
      </c>
      <c r="DA17" s="205" t="s">
        <v>965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2" tint="-0.499984740745262"/>
    <pageSetUpPr fitToPage="1"/>
  </sheetPr>
  <dimension ref="A1:DA34"/>
  <sheetViews>
    <sheetView showGridLines="0" zoomScaleNormal="100" workbookViewId="0">
      <pane xSplit="1" ySplit="1" topLeftCell="E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DA2" sqref="DA2"/>
    </sheetView>
  </sheetViews>
  <sheetFormatPr defaultRowHeight="11.25" x14ac:dyDescent="0.25"/>
  <cols>
    <col min="1" max="1" width="50.7109375" style="1" customWidth="1"/>
    <col min="2" max="25" width="9.7109375" style="1" customWidth="1"/>
    <col min="26" max="103" width="9.140625" style="1" hidden="1" customWidth="1"/>
    <col min="104" max="104" width="2.7109375" style="1" customWidth="1"/>
    <col min="105" max="105" width="9.7109375" style="7" customWidth="1"/>
    <col min="106" max="16384" width="9.140625" style="1"/>
  </cols>
  <sheetData>
    <row r="1" spans="1:105" ht="12.75" x14ac:dyDescent="0.25">
      <c r="A1" s="28" t="s">
        <v>973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27" t="s">
        <v>150</v>
      </c>
    </row>
    <row r="2" spans="1:105" x14ac:dyDescent="0.25">
      <c r="A2" s="6"/>
    </row>
    <row r="3" spans="1:105" x14ac:dyDescent="0.25">
      <c r="A3" s="218" t="s">
        <v>179</v>
      </c>
      <c r="B3" s="219">
        <v>49035.871268362032</v>
      </c>
      <c r="C3" s="219">
        <v>48276.257049221967</v>
      </c>
      <c r="D3" s="219">
        <v>46183.529413574928</v>
      </c>
      <c r="E3" s="219">
        <v>45787.670378822993</v>
      </c>
      <c r="F3" s="219">
        <v>46483.254456378803</v>
      </c>
      <c r="G3" s="219">
        <v>40663.123559234933</v>
      </c>
      <c r="H3" s="219">
        <v>39891.362813340689</v>
      </c>
      <c r="I3" s="219">
        <v>39432.758498162468</v>
      </c>
      <c r="J3" s="219">
        <v>38498.80183164667</v>
      </c>
      <c r="K3" s="219">
        <v>35000.393932377068</v>
      </c>
      <c r="L3" s="219">
        <v>35147.090865213097</v>
      </c>
      <c r="M3" s="219">
        <v>37139.730391060293</v>
      </c>
      <c r="N3" s="219">
        <v>37329.678105170497</v>
      </c>
      <c r="O3" s="219">
        <v>39619.474683364453</v>
      </c>
      <c r="P3" s="219">
        <v>36841.421145991953</v>
      </c>
      <c r="Q3" s="219">
        <v>38761.413181999997</v>
      </c>
      <c r="R3" s="219">
        <v>36512.899070600703</v>
      </c>
      <c r="S3" s="219">
        <v>38042.963814960633</v>
      </c>
      <c r="T3" s="219">
        <v>37671.634536343779</v>
      </c>
      <c r="U3" s="219">
        <v>37179.731271304619</v>
      </c>
      <c r="V3" s="219">
        <v>35872.163414007162</v>
      </c>
      <c r="W3" s="219">
        <v>37325.134714458378</v>
      </c>
      <c r="X3" s="219">
        <v>40143.22271166736</v>
      </c>
      <c r="Y3" s="219">
        <v>39847.199999999997</v>
      </c>
      <c r="DA3" s="210" t="s">
        <v>974</v>
      </c>
    </row>
    <row r="5" spans="1:105" x14ac:dyDescent="0.25">
      <c r="A5" s="218" t="s">
        <v>120</v>
      </c>
      <c r="B5" s="219">
        <v>28134.64946765557</v>
      </c>
      <c r="C5" s="219">
        <v>29911.417038008101</v>
      </c>
      <c r="D5" s="219">
        <v>28505.182825326621</v>
      </c>
      <c r="E5" s="219">
        <v>27473.821040150331</v>
      </c>
      <c r="F5" s="219">
        <v>27913.14396377017</v>
      </c>
      <c r="G5" s="219">
        <v>24732.960146997251</v>
      </c>
      <c r="H5" s="219">
        <v>25277.82065730081</v>
      </c>
      <c r="I5" s="219">
        <v>26962.784524622919</v>
      </c>
      <c r="J5" s="219">
        <v>24984.05123359654</v>
      </c>
      <c r="K5" s="219">
        <v>22651.071708728279</v>
      </c>
      <c r="L5" s="219">
        <v>22886.182669816139</v>
      </c>
      <c r="M5" s="219">
        <v>25204.544411922048</v>
      </c>
      <c r="N5" s="219">
        <v>23865.21552963119</v>
      </c>
      <c r="O5" s="219">
        <v>23622.753410923819</v>
      </c>
      <c r="P5" s="219">
        <v>24304.938134012998</v>
      </c>
      <c r="Q5" s="219">
        <v>24439.019560174151</v>
      </c>
      <c r="R5" s="219">
        <v>24244.575812177809</v>
      </c>
      <c r="S5" s="219">
        <v>26703.692406022961</v>
      </c>
      <c r="T5" s="219">
        <v>26362.118454928011</v>
      </c>
      <c r="U5" s="219">
        <v>25621.42526198976</v>
      </c>
      <c r="V5" s="219">
        <v>24467.77360675071</v>
      </c>
      <c r="W5" s="219">
        <v>27528.154495677281</v>
      </c>
      <c r="X5" s="219">
        <v>31409.43164623349</v>
      </c>
      <c r="Y5" s="219">
        <v>29335.206926232629</v>
      </c>
      <c r="DA5" s="210" t="s">
        <v>975</v>
      </c>
    </row>
    <row r="6" spans="1:105" x14ac:dyDescent="0.25">
      <c r="A6" s="220" t="s">
        <v>119</v>
      </c>
      <c r="B6" s="221">
        <v>35168.31183456946</v>
      </c>
      <c r="C6" s="221">
        <v>33409.896242840987</v>
      </c>
      <c r="D6" s="221">
        <v>31651.48065111251</v>
      </c>
      <c r="E6" s="221">
        <v>31651.48065111251</v>
      </c>
      <c r="F6" s="221">
        <v>29893.06505938404</v>
      </c>
      <c r="G6" s="221">
        <v>28134.64946765557</v>
      </c>
      <c r="H6" s="221">
        <v>28134.64946765557</v>
      </c>
      <c r="I6" s="221">
        <v>29893.06505938404</v>
      </c>
      <c r="J6" s="221">
        <v>28134.64946765557</v>
      </c>
      <c r="K6" s="221">
        <v>28134.64946765557</v>
      </c>
      <c r="L6" s="221">
        <v>26376.23387592709</v>
      </c>
      <c r="M6" s="221">
        <v>28134.64946765557</v>
      </c>
      <c r="N6" s="221">
        <v>28134.64946765557</v>
      </c>
      <c r="O6" s="221">
        <v>26376.23387592709</v>
      </c>
      <c r="P6" s="221">
        <v>26376.23387592709</v>
      </c>
      <c r="Q6" s="221">
        <v>26376.23387592709</v>
      </c>
      <c r="R6" s="221">
        <v>26376.23387592709</v>
      </c>
      <c r="S6" s="221">
        <v>28134.64946765557</v>
      </c>
      <c r="T6" s="221">
        <v>28134.64946765557</v>
      </c>
      <c r="U6" s="221">
        <v>28134.64946765557</v>
      </c>
      <c r="V6" s="221">
        <v>28134.64946765557</v>
      </c>
      <c r="W6" s="221">
        <v>29893.06505938404</v>
      </c>
      <c r="X6" s="221">
        <v>33409.896242840987</v>
      </c>
      <c r="Y6" s="221">
        <v>33409.896242840987</v>
      </c>
      <c r="DA6" s="211" t="s">
        <v>976</v>
      </c>
    </row>
    <row r="7" spans="1:105" x14ac:dyDescent="0.25">
      <c r="A7" s="224" t="s">
        <v>118</v>
      </c>
      <c r="B7" s="225"/>
      <c r="C7" s="225">
        <v>0</v>
      </c>
      <c r="D7" s="225">
        <v>0</v>
      </c>
      <c r="E7" s="225">
        <v>0</v>
      </c>
      <c r="F7" s="225">
        <v>0</v>
      </c>
      <c r="G7" s="225">
        <v>0</v>
      </c>
      <c r="H7" s="225">
        <v>0</v>
      </c>
      <c r="I7" s="225">
        <v>3516.8311834569458</v>
      </c>
      <c r="J7" s="225">
        <v>0</v>
      </c>
      <c r="K7" s="225">
        <v>0</v>
      </c>
      <c r="L7" s="225">
        <v>0</v>
      </c>
      <c r="M7" s="225">
        <v>3516.8311834569458</v>
      </c>
      <c r="N7" s="225">
        <v>0</v>
      </c>
      <c r="O7" s="225">
        <v>0</v>
      </c>
      <c r="P7" s="225">
        <v>1758.4155917284729</v>
      </c>
      <c r="Q7" s="225">
        <v>0</v>
      </c>
      <c r="R7" s="225">
        <v>1758.4155917284729</v>
      </c>
      <c r="S7" s="225">
        <v>3516.8311834569458</v>
      </c>
      <c r="T7" s="225">
        <v>0</v>
      </c>
      <c r="U7" s="225">
        <v>1758.4155917284729</v>
      </c>
      <c r="V7" s="225">
        <v>0</v>
      </c>
      <c r="W7" s="225">
        <v>3516.8311834569458</v>
      </c>
      <c r="X7" s="225">
        <v>5275.2467751854192</v>
      </c>
      <c r="Y7" s="225">
        <v>0</v>
      </c>
      <c r="DA7" s="212" t="s">
        <v>977</v>
      </c>
    </row>
    <row r="8" spans="1:105" x14ac:dyDescent="0.25">
      <c r="A8" s="226" t="s">
        <v>117</v>
      </c>
      <c r="B8" s="227"/>
      <c r="C8" s="227">
        <f t="shared" ref="C8" si="0">IF(B6=0,0,B6+C7-C6)</f>
        <v>1758.4155917284734</v>
      </c>
      <c r="D8" s="227">
        <f t="shared" ref="D8" si="1">IF(C6=0,0,C6+D7-D6)</f>
        <v>1758.415591728477</v>
      </c>
      <c r="E8" s="227">
        <f t="shared" ref="E8" si="2">IF(D6=0,0,D6+E7-E6)</f>
        <v>0</v>
      </c>
      <c r="F8" s="227">
        <f t="shared" ref="F8" si="3">IF(E6=0,0,E6+F7-F6)</f>
        <v>1758.4155917284697</v>
      </c>
      <c r="G8" s="227">
        <f t="shared" ref="G8" si="4">IF(F6=0,0,F6+G7-G6)</f>
        <v>1758.4155917284697</v>
      </c>
      <c r="H8" s="227">
        <f t="shared" ref="H8" si="5">IF(G6=0,0,G6+H7-H6)</f>
        <v>0</v>
      </c>
      <c r="I8" s="227">
        <f t="shared" ref="I8" si="6">IF(H6=0,0,H6+I7-I6)</f>
        <v>1758.415591728477</v>
      </c>
      <c r="J8" s="227">
        <f t="shared" ref="J8" si="7">IF(I6=0,0,I6+J7-J6)</f>
        <v>1758.4155917284697</v>
      </c>
      <c r="K8" s="227">
        <f t="shared" ref="K8" si="8">IF(J6=0,0,J6+K7-K6)</f>
        <v>0</v>
      </c>
      <c r="L8" s="227">
        <f t="shared" ref="L8" si="9">IF(K6=0,0,K6+L7-L6)</f>
        <v>1758.4155917284806</v>
      </c>
      <c r="M8" s="227">
        <f t="shared" ref="M8" si="10">IF(L6=0,0,L6+M7-M6)</f>
        <v>1758.4155917284661</v>
      </c>
      <c r="N8" s="227">
        <f t="shared" ref="N8" si="11">IF(M6=0,0,M6+N7-N6)</f>
        <v>0</v>
      </c>
      <c r="O8" s="227">
        <f t="shared" ref="O8" si="12">IF(N6=0,0,N6+O7-O6)</f>
        <v>1758.4155917284806</v>
      </c>
      <c r="P8" s="227">
        <f t="shared" ref="P8" si="13">IF(O6=0,0,O6+P7-P6)</f>
        <v>1758.4155917284734</v>
      </c>
      <c r="Q8" s="227">
        <f t="shared" ref="Q8" si="14">IF(P6=0,0,P6+Q7-Q6)</f>
        <v>0</v>
      </c>
      <c r="R8" s="227">
        <f t="shared" ref="R8" si="15">IF(Q6=0,0,Q6+R7-R6)</f>
        <v>1758.4155917284734</v>
      </c>
      <c r="S8" s="227">
        <f t="shared" ref="S8" si="16">IF(R6=0,0,R6+S7-S6)</f>
        <v>1758.4155917284661</v>
      </c>
      <c r="T8" s="227">
        <f t="shared" ref="T8" si="17">IF(S6=0,0,S6+T7-T6)</f>
        <v>0</v>
      </c>
      <c r="U8" s="227">
        <f t="shared" ref="U8" si="18">IF(T6=0,0,T6+U7-U6)</f>
        <v>1758.4155917284734</v>
      </c>
      <c r="V8" s="227">
        <f t="shared" ref="V8" si="19">IF(U6=0,0,U6+V7-V6)</f>
        <v>0</v>
      </c>
      <c r="W8" s="227">
        <f t="shared" ref="W8" si="20">IF(V6=0,0,V6+W7-W6)</f>
        <v>1758.415591728477</v>
      </c>
      <c r="X8" s="227">
        <f t="shared" ref="X8" si="21">IF(W6=0,0,W6+X7-X6)</f>
        <v>1758.4155917284734</v>
      </c>
      <c r="Y8" s="227">
        <f t="shared" ref="Y8" si="22">IF(X6=0,0,X6+Y7-Y6)</f>
        <v>0</v>
      </c>
      <c r="DA8" s="213" t="s">
        <v>978</v>
      </c>
    </row>
    <row r="9" spans="1:105" x14ac:dyDescent="0.25">
      <c r="A9" s="222" t="s">
        <v>116</v>
      </c>
      <c r="B9" s="223">
        <f>B6-B5</f>
        <v>7033.6623669138899</v>
      </c>
      <c r="C9" s="223">
        <f t="shared" ref="C9:W9" si="23">C6-C5</f>
        <v>3498.4792048328854</v>
      </c>
      <c r="D9" s="223">
        <f t="shared" si="23"/>
        <v>3146.2978257858886</v>
      </c>
      <c r="E9" s="223">
        <f t="shared" si="23"/>
        <v>4177.6596109621787</v>
      </c>
      <c r="F9" s="223">
        <f t="shared" si="23"/>
        <v>1979.9210956138704</v>
      </c>
      <c r="G9" s="223">
        <f t="shared" si="23"/>
        <v>3401.689320658319</v>
      </c>
      <c r="H9" s="223">
        <f t="shared" si="23"/>
        <v>2856.8288103547602</v>
      </c>
      <c r="I9" s="223">
        <f t="shared" si="23"/>
        <v>2930.2805347611211</v>
      </c>
      <c r="J9" s="223">
        <f t="shared" si="23"/>
        <v>3150.5982340590308</v>
      </c>
      <c r="K9" s="223">
        <f t="shared" si="23"/>
        <v>5483.5777589272911</v>
      </c>
      <c r="L9" s="223">
        <f t="shared" si="23"/>
        <v>3490.0512061109512</v>
      </c>
      <c r="M9" s="223">
        <f t="shared" si="23"/>
        <v>2930.105055733522</v>
      </c>
      <c r="N9" s="223">
        <f t="shared" si="23"/>
        <v>4269.43393802438</v>
      </c>
      <c r="O9" s="223">
        <f t="shared" si="23"/>
        <v>2753.4804650032711</v>
      </c>
      <c r="P9" s="223">
        <f t="shared" si="23"/>
        <v>2071.2957419140912</v>
      </c>
      <c r="Q9" s="223">
        <f t="shared" si="23"/>
        <v>1937.214315752939</v>
      </c>
      <c r="R9" s="223">
        <f t="shared" si="23"/>
        <v>2131.6580637492807</v>
      </c>
      <c r="S9" s="223">
        <f t="shared" si="23"/>
        <v>1430.9570616326091</v>
      </c>
      <c r="T9" s="223">
        <f t="shared" si="23"/>
        <v>1772.5310127275588</v>
      </c>
      <c r="U9" s="223">
        <f t="shared" si="23"/>
        <v>2513.2242056658106</v>
      </c>
      <c r="V9" s="223">
        <f t="shared" si="23"/>
        <v>3666.87586090486</v>
      </c>
      <c r="W9" s="223">
        <f t="shared" si="23"/>
        <v>2364.9105637067587</v>
      </c>
      <c r="X9" s="223">
        <f t="shared" ref="X9:Y9" si="24">X6-X5</f>
        <v>2000.4645966074968</v>
      </c>
      <c r="Y9" s="223">
        <f t="shared" si="24"/>
        <v>4074.6893166083573</v>
      </c>
      <c r="DA9" s="214" t="s">
        <v>979</v>
      </c>
    </row>
    <row r="10" spans="1:105" x14ac:dyDescent="0.25">
      <c r="B10" s="215"/>
      <c r="C10" s="215"/>
      <c r="D10" s="215"/>
      <c r="E10" s="215"/>
      <c r="F10" s="215"/>
      <c r="G10" s="215"/>
      <c r="H10" s="215"/>
      <c r="I10" s="215"/>
      <c r="J10" s="215"/>
      <c r="K10" s="215"/>
      <c r="L10" s="215"/>
      <c r="M10" s="215"/>
      <c r="N10" s="215"/>
      <c r="O10" s="215"/>
      <c r="P10" s="215"/>
      <c r="Q10" s="215"/>
      <c r="R10" s="215"/>
      <c r="S10" s="215"/>
      <c r="T10" s="215"/>
      <c r="U10" s="215"/>
      <c r="V10" s="215"/>
      <c r="W10" s="215"/>
      <c r="X10" s="215"/>
      <c r="Y10" s="215"/>
    </row>
    <row r="11" spans="1:105" x14ac:dyDescent="0.25">
      <c r="A11" s="218" t="s">
        <v>115</v>
      </c>
      <c r="B11" s="230"/>
      <c r="C11" s="230"/>
      <c r="D11" s="230"/>
      <c r="E11" s="230"/>
      <c r="F11" s="230"/>
      <c r="G11" s="230"/>
      <c r="H11" s="230"/>
      <c r="I11" s="230"/>
      <c r="J11" s="230"/>
      <c r="K11" s="230"/>
      <c r="L11" s="230"/>
      <c r="M11" s="230"/>
      <c r="N11" s="230"/>
      <c r="O11" s="230"/>
      <c r="P11" s="230"/>
      <c r="Q11" s="230"/>
      <c r="R11" s="230"/>
      <c r="S11" s="230"/>
      <c r="T11" s="230"/>
      <c r="U11" s="230"/>
      <c r="V11" s="230"/>
      <c r="W11" s="230"/>
      <c r="X11" s="230"/>
      <c r="Y11" s="230"/>
      <c r="DA11" s="210"/>
    </row>
    <row r="12" spans="1:105" x14ac:dyDescent="0.25">
      <c r="A12" s="228" t="s">
        <v>114</v>
      </c>
      <c r="B12" s="229">
        <f>SUM(B13,B14,B18,B19,B26,B27)</f>
        <v>3164.3521926053309</v>
      </c>
      <c r="C12" s="229">
        <f t="shared" ref="C12:W12" si="25">SUM(C13,C14,C18,C19,C26,C27)</f>
        <v>3284.8546001719683</v>
      </c>
      <c r="D12" s="229">
        <f t="shared" si="25"/>
        <v>3244.148237317283</v>
      </c>
      <c r="E12" s="229">
        <f t="shared" si="25"/>
        <v>3284.162080825452</v>
      </c>
      <c r="F12" s="229">
        <f t="shared" si="25"/>
        <v>3274.3837489251937</v>
      </c>
      <c r="G12" s="229">
        <f t="shared" si="25"/>
        <v>3321.4889939810837</v>
      </c>
      <c r="H12" s="229">
        <f t="shared" si="25"/>
        <v>3287.5632846087692</v>
      </c>
      <c r="I12" s="229">
        <f t="shared" si="25"/>
        <v>3176.6122098022361</v>
      </c>
      <c r="J12" s="229">
        <f t="shared" si="25"/>
        <v>3085.4351676698193</v>
      </c>
      <c r="K12" s="229">
        <f t="shared" si="25"/>
        <v>3122.0788478073941</v>
      </c>
      <c r="L12" s="229">
        <f t="shared" si="25"/>
        <v>2940.3291487532242</v>
      </c>
      <c r="M12" s="229">
        <f t="shared" si="25"/>
        <v>2924.2643164230435</v>
      </c>
      <c r="N12" s="229">
        <f t="shared" si="25"/>
        <v>2823.5453998280309</v>
      </c>
      <c r="O12" s="229">
        <f t="shared" si="25"/>
        <v>2785.0004299226134</v>
      </c>
      <c r="P12" s="229">
        <f t="shared" si="25"/>
        <v>2775.9314703353402</v>
      </c>
      <c r="Q12" s="229">
        <f t="shared" si="25"/>
        <v>2851.4785038693026</v>
      </c>
      <c r="R12" s="229">
        <f t="shared" si="25"/>
        <v>2870.8607910576097</v>
      </c>
      <c r="S12" s="229">
        <f t="shared" si="25"/>
        <v>2917.6417024935508</v>
      </c>
      <c r="T12" s="229">
        <f t="shared" si="25"/>
        <v>3032.6855546001711</v>
      </c>
      <c r="U12" s="229">
        <f t="shared" si="25"/>
        <v>2928.7988822012044</v>
      </c>
      <c r="V12" s="229">
        <f t="shared" si="25"/>
        <v>2961.1580395528804</v>
      </c>
      <c r="W12" s="229">
        <f t="shared" si="25"/>
        <v>3182.610662080825</v>
      </c>
      <c r="X12" s="229">
        <f t="shared" ref="X12:Y12" si="26">SUM(X13,X14,X18,X19,X26,X27)</f>
        <v>3107.225537403267</v>
      </c>
      <c r="Y12" s="229">
        <f t="shared" si="26"/>
        <v>2973.9714531384348</v>
      </c>
      <c r="DA12" s="210" t="s">
        <v>980</v>
      </c>
    </row>
    <row r="13" spans="1:105" x14ac:dyDescent="0.25">
      <c r="A13" s="58" t="s">
        <v>29</v>
      </c>
      <c r="B13" s="59">
        <v>0</v>
      </c>
      <c r="C13" s="59">
        <v>0</v>
      </c>
      <c r="D13" s="59">
        <v>0</v>
      </c>
      <c r="E13" s="59">
        <v>0</v>
      </c>
      <c r="F13" s="59">
        <v>0</v>
      </c>
      <c r="G13" s="59">
        <v>0</v>
      </c>
      <c r="H13" s="59">
        <v>0</v>
      </c>
      <c r="I13" s="59">
        <v>0</v>
      </c>
      <c r="J13" s="59">
        <v>0</v>
      </c>
      <c r="K13" s="59">
        <v>0</v>
      </c>
      <c r="L13" s="59">
        <v>0</v>
      </c>
      <c r="M13" s="59">
        <v>0</v>
      </c>
      <c r="N13" s="59">
        <v>0</v>
      </c>
      <c r="O13" s="59">
        <v>0</v>
      </c>
      <c r="P13" s="59">
        <v>0</v>
      </c>
      <c r="Q13" s="59">
        <v>0</v>
      </c>
      <c r="R13" s="59">
        <v>0</v>
      </c>
      <c r="S13" s="59">
        <v>0</v>
      </c>
      <c r="T13" s="59">
        <v>0</v>
      </c>
      <c r="U13" s="59">
        <v>0</v>
      </c>
      <c r="V13" s="59">
        <v>0</v>
      </c>
      <c r="W13" s="59">
        <v>0</v>
      </c>
      <c r="X13" s="59">
        <v>0</v>
      </c>
      <c r="Y13" s="59">
        <v>0</v>
      </c>
      <c r="DA13" s="9" t="s">
        <v>981</v>
      </c>
    </row>
    <row r="14" spans="1:105" x14ac:dyDescent="0.25">
      <c r="A14" s="60" t="s">
        <v>28</v>
      </c>
      <c r="B14" s="55">
        <f>SUM(B15:B17)</f>
        <v>2546.0447119518481</v>
      </c>
      <c r="C14" s="55">
        <f t="shared" ref="C14:W14" si="27">SUM(C15:C17)</f>
        <v>2638.0576096302657</v>
      </c>
      <c r="D14" s="55">
        <f t="shared" si="27"/>
        <v>2622.4610490111781</v>
      </c>
      <c r="E14" s="55">
        <f t="shared" si="27"/>
        <v>2626.7460017196909</v>
      </c>
      <c r="F14" s="55">
        <f t="shared" si="27"/>
        <v>2609.735425623388</v>
      </c>
      <c r="G14" s="55">
        <f t="shared" si="27"/>
        <v>2610.8006878761826</v>
      </c>
      <c r="H14" s="55">
        <f t="shared" si="27"/>
        <v>2584.245743766121</v>
      </c>
      <c r="I14" s="55">
        <f t="shared" si="27"/>
        <v>2450.6449699054174</v>
      </c>
      <c r="J14" s="55">
        <f t="shared" si="27"/>
        <v>2380.276182287188</v>
      </c>
      <c r="K14" s="55">
        <f t="shared" si="27"/>
        <v>2401.4139294926908</v>
      </c>
      <c r="L14" s="55">
        <f t="shared" si="27"/>
        <v>2266.2510748065347</v>
      </c>
      <c r="M14" s="55">
        <f t="shared" si="27"/>
        <v>2228.3748925193463</v>
      </c>
      <c r="N14" s="55">
        <f t="shared" si="27"/>
        <v>2129.1917454858126</v>
      </c>
      <c r="O14" s="55">
        <f t="shared" si="27"/>
        <v>2106.644711951848</v>
      </c>
      <c r="P14" s="55">
        <f t="shared" si="27"/>
        <v>2112.1811693895102</v>
      </c>
      <c r="Q14" s="55">
        <f t="shared" si="27"/>
        <v>2143.3219260533101</v>
      </c>
      <c r="R14" s="55">
        <f t="shared" si="27"/>
        <v>2169.0456577815994</v>
      </c>
      <c r="S14" s="55">
        <f t="shared" si="27"/>
        <v>2170.9181427343074</v>
      </c>
      <c r="T14" s="55">
        <f t="shared" si="27"/>
        <v>2299.2023215821146</v>
      </c>
      <c r="U14" s="55">
        <f t="shared" si="27"/>
        <v>2166.5369733447983</v>
      </c>
      <c r="V14" s="55">
        <f t="shared" si="27"/>
        <v>2186.7154772141016</v>
      </c>
      <c r="W14" s="55">
        <f t="shared" si="27"/>
        <v>2151.3948409286322</v>
      </c>
      <c r="X14" s="55">
        <f t="shared" ref="X14:Y14" si="28">SUM(X15:X17)</f>
        <v>2048.9447119518491</v>
      </c>
      <c r="Y14" s="55">
        <f t="shared" si="28"/>
        <v>1968.1745485812551</v>
      </c>
      <c r="DA14" s="10"/>
    </row>
    <row r="15" spans="1:105" x14ac:dyDescent="0.25">
      <c r="A15" s="61" t="s">
        <v>52</v>
      </c>
      <c r="B15" s="55">
        <v>76.908340498710217</v>
      </c>
      <c r="C15" s="55">
        <v>73.612295786758381</v>
      </c>
      <c r="D15" s="55">
        <v>73.612295786758381</v>
      </c>
      <c r="E15" s="55">
        <v>73.612295786758381</v>
      </c>
      <c r="F15" s="55">
        <v>72.513671539122953</v>
      </c>
      <c r="G15" s="55">
        <v>73.612381771281164</v>
      </c>
      <c r="H15" s="55">
        <v>73.612381771281164</v>
      </c>
      <c r="I15" s="55">
        <v>70.31625107480653</v>
      </c>
      <c r="J15" s="55">
        <v>68.118916595012891</v>
      </c>
      <c r="K15" s="55">
        <v>65.921496130696482</v>
      </c>
      <c r="L15" s="55">
        <v>68.118916595012891</v>
      </c>
      <c r="M15" s="55">
        <v>65.921496130696468</v>
      </c>
      <c r="N15" s="55">
        <v>59.329320722269991</v>
      </c>
      <c r="O15" s="55">
        <v>57.131986242476351</v>
      </c>
      <c r="P15" s="55">
        <v>49.441100601891655</v>
      </c>
      <c r="Q15" s="55">
        <v>58.230696474634563</v>
      </c>
      <c r="R15" s="55">
        <v>23.072570937231294</v>
      </c>
      <c r="S15" s="55">
        <v>20.875150472914871</v>
      </c>
      <c r="T15" s="55">
        <v>21.973860705073083</v>
      </c>
      <c r="U15" s="55">
        <v>23.616337059329322</v>
      </c>
      <c r="V15" s="55">
        <v>25.16878761822872</v>
      </c>
      <c r="W15" s="55">
        <v>27.56070507308684</v>
      </c>
      <c r="X15" s="55">
        <v>26.546603611349958</v>
      </c>
      <c r="Y15" s="55">
        <v>25.708254514187441</v>
      </c>
      <c r="DA15" s="10" t="s">
        <v>982</v>
      </c>
    </row>
    <row r="16" spans="1:105" x14ac:dyDescent="0.25">
      <c r="A16" s="61" t="s">
        <v>165</v>
      </c>
      <c r="B16" s="55">
        <v>2414.4883920894235</v>
      </c>
      <c r="C16" s="55">
        <v>2520.3066208082537</v>
      </c>
      <c r="D16" s="55">
        <v>2515.2192605331043</v>
      </c>
      <c r="E16" s="55">
        <v>2544.726311263973</v>
      </c>
      <c r="F16" s="55">
        <v>2517.2542562338781</v>
      </c>
      <c r="G16" s="55">
        <v>2518.2717110920039</v>
      </c>
      <c r="H16" s="55">
        <v>2494.8695614789331</v>
      </c>
      <c r="I16" s="55">
        <v>2366.6667239896819</v>
      </c>
      <c r="J16" s="55">
        <v>2298.4952708512465</v>
      </c>
      <c r="K16" s="55">
        <v>2323.9323301805671</v>
      </c>
      <c r="L16" s="55">
        <v>2186.5720550300948</v>
      </c>
      <c r="M16" s="55">
        <v>2152.9950988822011</v>
      </c>
      <c r="N16" s="55">
        <v>2060.4041272570939</v>
      </c>
      <c r="O16" s="55">
        <v>2040.0544282029232</v>
      </c>
      <c r="P16" s="55">
        <v>2053.2817712811698</v>
      </c>
      <c r="Q16" s="55">
        <v>2076.6838349097161</v>
      </c>
      <c r="R16" s="55">
        <v>2142.8202923473773</v>
      </c>
      <c r="S16" s="55">
        <v>2146.8901977644018</v>
      </c>
      <c r="T16" s="55">
        <v>2274.0756663800507</v>
      </c>
      <c r="U16" s="55">
        <v>2139.7678417884781</v>
      </c>
      <c r="V16" s="55">
        <v>2158.3938950988822</v>
      </c>
      <c r="W16" s="55">
        <v>2121.6261392949264</v>
      </c>
      <c r="X16" s="55">
        <v>2020.8616509028377</v>
      </c>
      <c r="Y16" s="55">
        <v>1941.4216680997417</v>
      </c>
      <c r="DA16" s="10" t="s">
        <v>983</v>
      </c>
    </row>
    <row r="17" spans="1:105" x14ac:dyDescent="0.25">
      <c r="A17" s="61" t="s">
        <v>113</v>
      </c>
      <c r="B17" s="55">
        <v>54.647979363714533</v>
      </c>
      <c r="C17" s="55">
        <v>44.138693035253652</v>
      </c>
      <c r="D17" s="55">
        <v>33.629492691315562</v>
      </c>
      <c r="E17" s="55">
        <v>8.4073946689595864</v>
      </c>
      <c r="F17" s="55">
        <v>19.967497850386934</v>
      </c>
      <c r="G17" s="55">
        <v>18.916595012897673</v>
      </c>
      <c r="H17" s="55">
        <v>15.763800515907141</v>
      </c>
      <c r="I17" s="55">
        <v>13.66199484092863</v>
      </c>
      <c r="J17" s="55">
        <v>13.661994840928632</v>
      </c>
      <c r="K17" s="55">
        <v>11.560103181427341</v>
      </c>
      <c r="L17" s="55">
        <v>11.560103181427342</v>
      </c>
      <c r="M17" s="55">
        <v>9.4582975064488384</v>
      </c>
      <c r="N17" s="55">
        <v>9.4582975064488384</v>
      </c>
      <c r="O17" s="55">
        <v>9.4582975064488384</v>
      </c>
      <c r="P17" s="55">
        <v>9.4582975064488384</v>
      </c>
      <c r="Q17" s="55">
        <v>8.4073946689595864</v>
      </c>
      <c r="R17" s="55">
        <v>3.1527944969905422</v>
      </c>
      <c r="S17" s="55">
        <v>3.1527944969905422</v>
      </c>
      <c r="T17" s="55">
        <v>3.1527944969905422</v>
      </c>
      <c r="U17" s="55">
        <v>3.1527944969905422</v>
      </c>
      <c r="V17" s="55">
        <v>3.1527944969905422</v>
      </c>
      <c r="W17" s="55">
        <v>2.2079965606190881</v>
      </c>
      <c r="X17" s="55">
        <v>1.536457437661221</v>
      </c>
      <c r="Y17" s="55">
        <v>1.0446259673258811</v>
      </c>
      <c r="DA17" s="10" t="s">
        <v>984</v>
      </c>
    </row>
    <row r="18" spans="1:105" x14ac:dyDescent="0.25">
      <c r="A18" s="60" t="s">
        <v>149</v>
      </c>
      <c r="B18" s="55">
        <v>117.13241616509031</v>
      </c>
      <c r="C18" s="55">
        <v>122.0335339638865</v>
      </c>
      <c r="D18" s="55">
        <v>120.4213241616509</v>
      </c>
      <c r="E18" s="55">
        <v>132.73860705073079</v>
      </c>
      <c r="F18" s="55">
        <v>138.32760103181431</v>
      </c>
      <c r="G18" s="55">
        <v>168.8091143594153</v>
      </c>
      <c r="H18" s="55">
        <v>148.30180567497851</v>
      </c>
      <c r="I18" s="55">
        <v>156.1908856405847</v>
      </c>
      <c r="J18" s="55">
        <v>136.80137575236461</v>
      </c>
      <c r="K18" s="55">
        <v>141.70249355116081</v>
      </c>
      <c r="L18" s="55">
        <v>142.23989681857259</v>
      </c>
      <c r="M18" s="55">
        <v>130.20206362854691</v>
      </c>
      <c r="N18" s="55">
        <v>128.58985382631121</v>
      </c>
      <c r="O18" s="55">
        <v>128.2889079965606</v>
      </c>
      <c r="P18" s="55">
        <v>121.2166809974205</v>
      </c>
      <c r="Q18" s="55">
        <v>138.41358555460019</v>
      </c>
      <c r="R18" s="55">
        <v>129.8796216680997</v>
      </c>
      <c r="S18" s="55">
        <v>135.95379368591639</v>
      </c>
      <c r="T18" s="55">
        <v>136.73168717716868</v>
      </c>
      <c r="U18" s="55">
        <v>141.59072283828507</v>
      </c>
      <c r="V18" s="55">
        <v>135.70914828469668</v>
      </c>
      <c r="W18" s="55">
        <v>344.67380995359815</v>
      </c>
      <c r="X18" s="55">
        <v>380.3815389988269</v>
      </c>
      <c r="Y18" s="55">
        <v>363.38494305544441</v>
      </c>
      <c r="DA18" s="10" t="s">
        <v>985</v>
      </c>
    </row>
    <row r="19" spans="1:105" x14ac:dyDescent="0.25">
      <c r="A19" s="60" t="s">
        <v>51</v>
      </c>
      <c r="B19" s="55">
        <f>SUM(B20:B25)</f>
        <v>79.249011177987953</v>
      </c>
      <c r="C19" s="55">
        <f t="shared" ref="C19:W19" si="29">SUM(C20:C25)</f>
        <v>80.825365434221837</v>
      </c>
      <c r="D19" s="55">
        <f t="shared" si="29"/>
        <v>80.801547721410145</v>
      </c>
      <c r="E19" s="55">
        <f t="shared" si="29"/>
        <v>80.825365434221837</v>
      </c>
      <c r="F19" s="55">
        <f t="shared" si="29"/>
        <v>79.320636285468609</v>
      </c>
      <c r="G19" s="55">
        <f t="shared" si="29"/>
        <v>79.440068787618216</v>
      </c>
      <c r="H19" s="55">
        <f t="shared" si="29"/>
        <v>79.678933791917444</v>
      </c>
      <c r="I19" s="55">
        <f t="shared" si="29"/>
        <v>79.750558899398101</v>
      </c>
      <c r="J19" s="55">
        <f t="shared" si="29"/>
        <v>79.893895098882197</v>
      </c>
      <c r="K19" s="55">
        <f t="shared" si="29"/>
        <v>80.419346517626821</v>
      </c>
      <c r="L19" s="55">
        <f t="shared" si="29"/>
        <v>48.151332760103173</v>
      </c>
      <c r="M19" s="55">
        <f t="shared" si="29"/>
        <v>48.414015477214093</v>
      </c>
      <c r="N19" s="55">
        <f t="shared" si="29"/>
        <v>40.938177128116941</v>
      </c>
      <c r="O19" s="55">
        <f t="shared" si="29"/>
        <v>41.630782459157345</v>
      </c>
      <c r="P19" s="55">
        <f t="shared" si="29"/>
        <v>58.063370593293193</v>
      </c>
      <c r="Q19" s="55">
        <f t="shared" si="29"/>
        <v>71.032760103181417</v>
      </c>
      <c r="R19" s="55">
        <f t="shared" si="29"/>
        <v>82.33009458297505</v>
      </c>
      <c r="S19" s="55">
        <f t="shared" si="29"/>
        <v>85.201494362234911</v>
      </c>
      <c r="T19" s="55">
        <f t="shared" si="29"/>
        <v>83.60193277124057</v>
      </c>
      <c r="U19" s="55">
        <f t="shared" si="29"/>
        <v>86.539887651826731</v>
      </c>
      <c r="V19" s="55">
        <f t="shared" si="29"/>
        <v>81.696784647375523</v>
      </c>
      <c r="W19" s="55">
        <f t="shared" si="29"/>
        <v>104.36367929833649</v>
      </c>
      <c r="X19" s="55">
        <f t="shared" ref="X19:Y19" si="30">SUM(X20:X25)</f>
        <v>101.42086856781108</v>
      </c>
      <c r="Y19" s="55">
        <f t="shared" si="30"/>
        <v>95.62141979924175</v>
      </c>
      <c r="DA19" s="10"/>
    </row>
    <row r="20" spans="1:105" x14ac:dyDescent="0.25">
      <c r="A20" s="61" t="s">
        <v>164</v>
      </c>
      <c r="B20" s="55">
        <v>0.5493551160791057</v>
      </c>
      <c r="C20" s="55">
        <v>0.5970765262252794</v>
      </c>
      <c r="D20" s="55">
        <v>0.5493551160791057</v>
      </c>
      <c r="E20" s="55">
        <v>0.5493551160791057</v>
      </c>
      <c r="F20" s="55">
        <v>0.5493551160791057</v>
      </c>
      <c r="G20" s="55">
        <v>0.57325881341358553</v>
      </c>
      <c r="H20" s="55">
        <v>0.74041272570937233</v>
      </c>
      <c r="I20" s="55">
        <v>0.62098022355975924</v>
      </c>
      <c r="J20" s="55">
        <v>0.62098022355975924</v>
      </c>
      <c r="K20" s="55">
        <v>0.95537403267411869</v>
      </c>
      <c r="L20" s="55">
        <v>1.5525365434221841</v>
      </c>
      <c r="M20" s="55">
        <v>1.6002579535683581</v>
      </c>
      <c r="N20" s="55">
        <v>1.6002579535683581</v>
      </c>
      <c r="O20" s="55">
        <v>1.791315563198624</v>
      </c>
      <c r="P20" s="55">
        <v>21.352794496990541</v>
      </c>
      <c r="Q20" s="55">
        <v>34.178847807394668</v>
      </c>
      <c r="R20" s="55">
        <v>34.919260533104037</v>
      </c>
      <c r="S20" s="55">
        <v>35.271109200343943</v>
      </c>
      <c r="T20" s="55">
        <v>34.234651762682716</v>
      </c>
      <c r="U20" s="55">
        <v>34.44987102321582</v>
      </c>
      <c r="V20" s="55">
        <v>34.66371453138435</v>
      </c>
      <c r="W20" s="55">
        <v>38.153052450558903</v>
      </c>
      <c r="X20" s="55">
        <v>35.021754084264828</v>
      </c>
      <c r="Y20" s="55">
        <v>35.209458297506437</v>
      </c>
      <c r="DA20" s="10" t="s">
        <v>986</v>
      </c>
    </row>
    <row r="21" spans="1:105" x14ac:dyDescent="0.25">
      <c r="A21" s="61" t="s">
        <v>50</v>
      </c>
      <c r="B21" s="55">
        <v>0</v>
      </c>
      <c r="C21" s="55">
        <v>0</v>
      </c>
      <c r="D21" s="55">
        <v>0</v>
      </c>
      <c r="E21" s="55">
        <v>0</v>
      </c>
      <c r="F21" s="55">
        <v>0</v>
      </c>
      <c r="G21" s="55">
        <v>0</v>
      </c>
      <c r="H21" s="55">
        <v>0</v>
      </c>
      <c r="I21" s="55">
        <v>0</v>
      </c>
      <c r="J21" s="55">
        <v>0</v>
      </c>
      <c r="K21" s="55">
        <v>0</v>
      </c>
      <c r="L21" s="55">
        <v>0</v>
      </c>
      <c r="M21" s="55">
        <v>0.14333619948409279</v>
      </c>
      <c r="N21" s="55">
        <v>0</v>
      </c>
      <c r="O21" s="55">
        <v>0</v>
      </c>
      <c r="P21" s="55">
        <v>0</v>
      </c>
      <c r="Q21" s="55">
        <v>0</v>
      </c>
      <c r="R21" s="55">
        <v>0</v>
      </c>
      <c r="S21" s="55">
        <v>1.6197715631305724E-2</v>
      </c>
      <c r="T21" s="55">
        <v>5.4125376571610158E-2</v>
      </c>
      <c r="U21" s="55">
        <v>9.6723421388211481E-2</v>
      </c>
      <c r="V21" s="55">
        <v>0.1944630652603187</v>
      </c>
      <c r="W21" s="55">
        <v>21.013550321552316</v>
      </c>
      <c r="X21" s="55">
        <v>23.88028387305615</v>
      </c>
      <c r="Y21" s="55">
        <v>17.359940865449857</v>
      </c>
      <c r="DA21" s="10" t="s">
        <v>987</v>
      </c>
    </row>
    <row r="22" spans="1:105" x14ac:dyDescent="0.25">
      <c r="A22" s="61" t="s">
        <v>49</v>
      </c>
      <c r="B22" s="55">
        <v>0</v>
      </c>
      <c r="C22" s="55">
        <v>0</v>
      </c>
      <c r="D22" s="55">
        <v>0</v>
      </c>
      <c r="E22" s="55">
        <v>0</v>
      </c>
      <c r="F22" s="55">
        <v>0</v>
      </c>
      <c r="G22" s="55">
        <v>0</v>
      </c>
      <c r="H22" s="55">
        <v>0</v>
      </c>
      <c r="I22" s="55">
        <v>0</v>
      </c>
      <c r="J22" s="55">
        <v>0</v>
      </c>
      <c r="K22" s="55">
        <v>0</v>
      </c>
      <c r="L22" s="55">
        <v>0</v>
      </c>
      <c r="M22" s="55">
        <v>0</v>
      </c>
      <c r="N22" s="55">
        <v>0</v>
      </c>
      <c r="O22" s="55">
        <v>0</v>
      </c>
      <c r="P22" s="55">
        <v>0</v>
      </c>
      <c r="Q22" s="55">
        <v>0</v>
      </c>
      <c r="R22" s="55">
        <v>0</v>
      </c>
      <c r="S22" s="55">
        <v>0</v>
      </c>
      <c r="T22" s="55">
        <v>0</v>
      </c>
      <c r="U22" s="55">
        <v>0</v>
      </c>
      <c r="V22" s="55">
        <v>0</v>
      </c>
      <c r="W22" s="55">
        <v>7.2570937231298357E-2</v>
      </c>
      <c r="X22" s="55">
        <v>1.2295786758383489E-2</v>
      </c>
      <c r="Y22" s="55">
        <v>0</v>
      </c>
      <c r="DA22" s="10" t="s">
        <v>988</v>
      </c>
    </row>
    <row r="23" spans="1:105" x14ac:dyDescent="0.25">
      <c r="A23" s="61" t="s">
        <v>26</v>
      </c>
      <c r="B23" s="55">
        <v>0.1194325021496131</v>
      </c>
      <c r="C23" s="55">
        <v>0.1194325021496131</v>
      </c>
      <c r="D23" s="55">
        <v>0.14333619948409279</v>
      </c>
      <c r="E23" s="55">
        <v>0.16715391229578669</v>
      </c>
      <c r="F23" s="55">
        <v>0.19105760963026661</v>
      </c>
      <c r="G23" s="55">
        <v>0.28658641444539978</v>
      </c>
      <c r="H23" s="55">
        <v>0.35829750644883918</v>
      </c>
      <c r="I23" s="55">
        <v>0.5493551160791057</v>
      </c>
      <c r="J23" s="55">
        <v>0.69269131556319852</v>
      </c>
      <c r="K23" s="55">
        <v>0.88374892519346515</v>
      </c>
      <c r="L23" s="55">
        <v>1.337575236457438</v>
      </c>
      <c r="M23" s="55">
        <v>1.4092003439380909</v>
      </c>
      <c r="N23" s="55">
        <v>1.5525365434221841</v>
      </c>
      <c r="O23" s="55">
        <v>1.671883061049011</v>
      </c>
      <c r="P23" s="55">
        <v>1.791315563198624</v>
      </c>
      <c r="Q23" s="55">
        <v>1.9107480653482369</v>
      </c>
      <c r="R23" s="55">
        <v>2.00627687016337</v>
      </c>
      <c r="S23" s="55">
        <v>2.0877042132416159</v>
      </c>
      <c r="T23" s="55">
        <v>2.1842648323301801</v>
      </c>
      <c r="U23" s="55">
        <v>2.2794496990541702</v>
      </c>
      <c r="V23" s="55">
        <v>2.5261392949269128</v>
      </c>
      <c r="W23" s="55">
        <v>2.6847807394668961</v>
      </c>
      <c r="X23" s="55">
        <v>2.7327601031814268</v>
      </c>
      <c r="Y23" s="55">
        <v>2.6850386930352541</v>
      </c>
      <c r="DA23" s="10" t="s">
        <v>989</v>
      </c>
    </row>
    <row r="24" spans="1:105" x14ac:dyDescent="0.25">
      <c r="A24" s="61" t="s">
        <v>25</v>
      </c>
      <c r="B24" s="55">
        <v>78.580223559759233</v>
      </c>
      <c r="C24" s="55">
        <v>80.10885640584695</v>
      </c>
      <c r="D24" s="55">
        <v>80.10885640584695</v>
      </c>
      <c r="E24" s="55">
        <v>80.10885640584695</v>
      </c>
      <c r="F24" s="55">
        <v>78.580223559759233</v>
      </c>
      <c r="G24" s="55">
        <v>78.580223559759233</v>
      </c>
      <c r="H24" s="55">
        <v>78.580223559759233</v>
      </c>
      <c r="I24" s="55">
        <v>78.580223559759233</v>
      </c>
      <c r="J24" s="55">
        <v>78.580223559759233</v>
      </c>
      <c r="K24" s="55">
        <v>78.580223559759233</v>
      </c>
      <c r="L24" s="55">
        <v>45.261220980223548</v>
      </c>
      <c r="M24" s="55">
        <v>45.261220980223548</v>
      </c>
      <c r="N24" s="55">
        <v>37.785382631126396</v>
      </c>
      <c r="O24" s="55">
        <v>38.167583834909706</v>
      </c>
      <c r="P24" s="55">
        <v>34.91926053310403</v>
      </c>
      <c r="Q24" s="55">
        <v>34.943164230438512</v>
      </c>
      <c r="R24" s="55">
        <v>45.404557179707638</v>
      </c>
      <c r="S24" s="55">
        <v>47.826483233018052</v>
      </c>
      <c r="T24" s="55">
        <v>47.128890799656055</v>
      </c>
      <c r="U24" s="55">
        <v>49.71384350816853</v>
      </c>
      <c r="V24" s="55">
        <v>44.312467755803951</v>
      </c>
      <c r="W24" s="55">
        <v>42.439724849527082</v>
      </c>
      <c r="X24" s="55">
        <v>39.7737747205503</v>
      </c>
      <c r="Y24" s="55">
        <v>40.366981943250209</v>
      </c>
      <c r="DA24" s="10" t="s">
        <v>990</v>
      </c>
    </row>
    <row r="25" spans="1:105" x14ac:dyDescent="0.25">
      <c r="A25" s="61" t="s">
        <v>151</v>
      </c>
      <c r="B25" s="55">
        <v>0</v>
      </c>
      <c r="C25" s="55">
        <v>0</v>
      </c>
      <c r="D25" s="55">
        <v>0</v>
      </c>
      <c r="E25" s="55">
        <v>0</v>
      </c>
      <c r="F25" s="55">
        <v>0</v>
      </c>
      <c r="G25" s="55">
        <v>0</v>
      </c>
      <c r="H25" s="55">
        <v>0</v>
      </c>
      <c r="I25" s="55">
        <v>0</v>
      </c>
      <c r="J25" s="55">
        <v>0</v>
      </c>
      <c r="K25" s="55">
        <v>0</v>
      </c>
      <c r="L25" s="55">
        <v>0</v>
      </c>
      <c r="M25" s="55">
        <v>0</v>
      </c>
      <c r="N25" s="55">
        <v>0</v>
      </c>
      <c r="O25" s="55">
        <v>0</v>
      </c>
      <c r="P25" s="55">
        <v>0</v>
      </c>
      <c r="Q25" s="55">
        <v>0</v>
      </c>
      <c r="R25" s="55">
        <v>0</v>
      </c>
      <c r="S25" s="55">
        <v>0</v>
      </c>
      <c r="T25" s="55">
        <v>0</v>
      </c>
      <c r="U25" s="55">
        <v>0</v>
      </c>
      <c r="V25" s="55">
        <v>0</v>
      </c>
      <c r="W25" s="55">
        <v>0</v>
      </c>
      <c r="X25" s="55">
        <v>0</v>
      </c>
      <c r="Y25" s="55">
        <v>0</v>
      </c>
      <c r="DA25" s="10" t="s">
        <v>991</v>
      </c>
    </row>
    <row r="26" spans="1:105" x14ac:dyDescent="0.25">
      <c r="A26" s="60" t="s">
        <v>162</v>
      </c>
      <c r="B26" s="55">
        <v>0</v>
      </c>
      <c r="C26" s="55">
        <v>0</v>
      </c>
      <c r="D26" s="55">
        <v>0</v>
      </c>
      <c r="E26" s="55">
        <v>0</v>
      </c>
      <c r="F26" s="55">
        <v>1.1703353396388649</v>
      </c>
      <c r="G26" s="55">
        <v>1.218142734307825</v>
      </c>
      <c r="H26" s="55">
        <v>2.07798796216681</v>
      </c>
      <c r="I26" s="55">
        <v>3.4393809114359408</v>
      </c>
      <c r="J26" s="55">
        <v>0.93147033533963886</v>
      </c>
      <c r="K26" s="55">
        <v>12.73052450558899</v>
      </c>
      <c r="L26" s="55">
        <v>1.3136715391229581</v>
      </c>
      <c r="M26" s="55">
        <v>9.3627687016337049</v>
      </c>
      <c r="N26" s="55">
        <v>15.45331040412726</v>
      </c>
      <c r="O26" s="55">
        <v>20.30189165950129</v>
      </c>
      <c r="P26" s="55">
        <v>22.475408426483231</v>
      </c>
      <c r="Q26" s="55">
        <v>9.4582975064488384</v>
      </c>
      <c r="R26" s="55">
        <v>10.84359415305245</v>
      </c>
      <c r="S26" s="55">
        <v>10.486156491831469</v>
      </c>
      <c r="T26" s="55">
        <v>10.71306964746346</v>
      </c>
      <c r="U26" s="55">
        <v>13.71908856405847</v>
      </c>
      <c r="V26" s="55">
        <v>14.427429062768701</v>
      </c>
      <c r="W26" s="55">
        <v>4.8990541702493546</v>
      </c>
      <c r="X26" s="55">
        <v>7.4901977644024074</v>
      </c>
      <c r="Y26" s="55">
        <v>2.2154772141014609</v>
      </c>
      <c r="DA26" s="10" t="s">
        <v>992</v>
      </c>
    </row>
    <row r="27" spans="1:105" x14ac:dyDescent="0.25">
      <c r="A27" s="62" t="s">
        <v>24</v>
      </c>
      <c r="B27" s="63">
        <v>421.92605331040409</v>
      </c>
      <c r="C27" s="63">
        <v>443.93809114359408</v>
      </c>
      <c r="D27" s="63">
        <v>420.46431642304378</v>
      </c>
      <c r="E27" s="63">
        <v>443.85210662080817</v>
      </c>
      <c r="F27" s="63">
        <v>445.82975064488386</v>
      </c>
      <c r="G27" s="63">
        <v>461.22098022355965</v>
      </c>
      <c r="H27" s="63">
        <v>473.25881341358547</v>
      </c>
      <c r="I27" s="63">
        <v>486.58641444539984</v>
      </c>
      <c r="J27" s="63">
        <v>487.5322441960447</v>
      </c>
      <c r="K27" s="63">
        <v>485.81255374032668</v>
      </c>
      <c r="L27" s="63">
        <v>482.37317282889069</v>
      </c>
      <c r="M27" s="63">
        <v>507.91057609630258</v>
      </c>
      <c r="N27" s="63">
        <v>509.37231298366282</v>
      </c>
      <c r="O27" s="63">
        <v>488.13413585554605</v>
      </c>
      <c r="P27" s="63">
        <v>461.99484092863281</v>
      </c>
      <c r="Q27" s="63">
        <v>489.25193465176255</v>
      </c>
      <c r="R27" s="63">
        <v>478.76182287188306</v>
      </c>
      <c r="S27" s="63">
        <v>515.08211521926046</v>
      </c>
      <c r="T27" s="63">
        <v>502.43654342218406</v>
      </c>
      <c r="U27" s="63">
        <v>520.41220980223568</v>
      </c>
      <c r="V27" s="63">
        <v>542.60920034393803</v>
      </c>
      <c r="W27" s="63">
        <v>577.27927773000863</v>
      </c>
      <c r="X27" s="63">
        <v>568.98822012037829</v>
      </c>
      <c r="Y27" s="63">
        <v>544.57506448839206</v>
      </c>
      <c r="DA27" s="11" t="s">
        <v>993</v>
      </c>
    </row>
    <row r="29" spans="1:105" x14ac:dyDescent="0.25">
      <c r="A29" s="218" t="s">
        <v>84</v>
      </c>
      <c r="B29" s="219">
        <v>8127.6145999199989</v>
      </c>
      <c r="C29" s="219">
        <v>8428.2188637599993</v>
      </c>
      <c r="D29" s="219">
        <v>8378.157047040002</v>
      </c>
      <c r="E29" s="219">
        <v>8425.4503291200017</v>
      </c>
      <c r="F29" s="219">
        <v>8383.9865749200017</v>
      </c>
      <c r="G29" s="219">
        <v>8458.5914719200027</v>
      </c>
      <c r="H29" s="219">
        <v>8328.673059839999</v>
      </c>
      <c r="I29" s="219">
        <v>7934.6577560400001</v>
      </c>
      <c r="J29" s="219">
        <v>7671.8143043999999</v>
      </c>
      <c r="K29" s="219">
        <v>7750.3385959199977</v>
      </c>
      <c r="L29" s="219">
        <v>7331.2570468800013</v>
      </c>
      <c r="M29" s="219">
        <v>7186.909276800001</v>
      </c>
      <c r="N29" s="219">
        <v>6878.4508800000012</v>
      </c>
      <c r="O29" s="219">
        <v>6808.8056572799997</v>
      </c>
      <c r="P29" s="219">
        <v>6812.9128789200013</v>
      </c>
      <c r="Q29" s="219">
        <v>6946.0797131999998</v>
      </c>
      <c r="R29" s="219">
        <v>7023.0889746000003</v>
      </c>
      <c r="S29" s="219">
        <v>7044.1772083697506</v>
      </c>
      <c r="T29" s="219">
        <v>7443.4895599569581</v>
      </c>
      <c r="U29" s="219">
        <v>7042.5625279708074</v>
      </c>
      <c r="V29" s="219">
        <v>7090.6351080035256</v>
      </c>
      <c r="W29" s="219">
        <v>7470.959092515197</v>
      </c>
      <c r="X29" s="219">
        <v>7237.588013816443</v>
      </c>
      <c r="Y29" s="219">
        <v>6947.5685659269229</v>
      </c>
      <c r="DA29" s="8"/>
    </row>
    <row r="31" spans="1:105" x14ac:dyDescent="0.25">
      <c r="A31" s="33" t="s">
        <v>183</v>
      </c>
      <c r="B31" s="59">
        <f t="shared" ref="B31:Y31" si="31">IF(B$12=0,"",B$12/B$3*1000)</f>
        <v>64.531374904864236</v>
      </c>
      <c r="C31" s="59">
        <f t="shared" si="31"/>
        <v>68.042860009274634</v>
      </c>
      <c r="D31" s="59">
        <f t="shared" si="31"/>
        <v>70.24470148796631</v>
      </c>
      <c r="E31" s="59">
        <f t="shared" si="31"/>
        <v>71.725904673769818</v>
      </c>
      <c r="F31" s="59">
        <f t="shared" si="31"/>
        <v>70.442222413621394</v>
      </c>
      <c r="G31" s="59">
        <f t="shared" si="31"/>
        <v>81.683075554749067</v>
      </c>
      <c r="H31" s="59">
        <f t="shared" si="31"/>
        <v>82.412909781796785</v>
      </c>
      <c r="I31" s="59">
        <f t="shared" si="31"/>
        <v>80.557696970407576</v>
      </c>
      <c r="J31" s="59">
        <f t="shared" si="31"/>
        <v>80.143667357812149</v>
      </c>
      <c r="K31" s="59">
        <f t="shared" si="31"/>
        <v>89.201248815640298</v>
      </c>
      <c r="L31" s="59">
        <f t="shared" si="31"/>
        <v>83.657824200278853</v>
      </c>
      <c r="M31" s="59">
        <f t="shared" si="31"/>
        <v>78.736821340171261</v>
      </c>
      <c r="N31" s="59">
        <f t="shared" si="31"/>
        <v>75.638085918478481</v>
      </c>
      <c r="O31" s="59">
        <f t="shared" si="31"/>
        <v>70.293724290392674</v>
      </c>
      <c r="P31" s="59">
        <f t="shared" si="31"/>
        <v>75.348110468787908</v>
      </c>
      <c r="Q31" s="59">
        <f t="shared" si="31"/>
        <v>73.564874698466127</v>
      </c>
      <c r="R31" s="59">
        <f t="shared" si="31"/>
        <v>78.625933961216376</v>
      </c>
      <c r="S31" s="59">
        <f t="shared" si="31"/>
        <v>76.693333271425345</v>
      </c>
      <c r="T31" s="59">
        <f t="shared" si="31"/>
        <v>80.503158196504103</v>
      </c>
      <c r="U31" s="59">
        <f t="shared" si="31"/>
        <v>78.774073454954106</v>
      </c>
      <c r="V31" s="59">
        <f t="shared" si="31"/>
        <v>82.547517566131077</v>
      </c>
      <c r="W31" s="59">
        <f t="shared" si="31"/>
        <v>85.267225059686112</v>
      </c>
      <c r="X31" s="59">
        <f t="shared" si="31"/>
        <v>77.403489991852908</v>
      </c>
      <c r="Y31" s="59">
        <f t="shared" si="31"/>
        <v>74.634389697103813</v>
      </c>
      <c r="DA31" s="211"/>
    </row>
    <row r="32" spans="1:105" x14ac:dyDescent="0.25">
      <c r="A32" s="35" t="s">
        <v>112</v>
      </c>
      <c r="B32" s="55">
        <f t="shared" ref="B32:Y32" si="32">IF(B$12=0,"",B$12/B$5*1000)</f>
        <v>112.47171201628669</v>
      </c>
      <c r="C32" s="55">
        <f t="shared" si="32"/>
        <v>109.81942433546162</v>
      </c>
      <c r="D32" s="55">
        <f t="shared" si="32"/>
        <v>113.80906613357637</v>
      </c>
      <c r="E32" s="55">
        <f t="shared" si="32"/>
        <v>119.53787119840254</v>
      </c>
      <c r="F32" s="55">
        <f t="shared" si="32"/>
        <v>117.30616060932356</v>
      </c>
      <c r="G32" s="55">
        <f t="shared" si="32"/>
        <v>134.29403412451359</v>
      </c>
      <c r="H32" s="55">
        <f t="shared" si="32"/>
        <v>130.05722800154635</v>
      </c>
      <c r="I32" s="55">
        <f t="shared" si="32"/>
        <v>117.81469406104161</v>
      </c>
      <c r="J32" s="55">
        <f t="shared" si="32"/>
        <v>123.49619118298855</v>
      </c>
      <c r="K32" s="55">
        <f t="shared" si="32"/>
        <v>137.83360398812141</v>
      </c>
      <c r="L32" s="55">
        <f t="shared" si="32"/>
        <v>128.47617233393541</v>
      </c>
      <c r="M32" s="55">
        <f t="shared" si="32"/>
        <v>116.02131221383362</v>
      </c>
      <c r="N32" s="55">
        <f t="shared" si="32"/>
        <v>118.31216844961239</v>
      </c>
      <c r="O32" s="55">
        <f t="shared" si="32"/>
        <v>117.89482713876832</v>
      </c>
      <c r="P32" s="55">
        <f t="shared" si="32"/>
        <v>114.21265320772923</v>
      </c>
      <c r="Q32" s="55">
        <f t="shared" si="32"/>
        <v>116.67728719019786</v>
      </c>
      <c r="R32" s="55">
        <f t="shared" si="32"/>
        <v>118.41249825520168</v>
      </c>
      <c r="S32" s="55">
        <f t="shared" si="32"/>
        <v>109.25986032686187</v>
      </c>
      <c r="T32" s="55">
        <f t="shared" si="32"/>
        <v>115.03952384499111</v>
      </c>
      <c r="U32" s="55">
        <f t="shared" si="32"/>
        <v>114.31053707016741</v>
      </c>
      <c r="V32" s="55">
        <f t="shared" si="32"/>
        <v>121.02278233994656</v>
      </c>
      <c r="W32" s="55">
        <f t="shared" si="32"/>
        <v>115.61293230102247</v>
      </c>
      <c r="X32" s="55">
        <f t="shared" si="32"/>
        <v>98.926512660278419</v>
      </c>
      <c r="Y32" s="55">
        <f t="shared" si="32"/>
        <v>101.37891512464496</v>
      </c>
      <c r="DA32" s="216"/>
    </row>
    <row r="33" spans="1:105" x14ac:dyDescent="0.25">
      <c r="A33" s="35" t="s">
        <v>111</v>
      </c>
      <c r="B33" s="55">
        <f>IF(AGR_ued!B$5=0,"",AGR_ued!B$5/B$5*1000)</f>
        <v>42.845907575180874</v>
      </c>
      <c r="C33" s="55">
        <f>IF(AGR_ued!C$5=0,"",AGR_ued!C$5/C$5*1000)</f>
        <v>41.892911140876414</v>
      </c>
      <c r="D33" s="55">
        <f>IF(AGR_ued!D$5=0,"",AGR_ued!D$5/D$5*1000)</f>
        <v>43.312682657219518</v>
      </c>
      <c r="E33" s="55">
        <f>IF(AGR_ued!E$5=0,"",AGR_ued!E$5/E$5*1000)</f>
        <v>45.670949964034385</v>
      </c>
      <c r="F33" s="55">
        <f>IF(AGR_ued!F$5=0,"",AGR_ued!F$5/F$5*1000)</f>
        <v>44.839700635385647</v>
      </c>
      <c r="G33" s="55">
        <f>IF(AGR_ued!G$5=0,"",AGR_ued!G$5/G$5*1000)</f>
        <v>51.452661424703052</v>
      </c>
      <c r="H33" s="55">
        <f>IF(AGR_ued!H$5=0,"",AGR_ued!H$5/H$5*1000)</f>
        <v>49.934483475430362</v>
      </c>
      <c r="I33" s="55">
        <f>IF(AGR_ued!I$5=0,"",AGR_ued!I$5/I$5*1000)</f>
        <v>45.479255517511341</v>
      </c>
      <c r="J33" s="55">
        <f>IF(AGR_ued!J$5=0,"",AGR_ued!J$5/J$5*1000)</f>
        <v>47.749868632930067</v>
      </c>
      <c r="K33" s="55">
        <f>IF(AGR_ued!K$5=0,"",AGR_ued!K$5/K$5*1000)</f>
        <v>53.327412104905051</v>
      </c>
      <c r="L33" s="55">
        <f>IF(AGR_ued!L$5=0,"",AGR_ued!L$5/L$5*1000)</f>
        <v>49.855441683960002</v>
      </c>
      <c r="M33" s="55">
        <f>IF(AGR_ued!M$5=0,"",AGR_ued!M$5/M$5*1000)</f>
        <v>45.298834376874957</v>
      </c>
      <c r="N33" s="55">
        <f>IF(AGR_ued!N$5=0,"",AGR_ued!N$5/N$5*1000)</f>
        <v>46.418103496112323</v>
      </c>
      <c r="O33" s="55">
        <f>IF(AGR_ued!O$5=0,"",AGR_ued!O$5/O$5*1000)</f>
        <v>46.164191247887501</v>
      </c>
      <c r="P33" s="55">
        <f>IF(AGR_ued!P$5=0,"",AGR_ued!P$5/P$5*1000)</f>
        <v>44.470690482015307</v>
      </c>
      <c r="Q33" s="55">
        <f>IF(AGR_ued!Q$5=0,"",AGR_ued!Q$5/Q$5*1000)</f>
        <v>45.452159012986066</v>
      </c>
      <c r="R33" s="55">
        <f>IF(AGR_ued!R$5=0,"",AGR_ued!R$5/R$5*1000)</f>
        <v>46.023754902284416</v>
      </c>
      <c r="S33" s="55">
        <f>IF(AGR_ued!S$5=0,"",AGR_ued!S$5/S$5*1000)</f>
        <v>42.696278504016135</v>
      </c>
      <c r="T33" s="55">
        <f>IF(AGR_ued!T$5=0,"",AGR_ued!T$5/T$5*1000)</f>
        <v>44.687794980573585</v>
      </c>
      <c r="U33" s="55">
        <f>IF(AGR_ued!U$5=0,"",AGR_ued!U$5/U$5*1000)</f>
        <v>44.72969843537976</v>
      </c>
      <c r="V33" s="55">
        <f>IF(AGR_ued!V$5=0,"",AGR_ued!V$5/V$5*1000)</f>
        <v>47.494221917110487</v>
      </c>
      <c r="W33" s="55">
        <f>IF(AGR_ued!W$5=0,"",AGR_ued!W$5/W$5*1000)</f>
        <v>45.587974217637317</v>
      </c>
      <c r="X33" s="55">
        <f>IF(AGR_ued!X$5=0,"",AGR_ued!X$5/X$5*1000)</f>
        <v>39.1286215585382</v>
      </c>
      <c r="Y33" s="55">
        <f>IF(AGR_ued!Y$5=0,"",AGR_ued!Y$5/Y$5*1000)</f>
        <v>40.057407596307762</v>
      </c>
      <c r="DA33" s="216"/>
    </row>
    <row r="34" spans="1:105" x14ac:dyDescent="0.25">
      <c r="A34" s="37" t="s">
        <v>110</v>
      </c>
      <c r="B34" s="217">
        <f t="shared" ref="B34:Y34" si="33">IF(B$12=0,"",B$29/B$12)</f>
        <v>2.568492413364464</v>
      </c>
      <c r="C34" s="217">
        <f t="shared" si="33"/>
        <v>2.5657814088084039</v>
      </c>
      <c r="D34" s="217">
        <f t="shared" si="33"/>
        <v>2.5825444567133089</v>
      </c>
      <c r="E34" s="217">
        <f t="shared" si="33"/>
        <v>2.5654794500892359</v>
      </c>
      <c r="F34" s="217">
        <f t="shared" si="33"/>
        <v>2.560477701390993</v>
      </c>
      <c r="G34" s="217">
        <f t="shared" si="33"/>
        <v>2.5466263736679342</v>
      </c>
      <c r="H34" s="217">
        <f t="shared" si="33"/>
        <v>2.5333879042973733</v>
      </c>
      <c r="I34" s="217">
        <f t="shared" si="33"/>
        <v>2.4978364471293091</v>
      </c>
      <c r="J34" s="217">
        <f t="shared" si="33"/>
        <v>2.4864610298047207</v>
      </c>
      <c r="K34" s="217">
        <f t="shared" si="33"/>
        <v>2.4824288474850613</v>
      </c>
      <c r="L34" s="217">
        <f t="shared" si="33"/>
        <v>2.4933457024662169</v>
      </c>
      <c r="M34" s="217">
        <f t="shared" si="33"/>
        <v>2.4576811461390125</v>
      </c>
      <c r="N34" s="217">
        <f t="shared" si="33"/>
        <v>2.4361042257081951</v>
      </c>
      <c r="O34" s="217">
        <f t="shared" si="33"/>
        <v>2.4448131440572869</v>
      </c>
      <c r="P34" s="217">
        <f t="shared" si="33"/>
        <v>2.4542799243156326</v>
      </c>
      <c r="Q34" s="217">
        <f t="shared" si="33"/>
        <v>2.4359572424531848</v>
      </c>
      <c r="R34" s="217">
        <f t="shared" si="33"/>
        <v>2.4463356065456354</v>
      </c>
      <c r="S34" s="217">
        <f t="shared" si="33"/>
        <v>2.4143393626261487</v>
      </c>
      <c r="T34" s="217">
        <f t="shared" si="33"/>
        <v>2.4544218073206427</v>
      </c>
      <c r="U34" s="217">
        <f t="shared" si="33"/>
        <v>2.4045906910063457</v>
      </c>
      <c r="V34" s="217">
        <f t="shared" si="33"/>
        <v>2.394548015773645</v>
      </c>
      <c r="W34" s="217">
        <f t="shared" si="33"/>
        <v>2.3474310513465708</v>
      </c>
      <c r="X34" s="217">
        <f t="shared" si="33"/>
        <v>2.3292766896686077</v>
      </c>
      <c r="Y34" s="217">
        <f t="shared" si="33"/>
        <v>2.336124833543761</v>
      </c>
      <c r="DA34" s="214"/>
    </row>
  </sheetData>
  <pageMargins left="0.39370078740157483" right="0.39370078740157483" top="0.39370078740157483" bottom="0.39370078740157483" header="0.31496062992125984" footer="0.31496062992125984"/>
  <pageSetup paperSize="9" scale="88" orientation="landscape" horizontalDpi="1200" verticalDpi="1200" r:id="rId1"/>
  <headerFooter alignWithMargins="0"/>
  <ignoredErrors>
    <ignoredError sqref="B14:Y14 B19:Y19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2" tint="-0.499984740745262"/>
    <pageSetUpPr fitToPage="1"/>
  </sheetPr>
  <dimension ref="A1:DA53"/>
  <sheetViews>
    <sheetView showGridLines="0" zoomScaleNormal="100" workbookViewId="0">
      <pane xSplit="1" ySplit="1" topLeftCell="E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1.25" x14ac:dyDescent="0.25"/>
  <cols>
    <col min="1" max="1" width="50.7109375" style="1" customWidth="1"/>
    <col min="2" max="25" width="9.7109375" style="1" customWidth="1"/>
    <col min="26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25.5" x14ac:dyDescent="0.25">
      <c r="A1" s="28" t="s">
        <v>994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3" spans="1:105" ht="12.75" x14ac:dyDescent="0.25">
      <c r="A3" s="178" t="s">
        <v>130</v>
      </c>
      <c r="B3" s="231"/>
      <c r="C3" s="231"/>
      <c r="D3" s="231"/>
      <c r="E3" s="231"/>
      <c r="F3" s="231"/>
      <c r="G3" s="231"/>
      <c r="H3" s="231"/>
      <c r="I3" s="231"/>
      <c r="J3" s="231"/>
      <c r="K3" s="231"/>
      <c r="L3" s="231"/>
      <c r="M3" s="231"/>
      <c r="N3" s="231"/>
      <c r="O3" s="231"/>
      <c r="P3" s="231"/>
      <c r="Q3" s="231"/>
      <c r="R3" s="231"/>
      <c r="S3" s="231"/>
      <c r="T3" s="231"/>
      <c r="U3" s="231"/>
      <c r="V3" s="231"/>
      <c r="W3" s="231"/>
      <c r="X3" s="231"/>
      <c r="Y3" s="231"/>
      <c r="DA3" s="266"/>
    </row>
    <row r="5" spans="1:105" ht="12.75" x14ac:dyDescent="0.25">
      <c r="A5" s="233" t="s">
        <v>126</v>
      </c>
      <c r="B5" s="80">
        <f t="shared" ref="B5" si="0">SUM(B6:B9,B16:B17,B25:B27)</f>
        <v>3164.3521926053304</v>
      </c>
      <c r="C5" s="80">
        <f t="shared" ref="C5:W5" si="1">SUM(C6:C9,C16:C17,C25:C27)</f>
        <v>3284.8546001719674</v>
      </c>
      <c r="D5" s="80">
        <f t="shared" si="1"/>
        <v>3244.148237317283</v>
      </c>
      <c r="E5" s="80">
        <f t="shared" si="1"/>
        <v>3284.1620808254506</v>
      </c>
      <c r="F5" s="80">
        <f t="shared" si="1"/>
        <v>3274.3837489251923</v>
      </c>
      <c r="G5" s="80">
        <f t="shared" si="1"/>
        <v>3321.4889939810837</v>
      </c>
      <c r="H5" s="80">
        <f t="shared" si="1"/>
        <v>3287.5632846087692</v>
      </c>
      <c r="I5" s="80">
        <f t="shared" si="1"/>
        <v>3176.6122098022352</v>
      </c>
      <c r="J5" s="80">
        <f t="shared" si="1"/>
        <v>3085.4351676698193</v>
      </c>
      <c r="K5" s="80">
        <f t="shared" si="1"/>
        <v>3122.0788478073941</v>
      </c>
      <c r="L5" s="80">
        <f t="shared" si="1"/>
        <v>2940.3291487532233</v>
      </c>
      <c r="M5" s="80">
        <f t="shared" si="1"/>
        <v>2924.2643164230435</v>
      </c>
      <c r="N5" s="80">
        <f t="shared" si="1"/>
        <v>2823.5453998280309</v>
      </c>
      <c r="O5" s="80">
        <f t="shared" si="1"/>
        <v>2785.0004299226134</v>
      </c>
      <c r="P5" s="80">
        <f t="shared" si="1"/>
        <v>2775.9314703353389</v>
      </c>
      <c r="Q5" s="80">
        <f t="shared" si="1"/>
        <v>2851.478503869303</v>
      </c>
      <c r="R5" s="80">
        <f t="shared" si="1"/>
        <v>2870.8607910576088</v>
      </c>
      <c r="S5" s="80">
        <f t="shared" si="1"/>
        <v>2917.6417024935504</v>
      </c>
      <c r="T5" s="80">
        <f t="shared" si="1"/>
        <v>3032.6855546001702</v>
      </c>
      <c r="U5" s="80">
        <f t="shared" si="1"/>
        <v>2928.7988822012048</v>
      </c>
      <c r="V5" s="80">
        <f t="shared" si="1"/>
        <v>2961.1580395528795</v>
      </c>
      <c r="W5" s="80">
        <f t="shared" si="1"/>
        <v>3182.6106620808241</v>
      </c>
      <c r="X5" s="80">
        <f t="shared" ref="X5:Y5" si="2">SUM(X6:X9,X16:X17,X25:X27)</f>
        <v>3107.2255374032684</v>
      </c>
      <c r="Y5" s="80">
        <f t="shared" si="2"/>
        <v>2973.9714531384343</v>
      </c>
      <c r="DA5" s="103"/>
    </row>
    <row r="6" spans="1:105" x14ac:dyDescent="0.25">
      <c r="A6" s="238" t="s">
        <v>125</v>
      </c>
      <c r="B6" s="239">
        <v>73.571159276251962</v>
      </c>
      <c r="C6" s="239">
        <v>77.23239414006737</v>
      </c>
      <c r="D6" s="239">
        <v>73.890221672962554</v>
      </c>
      <c r="E6" s="239">
        <v>77.352057776617514</v>
      </c>
      <c r="F6" s="239">
        <v>77.527937872256004</v>
      </c>
      <c r="G6" s="239">
        <v>79.841507512617028</v>
      </c>
      <c r="H6" s="239">
        <v>81.195583231903541</v>
      </c>
      <c r="I6" s="239">
        <v>82.143579702696357</v>
      </c>
      <c r="J6" s="239">
        <v>81.566784276618748</v>
      </c>
      <c r="K6" s="239">
        <v>81.726789145878911</v>
      </c>
      <c r="L6" s="239">
        <v>79.802198433887085</v>
      </c>
      <c r="M6" s="239">
        <v>82.638585130433825</v>
      </c>
      <c r="N6" s="239">
        <v>81.944239061300721</v>
      </c>
      <c r="O6" s="239">
        <v>79.306646348813686</v>
      </c>
      <c r="P6" s="239">
        <v>76.212968374713597</v>
      </c>
      <c r="Q6" s="239">
        <v>79.763949793839728</v>
      </c>
      <c r="R6" s="239">
        <v>78.97350155448666</v>
      </c>
      <c r="S6" s="239">
        <v>83.491265113219171</v>
      </c>
      <c r="T6" s="239">
        <v>83.064667849136313</v>
      </c>
      <c r="U6" s="239">
        <v>84.19919381145202</v>
      </c>
      <c r="V6" s="239">
        <v>86.902167228993093</v>
      </c>
      <c r="W6" s="239">
        <v>92.838543355722891</v>
      </c>
      <c r="X6" s="239">
        <v>91.299351691864288</v>
      </c>
      <c r="Y6" s="239">
        <v>87.329954922885932</v>
      </c>
      <c r="DA6" s="267" t="s">
        <v>995</v>
      </c>
    </row>
    <row r="7" spans="1:105" x14ac:dyDescent="0.25">
      <c r="A7" s="240" t="s">
        <v>124</v>
      </c>
      <c r="B7" s="241">
        <v>47.821253529563769</v>
      </c>
      <c r="C7" s="241">
        <v>50.201056191043783</v>
      </c>
      <c r="D7" s="241">
        <v>48.028644087425647</v>
      </c>
      <c r="E7" s="241">
        <v>50.278837554801378</v>
      </c>
      <c r="F7" s="241">
        <v>50.393159616966393</v>
      </c>
      <c r="G7" s="241">
        <v>51.896979883201062</v>
      </c>
      <c r="H7" s="241">
        <v>52.777129100737277</v>
      </c>
      <c r="I7" s="241">
        <v>53.393326806752619</v>
      </c>
      <c r="J7" s="241">
        <v>53.018409779802177</v>
      </c>
      <c r="K7" s="241">
        <v>53.122412944821278</v>
      </c>
      <c r="L7" s="241">
        <v>51.871428982026607</v>
      </c>
      <c r="M7" s="241">
        <v>53.715080334781987</v>
      </c>
      <c r="N7" s="241">
        <v>53.26375538984545</v>
      </c>
      <c r="O7" s="241">
        <v>51.54932012672888</v>
      </c>
      <c r="P7" s="241">
        <v>49.538429443563821</v>
      </c>
      <c r="Q7" s="241">
        <v>51.846567365995803</v>
      </c>
      <c r="R7" s="241">
        <v>51.332776010416318</v>
      </c>
      <c r="S7" s="241">
        <v>54.269322323592462</v>
      </c>
      <c r="T7" s="241">
        <v>53.992034101938593</v>
      </c>
      <c r="U7" s="241">
        <v>54.729475977443798</v>
      </c>
      <c r="V7" s="241">
        <v>56.486408698845487</v>
      </c>
      <c r="W7" s="241">
        <v>60.345053181219861</v>
      </c>
      <c r="X7" s="241">
        <v>59.344578599711767</v>
      </c>
      <c r="Y7" s="241">
        <v>56.764470699875837</v>
      </c>
      <c r="DA7" s="268" t="s">
        <v>996</v>
      </c>
    </row>
    <row r="8" spans="1:105" x14ac:dyDescent="0.25">
      <c r="A8" s="240" t="s">
        <v>123</v>
      </c>
      <c r="B8" s="241">
        <v>66.214043348626745</v>
      </c>
      <c r="C8" s="241">
        <v>69.509154726060629</v>
      </c>
      <c r="D8" s="241">
        <v>66.501199505666293</v>
      </c>
      <c r="E8" s="241">
        <v>69.616851998955752</v>
      </c>
      <c r="F8" s="241">
        <v>69.775144085030419</v>
      </c>
      <c r="G8" s="241">
        <v>71.857356761355319</v>
      </c>
      <c r="H8" s="241">
        <v>73.07602490871318</v>
      </c>
      <c r="I8" s="241">
        <v>73.929221732426711</v>
      </c>
      <c r="J8" s="241">
        <v>73.410105848956889</v>
      </c>
      <c r="K8" s="241">
        <v>73.554110231291034</v>
      </c>
      <c r="L8" s="241">
        <v>71.821978590498389</v>
      </c>
      <c r="M8" s="241">
        <v>74.374726617390451</v>
      </c>
      <c r="N8" s="241">
        <v>73.749815155170623</v>
      </c>
      <c r="O8" s="241">
        <v>71.375981713932333</v>
      </c>
      <c r="P8" s="241">
        <v>68.591671537242235</v>
      </c>
      <c r="Q8" s="241">
        <v>71.787554814455746</v>
      </c>
      <c r="R8" s="241">
        <v>71.076151399037983</v>
      </c>
      <c r="S8" s="241">
        <v>75.142138601897258</v>
      </c>
      <c r="T8" s="241">
        <v>74.758201064222661</v>
      </c>
      <c r="U8" s="241">
        <v>75.779274430306828</v>
      </c>
      <c r="V8" s="241">
        <v>78.211950506093771</v>
      </c>
      <c r="W8" s="241">
        <v>83.554689020150605</v>
      </c>
      <c r="X8" s="241">
        <v>82.169416522677849</v>
      </c>
      <c r="Y8" s="241">
        <v>78.596959430597323</v>
      </c>
      <c r="DA8" s="268" t="s">
        <v>997</v>
      </c>
    </row>
    <row r="9" spans="1:105" x14ac:dyDescent="0.25">
      <c r="A9" s="242" t="s">
        <v>122</v>
      </c>
      <c r="B9" s="243">
        <f t="shared" ref="B9" si="3">SUM(B10:B15)</f>
        <v>624.18974632835477</v>
      </c>
      <c r="C9" s="243">
        <f t="shared" ref="C9:W9" si="4">SUM(C10:C15)</f>
        <v>648.60556153715538</v>
      </c>
      <c r="D9" s="243">
        <f t="shared" si="4"/>
        <v>642.95854267564846</v>
      </c>
      <c r="E9" s="243">
        <f t="shared" si="4"/>
        <v>651.07355972660184</v>
      </c>
      <c r="F9" s="243">
        <f t="shared" si="4"/>
        <v>648.65359968830489</v>
      </c>
      <c r="G9" s="243">
        <f t="shared" si="4"/>
        <v>658.0867390941205</v>
      </c>
      <c r="H9" s="243">
        <f t="shared" si="4"/>
        <v>649.91485316788987</v>
      </c>
      <c r="I9" s="243">
        <f t="shared" si="4"/>
        <v>627.18022785638311</v>
      </c>
      <c r="J9" s="243">
        <f t="shared" si="4"/>
        <v>607.30761470775747</v>
      </c>
      <c r="K9" s="243">
        <f t="shared" si="4"/>
        <v>619.00640425081679</v>
      </c>
      <c r="L9" s="243">
        <f t="shared" si="4"/>
        <v>577.56762160084395</v>
      </c>
      <c r="M9" s="243">
        <f t="shared" si="4"/>
        <v>576.34069369374333</v>
      </c>
      <c r="N9" s="243">
        <f t="shared" si="4"/>
        <v>558.6592336861587</v>
      </c>
      <c r="O9" s="243">
        <f t="shared" si="4"/>
        <v>552.86348918380406</v>
      </c>
      <c r="P9" s="243">
        <f t="shared" si="4"/>
        <v>551.19485087050532</v>
      </c>
      <c r="Q9" s="243">
        <f t="shared" si="4"/>
        <v>560.75569807973693</v>
      </c>
      <c r="R9" s="243">
        <f t="shared" si="4"/>
        <v>567.64307622105048</v>
      </c>
      <c r="S9" s="243">
        <f t="shared" si="4"/>
        <v>576.59083172192652</v>
      </c>
      <c r="T9" s="243">
        <f t="shared" si="4"/>
        <v>599.75745010796368</v>
      </c>
      <c r="U9" s="243">
        <f t="shared" si="4"/>
        <v>579.93391809907894</v>
      </c>
      <c r="V9" s="243">
        <f t="shared" si="4"/>
        <v>586.12872481157751</v>
      </c>
      <c r="W9" s="243">
        <f t="shared" si="4"/>
        <v>633.00181851093782</v>
      </c>
      <c r="X9" s="243">
        <f t="shared" ref="X9:Y9" si="5">SUM(X10:X15)</f>
        <v>620.64785473994914</v>
      </c>
      <c r="Y9" s="243">
        <f t="shared" si="5"/>
        <v>592.18349279914958</v>
      </c>
      <c r="DA9" s="269"/>
    </row>
    <row r="10" spans="1:105" x14ac:dyDescent="0.25">
      <c r="A10" s="253" t="s">
        <v>166</v>
      </c>
      <c r="B10" s="254">
        <v>501.12474198276612</v>
      </c>
      <c r="C10" s="254">
        <v>520.1993645347161</v>
      </c>
      <c r="D10" s="254">
        <v>521.7445177629919</v>
      </c>
      <c r="E10" s="254">
        <v>520.5927655007863</v>
      </c>
      <c r="F10" s="254">
        <v>514.32430548960531</v>
      </c>
      <c r="G10" s="254">
        <v>509.59613818336459</v>
      </c>
      <c r="H10" s="254">
        <v>502.84628783013682</v>
      </c>
      <c r="I10" s="254">
        <v>468.35611837107842</v>
      </c>
      <c r="J10" s="254">
        <v>453.94119121179762</v>
      </c>
      <c r="K10" s="254">
        <v>455.1985622839947</v>
      </c>
      <c r="L10" s="254">
        <v>429.73071185409509</v>
      </c>
      <c r="M10" s="254">
        <v>414.22955973015451</v>
      </c>
      <c r="N10" s="254">
        <v>389.38044603646631</v>
      </c>
      <c r="O10" s="254">
        <v>386.59528585247301</v>
      </c>
      <c r="P10" s="254">
        <v>395.93976663756888</v>
      </c>
      <c r="Q10" s="254">
        <v>402.60086722594963</v>
      </c>
      <c r="R10" s="254">
        <v>414.70875802889071</v>
      </c>
      <c r="S10" s="254">
        <v>408.28002148138148</v>
      </c>
      <c r="T10" s="254">
        <v>440.85803469645828</v>
      </c>
      <c r="U10" s="254">
        <v>404.28122819604312</v>
      </c>
      <c r="V10" s="254">
        <v>405.06968436841282</v>
      </c>
      <c r="W10" s="254">
        <v>381.90975672273049</v>
      </c>
      <c r="X10" s="254">
        <v>356.6855550076902</v>
      </c>
      <c r="Y10" s="254">
        <v>344.85697253020419</v>
      </c>
      <c r="DA10" s="270" t="s">
        <v>998</v>
      </c>
    </row>
    <row r="11" spans="1:105" x14ac:dyDescent="0.25">
      <c r="A11" s="253" t="s">
        <v>169</v>
      </c>
      <c r="B11" s="255">
        <v>41.267609414707913</v>
      </c>
      <c r="C11" s="255">
        <v>42.614259696456351</v>
      </c>
      <c r="D11" s="255">
        <v>42.12651205282318</v>
      </c>
      <c r="E11" s="255">
        <v>45.731840528618967</v>
      </c>
      <c r="F11" s="255">
        <v>47.767485711311153</v>
      </c>
      <c r="G11" s="255">
        <v>58.110205660895211</v>
      </c>
      <c r="H11" s="255">
        <v>50.714967918062193</v>
      </c>
      <c r="I11" s="255">
        <v>52.777847907607452</v>
      </c>
      <c r="J11" s="255">
        <v>46.051157081766007</v>
      </c>
      <c r="K11" s="255">
        <v>47.347283640833737</v>
      </c>
      <c r="L11" s="255">
        <v>47.575113786949572</v>
      </c>
      <c r="M11" s="255">
        <v>42.730851264438961</v>
      </c>
      <c r="N11" s="255">
        <v>41.483745383194922</v>
      </c>
      <c r="O11" s="255">
        <v>41.483055867749698</v>
      </c>
      <c r="P11" s="255">
        <v>39.797092928367498</v>
      </c>
      <c r="Q11" s="255">
        <v>46.012965148227373</v>
      </c>
      <c r="R11" s="255">
        <v>42.633584220849443</v>
      </c>
      <c r="S11" s="255">
        <v>44.034081244112059</v>
      </c>
      <c r="T11" s="255">
        <v>44.889766873196507</v>
      </c>
      <c r="U11" s="255">
        <v>45.734672397991247</v>
      </c>
      <c r="V11" s="255">
        <v>43.530606915746219</v>
      </c>
      <c r="W11" s="255">
        <v>118.4857331590629</v>
      </c>
      <c r="X11" s="255">
        <v>130.28200208529981</v>
      </c>
      <c r="Y11" s="255">
        <v>123.2495403080631</v>
      </c>
      <c r="DA11" s="271" t="s">
        <v>999</v>
      </c>
    </row>
    <row r="12" spans="1:105" x14ac:dyDescent="0.25">
      <c r="A12" s="253" t="s">
        <v>152</v>
      </c>
      <c r="B12" s="255">
        <v>27.72713800129609</v>
      </c>
      <c r="C12" s="255">
        <v>28.01581686177704</v>
      </c>
      <c r="D12" s="255">
        <v>28.07430480099794</v>
      </c>
      <c r="E12" s="255">
        <v>27.657135958493271</v>
      </c>
      <c r="F12" s="255">
        <v>27.20141186324118</v>
      </c>
      <c r="G12" s="255">
        <v>27.14880985431909</v>
      </c>
      <c r="H12" s="255">
        <v>26.99471220293756</v>
      </c>
      <c r="I12" s="255">
        <v>26.738364733756811</v>
      </c>
      <c r="J12" s="255">
        <v>26.68547326498534</v>
      </c>
      <c r="K12" s="255">
        <v>26.551425808989521</v>
      </c>
      <c r="L12" s="255">
        <v>15.58594376071005</v>
      </c>
      <c r="M12" s="255">
        <v>15.29986355239658</v>
      </c>
      <c r="N12" s="255">
        <v>12.690614184427741</v>
      </c>
      <c r="O12" s="255">
        <v>12.882351691938389</v>
      </c>
      <c r="P12" s="255">
        <v>12.05258382210245</v>
      </c>
      <c r="Q12" s="255">
        <v>12.25138251600986</v>
      </c>
      <c r="R12" s="255">
        <v>15.56282471788529</v>
      </c>
      <c r="S12" s="255">
        <v>16.164782850882919</v>
      </c>
      <c r="T12" s="255">
        <v>16.18337471389308</v>
      </c>
      <c r="U12" s="255">
        <v>16.782688195022001</v>
      </c>
      <c r="V12" s="255">
        <v>15.00264026653557</v>
      </c>
      <c r="W12" s="255">
        <v>14.620713508198071</v>
      </c>
      <c r="X12" s="255">
        <v>13.698638222138809</v>
      </c>
      <c r="Y12" s="255">
        <v>13.93621287333664</v>
      </c>
      <c r="DA12" s="271" t="s">
        <v>1000</v>
      </c>
    </row>
    <row r="13" spans="1:105" x14ac:dyDescent="0.25">
      <c r="A13" s="253" t="s">
        <v>151</v>
      </c>
      <c r="B13" s="255">
        <v>0</v>
      </c>
      <c r="C13" s="255">
        <v>0</v>
      </c>
      <c r="D13" s="255">
        <v>0</v>
      </c>
      <c r="E13" s="255">
        <v>0</v>
      </c>
      <c r="F13" s="255">
        <v>0</v>
      </c>
      <c r="G13" s="255">
        <v>0</v>
      </c>
      <c r="H13" s="255">
        <v>0</v>
      </c>
      <c r="I13" s="255">
        <v>0</v>
      </c>
      <c r="J13" s="255">
        <v>0</v>
      </c>
      <c r="K13" s="255">
        <v>0</v>
      </c>
      <c r="L13" s="255">
        <v>0</v>
      </c>
      <c r="M13" s="255">
        <v>0</v>
      </c>
      <c r="N13" s="255">
        <v>0</v>
      </c>
      <c r="O13" s="255">
        <v>0</v>
      </c>
      <c r="P13" s="255">
        <v>0</v>
      </c>
      <c r="Q13" s="255">
        <v>0</v>
      </c>
      <c r="R13" s="255">
        <v>0</v>
      </c>
      <c r="S13" s="255">
        <v>0</v>
      </c>
      <c r="T13" s="255">
        <v>0</v>
      </c>
      <c r="U13" s="255">
        <v>0</v>
      </c>
      <c r="V13" s="255">
        <v>0</v>
      </c>
      <c r="W13" s="255">
        <v>0</v>
      </c>
      <c r="X13" s="255">
        <v>0</v>
      </c>
      <c r="Y13" s="255">
        <v>0</v>
      </c>
      <c r="DA13" s="271" t="s">
        <v>1001</v>
      </c>
    </row>
    <row r="14" spans="1:105" x14ac:dyDescent="0.25">
      <c r="A14" s="253" t="s">
        <v>162</v>
      </c>
      <c r="B14" s="254">
        <v>0</v>
      </c>
      <c r="C14" s="254">
        <v>0</v>
      </c>
      <c r="D14" s="254">
        <v>0</v>
      </c>
      <c r="E14" s="254">
        <v>0</v>
      </c>
      <c r="F14" s="254">
        <v>1.1703353396387211</v>
      </c>
      <c r="G14" s="254">
        <v>1.2181427343077089</v>
      </c>
      <c r="H14" s="254">
        <v>2.0779879621666888</v>
      </c>
      <c r="I14" s="254">
        <v>3.4393809114357659</v>
      </c>
      <c r="J14" s="254">
        <v>0.93147033533957724</v>
      </c>
      <c r="K14" s="254">
        <v>12.730524505588511</v>
      </c>
      <c r="L14" s="254">
        <v>1.313671539122923</v>
      </c>
      <c r="M14" s="254">
        <v>9.3627687016335681</v>
      </c>
      <c r="N14" s="254">
        <v>15.45331040412742</v>
      </c>
      <c r="O14" s="254">
        <v>20.301891659501191</v>
      </c>
      <c r="P14" s="254">
        <v>22.475408426482399</v>
      </c>
      <c r="Q14" s="254">
        <v>9.4582975064487531</v>
      </c>
      <c r="R14" s="254">
        <v>10.843594153052001</v>
      </c>
      <c r="S14" s="254">
        <v>10.48615649183143</v>
      </c>
      <c r="T14" s="254">
        <v>10.713069647463231</v>
      </c>
      <c r="U14" s="254">
        <v>13.71908856405844</v>
      </c>
      <c r="V14" s="254">
        <v>14.427429062768439</v>
      </c>
      <c r="W14" s="254">
        <v>4.8990541702493342</v>
      </c>
      <c r="X14" s="254">
        <v>7.4901977644023541</v>
      </c>
      <c r="Y14" s="254">
        <v>2.215477214101448</v>
      </c>
      <c r="DA14" s="270" t="s">
        <v>1002</v>
      </c>
    </row>
    <row r="15" spans="1:105" x14ac:dyDescent="0.25">
      <c r="A15" s="253" t="s">
        <v>24</v>
      </c>
      <c r="B15" s="255">
        <v>54.070256929584609</v>
      </c>
      <c r="C15" s="255">
        <v>57.77612044420593</v>
      </c>
      <c r="D15" s="255">
        <v>51.013208058835367</v>
      </c>
      <c r="E15" s="255">
        <v>57.091817738703249</v>
      </c>
      <c r="F15" s="255">
        <v>58.190061284508459</v>
      </c>
      <c r="G15" s="255">
        <v>62.013442661234009</v>
      </c>
      <c r="H15" s="255">
        <v>67.28089725458662</v>
      </c>
      <c r="I15" s="255">
        <v>75.868515932504579</v>
      </c>
      <c r="J15" s="255">
        <v>79.698322813868899</v>
      </c>
      <c r="K15" s="255">
        <v>77.178608011410361</v>
      </c>
      <c r="L15" s="255">
        <v>83.36218065996627</v>
      </c>
      <c r="M15" s="255">
        <v>94.717650445119702</v>
      </c>
      <c r="N15" s="255">
        <v>99.651117677942395</v>
      </c>
      <c r="O15" s="255">
        <v>91.600904112141748</v>
      </c>
      <c r="P15" s="255">
        <v>80.929999055984169</v>
      </c>
      <c r="Q15" s="255">
        <v>90.432185683101409</v>
      </c>
      <c r="R15" s="255">
        <v>83.894315100373078</v>
      </c>
      <c r="S15" s="255">
        <v>97.625789653718599</v>
      </c>
      <c r="T15" s="255">
        <v>87.113204176952522</v>
      </c>
      <c r="U15" s="255">
        <v>99.416240745964132</v>
      </c>
      <c r="V15" s="255">
        <v>108.0983641981144</v>
      </c>
      <c r="W15" s="255">
        <v>113.08656095069701</v>
      </c>
      <c r="X15" s="255">
        <v>112.491461660418</v>
      </c>
      <c r="Y15" s="255">
        <v>107.9252898734442</v>
      </c>
      <c r="DA15" s="271" t="s">
        <v>1003</v>
      </c>
    </row>
    <row r="16" spans="1:105" x14ac:dyDescent="0.25">
      <c r="A16" s="256" t="s">
        <v>168</v>
      </c>
      <c r="B16" s="257">
        <v>832.2006545666502</v>
      </c>
      <c r="C16" s="257">
        <v>864.50173663219539</v>
      </c>
      <c r="D16" s="257">
        <v>858.76113777052467</v>
      </c>
      <c r="E16" s="257">
        <v>867.06916097638714</v>
      </c>
      <c r="F16" s="257">
        <v>862.17309723609696</v>
      </c>
      <c r="G16" s="257">
        <v>870.60917994480963</v>
      </c>
      <c r="H16" s="257">
        <v>859.31167511691274</v>
      </c>
      <c r="I16" s="257">
        <v>822.55226682869272</v>
      </c>
      <c r="J16" s="257">
        <v>796.87379951319053</v>
      </c>
      <c r="K16" s="257">
        <v>806.60362858912151</v>
      </c>
      <c r="L16" s="257">
        <v>756.4136058796804</v>
      </c>
      <c r="M16" s="257">
        <v>746.07279247604367</v>
      </c>
      <c r="N16" s="257">
        <v>715.85820574304898</v>
      </c>
      <c r="O16" s="257">
        <v>708.36620142145921</v>
      </c>
      <c r="P16" s="257">
        <v>710.7290953643236</v>
      </c>
      <c r="Q16" s="257">
        <v>726.08039780087131</v>
      </c>
      <c r="R16" s="257">
        <v>737.69144831304982</v>
      </c>
      <c r="S16" s="257">
        <v>743.34817903775354</v>
      </c>
      <c r="T16" s="257">
        <v>780.69789733281391</v>
      </c>
      <c r="U16" s="257">
        <v>744.27357558336132</v>
      </c>
      <c r="V16" s="257">
        <v>749.69614648822858</v>
      </c>
      <c r="W16" s="257">
        <v>790.99813698896355</v>
      </c>
      <c r="X16" s="257">
        <v>766.75009151483891</v>
      </c>
      <c r="Y16" s="257">
        <v>734.87116374372624</v>
      </c>
      <c r="DA16" s="272" t="s">
        <v>1004</v>
      </c>
    </row>
    <row r="17" spans="1:105" x14ac:dyDescent="0.25">
      <c r="A17" s="256" t="s">
        <v>121</v>
      </c>
      <c r="B17" s="257">
        <f t="shared" ref="B17" si="6">SUM(B18:B24)</f>
        <v>1180.1917042225107</v>
      </c>
      <c r="C17" s="257">
        <f t="shared" ref="C17:W17" si="7">SUM(C18:C24)</f>
        <v>1219.4641180884882</v>
      </c>
      <c r="D17" s="257">
        <f t="shared" si="7"/>
        <v>1207.9593392043494</v>
      </c>
      <c r="E17" s="257">
        <f t="shared" si="7"/>
        <v>1212.6445060416374</v>
      </c>
      <c r="F17" s="257">
        <f t="shared" si="7"/>
        <v>1210.2436168919203</v>
      </c>
      <c r="G17" s="257">
        <f t="shared" si="7"/>
        <v>1226.2907280350034</v>
      </c>
      <c r="H17" s="257">
        <f t="shared" si="7"/>
        <v>1207.2349405233651</v>
      </c>
      <c r="I17" s="257">
        <f t="shared" si="7"/>
        <v>1158.1015436079829</v>
      </c>
      <c r="J17" s="257">
        <f t="shared" si="7"/>
        <v>1120.293890562047</v>
      </c>
      <c r="K17" s="257">
        <f t="shared" si="7"/>
        <v>1132.839259991669</v>
      </c>
      <c r="L17" s="257">
        <f t="shared" si="7"/>
        <v>1061.9857509903479</v>
      </c>
      <c r="M17" s="257">
        <f t="shared" si="7"/>
        <v>1045.2937999611772</v>
      </c>
      <c r="N17" s="257">
        <f t="shared" si="7"/>
        <v>1001.7486450932178</v>
      </c>
      <c r="O17" s="257">
        <f t="shared" si="7"/>
        <v>991.11903864087924</v>
      </c>
      <c r="P17" s="257">
        <f t="shared" si="7"/>
        <v>996.37016353170907</v>
      </c>
      <c r="Q17" s="257">
        <f t="shared" si="7"/>
        <v>1026.3002596275439</v>
      </c>
      <c r="R17" s="257">
        <f t="shared" si="7"/>
        <v>1028.9051992399041</v>
      </c>
      <c r="S17" s="257">
        <f t="shared" si="7"/>
        <v>1037.4058187062126</v>
      </c>
      <c r="T17" s="257">
        <f t="shared" si="7"/>
        <v>1086.8892608194644</v>
      </c>
      <c r="U17" s="257">
        <f t="shared" si="7"/>
        <v>1040.5770493417026</v>
      </c>
      <c r="V17" s="257">
        <f t="shared" si="7"/>
        <v>1046.7619697987204</v>
      </c>
      <c r="W17" s="257">
        <f t="shared" si="7"/>
        <v>1142.4211058187652</v>
      </c>
      <c r="X17" s="257">
        <f t="shared" ref="X17:Y17" si="8">SUM(X18:X24)</f>
        <v>1115.9934127200165</v>
      </c>
      <c r="Y17" s="257">
        <f t="shared" si="8"/>
        <v>1069.0554036534299</v>
      </c>
      <c r="DA17" s="272"/>
    </row>
    <row r="18" spans="1:105" x14ac:dyDescent="0.25">
      <c r="A18" s="61" t="s">
        <v>29</v>
      </c>
      <c r="B18" s="55">
        <v>0</v>
      </c>
      <c r="C18" s="55">
        <v>0</v>
      </c>
      <c r="D18" s="55">
        <v>0</v>
      </c>
      <c r="E18" s="55">
        <v>0</v>
      </c>
      <c r="F18" s="55">
        <v>0</v>
      </c>
      <c r="G18" s="55">
        <v>0</v>
      </c>
      <c r="H18" s="55">
        <v>0</v>
      </c>
      <c r="I18" s="55">
        <v>0</v>
      </c>
      <c r="J18" s="55">
        <v>0</v>
      </c>
      <c r="K18" s="55">
        <v>0</v>
      </c>
      <c r="L18" s="55">
        <v>0</v>
      </c>
      <c r="M18" s="55">
        <v>0</v>
      </c>
      <c r="N18" s="55">
        <v>0</v>
      </c>
      <c r="O18" s="55">
        <v>0</v>
      </c>
      <c r="P18" s="55">
        <v>0</v>
      </c>
      <c r="Q18" s="55">
        <v>0</v>
      </c>
      <c r="R18" s="55">
        <v>0</v>
      </c>
      <c r="S18" s="55">
        <v>0</v>
      </c>
      <c r="T18" s="55">
        <v>0</v>
      </c>
      <c r="U18" s="55">
        <v>0</v>
      </c>
      <c r="V18" s="55">
        <v>0</v>
      </c>
      <c r="W18" s="55">
        <v>0</v>
      </c>
      <c r="X18" s="55">
        <v>0</v>
      </c>
      <c r="Y18" s="55">
        <v>0</v>
      </c>
      <c r="DA18" s="101" t="s">
        <v>1005</v>
      </c>
    </row>
    <row r="19" spans="1:105" x14ac:dyDescent="0.25">
      <c r="A19" s="61" t="s">
        <v>27</v>
      </c>
      <c r="B19" s="55">
        <v>76.90834049869585</v>
      </c>
      <c r="C19" s="55">
        <v>73.612295786729732</v>
      </c>
      <c r="D19" s="55">
        <v>73.612295786740233</v>
      </c>
      <c r="E19" s="55">
        <v>73.612295786728865</v>
      </c>
      <c r="F19" s="55">
        <v>72.513671539095967</v>
      </c>
      <c r="G19" s="55">
        <v>73.612381771258356</v>
      </c>
      <c r="H19" s="55">
        <v>73.612381771265177</v>
      </c>
      <c r="I19" s="55">
        <v>70.31625107478817</v>
      </c>
      <c r="J19" s="55">
        <v>68.118916594983872</v>
      </c>
      <c r="K19" s="55">
        <v>65.921496130682101</v>
      </c>
      <c r="L19" s="55">
        <v>68.118916594995611</v>
      </c>
      <c r="M19" s="55">
        <v>65.921496130663101</v>
      </c>
      <c r="N19" s="55">
        <v>59.329320722244823</v>
      </c>
      <c r="O19" s="55">
        <v>57.131986242455767</v>
      </c>
      <c r="P19" s="55">
        <v>49.441100601867433</v>
      </c>
      <c r="Q19" s="55">
        <v>58.230696474618142</v>
      </c>
      <c r="R19" s="55">
        <v>23.072570937220391</v>
      </c>
      <c r="S19" s="55">
        <v>20.87515047290891</v>
      </c>
      <c r="T19" s="55">
        <v>21.973860705068319</v>
      </c>
      <c r="U19" s="55">
        <v>23.616337059317271</v>
      </c>
      <c r="V19" s="55">
        <v>25.168787618239921</v>
      </c>
      <c r="W19" s="55">
        <v>27.560705073095921</v>
      </c>
      <c r="X19" s="55">
        <v>26.546603611358201</v>
      </c>
      <c r="Y19" s="55">
        <v>25.708254514194191</v>
      </c>
      <c r="DA19" s="101" t="s">
        <v>1006</v>
      </c>
    </row>
    <row r="20" spans="1:105" x14ac:dyDescent="0.25">
      <c r="A20" s="61" t="s">
        <v>166</v>
      </c>
      <c r="B20" s="55">
        <v>921.24870443306452</v>
      </c>
      <c r="C20" s="55">
        <v>969.48430642670769</v>
      </c>
      <c r="D20" s="55">
        <v>969.6954956971008</v>
      </c>
      <c r="E20" s="55">
        <v>990.44981958817812</v>
      </c>
      <c r="F20" s="55">
        <v>975.08310775977645</v>
      </c>
      <c r="G20" s="55">
        <v>970.77158361909255</v>
      </c>
      <c r="H20" s="55">
        <v>967.58769889033738</v>
      </c>
      <c r="I20" s="55">
        <v>917.69806579369572</v>
      </c>
      <c r="J20" s="55">
        <v>894.55433862171105</v>
      </c>
      <c r="K20" s="55">
        <v>907.13453006063287</v>
      </c>
      <c r="L20" s="55">
        <v>855.07655918294552</v>
      </c>
      <c r="M20" s="55">
        <v>849.3286420352066</v>
      </c>
      <c r="N20" s="55">
        <v>817.60735547777097</v>
      </c>
      <c r="O20" s="55">
        <v>808.97447199599014</v>
      </c>
      <c r="P20" s="55">
        <v>810.04039058321803</v>
      </c>
      <c r="Q20" s="55">
        <v>808.48017049046746</v>
      </c>
      <c r="R20" s="55">
        <v>848.66652649342984</v>
      </c>
      <c r="S20" s="55">
        <v>852.42144978320391</v>
      </c>
      <c r="T20" s="55">
        <v>902.50212725612266</v>
      </c>
      <c r="U20" s="55">
        <v>848.19466788838247</v>
      </c>
      <c r="V20" s="55">
        <v>859.56770193362843</v>
      </c>
      <c r="W20" s="55">
        <v>796.79393253750368</v>
      </c>
      <c r="X20" s="55">
        <v>750.10088019845182</v>
      </c>
      <c r="Y20" s="55">
        <v>720.48191349853948</v>
      </c>
      <c r="DA20" s="101" t="s">
        <v>1007</v>
      </c>
    </row>
    <row r="21" spans="1:105" x14ac:dyDescent="0.25">
      <c r="A21" s="61" t="s">
        <v>129</v>
      </c>
      <c r="B21" s="55">
        <v>54.647979363704323</v>
      </c>
      <c r="C21" s="55">
        <v>44.138693035236493</v>
      </c>
      <c r="D21" s="55">
        <v>33.62949269130727</v>
      </c>
      <c r="E21" s="55">
        <v>8.4073946689562131</v>
      </c>
      <c r="F21" s="55">
        <v>19.967497850379502</v>
      </c>
      <c r="G21" s="55">
        <v>18.916595012891811</v>
      </c>
      <c r="H21" s="55">
        <v>15.76380051590372</v>
      </c>
      <c r="I21" s="55">
        <v>13.661994840925059</v>
      </c>
      <c r="J21" s="55">
        <v>13.661994840922819</v>
      </c>
      <c r="K21" s="55">
        <v>11.56010318142482</v>
      </c>
      <c r="L21" s="55">
        <v>11.56010318142441</v>
      </c>
      <c r="M21" s="55">
        <v>9.4582975064440511</v>
      </c>
      <c r="N21" s="55">
        <v>9.4582975064448256</v>
      </c>
      <c r="O21" s="55">
        <v>9.4582975064454295</v>
      </c>
      <c r="P21" s="55">
        <v>9.4582975064442056</v>
      </c>
      <c r="Q21" s="55">
        <v>8.4073946689572114</v>
      </c>
      <c r="R21" s="55">
        <v>3.1527944969890531</v>
      </c>
      <c r="S21" s="55">
        <v>3.1527944969896411</v>
      </c>
      <c r="T21" s="55">
        <v>3.1527944969898578</v>
      </c>
      <c r="U21" s="55">
        <v>3.1527944969889332</v>
      </c>
      <c r="V21" s="55">
        <v>3.152794496991945</v>
      </c>
      <c r="W21" s="55">
        <v>2.207996560619816</v>
      </c>
      <c r="X21" s="55">
        <v>1.536457437661698</v>
      </c>
      <c r="Y21" s="55">
        <v>1.0446259673261551</v>
      </c>
      <c r="DA21" s="101" t="s">
        <v>1008</v>
      </c>
    </row>
    <row r="22" spans="1:105" x14ac:dyDescent="0.25">
      <c r="A22" s="61" t="s">
        <v>169</v>
      </c>
      <c r="B22" s="55">
        <v>75.864806750365659</v>
      </c>
      <c r="C22" s="55">
        <v>79.419274267393817</v>
      </c>
      <c r="D22" s="55">
        <v>78.294812108804507</v>
      </c>
      <c r="E22" s="55">
        <v>87.006766522070635</v>
      </c>
      <c r="F22" s="55">
        <v>90.560115320463566</v>
      </c>
      <c r="G22" s="55">
        <v>110.6989086984803</v>
      </c>
      <c r="H22" s="55">
        <v>97.586837756892209</v>
      </c>
      <c r="I22" s="55">
        <v>103.4130377329476</v>
      </c>
      <c r="J22" s="55">
        <v>90.750218670556919</v>
      </c>
      <c r="K22" s="55">
        <v>94.355209910304666</v>
      </c>
      <c r="L22" s="55">
        <v>94.664783031597707</v>
      </c>
      <c r="M22" s="55">
        <v>87.614548563547032</v>
      </c>
      <c r="N22" s="55">
        <v>87.106108443079776</v>
      </c>
      <c r="O22" s="55">
        <v>86.805852128779406</v>
      </c>
      <c r="P22" s="55">
        <v>81.419588069011624</v>
      </c>
      <c r="Q22" s="55">
        <v>92.400620406346306</v>
      </c>
      <c r="R22" s="55">
        <v>87.246037447207243</v>
      </c>
      <c r="S22" s="55">
        <v>91.935910157409197</v>
      </c>
      <c r="T22" s="55">
        <v>91.896045680522903</v>
      </c>
      <c r="U22" s="55">
        <v>95.952773861632977</v>
      </c>
      <c r="V22" s="55">
        <v>92.373004434251101</v>
      </c>
      <c r="W22" s="55">
        <v>247.20162711616851</v>
      </c>
      <c r="X22" s="55">
        <v>273.97982078666729</v>
      </c>
      <c r="Y22" s="55">
        <v>257.49534361289801</v>
      </c>
      <c r="DA22" s="101" t="s">
        <v>1009</v>
      </c>
    </row>
    <row r="23" spans="1:105" x14ac:dyDescent="0.25">
      <c r="A23" s="61" t="s">
        <v>164</v>
      </c>
      <c r="B23" s="55">
        <v>0.54935511607900311</v>
      </c>
      <c r="C23" s="55">
        <v>0.59707652622504692</v>
      </c>
      <c r="D23" s="55">
        <v>0.54935511607897025</v>
      </c>
      <c r="E23" s="55">
        <v>0.54935511607888532</v>
      </c>
      <c r="F23" s="55">
        <v>0.54935511607890131</v>
      </c>
      <c r="G23" s="55">
        <v>0.5732588134134079</v>
      </c>
      <c r="H23" s="55">
        <v>0.74041272570921135</v>
      </c>
      <c r="I23" s="55">
        <v>0.62098022355959714</v>
      </c>
      <c r="J23" s="55">
        <v>0.62098022355949478</v>
      </c>
      <c r="K23" s="55">
        <v>0.9553740326739103</v>
      </c>
      <c r="L23" s="55">
        <v>1.5525365434217899</v>
      </c>
      <c r="M23" s="55">
        <v>1.6002579535675481</v>
      </c>
      <c r="N23" s="55">
        <v>1.6002579535676791</v>
      </c>
      <c r="O23" s="55">
        <v>1.7913155631979789</v>
      </c>
      <c r="P23" s="55">
        <v>21.352794496980081</v>
      </c>
      <c r="Q23" s="55">
        <v>34.178847807385011</v>
      </c>
      <c r="R23" s="55">
        <v>34.919260533087552</v>
      </c>
      <c r="S23" s="55">
        <v>35.271109200333868</v>
      </c>
      <c r="T23" s="55">
        <v>34.234651762675291</v>
      </c>
      <c r="U23" s="55">
        <v>34.449871023198241</v>
      </c>
      <c r="V23" s="55">
        <v>34.663714531399783</v>
      </c>
      <c r="W23" s="55">
        <v>38.153052450571472</v>
      </c>
      <c r="X23" s="55">
        <v>35.021754084275713</v>
      </c>
      <c r="Y23" s="55">
        <v>35.20945829751566</v>
      </c>
      <c r="DA23" s="101" t="s">
        <v>1010</v>
      </c>
    </row>
    <row r="24" spans="1:105" x14ac:dyDescent="0.25">
      <c r="A24" s="61" t="s">
        <v>152</v>
      </c>
      <c r="B24" s="55">
        <v>50.972518060601487</v>
      </c>
      <c r="C24" s="55">
        <v>52.212472046195607</v>
      </c>
      <c r="D24" s="55">
        <v>52.177887804317628</v>
      </c>
      <c r="E24" s="55">
        <v>52.618874359624563</v>
      </c>
      <c r="F24" s="55">
        <v>51.569869306125767</v>
      </c>
      <c r="G24" s="55">
        <v>51.718000119866907</v>
      </c>
      <c r="H24" s="55">
        <v>51.943808863257637</v>
      </c>
      <c r="I24" s="55">
        <v>52.391213942066493</v>
      </c>
      <c r="J24" s="55">
        <v>52.587441610312943</v>
      </c>
      <c r="K24" s="55">
        <v>52.912546675950587</v>
      </c>
      <c r="L24" s="55">
        <v>31.012852455962651</v>
      </c>
      <c r="M24" s="55">
        <v>31.370557771748949</v>
      </c>
      <c r="N24" s="55">
        <v>26.64730499010966</v>
      </c>
      <c r="O24" s="55">
        <v>26.957115204010559</v>
      </c>
      <c r="P24" s="55">
        <v>24.657992274187681</v>
      </c>
      <c r="Q24" s="55">
        <v>24.602529779769831</v>
      </c>
      <c r="R24" s="55">
        <v>31.848009331970012</v>
      </c>
      <c r="S24" s="55">
        <v>33.749404595367032</v>
      </c>
      <c r="T24" s="55">
        <v>33.129780918085608</v>
      </c>
      <c r="U24" s="55">
        <v>35.21060501218269</v>
      </c>
      <c r="V24" s="55">
        <v>31.835966784209209</v>
      </c>
      <c r="W24" s="55">
        <v>30.503792080805901</v>
      </c>
      <c r="X24" s="55">
        <v>28.807896601601769</v>
      </c>
      <c r="Y24" s="55">
        <v>29.11580776295639</v>
      </c>
      <c r="DA24" s="101" t="s">
        <v>1011</v>
      </c>
    </row>
    <row r="25" spans="1:105" x14ac:dyDescent="0.25">
      <c r="A25" s="256" t="s">
        <v>167</v>
      </c>
      <c r="B25" s="257">
        <v>159.914291106555</v>
      </c>
      <c r="C25" s="257">
        <v>166.12121321379149</v>
      </c>
      <c r="D25" s="257">
        <v>165.01810930194799</v>
      </c>
      <c r="E25" s="257">
        <v>166.61456519773691</v>
      </c>
      <c r="F25" s="257">
        <v>165.67374574759029</v>
      </c>
      <c r="G25" s="257">
        <v>167.29480934406459</v>
      </c>
      <c r="H25" s="257">
        <v>165.1238996410834</v>
      </c>
      <c r="I25" s="257">
        <v>158.06027299569439</v>
      </c>
      <c r="J25" s="257">
        <v>153.1259415037303</v>
      </c>
      <c r="K25" s="257">
        <v>154.99560924639229</v>
      </c>
      <c r="L25" s="257">
        <v>145.3511781129157</v>
      </c>
      <c r="M25" s="257">
        <v>143.36410463990961</v>
      </c>
      <c r="N25" s="257">
        <v>137.55811999910151</v>
      </c>
      <c r="O25" s="257">
        <v>136.11846893240281</v>
      </c>
      <c r="P25" s="257">
        <v>136.57251869523299</v>
      </c>
      <c r="Q25" s="257">
        <v>139.52239939195181</v>
      </c>
      <c r="R25" s="257">
        <v>141.7535595111712</v>
      </c>
      <c r="S25" s="257">
        <v>142.84054746156249</v>
      </c>
      <c r="T25" s="257">
        <v>150.01760709424721</v>
      </c>
      <c r="U25" s="257">
        <v>143.01837011980149</v>
      </c>
      <c r="V25" s="257">
        <v>144.06036230938761</v>
      </c>
      <c r="W25" s="257">
        <v>151.9968839835432</v>
      </c>
      <c r="X25" s="257">
        <v>147.3374199691423</v>
      </c>
      <c r="Y25" s="257">
        <v>141.211618327699</v>
      </c>
      <c r="DA25" s="272" t="s">
        <v>1012</v>
      </c>
    </row>
    <row r="26" spans="1:105" x14ac:dyDescent="0.25">
      <c r="A26" s="256" t="s">
        <v>170</v>
      </c>
      <c r="B26" s="257">
        <v>73.571159276251962</v>
      </c>
      <c r="C26" s="257">
        <v>77.23239414006737</v>
      </c>
      <c r="D26" s="257">
        <v>73.890221672962554</v>
      </c>
      <c r="E26" s="257">
        <v>77.352057776617514</v>
      </c>
      <c r="F26" s="257">
        <v>77.527937872256004</v>
      </c>
      <c r="G26" s="257">
        <v>79.841507512617028</v>
      </c>
      <c r="H26" s="257">
        <v>81.195583231903541</v>
      </c>
      <c r="I26" s="257">
        <v>82.143579702696357</v>
      </c>
      <c r="J26" s="257">
        <v>81.566784276618748</v>
      </c>
      <c r="K26" s="257">
        <v>81.726789145878911</v>
      </c>
      <c r="L26" s="257">
        <v>79.802198433887085</v>
      </c>
      <c r="M26" s="257">
        <v>82.638585130433825</v>
      </c>
      <c r="N26" s="257">
        <v>81.944239061300721</v>
      </c>
      <c r="O26" s="257">
        <v>79.306646348813686</v>
      </c>
      <c r="P26" s="257">
        <v>76.212968374713597</v>
      </c>
      <c r="Q26" s="257">
        <v>79.763949793839728</v>
      </c>
      <c r="R26" s="257">
        <v>78.97350155448666</v>
      </c>
      <c r="S26" s="257">
        <v>83.491265113219171</v>
      </c>
      <c r="T26" s="257">
        <v>83.064667849136313</v>
      </c>
      <c r="U26" s="257">
        <v>84.19919381145202</v>
      </c>
      <c r="V26" s="257">
        <v>86.902167228993093</v>
      </c>
      <c r="W26" s="257">
        <v>92.838543355722891</v>
      </c>
      <c r="X26" s="257">
        <v>91.299351691864288</v>
      </c>
      <c r="Y26" s="257">
        <v>87.329954922885932</v>
      </c>
      <c r="DA26" s="272" t="s">
        <v>1013</v>
      </c>
    </row>
    <row r="27" spans="1:105" x14ac:dyDescent="0.25">
      <c r="A27" s="128" t="s">
        <v>33</v>
      </c>
      <c r="B27" s="258">
        <v>106.67818095056541</v>
      </c>
      <c r="C27" s="258">
        <v>111.98697150309771</v>
      </c>
      <c r="D27" s="258">
        <v>107.14082142579571</v>
      </c>
      <c r="E27" s="258">
        <v>112.1604837760954</v>
      </c>
      <c r="F27" s="258">
        <v>112.41550991477121</v>
      </c>
      <c r="G27" s="258">
        <v>115.77018589329469</v>
      </c>
      <c r="H27" s="258">
        <v>117.7335956862601</v>
      </c>
      <c r="I27" s="258">
        <v>119.10819056890971</v>
      </c>
      <c r="J27" s="258">
        <v>118.2718372010972</v>
      </c>
      <c r="K27" s="258">
        <v>118.50384426152441</v>
      </c>
      <c r="L27" s="258">
        <v>115.71318772913629</v>
      </c>
      <c r="M27" s="258">
        <v>119.82594843912911</v>
      </c>
      <c r="N27" s="258">
        <v>118.8191466388861</v>
      </c>
      <c r="O27" s="258">
        <v>114.9946372057799</v>
      </c>
      <c r="P27" s="258">
        <v>110.5088041433347</v>
      </c>
      <c r="Q27" s="258">
        <v>115.6577272010676</v>
      </c>
      <c r="R27" s="258">
        <v>114.5115772540056</v>
      </c>
      <c r="S27" s="258">
        <v>121.06233441416779</v>
      </c>
      <c r="T27" s="258">
        <v>120.44376838124769</v>
      </c>
      <c r="U27" s="258">
        <v>122.0888310266055</v>
      </c>
      <c r="V27" s="258">
        <v>126.00814248204</v>
      </c>
      <c r="W27" s="258">
        <v>134.61588786579819</v>
      </c>
      <c r="X27" s="258">
        <v>132.38405995320321</v>
      </c>
      <c r="Y27" s="258">
        <v>126.6284346381846</v>
      </c>
      <c r="DA27" s="273" t="s">
        <v>1014</v>
      </c>
    </row>
    <row r="29" spans="1:105" ht="12.75" x14ac:dyDescent="0.25">
      <c r="A29" s="178" t="s">
        <v>127</v>
      </c>
      <c r="B29" s="231"/>
      <c r="C29" s="231"/>
      <c r="D29" s="231"/>
      <c r="E29" s="231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1"/>
      <c r="U29" s="231"/>
      <c r="V29" s="231"/>
      <c r="W29" s="231"/>
      <c r="X29" s="231"/>
      <c r="Y29" s="231"/>
      <c r="DA29" s="266"/>
    </row>
    <row r="31" spans="1:105" x14ac:dyDescent="0.25">
      <c r="A31" s="234" t="s">
        <v>126</v>
      </c>
      <c r="B31" s="235">
        <f t="shared" ref="B31:Q31" si="9">SUM(B32:B40)</f>
        <v>1</v>
      </c>
      <c r="C31" s="235">
        <f t="shared" si="9"/>
        <v>0.99999999999999989</v>
      </c>
      <c r="D31" s="235">
        <f t="shared" si="9"/>
        <v>1.0000000000000002</v>
      </c>
      <c r="E31" s="235">
        <f t="shared" si="9"/>
        <v>1</v>
      </c>
      <c r="F31" s="235">
        <f t="shared" si="9"/>
        <v>1</v>
      </c>
      <c r="G31" s="235">
        <f t="shared" si="9"/>
        <v>0.99999999999999978</v>
      </c>
      <c r="H31" s="235">
        <f t="shared" si="9"/>
        <v>0.99999999999999978</v>
      </c>
      <c r="I31" s="235">
        <f t="shared" si="9"/>
        <v>0.99999999999999989</v>
      </c>
      <c r="J31" s="235">
        <f t="shared" si="9"/>
        <v>0.99999999999999978</v>
      </c>
      <c r="K31" s="235">
        <f t="shared" si="9"/>
        <v>1</v>
      </c>
      <c r="L31" s="235">
        <f t="shared" si="9"/>
        <v>1</v>
      </c>
      <c r="M31" s="235">
        <f t="shared" si="9"/>
        <v>0.99999999999999989</v>
      </c>
      <c r="N31" s="235">
        <f t="shared" si="9"/>
        <v>0.99999999999999989</v>
      </c>
      <c r="O31" s="235">
        <f t="shared" si="9"/>
        <v>1.0000000000000002</v>
      </c>
      <c r="P31" s="235">
        <f t="shared" si="9"/>
        <v>1</v>
      </c>
      <c r="Q31" s="235">
        <f t="shared" si="9"/>
        <v>1</v>
      </c>
      <c r="R31" s="235">
        <f t="shared" ref="R31:W31" si="10">SUM(R32:R40)</f>
        <v>1</v>
      </c>
      <c r="S31" s="235">
        <f t="shared" si="10"/>
        <v>1.0000000000000002</v>
      </c>
      <c r="T31" s="235">
        <f t="shared" si="10"/>
        <v>1.0000000000000002</v>
      </c>
      <c r="U31" s="235">
        <f t="shared" si="10"/>
        <v>0.99999999999999989</v>
      </c>
      <c r="V31" s="235">
        <f t="shared" si="10"/>
        <v>1</v>
      </c>
      <c r="W31" s="235">
        <f t="shared" si="10"/>
        <v>1</v>
      </c>
      <c r="X31" s="235">
        <f t="shared" ref="X31:Y31" si="11">SUM(X32:X40)</f>
        <v>1</v>
      </c>
      <c r="Y31" s="235">
        <f t="shared" si="11"/>
        <v>1</v>
      </c>
      <c r="DA31" s="274"/>
    </row>
    <row r="32" spans="1:105" x14ac:dyDescent="0.25">
      <c r="A32" s="238" t="s">
        <v>125</v>
      </c>
      <c r="B32" s="244">
        <f t="shared" ref="B32:Y32" si="12">IF(B$6=0,0,B$6/B$5)</f>
        <v>2.3249990771627115E-2</v>
      </c>
      <c r="C32" s="244">
        <f t="shared" si="12"/>
        <v>2.3511662932059193E-2</v>
      </c>
      <c r="D32" s="244">
        <f t="shared" si="12"/>
        <v>2.2776462808637054E-2</v>
      </c>
      <c r="E32" s="244">
        <f t="shared" si="12"/>
        <v>2.3553057331803681E-2</v>
      </c>
      <c r="F32" s="244">
        <f t="shared" si="12"/>
        <v>2.3677108065816764E-2</v>
      </c>
      <c r="G32" s="244">
        <f t="shared" si="12"/>
        <v>2.4037866046613111E-2</v>
      </c>
      <c r="H32" s="244">
        <f t="shared" si="12"/>
        <v>2.4697800833837356E-2</v>
      </c>
      <c r="I32" s="244">
        <f t="shared" si="12"/>
        <v>2.5858862926114085E-2</v>
      </c>
      <c r="J32" s="244">
        <f t="shared" si="12"/>
        <v>2.6436071362413223E-2</v>
      </c>
      <c r="K32" s="244">
        <f t="shared" si="12"/>
        <v>2.617704200625005E-2</v>
      </c>
      <c r="L32" s="244">
        <f t="shared" si="12"/>
        <v>2.7140566377653778E-2</v>
      </c>
      <c r="M32" s="244">
        <f t="shared" si="12"/>
        <v>2.8259615475360735E-2</v>
      </c>
      <c r="N32" s="244">
        <f t="shared" si="12"/>
        <v>2.902175366696479E-2</v>
      </c>
      <c r="O32" s="244">
        <f t="shared" si="12"/>
        <v>2.8476349768828357E-2</v>
      </c>
      <c r="P32" s="244">
        <f t="shared" si="12"/>
        <v>2.7454917093290815E-2</v>
      </c>
      <c r="Q32" s="244">
        <f t="shared" si="12"/>
        <v>2.7972839243081908E-2</v>
      </c>
      <c r="R32" s="244">
        <f t="shared" si="12"/>
        <v>2.7508648904356406E-2</v>
      </c>
      <c r="S32" s="244">
        <f t="shared" si="12"/>
        <v>2.8616010335286785E-2</v>
      </c>
      <c r="T32" s="244">
        <f t="shared" si="12"/>
        <v>2.7389805620677866E-2</v>
      </c>
      <c r="U32" s="244">
        <f t="shared" si="12"/>
        <v>2.8748711399456086E-2</v>
      </c>
      <c r="V32" s="244">
        <f t="shared" si="12"/>
        <v>2.9347358725275906E-2</v>
      </c>
      <c r="W32" s="244">
        <f t="shared" si="12"/>
        <v>2.9170562539064731E-2</v>
      </c>
      <c r="X32" s="244">
        <f t="shared" si="12"/>
        <v>2.9382917523316909E-2</v>
      </c>
      <c r="Y32" s="244">
        <f t="shared" si="12"/>
        <v>2.9364758975990359E-2</v>
      </c>
      <c r="DA32" s="275"/>
    </row>
    <row r="33" spans="1:105" x14ac:dyDescent="0.25">
      <c r="A33" s="240" t="s">
        <v>124</v>
      </c>
      <c r="B33" s="245">
        <f t="shared" ref="B33:Y33" si="13">IF(B$7=0,0,B$7/B$5)</f>
        <v>1.5112494001557623E-2</v>
      </c>
      <c r="C33" s="245">
        <f t="shared" si="13"/>
        <v>1.5282580905838474E-2</v>
      </c>
      <c r="D33" s="245">
        <f t="shared" si="13"/>
        <v>1.4804700825614081E-2</v>
      </c>
      <c r="E33" s="245">
        <f t="shared" si="13"/>
        <v>1.530948726567239E-2</v>
      </c>
      <c r="F33" s="245">
        <f t="shared" si="13"/>
        <v>1.5390120242780893E-2</v>
      </c>
      <c r="G33" s="245">
        <f t="shared" si="13"/>
        <v>1.562461293029852E-2</v>
      </c>
      <c r="H33" s="245">
        <f t="shared" si="13"/>
        <v>1.6053570541994275E-2</v>
      </c>
      <c r="I33" s="245">
        <f t="shared" si="13"/>
        <v>1.680826090197415E-2</v>
      </c>
      <c r="J33" s="245">
        <f t="shared" si="13"/>
        <v>1.7183446385568592E-2</v>
      </c>
      <c r="K33" s="245">
        <f t="shared" si="13"/>
        <v>1.7015077304062529E-2</v>
      </c>
      <c r="L33" s="245">
        <f t="shared" si="13"/>
        <v>1.7641368145474956E-2</v>
      </c>
      <c r="M33" s="245">
        <f t="shared" si="13"/>
        <v>1.836875005898448E-2</v>
      </c>
      <c r="N33" s="245">
        <f t="shared" si="13"/>
        <v>1.8864139883527108E-2</v>
      </c>
      <c r="O33" s="245">
        <f t="shared" si="13"/>
        <v>1.8509627349738426E-2</v>
      </c>
      <c r="P33" s="245">
        <f t="shared" si="13"/>
        <v>1.7845696110639023E-2</v>
      </c>
      <c r="Q33" s="245">
        <f t="shared" si="13"/>
        <v>1.8182345508003232E-2</v>
      </c>
      <c r="R33" s="245">
        <f t="shared" si="13"/>
        <v>1.788062178783166E-2</v>
      </c>
      <c r="S33" s="245">
        <f t="shared" si="13"/>
        <v>1.8600406717936412E-2</v>
      </c>
      <c r="T33" s="245">
        <f t="shared" si="13"/>
        <v>1.7803373653440608E-2</v>
      </c>
      <c r="U33" s="245">
        <f t="shared" si="13"/>
        <v>1.8686662409646452E-2</v>
      </c>
      <c r="V33" s="245">
        <f t="shared" si="13"/>
        <v>1.9075783171429331E-2</v>
      </c>
      <c r="W33" s="245">
        <f t="shared" si="13"/>
        <v>1.896086565039207E-2</v>
      </c>
      <c r="X33" s="245">
        <f t="shared" si="13"/>
        <v>1.9098896390155985E-2</v>
      </c>
      <c r="Y33" s="245">
        <f t="shared" si="13"/>
        <v>1.9087093334393727E-2</v>
      </c>
      <c r="DA33" s="276"/>
    </row>
    <row r="34" spans="1:105" x14ac:dyDescent="0.25">
      <c r="A34" s="240" t="s">
        <v>123</v>
      </c>
      <c r="B34" s="245">
        <f t="shared" ref="B34:Y34" si="14">IF(B$8=0,0,B$8/B$5)</f>
        <v>2.09249916944644E-2</v>
      </c>
      <c r="C34" s="245">
        <f t="shared" si="14"/>
        <v>2.1160496638853273E-2</v>
      </c>
      <c r="D34" s="245">
        <f t="shared" si="14"/>
        <v>2.0498816527773349E-2</v>
      </c>
      <c r="E34" s="245">
        <f t="shared" si="14"/>
        <v>2.1197751598623311E-2</v>
      </c>
      <c r="F34" s="245">
        <f t="shared" si="14"/>
        <v>2.1309397259235092E-2</v>
      </c>
      <c r="G34" s="245">
        <f t="shared" si="14"/>
        <v>2.1634079441951799E-2</v>
      </c>
      <c r="H34" s="245">
        <f t="shared" si="14"/>
        <v>2.222802075045362E-2</v>
      </c>
      <c r="I34" s="245">
        <f t="shared" si="14"/>
        <v>2.3272976633502675E-2</v>
      </c>
      <c r="J34" s="245">
        <f t="shared" si="14"/>
        <v>2.3792464226171903E-2</v>
      </c>
      <c r="K34" s="245">
        <f t="shared" si="14"/>
        <v>2.3559337805625049E-2</v>
      </c>
      <c r="L34" s="245">
        <f t="shared" si="14"/>
        <v>2.4426509739888403E-2</v>
      </c>
      <c r="M34" s="245">
        <f t="shared" si="14"/>
        <v>2.5433653927824665E-2</v>
      </c>
      <c r="N34" s="245">
        <f t="shared" si="14"/>
        <v>2.6119578300268301E-2</v>
      </c>
      <c r="O34" s="245">
        <f t="shared" si="14"/>
        <v>2.5628714791945527E-2</v>
      </c>
      <c r="P34" s="245">
        <f t="shared" si="14"/>
        <v>2.4709425383961731E-2</v>
      </c>
      <c r="Q34" s="245">
        <f t="shared" si="14"/>
        <v>2.5175555318773715E-2</v>
      </c>
      <c r="R34" s="245">
        <f t="shared" si="14"/>
        <v>2.4757784013920762E-2</v>
      </c>
      <c r="S34" s="245">
        <f t="shared" si="14"/>
        <v>2.5754409301758107E-2</v>
      </c>
      <c r="T34" s="245">
        <f t="shared" si="14"/>
        <v>2.4650825058610073E-2</v>
      </c>
      <c r="U34" s="245">
        <f t="shared" si="14"/>
        <v>2.5873840259510481E-2</v>
      </c>
      <c r="V34" s="245">
        <f t="shared" si="14"/>
        <v>2.641262285274831E-2</v>
      </c>
      <c r="W34" s="245">
        <f t="shared" si="14"/>
        <v>2.6253506285158257E-2</v>
      </c>
      <c r="X34" s="245">
        <f t="shared" si="14"/>
        <v>2.6444625770985213E-2</v>
      </c>
      <c r="Y34" s="245">
        <f t="shared" si="14"/>
        <v>2.6428283078391318E-2</v>
      </c>
      <c r="DA34" s="276"/>
    </row>
    <row r="35" spans="1:105" x14ac:dyDescent="0.25">
      <c r="A35" s="242" t="s">
        <v>122</v>
      </c>
      <c r="B35" s="246">
        <f t="shared" ref="B35:Y35" si="15">IF(B$9=0,0,B$9/B$5)</f>
        <v>0.19725672375755235</v>
      </c>
      <c r="C35" s="246">
        <f t="shared" si="15"/>
        <v>0.19745335501400879</v>
      </c>
      <c r="D35" s="246">
        <f t="shared" si="15"/>
        <v>0.19819024768342178</v>
      </c>
      <c r="E35" s="246">
        <f t="shared" si="15"/>
        <v>0.19824647617968938</v>
      </c>
      <c r="F35" s="246">
        <f t="shared" si="15"/>
        <v>0.19809944387282757</v>
      </c>
      <c r="G35" s="246">
        <f t="shared" si="15"/>
        <v>0.19813003754841538</v>
      </c>
      <c r="H35" s="246">
        <f t="shared" si="15"/>
        <v>0.19768892547576672</v>
      </c>
      <c r="I35" s="246">
        <f t="shared" si="15"/>
        <v>0.19743682465271051</v>
      </c>
      <c r="J35" s="246">
        <f t="shared" si="15"/>
        <v>0.19683045719816825</v>
      </c>
      <c r="K35" s="246">
        <f t="shared" si="15"/>
        <v>0.1982673835049166</v>
      </c>
      <c r="L35" s="246">
        <f t="shared" si="15"/>
        <v>0.19642958062900806</v>
      </c>
      <c r="M35" s="246">
        <f t="shared" si="15"/>
        <v>0.19708912441906842</v>
      </c>
      <c r="N35" s="246">
        <f t="shared" si="15"/>
        <v>0.19785735824194081</v>
      </c>
      <c r="O35" s="246">
        <f t="shared" si="15"/>
        <v>0.19851468719491955</v>
      </c>
      <c r="P35" s="246">
        <f t="shared" si="15"/>
        <v>0.19856212473570889</v>
      </c>
      <c r="Q35" s="246">
        <f t="shared" si="15"/>
        <v>0.1966543662590553</v>
      </c>
      <c r="R35" s="246">
        <f t="shared" si="15"/>
        <v>0.19772574065213869</v>
      </c>
      <c r="S35" s="246">
        <f t="shared" si="15"/>
        <v>0.19762222044918865</v>
      </c>
      <c r="T35" s="246">
        <f t="shared" si="15"/>
        <v>0.19776446957984598</v>
      </c>
      <c r="U35" s="246">
        <f t="shared" si="15"/>
        <v>0.19801083701015909</v>
      </c>
      <c r="V35" s="246">
        <f t="shared" si="15"/>
        <v>0.19793902148501338</v>
      </c>
      <c r="W35" s="246">
        <f t="shared" si="15"/>
        <v>0.19889389112304257</v>
      </c>
      <c r="X35" s="246">
        <f t="shared" si="15"/>
        <v>0.1997434197385714</v>
      </c>
      <c r="Y35" s="246">
        <f t="shared" si="15"/>
        <v>0.19912211738758215</v>
      </c>
      <c r="DA35" s="277"/>
    </row>
    <row r="36" spans="1:105" x14ac:dyDescent="0.25">
      <c r="A36" s="127" t="s">
        <v>168</v>
      </c>
      <c r="B36" s="259">
        <f t="shared" ref="B36:Y36" si="16">IF(B$16=0,0,B$16/B$5)</f>
        <v>0.26299242432981773</v>
      </c>
      <c r="C36" s="259">
        <f t="shared" si="16"/>
        <v>0.26317808300767326</v>
      </c>
      <c r="D36" s="259">
        <f t="shared" si="16"/>
        <v>0.26471081928138673</v>
      </c>
      <c r="E36" s="259">
        <f t="shared" si="16"/>
        <v>0.26401533774437086</v>
      </c>
      <c r="F36" s="259">
        <f t="shared" si="16"/>
        <v>0.26330850729365579</v>
      </c>
      <c r="G36" s="259">
        <f t="shared" si="16"/>
        <v>0.26211412457559025</v>
      </c>
      <c r="H36" s="259">
        <f t="shared" si="16"/>
        <v>0.26138255015193529</v>
      </c>
      <c r="I36" s="259">
        <f t="shared" si="16"/>
        <v>0.25894009482507846</v>
      </c>
      <c r="J36" s="259">
        <f t="shared" si="16"/>
        <v>0.25826950047860026</v>
      </c>
      <c r="K36" s="259">
        <f t="shared" si="16"/>
        <v>0.2583546630014138</v>
      </c>
      <c r="L36" s="259">
        <f t="shared" si="16"/>
        <v>0.25725473836846452</v>
      </c>
      <c r="M36" s="259">
        <f t="shared" si="16"/>
        <v>0.25513179102381517</v>
      </c>
      <c r="N36" s="259">
        <f t="shared" si="16"/>
        <v>0.25353167892630613</v>
      </c>
      <c r="O36" s="259">
        <f t="shared" si="16"/>
        <v>0.25435048189243636</v>
      </c>
      <c r="P36" s="259">
        <f t="shared" si="16"/>
        <v>0.25603265172769768</v>
      </c>
      <c r="Q36" s="259">
        <f t="shared" si="16"/>
        <v>0.25463295508474615</v>
      </c>
      <c r="R36" s="259">
        <f t="shared" si="16"/>
        <v>0.25695827906768287</v>
      </c>
      <c r="S36" s="259">
        <f t="shared" si="16"/>
        <v>0.25477706135145178</v>
      </c>
      <c r="T36" s="259">
        <f t="shared" si="16"/>
        <v>0.25742790779894792</v>
      </c>
      <c r="U36" s="259">
        <f t="shared" si="16"/>
        <v>0.25412245958793378</v>
      </c>
      <c r="V36" s="259">
        <f t="shared" si="16"/>
        <v>0.25317667496106661</v>
      </c>
      <c r="W36" s="259">
        <f t="shared" si="16"/>
        <v>0.24853751243069133</v>
      </c>
      <c r="X36" s="259">
        <f t="shared" si="16"/>
        <v>0.2467635780811771</v>
      </c>
      <c r="Y36" s="259">
        <f t="shared" si="16"/>
        <v>0.2471009474446085</v>
      </c>
      <c r="DA36" s="278"/>
    </row>
    <row r="37" spans="1:105" x14ac:dyDescent="0.25">
      <c r="A37" s="127" t="s">
        <v>121</v>
      </c>
      <c r="B37" s="259">
        <f t="shared" ref="B37:Y37" si="17">IF(B$17=0,0,B$17/B$5)</f>
        <v>0.37296471201292369</v>
      </c>
      <c r="C37" s="259">
        <f t="shared" si="17"/>
        <v>0.37123838541427295</v>
      </c>
      <c r="D37" s="259">
        <f t="shared" si="17"/>
        <v>0.37235022903986031</v>
      </c>
      <c r="E37" s="259">
        <f t="shared" si="17"/>
        <v>0.36924015203806504</v>
      </c>
      <c r="F37" s="259">
        <f t="shared" si="17"/>
        <v>0.36960958448721215</v>
      </c>
      <c r="G37" s="259">
        <f t="shared" si="17"/>
        <v>0.36919909421864167</v>
      </c>
      <c r="H37" s="259">
        <f t="shared" si="17"/>
        <v>0.36721268490106951</v>
      </c>
      <c r="I37" s="259">
        <f t="shared" si="17"/>
        <v>0.36457126873540607</v>
      </c>
      <c r="J37" s="259">
        <f t="shared" si="17"/>
        <v>0.36309104864715558</v>
      </c>
      <c r="K37" s="259">
        <f t="shared" si="17"/>
        <v>0.36284774190993002</v>
      </c>
      <c r="L37" s="259">
        <f t="shared" si="17"/>
        <v>0.36117920724646008</v>
      </c>
      <c r="M37" s="259">
        <f t="shared" si="17"/>
        <v>0.35745530733684816</v>
      </c>
      <c r="N37" s="259">
        <f t="shared" si="17"/>
        <v>0.35478396952789554</v>
      </c>
      <c r="O37" s="259">
        <f t="shared" si="17"/>
        <v>0.3558775172858481</v>
      </c>
      <c r="P37" s="259">
        <f t="shared" si="17"/>
        <v>0.35893183033489845</v>
      </c>
      <c r="Q37" s="259">
        <f t="shared" si="17"/>
        <v>0.35991863808017827</v>
      </c>
      <c r="R37" s="259">
        <f t="shared" si="17"/>
        <v>0.35839606101585342</v>
      </c>
      <c r="S37" s="259">
        <f t="shared" si="17"/>
        <v>0.35556313094222569</v>
      </c>
      <c r="T37" s="259">
        <f t="shared" si="17"/>
        <v>0.35839167670080457</v>
      </c>
      <c r="U37" s="259">
        <f t="shared" si="17"/>
        <v>0.35529139800805765</v>
      </c>
      <c r="V37" s="259">
        <f t="shared" si="17"/>
        <v>0.35349750192893331</v>
      </c>
      <c r="W37" s="259">
        <f t="shared" si="17"/>
        <v>0.35895722949405268</v>
      </c>
      <c r="X37" s="259">
        <f t="shared" si="17"/>
        <v>0.35916073657551767</v>
      </c>
      <c r="Y37" s="259">
        <f t="shared" si="17"/>
        <v>0.35947063396498141</v>
      </c>
      <c r="DA37" s="278"/>
    </row>
    <row r="38" spans="1:105" x14ac:dyDescent="0.25">
      <c r="A38" s="127" t="s">
        <v>167</v>
      </c>
      <c r="B38" s="259">
        <f t="shared" ref="B38:Y38" si="18">IF(B$25=0,0,B$25/B$5)</f>
        <v>5.0536186041570653E-2</v>
      </c>
      <c r="C38" s="259">
        <f t="shared" si="18"/>
        <v>5.0571861903749037E-2</v>
      </c>
      <c r="D38" s="259">
        <f t="shared" si="18"/>
        <v>5.0866389952145999E-2</v>
      </c>
      <c r="E38" s="259">
        <f t="shared" si="18"/>
        <v>5.0732747378856385E-2</v>
      </c>
      <c r="F38" s="259">
        <f t="shared" si="18"/>
        <v>5.0596924017220719E-2</v>
      </c>
      <c r="G38" s="259">
        <f t="shared" si="18"/>
        <v>5.0367413424287071E-2</v>
      </c>
      <c r="H38" s="259">
        <f t="shared" si="18"/>
        <v>5.0226835302041549E-2</v>
      </c>
      <c r="I38" s="259">
        <f t="shared" si="18"/>
        <v>4.9757497156234461E-2</v>
      </c>
      <c r="J38" s="259">
        <f t="shared" si="18"/>
        <v>4.9628636864009687E-2</v>
      </c>
      <c r="K38" s="259">
        <f t="shared" si="18"/>
        <v>4.9645001552489368E-2</v>
      </c>
      <c r="L38" s="259">
        <f t="shared" si="18"/>
        <v>4.9433641867798514E-2</v>
      </c>
      <c r="M38" s="259">
        <f t="shared" si="18"/>
        <v>4.902569984346436E-2</v>
      </c>
      <c r="N38" s="259">
        <f t="shared" si="18"/>
        <v>4.8718224969033448E-2</v>
      </c>
      <c r="O38" s="259">
        <f t="shared" si="18"/>
        <v>4.8875564782654313E-2</v>
      </c>
      <c r="P38" s="259">
        <f t="shared" si="18"/>
        <v>4.9198807735240928E-2</v>
      </c>
      <c r="Q38" s="259">
        <f t="shared" si="18"/>
        <v>4.8929844360610611E-2</v>
      </c>
      <c r="R38" s="259">
        <f t="shared" si="18"/>
        <v>4.9376674742542981E-2</v>
      </c>
      <c r="S38" s="259">
        <f t="shared" si="18"/>
        <v>4.895753558070013E-2</v>
      </c>
      <c r="T38" s="259">
        <f t="shared" si="18"/>
        <v>4.9466917817012374E-2</v>
      </c>
      <c r="U38" s="259">
        <f t="shared" si="18"/>
        <v>4.8831748396568904E-2</v>
      </c>
      <c r="V38" s="259">
        <f t="shared" si="18"/>
        <v>4.8650007998607206E-2</v>
      </c>
      <c r="W38" s="259">
        <f t="shared" si="18"/>
        <v>4.7758554256889858E-2</v>
      </c>
      <c r="X38" s="259">
        <f t="shared" si="18"/>
        <v>4.741767798814929E-2</v>
      </c>
      <c r="Y38" s="259">
        <f t="shared" si="18"/>
        <v>4.7482506322876192E-2</v>
      </c>
      <c r="DA38" s="278"/>
    </row>
    <row r="39" spans="1:105" x14ac:dyDescent="0.25">
      <c r="A39" s="127" t="s">
        <v>170</v>
      </c>
      <c r="B39" s="259">
        <f t="shared" ref="B39:Y39" si="19">IF(B$26=0,0,B$26/B$5)</f>
        <v>2.3249990771627115E-2</v>
      </c>
      <c r="C39" s="259">
        <f t="shared" si="19"/>
        <v>2.3511662932059193E-2</v>
      </c>
      <c r="D39" s="259">
        <f t="shared" si="19"/>
        <v>2.2776462808637054E-2</v>
      </c>
      <c r="E39" s="259">
        <f t="shared" si="19"/>
        <v>2.3553057331803681E-2</v>
      </c>
      <c r="F39" s="259">
        <f t="shared" si="19"/>
        <v>2.3677108065816764E-2</v>
      </c>
      <c r="G39" s="259">
        <f t="shared" si="19"/>
        <v>2.4037866046613111E-2</v>
      </c>
      <c r="H39" s="259">
        <f t="shared" si="19"/>
        <v>2.4697800833837356E-2</v>
      </c>
      <c r="I39" s="259">
        <f t="shared" si="19"/>
        <v>2.5858862926114085E-2</v>
      </c>
      <c r="J39" s="259">
        <f t="shared" si="19"/>
        <v>2.6436071362413223E-2</v>
      </c>
      <c r="K39" s="259">
        <f t="shared" si="19"/>
        <v>2.617704200625005E-2</v>
      </c>
      <c r="L39" s="259">
        <f t="shared" si="19"/>
        <v>2.7140566377653778E-2</v>
      </c>
      <c r="M39" s="259">
        <f t="shared" si="19"/>
        <v>2.8259615475360735E-2</v>
      </c>
      <c r="N39" s="259">
        <f t="shared" si="19"/>
        <v>2.902175366696479E-2</v>
      </c>
      <c r="O39" s="259">
        <f t="shared" si="19"/>
        <v>2.8476349768828357E-2</v>
      </c>
      <c r="P39" s="259">
        <f t="shared" si="19"/>
        <v>2.7454917093290815E-2</v>
      </c>
      <c r="Q39" s="259">
        <f t="shared" si="19"/>
        <v>2.7972839243081908E-2</v>
      </c>
      <c r="R39" s="259">
        <f t="shared" si="19"/>
        <v>2.7508648904356406E-2</v>
      </c>
      <c r="S39" s="259">
        <f t="shared" si="19"/>
        <v>2.8616010335286785E-2</v>
      </c>
      <c r="T39" s="259">
        <f t="shared" si="19"/>
        <v>2.7389805620677866E-2</v>
      </c>
      <c r="U39" s="259">
        <f t="shared" si="19"/>
        <v>2.8748711399456086E-2</v>
      </c>
      <c r="V39" s="259">
        <f t="shared" si="19"/>
        <v>2.9347358725275906E-2</v>
      </c>
      <c r="W39" s="259">
        <f t="shared" si="19"/>
        <v>2.9170562539064731E-2</v>
      </c>
      <c r="X39" s="259">
        <f t="shared" si="19"/>
        <v>2.9382917523316909E-2</v>
      </c>
      <c r="Y39" s="259">
        <f t="shared" si="19"/>
        <v>2.9364758975990359E-2</v>
      </c>
      <c r="DA39" s="278"/>
    </row>
    <row r="40" spans="1:105" x14ac:dyDescent="0.25">
      <c r="A40" s="260" t="s">
        <v>33</v>
      </c>
      <c r="B40" s="261">
        <f t="shared" ref="B40:Y40" si="20">IF(B$27=0,0,B$27/B$5)</f>
        <v>3.3712486618859339E-2</v>
      </c>
      <c r="C40" s="261">
        <f t="shared" si="20"/>
        <v>3.4091911251485835E-2</v>
      </c>
      <c r="D40" s="261">
        <f t="shared" si="20"/>
        <v>3.3025871072523728E-2</v>
      </c>
      <c r="E40" s="261">
        <f t="shared" si="20"/>
        <v>3.4151933131115343E-2</v>
      </c>
      <c r="F40" s="261">
        <f t="shared" si="20"/>
        <v>3.4331806695434307E-2</v>
      </c>
      <c r="G40" s="261">
        <f t="shared" si="20"/>
        <v>3.4854905767589012E-2</v>
      </c>
      <c r="H40" s="261">
        <f t="shared" si="20"/>
        <v>3.5811811209064161E-2</v>
      </c>
      <c r="I40" s="261">
        <f t="shared" si="20"/>
        <v>3.7495351242865418E-2</v>
      </c>
      <c r="J40" s="261">
        <f t="shared" si="20"/>
        <v>3.833230347549918E-2</v>
      </c>
      <c r="K40" s="261">
        <f t="shared" si="20"/>
        <v>3.7956710909062566E-2</v>
      </c>
      <c r="L40" s="261">
        <f t="shared" si="20"/>
        <v>3.9353821247597988E-2</v>
      </c>
      <c r="M40" s="261">
        <f t="shared" si="20"/>
        <v>4.0976442439273085E-2</v>
      </c>
      <c r="N40" s="261">
        <f t="shared" si="20"/>
        <v>4.2081542817098964E-2</v>
      </c>
      <c r="O40" s="261">
        <f t="shared" si="20"/>
        <v>4.1290707164801134E-2</v>
      </c>
      <c r="P40" s="261">
        <f t="shared" si="20"/>
        <v>3.9809629785271673E-2</v>
      </c>
      <c r="Q40" s="261">
        <f t="shared" si="20"/>
        <v>4.0560616902468767E-2</v>
      </c>
      <c r="R40" s="261">
        <f t="shared" si="20"/>
        <v>3.9887540911316771E-2</v>
      </c>
      <c r="S40" s="261">
        <f t="shared" si="20"/>
        <v>4.1493214986165837E-2</v>
      </c>
      <c r="T40" s="261">
        <f t="shared" si="20"/>
        <v>3.9715218149982918E-2</v>
      </c>
      <c r="U40" s="261">
        <f t="shared" si="20"/>
        <v>4.1685631529211349E-2</v>
      </c>
      <c r="V40" s="261">
        <f t="shared" si="20"/>
        <v>4.2553670151650069E-2</v>
      </c>
      <c r="W40" s="261">
        <f t="shared" si="20"/>
        <v>4.2297315681643861E-2</v>
      </c>
      <c r="X40" s="261">
        <f t="shared" si="20"/>
        <v>4.2605230408809508E-2</v>
      </c>
      <c r="Y40" s="261">
        <f t="shared" si="20"/>
        <v>4.2578900515186022E-2</v>
      </c>
      <c r="DA40" s="279"/>
    </row>
    <row r="42" spans="1:105" ht="12.75" x14ac:dyDescent="0.25">
      <c r="A42" s="178" t="s">
        <v>23</v>
      </c>
      <c r="B42" s="231"/>
      <c r="C42" s="231"/>
      <c r="D42" s="231"/>
      <c r="E42" s="231"/>
      <c r="F42" s="231"/>
      <c r="G42" s="231"/>
      <c r="H42" s="231"/>
      <c r="I42" s="231"/>
      <c r="J42" s="231"/>
      <c r="K42" s="231"/>
      <c r="L42" s="231"/>
      <c r="M42" s="231"/>
      <c r="N42" s="231"/>
      <c r="O42" s="231"/>
      <c r="P42" s="231"/>
      <c r="Q42" s="231"/>
      <c r="R42" s="231"/>
      <c r="S42" s="231"/>
      <c r="T42" s="231"/>
      <c r="U42" s="231"/>
      <c r="V42" s="231"/>
      <c r="W42" s="231"/>
      <c r="X42" s="231"/>
      <c r="Y42" s="231"/>
      <c r="DA42" s="266"/>
    </row>
    <row r="44" spans="1:105" x14ac:dyDescent="0.25">
      <c r="A44" s="234" t="s">
        <v>126</v>
      </c>
      <c r="B44" s="236">
        <f t="shared" ref="B44:Y44" si="21">SUM(B$45:B$53)</f>
        <v>112.47171201628667</v>
      </c>
      <c r="C44" s="236">
        <f t="shared" si="21"/>
        <v>109.8194243354616</v>
      </c>
      <c r="D44" s="236">
        <f t="shared" si="21"/>
        <v>113.80906613357638</v>
      </c>
      <c r="E44" s="236">
        <f t="shared" si="21"/>
        <v>119.53787119840248</v>
      </c>
      <c r="F44" s="236">
        <f t="shared" si="21"/>
        <v>117.30616060932351</v>
      </c>
      <c r="G44" s="236">
        <f t="shared" si="21"/>
        <v>134.29403412451356</v>
      </c>
      <c r="H44" s="236">
        <f t="shared" si="21"/>
        <v>130.05722800154632</v>
      </c>
      <c r="I44" s="236">
        <f t="shared" si="21"/>
        <v>117.81469406104156</v>
      </c>
      <c r="J44" s="236">
        <f t="shared" si="21"/>
        <v>123.49619118298854</v>
      </c>
      <c r="K44" s="236">
        <f t="shared" si="21"/>
        <v>137.83360398812141</v>
      </c>
      <c r="L44" s="236">
        <f t="shared" si="21"/>
        <v>128.47617233393535</v>
      </c>
      <c r="M44" s="236">
        <f t="shared" si="21"/>
        <v>116.0213122138336</v>
      </c>
      <c r="N44" s="236">
        <f t="shared" si="21"/>
        <v>118.31216844961239</v>
      </c>
      <c r="O44" s="236">
        <f t="shared" si="21"/>
        <v>117.89482713876835</v>
      </c>
      <c r="P44" s="236">
        <f t="shared" si="21"/>
        <v>114.21265320772918</v>
      </c>
      <c r="Q44" s="236">
        <f t="shared" si="21"/>
        <v>116.67728719019786</v>
      </c>
      <c r="R44" s="236">
        <f t="shared" si="21"/>
        <v>118.41249825520164</v>
      </c>
      <c r="S44" s="236">
        <f t="shared" si="21"/>
        <v>109.25986032686188</v>
      </c>
      <c r="T44" s="236">
        <f t="shared" si="21"/>
        <v>115.03952384499109</v>
      </c>
      <c r="U44" s="236">
        <f t="shared" si="21"/>
        <v>114.31053707016743</v>
      </c>
      <c r="V44" s="236">
        <f t="shared" si="21"/>
        <v>121.02278233994654</v>
      </c>
      <c r="W44" s="236">
        <f t="shared" si="21"/>
        <v>115.61293230102245</v>
      </c>
      <c r="X44" s="236">
        <f t="shared" si="21"/>
        <v>98.926512660278462</v>
      </c>
      <c r="Y44" s="236">
        <f t="shared" si="21"/>
        <v>101.37891512464495</v>
      </c>
      <c r="DA44" s="280"/>
    </row>
    <row r="45" spans="1:105" x14ac:dyDescent="0.25">
      <c r="A45" s="238" t="s">
        <v>125</v>
      </c>
      <c r="B45" s="247">
        <f>IF(B$6=0,0,B$6/AGR!B$5*1000)</f>
        <v>2.6149662664477678</v>
      </c>
      <c r="C45" s="247">
        <f>IF(C$6=0,0,C$6/AGR!C$5*1000)</f>
        <v>2.5820372883681517</v>
      </c>
      <c r="D45" s="247">
        <f>IF(D$6=0,0,D$6/AGR!D$5*1000)</f>
        <v>2.5921679620771174</v>
      </c>
      <c r="E45" s="247">
        <f>IF(E$6=0,0,E$6/AGR!E$5*1000)</f>
        <v>2.8154823336577381</v>
      </c>
      <c r="F45" s="247">
        <f>IF(F$6=0,0,F$6/AGR!F$5*1000)</f>
        <v>2.7774706415330099</v>
      </c>
      <c r="G45" s="247">
        <f>IF(G$6=0,0,G$6/AGR!G$5*1000)</f>
        <v>3.228142003144348</v>
      </c>
      <c r="H45" s="247">
        <f>IF(H$6=0,0,H$6/AGR!H$5*1000)</f>
        <v>3.212127514183166</v>
      </c>
      <c r="I45" s="247">
        <f>IF(I$6=0,0,I$6/AGR!I$5*1000)</f>
        <v>3.0465540244065408</v>
      </c>
      <c r="J45" s="247">
        <f>IF(J$6=0,0,J$6/AGR!J$5*1000)</f>
        <v>3.2647541230997117</v>
      </c>
      <c r="K45" s="247">
        <f>IF(K$6=0,0,K$6/AGR!K$5*1000)</f>
        <v>3.6080760414698885</v>
      </c>
      <c r="L45" s="247">
        <f>IF(L$6=0,0,L$6/AGR!L$5*1000)</f>
        <v>3.4869160831760584</v>
      </c>
      <c r="M45" s="247">
        <f>IF(M$6=0,0,M$6/AGR!M$5*1000)</f>
        <v>3.278717670109712</v>
      </c>
      <c r="N45" s="247">
        <f>IF(N$6=0,0,N$6/AGR!N$5*1000)</f>
        <v>3.4336266085490945</v>
      </c>
      <c r="O45" s="247">
        <f>IF(O$6=0,0,O$6/AGR!O$5*1000)</f>
        <v>3.3572143335391247</v>
      </c>
      <c r="P45" s="247">
        <f>IF(P$6=0,0,P$6/AGR!P$5*1000)</f>
        <v>3.1356989248229796</v>
      </c>
      <c r="Q45" s="247">
        <f>IF(Q$6=0,0,Q$6/AGR!Q$5*1000)</f>
        <v>3.2637949978903054</v>
      </c>
      <c r="R45" s="247">
        <f>IF(R$6=0,0,R$6/AGR!R$5*1000)</f>
        <v>3.2573678403900574</v>
      </c>
      <c r="S45" s="247">
        <f>IF(S$6=0,0,S$6/AGR!S$5*1000)</f>
        <v>3.1265812923454699</v>
      </c>
      <c r="T45" s="247">
        <f>IF(T$6=0,0,T$6/AGR!T$5*1000)</f>
        <v>3.1509101968096416</v>
      </c>
      <c r="U45" s="247">
        <f>IF(U$6=0,0,U$6/AGR!U$5*1000)</f>
        <v>3.2862806401470697</v>
      </c>
      <c r="V45" s="247">
        <f>IF(V$6=0,0,V$6/AGR!V$5*1000)</f>
        <v>3.5516990072613965</v>
      </c>
      <c r="W45" s="247">
        <f>IF(W$6=0,0,W$6/AGR!W$5*1000)</f>
        <v>3.372494272011632</v>
      </c>
      <c r="X45" s="247">
        <f>IF(X$6=0,0,X$6/AGR!X$5*1000)</f>
        <v>2.9067495623663282</v>
      </c>
      <c r="Y45" s="247">
        <f>IF(Y$6=0,0,Y$6/AGR!Y$5*1000)</f>
        <v>2.9769674078825825</v>
      </c>
      <c r="DA45" s="281"/>
    </row>
    <row r="46" spans="1:105" x14ac:dyDescent="0.25">
      <c r="A46" s="240" t="s">
        <v>124</v>
      </c>
      <c r="B46" s="248">
        <f>IF(B$7=0,0,B$7/AGR!B$5*1000)</f>
        <v>1.6997280731910489</v>
      </c>
      <c r="C46" s="248">
        <f>IF(C$7=0,0,C$7/AGR!C$5*1000)</f>
        <v>1.6783242374392984</v>
      </c>
      <c r="D46" s="248">
        <f>IF(D$7=0,0,D$7/AGR!D$5*1000)</f>
        <v>1.6849091753501257</v>
      </c>
      <c r="E46" s="248">
        <f>IF(E$7=0,0,E$7/AGR!E$5*1000)</f>
        <v>1.8300635168775292</v>
      </c>
      <c r="F46" s="248">
        <f>IF(F$7=0,0,F$7/AGR!F$5*1000)</f>
        <v>1.8053559169964561</v>
      </c>
      <c r="G46" s="248">
        <f>IF(G$7=0,0,G$7/AGR!G$5*1000)</f>
        <v>2.0982923020438258</v>
      </c>
      <c r="H46" s="248">
        <f>IF(H$7=0,0,H$7/AGR!H$5*1000)</f>
        <v>2.0878828842190571</v>
      </c>
      <c r="I46" s="248">
        <f>IF(I$7=0,0,I$7/AGR!I$5*1000)</f>
        <v>1.980260115864251</v>
      </c>
      <c r="J46" s="248">
        <f>IF(J$7=0,0,J$7/AGR!J$5*1000)</f>
        <v>2.1220901800148124</v>
      </c>
      <c r="K46" s="248">
        <f>IF(K$7=0,0,K$7/AGR!K$5*1000)</f>
        <v>2.3452494269554269</v>
      </c>
      <c r="L46" s="248">
        <f>IF(L$7=0,0,L$7/AGR!L$5*1000)</f>
        <v>2.2664954540644384</v>
      </c>
      <c r="M46" s="248">
        <f>IF(M$7=0,0,M$7/AGR!M$5*1000)</f>
        <v>2.1311664855713133</v>
      </c>
      <c r="N46" s="248">
        <f>IF(N$7=0,0,N$7/AGR!N$5*1000)</f>
        <v>2.2318572955569103</v>
      </c>
      <c r="O46" s="248">
        <f>IF(O$7=0,0,O$7/AGR!O$5*1000)</f>
        <v>2.18218931680043</v>
      </c>
      <c r="P46" s="248">
        <f>IF(P$7=0,0,P$7/AGR!P$5*1000)</f>
        <v>2.038204301134936</v>
      </c>
      <c r="Q46" s="248">
        <f>IF(Q$7=0,0,Q$7/AGR!Q$5*1000)</f>
        <v>2.121466748628698</v>
      </c>
      <c r="R46" s="248">
        <f>IF(R$7=0,0,R$7/AGR!R$5*1000)</f>
        <v>2.1172890962535367</v>
      </c>
      <c r="S46" s="248">
        <f>IF(S$7=0,0,S$7/AGR!S$5*1000)</f>
        <v>2.0322778400245554</v>
      </c>
      <c r="T46" s="248">
        <f>IF(T$7=0,0,T$7/AGR!T$5*1000)</f>
        <v>2.0480916279262669</v>
      </c>
      <c r="U46" s="248">
        <f>IF(U$7=0,0,U$7/AGR!U$5*1000)</f>
        <v>2.1360824160955953</v>
      </c>
      <c r="V46" s="248">
        <f>IF(V$7=0,0,V$7/AGR!V$5*1000)</f>
        <v>2.3086043547199067</v>
      </c>
      <c r="W46" s="248">
        <f>IF(W$7=0,0,W$7/AGR!W$5*1000)</f>
        <v>2.1921212768075602</v>
      </c>
      <c r="X46" s="248">
        <f>IF(X$7=0,0,X$7/AGR!X$5*1000)</f>
        <v>1.8893872155381124</v>
      </c>
      <c r="Y46" s="248">
        <f>IF(Y$7=0,0,Y$7/AGR!Y$5*1000)</f>
        <v>1.9350288151236781</v>
      </c>
      <c r="DA46" s="282"/>
    </row>
    <row r="47" spans="1:105" x14ac:dyDescent="0.25">
      <c r="A47" s="240" t="s">
        <v>123</v>
      </c>
      <c r="B47" s="248">
        <f>IF(B$8=0,0,B$8/AGR!B$5*1000)</f>
        <v>2.3534696398029902</v>
      </c>
      <c r="C47" s="248">
        <f>IF(C$8=0,0,C$8/AGR!C$5*1000)</f>
        <v>2.3238335595313364</v>
      </c>
      <c r="D47" s="248">
        <f>IF(D$8=0,0,D$8/AGR!D$5*1000)</f>
        <v>2.3329511658694053</v>
      </c>
      <c r="E47" s="248">
        <f>IF(E$8=0,0,E$8/AGR!E$5*1000)</f>
        <v>2.533934100291964</v>
      </c>
      <c r="F47" s="248">
        <f>IF(F$8=0,0,F$8/AGR!F$5*1000)</f>
        <v>2.4997235773797097</v>
      </c>
      <c r="G47" s="248">
        <f>IF(G$8=0,0,G$8/AGR!G$5*1000)</f>
        <v>2.905327802829913</v>
      </c>
      <c r="H47" s="248">
        <f>IF(H$8=0,0,H$8/AGR!H$5*1000)</f>
        <v>2.890914762764849</v>
      </c>
      <c r="I47" s="248">
        <f>IF(I$8=0,0,I$8/AGR!I$5*1000)</f>
        <v>2.7418986219658863</v>
      </c>
      <c r="J47" s="248">
        <f>IF(J$8=0,0,J$8/AGR!J$5*1000)</f>
        <v>2.9382787107897412</v>
      </c>
      <c r="K47" s="248">
        <f>IF(K$8=0,0,K$8/AGR!K$5*1000)</f>
        <v>3.2472684373229002</v>
      </c>
      <c r="L47" s="248">
        <f>IF(L$8=0,0,L$8/AGR!L$5*1000)</f>
        <v>3.1382244748584536</v>
      </c>
      <c r="M47" s="248">
        <f>IF(M$8=0,0,M$8/AGR!M$5*1000)</f>
        <v>2.9508459030987413</v>
      </c>
      <c r="N47" s="248">
        <f>IF(N$8=0,0,N$8/AGR!N$5*1000)</f>
        <v>3.0902639476941838</v>
      </c>
      <c r="O47" s="248">
        <f>IF(O$8=0,0,O$8/AGR!O$5*1000)</f>
        <v>3.0214929001852124</v>
      </c>
      <c r="P47" s="248">
        <f>IF(P$8=0,0,P$8/AGR!P$5*1000)</f>
        <v>2.8221290323406816</v>
      </c>
      <c r="Q47" s="248">
        <f>IF(Q$8=0,0,Q$8/AGR!Q$5*1000)</f>
        <v>2.9374154981012746</v>
      </c>
      <c r="R47" s="248">
        <f>IF(R$8=0,0,R$8/AGR!R$5*1000)</f>
        <v>2.9316310563510517</v>
      </c>
      <c r="S47" s="248">
        <f>IF(S$8=0,0,S$8/AGR!S$5*1000)</f>
        <v>2.8139231631109225</v>
      </c>
      <c r="T47" s="248">
        <f>IF(T$8=0,0,T$8/AGR!T$5*1000)</f>
        <v>2.8358191771286769</v>
      </c>
      <c r="U47" s="248">
        <f>IF(U$8=0,0,U$8/AGR!U$5*1000)</f>
        <v>2.9576525761323635</v>
      </c>
      <c r="V47" s="248">
        <f>IF(V$8=0,0,V$8/AGR!V$5*1000)</f>
        <v>3.1965291065352561</v>
      </c>
      <c r="W47" s="248">
        <f>IF(W$8=0,0,W$8/AGR!W$5*1000)</f>
        <v>3.0352448448104687</v>
      </c>
      <c r="X47" s="248">
        <f>IF(X$8=0,0,X$8/AGR!X$5*1000)</f>
        <v>2.6160746061296951</v>
      </c>
      <c r="Y47" s="248">
        <f>IF(Y$8=0,0,Y$8/AGR!Y$5*1000)</f>
        <v>2.679270667094324</v>
      </c>
      <c r="DA47" s="282"/>
    </row>
    <row r="48" spans="1:105" x14ac:dyDescent="0.25">
      <c r="A48" s="242" t="s">
        <v>122</v>
      </c>
      <c r="B48" s="249">
        <f>IF(B$9=0,0,B$9/AGR!B$5*1000)</f>
        <v>22.185801427735644</v>
      </c>
      <c r="C48" s="249">
        <f>IF(C$9=0,0,C$9/AGR!C$5*1000)</f>
        <v>21.684213780743974</v>
      </c>
      <c r="D48" s="249">
        <f>IF(D$9=0,0,D$9/AGR!D$5*1000)</f>
        <v>22.55584700563243</v>
      </c>
      <c r="E48" s="249">
        <f>IF(E$9=0,0,E$9/AGR!E$5*1000)</f>
        <v>23.697961735104876</v>
      </c>
      <c r="F48" s="249">
        <f>IF(F$9=0,0,F$9/AGR!F$5*1000)</f>
        <v>23.238285179563579</v>
      </c>
      <c r="G48" s="249">
        <f>IF(G$9=0,0,G$9/AGR!G$5*1000)</f>
        <v>26.607682023618054</v>
      </c>
      <c r="H48" s="249">
        <f>IF(H$9=0,0,H$9/AGR!H$5*1000)</f>
        <v>25.710873653982496</v>
      </c>
      <c r="I48" s="249">
        <f>IF(I$9=0,0,I$9/AGR!I$5*1000)</f>
        <v>23.260959092842597</v>
      </c>
      <c r="J48" s="249">
        <f>IF(J$9=0,0,J$9/AGR!J$5*1000)</f>
        <v>24.307811772780035</v>
      </c>
      <c r="K48" s="249">
        <f>IF(K$9=0,0,K$9/AGR!K$5*1000)</f>
        <v>27.32790802177767</v>
      </c>
      <c r="L48" s="249">
        <f>IF(L$9=0,0,L$9/AGR!L$5*1000)</f>
        <v>25.236520652375095</v>
      </c>
      <c r="M48" s="249">
        <f>IF(M$9=0,0,M$9/AGR!M$5*1000)</f>
        <v>22.866538838175838</v>
      </c>
      <c r="N48" s="249">
        <f>IF(N$9=0,0,N$9/AGR!N$5*1000)</f>
        <v>23.408933097315806</v>
      </c>
      <c r="O48" s="249">
        <f>IF(O$9=0,0,O$9/AGR!O$5*1000)</f>
        <v>23.403854731351707</v>
      </c>
      <c r="P48" s="249">
        <f>IF(P$9=0,0,P$9/AGR!P$5*1000)</f>
        <v>22.678307092629382</v>
      </c>
      <c r="Q48" s="249">
        <f>IF(Q$9=0,0,Q$9/AGR!Q$5*1000)</f>
        <v>22.945097969214153</v>
      </c>
      <c r="R48" s="249">
        <f>IF(R$9=0,0,R$9/AGR!R$5*1000)</f>
        <v>23.413198919979823</v>
      </c>
      <c r="S48" s="249">
        <f>IF(S$9=0,0,S$9/AGR!S$5*1000)</f>
        <v>21.592176203762659</v>
      </c>
      <c r="T48" s="249">
        <f>IF(T$9=0,0,T$9/AGR!T$5*1000)</f>
        <v>22.750730413922703</v>
      </c>
      <c r="U48" s="249">
        <f>IF(U$9=0,0,U$9/AGR!U$5*1000)</f>
        <v>22.634725124344676</v>
      </c>
      <c r="V48" s="249">
        <f>IF(V$9=0,0,V$9/AGR!V$5*1000)</f>
        <v>23.955131113762771</v>
      </c>
      <c r="W48" s="249">
        <f>IF(W$9=0,0,W$9/AGR!W$5*1000)</f>
        <v>22.99470596949525</v>
      </c>
      <c r="X48" s="249">
        <f>IF(X$9=0,0,X$9/AGR!X$5*1000)</f>
        <v>19.759919941575099</v>
      </c>
      <c r="Y48" s="249">
        <f>IF(Y$9=0,0,Y$9/AGR!Y$5*1000)</f>
        <v>20.186784238075276</v>
      </c>
      <c r="DA48" s="283"/>
    </row>
    <row r="49" spans="1:105" x14ac:dyDescent="0.25">
      <c r="A49" s="127" t="s">
        <v>168</v>
      </c>
      <c r="B49" s="262">
        <f>IF(B$16=0,0,B$16/AGR!B$5*1000)</f>
        <v>29.579208211688325</v>
      </c>
      <c r="C49" s="262">
        <f>IF(C$16=0,0,C$16/AGR!C$5*1000)</f>
        <v>28.902065573613005</v>
      </c>
      <c r="D49" s="262">
        <f>IF(D$16=0,0,D$16/AGR!D$5*1000)</f>
        <v>30.126491137868531</v>
      </c>
      <c r="E49" s="262">
        <f>IF(E$16=0,0,E$16/AGR!E$5*1000)</f>
        <v>31.559831437689333</v>
      </c>
      <c r="F49" s="262">
        <f>IF(F$16=0,0,F$16/AGR!F$5*1000)</f>
        <v>30.887710046390815</v>
      </c>
      <c r="G49" s="262">
        <f>IF(G$16=0,0,G$16/AGR!G$5*1000)</f>
        <v>35.200363190271325</v>
      </c>
      <c r="H49" s="262">
        <f>IF(H$16=0,0,H$16/AGR!H$5*1000)</f>
        <v>33.994689920735865</v>
      </c>
      <c r="I49" s="262">
        <f>IF(I$16=0,0,I$16/AGR!I$5*1000)</f>
        <v>30.506948051953707</v>
      </c>
      <c r="J49" s="262">
        <f>IF(J$16=0,0,J$16/AGR!J$5*1000)</f>
        <v>31.895299607840176</v>
      </c>
      <c r="K49" s="262">
        <f>IF(K$16=0,0,K$16/AGR!K$5*1000)</f>
        <v>35.609954308621425</v>
      </c>
      <c r="L49" s="262">
        <f>IF(L$16=0,0,L$16/AGR!L$5*1000)</f>
        <v>33.051104100348304</v>
      </c>
      <c r="M49" s="262">
        <f>IF(M$16=0,0,M$16/AGR!M$5*1000)</f>
        <v>29.600725182048613</v>
      </c>
      <c r="N49" s="262">
        <f>IF(N$16=0,0,N$16/AGR!N$5*1000)</f>
        <v>29.995882704442174</v>
      </c>
      <c r="O49" s="262">
        <f>IF(O$16=0,0,O$16/AGR!O$5*1000)</f>
        <v>29.986606095371211</v>
      </c>
      <c r="P49" s="262">
        <f>IF(P$16=0,0,P$16/AGR!P$5*1000)</f>
        <v>29.24216846163084</v>
      </c>
      <c r="Q49" s="262">
        <f>IF(Q$16=0,0,Q$16/AGR!Q$5*1000)</f>
        <v>29.70988242851168</v>
      </c>
      <c r="R49" s="262">
        <f>IF(R$16=0,0,R$16/AGR!R$5*1000)</f>
        <v>30.427071771761614</v>
      </c>
      <c r="S49" s="262">
        <f>IF(S$16=0,0,S$16/AGR!S$5*1000)</f>
        <v>27.836906137747935</v>
      </c>
      <c r="T49" s="262">
        <f>IF(T$16=0,0,T$16/AGR!T$5*1000)</f>
        <v>29.614383937603236</v>
      </c>
      <c r="U49" s="262">
        <f>IF(U$16=0,0,U$16/AGR!U$5*1000)</f>
        <v>29.048874837088629</v>
      </c>
      <c r="V49" s="262">
        <f>IF(V$16=0,0,V$16/AGR!V$5*1000)</f>
        <v>30.640145627364554</v>
      </c>
      <c r="W49" s="262">
        <f>IF(W$16=0,0,W$16/AGR!W$5*1000)</f>
        <v>28.734150598914042</v>
      </c>
      <c r="X49" s="262">
        <f>IF(X$16=0,0,X$16/AGR!X$5*1000)</f>
        <v>24.411460231143181</v>
      </c>
      <c r="Y49" s="262">
        <f>IF(Y$16=0,0,Y$16/AGR!Y$5*1000)</f>
        <v>25.050825978206316</v>
      </c>
      <c r="DA49" s="284"/>
    </row>
    <row r="50" spans="1:105" x14ac:dyDescent="0.25">
      <c r="A50" s="127" t="s">
        <v>121</v>
      </c>
      <c r="B50" s="262">
        <f>IF(B$17=0,0,B$17/AGR!B$5*1000)</f>
        <v>41.947979681754845</v>
      </c>
      <c r="C50" s="262">
        <f>IF(C$17=0,0,C$17/AGR!C$5*1000)</f>
        <v>40.769185777421676</v>
      </c>
      <c r="D50" s="262">
        <f>IF(D$17=0,0,D$17/AGR!D$5*1000)</f>
        <v>42.376831841649775</v>
      </c>
      <c r="E50" s="262">
        <f>IF(E$17=0,0,E$17/AGR!E$5*1000)</f>
        <v>44.138181735604768</v>
      </c>
      <c r="F50" s="262">
        <f>IF(F$17=0,0,F$17/AGR!F$5*1000)</f>
        <v>43.357481280602229</v>
      </c>
      <c r="G50" s="262">
        <f>IF(G$17=0,0,G$17/AGR!G$5*1000)</f>
        <v>49.58123575773778</v>
      </c>
      <c r="H50" s="262">
        <f>IF(H$17=0,0,H$17/AGR!H$5*1000)</f>
        <v>47.758663885238391</v>
      </c>
      <c r="I50" s="262">
        <f>IF(I$17=0,0,I$17/AGR!I$5*1000)</f>
        <v>42.951852489507637</v>
      </c>
      <c r="J50" s="262">
        <f>IF(J$17=0,0,J$17/AGR!J$5*1000)</f>
        <v>44.840361560560922</v>
      </c>
      <c r="K50" s="262">
        <f>IF(K$17=0,0,K$17/AGR!K$5*1000)</f>
        <v>50.01261196639738</v>
      </c>
      <c r="L50" s="262">
        <f>IF(L$17=0,0,L$17/AGR!L$5*1000)</f>
        <v>46.402922073630357</v>
      </c>
      <c r="M50" s="262">
        <f>IF(M$17=0,0,M$17/AGR!M$5*1000)</f>
        <v>41.47243381502031</v>
      </c>
      <c r="N50" s="262">
        <f>IF(N$17=0,0,N$17/AGR!N$5*1000)</f>
        <v>41.975260766006528</v>
      </c>
      <c r="O50" s="262">
        <f>IF(O$17=0,0,O$17/AGR!O$5*1000)</f>
        <v>41.956118382989096</v>
      </c>
      <c r="P50" s="262">
        <f>IF(P$17=0,0,P$17/AGR!P$5*1000)</f>
        <v>40.994556663255246</v>
      </c>
      <c r="Q50" s="262">
        <f>IF(Q$17=0,0,Q$17/AGR!Q$5*1000)</f>
        <v>41.994330300385862</v>
      </c>
      <c r="R50" s="262">
        <f>IF(R$17=0,0,R$17/AGR!R$5*1000)</f>
        <v>42.438572949710888</v>
      </c>
      <c r="S50" s="262">
        <f>IF(S$17=0,0,S$17/AGR!S$5*1000)</f>
        <v>38.848778024129274</v>
      </c>
      <c r="T50" s="262">
        <f>IF(T$17=0,0,T$17/AGR!T$5*1000)</f>
        <v>41.22920783766854</v>
      </c>
      <c r="U50" s="262">
        <f>IF(U$17=0,0,U$17/AGR!U$5*1000)</f>
        <v>40.613550522711684</v>
      </c>
      <c r="V50" s="262">
        <f>IF(V$17=0,0,V$17/AGR!V$5*1000)</f>
        <v>42.781251233660129</v>
      </c>
      <c r="W50" s="262">
        <f>IF(W$17=0,0,W$17/AGR!W$5*1000)</f>
        <v>41.50009787245849</v>
      </c>
      <c r="X50" s="262">
        <f>IF(X$17=0,0,X$17/AGR!X$5*1000)</f>
        <v>35.530519153912884</v>
      </c>
      <c r="Y50" s="262">
        <f>IF(Y$17=0,0,Y$17/AGR!Y$5*1000)</f>
        <v>36.442742890538156</v>
      </c>
      <c r="DA50" s="284"/>
    </row>
    <row r="51" spans="1:105" x14ac:dyDescent="0.25">
      <c r="A51" s="127" t="s">
        <v>167</v>
      </c>
      <c r="B51" s="262">
        <f>IF(B$25=0,0,B$25/AGR!B$5*1000)</f>
        <v>5.6838913628690211</v>
      </c>
      <c r="C51" s="262">
        <f>IF(C$25=0,0,C$25/AGR!C$5*1000)</f>
        <v>5.5537727618421799</v>
      </c>
      <c r="D51" s="262">
        <f>IF(D$25=0,0,D$25/AGR!D$5*1000)</f>
        <v>5.7890563380400692</v>
      </c>
      <c r="E51" s="262">
        <f>IF(E$25=0,0,E$25/AGR!E$5*1000)</f>
        <v>6.0644846217148256</v>
      </c>
      <c r="F51" s="262">
        <f>IF(F$25=0,0,F$25/AGR!F$5*1000)</f>
        <v>5.9353308951018322</v>
      </c>
      <c r="G51" s="262">
        <f>IF(G$25=0,0,G$25/AGR!G$5*1000)</f>
        <v>6.7640431371646921</v>
      </c>
      <c r="H51" s="262">
        <f>IF(H$25=0,0,H$25/AGR!H$5*1000)</f>
        <v>6.5323629706737343</v>
      </c>
      <c r="I51" s="262">
        <f>IF(I$25=0,0,I$25/AGR!I$5*1000)</f>
        <v>5.8621643047049083</v>
      </c>
      <c r="J51" s="262">
        <f>IF(J$25=0,0,J$25/AGR!J$5*1000)</f>
        <v>6.1289476263088538</v>
      </c>
      <c r="K51" s="262">
        <f>IF(K$25=0,0,K$25/AGR!K$5*1000)</f>
        <v>6.8427494839754921</v>
      </c>
      <c r="L51" s="262">
        <f>IF(L$25=0,0,L$25/AGR!L$5*1000)</f>
        <v>6.3510450917013248</v>
      </c>
      <c r="M51" s="262">
        <f>IF(M$25=0,0,M$25/AGR!M$5*1000)</f>
        <v>5.6880260280402721</v>
      </c>
      <c r="N51" s="262">
        <f>IF(N$25=0,0,N$25/AGR!N$5*1000)</f>
        <v>5.763958839102397</v>
      </c>
      <c r="O51" s="262">
        <f>IF(O$25=0,0,O$25/AGR!O$5*1000)</f>
        <v>5.762176261360703</v>
      </c>
      <c r="P51" s="262">
        <f>IF(P$25=0,0,P$25/AGR!P$5*1000)</f>
        <v>5.6191263660988158</v>
      </c>
      <c r="Q51" s="262">
        <f>IF(Q$25=0,0,Q$25/AGR!Q$5*1000)</f>
        <v>5.7090015026346492</v>
      </c>
      <c r="R51" s="262">
        <f>IF(R$25=0,0,R$25/AGR!R$5*1000)</f>
        <v>5.8468154117990307</v>
      </c>
      <c r="S51" s="262">
        <f>IF(S$25=0,0,S$25/AGR!S$5*1000)</f>
        <v>5.3490934994946659</v>
      </c>
      <c r="T51" s="262">
        <f>IF(T$25=0,0,T$25/AGR!T$5*1000)</f>
        <v>5.6906506717484087</v>
      </c>
      <c r="U51" s="262">
        <f>IF(U$25=0,0,U$25/AGR!U$5*1000)</f>
        <v>5.5819833852870797</v>
      </c>
      <c r="V51" s="262">
        <f>IF(V$25=0,0,V$25/AGR!V$5*1000)</f>
        <v>5.8877593288520966</v>
      </c>
      <c r="W51" s="262">
        <f>IF(W$25=0,0,W$25/AGR!W$5*1000)</f>
        <v>5.521506500096514</v>
      </c>
      <c r="X51" s="262">
        <f>IF(X$25=0,0,X$25/AGR!X$5*1000)</f>
        <v>4.6908655218156579</v>
      </c>
      <c r="Y51" s="262">
        <f>IF(Y$25=0,0,Y$25/AGR!Y$5*1000)</f>
        <v>4.8137249784122824</v>
      </c>
      <c r="DA51" s="284"/>
    </row>
    <row r="52" spans="1:105" x14ac:dyDescent="0.25">
      <c r="A52" s="127" t="s">
        <v>170</v>
      </c>
      <c r="B52" s="262">
        <f>IF(B$26=0,0,B$26/AGR!B$5*1000)</f>
        <v>2.6149662664477678</v>
      </c>
      <c r="C52" s="262">
        <f>IF(C$26=0,0,C$26/AGR!C$5*1000)</f>
        <v>2.5820372883681517</v>
      </c>
      <c r="D52" s="262">
        <f>IF(D$26=0,0,D$26/AGR!D$5*1000)</f>
        <v>2.5921679620771174</v>
      </c>
      <c r="E52" s="262">
        <f>IF(E$26=0,0,E$26/AGR!E$5*1000)</f>
        <v>2.8154823336577381</v>
      </c>
      <c r="F52" s="262">
        <f>IF(F$26=0,0,F$26/AGR!F$5*1000)</f>
        <v>2.7774706415330099</v>
      </c>
      <c r="G52" s="262">
        <f>IF(G$26=0,0,G$26/AGR!G$5*1000)</f>
        <v>3.228142003144348</v>
      </c>
      <c r="H52" s="262">
        <f>IF(H$26=0,0,H$26/AGR!H$5*1000)</f>
        <v>3.212127514183166</v>
      </c>
      <c r="I52" s="262">
        <f>IF(I$26=0,0,I$26/AGR!I$5*1000)</f>
        <v>3.0465540244065408</v>
      </c>
      <c r="J52" s="262">
        <f>IF(J$26=0,0,J$26/AGR!J$5*1000)</f>
        <v>3.2647541230997117</v>
      </c>
      <c r="K52" s="262">
        <f>IF(K$26=0,0,K$26/AGR!K$5*1000)</f>
        <v>3.6080760414698885</v>
      </c>
      <c r="L52" s="262">
        <f>IF(L$26=0,0,L$26/AGR!L$5*1000)</f>
        <v>3.4869160831760584</v>
      </c>
      <c r="M52" s="262">
        <f>IF(M$26=0,0,M$26/AGR!M$5*1000)</f>
        <v>3.278717670109712</v>
      </c>
      <c r="N52" s="262">
        <f>IF(N$26=0,0,N$26/AGR!N$5*1000)</f>
        <v>3.4336266085490945</v>
      </c>
      <c r="O52" s="262">
        <f>IF(O$26=0,0,O$26/AGR!O$5*1000)</f>
        <v>3.3572143335391247</v>
      </c>
      <c r="P52" s="262">
        <f>IF(P$26=0,0,P$26/AGR!P$5*1000)</f>
        <v>3.1356989248229796</v>
      </c>
      <c r="Q52" s="262">
        <f>IF(Q$26=0,0,Q$26/AGR!Q$5*1000)</f>
        <v>3.2637949978903054</v>
      </c>
      <c r="R52" s="262">
        <f>IF(R$26=0,0,R$26/AGR!R$5*1000)</f>
        <v>3.2573678403900574</v>
      </c>
      <c r="S52" s="262">
        <f>IF(S$26=0,0,S$26/AGR!S$5*1000)</f>
        <v>3.1265812923454699</v>
      </c>
      <c r="T52" s="262">
        <f>IF(T$26=0,0,T$26/AGR!T$5*1000)</f>
        <v>3.1509101968096416</v>
      </c>
      <c r="U52" s="262">
        <f>IF(U$26=0,0,U$26/AGR!U$5*1000)</f>
        <v>3.2862806401470697</v>
      </c>
      <c r="V52" s="262">
        <f>IF(V$26=0,0,V$26/AGR!V$5*1000)</f>
        <v>3.5516990072613965</v>
      </c>
      <c r="W52" s="262">
        <f>IF(W$26=0,0,W$26/AGR!W$5*1000)</f>
        <v>3.372494272011632</v>
      </c>
      <c r="X52" s="262">
        <f>IF(X$26=0,0,X$26/AGR!X$5*1000)</f>
        <v>2.9067495623663282</v>
      </c>
      <c r="Y52" s="262">
        <f>IF(Y$26=0,0,Y$26/AGR!Y$5*1000)</f>
        <v>2.9769674078825825</v>
      </c>
      <c r="DA52" s="284"/>
    </row>
    <row r="53" spans="1:105" x14ac:dyDescent="0.25">
      <c r="A53" s="260" t="s">
        <v>33</v>
      </c>
      <c r="B53" s="263">
        <f>IF(B$27=0,0,B$27/AGR!B$5*1000)</f>
        <v>3.7917010863492653</v>
      </c>
      <c r="C53" s="263">
        <f>IF(C$27=0,0,C$27/AGR!C$5*1000)</f>
        <v>3.7439540681338204</v>
      </c>
      <c r="D53" s="263">
        <f>IF(D$27=0,0,D$27/AGR!D$5*1000)</f>
        <v>3.7586435450118203</v>
      </c>
      <c r="E53" s="263">
        <f>IF(E$27=0,0,E$27/AGR!E$5*1000)</f>
        <v>4.0824493838037199</v>
      </c>
      <c r="F53" s="263">
        <f>IF(F$27=0,0,F$27/AGR!F$5*1000)</f>
        <v>4.0273324302228648</v>
      </c>
      <c r="G53" s="263">
        <f>IF(G$27=0,0,G$27/AGR!G$5*1000)</f>
        <v>4.6808059045593051</v>
      </c>
      <c r="H53" s="263">
        <f>IF(H$27=0,0,H$27/AGR!H$5*1000)</f>
        <v>4.6575848955655896</v>
      </c>
      <c r="I53" s="263">
        <f>IF(I$27=0,0,I$27/AGR!I$5*1000)</f>
        <v>4.4175033353894841</v>
      </c>
      <c r="J53" s="263">
        <f>IF(J$27=0,0,J$27/AGR!J$5*1000)</f>
        <v>4.7338934784945828</v>
      </c>
      <c r="K53" s="263">
        <f>IF(K$27=0,0,K$27/AGR!K$5*1000)</f>
        <v>5.2317102601313383</v>
      </c>
      <c r="L53" s="263">
        <f>IF(L$27=0,0,L$27/AGR!L$5*1000)</f>
        <v>5.0560283206052858</v>
      </c>
      <c r="M53" s="263">
        <f>IF(M$27=0,0,M$27/AGR!M$5*1000)</f>
        <v>4.7541406216590847</v>
      </c>
      <c r="N53" s="263">
        <f>IF(N$27=0,0,N$27/AGR!N$5*1000)</f>
        <v>4.9787585823961891</v>
      </c>
      <c r="O53" s="263">
        <f>IF(O$27=0,0,O$27/AGR!O$5*1000)</f>
        <v>4.8679607836317329</v>
      </c>
      <c r="P53" s="263">
        <f>IF(P$27=0,0,P$27/AGR!P$5*1000)</f>
        <v>4.5467634409933195</v>
      </c>
      <c r="Q53" s="263">
        <f>IF(Q$27=0,0,Q$27/AGR!Q$5*1000)</f>
        <v>4.7325027469409431</v>
      </c>
      <c r="R53" s="263">
        <f>IF(R$27=0,0,R$27/AGR!R$5*1000)</f>
        <v>4.7231833685655813</v>
      </c>
      <c r="S53" s="263">
        <f>IF(S$27=0,0,S$27/AGR!S$5*1000)</f>
        <v>4.5335428739009309</v>
      </c>
      <c r="T53" s="263">
        <f>IF(T$27=0,0,T$27/AGR!T$5*1000)</f>
        <v>4.5688197853739823</v>
      </c>
      <c r="U53" s="263">
        <f>IF(U$27=0,0,U$27/AGR!U$5*1000)</f>
        <v>4.7651069282132541</v>
      </c>
      <c r="V53" s="263">
        <f>IF(V$27=0,0,V$27/AGR!V$5*1000)</f>
        <v>5.1499635605290255</v>
      </c>
      <c r="W53" s="263">
        <f>IF(W$27=0,0,W$27/AGR!W$5*1000)</f>
        <v>4.8901166944168661</v>
      </c>
      <c r="X53" s="263">
        <f>IF(X$27=0,0,X$27/AGR!X$5*1000)</f>
        <v>4.2147868654311758</v>
      </c>
      <c r="Y53" s="263">
        <f>IF(Y$27=0,0,Y$27/AGR!Y$5*1000)</f>
        <v>4.3166027414297448</v>
      </c>
      <c r="DA53" s="285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Y5 B9:Y9 B17:Y17" formulaRange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2" tint="-0.499984740745262"/>
    <pageSetUpPr fitToPage="1"/>
  </sheetPr>
  <dimension ref="A1:DA53"/>
  <sheetViews>
    <sheetView showGridLines="0" zoomScaleNormal="100" workbookViewId="0">
      <pane xSplit="1" ySplit="1" topLeftCell="E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1.25" x14ac:dyDescent="0.25"/>
  <cols>
    <col min="1" max="1" width="50.7109375" style="1" customWidth="1"/>
    <col min="2" max="25" width="9.7109375" style="1" customWidth="1"/>
    <col min="26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25.5" x14ac:dyDescent="0.25">
      <c r="A1" s="28" t="s">
        <v>1015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3" spans="1:105" ht="12.75" x14ac:dyDescent="0.25">
      <c r="A3" s="178" t="s">
        <v>133</v>
      </c>
      <c r="B3" s="231"/>
      <c r="C3" s="231"/>
      <c r="D3" s="231"/>
      <c r="E3" s="231"/>
      <c r="F3" s="231"/>
      <c r="G3" s="231"/>
      <c r="H3" s="231"/>
      <c r="I3" s="231"/>
      <c r="J3" s="231"/>
      <c r="K3" s="231"/>
      <c r="L3" s="231"/>
      <c r="M3" s="231"/>
      <c r="N3" s="231"/>
      <c r="O3" s="231"/>
      <c r="P3" s="231"/>
      <c r="Q3" s="231"/>
      <c r="R3" s="231"/>
      <c r="S3" s="231"/>
      <c r="T3" s="231"/>
      <c r="U3" s="231"/>
      <c r="V3" s="231"/>
      <c r="W3" s="231"/>
      <c r="X3" s="231"/>
      <c r="Y3" s="231"/>
      <c r="DA3" s="266"/>
    </row>
    <row r="5" spans="1:105" ht="12.75" x14ac:dyDescent="0.25">
      <c r="A5" s="233" t="s">
        <v>126</v>
      </c>
      <c r="B5" s="80">
        <f t="shared" ref="B5" si="0">SUM(B6:B9,B16:B17,B25:B27)</f>
        <v>1205.4545907512822</v>
      </c>
      <c r="C5" s="80">
        <f t="shared" ref="C5:W5" si="1">SUM(C6:C9,C16:C17,C25:C27)</f>
        <v>1253.0763360709702</v>
      </c>
      <c r="D5" s="80">
        <f t="shared" si="1"/>
        <v>1234.6359377993961</v>
      </c>
      <c r="E5" s="80">
        <f t="shared" si="1"/>
        <v>1254.7555060455409</v>
      </c>
      <c r="F5" s="80">
        <f t="shared" si="1"/>
        <v>1251.6170191278763</v>
      </c>
      <c r="G5" s="80">
        <f t="shared" si="1"/>
        <v>1272.5766244741235</v>
      </c>
      <c r="H5" s="80">
        <f t="shared" si="1"/>
        <v>1262.2349179068797</v>
      </c>
      <c r="I5" s="80">
        <f t="shared" si="1"/>
        <v>1226.2473668589264</v>
      </c>
      <c r="J5" s="80">
        <f t="shared" si="1"/>
        <v>1192.9851643226291</v>
      </c>
      <c r="K5" s="80">
        <f t="shared" si="1"/>
        <v>1207.9230356291087</v>
      </c>
      <c r="L5" s="80">
        <f t="shared" si="1"/>
        <v>1141.0007454634745</v>
      </c>
      <c r="M5" s="80">
        <f t="shared" si="1"/>
        <v>1141.736482860246</v>
      </c>
      <c r="N5" s="80">
        <f t="shared" si="1"/>
        <v>1107.7780444114476</v>
      </c>
      <c r="O5" s="80">
        <f t="shared" si="1"/>
        <v>1090.5253062635741</v>
      </c>
      <c r="P5" s="80">
        <f t="shared" si="1"/>
        <v>1080.8573809422228</v>
      </c>
      <c r="Q5" s="80">
        <f t="shared" si="1"/>
        <v>1110.8062031705122</v>
      </c>
      <c r="R5" s="80">
        <f t="shared" si="1"/>
        <v>1115.8264148895246</v>
      </c>
      <c r="S5" s="80">
        <f t="shared" si="1"/>
        <v>1140.1482880531371</v>
      </c>
      <c r="T5" s="80">
        <f t="shared" si="1"/>
        <v>1178.0649447674182</v>
      </c>
      <c r="U5" s="80">
        <f t="shared" si="1"/>
        <v>1146.0386254534228</v>
      </c>
      <c r="V5" s="80">
        <f t="shared" si="1"/>
        <v>1162.077869496637</v>
      </c>
      <c r="W5" s="80">
        <f t="shared" si="1"/>
        <v>1254.9527974080727</v>
      </c>
      <c r="X5" s="80">
        <f t="shared" ref="X5:Y5" si="2">SUM(X6:X9,X16:X17,X25:X27)</f>
        <v>1229.0077642542437</v>
      </c>
      <c r="Y5" s="80">
        <f t="shared" si="2"/>
        <v>1175.092340766131</v>
      </c>
      <c r="DA5" s="103"/>
    </row>
    <row r="6" spans="1:105" x14ac:dyDescent="0.25">
      <c r="A6" s="238" t="s">
        <v>125</v>
      </c>
      <c r="B6" s="239">
        <v>34.164260432124593</v>
      </c>
      <c r="C6" s="239">
        <v>35.864429120793602</v>
      </c>
      <c r="D6" s="239">
        <v>34.312423529220673</v>
      </c>
      <c r="E6" s="239">
        <v>35.91999735817862</v>
      </c>
      <c r="F6" s="239">
        <v>36.001670848868883</v>
      </c>
      <c r="G6" s="239">
        <v>37.076023849402127</v>
      </c>
      <c r="H6" s="239">
        <v>37.704816381334588</v>
      </c>
      <c r="I6" s="239">
        <v>38.145037775635153</v>
      </c>
      <c r="J6" s="239">
        <v>37.877191117427962</v>
      </c>
      <c r="K6" s="239">
        <v>37.951492624670571</v>
      </c>
      <c r="L6" s="239">
        <v>37.057769881185664</v>
      </c>
      <c r="M6" s="239">
        <v>38.374903588745937</v>
      </c>
      <c r="N6" s="239">
        <v>38.052469904551657</v>
      </c>
      <c r="O6" s="239">
        <v>36.827650216650291</v>
      </c>
      <c r="P6" s="239">
        <v>35.391038084395909</v>
      </c>
      <c r="Q6" s="239">
        <v>37.040008349185797</v>
      </c>
      <c r="R6" s="239">
        <v>36.672947672515328</v>
      </c>
      <c r="S6" s="239">
        <v>38.770862838045687</v>
      </c>
      <c r="T6" s="239">
        <v>38.572763743602543</v>
      </c>
      <c r="U6" s="239">
        <v>39.099603891628753</v>
      </c>
      <c r="V6" s="239">
        <v>40.354784436375063</v>
      </c>
      <c r="W6" s="239">
        <v>43.11146112886955</v>
      </c>
      <c r="X6" s="239">
        <v>42.396706252416287</v>
      </c>
      <c r="Y6" s="239">
        <v>40.553436331052083</v>
      </c>
      <c r="DA6" s="267" t="s">
        <v>1016</v>
      </c>
    </row>
    <row r="7" spans="1:105" x14ac:dyDescent="0.25">
      <c r="A7" s="240" t="s">
        <v>124</v>
      </c>
      <c r="B7" s="241">
        <v>22.020852293527408</v>
      </c>
      <c r="C7" s="241">
        <v>23.11670986789645</v>
      </c>
      <c r="D7" s="241">
        <v>22.116352024393429</v>
      </c>
      <c r="E7" s="241">
        <v>23.152526827847879</v>
      </c>
      <c r="F7" s="241">
        <v>23.205170141417039</v>
      </c>
      <c r="G7" s="241">
        <v>23.897653117387009</v>
      </c>
      <c r="H7" s="241">
        <v>24.302946464698511</v>
      </c>
      <c r="I7" s="241">
        <v>24.58669474953561</v>
      </c>
      <c r="J7" s="241">
        <v>24.41405200465859</v>
      </c>
      <c r="K7" s="241">
        <v>24.46194364625952</v>
      </c>
      <c r="L7" s="241">
        <v>23.8858873735137</v>
      </c>
      <c r="M7" s="241">
        <v>24.734856631391679</v>
      </c>
      <c r="N7" s="241">
        <v>24.527029374360708</v>
      </c>
      <c r="O7" s="241">
        <v>23.737561869654559</v>
      </c>
      <c r="P7" s="241">
        <v>22.811581820113769</v>
      </c>
      <c r="Q7" s="241">
        <v>23.87443903341417</v>
      </c>
      <c r="R7" s="241">
        <v>23.63784708494271</v>
      </c>
      <c r="S7" s="241">
        <v>24.990075390199848</v>
      </c>
      <c r="T7" s="241">
        <v>24.86238900556755</v>
      </c>
      <c r="U7" s="241">
        <v>25.201968113537252</v>
      </c>
      <c r="V7" s="241">
        <v>26.01100495578007</v>
      </c>
      <c r="W7" s="241">
        <v>27.787843368162349</v>
      </c>
      <c r="X7" s="241">
        <v>27.327142291617001</v>
      </c>
      <c r="Y7" s="241">
        <v>26.139047652305091</v>
      </c>
      <c r="DA7" s="268" t="s">
        <v>1017</v>
      </c>
    </row>
    <row r="8" spans="1:105" x14ac:dyDescent="0.25">
      <c r="A8" s="240" t="s">
        <v>123</v>
      </c>
      <c r="B8" s="241">
        <v>43.760547463384533</v>
      </c>
      <c r="C8" s="241">
        <v>45.938270957328577</v>
      </c>
      <c r="D8" s="241">
        <v>43.950327606750342</v>
      </c>
      <c r="E8" s="241">
        <v>46.009447574611869</v>
      </c>
      <c r="F8" s="241">
        <v>46.114062064158702</v>
      </c>
      <c r="G8" s="241">
        <v>47.490186554418607</v>
      </c>
      <c r="H8" s="241">
        <v>48.29559855778745</v>
      </c>
      <c r="I8" s="241">
        <v>48.859472295313843</v>
      </c>
      <c r="J8" s="241">
        <v>48.516391067998207</v>
      </c>
      <c r="K8" s="241">
        <v>48.611562881851789</v>
      </c>
      <c r="L8" s="241">
        <v>47.466805288955022</v>
      </c>
      <c r="M8" s="241">
        <v>49.153904362556418</v>
      </c>
      <c r="N8" s="241">
        <v>48.740903338605953</v>
      </c>
      <c r="O8" s="241">
        <v>47.172048066793998</v>
      </c>
      <c r="P8" s="241">
        <v>45.331910665754918</v>
      </c>
      <c r="Q8" s="241">
        <v>47.444054778501346</v>
      </c>
      <c r="R8" s="241">
        <v>46.973891632564282</v>
      </c>
      <c r="S8" s="241">
        <v>49.661083306382039</v>
      </c>
      <c r="T8" s="241">
        <v>49.407340807197649</v>
      </c>
      <c r="U8" s="241">
        <v>50.082163356016522</v>
      </c>
      <c r="V8" s="241">
        <v>51.689907446148773</v>
      </c>
      <c r="W8" s="241">
        <v>55.220898011063198</v>
      </c>
      <c r="X8" s="241">
        <v>54.30537798223483</v>
      </c>
      <c r="Y8" s="241">
        <v>51.944358019811148</v>
      </c>
      <c r="DA8" s="268" t="s">
        <v>1018</v>
      </c>
    </row>
    <row r="9" spans="1:105" x14ac:dyDescent="0.25">
      <c r="A9" s="242" t="s">
        <v>122</v>
      </c>
      <c r="B9" s="243">
        <f t="shared" ref="B9" si="3">SUM(B10:B15)</f>
        <v>390.95483379988275</v>
      </c>
      <c r="C9" s="243">
        <f t="shared" ref="C9:W9" si="4">SUM(C10:C15)</f>
        <v>406.46400007622429</v>
      </c>
      <c r="D9" s="243">
        <f t="shared" si="4"/>
        <v>401.54167567301153</v>
      </c>
      <c r="E9" s="243">
        <f t="shared" si="4"/>
        <v>407.92250074375204</v>
      </c>
      <c r="F9" s="243">
        <f t="shared" si="4"/>
        <v>406.88868938944563</v>
      </c>
      <c r="G9" s="243">
        <f t="shared" si="4"/>
        <v>414.04219581093491</v>
      </c>
      <c r="H9" s="243">
        <f t="shared" si="4"/>
        <v>409.94227550771649</v>
      </c>
      <c r="I9" s="243">
        <f t="shared" si="4"/>
        <v>398.57170588227996</v>
      </c>
      <c r="J9" s="243">
        <f t="shared" si="4"/>
        <v>386.96043672940135</v>
      </c>
      <c r="K9" s="243">
        <f t="shared" si="4"/>
        <v>394.3937682522</v>
      </c>
      <c r="L9" s="243">
        <f t="shared" si="4"/>
        <v>368.43926676412627</v>
      </c>
      <c r="M9" s="243">
        <f t="shared" si="4"/>
        <v>370.60088916879732</v>
      </c>
      <c r="N9" s="243">
        <f t="shared" si="4"/>
        <v>361.20546398450625</v>
      </c>
      <c r="O9" s="243">
        <f t="shared" si="4"/>
        <v>356.35797016837813</v>
      </c>
      <c r="P9" s="243">
        <f t="shared" si="4"/>
        <v>352.87396963437629</v>
      </c>
      <c r="Q9" s="243">
        <f t="shared" si="4"/>
        <v>360.08117062518949</v>
      </c>
      <c r="R9" s="243">
        <f t="shared" si="4"/>
        <v>363.12035809419569</v>
      </c>
      <c r="S9" s="243">
        <f t="shared" si="4"/>
        <v>371.7289568215059</v>
      </c>
      <c r="T9" s="243">
        <f t="shared" si="4"/>
        <v>383.20246678386746</v>
      </c>
      <c r="U9" s="243">
        <f t="shared" si="4"/>
        <v>374.60507119651095</v>
      </c>
      <c r="V9" s="243">
        <f t="shared" si="4"/>
        <v>379.89684418654844</v>
      </c>
      <c r="W9" s="243">
        <f t="shared" si="4"/>
        <v>412.95734052875002</v>
      </c>
      <c r="X9" s="243">
        <f t="shared" ref="X9:Y9" si="5">SUM(X10:X15)</f>
        <v>406.3044620841099</v>
      </c>
      <c r="Y9" s="243">
        <f t="shared" si="5"/>
        <v>387.46572464546176</v>
      </c>
      <c r="DA9" s="269"/>
    </row>
    <row r="10" spans="1:105" x14ac:dyDescent="0.25">
      <c r="A10" s="253" t="s">
        <v>166</v>
      </c>
      <c r="B10" s="254">
        <v>298.25748031889327</v>
      </c>
      <c r="C10" s="254">
        <v>309.61024018835951</v>
      </c>
      <c r="D10" s="254">
        <v>310.52987849388143</v>
      </c>
      <c r="E10" s="254">
        <v>309.84438304953778</v>
      </c>
      <c r="F10" s="254">
        <v>306.11354533233151</v>
      </c>
      <c r="G10" s="254">
        <v>303.29945305321979</v>
      </c>
      <c r="H10" s="254">
        <v>299.28210329930857</v>
      </c>
      <c r="I10" s="254">
        <v>278.75437801093278</v>
      </c>
      <c r="J10" s="254">
        <v>270.17495757262742</v>
      </c>
      <c r="K10" s="254">
        <v>270.92331481065872</v>
      </c>
      <c r="L10" s="254">
        <v>255.76545836895551</v>
      </c>
      <c r="M10" s="254">
        <v>246.53954276911199</v>
      </c>
      <c r="N10" s="254">
        <v>231.74994365829409</v>
      </c>
      <c r="O10" s="254">
        <v>230.09228282224041</v>
      </c>
      <c r="P10" s="254">
        <v>235.65389465330591</v>
      </c>
      <c r="Q10" s="254">
        <v>239.61842266639181</v>
      </c>
      <c r="R10" s="254">
        <v>246.8247501539812</v>
      </c>
      <c r="S10" s="254">
        <v>242.9985196695163</v>
      </c>
      <c r="T10" s="254">
        <v>262.38817522090511</v>
      </c>
      <c r="U10" s="254">
        <v>240.6185333912851</v>
      </c>
      <c r="V10" s="254">
        <v>241.08780367792551</v>
      </c>
      <c r="W10" s="254">
        <v>227.30356776764461</v>
      </c>
      <c r="X10" s="254">
        <v>212.2907252230589</v>
      </c>
      <c r="Y10" s="254">
        <v>205.25063538131539</v>
      </c>
      <c r="DA10" s="270" t="s">
        <v>1019</v>
      </c>
    </row>
    <row r="11" spans="1:105" x14ac:dyDescent="0.25">
      <c r="A11" s="253" t="s">
        <v>169</v>
      </c>
      <c r="B11" s="255">
        <v>27.248962024399269</v>
      </c>
      <c r="C11" s="255">
        <v>28.138153884745599</v>
      </c>
      <c r="D11" s="255">
        <v>27.816094594000401</v>
      </c>
      <c r="E11" s="255">
        <v>30.196689450736429</v>
      </c>
      <c r="F11" s="255">
        <v>31.54082396846211</v>
      </c>
      <c r="G11" s="255">
        <v>38.370111807819448</v>
      </c>
      <c r="H11" s="255">
        <v>33.487043578913472</v>
      </c>
      <c r="I11" s="255">
        <v>34.84916121289443</v>
      </c>
      <c r="J11" s="255">
        <v>30.407533857618031</v>
      </c>
      <c r="K11" s="255">
        <v>31.263364953428109</v>
      </c>
      <c r="L11" s="255">
        <v>31.413800975469918</v>
      </c>
      <c r="M11" s="255">
        <v>28.215139182740369</v>
      </c>
      <c r="N11" s="255">
        <v>27.39167639242152</v>
      </c>
      <c r="O11" s="255">
        <v>27.391221106049269</v>
      </c>
      <c r="P11" s="255">
        <v>26.277981430639421</v>
      </c>
      <c r="Q11" s="255">
        <v>30.38231576135821</v>
      </c>
      <c r="R11" s="255">
        <v>28.15091384925033</v>
      </c>
      <c r="S11" s="255">
        <v>29.075660660209682</v>
      </c>
      <c r="T11" s="255">
        <v>29.640669041902768</v>
      </c>
      <c r="U11" s="255">
        <v>30.19855933130567</v>
      </c>
      <c r="V11" s="255">
        <v>28.74321705495904</v>
      </c>
      <c r="W11" s="255">
        <v>78.236013403134578</v>
      </c>
      <c r="X11" s="255">
        <v>86.02507820624551</v>
      </c>
      <c r="Y11" s="255">
        <v>81.381550591639709</v>
      </c>
      <c r="DA11" s="271" t="s">
        <v>1020</v>
      </c>
    </row>
    <row r="12" spans="1:105" x14ac:dyDescent="0.25">
      <c r="A12" s="253" t="s">
        <v>152</v>
      </c>
      <c r="B12" s="255">
        <v>20.962599275281399</v>
      </c>
      <c r="C12" s="255">
        <v>21.180849686529189</v>
      </c>
      <c r="D12" s="255">
        <v>21.225068431077119</v>
      </c>
      <c r="E12" s="255">
        <v>20.909675501769041</v>
      </c>
      <c r="F12" s="255">
        <v>20.565133573625818</v>
      </c>
      <c r="G12" s="255">
        <v>20.525364779816051</v>
      </c>
      <c r="H12" s="255">
        <v>20.408862048267551</v>
      </c>
      <c r="I12" s="255">
        <v>20.215055198407409</v>
      </c>
      <c r="J12" s="255">
        <v>20.175067563733911</v>
      </c>
      <c r="K12" s="255">
        <v>20.073723418377838</v>
      </c>
      <c r="L12" s="255">
        <v>11.78346980375561</v>
      </c>
      <c r="M12" s="255">
        <v>11.567184056298229</v>
      </c>
      <c r="N12" s="255">
        <v>9.5945084448645765</v>
      </c>
      <c r="O12" s="255">
        <v>9.7394681062547654</v>
      </c>
      <c r="P12" s="255">
        <v>9.1121371734314245</v>
      </c>
      <c r="Q12" s="255">
        <v>9.2624353165948303</v>
      </c>
      <c r="R12" s="255">
        <v>11.765991071174531</v>
      </c>
      <c r="S12" s="255">
        <v>12.221090588547581</v>
      </c>
      <c r="T12" s="255">
        <v>12.23514662902477</v>
      </c>
      <c r="U12" s="255">
        <v>12.688246705368471</v>
      </c>
      <c r="V12" s="255">
        <v>11.342473787373409</v>
      </c>
      <c r="W12" s="255">
        <v>11.053724995948849</v>
      </c>
      <c r="X12" s="255">
        <v>10.35660671701226</v>
      </c>
      <c r="Y12" s="255">
        <v>10.53622071867345</v>
      </c>
      <c r="DA12" s="271" t="s">
        <v>1021</v>
      </c>
    </row>
    <row r="13" spans="1:105" x14ac:dyDescent="0.25">
      <c r="A13" s="253" t="s">
        <v>151</v>
      </c>
      <c r="B13" s="255">
        <v>0</v>
      </c>
      <c r="C13" s="255">
        <v>0</v>
      </c>
      <c r="D13" s="255">
        <v>0</v>
      </c>
      <c r="E13" s="255">
        <v>0</v>
      </c>
      <c r="F13" s="255">
        <v>0</v>
      </c>
      <c r="G13" s="255">
        <v>0</v>
      </c>
      <c r="H13" s="255">
        <v>0</v>
      </c>
      <c r="I13" s="255">
        <v>0</v>
      </c>
      <c r="J13" s="255">
        <v>0</v>
      </c>
      <c r="K13" s="255">
        <v>0</v>
      </c>
      <c r="L13" s="255">
        <v>0</v>
      </c>
      <c r="M13" s="255">
        <v>0</v>
      </c>
      <c r="N13" s="255">
        <v>0</v>
      </c>
      <c r="O13" s="255">
        <v>0</v>
      </c>
      <c r="P13" s="255">
        <v>0</v>
      </c>
      <c r="Q13" s="255">
        <v>0</v>
      </c>
      <c r="R13" s="255">
        <v>0</v>
      </c>
      <c r="S13" s="255">
        <v>0</v>
      </c>
      <c r="T13" s="255">
        <v>0</v>
      </c>
      <c r="U13" s="255">
        <v>0</v>
      </c>
      <c r="V13" s="255">
        <v>0</v>
      </c>
      <c r="W13" s="255">
        <v>0</v>
      </c>
      <c r="X13" s="255">
        <v>0</v>
      </c>
      <c r="Y13" s="255">
        <v>0</v>
      </c>
      <c r="DA13" s="271" t="s">
        <v>1022</v>
      </c>
    </row>
    <row r="14" spans="1:105" x14ac:dyDescent="0.25">
      <c r="A14" s="253" t="s">
        <v>162</v>
      </c>
      <c r="B14" s="254">
        <v>0</v>
      </c>
      <c r="C14" s="254">
        <v>0</v>
      </c>
      <c r="D14" s="254">
        <v>0</v>
      </c>
      <c r="E14" s="254">
        <v>0</v>
      </c>
      <c r="F14" s="254">
        <v>0.79386428951079957</v>
      </c>
      <c r="G14" s="254">
        <v>0.82629310039672421</v>
      </c>
      <c r="H14" s="254">
        <v>1.4095450947475381</v>
      </c>
      <c r="I14" s="254">
        <v>2.3330079774031498</v>
      </c>
      <c r="J14" s="254">
        <v>0.63183688548019856</v>
      </c>
      <c r="K14" s="254">
        <v>8.6353957275601285</v>
      </c>
      <c r="L14" s="254">
        <v>0.89109239696915465</v>
      </c>
      <c r="M14" s="254">
        <v>6.3509726412865213</v>
      </c>
      <c r="N14" s="254">
        <v>10.48232149287186</v>
      </c>
      <c r="O14" s="254">
        <v>13.771221163816509</v>
      </c>
      <c r="P14" s="254">
        <v>15.245565555136009</v>
      </c>
      <c r="Q14" s="254">
        <v>6.4157719378589322</v>
      </c>
      <c r="R14" s="254">
        <v>7.3554492259572841</v>
      </c>
      <c r="S14" s="254">
        <v>7.1129913719059266</v>
      </c>
      <c r="T14" s="254">
        <v>7.2669115732149843</v>
      </c>
      <c r="U14" s="254">
        <v>9.3059605454655756</v>
      </c>
      <c r="V14" s="254">
        <v>9.7864435384116213</v>
      </c>
      <c r="W14" s="254">
        <v>3.323136563013203</v>
      </c>
      <c r="X14" s="254">
        <v>5.0807664479893679</v>
      </c>
      <c r="Y14" s="254">
        <v>1.502807088644307</v>
      </c>
      <c r="DA14" s="270" t="s">
        <v>1023</v>
      </c>
    </row>
    <row r="15" spans="1:105" x14ac:dyDescent="0.25">
      <c r="A15" s="253" t="s">
        <v>24</v>
      </c>
      <c r="B15" s="255">
        <v>44.485792181308867</v>
      </c>
      <c r="C15" s="255">
        <v>47.534756316589998</v>
      </c>
      <c r="D15" s="255">
        <v>41.970634154052568</v>
      </c>
      <c r="E15" s="255">
        <v>46.971752741708819</v>
      </c>
      <c r="F15" s="255">
        <v>47.875322225515397</v>
      </c>
      <c r="G15" s="255">
        <v>51.020973069682867</v>
      </c>
      <c r="H15" s="255">
        <v>55.354721486479328</v>
      </c>
      <c r="I15" s="255">
        <v>62.420103482642148</v>
      </c>
      <c r="J15" s="255">
        <v>65.571040849941767</v>
      </c>
      <c r="K15" s="255">
        <v>63.497969342175232</v>
      </c>
      <c r="L15" s="255">
        <v>68.585445218976048</v>
      </c>
      <c r="M15" s="255">
        <v>77.928050519360156</v>
      </c>
      <c r="N15" s="255">
        <v>81.987013996054202</v>
      </c>
      <c r="O15" s="255">
        <v>75.363776970017156</v>
      </c>
      <c r="P15" s="255">
        <v>66.584390821863508</v>
      </c>
      <c r="Q15" s="255">
        <v>74.402224942985683</v>
      </c>
      <c r="R15" s="255">
        <v>69.023253793832325</v>
      </c>
      <c r="S15" s="255">
        <v>80.320694531326396</v>
      </c>
      <c r="T15" s="255">
        <v>71.671564318819847</v>
      </c>
      <c r="U15" s="255">
        <v>81.793771223086139</v>
      </c>
      <c r="V15" s="255">
        <v>88.936906127878842</v>
      </c>
      <c r="W15" s="255">
        <v>93.040897799008775</v>
      </c>
      <c r="X15" s="255">
        <v>92.551285489803831</v>
      </c>
      <c r="Y15" s="255">
        <v>88.794510865188897</v>
      </c>
      <c r="DA15" s="271" t="s">
        <v>1024</v>
      </c>
    </row>
    <row r="16" spans="1:105" x14ac:dyDescent="0.25">
      <c r="A16" s="256" t="s">
        <v>168</v>
      </c>
      <c r="B16" s="257">
        <v>276.53524784923928</v>
      </c>
      <c r="C16" s="257">
        <v>287.26870219799309</v>
      </c>
      <c r="D16" s="257">
        <v>285.36113589135311</v>
      </c>
      <c r="E16" s="257">
        <v>288.12184179054123</v>
      </c>
      <c r="F16" s="257">
        <v>286.49490940052539</v>
      </c>
      <c r="G16" s="257">
        <v>289.29816869854329</v>
      </c>
      <c r="H16" s="257">
        <v>285.54407612421431</v>
      </c>
      <c r="I16" s="257">
        <v>273.3291469169456</v>
      </c>
      <c r="J16" s="257">
        <v>264.79634742380091</v>
      </c>
      <c r="K16" s="257">
        <v>268.02951082048719</v>
      </c>
      <c r="L16" s="257">
        <v>251.35166961313851</v>
      </c>
      <c r="M16" s="257">
        <v>247.91547981702919</v>
      </c>
      <c r="N16" s="257">
        <v>237.87535525689901</v>
      </c>
      <c r="O16" s="257">
        <v>235.38580750109099</v>
      </c>
      <c r="P16" s="257">
        <v>236.17098287742101</v>
      </c>
      <c r="Q16" s="257">
        <v>241.27212789671921</v>
      </c>
      <c r="R16" s="257">
        <v>245.13040980692421</v>
      </c>
      <c r="S16" s="257">
        <v>247.01010723853341</v>
      </c>
      <c r="T16" s="257">
        <v>259.42119289335312</v>
      </c>
      <c r="U16" s="257">
        <v>247.3176109177173</v>
      </c>
      <c r="V16" s="257">
        <v>249.11949845641229</v>
      </c>
      <c r="W16" s="257">
        <v>262.8439002783926</v>
      </c>
      <c r="X16" s="257">
        <v>254.7864213179387</v>
      </c>
      <c r="Y16" s="257">
        <v>244.19324628980419</v>
      </c>
      <c r="DA16" s="272" t="s">
        <v>1025</v>
      </c>
    </row>
    <row r="17" spans="1:105" x14ac:dyDescent="0.25">
      <c r="A17" s="256" t="s">
        <v>121</v>
      </c>
      <c r="B17" s="257">
        <f t="shared" ref="B17" si="6">SUM(B18:B24)</f>
        <v>315.31100526876315</v>
      </c>
      <c r="C17" s="257">
        <f t="shared" ref="C17:W17" si="7">SUM(C18:C24)</f>
        <v>326.01720589458063</v>
      </c>
      <c r="D17" s="257">
        <f t="shared" si="7"/>
        <v>323.08815955831767</v>
      </c>
      <c r="E17" s="257">
        <f t="shared" si="7"/>
        <v>324.96833369819581</v>
      </c>
      <c r="F17" s="257">
        <f t="shared" si="7"/>
        <v>324.26607598300961</v>
      </c>
      <c r="G17" s="257">
        <f t="shared" si="7"/>
        <v>329.05985275395869</v>
      </c>
      <c r="H17" s="257">
        <f t="shared" si="7"/>
        <v>323.66380168668763</v>
      </c>
      <c r="I17" s="257">
        <f t="shared" si="7"/>
        <v>310.51510168302553</v>
      </c>
      <c r="J17" s="257">
        <f t="shared" si="7"/>
        <v>299.99869465204</v>
      </c>
      <c r="K17" s="257">
        <f t="shared" si="7"/>
        <v>303.43183887371288</v>
      </c>
      <c r="L17" s="257">
        <f t="shared" si="7"/>
        <v>286.23670653808631</v>
      </c>
      <c r="M17" s="257">
        <f t="shared" si="7"/>
        <v>281.55931653898318</v>
      </c>
      <c r="N17" s="257">
        <f t="shared" si="7"/>
        <v>270.1372252519833</v>
      </c>
      <c r="O17" s="257">
        <f t="shared" si="7"/>
        <v>267.2051839748051</v>
      </c>
      <c r="P17" s="257">
        <f t="shared" si="7"/>
        <v>267.92894280096601</v>
      </c>
      <c r="Q17" s="257">
        <f t="shared" si="7"/>
        <v>275.93202596734511</v>
      </c>
      <c r="R17" s="257">
        <f t="shared" si="7"/>
        <v>275.5283316651583</v>
      </c>
      <c r="S17" s="257">
        <f t="shared" si="7"/>
        <v>277.72079263017423</v>
      </c>
      <c r="T17" s="257">
        <f t="shared" si="7"/>
        <v>291.15878500092975</v>
      </c>
      <c r="U17" s="257">
        <f t="shared" si="7"/>
        <v>278.60161872202764</v>
      </c>
      <c r="V17" s="257">
        <f t="shared" si="7"/>
        <v>280.49123448173879</v>
      </c>
      <c r="W17" s="257">
        <f t="shared" si="7"/>
        <v>309.77090059770529</v>
      </c>
      <c r="X17" s="257">
        <f t="shared" ref="X17:Y17" si="8">SUM(X18:X24)</f>
        <v>303.50000265320614</v>
      </c>
      <c r="Y17" s="257">
        <f t="shared" si="8"/>
        <v>290.44735418477171</v>
      </c>
      <c r="DA17" s="272"/>
    </row>
    <row r="18" spans="1:105" x14ac:dyDescent="0.25">
      <c r="A18" s="61" t="s">
        <v>29</v>
      </c>
      <c r="B18" s="55">
        <v>0</v>
      </c>
      <c r="C18" s="55">
        <v>0</v>
      </c>
      <c r="D18" s="55">
        <v>0</v>
      </c>
      <c r="E18" s="55">
        <v>0</v>
      </c>
      <c r="F18" s="55">
        <v>0</v>
      </c>
      <c r="G18" s="55">
        <v>0</v>
      </c>
      <c r="H18" s="55">
        <v>0</v>
      </c>
      <c r="I18" s="55">
        <v>0</v>
      </c>
      <c r="J18" s="55">
        <v>0</v>
      </c>
      <c r="K18" s="55">
        <v>0</v>
      </c>
      <c r="L18" s="55">
        <v>0</v>
      </c>
      <c r="M18" s="55">
        <v>0</v>
      </c>
      <c r="N18" s="55">
        <v>0</v>
      </c>
      <c r="O18" s="55">
        <v>0</v>
      </c>
      <c r="P18" s="55">
        <v>0</v>
      </c>
      <c r="Q18" s="55">
        <v>0</v>
      </c>
      <c r="R18" s="55">
        <v>0</v>
      </c>
      <c r="S18" s="55">
        <v>0</v>
      </c>
      <c r="T18" s="55">
        <v>0</v>
      </c>
      <c r="U18" s="55">
        <v>0</v>
      </c>
      <c r="V18" s="55">
        <v>0</v>
      </c>
      <c r="W18" s="55">
        <v>0</v>
      </c>
      <c r="X18" s="55">
        <v>0</v>
      </c>
      <c r="Y18" s="55">
        <v>0</v>
      </c>
      <c r="DA18" s="101" t="s">
        <v>1026</v>
      </c>
    </row>
    <row r="19" spans="1:105" x14ac:dyDescent="0.25">
      <c r="A19" s="61" t="s">
        <v>27</v>
      </c>
      <c r="B19" s="55">
        <v>21.683185303079739</v>
      </c>
      <c r="C19" s="55">
        <v>20.753913551883791</v>
      </c>
      <c r="D19" s="55">
        <v>20.75391355188675</v>
      </c>
      <c r="E19" s="55">
        <v>20.753913551883549</v>
      </c>
      <c r="F19" s="55">
        <v>20.444172462875329</v>
      </c>
      <c r="G19" s="55">
        <v>20.75393779396801</v>
      </c>
      <c r="H19" s="55">
        <v>20.753937793969929</v>
      </c>
      <c r="I19" s="55">
        <v>19.824641800694771</v>
      </c>
      <c r="J19" s="55">
        <v>19.205135380591329</v>
      </c>
      <c r="K19" s="55">
        <v>18.585604718412469</v>
      </c>
      <c r="L19" s="55">
        <v>19.205135380594641</v>
      </c>
      <c r="M19" s="55">
        <v>18.585604718407112</v>
      </c>
      <c r="N19" s="55">
        <v>16.727036973943001</v>
      </c>
      <c r="O19" s="55">
        <v>16.107530553843869</v>
      </c>
      <c r="P19" s="55">
        <v>13.93919747828491</v>
      </c>
      <c r="Q19" s="55">
        <v>16.417295884936539</v>
      </c>
      <c r="R19" s="55">
        <v>6.504974984588122</v>
      </c>
      <c r="S19" s="55">
        <v>5.8854443224065136</v>
      </c>
      <c r="T19" s="55">
        <v>6.1952096534983507</v>
      </c>
      <c r="U19" s="55">
        <v>6.6582819147664356</v>
      </c>
      <c r="V19" s="55">
        <v>7.095972715591353</v>
      </c>
      <c r="W19" s="55">
        <v>7.7703389685492228</v>
      </c>
      <c r="X19" s="55">
        <v>7.4844278467072947</v>
      </c>
      <c r="Y19" s="55">
        <v>7.2480675416401867</v>
      </c>
      <c r="DA19" s="101" t="s">
        <v>1027</v>
      </c>
    </row>
    <row r="20" spans="1:105" x14ac:dyDescent="0.25">
      <c r="A20" s="61" t="s">
        <v>166</v>
      </c>
      <c r="B20" s="55">
        <v>248.2832664276176</v>
      </c>
      <c r="C20" s="55">
        <v>261.28311409465368</v>
      </c>
      <c r="D20" s="55">
        <v>261.34003114825208</v>
      </c>
      <c r="E20" s="55">
        <v>266.93347329191789</v>
      </c>
      <c r="F20" s="55">
        <v>262.79203201916692</v>
      </c>
      <c r="G20" s="55">
        <v>261.63004471673781</v>
      </c>
      <c r="H20" s="55">
        <v>260.7719644865237</v>
      </c>
      <c r="I20" s="55">
        <v>247.32634333503199</v>
      </c>
      <c r="J20" s="55">
        <v>241.08893952440059</v>
      </c>
      <c r="K20" s="55">
        <v>244.47939316380351</v>
      </c>
      <c r="L20" s="55">
        <v>230.44938911504869</v>
      </c>
      <c r="M20" s="55">
        <v>228.90028338743289</v>
      </c>
      <c r="N20" s="55">
        <v>220.35116456222551</v>
      </c>
      <c r="O20" s="55">
        <v>218.02453929889381</v>
      </c>
      <c r="P20" s="55">
        <v>218.31181215725371</v>
      </c>
      <c r="Q20" s="55">
        <v>217.89132142645539</v>
      </c>
      <c r="R20" s="55">
        <v>228.72183840436401</v>
      </c>
      <c r="S20" s="55">
        <v>229.7338177049416</v>
      </c>
      <c r="T20" s="55">
        <v>243.23092671367161</v>
      </c>
      <c r="U20" s="55">
        <v>228.5946690578136</v>
      </c>
      <c r="V20" s="55">
        <v>231.65978494710421</v>
      </c>
      <c r="W20" s="55">
        <v>214.74179479238771</v>
      </c>
      <c r="X20" s="55">
        <v>202.15767554377521</v>
      </c>
      <c r="Y20" s="55">
        <v>194.17514730240239</v>
      </c>
      <c r="DA20" s="101" t="s">
        <v>1028</v>
      </c>
    </row>
    <row r="21" spans="1:105" x14ac:dyDescent="0.25">
      <c r="A21" s="61" t="s">
        <v>129</v>
      </c>
      <c r="B21" s="55">
        <v>13.729309158037029</v>
      </c>
      <c r="C21" s="55">
        <v>11.08904244161206</v>
      </c>
      <c r="D21" s="55">
        <v>8.4487973272358357</v>
      </c>
      <c r="E21" s="55">
        <v>2.112204732319821</v>
      </c>
      <c r="F21" s="55">
        <v>5.0164700377261546</v>
      </c>
      <c r="G21" s="55">
        <v>4.7524498466976528</v>
      </c>
      <c r="H21" s="55">
        <v>3.9603676715668268</v>
      </c>
      <c r="I21" s="55">
        <v>3.432327289509002</v>
      </c>
      <c r="J21" s="55">
        <v>3.4323272895084371</v>
      </c>
      <c r="K21" s="55">
        <v>2.9042653054067178</v>
      </c>
      <c r="L21" s="55">
        <v>2.9042653054066152</v>
      </c>
      <c r="M21" s="55">
        <v>2.376224923348361</v>
      </c>
      <c r="N21" s="55">
        <v>2.3762249233485551</v>
      </c>
      <c r="O21" s="55">
        <v>2.3762249233487069</v>
      </c>
      <c r="P21" s="55">
        <v>2.3762249233484001</v>
      </c>
      <c r="Q21" s="55">
        <v>2.1122047323200719</v>
      </c>
      <c r="R21" s="55">
        <v>0.79208217513106649</v>
      </c>
      <c r="S21" s="55">
        <v>0.79208217513121415</v>
      </c>
      <c r="T21" s="55">
        <v>0.79208217513126866</v>
      </c>
      <c r="U21" s="55">
        <v>0.79208217513103629</v>
      </c>
      <c r="V21" s="55">
        <v>0.79208217513179291</v>
      </c>
      <c r="W21" s="55">
        <v>0.5547189073337595</v>
      </c>
      <c r="X21" s="55">
        <v>0.38600693777587758</v>
      </c>
      <c r="Y21" s="55">
        <v>0.26244324176164918</v>
      </c>
      <c r="DA21" s="101" t="s">
        <v>1029</v>
      </c>
    </row>
    <row r="22" spans="1:105" x14ac:dyDescent="0.25">
      <c r="A22" s="61" t="s">
        <v>169</v>
      </c>
      <c r="B22" s="55">
        <v>22.14013742958743</v>
      </c>
      <c r="C22" s="55">
        <v>23.177461620960639</v>
      </c>
      <c r="D22" s="55">
        <v>22.8493022570614</v>
      </c>
      <c r="E22" s="55">
        <v>25.391770580017791</v>
      </c>
      <c r="F22" s="55">
        <v>26.428768288198199</v>
      </c>
      <c r="G22" s="55">
        <v>32.306007974875527</v>
      </c>
      <c r="H22" s="55">
        <v>28.479424014957111</v>
      </c>
      <c r="I22" s="55">
        <v>30.179723187755091</v>
      </c>
      <c r="J22" s="55">
        <v>26.484247429016971</v>
      </c>
      <c r="K22" s="55">
        <v>27.536316298619521</v>
      </c>
      <c r="L22" s="55">
        <v>27.62666110728011</v>
      </c>
      <c r="M22" s="55">
        <v>25.569143706002301</v>
      </c>
      <c r="N22" s="55">
        <v>25.420762201797039</v>
      </c>
      <c r="O22" s="55">
        <v>25.33313637966075</v>
      </c>
      <c r="P22" s="55">
        <v>23.761226667853151</v>
      </c>
      <c r="Q22" s="55">
        <v>26.965895281421609</v>
      </c>
      <c r="R22" s="55">
        <v>25.46159862535719</v>
      </c>
      <c r="S22" s="55">
        <v>26.830275760103099</v>
      </c>
      <c r="T22" s="55">
        <v>26.818641841364929</v>
      </c>
      <c r="U22" s="55">
        <v>28.00254414457385</v>
      </c>
      <c r="V22" s="55">
        <v>26.957835926318371</v>
      </c>
      <c r="W22" s="55">
        <v>72.142515503649065</v>
      </c>
      <c r="X22" s="55">
        <v>79.957376087579775</v>
      </c>
      <c r="Y22" s="55">
        <v>75.146600107050574</v>
      </c>
      <c r="DA22" s="101" t="s">
        <v>1030</v>
      </c>
    </row>
    <row r="23" spans="1:105" x14ac:dyDescent="0.25">
      <c r="A23" s="61" t="s">
        <v>164</v>
      </c>
      <c r="B23" s="55">
        <v>0.12913587655966879</v>
      </c>
      <c r="C23" s="55">
        <v>0.1403536589184784</v>
      </c>
      <c r="D23" s="55">
        <v>0.12913587655966111</v>
      </c>
      <c r="E23" s="55">
        <v>0.12913587655964109</v>
      </c>
      <c r="F23" s="55">
        <v>0.1291358765596449</v>
      </c>
      <c r="G23" s="55">
        <v>0.1347548738493044</v>
      </c>
      <c r="H23" s="55">
        <v>0.17404743043594839</v>
      </c>
      <c r="I23" s="55">
        <v>0.1459726562081482</v>
      </c>
      <c r="J23" s="55">
        <v>0.14597265620812411</v>
      </c>
      <c r="K23" s="55">
        <v>0.22457798160188369</v>
      </c>
      <c r="L23" s="55">
        <v>0.36495185274083952</v>
      </c>
      <c r="M23" s="55">
        <v>0.37616963509958201</v>
      </c>
      <c r="N23" s="55">
        <v>0.37616963509961282</v>
      </c>
      <c r="O23" s="55">
        <v>0.42108118897591379</v>
      </c>
      <c r="P23" s="55">
        <v>5.0193613450747394</v>
      </c>
      <c r="Q23" s="55">
        <v>8.0343576353832269</v>
      </c>
      <c r="R23" s="55">
        <v>8.2084050658176047</v>
      </c>
      <c r="S23" s="55">
        <v>8.2911134719675363</v>
      </c>
      <c r="T23" s="55">
        <v>8.0474753664664327</v>
      </c>
      <c r="U23" s="55">
        <v>8.098066554291389</v>
      </c>
      <c r="V23" s="55">
        <v>8.1483343465990288</v>
      </c>
      <c r="W23" s="55">
        <v>8.9685664653444714</v>
      </c>
      <c r="X23" s="55">
        <v>8.2324980326199633</v>
      </c>
      <c r="Y23" s="55">
        <v>8.276621309897676</v>
      </c>
      <c r="DA23" s="101" t="s">
        <v>1031</v>
      </c>
    </row>
    <row r="24" spans="1:105" x14ac:dyDescent="0.25">
      <c r="A24" s="61" t="s">
        <v>152</v>
      </c>
      <c r="B24" s="55">
        <v>9.3459710738816728</v>
      </c>
      <c r="C24" s="55">
        <v>9.5733205265520152</v>
      </c>
      <c r="D24" s="55">
        <v>9.5669793973219601</v>
      </c>
      <c r="E24" s="55">
        <v>9.6478356654970803</v>
      </c>
      <c r="F24" s="55">
        <v>9.4554972984833245</v>
      </c>
      <c r="G24" s="55">
        <v>9.4826575478304171</v>
      </c>
      <c r="H24" s="55">
        <v>9.5240602892341322</v>
      </c>
      <c r="I24" s="55">
        <v>9.6060934138265655</v>
      </c>
      <c r="J24" s="55">
        <v>9.6420723723144732</v>
      </c>
      <c r="K24" s="55">
        <v>9.701681405868781</v>
      </c>
      <c r="L24" s="55">
        <v>5.6863037770154614</v>
      </c>
      <c r="M24" s="55">
        <v>5.7518901686929897</v>
      </c>
      <c r="N24" s="55">
        <v>4.8858669555696039</v>
      </c>
      <c r="O24" s="55">
        <v>4.9426716300820228</v>
      </c>
      <c r="P24" s="55">
        <v>4.5211202291511121</v>
      </c>
      <c r="Q24" s="55">
        <v>4.5109510068282468</v>
      </c>
      <c r="R24" s="55">
        <v>5.8394324099003114</v>
      </c>
      <c r="S24" s="55">
        <v>6.1880591956242741</v>
      </c>
      <c r="T24" s="55">
        <v>6.074449250797155</v>
      </c>
      <c r="U24" s="55">
        <v>6.4559748754513313</v>
      </c>
      <c r="V24" s="55">
        <v>5.8372243709940417</v>
      </c>
      <c r="W24" s="55">
        <v>5.5929659604410888</v>
      </c>
      <c r="X24" s="55">
        <v>5.2820182047480184</v>
      </c>
      <c r="Y24" s="55">
        <v>5.338474682019247</v>
      </c>
      <c r="DA24" s="101" t="s">
        <v>1032</v>
      </c>
    </row>
    <row r="25" spans="1:105" x14ac:dyDescent="0.25">
      <c r="A25" s="256" t="s">
        <v>167</v>
      </c>
      <c r="B25" s="257">
        <v>37.196986710098088</v>
      </c>
      <c r="C25" s="257">
        <v>38.640752602038603</v>
      </c>
      <c r="D25" s="257">
        <v>38.384164267970561</v>
      </c>
      <c r="E25" s="257">
        <v>38.755509119815912</v>
      </c>
      <c r="F25" s="257">
        <v>38.536669087811617</v>
      </c>
      <c r="G25" s="257">
        <v>38.913737832806383</v>
      </c>
      <c r="H25" s="257">
        <v>38.408771711193111</v>
      </c>
      <c r="I25" s="257">
        <v>36.765731401065018</v>
      </c>
      <c r="J25" s="257">
        <v>35.617977428235207</v>
      </c>
      <c r="K25" s="257">
        <v>36.052872931913228</v>
      </c>
      <c r="L25" s="257">
        <v>33.809522608336813</v>
      </c>
      <c r="M25" s="257">
        <v>33.347317854428063</v>
      </c>
      <c r="N25" s="257">
        <v>31.996812330320349</v>
      </c>
      <c r="O25" s="257">
        <v>31.66194118638057</v>
      </c>
      <c r="P25" s="257">
        <v>31.76755578077892</v>
      </c>
      <c r="Q25" s="257">
        <v>32.453715049678209</v>
      </c>
      <c r="R25" s="257">
        <v>32.972695765713198</v>
      </c>
      <c r="S25" s="257">
        <v>33.225535434169089</v>
      </c>
      <c r="T25" s="257">
        <v>34.894960911574778</v>
      </c>
      <c r="U25" s="257">
        <v>33.266898010393533</v>
      </c>
      <c r="V25" s="257">
        <v>33.509271405290633</v>
      </c>
      <c r="W25" s="257">
        <v>35.355352135131483</v>
      </c>
      <c r="X25" s="257">
        <v>34.271533923384773</v>
      </c>
      <c r="Y25" s="257">
        <v>32.846637119798693</v>
      </c>
      <c r="DA25" s="272" t="s">
        <v>1033</v>
      </c>
    </row>
    <row r="26" spans="1:105" x14ac:dyDescent="0.25">
      <c r="A26" s="256" t="s">
        <v>170</v>
      </c>
      <c r="B26" s="257">
        <v>33.878234297734487</v>
      </c>
      <c r="C26" s="257">
        <v>35.564169027533012</v>
      </c>
      <c r="D26" s="257">
        <v>34.02515696060528</v>
      </c>
      <c r="E26" s="257">
        <v>35.619272042842887</v>
      </c>
      <c r="F26" s="257">
        <v>35.700261756026222</v>
      </c>
      <c r="G26" s="257">
        <v>36.765620180595398</v>
      </c>
      <c r="H26" s="257">
        <v>37.38914840722849</v>
      </c>
      <c r="I26" s="257">
        <v>37.825684230054797</v>
      </c>
      <c r="J26" s="257">
        <v>37.560080007167073</v>
      </c>
      <c r="K26" s="257">
        <v>37.633759455783867</v>
      </c>
      <c r="L26" s="257">
        <v>36.747519036174928</v>
      </c>
      <c r="M26" s="257">
        <v>38.053625586756432</v>
      </c>
      <c r="N26" s="257">
        <v>37.733891345170328</v>
      </c>
      <c r="O26" s="257">
        <v>36.51932595331472</v>
      </c>
      <c r="P26" s="257">
        <v>35.094741261713487</v>
      </c>
      <c r="Q26" s="257">
        <v>36.729906205252568</v>
      </c>
      <c r="R26" s="257">
        <v>36.365918592219558</v>
      </c>
      <c r="S26" s="257">
        <v>38.446269831076698</v>
      </c>
      <c r="T26" s="257">
        <v>38.249829239334701</v>
      </c>
      <c r="U26" s="257">
        <v>38.772258636211163</v>
      </c>
      <c r="V26" s="257">
        <v>40.016930701200117</v>
      </c>
      <c r="W26" s="257">
        <v>42.75052825871132</v>
      </c>
      <c r="X26" s="257">
        <v>42.041757371718468</v>
      </c>
      <c r="Y26" s="257">
        <v>40.213919465084771</v>
      </c>
      <c r="DA26" s="272" t="s">
        <v>1034</v>
      </c>
    </row>
    <row r="27" spans="1:105" x14ac:dyDescent="0.25">
      <c r="A27" s="128" t="s">
        <v>33</v>
      </c>
      <c r="B27" s="258">
        <v>51.632622636528012</v>
      </c>
      <c r="C27" s="258">
        <v>54.202096326581731</v>
      </c>
      <c r="D27" s="258">
        <v>51.856542287773493</v>
      </c>
      <c r="E27" s="258">
        <v>54.286076889754703</v>
      </c>
      <c r="F27" s="258">
        <v>54.409510456613162</v>
      </c>
      <c r="G27" s="258">
        <v>56.033185676077153</v>
      </c>
      <c r="H27" s="258">
        <v>56.983483066018813</v>
      </c>
      <c r="I27" s="258">
        <v>57.648791925070682</v>
      </c>
      <c r="J27" s="258">
        <v>57.243993891899628</v>
      </c>
      <c r="K27" s="258">
        <v>57.356286142229621</v>
      </c>
      <c r="L27" s="258">
        <v>56.005598359957382</v>
      </c>
      <c r="M27" s="258">
        <v>57.996189311557863</v>
      </c>
      <c r="N27" s="258">
        <v>57.508893625049922</v>
      </c>
      <c r="O27" s="258">
        <v>55.657817326505608</v>
      </c>
      <c r="P27" s="258">
        <v>53.486658016702407</v>
      </c>
      <c r="Q27" s="258">
        <v>55.978755265226297</v>
      </c>
      <c r="R27" s="258">
        <v>55.424014575291302</v>
      </c>
      <c r="S27" s="258">
        <v>58.59460456305014</v>
      </c>
      <c r="T27" s="258">
        <v>58.2952163819905</v>
      </c>
      <c r="U27" s="258">
        <v>59.091432609379758</v>
      </c>
      <c r="V27" s="258">
        <v>60.988393427142938</v>
      </c>
      <c r="W27" s="258">
        <v>65.154573101286957</v>
      </c>
      <c r="X27" s="258">
        <v>64.074360377617751</v>
      </c>
      <c r="Y27" s="258">
        <v>61.288617058041318</v>
      </c>
      <c r="DA27" s="273" t="s">
        <v>1035</v>
      </c>
    </row>
    <row r="29" spans="1:105" ht="12.75" x14ac:dyDescent="0.25">
      <c r="A29" s="178" t="s">
        <v>132</v>
      </c>
      <c r="B29" s="231"/>
      <c r="C29" s="231"/>
      <c r="D29" s="231"/>
      <c r="E29" s="231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1"/>
      <c r="U29" s="231"/>
      <c r="V29" s="231"/>
      <c r="W29" s="231"/>
      <c r="X29" s="231"/>
      <c r="Y29" s="231"/>
      <c r="DA29" s="266"/>
    </row>
    <row r="31" spans="1:105" x14ac:dyDescent="0.25">
      <c r="A31" s="234" t="s">
        <v>126</v>
      </c>
      <c r="B31" s="235">
        <f t="shared" ref="B31:Q31" si="9">SUM(B32:B40)</f>
        <v>1</v>
      </c>
      <c r="C31" s="235">
        <f t="shared" si="9"/>
        <v>0.99999999999999978</v>
      </c>
      <c r="D31" s="235">
        <f t="shared" si="9"/>
        <v>1</v>
      </c>
      <c r="E31" s="235">
        <f t="shared" si="9"/>
        <v>1</v>
      </c>
      <c r="F31" s="235">
        <f t="shared" si="9"/>
        <v>0.99999999999999989</v>
      </c>
      <c r="G31" s="235">
        <f t="shared" si="9"/>
        <v>1</v>
      </c>
      <c r="H31" s="235">
        <f t="shared" si="9"/>
        <v>0.99999999999999967</v>
      </c>
      <c r="I31" s="235">
        <f t="shared" si="9"/>
        <v>0.99999999999999989</v>
      </c>
      <c r="J31" s="235">
        <f t="shared" si="9"/>
        <v>0.99999999999999967</v>
      </c>
      <c r="K31" s="235">
        <f t="shared" si="9"/>
        <v>1</v>
      </c>
      <c r="L31" s="235">
        <f t="shared" si="9"/>
        <v>1.0000000000000002</v>
      </c>
      <c r="M31" s="235">
        <f t="shared" si="9"/>
        <v>1</v>
      </c>
      <c r="N31" s="235">
        <f t="shared" si="9"/>
        <v>0.99999999999999989</v>
      </c>
      <c r="O31" s="235">
        <f t="shared" si="9"/>
        <v>1</v>
      </c>
      <c r="P31" s="235">
        <f t="shared" si="9"/>
        <v>0.99999999999999989</v>
      </c>
      <c r="Q31" s="235">
        <f t="shared" si="9"/>
        <v>0.99999999999999989</v>
      </c>
      <c r="R31" s="235">
        <f t="shared" ref="R31:W31" si="10">SUM(R32:R40)</f>
        <v>1</v>
      </c>
      <c r="S31" s="235">
        <f t="shared" si="10"/>
        <v>1</v>
      </c>
      <c r="T31" s="235">
        <f t="shared" si="10"/>
        <v>0.99999999999999989</v>
      </c>
      <c r="U31" s="235">
        <f t="shared" si="10"/>
        <v>1.0000000000000002</v>
      </c>
      <c r="V31" s="235">
        <f t="shared" si="10"/>
        <v>1</v>
      </c>
      <c r="W31" s="235">
        <f t="shared" si="10"/>
        <v>1</v>
      </c>
      <c r="X31" s="235">
        <f t="shared" ref="X31:Y31" si="11">SUM(X32:X40)</f>
        <v>1.0000000000000002</v>
      </c>
      <c r="Y31" s="235">
        <f t="shared" si="11"/>
        <v>0.99999999999999978</v>
      </c>
      <c r="DA31" s="274"/>
    </row>
    <row r="32" spans="1:105" x14ac:dyDescent="0.25">
      <c r="A32" s="238" t="s">
        <v>125</v>
      </c>
      <c r="B32" s="244">
        <f t="shared" ref="B32:Y32" si="12">IF(B$6=0,0,B$6/B$5)</f>
        <v>2.8341391450367456E-2</v>
      </c>
      <c r="C32" s="244">
        <f t="shared" si="12"/>
        <v>2.8621104786997077E-2</v>
      </c>
      <c r="D32" s="244">
        <f t="shared" si="12"/>
        <v>2.7791531477998954E-2</v>
      </c>
      <c r="E32" s="244">
        <f t="shared" si="12"/>
        <v>2.8627088851264158E-2</v>
      </c>
      <c r="F32" s="244">
        <f t="shared" si="12"/>
        <v>2.8764126964296761E-2</v>
      </c>
      <c r="G32" s="244">
        <f t="shared" si="12"/>
        <v>2.9134610157343834E-2</v>
      </c>
      <c r="H32" s="244">
        <f t="shared" si="12"/>
        <v>2.9871473088273596E-2</v>
      </c>
      <c r="I32" s="244">
        <f t="shared" si="12"/>
        <v>3.1107131241671852E-2</v>
      </c>
      <c r="J32" s="244">
        <f t="shared" si="12"/>
        <v>3.1749926361351224E-2</v>
      </c>
      <c r="K32" s="244">
        <f t="shared" si="12"/>
        <v>3.1418800292110277E-2</v>
      </c>
      <c r="L32" s="244">
        <f t="shared" si="12"/>
        <v>3.2478304706218923E-2</v>
      </c>
      <c r="M32" s="244">
        <f t="shared" si="12"/>
        <v>3.3610998829265937E-2</v>
      </c>
      <c r="N32" s="244">
        <f t="shared" si="12"/>
        <v>3.4350265467455253E-2</v>
      </c>
      <c r="O32" s="244">
        <f t="shared" si="12"/>
        <v>3.3770559935772132E-2</v>
      </c>
      <c r="P32" s="244">
        <f t="shared" si="12"/>
        <v>3.2743485596170192E-2</v>
      </c>
      <c r="Q32" s="244">
        <f t="shared" si="12"/>
        <v>3.3345157997375752E-2</v>
      </c>
      <c r="R32" s="244">
        <f t="shared" si="12"/>
        <v>3.2866176300501211E-2</v>
      </c>
      <c r="S32" s="244">
        <f t="shared" si="12"/>
        <v>3.4005105515045736E-2</v>
      </c>
      <c r="T32" s="244">
        <f t="shared" si="12"/>
        <v>3.274247647799914E-2</v>
      </c>
      <c r="U32" s="244">
        <f t="shared" si="12"/>
        <v>3.4117178097866678E-2</v>
      </c>
      <c r="V32" s="244">
        <f t="shared" si="12"/>
        <v>3.4726403019666015E-2</v>
      </c>
      <c r="W32" s="244">
        <f t="shared" si="12"/>
        <v>3.4353053929924833E-2</v>
      </c>
      <c r="X32" s="244">
        <f t="shared" si="12"/>
        <v>3.4496695208546882E-2</v>
      </c>
      <c r="Y32" s="244">
        <f t="shared" si="12"/>
        <v>3.451085070013498E-2</v>
      </c>
      <c r="DA32" s="275"/>
    </row>
    <row r="33" spans="1:105" x14ac:dyDescent="0.25">
      <c r="A33" s="240" t="s">
        <v>124</v>
      </c>
      <c r="B33" s="245">
        <f t="shared" ref="B33:Y33" si="13">IF(B$7=0,0,B$7/B$5)</f>
        <v>1.8267674670186647E-2</v>
      </c>
      <c r="C33" s="245">
        <f t="shared" si="13"/>
        <v>1.8447966179282467E-2</v>
      </c>
      <c r="D33" s="245">
        <f t="shared" si="13"/>
        <v>1.7913257946964849E-2</v>
      </c>
      <c r="E33" s="245">
        <f t="shared" si="13"/>
        <v>1.8451823256639743E-2</v>
      </c>
      <c r="F33" s="245">
        <f t="shared" si="13"/>
        <v>1.8540152288426332E-2</v>
      </c>
      <c r="G33" s="245">
        <f t="shared" si="13"/>
        <v>1.877895024770113E-2</v>
      </c>
      <c r="H33" s="245">
        <f t="shared" si="13"/>
        <v>1.9253901250806185E-2</v>
      </c>
      <c r="I33" s="245">
        <f t="shared" si="13"/>
        <v>2.005035477671626E-2</v>
      </c>
      <c r="J33" s="245">
        <f t="shared" si="13"/>
        <v>2.0464673605996405E-2</v>
      </c>
      <c r="K33" s="245">
        <f t="shared" si="13"/>
        <v>2.0251243601393271E-2</v>
      </c>
      <c r="L33" s="245">
        <f t="shared" si="13"/>
        <v>2.0934155800057128E-2</v>
      </c>
      <c r="M33" s="245">
        <f t="shared" si="13"/>
        <v>2.1664243021670478E-2</v>
      </c>
      <c r="N33" s="245">
        <f t="shared" si="13"/>
        <v>2.2140743353865348E-2</v>
      </c>
      <c r="O33" s="245">
        <f t="shared" si="13"/>
        <v>2.1767089432326588E-2</v>
      </c>
      <c r="P33" s="245">
        <f t="shared" si="13"/>
        <v>2.1105080302294906E-2</v>
      </c>
      <c r="Q33" s="245">
        <f t="shared" si="13"/>
        <v>2.1492893148481428E-2</v>
      </c>
      <c r="R33" s="245">
        <f t="shared" si="13"/>
        <v>2.1184161594958333E-2</v>
      </c>
      <c r="S33" s="245">
        <f t="shared" si="13"/>
        <v>2.1918267695574679E-2</v>
      </c>
      <c r="T33" s="245">
        <f t="shared" si="13"/>
        <v>2.1104429866959547E-2</v>
      </c>
      <c r="U33" s="245">
        <f t="shared" si="13"/>
        <v>2.1990504991545336E-2</v>
      </c>
      <c r="V33" s="245">
        <f t="shared" si="13"/>
        <v>2.2383185876387903E-2</v>
      </c>
      <c r="W33" s="245">
        <f t="shared" si="13"/>
        <v>2.2142540680059206E-2</v>
      </c>
      <c r="X33" s="245">
        <f t="shared" si="13"/>
        <v>2.2235125836002335E-2</v>
      </c>
      <c r="Y33" s="245">
        <f t="shared" si="13"/>
        <v>2.224424987338704E-2</v>
      </c>
      <c r="DA33" s="276"/>
    </row>
    <row r="34" spans="1:105" x14ac:dyDescent="0.25">
      <c r="A34" s="240" t="s">
        <v>123</v>
      </c>
      <c r="B34" s="245">
        <f t="shared" ref="B34:Y34" si="14">IF(B$8=0,0,B$8/B$5)</f>
        <v>3.6302111916228549E-2</v>
      </c>
      <c r="C34" s="245">
        <f t="shared" si="14"/>
        <v>3.66603930143381E-2</v>
      </c>
      <c r="D34" s="245">
        <f t="shared" si="14"/>
        <v>3.5597803580128248E-2</v>
      </c>
      <c r="E34" s="245">
        <f t="shared" si="14"/>
        <v>3.6668057922785456E-2</v>
      </c>
      <c r="F34" s="245">
        <f t="shared" si="14"/>
        <v>3.6843588221811545E-2</v>
      </c>
      <c r="G34" s="245">
        <f t="shared" si="14"/>
        <v>3.7318135223522071E-2</v>
      </c>
      <c r="H34" s="245">
        <f t="shared" si="14"/>
        <v>3.8261973165719707E-2</v>
      </c>
      <c r="I34" s="245">
        <f t="shared" si="14"/>
        <v>3.9844711284044598E-2</v>
      </c>
      <c r="J34" s="245">
        <f t="shared" si="14"/>
        <v>4.0668059016094778E-2</v>
      </c>
      <c r="K34" s="245">
        <f t="shared" si="14"/>
        <v>4.0243924031578705E-2</v>
      </c>
      <c r="L34" s="245">
        <f t="shared" si="14"/>
        <v>4.1601029164686484E-2</v>
      </c>
      <c r="M34" s="245">
        <f t="shared" si="14"/>
        <v>4.3051882023965322E-2</v>
      </c>
      <c r="N34" s="245">
        <f t="shared" si="14"/>
        <v>4.3998798842868884E-2</v>
      </c>
      <c r="O34" s="245">
        <f t="shared" si="14"/>
        <v>4.3256261726211394E-2</v>
      </c>
      <c r="P34" s="245">
        <f t="shared" si="14"/>
        <v>4.1940695844846283E-2</v>
      </c>
      <c r="Q34" s="245">
        <f t="shared" si="14"/>
        <v>4.2711370032940427E-2</v>
      </c>
      <c r="R34" s="245">
        <f t="shared" si="14"/>
        <v>4.2097848738609632E-2</v>
      </c>
      <c r="S34" s="245">
        <f t="shared" si="14"/>
        <v>4.3556688043781516E-2</v>
      </c>
      <c r="T34" s="245">
        <f t="shared" si="14"/>
        <v>4.1939403278782726E-2</v>
      </c>
      <c r="U34" s="245">
        <f t="shared" si="14"/>
        <v>4.3700240326718341E-2</v>
      </c>
      <c r="V34" s="245">
        <f t="shared" si="14"/>
        <v>4.4480588438138534E-2</v>
      </c>
      <c r="W34" s="245">
        <f t="shared" si="14"/>
        <v>4.400237054741353E-2</v>
      </c>
      <c r="X34" s="245">
        <f t="shared" si="14"/>
        <v>4.4186358753548712E-2</v>
      </c>
      <c r="Y34" s="245">
        <f t="shared" si="14"/>
        <v>4.4204490334729542E-2</v>
      </c>
      <c r="DA34" s="276"/>
    </row>
    <row r="35" spans="1:105" x14ac:dyDescent="0.25">
      <c r="A35" s="242" t="s">
        <v>122</v>
      </c>
      <c r="B35" s="246">
        <f t="shared" ref="B35:Y35" si="15">IF(B$9=0,0,B$9/B$5)</f>
        <v>0.32432149398197219</v>
      </c>
      <c r="C35" s="246">
        <f t="shared" si="15"/>
        <v>0.32437289602858121</v>
      </c>
      <c r="D35" s="246">
        <f t="shared" si="15"/>
        <v>0.32523083394827773</v>
      </c>
      <c r="E35" s="246">
        <f t="shared" si="15"/>
        <v>0.3251011840779654</v>
      </c>
      <c r="F35" s="246">
        <f t="shared" si="15"/>
        <v>0.32509040958308849</v>
      </c>
      <c r="G35" s="246">
        <f t="shared" si="15"/>
        <v>0.32535737954642435</v>
      </c>
      <c r="H35" s="246">
        <f t="shared" si="15"/>
        <v>0.32477494457807388</v>
      </c>
      <c r="I35" s="246">
        <f t="shared" si="15"/>
        <v>0.32503368949385369</v>
      </c>
      <c r="J35" s="246">
        <f t="shared" si="15"/>
        <v>0.32436315915891167</v>
      </c>
      <c r="K35" s="246">
        <f t="shared" si="15"/>
        <v>0.32650570989963151</v>
      </c>
      <c r="L35" s="246">
        <f t="shared" si="15"/>
        <v>0.32290887471284363</v>
      </c>
      <c r="M35" s="246">
        <f t="shared" si="15"/>
        <v>0.32459406766119836</v>
      </c>
      <c r="N35" s="246">
        <f t="shared" si="15"/>
        <v>0.32606302842588963</v>
      </c>
      <c r="O35" s="246">
        <f t="shared" si="15"/>
        <v>0.3267764334505488</v>
      </c>
      <c r="P35" s="246">
        <f t="shared" si="15"/>
        <v>0.32647597717911975</v>
      </c>
      <c r="Q35" s="246">
        <f t="shared" si="15"/>
        <v>0.32416200917624505</v>
      </c>
      <c r="R35" s="246">
        <f t="shared" si="15"/>
        <v>0.3254272826388927</v>
      </c>
      <c r="S35" s="246">
        <f t="shared" si="15"/>
        <v>0.32603562248578433</v>
      </c>
      <c r="T35" s="246">
        <f t="shared" si="15"/>
        <v>0.32528127459010503</v>
      </c>
      <c r="U35" s="246">
        <f t="shared" si="15"/>
        <v>0.32686949887775457</v>
      </c>
      <c r="V35" s="246">
        <f t="shared" si="15"/>
        <v>0.32691169340579879</v>
      </c>
      <c r="W35" s="246">
        <f t="shared" si="15"/>
        <v>0.32906205028719404</v>
      </c>
      <c r="X35" s="246">
        <f t="shared" si="15"/>
        <v>0.33059552095722811</v>
      </c>
      <c r="Y35" s="246">
        <f t="shared" si="15"/>
        <v>0.32973215057536986</v>
      </c>
      <c r="DA35" s="277"/>
    </row>
    <row r="36" spans="1:105" x14ac:dyDescent="0.25">
      <c r="A36" s="127" t="s">
        <v>168</v>
      </c>
      <c r="B36" s="259">
        <f t="shared" ref="B36:Y36" si="16">IF(B$16=0,0,B$16/B$5)</f>
        <v>0.22940328899232335</v>
      </c>
      <c r="C36" s="259">
        <f t="shared" si="16"/>
        <v>0.22925075985292817</v>
      </c>
      <c r="D36" s="259">
        <f t="shared" si="16"/>
        <v>0.23112978259808167</v>
      </c>
      <c r="E36" s="259">
        <f t="shared" si="16"/>
        <v>0.22962389119022839</v>
      </c>
      <c r="F36" s="259">
        <f t="shared" si="16"/>
        <v>0.22889981921159425</v>
      </c>
      <c r="G36" s="259">
        <f t="shared" si="16"/>
        <v>0.22733261253961204</v>
      </c>
      <c r="H36" s="259">
        <f t="shared" si="16"/>
        <v>0.22622102436979175</v>
      </c>
      <c r="I36" s="259">
        <f t="shared" si="16"/>
        <v>0.22289886551771959</v>
      </c>
      <c r="J36" s="259">
        <f t="shared" si="16"/>
        <v>0.22196114029142258</v>
      </c>
      <c r="K36" s="259">
        <f t="shared" si="16"/>
        <v>0.22189287141203701</v>
      </c>
      <c r="L36" s="259">
        <f t="shared" si="16"/>
        <v>0.22029053934670259</v>
      </c>
      <c r="M36" s="259">
        <f t="shared" si="16"/>
        <v>0.21713896642415972</v>
      </c>
      <c r="N36" s="259">
        <f t="shared" si="16"/>
        <v>0.21473196409419726</v>
      </c>
      <c r="O36" s="259">
        <f t="shared" si="16"/>
        <v>0.21584625881593206</v>
      </c>
      <c r="P36" s="259">
        <f t="shared" si="16"/>
        <v>0.21850337245376644</v>
      </c>
      <c r="Q36" s="259">
        <f t="shared" si="16"/>
        <v>0.2172045197515729</v>
      </c>
      <c r="R36" s="259">
        <f t="shared" si="16"/>
        <v>0.21968507514781679</v>
      </c>
      <c r="S36" s="259">
        <f t="shared" si="16"/>
        <v>0.21664735177589584</v>
      </c>
      <c r="T36" s="259">
        <f t="shared" si="16"/>
        <v>0.22020958525726259</v>
      </c>
      <c r="U36" s="259">
        <f t="shared" si="16"/>
        <v>0.21580216008851158</v>
      </c>
      <c r="V36" s="259">
        <f t="shared" si="16"/>
        <v>0.2143741869590205</v>
      </c>
      <c r="W36" s="259">
        <f t="shared" si="16"/>
        <v>0.20944524831631872</v>
      </c>
      <c r="X36" s="259">
        <f t="shared" si="16"/>
        <v>0.20731066859658281</v>
      </c>
      <c r="Y36" s="259">
        <f t="shared" si="16"/>
        <v>0.20780770822707964</v>
      </c>
      <c r="DA36" s="278"/>
    </row>
    <row r="37" spans="1:105" x14ac:dyDescent="0.25">
      <c r="A37" s="127" t="s">
        <v>121</v>
      </c>
      <c r="B37" s="259">
        <f t="shared" ref="B37:Y37" si="17">IF(B$17=0,0,B$17/B$5)</f>
        <v>0.26157020570326928</v>
      </c>
      <c r="C37" s="259">
        <f t="shared" si="17"/>
        <v>0.26017345991610524</v>
      </c>
      <c r="D37" s="259">
        <f t="shared" si="17"/>
        <v>0.2616869877724336</v>
      </c>
      <c r="E37" s="259">
        <f t="shared" si="17"/>
        <v>0.25898936655983179</v>
      </c>
      <c r="F37" s="259">
        <f t="shared" si="17"/>
        <v>0.2590777138912328</v>
      </c>
      <c r="G37" s="259">
        <f t="shared" si="17"/>
        <v>0.25857763408937251</v>
      </c>
      <c r="H37" s="259">
        <f t="shared" si="17"/>
        <v>0.25642120741153956</v>
      </c>
      <c r="I37" s="259">
        <f t="shared" si="17"/>
        <v>0.25322386826274729</v>
      </c>
      <c r="J37" s="259">
        <f t="shared" si="17"/>
        <v>0.25146892318847713</v>
      </c>
      <c r="K37" s="259">
        <f t="shared" si="17"/>
        <v>0.25120130167538363</v>
      </c>
      <c r="L37" s="259">
        <f t="shared" si="17"/>
        <v>0.25086460957728557</v>
      </c>
      <c r="M37" s="259">
        <f t="shared" si="17"/>
        <v>0.24660621848014239</v>
      </c>
      <c r="N37" s="259">
        <f t="shared" si="17"/>
        <v>0.24385500923653416</v>
      </c>
      <c r="O37" s="259">
        <f t="shared" si="17"/>
        <v>0.24502428548890826</v>
      </c>
      <c r="P37" s="259">
        <f t="shared" si="17"/>
        <v>0.24788556522360294</v>
      </c>
      <c r="Q37" s="259">
        <f t="shared" si="17"/>
        <v>0.2484069905081262</v>
      </c>
      <c r="R37" s="259">
        <f t="shared" si="17"/>
        <v>0.24692759374444254</v>
      </c>
      <c r="S37" s="259">
        <f t="shared" si="17"/>
        <v>0.24358304576714054</v>
      </c>
      <c r="T37" s="259">
        <f t="shared" si="17"/>
        <v>0.24715002877741377</v>
      </c>
      <c r="U37" s="259">
        <f t="shared" si="17"/>
        <v>0.2430996761664998</v>
      </c>
      <c r="V37" s="259">
        <f t="shared" si="17"/>
        <v>0.24137042950765056</v>
      </c>
      <c r="W37" s="259">
        <f t="shared" si="17"/>
        <v>0.24683868687132554</v>
      </c>
      <c r="X37" s="259">
        <f t="shared" si="17"/>
        <v>0.24694718087266807</v>
      </c>
      <c r="Y37" s="259">
        <f t="shared" si="17"/>
        <v>0.24716981305095331</v>
      </c>
      <c r="DA37" s="278"/>
    </row>
    <row r="38" spans="1:105" x14ac:dyDescent="0.25">
      <c r="A38" s="127" t="s">
        <v>167</v>
      </c>
      <c r="B38" s="259">
        <f t="shared" ref="B38:Y38" si="18">IF(B$25=0,0,B$25/B$5)</f>
        <v>3.0857227634693066E-2</v>
      </c>
      <c r="C38" s="259">
        <f t="shared" si="18"/>
        <v>3.0836710813003584E-2</v>
      </c>
      <c r="D38" s="259">
        <f t="shared" si="18"/>
        <v>3.1089459728821881E-2</v>
      </c>
      <c r="E38" s="259">
        <f t="shared" si="18"/>
        <v>3.0886901020228952E-2</v>
      </c>
      <c r="F38" s="259">
        <f t="shared" si="18"/>
        <v>3.078950549479095E-2</v>
      </c>
      <c r="G38" s="259">
        <f t="shared" si="18"/>
        <v>3.0578699218907154E-2</v>
      </c>
      <c r="H38" s="259">
        <f t="shared" si="18"/>
        <v>3.0429178567556222E-2</v>
      </c>
      <c r="I38" s="259">
        <f t="shared" si="18"/>
        <v>2.9982312210986978E-2</v>
      </c>
      <c r="J38" s="259">
        <f t="shared" si="18"/>
        <v>2.9856178009102834E-2</v>
      </c>
      <c r="K38" s="259">
        <f t="shared" si="18"/>
        <v>2.9846995105227234E-2</v>
      </c>
      <c r="L38" s="259">
        <f t="shared" si="18"/>
        <v>2.9631464083402843E-2</v>
      </c>
      <c r="M38" s="259">
        <f t="shared" si="18"/>
        <v>2.920754338241632E-2</v>
      </c>
      <c r="N38" s="259">
        <f t="shared" si="18"/>
        <v>2.8883775492517517E-2</v>
      </c>
      <c r="O38" s="259">
        <f t="shared" si="18"/>
        <v>2.9033660204422666E-2</v>
      </c>
      <c r="P38" s="259">
        <f t="shared" si="18"/>
        <v>2.9391070774838012E-2</v>
      </c>
      <c r="Q38" s="259">
        <f t="shared" si="18"/>
        <v>2.9216361015132416E-2</v>
      </c>
      <c r="R38" s="259">
        <f t="shared" si="18"/>
        <v>2.9550022589291139E-2</v>
      </c>
      <c r="S38" s="259">
        <f t="shared" si="18"/>
        <v>2.9141415886264611E-2</v>
      </c>
      <c r="T38" s="259">
        <f t="shared" si="18"/>
        <v>2.9620574881348314E-2</v>
      </c>
      <c r="U38" s="259">
        <f t="shared" si="18"/>
        <v>2.9027728447836302E-2</v>
      </c>
      <c r="V38" s="259">
        <f t="shared" si="18"/>
        <v>2.8835650591819143E-2</v>
      </c>
      <c r="W38" s="259">
        <f t="shared" si="18"/>
        <v>2.8172654946188379E-2</v>
      </c>
      <c r="X38" s="259">
        <f t="shared" si="18"/>
        <v>2.7885530848684736E-2</v>
      </c>
      <c r="Y38" s="259">
        <f t="shared" si="18"/>
        <v>2.7952388063718893E-2</v>
      </c>
      <c r="DA38" s="278"/>
    </row>
    <row r="39" spans="1:105" x14ac:dyDescent="0.25">
      <c r="A39" s="127" t="s">
        <v>170</v>
      </c>
      <c r="B39" s="259">
        <f t="shared" ref="B39:Y39" si="19">IF(B$26=0,0,B$26/B$5)</f>
        <v>2.8104114877210234E-2</v>
      </c>
      <c r="C39" s="259">
        <f t="shared" si="19"/>
        <v>2.8381486429665346E-2</v>
      </c>
      <c r="D39" s="259">
        <f t="shared" si="19"/>
        <v>2.7558858379945924E-2</v>
      </c>
      <c r="E39" s="259">
        <f t="shared" si="19"/>
        <v>2.838742039483037E-2</v>
      </c>
      <c r="F39" s="259">
        <f t="shared" si="19"/>
        <v>2.8523311212963594E-2</v>
      </c>
      <c r="G39" s="259">
        <f t="shared" si="19"/>
        <v>2.889069268877097E-2</v>
      </c>
      <c r="H39" s="259">
        <f t="shared" si="19"/>
        <v>2.9621386539701831E-2</v>
      </c>
      <c r="I39" s="259">
        <f t="shared" si="19"/>
        <v>3.0846699656486561E-2</v>
      </c>
      <c r="J39" s="259">
        <f t="shared" si="19"/>
        <v>3.1484113239994477E-2</v>
      </c>
      <c r="K39" s="259">
        <f t="shared" si="19"/>
        <v>3.1155759386758866E-2</v>
      </c>
      <c r="L39" s="259">
        <f t="shared" si="19"/>
        <v>3.2206393538549434E-2</v>
      </c>
      <c r="M39" s="259">
        <f t="shared" si="19"/>
        <v>3.332960464872381E-2</v>
      </c>
      <c r="N39" s="259">
        <f t="shared" si="19"/>
        <v>3.406268208286977E-2</v>
      </c>
      <c r="O39" s="259">
        <f t="shared" si="19"/>
        <v>3.348782989588707E-2</v>
      </c>
      <c r="P39" s="259">
        <f t="shared" si="19"/>
        <v>3.2469354311222928E-2</v>
      </c>
      <c r="Q39" s="259">
        <f t="shared" si="19"/>
        <v>3.3065989459202194E-2</v>
      </c>
      <c r="R39" s="259">
        <f t="shared" si="19"/>
        <v>3.2591017838397442E-2</v>
      </c>
      <c r="S39" s="259">
        <f t="shared" si="19"/>
        <v>3.3720411839345668E-2</v>
      </c>
      <c r="T39" s="259">
        <f t="shared" si="19"/>
        <v>3.2468353641476232E-2</v>
      </c>
      <c r="U39" s="259">
        <f t="shared" si="19"/>
        <v>3.3831546140838983E-2</v>
      </c>
      <c r="V39" s="259">
        <f t="shared" si="19"/>
        <v>3.4435670579058317E-2</v>
      </c>
      <c r="W39" s="259">
        <f t="shared" si="19"/>
        <v>3.4065447200091095E-2</v>
      </c>
      <c r="X39" s="259">
        <f t="shared" si="19"/>
        <v>3.4207885901542057E-2</v>
      </c>
      <c r="Y39" s="259">
        <f t="shared" si="19"/>
        <v>3.4221922882133923E-2</v>
      </c>
      <c r="DA39" s="278"/>
    </row>
    <row r="40" spans="1:105" x14ac:dyDescent="0.25">
      <c r="A40" s="260" t="s">
        <v>33</v>
      </c>
      <c r="B40" s="261">
        <f t="shared" ref="B40:Y40" si="20">IF(B$27=0,0,B$27/B$5)</f>
        <v>4.2832490773749281E-2</v>
      </c>
      <c r="C40" s="261">
        <f t="shared" si="20"/>
        <v>4.3255222979098618E-2</v>
      </c>
      <c r="D40" s="261">
        <f t="shared" si="20"/>
        <v>4.200148456734714E-2</v>
      </c>
      <c r="E40" s="261">
        <f t="shared" si="20"/>
        <v>4.3264266726225797E-2</v>
      </c>
      <c r="F40" s="261">
        <f t="shared" si="20"/>
        <v>4.34713731317952E-2</v>
      </c>
      <c r="G40" s="261">
        <f t="shared" si="20"/>
        <v>4.403128628834603E-2</v>
      </c>
      <c r="H40" s="261">
        <f t="shared" si="20"/>
        <v>4.5144911028537023E-2</v>
      </c>
      <c r="I40" s="261">
        <f t="shared" si="20"/>
        <v>4.7012367555773017E-2</v>
      </c>
      <c r="J40" s="261">
        <f t="shared" si="20"/>
        <v>4.7983827128648723E-2</v>
      </c>
      <c r="K40" s="261">
        <f t="shared" si="20"/>
        <v>4.7483394595879538E-2</v>
      </c>
      <c r="L40" s="261">
        <f t="shared" si="20"/>
        <v>4.9084629070253509E-2</v>
      </c>
      <c r="M40" s="261">
        <f t="shared" si="20"/>
        <v>5.0796475528457709E-2</v>
      </c>
      <c r="N40" s="261">
        <f t="shared" si="20"/>
        <v>5.1913733003802108E-2</v>
      </c>
      <c r="O40" s="261">
        <f t="shared" si="20"/>
        <v>5.103762104999094E-2</v>
      </c>
      <c r="P40" s="261">
        <f t="shared" si="20"/>
        <v>4.9485398314138479E-2</v>
      </c>
      <c r="Q40" s="261">
        <f t="shared" si="20"/>
        <v>5.0394708910923666E-2</v>
      </c>
      <c r="R40" s="261">
        <f t="shared" si="20"/>
        <v>4.9670821407090192E-2</v>
      </c>
      <c r="S40" s="261">
        <f t="shared" si="20"/>
        <v>5.1392090991167032E-2</v>
      </c>
      <c r="T40" s="261">
        <f t="shared" si="20"/>
        <v>4.948387322865256E-2</v>
      </c>
      <c r="U40" s="261">
        <f t="shared" si="20"/>
        <v>5.156146686242849E-2</v>
      </c>
      <c r="V40" s="261">
        <f t="shared" si="20"/>
        <v>5.2482191622460317E-2</v>
      </c>
      <c r="W40" s="261">
        <f t="shared" si="20"/>
        <v>5.1917947221484746E-2</v>
      </c>
      <c r="X40" s="261">
        <f t="shared" si="20"/>
        <v>5.213503302519637E-2</v>
      </c>
      <c r="Y40" s="261">
        <f t="shared" si="20"/>
        <v>5.2156426292492612E-2</v>
      </c>
      <c r="DA40" s="279"/>
    </row>
    <row r="42" spans="1:105" ht="12.75" x14ac:dyDescent="0.25">
      <c r="A42" s="178" t="s">
        <v>131</v>
      </c>
      <c r="B42" s="231"/>
      <c r="C42" s="231"/>
      <c r="D42" s="231"/>
      <c r="E42" s="231"/>
      <c r="F42" s="231"/>
      <c r="G42" s="231"/>
      <c r="H42" s="231"/>
      <c r="I42" s="231"/>
      <c r="J42" s="231"/>
      <c r="K42" s="231"/>
      <c r="L42" s="231"/>
      <c r="M42" s="231"/>
      <c r="N42" s="231"/>
      <c r="O42" s="231"/>
      <c r="P42" s="231"/>
      <c r="Q42" s="231"/>
      <c r="R42" s="231"/>
      <c r="S42" s="231"/>
      <c r="T42" s="231"/>
      <c r="U42" s="231"/>
      <c r="V42" s="231"/>
      <c r="W42" s="231"/>
      <c r="X42" s="231"/>
      <c r="Y42" s="231"/>
      <c r="DA42" s="266"/>
    </row>
    <row r="44" spans="1:105" x14ac:dyDescent="0.25">
      <c r="A44" s="234" t="s">
        <v>126</v>
      </c>
      <c r="B44" s="237">
        <f>IF(B$5=0,0,B$5/AGR_fec!B$5)</f>
        <v>0.38094830075118347</v>
      </c>
      <c r="C44" s="237">
        <f>IF(C$5=0,0,C$5/AGR_fec!C$5)</f>
        <v>0.38147086814904063</v>
      </c>
      <c r="D44" s="237">
        <f>IF(D$5=0,0,D$5/AGR_fec!D$5)</f>
        <v>0.38057321906484959</v>
      </c>
      <c r="E44" s="237">
        <f>IF(E$5=0,0,E$5/AGR_fec!E$5)</f>
        <v>0.38206260079897369</v>
      </c>
      <c r="F44" s="237">
        <f>IF(F$5=0,0,F$5/AGR_fec!F$5)</f>
        <v>0.38224506200249631</v>
      </c>
      <c r="G44" s="237">
        <f>IF(G$5=0,0,G$5/AGR_fec!G$5)</f>
        <v>0.3831343794244621</v>
      </c>
      <c r="H44" s="237">
        <f>IF(H$5=0,0,H$5/AGR_fec!H$5)</f>
        <v>0.38394239399625418</v>
      </c>
      <c r="I44" s="237">
        <f>IF(I$5=0,0,I$5/AGR_fec!I$5)</f>
        <v>0.38602362701844184</v>
      </c>
      <c r="J44" s="237">
        <f>IF(J$5=0,0,J$5/AGR_fec!J$5)</f>
        <v>0.38665053695605434</v>
      </c>
      <c r="K44" s="237">
        <f>IF(K$5=0,0,K$5/AGR_fec!K$5)</f>
        <v>0.38689703063630865</v>
      </c>
      <c r="L44" s="237">
        <f>IF(L$5=0,0,L$5/AGR_fec!L$5)</f>
        <v>0.38805204714828906</v>
      </c>
      <c r="M44" s="237">
        <f>IF(M$5=0,0,M$5/AGR_fec!M$5)</f>
        <v>0.39043545976610511</v>
      </c>
      <c r="N44" s="237">
        <f>IF(N$5=0,0,N$5/AGR_fec!N$5)</f>
        <v>0.39233583581794618</v>
      </c>
      <c r="O44" s="237">
        <f>IF(O$5=0,0,O$5/AGR_fec!O$5)</f>
        <v>0.39157096514124284</v>
      </c>
      <c r="P44" s="237">
        <f>IF(P$5=0,0,P$5/AGR_fec!P$5)</f>
        <v>0.38936745827217872</v>
      </c>
      <c r="Q44" s="237">
        <f>IF(Q$5=0,0,Q$5/AGR_fec!Q$5)</f>
        <v>0.38955447206184718</v>
      </c>
      <c r="R44" s="237">
        <f>IF(R$5=0,0,R$5/AGR_fec!R$5)</f>
        <v>0.38867311796001802</v>
      </c>
      <c r="S44" s="237">
        <f>IF(S$5=0,0,S$5/AGR_fec!S$5)</f>
        <v>0.39077734839021327</v>
      </c>
      <c r="T44" s="237">
        <f>IF(T$5=0,0,T$5/AGR_fec!T$5)</f>
        <v>0.38845601482832742</v>
      </c>
      <c r="U44" s="237">
        <f>IF(U$5=0,0,U$5/AGR_fec!U$5)</f>
        <v>0.3912998712264229</v>
      </c>
      <c r="V44" s="237">
        <f>IF(V$5=0,0,V$5/AGR_fec!V$5)</f>
        <v>0.39244034056085209</v>
      </c>
      <c r="W44" s="237">
        <f>IF(W$5=0,0,W$5/AGR_fec!W$5)</f>
        <v>0.39431552604287812</v>
      </c>
      <c r="X44" s="237">
        <f>IF(X$5=0,0,X$5/AGR_fec!X$5)</f>
        <v>0.39553220371680348</v>
      </c>
      <c r="Y44" s="237">
        <f>IF(Y$5=0,0,Y$5/AGR_fec!Y$5)</f>
        <v>0.39512562890476138</v>
      </c>
      <c r="DA44" s="286"/>
    </row>
    <row r="45" spans="1:105" x14ac:dyDescent="0.25">
      <c r="A45" s="238" t="s">
        <v>125</v>
      </c>
      <c r="B45" s="250">
        <f>IF(B$6=0,0,B$6/AGR_fec!B$6)</f>
        <v>0.46437028814295817</v>
      </c>
      <c r="C45" s="250">
        <f>IF(C$6=0,0,C$6/AGR_fec!C$6)</f>
        <v>0.46437028814295822</v>
      </c>
      <c r="D45" s="250">
        <f>IF(D$6=0,0,D$6/AGR_fec!D$6)</f>
        <v>0.46437028814295817</v>
      </c>
      <c r="E45" s="250">
        <f>IF(E$6=0,0,E$6/AGR_fec!E$6)</f>
        <v>0.46437028814295811</v>
      </c>
      <c r="F45" s="250">
        <f>IF(F$6=0,0,F$6/AGR_fec!F$6)</f>
        <v>0.46437028814295822</v>
      </c>
      <c r="G45" s="250">
        <f>IF(G$6=0,0,G$6/AGR_fec!G$6)</f>
        <v>0.46437028814295817</v>
      </c>
      <c r="H45" s="250">
        <f>IF(H$6=0,0,H$6/AGR_fec!H$6)</f>
        <v>0.46437028814295817</v>
      </c>
      <c r="I45" s="250">
        <f>IF(I$6=0,0,I$6/AGR_fec!I$6)</f>
        <v>0.46437028814295811</v>
      </c>
      <c r="J45" s="250">
        <f>IF(J$6=0,0,J$6/AGR_fec!J$6)</f>
        <v>0.46437028814295822</v>
      </c>
      <c r="K45" s="250">
        <f>IF(K$6=0,0,K$6/AGR_fec!K$6)</f>
        <v>0.46437028814295811</v>
      </c>
      <c r="L45" s="250">
        <f>IF(L$6=0,0,L$6/AGR_fec!L$6)</f>
        <v>0.46437028814295805</v>
      </c>
      <c r="M45" s="250">
        <f>IF(M$6=0,0,M$6/AGR_fec!M$6)</f>
        <v>0.46437028814295822</v>
      </c>
      <c r="N45" s="250">
        <f>IF(N$6=0,0,N$6/AGR_fec!N$6)</f>
        <v>0.46437028814295811</v>
      </c>
      <c r="O45" s="250">
        <f>IF(O$6=0,0,O$6/AGR_fec!O$6)</f>
        <v>0.46437028814295817</v>
      </c>
      <c r="P45" s="250">
        <f>IF(P$6=0,0,P$6/AGR_fec!P$6)</f>
        <v>0.46437028814295811</v>
      </c>
      <c r="Q45" s="250">
        <f>IF(Q$6=0,0,Q$6/AGR_fec!Q$6)</f>
        <v>0.46437028814295811</v>
      </c>
      <c r="R45" s="250">
        <f>IF(R$6=0,0,R$6/AGR_fec!R$6)</f>
        <v>0.46437028814295822</v>
      </c>
      <c r="S45" s="250">
        <f>IF(S$6=0,0,S$6/AGR_fec!S$6)</f>
        <v>0.46437028814295805</v>
      </c>
      <c r="T45" s="250">
        <f>IF(T$6=0,0,T$6/AGR_fec!T$6)</f>
        <v>0.46437028814295817</v>
      </c>
      <c r="U45" s="250">
        <f>IF(U$6=0,0,U$6/AGR_fec!U$6)</f>
        <v>0.46437028814295817</v>
      </c>
      <c r="V45" s="250">
        <f>IF(V$6=0,0,V$6/AGR_fec!V$6)</f>
        <v>0.46437028814295822</v>
      </c>
      <c r="W45" s="250">
        <f>IF(W$6=0,0,W$6/AGR_fec!W$6)</f>
        <v>0.46437028814295811</v>
      </c>
      <c r="X45" s="250">
        <f>IF(X$6=0,0,X$6/AGR_fec!X$6)</f>
        <v>0.46437028814295811</v>
      </c>
      <c r="Y45" s="250">
        <f>IF(Y$6=0,0,Y$6/AGR_fec!Y$6)</f>
        <v>0.46437028814295811</v>
      </c>
      <c r="DA45" s="287"/>
    </row>
    <row r="46" spans="1:105" x14ac:dyDescent="0.25">
      <c r="A46" s="240" t="s">
        <v>124</v>
      </c>
      <c r="B46" s="251">
        <f>IF(B$7=0,0,B$7/AGR_fec!B$7)</f>
        <v>0.46048254004704853</v>
      </c>
      <c r="C46" s="251">
        <f>IF(C$7=0,0,C$7/AGR_fec!C$7)</f>
        <v>0.46048254004704847</v>
      </c>
      <c r="D46" s="251">
        <f>IF(D$7=0,0,D$7/AGR_fec!D$7)</f>
        <v>0.46048254004704869</v>
      </c>
      <c r="E46" s="251">
        <f>IF(E$7=0,0,E$7/AGR_fec!E$7)</f>
        <v>0.46048254004704864</v>
      </c>
      <c r="F46" s="251">
        <f>IF(F$7=0,0,F$7/AGR_fec!F$7)</f>
        <v>0.46048254004704858</v>
      </c>
      <c r="G46" s="251">
        <f>IF(G$7=0,0,G$7/AGR_fec!G$7)</f>
        <v>0.46048254004704858</v>
      </c>
      <c r="H46" s="251">
        <f>IF(H$7=0,0,H$7/AGR_fec!H$7)</f>
        <v>0.46048254004704869</v>
      </c>
      <c r="I46" s="251">
        <f>IF(I$7=0,0,I$7/AGR_fec!I$7)</f>
        <v>0.46048254004704847</v>
      </c>
      <c r="J46" s="251">
        <f>IF(J$7=0,0,J$7/AGR_fec!J$7)</f>
        <v>0.46048254004704864</v>
      </c>
      <c r="K46" s="251">
        <f>IF(K$7=0,0,K$7/AGR_fec!K$7)</f>
        <v>0.46048254004704864</v>
      </c>
      <c r="L46" s="251">
        <f>IF(L$7=0,0,L$7/AGR_fec!L$7)</f>
        <v>0.46048254004704853</v>
      </c>
      <c r="M46" s="251">
        <f>IF(M$7=0,0,M$7/AGR_fec!M$7)</f>
        <v>0.46048254004704858</v>
      </c>
      <c r="N46" s="251">
        <f>IF(N$7=0,0,N$7/AGR_fec!N$7)</f>
        <v>0.46048254004704858</v>
      </c>
      <c r="O46" s="251">
        <f>IF(O$7=0,0,O$7/AGR_fec!O$7)</f>
        <v>0.46048254004704858</v>
      </c>
      <c r="P46" s="251">
        <f>IF(P$7=0,0,P$7/AGR_fec!P$7)</f>
        <v>0.46048254004704858</v>
      </c>
      <c r="Q46" s="251">
        <f>IF(Q$7=0,0,Q$7/AGR_fec!Q$7)</f>
        <v>0.46048254004704869</v>
      </c>
      <c r="R46" s="251">
        <f>IF(R$7=0,0,R$7/AGR_fec!R$7)</f>
        <v>0.46048254004704864</v>
      </c>
      <c r="S46" s="251">
        <f>IF(S$7=0,0,S$7/AGR_fec!S$7)</f>
        <v>0.46048254004704847</v>
      </c>
      <c r="T46" s="251">
        <f>IF(T$7=0,0,T$7/AGR_fec!T$7)</f>
        <v>0.46048254004704858</v>
      </c>
      <c r="U46" s="251">
        <f>IF(U$7=0,0,U$7/AGR_fec!U$7)</f>
        <v>0.46048254004704864</v>
      </c>
      <c r="V46" s="251">
        <f>IF(V$7=0,0,V$7/AGR_fec!V$7)</f>
        <v>0.46048254004704858</v>
      </c>
      <c r="W46" s="251">
        <f>IF(W$7=0,0,W$7/AGR_fec!W$7)</f>
        <v>0.46048254004704853</v>
      </c>
      <c r="X46" s="251">
        <f>IF(X$7=0,0,X$7/AGR_fec!X$7)</f>
        <v>0.46048254004704869</v>
      </c>
      <c r="Y46" s="251">
        <f>IF(Y$7=0,0,Y$7/AGR_fec!Y$7)</f>
        <v>0.46048254004704858</v>
      </c>
      <c r="DA46" s="288"/>
    </row>
    <row r="47" spans="1:105" x14ac:dyDescent="0.25">
      <c r="A47" s="240" t="s">
        <v>123</v>
      </c>
      <c r="B47" s="251">
        <f>IF(B$8=0,0,B$8/AGR_fec!B$8)</f>
        <v>0.66089526103969776</v>
      </c>
      <c r="C47" s="251">
        <f>IF(C$8=0,0,C$8/AGR_fec!C$8)</f>
        <v>0.66089526103969765</v>
      </c>
      <c r="D47" s="251">
        <f>IF(D$8=0,0,D$8/AGR_fec!D$8)</f>
        <v>0.66089526103969776</v>
      </c>
      <c r="E47" s="251">
        <f>IF(E$8=0,0,E$8/AGR_fec!E$8)</f>
        <v>0.66089526103969776</v>
      </c>
      <c r="F47" s="251">
        <f>IF(F$8=0,0,F$8/AGR_fec!F$8)</f>
        <v>0.66089526103969776</v>
      </c>
      <c r="G47" s="251">
        <f>IF(G$8=0,0,G$8/AGR_fec!G$8)</f>
        <v>0.66089526103969765</v>
      </c>
      <c r="H47" s="251">
        <f>IF(H$8=0,0,H$8/AGR_fec!H$8)</f>
        <v>0.66089526103969776</v>
      </c>
      <c r="I47" s="251">
        <f>IF(I$8=0,0,I$8/AGR_fec!I$8)</f>
        <v>0.66089526103969765</v>
      </c>
      <c r="J47" s="251">
        <f>IF(J$8=0,0,J$8/AGR_fec!J$8)</f>
        <v>0.66089526103969776</v>
      </c>
      <c r="K47" s="251">
        <f>IF(K$8=0,0,K$8/AGR_fec!K$8)</f>
        <v>0.66089526103969776</v>
      </c>
      <c r="L47" s="251">
        <f>IF(L$8=0,0,L$8/AGR_fec!L$8)</f>
        <v>0.66089526103969787</v>
      </c>
      <c r="M47" s="251">
        <f>IF(M$8=0,0,M$8/AGR_fec!M$8)</f>
        <v>0.66089526103969776</v>
      </c>
      <c r="N47" s="251">
        <f>IF(N$8=0,0,N$8/AGR_fec!N$8)</f>
        <v>0.66089526103969787</v>
      </c>
      <c r="O47" s="251">
        <f>IF(O$8=0,0,O$8/AGR_fec!O$8)</f>
        <v>0.66089526103969765</v>
      </c>
      <c r="P47" s="251">
        <f>IF(P$8=0,0,P$8/AGR_fec!P$8)</f>
        <v>0.66089526103969787</v>
      </c>
      <c r="Q47" s="251">
        <f>IF(Q$8=0,0,Q$8/AGR_fec!Q$8)</f>
        <v>0.66089526103969787</v>
      </c>
      <c r="R47" s="251">
        <f>IF(R$8=0,0,R$8/AGR_fec!R$8)</f>
        <v>0.66089526103969765</v>
      </c>
      <c r="S47" s="251">
        <f>IF(S$8=0,0,S$8/AGR_fec!S$8)</f>
        <v>0.66089526103969776</v>
      </c>
      <c r="T47" s="251">
        <f>IF(T$8=0,0,T$8/AGR_fec!T$8)</f>
        <v>0.66089526103969776</v>
      </c>
      <c r="U47" s="251">
        <f>IF(U$8=0,0,U$8/AGR_fec!U$8)</f>
        <v>0.66089526103969776</v>
      </c>
      <c r="V47" s="251">
        <f>IF(V$8=0,0,V$8/AGR_fec!V$8)</f>
        <v>0.66089526103969787</v>
      </c>
      <c r="W47" s="251">
        <f>IF(W$8=0,0,W$8/AGR_fec!W$8)</f>
        <v>0.66089526103969776</v>
      </c>
      <c r="X47" s="251">
        <f>IF(X$8=0,0,X$8/AGR_fec!X$8)</f>
        <v>0.66089526103969776</v>
      </c>
      <c r="Y47" s="251">
        <f>IF(Y$8=0,0,Y$8/AGR_fec!Y$8)</f>
        <v>0.66089526103969765</v>
      </c>
      <c r="DA47" s="288"/>
    </row>
    <row r="48" spans="1:105" x14ac:dyDescent="0.25">
      <c r="A48" s="242" t="s">
        <v>122</v>
      </c>
      <c r="B48" s="252">
        <f>IF(B$9=0,0,B$9/AGR_fec!B$9)</f>
        <v>0.62633972457827125</v>
      </c>
      <c r="C48" s="252">
        <f>IF(C$9=0,0,C$9/AGR_fec!C$9)</f>
        <v>0.62667362751705302</v>
      </c>
      <c r="D48" s="252">
        <f>IF(D$9=0,0,D$9/AGR_fec!D$9)</f>
        <v>0.62452187663921621</v>
      </c>
      <c r="E48" s="252">
        <f>IF(E$9=0,0,E$9/AGR_fec!E$9)</f>
        <v>0.62653826844857041</v>
      </c>
      <c r="F48" s="252">
        <f>IF(F$9=0,0,F$9/AGR_fec!F$9)</f>
        <v>0.62728194152466943</v>
      </c>
      <c r="G48" s="252">
        <f>IF(G$9=0,0,G$9/AGR_fec!G$9)</f>
        <v>0.62916052127243671</v>
      </c>
      <c r="H48" s="252">
        <f>IF(H$9=0,0,H$9/AGR_fec!H$9)</f>
        <v>0.63076305074353756</v>
      </c>
      <c r="I48" s="252">
        <f>IF(I$9=0,0,I$9/AGR_fec!I$9)</f>
        <v>0.63549788111870797</v>
      </c>
      <c r="J48" s="252">
        <f>IF(J$9=0,0,J$9/AGR_fec!J$9)</f>
        <v>0.63717369477675756</v>
      </c>
      <c r="K48" s="252">
        <f>IF(K$9=0,0,K$9/AGR_fec!K$9)</f>
        <v>0.63714004498795873</v>
      </c>
      <c r="L48" s="252">
        <f>IF(L$9=0,0,L$9/AGR_fec!L$9)</f>
        <v>0.63791537645916385</v>
      </c>
      <c r="M48" s="252">
        <f>IF(M$9=0,0,M$9/AGR_fec!M$9)</f>
        <v>0.64302398429240137</v>
      </c>
      <c r="N48" s="252">
        <f>IF(N$9=0,0,N$9/AGR_fec!N$9)</f>
        <v>0.64655776223582972</v>
      </c>
      <c r="O48" s="252">
        <f>IF(O$9=0,0,O$9/AGR_fec!O$9)</f>
        <v>0.64456774075363832</v>
      </c>
      <c r="P48" s="252">
        <f>IF(P$9=0,0,P$9/AGR_fec!P$9)</f>
        <v>0.64019823312405821</v>
      </c>
      <c r="Q48" s="252">
        <f>IF(Q$9=0,0,Q$9/AGR_fec!Q$9)</f>
        <v>0.64213555360785213</v>
      </c>
      <c r="R48" s="252">
        <f>IF(R$9=0,0,R$9/AGR_fec!R$9)</f>
        <v>0.63969838320161254</v>
      </c>
      <c r="S48" s="252">
        <f>IF(S$9=0,0,S$9/AGR_fec!S$9)</f>
        <v>0.64470147003790768</v>
      </c>
      <c r="T48" s="252">
        <f>IF(T$9=0,0,T$9/AGR_fec!T$9)</f>
        <v>0.6389290649326429</v>
      </c>
      <c r="U48" s="252">
        <f>IF(U$9=0,0,U$9/AGR_fec!U$9)</f>
        <v>0.64594440763940875</v>
      </c>
      <c r="V48" s="252">
        <f>IF(V$9=0,0,V$9/AGR_fec!V$9)</f>
        <v>0.64814575383363726</v>
      </c>
      <c r="W48" s="252">
        <f>IF(W$9=0,0,W$9/AGR_fec!W$9)</f>
        <v>0.6523793904734484</v>
      </c>
      <c r="X48" s="252">
        <f>IF(X$9=0,0,X$9/AGR_fec!X$9)</f>
        <v>0.65464572056621562</v>
      </c>
      <c r="Y48" s="252">
        <f>IF(Y$9=0,0,Y$9/AGR_fec!Y$9)</f>
        <v>0.65430011028165935</v>
      </c>
      <c r="DA48" s="289"/>
    </row>
    <row r="49" spans="1:105" x14ac:dyDescent="0.25">
      <c r="A49" s="127" t="s">
        <v>168</v>
      </c>
      <c r="B49" s="264">
        <f>IF(B$16=0,0,B$16/AGR_fec!B$16)</f>
        <v>0.33229395618925439</v>
      </c>
      <c r="C49" s="264">
        <f>IF(C$16=0,0,C$16/AGR_fec!C$16)</f>
        <v>0.33229395618925439</v>
      </c>
      <c r="D49" s="264">
        <f>IF(D$16=0,0,D$16/AGR_fec!D$16)</f>
        <v>0.33229395618925456</v>
      </c>
      <c r="E49" s="264">
        <f>IF(E$16=0,0,E$16/AGR_fec!E$16)</f>
        <v>0.3322939561892545</v>
      </c>
      <c r="F49" s="264">
        <f>IF(F$16=0,0,F$16/AGR_fec!F$16)</f>
        <v>0.33229395618925439</v>
      </c>
      <c r="G49" s="264">
        <f>IF(G$16=0,0,G$16/AGR_fec!G$16)</f>
        <v>0.33229395618925445</v>
      </c>
      <c r="H49" s="264">
        <f>IF(H$16=0,0,H$16/AGR_fec!H$16)</f>
        <v>0.3322939561892545</v>
      </c>
      <c r="I49" s="264">
        <f>IF(I$16=0,0,I$16/AGR_fec!I$16)</f>
        <v>0.3322939561892545</v>
      </c>
      <c r="J49" s="264">
        <f>IF(J$16=0,0,J$16/AGR_fec!J$16)</f>
        <v>0.3322939561892545</v>
      </c>
      <c r="K49" s="264">
        <f>IF(K$16=0,0,K$16/AGR_fec!K$16)</f>
        <v>0.33229395618925445</v>
      </c>
      <c r="L49" s="264">
        <f>IF(L$16=0,0,L$16/AGR_fec!L$16)</f>
        <v>0.33229395618925445</v>
      </c>
      <c r="M49" s="264">
        <f>IF(M$16=0,0,M$16/AGR_fec!M$16)</f>
        <v>0.33229395618925445</v>
      </c>
      <c r="N49" s="264">
        <f>IF(N$16=0,0,N$16/AGR_fec!N$16)</f>
        <v>0.33229395618925445</v>
      </c>
      <c r="O49" s="264">
        <f>IF(O$16=0,0,O$16/AGR_fec!O$16)</f>
        <v>0.3322939561892545</v>
      </c>
      <c r="P49" s="264">
        <f>IF(P$16=0,0,P$16/AGR_fec!P$16)</f>
        <v>0.33229395618925445</v>
      </c>
      <c r="Q49" s="264">
        <f>IF(Q$16=0,0,Q$16/AGR_fec!Q$16)</f>
        <v>0.3322939561892545</v>
      </c>
      <c r="R49" s="264">
        <f>IF(R$16=0,0,R$16/AGR_fec!R$16)</f>
        <v>0.33229395618925439</v>
      </c>
      <c r="S49" s="264">
        <f>IF(S$16=0,0,S$16/AGR_fec!S$16)</f>
        <v>0.33229395618925456</v>
      </c>
      <c r="T49" s="264">
        <f>IF(T$16=0,0,T$16/AGR_fec!T$16)</f>
        <v>0.33229395618925445</v>
      </c>
      <c r="U49" s="264">
        <f>IF(U$16=0,0,U$16/AGR_fec!U$16)</f>
        <v>0.33229395618925456</v>
      </c>
      <c r="V49" s="264">
        <f>IF(V$16=0,0,V$16/AGR_fec!V$16)</f>
        <v>0.33229395618925439</v>
      </c>
      <c r="W49" s="264">
        <f>IF(W$16=0,0,W$16/AGR_fec!W$16)</f>
        <v>0.3322939561892545</v>
      </c>
      <c r="X49" s="264">
        <f>IF(X$16=0,0,X$16/AGR_fec!X$16)</f>
        <v>0.33229395618925445</v>
      </c>
      <c r="Y49" s="264">
        <f>IF(Y$16=0,0,Y$16/AGR_fec!Y$16)</f>
        <v>0.33229395618925445</v>
      </c>
      <c r="DA49" s="290"/>
    </row>
    <row r="50" spans="1:105" x14ac:dyDescent="0.25">
      <c r="A50" s="127" t="s">
        <v>121</v>
      </c>
      <c r="B50" s="264">
        <f>IF(B$17=0,0,B$17/AGR_fec!B$17)</f>
        <v>0.26716931168100733</v>
      </c>
      <c r="C50" s="264">
        <f>IF(C$17=0,0,C$17/AGR_fec!C$17)</f>
        <v>0.26734464840639433</v>
      </c>
      <c r="D50" s="264">
        <f>IF(D$17=0,0,D$17/AGR_fec!D$17)</f>
        <v>0.26746608852838311</v>
      </c>
      <c r="E50" s="264">
        <f>IF(E$17=0,0,E$17/AGR_fec!E$17)</f>
        <v>0.26798318227571111</v>
      </c>
      <c r="F50" s="264">
        <f>IF(F$17=0,0,F$17/AGR_fec!F$17)</f>
        <v>0.26793454760436708</v>
      </c>
      <c r="G50" s="264">
        <f>IF(G$17=0,0,G$17/AGR_fec!G$17)</f>
        <v>0.26833755261384146</v>
      </c>
      <c r="H50" s="264">
        <f>IF(H$17=0,0,H$17/AGR_fec!H$17)</f>
        <v>0.26810340789703424</v>
      </c>
      <c r="I50" s="264">
        <f>IF(I$17=0,0,I$17/AGR_fec!I$17)</f>
        <v>0.26812424471487867</v>
      </c>
      <c r="J50" s="264">
        <f>IF(J$17=0,0,J$17/AGR_fec!J$17)</f>
        <v>0.26778570978507421</v>
      </c>
      <c r="K50" s="264">
        <f>IF(K$17=0,0,K$17/AGR_fec!K$17)</f>
        <v>0.2678507442229221</v>
      </c>
      <c r="L50" s="264">
        <f>IF(L$17=0,0,L$17/AGR_fec!L$17)</f>
        <v>0.26952970533847381</v>
      </c>
      <c r="M50" s="264">
        <f>IF(M$17=0,0,M$17/AGR_fec!M$17)</f>
        <v>0.2693590228406984</v>
      </c>
      <c r="N50" s="264">
        <f>IF(N$17=0,0,N$17/AGR_fec!N$17)</f>
        <v>0.26966567569137634</v>
      </c>
      <c r="O50" s="264">
        <f>IF(O$17=0,0,O$17/AGR_fec!O$17)</f>
        <v>0.26959948659771821</v>
      </c>
      <c r="P50" s="264">
        <f>IF(P$17=0,0,P$17/AGR_fec!P$17)</f>
        <v>0.2689050240638195</v>
      </c>
      <c r="Q50" s="264">
        <f>IF(Q$17=0,0,Q$17/AGR_fec!Q$17)</f>
        <v>0.26886091412223162</v>
      </c>
      <c r="R50" s="264">
        <f>IF(R$17=0,0,R$17/AGR_fec!R$17)</f>
        <v>0.26778786993077963</v>
      </c>
      <c r="S50" s="264">
        <f>IF(S$17=0,0,S$17/AGR_fec!S$17)</f>
        <v>0.26770699336979831</v>
      </c>
      <c r="T50" s="264">
        <f>IF(T$17=0,0,T$17/AGR_fec!T$17)</f>
        <v>0.26788265879212886</v>
      </c>
      <c r="U50" s="264">
        <f>IF(U$17=0,0,U$17/AGR_fec!U$17)</f>
        <v>0.26773761625655557</v>
      </c>
      <c r="V50" s="264">
        <f>IF(V$17=0,0,V$17/AGR_fec!V$17)</f>
        <v>0.26796085698038286</v>
      </c>
      <c r="W50" s="264">
        <f>IF(W$17=0,0,W$17/AGR_fec!W$17)</f>
        <v>0.27115299167700047</v>
      </c>
      <c r="X50" s="264">
        <f>IF(X$17=0,0,X$17/AGR_fec!X$17)</f>
        <v>0.27195501263173588</v>
      </c>
      <c r="Y50" s="264">
        <f>IF(Y$17=0,0,Y$17/AGR_fec!Y$17)</f>
        <v>0.271685969868527</v>
      </c>
      <c r="DA50" s="290"/>
    </row>
    <row r="51" spans="1:105" x14ac:dyDescent="0.25">
      <c r="A51" s="127" t="s">
        <v>167</v>
      </c>
      <c r="B51" s="264">
        <f>IF(B$25=0,0,B$25/AGR_fec!B$25)</f>
        <v>0.23260576933247812</v>
      </c>
      <c r="C51" s="264">
        <f>IF(C$25=0,0,C$25/AGR_fec!C$25)</f>
        <v>0.23260576933247815</v>
      </c>
      <c r="D51" s="264">
        <f>IF(D$25=0,0,D$25/AGR_fec!D$25)</f>
        <v>0.23260576933247804</v>
      </c>
      <c r="E51" s="264">
        <f>IF(E$25=0,0,E$25/AGR_fec!E$25)</f>
        <v>0.23260576933247804</v>
      </c>
      <c r="F51" s="264">
        <f>IF(F$25=0,0,F$25/AGR_fec!F$25)</f>
        <v>0.23260576933247815</v>
      </c>
      <c r="G51" s="264">
        <f>IF(G$25=0,0,G$25/AGR_fec!G$25)</f>
        <v>0.23260576933247806</v>
      </c>
      <c r="H51" s="264">
        <f>IF(H$25=0,0,H$25/AGR_fec!H$25)</f>
        <v>0.23260576933247812</v>
      </c>
      <c r="I51" s="264">
        <f>IF(I$25=0,0,I$25/AGR_fec!I$25)</f>
        <v>0.23260576933247817</v>
      </c>
      <c r="J51" s="264">
        <f>IF(J$25=0,0,J$25/AGR_fec!J$25)</f>
        <v>0.23260576933247798</v>
      </c>
      <c r="K51" s="264">
        <f>IF(K$25=0,0,K$25/AGR_fec!K$25)</f>
        <v>0.23260576933247806</v>
      </c>
      <c r="L51" s="264">
        <f>IF(L$25=0,0,L$25/AGR_fec!L$25)</f>
        <v>0.23260576933247812</v>
      </c>
      <c r="M51" s="264">
        <f>IF(M$25=0,0,M$25/AGR_fec!M$25)</f>
        <v>0.23260576933247806</v>
      </c>
      <c r="N51" s="264">
        <f>IF(N$25=0,0,N$25/AGR_fec!N$25)</f>
        <v>0.23260576933247812</v>
      </c>
      <c r="O51" s="264">
        <f>IF(O$25=0,0,O$25/AGR_fec!O$25)</f>
        <v>0.23260576933247806</v>
      </c>
      <c r="P51" s="264">
        <f>IF(P$25=0,0,P$25/AGR_fec!P$25)</f>
        <v>0.23260576933247812</v>
      </c>
      <c r="Q51" s="264">
        <f>IF(Q$25=0,0,Q$25/AGR_fec!Q$25)</f>
        <v>0.23260576933247798</v>
      </c>
      <c r="R51" s="264">
        <f>IF(R$25=0,0,R$25/AGR_fec!R$25)</f>
        <v>0.23260576933247812</v>
      </c>
      <c r="S51" s="264">
        <f>IF(S$25=0,0,S$25/AGR_fec!S$25)</f>
        <v>0.23260576933247806</v>
      </c>
      <c r="T51" s="264">
        <f>IF(T$25=0,0,T$25/AGR_fec!T$25)</f>
        <v>0.23260576933247798</v>
      </c>
      <c r="U51" s="264">
        <f>IF(U$25=0,0,U$25/AGR_fec!U$25)</f>
        <v>0.23260576933247817</v>
      </c>
      <c r="V51" s="264">
        <f>IF(V$25=0,0,V$25/AGR_fec!V$25)</f>
        <v>0.23260576933247806</v>
      </c>
      <c r="W51" s="264">
        <f>IF(W$25=0,0,W$25/AGR_fec!W$25)</f>
        <v>0.23260576933247809</v>
      </c>
      <c r="X51" s="264">
        <f>IF(X$25=0,0,X$25/AGR_fec!X$25)</f>
        <v>0.23260576933247815</v>
      </c>
      <c r="Y51" s="264">
        <f>IF(Y$25=0,0,Y$25/AGR_fec!Y$25)</f>
        <v>0.23260576933247812</v>
      </c>
      <c r="DA51" s="290"/>
    </row>
    <row r="52" spans="1:105" x14ac:dyDescent="0.25">
      <c r="A52" s="127" t="s">
        <v>170</v>
      </c>
      <c r="B52" s="264">
        <f>IF(B$26=0,0,B$26/AGR_fec!B$26)</f>
        <v>0.46048254004704864</v>
      </c>
      <c r="C52" s="264">
        <f>IF(C$26=0,0,C$26/AGR_fec!C$26)</f>
        <v>0.46048254004704858</v>
      </c>
      <c r="D52" s="264">
        <f>IF(D$26=0,0,D$26/AGR_fec!D$26)</f>
        <v>0.46048254004704864</v>
      </c>
      <c r="E52" s="264">
        <f>IF(E$26=0,0,E$26/AGR_fec!E$26)</f>
        <v>0.46048254004704853</v>
      </c>
      <c r="F52" s="264">
        <f>IF(F$26=0,0,F$26/AGR_fec!F$26)</f>
        <v>0.46048254004704864</v>
      </c>
      <c r="G52" s="264">
        <f>IF(G$26=0,0,G$26/AGR_fec!G$26)</f>
        <v>0.46048254004704853</v>
      </c>
      <c r="H52" s="264">
        <f>IF(H$26=0,0,H$26/AGR_fec!H$26)</f>
        <v>0.46048254004704858</v>
      </c>
      <c r="I52" s="264">
        <f>IF(I$26=0,0,I$26/AGR_fec!I$26)</f>
        <v>0.46048254004704853</v>
      </c>
      <c r="J52" s="264">
        <f>IF(J$26=0,0,J$26/AGR_fec!J$26)</f>
        <v>0.46048254004704869</v>
      </c>
      <c r="K52" s="264">
        <f>IF(K$26=0,0,K$26/AGR_fec!K$26)</f>
        <v>0.46048254004704842</v>
      </c>
      <c r="L52" s="264">
        <f>IF(L$26=0,0,L$26/AGR_fec!L$26)</f>
        <v>0.46048254004704858</v>
      </c>
      <c r="M52" s="264">
        <f>IF(M$26=0,0,M$26/AGR_fec!M$26)</f>
        <v>0.46048254004704864</v>
      </c>
      <c r="N52" s="264">
        <f>IF(N$26=0,0,N$26/AGR_fec!N$26)</f>
        <v>0.46048254004704853</v>
      </c>
      <c r="O52" s="264">
        <f>IF(O$26=0,0,O$26/AGR_fec!O$26)</f>
        <v>0.46048254004704864</v>
      </c>
      <c r="P52" s="264">
        <f>IF(P$26=0,0,P$26/AGR_fec!P$26)</f>
        <v>0.46048254004704842</v>
      </c>
      <c r="Q52" s="264">
        <f>IF(Q$26=0,0,Q$26/AGR_fec!Q$26)</f>
        <v>0.46048254004704847</v>
      </c>
      <c r="R52" s="264">
        <f>IF(R$26=0,0,R$26/AGR_fec!R$26)</f>
        <v>0.46048254004704858</v>
      </c>
      <c r="S52" s="264">
        <f>IF(S$26=0,0,S$26/AGR_fec!S$26)</f>
        <v>0.46048254004704858</v>
      </c>
      <c r="T52" s="264">
        <f>IF(T$26=0,0,T$26/AGR_fec!T$26)</f>
        <v>0.46048254004704858</v>
      </c>
      <c r="U52" s="264">
        <f>IF(U$26=0,0,U$26/AGR_fec!U$26)</f>
        <v>0.46048254004704864</v>
      </c>
      <c r="V52" s="264">
        <f>IF(V$26=0,0,V$26/AGR_fec!V$26)</f>
        <v>0.46048254004704847</v>
      </c>
      <c r="W52" s="264">
        <f>IF(W$26=0,0,W$26/AGR_fec!W$26)</f>
        <v>0.46048254004704858</v>
      </c>
      <c r="X52" s="264">
        <f>IF(X$26=0,0,X$26/AGR_fec!X$26)</f>
        <v>0.46048254004704858</v>
      </c>
      <c r="Y52" s="264">
        <f>IF(Y$26=0,0,Y$26/AGR_fec!Y$26)</f>
        <v>0.46048254004704864</v>
      </c>
      <c r="DA52" s="290"/>
    </row>
    <row r="53" spans="1:105" x14ac:dyDescent="0.25">
      <c r="A53" s="260" t="s">
        <v>33</v>
      </c>
      <c r="B53" s="265">
        <f>IF(B$27=0,0,B$27/AGR_fec!B$27)</f>
        <v>0.48400359076664923</v>
      </c>
      <c r="C53" s="265">
        <f>IF(C$27=0,0,C$27/AGR_fec!C$27)</f>
        <v>0.48400359076664939</v>
      </c>
      <c r="D53" s="265">
        <f>IF(D$27=0,0,D$27/AGR_fec!D$27)</f>
        <v>0.48400359076664945</v>
      </c>
      <c r="E53" s="265">
        <f>IF(E$27=0,0,E$27/AGR_fec!E$27)</f>
        <v>0.48400359076664945</v>
      </c>
      <c r="F53" s="265">
        <f>IF(F$27=0,0,F$27/AGR_fec!F$27)</f>
        <v>0.48400359076664962</v>
      </c>
      <c r="G53" s="265">
        <f>IF(G$27=0,0,G$27/AGR_fec!G$27)</f>
        <v>0.48400359076664956</v>
      </c>
      <c r="H53" s="265">
        <f>IF(H$27=0,0,H$27/AGR_fec!H$27)</f>
        <v>0.48400359076664956</v>
      </c>
      <c r="I53" s="265">
        <f>IF(I$27=0,0,I$27/AGR_fec!I$27)</f>
        <v>0.48400359076664956</v>
      </c>
      <c r="J53" s="265">
        <f>IF(J$27=0,0,J$27/AGR_fec!J$27)</f>
        <v>0.48400359076664939</v>
      </c>
      <c r="K53" s="265">
        <f>IF(K$27=0,0,K$27/AGR_fec!K$27)</f>
        <v>0.48400359076664945</v>
      </c>
      <c r="L53" s="265">
        <f>IF(L$27=0,0,L$27/AGR_fec!L$27)</f>
        <v>0.48400359076664962</v>
      </c>
      <c r="M53" s="265">
        <f>IF(M$27=0,0,M$27/AGR_fec!M$27)</f>
        <v>0.48400359076664928</v>
      </c>
      <c r="N53" s="265">
        <f>IF(N$27=0,0,N$27/AGR_fec!N$27)</f>
        <v>0.48400359076664934</v>
      </c>
      <c r="O53" s="265">
        <f>IF(O$27=0,0,O$27/AGR_fec!O$27)</f>
        <v>0.48400359076664939</v>
      </c>
      <c r="P53" s="265">
        <f>IF(P$27=0,0,P$27/AGR_fec!P$27)</f>
        <v>0.48400359076664967</v>
      </c>
      <c r="Q53" s="265">
        <f>IF(Q$27=0,0,Q$27/AGR_fec!Q$27)</f>
        <v>0.48400359076664939</v>
      </c>
      <c r="R53" s="265">
        <f>IF(R$27=0,0,R$27/AGR_fec!R$27)</f>
        <v>0.48400359076664956</v>
      </c>
      <c r="S53" s="265">
        <f>IF(S$27=0,0,S$27/AGR_fec!S$27)</f>
        <v>0.48400359076664951</v>
      </c>
      <c r="T53" s="265">
        <f>IF(T$27=0,0,T$27/AGR_fec!T$27)</f>
        <v>0.48400359076664928</v>
      </c>
      <c r="U53" s="265">
        <f>IF(U$27=0,0,U$27/AGR_fec!U$27)</f>
        <v>0.48400359076664923</v>
      </c>
      <c r="V53" s="265">
        <f>IF(V$27=0,0,V$27/AGR_fec!V$27)</f>
        <v>0.48400359076664939</v>
      </c>
      <c r="W53" s="265">
        <f>IF(W$27=0,0,W$27/AGR_fec!W$27)</f>
        <v>0.48400359076664945</v>
      </c>
      <c r="X53" s="265">
        <f>IF(X$27=0,0,X$27/AGR_fec!X$27)</f>
        <v>0.48400359076664945</v>
      </c>
      <c r="Y53" s="265">
        <f>IF(Y$27=0,0,Y$27/AGR_fec!Y$27)</f>
        <v>0.48400359076664945</v>
      </c>
      <c r="DA53" s="291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Y5 B9:Y9 B17:Y17" formulaRange="1"/>
  </ignoredError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2" tint="-0.499984740745262"/>
    <pageSetUpPr fitToPage="1"/>
  </sheetPr>
  <dimension ref="A1:DA53"/>
  <sheetViews>
    <sheetView showGridLines="0" zoomScaleNormal="100" workbookViewId="0">
      <pane xSplit="1" ySplit="1" topLeftCell="E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1.25" x14ac:dyDescent="0.25"/>
  <cols>
    <col min="1" max="1" width="50.7109375" style="1" customWidth="1"/>
    <col min="2" max="25" width="9.7109375" style="1" customWidth="1"/>
    <col min="26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1036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X1" s="27">
        <v>2022</v>
      </c>
      <c r="Y1" s="27">
        <v>2023</v>
      </c>
      <c r="DA1" s="87" t="s">
        <v>150</v>
      </c>
    </row>
    <row r="3" spans="1:105" ht="12.75" x14ac:dyDescent="0.25">
      <c r="A3" s="232" t="s">
        <v>136</v>
      </c>
      <c r="B3" s="231"/>
      <c r="C3" s="231"/>
      <c r="D3" s="231"/>
      <c r="E3" s="231"/>
      <c r="F3" s="231"/>
      <c r="G3" s="231"/>
      <c r="H3" s="231"/>
      <c r="I3" s="231"/>
      <c r="J3" s="231"/>
      <c r="K3" s="231"/>
      <c r="L3" s="231"/>
      <c r="M3" s="231"/>
      <c r="N3" s="231"/>
      <c r="O3" s="231"/>
      <c r="P3" s="231"/>
      <c r="Q3" s="231"/>
      <c r="R3" s="231"/>
      <c r="S3" s="231"/>
      <c r="T3" s="231"/>
      <c r="U3" s="231"/>
      <c r="V3" s="231"/>
      <c r="W3" s="231"/>
      <c r="X3" s="231"/>
      <c r="Y3" s="231"/>
      <c r="DA3" s="266"/>
    </row>
    <row r="5" spans="1:105" ht="12.75" x14ac:dyDescent="0.25">
      <c r="A5" s="233" t="s">
        <v>126</v>
      </c>
      <c r="B5" s="80">
        <f>SUM(B6:B9,B16:B17,B25:B27)</f>
        <v>8127.6145999186901</v>
      </c>
      <c r="C5" s="80">
        <f t="shared" ref="C5:W5" si="0">SUM(C6:C9,C16:C17,C25:C27)</f>
        <v>8428.2188637571744</v>
      </c>
      <c r="D5" s="80">
        <f t="shared" si="0"/>
        <v>8378.157047038203</v>
      </c>
      <c r="E5" s="80">
        <f t="shared" si="0"/>
        <v>8425.4503291170731</v>
      </c>
      <c r="F5" s="80">
        <f t="shared" si="0"/>
        <v>8383.9865749173059</v>
      </c>
      <c r="G5" s="80">
        <f t="shared" si="0"/>
        <v>8458.5914719177435</v>
      </c>
      <c r="H5" s="80">
        <f t="shared" si="0"/>
        <v>8328.6730598384547</v>
      </c>
      <c r="I5" s="80">
        <f t="shared" si="0"/>
        <v>7934.6577560382566</v>
      </c>
      <c r="J5" s="80">
        <f t="shared" si="0"/>
        <v>7671.814304397275</v>
      </c>
      <c r="K5" s="80">
        <f t="shared" si="0"/>
        <v>7750.3385959185807</v>
      </c>
      <c r="L5" s="80">
        <f t="shared" si="0"/>
        <v>7331.2570468784688</v>
      </c>
      <c r="M5" s="80">
        <f t="shared" si="0"/>
        <v>7186.9092767970424</v>
      </c>
      <c r="N5" s="80">
        <f t="shared" si="0"/>
        <v>6878.4508799976456</v>
      </c>
      <c r="O5" s="80">
        <f t="shared" si="0"/>
        <v>6808.805657278006</v>
      </c>
      <c r="P5" s="80">
        <f t="shared" si="0"/>
        <v>6812.9128789172619</v>
      </c>
      <c r="Q5" s="80">
        <f t="shared" si="0"/>
        <v>6946.0797131984118</v>
      </c>
      <c r="R5" s="80">
        <f t="shared" si="0"/>
        <v>7023.0889745972745</v>
      </c>
      <c r="S5" s="80">
        <f t="shared" si="0"/>
        <v>7044.177208368119</v>
      </c>
      <c r="T5" s="80">
        <f t="shared" si="0"/>
        <v>7443.4895599556276</v>
      </c>
      <c r="U5" s="80">
        <f t="shared" si="0"/>
        <v>7042.5625279678934</v>
      </c>
      <c r="V5" s="80">
        <f t="shared" si="0"/>
        <v>7090.6351080060585</v>
      </c>
      <c r="W5" s="80">
        <f t="shared" si="0"/>
        <v>7470.9590925172124</v>
      </c>
      <c r="X5" s="80">
        <f t="shared" ref="X5:Y5" si="1">SUM(X6:X9,X16:X17,X25:X27)</f>
        <v>7237.5880138182874</v>
      </c>
      <c r="Y5" s="80">
        <f t="shared" si="1"/>
        <v>6947.5685659284163</v>
      </c>
      <c r="DA5" s="103"/>
    </row>
    <row r="6" spans="1:105" x14ac:dyDescent="0.25">
      <c r="A6" s="238" t="s">
        <v>125</v>
      </c>
      <c r="B6" s="239">
        <v>0</v>
      </c>
      <c r="C6" s="239">
        <v>0</v>
      </c>
      <c r="D6" s="239">
        <v>0</v>
      </c>
      <c r="E6" s="239">
        <v>0</v>
      </c>
      <c r="F6" s="239">
        <v>0</v>
      </c>
      <c r="G6" s="239">
        <v>0</v>
      </c>
      <c r="H6" s="239">
        <v>0</v>
      </c>
      <c r="I6" s="239">
        <v>0</v>
      </c>
      <c r="J6" s="239">
        <v>0</v>
      </c>
      <c r="K6" s="239">
        <v>0</v>
      </c>
      <c r="L6" s="239">
        <v>0</v>
      </c>
      <c r="M6" s="239">
        <v>0</v>
      </c>
      <c r="N6" s="239">
        <v>0</v>
      </c>
      <c r="O6" s="239">
        <v>0</v>
      </c>
      <c r="P6" s="239">
        <v>0</v>
      </c>
      <c r="Q6" s="239">
        <v>0</v>
      </c>
      <c r="R6" s="239">
        <v>0</v>
      </c>
      <c r="S6" s="239">
        <v>0</v>
      </c>
      <c r="T6" s="239">
        <v>0</v>
      </c>
      <c r="U6" s="239">
        <v>0</v>
      </c>
      <c r="V6" s="239">
        <v>0</v>
      </c>
      <c r="W6" s="239">
        <v>0</v>
      </c>
      <c r="X6" s="239">
        <v>0</v>
      </c>
      <c r="Y6" s="239">
        <v>0</v>
      </c>
      <c r="DA6" s="267" t="s">
        <v>1037</v>
      </c>
    </row>
    <row r="7" spans="1:105" x14ac:dyDescent="0.25">
      <c r="A7" s="240" t="s">
        <v>124</v>
      </c>
      <c r="B7" s="241">
        <v>0</v>
      </c>
      <c r="C7" s="241">
        <v>0</v>
      </c>
      <c r="D7" s="241">
        <v>0</v>
      </c>
      <c r="E7" s="241">
        <v>0</v>
      </c>
      <c r="F7" s="241">
        <v>0</v>
      </c>
      <c r="G7" s="241">
        <v>0</v>
      </c>
      <c r="H7" s="241">
        <v>0</v>
      </c>
      <c r="I7" s="241">
        <v>0</v>
      </c>
      <c r="J7" s="241">
        <v>0</v>
      </c>
      <c r="K7" s="241">
        <v>0</v>
      </c>
      <c r="L7" s="241">
        <v>0</v>
      </c>
      <c r="M7" s="241">
        <v>0</v>
      </c>
      <c r="N7" s="241">
        <v>0</v>
      </c>
      <c r="O7" s="241">
        <v>0</v>
      </c>
      <c r="P7" s="241">
        <v>0</v>
      </c>
      <c r="Q7" s="241">
        <v>0</v>
      </c>
      <c r="R7" s="241">
        <v>0</v>
      </c>
      <c r="S7" s="241">
        <v>0</v>
      </c>
      <c r="T7" s="241">
        <v>0</v>
      </c>
      <c r="U7" s="241">
        <v>0</v>
      </c>
      <c r="V7" s="241">
        <v>0</v>
      </c>
      <c r="W7" s="241">
        <v>0</v>
      </c>
      <c r="X7" s="241">
        <v>0</v>
      </c>
      <c r="Y7" s="241">
        <v>0</v>
      </c>
      <c r="DA7" s="268" t="s">
        <v>1038</v>
      </c>
    </row>
    <row r="8" spans="1:105" x14ac:dyDescent="0.25">
      <c r="A8" s="240" t="s">
        <v>123</v>
      </c>
      <c r="B8" s="241">
        <v>0</v>
      </c>
      <c r="C8" s="241">
        <v>0</v>
      </c>
      <c r="D8" s="241">
        <v>0</v>
      </c>
      <c r="E8" s="241">
        <v>0</v>
      </c>
      <c r="F8" s="241">
        <v>0</v>
      </c>
      <c r="G8" s="241">
        <v>0</v>
      </c>
      <c r="H8" s="241">
        <v>0</v>
      </c>
      <c r="I8" s="241">
        <v>0</v>
      </c>
      <c r="J8" s="241">
        <v>0</v>
      </c>
      <c r="K8" s="241">
        <v>0</v>
      </c>
      <c r="L8" s="241">
        <v>0</v>
      </c>
      <c r="M8" s="241">
        <v>0</v>
      </c>
      <c r="N8" s="241">
        <v>0</v>
      </c>
      <c r="O8" s="241">
        <v>0</v>
      </c>
      <c r="P8" s="241">
        <v>0</v>
      </c>
      <c r="Q8" s="241">
        <v>0</v>
      </c>
      <c r="R8" s="241">
        <v>0</v>
      </c>
      <c r="S8" s="241">
        <v>0</v>
      </c>
      <c r="T8" s="241">
        <v>0</v>
      </c>
      <c r="U8" s="241">
        <v>0</v>
      </c>
      <c r="V8" s="241">
        <v>0</v>
      </c>
      <c r="W8" s="241">
        <v>0</v>
      </c>
      <c r="X8" s="241">
        <v>0</v>
      </c>
      <c r="Y8" s="241">
        <v>0</v>
      </c>
      <c r="DA8" s="268" t="s">
        <v>1039</v>
      </c>
    </row>
    <row r="9" spans="1:105" x14ac:dyDescent="0.25">
      <c r="A9" s="242" t="s">
        <v>122</v>
      </c>
      <c r="B9" s="243">
        <f>SUM(B10:B15)</f>
        <v>1651.6279670741799</v>
      </c>
      <c r="C9" s="243">
        <f t="shared" ref="C9:W9" si="2">SUM(C10:C15)</f>
        <v>1713.9684398614434</v>
      </c>
      <c r="D9" s="243">
        <f t="shared" si="2"/>
        <v>1717.6165331566485</v>
      </c>
      <c r="E9" s="243">
        <f t="shared" si="2"/>
        <v>1722.5114920616807</v>
      </c>
      <c r="F9" s="243">
        <f t="shared" si="2"/>
        <v>1707.8454166956969</v>
      </c>
      <c r="G9" s="243">
        <f t="shared" si="2"/>
        <v>1717.4695883907091</v>
      </c>
      <c r="H9" s="243">
        <f t="shared" si="2"/>
        <v>1679.1588298025395</v>
      </c>
      <c r="I9" s="243">
        <f t="shared" si="2"/>
        <v>1577.0011614500384</v>
      </c>
      <c r="J9" s="243">
        <f t="shared" si="2"/>
        <v>1516.4804039975113</v>
      </c>
      <c r="K9" s="243">
        <f t="shared" si="2"/>
        <v>1523.4256309725515</v>
      </c>
      <c r="L9" s="243">
        <f t="shared" si="2"/>
        <v>1444.9488192657234</v>
      </c>
      <c r="M9" s="243">
        <f t="shared" si="2"/>
        <v>1385.3692059507334</v>
      </c>
      <c r="N9" s="243">
        <f t="shared" si="2"/>
        <v>1305.4580215764902</v>
      </c>
      <c r="O9" s="243">
        <f t="shared" si="2"/>
        <v>1296.815668730366</v>
      </c>
      <c r="P9" s="243">
        <f t="shared" si="2"/>
        <v>1321.8461806092723</v>
      </c>
      <c r="Q9" s="243">
        <f t="shared" si="2"/>
        <v>1357.1115126508278</v>
      </c>
      <c r="R9" s="243">
        <f t="shared" si="2"/>
        <v>1386.7377883567754</v>
      </c>
      <c r="S9" s="243">
        <f t="shared" si="2"/>
        <v>1370.0703143924075</v>
      </c>
      <c r="T9" s="243">
        <f t="shared" si="2"/>
        <v>1473.1213852094884</v>
      </c>
      <c r="U9" s="243">
        <f t="shared" si="2"/>
        <v>1361.5977119900967</v>
      </c>
      <c r="V9" s="243">
        <f t="shared" si="2"/>
        <v>1358.7939667192934</v>
      </c>
      <c r="W9" s="243">
        <f t="shared" si="2"/>
        <v>1447.110235988245</v>
      </c>
      <c r="X9" s="243">
        <f t="shared" ref="X9:Y9" si="3">SUM(X10:X15)</f>
        <v>1394.5107643754309</v>
      </c>
      <c r="Y9" s="243">
        <f t="shared" si="3"/>
        <v>1346.1795272544359</v>
      </c>
      <c r="DA9" s="269"/>
    </row>
    <row r="10" spans="1:105" x14ac:dyDescent="0.25">
      <c r="A10" s="253" t="s">
        <v>166</v>
      </c>
      <c r="B10" s="254">
        <v>1554.698820672483</v>
      </c>
      <c r="C10" s="254">
        <v>1613.876288280557</v>
      </c>
      <c r="D10" s="254">
        <v>1618.67000070484</v>
      </c>
      <c r="E10" s="254">
        <v>1615.0967828336311</v>
      </c>
      <c r="F10" s="254">
        <v>1595.649394647895</v>
      </c>
      <c r="G10" s="254">
        <v>1580.9806395074679</v>
      </c>
      <c r="H10" s="254">
        <v>1560.0397768744281</v>
      </c>
      <c r="I10" s="254">
        <v>1453.0368267294591</v>
      </c>
      <c r="J10" s="254">
        <v>1408.3156857098761</v>
      </c>
      <c r="K10" s="254">
        <v>1412.216577362836</v>
      </c>
      <c r="L10" s="254">
        <v>1333.2046393935279</v>
      </c>
      <c r="M10" s="254">
        <v>1285.113573622554</v>
      </c>
      <c r="N10" s="254">
        <v>1208.0212161359179</v>
      </c>
      <c r="O10" s="254">
        <v>1199.3804828200859</v>
      </c>
      <c r="P10" s="254">
        <v>1228.370975684006</v>
      </c>
      <c r="Q10" s="254">
        <v>1249.03649937809</v>
      </c>
      <c r="R10" s="254">
        <v>1286.6002474334821</v>
      </c>
      <c r="S10" s="254">
        <v>1266.6556143082421</v>
      </c>
      <c r="T10" s="254">
        <v>1367.726254973345</v>
      </c>
      <c r="U10" s="254">
        <v>1254.2496828424939</v>
      </c>
      <c r="V10" s="254">
        <v>1256.6958040946299</v>
      </c>
      <c r="W10" s="254">
        <v>1184.803482557543</v>
      </c>
      <c r="X10" s="254">
        <v>1106.5812386306691</v>
      </c>
      <c r="Y10" s="254">
        <v>1069.8907548887889</v>
      </c>
      <c r="DA10" s="270" t="s">
        <v>1040</v>
      </c>
    </row>
    <row r="11" spans="1:105" x14ac:dyDescent="0.25">
      <c r="A11" s="253" t="s">
        <v>169</v>
      </c>
      <c r="B11" s="255">
        <v>96.929146401696983</v>
      </c>
      <c r="C11" s="255">
        <v>100.09215158088629</v>
      </c>
      <c r="D11" s="255">
        <v>98.946532451808423</v>
      </c>
      <c r="E11" s="255">
        <v>107.4147092280495</v>
      </c>
      <c r="F11" s="255">
        <v>112.1960220478019</v>
      </c>
      <c r="G11" s="255">
        <v>136.48894888324119</v>
      </c>
      <c r="H11" s="255">
        <v>119.1190529281113</v>
      </c>
      <c r="I11" s="255">
        <v>123.9643347205793</v>
      </c>
      <c r="J11" s="255">
        <v>108.1647182876352</v>
      </c>
      <c r="K11" s="255">
        <v>111.2090536097154</v>
      </c>
      <c r="L11" s="255">
        <v>111.7441798721955</v>
      </c>
      <c r="M11" s="255">
        <v>100.2556323281794</v>
      </c>
      <c r="N11" s="255">
        <v>97.436805440572257</v>
      </c>
      <c r="O11" s="255">
        <v>97.435185910279998</v>
      </c>
      <c r="P11" s="255">
        <v>93.475204925266382</v>
      </c>
      <c r="Q11" s="255">
        <v>108.07501327273771</v>
      </c>
      <c r="R11" s="255">
        <v>100.1375409232932</v>
      </c>
      <c r="S11" s="255">
        <v>103.4147000841654</v>
      </c>
      <c r="T11" s="255">
        <v>105.3951302361434</v>
      </c>
      <c r="U11" s="255">
        <v>107.3480291476027</v>
      </c>
      <c r="V11" s="255">
        <v>102.0981626246634</v>
      </c>
      <c r="W11" s="255">
        <v>262.30675343070197</v>
      </c>
      <c r="X11" s="255">
        <v>287.9295257447618</v>
      </c>
      <c r="Y11" s="255">
        <v>276.28877236564699</v>
      </c>
      <c r="DA11" s="271" t="s">
        <v>1041</v>
      </c>
    </row>
    <row r="12" spans="1:105" x14ac:dyDescent="0.25">
      <c r="A12" s="253" t="s">
        <v>152</v>
      </c>
      <c r="B12" s="255">
        <v>0</v>
      </c>
      <c r="C12" s="255">
        <v>0</v>
      </c>
      <c r="D12" s="255">
        <v>0</v>
      </c>
      <c r="E12" s="255">
        <v>0</v>
      </c>
      <c r="F12" s="255">
        <v>0</v>
      </c>
      <c r="G12" s="255">
        <v>0</v>
      </c>
      <c r="H12" s="255">
        <v>0</v>
      </c>
      <c r="I12" s="255">
        <v>0</v>
      </c>
      <c r="J12" s="255">
        <v>0</v>
      </c>
      <c r="K12" s="255">
        <v>0</v>
      </c>
      <c r="L12" s="255">
        <v>0</v>
      </c>
      <c r="M12" s="255">
        <v>0</v>
      </c>
      <c r="N12" s="255">
        <v>0</v>
      </c>
      <c r="O12" s="255">
        <v>0</v>
      </c>
      <c r="P12" s="255">
        <v>0</v>
      </c>
      <c r="Q12" s="255">
        <v>0</v>
      </c>
      <c r="R12" s="255">
        <v>0</v>
      </c>
      <c r="S12" s="255">
        <v>0</v>
      </c>
      <c r="T12" s="255">
        <v>0</v>
      </c>
      <c r="U12" s="255">
        <v>0</v>
      </c>
      <c r="V12" s="255">
        <v>0</v>
      </c>
      <c r="W12" s="255">
        <v>0</v>
      </c>
      <c r="X12" s="255">
        <v>0</v>
      </c>
      <c r="Y12" s="255">
        <v>0</v>
      </c>
      <c r="DA12" s="271" t="s">
        <v>1042</v>
      </c>
    </row>
    <row r="13" spans="1:105" x14ac:dyDescent="0.25">
      <c r="A13" s="253" t="s">
        <v>151</v>
      </c>
      <c r="B13" s="255">
        <v>0</v>
      </c>
      <c r="C13" s="255">
        <v>0</v>
      </c>
      <c r="D13" s="255">
        <v>0</v>
      </c>
      <c r="E13" s="255">
        <v>0</v>
      </c>
      <c r="F13" s="255">
        <v>0</v>
      </c>
      <c r="G13" s="255">
        <v>0</v>
      </c>
      <c r="H13" s="255">
        <v>0</v>
      </c>
      <c r="I13" s="255">
        <v>0</v>
      </c>
      <c r="J13" s="255">
        <v>0</v>
      </c>
      <c r="K13" s="255">
        <v>0</v>
      </c>
      <c r="L13" s="255">
        <v>0</v>
      </c>
      <c r="M13" s="255">
        <v>0</v>
      </c>
      <c r="N13" s="255">
        <v>0</v>
      </c>
      <c r="O13" s="255">
        <v>0</v>
      </c>
      <c r="P13" s="255">
        <v>0</v>
      </c>
      <c r="Q13" s="255">
        <v>0</v>
      </c>
      <c r="R13" s="255">
        <v>0</v>
      </c>
      <c r="S13" s="255">
        <v>0</v>
      </c>
      <c r="T13" s="255">
        <v>0</v>
      </c>
      <c r="U13" s="255">
        <v>0</v>
      </c>
      <c r="V13" s="255">
        <v>0</v>
      </c>
      <c r="W13" s="255">
        <v>0</v>
      </c>
      <c r="X13" s="255">
        <v>0</v>
      </c>
      <c r="Y13" s="255">
        <v>0</v>
      </c>
      <c r="DA13" s="271" t="s">
        <v>1043</v>
      </c>
    </row>
    <row r="14" spans="1:105" x14ac:dyDescent="0.25">
      <c r="A14" s="253" t="s">
        <v>162</v>
      </c>
      <c r="B14" s="254">
        <v>0</v>
      </c>
      <c r="C14" s="254">
        <v>0</v>
      </c>
      <c r="D14" s="254">
        <v>0</v>
      </c>
      <c r="E14" s="254">
        <v>0</v>
      </c>
      <c r="F14" s="254">
        <v>0</v>
      </c>
      <c r="G14" s="254">
        <v>0</v>
      </c>
      <c r="H14" s="254">
        <v>0</v>
      </c>
      <c r="I14" s="254">
        <v>0</v>
      </c>
      <c r="J14" s="254">
        <v>0</v>
      </c>
      <c r="K14" s="254">
        <v>0</v>
      </c>
      <c r="L14" s="254">
        <v>0</v>
      </c>
      <c r="M14" s="254">
        <v>0</v>
      </c>
      <c r="N14" s="254">
        <v>0</v>
      </c>
      <c r="O14" s="254">
        <v>0</v>
      </c>
      <c r="P14" s="254">
        <v>0</v>
      </c>
      <c r="Q14" s="254">
        <v>0</v>
      </c>
      <c r="R14" s="254">
        <v>0</v>
      </c>
      <c r="S14" s="254">
        <v>0</v>
      </c>
      <c r="T14" s="254">
        <v>0</v>
      </c>
      <c r="U14" s="254">
        <v>0</v>
      </c>
      <c r="V14" s="254">
        <v>0</v>
      </c>
      <c r="W14" s="254">
        <v>0</v>
      </c>
      <c r="X14" s="254">
        <v>0</v>
      </c>
      <c r="Y14" s="254">
        <v>0</v>
      </c>
      <c r="DA14" s="270" t="s">
        <v>1044</v>
      </c>
    </row>
    <row r="15" spans="1:105" x14ac:dyDescent="0.25">
      <c r="A15" s="253" t="s">
        <v>24</v>
      </c>
      <c r="B15" s="255">
        <v>0</v>
      </c>
      <c r="C15" s="255">
        <v>0</v>
      </c>
      <c r="D15" s="255">
        <v>0</v>
      </c>
      <c r="E15" s="255">
        <v>0</v>
      </c>
      <c r="F15" s="255">
        <v>0</v>
      </c>
      <c r="G15" s="255">
        <v>0</v>
      </c>
      <c r="H15" s="255">
        <v>0</v>
      </c>
      <c r="I15" s="255">
        <v>0</v>
      </c>
      <c r="J15" s="255">
        <v>0</v>
      </c>
      <c r="K15" s="255">
        <v>0</v>
      </c>
      <c r="L15" s="255">
        <v>0</v>
      </c>
      <c r="M15" s="255">
        <v>0</v>
      </c>
      <c r="N15" s="255">
        <v>0</v>
      </c>
      <c r="O15" s="255">
        <v>0</v>
      </c>
      <c r="P15" s="255">
        <v>0</v>
      </c>
      <c r="Q15" s="255">
        <v>0</v>
      </c>
      <c r="R15" s="255">
        <v>0</v>
      </c>
      <c r="S15" s="255">
        <v>0</v>
      </c>
      <c r="T15" s="255">
        <v>0</v>
      </c>
      <c r="U15" s="255">
        <v>0</v>
      </c>
      <c r="V15" s="255">
        <v>0</v>
      </c>
      <c r="W15" s="255">
        <v>0</v>
      </c>
      <c r="X15" s="255">
        <v>0</v>
      </c>
      <c r="Y15" s="255">
        <v>0</v>
      </c>
      <c r="DA15" s="271" t="s">
        <v>1045</v>
      </c>
    </row>
    <row r="16" spans="1:105" x14ac:dyDescent="0.25">
      <c r="A16" s="256" t="s">
        <v>168</v>
      </c>
      <c r="B16" s="257">
        <v>2581.8349560998822</v>
      </c>
      <c r="C16" s="257">
        <v>2682.0464403603719</v>
      </c>
      <c r="D16" s="257">
        <v>2664.2366985286658</v>
      </c>
      <c r="E16" s="257">
        <v>2690.0116659133701</v>
      </c>
      <c r="F16" s="257">
        <v>2674.8220257194948</v>
      </c>
      <c r="G16" s="257">
        <v>2700.99428731336</v>
      </c>
      <c r="H16" s="257">
        <v>2665.944695942203</v>
      </c>
      <c r="I16" s="257">
        <v>2551.9016165919529</v>
      </c>
      <c r="J16" s="257">
        <v>2472.2362568371541</v>
      </c>
      <c r="K16" s="257">
        <v>2502.4222614831078</v>
      </c>
      <c r="L16" s="257">
        <v>2346.7117914569121</v>
      </c>
      <c r="M16" s="257">
        <v>2314.6302575461768</v>
      </c>
      <c r="N16" s="257">
        <v>2220.8919556315032</v>
      </c>
      <c r="O16" s="257">
        <v>2197.6486205745218</v>
      </c>
      <c r="P16" s="257">
        <v>2204.9793071652698</v>
      </c>
      <c r="Q16" s="257">
        <v>2252.6054764489022</v>
      </c>
      <c r="R16" s="257">
        <v>2288.627817845635</v>
      </c>
      <c r="S16" s="257">
        <v>2306.1773655924931</v>
      </c>
      <c r="T16" s="257">
        <v>2422.0518338057918</v>
      </c>
      <c r="U16" s="257">
        <v>2309.0483332330409</v>
      </c>
      <c r="V16" s="257">
        <v>2325.8714191526351</v>
      </c>
      <c r="W16" s="257">
        <v>2453.923553677238</v>
      </c>
      <c r="X16" s="257">
        <v>2378.7654253909318</v>
      </c>
      <c r="Y16" s="257">
        <v>2279.8781139764151</v>
      </c>
      <c r="DA16" s="272" t="s">
        <v>1046</v>
      </c>
    </row>
    <row r="17" spans="1:105" x14ac:dyDescent="0.25">
      <c r="A17" s="256" t="s">
        <v>121</v>
      </c>
      <c r="B17" s="257">
        <f>SUM(B18:B24)</f>
        <v>3398.0305736269793</v>
      </c>
      <c r="C17" s="257">
        <f t="shared" ref="C17:W17" si="4">SUM(C18:C24)</f>
        <v>3516.8264085820824</v>
      </c>
      <c r="D17" s="257">
        <f t="shared" si="4"/>
        <v>3484.34853071407</v>
      </c>
      <c r="E17" s="257">
        <f t="shared" si="4"/>
        <v>3496.0190117187385</v>
      </c>
      <c r="F17" s="257">
        <f t="shared" si="4"/>
        <v>3487.3297890283693</v>
      </c>
      <c r="G17" s="257">
        <f t="shared" si="4"/>
        <v>3521.1090345622329</v>
      </c>
      <c r="H17" s="257">
        <f t="shared" si="4"/>
        <v>3471.2860435179023</v>
      </c>
      <c r="I17" s="257">
        <f t="shared" si="4"/>
        <v>3315.3858155212911</v>
      </c>
      <c r="J17" s="257">
        <f t="shared" si="4"/>
        <v>3208.0368438737369</v>
      </c>
      <c r="K17" s="257">
        <f t="shared" si="4"/>
        <v>3243.6294114194598</v>
      </c>
      <c r="L17" s="257">
        <f t="shared" si="4"/>
        <v>3088.6562085761748</v>
      </c>
      <c r="M17" s="257">
        <f t="shared" si="4"/>
        <v>3042.1343198201093</v>
      </c>
      <c r="N17" s="257">
        <f t="shared" si="4"/>
        <v>2925.3380052117836</v>
      </c>
      <c r="O17" s="257">
        <f t="shared" si="4"/>
        <v>2892.0448709300158</v>
      </c>
      <c r="P17" s="257">
        <f t="shared" si="4"/>
        <v>2862.3822415792774</v>
      </c>
      <c r="Q17" s="257">
        <f t="shared" si="4"/>
        <v>2903.5058092039817</v>
      </c>
      <c r="R17" s="257">
        <f t="shared" si="4"/>
        <v>2907.9444604004875</v>
      </c>
      <c r="S17" s="257">
        <f t="shared" si="4"/>
        <v>2924.7783285361756</v>
      </c>
      <c r="T17" s="257">
        <f t="shared" si="4"/>
        <v>3082.8988963601414</v>
      </c>
      <c r="U17" s="257">
        <f t="shared" si="4"/>
        <v>2928.2136025397249</v>
      </c>
      <c r="V17" s="257">
        <f t="shared" si="4"/>
        <v>2959.0341457706745</v>
      </c>
      <c r="W17" s="257">
        <f t="shared" si="4"/>
        <v>3098.38344168807</v>
      </c>
      <c r="X17" s="257">
        <f t="shared" ref="X17:Y17" si="5">SUM(X18:X24)</f>
        <v>3007.2122235856673</v>
      </c>
      <c r="Y17" s="257">
        <f t="shared" si="5"/>
        <v>2883.4133452192873</v>
      </c>
      <c r="DA17" s="272"/>
    </row>
    <row r="18" spans="1:105" x14ac:dyDescent="0.25">
      <c r="A18" s="61" t="s">
        <v>29</v>
      </c>
      <c r="B18" s="55">
        <v>0</v>
      </c>
      <c r="C18" s="55">
        <v>0</v>
      </c>
      <c r="D18" s="55">
        <v>0</v>
      </c>
      <c r="E18" s="55">
        <v>0</v>
      </c>
      <c r="F18" s="55">
        <v>0</v>
      </c>
      <c r="G18" s="55">
        <v>0</v>
      </c>
      <c r="H18" s="55">
        <v>0</v>
      </c>
      <c r="I18" s="55">
        <v>0</v>
      </c>
      <c r="J18" s="55">
        <v>0</v>
      </c>
      <c r="K18" s="55">
        <v>0</v>
      </c>
      <c r="L18" s="55">
        <v>0</v>
      </c>
      <c r="M18" s="55">
        <v>0</v>
      </c>
      <c r="N18" s="55">
        <v>0</v>
      </c>
      <c r="O18" s="55">
        <v>0</v>
      </c>
      <c r="P18" s="55">
        <v>0</v>
      </c>
      <c r="Q18" s="55">
        <v>0</v>
      </c>
      <c r="R18" s="55">
        <v>0</v>
      </c>
      <c r="S18" s="55">
        <v>0</v>
      </c>
      <c r="T18" s="55">
        <v>0</v>
      </c>
      <c r="U18" s="55">
        <v>0</v>
      </c>
      <c r="V18" s="55">
        <v>0</v>
      </c>
      <c r="W18" s="55">
        <v>0</v>
      </c>
      <c r="X18" s="55">
        <v>0</v>
      </c>
      <c r="Y18" s="55">
        <v>0</v>
      </c>
      <c r="DA18" s="101" t="s">
        <v>1047</v>
      </c>
    </row>
    <row r="19" spans="1:105" x14ac:dyDescent="0.25">
      <c r="A19" s="61" t="s">
        <v>27</v>
      </c>
      <c r="B19" s="55">
        <v>203.18189903996199</v>
      </c>
      <c r="C19" s="55">
        <v>194.4741747599243</v>
      </c>
      <c r="D19" s="55">
        <v>194.47417475995209</v>
      </c>
      <c r="E19" s="55">
        <v>194.47417475992211</v>
      </c>
      <c r="F19" s="55">
        <v>191.5717514399287</v>
      </c>
      <c r="G19" s="55">
        <v>194.47440191993979</v>
      </c>
      <c r="H19" s="55">
        <v>194.47440191995781</v>
      </c>
      <c r="I19" s="55">
        <v>185.76645047995149</v>
      </c>
      <c r="J19" s="55">
        <v>179.9613766799234</v>
      </c>
      <c r="K19" s="55">
        <v>174.15607571996199</v>
      </c>
      <c r="L19" s="55">
        <v>179.96137667995441</v>
      </c>
      <c r="M19" s="55">
        <v>174.15607571991191</v>
      </c>
      <c r="N19" s="55">
        <v>156.74039999993349</v>
      </c>
      <c r="O19" s="55">
        <v>150.93532619994559</v>
      </c>
      <c r="P19" s="55">
        <v>130.61699999993601</v>
      </c>
      <c r="Q19" s="55">
        <v>153.8379766799566</v>
      </c>
      <c r="R19" s="55">
        <v>60.954751439971197</v>
      </c>
      <c r="S19" s="55">
        <v>55.149450479984239</v>
      </c>
      <c r="T19" s="55">
        <v>58.05210095998742</v>
      </c>
      <c r="U19" s="55">
        <v>62.391311279968178</v>
      </c>
      <c r="V19" s="55">
        <v>66.492685080029602</v>
      </c>
      <c r="W19" s="55">
        <v>72.811821960023991</v>
      </c>
      <c r="X19" s="55">
        <v>70.132696920021786</v>
      </c>
      <c r="Y19" s="55">
        <v>67.917886920017821</v>
      </c>
      <c r="DA19" s="101" t="s">
        <v>1048</v>
      </c>
    </row>
    <row r="20" spans="1:105" x14ac:dyDescent="0.25">
      <c r="A20" s="61" t="s">
        <v>166</v>
      </c>
      <c r="B20" s="55">
        <v>2858.0993001087832</v>
      </c>
      <c r="C20" s="55">
        <v>3007.74633856318</v>
      </c>
      <c r="D20" s="55">
        <v>3008.4015361260049</v>
      </c>
      <c r="E20" s="55">
        <v>3072.7901407469722</v>
      </c>
      <c r="F20" s="55">
        <v>3025.116165076357</v>
      </c>
      <c r="G20" s="55">
        <v>3011.7400115256451</v>
      </c>
      <c r="H20" s="55">
        <v>3001.8622676861219</v>
      </c>
      <c r="I20" s="55">
        <v>2847.0837320419992</v>
      </c>
      <c r="J20" s="55">
        <v>2775.2821977615631</v>
      </c>
      <c r="K20" s="55">
        <v>2814.3112201892732</v>
      </c>
      <c r="L20" s="55">
        <v>2652.805592648484</v>
      </c>
      <c r="M20" s="55">
        <v>2634.973146428496</v>
      </c>
      <c r="N20" s="55">
        <v>2536.5604306525202</v>
      </c>
      <c r="O20" s="55">
        <v>2509.777610640434</v>
      </c>
      <c r="P20" s="55">
        <v>2513.084536504718</v>
      </c>
      <c r="Q20" s="55">
        <v>2508.244080356832</v>
      </c>
      <c r="R20" s="55">
        <v>2632.9189867239152</v>
      </c>
      <c r="S20" s="55">
        <v>2644.5683313306681</v>
      </c>
      <c r="T20" s="55">
        <v>2799.939566639388</v>
      </c>
      <c r="U20" s="55">
        <v>2631.4550837166739</v>
      </c>
      <c r="V20" s="55">
        <v>2666.738998351685</v>
      </c>
      <c r="W20" s="55">
        <v>2471.9039237233669</v>
      </c>
      <c r="X20" s="55">
        <v>2327.112913473778</v>
      </c>
      <c r="Y20" s="55">
        <v>2235.2366334978419</v>
      </c>
      <c r="DA20" s="101" t="s">
        <v>1049</v>
      </c>
    </row>
    <row r="21" spans="1:105" x14ac:dyDescent="0.25">
      <c r="A21" s="61" t="s">
        <v>129</v>
      </c>
      <c r="B21" s="55">
        <v>158.55851087997041</v>
      </c>
      <c r="C21" s="55">
        <v>128.06631683995019</v>
      </c>
      <c r="D21" s="55">
        <v>97.574372279975947</v>
      </c>
      <c r="E21" s="55">
        <v>24.393655439990209</v>
      </c>
      <c r="F21" s="55">
        <v>57.934744559978448</v>
      </c>
      <c r="G21" s="55">
        <v>54.885599999982972</v>
      </c>
      <c r="H21" s="55">
        <v>45.737916839990078</v>
      </c>
      <c r="I21" s="55">
        <v>39.639627719989647</v>
      </c>
      <c r="J21" s="55">
        <v>39.639627719983132</v>
      </c>
      <c r="K21" s="55">
        <v>33.541089119992677</v>
      </c>
      <c r="L21" s="55">
        <v>33.54108911999149</v>
      </c>
      <c r="M21" s="55">
        <v>27.442799999986111</v>
      </c>
      <c r="N21" s="55">
        <v>27.44279999998836</v>
      </c>
      <c r="O21" s="55">
        <v>27.442799999990111</v>
      </c>
      <c r="P21" s="55">
        <v>27.442799999986558</v>
      </c>
      <c r="Q21" s="55">
        <v>24.3936554399931</v>
      </c>
      <c r="R21" s="55">
        <v>9.1476831599956814</v>
      </c>
      <c r="S21" s="55">
        <v>9.1476831599973867</v>
      </c>
      <c r="T21" s="55">
        <v>9.1476831599980173</v>
      </c>
      <c r="U21" s="55">
        <v>9.1476831599953332</v>
      </c>
      <c r="V21" s="55">
        <v>9.1476831600040711</v>
      </c>
      <c r="W21" s="55">
        <v>6.4063969200021109</v>
      </c>
      <c r="X21" s="55">
        <v>4.4579581200013836</v>
      </c>
      <c r="Y21" s="55">
        <v>3.0309325200007948</v>
      </c>
      <c r="DA21" s="101" t="s">
        <v>1050</v>
      </c>
    </row>
    <row r="22" spans="1:105" x14ac:dyDescent="0.25">
      <c r="A22" s="61" t="s">
        <v>169</v>
      </c>
      <c r="B22" s="55">
        <v>178.1908635982638</v>
      </c>
      <c r="C22" s="55">
        <v>186.5395784190284</v>
      </c>
      <c r="D22" s="55">
        <v>183.89844754813711</v>
      </c>
      <c r="E22" s="55">
        <v>204.3610407718536</v>
      </c>
      <c r="F22" s="55">
        <v>212.7071279521052</v>
      </c>
      <c r="G22" s="55">
        <v>260.00902111666522</v>
      </c>
      <c r="H22" s="55">
        <v>229.21145707183209</v>
      </c>
      <c r="I22" s="55">
        <v>242.8960052793511</v>
      </c>
      <c r="J22" s="55">
        <v>213.15364171226699</v>
      </c>
      <c r="K22" s="55">
        <v>221.62102639023209</v>
      </c>
      <c r="L22" s="55">
        <v>222.34815012774499</v>
      </c>
      <c r="M22" s="55">
        <v>205.56229767171521</v>
      </c>
      <c r="N22" s="55">
        <v>204.5943745593419</v>
      </c>
      <c r="O22" s="55">
        <v>203.88913408964601</v>
      </c>
      <c r="P22" s="55">
        <v>191.23790507463659</v>
      </c>
      <c r="Q22" s="55">
        <v>217.03009672720009</v>
      </c>
      <c r="R22" s="55">
        <v>204.9230390766057</v>
      </c>
      <c r="S22" s="55">
        <v>215.91286356552581</v>
      </c>
      <c r="T22" s="55">
        <v>215.75954560076809</v>
      </c>
      <c r="U22" s="55">
        <v>225.21952438308739</v>
      </c>
      <c r="V22" s="55">
        <v>216.65477917895569</v>
      </c>
      <c r="W22" s="55">
        <v>547.26129908467681</v>
      </c>
      <c r="X22" s="55">
        <v>605.50865507186597</v>
      </c>
      <c r="Y22" s="55">
        <v>577.22789228142688</v>
      </c>
      <c r="DA22" s="101" t="s">
        <v>1051</v>
      </c>
    </row>
    <row r="23" spans="1:105" x14ac:dyDescent="0.25">
      <c r="A23" s="61" t="s">
        <v>164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0</v>
      </c>
      <c r="T23" s="55">
        <v>0</v>
      </c>
      <c r="U23" s="55">
        <v>0</v>
      </c>
      <c r="V23" s="55">
        <v>0</v>
      </c>
      <c r="W23" s="55">
        <v>0</v>
      </c>
      <c r="X23" s="55">
        <v>0</v>
      </c>
      <c r="Y23" s="55">
        <v>0</v>
      </c>
      <c r="DA23" s="101" t="s">
        <v>1052</v>
      </c>
    </row>
    <row r="24" spans="1:105" x14ac:dyDescent="0.25">
      <c r="A24" s="61" t="s">
        <v>152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X24" s="55">
        <v>0</v>
      </c>
      <c r="Y24" s="55">
        <v>0</v>
      </c>
      <c r="DA24" s="101" t="s">
        <v>1053</v>
      </c>
    </row>
    <row r="25" spans="1:105" x14ac:dyDescent="0.25">
      <c r="A25" s="256" t="s">
        <v>167</v>
      </c>
      <c r="B25" s="257">
        <v>496.12110311764911</v>
      </c>
      <c r="C25" s="257">
        <v>515.37757495327514</v>
      </c>
      <c r="D25" s="257">
        <v>511.95528463881823</v>
      </c>
      <c r="E25" s="257">
        <v>516.90815942328447</v>
      </c>
      <c r="F25" s="257">
        <v>513.98934347374427</v>
      </c>
      <c r="G25" s="257">
        <v>519.01856165144159</v>
      </c>
      <c r="H25" s="257">
        <v>512.28349057581056</v>
      </c>
      <c r="I25" s="257">
        <v>490.36916247497481</v>
      </c>
      <c r="J25" s="257">
        <v>475.06079968887309</v>
      </c>
      <c r="K25" s="257">
        <v>480.86129204346122</v>
      </c>
      <c r="L25" s="257">
        <v>450.94022757965843</v>
      </c>
      <c r="M25" s="257">
        <v>444.7754934800227</v>
      </c>
      <c r="N25" s="257">
        <v>426.76289757786861</v>
      </c>
      <c r="O25" s="257">
        <v>422.29649704310242</v>
      </c>
      <c r="P25" s="257">
        <v>423.70514956344232</v>
      </c>
      <c r="Q25" s="257">
        <v>432.85691489469968</v>
      </c>
      <c r="R25" s="257">
        <v>439.77890799437642</v>
      </c>
      <c r="S25" s="257">
        <v>443.1511998470437</v>
      </c>
      <c r="T25" s="257">
        <v>465.41744458020582</v>
      </c>
      <c r="U25" s="257">
        <v>443.70288020503062</v>
      </c>
      <c r="V25" s="257">
        <v>446.93557636345548</v>
      </c>
      <c r="W25" s="257">
        <v>471.54186116365941</v>
      </c>
      <c r="X25" s="257">
        <v>457.09960046625758</v>
      </c>
      <c r="Y25" s="257">
        <v>438.09757947827791</v>
      </c>
      <c r="DA25" s="272" t="s">
        <v>1054</v>
      </c>
    </row>
    <row r="26" spans="1:105" x14ac:dyDescent="0.25">
      <c r="A26" s="256" t="s">
        <v>170</v>
      </c>
      <c r="B26" s="257">
        <v>0</v>
      </c>
      <c r="C26" s="257">
        <v>0</v>
      </c>
      <c r="D26" s="257">
        <v>0</v>
      </c>
      <c r="E26" s="257">
        <v>0</v>
      </c>
      <c r="F26" s="257">
        <v>0</v>
      </c>
      <c r="G26" s="257">
        <v>0</v>
      </c>
      <c r="H26" s="257">
        <v>0</v>
      </c>
      <c r="I26" s="257">
        <v>0</v>
      </c>
      <c r="J26" s="257">
        <v>0</v>
      </c>
      <c r="K26" s="257">
        <v>0</v>
      </c>
      <c r="L26" s="257">
        <v>0</v>
      </c>
      <c r="M26" s="257">
        <v>0</v>
      </c>
      <c r="N26" s="257">
        <v>0</v>
      </c>
      <c r="O26" s="257">
        <v>0</v>
      </c>
      <c r="P26" s="257">
        <v>0</v>
      </c>
      <c r="Q26" s="257">
        <v>0</v>
      </c>
      <c r="R26" s="257">
        <v>0</v>
      </c>
      <c r="S26" s="257">
        <v>0</v>
      </c>
      <c r="T26" s="257">
        <v>0</v>
      </c>
      <c r="U26" s="257">
        <v>0</v>
      </c>
      <c r="V26" s="257">
        <v>0</v>
      </c>
      <c r="W26" s="257">
        <v>0</v>
      </c>
      <c r="X26" s="257">
        <v>0</v>
      </c>
      <c r="Y26" s="257">
        <v>0</v>
      </c>
      <c r="DA26" s="272" t="s">
        <v>1055</v>
      </c>
    </row>
    <row r="27" spans="1:105" x14ac:dyDescent="0.25">
      <c r="A27" s="128" t="s">
        <v>33</v>
      </c>
      <c r="B27" s="258">
        <v>0</v>
      </c>
      <c r="C27" s="258">
        <v>0</v>
      </c>
      <c r="D27" s="258">
        <v>0</v>
      </c>
      <c r="E27" s="258">
        <v>0</v>
      </c>
      <c r="F27" s="258">
        <v>0</v>
      </c>
      <c r="G27" s="258">
        <v>0</v>
      </c>
      <c r="H27" s="258">
        <v>0</v>
      </c>
      <c r="I27" s="258">
        <v>0</v>
      </c>
      <c r="J27" s="258">
        <v>0</v>
      </c>
      <c r="K27" s="258">
        <v>0</v>
      </c>
      <c r="L27" s="258">
        <v>0</v>
      </c>
      <c r="M27" s="258">
        <v>0</v>
      </c>
      <c r="N27" s="258">
        <v>0</v>
      </c>
      <c r="O27" s="258">
        <v>0</v>
      </c>
      <c r="P27" s="258">
        <v>0</v>
      </c>
      <c r="Q27" s="258">
        <v>0</v>
      </c>
      <c r="R27" s="258">
        <v>0</v>
      </c>
      <c r="S27" s="258">
        <v>0</v>
      </c>
      <c r="T27" s="258">
        <v>0</v>
      </c>
      <c r="U27" s="258">
        <v>0</v>
      </c>
      <c r="V27" s="258">
        <v>0</v>
      </c>
      <c r="W27" s="258">
        <v>0</v>
      </c>
      <c r="X27" s="258">
        <v>0</v>
      </c>
      <c r="Y27" s="258">
        <v>0</v>
      </c>
      <c r="DA27" s="273" t="s">
        <v>1056</v>
      </c>
    </row>
    <row r="29" spans="1:105" ht="12.75" x14ac:dyDescent="0.25">
      <c r="A29" s="232" t="s">
        <v>135</v>
      </c>
      <c r="B29" s="231"/>
      <c r="C29" s="231"/>
      <c r="D29" s="231"/>
      <c r="E29" s="231"/>
      <c r="F29" s="231"/>
      <c r="G29" s="231"/>
      <c r="H29" s="231"/>
      <c r="I29" s="231"/>
      <c r="J29" s="231"/>
      <c r="K29" s="231"/>
      <c r="L29" s="231"/>
      <c r="M29" s="231"/>
      <c r="N29" s="231"/>
      <c r="O29" s="231"/>
      <c r="P29" s="231"/>
      <c r="Q29" s="231"/>
      <c r="R29" s="231"/>
      <c r="S29" s="231"/>
      <c r="T29" s="231"/>
      <c r="U29" s="231"/>
      <c r="V29" s="231"/>
      <c r="W29" s="231"/>
      <c r="X29" s="231"/>
      <c r="Y29" s="231"/>
      <c r="DA29" s="266"/>
    </row>
    <row r="31" spans="1:105" x14ac:dyDescent="0.25">
      <c r="A31" s="234" t="s">
        <v>126</v>
      </c>
      <c r="B31" s="235">
        <f t="shared" ref="B31:Q31" si="6">SUM(B32:B40)</f>
        <v>1</v>
      </c>
      <c r="C31" s="235">
        <f t="shared" si="6"/>
        <v>0.99999999999999978</v>
      </c>
      <c r="D31" s="235">
        <f t="shared" si="6"/>
        <v>0.99999999999999989</v>
      </c>
      <c r="E31" s="235">
        <f t="shared" si="6"/>
        <v>1</v>
      </c>
      <c r="F31" s="235">
        <f t="shared" si="6"/>
        <v>0.99999999999999989</v>
      </c>
      <c r="G31" s="235">
        <f t="shared" si="6"/>
        <v>1</v>
      </c>
      <c r="H31" s="235">
        <f t="shared" si="6"/>
        <v>1</v>
      </c>
      <c r="I31" s="235">
        <f t="shared" si="6"/>
        <v>1</v>
      </c>
      <c r="J31" s="235">
        <f t="shared" si="6"/>
        <v>1.0000000000000002</v>
      </c>
      <c r="K31" s="235">
        <f t="shared" si="6"/>
        <v>0.99999999999999989</v>
      </c>
      <c r="L31" s="235">
        <f t="shared" si="6"/>
        <v>1</v>
      </c>
      <c r="M31" s="235">
        <f t="shared" si="6"/>
        <v>1</v>
      </c>
      <c r="N31" s="235">
        <f t="shared" si="6"/>
        <v>0.99999999999999989</v>
      </c>
      <c r="O31" s="235">
        <f t="shared" si="6"/>
        <v>1</v>
      </c>
      <c r="P31" s="235">
        <f t="shared" si="6"/>
        <v>1</v>
      </c>
      <c r="Q31" s="235">
        <f t="shared" si="6"/>
        <v>1</v>
      </c>
      <c r="R31" s="235">
        <f t="shared" ref="R31:W31" si="7">SUM(R32:R40)</f>
        <v>0.99999999999999989</v>
      </c>
      <c r="S31" s="235">
        <f t="shared" si="7"/>
        <v>1</v>
      </c>
      <c r="T31" s="235">
        <f t="shared" si="7"/>
        <v>1</v>
      </c>
      <c r="U31" s="235">
        <f t="shared" si="7"/>
        <v>1</v>
      </c>
      <c r="V31" s="235">
        <f t="shared" si="7"/>
        <v>1</v>
      </c>
      <c r="W31" s="235">
        <f t="shared" si="7"/>
        <v>1</v>
      </c>
      <c r="X31" s="235">
        <f t="shared" ref="X31:Y31" si="8">SUM(X32:X40)</f>
        <v>1</v>
      </c>
      <c r="Y31" s="235">
        <f t="shared" si="8"/>
        <v>0.99999999999999989</v>
      </c>
      <c r="DA31" s="274"/>
    </row>
    <row r="32" spans="1:105" x14ac:dyDescent="0.25">
      <c r="A32" s="238" t="s">
        <v>125</v>
      </c>
      <c r="B32" s="244">
        <f t="shared" ref="B32:Y32" si="9">IF(B$6=0,0,B$6/B$5)</f>
        <v>0</v>
      </c>
      <c r="C32" s="244">
        <f t="shared" si="9"/>
        <v>0</v>
      </c>
      <c r="D32" s="244">
        <f t="shared" si="9"/>
        <v>0</v>
      </c>
      <c r="E32" s="244">
        <f t="shared" si="9"/>
        <v>0</v>
      </c>
      <c r="F32" s="244">
        <f t="shared" si="9"/>
        <v>0</v>
      </c>
      <c r="G32" s="244">
        <f t="shared" si="9"/>
        <v>0</v>
      </c>
      <c r="H32" s="244">
        <f t="shared" si="9"/>
        <v>0</v>
      </c>
      <c r="I32" s="244">
        <f t="shared" si="9"/>
        <v>0</v>
      </c>
      <c r="J32" s="244">
        <f t="shared" si="9"/>
        <v>0</v>
      </c>
      <c r="K32" s="244">
        <f t="shared" si="9"/>
        <v>0</v>
      </c>
      <c r="L32" s="244">
        <f t="shared" si="9"/>
        <v>0</v>
      </c>
      <c r="M32" s="244">
        <f t="shared" si="9"/>
        <v>0</v>
      </c>
      <c r="N32" s="244">
        <f t="shared" si="9"/>
        <v>0</v>
      </c>
      <c r="O32" s="244">
        <f t="shared" si="9"/>
        <v>0</v>
      </c>
      <c r="P32" s="244">
        <f t="shared" si="9"/>
        <v>0</v>
      </c>
      <c r="Q32" s="244">
        <f t="shared" si="9"/>
        <v>0</v>
      </c>
      <c r="R32" s="244">
        <f t="shared" si="9"/>
        <v>0</v>
      </c>
      <c r="S32" s="244">
        <f t="shared" si="9"/>
        <v>0</v>
      </c>
      <c r="T32" s="244">
        <f t="shared" si="9"/>
        <v>0</v>
      </c>
      <c r="U32" s="244">
        <f t="shared" si="9"/>
        <v>0</v>
      </c>
      <c r="V32" s="244">
        <f t="shared" si="9"/>
        <v>0</v>
      </c>
      <c r="W32" s="244">
        <f t="shared" si="9"/>
        <v>0</v>
      </c>
      <c r="X32" s="244">
        <f t="shared" si="9"/>
        <v>0</v>
      </c>
      <c r="Y32" s="244">
        <f t="shared" si="9"/>
        <v>0</v>
      </c>
      <c r="DA32" s="275"/>
    </row>
    <row r="33" spans="1:105" x14ac:dyDescent="0.25">
      <c r="A33" s="240" t="s">
        <v>124</v>
      </c>
      <c r="B33" s="245">
        <f t="shared" ref="B33:Y33" si="10">IF(B$7=0,0,B$7/B$5)</f>
        <v>0</v>
      </c>
      <c r="C33" s="245">
        <f t="shared" si="10"/>
        <v>0</v>
      </c>
      <c r="D33" s="245">
        <f t="shared" si="10"/>
        <v>0</v>
      </c>
      <c r="E33" s="245">
        <f t="shared" si="10"/>
        <v>0</v>
      </c>
      <c r="F33" s="245">
        <f t="shared" si="10"/>
        <v>0</v>
      </c>
      <c r="G33" s="245">
        <f t="shared" si="10"/>
        <v>0</v>
      </c>
      <c r="H33" s="245">
        <f t="shared" si="10"/>
        <v>0</v>
      </c>
      <c r="I33" s="245">
        <f t="shared" si="10"/>
        <v>0</v>
      </c>
      <c r="J33" s="245">
        <f t="shared" si="10"/>
        <v>0</v>
      </c>
      <c r="K33" s="245">
        <f t="shared" si="10"/>
        <v>0</v>
      </c>
      <c r="L33" s="245">
        <f t="shared" si="10"/>
        <v>0</v>
      </c>
      <c r="M33" s="245">
        <f t="shared" si="10"/>
        <v>0</v>
      </c>
      <c r="N33" s="245">
        <f t="shared" si="10"/>
        <v>0</v>
      </c>
      <c r="O33" s="245">
        <f t="shared" si="10"/>
        <v>0</v>
      </c>
      <c r="P33" s="245">
        <f t="shared" si="10"/>
        <v>0</v>
      </c>
      <c r="Q33" s="245">
        <f t="shared" si="10"/>
        <v>0</v>
      </c>
      <c r="R33" s="245">
        <f t="shared" si="10"/>
        <v>0</v>
      </c>
      <c r="S33" s="245">
        <f t="shared" si="10"/>
        <v>0</v>
      </c>
      <c r="T33" s="245">
        <f t="shared" si="10"/>
        <v>0</v>
      </c>
      <c r="U33" s="245">
        <f t="shared" si="10"/>
        <v>0</v>
      </c>
      <c r="V33" s="245">
        <f t="shared" si="10"/>
        <v>0</v>
      </c>
      <c r="W33" s="245">
        <f t="shared" si="10"/>
        <v>0</v>
      </c>
      <c r="X33" s="245">
        <f t="shared" si="10"/>
        <v>0</v>
      </c>
      <c r="Y33" s="245">
        <f t="shared" si="10"/>
        <v>0</v>
      </c>
      <c r="DA33" s="276"/>
    </row>
    <row r="34" spans="1:105" x14ac:dyDescent="0.25">
      <c r="A34" s="240" t="s">
        <v>123</v>
      </c>
      <c r="B34" s="245">
        <f t="shared" ref="B34:Y34" si="11">IF(B$8=0,0,B$8/B$5)</f>
        <v>0</v>
      </c>
      <c r="C34" s="245">
        <f t="shared" si="11"/>
        <v>0</v>
      </c>
      <c r="D34" s="245">
        <f t="shared" si="11"/>
        <v>0</v>
      </c>
      <c r="E34" s="245">
        <f t="shared" si="11"/>
        <v>0</v>
      </c>
      <c r="F34" s="245">
        <f t="shared" si="11"/>
        <v>0</v>
      </c>
      <c r="G34" s="245">
        <f t="shared" si="11"/>
        <v>0</v>
      </c>
      <c r="H34" s="245">
        <f t="shared" si="11"/>
        <v>0</v>
      </c>
      <c r="I34" s="245">
        <f t="shared" si="11"/>
        <v>0</v>
      </c>
      <c r="J34" s="245">
        <f t="shared" si="11"/>
        <v>0</v>
      </c>
      <c r="K34" s="245">
        <f t="shared" si="11"/>
        <v>0</v>
      </c>
      <c r="L34" s="245">
        <f t="shared" si="11"/>
        <v>0</v>
      </c>
      <c r="M34" s="245">
        <f t="shared" si="11"/>
        <v>0</v>
      </c>
      <c r="N34" s="245">
        <f t="shared" si="11"/>
        <v>0</v>
      </c>
      <c r="O34" s="245">
        <f t="shared" si="11"/>
        <v>0</v>
      </c>
      <c r="P34" s="245">
        <f t="shared" si="11"/>
        <v>0</v>
      </c>
      <c r="Q34" s="245">
        <f t="shared" si="11"/>
        <v>0</v>
      </c>
      <c r="R34" s="245">
        <f t="shared" si="11"/>
        <v>0</v>
      </c>
      <c r="S34" s="245">
        <f t="shared" si="11"/>
        <v>0</v>
      </c>
      <c r="T34" s="245">
        <f t="shared" si="11"/>
        <v>0</v>
      </c>
      <c r="U34" s="245">
        <f t="shared" si="11"/>
        <v>0</v>
      </c>
      <c r="V34" s="245">
        <f t="shared" si="11"/>
        <v>0</v>
      </c>
      <c r="W34" s="245">
        <f t="shared" si="11"/>
        <v>0</v>
      </c>
      <c r="X34" s="245">
        <f t="shared" si="11"/>
        <v>0</v>
      </c>
      <c r="Y34" s="245">
        <f t="shared" si="11"/>
        <v>0</v>
      </c>
      <c r="DA34" s="276"/>
    </row>
    <row r="35" spans="1:105" x14ac:dyDescent="0.25">
      <c r="A35" s="242" t="s">
        <v>122</v>
      </c>
      <c r="B35" s="246">
        <f t="shared" ref="B35:Y35" si="12">IF(B$9=0,0,B$9/B$5)</f>
        <v>0.20321189529467884</v>
      </c>
      <c r="C35" s="246">
        <f t="shared" si="12"/>
        <v>0.20336069430183043</v>
      </c>
      <c r="D35" s="246">
        <f t="shared" si="12"/>
        <v>0.20501126005555723</v>
      </c>
      <c r="E35" s="246">
        <f t="shared" si="12"/>
        <v>0.20444147490953016</v>
      </c>
      <c r="F35" s="246">
        <f t="shared" si="12"/>
        <v>0.20370326233645503</v>
      </c>
      <c r="G35" s="246">
        <f t="shared" si="12"/>
        <v>0.20304439505000968</v>
      </c>
      <c r="H35" s="246">
        <f t="shared" si="12"/>
        <v>0.20161180751584321</v>
      </c>
      <c r="I35" s="246">
        <f t="shared" si="12"/>
        <v>0.19874847913256802</v>
      </c>
      <c r="J35" s="246">
        <f t="shared" si="12"/>
        <v>0.19766907068231646</v>
      </c>
      <c r="K35" s="246">
        <f t="shared" si="12"/>
        <v>0.19656246138392008</v>
      </c>
      <c r="L35" s="246">
        <f t="shared" si="12"/>
        <v>0.19709427865183901</v>
      </c>
      <c r="M35" s="246">
        <f t="shared" si="12"/>
        <v>0.19276286267080092</v>
      </c>
      <c r="N35" s="246">
        <f t="shared" si="12"/>
        <v>0.18978953900401146</v>
      </c>
      <c r="O35" s="246">
        <f t="shared" si="12"/>
        <v>0.19046154847204161</v>
      </c>
      <c r="P35" s="246">
        <f t="shared" si="12"/>
        <v>0.19402070804394991</v>
      </c>
      <c r="Q35" s="246">
        <f t="shared" si="12"/>
        <v>0.19537805045227855</v>
      </c>
      <c r="R35" s="246">
        <f t="shared" si="12"/>
        <v>0.19745411077271666</v>
      </c>
      <c r="S35" s="246">
        <f t="shared" si="12"/>
        <v>0.19449685518485177</v>
      </c>
      <c r="T35" s="246">
        <f t="shared" si="12"/>
        <v>0.19790736231223652</v>
      </c>
      <c r="U35" s="246">
        <f t="shared" si="12"/>
        <v>0.19333839161282973</v>
      </c>
      <c r="V35" s="246">
        <f t="shared" si="12"/>
        <v>0.19163219458085987</v>
      </c>
      <c r="W35" s="246">
        <f t="shared" si="12"/>
        <v>0.19369805376630242</v>
      </c>
      <c r="X35" s="246">
        <f t="shared" si="12"/>
        <v>0.1926761735695616</v>
      </c>
      <c r="Y35" s="246">
        <f t="shared" si="12"/>
        <v>0.19376268322938725</v>
      </c>
      <c r="DA35" s="277"/>
    </row>
    <row r="36" spans="1:105" x14ac:dyDescent="0.25">
      <c r="A36" s="127" t="s">
        <v>168</v>
      </c>
      <c r="B36" s="259">
        <f t="shared" ref="B36:Y36" si="13">IF(B$16=0,0,B$16/B$5)</f>
        <v>0.31766207961259768</v>
      </c>
      <c r="C36" s="259">
        <f t="shared" si="13"/>
        <v>0.31822221085093599</v>
      </c>
      <c r="D36" s="259">
        <f t="shared" si="13"/>
        <v>0.31799794197824344</v>
      </c>
      <c r="E36" s="259">
        <f t="shared" si="13"/>
        <v>0.31927215292185623</v>
      </c>
      <c r="F36" s="259">
        <f t="shared" si="13"/>
        <v>0.31903939752502258</v>
      </c>
      <c r="G36" s="259">
        <f t="shared" si="13"/>
        <v>0.31931962860253693</v>
      </c>
      <c r="H36" s="259">
        <f t="shared" si="13"/>
        <v>0.32009236967141946</v>
      </c>
      <c r="I36" s="259">
        <f t="shared" si="13"/>
        <v>0.3216145793622871</v>
      </c>
      <c r="J36" s="259">
        <f t="shared" si="13"/>
        <v>0.3222492305920564</v>
      </c>
      <c r="K36" s="259">
        <f t="shared" si="13"/>
        <v>0.32287908850858626</v>
      </c>
      <c r="L36" s="259">
        <f t="shared" si="13"/>
        <v>0.3200967823732363</v>
      </c>
      <c r="M36" s="259">
        <f t="shared" si="13"/>
        <v>0.32206198358715443</v>
      </c>
      <c r="N36" s="259">
        <f t="shared" si="13"/>
        <v>0.32287676315168556</v>
      </c>
      <c r="O36" s="259">
        <f t="shared" si="13"/>
        <v>0.3227656554164432</v>
      </c>
      <c r="P36" s="259">
        <f t="shared" si="13"/>
        <v>0.32364707231008871</v>
      </c>
      <c r="Q36" s="259">
        <f t="shared" si="13"/>
        <v>0.32429882314317138</v>
      </c>
      <c r="R36" s="259">
        <f t="shared" si="13"/>
        <v>0.32587196689714043</v>
      </c>
      <c r="S36" s="259">
        <f t="shared" si="13"/>
        <v>0.32738775550008498</v>
      </c>
      <c r="T36" s="259">
        <f t="shared" si="13"/>
        <v>0.32539198373245659</v>
      </c>
      <c r="U36" s="259">
        <f t="shared" si="13"/>
        <v>0.3278704766998084</v>
      </c>
      <c r="V36" s="259">
        <f t="shared" si="13"/>
        <v>0.3280201820745911</v>
      </c>
      <c r="W36" s="259">
        <f t="shared" si="13"/>
        <v>0.32846165041046027</v>
      </c>
      <c r="X36" s="259">
        <f t="shared" si="13"/>
        <v>0.32866825534270522</v>
      </c>
      <c r="Y36" s="259">
        <f t="shared" si="13"/>
        <v>0.32815482025714282</v>
      </c>
      <c r="DA36" s="278"/>
    </row>
    <row r="37" spans="1:105" x14ac:dyDescent="0.25">
      <c r="A37" s="127" t="s">
        <v>121</v>
      </c>
      <c r="B37" s="259">
        <f t="shared" ref="B37:Y37" si="14">IF(B$17=0,0,B$17/B$5)</f>
        <v>0.41808460918668239</v>
      </c>
      <c r="C37" s="259">
        <f t="shared" si="14"/>
        <v>0.41726804505576565</v>
      </c>
      <c r="D37" s="259">
        <f t="shared" si="14"/>
        <v>0.4158848433076146</v>
      </c>
      <c r="E37" s="259">
        <f t="shared" si="14"/>
        <v>0.41493556725828995</v>
      </c>
      <c r="F37" s="259">
        <f t="shared" si="14"/>
        <v>0.41595126111741965</v>
      </c>
      <c r="G37" s="259">
        <f t="shared" si="14"/>
        <v>0.41627604858943756</v>
      </c>
      <c r="H37" s="259">
        <f t="shared" si="14"/>
        <v>0.41678740641852402</v>
      </c>
      <c r="I37" s="259">
        <f t="shared" si="14"/>
        <v>0.4178360198331541</v>
      </c>
      <c r="J37" s="259">
        <f t="shared" si="14"/>
        <v>0.41815882353082734</v>
      </c>
      <c r="K37" s="259">
        <f t="shared" si="14"/>
        <v>0.41851454246496961</v>
      </c>
      <c r="L37" s="259">
        <f t="shared" si="14"/>
        <v>0.421299674643283</v>
      </c>
      <c r="M37" s="259">
        <f t="shared" si="14"/>
        <v>0.42328825961970173</v>
      </c>
      <c r="N37" s="259">
        <f t="shared" si="14"/>
        <v>0.42529023703848634</v>
      </c>
      <c r="O37" s="259">
        <f t="shared" si="14"/>
        <v>0.4247506855829668</v>
      </c>
      <c r="P37" s="259">
        <f t="shared" si="14"/>
        <v>0.42014073751581277</v>
      </c>
      <c r="Q37" s="259">
        <f t="shared" si="14"/>
        <v>0.41800640492031227</v>
      </c>
      <c r="R37" s="259">
        <f t="shared" si="14"/>
        <v>0.41405490816343216</v>
      </c>
      <c r="S37" s="259">
        <f t="shared" si="14"/>
        <v>0.41520510373613118</v>
      </c>
      <c r="T37" s="259">
        <f t="shared" si="14"/>
        <v>0.414173872553738</v>
      </c>
      <c r="U37" s="259">
        <f t="shared" si="14"/>
        <v>0.41578808720703692</v>
      </c>
      <c r="V37" s="259">
        <f t="shared" si="14"/>
        <v>0.41731581172885623</v>
      </c>
      <c r="W37" s="259">
        <f t="shared" si="14"/>
        <v>0.41472365238773146</v>
      </c>
      <c r="X37" s="259">
        <f t="shared" si="14"/>
        <v>0.41549922679270768</v>
      </c>
      <c r="Y37" s="259">
        <f t="shared" si="14"/>
        <v>0.41502481304896216</v>
      </c>
      <c r="DA37" s="278"/>
    </row>
    <row r="38" spans="1:105" x14ac:dyDescent="0.25">
      <c r="A38" s="127" t="s">
        <v>167</v>
      </c>
      <c r="B38" s="259">
        <f t="shared" ref="B38:Y38" si="15">IF(B$25=0,0,B$25/B$5)</f>
        <v>6.104141590604116E-2</v>
      </c>
      <c r="C38" s="259">
        <f t="shared" si="15"/>
        <v>6.1149049791467742E-2</v>
      </c>
      <c r="D38" s="259">
        <f t="shared" si="15"/>
        <v>6.1105954658584691E-2</v>
      </c>
      <c r="E38" s="259">
        <f t="shared" si="15"/>
        <v>6.1350804910323735E-2</v>
      </c>
      <c r="F38" s="259">
        <f t="shared" si="15"/>
        <v>6.1306079021102668E-2</v>
      </c>
      <c r="G38" s="259">
        <f t="shared" si="15"/>
        <v>6.1359927758015839E-2</v>
      </c>
      <c r="H38" s="259">
        <f t="shared" si="15"/>
        <v>6.1508416394213339E-2</v>
      </c>
      <c r="I38" s="259">
        <f t="shared" si="15"/>
        <v>6.1800921671990833E-2</v>
      </c>
      <c r="J38" s="259">
        <f t="shared" si="15"/>
        <v>6.1922875194799901E-2</v>
      </c>
      <c r="K38" s="259">
        <f t="shared" si="15"/>
        <v>6.2043907642523953E-2</v>
      </c>
      <c r="L38" s="259">
        <f t="shared" si="15"/>
        <v>6.1509264331641667E-2</v>
      </c>
      <c r="M38" s="259">
        <f t="shared" si="15"/>
        <v>6.1886894122342925E-2</v>
      </c>
      <c r="N38" s="259">
        <f t="shared" si="15"/>
        <v>6.2043460805816596E-2</v>
      </c>
      <c r="O38" s="259">
        <f t="shared" si="15"/>
        <v>6.2022110528548446E-2</v>
      </c>
      <c r="P38" s="259">
        <f t="shared" si="15"/>
        <v>6.2191482130148627E-2</v>
      </c>
      <c r="Q38" s="259">
        <f t="shared" si="15"/>
        <v>6.231672148423778E-2</v>
      </c>
      <c r="R38" s="259">
        <f t="shared" si="15"/>
        <v>6.2619014166710701E-2</v>
      </c>
      <c r="S38" s="259">
        <f t="shared" si="15"/>
        <v>6.291028557893219E-2</v>
      </c>
      <c r="T38" s="259">
        <f t="shared" si="15"/>
        <v>6.2526781401568907E-2</v>
      </c>
      <c r="U38" s="259">
        <f t="shared" si="15"/>
        <v>6.3003044480324913E-2</v>
      </c>
      <c r="V38" s="259">
        <f t="shared" si="15"/>
        <v>6.3031811615692809E-2</v>
      </c>
      <c r="W38" s="259">
        <f t="shared" si="15"/>
        <v>6.3116643435505868E-2</v>
      </c>
      <c r="X38" s="259">
        <f t="shared" si="15"/>
        <v>6.3156344295025507E-2</v>
      </c>
      <c r="Y38" s="259">
        <f t="shared" si="15"/>
        <v>6.3057683464507713E-2</v>
      </c>
      <c r="DA38" s="278"/>
    </row>
    <row r="39" spans="1:105" x14ac:dyDescent="0.25">
      <c r="A39" s="127" t="s">
        <v>170</v>
      </c>
      <c r="B39" s="259">
        <f t="shared" ref="B39:Y39" si="16">IF(B$26=0,0,B$26/B$5)</f>
        <v>0</v>
      </c>
      <c r="C39" s="259">
        <f t="shared" si="16"/>
        <v>0</v>
      </c>
      <c r="D39" s="259">
        <f t="shared" si="16"/>
        <v>0</v>
      </c>
      <c r="E39" s="259">
        <f t="shared" si="16"/>
        <v>0</v>
      </c>
      <c r="F39" s="259">
        <f t="shared" si="16"/>
        <v>0</v>
      </c>
      <c r="G39" s="259">
        <f t="shared" si="16"/>
        <v>0</v>
      </c>
      <c r="H39" s="259">
        <f t="shared" si="16"/>
        <v>0</v>
      </c>
      <c r="I39" s="259">
        <f t="shared" si="16"/>
        <v>0</v>
      </c>
      <c r="J39" s="259">
        <f t="shared" si="16"/>
        <v>0</v>
      </c>
      <c r="K39" s="259">
        <f t="shared" si="16"/>
        <v>0</v>
      </c>
      <c r="L39" s="259">
        <f t="shared" si="16"/>
        <v>0</v>
      </c>
      <c r="M39" s="259">
        <f t="shared" si="16"/>
        <v>0</v>
      </c>
      <c r="N39" s="259">
        <f t="shared" si="16"/>
        <v>0</v>
      </c>
      <c r="O39" s="259">
        <f t="shared" si="16"/>
        <v>0</v>
      </c>
      <c r="P39" s="259">
        <f t="shared" si="16"/>
        <v>0</v>
      </c>
      <c r="Q39" s="259">
        <f t="shared" si="16"/>
        <v>0</v>
      </c>
      <c r="R39" s="259">
        <f t="shared" si="16"/>
        <v>0</v>
      </c>
      <c r="S39" s="259">
        <f t="shared" si="16"/>
        <v>0</v>
      </c>
      <c r="T39" s="259">
        <f t="shared" si="16"/>
        <v>0</v>
      </c>
      <c r="U39" s="259">
        <f t="shared" si="16"/>
        <v>0</v>
      </c>
      <c r="V39" s="259">
        <f t="shared" si="16"/>
        <v>0</v>
      </c>
      <c r="W39" s="259">
        <f t="shared" si="16"/>
        <v>0</v>
      </c>
      <c r="X39" s="259">
        <f t="shared" si="16"/>
        <v>0</v>
      </c>
      <c r="Y39" s="259">
        <f t="shared" si="16"/>
        <v>0</v>
      </c>
      <c r="DA39" s="278"/>
    </row>
    <row r="40" spans="1:105" x14ac:dyDescent="0.25">
      <c r="A40" s="260" t="s">
        <v>33</v>
      </c>
      <c r="B40" s="261">
        <f t="shared" ref="B40:Y40" si="17">IF(B$27=0,0,B$27/B$5)</f>
        <v>0</v>
      </c>
      <c r="C40" s="261">
        <f t="shared" si="17"/>
        <v>0</v>
      </c>
      <c r="D40" s="261">
        <f t="shared" si="17"/>
        <v>0</v>
      </c>
      <c r="E40" s="261">
        <f t="shared" si="17"/>
        <v>0</v>
      </c>
      <c r="F40" s="261">
        <f t="shared" si="17"/>
        <v>0</v>
      </c>
      <c r="G40" s="261">
        <f t="shared" si="17"/>
        <v>0</v>
      </c>
      <c r="H40" s="261">
        <f t="shared" si="17"/>
        <v>0</v>
      </c>
      <c r="I40" s="261">
        <f t="shared" si="17"/>
        <v>0</v>
      </c>
      <c r="J40" s="261">
        <f t="shared" si="17"/>
        <v>0</v>
      </c>
      <c r="K40" s="261">
        <f t="shared" si="17"/>
        <v>0</v>
      </c>
      <c r="L40" s="261">
        <f t="shared" si="17"/>
        <v>0</v>
      </c>
      <c r="M40" s="261">
        <f t="shared" si="17"/>
        <v>0</v>
      </c>
      <c r="N40" s="261">
        <f t="shared" si="17"/>
        <v>0</v>
      </c>
      <c r="O40" s="261">
        <f t="shared" si="17"/>
        <v>0</v>
      </c>
      <c r="P40" s="261">
        <f t="shared" si="17"/>
        <v>0</v>
      </c>
      <c r="Q40" s="261">
        <f t="shared" si="17"/>
        <v>0</v>
      </c>
      <c r="R40" s="261">
        <f t="shared" si="17"/>
        <v>0</v>
      </c>
      <c r="S40" s="261">
        <f t="shared" si="17"/>
        <v>0</v>
      </c>
      <c r="T40" s="261">
        <f t="shared" si="17"/>
        <v>0</v>
      </c>
      <c r="U40" s="261">
        <f t="shared" si="17"/>
        <v>0</v>
      </c>
      <c r="V40" s="261">
        <f t="shared" si="17"/>
        <v>0</v>
      </c>
      <c r="W40" s="261">
        <f t="shared" si="17"/>
        <v>0</v>
      </c>
      <c r="X40" s="261">
        <f t="shared" si="17"/>
        <v>0</v>
      </c>
      <c r="Y40" s="261">
        <f t="shared" si="17"/>
        <v>0</v>
      </c>
      <c r="DA40" s="279"/>
    </row>
    <row r="42" spans="1:105" ht="12.75" x14ac:dyDescent="0.25">
      <c r="A42" s="232" t="s">
        <v>134</v>
      </c>
      <c r="B42" s="231"/>
      <c r="C42" s="231"/>
      <c r="D42" s="231"/>
      <c r="E42" s="231"/>
      <c r="F42" s="231"/>
      <c r="G42" s="231"/>
      <c r="H42" s="231"/>
      <c r="I42" s="231"/>
      <c r="J42" s="231"/>
      <c r="K42" s="231"/>
      <c r="L42" s="231"/>
      <c r="M42" s="231"/>
      <c r="N42" s="231"/>
      <c r="O42" s="231"/>
      <c r="P42" s="231"/>
      <c r="Q42" s="231"/>
      <c r="R42" s="231"/>
      <c r="S42" s="231"/>
      <c r="T42" s="231"/>
      <c r="U42" s="231"/>
      <c r="V42" s="231"/>
      <c r="W42" s="231"/>
      <c r="X42" s="231"/>
      <c r="Y42" s="231"/>
      <c r="DA42" s="266"/>
    </row>
    <row r="44" spans="1:105" x14ac:dyDescent="0.25">
      <c r="A44" s="234" t="s">
        <v>126</v>
      </c>
      <c r="B44" s="237">
        <f>IF(B$5=0,0,B$5/AGR_fec!B$5)</f>
        <v>2.5684924133640505</v>
      </c>
      <c r="C44" s="237">
        <f>IF(C$5=0,0,C$5/AGR_fec!C$5)</f>
        <v>2.5657814088075446</v>
      </c>
      <c r="D44" s="237">
        <f>IF(D$5=0,0,D$5/AGR_fec!D$5)</f>
        <v>2.5825444567127547</v>
      </c>
      <c r="E44" s="237">
        <f>IF(E$5=0,0,E$5/AGR_fec!E$5)</f>
        <v>2.5654794500883455</v>
      </c>
      <c r="F44" s="237">
        <f>IF(F$5=0,0,F$5/AGR_fec!F$5)</f>
        <v>2.5604777013901705</v>
      </c>
      <c r="G44" s="237">
        <f>IF(G$5=0,0,G$5/AGR_fec!G$5)</f>
        <v>2.5466263736672543</v>
      </c>
      <c r="H44" s="237">
        <f>IF(H$5=0,0,H$5/AGR_fec!H$5)</f>
        <v>2.5333879042969034</v>
      </c>
      <c r="I44" s="237">
        <f>IF(I$5=0,0,I$5/AGR_fec!I$5)</f>
        <v>2.4978364471287606</v>
      </c>
      <c r="J44" s="237">
        <f>IF(J$5=0,0,J$5/AGR_fec!J$5)</f>
        <v>2.4864610298038374</v>
      </c>
      <c r="K44" s="237">
        <f>IF(K$5=0,0,K$5/AGR_fec!K$5)</f>
        <v>2.4824288474846075</v>
      </c>
      <c r="L44" s="237">
        <f>IF(L$5=0,0,L$5/AGR_fec!L$5)</f>
        <v>2.4933457024656964</v>
      </c>
      <c r="M44" s="237">
        <f>IF(M$5=0,0,M$5/AGR_fec!M$5)</f>
        <v>2.4576811461380004</v>
      </c>
      <c r="N44" s="237">
        <f>IF(N$5=0,0,N$5/AGR_fec!N$5)</f>
        <v>2.4361042257073606</v>
      </c>
      <c r="O44" s="237">
        <f>IF(O$5=0,0,O$5/AGR_fec!O$5)</f>
        <v>2.444813144056571</v>
      </c>
      <c r="P44" s="237">
        <f>IF(P$5=0,0,P$5/AGR_fec!P$5)</f>
        <v>2.4542799243146467</v>
      </c>
      <c r="Q44" s="237">
        <f>IF(Q$5=0,0,Q$5/AGR_fec!Q$5)</f>
        <v>2.4359572424526275</v>
      </c>
      <c r="R44" s="237">
        <f>IF(R$5=0,0,R$5/AGR_fec!R$5)</f>
        <v>2.4463356065446868</v>
      </c>
      <c r="S44" s="237">
        <f>IF(S$5=0,0,S$5/AGR_fec!S$5)</f>
        <v>2.4143393626255896</v>
      </c>
      <c r="T44" s="237">
        <f>IF(T$5=0,0,T$5/AGR_fec!T$5)</f>
        <v>2.4544218073202049</v>
      </c>
      <c r="U44" s="237">
        <f>IF(U$5=0,0,U$5/AGR_fec!U$5)</f>
        <v>2.4045906910053505</v>
      </c>
      <c r="V44" s="237">
        <f>IF(V$5=0,0,V$5/AGR_fec!V$5)</f>
        <v>2.3945480157745007</v>
      </c>
      <c r="W44" s="237">
        <f>IF(W$5=0,0,W$5/AGR_fec!W$5)</f>
        <v>2.347431051347205</v>
      </c>
      <c r="X44" s="237">
        <f>IF(X$5=0,0,X$5/AGR_fec!X$5)</f>
        <v>2.3292766896692005</v>
      </c>
      <c r="Y44" s="237">
        <f>IF(Y$5=0,0,Y$5/AGR_fec!Y$5)</f>
        <v>2.3361248335442637</v>
      </c>
      <c r="DA44" s="286"/>
    </row>
    <row r="45" spans="1:105" x14ac:dyDescent="0.25">
      <c r="A45" s="238" t="s">
        <v>125</v>
      </c>
      <c r="B45" s="250">
        <f>IF(B$6=0,0,B$6/AGR_fec!B$6)</f>
        <v>0</v>
      </c>
      <c r="C45" s="250">
        <f>IF(C$6=0,0,C$6/AGR_fec!C$6)</f>
        <v>0</v>
      </c>
      <c r="D45" s="250">
        <f>IF(D$6=0,0,D$6/AGR_fec!D$6)</f>
        <v>0</v>
      </c>
      <c r="E45" s="250">
        <f>IF(E$6=0,0,E$6/AGR_fec!E$6)</f>
        <v>0</v>
      </c>
      <c r="F45" s="250">
        <f>IF(F$6=0,0,F$6/AGR_fec!F$6)</f>
        <v>0</v>
      </c>
      <c r="G45" s="250">
        <f>IF(G$6=0,0,G$6/AGR_fec!G$6)</f>
        <v>0</v>
      </c>
      <c r="H45" s="250">
        <f>IF(H$6=0,0,H$6/AGR_fec!H$6)</f>
        <v>0</v>
      </c>
      <c r="I45" s="250">
        <f>IF(I$6=0,0,I$6/AGR_fec!I$6)</f>
        <v>0</v>
      </c>
      <c r="J45" s="250">
        <f>IF(J$6=0,0,J$6/AGR_fec!J$6)</f>
        <v>0</v>
      </c>
      <c r="K45" s="250">
        <f>IF(K$6=0,0,K$6/AGR_fec!K$6)</f>
        <v>0</v>
      </c>
      <c r="L45" s="250">
        <f>IF(L$6=0,0,L$6/AGR_fec!L$6)</f>
        <v>0</v>
      </c>
      <c r="M45" s="250">
        <f>IF(M$6=0,0,M$6/AGR_fec!M$6)</f>
        <v>0</v>
      </c>
      <c r="N45" s="250">
        <f>IF(N$6=0,0,N$6/AGR_fec!N$6)</f>
        <v>0</v>
      </c>
      <c r="O45" s="250">
        <f>IF(O$6=0,0,O$6/AGR_fec!O$6)</f>
        <v>0</v>
      </c>
      <c r="P45" s="250">
        <f>IF(P$6=0,0,P$6/AGR_fec!P$6)</f>
        <v>0</v>
      </c>
      <c r="Q45" s="250">
        <f>IF(Q$6=0,0,Q$6/AGR_fec!Q$6)</f>
        <v>0</v>
      </c>
      <c r="R45" s="250">
        <f>IF(R$6=0,0,R$6/AGR_fec!R$6)</f>
        <v>0</v>
      </c>
      <c r="S45" s="250">
        <f>IF(S$6=0,0,S$6/AGR_fec!S$6)</f>
        <v>0</v>
      </c>
      <c r="T45" s="250">
        <f>IF(T$6=0,0,T$6/AGR_fec!T$6)</f>
        <v>0</v>
      </c>
      <c r="U45" s="250">
        <f>IF(U$6=0,0,U$6/AGR_fec!U$6)</f>
        <v>0</v>
      </c>
      <c r="V45" s="250">
        <f>IF(V$6=0,0,V$6/AGR_fec!V$6)</f>
        <v>0</v>
      </c>
      <c r="W45" s="250">
        <f>IF(W$6=0,0,W$6/AGR_fec!W$6)</f>
        <v>0</v>
      </c>
      <c r="X45" s="250">
        <f>IF(X$6=0,0,X$6/AGR_fec!X$6)</f>
        <v>0</v>
      </c>
      <c r="Y45" s="250">
        <f>IF(Y$6=0,0,Y$6/AGR_fec!Y$6)</f>
        <v>0</v>
      </c>
      <c r="DA45" s="287"/>
    </row>
    <row r="46" spans="1:105" x14ac:dyDescent="0.25">
      <c r="A46" s="240" t="s">
        <v>124</v>
      </c>
      <c r="B46" s="251">
        <f>IF(B$7=0,0,B$7/AGR_fec!B$7)</f>
        <v>0</v>
      </c>
      <c r="C46" s="251">
        <f>IF(C$7=0,0,C$7/AGR_fec!C$7)</f>
        <v>0</v>
      </c>
      <c r="D46" s="251">
        <f>IF(D$7=0,0,D$7/AGR_fec!D$7)</f>
        <v>0</v>
      </c>
      <c r="E46" s="251">
        <f>IF(E$7=0,0,E$7/AGR_fec!E$7)</f>
        <v>0</v>
      </c>
      <c r="F46" s="251">
        <f>IF(F$7=0,0,F$7/AGR_fec!F$7)</f>
        <v>0</v>
      </c>
      <c r="G46" s="251">
        <f>IF(G$7=0,0,G$7/AGR_fec!G$7)</f>
        <v>0</v>
      </c>
      <c r="H46" s="251">
        <f>IF(H$7=0,0,H$7/AGR_fec!H$7)</f>
        <v>0</v>
      </c>
      <c r="I46" s="251">
        <f>IF(I$7=0,0,I$7/AGR_fec!I$7)</f>
        <v>0</v>
      </c>
      <c r="J46" s="251">
        <f>IF(J$7=0,0,J$7/AGR_fec!J$7)</f>
        <v>0</v>
      </c>
      <c r="K46" s="251">
        <f>IF(K$7=0,0,K$7/AGR_fec!K$7)</f>
        <v>0</v>
      </c>
      <c r="L46" s="251">
        <f>IF(L$7=0,0,L$7/AGR_fec!L$7)</f>
        <v>0</v>
      </c>
      <c r="M46" s="251">
        <f>IF(M$7=0,0,M$7/AGR_fec!M$7)</f>
        <v>0</v>
      </c>
      <c r="N46" s="251">
        <f>IF(N$7=0,0,N$7/AGR_fec!N$7)</f>
        <v>0</v>
      </c>
      <c r="O46" s="251">
        <f>IF(O$7=0,0,O$7/AGR_fec!O$7)</f>
        <v>0</v>
      </c>
      <c r="P46" s="251">
        <f>IF(P$7=0,0,P$7/AGR_fec!P$7)</f>
        <v>0</v>
      </c>
      <c r="Q46" s="251">
        <f>IF(Q$7=0,0,Q$7/AGR_fec!Q$7)</f>
        <v>0</v>
      </c>
      <c r="R46" s="251">
        <f>IF(R$7=0,0,R$7/AGR_fec!R$7)</f>
        <v>0</v>
      </c>
      <c r="S46" s="251">
        <f>IF(S$7=0,0,S$7/AGR_fec!S$7)</f>
        <v>0</v>
      </c>
      <c r="T46" s="251">
        <f>IF(T$7=0,0,T$7/AGR_fec!T$7)</f>
        <v>0</v>
      </c>
      <c r="U46" s="251">
        <f>IF(U$7=0,0,U$7/AGR_fec!U$7)</f>
        <v>0</v>
      </c>
      <c r="V46" s="251">
        <f>IF(V$7=0,0,V$7/AGR_fec!V$7)</f>
        <v>0</v>
      </c>
      <c r="W46" s="251">
        <f>IF(W$7=0,0,W$7/AGR_fec!W$7)</f>
        <v>0</v>
      </c>
      <c r="X46" s="251">
        <f>IF(X$7=0,0,X$7/AGR_fec!X$7)</f>
        <v>0</v>
      </c>
      <c r="Y46" s="251">
        <f>IF(Y$7=0,0,Y$7/AGR_fec!Y$7)</f>
        <v>0</v>
      </c>
      <c r="DA46" s="288"/>
    </row>
    <row r="47" spans="1:105" x14ac:dyDescent="0.25">
      <c r="A47" s="240" t="s">
        <v>123</v>
      </c>
      <c r="B47" s="251">
        <f>IF(B$8=0,0,B$8/AGR_fec!B$8)</f>
        <v>0</v>
      </c>
      <c r="C47" s="251">
        <f>IF(C$8=0,0,C$8/AGR_fec!C$8)</f>
        <v>0</v>
      </c>
      <c r="D47" s="251">
        <f>IF(D$8=0,0,D$8/AGR_fec!D$8)</f>
        <v>0</v>
      </c>
      <c r="E47" s="251">
        <f>IF(E$8=0,0,E$8/AGR_fec!E$8)</f>
        <v>0</v>
      </c>
      <c r="F47" s="251">
        <f>IF(F$8=0,0,F$8/AGR_fec!F$8)</f>
        <v>0</v>
      </c>
      <c r="G47" s="251">
        <f>IF(G$8=0,0,G$8/AGR_fec!G$8)</f>
        <v>0</v>
      </c>
      <c r="H47" s="251">
        <f>IF(H$8=0,0,H$8/AGR_fec!H$8)</f>
        <v>0</v>
      </c>
      <c r="I47" s="251">
        <f>IF(I$8=0,0,I$8/AGR_fec!I$8)</f>
        <v>0</v>
      </c>
      <c r="J47" s="251">
        <f>IF(J$8=0,0,J$8/AGR_fec!J$8)</f>
        <v>0</v>
      </c>
      <c r="K47" s="251">
        <f>IF(K$8=0,0,K$8/AGR_fec!K$8)</f>
        <v>0</v>
      </c>
      <c r="L47" s="251">
        <f>IF(L$8=0,0,L$8/AGR_fec!L$8)</f>
        <v>0</v>
      </c>
      <c r="M47" s="251">
        <f>IF(M$8=0,0,M$8/AGR_fec!M$8)</f>
        <v>0</v>
      </c>
      <c r="N47" s="251">
        <f>IF(N$8=0,0,N$8/AGR_fec!N$8)</f>
        <v>0</v>
      </c>
      <c r="O47" s="251">
        <f>IF(O$8=0,0,O$8/AGR_fec!O$8)</f>
        <v>0</v>
      </c>
      <c r="P47" s="251">
        <f>IF(P$8=0,0,P$8/AGR_fec!P$8)</f>
        <v>0</v>
      </c>
      <c r="Q47" s="251">
        <f>IF(Q$8=0,0,Q$8/AGR_fec!Q$8)</f>
        <v>0</v>
      </c>
      <c r="R47" s="251">
        <f>IF(R$8=0,0,R$8/AGR_fec!R$8)</f>
        <v>0</v>
      </c>
      <c r="S47" s="251">
        <f>IF(S$8=0,0,S$8/AGR_fec!S$8)</f>
        <v>0</v>
      </c>
      <c r="T47" s="251">
        <f>IF(T$8=0,0,T$8/AGR_fec!T$8)</f>
        <v>0</v>
      </c>
      <c r="U47" s="251">
        <f>IF(U$8=0,0,U$8/AGR_fec!U$8)</f>
        <v>0</v>
      </c>
      <c r="V47" s="251">
        <f>IF(V$8=0,0,V$8/AGR_fec!V$8)</f>
        <v>0</v>
      </c>
      <c r="W47" s="251">
        <f>IF(W$8=0,0,W$8/AGR_fec!W$8)</f>
        <v>0</v>
      </c>
      <c r="X47" s="251">
        <f>IF(X$8=0,0,X$8/AGR_fec!X$8)</f>
        <v>0</v>
      </c>
      <c r="Y47" s="251">
        <f>IF(Y$8=0,0,Y$8/AGR_fec!Y$8)</f>
        <v>0</v>
      </c>
      <c r="DA47" s="288"/>
    </row>
    <row r="48" spans="1:105" x14ac:dyDescent="0.25">
      <c r="A48" s="242" t="s">
        <v>122</v>
      </c>
      <c r="B48" s="252">
        <f>IF(B$9=0,0,B$9/AGR_fec!B$9)</f>
        <v>2.646035082744441</v>
      </c>
      <c r="C48" s="252">
        <f>IF(C$9=0,0,C$9/AGR_fec!C$9)</f>
        <v>2.6425435449542607</v>
      </c>
      <c r="D48" s="252">
        <f>IF(D$9=0,0,D$9/AGR_fec!D$9)</f>
        <v>2.6714265682027492</v>
      </c>
      <c r="E48" s="252">
        <f>IF(E$9=0,0,E$9/AGR_fec!E$9)</f>
        <v>2.6456480474878998</v>
      </c>
      <c r="F48" s="252">
        <f>IF(F$9=0,0,F$9/AGR_fec!F$9)</f>
        <v>2.6329082541380506</v>
      </c>
      <c r="G48" s="252">
        <f>IF(G$9=0,0,G$9/AGR_fec!G$9)</f>
        <v>2.6097921236870176</v>
      </c>
      <c r="H48" s="252">
        <f>IF(H$9=0,0,H$9/AGR_fec!H$9)</f>
        <v>2.5836597234511411</v>
      </c>
      <c r="I48" s="252">
        <f>IF(I$9=0,0,I$9/AGR_fec!I$9)</f>
        <v>2.5144306076739924</v>
      </c>
      <c r="J48" s="252">
        <f>IF(J$9=0,0,J$9/AGR_fec!J$9)</f>
        <v>2.4970548158321</v>
      </c>
      <c r="K48" s="252">
        <f>IF(K$9=0,0,K$9/AGR_fec!K$9)</f>
        <v>2.4610821802665401</v>
      </c>
      <c r="L48" s="252">
        <f>IF(L$9=0,0,L$9/AGR_fec!L$9)</f>
        <v>2.5017829345432476</v>
      </c>
      <c r="M48" s="252">
        <f>IF(M$9=0,0,M$9/AGR_fec!M$9)</f>
        <v>2.4037331063193896</v>
      </c>
      <c r="N48" s="252">
        <f>IF(N$9=0,0,N$9/AGR_fec!N$9)</f>
        <v>2.3367697924954824</v>
      </c>
      <c r="O48" s="252">
        <f>IF(O$9=0,0,O$9/AGR_fec!O$9)</f>
        <v>2.3456344904324635</v>
      </c>
      <c r="P48" s="252">
        <f>IF(P$9=0,0,P$9/AGR_fec!P$9)</f>
        <v>2.3981468232543768</v>
      </c>
      <c r="Q48" s="252">
        <f>IF(Q$9=0,0,Q$9/AGR_fec!Q$9)</f>
        <v>2.4201475211008066</v>
      </c>
      <c r="R48" s="252">
        <f>IF(R$9=0,0,R$9/AGR_fec!R$9)</f>
        <v>2.442974901743987</v>
      </c>
      <c r="S48" s="252">
        <f>IF(S$9=0,0,S$9/AGR_fec!S$9)</f>
        <v>2.3761569539717442</v>
      </c>
      <c r="T48" s="252">
        <f>IF(T$9=0,0,T$9/AGR_fec!T$9)</f>
        <v>2.4561952251602852</v>
      </c>
      <c r="U48" s="252">
        <f>IF(U$9=0,0,U$9/AGR_fec!U$9)</f>
        <v>2.3478497626991257</v>
      </c>
      <c r="V48" s="252">
        <f>IF(V$9=0,0,V$9/AGR_fec!V$9)</f>
        <v>2.3182517921402064</v>
      </c>
      <c r="W48" s="252">
        <f>IF(W$9=0,0,W$9/AGR_fec!W$9)</f>
        <v>2.2861075492522303</v>
      </c>
      <c r="X48" s="252">
        <f>IF(X$9=0,0,X$9/AGR_fec!X$9)</f>
        <v>2.2468631023621755</v>
      </c>
      <c r="Y48" s="252">
        <f>IF(Y$9=0,0,Y$9/AGR_fec!Y$9)</f>
        <v>2.2732473019321708</v>
      </c>
      <c r="DA48" s="289"/>
    </row>
    <row r="49" spans="1:105" x14ac:dyDescent="0.25">
      <c r="A49" s="127" t="s">
        <v>168</v>
      </c>
      <c r="B49" s="264">
        <f>IF(B$16=0,0,B$16/AGR_fec!B$16)</f>
        <v>3.102418800000001</v>
      </c>
      <c r="C49" s="264">
        <f>IF(C$16=0,0,C$16/AGR_fec!C$16)</f>
        <v>3.1024188000000001</v>
      </c>
      <c r="D49" s="264">
        <f>IF(D$16=0,0,D$16/AGR_fec!D$16)</f>
        <v>3.1024188000000001</v>
      </c>
      <c r="E49" s="264">
        <f>IF(E$16=0,0,E$16/AGR_fec!E$16)</f>
        <v>3.1024188000000001</v>
      </c>
      <c r="F49" s="264">
        <f>IF(F$16=0,0,F$16/AGR_fec!F$16)</f>
        <v>3.1024187999999997</v>
      </c>
      <c r="G49" s="264">
        <f>IF(G$16=0,0,G$16/AGR_fec!G$16)</f>
        <v>3.1024187999999997</v>
      </c>
      <c r="H49" s="264">
        <f>IF(H$16=0,0,H$16/AGR_fec!H$16)</f>
        <v>3.102418800000001</v>
      </c>
      <c r="I49" s="264">
        <f>IF(I$16=0,0,I$16/AGR_fec!I$16)</f>
        <v>3.1024188000000001</v>
      </c>
      <c r="J49" s="264">
        <f>IF(J$16=0,0,J$16/AGR_fec!J$16)</f>
        <v>3.102418800000001</v>
      </c>
      <c r="K49" s="264">
        <f>IF(K$16=0,0,K$16/AGR_fec!K$16)</f>
        <v>3.1024187999999997</v>
      </c>
      <c r="L49" s="264">
        <f>IF(L$16=0,0,L$16/AGR_fec!L$16)</f>
        <v>3.1024188000000015</v>
      </c>
      <c r="M49" s="264">
        <f>IF(M$16=0,0,M$16/AGR_fec!M$16)</f>
        <v>3.1024188000000006</v>
      </c>
      <c r="N49" s="264">
        <f>IF(N$16=0,0,N$16/AGR_fec!N$16)</f>
        <v>3.1024188000000001</v>
      </c>
      <c r="O49" s="264">
        <f>IF(O$16=0,0,O$16/AGR_fec!O$16)</f>
        <v>3.1024188000000001</v>
      </c>
      <c r="P49" s="264">
        <f>IF(P$16=0,0,P$16/AGR_fec!P$16)</f>
        <v>3.1024187999999993</v>
      </c>
      <c r="Q49" s="264">
        <f>IF(Q$16=0,0,Q$16/AGR_fec!Q$16)</f>
        <v>3.1024188000000006</v>
      </c>
      <c r="R49" s="264">
        <f>IF(R$16=0,0,R$16/AGR_fec!R$16)</f>
        <v>3.1024188000000015</v>
      </c>
      <c r="S49" s="264">
        <f>IF(S$16=0,0,S$16/AGR_fec!S$16)</f>
        <v>3.1024188000000006</v>
      </c>
      <c r="T49" s="264">
        <f>IF(T$16=0,0,T$16/AGR_fec!T$16)</f>
        <v>3.1024188000000001</v>
      </c>
      <c r="U49" s="264">
        <f>IF(U$16=0,0,U$16/AGR_fec!U$16)</f>
        <v>3.1024187999999997</v>
      </c>
      <c r="V49" s="264">
        <f>IF(V$16=0,0,V$16/AGR_fec!V$16)</f>
        <v>3.102418800000001</v>
      </c>
      <c r="W49" s="264">
        <f>IF(W$16=0,0,W$16/AGR_fec!W$16)</f>
        <v>3.1023126843489348</v>
      </c>
      <c r="X49" s="264">
        <f>IF(X$16=0,0,X$16/AGR_fec!X$16)</f>
        <v>3.1023999236717348</v>
      </c>
      <c r="Y49" s="264">
        <f>IF(Y$16=0,0,Y$16/AGR_fec!Y$16)</f>
        <v>3.1024188000000006</v>
      </c>
      <c r="DA49" s="290"/>
    </row>
    <row r="50" spans="1:105" x14ac:dyDescent="0.25">
      <c r="A50" s="127" t="s">
        <v>121</v>
      </c>
      <c r="B50" s="264">
        <f>IF(B$17=0,0,B$17/AGR_fec!B$17)</f>
        <v>2.8792191653859671</v>
      </c>
      <c r="C50" s="264">
        <f>IF(C$17=0,0,C$17/AGR_fec!C$17)</f>
        <v>2.8839113479572593</v>
      </c>
      <c r="D50" s="264">
        <f>IF(D$17=0,0,D$17/AGR_fec!D$17)</f>
        <v>2.8844915698976403</v>
      </c>
      <c r="E50" s="264">
        <f>IF(E$17=0,0,E$17/AGR_fec!E$17)</f>
        <v>2.882971055656355</v>
      </c>
      <c r="F50" s="264">
        <f>IF(F$17=0,0,F$17/AGR_fec!F$17)</f>
        <v>2.8815105821291866</v>
      </c>
      <c r="G50" s="264">
        <f>IF(G$17=0,0,G$17/AGR_fec!G$17)</f>
        <v>2.8713493089884357</v>
      </c>
      <c r="H50" s="264">
        <f>IF(H$17=0,0,H$17/AGR_fec!H$17)</f>
        <v>2.8754022328189217</v>
      </c>
      <c r="I50" s="264">
        <f>IF(I$17=0,0,I$17/AGR_fec!I$17)</f>
        <v>2.8627764411680539</v>
      </c>
      <c r="J50" s="264">
        <f>IF(J$17=0,0,J$17/AGR_fec!J$17)</f>
        <v>2.8635672040166869</v>
      </c>
      <c r="K50" s="264">
        <f>IF(K$17=0,0,K$17/AGR_fec!K$17)</f>
        <v>2.8632741872340421</v>
      </c>
      <c r="L50" s="264">
        <f>IF(L$17=0,0,L$17/AGR_fec!L$17)</f>
        <v>2.908378201586856</v>
      </c>
      <c r="M50" s="264">
        <f>IF(M$17=0,0,M$17/AGR_fec!M$17)</f>
        <v>2.910315090296236</v>
      </c>
      <c r="N50" s="264">
        <f>IF(N$17=0,0,N$17/AGR_fec!N$17)</f>
        <v>2.9202315566292243</v>
      </c>
      <c r="O50" s="264">
        <f>IF(O$17=0,0,O$17/AGR_fec!O$17)</f>
        <v>2.917959153419023</v>
      </c>
      <c r="P50" s="264">
        <f>IF(P$17=0,0,P$17/AGR_fec!P$17)</f>
        <v>2.8728100723463537</v>
      </c>
      <c r="Q50" s="264">
        <f>IF(Q$17=0,0,Q$17/AGR_fec!Q$17)</f>
        <v>2.8290997512342995</v>
      </c>
      <c r="R50" s="264">
        <f>IF(R$17=0,0,R$17/AGR_fec!R$17)</f>
        <v>2.826251108993044</v>
      </c>
      <c r="S50" s="264">
        <f>IF(S$17=0,0,S$17/AGR_fec!S$17)</f>
        <v>2.8193193789714575</v>
      </c>
      <c r="T50" s="264">
        <f>IF(T$17=0,0,T$17/AGR_fec!T$17)</f>
        <v>2.8364425038442072</v>
      </c>
      <c r="U50" s="264">
        <f>IF(U$17=0,0,U$17/AGR_fec!U$17)</f>
        <v>2.8140286242063408</v>
      </c>
      <c r="V50" s="264">
        <f>IF(V$17=0,0,V$17/AGR_fec!V$17)</f>
        <v>2.8268452916183615</v>
      </c>
      <c r="W50" s="264">
        <f>IF(W$17=0,0,W$17/AGR_fec!W$17)</f>
        <v>2.7121202732572769</v>
      </c>
      <c r="X50" s="264">
        <f>IF(X$17=0,0,X$17/AGR_fec!X$17)</f>
        <v>2.6946505143396622</v>
      </c>
      <c r="Y50" s="264">
        <f>IF(Y$17=0,0,Y$17/AGR_fec!Y$17)</f>
        <v>2.6971598809242279</v>
      </c>
      <c r="DA50" s="290"/>
    </row>
    <row r="51" spans="1:105" x14ac:dyDescent="0.25">
      <c r="A51" s="127" t="s">
        <v>167</v>
      </c>
      <c r="B51" s="264">
        <f>IF(B$25=0,0,B$25/AGR_fec!B$25)</f>
        <v>3.1024188000000006</v>
      </c>
      <c r="C51" s="264">
        <f>IF(C$25=0,0,C$25/AGR_fec!C$25)</f>
        <v>3.1024188000000001</v>
      </c>
      <c r="D51" s="264">
        <f>IF(D$25=0,0,D$25/AGR_fec!D$25)</f>
        <v>3.1024187999999997</v>
      </c>
      <c r="E51" s="264">
        <f>IF(E$25=0,0,E$25/AGR_fec!E$25)</f>
        <v>3.1024187999999988</v>
      </c>
      <c r="F51" s="264">
        <f>IF(F$25=0,0,F$25/AGR_fec!F$25)</f>
        <v>3.1024188000000006</v>
      </c>
      <c r="G51" s="264">
        <f>IF(G$25=0,0,G$25/AGR_fec!G$25)</f>
        <v>3.1024187999999997</v>
      </c>
      <c r="H51" s="264">
        <f>IF(H$25=0,0,H$25/AGR_fec!H$25)</f>
        <v>3.102418800000001</v>
      </c>
      <c r="I51" s="264">
        <f>IF(I$25=0,0,I$25/AGR_fec!I$25)</f>
        <v>3.1024188000000015</v>
      </c>
      <c r="J51" s="264">
        <f>IF(J$25=0,0,J$25/AGR_fec!J$25)</f>
        <v>3.1024187999999997</v>
      </c>
      <c r="K51" s="264">
        <f>IF(K$25=0,0,K$25/AGR_fec!K$25)</f>
        <v>3.1024187999999997</v>
      </c>
      <c r="L51" s="264">
        <f>IF(L$25=0,0,L$25/AGR_fec!L$25)</f>
        <v>3.1024188000000015</v>
      </c>
      <c r="M51" s="264">
        <f>IF(M$25=0,0,M$25/AGR_fec!M$25)</f>
        <v>3.1024187999999993</v>
      </c>
      <c r="N51" s="264">
        <f>IF(N$25=0,0,N$25/AGR_fec!N$25)</f>
        <v>3.102418800000001</v>
      </c>
      <c r="O51" s="264">
        <f>IF(O$25=0,0,O$25/AGR_fec!O$25)</f>
        <v>3.1024188000000001</v>
      </c>
      <c r="P51" s="264">
        <f>IF(P$25=0,0,P$25/AGR_fec!P$25)</f>
        <v>3.1024188000000001</v>
      </c>
      <c r="Q51" s="264">
        <f>IF(Q$25=0,0,Q$25/AGR_fec!Q$25)</f>
        <v>3.1024187999999988</v>
      </c>
      <c r="R51" s="264">
        <f>IF(R$25=0,0,R$25/AGR_fec!R$25)</f>
        <v>3.1024188000000006</v>
      </c>
      <c r="S51" s="264">
        <f>IF(S$25=0,0,S$25/AGR_fec!S$25)</f>
        <v>3.1024187999999997</v>
      </c>
      <c r="T51" s="264">
        <f>IF(T$25=0,0,T$25/AGR_fec!T$25)</f>
        <v>3.1024187999999993</v>
      </c>
      <c r="U51" s="264">
        <f>IF(U$25=0,0,U$25/AGR_fec!U$25)</f>
        <v>3.1024188000000015</v>
      </c>
      <c r="V51" s="264">
        <f>IF(V$25=0,0,V$25/AGR_fec!V$25)</f>
        <v>3.1024187999999997</v>
      </c>
      <c r="W51" s="264">
        <f>IF(W$25=0,0,W$25/AGR_fec!W$25)</f>
        <v>3.1023126843489339</v>
      </c>
      <c r="X51" s="264">
        <f>IF(X$25=0,0,X$25/AGR_fec!X$25)</f>
        <v>3.1023999236717361</v>
      </c>
      <c r="Y51" s="264">
        <f>IF(Y$25=0,0,Y$25/AGR_fec!Y$25)</f>
        <v>3.1024187999999997</v>
      </c>
      <c r="DA51" s="290"/>
    </row>
    <row r="52" spans="1:105" x14ac:dyDescent="0.25">
      <c r="A52" s="127" t="s">
        <v>170</v>
      </c>
      <c r="B52" s="264">
        <f>IF(B$26=0,0,B$26/AGR_fec!B$26)</f>
        <v>0</v>
      </c>
      <c r="C52" s="264">
        <f>IF(C$26=0,0,C$26/AGR_fec!C$26)</f>
        <v>0</v>
      </c>
      <c r="D52" s="264">
        <f>IF(D$26=0,0,D$26/AGR_fec!D$26)</f>
        <v>0</v>
      </c>
      <c r="E52" s="264">
        <f>IF(E$26=0,0,E$26/AGR_fec!E$26)</f>
        <v>0</v>
      </c>
      <c r="F52" s="264">
        <f>IF(F$26=0,0,F$26/AGR_fec!F$26)</f>
        <v>0</v>
      </c>
      <c r="G52" s="264">
        <f>IF(G$26=0,0,G$26/AGR_fec!G$26)</f>
        <v>0</v>
      </c>
      <c r="H52" s="264">
        <f>IF(H$26=0,0,H$26/AGR_fec!H$26)</f>
        <v>0</v>
      </c>
      <c r="I52" s="264">
        <f>IF(I$26=0,0,I$26/AGR_fec!I$26)</f>
        <v>0</v>
      </c>
      <c r="J52" s="264">
        <f>IF(J$26=0,0,J$26/AGR_fec!J$26)</f>
        <v>0</v>
      </c>
      <c r="K52" s="264">
        <f>IF(K$26=0,0,K$26/AGR_fec!K$26)</f>
        <v>0</v>
      </c>
      <c r="L52" s="264">
        <f>IF(L$26=0,0,L$26/AGR_fec!L$26)</f>
        <v>0</v>
      </c>
      <c r="M52" s="264">
        <f>IF(M$26=0,0,M$26/AGR_fec!M$26)</f>
        <v>0</v>
      </c>
      <c r="N52" s="264">
        <f>IF(N$26=0,0,N$26/AGR_fec!N$26)</f>
        <v>0</v>
      </c>
      <c r="O52" s="264">
        <f>IF(O$26=0,0,O$26/AGR_fec!O$26)</f>
        <v>0</v>
      </c>
      <c r="P52" s="264">
        <f>IF(P$26=0,0,P$26/AGR_fec!P$26)</f>
        <v>0</v>
      </c>
      <c r="Q52" s="264">
        <f>IF(Q$26=0,0,Q$26/AGR_fec!Q$26)</f>
        <v>0</v>
      </c>
      <c r="R52" s="264">
        <f>IF(R$26=0,0,R$26/AGR_fec!R$26)</f>
        <v>0</v>
      </c>
      <c r="S52" s="264">
        <f>IF(S$26=0,0,S$26/AGR_fec!S$26)</f>
        <v>0</v>
      </c>
      <c r="T52" s="264">
        <f>IF(T$26=0,0,T$26/AGR_fec!T$26)</f>
        <v>0</v>
      </c>
      <c r="U52" s="264">
        <f>IF(U$26=0,0,U$26/AGR_fec!U$26)</f>
        <v>0</v>
      </c>
      <c r="V52" s="264">
        <f>IF(V$26=0,0,V$26/AGR_fec!V$26)</f>
        <v>0</v>
      </c>
      <c r="W52" s="264">
        <f>IF(W$26=0,0,W$26/AGR_fec!W$26)</f>
        <v>0</v>
      </c>
      <c r="X52" s="264">
        <f>IF(X$26=0,0,X$26/AGR_fec!X$26)</f>
        <v>0</v>
      </c>
      <c r="Y52" s="264">
        <f>IF(Y$26=0,0,Y$26/AGR_fec!Y$26)</f>
        <v>0</v>
      </c>
      <c r="DA52" s="290"/>
    </row>
    <row r="53" spans="1:105" x14ac:dyDescent="0.25">
      <c r="A53" s="260" t="s">
        <v>33</v>
      </c>
      <c r="B53" s="265">
        <f>IF(B$27=0,0,B$27/AGR_fec!B$27)</f>
        <v>0</v>
      </c>
      <c r="C53" s="265">
        <f>IF(C$27=0,0,C$27/AGR_fec!C$27)</f>
        <v>0</v>
      </c>
      <c r="D53" s="265">
        <f>IF(D$27=0,0,D$27/AGR_fec!D$27)</f>
        <v>0</v>
      </c>
      <c r="E53" s="265">
        <f>IF(E$27=0,0,E$27/AGR_fec!E$27)</f>
        <v>0</v>
      </c>
      <c r="F53" s="265">
        <f>IF(F$27=0,0,F$27/AGR_fec!F$27)</f>
        <v>0</v>
      </c>
      <c r="G53" s="265">
        <f>IF(G$27=0,0,G$27/AGR_fec!G$27)</f>
        <v>0</v>
      </c>
      <c r="H53" s="265">
        <f>IF(H$27=0,0,H$27/AGR_fec!H$27)</f>
        <v>0</v>
      </c>
      <c r="I53" s="265">
        <f>IF(I$27=0,0,I$27/AGR_fec!I$27)</f>
        <v>0</v>
      </c>
      <c r="J53" s="265">
        <f>IF(J$27=0,0,J$27/AGR_fec!J$27)</f>
        <v>0</v>
      </c>
      <c r="K53" s="265">
        <f>IF(K$27=0,0,K$27/AGR_fec!K$27)</f>
        <v>0</v>
      </c>
      <c r="L53" s="265">
        <f>IF(L$27=0,0,L$27/AGR_fec!L$27)</f>
        <v>0</v>
      </c>
      <c r="M53" s="265">
        <f>IF(M$27=0,0,M$27/AGR_fec!M$27)</f>
        <v>0</v>
      </c>
      <c r="N53" s="265">
        <f>IF(N$27=0,0,N$27/AGR_fec!N$27)</f>
        <v>0</v>
      </c>
      <c r="O53" s="265">
        <f>IF(O$27=0,0,O$27/AGR_fec!O$27)</f>
        <v>0</v>
      </c>
      <c r="P53" s="265">
        <f>IF(P$27=0,0,P$27/AGR_fec!P$27)</f>
        <v>0</v>
      </c>
      <c r="Q53" s="265">
        <f>IF(Q$27=0,0,Q$27/AGR_fec!Q$27)</f>
        <v>0</v>
      </c>
      <c r="R53" s="265">
        <f>IF(R$27=0,0,R$27/AGR_fec!R$27)</f>
        <v>0</v>
      </c>
      <c r="S53" s="265">
        <f>IF(S$27=0,0,S$27/AGR_fec!S$27)</f>
        <v>0</v>
      </c>
      <c r="T53" s="265">
        <f>IF(T$27=0,0,T$27/AGR_fec!T$27)</f>
        <v>0</v>
      </c>
      <c r="U53" s="265">
        <f>IF(U$27=0,0,U$27/AGR_fec!U$27)</f>
        <v>0</v>
      </c>
      <c r="V53" s="265">
        <f>IF(V$27=0,0,V$27/AGR_fec!V$27)</f>
        <v>0</v>
      </c>
      <c r="W53" s="265">
        <f>IF(W$27=0,0,W$27/AGR_fec!W$27)</f>
        <v>0</v>
      </c>
      <c r="X53" s="265">
        <f>IF(X$27=0,0,X$27/AGR_fec!X$27)</f>
        <v>0</v>
      </c>
      <c r="Y53" s="265">
        <f>IF(Y$27=0,0,Y$27/AGR_fec!Y$27)</f>
        <v>0</v>
      </c>
      <c r="DA53" s="291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Y5 B9:Y9 B17:Y17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36</vt:i4>
      </vt:variant>
      <vt:variant>
        <vt:lpstr>Named Ranges</vt:lpstr>
      </vt:variant>
      <vt:variant>
        <vt:i4>35</vt:i4>
      </vt:variant>
    </vt:vector>
  </HeadingPairs>
  <TitlesOfParts>
    <vt:vector size="71" baseType="lpstr">
      <vt:lpstr>cover</vt:lpstr>
      <vt:lpstr>index</vt:lpstr>
      <vt:lpstr>SER_summary</vt:lpstr>
      <vt:lpstr>SER_hh_num</vt:lpstr>
      <vt:lpstr>SER_hh_fec</vt:lpstr>
      <vt:lpstr>SER_hh_tes</vt:lpstr>
      <vt:lpstr>SER_hh_eff</vt:lpstr>
      <vt:lpstr>SER_hh_emi</vt:lpstr>
      <vt:lpstr>SER_hh_fech</vt:lpstr>
      <vt:lpstr>SER_hh_tesh</vt:lpstr>
      <vt:lpstr>SER_hh_emih</vt:lpstr>
      <vt:lpstr>SER_hh_fecs</vt:lpstr>
      <vt:lpstr>SER_hh_tess</vt:lpstr>
      <vt:lpstr>SER_hh_emis</vt:lpstr>
      <vt:lpstr>SER_hh_num_in</vt:lpstr>
      <vt:lpstr>SER_hh_fec_in</vt:lpstr>
      <vt:lpstr>SER_hh_tes_in</vt:lpstr>
      <vt:lpstr>SER_hh_eff_in</vt:lpstr>
      <vt:lpstr>SER_hh_emi_in</vt:lpstr>
      <vt:lpstr>SER_hh_fech_in</vt:lpstr>
      <vt:lpstr>SER_hh_tesh_in</vt:lpstr>
      <vt:lpstr>SER_hh_emih_in</vt:lpstr>
      <vt:lpstr>SER_hh_fecs_in</vt:lpstr>
      <vt:lpstr>SER_hh_tess_in</vt:lpstr>
      <vt:lpstr>SER_hh_emis_in</vt:lpstr>
      <vt:lpstr>SER_se-appl</vt:lpstr>
      <vt:lpstr>SER_VE</vt:lpstr>
      <vt:lpstr>SER_SL</vt:lpstr>
      <vt:lpstr>SER_BL</vt:lpstr>
      <vt:lpstr>SER_CR</vt:lpstr>
      <vt:lpstr>SER_BT</vt:lpstr>
      <vt:lpstr>SER_IT</vt:lpstr>
      <vt:lpstr>AGR</vt:lpstr>
      <vt:lpstr>AGR_fec</vt:lpstr>
      <vt:lpstr>AGR_ued</vt:lpstr>
      <vt:lpstr>AGR_emi</vt:lpstr>
      <vt:lpstr>AGR!Print_Area</vt:lpstr>
      <vt:lpstr>AGR!Print_Titles</vt:lpstr>
      <vt:lpstr>AGR_emi!Print_Titles</vt:lpstr>
      <vt:lpstr>AGR_fec!Print_Titles</vt:lpstr>
      <vt:lpstr>AGR_ued!Print_Titles</vt:lpstr>
      <vt:lpstr>SER_BL!Print_Titles</vt:lpstr>
      <vt:lpstr>SER_BT!Print_Titles</vt:lpstr>
      <vt:lpstr>SER_CR!Print_Titles</vt:lpstr>
      <vt:lpstr>SER_hh_eff!Print_Titles</vt:lpstr>
      <vt:lpstr>SER_hh_eff_in!Print_Titles</vt:lpstr>
      <vt:lpstr>SER_hh_emi!Print_Titles</vt:lpstr>
      <vt:lpstr>SER_hh_emi_in!Print_Titles</vt:lpstr>
      <vt:lpstr>SER_hh_emih!Print_Titles</vt:lpstr>
      <vt:lpstr>SER_hh_emih_in!Print_Titles</vt:lpstr>
      <vt:lpstr>SER_hh_emis!Print_Titles</vt:lpstr>
      <vt:lpstr>SER_hh_emis_in!Print_Titles</vt:lpstr>
      <vt:lpstr>SER_hh_fec!Print_Titles</vt:lpstr>
      <vt:lpstr>SER_hh_fec_in!Print_Titles</vt:lpstr>
      <vt:lpstr>SER_hh_fech!Print_Titles</vt:lpstr>
      <vt:lpstr>SER_hh_fech_in!Print_Titles</vt:lpstr>
      <vt:lpstr>SER_hh_fecs!Print_Titles</vt:lpstr>
      <vt:lpstr>SER_hh_fecs_in!Print_Titles</vt:lpstr>
      <vt:lpstr>SER_hh_num!Print_Titles</vt:lpstr>
      <vt:lpstr>SER_hh_num_in!Print_Titles</vt:lpstr>
      <vt:lpstr>SER_hh_tes!Print_Titles</vt:lpstr>
      <vt:lpstr>SER_hh_tes_in!Print_Titles</vt:lpstr>
      <vt:lpstr>SER_hh_tesh!Print_Titles</vt:lpstr>
      <vt:lpstr>SER_hh_tesh_in!Print_Titles</vt:lpstr>
      <vt:lpstr>SER_hh_tess!Print_Titles</vt:lpstr>
      <vt:lpstr>SER_hh_tess_in!Print_Titles</vt:lpstr>
      <vt:lpstr>SER_IT!Print_Titles</vt:lpstr>
      <vt:lpstr>'SER_se-appl'!Print_Titles</vt:lpstr>
      <vt:lpstr>SER_SL!Print_Titles</vt:lpstr>
      <vt:lpstr>SER_summary!Print_Titles</vt:lpstr>
      <vt:lpstr>SER_VE!Print_Titles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JRC-IDEES-2023</dc:title>
  <dc:creator>JRC C.6</dc:creator>
  <dc:description>v2023-1.00</dc:description>
  <cp:lastModifiedBy>JRC-SVQ-ROZSAMA</cp:lastModifiedBy>
  <dcterms:created xsi:type="dcterms:W3CDTF">2025-11-06T10:26:27Z</dcterms:created>
  <dcterms:modified xsi:type="dcterms:W3CDTF">2025-11-06T10:26:27Z</dcterms:modified>
</cp:coreProperties>
</file>