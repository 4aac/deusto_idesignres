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R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14" i="59" l="1"/>
  <c r="AA113" i="59"/>
  <c r="AA78" i="59"/>
  <c r="AA106" i="59"/>
  <c r="AA102" i="59"/>
  <c r="AA98" i="59"/>
  <c r="AA94" i="59"/>
  <c r="AA5" i="59"/>
  <c r="Z115" i="59"/>
  <c r="Z111" i="59"/>
  <c r="Z107" i="59"/>
  <c r="Z103" i="59"/>
  <c r="Z99" i="59"/>
  <c r="O75" i="57"/>
  <c r="Y75" i="57"/>
  <c r="U75" i="57"/>
  <c r="T75" i="57"/>
  <c r="E75" i="57"/>
  <c r="Q54" i="57"/>
  <c r="P54" i="57"/>
  <c r="I54" i="57"/>
  <c r="S54" i="57"/>
  <c r="K54" i="57"/>
  <c r="J54" i="57"/>
  <c r="U39" i="57"/>
  <c r="H39" i="57"/>
  <c r="E39" i="57"/>
  <c r="S16" i="57"/>
  <c r="O16" i="57"/>
  <c r="M16" i="57"/>
  <c r="K75" i="57"/>
  <c r="Q75" i="57"/>
  <c r="D75" i="57"/>
  <c r="J75" i="57"/>
  <c r="F75" i="57"/>
  <c r="L54" i="57"/>
  <c r="R54" i="57"/>
  <c r="O39" i="57"/>
  <c r="I39" i="57"/>
  <c r="Y16" i="57"/>
  <c r="G16" i="57"/>
  <c r="AA89" i="59" l="1"/>
  <c r="AA80" i="59"/>
  <c r="Z54" i="55"/>
  <c r="AA66" i="59"/>
  <c r="AA70" i="59"/>
  <c r="AA74" i="59"/>
  <c r="AA79" i="59"/>
  <c r="AA81" i="59"/>
  <c r="AA82" i="59"/>
  <c r="AA84" i="59"/>
  <c r="AA88" i="59"/>
  <c r="AA93" i="59"/>
  <c r="AA109" i="59"/>
  <c r="AA117" i="59"/>
  <c r="AA121" i="59"/>
  <c r="E16" i="57"/>
  <c r="Q39" i="57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6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<sst xmlns="http://schemas.openxmlformats.org/spreadsheetml/2006/main" count="722" uniqueCount="281">
  <si>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</si>
  <si>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</si>
  <si>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</si>
  <si>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</si>
  <si>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</si>
  <si>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</si>
  <si>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</si>
  <si>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</si>
  <si>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</si>
  <si>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</si>
  <si>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</si>
  <si>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</si>
  <si>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</si>
  <si>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</si>
  <si>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</si>
  <si>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</si>
  <si>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</si>
  <si>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</si>
  <si>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</si>
  <si>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</si>
  <si>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</si>
  <si>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</si>
  <si>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</si>
  <si>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</si>
  <si>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</si>
  <si>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</si>
  <si>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</si>
  <si>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</si>
  <si>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</si>
  <si>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</si>
  <si>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</si>
  <si>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</si>
  <si>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</si>
  <si>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</si>
  <si>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</si>
  <si>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</si>
  <si>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</si>
  <si>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</si>
  <si>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</si>
  <si>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</si>
  <si>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</si>
  <si>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</si>
  <si>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</si>
  <si>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</si>
  <si>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</si>
  <si>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</si>
  <si>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</si>
  <si>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</si>
  <si>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</si>
  <si>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</si>
  <si>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</si>
  <si>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</si>
  <si>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</si>
  <si>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</si>
  <si>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</si>
  <si>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</si>
  <si>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</si>
  <si>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</si>
  <si>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</si>
  <si>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</si>
  <si>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</si>
  <si>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</si>
  <si>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</si>
  <si>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</si>
  <si>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</si>
  <si>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</si>
  <si>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</si>
  <si>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</si>
  <si>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</si>
  <si>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</si>
  <si>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</si>
  <si>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</si>
  <si>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</si>
  <si>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</si>
  <si>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</si>
  <si>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</si>
  <si>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</si>
  <si>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</si>
  <si>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</si>
  <si>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</si>
  <si>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</si>
  <si>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</si>
  <si>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</si>
  <si>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</si>
  <si>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</si>
  <si>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</si>
  <si>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</si>
  <si>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</si>
  <si>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</si>
  <si>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</si>
  <si>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</si>
  <si>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</si>
  <si>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</si>
  <si>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</si>
  <si>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</si>
  <si>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</si>
  <si>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</si>
  <si>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</si>
  <si>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</si>
  <si>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</si>
  <si>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</si>
  <si>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</si>
  <si>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</si>
  <si>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</si>
  <si>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</si>
  <si>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</si>
  <si>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</si>
  <si>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</si>
  <si>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</si>
  <si>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</si>
  <si>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</si>
  <si>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</si>
  <si>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</si>
  <si>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</si>
  <si>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</si>
  <si>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</si>
  <si>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</si>
  <si>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</si>
  <si>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</si>
  <si>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</si>
  <si>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</si>
  <si>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</si>
  <si>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</si>
  <si>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</si>
  <si>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</si>
  <si>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</si>
  <si>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</si>
  <si>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</si>
  <si>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</si>
  <si>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</si>
  <si>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</si>
  <si>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</si>
  <si>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</si>
  <si>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</si>
  <si>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</si>
  <si>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</si>
  <si>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</si>
  <si>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</si>
  <si>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</si>
  <si>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</si>
  <si>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</si>
  <si>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</si>
  <si>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</si>
  <si>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</si>
  <si>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</si>
  <si>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</si>
  <si>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</si>
  <si>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</si>
  <si>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</si>
  <si>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</si>
  <si>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</si>
  <si>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</si>
  <si>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</si>
  <si>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</si>
  <si>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</si>
  <si>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</si>
  <si>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</si>
  <si>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</si>
  <si>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</si>
  <si>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</si>
  <si>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</si>
  <si>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</si>
  <si>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</si>
  <si>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</si>
  <si>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</si>
  <si>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</si>
  <si>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</si>
  <si>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</si>
  <si>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</si>
  <si>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</si>
  <si>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</si>
  <si>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</si>
  <si>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</si>
  <si>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</si>
  <si>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</si>
  <si>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</si>
  <si>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</si>
  <si>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</si>
  <si>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</si>
  <si>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</si>
  <si>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</si>
  <si>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</si>
  <si>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</si>
  <si>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</si>
  <si>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</si>
  <si>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</si>
  <si>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</si>
  <si>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</si>
  <si>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</si>
  <si>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</si>
  <si>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</si>
  <si>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</si>
  <si>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</si>
  <si>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</si>
  <si>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</si>
  <si>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</si>
  <si>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</si>
  <si>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</si>
  <si>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</si>
  <si>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</si>
  <si>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</si>
  <si>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</si>
  <si>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</si>
  <si>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</si>
  <si>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</si>
  <si>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</si>
  <si>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</si>
  <si>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</si>
  <si>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</si>
  <si>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</si>
  <si>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</si>
  <si>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</si>
  <si>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</si>
  <si>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</si>
  <si>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</si>
  <si>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</si>
  <si>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</si>
  <si>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</si>
  <si>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</si>
  <si>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</si>
  <si>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</si>
  <si>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</si>
  <si>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</si>
  <si>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</si>
  <si>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</si>
  <si>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</si>
  <si>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</si>
  <si>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</si>
  <si>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</si>
  <si>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</si>
  <si>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</si>
  <si>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</si>
  <si>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</si>
  <si>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</si>
  <si>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</si>
  <si>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</si>
  <si>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</si>
  <si>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</si>
  <si>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</si>
  <si>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</si>
  <si>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</si>
  <si>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</si>
  <si>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</si>
  <si>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</si>
  <si>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</si>
  <si>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</si>
  <si>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</si>
  <si>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</si>
  <si>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</si>
  <si>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</si>
  <si>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</si>
  <si>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</si>
  <si>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</si>
  <si>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</si>
  <si>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</si>
  <si>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</si>
  <si>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</si>
  <si>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</si>
  <si>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</si>
  <si>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</si>
  <si>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</si>
  <si>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</si>
  <si>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</si>
  <si>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</si>
  <si>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</si>
  <si>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</si>
  <si>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</si>
  <si>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</si>
  <si>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</si>
  <si>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</si>
  <si>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</si>
  <si>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</si>
  <si>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</si>
  <si>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</si>
  <si>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</si>
  <si>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</si>
  <si>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</si>
  <si>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</si>
  <si>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</si>
  <si>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FR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</si>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</sst>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45967.475115740737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1473517.3</v>
      </c>
      <c r="E2" s="19">
        <v>1530070.9</v>
      </c>
      <c r="F2" s="19">
        <v>1578330.4</v>
      </c>
      <c r="G2" s="19">
        <v>1622312.8</v>
      </c>
      <c r="H2" s="19">
        <v>1696107.7</v>
      </c>
      <c r="I2" s="19">
        <v>1762047.7</v>
      </c>
      <c r="J2" s="19">
        <v>1846020.8</v>
      </c>
      <c r="K2" s="19">
        <v>1937876.3</v>
      </c>
      <c r="L2" s="19">
        <v>1989999.7</v>
      </c>
      <c r="M2" s="19">
        <v>1935840.2</v>
      </c>
      <c r="N2" s="19">
        <v>1996075.1</v>
      </c>
      <c r="O2" s="19">
        <v>2062141.4</v>
      </c>
      <c r="P2" s="19">
        <v>2088286.7</v>
      </c>
      <c r="Q2" s="19">
        <v>2120351.9</v>
      </c>
      <c r="R2" s="19">
        <v>2153733.1</v>
      </c>
      <c r="S2" s="19">
        <v>2201401.6</v>
      </c>
      <c r="T2" s="19">
        <v>2231819.2000000002</v>
      </c>
      <c r="U2" s="19">
        <v>2291680.5</v>
      </c>
      <c r="V2" s="19">
        <v>2355362.7999999998</v>
      </c>
      <c r="W2" s="19">
        <v>2432206.7999999998</v>
      </c>
      <c r="X2" s="19">
        <v>2318276.2000000002</v>
      </c>
      <c r="Y2" s="19">
        <v>2508102.2999999998</v>
      </c>
      <c r="Z2" s="19">
        <v>2653997.2000000002</v>
      </c>
      <c r="AA2" s="19">
        <v>2826541.5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793413.9</v>
      </c>
      <c r="E3" s="23">
        <v>828481.4</v>
      </c>
      <c r="F3" s="23">
        <v>853000.6</v>
      </c>
      <c r="G3" s="23">
        <v>880589.6</v>
      </c>
      <c r="H3" s="23">
        <v>916926.1</v>
      </c>
      <c r="I3" s="23">
        <v>957087.1</v>
      </c>
      <c r="J3" s="23">
        <v>1004310.7</v>
      </c>
      <c r="K3" s="23">
        <v>1051555.3</v>
      </c>
      <c r="L3" s="23">
        <v>1086786</v>
      </c>
      <c r="M3" s="23">
        <v>1072827.7</v>
      </c>
      <c r="N3" s="23">
        <v>1106397.2</v>
      </c>
      <c r="O3" s="23">
        <v>1135429.5</v>
      </c>
      <c r="P3" s="23">
        <v>1146393.5</v>
      </c>
      <c r="Q3" s="23">
        <v>1160706.7</v>
      </c>
      <c r="R3" s="23">
        <v>1174088</v>
      </c>
      <c r="S3" s="23">
        <v>1196047.6000000001</v>
      </c>
      <c r="T3" s="23">
        <v>1219209.6000000001</v>
      </c>
      <c r="U3" s="23">
        <v>1246646.7</v>
      </c>
      <c r="V3" s="23">
        <v>1283910.2</v>
      </c>
      <c r="W3" s="23">
        <v>1315980.3999999999</v>
      </c>
      <c r="X3" s="23">
        <v>1242136.8</v>
      </c>
      <c r="Y3" s="23">
        <v>1325106.8999999999</v>
      </c>
      <c r="Z3" s="23">
        <v>1435352.6</v>
      </c>
      <c r="AA3" s="23">
        <v>1544768.5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1319254.3</v>
      </c>
      <c r="E4" s="27">
        <v>1373817.1</v>
      </c>
      <c r="F4" s="27">
        <v>1417481.7</v>
      </c>
      <c r="G4" s="27">
        <v>1457776.7</v>
      </c>
      <c r="H4" s="27">
        <v>1521910</v>
      </c>
      <c r="I4" s="27">
        <v>1579667.7</v>
      </c>
      <c r="J4" s="27">
        <v>1649439.9</v>
      </c>
      <c r="K4" s="27">
        <v>1736159.9</v>
      </c>
      <c r="L4" s="27">
        <v>1787460.6</v>
      </c>
      <c r="M4" s="27">
        <v>1743573.3</v>
      </c>
      <c r="N4" s="27">
        <v>1792597.6</v>
      </c>
      <c r="O4" s="27">
        <v>1845782.1</v>
      </c>
      <c r="P4" s="27">
        <v>1866716.6</v>
      </c>
      <c r="Q4" s="27">
        <v>1894345</v>
      </c>
      <c r="R4" s="27">
        <v>1921806.4</v>
      </c>
      <c r="S4" s="27">
        <v>1960327.3</v>
      </c>
      <c r="T4" s="27">
        <v>1983737.7</v>
      </c>
      <c r="U4" s="27">
        <v>2029705.8</v>
      </c>
      <c r="V4" s="27">
        <v>2081977.9</v>
      </c>
      <c r="W4" s="27">
        <v>2150689.7999999998</v>
      </c>
      <c r="X4" s="27">
        <v>2056545.2</v>
      </c>
      <c r="Y4" s="27">
        <v>2212764.4</v>
      </c>
      <c r="Z4" s="27">
        <v>2368609.4</v>
      </c>
      <c r="AA4" s="27">
        <v>2538450.4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29241.9</v>
      </c>
      <c r="E6" s="19">
        <v>30636</v>
      </c>
      <c r="F6" s="19">
        <v>30048</v>
      </c>
      <c r="G6" s="19">
        <v>28319.200000000001</v>
      </c>
      <c r="H6" s="19">
        <v>29176.2</v>
      </c>
      <c r="I6" s="19">
        <v>27888</v>
      </c>
      <c r="J6" s="19">
        <v>26343.9</v>
      </c>
      <c r="K6" s="19">
        <v>29392.3</v>
      </c>
      <c r="L6" s="19">
        <v>28264.1</v>
      </c>
      <c r="M6" s="19">
        <v>23857.599999999999</v>
      </c>
      <c r="N6" s="19">
        <v>29958.7</v>
      </c>
      <c r="O6" s="19">
        <v>31991.5</v>
      </c>
      <c r="P6" s="19">
        <v>31866.1</v>
      </c>
      <c r="Q6" s="19">
        <v>28866.5</v>
      </c>
      <c r="R6" s="19">
        <v>31477.8</v>
      </c>
      <c r="S6" s="19">
        <v>33100.300000000003</v>
      </c>
      <c r="T6" s="19">
        <v>29861.4</v>
      </c>
      <c r="U6" s="19">
        <v>32884.699999999997</v>
      </c>
      <c r="V6" s="19">
        <v>36063</v>
      </c>
      <c r="W6" s="19">
        <v>34252.400000000001</v>
      </c>
      <c r="X6" s="19">
        <v>33856.9</v>
      </c>
      <c r="Y6" s="19">
        <v>36702.199999999997</v>
      </c>
      <c r="Z6" s="19">
        <v>45653.3</v>
      </c>
      <c r="AA6" s="19">
        <v>41967.3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248027.8</v>
      </c>
      <c r="E7" s="23">
        <v>250224.2</v>
      </c>
      <c r="F7" s="23">
        <v>250956.1</v>
      </c>
      <c r="G7" s="23">
        <v>249192.1</v>
      </c>
      <c r="H7" s="23">
        <v>254019.4</v>
      </c>
      <c r="I7" s="23">
        <v>256194.7</v>
      </c>
      <c r="J7" s="23">
        <v>257992.8</v>
      </c>
      <c r="K7" s="23">
        <v>262828.7</v>
      </c>
      <c r="L7" s="23">
        <v>258567.5</v>
      </c>
      <c r="M7" s="23">
        <v>240670</v>
      </c>
      <c r="N7" s="23">
        <v>243522.2</v>
      </c>
      <c r="O7" s="23">
        <v>253149.2</v>
      </c>
      <c r="P7" s="23">
        <v>255535.4</v>
      </c>
      <c r="Q7" s="23">
        <v>260450.4</v>
      </c>
      <c r="R7" s="23">
        <v>262884</v>
      </c>
      <c r="S7" s="23">
        <v>271001.09999999998</v>
      </c>
      <c r="T7" s="23">
        <v>269947.59999999998</v>
      </c>
      <c r="U7" s="23">
        <v>270903.59999999998</v>
      </c>
      <c r="V7" s="23">
        <v>277731.20000000001</v>
      </c>
      <c r="W7" s="23">
        <v>288093.09999999998</v>
      </c>
      <c r="X7" s="23">
        <v>261238</v>
      </c>
      <c r="Y7" s="23">
        <v>277505.59999999998</v>
      </c>
      <c r="Z7" s="23">
        <v>287583.59999999998</v>
      </c>
      <c r="AA7" s="23">
        <v>368255.6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63307</v>
      </c>
      <c r="E8" s="23">
        <v>67480.100000000006</v>
      </c>
      <c r="F8" s="23">
        <v>70456.800000000003</v>
      </c>
      <c r="G8" s="23">
        <v>74025.8</v>
      </c>
      <c r="H8" s="23">
        <v>79582.8</v>
      </c>
      <c r="I8" s="23">
        <v>84853.7</v>
      </c>
      <c r="J8" s="23">
        <v>93099.9</v>
      </c>
      <c r="K8" s="23">
        <v>103408.5</v>
      </c>
      <c r="L8" s="23">
        <v>112239.5</v>
      </c>
      <c r="M8" s="23">
        <v>108165</v>
      </c>
      <c r="N8" s="23">
        <v>107679</v>
      </c>
      <c r="O8" s="23">
        <v>111437.5</v>
      </c>
      <c r="P8" s="23">
        <v>109255.6</v>
      </c>
      <c r="Q8" s="23">
        <v>112095.3</v>
      </c>
      <c r="R8" s="23">
        <v>110608.2</v>
      </c>
      <c r="S8" s="23">
        <v>108442.2</v>
      </c>
      <c r="T8" s="23">
        <v>108197.5</v>
      </c>
      <c r="U8" s="23">
        <v>112914</v>
      </c>
      <c r="V8" s="23">
        <v>116209.9</v>
      </c>
      <c r="W8" s="23">
        <v>123120.2</v>
      </c>
      <c r="X8" s="23">
        <v>116007</v>
      </c>
      <c r="Y8" s="23">
        <v>125991.1</v>
      </c>
      <c r="Z8" s="23">
        <v>130929.3</v>
      </c>
      <c r="AA8" s="23">
        <v>143658.9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227018.8</v>
      </c>
      <c r="E9" s="23">
        <v>241642.9</v>
      </c>
      <c r="F9" s="23">
        <v>250433.6</v>
      </c>
      <c r="G9" s="23">
        <v>261287.8</v>
      </c>
      <c r="H9" s="23">
        <v>269129.59999999998</v>
      </c>
      <c r="I9" s="23">
        <v>275344.2</v>
      </c>
      <c r="J9" s="23">
        <v>281988.3</v>
      </c>
      <c r="K9" s="23">
        <v>296185.90000000002</v>
      </c>
      <c r="L9" s="23">
        <v>310322.7</v>
      </c>
      <c r="M9" s="23">
        <v>302599.40000000002</v>
      </c>
      <c r="N9" s="23">
        <v>307876.59999999998</v>
      </c>
      <c r="O9" s="23">
        <v>313481.5</v>
      </c>
      <c r="P9" s="23">
        <v>317659.8</v>
      </c>
      <c r="Q9" s="23">
        <v>318953.3</v>
      </c>
      <c r="R9" s="23">
        <v>322499.3</v>
      </c>
      <c r="S9" s="23">
        <v>332982.2</v>
      </c>
      <c r="T9" s="23">
        <v>336166.40000000002</v>
      </c>
      <c r="U9" s="23">
        <v>343030.8</v>
      </c>
      <c r="V9" s="23">
        <v>346792.9</v>
      </c>
      <c r="W9" s="23">
        <v>364927.1</v>
      </c>
      <c r="X9" s="23">
        <v>324101.3</v>
      </c>
      <c r="Y9" s="23">
        <v>369322.6</v>
      </c>
      <c r="Z9" s="23">
        <v>422808.4</v>
      </c>
      <c r="AA9" s="23">
        <v>420557.7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69424.600000000006</v>
      </c>
      <c r="E10" s="23">
        <v>74476.2</v>
      </c>
      <c r="F10" s="23">
        <v>79919.7</v>
      </c>
      <c r="G10" s="23">
        <v>81078.399999999994</v>
      </c>
      <c r="H10" s="23">
        <v>84706.9</v>
      </c>
      <c r="I10" s="23">
        <v>85827.3</v>
      </c>
      <c r="J10" s="23">
        <v>90052.5</v>
      </c>
      <c r="K10" s="23">
        <v>93229.6</v>
      </c>
      <c r="L10" s="23">
        <v>95323.9</v>
      </c>
      <c r="M10" s="23">
        <v>93289.600000000006</v>
      </c>
      <c r="N10" s="23">
        <v>93632.8</v>
      </c>
      <c r="O10" s="23">
        <v>94848.1</v>
      </c>
      <c r="P10" s="23">
        <v>94718.8</v>
      </c>
      <c r="Q10" s="23">
        <v>94506.3</v>
      </c>
      <c r="R10" s="23">
        <v>94762</v>
      </c>
      <c r="S10" s="23">
        <v>97967.4</v>
      </c>
      <c r="T10" s="23">
        <v>101623.7</v>
      </c>
      <c r="U10" s="23">
        <v>106844.2</v>
      </c>
      <c r="V10" s="23">
        <v>112243.7</v>
      </c>
      <c r="W10" s="23">
        <v>117186.4</v>
      </c>
      <c r="X10" s="23">
        <v>115434.5</v>
      </c>
      <c r="Y10" s="23">
        <v>124843.4</v>
      </c>
      <c r="Z10" s="23">
        <v>131672.5</v>
      </c>
      <c r="AA10" s="23">
        <v>137245.6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52357.9</v>
      </c>
      <c r="E11" s="23">
        <v>48894.2</v>
      </c>
      <c r="F11" s="23">
        <v>50529.9</v>
      </c>
      <c r="G11" s="23">
        <v>50719.8</v>
      </c>
      <c r="H11" s="23">
        <v>55403.3</v>
      </c>
      <c r="I11" s="23">
        <v>58407.8</v>
      </c>
      <c r="J11" s="23">
        <v>62055.9</v>
      </c>
      <c r="K11" s="23">
        <v>65530.400000000001</v>
      </c>
      <c r="L11" s="23">
        <v>62749.599999999999</v>
      </c>
      <c r="M11" s="23">
        <v>66664.2</v>
      </c>
      <c r="N11" s="23">
        <v>78776</v>
      </c>
      <c r="O11" s="23">
        <v>76431</v>
      </c>
      <c r="P11" s="23">
        <v>76201.899999999994</v>
      </c>
      <c r="Q11" s="23">
        <v>80871.100000000006</v>
      </c>
      <c r="R11" s="23">
        <v>82979.7</v>
      </c>
      <c r="S11" s="23">
        <v>83543.3</v>
      </c>
      <c r="T11" s="23">
        <v>81608.3</v>
      </c>
      <c r="U11" s="23">
        <v>75283.7</v>
      </c>
      <c r="V11" s="23">
        <v>81059.8</v>
      </c>
      <c r="W11" s="23">
        <v>78350.8</v>
      </c>
      <c r="X11" s="23">
        <v>79816.899999999994</v>
      </c>
      <c r="Y11" s="23">
        <v>85211.7</v>
      </c>
      <c r="Z11" s="23">
        <v>87940.1</v>
      </c>
      <c r="AA11" s="23">
        <v>73494.2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158094</v>
      </c>
      <c r="E12" s="23">
        <v>168083.5</v>
      </c>
      <c r="F12" s="23">
        <v>171324.6</v>
      </c>
      <c r="G12" s="23">
        <v>179669.3</v>
      </c>
      <c r="H12" s="23">
        <v>194140.9</v>
      </c>
      <c r="I12" s="23">
        <v>209382.3</v>
      </c>
      <c r="J12" s="23">
        <v>227217.6</v>
      </c>
      <c r="K12" s="23">
        <v>244201.5</v>
      </c>
      <c r="L12" s="23">
        <v>254335.9</v>
      </c>
      <c r="M12" s="23">
        <v>243415.3</v>
      </c>
      <c r="N12" s="23">
        <v>245910.2</v>
      </c>
      <c r="O12" s="23">
        <v>252469.5</v>
      </c>
      <c r="P12" s="23">
        <v>258494.2</v>
      </c>
      <c r="Q12" s="23">
        <v>262301.8</v>
      </c>
      <c r="R12" s="23">
        <v>266766</v>
      </c>
      <c r="S12" s="23">
        <v>272056.90000000002</v>
      </c>
      <c r="T12" s="23">
        <v>278972.7</v>
      </c>
      <c r="U12" s="23">
        <v>286281.3</v>
      </c>
      <c r="V12" s="23">
        <v>292014.8</v>
      </c>
      <c r="W12" s="23">
        <v>300545.40000000002</v>
      </c>
      <c r="X12" s="23">
        <v>303856.59999999998</v>
      </c>
      <c r="Y12" s="23">
        <v>310139.40000000002</v>
      </c>
      <c r="Z12" s="23">
        <v>325412.40000000002</v>
      </c>
      <c r="AA12" s="23">
        <v>369571.5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162475.5</v>
      </c>
      <c r="E13" s="23">
        <v>171277.6</v>
      </c>
      <c r="F13" s="23">
        <v>176364</v>
      </c>
      <c r="G13" s="23">
        <v>182360.5</v>
      </c>
      <c r="H13" s="23">
        <v>190038.3</v>
      </c>
      <c r="I13" s="23">
        <v>200704.5</v>
      </c>
      <c r="J13" s="23">
        <v>215383.5</v>
      </c>
      <c r="K13" s="23">
        <v>230293.1</v>
      </c>
      <c r="L13" s="23">
        <v>240049.7</v>
      </c>
      <c r="M13" s="23">
        <v>224902.6</v>
      </c>
      <c r="N13" s="23">
        <v>234900.3</v>
      </c>
      <c r="O13" s="23">
        <v>248172.5</v>
      </c>
      <c r="P13" s="23">
        <v>249214.8</v>
      </c>
      <c r="Q13" s="23">
        <v>251853.2</v>
      </c>
      <c r="R13" s="23">
        <v>256971.7</v>
      </c>
      <c r="S13" s="23">
        <v>264597.09999999998</v>
      </c>
      <c r="T13" s="23">
        <v>273770.7</v>
      </c>
      <c r="U13" s="23">
        <v>285631.40000000002</v>
      </c>
      <c r="V13" s="23">
        <v>297564.79999999999</v>
      </c>
      <c r="W13" s="23">
        <v>311391.2</v>
      </c>
      <c r="X13" s="23">
        <v>293333</v>
      </c>
      <c r="Y13" s="23">
        <v>319626.3</v>
      </c>
      <c r="Z13" s="23">
        <v>343758.5</v>
      </c>
      <c r="AA13" s="23">
        <v>367139.6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270662</v>
      </c>
      <c r="E14" s="23">
        <v>280806.60000000009</v>
      </c>
      <c r="F14" s="23">
        <v>294807</v>
      </c>
      <c r="G14" s="23">
        <v>306776.5</v>
      </c>
      <c r="H14" s="23">
        <v>319212.39999999991</v>
      </c>
      <c r="I14" s="23">
        <v>333102.09999999963</v>
      </c>
      <c r="J14" s="23">
        <v>345043.5</v>
      </c>
      <c r="K14" s="23">
        <v>359300.69999999995</v>
      </c>
      <c r="L14" s="23">
        <v>372404.80000000028</v>
      </c>
      <c r="M14" s="23">
        <v>386530.30000000005</v>
      </c>
      <c r="N14" s="23">
        <v>395479.5</v>
      </c>
      <c r="O14" s="23">
        <v>408022.00000000023</v>
      </c>
      <c r="P14" s="23">
        <v>416840.39999999991</v>
      </c>
      <c r="Q14" s="23">
        <v>426695.10000000009</v>
      </c>
      <c r="R14" s="23">
        <v>434009.39999999991</v>
      </c>
      <c r="S14" s="23">
        <v>437895</v>
      </c>
      <c r="T14" s="23">
        <v>443863.29999999981</v>
      </c>
      <c r="U14" s="23">
        <v>454297.70000000042</v>
      </c>
      <c r="V14" s="23">
        <v>459589.49999999977</v>
      </c>
      <c r="W14" s="23">
        <v>467691.29999999981</v>
      </c>
      <c r="X14" s="23">
        <v>471588.30000000005</v>
      </c>
      <c r="Y14" s="23">
        <v>501978.29999999981</v>
      </c>
      <c r="Z14" s="23">
        <v>521099.79999999981</v>
      </c>
      <c r="AA14" s="23">
        <v>540282.89999999991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38644.800000000003</v>
      </c>
      <c r="E15" s="23">
        <v>40295.800000000003</v>
      </c>
      <c r="F15" s="23">
        <v>42642</v>
      </c>
      <c r="G15" s="23">
        <v>44347.3</v>
      </c>
      <c r="H15" s="23">
        <v>46500.2</v>
      </c>
      <c r="I15" s="23">
        <v>47963.1</v>
      </c>
      <c r="J15" s="23">
        <v>50262</v>
      </c>
      <c r="K15" s="23">
        <v>51789.2</v>
      </c>
      <c r="L15" s="23">
        <v>53202.9</v>
      </c>
      <c r="M15" s="23">
        <v>53479.3</v>
      </c>
      <c r="N15" s="23">
        <v>54862.3</v>
      </c>
      <c r="O15" s="23">
        <v>55779.3</v>
      </c>
      <c r="P15" s="23">
        <v>56929.599999999999</v>
      </c>
      <c r="Q15" s="23">
        <v>57752</v>
      </c>
      <c r="R15" s="23">
        <v>58848.3</v>
      </c>
      <c r="S15" s="23">
        <v>58741.8</v>
      </c>
      <c r="T15" s="23">
        <v>59726.1</v>
      </c>
      <c r="U15" s="23">
        <v>61634.400000000001</v>
      </c>
      <c r="V15" s="23">
        <v>62708.3</v>
      </c>
      <c r="W15" s="23">
        <v>65131.9</v>
      </c>
      <c r="X15" s="23">
        <v>57312.7</v>
      </c>
      <c r="Y15" s="23">
        <v>61443.8</v>
      </c>
      <c r="Z15" s="23">
        <v>71751.5</v>
      </c>
      <c r="AA15" s="23">
        <v>76277.100000000006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1319254.3</v>
      </c>
      <c r="E16" s="30">
        <f t="shared" ref="E16:Y16" si="0">SUM(E6:E15)</f>
        <v>1373817.1</v>
      </c>
      <c r="F16" s="30">
        <f t="shared" si="0"/>
        <v>1417481.7</v>
      </c>
      <c r="G16" s="30">
        <f t="shared" si="0"/>
        <v>1457776.7</v>
      </c>
      <c r="H16" s="30">
        <f t="shared" si="0"/>
        <v>1521910</v>
      </c>
      <c r="I16" s="30">
        <f t="shared" si="0"/>
        <v>1579667.7</v>
      </c>
      <c r="J16" s="30">
        <f t="shared" si="0"/>
        <v>1649439.9</v>
      </c>
      <c r="K16" s="30">
        <f t="shared" si="0"/>
        <v>1736159.9</v>
      </c>
      <c r="L16" s="30">
        <f t="shared" si="0"/>
        <v>1787460.6</v>
      </c>
      <c r="M16" s="30">
        <f t="shared" si="0"/>
        <v>1743573.3</v>
      </c>
      <c r="N16" s="30">
        <f t="shared" si="0"/>
        <v>1792597.6</v>
      </c>
      <c r="O16" s="30">
        <f t="shared" si="0"/>
        <v>1845782.1</v>
      </c>
      <c r="P16" s="30">
        <f t="shared" si="0"/>
        <v>1866716.6</v>
      </c>
      <c r="Q16" s="30">
        <f t="shared" si="0"/>
        <v>1894345</v>
      </c>
      <c r="R16" s="30">
        <f t="shared" si="0"/>
        <v>1921806.4</v>
      </c>
      <c r="S16" s="30">
        <f t="shared" si="0"/>
        <v>1960327.3</v>
      </c>
      <c r="T16" s="30">
        <f t="shared" si="0"/>
        <v>1983737.7</v>
      </c>
      <c r="U16" s="30">
        <f t="shared" si="0"/>
        <v>2029705.8</v>
      </c>
      <c r="V16" s="30">
        <f t="shared" si="0"/>
        <v>2081977.9</v>
      </c>
      <c r="W16" s="30">
        <f t="shared" si="0"/>
        <v>2150689.7999999998</v>
      </c>
      <c r="X16" s="30">
        <f t="shared" si="0"/>
        <v>2056545.2</v>
      </c>
      <c r="Y16" s="30">
        <f t="shared" si="0"/>
        <v>2212764.3999999994</v>
      </c>
      <c r="Z16" s="30">
        <f t="shared" ref="Z16:AA16" si="1">SUM(Z6:Z15)</f>
        <v>2368609.4</v>
      </c>
      <c r="AA16" s="30">
        <f t="shared" si="1"/>
        <v>2538450.4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29241.9</v>
      </c>
      <c r="E18" s="19">
        <v>30636</v>
      </c>
      <c r="F18" s="19">
        <v>30048</v>
      </c>
      <c r="G18" s="19">
        <v>28319.200000000001</v>
      </c>
      <c r="H18" s="19">
        <v>29176.2</v>
      </c>
      <c r="I18" s="19">
        <v>27888</v>
      </c>
      <c r="J18" s="19">
        <v>26343.9</v>
      </c>
      <c r="K18" s="19">
        <v>29392.3</v>
      </c>
      <c r="L18" s="19">
        <v>28264.1</v>
      </c>
      <c r="M18" s="19">
        <v>23857.599999999999</v>
      </c>
      <c r="N18" s="19">
        <v>29958.7</v>
      </c>
      <c r="O18" s="19">
        <v>31991.5</v>
      </c>
      <c r="P18" s="19">
        <v>31866.1</v>
      </c>
      <c r="Q18" s="19">
        <v>28866.5</v>
      </c>
      <c r="R18" s="19">
        <v>31477.8</v>
      </c>
      <c r="S18" s="19">
        <v>33100.300000000003</v>
      </c>
      <c r="T18" s="19">
        <v>29861.4</v>
      </c>
      <c r="U18" s="19">
        <v>32884.699999999997</v>
      </c>
      <c r="V18" s="19">
        <v>36063</v>
      </c>
      <c r="W18" s="19">
        <v>34252.400000000001</v>
      </c>
      <c r="X18" s="19">
        <v>33856.9</v>
      </c>
      <c r="Y18" s="19">
        <v>36702.199999999997</v>
      </c>
      <c r="Z18" s="19">
        <v>45653.3</v>
      </c>
      <c r="AA18" s="19">
        <v>41967.3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2032.6</v>
      </c>
      <c r="E19" s="23">
        <v>2083.4</v>
      </c>
      <c r="F19" s="23">
        <v>2121.1</v>
      </c>
      <c r="G19" s="23">
        <v>1948.3999999999996</v>
      </c>
      <c r="H19" s="23">
        <v>1887.7999999999993</v>
      </c>
      <c r="I19" s="23">
        <v>2052.1000000000004</v>
      </c>
      <c r="J19" s="23">
        <v>2209.9999999999995</v>
      </c>
      <c r="K19" s="23">
        <v>2459.1999999999994</v>
      </c>
      <c r="L19" s="23">
        <v>2485.2999999999993</v>
      </c>
      <c r="M19" s="23">
        <v>2327.5000000000009</v>
      </c>
      <c r="N19" s="23">
        <v>2374.2000000000012</v>
      </c>
      <c r="O19" s="23">
        <v>2327.4000000000005</v>
      </c>
      <c r="P19" s="23">
        <v>2285.6999999999998</v>
      </c>
      <c r="Q19" s="23">
        <v>2226.1999999999994</v>
      </c>
      <c r="R19" s="23">
        <v>2443.2000000000007</v>
      </c>
      <c r="S19" s="23">
        <v>2123.2999999999984</v>
      </c>
      <c r="T19" s="23">
        <v>2042.5999999999985</v>
      </c>
      <c r="U19" s="23">
        <v>2079.6999999999994</v>
      </c>
      <c r="V19" s="23">
        <v>2144.0000000000009</v>
      </c>
      <c r="W19" s="23">
        <v>2120.8999999999992</v>
      </c>
      <c r="X19" s="23">
        <v>2003.4999999999998</v>
      </c>
      <c r="Y19" s="23">
        <v>2244.1999999999985</v>
      </c>
      <c r="Z19" s="23">
        <v>1960.4807775496806</v>
      </c>
      <c r="AA19" s="23">
        <v>2297.7511491160008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212007.3</v>
      </c>
      <c r="E20" s="23">
        <v>213133.6</v>
      </c>
      <c r="F20" s="23">
        <v>212440.2</v>
      </c>
      <c r="G20" s="23">
        <v>210775.2</v>
      </c>
      <c r="H20" s="23">
        <v>213153.6</v>
      </c>
      <c r="I20" s="23">
        <v>214005.1</v>
      </c>
      <c r="J20" s="23">
        <v>214859</v>
      </c>
      <c r="K20" s="23">
        <v>224404.6</v>
      </c>
      <c r="L20" s="23">
        <v>220252.7</v>
      </c>
      <c r="M20" s="23">
        <v>203682.8</v>
      </c>
      <c r="N20" s="23">
        <v>205147.3</v>
      </c>
      <c r="O20" s="23">
        <v>212674.5</v>
      </c>
      <c r="P20" s="23">
        <v>213988.4</v>
      </c>
      <c r="Q20" s="23">
        <v>217407.1</v>
      </c>
      <c r="R20" s="23">
        <v>219282.3</v>
      </c>
      <c r="S20" s="23">
        <v>227182.7</v>
      </c>
      <c r="T20" s="23">
        <v>226869.6</v>
      </c>
      <c r="U20" s="23">
        <v>229398.39999999999</v>
      </c>
      <c r="V20" s="23">
        <v>232856</v>
      </c>
      <c r="W20" s="23">
        <v>241054.8</v>
      </c>
      <c r="X20" s="23">
        <v>214340.1</v>
      </c>
      <c r="Y20" s="23">
        <v>228132.6</v>
      </c>
      <c r="Z20" s="23">
        <v>246857.9</v>
      </c>
      <c r="AA20" s="23">
        <v>276116.5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25776</v>
      </c>
      <c r="E21" s="23">
        <v>26152.400000000001</v>
      </c>
      <c r="F21" s="23">
        <v>26658.5</v>
      </c>
      <c r="G21" s="23">
        <v>26728.999999999996</v>
      </c>
      <c r="H21" s="23">
        <v>28256.19999999999</v>
      </c>
      <c r="I21" s="23">
        <v>30090.200000000008</v>
      </c>
      <c r="J21" s="23">
        <v>30072.499999999993</v>
      </c>
      <c r="K21" s="23">
        <v>24302.400000000001</v>
      </c>
      <c r="L21" s="23">
        <v>23828.699999999993</v>
      </c>
      <c r="M21" s="23">
        <v>23156.500000000007</v>
      </c>
      <c r="N21" s="23">
        <v>22928.30000000001</v>
      </c>
      <c r="O21" s="23">
        <v>24537.900000000005</v>
      </c>
      <c r="P21" s="23">
        <v>25881.099999999995</v>
      </c>
      <c r="Q21" s="23">
        <v>27541.599999999988</v>
      </c>
      <c r="R21" s="23">
        <v>28136.600000000009</v>
      </c>
      <c r="S21" s="23">
        <v>28711.399999999976</v>
      </c>
      <c r="T21" s="23">
        <v>28036.699999999979</v>
      </c>
      <c r="U21" s="23">
        <v>25702.199999999993</v>
      </c>
      <c r="V21" s="23">
        <v>28848.700000000012</v>
      </c>
      <c r="W21" s="23">
        <v>31331.599999999988</v>
      </c>
      <c r="X21" s="23">
        <v>32241.299999999992</v>
      </c>
      <c r="Y21" s="23">
        <v>31851.39999999998</v>
      </c>
      <c r="Z21" s="23">
        <v>25543.049406150123</v>
      </c>
      <c r="AA21" s="23">
        <v>76684.406720302053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8211.9</v>
      </c>
      <c r="E22" s="23">
        <v>8854.7999999999993</v>
      </c>
      <c r="F22" s="23">
        <v>9736.2999999999993</v>
      </c>
      <c r="G22" s="23">
        <v>9739.4999999999982</v>
      </c>
      <c r="H22" s="23">
        <v>10721.799999999996</v>
      </c>
      <c r="I22" s="23">
        <v>10047.300000000001</v>
      </c>
      <c r="J22" s="23">
        <v>10851.299999999996</v>
      </c>
      <c r="K22" s="23">
        <v>11662.5</v>
      </c>
      <c r="L22" s="23">
        <v>12000.799999999996</v>
      </c>
      <c r="M22" s="23">
        <v>11503.200000000006</v>
      </c>
      <c r="N22" s="23">
        <v>13072.400000000007</v>
      </c>
      <c r="O22" s="23">
        <v>13609.400000000001</v>
      </c>
      <c r="P22" s="23">
        <v>13380.2</v>
      </c>
      <c r="Q22" s="23">
        <v>13275.499999999995</v>
      </c>
      <c r="R22" s="23">
        <v>13021.900000000005</v>
      </c>
      <c r="S22" s="23">
        <v>12983.699999999992</v>
      </c>
      <c r="T22" s="23">
        <v>12998.699999999992</v>
      </c>
      <c r="U22" s="23">
        <v>13723.299999999994</v>
      </c>
      <c r="V22" s="23">
        <v>13882.500000000004</v>
      </c>
      <c r="W22" s="23">
        <v>13585.799999999994</v>
      </c>
      <c r="X22" s="23">
        <v>12653.1</v>
      </c>
      <c r="Y22" s="23">
        <v>15277.399999999992</v>
      </c>
      <c r="Z22" s="23">
        <v>13222.169816300178</v>
      </c>
      <c r="AA22" s="23">
        <v>13156.942130581931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63307</v>
      </c>
      <c r="E23" s="23">
        <v>67480.100000000006</v>
      </c>
      <c r="F23" s="23">
        <v>70456.800000000003</v>
      </c>
      <c r="G23" s="23">
        <v>74025.8</v>
      </c>
      <c r="H23" s="23">
        <v>79582.8</v>
      </c>
      <c r="I23" s="23">
        <v>84853.7</v>
      </c>
      <c r="J23" s="23">
        <v>93099.9</v>
      </c>
      <c r="K23" s="23">
        <v>103408.5</v>
      </c>
      <c r="L23" s="23">
        <v>112239.5</v>
      </c>
      <c r="M23" s="23">
        <v>108165</v>
      </c>
      <c r="N23" s="23">
        <v>107679</v>
      </c>
      <c r="O23" s="23">
        <v>111437.5</v>
      </c>
      <c r="P23" s="23">
        <v>109255.6</v>
      </c>
      <c r="Q23" s="23">
        <v>112095.3</v>
      </c>
      <c r="R23" s="23">
        <v>110608.2</v>
      </c>
      <c r="S23" s="23">
        <v>108442.2</v>
      </c>
      <c r="T23" s="23">
        <v>108197.5</v>
      </c>
      <c r="U23" s="23">
        <v>112914</v>
      </c>
      <c r="V23" s="23">
        <v>116209.9</v>
      </c>
      <c r="W23" s="23">
        <v>123120.2</v>
      </c>
      <c r="X23" s="23">
        <v>116007</v>
      </c>
      <c r="Y23" s="23">
        <v>125991.1</v>
      </c>
      <c r="Z23" s="23">
        <v>130929.3</v>
      </c>
      <c r="AA23" s="23">
        <v>143658.9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145110.29999999999</v>
      </c>
      <c r="E24" s="23">
        <v>155981.4</v>
      </c>
      <c r="F24" s="23">
        <v>160363.6</v>
      </c>
      <c r="G24" s="23">
        <v>168893.4</v>
      </c>
      <c r="H24" s="23">
        <v>171795.99999999997</v>
      </c>
      <c r="I24" s="23">
        <v>173570.30000000002</v>
      </c>
      <c r="J24" s="23">
        <v>176898.09999999998</v>
      </c>
      <c r="K24" s="23">
        <v>183356.2</v>
      </c>
      <c r="L24" s="23">
        <v>193767.6</v>
      </c>
      <c r="M24" s="23">
        <v>190126.00000000003</v>
      </c>
      <c r="N24" s="23">
        <v>188267.59999999998</v>
      </c>
      <c r="O24" s="23">
        <v>192943.90000000002</v>
      </c>
      <c r="P24" s="23">
        <v>194485.4</v>
      </c>
      <c r="Q24" s="23">
        <v>194641.5</v>
      </c>
      <c r="R24" s="23">
        <v>195157</v>
      </c>
      <c r="S24" s="23">
        <v>201891.40000000002</v>
      </c>
      <c r="T24" s="23">
        <v>203088.50000000003</v>
      </c>
      <c r="U24" s="23">
        <v>206272.89999999997</v>
      </c>
      <c r="V24" s="23">
        <v>209936.50000000003</v>
      </c>
      <c r="W24" s="23">
        <v>218378.49999999997</v>
      </c>
      <c r="X24" s="23">
        <v>210359.19999999998</v>
      </c>
      <c r="Y24" s="23">
        <v>227549.8</v>
      </c>
      <c r="Z24" s="23">
        <v>252322.2</v>
      </c>
      <c r="AA24" s="23">
        <v>264797.2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55319.8</v>
      </c>
      <c r="E25" s="23">
        <v>58460.6</v>
      </c>
      <c r="F25" s="23">
        <v>61206.5</v>
      </c>
      <c r="G25" s="23">
        <v>62619.1</v>
      </c>
      <c r="H25" s="23">
        <v>66720.3</v>
      </c>
      <c r="I25" s="23">
        <v>69229.2</v>
      </c>
      <c r="J25" s="23">
        <v>71229.8</v>
      </c>
      <c r="K25" s="23">
        <v>76562</v>
      </c>
      <c r="L25" s="23">
        <v>79811.5</v>
      </c>
      <c r="M25" s="23">
        <v>76300.2</v>
      </c>
      <c r="N25" s="23">
        <v>81155.399999999994</v>
      </c>
      <c r="O25" s="23">
        <v>80200.899999999994</v>
      </c>
      <c r="P25" s="23">
        <v>82249.899999999994</v>
      </c>
      <c r="Q25" s="23">
        <v>82743.100000000006</v>
      </c>
      <c r="R25" s="23">
        <v>86055</v>
      </c>
      <c r="S25" s="23">
        <v>88809.600000000006</v>
      </c>
      <c r="T25" s="23">
        <v>88938.3</v>
      </c>
      <c r="U25" s="23">
        <v>92003.6</v>
      </c>
      <c r="V25" s="23">
        <v>89864.7</v>
      </c>
      <c r="W25" s="23">
        <v>95511.2</v>
      </c>
      <c r="X25" s="23">
        <v>84929.2</v>
      </c>
      <c r="Y25" s="23">
        <v>109418.9</v>
      </c>
      <c r="Z25" s="23">
        <v>128549.7</v>
      </c>
      <c r="AA25" s="23">
        <v>106500.1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26588.7</v>
      </c>
      <c r="E26" s="23">
        <v>27200.9</v>
      </c>
      <c r="F26" s="23">
        <v>28863.5</v>
      </c>
      <c r="G26" s="23">
        <v>29775.3</v>
      </c>
      <c r="H26" s="23">
        <v>30613.3</v>
      </c>
      <c r="I26" s="23">
        <v>32544.7</v>
      </c>
      <c r="J26" s="23">
        <v>33860.400000000001</v>
      </c>
      <c r="K26" s="23">
        <v>36267.699999999997</v>
      </c>
      <c r="L26" s="23">
        <v>36743.599999999999</v>
      </c>
      <c r="M26" s="23">
        <v>36173.199999999997</v>
      </c>
      <c r="N26" s="23">
        <v>38453.599999999999</v>
      </c>
      <c r="O26" s="23">
        <v>40336.699999999997</v>
      </c>
      <c r="P26" s="23">
        <v>40924.5</v>
      </c>
      <c r="Q26" s="23">
        <v>41568.699999999997</v>
      </c>
      <c r="R26" s="23">
        <v>41287.300000000003</v>
      </c>
      <c r="S26" s="23">
        <v>42281.2</v>
      </c>
      <c r="T26" s="23">
        <v>44139.6</v>
      </c>
      <c r="U26" s="23">
        <v>44754.3</v>
      </c>
      <c r="V26" s="23">
        <v>46991.7</v>
      </c>
      <c r="W26" s="23">
        <v>51037.4</v>
      </c>
      <c r="X26" s="23">
        <v>28812.9</v>
      </c>
      <c r="Y26" s="23">
        <v>32353.9</v>
      </c>
      <c r="Z26" s="23">
        <v>41936.5</v>
      </c>
      <c r="AA26" s="23">
        <v>49260.4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69424.600000000006</v>
      </c>
      <c r="E27" s="23">
        <v>74476.2</v>
      </c>
      <c r="F27" s="23">
        <v>79919.7</v>
      </c>
      <c r="G27" s="23">
        <v>81078.399999999994</v>
      </c>
      <c r="H27" s="23">
        <v>84706.9</v>
      </c>
      <c r="I27" s="23">
        <v>85827.3</v>
      </c>
      <c r="J27" s="23">
        <v>90052.5</v>
      </c>
      <c r="K27" s="23">
        <v>93229.6</v>
      </c>
      <c r="L27" s="23">
        <v>95323.9</v>
      </c>
      <c r="M27" s="23">
        <v>93289.600000000006</v>
      </c>
      <c r="N27" s="23">
        <v>93632.8</v>
      </c>
      <c r="O27" s="23">
        <v>94848.1</v>
      </c>
      <c r="P27" s="23">
        <v>94718.8</v>
      </c>
      <c r="Q27" s="23">
        <v>94506.3</v>
      </c>
      <c r="R27" s="23">
        <v>94762</v>
      </c>
      <c r="S27" s="23">
        <v>97967.4</v>
      </c>
      <c r="T27" s="23">
        <v>101623.7</v>
      </c>
      <c r="U27" s="23">
        <v>106844.2</v>
      </c>
      <c r="V27" s="23">
        <v>112243.7</v>
      </c>
      <c r="W27" s="23">
        <v>117186.4</v>
      </c>
      <c r="X27" s="23">
        <v>115434.5</v>
      </c>
      <c r="Y27" s="23">
        <v>124843.4</v>
      </c>
      <c r="Z27" s="23">
        <v>131672.5</v>
      </c>
      <c r="AA27" s="23">
        <v>137245.6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52357.9</v>
      </c>
      <c r="E28" s="23">
        <v>48894.2</v>
      </c>
      <c r="F28" s="23">
        <v>50529.9</v>
      </c>
      <c r="G28" s="23">
        <v>50719.8</v>
      </c>
      <c r="H28" s="23">
        <v>55403.3</v>
      </c>
      <c r="I28" s="23">
        <v>58407.8</v>
      </c>
      <c r="J28" s="23">
        <v>62055.9</v>
      </c>
      <c r="K28" s="23">
        <v>65530.400000000001</v>
      </c>
      <c r="L28" s="23">
        <v>62749.599999999999</v>
      </c>
      <c r="M28" s="23">
        <v>66664.2</v>
      </c>
      <c r="N28" s="23">
        <v>78776</v>
      </c>
      <c r="O28" s="23">
        <v>76431</v>
      </c>
      <c r="P28" s="23">
        <v>76201.899999999994</v>
      </c>
      <c r="Q28" s="23">
        <v>80871.100000000006</v>
      </c>
      <c r="R28" s="23">
        <v>82979.7</v>
      </c>
      <c r="S28" s="23">
        <v>83543.3</v>
      </c>
      <c r="T28" s="23">
        <v>81608.3</v>
      </c>
      <c r="U28" s="23">
        <v>75283.7</v>
      </c>
      <c r="V28" s="23">
        <v>81059.8</v>
      </c>
      <c r="W28" s="23">
        <v>78350.8</v>
      </c>
      <c r="X28" s="23">
        <v>79816.899999999994</v>
      </c>
      <c r="Y28" s="23">
        <v>85211.7</v>
      </c>
      <c r="Z28" s="23">
        <v>87940.1</v>
      </c>
      <c r="AA28" s="23">
        <v>73494.2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158094</v>
      </c>
      <c r="E29" s="23">
        <v>168083.5</v>
      </c>
      <c r="F29" s="23">
        <v>171324.6</v>
      </c>
      <c r="G29" s="23">
        <v>179669.3</v>
      </c>
      <c r="H29" s="23">
        <v>194140.9</v>
      </c>
      <c r="I29" s="23">
        <v>209382.3</v>
      </c>
      <c r="J29" s="23">
        <v>227217.6</v>
      </c>
      <c r="K29" s="23">
        <v>244201.5</v>
      </c>
      <c r="L29" s="23">
        <v>254335.9</v>
      </c>
      <c r="M29" s="23">
        <v>243415.3</v>
      </c>
      <c r="N29" s="23">
        <v>245910.2</v>
      </c>
      <c r="O29" s="23">
        <v>252469.5</v>
      </c>
      <c r="P29" s="23">
        <v>258494.2</v>
      </c>
      <c r="Q29" s="23">
        <v>262301.8</v>
      </c>
      <c r="R29" s="23">
        <v>266766</v>
      </c>
      <c r="S29" s="23">
        <v>272056.90000000002</v>
      </c>
      <c r="T29" s="23">
        <v>278972.7</v>
      </c>
      <c r="U29" s="23">
        <v>286281.3</v>
      </c>
      <c r="V29" s="23">
        <v>292014.8</v>
      </c>
      <c r="W29" s="23">
        <v>300545.40000000002</v>
      </c>
      <c r="X29" s="23">
        <v>303856.59999999998</v>
      </c>
      <c r="Y29" s="23">
        <v>310139.40000000002</v>
      </c>
      <c r="Z29" s="23">
        <v>325412.40000000002</v>
      </c>
      <c r="AA29" s="23">
        <v>369571.5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87762.1</v>
      </c>
      <c r="E30" s="23">
        <v>93486.3</v>
      </c>
      <c r="F30" s="23">
        <v>98764.1</v>
      </c>
      <c r="G30" s="23">
        <v>103304.3</v>
      </c>
      <c r="H30" s="23">
        <v>109240.99999999999</v>
      </c>
      <c r="I30" s="23">
        <v>116015.2</v>
      </c>
      <c r="J30" s="23">
        <v>124946.1</v>
      </c>
      <c r="K30" s="23">
        <v>133097.5</v>
      </c>
      <c r="L30" s="23">
        <v>139644.1</v>
      </c>
      <c r="M30" s="23">
        <v>134870.1</v>
      </c>
      <c r="N30" s="23">
        <v>140541.19999999998</v>
      </c>
      <c r="O30" s="23">
        <v>148859.5</v>
      </c>
      <c r="P30" s="23">
        <v>150652.19999999998</v>
      </c>
      <c r="Q30" s="23">
        <v>152816.6</v>
      </c>
      <c r="R30" s="23">
        <v>155743.30000000002</v>
      </c>
      <c r="S30" s="23">
        <v>160030.59999999998</v>
      </c>
      <c r="T30" s="23">
        <v>164070.5</v>
      </c>
      <c r="U30" s="23">
        <v>170237.50000000003</v>
      </c>
      <c r="V30" s="23">
        <v>176116.9</v>
      </c>
      <c r="W30" s="23">
        <v>185584.30000000002</v>
      </c>
      <c r="X30" s="23">
        <v>177320</v>
      </c>
      <c r="Y30" s="23">
        <v>192205.5</v>
      </c>
      <c r="Z30" s="23">
        <v>204258.4</v>
      </c>
      <c r="AA30" s="23">
        <v>211087.89999999997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74713.399999999994</v>
      </c>
      <c r="E31" s="23">
        <v>77791.3</v>
      </c>
      <c r="F31" s="23">
        <v>77599.899999999994</v>
      </c>
      <c r="G31" s="23">
        <v>79056.2</v>
      </c>
      <c r="H31" s="23">
        <v>80797.3</v>
      </c>
      <c r="I31" s="23">
        <v>84689.3</v>
      </c>
      <c r="J31" s="23">
        <v>90437.4</v>
      </c>
      <c r="K31" s="23">
        <v>97195.6</v>
      </c>
      <c r="L31" s="23">
        <v>100405.6</v>
      </c>
      <c r="M31" s="23">
        <v>90032.5</v>
      </c>
      <c r="N31" s="23">
        <v>94359.1</v>
      </c>
      <c r="O31" s="23">
        <v>99313</v>
      </c>
      <c r="P31" s="23">
        <v>98562.6</v>
      </c>
      <c r="Q31" s="23">
        <v>99036.6</v>
      </c>
      <c r="R31" s="23">
        <v>101228.4</v>
      </c>
      <c r="S31" s="23">
        <v>104566.5</v>
      </c>
      <c r="T31" s="23">
        <v>109700.2</v>
      </c>
      <c r="U31" s="23">
        <v>115393.9</v>
      </c>
      <c r="V31" s="23">
        <v>121447.9</v>
      </c>
      <c r="W31" s="23">
        <v>125806.9</v>
      </c>
      <c r="X31" s="23">
        <v>116013</v>
      </c>
      <c r="Y31" s="23">
        <v>127420.8</v>
      </c>
      <c r="Z31" s="23">
        <v>139500.1</v>
      </c>
      <c r="AA31" s="23">
        <v>156051.70000000001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107870.5</v>
      </c>
      <c r="E32" s="23">
        <v>110288.2000000001</v>
      </c>
      <c r="F32" s="23">
        <v>113159</v>
      </c>
      <c r="G32" s="23">
        <v>116695</v>
      </c>
      <c r="H32" s="23">
        <v>121146.89999999991</v>
      </c>
      <c r="I32" s="23">
        <v>126581.6999999996</v>
      </c>
      <c r="J32" s="23">
        <v>129724</v>
      </c>
      <c r="K32" s="23">
        <v>133547.69999999995</v>
      </c>
      <c r="L32" s="23">
        <v>136856.6000000003</v>
      </c>
      <c r="M32" s="23">
        <v>142578.90000000005</v>
      </c>
      <c r="N32" s="23">
        <v>144807.70000000001</v>
      </c>
      <c r="O32" s="23">
        <v>149571.20000000024</v>
      </c>
      <c r="P32" s="23">
        <v>152924.99999999988</v>
      </c>
      <c r="Q32" s="23">
        <v>155912.50000000012</v>
      </c>
      <c r="R32" s="23">
        <v>157541.29999999993</v>
      </c>
      <c r="S32" s="23">
        <v>156637.59999999998</v>
      </c>
      <c r="T32" s="23">
        <v>157858.5999999998</v>
      </c>
      <c r="U32" s="23">
        <v>161554.8000000004</v>
      </c>
      <c r="V32" s="23">
        <v>163832.79999999981</v>
      </c>
      <c r="W32" s="23">
        <v>166343.0999999998</v>
      </c>
      <c r="X32" s="23">
        <v>168670.00000000006</v>
      </c>
      <c r="Y32" s="23">
        <v>172717.0999999998</v>
      </c>
      <c r="Z32" s="23">
        <v>184683.59999999986</v>
      </c>
      <c r="AA32" s="23">
        <v>192085.89999999991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70320.399999999994</v>
      </c>
      <c r="E33" s="23">
        <v>73232.2</v>
      </c>
      <c r="F33" s="23">
        <v>76620.5</v>
      </c>
      <c r="G33" s="23">
        <v>79637.399999999994</v>
      </c>
      <c r="H33" s="23">
        <v>80397.7</v>
      </c>
      <c r="I33" s="23">
        <v>83378.8</v>
      </c>
      <c r="J33" s="23">
        <v>85199.7</v>
      </c>
      <c r="K33" s="23">
        <v>88942.399999999994</v>
      </c>
      <c r="L33" s="23">
        <v>92827.4</v>
      </c>
      <c r="M33" s="23">
        <v>95071.6</v>
      </c>
      <c r="N33" s="23">
        <v>97346</v>
      </c>
      <c r="O33" s="23">
        <v>99177.5</v>
      </c>
      <c r="P33" s="23">
        <v>100588.3</v>
      </c>
      <c r="Q33" s="23">
        <v>102184.2</v>
      </c>
      <c r="R33" s="23">
        <v>103715.3</v>
      </c>
      <c r="S33" s="23">
        <v>105534.7</v>
      </c>
      <c r="T33" s="23">
        <v>107079.1</v>
      </c>
      <c r="U33" s="23">
        <v>110446.7</v>
      </c>
      <c r="V33" s="23">
        <v>111604.4</v>
      </c>
      <c r="W33" s="23">
        <v>113743.7</v>
      </c>
      <c r="X33" s="23">
        <v>114325.9</v>
      </c>
      <c r="Y33" s="23">
        <v>120223</v>
      </c>
      <c r="Z33" s="23">
        <v>124383.4</v>
      </c>
      <c r="AA33" s="23">
        <v>129596.6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92471.1</v>
      </c>
      <c r="E34" s="23">
        <v>97286.2</v>
      </c>
      <c r="F34" s="23">
        <v>105027.5</v>
      </c>
      <c r="G34" s="23">
        <v>110444.1</v>
      </c>
      <c r="H34" s="23">
        <v>117667.8</v>
      </c>
      <c r="I34" s="23">
        <v>123141.6</v>
      </c>
      <c r="J34" s="23">
        <v>130119.8</v>
      </c>
      <c r="K34" s="23">
        <v>136810.6</v>
      </c>
      <c r="L34" s="23">
        <v>142720.79999999999</v>
      </c>
      <c r="M34" s="23">
        <v>148879.79999999999</v>
      </c>
      <c r="N34" s="23">
        <v>153325.79999999999</v>
      </c>
      <c r="O34" s="23">
        <v>159273.29999999999</v>
      </c>
      <c r="P34" s="23">
        <v>163327.1</v>
      </c>
      <c r="Q34" s="23">
        <v>168598.39999999999</v>
      </c>
      <c r="R34" s="23">
        <v>172752.8</v>
      </c>
      <c r="S34" s="23">
        <v>175722.7</v>
      </c>
      <c r="T34" s="23">
        <v>178925.6</v>
      </c>
      <c r="U34" s="23">
        <v>182296.2</v>
      </c>
      <c r="V34" s="23">
        <v>184152.3</v>
      </c>
      <c r="W34" s="23">
        <v>187604.5</v>
      </c>
      <c r="X34" s="23">
        <v>188592.4</v>
      </c>
      <c r="Y34" s="23">
        <v>209038.2</v>
      </c>
      <c r="Z34" s="23">
        <v>212032.8</v>
      </c>
      <c r="AA34" s="23">
        <v>218600.4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13813.400000000005</v>
      </c>
      <c r="E35" s="23">
        <v>14987.2</v>
      </c>
      <c r="F35" s="23">
        <v>16868.599999999999</v>
      </c>
      <c r="G35" s="23">
        <v>17736.500000000004</v>
      </c>
      <c r="H35" s="23">
        <v>18350.999999999996</v>
      </c>
      <c r="I35" s="23">
        <v>19291.899999999998</v>
      </c>
      <c r="J35" s="23">
        <v>20332.599999999999</v>
      </c>
      <c r="K35" s="23">
        <v>21556.699999999997</v>
      </c>
      <c r="L35" s="23">
        <v>22192.200000000004</v>
      </c>
      <c r="M35" s="23">
        <v>22580.800000000003</v>
      </c>
      <c r="N35" s="23">
        <v>23605.100000000002</v>
      </c>
      <c r="O35" s="23">
        <v>24263.300000000003</v>
      </c>
      <c r="P35" s="23">
        <v>24726.1</v>
      </c>
      <c r="Q35" s="23">
        <v>25777.5</v>
      </c>
      <c r="R35" s="23">
        <v>26417.599999999999</v>
      </c>
      <c r="S35" s="23">
        <v>26910.700000000004</v>
      </c>
      <c r="T35" s="23">
        <v>27192.3</v>
      </c>
      <c r="U35" s="23">
        <v>28541.5</v>
      </c>
      <c r="V35" s="23">
        <v>29665.9</v>
      </c>
      <c r="W35" s="23">
        <v>31302</v>
      </c>
      <c r="X35" s="23">
        <v>26576.199999999997</v>
      </c>
      <c r="Y35" s="23">
        <v>27359.4</v>
      </c>
      <c r="Z35" s="23">
        <v>35652.600000000006</v>
      </c>
      <c r="AA35" s="23">
        <v>39085.500000000007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21457.1</v>
      </c>
      <c r="E36" s="23">
        <v>21774.400000000001</v>
      </c>
      <c r="F36" s="23">
        <v>21914.400000000001</v>
      </c>
      <c r="G36" s="23">
        <v>22356.6</v>
      </c>
      <c r="H36" s="23">
        <v>23625</v>
      </c>
      <c r="I36" s="23">
        <v>24119.4</v>
      </c>
      <c r="J36" s="23">
        <v>25283.8</v>
      </c>
      <c r="K36" s="23">
        <v>26488.2</v>
      </c>
      <c r="L36" s="23">
        <v>27093.1</v>
      </c>
      <c r="M36" s="23">
        <v>26971.3</v>
      </c>
      <c r="N36" s="23">
        <v>27299.8</v>
      </c>
      <c r="O36" s="23">
        <v>27537.8</v>
      </c>
      <c r="P36" s="23">
        <v>28256.9</v>
      </c>
      <c r="Q36" s="23">
        <v>28134.9</v>
      </c>
      <c r="R36" s="23">
        <v>28680.799999999999</v>
      </c>
      <c r="S36" s="23">
        <v>28392</v>
      </c>
      <c r="T36" s="23">
        <v>29175.7</v>
      </c>
      <c r="U36" s="23">
        <v>30050.1</v>
      </c>
      <c r="V36" s="23">
        <v>30052.5</v>
      </c>
      <c r="W36" s="23">
        <v>30840.6</v>
      </c>
      <c r="X36" s="23">
        <v>28118.2</v>
      </c>
      <c r="Y36" s="23">
        <v>31061.3</v>
      </c>
      <c r="Z36" s="23">
        <v>32952.199999999997</v>
      </c>
      <c r="AA36" s="23">
        <v>33958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3374.3</v>
      </c>
      <c r="E37" s="23">
        <v>3534.2</v>
      </c>
      <c r="F37" s="23">
        <v>3859</v>
      </c>
      <c r="G37" s="23">
        <v>4254.2</v>
      </c>
      <c r="H37" s="23">
        <v>4524.2</v>
      </c>
      <c r="I37" s="23">
        <v>4551.8</v>
      </c>
      <c r="J37" s="23">
        <v>4645.6000000000004</v>
      </c>
      <c r="K37" s="23">
        <v>3744.3</v>
      </c>
      <c r="L37" s="23">
        <v>3917.6</v>
      </c>
      <c r="M37" s="23">
        <v>3927.2</v>
      </c>
      <c r="N37" s="23">
        <v>3957.4</v>
      </c>
      <c r="O37" s="23">
        <v>3978.2</v>
      </c>
      <c r="P37" s="23">
        <v>3946.6</v>
      </c>
      <c r="Q37" s="23">
        <v>3839.6</v>
      </c>
      <c r="R37" s="23">
        <v>3749.9000000000087</v>
      </c>
      <c r="S37" s="23">
        <v>3439.1</v>
      </c>
      <c r="T37" s="23">
        <v>3358.1</v>
      </c>
      <c r="U37" s="23">
        <v>3042.8</v>
      </c>
      <c r="V37" s="23">
        <v>2989.9</v>
      </c>
      <c r="W37" s="23">
        <v>2989.3</v>
      </c>
      <c r="X37" s="23">
        <v>2618.3000000000002</v>
      </c>
      <c r="Y37" s="23">
        <v>3023.1</v>
      </c>
      <c r="Z37" s="23">
        <v>3146.7</v>
      </c>
      <c r="AA37" s="23">
        <v>3233.6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1319254.3</v>
      </c>
      <c r="E39" s="30">
        <f t="shared" ref="E39:Y39" si="2">SUM(E18:E38)</f>
        <v>1373817.0999999999</v>
      </c>
      <c r="F39" s="30">
        <f t="shared" si="2"/>
        <v>1417481.7</v>
      </c>
      <c r="G39" s="30">
        <f t="shared" si="2"/>
        <v>1457776.7000000002</v>
      </c>
      <c r="H39" s="30">
        <f t="shared" si="2"/>
        <v>1521910</v>
      </c>
      <c r="I39" s="30">
        <f t="shared" si="2"/>
        <v>1579667.6999999997</v>
      </c>
      <c r="J39" s="30">
        <f t="shared" si="2"/>
        <v>1649439.9000000001</v>
      </c>
      <c r="K39" s="30">
        <f t="shared" si="2"/>
        <v>1736159.9</v>
      </c>
      <c r="L39" s="30">
        <f t="shared" si="2"/>
        <v>1787460.6000000006</v>
      </c>
      <c r="M39" s="30">
        <f t="shared" si="2"/>
        <v>1743573.3000000003</v>
      </c>
      <c r="N39" s="30">
        <f t="shared" si="2"/>
        <v>1792597.6</v>
      </c>
      <c r="O39" s="30">
        <f t="shared" si="2"/>
        <v>1845782.1000000003</v>
      </c>
      <c r="P39" s="30">
        <f t="shared" si="2"/>
        <v>1866716.6000000003</v>
      </c>
      <c r="Q39" s="30">
        <f t="shared" si="2"/>
        <v>1894345.0000000002</v>
      </c>
      <c r="R39" s="30">
        <f t="shared" si="2"/>
        <v>1921806.4000000001</v>
      </c>
      <c r="S39" s="30">
        <f t="shared" si="2"/>
        <v>1960327.3</v>
      </c>
      <c r="T39" s="30">
        <f t="shared" si="2"/>
        <v>1983737.7000000002</v>
      </c>
      <c r="U39" s="30">
        <f t="shared" si="2"/>
        <v>2029705.8</v>
      </c>
      <c r="V39" s="30">
        <f t="shared" si="2"/>
        <v>2081977.8999999992</v>
      </c>
      <c r="W39" s="30">
        <f t="shared" si="2"/>
        <v>2150689.7999999993</v>
      </c>
      <c r="X39" s="30">
        <f t="shared" si="2"/>
        <v>2056545.1999999997</v>
      </c>
      <c r="Y39" s="30">
        <f t="shared" si="2"/>
        <v>2212764.4</v>
      </c>
      <c r="Z39" s="30">
        <f t="shared" ref="Z39:AA39" si="3">SUM(Z18:Z38)</f>
        <v>2368609.4000000004</v>
      </c>
      <c r="AA39" s="30">
        <f t="shared" si="3"/>
        <v>2538450.4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30012.799999999999</v>
      </c>
      <c r="E41" s="19">
        <v>29816.5</v>
      </c>
      <c r="F41" s="19">
        <v>31360</v>
      </c>
      <c r="G41" s="19">
        <v>32539</v>
      </c>
      <c r="H41" s="19">
        <v>33953.199999999997</v>
      </c>
      <c r="I41" s="19">
        <v>33096.699999999997</v>
      </c>
      <c r="J41" s="19">
        <v>32414.400000000001</v>
      </c>
      <c r="K41" s="19">
        <v>33999.4</v>
      </c>
      <c r="L41" s="19">
        <v>33636.5</v>
      </c>
      <c r="M41" s="19">
        <v>33128.400000000001</v>
      </c>
      <c r="N41" s="19">
        <v>32338.9</v>
      </c>
      <c r="O41" s="19">
        <v>34198.9</v>
      </c>
      <c r="P41" s="19">
        <v>34815</v>
      </c>
      <c r="Q41" s="19">
        <v>36206.6</v>
      </c>
      <c r="R41" s="19">
        <v>37313.699999999997</v>
      </c>
      <c r="S41" s="19">
        <v>38179.300000000003</v>
      </c>
      <c r="T41" s="19">
        <v>38758.400000000001</v>
      </c>
      <c r="U41" s="19">
        <v>39233.699999999997</v>
      </c>
      <c r="V41" s="19">
        <v>39018.199999999997</v>
      </c>
      <c r="W41" s="19">
        <v>40365.300000000003</v>
      </c>
      <c r="X41" s="19">
        <v>39686.400000000001</v>
      </c>
      <c r="Y41" s="19">
        <v>40666</v>
      </c>
      <c r="Z41" s="19">
        <v>43400.7</v>
      </c>
      <c r="AA41" s="19">
        <v>51980.800000000003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8749.2999999999993</v>
      </c>
      <c r="E42" s="23">
        <v>8721.7000000000007</v>
      </c>
      <c r="F42" s="23">
        <v>8502.1</v>
      </c>
      <c r="G42" s="23">
        <v>8258.9</v>
      </c>
      <c r="H42" s="23">
        <v>7699.1</v>
      </c>
      <c r="I42" s="23">
        <v>7048.8</v>
      </c>
      <c r="J42" s="23">
        <v>6660.6</v>
      </c>
      <c r="K42" s="23">
        <v>6842.5</v>
      </c>
      <c r="L42" s="23">
        <v>6456.8</v>
      </c>
      <c r="M42" s="23">
        <v>5402.4</v>
      </c>
      <c r="N42" s="23">
        <v>5235.8</v>
      </c>
      <c r="O42" s="23">
        <v>5601.8</v>
      </c>
      <c r="P42" s="23">
        <v>5794.9</v>
      </c>
      <c r="Q42" s="23">
        <v>5604</v>
      </c>
      <c r="R42" s="23">
        <v>5362.3</v>
      </c>
      <c r="S42" s="23">
        <v>5583</v>
      </c>
      <c r="T42" s="23">
        <v>5550.2</v>
      </c>
      <c r="U42" s="23">
        <v>5694.9</v>
      </c>
      <c r="V42" s="23">
        <v>5909.8</v>
      </c>
      <c r="W42" s="23">
        <v>6168.6</v>
      </c>
      <c r="X42" s="23">
        <v>5913.4</v>
      </c>
      <c r="Y42" s="23">
        <v>6583.9</v>
      </c>
      <c r="Z42" s="23">
        <v>6359.6</v>
      </c>
      <c r="AA42" s="23">
        <v>7868.8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14519.6</v>
      </c>
      <c r="E43" s="23">
        <v>14906.6</v>
      </c>
      <c r="F43" s="23">
        <v>14825.2</v>
      </c>
      <c r="G43" s="23">
        <v>14704.4</v>
      </c>
      <c r="H43" s="23">
        <v>14296.7</v>
      </c>
      <c r="I43" s="23">
        <v>13724.8</v>
      </c>
      <c r="J43" s="23">
        <v>13354.5</v>
      </c>
      <c r="K43" s="23">
        <v>13662.8</v>
      </c>
      <c r="L43" s="23">
        <v>13346.8</v>
      </c>
      <c r="M43" s="23">
        <v>12231.5</v>
      </c>
      <c r="N43" s="23">
        <v>11549.2</v>
      </c>
      <c r="O43" s="23">
        <v>12319.4</v>
      </c>
      <c r="P43" s="23">
        <v>12146.3</v>
      </c>
      <c r="Q43" s="23">
        <v>11871.4</v>
      </c>
      <c r="R43" s="23">
        <v>11798</v>
      </c>
      <c r="S43" s="23">
        <v>11770.2</v>
      </c>
      <c r="T43" s="23">
        <v>11874.3</v>
      </c>
      <c r="U43" s="23">
        <v>11920.6</v>
      </c>
      <c r="V43" s="23">
        <v>11967.3</v>
      </c>
      <c r="W43" s="23">
        <v>12153.4</v>
      </c>
      <c r="X43" s="23">
        <v>10544.1</v>
      </c>
      <c r="Y43" s="23">
        <v>10956.8</v>
      </c>
      <c r="Z43" s="23">
        <v>13841.1</v>
      </c>
      <c r="AA43" s="23">
        <v>13921.3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2016.5</v>
      </c>
      <c r="E44" s="23">
        <v>1116.9000000000001</v>
      </c>
      <c r="F44" s="23">
        <v>852.3</v>
      </c>
      <c r="G44" s="23">
        <v>1216.4000000000001</v>
      </c>
      <c r="H44" s="23">
        <v>1869</v>
      </c>
      <c r="I44" s="23">
        <v>2484.9</v>
      </c>
      <c r="J44" s="23">
        <v>1993.5</v>
      </c>
      <c r="K44" s="23">
        <v>2799.1</v>
      </c>
      <c r="L44" s="23">
        <v>1966.2</v>
      </c>
      <c r="M44" s="23">
        <v>1466.9</v>
      </c>
      <c r="N44" s="23">
        <v>1711.8</v>
      </c>
      <c r="O44" s="23">
        <v>2072.3000000000002</v>
      </c>
      <c r="P44" s="23">
        <v>2401.1</v>
      </c>
      <c r="Q44" s="23">
        <v>2269.6</v>
      </c>
      <c r="R44" s="23">
        <v>2109.1999999999998</v>
      </c>
      <c r="S44" s="23">
        <v>2467</v>
      </c>
      <c r="T44" s="23">
        <v>2505.6999999999998</v>
      </c>
      <c r="U44" s="23">
        <v>2550.5</v>
      </c>
      <c r="V44" s="23">
        <v>1828.9</v>
      </c>
      <c r="W44" s="23">
        <v>1662.5</v>
      </c>
      <c r="X44" s="23">
        <v>1244.8</v>
      </c>
      <c r="Y44" s="23">
        <v>623.20000000000005</v>
      </c>
      <c r="Z44" s="23">
        <v>4910.8</v>
      </c>
      <c r="AA44" s="23">
        <v>2238.3000000000002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12331.9</v>
      </c>
      <c r="E45" s="23">
        <v>11799.6</v>
      </c>
      <c r="F45" s="23">
        <v>10689.7</v>
      </c>
      <c r="G45" s="23">
        <v>10629.8</v>
      </c>
      <c r="H45" s="23">
        <v>10904.2</v>
      </c>
      <c r="I45" s="23">
        <v>11507.1</v>
      </c>
      <c r="J45" s="23">
        <v>11521.1</v>
      </c>
      <c r="K45" s="23">
        <v>12269</v>
      </c>
      <c r="L45" s="23">
        <v>12741.4</v>
      </c>
      <c r="M45" s="23">
        <v>12329.4</v>
      </c>
      <c r="N45" s="23">
        <v>12175.8</v>
      </c>
      <c r="O45" s="23">
        <v>13213</v>
      </c>
      <c r="P45" s="23">
        <v>13308.3</v>
      </c>
      <c r="Q45" s="23">
        <v>14827.1</v>
      </c>
      <c r="R45" s="23">
        <v>15408.9</v>
      </c>
      <c r="S45" s="23">
        <v>16599.5</v>
      </c>
      <c r="T45" s="23">
        <v>15958</v>
      </c>
      <c r="U45" s="23">
        <v>17278.099999999999</v>
      </c>
      <c r="V45" s="23">
        <v>16785</v>
      </c>
      <c r="W45" s="23">
        <v>17671.900000000001</v>
      </c>
      <c r="X45" s="23">
        <v>15813.2</v>
      </c>
      <c r="Y45" s="23">
        <v>15653.5</v>
      </c>
      <c r="Z45" s="23">
        <v>19598.2</v>
      </c>
      <c r="AA45" s="23">
        <v>17821.2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9723.6</v>
      </c>
      <c r="E46" s="23">
        <v>11062.9</v>
      </c>
      <c r="F46" s="23">
        <v>11317.9</v>
      </c>
      <c r="G46" s="23">
        <v>12030.4</v>
      </c>
      <c r="H46" s="23">
        <v>11670.7</v>
      </c>
      <c r="I46" s="23">
        <v>12173.5</v>
      </c>
      <c r="J46" s="23">
        <v>13381.3</v>
      </c>
      <c r="K46" s="23">
        <v>12888.3</v>
      </c>
      <c r="L46" s="23">
        <v>12233.2</v>
      </c>
      <c r="M46" s="23">
        <v>11723.1</v>
      </c>
      <c r="N46" s="23">
        <v>11675.7</v>
      </c>
      <c r="O46" s="23">
        <v>11690.8</v>
      </c>
      <c r="P46" s="23">
        <v>11520.2</v>
      </c>
      <c r="Q46" s="23">
        <v>11903</v>
      </c>
      <c r="R46" s="23">
        <v>11348.7</v>
      </c>
      <c r="S46" s="23">
        <v>12075.9</v>
      </c>
      <c r="T46" s="23">
        <v>12063.8</v>
      </c>
      <c r="U46" s="23">
        <v>12062.4</v>
      </c>
      <c r="V46" s="23">
        <v>12071.8</v>
      </c>
      <c r="W46" s="23">
        <v>12412.9</v>
      </c>
      <c r="X46" s="23">
        <v>11962.6</v>
      </c>
      <c r="Y46" s="23">
        <v>13068</v>
      </c>
      <c r="Z46" s="23">
        <v>13404.9</v>
      </c>
      <c r="AA46" s="23">
        <v>14019.1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19221.5</v>
      </c>
      <c r="E47" s="23">
        <v>20125.5</v>
      </c>
      <c r="F47" s="23">
        <v>20509.7</v>
      </c>
      <c r="G47" s="23">
        <v>20958.5</v>
      </c>
      <c r="H47" s="23">
        <v>20677.099999999999</v>
      </c>
      <c r="I47" s="23">
        <v>20689.900000000001</v>
      </c>
      <c r="J47" s="23">
        <v>20844.7</v>
      </c>
      <c r="K47" s="23">
        <v>21648.400000000001</v>
      </c>
      <c r="L47" s="23">
        <v>20356.599999999999</v>
      </c>
      <c r="M47" s="23">
        <v>18250.5</v>
      </c>
      <c r="N47" s="23">
        <v>17348.599999999999</v>
      </c>
      <c r="O47" s="23">
        <v>18249.7</v>
      </c>
      <c r="P47" s="23">
        <v>17914.7</v>
      </c>
      <c r="Q47" s="23">
        <v>17819.7</v>
      </c>
      <c r="R47" s="23">
        <v>17827.900000000001</v>
      </c>
      <c r="S47" s="23">
        <v>18248.2</v>
      </c>
      <c r="T47" s="23">
        <v>18311.900000000001</v>
      </c>
      <c r="U47" s="23">
        <v>18070.099999999999</v>
      </c>
      <c r="V47" s="23">
        <v>18604.599999999999</v>
      </c>
      <c r="W47" s="23">
        <v>19257</v>
      </c>
      <c r="X47" s="23">
        <v>16467.3</v>
      </c>
      <c r="Y47" s="23">
        <v>17389.8</v>
      </c>
      <c r="Z47" s="23">
        <v>18392.5</v>
      </c>
      <c r="AA47" s="23">
        <v>22421.4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27756.799999999999</v>
      </c>
      <c r="E48" s="23">
        <v>27315.200000000001</v>
      </c>
      <c r="F48" s="23">
        <v>26480</v>
      </c>
      <c r="G48" s="23">
        <v>25776.1</v>
      </c>
      <c r="H48" s="23">
        <v>27073.5</v>
      </c>
      <c r="I48" s="23">
        <v>28041.200000000001</v>
      </c>
      <c r="J48" s="23">
        <v>28383.8</v>
      </c>
      <c r="K48" s="23">
        <v>30614.6</v>
      </c>
      <c r="L48" s="23">
        <v>30426.2</v>
      </c>
      <c r="M48" s="23">
        <v>26611.5</v>
      </c>
      <c r="N48" s="23">
        <v>27628.5</v>
      </c>
      <c r="O48" s="23">
        <v>29506</v>
      </c>
      <c r="P48" s="23">
        <v>28029.7</v>
      </c>
      <c r="Q48" s="23">
        <v>28273.7</v>
      </c>
      <c r="R48" s="23">
        <v>27736</v>
      </c>
      <c r="S48" s="23">
        <v>28372.2</v>
      </c>
      <c r="T48" s="23">
        <v>27636.5</v>
      </c>
      <c r="U48" s="23">
        <v>28566.9</v>
      </c>
      <c r="V48" s="23">
        <v>28323.4</v>
      </c>
      <c r="W48" s="23">
        <v>27665.4</v>
      </c>
      <c r="X48" s="23">
        <v>23117.599999999999</v>
      </c>
      <c r="Y48" s="23">
        <v>26141.599999999999</v>
      </c>
      <c r="Z48" s="23">
        <v>32695</v>
      </c>
      <c r="AA48" s="23">
        <v>30356.1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13410.5</v>
      </c>
      <c r="E49" s="23">
        <v>12872.5</v>
      </c>
      <c r="F49" s="23">
        <v>12828.6</v>
      </c>
      <c r="G49" s="23">
        <v>11896.4</v>
      </c>
      <c r="H49" s="23">
        <v>11909.8</v>
      </c>
      <c r="I49" s="23">
        <v>10918.2</v>
      </c>
      <c r="J49" s="23">
        <v>10851.5</v>
      </c>
      <c r="K49" s="23">
        <v>11032.3</v>
      </c>
      <c r="L49" s="23">
        <v>10273.6</v>
      </c>
      <c r="M49" s="23">
        <v>9167</v>
      </c>
      <c r="N49" s="23">
        <v>9671.7999999999993</v>
      </c>
      <c r="O49" s="23">
        <v>9412.2999999999993</v>
      </c>
      <c r="P49" s="23">
        <v>9368.2999999999993</v>
      </c>
      <c r="Q49" s="23">
        <v>9479.9</v>
      </c>
      <c r="R49" s="23">
        <v>9448.2999999999993</v>
      </c>
      <c r="S49" s="23">
        <v>9697.5</v>
      </c>
      <c r="T49" s="23">
        <v>9867.2999999999993</v>
      </c>
      <c r="U49" s="23">
        <v>9955.2999999999993</v>
      </c>
      <c r="V49" s="23">
        <v>9972</v>
      </c>
      <c r="W49" s="23">
        <v>10879.1</v>
      </c>
      <c r="X49" s="23">
        <v>10123.200000000001</v>
      </c>
      <c r="Y49" s="23">
        <v>10869.5</v>
      </c>
      <c r="Z49" s="23">
        <v>11514.6</v>
      </c>
      <c r="AA49" s="23">
        <v>12914.5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9366.6</v>
      </c>
      <c r="E50" s="23">
        <v>9031.1</v>
      </c>
      <c r="F50" s="23">
        <v>8694.4</v>
      </c>
      <c r="G50" s="23">
        <v>8216</v>
      </c>
      <c r="H50" s="23">
        <v>8595</v>
      </c>
      <c r="I50" s="23">
        <v>8066</v>
      </c>
      <c r="J50" s="23">
        <v>7771.5</v>
      </c>
      <c r="K50" s="23">
        <v>8389.7999999999993</v>
      </c>
      <c r="L50" s="23">
        <v>8311.6</v>
      </c>
      <c r="M50" s="23">
        <v>7706.4</v>
      </c>
      <c r="N50" s="23">
        <v>7626.3</v>
      </c>
      <c r="O50" s="23">
        <v>7506.7</v>
      </c>
      <c r="P50" s="23">
        <v>7657.3</v>
      </c>
      <c r="Q50" s="23">
        <v>7686.5</v>
      </c>
      <c r="R50" s="23">
        <v>7526.6</v>
      </c>
      <c r="S50" s="23">
        <v>7352.8</v>
      </c>
      <c r="T50" s="23">
        <v>7394.4</v>
      </c>
      <c r="U50" s="23">
        <v>7464.2</v>
      </c>
      <c r="V50" s="23">
        <v>7578.8</v>
      </c>
      <c r="W50" s="23">
        <v>7617.3</v>
      </c>
      <c r="X50" s="23">
        <v>6522.2</v>
      </c>
      <c r="Y50" s="23">
        <v>6898</v>
      </c>
      <c r="Z50" s="23">
        <v>7275.6</v>
      </c>
      <c r="AA50" s="23">
        <v>8600.6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13495.8</v>
      </c>
      <c r="E51" s="23">
        <v>14077.1</v>
      </c>
      <c r="F51" s="23">
        <v>13415.9</v>
      </c>
      <c r="G51" s="23">
        <v>13481.5</v>
      </c>
      <c r="H51" s="23">
        <v>13885.6</v>
      </c>
      <c r="I51" s="23">
        <v>13916.4</v>
      </c>
      <c r="J51" s="23">
        <v>14508.2</v>
      </c>
      <c r="K51" s="23">
        <v>15256.2</v>
      </c>
      <c r="L51" s="23">
        <v>15308.3</v>
      </c>
      <c r="M51" s="23">
        <v>12676.5</v>
      </c>
      <c r="N51" s="23">
        <v>12595.8</v>
      </c>
      <c r="O51" s="23">
        <v>13818.9</v>
      </c>
      <c r="P51" s="23">
        <v>13989</v>
      </c>
      <c r="Q51" s="23">
        <v>13533.2</v>
      </c>
      <c r="R51" s="23">
        <v>13972.9</v>
      </c>
      <c r="S51" s="23">
        <v>13623.8</v>
      </c>
      <c r="T51" s="23">
        <v>13208.2</v>
      </c>
      <c r="U51" s="23">
        <v>12917.9</v>
      </c>
      <c r="V51" s="23">
        <v>13005</v>
      </c>
      <c r="W51" s="23">
        <v>13662</v>
      </c>
      <c r="X51" s="23">
        <v>12361.6</v>
      </c>
      <c r="Y51" s="23">
        <v>12930.9</v>
      </c>
      <c r="Z51" s="23">
        <v>13354.6</v>
      </c>
      <c r="AA51" s="23">
        <v>16156.9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25228</v>
      </c>
      <c r="E52" s="23">
        <v>25622</v>
      </c>
      <c r="F52" s="23">
        <v>26668.2</v>
      </c>
      <c r="G52" s="23">
        <v>25976.7</v>
      </c>
      <c r="H52" s="23">
        <v>25201.9</v>
      </c>
      <c r="I52" s="23">
        <v>26239.200000000001</v>
      </c>
      <c r="J52" s="23">
        <v>26364.400000000001</v>
      </c>
      <c r="K52" s="23">
        <v>26884.400000000001</v>
      </c>
      <c r="L52" s="23">
        <v>26858.2</v>
      </c>
      <c r="M52" s="23">
        <v>24041.599999999999</v>
      </c>
      <c r="N52" s="23">
        <v>26391.3</v>
      </c>
      <c r="O52" s="23">
        <v>24786</v>
      </c>
      <c r="P52" s="23">
        <v>25555</v>
      </c>
      <c r="Q52" s="23">
        <v>26554</v>
      </c>
      <c r="R52" s="23">
        <v>27392.9</v>
      </c>
      <c r="S52" s="23">
        <v>30402.6</v>
      </c>
      <c r="T52" s="23">
        <v>30976.799999999999</v>
      </c>
      <c r="U52" s="23">
        <v>30919.3</v>
      </c>
      <c r="V52" s="23">
        <v>34241.599999999999</v>
      </c>
      <c r="W52" s="23">
        <v>36030.1</v>
      </c>
      <c r="X52" s="23">
        <v>26700.799999999999</v>
      </c>
      <c r="Y52" s="23">
        <v>29740</v>
      </c>
      <c r="Z52" s="23">
        <v>32707.5</v>
      </c>
      <c r="AA52" s="23">
        <v>36011.9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26174.399999999994</v>
      </c>
      <c r="E53" s="23">
        <v>26666</v>
      </c>
      <c r="F53" s="23">
        <v>26296.200000000012</v>
      </c>
      <c r="G53" s="23">
        <v>25091.100000000006</v>
      </c>
      <c r="H53" s="23">
        <v>25417.800000000017</v>
      </c>
      <c r="I53" s="23">
        <v>26098.399999999994</v>
      </c>
      <c r="J53" s="23">
        <v>26809.499999999971</v>
      </c>
      <c r="K53" s="23">
        <v>28117.800000000017</v>
      </c>
      <c r="L53" s="23">
        <v>28337.299999999988</v>
      </c>
      <c r="M53" s="23">
        <v>28947.599999999977</v>
      </c>
      <c r="N53" s="23">
        <v>29197.799999999988</v>
      </c>
      <c r="O53" s="23">
        <v>30298.699999999983</v>
      </c>
      <c r="P53" s="23">
        <v>31488.600000000035</v>
      </c>
      <c r="Q53" s="23">
        <v>31378.399999999994</v>
      </c>
      <c r="R53" s="23">
        <v>32036.900000000023</v>
      </c>
      <c r="S53" s="23">
        <v>32810.700000000041</v>
      </c>
      <c r="T53" s="23">
        <v>32764.100000000035</v>
      </c>
      <c r="U53" s="23">
        <v>32764.500000000029</v>
      </c>
      <c r="V53" s="23">
        <v>33549.600000000006</v>
      </c>
      <c r="W53" s="23">
        <v>35509.299999999988</v>
      </c>
      <c r="X53" s="23">
        <v>33882.899999999965</v>
      </c>
      <c r="Y53" s="23">
        <v>36611.400000000023</v>
      </c>
      <c r="Z53" s="23">
        <v>29402.799999999988</v>
      </c>
      <c r="AA53" s="23">
        <v>41805.599999999977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212007.3</v>
      </c>
      <c r="E54" s="30">
        <f t="shared" ref="E54:Y54" si="4">SUM(E41:E53)</f>
        <v>213133.6</v>
      </c>
      <c r="F54" s="30">
        <f t="shared" si="4"/>
        <v>212440.2</v>
      </c>
      <c r="G54" s="30">
        <f t="shared" si="4"/>
        <v>210775.2</v>
      </c>
      <c r="H54" s="30">
        <f t="shared" si="4"/>
        <v>213153.6</v>
      </c>
      <c r="I54" s="30">
        <f t="shared" si="4"/>
        <v>214005.1</v>
      </c>
      <c r="J54" s="30">
        <f t="shared" si="4"/>
        <v>214859</v>
      </c>
      <c r="K54" s="30">
        <f t="shared" si="4"/>
        <v>224404.6</v>
      </c>
      <c r="L54" s="30">
        <f t="shared" si="4"/>
        <v>220252.7</v>
      </c>
      <c r="M54" s="30">
        <f t="shared" si="4"/>
        <v>203682.8</v>
      </c>
      <c r="N54" s="30">
        <f t="shared" si="4"/>
        <v>205147.3</v>
      </c>
      <c r="O54" s="30">
        <f t="shared" si="4"/>
        <v>212674.5</v>
      </c>
      <c r="P54" s="30">
        <f t="shared" si="4"/>
        <v>213988.4</v>
      </c>
      <c r="Q54" s="30">
        <f t="shared" si="4"/>
        <v>217407.1</v>
      </c>
      <c r="R54" s="30">
        <f t="shared" si="4"/>
        <v>219282.3</v>
      </c>
      <c r="S54" s="30">
        <f t="shared" si="4"/>
        <v>227182.7</v>
      </c>
      <c r="T54" s="30">
        <f t="shared" si="4"/>
        <v>226869.6</v>
      </c>
      <c r="U54" s="30">
        <f t="shared" si="4"/>
        <v>229398.39999999999</v>
      </c>
      <c r="V54" s="30">
        <f t="shared" si="4"/>
        <v>232856</v>
      </c>
      <c r="W54" s="30">
        <f t="shared" si="4"/>
        <v>241054.8</v>
      </c>
      <c r="X54" s="30">
        <f t="shared" si="4"/>
        <v>214340.1</v>
      </c>
      <c r="Y54" s="30">
        <f t="shared" si="4"/>
        <v>228132.6</v>
      </c>
      <c r="Z54" s="30">
        <f t="shared" ref="Z54:AA54" si="5">SUM(Z41:Z53)</f>
        <v>246857.9</v>
      </c>
      <c r="AA54" s="30">
        <f t="shared" si="5"/>
        <v>276116.5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30012.799999999999</v>
      </c>
      <c r="E56" s="19">
        <v>29816.5</v>
      </c>
      <c r="F56" s="19">
        <v>31360</v>
      </c>
      <c r="G56" s="19">
        <v>32539</v>
      </c>
      <c r="H56" s="19">
        <v>33953.199999999997</v>
      </c>
      <c r="I56" s="19">
        <v>33096.699999999997</v>
      </c>
      <c r="J56" s="19">
        <v>32414.400000000001</v>
      </c>
      <c r="K56" s="19">
        <v>33999.4</v>
      </c>
      <c r="L56" s="19">
        <v>33636.5</v>
      </c>
      <c r="M56" s="19">
        <v>33128.400000000001</v>
      </c>
      <c r="N56" s="19">
        <v>32338.9</v>
      </c>
      <c r="O56" s="19">
        <v>34198.9</v>
      </c>
      <c r="P56" s="19">
        <v>34815</v>
      </c>
      <c r="Q56" s="19">
        <v>36206.6</v>
      </c>
      <c r="R56" s="19">
        <v>37313.699999999997</v>
      </c>
      <c r="S56" s="19">
        <v>38179.300000000003</v>
      </c>
      <c r="T56" s="19">
        <v>38758.400000000001</v>
      </c>
      <c r="U56" s="19">
        <v>39233.699999999997</v>
      </c>
      <c r="V56" s="19">
        <v>39018.199999999997</v>
      </c>
      <c r="W56" s="19">
        <v>40365.300000000003</v>
      </c>
      <c r="X56" s="19">
        <v>39686.400000000001</v>
      </c>
      <c r="Y56" s="19">
        <v>40666</v>
      </c>
      <c r="Z56" s="19">
        <v>43400.7</v>
      </c>
      <c r="AA56" s="19">
        <v>51980.800000000003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8749.2999999999993</v>
      </c>
      <c r="E57" s="23">
        <v>8721.7000000000007</v>
      </c>
      <c r="F57" s="23">
        <v>8502.1</v>
      </c>
      <c r="G57" s="23">
        <v>8258.9</v>
      </c>
      <c r="H57" s="23">
        <v>7699.1</v>
      </c>
      <c r="I57" s="23">
        <v>7048.8</v>
      </c>
      <c r="J57" s="23">
        <v>6660.6</v>
      </c>
      <c r="K57" s="23">
        <v>6842.5</v>
      </c>
      <c r="L57" s="23">
        <v>6456.8</v>
      </c>
      <c r="M57" s="23">
        <v>5402.4</v>
      </c>
      <c r="N57" s="23">
        <v>5235.8</v>
      </c>
      <c r="O57" s="23">
        <v>5601.8</v>
      </c>
      <c r="P57" s="23">
        <v>5794.9</v>
      </c>
      <c r="Q57" s="23">
        <v>5604</v>
      </c>
      <c r="R57" s="23">
        <v>5362.3</v>
      </c>
      <c r="S57" s="23">
        <v>5583</v>
      </c>
      <c r="T57" s="23">
        <v>5550.2</v>
      </c>
      <c r="U57" s="23">
        <v>5694.9</v>
      </c>
      <c r="V57" s="23">
        <v>5909.8</v>
      </c>
      <c r="W57" s="23">
        <v>6168.6</v>
      </c>
      <c r="X57" s="23">
        <v>5913.4</v>
      </c>
      <c r="Y57" s="23">
        <v>6583.9</v>
      </c>
      <c r="Z57" s="23">
        <v>6359.6</v>
      </c>
      <c r="AA57" s="23">
        <v>7868.8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3545.9</v>
      </c>
      <c r="E58" s="23">
        <v>3495.4</v>
      </c>
      <c r="F58" s="23">
        <v>3589.4</v>
      </c>
      <c r="G58" s="23">
        <v>3824.9</v>
      </c>
      <c r="H58" s="23">
        <v>3446.8</v>
      </c>
      <c r="I58" s="23">
        <v>3246.1</v>
      </c>
      <c r="J58" s="23">
        <v>3331.6</v>
      </c>
      <c r="K58" s="23">
        <v>3676.7</v>
      </c>
      <c r="L58" s="23">
        <v>3797.5</v>
      </c>
      <c r="M58" s="23">
        <v>3426.5</v>
      </c>
      <c r="N58" s="23">
        <v>3098</v>
      </c>
      <c r="O58" s="23">
        <v>3561.7</v>
      </c>
      <c r="P58" s="23">
        <v>3434.8</v>
      </c>
      <c r="Q58" s="23">
        <v>3446.9</v>
      </c>
      <c r="R58" s="23">
        <v>3137.5</v>
      </c>
      <c r="S58" s="23">
        <v>3150</v>
      </c>
      <c r="T58" s="23">
        <v>3191.8</v>
      </c>
      <c r="U58" s="23">
        <v>3340.7</v>
      </c>
      <c r="V58" s="23">
        <v>3287.7</v>
      </c>
      <c r="W58" s="23">
        <v>3546.5</v>
      </c>
      <c r="X58" s="23">
        <v>3299.6</v>
      </c>
      <c r="Y58" s="23">
        <v>3790.3</v>
      </c>
      <c r="Z58" s="23">
        <v>5259.3</v>
      </c>
      <c r="AA58" s="23">
        <v>5519.543002918751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6184.6</v>
      </c>
      <c r="E59" s="23">
        <v>6638.1</v>
      </c>
      <c r="F59" s="23">
        <v>6454.2</v>
      </c>
      <c r="G59" s="23">
        <v>6177.5</v>
      </c>
      <c r="H59" s="23">
        <v>6075.7</v>
      </c>
      <c r="I59" s="23">
        <v>5704.8</v>
      </c>
      <c r="J59" s="23">
        <v>5308.3</v>
      </c>
      <c r="K59" s="23">
        <v>5504.7</v>
      </c>
      <c r="L59" s="23">
        <v>5188.7</v>
      </c>
      <c r="M59" s="23">
        <v>4871.3</v>
      </c>
      <c r="N59" s="23">
        <v>4628.8</v>
      </c>
      <c r="O59" s="23">
        <v>4949.3999999999996</v>
      </c>
      <c r="P59" s="23">
        <v>5040</v>
      </c>
      <c r="Q59" s="23">
        <v>4799.8</v>
      </c>
      <c r="R59" s="23">
        <v>4973.2</v>
      </c>
      <c r="S59" s="23">
        <v>5162.8999999999996</v>
      </c>
      <c r="T59" s="23">
        <v>5226.8</v>
      </c>
      <c r="U59" s="23">
        <v>5112.6000000000004</v>
      </c>
      <c r="V59" s="23">
        <v>5303.8</v>
      </c>
      <c r="W59" s="23">
        <v>5239.7</v>
      </c>
      <c r="X59" s="23">
        <v>4719.8</v>
      </c>
      <c r="Y59" s="23">
        <v>4498.7</v>
      </c>
      <c r="Z59" s="23">
        <v>5822.5</v>
      </c>
      <c r="AA59" s="23">
        <v>5901.5858172041499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4789.1000000000004</v>
      </c>
      <c r="E60" s="23">
        <v>4773.1000000000004</v>
      </c>
      <c r="F60" s="23">
        <v>4781.6000000000004</v>
      </c>
      <c r="G60" s="23">
        <v>4702</v>
      </c>
      <c r="H60" s="23">
        <v>4774.2000000000007</v>
      </c>
      <c r="I60" s="23">
        <v>4773.8999999999996</v>
      </c>
      <c r="J60" s="23">
        <v>4714.6000000000004</v>
      </c>
      <c r="K60" s="23">
        <v>4481.3999999999996</v>
      </c>
      <c r="L60" s="23">
        <v>4360.5999999999985</v>
      </c>
      <c r="M60" s="23">
        <v>3933.7000000000007</v>
      </c>
      <c r="N60" s="23">
        <v>3822.4000000000005</v>
      </c>
      <c r="O60" s="23">
        <v>3808.3000000000011</v>
      </c>
      <c r="P60" s="23">
        <v>3671.5</v>
      </c>
      <c r="Q60" s="23">
        <v>3624.6999999999989</v>
      </c>
      <c r="R60" s="23">
        <v>3687.3</v>
      </c>
      <c r="S60" s="23">
        <v>3457.3000000000011</v>
      </c>
      <c r="T60" s="23">
        <v>3455.6999999999989</v>
      </c>
      <c r="U60" s="23">
        <v>3467.3000000000011</v>
      </c>
      <c r="V60" s="23">
        <v>3375.7999999999993</v>
      </c>
      <c r="W60" s="23">
        <v>3367.1999999999989</v>
      </c>
      <c r="X60" s="23">
        <v>2524.7000000000007</v>
      </c>
      <c r="Y60" s="23">
        <v>2667.7999999999993</v>
      </c>
      <c r="Z60" s="23">
        <v>2759.3000000000011</v>
      </c>
      <c r="AA60" s="23">
        <v>2500.1711798770993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2016.5</v>
      </c>
      <c r="E61" s="23">
        <v>1116.9000000000001</v>
      </c>
      <c r="F61" s="23">
        <v>852.3</v>
      </c>
      <c r="G61" s="23">
        <v>1216.4000000000001</v>
      </c>
      <c r="H61" s="23">
        <v>1869</v>
      </c>
      <c r="I61" s="23">
        <v>2484.9</v>
      </c>
      <c r="J61" s="23">
        <v>1993.5</v>
      </c>
      <c r="K61" s="23">
        <v>2799.1</v>
      </c>
      <c r="L61" s="23">
        <v>1966.2</v>
      </c>
      <c r="M61" s="23">
        <v>1466.9</v>
      </c>
      <c r="N61" s="23">
        <v>1711.8</v>
      </c>
      <c r="O61" s="23">
        <v>2072.3000000000002</v>
      </c>
      <c r="P61" s="23">
        <v>2401.1</v>
      </c>
      <c r="Q61" s="23">
        <v>2269.6</v>
      </c>
      <c r="R61" s="23">
        <v>2109.1999999999998</v>
      </c>
      <c r="S61" s="23">
        <v>2467</v>
      </c>
      <c r="T61" s="23">
        <v>2505.6999999999998</v>
      </c>
      <c r="U61" s="23">
        <v>2550.5</v>
      </c>
      <c r="V61" s="23">
        <v>1828.9</v>
      </c>
      <c r="W61" s="23">
        <v>1662.5</v>
      </c>
      <c r="X61" s="23">
        <v>1244.8</v>
      </c>
      <c r="Y61" s="23">
        <v>623.20000000000005</v>
      </c>
      <c r="Z61" s="23">
        <v>4910.8</v>
      </c>
      <c r="AA61" s="23">
        <v>2238.3000000000002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12331.9</v>
      </c>
      <c r="E62" s="23">
        <v>11799.6</v>
      </c>
      <c r="F62" s="23">
        <v>10689.7</v>
      </c>
      <c r="G62" s="23">
        <v>10629.8</v>
      </c>
      <c r="H62" s="23">
        <v>10904.2</v>
      </c>
      <c r="I62" s="23">
        <v>11507.1</v>
      </c>
      <c r="J62" s="23">
        <v>11521.1</v>
      </c>
      <c r="K62" s="23">
        <v>12269</v>
      </c>
      <c r="L62" s="23">
        <v>12741.4</v>
      </c>
      <c r="M62" s="23">
        <v>12329.4</v>
      </c>
      <c r="N62" s="23">
        <v>12175.8</v>
      </c>
      <c r="O62" s="23">
        <v>13213</v>
      </c>
      <c r="P62" s="23">
        <v>13308.3</v>
      </c>
      <c r="Q62" s="23">
        <v>14827.1</v>
      </c>
      <c r="R62" s="23">
        <v>15408.9</v>
      </c>
      <c r="S62" s="23">
        <v>16599.5</v>
      </c>
      <c r="T62" s="23">
        <v>15958</v>
      </c>
      <c r="U62" s="23">
        <v>17278.099999999999</v>
      </c>
      <c r="V62" s="23">
        <v>16785</v>
      </c>
      <c r="W62" s="23">
        <v>17671.900000000001</v>
      </c>
      <c r="X62" s="23">
        <v>15813.2</v>
      </c>
      <c r="Y62" s="23">
        <v>15653.5</v>
      </c>
      <c r="Z62" s="23">
        <v>19598.2</v>
      </c>
      <c r="AA62" s="23">
        <v>17821.2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9723.6</v>
      </c>
      <c r="E63" s="23">
        <v>11062.9</v>
      </c>
      <c r="F63" s="23">
        <v>11317.9</v>
      </c>
      <c r="G63" s="23">
        <v>12030.4</v>
      </c>
      <c r="H63" s="23">
        <v>11670.7</v>
      </c>
      <c r="I63" s="23">
        <v>12173.5</v>
      </c>
      <c r="J63" s="23">
        <v>13381.3</v>
      </c>
      <c r="K63" s="23">
        <v>12888.3</v>
      </c>
      <c r="L63" s="23">
        <v>12233.2</v>
      </c>
      <c r="M63" s="23">
        <v>11723.1</v>
      </c>
      <c r="N63" s="23">
        <v>11675.7</v>
      </c>
      <c r="O63" s="23">
        <v>11690.8</v>
      </c>
      <c r="P63" s="23">
        <v>11520.2</v>
      </c>
      <c r="Q63" s="23">
        <v>11903</v>
      </c>
      <c r="R63" s="23">
        <v>11348.7</v>
      </c>
      <c r="S63" s="23">
        <v>12075.9</v>
      </c>
      <c r="T63" s="23">
        <v>12063.8</v>
      </c>
      <c r="U63" s="23">
        <v>12062.4</v>
      </c>
      <c r="V63" s="23">
        <v>12071.8</v>
      </c>
      <c r="W63" s="23">
        <v>12412.9</v>
      </c>
      <c r="X63" s="23">
        <v>11962.6</v>
      </c>
      <c r="Y63" s="23">
        <v>13068</v>
      </c>
      <c r="Z63" s="23">
        <v>13404.9</v>
      </c>
      <c r="AA63" s="23">
        <v>14019.1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11410</v>
      </c>
      <c r="E64" s="23">
        <v>12068.8</v>
      </c>
      <c r="F64" s="23">
        <v>12282.2</v>
      </c>
      <c r="G64" s="23">
        <v>12786.8</v>
      </c>
      <c r="H64" s="23">
        <v>12757.1</v>
      </c>
      <c r="I64" s="23">
        <v>12503.2</v>
      </c>
      <c r="J64" s="23">
        <v>12444</v>
      </c>
      <c r="K64" s="23">
        <v>12453.3</v>
      </c>
      <c r="L64" s="23">
        <v>11556</v>
      </c>
      <c r="M64" s="23">
        <v>10567.9</v>
      </c>
      <c r="N64" s="23">
        <v>9722.9</v>
      </c>
      <c r="O64" s="23">
        <v>10236</v>
      </c>
      <c r="P64" s="23">
        <v>10239.299999999999</v>
      </c>
      <c r="Q64" s="23">
        <v>10213.200000000001</v>
      </c>
      <c r="R64" s="23">
        <v>10128</v>
      </c>
      <c r="S64" s="23">
        <v>10479.6</v>
      </c>
      <c r="T64" s="23">
        <v>10565.1</v>
      </c>
      <c r="U64" s="23">
        <v>10178</v>
      </c>
      <c r="V64" s="23">
        <v>10653.1</v>
      </c>
      <c r="W64" s="23">
        <v>10742.7</v>
      </c>
      <c r="X64" s="23">
        <v>8792.1</v>
      </c>
      <c r="Y64" s="23">
        <v>9231.6</v>
      </c>
      <c r="Z64" s="23">
        <v>9384.1</v>
      </c>
      <c r="AA64" s="23">
        <v>11346.955906006164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7811.5</v>
      </c>
      <c r="E65" s="23">
        <v>8056.7000000000007</v>
      </c>
      <c r="F65" s="23">
        <v>8227.5</v>
      </c>
      <c r="G65" s="23">
        <v>8171.7000000000007</v>
      </c>
      <c r="H65" s="23">
        <v>7919.9999999999982</v>
      </c>
      <c r="I65" s="23">
        <v>8186.7000000000007</v>
      </c>
      <c r="J65" s="23">
        <v>8400.7000000000007</v>
      </c>
      <c r="K65" s="23">
        <v>9195.1000000000022</v>
      </c>
      <c r="L65" s="23">
        <v>8800.5999999999985</v>
      </c>
      <c r="M65" s="23">
        <v>7682.6</v>
      </c>
      <c r="N65" s="23">
        <v>7625.6999999999989</v>
      </c>
      <c r="O65" s="23">
        <v>8013.7000000000007</v>
      </c>
      <c r="P65" s="23">
        <v>7675.4000000000015</v>
      </c>
      <c r="Q65" s="23">
        <v>7606.5</v>
      </c>
      <c r="R65" s="23">
        <v>7699.9000000000015</v>
      </c>
      <c r="S65" s="23">
        <v>7768.6</v>
      </c>
      <c r="T65" s="23">
        <v>7746.8000000000011</v>
      </c>
      <c r="U65" s="23">
        <v>7892.0999999999985</v>
      </c>
      <c r="V65" s="23">
        <v>7951.4999999999982</v>
      </c>
      <c r="W65" s="23">
        <v>8514.2999999999993</v>
      </c>
      <c r="X65" s="23">
        <v>7675.1999999999989</v>
      </c>
      <c r="Y65" s="23">
        <v>8158.1999999999989</v>
      </c>
      <c r="Z65" s="23">
        <v>9008.4</v>
      </c>
      <c r="AA65" s="23">
        <v>11074.444093993838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7940.1</v>
      </c>
      <c r="E66" s="23">
        <v>7101.4</v>
      </c>
      <c r="F66" s="23">
        <v>6410.9</v>
      </c>
      <c r="G66" s="23">
        <v>6107.4</v>
      </c>
      <c r="H66" s="23">
        <v>7033.4</v>
      </c>
      <c r="I66" s="23">
        <v>7430.3</v>
      </c>
      <c r="J66" s="23">
        <v>7313.1</v>
      </c>
      <c r="K66" s="23">
        <v>8442.1</v>
      </c>
      <c r="L66" s="23">
        <v>8759.5</v>
      </c>
      <c r="M66" s="23">
        <v>6529.5</v>
      </c>
      <c r="N66" s="23">
        <v>6829.8</v>
      </c>
      <c r="O66" s="23">
        <v>7994.2</v>
      </c>
      <c r="P66" s="23">
        <v>6446.3</v>
      </c>
      <c r="Q66" s="23">
        <v>6509.7</v>
      </c>
      <c r="R66" s="23">
        <v>6248.7</v>
      </c>
      <c r="S66" s="23">
        <v>6730.6</v>
      </c>
      <c r="T66" s="23">
        <v>6159.9</v>
      </c>
      <c r="U66" s="23">
        <v>6677.9</v>
      </c>
      <c r="V66" s="23">
        <v>6402.6</v>
      </c>
      <c r="W66" s="23">
        <v>5291.2</v>
      </c>
      <c r="X66" s="23">
        <v>4155.3</v>
      </c>
      <c r="Y66" s="23">
        <v>5514.6</v>
      </c>
      <c r="Z66" s="23">
        <v>10385.9</v>
      </c>
      <c r="AA66" s="23">
        <v>10282.255430632576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19816.699999999997</v>
      </c>
      <c r="E67" s="23">
        <v>20213.800000000003</v>
      </c>
      <c r="F67" s="23">
        <v>20069.099999999999</v>
      </c>
      <c r="G67" s="23">
        <v>19668.699999999997</v>
      </c>
      <c r="H67" s="23">
        <v>20040.099999999999</v>
      </c>
      <c r="I67" s="23">
        <v>20610.900000000001</v>
      </c>
      <c r="J67" s="23">
        <v>21070.699999999997</v>
      </c>
      <c r="K67" s="23">
        <v>22172.5</v>
      </c>
      <c r="L67" s="23">
        <v>21666.7</v>
      </c>
      <c r="M67" s="23">
        <v>20082</v>
      </c>
      <c r="N67" s="23">
        <v>20798.7</v>
      </c>
      <c r="O67" s="23">
        <v>21511.8</v>
      </c>
      <c r="P67" s="23">
        <v>21583.4</v>
      </c>
      <c r="Q67" s="23">
        <v>21764</v>
      </c>
      <c r="R67" s="23">
        <v>21487.3</v>
      </c>
      <c r="S67" s="23">
        <v>21641.599999999999</v>
      </c>
      <c r="T67" s="23">
        <v>21476.6</v>
      </c>
      <c r="U67" s="23">
        <v>21889</v>
      </c>
      <c r="V67" s="23">
        <v>21920.800000000003</v>
      </c>
      <c r="W67" s="23">
        <v>22374.2</v>
      </c>
      <c r="X67" s="23">
        <v>18962.3</v>
      </c>
      <c r="Y67" s="23">
        <v>20627</v>
      </c>
      <c r="Z67" s="23">
        <v>22309.1</v>
      </c>
      <c r="AA67" s="23">
        <v>20073.844569367422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13410.5</v>
      </c>
      <c r="E68" s="23">
        <v>12872.5</v>
      </c>
      <c r="F68" s="23">
        <v>12828.6</v>
      </c>
      <c r="G68" s="23">
        <v>11896.4</v>
      </c>
      <c r="H68" s="23">
        <v>11909.8</v>
      </c>
      <c r="I68" s="23">
        <v>10918.2</v>
      </c>
      <c r="J68" s="23">
        <v>10851.5</v>
      </c>
      <c r="K68" s="23">
        <v>11032.3</v>
      </c>
      <c r="L68" s="23">
        <v>10273.6</v>
      </c>
      <c r="M68" s="23">
        <v>9167</v>
      </c>
      <c r="N68" s="23">
        <v>9671.7999999999993</v>
      </c>
      <c r="O68" s="23">
        <v>9412.2999999999993</v>
      </c>
      <c r="P68" s="23">
        <v>9368.2999999999993</v>
      </c>
      <c r="Q68" s="23">
        <v>9479.9</v>
      </c>
      <c r="R68" s="23">
        <v>9448.2999999999993</v>
      </c>
      <c r="S68" s="23">
        <v>9697.5</v>
      </c>
      <c r="T68" s="23">
        <v>9867.2999999999993</v>
      </c>
      <c r="U68" s="23">
        <v>9955.2999999999993</v>
      </c>
      <c r="V68" s="23">
        <v>9972</v>
      </c>
      <c r="W68" s="23">
        <v>10879.1</v>
      </c>
      <c r="X68" s="23">
        <v>10123.200000000001</v>
      </c>
      <c r="Y68" s="23">
        <v>10869.5</v>
      </c>
      <c r="Z68" s="23">
        <v>11514.6</v>
      </c>
      <c r="AA68" s="23">
        <v>12914.5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9366.6</v>
      </c>
      <c r="E69" s="23">
        <v>9031.1</v>
      </c>
      <c r="F69" s="23">
        <v>8694.4</v>
      </c>
      <c r="G69" s="23">
        <v>8216</v>
      </c>
      <c r="H69" s="23">
        <v>8595</v>
      </c>
      <c r="I69" s="23">
        <v>8066</v>
      </c>
      <c r="J69" s="23">
        <v>7771.5</v>
      </c>
      <c r="K69" s="23">
        <v>8389.7999999999993</v>
      </c>
      <c r="L69" s="23">
        <v>8311.6</v>
      </c>
      <c r="M69" s="23">
        <v>7706.4</v>
      </c>
      <c r="N69" s="23">
        <v>7626.3</v>
      </c>
      <c r="O69" s="23">
        <v>7506.7</v>
      </c>
      <c r="P69" s="23">
        <v>7657.3</v>
      </c>
      <c r="Q69" s="23">
        <v>7686.5</v>
      </c>
      <c r="R69" s="23">
        <v>7526.6</v>
      </c>
      <c r="S69" s="23">
        <v>7352.8</v>
      </c>
      <c r="T69" s="23">
        <v>7394.4</v>
      </c>
      <c r="U69" s="23">
        <v>7464.2</v>
      </c>
      <c r="V69" s="23">
        <v>7578.8</v>
      </c>
      <c r="W69" s="23">
        <v>7617.3</v>
      </c>
      <c r="X69" s="23">
        <v>6522.2</v>
      </c>
      <c r="Y69" s="23">
        <v>6898</v>
      </c>
      <c r="Z69" s="23">
        <v>7275.6</v>
      </c>
      <c r="AA69" s="23">
        <v>8600.6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13495.8</v>
      </c>
      <c r="E70" s="23">
        <v>14077.1</v>
      </c>
      <c r="F70" s="23">
        <v>13415.9</v>
      </c>
      <c r="G70" s="23">
        <v>13481.5</v>
      </c>
      <c r="H70" s="23">
        <v>13885.6</v>
      </c>
      <c r="I70" s="23">
        <v>13916.4</v>
      </c>
      <c r="J70" s="23">
        <v>14508.2</v>
      </c>
      <c r="K70" s="23">
        <v>15256.2</v>
      </c>
      <c r="L70" s="23">
        <v>15308.3</v>
      </c>
      <c r="M70" s="23">
        <v>12676.5</v>
      </c>
      <c r="N70" s="23">
        <v>12595.8</v>
      </c>
      <c r="O70" s="23">
        <v>13818.9</v>
      </c>
      <c r="P70" s="23">
        <v>13989</v>
      </c>
      <c r="Q70" s="23">
        <v>13533.2</v>
      </c>
      <c r="R70" s="23">
        <v>13972.9</v>
      </c>
      <c r="S70" s="23">
        <v>13623.8</v>
      </c>
      <c r="T70" s="23">
        <v>13208.2</v>
      </c>
      <c r="U70" s="23">
        <v>12917.9</v>
      </c>
      <c r="V70" s="23">
        <v>13005</v>
      </c>
      <c r="W70" s="23">
        <v>13662</v>
      </c>
      <c r="X70" s="23">
        <v>12361.6</v>
      </c>
      <c r="Y70" s="23">
        <v>12930.9</v>
      </c>
      <c r="Z70" s="23">
        <v>13354.6</v>
      </c>
      <c r="AA70" s="23">
        <v>16156.9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16840.7</v>
      </c>
      <c r="E71" s="23">
        <v>16457</v>
      </c>
      <c r="F71" s="23">
        <v>17734.7</v>
      </c>
      <c r="G71" s="23">
        <v>17220.5</v>
      </c>
      <c r="H71" s="23">
        <v>18137.400000000001</v>
      </c>
      <c r="I71" s="23">
        <v>16559.7</v>
      </c>
      <c r="J71" s="23">
        <v>15466.2</v>
      </c>
      <c r="K71" s="23">
        <v>15524.9</v>
      </c>
      <c r="L71" s="23">
        <v>14326.5</v>
      </c>
      <c r="M71" s="23">
        <v>11870.1</v>
      </c>
      <c r="N71" s="23">
        <v>13867.8</v>
      </c>
      <c r="O71" s="23">
        <v>13677.4</v>
      </c>
      <c r="P71" s="23">
        <v>12362.7</v>
      </c>
      <c r="Q71" s="23">
        <v>12064.9</v>
      </c>
      <c r="R71" s="23">
        <v>12185.8</v>
      </c>
      <c r="S71" s="23">
        <v>12902.4</v>
      </c>
      <c r="T71" s="23">
        <v>13137.3</v>
      </c>
      <c r="U71" s="23">
        <v>13513.4</v>
      </c>
      <c r="V71" s="23">
        <v>13020.9</v>
      </c>
      <c r="W71" s="23">
        <v>13482</v>
      </c>
      <c r="X71" s="23">
        <v>10505.9</v>
      </c>
      <c r="Y71" s="23">
        <v>12536.8</v>
      </c>
      <c r="Z71" s="23">
        <v>13986.3</v>
      </c>
      <c r="AA71" s="23">
        <v>15733.309863012071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8387.2999999999993</v>
      </c>
      <c r="E72" s="23">
        <v>9165</v>
      </c>
      <c r="F72" s="23">
        <v>8933.5</v>
      </c>
      <c r="G72" s="23">
        <v>8756.2000000000007</v>
      </c>
      <c r="H72" s="23">
        <v>7064.5</v>
      </c>
      <c r="I72" s="23">
        <v>9679.5</v>
      </c>
      <c r="J72" s="23">
        <v>10898.2</v>
      </c>
      <c r="K72" s="23">
        <v>11359.500000000002</v>
      </c>
      <c r="L72" s="23">
        <v>12531.7</v>
      </c>
      <c r="M72" s="23">
        <v>12171.499999999998</v>
      </c>
      <c r="N72" s="23">
        <v>12523.5</v>
      </c>
      <c r="O72" s="23">
        <v>11108.6</v>
      </c>
      <c r="P72" s="23">
        <v>13192.3</v>
      </c>
      <c r="Q72" s="23">
        <v>14489.1</v>
      </c>
      <c r="R72" s="23">
        <v>15207.100000000002</v>
      </c>
      <c r="S72" s="23">
        <v>17500.199999999997</v>
      </c>
      <c r="T72" s="23">
        <v>17839.5</v>
      </c>
      <c r="U72" s="23">
        <v>17405.900000000001</v>
      </c>
      <c r="V72" s="23">
        <v>21220.699999999997</v>
      </c>
      <c r="W72" s="23">
        <v>22548.1</v>
      </c>
      <c r="X72" s="23">
        <v>16194.9</v>
      </c>
      <c r="Y72" s="23">
        <v>17203.2</v>
      </c>
      <c r="Z72" s="23">
        <v>18721.2</v>
      </c>
      <c r="AA72" s="23">
        <v>20278.590136987928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7590.4</v>
      </c>
      <c r="E73" s="23">
        <v>8261.7999999999993</v>
      </c>
      <c r="F73" s="23">
        <v>8095.5</v>
      </c>
      <c r="G73" s="23">
        <v>8086.9</v>
      </c>
      <c r="H73" s="23">
        <v>8206.2000000000007</v>
      </c>
      <c r="I73" s="23">
        <v>8085.6</v>
      </c>
      <c r="J73" s="23">
        <v>8047.3</v>
      </c>
      <c r="K73" s="23">
        <v>8083.8</v>
      </c>
      <c r="L73" s="23">
        <v>7938</v>
      </c>
      <c r="M73" s="23">
        <v>7789.9</v>
      </c>
      <c r="N73" s="23">
        <v>7555.5</v>
      </c>
      <c r="O73" s="23">
        <v>7681</v>
      </c>
      <c r="P73" s="23">
        <v>7544</v>
      </c>
      <c r="Q73" s="23">
        <v>7693.9</v>
      </c>
      <c r="R73" s="23">
        <v>7920.5</v>
      </c>
      <c r="S73" s="23">
        <v>7695.9</v>
      </c>
      <c r="T73" s="23">
        <v>7558</v>
      </c>
      <c r="U73" s="23">
        <v>7363.2</v>
      </c>
      <c r="V73" s="23">
        <v>7414.8</v>
      </c>
      <c r="W73" s="23">
        <v>7777.9</v>
      </c>
      <c r="X73" s="23">
        <v>7196.2</v>
      </c>
      <c r="Y73" s="23">
        <v>8054.5</v>
      </c>
      <c r="Z73" s="23">
        <v>8055.5</v>
      </c>
      <c r="AA73" s="23">
        <v>11697.256333165273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18583.999999999993</v>
      </c>
      <c r="E74" s="23">
        <v>18404.2</v>
      </c>
      <c r="F74" s="23">
        <v>18200.700000000012</v>
      </c>
      <c r="G74" s="23">
        <v>17004.200000000004</v>
      </c>
      <c r="H74" s="23">
        <v>17211.600000000017</v>
      </c>
      <c r="I74" s="23">
        <v>18012.799999999996</v>
      </c>
      <c r="J74" s="23">
        <v>18762.199999999972</v>
      </c>
      <c r="K74" s="23">
        <v>20034.000000000018</v>
      </c>
      <c r="L74" s="23">
        <v>20399.299999999988</v>
      </c>
      <c r="M74" s="23">
        <v>21157.699999999975</v>
      </c>
      <c r="N74" s="23">
        <v>21642.299999999988</v>
      </c>
      <c r="O74" s="23">
        <v>22617.699999999983</v>
      </c>
      <c r="P74" s="23">
        <v>23944.600000000035</v>
      </c>
      <c r="Q74" s="23">
        <v>23684.499999999993</v>
      </c>
      <c r="R74" s="23">
        <v>24116.400000000023</v>
      </c>
      <c r="S74" s="23">
        <v>25114.800000000039</v>
      </c>
      <c r="T74" s="23">
        <v>25206.100000000035</v>
      </c>
      <c r="U74" s="23">
        <v>25401.300000000028</v>
      </c>
      <c r="V74" s="23">
        <v>26134.800000000007</v>
      </c>
      <c r="W74" s="23">
        <v>27731.399999999987</v>
      </c>
      <c r="X74" s="23">
        <v>26686.699999999964</v>
      </c>
      <c r="Y74" s="23">
        <v>28556.900000000023</v>
      </c>
      <c r="Z74" s="23">
        <v>21347.299999999988</v>
      </c>
      <c r="AA74" s="23">
        <v>30108.343666834706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212007.3</v>
      </c>
      <c r="E75" s="30">
        <f t="shared" ref="E75:Y75" si="6">SUM(E56:E74)</f>
        <v>213133.6</v>
      </c>
      <c r="F75" s="30">
        <f t="shared" si="6"/>
        <v>212440.2</v>
      </c>
      <c r="G75" s="30">
        <f t="shared" si="6"/>
        <v>210775.2</v>
      </c>
      <c r="H75" s="30">
        <f t="shared" si="6"/>
        <v>213153.6</v>
      </c>
      <c r="I75" s="30">
        <f t="shared" si="6"/>
        <v>214005.1</v>
      </c>
      <c r="J75" s="30">
        <f t="shared" si="6"/>
        <v>214859.00000000003</v>
      </c>
      <c r="K75" s="30">
        <f t="shared" si="6"/>
        <v>224404.6</v>
      </c>
      <c r="L75" s="30">
        <f t="shared" si="6"/>
        <v>220252.7</v>
      </c>
      <c r="M75" s="30">
        <f t="shared" si="6"/>
        <v>203682.8</v>
      </c>
      <c r="N75" s="30">
        <f t="shared" si="6"/>
        <v>205147.29999999996</v>
      </c>
      <c r="O75" s="30">
        <f t="shared" si="6"/>
        <v>212674.5</v>
      </c>
      <c r="P75" s="30">
        <f t="shared" si="6"/>
        <v>213988.40000000002</v>
      </c>
      <c r="Q75" s="30">
        <f t="shared" si="6"/>
        <v>217407.1</v>
      </c>
      <c r="R75" s="30">
        <f t="shared" si="6"/>
        <v>219282.3</v>
      </c>
      <c r="S75" s="30">
        <f t="shared" si="6"/>
        <v>227182.70000000004</v>
      </c>
      <c r="T75" s="30">
        <f t="shared" si="6"/>
        <v>226869.60000000003</v>
      </c>
      <c r="U75" s="30">
        <f t="shared" si="6"/>
        <v>229398.39999999999</v>
      </c>
      <c r="V75" s="30">
        <f t="shared" si="6"/>
        <v>232856.00000000003</v>
      </c>
      <c r="W75" s="30">
        <f t="shared" si="6"/>
        <v>241054.8</v>
      </c>
      <c r="X75" s="30">
        <f t="shared" si="6"/>
        <v>214340.1</v>
      </c>
      <c r="Y75" s="30">
        <f t="shared" si="6"/>
        <v>228132.6</v>
      </c>
      <c r="Z75" s="30">
        <f t="shared" ref="Z75:AA75" si="7">SUM(Z56:Z74)</f>
        <v>246857.9</v>
      </c>
      <c r="AA75" s="30">
        <f t="shared" si="7"/>
        <v>276116.5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2129982.1205957797</v>
      </c>
      <c r="E2" s="19">
        <v>2170447.1371248597</v>
      </c>
      <c r="F2" s="19">
        <v>2193611.1049348298</v>
      </c>
      <c r="G2" s="19">
        <v>2214840.6873487346</v>
      </c>
      <c r="H2" s="19">
        <v>2278364.7041270351</v>
      </c>
      <c r="I2" s="19">
        <v>2321391.2813204429</v>
      </c>
      <c r="J2" s="19">
        <v>2384411.1699537169</v>
      </c>
      <c r="K2" s="19">
        <v>2444748.6903599082</v>
      </c>
      <c r="L2" s="19">
        <v>2454030.0330225378</v>
      </c>
      <c r="M2" s="19">
        <v>2384720.6079538735</v>
      </c>
      <c r="N2" s="19">
        <v>2432414.1809648168</v>
      </c>
      <c r="O2" s="19">
        <v>2491708.8020426128</v>
      </c>
      <c r="P2" s="19">
        <v>2496305.8266142006</v>
      </c>
      <c r="Q2" s="19">
        <v>2515816.4970717174</v>
      </c>
      <c r="R2" s="19">
        <v>2540924.9888488841</v>
      </c>
      <c r="S2" s="19">
        <v>2568023.0224639997</v>
      </c>
      <c r="T2" s="19">
        <v>2590115.4725747886</v>
      </c>
      <c r="U2" s="19">
        <v>2644067.1471510376</v>
      </c>
      <c r="V2" s="19">
        <v>2687584.2877242402</v>
      </c>
      <c r="W2" s="19">
        <v>2742088.6243217904</v>
      </c>
      <c r="X2" s="19">
        <v>2538067.7212515953</v>
      </c>
      <c r="Y2" s="19">
        <v>2712742.8347970401</v>
      </c>
      <c r="Z2" s="19">
        <v>2786422.3685428859</v>
      </c>
      <c r="AA2" s="19">
        <v>2826541.5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1135017.8900281508</v>
      </c>
      <c r="E3" s="23">
        <v>1164161.993715805</v>
      </c>
      <c r="F3" s="23">
        <v>1189186.6013388669</v>
      </c>
      <c r="G3" s="23">
        <v>1208340.1736092037</v>
      </c>
      <c r="H3" s="23">
        <v>1231665.64997063</v>
      </c>
      <c r="I3" s="23">
        <v>1262872.8176020861</v>
      </c>
      <c r="J3" s="23">
        <v>1297610.6727777475</v>
      </c>
      <c r="K3" s="23">
        <v>1333528.0891222043</v>
      </c>
      <c r="L3" s="23">
        <v>1340771.9258613712</v>
      </c>
      <c r="M3" s="23">
        <v>1344517.0976149824</v>
      </c>
      <c r="N3" s="23">
        <v>1371225.8876629802</v>
      </c>
      <c r="O3" s="23">
        <v>1382198.8281840237</v>
      </c>
      <c r="P3" s="23">
        <v>1377245.0295056629</v>
      </c>
      <c r="Q3" s="23">
        <v>1385551.6766091792</v>
      </c>
      <c r="R3" s="23">
        <v>1399684.4651367962</v>
      </c>
      <c r="S3" s="23">
        <v>1422256.0825880002</v>
      </c>
      <c r="T3" s="23">
        <v>1446630.5906544668</v>
      </c>
      <c r="U3" s="23">
        <v>1467892.8511446679</v>
      </c>
      <c r="V3" s="23">
        <v>1483463.5056657305</v>
      </c>
      <c r="W3" s="23">
        <v>1508310.1427007227</v>
      </c>
      <c r="X3" s="23">
        <v>1410958.7170884081</v>
      </c>
      <c r="Y3" s="23">
        <v>1485089.3641056332</v>
      </c>
      <c r="Z3" s="23">
        <v>1534372.6905473799</v>
      </c>
      <c r="AA3" s="23">
        <v>1544768.5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1893734.6494139263</v>
      </c>
      <c r="E4" s="27">
        <v>1929379.1145198983</v>
      </c>
      <c r="F4" s="27">
        <v>1949218.208743708</v>
      </c>
      <c r="G4" s="27">
        <v>1966646.8717161829</v>
      </c>
      <c r="H4" s="27">
        <v>2027103.1728605523</v>
      </c>
      <c r="I4" s="27">
        <v>2062405.5333266491</v>
      </c>
      <c r="J4" s="27">
        <v>2118732.7502515367</v>
      </c>
      <c r="K4" s="27">
        <v>2174871.6607009629</v>
      </c>
      <c r="L4" s="27">
        <v>2188628.9376781313</v>
      </c>
      <c r="M4" s="27">
        <v>2131306.8161644605</v>
      </c>
      <c r="N4" s="27">
        <v>2169554.9493963961</v>
      </c>
      <c r="O4" s="27">
        <v>2224527.6886573979</v>
      </c>
      <c r="P4" s="27">
        <v>2233359.7264827783</v>
      </c>
      <c r="Q4" s="27">
        <v>2251771.8475581929</v>
      </c>
      <c r="R4" s="27">
        <v>2278798.3009287925</v>
      </c>
      <c r="S4" s="27">
        <v>2297464.3890539999</v>
      </c>
      <c r="T4" s="27">
        <v>2313081.0654017967</v>
      </c>
      <c r="U4" s="27">
        <v>2358304.520248245</v>
      </c>
      <c r="V4" s="27">
        <v>2396586.3487393549</v>
      </c>
      <c r="W4" s="27">
        <v>2447055.8733680244</v>
      </c>
      <c r="X4" s="27">
        <v>2268494.318477524</v>
      </c>
      <c r="Y4" s="27">
        <v>2416905.6762057426</v>
      </c>
      <c r="Z4" s="27">
        <v>2488782.2596688149</v>
      </c>
      <c r="AA4" s="27">
        <v>2538450.4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41975.530604446081</v>
      </c>
      <c r="E6" s="19">
        <v>43024.983858791391</v>
      </c>
      <c r="F6" s="19">
        <v>41319.834137069236</v>
      </c>
      <c r="G6" s="19">
        <v>38204.661996247392</v>
      </c>
      <c r="H6" s="19">
        <v>38861.146580293214</v>
      </c>
      <c r="I6" s="19">
        <v>36410.420693803884</v>
      </c>
      <c r="J6" s="19">
        <v>33839.173951928453</v>
      </c>
      <c r="K6" s="19">
        <v>36819.465944825082</v>
      </c>
      <c r="L6" s="19">
        <v>34607.547241840446</v>
      </c>
      <c r="M6" s="19">
        <v>29163.021421195903</v>
      </c>
      <c r="N6" s="19">
        <v>36258.581324934166</v>
      </c>
      <c r="O6" s="19">
        <v>38556.001573361849</v>
      </c>
      <c r="P6" s="19">
        <v>38124.943218522218</v>
      </c>
      <c r="Q6" s="19">
        <v>34313.059151072572</v>
      </c>
      <c r="R6" s="19">
        <v>37325.069349845195</v>
      </c>
      <c r="S6" s="19">
        <v>38792.889594000007</v>
      </c>
      <c r="T6" s="19">
        <v>34819.038286356721</v>
      </c>
      <c r="U6" s="19">
        <v>38208.560401713126</v>
      </c>
      <c r="V6" s="19">
        <v>41512.493237602263</v>
      </c>
      <c r="W6" s="19">
        <v>38972.396947691355</v>
      </c>
      <c r="X6" s="19">
        <v>37346.217963632254</v>
      </c>
      <c r="Y6" s="19">
        <v>40088.206186450938</v>
      </c>
      <c r="Z6" s="19">
        <v>47969.548349904515</v>
      </c>
      <c r="AA6" s="19">
        <v>41967.3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356033.58569906303</v>
      </c>
      <c r="E7" s="23">
        <v>351413.11418197508</v>
      </c>
      <c r="F7" s="23">
        <v>345096.6596008307</v>
      </c>
      <c r="G7" s="23">
        <v>336178.28019983188</v>
      </c>
      <c r="H7" s="23">
        <v>338340.33005114214</v>
      </c>
      <c r="I7" s="23">
        <v>334486.40298776818</v>
      </c>
      <c r="J7" s="23">
        <v>331396.00581330346</v>
      </c>
      <c r="K7" s="23">
        <v>329243.11363767547</v>
      </c>
      <c r="L7" s="23">
        <v>316599.04159179243</v>
      </c>
      <c r="M7" s="23">
        <v>294189.87515253917</v>
      </c>
      <c r="N7" s="23">
        <v>294731.39666029846</v>
      </c>
      <c r="O7" s="23">
        <v>305094.19544239232</v>
      </c>
      <c r="P7" s="23">
        <v>305725.28848281916</v>
      </c>
      <c r="Q7" s="23">
        <v>309592.43348242814</v>
      </c>
      <c r="R7" s="23">
        <v>311716.94117647054</v>
      </c>
      <c r="S7" s="23">
        <v>317607.86917799996</v>
      </c>
      <c r="T7" s="23">
        <v>314764.7404244311</v>
      </c>
      <c r="U7" s="23">
        <v>314761.47155490337</v>
      </c>
      <c r="V7" s="23">
        <v>319699.26411754882</v>
      </c>
      <c r="W7" s="23">
        <v>327792.46566929435</v>
      </c>
      <c r="X7" s="23">
        <v>288161.38773435733</v>
      </c>
      <c r="Y7" s="23">
        <v>303107.2172974585</v>
      </c>
      <c r="Z7" s="23">
        <v>302174.33142488269</v>
      </c>
      <c r="AA7" s="23">
        <v>368255.6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90874.564100679767</v>
      </c>
      <c r="E8" s="23">
        <v>94768.579882805498</v>
      </c>
      <c r="F8" s="23">
        <v>96887.090316449016</v>
      </c>
      <c r="G8" s="23">
        <v>99866.192124135225</v>
      </c>
      <c r="H8" s="23">
        <v>106000.05676099558</v>
      </c>
      <c r="I8" s="23">
        <v>110784.52791257267</v>
      </c>
      <c r="J8" s="23">
        <v>119588.35673560647</v>
      </c>
      <c r="K8" s="23">
        <v>129538.88413480551</v>
      </c>
      <c r="L8" s="23">
        <v>137429.94819048018</v>
      </c>
      <c r="M8" s="23">
        <v>132218.58912982259</v>
      </c>
      <c r="N8" s="23">
        <v>130322.33636598337</v>
      </c>
      <c r="O8" s="23">
        <v>134303.93777508123</v>
      </c>
      <c r="P8" s="23">
        <v>130714.56959921599</v>
      </c>
      <c r="Q8" s="23">
        <v>133245.54966681881</v>
      </c>
      <c r="R8" s="23">
        <v>131154.61486068109</v>
      </c>
      <c r="S8" s="23">
        <v>127092.08955599999</v>
      </c>
      <c r="T8" s="23">
        <v>126160.62525494721</v>
      </c>
      <c r="U8" s="23">
        <v>131194.18420113414</v>
      </c>
      <c r="V8" s="23">
        <v>133770.42087159789</v>
      </c>
      <c r="W8" s="23">
        <v>140086.22189041201</v>
      </c>
      <c r="X8" s="23">
        <v>127962.76999096452</v>
      </c>
      <c r="Y8" s="23">
        <v>137614.56246376946</v>
      </c>
      <c r="Z8" s="23">
        <v>137572.0788369987</v>
      </c>
      <c r="AA8" s="23">
        <v>143658.9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325876.04044828221</v>
      </c>
      <c r="E9" s="23">
        <v>339361.59655606287</v>
      </c>
      <c r="F9" s="23">
        <v>344378.15542961739</v>
      </c>
      <c r="G9" s="23">
        <v>352496.25987821294</v>
      </c>
      <c r="H9" s="23">
        <v>358466.31277190585</v>
      </c>
      <c r="I9" s="23">
        <v>359487.88574293157</v>
      </c>
      <c r="J9" s="23">
        <v>362218.62124091666</v>
      </c>
      <c r="K9" s="23">
        <v>371029.37362463528</v>
      </c>
      <c r="L9" s="23">
        <v>379969.90884073725</v>
      </c>
      <c r="M9" s="23">
        <v>369891.05292405898</v>
      </c>
      <c r="N9" s="23">
        <v>372618.59623896313</v>
      </c>
      <c r="O9" s="23">
        <v>377806.39254864055</v>
      </c>
      <c r="P9" s="23">
        <v>380051.58578574489</v>
      </c>
      <c r="Q9" s="23">
        <v>379133.71726152441</v>
      </c>
      <c r="R9" s="23">
        <v>382406.29071207426</v>
      </c>
      <c r="S9" s="23">
        <v>390248.478756</v>
      </c>
      <c r="T9" s="23">
        <v>391977.29350220377</v>
      </c>
      <c r="U9" s="23">
        <v>398565.68682238169</v>
      </c>
      <c r="V9" s="23">
        <v>399196.90308899648</v>
      </c>
      <c r="W9" s="23">
        <v>415214.22727078554</v>
      </c>
      <c r="X9" s="23">
        <v>357503.42742828093</v>
      </c>
      <c r="Y9" s="23">
        <v>403394.90652103</v>
      </c>
      <c r="Z9" s="23">
        <v>444259.84510529949</v>
      </c>
      <c r="AA9" s="23">
        <v>420557.7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99656.124328495323</v>
      </c>
      <c r="E10" s="23">
        <v>104593.85372973362</v>
      </c>
      <c r="F10" s="23">
        <v>109899.78528635291</v>
      </c>
      <c r="G10" s="23">
        <v>109380.66284346112</v>
      </c>
      <c r="H10" s="23">
        <v>112825.08542107057</v>
      </c>
      <c r="I10" s="23">
        <v>112055.65476238218</v>
      </c>
      <c r="J10" s="23">
        <v>115673.92118501956</v>
      </c>
      <c r="K10" s="23">
        <v>116787.86900819822</v>
      </c>
      <c r="L10" s="23">
        <v>116717.89912031427</v>
      </c>
      <c r="M10" s="23">
        <v>114035.21742232236</v>
      </c>
      <c r="N10" s="23">
        <v>113322.42365260495</v>
      </c>
      <c r="O10" s="23">
        <v>114310.47287030563</v>
      </c>
      <c r="P10" s="23">
        <v>113322.58643908612</v>
      </c>
      <c r="Q10" s="23">
        <v>112337.84012779553</v>
      </c>
      <c r="R10" s="23">
        <v>112364.84829721361</v>
      </c>
      <c r="S10" s="23">
        <v>114815.83345199999</v>
      </c>
      <c r="T10" s="23">
        <v>118495.43226711503</v>
      </c>
      <c r="U10" s="23">
        <v>124141.71542610142</v>
      </c>
      <c r="V10" s="23">
        <v>129204.88692603103</v>
      </c>
      <c r="W10" s="23">
        <v>133334.74143916741</v>
      </c>
      <c r="X10" s="23">
        <v>127331.26770386264</v>
      </c>
      <c r="Y10" s="23">
        <v>136360.98000167756</v>
      </c>
      <c r="Z10" s="23">
        <v>138352.98554765596</v>
      </c>
      <c r="AA10" s="23">
        <v>137245.6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75157.586676465187</v>
      </c>
      <c r="E11" s="23">
        <v>68666.672078225543</v>
      </c>
      <c r="F11" s="23">
        <v>69485.060135872438</v>
      </c>
      <c r="G11" s="23">
        <v>68424.701810689163</v>
      </c>
      <c r="H11" s="23">
        <v>73794.248816911015</v>
      </c>
      <c r="I11" s="23">
        <v>76256.905113294561</v>
      </c>
      <c r="J11" s="23">
        <v>79711.826830631631</v>
      </c>
      <c r="K11" s="23">
        <v>82089.333980354219</v>
      </c>
      <c r="L11" s="23">
        <v>76832.793062810815</v>
      </c>
      <c r="M11" s="23">
        <v>81488.89631089833</v>
      </c>
      <c r="N11" s="23">
        <v>95341.45348272835</v>
      </c>
      <c r="O11" s="23">
        <v>92114.272736621278</v>
      </c>
      <c r="P11" s="23">
        <v>91168.769025500704</v>
      </c>
      <c r="Q11" s="23">
        <v>96129.937398448208</v>
      </c>
      <c r="R11" s="23">
        <v>98393.885758513919</v>
      </c>
      <c r="S11" s="23">
        <v>97911.076734000002</v>
      </c>
      <c r="T11" s="23">
        <v>95157.042944553337</v>
      </c>
      <c r="U11" s="23">
        <v>87471.736057025017</v>
      </c>
      <c r="V11" s="23">
        <v>93308.776289864734</v>
      </c>
      <c r="W11" s="23">
        <v>89147.577360102514</v>
      </c>
      <c r="X11" s="23">
        <v>88042.890653941693</v>
      </c>
      <c r="Y11" s="23">
        <v>93073.009222825931</v>
      </c>
      <c r="Z11" s="23">
        <v>92401.795244712615</v>
      </c>
      <c r="AA11" s="23">
        <v>73494.2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226937.35822156898</v>
      </c>
      <c r="E12" s="23">
        <v>236055.29032605962</v>
      </c>
      <c r="F12" s="23">
        <v>235593.18608891548</v>
      </c>
      <c r="G12" s="23">
        <v>242386.9628238923</v>
      </c>
      <c r="H12" s="23">
        <v>258585.35286055232</v>
      </c>
      <c r="I12" s="23">
        <v>273368.3888710647</v>
      </c>
      <c r="J12" s="23">
        <v>291864.75394074904</v>
      </c>
      <c r="K12" s="23">
        <v>305908.99020917731</v>
      </c>
      <c r="L12" s="23">
        <v>311417.7233503281</v>
      </c>
      <c r="M12" s="23">
        <v>297545.67132263212</v>
      </c>
      <c r="N12" s="23">
        <v>297621.55852326122</v>
      </c>
      <c r="O12" s="23">
        <v>304275.02427913289</v>
      </c>
      <c r="P12" s="23">
        <v>309265.22848159412</v>
      </c>
      <c r="Q12" s="23">
        <v>311793.15742583293</v>
      </c>
      <c r="R12" s="23">
        <v>316320.05572755414</v>
      </c>
      <c r="S12" s="23">
        <v>318845.24566200003</v>
      </c>
      <c r="T12" s="23">
        <v>325288.20223259146</v>
      </c>
      <c r="U12" s="23">
        <v>332628.74050640437</v>
      </c>
      <c r="V12" s="23">
        <v>336141.26418433787</v>
      </c>
      <c r="W12" s="23">
        <v>341960.69850879582</v>
      </c>
      <c r="X12" s="23">
        <v>335172.29318951879</v>
      </c>
      <c r="Y12" s="23">
        <v>338751.6882841406</v>
      </c>
      <c r="Z12" s="23">
        <v>341922.39893848787</v>
      </c>
      <c r="AA12" s="23">
        <v>369571.5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233226.81914385449</v>
      </c>
      <c r="E13" s="23">
        <v>240541.06199805878</v>
      </c>
      <c r="F13" s="23">
        <v>242523.00411841317</v>
      </c>
      <c r="G13" s="23">
        <v>246017.58750129494</v>
      </c>
      <c r="H13" s="23">
        <v>253120.90786907601</v>
      </c>
      <c r="I13" s="23">
        <v>262038.70052135549</v>
      </c>
      <c r="J13" s="23">
        <v>276663.65735047508</v>
      </c>
      <c r="K13" s="23">
        <v>288486.06447192619</v>
      </c>
      <c r="L13" s="23">
        <v>293925.20310710859</v>
      </c>
      <c r="M13" s="23">
        <v>274916.14166901342</v>
      </c>
      <c r="N13" s="23">
        <v>284296.43578664737</v>
      </c>
      <c r="O13" s="23">
        <v>299096.30059438111</v>
      </c>
      <c r="P13" s="23">
        <v>298163.25497049751</v>
      </c>
      <c r="Q13" s="23">
        <v>299373.10546782293</v>
      </c>
      <c r="R13" s="23">
        <v>304706.3811145511</v>
      </c>
      <c r="S13" s="23">
        <v>310102.50925800001</v>
      </c>
      <c r="T13" s="23">
        <v>319222.55771607091</v>
      </c>
      <c r="U13" s="23">
        <v>331873.62510607921</v>
      </c>
      <c r="V13" s="23">
        <v>342529.92673234257</v>
      </c>
      <c r="W13" s="23">
        <v>354301.05488718883</v>
      </c>
      <c r="X13" s="23">
        <v>323564.12293878465</v>
      </c>
      <c r="Y13" s="23">
        <v>349113.81380441569</v>
      </c>
      <c r="Z13" s="23">
        <v>361199.29964407062</v>
      </c>
      <c r="AA13" s="23">
        <v>367139.6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388524.03792026459</v>
      </c>
      <c r="E14" s="23">
        <v>394362.82257612271</v>
      </c>
      <c r="F14" s="23">
        <v>405397.24249357596</v>
      </c>
      <c r="G14" s="23">
        <v>413863.82704637799</v>
      </c>
      <c r="H14" s="23">
        <v>425173.93857483793</v>
      </c>
      <c r="I14" s="23">
        <v>434896.28496089781</v>
      </c>
      <c r="J14" s="23">
        <v>443214.06539966457</v>
      </c>
      <c r="K14" s="23">
        <v>450092.70753230643</v>
      </c>
      <c r="L14" s="23">
        <v>455985.3916837314</v>
      </c>
      <c r="M14" s="23">
        <v>472486.39506242378</v>
      </c>
      <c r="N14" s="23">
        <v>478643.11913047964</v>
      </c>
      <c r="O14" s="23">
        <v>491746.14738184388</v>
      </c>
      <c r="P14" s="23">
        <v>498712.3175156698</v>
      </c>
      <c r="Q14" s="23">
        <v>507204.34433591977</v>
      </c>
      <c r="R14" s="23">
        <v>514630.34117647045</v>
      </c>
      <c r="S14" s="23">
        <v>513204.18210000003</v>
      </c>
      <c r="T14" s="23">
        <v>517554.20832943637</v>
      </c>
      <c r="U14" s="23">
        <v>527846.11417496181</v>
      </c>
      <c r="V14" s="23">
        <v>529038.23893805279</v>
      </c>
      <c r="W14" s="23">
        <v>532139.38271717576</v>
      </c>
      <c r="X14" s="23">
        <v>520190.55025412241</v>
      </c>
      <c r="Y14" s="23">
        <v>548288.91977930802</v>
      </c>
      <c r="Z14" s="23">
        <v>547538.11994369654</v>
      </c>
      <c r="AA14" s="23">
        <v>540282.89999999991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55473.002270806544</v>
      </c>
      <c r="E15" s="23">
        <v>56591.13933206314</v>
      </c>
      <c r="F15" s="23">
        <v>58638.191136611633</v>
      </c>
      <c r="G15" s="23">
        <v>59827.735492040098</v>
      </c>
      <c r="H15" s="23">
        <v>61935.793153767467</v>
      </c>
      <c r="I15" s="23">
        <v>62620.361760577493</v>
      </c>
      <c r="J15" s="23">
        <v>64562.367803242028</v>
      </c>
      <c r="K15" s="23">
        <v>64875.858157059331</v>
      </c>
      <c r="L15" s="23">
        <v>65143.481488988262</v>
      </c>
      <c r="M15" s="23">
        <v>65371.955749554116</v>
      </c>
      <c r="N15" s="23">
        <v>66399.048230495173</v>
      </c>
      <c r="O15" s="23">
        <v>67224.94345563736</v>
      </c>
      <c r="P15" s="23">
        <v>68111.182964127482</v>
      </c>
      <c r="Q15" s="23">
        <v>68648.703240529445</v>
      </c>
      <c r="R15" s="23">
        <v>69779.87275541795</v>
      </c>
      <c r="S15" s="23">
        <v>68844.214764000004</v>
      </c>
      <c r="T15" s="23">
        <v>69641.924444090691</v>
      </c>
      <c r="U15" s="23">
        <v>71612.685997541339</v>
      </c>
      <c r="V15" s="23">
        <v>72184.174352980452</v>
      </c>
      <c r="W15" s="23">
        <v>74107.106677410586</v>
      </c>
      <c r="X15" s="23">
        <v>63219.390620058715</v>
      </c>
      <c r="Y15" s="23">
        <v>67112.37264466584</v>
      </c>
      <c r="Z15" s="23">
        <v>75391.856633105897</v>
      </c>
      <c r="AA15" s="23">
        <v>76277.100000000006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1893734.6494139263</v>
      </c>
      <c r="E16" s="30">
        <f t="shared" ref="E16:S16" si="0">SUM(E6:E15)</f>
        <v>1929379.1145198983</v>
      </c>
      <c r="F16" s="30">
        <f t="shared" si="0"/>
        <v>1949218.208743708</v>
      </c>
      <c r="G16" s="30">
        <f t="shared" si="0"/>
        <v>1966646.8717161831</v>
      </c>
      <c r="H16" s="30">
        <f t="shared" si="0"/>
        <v>2027103.1728605521</v>
      </c>
      <c r="I16" s="30">
        <f t="shared" si="0"/>
        <v>2062405.5333266486</v>
      </c>
      <c r="J16" s="30">
        <f t="shared" si="0"/>
        <v>2118732.7502515367</v>
      </c>
      <c r="K16" s="30">
        <f t="shared" si="0"/>
        <v>2174871.6607009629</v>
      </c>
      <c r="L16" s="30">
        <f t="shared" si="0"/>
        <v>2188628.9376781317</v>
      </c>
      <c r="M16" s="30">
        <f t="shared" si="0"/>
        <v>2131306.816164461</v>
      </c>
      <c r="N16" s="30">
        <f t="shared" si="0"/>
        <v>2169554.9493963956</v>
      </c>
      <c r="O16" s="30">
        <f t="shared" si="0"/>
        <v>2224527.6886573983</v>
      </c>
      <c r="P16" s="30">
        <f t="shared" si="0"/>
        <v>2233359.7264827779</v>
      </c>
      <c r="Q16" s="30">
        <f t="shared" si="0"/>
        <v>2251771.8475581929</v>
      </c>
      <c r="R16" s="30">
        <f t="shared" si="0"/>
        <v>2278798.3009287925</v>
      </c>
      <c r="S16" s="30">
        <f t="shared" si="0"/>
        <v>2297464.3890539999</v>
      </c>
      <c r="T16" s="30">
        <f t="shared" ref="T16:Y16" si="1">SUM(T6:T15)</f>
        <v>2313081.0654017963</v>
      </c>
      <c r="U16" s="30">
        <f t="shared" si="1"/>
        <v>2358304.5202482459</v>
      </c>
      <c r="V16" s="30">
        <f t="shared" si="1"/>
        <v>2396586.3487393549</v>
      </c>
      <c r="W16" s="30">
        <f t="shared" si="1"/>
        <v>2447055.8733680244</v>
      </c>
      <c r="X16" s="30">
        <f t="shared" si="1"/>
        <v>2268494.318477524</v>
      </c>
      <c r="Y16" s="30">
        <f t="shared" si="1"/>
        <v>2416905.6762057422</v>
      </c>
      <c r="Z16" s="30">
        <f t="shared" ref="Z16:AA16" si="2">SUM(Z6:Z15)</f>
        <v>2488782.2596688149</v>
      </c>
      <c r="AA16" s="30">
        <f t="shared" si="2"/>
        <v>2538450.4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41975.530604446081</v>
      </c>
      <c r="E18" s="19">
        <v>43024.983858791391</v>
      </c>
      <c r="F18" s="19">
        <v>41319.834137069236</v>
      </c>
      <c r="G18" s="19">
        <v>38204.661996247392</v>
      </c>
      <c r="H18" s="19">
        <v>38861.146580293214</v>
      </c>
      <c r="I18" s="19">
        <v>36410.420693803884</v>
      </c>
      <c r="J18" s="19">
        <v>33839.173951928453</v>
      </c>
      <c r="K18" s="19">
        <v>36819.465944825082</v>
      </c>
      <c r="L18" s="19">
        <v>34607.547241840446</v>
      </c>
      <c r="M18" s="19">
        <v>29163.021421195903</v>
      </c>
      <c r="N18" s="19">
        <v>36258.581324934166</v>
      </c>
      <c r="O18" s="19">
        <v>38556.001573361849</v>
      </c>
      <c r="P18" s="19">
        <v>38124.943218522218</v>
      </c>
      <c r="Q18" s="19">
        <v>34313.059151072572</v>
      </c>
      <c r="R18" s="19">
        <v>37325.069349845195</v>
      </c>
      <c r="S18" s="19">
        <v>38792.889594000007</v>
      </c>
      <c r="T18" s="19">
        <v>34819.038286356721</v>
      </c>
      <c r="U18" s="19">
        <v>38208.560401713126</v>
      </c>
      <c r="V18" s="19">
        <v>41512.493237602263</v>
      </c>
      <c r="W18" s="19">
        <v>38972.396947691355</v>
      </c>
      <c r="X18" s="19">
        <v>37346.217963632254</v>
      </c>
      <c r="Y18" s="19">
        <v>40088.206186450938</v>
      </c>
      <c r="Z18" s="19">
        <v>47969.548349904515</v>
      </c>
      <c r="AA18" s="19">
        <v>41967.3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2917.7127172515156</v>
      </c>
      <c r="E19" s="23">
        <v>2925.912370133372</v>
      </c>
      <c r="F19" s="23">
        <v>2916.7831532260902</v>
      </c>
      <c r="G19" s="23">
        <v>2628.5334131433233</v>
      </c>
      <c r="H19" s="23">
        <v>2514.4491919536299</v>
      </c>
      <c r="I19" s="23">
        <v>2679.2105674754362</v>
      </c>
      <c r="J19" s="23">
        <v>2838.78144214645</v>
      </c>
      <c r="K19" s="23">
        <v>3080.6173947433108</v>
      </c>
      <c r="L19" s="23">
        <v>3043.0877742488187</v>
      </c>
      <c r="M19" s="23">
        <v>2845.0863606495832</v>
      </c>
      <c r="N19" s="23">
        <v>2873.4599225486663</v>
      </c>
      <c r="O19" s="23">
        <v>2804.9712599234922</v>
      </c>
      <c r="P19" s="23">
        <v>2734.6359521427544</v>
      </c>
      <c r="Q19" s="23">
        <v>2646.2415700593328</v>
      </c>
      <c r="R19" s="23">
        <v>2897.0452012383907</v>
      </c>
      <c r="S19" s="23">
        <v>2488.4651339999982</v>
      </c>
      <c r="T19" s="23">
        <v>2381.7157803623468</v>
      </c>
      <c r="U19" s="23">
        <v>2416.3925189356378</v>
      </c>
      <c r="V19" s="23">
        <v>2467.9806311571219</v>
      </c>
      <c r="W19" s="23">
        <v>2413.1610248145694</v>
      </c>
      <c r="X19" s="23">
        <v>2209.9822396656873</v>
      </c>
      <c r="Y19" s="23">
        <v>2451.2414057912915</v>
      </c>
      <c r="Z19" s="23">
        <v>2059.9469796866338</v>
      </c>
      <c r="AA19" s="23">
        <v>2297.7511491160008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304327.65687304793</v>
      </c>
      <c r="E20" s="23">
        <v>299323.33528417879</v>
      </c>
      <c r="F20" s="23">
        <v>292132.38245626388</v>
      </c>
      <c r="G20" s="23">
        <v>284351.08594845346</v>
      </c>
      <c r="H20" s="23">
        <v>283909.25801568362</v>
      </c>
      <c r="I20" s="23">
        <v>279403.89133747743</v>
      </c>
      <c r="J20" s="23">
        <v>275989.92845164897</v>
      </c>
      <c r="K20" s="23">
        <v>281109.59426659683</v>
      </c>
      <c r="L20" s="23">
        <v>269685.06764386315</v>
      </c>
      <c r="M20" s="23">
        <v>248977.51071059791</v>
      </c>
      <c r="N20" s="23">
        <v>248286.81019672635</v>
      </c>
      <c r="O20" s="23">
        <v>256314.28212537535</v>
      </c>
      <c r="P20" s="23">
        <v>256018.01285448862</v>
      </c>
      <c r="Q20" s="23">
        <v>258427.68198995895</v>
      </c>
      <c r="R20" s="23">
        <v>260015.85417956652</v>
      </c>
      <c r="S20" s="23">
        <v>266253.58074599999</v>
      </c>
      <c r="T20" s="23">
        <v>264534.86066997639</v>
      </c>
      <c r="U20" s="23">
        <v>266536.79743030493</v>
      </c>
      <c r="V20" s="23">
        <v>268042.95608615794</v>
      </c>
      <c r="W20" s="23">
        <v>274272.26564405265</v>
      </c>
      <c r="X20" s="23">
        <v>236430.15435396426</v>
      </c>
      <c r="Y20" s="23">
        <v>249179.25101631889</v>
      </c>
      <c r="Z20" s="23">
        <v>259382.38790198939</v>
      </c>
      <c r="AA20" s="23">
        <v>276116.5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37000.375381223588</v>
      </c>
      <c r="E21" s="23">
        <v>36728.247417047132</v>
      </c>
      <c r="F21" s="23">
        <v>36658.839135485236</v>
      </c>
      <c r="G21" s="23">
        <v>36059.366454479517</v>
      </c>
      <c r="H21" s="23">
        <v>37635.755513126474</v>
      </c>
      <c r="I21" s="23">
        <v>39285.601002606782</v>
      </c>
      <c r="J21" s="23">
        <v>38628.622135271093</v>
      </c>
      <c r="K21" s="23">
        <v>30443.394670628604</v>
      </c>
      <c r="L21" s="23">
        <v>29176.689190939858</v>
      </c>
      <c r="M21" s="23">
        <v>28306.011733783918</v>
      </c>
      <c r="N21" s="23">
        <v>27749.789883823007</v>
      </c>
      <c r="O21" s="23">
        <v>29572.958786146195</v>
      </c>
      <c r="P21" s="23">
        <v>30964.425139345425</v>
      </c>
      <c r="Q21" s="23">
        <v>32738.175737106332</v>
      </c>
      <c r="R21" s="23">
        <v>33363.213003095982</v>
      </c>
      <c r="S21" s="23">
        <v>33649.18657199997</v>
      </c>
      <c r="T21" s="23">
        <v>32691.398619056596</v>
      </c>
      <c r="U21" s="23">
        <v>29863.251334417248</v>
      </c>
      <c r="V21" s="23">
        <v>33208.037702454509</v>
      </c>
      <c r="W21" s="23">
        <v>35649.109323909739</v>
      </c>
      <c r="X21" s="23">
        <v>35564.112994126932</v>
      </c>
      <c r="Y21" s="23">
        <v>34789.889721246211</v>
      </c>
      <c r="Z21" s="23">
        <v>26838.991781367789</v>
      </c>
      <c r="AA21" s="23">
        <v>76684.406720302053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11787.840727539959</v>
      </c>
      <c r="E22" s="23">
        <v>12435.619110615811</v>
      </c>
      <c r="F22" s="23">
        <v>13388.654855855537</v>
      </c>
      <c r="G22" s="23">
        <v>13139.294383755592</v>
      </c>
      <c r="H22" s="23">
        <v>14280.867330378445</v>
      </c>
      <c r="I22" s="23">
        <v>13117.700080208542</v>
      </c>
      <c r="J22" s="23">
        <v>13938.673784236997</v>
      </c>
      <c r="K22" s="23">
        <v>14609.507305706682</v>
      </c>
      <c r="L22" s="23">
        <v>14694.196982740603</v>
      </c>
      <c r="M22" s="23">
        <v>14061.266347507752</v>
      </c>
      <c r="N22" s="23">
        <v>15821.3366572004</v>
      </c>
      <c r="O22" s="23">
        <v>16401.983270947308</v>
      </c>
      <c r="P22" s="23">
        <v>16008.214536842319</v>
      </c>
      <c r="Q22" s="23">
        <v>15780.334185303509</v>
      </c>
      <c r="R22" s="23">
        <v>15440.828792569664</v>
      </c>
      <c r="S22" s="23">
        <v>15216.63672599999</v>
      </c>
      <c r="T22" s="23">
        <v>15156.765355035757</v>
      </c>
      <c r="U22" s="23">
        <v>15945.03027124558</v>
      </c>
      <c r="V22" s="23">
        <v>15980.289697779264</v>
      </c>
      <c r="W22" s="23">
        <v>15457.929676517409</v>
      </c>
      <c r="X22" s="23">
        <v>13957.138146600404</v>
      </c>
      <c r="Y22" s="23">
        <v>16686.835154102078</v>
      </c>
      <c r="Z22" s="23">
        <v>13893.004761838893</v>
      </c>
      <c r="AA22" s="23">
        <v>13156.942130581931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90874.564100679767</v>
      </c>
      <c r="E23" s="23">
        <v>94768.579882805498</v>
      </c>
      <c r="F23" s="23">
        <v>96887.090316449016</v>
      </c>
      <c r="G23" s="23">
        <v>99866.192124135225</v>
      </c>
      <c r="H23" s="23">
        <v>106000.05676099558</v>
      </c>
      <c r="I23" s="23">
        <v>110784.52791257267</v>
      </c>
      <c r="J23" s="23">
        <v>119588.35673560647</v>
      </c>
      <c r="K23" s="23">
        <v>129538.88413480551</v>
      </c>
      <c r="L23" s="23">
        <v>137429.94819048018</v>
      </c>
      <c r="M23" s="23">
        <v>132218.58912982259</v>
      </c>
      <c r="N23" s="23">
        <v>130322.33636598337</v>
      </c>
      <c r="O23" s="23">
        <v>134303.93777508123</v>
      </c>
      <c r="P23" s="23">
        <v>130714.56959921599</v>
      </c>
      <c r="Q23" s="23">
        <v>133245.54966681881</v>
      </c>
      <c r="R23" s="23">
        <v>131154.61486068109</v>
      </c>
      <c r="S23" s="23">
        <v>127092.08955599999</v>
      </c>
      <c r="T23" s="23">
        <v>126160.62525494721</v>
      </c>
      <c r="U23" s="23">
        <v>131194.18420113414</v>
      </c>
      <c r="V23" s="23">
        <v>133770.42087159789</v>
      </c>
      <c r="W23" s="23">
        <v>140086.22189041201</v>
      </c>
      <c r="X23" s="23">
        <v>127962.76999096452</v>
      </c>
      <c r="Y23" s="23">
        <v>137614.56246376946</v>
      </c>
      <c r="Z23" s="23">
        <v>137572.0788369987</v>
      </c>
      <c r="AA23" s="23">
        <v>143658.9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208299.79716332903</v>
      </c>
      <c r="E24" s="23">
        <v>219059.18583599958</v>
      </c>
      <c r="F24" s="23">
        <v>220520.41246083987</v>
      </c>
      <c r="G24" s="23">
        <v>227849.48940637478</v>
      </c>
      <c r="H24" s="23">
        <v>228823.13453801564</v>
      </c>
      <c r="I24" s="23">
        <v>226612.43699619008</v>
      </c>
      <c r="J24" s="23">
        <v>227228.52643935155</v>
      </c>
      <c r="K24" s="23">
        <v>229688.63823765193</v>
      </c>
      <c r="L24" s="23">
        <v>237255.78988674833</v>
      </c>
      <c r="M24" s="23">
        <v>232405.96752088616</v>
      </c>
      <c r="N24" s="23">
        <v>227857.55341353844</v>
      </c>
      <c r="O24" s="23">
        <v>232535.05812389456</v>
      </c>
      <c r="P24" s="23">
        <v>232684.41484309599</v>
      </c>
      <c r="Q24" s="23">
        <v>231366.6465540849</v>
      </c>
      <c r="R24" s="23">
        <v>231409.07430340556</v>
      </c>
      <c r="S24" s="23">
        <v>236612.68297200004</v>
      </c>
      <c r="T24" s="23">
        <v>236805.58369730678</v>
      </c>
      <c r="U24" s="23">
        <v>239667.40030733228</v>
      </c>
      <c r="V24" s="23">
        <v>241660.08198363666</v>
      </c>
      <c r="W24" s="23">
        <v>248471.16076074712</v>
      </c>
      <c r="X24" s="23">
        <v>232038.97976056015</v>
      </c>
      <c r="Y24" s="23">
        <v>248542.6840921164</v>
      </c>
      <c r="Z24" s="23">
        <v>265123.92253471876</v>
      </c>
      <c r="AA24" s="23">
        <v>264797.2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79409.270872680514</v>
      </c>
      <c r="E25" s="23">
        <v>82101.657245569266</v>
      </c>
      <c r="F25" s="23">
        <v>84166.747474391916</v>
      </c>
      <c r="G25" s="23">
        <v>84477.723594212221</v>
      </c>
      <c r="H25" s="23">
        <v>88867.890889873859</v>
      </c>
      <c r="I25" s="23">
        <v>90385.265931421687</v>
      </c>
      <c r="J25" s="23">
        <v>91495.852655114591</v>
      </c>
      <c r="K25" s="23">
        <v>95908.518614320681</v>
      </c>
      <c r="L25" s="23">
        <v>97723.976942204026</v>
      </c>
      <c r="M25" s="23">
        <v>93267.737200788499</v>
      </c>
      <c r="N25" s="23">
        <v>98221.206890070724</v>
      </c>
      <c r="O25" s="23">
        <v>96657.738042449913</v>
      </c>
      <c r="P25" s="23">
        <v>98404.660979195149</v>
      </c>
      <c r="Q25" s="23">
        <v>98355.148169785491</v>
      </c>
      <c r="R25" s="23">
        <v>102040.44891640866</v>
      </c>
      <c r="S25" s="23">
        <v>104083.07500800001</v>
      </c>
      <c r="T25" s="23">
        <v>103703.98148859329</v>
      </c>
      <c r="U25" s="23">
        <v>106898.50014672641</v>
      </c>
      <c r="V25" s="23">
        <v>103444.18797795958</v>
      </c>
      <c r="W25" s="23">
        <v>108672.68861015106</v>
      </c>
      <c r="X25" s="23">
        <v>93682.068195166008</v>
      </c>
      <c r="Y25" s="23">
        <v>119513.4739578188</v>
      </c>
      <c r="Z25" s="23">
        <v>135071.74836245616</v>
      </c>
      <c r="AA25" s="23">
        <v>106500.1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38166.972412272647</v>
      </c>
      <c r="E26" s="23">
        <v>38200.75347449402</v>
      </c>
      <c r="F26" s="23">
        <v>39690.995494385585</v>
      </c>
      <c r="G26" s="23">
        <v>40169.046877625951</v>
      </c>
      <c r="H26" s="23">
        <v>40775.287344016368</v>
      </c>
      <c r="I26" s="23">
        <v>42490.182815319829</v>
      </c>
      <c r="J26" s="23">
        <v>43494.242146450531</v>
      </c>
      <c r="K26" s="23">
        <v>45432.21677266265</v>
      </c>
      <c r="L26" s="23">
        <v>44990.142011784868</v>
      </c>
      <c r="M26" s="23">
        <v>44217.348202384295</v>
      </c>
      <c r="N26" s="23">
        <v>46539.835935353949</v>
      </c>
      <c r="O26" s="23">
        <v>48613.596382296077</v>
      </c>
      <c r="P26" s="23">
        <v>48962.509963453718</v>
      </c>
      <c r="Q26" s="23">
        <v>49411.922537654034</v>
      </c>
      <c r="R26" s="23">
        <v>48956.767492260064</v>
      </c>
      <c r="S26" s="23">
        <v>49552.720775999995</v>
      </c>
      <c r="T26" s="23">
        <v>51467.728316303685</v>
      </c>
      <c r="U26" s="23">
        <v>51999.786368322959</v>
      </c>
      <c r="V26" s="23">
        <v>54092.633127400222</v>
      </c>
      <c r="W26" s="23">
        <v>58070.377899887382</v>
      </c>
      <c r="X26" s="23">
        <v>31782.379472554774</v>
      </c>
      <c r="Y26" s="23">
        <v>35338.74847109479</v>
      </c>
      <c r="Z26" s="23">
        <v>44064.17420812451</v>
      </c>
      <c r="AA26" s="23">
        <v>49260.4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99656.124328495323</v>
      </c>
      <c r="E27" s="23">
        <v>104593.85372973362</v>
      </c>
      <c r="F27" s="23">
        <v>109899.78528635291</v>
      </c>
      <c r="G27" s="23">
        <v>109380.66284346112</v>
      </c>
      <c r="H27" s="23">
        <v>112825.08542107057</v>
      </c>
      <c r="I27" s="23">
        <v>112055.65476238218</v>
      </c>
      <c r="J27" s="23">
        <v>115673.92118501956</v>
      </c>
      <c r="K27" s="23">
        <v>116787.86900819822</v>
      </c>
      <c r="L27" s="23">
        <v>116717.89912031427</v>
      </c>
      <c r="M27" s="23">
        <v>114035.21742232236</v>
      </c>
      <c r="N27" s="23">
        <v>113322.42365260495</v>
      </c>
      <c r="O27" s="23">
        <v>114310.47287030563</v>
      </c>
      <c r="P27" s="23">
        <v>113322.58643908612</v>
      </c>
      <c r="Q27" s="23">
        <v>112337.84012779553</v>
      </c>
      <c r="R27" s="23">
        <v>112364.84829721361</v>
      </c>
      <c r="S27" s="23">
        <v>114815.83345199999</v>
      </c>
      <c r="T27" s="23">
        <v>118495.43226711503</v>
      </c>
      <c r="U27" s="23">
        <v>124141.71542610142</v>
      </c>
      <c r="V27" s="23">
        <v>129204.88692603103</v>
      </c>
      <c r="W27" s="23">
        <v>133334.74143916741</v>
      </c>
      <c r="X27" s="23">
        <v>127331.26770386264</v>
      </c>
      <c r="Y27" s="23">
        <v>136360.98000167756</v>
      </c>
      <c r="Z27" s="23">
        <v>138352.98554765596</v>
      </c>
      <c r="AA27" s="23">
        <v>137245.6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75157.586676465187</v>
      </c>
      <c r="E28" s="23">
        <v>68666.672078225543</v>
      </c>
      <c r="F28" s="23">
        <v>69485.060135872438</v>
      </c>
      <c r="G28" s="23">
        <v>68424.701810689163</v>
      </c>
      <c r="H28" s="23">
        <v>73794.248816911015</v>
      </c>
      <c r="I28" s="23">
        <v>76256.905113294561</v>
      </c>
      <c r="J28" s="23">
        <v>79711.826830631631</v>
      </c>
      <c r="K28" s="23">
        <v>82089.333980354219</v>
      </c>
      <c r="L28" s="23">
        <v>76832.793062810815</v>
      </c>
      <c r="M28" s="23">
        <v>81488.89631089833</v>
      </c>
      <c r="N28" s="23">
        <v>95341.45348272835</v>
      </c>
      <c r="O28" s="23">
        <v>92114.272736621278</v>
      </c>
      <c r="P28" s="23">
        <v>91168.769025500704</v>
      </c>
      <c r="Q28" s="23">
        <v>96129.937398448208</v>
      </c>
      <c r="R28" s="23">
        <v>98393.885758513919</v>
      </c>
      <c r="S28" s="23">
        <v>97911.076734000002</v>
      </c>
      <c r="T28" s="23">
        <v>95157.042944553337</v>
      </c>
      <c r="U28" s="23">
        <v>87471.736057025017</v>
      </c>
      <c r="V28" s="23">
        <v>93308.776289864734</v>
      </c>
      <c r="W28" s="23">
        <v>89147.577360102514</v>
      </c>
      <c r="X28" s="23">
        <v>88042.890653941693</v>
      </c>
      <c r="Y28" s="23">
        <v>93073.009222825931</v>
      </c>
      <c r="Z28" s="23">
        <v>92401.795244712615</v>
      </c>
      <c r="AA28" s="23">
        <v>73494.2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226937.35822156898</v>
      </c>
      <c r="E29" s="23">
        <v>236055.29032605962</v>
      </c>
      <c r="F29" s="23">
        <v>235593.18608891548</v>
      </c>
      <c r="G29" s="23">
        <v>242386.9628238923</v>
      </c>
      <c r="H29" s="23">
        <v>258585.35286055232</v>
      </c>
      <c r="I29" s="23">
        <v>273368.3888710647</v>
      </c>
      <c r="J29" s="23">
        <v>291864.75394074904</v>
      </c>
      <c r="K29" s="23">
        <v>305908.99020917731</v>
      </c>
      <c r="L29" s="23">
        <v>311417.7233503281</v>
      </c>
      <c r="M29" s="23">
        <v>297545.67132263212</v>
      </c>
      <c r="N29" s="23">
        <v>297621.55852326122</v>
      </c>
      <c r="O29" s="23">
        <v>304275.02427913289</v>
      </c>
      <c r="P29" s="23">
        <v>309265.22848159412</v>
      </c>
      <c r="Q29" s="23">
        <v>311793.15742583293</v>
      </c>
      <c r="R29" s="23">
        <v>316320.05572755414</v>
      </c>
      <c r="S29" s="23">
        <v>318845.24566200003</v>
      </c>
      <c r="T29" s="23">
        <v>325288.20223259146</v>
      </c>
      <c r="U29" s="23">
        <v>332628.74050640437</v>
      </c>
      <c r="V29" s="23">
        <v>336141.26418433787</v>
      </c>
      <c r="W29" s="23">
        <v>341960.69850879582</v>
      </c>
      <c r="X29" s="23">
        <v>335172.29318951879</v>
      </c>
      <c r="Y29" s="23">
        <v>338751.6882841406</v>
      </c>
      <c r="Z29" s="23">
        <v>341922.39893848787</v>
      </c>
      <c r="AA29" s="23">
        <v>369571.5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125978.84249862209</v>
      </c>
      <c r="E30" s="23">
        <v>131291.50504367833</v>
      </c>
      <c r="F30" s="23">
        <v>135813.23983948751</v>
      </c>
      <c r="G30" s="23">
        <v>139365.01964246656</v>
      </c>
      <c r="H30" s="23">
        <v>145503.20170473916</v>
      </c>
      <c r="I30" s="23">
        <v>151468.81235211549</v>
      </c>
      <c r="J30" s="23">
        <v>160495.32576858581</v>
      </c>
      <c r="K30" s="23">
        <v>166730.02346163301</v>
      </c>
      <c r="L30" s="23">
        <v>170985.0937335451</v>
      </c>
      <c r="M30" s="23">
        <v>164862.33382145874</v>
      </c>
      <c r="N30" s="23">
        <v>170094.98174833477</v>
      </c>
      <c r="O30" s="23">
        <v>179404.75176874665</v>
      </c>
      <c r="P30" s="23">
        <v>180241.90505726941</v>
      </c>
      <c r="Q30" s="23">
        <v>181650.18395253312</v>
      </c>
      <c r="R30" s="23">
        <v>184673.94396284831</v>
      </c>
      <c r="S30" s="23">
        <v>187552.66258799998</v>
      </c>
      <c r="T30" s="23">
        <v>191309.751758514</v>
      </c>
      <c r="U30" s="23">
        <v>197798.05810564302</v>
      </c>
      <c r="V30" s="23">
        <v>202729.98974787106</v>
      </c>
      <c r="W30" s="23">
        <v>211157.90446390433</v>
      </c>
      <c r="X30" s="23">
        <v>195594.73458323919</v>
      </c>
      <c r="Y30" s="23">
        <v>209937.65262490796</v>
      </c>
      <c r="Z30" s="23">
        <v>214621.57597970215</v>
      </c>
      <c r="AA30" s="23">
        <v>211087.89999999997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107247.9766452324</v>
      </c>
      <c r="E31" s="23">
        <v>109249.55695438043</v>
      </c>
      <c r="F31" s="23">
        <v>106709.76427892568</v>
      </c>
      <c r="G31" s="23">
        <v>106652.56785882838</v>
      </c>
      <c r="H31" s="23">
        <v>107617.70616433687</v>
      </c>
      <c r="I31" s="23">
        <v>110569.88816924002</v>
      </c>
      <c r="J31" s="23">
        <v>116168.3315818893</v>
      </c>
      <c r="K31" s="23">
        <v>121756.04101029319</v>
      </c>
      <c r="L31" s="23">
        <v>122940.10937356348</v>
      </c>
      <c r="M31" s="23">
        <v>110053.80784755468</v>
      </c>
      <c r="N31" s="23">
        <v>114201.4540383126</v>
      </c>
      <c r="O31" s="23">
        <v>119691.54882563448</v>
      </c>
      <c r="P31" s="23">
        <v>117921.34991322811</v>
      </c>
      <c r="Q31" s="23">
        <v>117722.92151528984</v>
      </c>
      <c r="R31" s="23">
        <v>120032.43715170278</v>
      </c>
      <c r="S31" s="23">
        <v>122549.84667</v>
      </c>
      <c r="T31" s="23">
        <v>127912.80595755688</v>
      </c>
      <c r="U31" s="23">
        <v>134075.56700043619</v>
      </c>
      <c r="V31" s="23">
        <v>139799.93698447151</v>
      </c>
      <c r="W31" s="23">
        <v>143143.15042328453</v>
      </c>
      <c r="X31" s="23">
        <v>127969.3883555455</v>
      </c>
      <c r="Y31" s="23">
        <v>139176.16117950773</v>
      </c>
      <c r="Z31" s="23">
        <v>146577.7236643685</v>
      </c>
      <c r="AA31" s="23">
        <v>156051.70000000001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154843.61392614368</v>
      </c>
      <c r="E32" s="23">
        <v>154887.97574145324</v>
      </c>
      <c r="F32" s="23">
        <v>155608.06413460523</v>
      </c>
      <c r="G32" s="23">
        <v>157430.04857665786</v>
      </c>
      <c r="H32" s="23">
        <v>161361.2272553698</v>
      </c>
      <c r="I32" s="23">
        <v>165264.3771205128</v>
      </c>
      <c r="J32" s="23">
        <v>166632.61710452766</v>
      </c>
      <c r="K32" s="23">
        <v>167293.98489263223</v>
      </c>
      <c r="L32" s="23">
        <v>167571.98176689411</v>
      </c>
      <c r="M32" s="23">
        <v>174285.40653337093</v>
      </c>
      <c r="N32" s="23">
        <v>175258.66499302938</v>
      </c>
      <c r="O32" s="23">
        <v>180262.48917773875</v>
      </c>
      <c r="P32" s="23">
        <v>182961.10731129651</v>
      </c>
      <c r="Q32" s="23">
        <v>185330.22136010969</v>
      </c>
      <c r="R32" s="23">
        <v>186805.93777089773</v>
      </c>
      <c r="S32" s="23">
        <v>183576.13444799997</v>
      </c>
      <c r="T32" s="23">
        <v>184066.54199838801</v>
      </c>
      <c r="U32" s="23">
        <v>187709.67452908796</v>
      </c>
      <c r="V32" s="23">
        <v>188589.63486391693</v>
      </c>
      <c r="W32" s="23">
        <v>189265.25798803905</v>
      </c>
      <c r="X32" s="23">
        <v>186053.25897899258</v>
      </c>
      <c r="Y32" s="23">
        <v>188651.32653426385</v>
      </c>
      <c r="Z32" s="23">
        <v>194053.63642134125</v>
      </c>
      <c r="AA32" s="23">
        <v>192085.89999999991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100942.00795149733</v>
      </c>
      <c r="E33" s="23">
        <v>102846.78884135601</v>
      </c>
      <c r="F33" s="23">
        <v>105362.96430708579</v>
      </c>
      <c r="G33" s="23">
        <v>107436.64896112714</v>
      </c>
      <c r="H33" s="23">
        <v>107085.46021820662</v>
      </c>
      <c r="I33" s="23">
        <v>108858.90651694404</v>
      </c>
      <c r="J33" s="23">
        <v>109440.41956400222</v>
      </c>
      <c r="K33" s="23">
        <v>111417.33269771369</v>
      </c>
      <c r="L33" s="23">
        <v>113661.09767645953</v>
      </c>
      <c r="M33" s="23">
        <v>116213.49621702806</v>
      </c>
      <c r="N33" s="23">
        <v>117816.45590953683</v>
      </c>
      <c r="O33" s="23">
        <v>119528.24487886141</v>
      </c>
      <c r="P33" s="23">
        <v>120344.91908164723</v>
      </c>
      <c r="Q33" s="23">
        <v>121464.41372889091</v>
      </c>
      <c r="R33" s="23">
        <v>122981.29999999999</v>
      </c>
      <c r="S33" s="23">
        <v>123684.55770599999</v>
      </c>
      <c r="T33" s="23">
        <v>124856.54666454418</v>
      </c>
      <c r="U33" s="23">
        <v>128327.44127572668</v>
      </c>
      <c r="V33" s="23">
        <v>128468.98206712303</v>
      </c>
      <c r="W33" s="23">
        <v>129417.63574812628</v>
      </c>
      <c r="X33" s="23">
        <v>126108.41454145017</v>
      </c>
      <c r="Y33" s="23">
        <v>131314.31936923924</v>
      </c>
      <c r="Z33" s="23">
        <v>130694.06856077244</v>
      </c>
      <c r="AA33" s="23">
        <v>129596.6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132738.41604262358</v>
      </c>
      <c r="E34" s="23">
        <v>136628.05799331344</v>
      </c>
      <c r="F34" s="23">
        <v>144426.21405188495</v>
      </c>
      <c r="G34" s="23">
        <v>148997.12950859297</v>
      </c>
      <c r="H34" s="23">
        <v>156727.2511012615</v>
      </c>
      <c r="I34" s="23">
        <v>160773.00132344093</v>
      </c>
      <c r="J34" s="23">
        <v>167141.02873113472</v>
      </c>
      <c r="K34" s="23">
        <v>171381.38994196051</v>
      </c>
      <c r="L34" s="23">
        <v>174752.3122403778</v>
      </c>
      <c r="M34" s="23">
        <v>181987.49231202475</v>
      </c>
      <c r="N34" s="23">
        <v>185567.99822791343</v>
      </c>
      <c r="O34" s="23">
        <v>191955.41332524369</v>
      </c>
      <c r="P34" s="23">
        <v>195406.29112272605</v>
      </c>
      <c r="Q34" s="23">
        <v>200409.70924691923</v>
      </c>
      <c r="R34" s="23">
        <v>204843.10340557274</v>
      </c>
      <c r="S34" s="23">
        <v>205943.48994600002</v>
      </c>
      <c r="T34" s="23">
        <v>208631.11966650418</v>
      </c>
      <c r="U34" s="23">
        <v>211808.99837014711</v>
      </c>
      <c r="V34" s="23">
        <v>211979.6220070128</v>
      </c>
      <c r="W34" s="23">
        <v>213456.48898101045</v>
      </c>
      <c r="X34" s="23">
        <v>208028.87673367964</v>
      </c>
      <c r="Y34" s="23">
        <v>228323.273875805</v>
      </c>
      <c r="Z34" s="23">
        <v>222790.41496158292</v>
      </c>
      <c r="AA34" s="23">
        <v>218600.4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19828.560881866626</v>
      </c>
      <c r="E35" s="23">
        <v>21047.918725958949</v>
      </c>
      <c r="F35" s="23">
        <v>23196.477440247807</v>
      </c>
      <c r="G35" s="23">
        <v>23927.829440677771</v>
      </c>
      <c r="H35" s="23">
        <v>24442.555949539714</v>
      </c>
      <c r="I35" s="23">
        <v>25187.399418488065</v>
      </c>
      <c r="J35" s="23">
        <v>26117.559977641136</v>
      </c>
      <c r="K35" s="23">
        <v>27003.881340786895</v>
      </c>
      <c r="L35" s="23">
        <v>27172.901663253801</v>
      </c>
      <c r="M35" s="23">
        <v>27602.28833192528</v>
      </c>
      <c r="N35" s="23">
        <v>28568.911135436567</v>
      </c>
      <c r="O35" s="23">
        <v>29242.012189955167</v>
      </c>
      <c r="P35" s="23">
        <v>29582.570773188505</v>
      </c>
      <c r="Q35" s="23">
        <v>30641.223642172525</v>
      </c>
      <c r="R35" s="23">
        <v>31324.894117647054</v>
      </c>
      <c r="S35" s="23">
        <v>31538.802186000004</v>
      </c>
      <c r="T35" s="23">
        <v>31706.809955129287</v>
      </c>
      <c r="U35" s="23">
        <v>33162.219108141333</v>
      </c>
      <c r="V35" s="23">
        <v>34148.725096009344</v>
      </c>
      <c r="W35" s="23">
        <v>35615.430429886219</v>
      </c>
      <c r="X35" s="23">
        <v>29315.163462841643</v>
      </c>
      <c r="Y35" s="23">
        <v>29883.474787276675</v>
      </c>
      <c r="Z35" s="23">
        <v>37461.45666358852</v>
      </c>
      <c r="AA35" s="23">
        <v>39085.500000000007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30800.774153959213</v>
      </c>
      <c r="E36" s="23">
        <v>30579.814875795382</v>
      </c>
      <c r="F36" s="23">
        <v>30135.096286388118</v>
      </c>
      <c r="G36" s="23">
        <v>30160.68061192775</v>
      </c>
      <c r="H36" s="23">
        <v>31467.243436754175</v>
      </c>
      <c r="I36" s="23">
        <v>31490.157088429914</v>
      </c>
      <c r="J36" s="23">
        <v>32477.458021240913</v>
      </c>
      <c r="K36" s="23">
        <v>33181.526380709089</v>
      </c>
      <c r="L36" s="23">
        <v>33173.734107150318</v>
      </c>
      <c r="M36" s="23">
        <v>32969.141894302069</v>
      </c>
      <c r="N36" s="23">
        <v>33040.553109929257</v>
      </c>
      <c r="O36" s="23">
        <v>33188.423804039325</v>
      </c>
      <c r="P36" s="23">
        <v>33806.857696155494</v>
      </c>
      <c r="Q36" s="23">
        <v>33443.420155180283</v>
      </c>
      <c r="R36" s="23">
        <v>34008.502786377707</v>
      </c>
      <c r="S36" s="23">
        <v>33274.856160000003</v>
      </c>
      <c r="T36" s="23">
        <v>34019.497255026814</v>
      </c>
      <c r="U36" s="23">
        <v>34915.053533330683</v>
      </c>
      <c r="V36" s="23">
        <v>34593.74436466855</v>
      </c>
      <c r="W36" s="23">
        <v>35090.449291289653</v>
      </c>
      <c r="X36" s="23">
        <v>31016.083160153597</v>
      </c>
      <c r="Y36" s="23">
        <v>33926.898082927146</v>
      </c>
      <c r="Z36" s="23">
        <v>34624.050203067978</v>
      </c>
      <c r="AA36" s="23">
        <v>33958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4843.6672349807095</v>
      </c>
      <c r="E37" s="23">
        <v>4963.4057303088039</v>
      </c>
      <c r="F37" s="23">
        <v>5306.6174099757118</v>
      </c>
      <c r="G37" s="23">
        <v>5739.2254394345755</v>
      </c>
      <c r="H37" s="23">
        <v>6025.9937674735766</v>
      </c>
      <c r="I37" s="23">
        <v>5942.8052536595142</v>
      </c>
      <c r="J37" s="23">
        <v>5967.3498043599775</v>
      </c>
      <c r="K37" s="23">
        <v>4690.4504355633462</v>
      </c>
      <c r="L37" s="23">
        <v>4796.8457185841453</v>
      </c>
      <c r="M37" s="23">
        <v>4800.5255233267617</v>
      </c>
      <c r="N37" s="23">
        <v>4789.5839851293431</v>
      </c>
      <c r="O37" s="23">
        <v>4794.5074616428774</v>
      </c>
      <c r="P37" s="23">
        <v>4721.7544947834776</v>
      </c>
      <c r="Q37" s="23">
        <v>4564.0594431766322</v>
      </c>
      <c r="R37" s="23">
        <v>4446.4758513931993</v>
      </c>
      <c r="S37" s="23">
        <v>4030.5564180000001</v>
      </c>
      <c r="T37" s="23">
        <v>3915.617233934594</v>
      </c>
      <c r="U37" s="23">
        <v>3535.4133560693181</v>
      </c>
      <c r="V37" s="23">
        <v>3441.7048923025541</v>
      </c>
      <c r="W37" s="23">
        <v>3401.2269562347096</v>
      </c>
      <c r="X37" s="23">
        <v>2888.1439970634738</v>
      </c>
      <c r="Y37" s="23">
        <v>3301.9997744620173</v>
      </c>
      <c r="Z37" s="23">
        <v>3306.349766449403</v>
      </c>
      <c r="AA37" s="23">
        <v>3233.6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1893734.6494139261</v>
      </c>
      <c r="E39" s="30">
        <f t="shared" ref="E39:S39" si="3">SUM(E18:E38)</f>
        <v>1929379.1145198981</v>
      </c>
      <c r="F39" s="30">
        <f t="shared" si="3"/>
        <v>1949218.2087437082</v>
      </c>
      <c r="G39" s="30">
        <f t="shared" si="3"/>
        <v>1966646.8717161829</v>
      </c>
      <c r="H39" s="30">
        <f t="shared" si="3"/>
        <v>2027103.1728605519</v>
      </c>
      <c r="I39" s="30">
        <f t="shared" si="3"/>
        <v>2062405.5333266486</v>
      </c>
      <c r="J39" s="30">
        <f t="shared" si="3"/>
        <v>2118732.7502515372</v>
      </c>
      <c r="K39" s="30">
        <f t="shared" si="3"/>
        <v>2174871.6607009629</v>
      </c>
      <c r="L39" s="30">
        <f t="shared" si="3"/>
        <v>2188628.9376781317</v>
      </c>
      <c r="M39" s="30">
        <f t="shared" si="3"/>
        <v>2131306.816164461</v>
      </c>
      <c r="N39" s="30">
        <f t="shared" si="3"/>
        <v>2169554.9493963961</v>
      </c>
      <c r="O39" s="30">
        <f t="shared" si="3"/>
        <v>2224527.6886573979</v>
      </c>
      <c r="P39" s="30">
        <f t="shared" si="3"/>
        <v>2233359.7264827779</v>
      </c>
      <c r="Q39" s="30">
        <f t="shared" si="3"/>
        <v>2251771.8475581934</v>
      </c>
      <c r="R39" s="30">
        <f t="shared" si="3"/>
        <v>2278798.3009287925</v>
      </c>
      <c r="S39" s="30">
        <f t="shared" si="3"/>
        <v>2297464.3890539999</v>
      </c>
      <c r="T39" s="30">
        <f t="shared" ref="T39:Y39" si="4">SUM(T18:T38)</f>
        <v>2313081.0654017967</v>
      </c>
      <c r="U39" s="30">
        <f t="shared" si="4"/>
        <v>2358304.5202482454</v>
      </c>
      <c r="V39" s="30">
        <f t="shared" si="4"/>
        <v>2396586.3487393544</v>
      </c>
      <c r="W39" s="30">
        <f t="shared" si="4"/>
        <v>2447055.8733680239</v>
      </c>
      <c r="X39" s="30">
        <f t="shared" si="4"/>
        <v>2268494.3184775235</v>
      </c>
      <c r="Y39" s="30">
        <f t="shared" si="4"/>
        <v>2416905.6762057426</v>
      </c>
      <c r="Z39" s="30">
        <f t="shared" ref="Z39:AA39" si="5">SUM(Z18:Z38)</f>
        <v>2488782.2596688154</v>
      </c>
      <c r="AA39" s="30">
        <f t="shared" si="5"/>
        <v>2538450.4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43082.125474921915</v>
      </c>
      <c r="E41" s="19">
        <v>41874.083797677682</v>
      </c>
      <c r="F41" s="19">
        <v>43124.001548804954</v>
      </c>
      <c r="G41" s="19">
        <v>43897.479331898277</v>
      </c>
      <c r="H41" s="19">
        <v>45223.856501875205</v>
      </c>
      <c r="I41" s="19">
        <v>43210.871004611981</v>
      </c>
      <c r="J41" s="19">
        <v>41636.831302403574</v>
      </c>
      <c r="K41" s="19">
        <v>42590.738065564314</v>
      </c>
      <c r="L41" s="19">
        <v>41185.700687450379</v>
      </c>
      <c r="M41" s="19">
        <v>40495.449619825398</v>
      </c>
      <c r="N41" s="19">
        <v>39139.302960706358</v>
      </c>
      <c r="O41" s="19">
        <v>41216.349411788906</v>
      </c>
      <c r="P41" s="19">
        <v>41653.038751301574</v>
      </c>
      <c r="Q41" s="19">
        <v>43038.096321314471</v>
      </c>
      <c r="R41" s="19">
        <v>44245.0374613003</v>
      </c>
      <c r="S41" s="19">
        <v>44745.376014000001</v>
      </c>
      <c r="T41" s="19">
        <v>45193.132723781477</v>
      </c>
      <c r="U41" s="19">
        <v>45585.430191934007</v>
      </c>
      <c r="V41" s="19">
        <v>44914.254600100176</v>
      </c>
      <c r="W41" s="19">
        <v>45927.657463787815</v>
      </c>
      <c r="X41" s="19">
        <v>43776.510684436405</v>
      </c>
      <c r="Y41" s="19">
        <v>44417.691385753824</v>
      </c>
      <c r="Z41" s="19">
        <v>45602.661298738552</v>
      </c>
      <c r="AA41" s="19">
        <v>51980.800000000003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12559.256064670219</v>
      </c>
      <c r="E42" s="23">
        <v>12248.694402703384</v>
      </c>
      <c r="F42" s="23">
        <v>11691.47237143159</v>
      </c>
      <c r="G42" s="23">
        <v>11141.857219158999</v>
      </c>
      <c r="H42" s="23">
        <v>10254.791701329697</v>
      </c>
      <c r="I42" s="23">
        <v>9202.8748345698805</v>
      </c>
      <c r="J42" s="23">
        <v>8555.6505310229186</v>
      </c>
      <c r="K42" s="23">
        <v>8571.5372981177243</v>
      </c>
      <c r="L42" s="23">
        <v>7905.9305278114434</v>
      </c>
      <c r="M42" s="23">
        <v>6603.7785412559833</v>
      </c>
      <c r="N42" s="23">
        <v>6336.8130159549746</v>
      </c>
      <c r="O42" s="23">
        <v>6751.2623544897369</v>
      </c>
      <c r="P42" s="23">
        <v>6933.0804038465458</v>
      </c>
      <c r="Q42" s="23">
        <v>6661.3681424007309</v>
      </c>
      <c r="R42" s="23">
        <v>6358.3928792569659</v>
      </c>
      <c r="S42" s="23">
        <v>6543.1643400000003</v>
      </c>
      <c r="T42" s="23">
        <v>6471.6532479032139</v>
      </c>
      <c r="U42" s="23">
        <v>6616.8744319308389</v>
      </c>
      <c r="V42" s="23">
        <v>6802.8320587744192</v>
      </c>
      <c r="W42" s="23">
        <v>7018.6360024853402</v>
      </c>
      <c r="X42" s="23">
        <v>6522.8395188615295</v>
      </c>
      <c r="Y42" s="23">
        <v>7191.305717667452</v>
      </c>
      <c r="Z42" s="23">
        <v>6682.2582307533685</v>
      </c>
      <c r="AA42" s="23">
        <v>7868.8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20842.281594708802</v>
      </c>
      <c r="E43" s="23">
        <v>20934.724650393648</v>
      </c>
      <c r="F43" s="23">
        <v>20386.541701573446</v>
      </c>
      <c r="G43" s="23">
        <v>19837.305851069948</v>
      </c>
      <c r="H43" s="23">
        <v>19042.443989089668</v>
      </c>
      <c r="I43" s="23">
        <v>17919.02402245839</v>
      </c>
      <c r="J43" s="23">
        <v>17154.075461151479</v>
      </c>
      <c r="K43" s="23">
        <v>17115.264858856099</v>
      </c>
      <c r="L43" s="23">
        <v>16342.286205023194</v>
      </c>
      <c r="M43" s="23">
        <v>14951.524734816483</v>
      </c>
      <c r="N43" s="23">
        <v>13977.82972685496</v>
      </c>
      <c r="O43" s="23">
        <v>14847.281489860556</v>
      </c>
      <c r="P43" s="23">
        <v>14531.963365932335</v>
      </c>
      <c r="Q43" s="23">
        <v>14111.307238703788</v>
      </c>
      <c r="R43" s="23">
        <v>13989.57894736842</v>
      </c>
      <c r="S43" s="23">
        <v>13794.438996000001</v>
      </c>
      <c r="T43" s="23">
        <v>13845.690634855886</v>
      </c>
      <c r="U43" s="23">
        <v>13850.48259904033</v>
      </c>
      <c r="V43" s="23">
        <v>13775.683119051591</v>
      </c>
      <c r="W43" s="23">
        <v>13828.144277892119</v>
      </c>
      <c r="X43" s="23">
        <v>11630.782996385813</v>
      </c>
      <c r="Y43" s="23">
        <v>11967.632936001266</v>
      </c>
      <c r="Z43" s="23">
        <v>14543.336750374307</v>
      </c>
      <c r="AA43" s="23">
        <v>13921.3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2894.6018372221201</v>
      </c>
      <c r="E44" s="23">
        <v>1568.566538447712</v>
      </c>
      <c r="F44" s="23">
        <v>1172.021253828012</v>
      </c>
      <c r="G44" s="23">
        <v>1641.0121349556248</v>
      </c>
      <c r="H44" s="23">
        <v>2489.4085918854416</v>
      </c>
      <c r="I44" s="23">
        <v>3244.2718869059554</v>
      </c>
      <c r="J44" s="23">
        <v>2560.683622135271</v>
      </c>
      <c r="K44" s="23">
        <v>3506.4070224568977</v>
      </c>
      <c r="L44" s="23">
        <v>2407.4836767102684</v>
      </c>
      <c r="M44" s="23">
        <v>1793.1072749460245</v>
      </c>
      <c r="N44" s="23">
        <v>2071.7667826715547</v>
      </c>
      <c r="O44" s="23">
        <v>2497.5259697256388</v>
      </c>
      <c r="P44" s="23">
        <v>2872.7017476877841</v>
      </c>
      <c r="Q44" s="23">
        <v>2697.830324052944</v>
      </c>
      <c r="R44" s="23">
        <v>2501.0018575851391</v>
      </c>
      <c r="S44" s="23">
        <v>2891.27466</v>
      </c>
      <c r="T44" s="23">
        <v>2921.7003969714756</v>
      </c>
      <c r="U44" s="23">
        <v>2963.4125689019311</v>
      </c>
      <c r="V44" s="23">
        <v>2105.2657538821168</v>
      </c>
      <c r="W44" s="23">
        <v>1891.5932876393149</v>
      </c>
      <c r="X44" s="23">
        <v>1373.0900384007225</v>
      </c>
      <c r="Y44" s="23">
        <v>680.69407543406749</v>
      </c>
      <c r="Z44" s="23">
        <v>5159.9524686432542</v>
      </c>
      <c r="AA44" s="23">
        <v>2238.3000000000002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17701.929281646149</v>
      </c>
      <c r="E45" s="23">
        <v>16571.275608440883</v>
      </c>
      <c r="F45" s="23">
        <v>14699.701510084833</v>
      </c>
      <c r="G45" s="23">
        <v>14340.373883715305</v>
      </c>
      <c r="H45" s="23">
        <v>14523.814428912377</v>
      </c>
      <c r="I45" s="23">
        <v>15023.606998195306</v>
      </c>
      <c r="J45" s="23">
        <v>14799.04292901062</v>
      </c>
      <c r="K45" s="23">
        <v>15369.264320147076</v>
      </c>
      <c r="L45" s="23">
        <v>15601.013385431903</v>
      </c>
      <c r="M45" s="23">
        <v>15071.195606871303</v>
      </c>
      <c r="N45" s="23">
        <v>14736.194644498371</v>
      </c>
      <c r="O45" s="23">
        <v>15924.243901937394</v>
      </c>
      <c r="P45" s="23">
        <v>15922.192607035666</v>
      </c>
      <c r="Q45" s="23">
        <v>17624.691574623459</v>
      </c>
      <c r="R45" s="23">
        <v>18271.234365325075</v>
      </c>
      <c r="S45" s="23">
        <v>19454.282009999999</v>
      </c>
      <c r="T45" s="23">
        <v>18607.373163136373</v>
      </c>
      <c r="U45" s="23">
        <v>20075.333741127015</v>
      </c>
      <c r="V45" s="23">
        <v>19321.387543830351</v>
      </c>
      <c r="W45" s="23">
        <v>20107.096192380879</v>
      </c>
      <c r="X45" s="23">
        <v>17442.920465326402</v>
      </c>
      <c r="Y45" s="23">
        <v>17097.632717919085</v>
      </c>
      <c r="Z45" s="23">
        <v>20592.526771801789</v>
      </c>
      <c r="AA45" s="23">
        <v>17821.2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13957.82317104538</v>
      </c>
      <c r="E46" s="23">
        <v>15536.659287486071</v>
      </c>
      <c r="F46" s="23">
        <v>15563.556668661338</v>
      </c>
      <c r="G46" s="23">
        <v>16229.885225559146</v>
      </c>
      <c r="H46" s="23">
        <v>15544.751660415957</v>
      </c>
      <c r="I46" s="23">
        <v>15893.655203529173</v>
      </c>
      <c r="J46" s="23">
        <v>17188.500503074341</v>
      </c>
      <c r="K46" s="23">
        <v>16145.05577776115</v>
      </c>
      <c r="L46" s="23">
        <v>14978.755627063398</v>
      </c>
      <c r="M46" s="23">
        <v>14330.067417628836</v>
      </c>
      <c r="N46" s="23">
        <v>14130.930847317602</v>
      </c>
      <c r="O46" s="23">
        <v>14089.695800255027</v>
      </c>
      <c r="P46" s="23">
        <v>13782.890622511688</v>
      </c>
      <c r="Q46" s="23">
        <v>14148.869557279781</v>
      </c>
      <c r="R46" s="23">
        <v>13456.817647058824</v>
      </c>
      <c r="S46" s="23">
        <v>14152.713282000001</v>
      </c>
      <c r="T46" s="23">
        <v>14066.651733641093</v>
      </c>
      <c r="U46" s="23">
        <v>14015.239275092197</v>
      </c>
      <c r="V46" s="23">
        <v>13895.97415261312</v>
      </c>
      <c r="W46" s="23">
        <v>14123.403500834918</v>
      </c>
      <c r="X46" s="23">
        <v>13195.474689405915</v>
      </c>
      <c r="Y46" s="23">
        <v>14273.604264718217</v>
      </c>
      <c r="Z46" s="23">
        <v>14085.005874178536</v>
      </c>
      <c r="AA46" s="23">
        <v>14019.1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27591.663384163145</v>
      </c>
      <c r="E47" s="23">
        <v>28264.111262896793</v>
      </c>
      <c r="F47" s="23">
        <v>28203.454546094548</v>
      </c>
      <c r="G47" s="23">
        <v>28274.541952044936</v>
      </c>
      <c r="H47" s="23">
        <v>27540.797429253322</v>
      </c>
      <c r="I47" s="23">
        <v>27012.620593543212</v>
      </c>
      <c r="J47" s="23">
        <v>26775.360871995526</v>
      </c>
      <c r="K47" s="23">
        <v>27118.753093835847</v>
      </c>
      <c r="L47" s="23">
        <v>24925.329169626813</v>
      </c>
      <c r="M47" s="23">
        <v>22309.021965643478</v>
      </c>
      <c r="N47" s="23">
        <v>20996.759671606338</v>
      </c>
      <c r="O47" s="23">
        <v>21994.450460696804</v>
      </c>
      <c r="P47" s="23">
        <v>21433.338886053207</v>
      </c>
      <c r="Q47" s="23">
        <v>21181.938238247378</v>
      </c>
      <c r="R47" s="23">
        <v>21139.584210526315</v>
      </c>
      <c r="S47" s="23">
        <v>21386.525436</v>
      </c>
      <c r="T47" s="23">
        <v>21352.07147675379</v>
      </c>
      <c r="U47" s="23">
        <v>20995.554385930121</v>
      </c>
      <c r="V47" s="23">
        <v>21415.947971280675</v>
      </c>
      <c r="W47" s="23">
        <v>21910.623723350549</v>
      </c>
      <c r="X47" s="23">
        <v>18164.43251072961</v>
      </c>
      <c r="Y47" s="23">
        <v>18994.117190281362</v>
      </c>
      <c r="Z47" s="23">
        <v>19325.654838218019</v>
      </c>
      <c r="AA47" s="23">
        <v>22421.4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39843.731354032701</v>
      </c>
      <c r="E48" s="23">
        <v>38361.27559406119</v>
      </c>
      <c r="F48" s="23">
        <v>36413.37885881235</v>
      </c>
      <c r="G48" s="23">
        <v>34773.834998215782</v>
      </c>
      <c r="H48" s="23">
        <v>36060.462018411185</v>
      </c>
      <c r="I48" s="23">
        <v>36610.437778223379</v>
      </c>
      <c r="J48" s="23">
        <v>36459.459139183899</v>
      </c>
      <c r="K48" s="23">
        <v>38350.629998824246</v>
      </c>
      <c r="L48" s="23">
        <v>37254.897693175648</v>
      </c>
      <c r="M48" s="23">
        <v>32529.330047873835</v>
      </c>
      <c r="N48" s="23">
        <v>33438.373966024679</v>
      </c>
      <c r="O48" s="23">
        <v>35560.488955616798</v>
      </c>
      <c r="P48" s="23">
        <v>33535.033183609303</v>
      </c>
      <c r="Q48" s="23">
        <v>33608.409073482428</v>
      </c>
      <c r="R48" s="23">
        <v>32888.198142414862</v>
      </c>
      <c r="S48" s="23">
        <v>33251.650956000005</v>
      </c>
      <c r="T48" s="23">
        <v>32224.756762941368</v>
      </c>
      <c r="U48" s="23">
        <v>33191.731234881227</v>
      </c>
      <c r="V48" s="23">
        <v>32603.35942561362</v>
      </c>
      <c r="W48" s="23">
        <v>31477.705226981478</v>
      </c>
      <c r="X48" s="23">
        <v>25500.117506211875</v>
      </c>
      <c r="Y48" s="23">
        <v>28553.325164260616</v>
      </c>
      <c r="Z48" s="23">
        <v>34353.801002339984</v>
      </c>
      <c r="AA48" s="23">
        <v>30356.1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19250.214697776963</v>
      </c>
      <c r="E49" s="23">
        <v>18078.048855016717</v>
      </c>
      <c r="F49" s="23">
        <v>17640.961934598192</v>
      </c>
      <c r="G49" s="23">
        <v>16049.109472448283</v>
      </c>
      <c r="H49" s="23">
        <v>15863.22014319809</v>
      </c>
      <c r="I49" s="23">
        <v>14254.742370162421</v>
      </c>
      <c r="J49" s="23">
        <v>13938.930687534936</v>
      </c>
      <c r="K49" s="23">
        <v>13820.061517577518</v>
      </c>
      <c r="L49" s="23">
        <v>12579.353219942332</v>
      </c>
      <c r="M49" s="23">
        <v>11205.545292405894</v>
      </c>
      <c r="N49" s="23">
        <v>11705.639659214126</v>
      </c>
      <c r="O49" s="23">
        <v>11343.658584591336</v>
      </c>
      <c r="P49" s="23">
        <v>11208.334422915941</v>
      </c>
      <c r="Q49" s="23">
        <v>11268.57670470105</v>
      </c>
      <c r="R49" s="23">
        <v>11203.402167182661</v>
      </c>
      <c r="S49" s="23">
        <v>11365.27605</v>
      </c>
      <c r="T49" s="23">
        <v>11505.485224502789</v>
      </c>
      <c r="U49" s="23">
        <v>11567.010839909583</v>
      </c>
      <c r="V49" s="23">
        <v>11478.872599766237</v>
      </c>
      <c r="W49" s="23">
        <v>12378.245134169547</v>
      </c>
      <c r="X49" s="23">
        <v>11166.504721030042</v>
      </c>
      <c r="Y49" s="23">
        <v>11872.278968117131</v>
      </c>
      <c r="Z49" s="23">
        <v>12098.80033710182</v>
      </c>
      <c r="AA49" s="23">
        <v>12914.5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13445.364526915306</v>
      </c>
      <c r="E50" s="23">
        <v>12683.213596002446</v>
      </c>
      <c r="F50" s="23">
        <v>11955.909408990108</v>
      </c>
      <c r="G50" s="23">
        <v>11083.981996707837</v>
      </c>
      <c r="H50" s="23">
        <v>11448.082850323901</v>
      </c>
      <c r="I50" s="23">
        <v>10530.925606577099</v>
      </c>
      <c r="J50" s="23">
        <v>9982.6198993851303</v>
      </c>
      <c r="K50" s="23">
        <v>10509.825885823615</v>
      </c>
      <c r="L50" s="23">
        <v>10177.012169334283</v>
      </c>
      <c r="M50" s="23">
        <v>9420.1390030977182</v>
      </c>
      <c r="N50" s="23">
        <v>9230.0005927608818</v>
      </c>
      <c r="O50" s="23">
        <v>9047.0386512278383</v>
      </c>
      <c r="P50" s="23">
        <v>9161.275703873087</v>
      </c>
      <c r="Q50" s="23">
        <v>9136.796257416705</v>
      </c>
      <c r="R50" s="23">
        <v>8924.7300309597522</v>
      </c>
      <c r="S50" s="23">
        <v>8617.3345440000012</v>
      </c>
      <c r="T50" s="23">
        <v>8622.0303369780413</v>
      </c>
      <c r="U50" s="23">
        <v>8672.6148193678855</v>
      </c>
      <c r="V50" s="23">
        <v>8724.0352646518604</v>
      </c>
      <c r="W50" s="23">
        <v>8666.967548833054</v>
      </c>
      <c r="X50" s="23">
        <v>7194.3829116783363</v>
      </c>
      <c r="Y50" s="23">
        <v>7534.3833959309968</v>
      </c>
      <c r="Z50" s="23">
        <v>7644.732056052143</v>
      </c>
      <c r="AA50" s="23">
        <v>8600.6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19372.659298181148</v>
      </c>
      <c r="E51" s="23">
        <v>19769.780659309057</v>
      </c>
      <c r="F51" s="23">
        <v>18448.574374317996</v>
      </c>
      <c r="G51" s="23">
        <v>18187.524743015663</v>
      </c>
      <c r="H51" s="23">
        <v>18494.880654619843</v>
      </c>
      <c r="I51" s="23">
        <v>18169.175937437336</v>
      </c>
      <c r="J51" s="23">
        <v>18636.022135271101</v>
      </c>
      <c r="K51" s="23">
        <v>19111.302495804699</v>
      </c>
      <c r="L51" s="23">
        <v>18744.015038238122</v>
      </c>
      <c r="M51" s="23">
        <v>15495.483244156574</v>
      </c>
      <c r="N51" s="23">
        <v>15244.514570145091</v>
      </c>
      <c r="O51" s="23">
        <v>16654.471660976513</v>
      </c>
      <c r="P51" s="23">
        <v>16736.589375038278</v>
      </c>
      <c r="Q51" s="23">
        <v>16086.657270652671</v>
      </c>
      <c r="R51" s="23">
        <v>16568.485139318884</v>
      </c>
      <c r="S51" s="23">
        <v>15966.821124</v>
      </c>
      <c r="T51" s="23">
        <v>15401.046886410442</v>
      </c>
      <c r="U51" s="23">
        <v>15009.24023674505</v>
      </c>
      <c r="V51" s="23">
        <v>14970.190348973114</v>
      </c>
      <c r="W51" s="23">
        <v>15544.630072618538</v>
      </c>
      <c r="X51" s="23">
        <v>13635.59593404111</v>
      </c>
      <c r="Y51" s="23">
        <v>14123.855937147597</v>
      </c>
      <c r="Z51" s="23">
        <v>14032.153872636476</v>
      </c>
      <c r="AA51" s="23">
        <v>16156.9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36213.744185191994</v>
      </c>
      <c r="E52" s="23">
        <v>35983.357371391598</v>
      </c>
      <c r="F52" s="23">
        <v>36672.177873209192</v>
      </c>
      <c r="G52" s="23">
        <v>35044.458998768314</v>
      </c>
      <c r="H52" s="23">
        <v>33567.590364814183</v>
      </c>
      <c r="I52" s="23">
        <v>34257.756406657303</v>
      </c>
      <c r="J52" s="23">
        <v>33865.50653996646</v>
      </c>
      <c r="K52" s="23">
        <v>33677.842504569409</v>
      </c>
      <c r="L52" s="23">
        <v>32886.114375861929</v>
      </c>
      <c r="M52" s="23">
        <v>29387.939096967988</v>
      </c>
      <c r="N52" s="23">
        <v>31941.008699333917</v>
      </c>
      <c r="O52" s="23">
        <v>29871.967710090081</v>
      </c>
      <c r="P52" s="23">
        <v>30574.275607913594</v>
      </c>
      <c r="Q52" s="23">
        <v>31564.234413509814</v>
      </c>
      <c r="R52" s="23">
        <v>32481.364396284829</v>
      </c>
      <c r="S52" s="23">
        <v>35631.239148000001</v>
      </c>
      <c r="T52" s="23">
        <v>36119.618811871333</v>
      </c>
      <c r="U52" s="23">
        <v>35924.972453107024</v>
      </c>
      <c r="V52" s="23">
        <v>39415.860811487721</v>
      </c>
      <c r="W52" s="23">
        <v>40995.06484990874</v>
      </c>
      <c r="X52" s="23">
        <v>29452.604833973339</v>
      </c>
      <c r="Y52" s="23">
        <v>32483.699941285566</v>
      </c>
      <c r="Z52" s="23">
        <v>34366.935197554216</v>
      </c>
      <c r="AA52" s="23">
        <v>36011.9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37572.262002572104</v>
      </c>
      <c r="E53" s="23">
        <v>37449.543660351585</v>
      </c>
      <c r="F53" s="23">
        <v>36160.630405857315</v>
      </c>
      <c r="G53" s="23">
        <v>33849.720140895333</v>
      </c>
      <c r="H53" s="23">
        <v>33855.157681554745</v>
      </c>
      <c r="I53" s="23">
        <v>34073.928694605966</v>
      </c>
      <c r="J53" s="23">
        <v>34437.244829513656</v>
      </c>
      <c r="K53" s="23">
        <v>35222.911427258274</v>
      </c>
      <c r="L53" s="23">
        <v>34697.175868193393</v>
      </c>
      <c r="M53" s="23">
        <v>35384.928865108392</v>
      </c>
      <c r="N53" s="23">
        <v>35337.675059637513</v>
      </c>
      <c r="O53" s="23">
        <v>36515.847174118688</v>
      </c>
      <c r="P53" s="23">
        <v>37673.298176769677</v>
      </c>
      <c r="Q53" s="23">
        <v>37298.906873573702</v>
      </c>
      <c r="R53" s="23">
        <v>37988.026934984548</v>
      </c>
      <c r="S53" s="23">
        <v>38453.484186000045</v>
      </c>
      <c r="T53" s="23">
        <v>38203.649270229165</v>
      </c>
      <c r="U53" s="23">
        <v>38068.900652337739</v>
      </c>
      <c r="V53" s="23">
        <v>38619.292436132913</v>
      </c>
      <c r="W53" s="23">
        <v>40402.498363170351</v>
      </c>
      <c r="X53" s="23">
        <v>37374.897543483123</v>
      </c>
      <c r="Y53" s="23">
        <v>39989.029321801718</v>
      </c>
      <c r="Z53" s="23">
        <v>30894.569203596933</v>
      </c>
      <c r="AA53" s="23">
        <v>41805.599999999977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304327.65687304799</v>
      </c>
      <c r="E54" s="30">
        <f t="shared" ref="E54:S54" si="6">SUM(E41:E53)</f>
        <v>299323.33528417879</v>
      </c>
      <c r="F54" s="30">
        <f t="shared" si="6"/>
        <v>292132.38245626388</v>
      </c>
      <c r="G54" s="30">
        <f t="shared" si="6"/>
        <v>284351.08594845352</v>
      </c>
      <c r="H54" s="30">
        <f t="shared" si="6"/>
        <v>283909.25801568362</v>
      </c>
      <c r="I54" s="30">
        <f t="shared" si="6"/>
        <v>279403.89133747743</v>
      </c>
      <c r="J54" s="30">
        <f t="shared" si="6"/>
        <v>275989.92845164897</v>
      </c>
      <c r="K54" s="30">
        <f t="shared" si="6"/>
        <v>281109.59426659689</v>
      </c>
      <c r="L54" s="30">
        <f t="shared" si="6"/>
        <v>269685.06764386309</v>
      </c>
      <c r="M54" s="30">
        <f t="shared" si="6"/>
        <v>248977.51071059791</v>
      </c>
      <c r="N54" s="30">
        <f t="shared" si="6"/>
        <v>248286.81019672638</v>
      </c>
      <c r="O54" s="30">
        <f t="shared" si="6"/>
        <v>256314.28212537529</v>
      </c>
      <c r="P54" s="30">
        <f t="shared" si="6"/>
        <v>256018.01285448868</v>
      </c>
      <c r="Q54" s="30">
        <f t="shared" si="6"/>
        <v>258427.68198995895</v>
      </c>
      <c r="R54" s="30">
        <f t="shared" si="6"/>
        <v>260015.85417956658</v>
      </c>
      <c r="S54" s="30">
        <f t="shared" si="6"/>
        <v>266253.58074600005</v>
      </c>
      <c r="T54" s="30">
        <f t="shared" ref="T54:Y54" si="7">SUM(T41:T53)</f>
        <v>264534.86066997645</v>
      </c>
      <c r="U54" s="30">
        <f t="shared" si="7"/>
        <v>266536.79743030499</v>
      </c>
      <c r="V54" s="30">
        <f t="shared" si="7"/>
        <v>268042.95608615794</v>
      </c>
      <c r="W54" s="30">
        <f t="shared" si="7"/>
        <v>274272.26564405271</v>
      </c>
      <c r="X54" s="30">
        <f t="shared" si="7"/>
        <v>236430.15435396426</v>
      </c>
      <c r="Y54" s="30">
        <f t="shared" si="7"/>
        <v>249179.25101631891</v>
      </c>
      <c r="Z54" s="30">
        <f t="shared" ref="Z54:AA54" si="8">SUM(Z41:Z53)</f>
        <v>259382.38790198939</v>
      </c>
      <c r="AA54" s="30">
        <f t="shared" si="8"/>
        <v>276116.5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43082.125474921915</v>
      </c>
      <c r="E56" s="19">
        <v>41874.083797677682</v>
      </c>
      <c r="F56" s="19">
        <v>43124.001548804954</v>
      </c>
      <c r="G56" s="19">
        <v>43897.479331898277</v>
      </c>
      <c r="H56" s="19">
        <v>45223.856501875205</v>
      </c>
      <c r="I56" s="19">
        <v>43210.871004611981</v>
      </c>
      <c r="J56" s="19">
        <v>41636.831302403574</v>
      </c>
      <c r="K56" s="19">
        <v>42590.738065564314</v>
      </c>
      <c r="L56" s="19">
        <v>41185.700687450379</v>
      </c>
      <c r="M56" s="19">
        <v>40495.449619825398</v>
      </c>
      <c r="N56" s="19">
        <v>39139.302960706358</v>
      </c>
      <c r="O56" s="19">
        <v>41216.349411788906</v>
      </c>
      <c r="P56" s="19">
        <v>41653.038751301574</v>
      </c>
      <c r="Q56" s="19">
        <v>43038.096321314471</v>
      </c>
      <c r="R56" s="19">
        <v>44245.0374613003</v>
      </c>
      <c r="S56" s="19">
        <v>44745.376014000001</v>
      </c>
      <c r="T56" s="19">
        <v>45193.132723781477</v>
      </c>
      <c r="U56" s="19">
        <v>45585.430191934007</v>
      </c>
      <c r="V56" s="19">
        <v>44914.254600100176</v>
      </c>
      <c r="W56" s="19">
        <v>45927.657463787815</v>
      </c>
      <c r="X56" s="19">
        <v>43776.510684436405</v>
      </c>
      <c r="Y56" s="19">
        <v>44417.691385753824</v>
      </c>
      <c r="Z56" s="19">
        <v>45602.661298738552</v>
      </c>
      <c r="AA56" s="19">
        <v>51980.800000000003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12559.256064670219</v>
      </c>
      <c r="E57" s="23">
        <v>12248.694402703384</v>
      </c>
      <c r="F57" s="23">
        <v>11691.47237143159</v>
      </c>
      <c r="G57" s="23">
        <v>11141.857219158999</v>
      </c>
      <c r="H57" s="23">
        <v>10254.791701329697</v>
      </c>
      <c r="I57" s="23">
        <v>9202.8748345698805</v>
      </c>
      <c r="J57" s="23">
        <v>8555.6505310229186</v>
      </c>
      <c r="K57" s="23">
        <v>8571.5372981177243</v>
      </c>
      <c r="L57" s="23">
        <v>7905.9305278114434</v>
      </c>
      <c r="M57" s="23">
        <v>6603.7785412559833</v>
      </c>
      <c r="N57" s="23">
        <v>6336.8130159549746</v>
      </c>
      <c r="O57" s="23">
        <v>6751.2623544897369</v>
      </c>
      <c r="P57" s="23">
        <v>6933.0804038465458</v>
      </c>
      <c r="Q57" s="23">
        <v>6661.3681424007309</v>
      </c>
      <c r="R57" s="23">
        <v>6358.3928792569659</v>
      </c>
      <c r="S57" s="23">
        <v>6543.1643400000003</v>
      </c>
      <c r="T57" s="23">
        <v>6471.6532479032139</v>
      </c>
      <c r="U57" s="23">
        <v>6616.8744319308389</v>
      </c>
      <c r="V57" s="23">
        <v>6802.8320587744192</v>
      </c>
      <c r="W57" s="23">
        <v>7018.6360024853402</v>
      </c>
      <c r="X57" s="23">
        <v>6522.8395188615295</v>
      </c>
      <c r="Y57" s="23">
        <v>7191.305717667452</v>
      </c>
      <c r="Z57" s="23">
        <v>6682.2582307533685</v>
      </c>
      <c r="AA57" s="23">
        <v>7868.8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5089.9918941760061</v>
      </c>
      <c r="E58" s="23">
        <v>4908.915282021786</v>
      </c>
      <c r="F58" s="23">
        <v>4935.8830089056282</v>
      </c>
      <c r="G58" s="23">
        <v>5160.0684930876096</v>
      </c>
      <c r="H58" s="23">
        <v>4590.9542720763729</v>
      </c>
      <c r="I58" s="23">
        <v>4238.0904551834765</v>
      </c>
      <c r="J58" s="23">
        <v>4279.495136948015</v>
      </c>
      <c r="K58" s="23">
        <v>4605.768532552348</v>
      </c>
      <c r="L58" s="23">
        <v>4649.7911007564044</v>
      </c>
      <c r="M58" s="23">
        <v>4188.4805219187083</v>
      </c>
      <c r="N58" s="23">
        <v>3749.4645944131767</v>
      </c>
      <c r="O58" s="23">
        <v>4292.5436695323106</v>
      </c>
      <c r="P58" s="23">
        <v>4109.431495130566</v>
      </c>
      <c r="Q58" s="23">
        <v>4097.2644272021907</v>
      </c>
      <c r="R58" s="23">
        <v>3720.3173374613002</v>
      </c>
      <c r="S58" s="23">
        <v>3691.7370000000001</v>
      </c>
      <c r="T58" s="23">
        <v>3721.7078369531696</v>
      </c>
      <c r="U58" s="23">
        <v>3881.5418031486688</v>
      </c>
      <c r="V58" s="23">
        <v>3784.5055601936874</v>
      </c>
      <c r="W58" s="23">
        <v>4035.209380218244</v>
      </c>
      <c r="X58" s="23">
        <v>3639.6592952337919</v>
      </c>
      <c r="Y58" s="23">
        <v>4139.9787453750732</v>
      </c>
      <c r="Z58" s="23">
        <v>5526.1338312159869</v>
      </c>
      <c r="AA58" s="23">
        <v>5519.543002918751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8877.7359397391156</v>
      </c>
      <c r="E59" s="23">
        <v>9322.5011539705956</v>
      </c>
      <c r="F59" s="23">
        <v>8875.3485585553863</v>
      </c>
      <c r="G59" s="23">
        <v>8333.8971256892237</v>
      </c>
      <c r="H59" s="23">
        <v>8092.509246505284</v>
      </c>
      <c r="I59" s="23">
        <v>7448.155764988971</v>
      </c>
      <c r="J59" s="23">
        <v>6818.5988820570146</v>
      </c>
      <c r="K59" s="23">
        <v>6895.6874482935536</v>
      </c>
      <c r="L59" s="23">
        <v>6353.224775377158</v>
      </c>
      <c r="M59" s="23">
        <v>5954.5732281986293</v>
      </c>
      <c r="N59" s="23">
        <v>5602.1696948417411</v>
      </c>
      <c r="O59" s="23">
        <v>5964.993019620747</v>
      </c>
      <c r="P59" s="23">
        <v>6029.9099614120332</v>
      </c>
      <c r="Q59" s="23">
        <v>5705.430908261068</v>
      </c>
      <c r="R59" s="23">
        <v>5897.0142414860675</v>
      </c>
      <c r="S59" s="23">
        <v>6050.8155419999994</v>
      </c>
      <c r="T59" s="23">
        <v>6094.5618529315198</v>
      </c>
      <c r="U59" s="23">
        <v>5940.3031169449177</v>
      </c>
      <c r="V59" s="23">
        <v>6105.2591751544487</v>
      </c>
      <c r="W59" s="23">
        <v>5961.7331424022368</v>
      </c>
      <c r="X59" s="23">
        <v>5206.2261915518402</v>
      </c>
      <c r="Y59" s="23">
        <v>4913.7330506342087</v>
      </c>
      <c r="Z59" s="23">
        <v>6117.9081307883334</v>
      </c>
      <c r="AA59" s="23">
        <v>5901.5858172041499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6874.5537607936803</v>
      </c>
      <c r="E60" s="23">
        <v>6703.3082144012669</v>
      </c>
      <c r="F60" s="23">
        <v>6575.3101341124293</v>
      </c>
      <c r="G60" s="23">
        <v>6343.3402322931161</v>
      </c>
      <c r="H60" s="23">
        <v>6358.9804705080132</v>
      </c>
      <c r="I60" s="23">
        <v>6232.777802285942</v>
      </c>
      <c r="J60" s="23">
        <v>6055.9814421464507</v>
      </c>
      <c r="K60" s="23">
        <v>5613.8088780101962</v>
      </c>
      <c r="L60" s="23">
        <v>5339.2703288896309</v>
      </c>
      <c r="M60" s="23">
        <v>4808.4709846991464</v>
      </c>
      <c r="N60" s="23">
        <v>4626.1954376000413</v>
      </c>
      <c r="O60" s="23">
        <v>4589.7448007075</v>
      </c>
      <c r="P60" s="23">
        <v>4392.621909389738</v>
      </c>
      <c r="Q60" s="23">
        <v>4308.6119032405286</v>
      </c>
      <c r="R60" s="23">
        <v>4372.2473684210527</v>
      </c>
      <c r="S60" s="23">
        <v>4051.8864540000013</v>
      </c>
      <c r="T60" s="23">
        <v>4029.4209449711957</v>
      </c>
      <c r="U60" s="23">
        <v>4028.6376789467431</v>
      </c>
      <c r="V60" s="23">
        <v>3885.9183837034548</v>
      </c>
      <c r="W60" s="23">
        <v>3831.2017552716384</v>
      </c>
      <c r="X60" s="23">
        <v>2784.8975096001809</v>
      </c>
      <c r="Y60" s="23">
        <v>2913.9211399919841</v>
      </c>
      <c r="Z60" s="23">
        <v>2899.2947883699881</v>
      </c>
      <c r="AA60" s="23">
        <v>2500.1711798770993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2894.6018372221201</v>
      </c>
      <c r="E61" s="23">
        <v>1568.566538447712</v>
      </c>
      <c r="F61" s="23">
        <v>1172.021253828012</v>
      </c>
      <c r="G61" s="23">
        <v>1641.0121349556248</v>
      </c>
      <c r="H61" s="23">
        <v>2489.4085918854416</v>
      </c>
      <c r="I61" s="23">
        <v>3244.2718869059554</v>
      </c>
      <c r="J61" s="23">
        <v>2560.683622135271</v>
      </c>
      <c r="K61" s="23">
        <v>3506.4070224568977</v>
      </c>
      <c r="L61" s="23">
        <v>2407.4836767102684</v>
      </c>
      <c r="M61" s="23">
        <v>1793.1072749460245</v>
      </c>
      <c r="N61" s="23">
        <v>2071.7667826715547</v>
      </c>
      <c r="O61" s="23">
        <v>2497.5259697256388</v>
      </c>
      <c r="P61" s="23">
        <v>2872.7017476877841</v>
      </c>
      <c r="Q61" s="23">
        <v>2697.830324052944</v>
      </c>
      <c r="R61" s="23">
        <v>2501.0018575851391</v>
      </c>
      <c r="S61" s="23">
        <v>2891.27466</v>
      </c>
      <c r="T61" s="23">
        <v>2921.7003969714756</v>
      </c>
      <c r="U61" s="23">
        <v>2963.4125689019311</v>
      </c>
      <c r="V61" s="23">
        <v>2105.2657538821168</v>
      </c>
      <c r="W61" s="23">
        <v>1891.5932876393149</v>
      </c>
      <c r="X61" s="23">
        <v>1373.0900384007225</v>
      </c>
      <c r="Y61" s="23">
        <v>680.69407543406749</v>
      </c>
      <c r="Z61" s="23">
        <v>5159.9524686432542</v>
      </c>
      <c r="AA61" s="23">
        <v>2238.3000000000002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17701.929281646149</v>
      </c>
      <c r="E62" s="23">
        <v>16571.275608440883</v>
      </c>
      <c r="F62" s="23">
        <v>14699.701510084833</v>
      </c>
      <c r="G62" s="23">
        <v>14340.373883715305</v>
      </c>
      <c r="H62" s="23">
        <v>14523.814428912377</v>
      </c>
      <c r="I62" s="23">
        <v>15023.606998195306</v>
      </c>
      <c r="J62" s="23">
        <v>14799.04292901062</v>
      </c>
      <c r="K62" s="23">
        <v>15369.264320147076</v>
      </c>
      <c r="L62" s="23">
        <v>15601.013385431903</v>
      </c>
      <c r="M62" s="23">
        <v>15071.195606871303</v>
      </c>
      <c r="N62" s="23">
        <v>14736.194644498371</v>
      </c>
      <c r="O62" s="23">
        <v>15924.243901937394</v>
      </c>
      <c r="P62" s="23">
        <v>15922.192607035666</v>
      </c>
      <c r="Q62" s="23">
        <v>17624.691574623459</v>
      </c>
      <c r="R62" s="23">
        <v>18271.234365325075</v>
      </c>
      <c r="S62" s="23">
        <v>19454.282009999999</v>
      </c>
      <c r="T62" s="23">
        <v>18607.373163136373</v>
      </c>
      <c r="U62" s="23">
        <v>20075.333741127015</v>
      </c>
      <c r="V62" s="23">
        <v>19321.387543830351</v>
      </c>
      <c r="W62" s="23">
        <v>20107.096192380879</v>
      </c>
      <c r="X62" s="23">
        <v>17442.920465326402</v>
      </c>
      <c r="Y62" s="23">
        <v>17097.632717919085</v>
      </c>
      <c r="Z62" s="23">
        <v>20592.526771801789</v>
      </c>
      <c r="AA62" s="23">
        <v>17821.2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13957.82317104538</v>
      </c>
      <c r="E63" s="23">
        <v>15536.659287486071</v>
      </c>
      <c r="F63" s="23">
        <v>15563.556668661338</v>
      </c>
      <c r="G63" s="23">
        <v>16229.885225559146</v>
      </c>
      <c r="H63" s="23">
        <v>15544.751660415957</v>
      </c>
      <c r="I63" s="23">
        <v>15893.655203529173</v>
      </c>
      <c r="J63" s="23">
        <v>17188.500503074341</v>
      </c>
      <c r="K63" s="23">
        <v>16145.05577776115</v>
      </c>
      <c r="L63" s="23">
        <v>14978.755627063398</v>
      </c>
      <c r="M63" s="23">
        <v>14330.067417628836</v>
      </c>
      <c r="N63" s="23">
        <v>14130.930847317602</v>
      </c>
      <c r="O63" s="23">
        <v>14089.695800255027</v>
      </c>
      <c r="P63" s="23">
        <v>13782.890622511688</v>
      </c>
      <c r="Q63" s="23">
        <v>14148.869557279781</v>
      </c>
      <c r="R63" s="23">
        <v>13456.817647058824</v>
      </c>
      <c r="S63" s="23">
        <v>14152.713282000001</v>
      </c>
      <c r="T63" s="23">
        <v>14066.651733641093</v>
      </c>
      <c r="U63" s="23">
        <v>14015.239275092197</v>
      </c>
      <c r="V63" s="23">
        <v>13895.97415261312</v>
      </c>
      <c r="W63" s="23">
        <v>14123.403500834918</v>
      </c>
      <c r="X63" s="23">
        <v>13195.474689405915</v>
      </c>
      <c r="Y63" s="23">
        <v>14273.604264718217</v>
      </c>
      <c r="Z63" s="23">
        <v>14085.005874178536</v>
      </c>
      <c r="AA63" s="23">
        <v>14019.1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16378.580194745546</v>
      </c>
      <c r="E64" s="23">
        <v>16949.338203257001</v>
      </c>
      <c r="F64" s="23">
        <v>16889.592213735086</v>
      </c>
      <c r="G64" s="23">
        <v>17250.323879686435</v>
      </c>
      <c r="H64" s="23">
        <v>16991.778677122402</v>
      </c>
      <c r="I64" s="23">
        <v>16324.109725285742</v>
      </c>
      <c r="J64" s="23">
        <v>15984.523197316936</v>
      </c>
      <c r="K64" s="23">
        <v>15600.135248030612</v>
      </c>
      <c r="L64" s="23">
        <v>14149.568389819886</v>
      </c>
      <c r="M64" s="23">
        <v>12917.97557495541</v>
      </c>
      <c r="N64" s="23">
        <v>11767.485250167811</v>
      </c>
      <c r="O64" s="23">
        <v>12336.377853646498</v>
      </c>
      <c r="P64" s="23">
        <v>12250.408148390125</v>
      </c>
      <c r="Q64" s="23">
        <v>12140.236458238249</v>
      </c>
      <c r="R64" s="23">
        <v>12009.362229102166</v>
      </c>
      <c r="S64" s="23">
        <v>12281.881608000002</v>
      </c>
      <c r="T64" s="23">
        <v>12319.135117549324</v>
      </c>
      <c r="U64" s="23">
        <v>11825.764801522781</v>
      </c>
      <c r="V64" s="23">
        <v>12262.893872098846</v>
      </c>
      <c r="W64" s="23">
        <v>12223.049149547591</v>
      </c>
      <c r="X64" s="23">
        <v>9698.2205387395516</v>
      </c>
      <c r="Y64" s="23">
        <v>10083.272507665495</v>
      </c>
      <c r="Z64" s="23">
        <v>9860.2081047884585</v>
      </c>
      <c r="AA64" s="23">
        <v>11346.955906006164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11213.083189417601</v>
      </c>
      <c r="E65" s="23">
        <v>11314.773059639791</v>
      </c>
      <c r="F65" s="23">
        <v>11313.862332359464</v>
      </c>
      <c r="G65" s="23">
        <v>11024.218072358499</v>
      </c>
      <c r="H65" s="23">
        <v>10549.018752130922</v>
      </c>
      <c r="I65" s="23">
        <v>10688.51086825747</v>
      </c>
      <c r="J65" s="23">
        <v>10790.837674678593</v>
      </c>
      <c r="K65" s="23">
        <v>11518.617845805235</v>
      </c>
      <c r="L65" s="23">
        <v>10775.760779806928</v>
      </c>
      <c r="M65" s="23">
        <v>9391.0463906880686</v>
      </c>
      <c r="N65" s="23">
        <v>9229.2744214385275</v>
      </c>
      <c r="O65" s="23">
        <v>9658.0726070503079</v>
      </c>
      <c r="P65" s="23">
        <v>9182.9307376630804</v>
      </c>
      <c r="Q65" s="23">
        <v>9041.7017800091289</v>
      </c>
      <c r="R65" s="23">
        <v>9130.2219814241489</v>
      </c>
      <c r="S65" s="23">
        <v>9104.6438280000002</v>
      </c>
      <c r="T65" s="23">
        <v>9032.9363592044665</v>
      </c>
      <c r="U65" s="23">
        <v>9169.789584407341</v>
      </c>
      <c r="V65" s="23">
        <v>9153.0540991818289</v>
      </c>
      <c r="W65" s="23">
        <v>9687.5745738029582</v>
      </c>
      <c r="X65" s="23">
        <v>8466.2119719900584</v>
      </c>
      <c r="Y65" s="23">
        <v>8910.844682615867</v>
      </c>
      <c r="Z65" s="23">
        <v>9465.4467334295623</v>
      </c>
      <c r="AA65" s="23">
        <v>11074.444093993838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11397.683137975382</v>
      </c>
      <c r="E66" s="23">
        <v>9973.1564295215157</v>
      </c>
      <c r="F66" s="23">
        <v>8815.8055334577057</v>
      </c>
      <c r="G66" s="23">
        <v>8239.327123502122</v>
      </c>
      <c r="H66" s="23">
        <v>9368.1147084896002</v>
      </c>
      <c r="I66" s="23">
        <v>9700.9591537998785</v>
      </c>
      <c r="J66" s="23">
        <v>9393.7975405254329</v>
      </c>
      <c r="K66" s="23">
        <v>10575.341618478575</v>
      </c>
      <c r="L66" s="23">
        <v>10725.436510092357</v>
      </c>
      <c r="M66" s="23">
        <v>7981.5215432272598</v>
      </c>
      <c r="N66" s="23">
        <v>8266.0081623379974</v>
      </c>
      <c r="O66" s="23">
        <v>9634.5713010571344</v>
      </c>
      <c r="P66" s="23">
        <v>7712.4223381449183</v>
      </c>
      <c r="Q66" s="23">
        <v>7737.9564947512554</v>
      </c>
      <c r="R66" s="23">
        <v>7409.4492260061916</v>
      </c>
      <c r="S66" s="23">
        <v>7888.1285880000005</v>
      </c>
      <c r="T66" s="23">
        <v>7182.5766353931404</v>
      </c>
      <c r="U66" s="23">
        <v>7759.0169746599504</v>
      </c>
      <c r="V66" s="23">
        <v>7370.0992486224741</v>
      </c>
      <c r="W66" s="23">
        <v>6020.3298668012885</v>
      </c>
      <c r="X66" s="23">
        <v>4583.5483905579395</v>
      </c>
      <c r="Y66" s="23">
        <v>6023.3561431141015</v>
      </c>
      <c r="Z66" s="23">
        <v>10912.835046037708</v>
      </c>
      <c r="AA66" s="23">
        <v>10282.255430632576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28446.048216057319</v>
      </c>
      <c r="E67" s="23">
        <v>28388.119164539676</v>
      </c>
      <c r="F67" s="23">
        <v>27597.573325354639</v>
      </c>
      <c r="G67" s="23">
        <v>26534.507874713654</v>
      </c>
      <c r="H67" s="23">
        <v>26692.347309921581</v>
      </c>
      <c r="I67" s="23">
        <v>26909.4786244235</v>
      </c>
      <c r="J67" s="23">
        <v>27065.661598658462</v>
      </c>
      <c r="K67" s="23">
        <v>27775.288380345672</v>
      </c>
      <c r="L67" s="23">
        <v>26529.461183083291</v>
      </c>
      <c r="M67" s="23">
        <v>24547.808504646579</v>
      </c>
      <c r="N67" s="23">
        <v>25172.365803686684</v>
      </c>
      <c r="O67" s="23">
        <v>25925.917654559664</v>
      </c>
      <c r="P67" s="23">
        <v>25822.610845464384</v>
      </c>
      <c r="Q67" s="23">
        <v>25870.452578731172</v>
      </c>
      <c r="R67" s="23">
        <v>25478.748916408666</v>
      </c>
      <c r="S67" s="23">
        <v>25363.522367999998</v>
      </c>
      <c r="T67" s="23">
        <v>25042.180127548225</v>
      </c>
      <c r="U67" s="23">
        <v>25432.714260221277</v>
      </c>
      <c r="V67" s="23">
        <v>25233.260176991149</v>
      </c>
      <c r="W67" s="23">
        <v>25457.375360180187</v>
      </c>
      <c r="X67" s="23">
        <v>20916.569115653936</v>
      </c>
      <c r="Y67" s="23">
        <v>22529.969021146517</v>
      </c>
      <c r="Z67" s="23">
        <v>23440.965956302276</v>
      </c>
      <c r="AA67" s="23">
        <v>20073.844569367422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19250.214697776963</v>
      </c>
      <c r="E68" s="23">
        <v>18078.048855016717</v>
      </c>
      <c r="F68" s="23">
        <v>17640.961934598192</v>
      </c>
      <c r="G68" s="23">
        <v>16049.109472448283</v>
      </c>
      <c r="H68" s="23">
        <v>15863.22014319809</v>
      </c>
      <c r="I68" s="23">
        <v>14254.742370162421</v>
      </c>
      <c r="J68" s="23">
        <v>13938.930687534936</v>
      </c>
      <c r="K68" s="23">
        <v>13820.061517577518</v>
      </c>
      <c r="L68" s="23">
        <v>12579.353219942332</v>
      </c>
      <c r="M68" s="23">
        <v>11205.545292405894</v>
      </c>
      <c r="N68" s="23">
        <v>11705.639659214126</v>
      </c>
      <c r="O68" s="23">
        <v>11343.658584591336</v>
      </c>
      <c r="P68" s="23">
        <v>11208.334422915941</v>
      </c>
      <c r="Q68" s="23">
        <v>11268.57670470105</v>
      </c>
      <c r="R68" s="23">
        <v>11203.402167182661</v>
      </c>
      <c r="S68" s="23">
        <v>11365.27605</v>
      </c>
      <c r="T68" s="23">
        <v>11505.485224502789</v>
      </c>
      <c r="U68" s="23">
        <v>11567.010839909583</v>
      </c>
      <c r="V68" s="23">
        <v>11478.872599766237</v>
      </c>
      <c r="W68" s="23">
        <v>12378.245134169547</v>
      </c>
      <c r="X68" s="23">
        <v>11166.504721030042</v>
      </c>
      <c r="Y68" s="23">
        <v>11872.278968117131</v>
      </c>
      <c r="Z68" s="23">
        <v>12098.80033710182</v>
      </c>
      <c r="AA68" s="23">
        <v>12914.5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13445.364526915306</v>
      </c>
      <c r="E69" s="23">
        <v>12683.213596002446</v>
      </c>
      <c r="F69" s="23">
        <v>11955.909408990108</v>
      </c>
      <c r="G69" s="23">
        <v>11083.981996707837</v>
      </c>
      <c r="H69" s="23">
        <v>11448.082850323901</v>
      </c>
      <c r="I69" s="23">
        <v>10530.925606577099</v>
      </c>
      <c r="J69" s="23">
        <v>9982.6198993851303</v>
      </c>
      <c r="K69" s="23">
        <v>10509.825885823615</v>
      </c>
      <c r="L69" s="23">
        <v>10177.012169334283</v>
      </c>
      <c r="M69" s="23">
        <v>9420.1390030977182</v>
      </c>
      <c r="N69" s="23">
        <v>9230.0005927608818</v>
      </c>
      <c r="O69" s="23">
        <v>9047.0386512278383</v>
      </c>
      <c r="P69" s="23">
        <v>9161.275703873087</v>
      </c>
      <c r="Q69" s="23">
        <v>9136.796257416705</v>
      </c>
      <c r="R69" s="23">
        <v>8924.7300309597522</v>
      </c>
      <c r="S69" s="23">
        <v>8617.3345440000012</v>
      </c>
      <c r="T69" s="23">
        <v>8622.0303369780413</v>
      </c>
      <c r="U69" s="23">
        <v>8672.6148193678855</v>
      </c>
      <c r="V69" s="23">
        <v>8724.0352646518604</v>
      </c>
      <c r="W69" s="23">
        <v>8666.967548833054</v>
      </c>
      <c r="X69" s="23">
        <v>7194.3829116783363</v>
      </c>
      <c r="Y69" s="23">
        <v>7534.3833959309968</v>
      </c>
      <c r="Z69" s="23">
        <v>7644.732056052143</v>
      </c>
      <c r="AA69" s="23">
        <v>8600.6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19372.659298181148</v>
      </c>
      <c r="E70" s="23">
        <v>19769.780659309057</v>
      </c>
      <c r="F70" s="23">
        <v>18448.574374317996</v>
      </c>
      <c r="G70" s="23">
        <v>18187.524743015663</v>
      </c>
      <c r="H70" s="23">
        <v>18494.880654619843</v>
      </c>
      <c r="I70" s="23">
        <v>18169.175937437336</v>
      </c>
      <c r="J70" s="23">
        <v>18636.022135271101</v>
      </c>
      <c r="K70" s="23">
        <v>19111.302495804699</v>
      </c>
      <c r="L70" s="23">
        <v>18744.015038238122</v>
      </c>
      <c r="M70" s="23">
        <v>15495.483244156574</v>
      </c>
      <c r="N70" s="23">
        <v>15244.514570145091</v>
      </c>
      <c r="O70" s="23">
        <v>16654.471660976513</v>
      </c>
      <c r="P70" s="23">
        <v>16736.589375038278</v>
      </c>
      <c r="Q70" s="23">
        <v>16086.657270652671</v>
      </c>
      <c r="R70" s="23">
        <v>16568.485139318884</v>
      </c>
      <c r="S70" s="23">
        <v>15966.821124</v>
      </c>
      <c r="T70" s="23">
        <v>15401.046886410442</v>
      </c>
      <c r="U70" s="23">
        <v>15009.24023674505</v>
      </c>
      <c r="V70" s="23">
        <v>14970.190348973114</v>
      </c>
      <c r="W70" s="23">
        <v>15544.630072618538</v>
      </c>
      <c r="X70" s="23">
        <v>13635.59593404111</v>
      </c>
      <c r="Y70" s="23">
        <v>14123.855937147597</v>
      </c>
      <c r="Z70" s="23">
        <v>14032.153872636476</v>
      </c>
      <c r="AA70" s="23">
        <v>16156.9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24174.124056586443</v>
      </c>
      <c r="E71" s="23">
        <v>23112.095553079056</v>
      </c>
      <c r="F71" s="23">
        <v>24387.475454961455</v>
      </c>
      <c r="G71" s="23">
        <v>23231.707883922503</v>
      </c>
      <c r="H71" s="23">
        <v>24158.052110467099</v>
      </c>
      <c r="I71" s="23">
        <v>21620.254000401041</v>
      </c>
      <c r="J71" s="23">
        <v>19866.588932364448</v>
      </c>
      <c r="K71" s="23">
        <v>19447.900533364686</v>
      </c>
      <c r="L71" s="23">
        <v>17541.864965105106</v>
      </c>
      <c r="M71" s="23">
        <v>14509.757082511967</v>
      </c>
      <c r="N71" s="23">
        <v>16783.997773532294</v>
      </c>
      <c r="O71" s="23">
        <v>16483.936543128624</v>
      </c>
      <c r="P71" s="23">
        <v>14790.866642846933</v>
      </c>
      <c r="Q71" s="23">
        <v>14341.317005933364</v>
      </c>
      <c r="R71" s="23">
        <v>14449.416099071206</v>
      </c>
      <c r="S71" s="23">
        <v>15121.354751999999</v>
      </c>
      <c r="T71" s="23">
        <v>15318.375952880779</v>
      </c>
      <c r="U71" s="23">
        <v>15701.148562477692</v>
      </c>
      <c r="V71" s="23">
        <v>14988.493003840371</v>
      </c>
      <c r="W71" s="23">
        <v>15339.825987340297</v>
      </c>
      <c r="X71" s="23">
        <v>11588.646075220237</v>
      </c>
      <c r="Y71" s="23">
        <v>13693.397761395725</v>
      </c>
      <c r="Z71" s="23">
        <v>14695.903561982803</v>
      </c>
      <c r="AA71" s="23">
        <v>15733.309863012071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12039.620128605548</v>
      </c>
      <c r="E72" s="23">
        <v>12871.261818312543</v>
      </c>
      <c r="F72" s="23">
        <v>12284.702418247738</v>
      </c>
      <c r="G72" s="23">
        <v>11812.751114845809</v>
      </c>
      <c r="H72" s="23">
        <v>9409.5382543470841</v>
      </c>
      <c r="I72" s="23">
        <v>12637.502406256264</v>
      </c>
      <c r="J72" s="23">
        <v>13998.917607602012</v>
      </c>
      <c r="K72" s="23">
        <v>14229.941971204722</v>
      </c>
      <c r="L72" s="23">
        <v>15344.249410756825</v>
      </c>
      <c r="M72" s="23">
        <v>14878.182014456019</v>
      </c>
      <c r="N72" s="23">
        <v>15157.01092580162</v>
      </c>
      <c r="O72" s="23">
        <v>13388.031166961458</v>
      </c>
      <c r="P72" s="23">
        <v>15783.408965066659</v>
      </c>
      <c r="Q72" s="23">
        <v>17222.917407576449</v>
      </c>
      <c r="R72" s="23">
        <v>18031.948297213625</v>
      </c>
      <c r="S72" s="23">
        <v>20509.884395999998</v>
      </c>
      <c r="T72" s="23">
        <v>20801.242858990558</v>
      </c>
      <c r="U72" s="23">
        <v>20223.823890629337</v>
      </c>
      <c r="V72" s="23">
        <v>24427.367807647344</v>
      </c>
      <c r="W72" s="23">
        <v>25655.23886256844</v>
      </c>
      <c r="X72" s="23">
        <v>17863.958758753102</v>
      </c>
      <c r="Y72" s="23">
        <v>18790.302179889841</v>
      </c>
      <c r="Z72" s="23">
        <v>19671.031635571413</v>
      </c>
      <c r="AA72" s="23">
        <v>20278.590136987928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10895.703340069815</v>
      </c>
      <c r="E73" s="23">
        <v>11602.814063342561</v>
      </c>
      <c r="F73" s="23">
        <v>11132.345489105564</v>
      </c>
      <c r="G73" s="23">
        <v>10909.816700240579</v>
      </c>
      <c r="H73" s="23">
        <v>10930.221929764746</v>
      </c>
      <c r="I73" s="23">
        <v>10556.515259675154</v>
      </c>
      <c r="J73" s="23">
        <v>10336.889547233091</v>
      </c>
      <c r="K73" s="23">
        <v>10126.502478702823</v>
      </c>
      <c r="L73" s="23">
        <v>9719.5633331940335</v>
      </c>
      <c r="M73" s="23">
        <v>9522.2076222660271</v>
      </c>
      <c r="N73" s="23">
        <v>9144.3123767232919</v>
      </c>
      <c r="O73" s="23">
        <v>9257.1041709514211</v>
      </c>
      <c r="P73" s="23">
        <v>9025.72237081198</v>
      </c>
      <c r="Q73" s="23">
        <v>9145.5924965769045</v>
      </c>
      <c r="R73" s="23">
        <v>9391.8003095975218</v>
      </c>
      <c r="S73" s="23">
        <v>9019.440881999999</v>
      </c>
      <c r="T73" s="23">
        <v>8812.7914755598886</v>
      </c>
      <c r="U73" s="23">
        <v>8555.2634492604193</v>
      </c>
      <c r="V73" s="23">
        <v>8535.2531641342448</v>
      </c>
      <c r="W73" s="23">
        <v>8849.6983049201972</v>
      </c>
      <c r="X73" s="23">
        <v>7937.8458662751282</v>
      </c>
      <c r="Y73" s="23">
        <v>8797.5777127466245</v>
      </c>
      <c r="Z73" s="23">
        <v>8464.20076385838</v>
      </c>
      <c r="AA73" s="23">
        <v>11697.256333165273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26676.558662502288</v>
      </c>
      <c r="E74" s="23">
        <v>25846.729597009027</v>
      </c>
      <c r="F74" s="23">
        <v>25028.284916751749</v>
      </c>
      <c r="G74" s="23">
        <v>22939.903440654751</v>
      </c>
      <c r="H74" s="23">
        <v>22924.935751789999</v>
      </c>
      <c r="I74" s="23">
        <v>23517.413434930811</v>
      </c>
      <c r="J74" s="23">
        <v>24100.355282280565</v>
      </c>
      <c r="K74" s="23">
        <v>25096.40894855545</v>
      </c>
      <c r="L74" s="23">
        <v>24977.61253499936</v>
      </c>
      <c r="M74" s="23">
        <v>25862.721242842359</v>
      </c>
      <c r="N74" s="23">
        <v>26193.362682914219</v>
      </c>
      <c r="O74" s="23">
        <v>27258.74300316727</v>
      </c>
      <c r="P74" s="23">
        <v>28647.575805957695</v>
      </c>
      <c r="Q74" s="23">
        <v>28153.314376996797</v>
      </c>
      <c r="R74" s="23">
        <v>28596.226625387022</v>
      </c>
      <c r="S74" s="23">
        <v>29434.043304000046</v>
      </c>
      <c r="T74" s="23">
        <v>29390.857794669279</v>
      </c>
      <c r="U74" s="23">
        <v>29513.63720307732</v>
      </c>
      <c r="V74" s="23">
        <v>30084.039271998667</v>
      </c>
      <c r="W74" s="23">
        <v>31552.800058250148</v>
      </c>
      <c r="X74" s="23">
        <v>29437.051677207997</v>
      </c>
      <c r="Y74" s="23">
        <v>31191.451609055093</v>
      </c>
      <c r="Z74" s="23">
        <v>22430.368439738551</v>
      </c>
      <c r="AA74" s="23">
        <v>30108.343666834706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304327.65687304793</v>
      </c>
      <c r="E75" s="30">
        <f t="shared" ref="E75:S75" si="9">SUM(E56:E74)</f>
        <v>299323.33528417879</v>
      </c>
      <c r="F75" s="30">
        <f t="shared" si="9"/>
        <v>292132.38245626388</v>
      </c>
      <c r="G75" s="30">
        <f t="shared" si="9"/>
        <v>284351.08594845346</v>
      </c>
      <c r="H75" s="30">
        <f t="shared" si="9"/>
        <v>283909.25801568362</v>
      </c>
      <c r="I75" s="30">
        <f t="shared" si="9"/>
        <v>279403.89133747743</v>
      </c>
      <c r="J75" s="30">
        <f t="shared" si="9"/>
        <v>275989.92845164897</v>
      </c>
      <c r="K75" s="30">
        <f t="shared" si="9"/>
        <v>281109.59426659689</v>
      </c>
      <c r="L75" s="30">
        <f t="shared" si="9"/>
        <v>269685.06764386309</v>
      </c>
      <c r="M75" s="30">
        <f t="shared" si="9"/>
        <v>248977.51071059791</v>
      </c>
      <c r="N75" s="30">
        <f t="shared" si="9"/>
        <v>248286.81019672638</v>
      </c>
      <c r="O75" s="30">
        <f t="shared" si="9"/>
        <v>256314.28212537529</v>
      </c>
      <c r="P75" s="30">
        <f t="shared" si="9"/>
        <v>256018.01285448865</v>
      </c>
      <c r="Q75" s="30">
        <f t="shared" si="9"/>
        <v>258427.68198995895</v>
      </c>
      <c r="R75" s="30">
        <f t="shared" si="9"/>
        <v>260015.85417956658</v>
      </c>
      <c r="S75" s="30">
        <f t="shared" si="9"/>
        <v>266253.58074600005</v>
      </c>
      <c r="T75" s="30">
        <f t="shared" ref="T75:Y75" si="10">SUM(T56:T74)</f>
        <v>264534.86066997639</v>
      </c>
      <c r="U75" s="30">
        <f t="shared" si="10"/>
        <v>266536.79743030493</v>
      </c>
      <c r="V75" s="30">
        <f t="shared" si="10"/>
        <v>268042.95608615794</v>
      </c>
      <c r="W75" s="30">
        <f t="shared" si="10"/>
        <v>274272.26564405265</v>
      </c>
      <c r="X75" s="30">
        <f t="shared" si="10"/>
        <v>236430.15435396423</v>
      </c>
      <c r="Y75" s="30">
        <f t="shared" si="10"/>
        <v>249179.25101631891</v>
      </c>
      <c r="Z75" s="30">
        <f t="shared" ref="Z75:AA75" si="11">SUM(Z56:Z74)</f>
        <v>259382.38790198936</v>
      </c>
      <c r="AA75" s="30">
        <f t="shared" si="11"/>
        <v>276116.5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60545022</v>
      </c>
      <c r="E3" s="42">
        <v>60979315</v>
      </c>
      <c r="F3" s="42">
        <v>61424036</v>
      </c>
      <c r="G3" s="42">
        <v>61864088</v>
      </c>
      <c r="H3" s="42">
        <v>62292241</v>
      </c>
      <c r="I3" s="42">
        <v>62772870</v>
      </c>
      <c r="J3" s="42">
        <v>63229635</v>
      </c>
      <c r="K3" s="42">
        <v>63645065</v>
      </c>
      <c r="L3" s="42">
        <v>64007193</v>
      </c>
      <c r="M3" s="42">
        <v>64350226</v>
      </c>
      <c r="N3" s="42">
        <v>64658856</v>
      </c>
      <c r="O3" s="42">
        <v>64978721</v>
      </c>
      <c r="P3" s="42">
        <v>65276983</v>
      </c>
      <c r="Q3" s="42">
        <v>65600350</v>
      </c>
      <c r="R3" s="42">
        <v>66165980</v>
      </c>
      <c r="S3" s="42">
        <v>66458153</v>
      </c>
      <c r="T3" s="42">
        <v>66638391</v>
      </c>
      <c r="U3" s="42">
        <v>66809816</v>
      </c>
      <c r="V3" s="42">
        <v>67026224</v>
      </c>
      <c r="W3" s="42">
        <v>67290471</v>
      </c>
      <c r="X3" s="42">
        <v>67473651</v>
      </c>
      <c r="Y3" s="42">
        <v>67728568</v>
      </c>
      <c r="Z3" s="42">
        <v>68091703</v>
      </c>
      <c r="AA3" s="42">
        <v>68277210</v>
      </c>
    </row>
    <row r="4" spans="1:27" x14ac:dyDescent="0.25">
      <c r="A4" s="43" t="s">
        <v>239</v>
      </c>
      <c r="B4" s="44"/>
      <c r="C4" s="44"/>
      <c r="D4" s="45">
        <v>26333067</v>
      </c>
      <c r="E4" s="45">
        <v>26565866</v>
      </c>
      <c r="F4" s="45">
        <v>26803988</v>
      </c>
      <c r="G4" s="45">
        <v>27040860</v>
      </c>
      <c r="H4" s="45">
        <v>27273310</v>
      </c>
      <c r="I4" s="45">
        <v>27328198</v>
      </c>
      <c r="J4" s="45">
        <v>27732296</v>
      </c>
      <c r="K4" s="45">
        <v>28000469</v>
      </c>
      <c r="L4" s="45">
        <v>28498305</v>
      </c>
      <c r="M4" s="45">
        <v>28702153</v>
      </c>
      <c r="N4" s="45">
        <v>29047105</v>
      </c>
      <c r="O4" s="45">
        <v>29138440</v>
      </c>
      <c r="P4" s="45">
        <v>29351161</v>
      </c>
      <c r="Q4" s="45">
        <v>29563024</v>
      </c>
      <c r="R4" s="45">
        <v>29966476</v>
      </c>
      <c r="S4" s="45">
        <v>30263276</v>
      </c>
      <c r="T4" s="45">
        <v>30477235</v>
      </c>
      <c r="U4" s="45">
        <v>30588872</v>
      </c>
      <c r="V4" s="45">
        <v>30729736</v>
      </c>
      <c r="W4" s="45">
        <v>30903479</v>
      </c>
      <c r="X4" s="45">
        <v>31053779</v>
      </c>
      <c r="Y4" s="45">
        <v>31254531</v>
      </c>
      <c r="Z4" s="45">
        <v>31523937</v>
      </c>
      <c r="AA4" s="45">
        <v>31816034</v>
      </c>
    </row>
    <row r="5" spans="1:27" x14ac:dyDescent="0.25">
      <c r="A5" s="46" t="s">
        <v>240</v>
      </c>
      <c r="B5" s="47"/>
      <c r="C5" s="47"/>
      <c r="D5" s="48">
        <f>D3/D4</f>
        <v>2.2992013045802828</v>
      </c>
      <c r="E5" s="48">
        <f t="shared" ref="E5:S5" si="0">E3/E4</f>
        <v>2.295400985610633</v>
      </c>
      <c r="F5" s="48">
        <f t="shared" si="0"/>
        <v>2.2916006379349221</v>
      </c>
      <c r="G5" s="48">
        <f t="shared" si="0"/>
        <v>2.2878003140432663</v>
      </c>
      <c r="H5" s="48">
        <f t="shared" si="0"/>
        <v>2.2840000351992478</v>
      </c>
      <c r="I5" s="48">
        <f t="shared" si="0"/>
        <v>2.2969999705066542</v>
      </c>
      <c r="J5" s="48">
        <f t="shared" si="0"/>
        <v>2.2800000043270847</v>
      </c>
      <c r="K5" s="48">
        <f t="shared" si="0"/>
        <v>2.272999962964906</v>
      </c>
      <c r="L5" s="48">
        <f t="shared" si="0"/>
        <v>2.2459999989473056</v>
      </c>
      <c r="M5" s="48">
        <f t="shared" si="0"/>
        <v>2.2419999642535529</v>
      </c>
      <c r="N5" s="48">
        <f t="shared" si="0"/>
        <v>2.2260000092952463</v>
      </c>
      <c r="O5" s="48">
        <f t="shared" si="0"/>
        <v>2.2299999931362144</v>
      </c>
      <c r="P5" s="48">
        <f t="shared" si="0"/>
        <v>2.2240000318897097</v>
      </c>
      <c r="Q5" s="48">
        <f t="shared" si="0"/>
        <v>2.2189999913405338</v>
      </c>
      <c r="R5" s="48">
        <f t="shared" si="0"/>
        <v>2.2080000331036591</v>
      </c>
      <c r="S5" s="48">
        <f t="shared" si="0"/>
        <v>2.1959999637844891</v>
      </c>
      <c r="T5" s="48">
        <f t="shared" ref="T5:Y5" si="1">T3/T4</f>
        <v>2.1864972659101127</v>
      </c>
      <c r="U5" s="48">
        <f t="shared" si="1"/>
        <v>2.1841215982073483</v>
      </c>
      <c r="V5" s="48">
        <f t="shared" si="1"/>
        <v>2.1811519630367147</v>
      </c>
      <c r="W5" s="48">
        <f t="shared" si="1"/>
        <v>2.1774399898470977</v>
      </c>
      <c r="X5" s="48">
        <f t="shared" si="1"/>
        <v>2.1727999996393352</v>
      </c>
      <c r="Y5" s="48">
        <f t="shared" si="1"/>
        <v>2.1669999783391405</v>
      </c>
      <c r="Z5" s="48">
        <f t="shared" ref="Z5:AA5" si="2">Z3/Z4</f>
        <v>2.1599999708158282</v>
      </c>
      <c r="AA5" s="48">
        <f t="shared" si="2"/>
        <v>2.1460000325621982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2878.37</v>
      </c>
      <c r="E8" s="42">
        <v>2619.46</v>
      </c>
      <c r="F8" s="42">
        <v>2454.9299999999998</v>
      </c>
      <c r="G8" s="42">
        <v>2616.98</v>
      </c>
      <c r="H8" s="42">
        <v>2767.51</v>
      </c>
      <c r="I8" s="42">
        <v>2891.02</v>
      </c>
      <c r="J8" s="42">
        <v>2798.82</v>
      </c>
      <c r="K8" s="42">
        <v>2795.6</v>
      </c>
      <c r="L8" s="42">
        <v>2426.84</v>
      </c>
      <c r="M8" s="42">
        <v>2337.81</v>
      </c>
      <c r="N8" s="42">
        <v>2335.9499999999998</v>
      </c>
      <c r="O8" s="42">
        <v>2733.19</v>
      </c>
      <c r="P8" s="42">
        <v>2552.48</v>
      </c>
      <c r="Q8" s="42">
        <v>2585.17</v>
      </c>
      <c r="R8" s="42">
        <v>2271.2600000000002</v>
      </c>
      <c r="S8" s="42">
        <v>2424.67</v>
      </c>
      <c r="T8" s="42">
        <v>2710.6</v>
      </c>
      <c r="U8" s="42">
        <v>2303.2199999999998</v>
      </c>
      <c r="V8" s="42">
        <v>2475.15</v>
      </c>
      <c r="W8" s="42">
        <v>2355.83</v>
      </c>
      <c r="X8" s="42">
        <v>2270.83</v>
      </c>
      <c r="Y8" s="42">
        <v>2412.5500000000002</v>
      </c>
      <c r="Z8" s="42">
        <v>2210.0100000000002</v>
      </c>
      <c r="AA8" s="42">
        <v>2374.08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2552.6519047619049</v>
      </c>
      <c r="E9" s="45">
        <f t="shared" si="3"/>
        <v>2552.6519047619049</v>
      </c>
      <c r="F9" s="45">
        <f t="shared" si="3"/>
        <v>2552.6519047619049</v>
      </c>
      <c r="G9" s="45">
        <f t="shared" si="3"/>
        <v>2552.6519047619049</v>
      </c>
      <c r="H9" s="45">
        <f t="shared" si="3"/>
        <v>2552.6519047619049</v>
      </c>
      <c r="I9" s="45">
        <f t="shared" si="3"/>
        <v>2552.6519047619049</v>
      </c>
      <c r="J9" s="45">
        <f t="shared" si="3"/>
        <v>2552.6519047619049</v>
      </c>
      <c r="K9" s="45">
        <f t="shared" si="3"/>
        <v>2552.6519047619049</v>
      </c>
      <c r="L9" s="45">
        <f t="shared" si="3"/>
        <v>2552.6519047619049</v>
      </c>
      <c r="M9" s="45">
        <f t="shared" si="3"/>
        <v>2552.6519047619049</v>
      </c>
      <c r="N9" s="45">
        <f t="shared" si="3"/>
        <v>2552.6519047619049</v>
      </c>
      <c r="O9" s="45">
        <f t="shared" si="3"/>
        <v>2552.6519047619049</v>
      </c>
      <c r="P9" s="45">
        <f t="shared" si="3"/>
        <v>2552.6519047619049</v>
      </c>
      <c r="Q9" s="45">
        <f t="shared" si="3"/>
        <v>2552.6519047619049</v>
      </c>
      <c r="R9" s="45">
        <f t="shared" si="3"/>
        <v>2552.6519047619049</v>
      </c>
      <c r="S9" s="45">
        <f t="shared" si="3"/>
        <v>2552.6519047619049</v>
      </c>
      <c r="T9" s="45">
        <f t="shared" si="3"/>
        <v>2552.6519047619049</v>
      </c>
      <c r="U9" s="45">
        <f t="shared" si="3"/>
        <v>2552.6519047619049</v>
      </c>
      <c r="V9" s="45">
        <f t="shared" si="3"/>
        <v>2552.6519047619049</v>
      </c>
      <c r="W9" s="45">
        <f t="shared" si="3"/>
        <v>2552.6519047619049</v>
      </c>
      <c r="X9" s="45">
        <f>AVERAGE($D8:$X8)</f>
        <v>2552.6519047619049</v>
      </c>
      <c r="Y9" s="45">
        <f t="shared" ref="Y9:AA9" si="4">AVERAGE($D8:$X8)</f>
        <v>2552.6519047619049</v>
      </c>
      <c r="Z9" s="45">
        <f t="shared" si="4"/>
        <v>2552.6519047619049</v>
      </c>
      <c r="AA9" s="45">
        <f t="shared" si="4"/>
        <v>2552.6519047619049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1.1275998872507749</v>
      </c>
      <c r="E10" s="53">
        <f t="shared" si="5"/>
        <v>1.0261720350955281</v>
      </c>
      <c r="F10" s="53">
        <f t="shared" si="5"/>
        <v>0.96171749678065876</v>
      </c>
      <c r="G10" s="53">
        <f t="shared" si="5"/>
        <v>1.0252004964398369</v>
      </c>
      <c r="H10" s="53">
        <f t="shared" si="5"/>
        <v>1.0841705423435459</v>
      </c>
      <c r="I10" s="53">
        <f t="shared" si="5"/>
        <v>1.1325555178937161</v>
      </c>
      <c r="J10" s="53">
        <f t="shared" si="5"/>
        <v>1.0964362178716476</v>
      </c>
      <c r="K10" s="53">
        <f t="shared" si="5"/>
        <v>1.0951747846170807</v>
      </c>
      <c r="L10" s="53">
        <f t="shared" si="5"/>
        <v>0.95071325450712418</v>
      </c>
      <c r="M10" s="53">
        <f t="shared" si="5"/>
        <v>0.91583580026672529</v>
      </c>
      <c r="N10" s="53">
        <f t="shared" si="5"/>
        <v>0.91510714627495693</v>
      </c>
      <c r="O10" s="53">
        <f t="shared" si="5"/>
        <v>1.070725700947045</v>
      </c>
      <c r="P10" s="53">
        <f t="shared" si="5"/>
        <v>0.99993265640270645</v>
      </c>
      <c r="Q10" s="53">
        <f t="shared" si="5"/>
        <v>1.0127389461827652</v>
      </c>
      <c r="R10" s="53">
        <f t="shared" si="5"/>
        <v>0.88976487384081804</v>
      </c>
      <c r="S10" s="53">
        <f t="shared" si="5"/>
        <v>0.94986315818339428</v>
      </c>
      <c r="T10" s="53">
        <f t="shared" ref="T10:Y10" si="6">IF(T8=0,0,T8/T9)</f>
        <v>1.0618760806921801</v>
      </c>
      <c r="U10" s="53">
        <f t="shared" si="6"/>
        <v>0.90228518651658052</v>
      </c>
      <c r="V10" s="53">
        <f t="shared" si="6"/>
        <v>0.96963867082020583</v>
      </c>
      <c r="W10" s="53">
        <f t="shared" si="6"/>
        <v>0.92289512549880426</v>
      </c>
      <c r="X10" s="53">
        <f t="shared" si="6"/>
        <v>0.88959642157390373</v>
      </c>
      <c r="Y10" s="53">
        <f t="shared" si="6"/>
        <v>0.94511515475316143</v>
      </c>
      <c r="Z10" s="53">
        <f t="shared" ref="Z10:AA10" si="7">IF(Z8=0,0,Z8/Z9)</f>
        <v>0.86577021954199274</v>
      </c>
      <c r="AA10" s="53">
        <f t="shared" si="7"/>
        <v>0.93004455310620937</v>
      </c>
    </row>
    <row r="11" spans="1:27" x14ac:dyDescent="0.25">
      <c r="A11" s="43" t="s">
        <v>251</v>
      </c>
      <c r="B11" s="44"/>
      <c r="C11" s="44"/>
      <c r="D11" s="45">
        <v>6.46</v>
      </c>
      <c r="E11" s="45">
        <v>13.16</v>
      </c>
      <c r="F11" s="45">
        <v>27.63</v>
      </c>
      <c r="G11" s="45">
        <v>55.66</v>
      </c>
      <c r="H11" s="45">
        <v>11.33</v>
      </c>
      <c r="I11" s="45">
        <v>14.65</v>
      </c>
      <c r="J11" s="45">
        <v>24.31</v>
      </c>
      <c r="K11" s="45">
        <v>32.03</v>
      </c>
      <c r="L11" s="45">
        <v>12.92</v>
      </c>
      <c r="M11" s="45">
        <v>31.31</v>
      </c>
      <c r="N11" s="45">
        <v>49.65</v>
      </c>
      <c r="O11" s="45">
        <v>37.86</v>
      </c>
      <c r="P11" s="45">
        <v>38.81</v>
      </c>
      <c r="Q11" s="45">
        <v>13.88</v>
      </c>
      <c r="R11" s="45">
        <v>55.52</v>
      </c>
      <c r="S11" s="45">
        <v>45.03</v>
      </c>
      <c r="T11" s="45">
        <v>14.08</v>
      </c>
      <c r="U11" s="45">
        <v>31.67</v>
      </c>
      <c r="V11" s="45">
        <v>37</v>
      </c>
      <c r="W11" s="45">
        <v>20.53</v>
      </c>
      <c r="X11" s="45">
        <v>19.78</v>
      </c>
      <c r="Y11" s="45">
        <v>38.82</v>
      </c>
      <c r="Z11" s="45">
        <v>21.96</v>
      </c>
      <c r="AA11" s="45">
        <v>150.02000000000001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28.250952380952373</v>
      </c>
      <c r="E12" s="45">
        <f t="shared" ref="E12" si="9">AVERAGE($D11:$X11)</f>
        <v>28.250952380952373</v>
      </c>
      <c r="F12" s="45">
        <f t="shared" ref="F12" si="10">AVERAGE($D11:$X11)</f>
        <v>28.250952380952373</v>
      </c>
      <c r="G12" s="45">
        <f t="shared" ref="G12" si="11">AVERAGE($D11:$X11)</f>
        <v>28.250952380952373</v>
      </c>
      <c r="H12" s="45">
        <f t="shared" ref="H12" si="12">AVERAGE($D11:$X11)</f>
        <v>28.250952380952373</v>
      </c>
      <c r="I12" s="45">
        <f t="shared" ref="I12" si="13">AVERAGE($D11:$X11)</f>
        <v>28.250952380952373</v>
      </c>
      <c r="J12" s="45">
        <f t="shared" ref="J12" si="14">AVERAGE($D11:$X11)</f>
        <v>28.250952380952373</v>
      </c>
      <c r="K12" s="45">
        <f t="shared" ref="K12" si="15">AVERAGE($D11:$X11)</f>
        <v>28.250952380952373</v>
      </c>
      <c r="L12" s="45">
        <f t="shared" ref="L12" si="16">AVERAGE($D11:$X11)</f>
        <v>28.250952380952373</v>
      </c>
      <c r="M12" s="45">
        <f t="shared" ref="M12" si="17">AVERAGE($D11:$X11)</f>
        <v>28.250952380952373</v>
      </c>
      <c r="N12" s="45">
        <f t="shared" ref="N12" si="18">AVERAGE($D11:$X11)</f>
        <v>28.250952380952373</v>
      </c>
      <c r="O12" s="45">
        <f t="shared" ref="O12" si="19">AVERAGE($D11:$X11)</f>
        <v>28.250952380952373</v>
      </c>
      <c r="P12" s="45">
        <f t="shared" ref="P12" si="20">AVERAGE($D11:$X11)</f>
        <v>28.250952380952373</v>
      </c>
      <c r="Q12" s="45">
        <f t="shared" ref="Q12" si="21">AVERAGE($D11:$X11)</f>
        <v>28.250952380952373</v>
      </c>
      <c r="R12" s="45">
        <f t="shared" ref="R12" si="22">AVERAGE($D11:$X11)</f>
        <v>28.250952380952373</v>
      </c>
      <c r="S12" s="45">
        <f t="shared" ref="S12" si="23">AVERAGE($D11:$X11)</f>
        <v>28.250952380952373</v>
      </c>
      <c r="T12" s="45">
        <f t="shared" ref="T12" si="24">AVERAGE($D11:$X11)</f>
        <v>28.250952380952373</v>
      </c>
      <c r="U12" s="45">
        <f t="shared" ref="U12" si="25">AVERAGE($D11:$X11)</f>
        <v>28.250952380952373</v>
      </c>
      <c r="V12" s="45">
        <f t="shared" ref="V12" si="26">AVERAGE($D11:$X11)</f>
        <v>28.250952380952373</v>
      </c>
      <c r="W12" s="45">
        <f t="shared" ref="W12" si="27">AVERAGE($D11:$X11)</f>
        <v>28.250952380952373</v>
      </c>
      <c r="X12" s="45">
        <f>AVERAGE($D11:$X11)</f>
        <v>28.250952380952373</v>
      </c>
      <c r="Y12" s="45">
        <f t="shared" ref="Y12:AA12" si="28">AVERAGE($D11:$X11)</f>
        <v>28.250952380952373</v>
      </c>
      <c r="Z12" s="45">
        <f t="shared" si="28"/>
        <v>28.250952380952373</v>
      </c>
      <c r="AA12" s="45">
        <f t="shared" si="28"/>
        <v>28.250952380952373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0.22866485748478776</v>
      </c>
      <c r="E13" s="55">
        <f t="shared" si="29"/>
        <v>0.46582500379253977</v>
      </c>
      <c r="F13" s="55">
        <f t="shared" ref="F13" si="30">IF(F11=0,0,F11/F12)</f>
        <v>0.97802012574375941</v>
      </c>
      <c r="G13" s="55">
        <f t="shared" ref="G13" si="31">IF(G11=0,0,G11/G12)</f>
        <v>1.9701990661924591</v>
      </c>
      <c r="H13" s="55">
        <f t="shared" ref="H13" si="32">IF(H11=0,0,H11/H12)</f>
        <v>0.40104842651743738</v>
      </c>
      <c r="I13" s="55">
        <f t="shared" ref="I13" si="33">IF(I11=0,0,I11/I12)</f>
        <v>0.51856658856844284</v>
      </c>
      <c r="J13" s="55">
        <f t="shared" ref="J13" si="34">IF(J11=0,0,J11/J12)</f>
        <v>0.86050196369275389</v>
      </c>
      <c r="K13" s="55">
        <f t="shared" ref="K13" si="35">IF(K11=0,0,K11/K12)</f>
        <v>1.1337670874981041</v>
      </c>
      <c r="L13" s="55">
        <f t="shared" ref="L13" si="36">IF(L11=0,0,L11/L12)</f>
        <v>0.45732971496957553</v>
      </c>
      <c r="M13" s="55">
        <f t="shared" ref="M13" si="37">IF(M11=0,0,M11/M12)</f>
        <v>1.1082812210292112</v>
      </c>
      <c r="N13" s="55">
        <f t="shared" ref="N13" si="38">IF(N11=0,0,N11/N12)</f>
        <v>1.7574628752507295</v>
      </c>
      <c r="O13" s="55">
        <f t="shared" ref="O13" si="39">IF(O11=0,0,O11/O12)</f>
        <v>1.3401318118226107</v>
      </c>
      <c r="P13" s="55">
        <f t="shared" ref="P13" si="40">IF(P11=0,0,P11/P12)</f>
        <v>1.3737589967468442</v>
      </c>
      <c r="Q13" s="55">
        <f t="shared" ref="Q13" si="41">IF(Q11=0,0,Q11/Q12)</f>
        <v>0.49131087026143255</v>
      </c>
      <c r="R13" s="55">
        <f t="shared" ref="R13" si="42">IF(R11=0,0,R11/R12)</f>
        <v>1.9652434810457302</v>
      </c>
      <c r="S13" s="55">
        <f t="shared" ref="S13:Y13" si="43">IF(S11=0,0,S11/S12)</f>
        <v>1.5939285654086677</v>
      </c>
      <c r="T13" s="55">
        <f t="shared" si="43"/>
        <v>0.49839027761390275</v>
      </c>
      <c r="U13" s="55">
        <f t="shared" si="43"/>
        <v>1.1210241542636576</v>
      </c>
      <c r="V13" s="55">
        <f t="shared" si="43"/>
        <v>1.3096903602069887</v>
      </c>
      <c r="W13" s="55">
        <f t="shared" si="43"/>
        <v>0.72670116473106705</v>
      </c>
      <c r="X13" s="55">
        <f t="shared" si="43"/>
        <v>0.70015338715930375</v>
      </c>
      <c r="Y13" s="55">
        <f t="shared" si="43"/>
        <v>1.3741129671144676</v>
      </c>
      <c r="Z13" s="55">
        <f t="shared" ref="Z13:AA13" si="44">IF(Z11=0,0,Z11/Z12)</f>
        <v>0.77731892730122898</v>
      </c>
      <c r="AA13" s="55">
        <f t="shared" si="44"/>
        <v>5.3102634550879042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2129982.1205957797</v>
      </c>
      <c r="E16" s="42">
        <v>2170447.1371248597</v>
      </c>
      <c r="F16" s="42">
        <v>2193611.1049348298</v>
      </c>
      <c r="G16" s="42">
        <v>2214840.6873487346</v>
      </c>
      <c r="H16" s="42">
        <v>2278364.7041270351</v>
      </c>
      <c r="I16" s="42">
        <v>2321391.2813204429</v>
      </c>
      <c r="J16" s="42">
        <v>2384411.1699537169</v>
      </c>
      <c r="K16" s="42">
        <v>2444748.6903599082</v>
      </c>
      <c r="L16" s="42">
        <v>2454030.0330225378</v>
      </c>
      <c r="M16" s="42">
        <v>2384720.6079538735</v>
      </c>
      <c r="N16" s="42">
        <v>2432414.1809648168</v>
      </c>
      <c r="O16" s="42">
        <v>2491708.8020426128</v>
      </c>
      <c r="P16" s="42">
        <v>2496305.8266142006</v>
      </c>
      <c r="Q16" s="42">
        <v>2515816.4970717174</v>
      </c>
      <c r="R16" s="42">
        <v>2540924.9888488841</v>
      </c>
      <c r="S16" s="42">
        <v>2568023.0224639997</v>
      </c>
      <c r="T16" s="42">
        <v>2590115.4725747886</v>
      </c>
      <c r="U16" s="42">
        <v>2644067.1471510376</v>
      </c>
      <c r="V16" s="42">
        <v>2687584.2877242402</v>
      </c>
      <c r="W16" s="42">
        <v>2742088.6243217904</v>
      </c>
      <c r="X16" s="42">
        <v>2538067.7212515953</v>
      </c>
      <c r="Y16" s="42">
        <v>2712742.8347970401</v>
      </c>
      <c r="Z16" s="42">
        <v>2786422.3685428859</v>
      </c>
      <c r="AA16" s="42">
        <v>2826541.5</v>
      </c>
    </row>
    <row r="17" spans="1:27" x14ac:dyDescent="0.25">
      <c r="A17" s="46" t="s">
        <v>141</v>
      </c>
      <c r="B17" s="47"/>
      <c r="C17" s="47"/>
      <c r="D17" s="57">
        <v>1135017.8900281508</v>
      </c>
      <c r="E17" s="57">
        <v>1164161.993715805</v>
      </c>
      <c r="F17" s="57">
        <v>1189186.6013388669</v>
      </c>
      <c r="G17" s="57">
        <v>1208340.1736092037</v>
      </c>
      <c r="H17" s="57">
        <v>1231665.64997063</v>
      </c>
      <c r="I17" s="57">
        <v>1262872.8176020861</v>
      </c>
      <c r="J17" s="57">
        <v>1297610.6727777475</v>
      </c>
      <c r="K17" s="57">
        <v>1333528.0891222043</v>
      </c>
      <c r="L17" s="57">
        <v>1340771.9258613712</v>
      </c>
      <c r="M17" s="57">
        <v>1344517.0976149824</v>
      </c>
      <c r="N17" s="57">
        <v>1371225.8876629802</v>
      </c>
      <c r="O17" s="57">
        <v>1382198.8281840237</v>
      </c>
      <c r="P17" s="57">
        <v>1377245.0295056629</v>
      </c>
      <c r="Q17" s="57">
        <v>1385551.6766091792</v>
      </c>
      <c r="R17" s="57">
        <v>1399684.4651367962</v>
      </c>
      <c r="S17" s="57">
        <v>1422256.0825880002</v>
      </c>
      <c r="T17" s="57">
        <v>1446630.5906544668</v>
      </c>
      <c r="U17" s="57">
        <v>1467892.8511446679</v>
      </c>
      <c r="V17" s="57">
        <v>1483463.5056657305</v>
      </c>
      <c r="W17" s="57">
        <v>1508310.1427007227</v>
      </c>
      <c r="X17" s="57">
        <v>1410958.7170884081</v>
      </c>
      <c r="Y17" s="57">
        <v>1485089.3641056332</v>
      </c>
      <c r="Z17" s="57">
        <v>1534372.6905473799</v>
      </c>
      <c r="AA17" s="57">
        <v>1544768.5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35180.136206669144</v>
      </c>
      <c r="E20" s="42">
        <f t="shared" ref="E20:S20" si="45">1000000*E16/E$3</f>
        <v>35593.170194267674</v>
      </c>
      <c r="F20" s="42">
        <f t="shared" si="45"/>
        <v>35712.584971375538</v>
      </c>
      <c r="G20" s="42">
        <f t="shared" si="45"/>
        <v>35801.718880083296</v>
      </c>
      <c r="H20" s="42">
        <f t="shared" si="45"/>
        <v>36575.417219731025</v>
      </c>
      <c r="I20" s="42">
        <f t="shared" si="45"/>
        <v>36980.805263809714</v>
      </c>
      <c r="J20" s="42">
        <f t="shared" si="45"/>
        <v>37710.3421513301</v>
      </c>
      <c r="K20" s="42">
        <f t="shared" si="45"/>
        <v>38412.22709663205</v>
      </c>
      <c r="L20" s="42">
        <f t="shared" si="45"/>
        <v>38339.910219505138</v>
      </c>
      <c r="M20" s="42">
        <f t="shared" si="45"/>
        <v>37058.465155256388</v>
      </c>
      <c r="N20" s="42">
        <f t="shared" si="45"/>
        <v>37619.196061322473</v>
      </c>
      <c r="O20" s="42">
        <f t="shared" si="45"/>
        <v>38346.535045566881</v>
      </c>
      <c r="P20" s="42">
        <f t="shared" si="45"/>
        <v>38241.746353599105</v>
      </c>
      <c r="Q20" s="42">
        <f t="shared" si="45"/>
        <v>38350.656621065551</v>
      </c>
      <c r="R20" s="42">
        <f t="shared" si="45"/>
        <v>38402.287532790782</v>
      </c>
      <c r="S20" s="42">
        <f t="shared" si="45"/>
        <v>38641.203622736844</v>
      </c>
      <c r="T20" s="42">
        <f t="shared" ref="T20:Y20" si="46">1000000*T16/T$3</f>
        <v>38868.217460034241</v>
      </c>
      <c r="U20" s="42">
        <f t="shared" si="46"/>
        <v>39576.027976952333</v>
      </c>
      <c r="V20" s="42">
        <f t="shared" si="46"/>
        <v>40097.50404146652</v>
      </c>
      <c r="W20" s="42">
        <f t="shared" si="46"/>
        <v>40750.028697551999</v>
      </c>
      <c r="X20" s="42">
        <f t="shared" si="46"/>
        <v>37615.686770108157</v>
      </c>
      <c r="Y20" s="42">
        <f t="shared" si="46"/>
        <v>40053.15504082472</v>
      </c>
      <c r="Z20" s="42">
        <f t="shared" ref="Z20:AA20" si="47">1000000*Z16/Z$3</f>
        <v>40921.613732335136</v>
      </c>
      <c r="AA20" s="42">
        <f t="shared" si="47"/>
        <v>41398.022854185168</v>
      </c>
    </row>
    <row r="21" spans="1:27" x14ac:dyDescent="0.25">
      <c r="A21" s="46" t="s">
        <v>141</v>
      </c>
      <c r="B21" s="47"/>
      <c r="C21" s="47"/>
      <c r="D21" s="57">
        <f>1000000*D17/D$3</f>
        <v>18746.675656144787</v>
      </c>
      <c r="E21" s="57">
        <f t="shared" ref="E21:S21" si="48">1000000*E17/E$3</f>
        <v>19091.096607362757</v>
      </c>
      <c r="F21" s="57">
        <f t="shared" si="48"/>
        <v>19360.281068780092</v>
      </c>
      <c r="G21" s="57">
        <f t="shared" si="48"/>
        <v>19532.174686050552</v>
      </c>
      <c r="H21" s="57">
        <f t="shared" si="48"/>
        <v>19772.376626659327</v>
      </c>
      <c r="I21" s="57">
        <f t="shared" si="48"/>
        <v>20118.130931437197</v>
      </c>
      <c r="J21" s="57">
        <f t="shared" si="48"/>
        <v>20522.191418276376</v>
      </c>
      <c r="K21" s="57">
        <f t="shared" si="48"/>
        <v>20952.576434986819</v>
      </c>
      <c r="L21" s="57">
        <f t="shared" si="48"/>
        <v>20947.207071889108</v>
      </c>
      <c r="M21" s="57">
        <f t="shared" si="48"/>
        <v>20893.743211018133</v>
      </c>
      <c r="N21" s="57">
        <f t="shared" si="48"/>
        <v>21207.085502146532</v>
      </c>
      <c r="O21" s="57">
        <f t="shared" si="48"/>
        <v>21271.5610112428</v>
      </c>
      <c r="P21" s="57">
        <f t="shared" si="48"/>
        <v>21098.478609308015</v>
      </c>
      <c r="Q21" s="57">
        <f t="shared" si="48"/>
        <v>21121.101893651165</v>
      </c>
      <c r="R21" s="57">
        <f t="shared" si="48"/>
        <v>21154.140921615552</v>
      </c>
      <c r="S21" s="57">
        <f t="shared" si="48"/>
        <v>21400.776554653876</v>
      </c>
      <c r="T21" s="57">
        <f t="shared" ref="T21:Y21" si="49">1000000*T17/T$3</f>
        <v>21708.666264983302</v>
      </c>
      <c r="U21" s="57">
        <f t="shared" si="49"/>
        <v>21971.215294840327</v>
      </c>
      <c r="V21" s="57">
        <f t="shared" si="49"/>
        <v>22132.583593933778</v>
      </c>
      <c r="W21" s="57">
        <f t="shared" si="49"/>
        <v>22414.914330154155</v>
      </c>
      <c r="X21" s="57">
        <f t="shared" si="49"/>
        <v>20911.254929548839</v>
      </c>
      <c r="Y21" s="57">
        <f t="shared" si="49"/>
        <v>21927.074615037385</v>
      </c>
      <c r="Z21" s="57">
        <f t="shared" ref="Z21:AA21" si="50">1000000*Z17/Z$3</f>
        <v>22533.91563062213</v>
      </c>
      <c r="AA21" s="57">
        <f t="shared" si="50"/>
        <v>22624.950550849982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1893734.6494139263</v>
      </c>
      <c r="E23" s="60">
        <v>1929379.1145198983</v>
      </c>
      <c r="F23" s="60">
        <v>1949218.208743708</v>
      </c>
      <c r="G23" s="60">
        <v>1966646.8717161829</v>
      </c>
      <c r="H23" s="60">
        <v>2027103.1728605523</v>
      </c>
      <c r="I23" s="60">
        <v>2062405.5333266491</v>
      </c>
      <c r="J23" s="60">
        <v>2118732.7502515367</v>
      </c>
      <c r="K23" s="60">
        <v>2174871.6607009629</v>
      </c>
      <c r="L23" s="60">
        <v>2188628.9376781313</v>
      </c>
      <c r="M23" s="60">
        <v>2131306.8161644605</v>
      </c>
      <c r="N23" s="60">
        <v>2169554.9493963961</v>
      </c>
      <c r="O23" s="60">
        <v>2224527.6886573979</v>
      </c>
      <c r="P23" s="60">
        <v>2233359.7264827783</v>
      </c>
      <c r="Q23" s="60">
        <v>2251771.8475581929</v>
      </c>
      <c r="R23" s="60">
        <v>2278798.3009287925</v>
      </c>
      <c r="S23" s="60">
        <v>2297464.3890539999</v>
      </c>
      <c r="T23" s="60">
        <v>2313081.0654017967</v>
      </c>
      <c r="U23" s="60">
        <v>2358304.520248245</v>
      </c>
      <c r="V23" s="60">
        <v>2396586.3487393549</v>
      </c>
      <c r="W23" s="60">
        <v>2447055.8733680244</v>
      </c>
      <c r="X23" s="60">
        <v>2268494.318477524</v>
      </c>
      <c r="Y23" s="60">
        <v>2416905.6762057426</v>
      </c>
      <c r="Z23" s="60">
        <v>2488782.2596688149</v>
      </c>
      <c r="AA23" s="60">
        <v>2538450.4</v>
      </c>
    </row>
    <row r="24" spans="1:27" x14ac:dyDescent="0.25">
      <c r="A24" s="61" t="s">
        <v>33</v>
      </c>
      <c r="B24" s="62"/>
      <c r="C24" s="62"/>
      <c r="D24" s="63">
        <v>41975.530604446081</v>
      </c>
      <c r="E24" s="63">
        <v>43024.983858791391</v>
      </c>
      <c r="F24" s="63">
        <v>41319.834137069236</v>
      </c>
      <c r="G24" s="63">
        <v>38204.661996247392</v>
      </c>
      <c r="H24" s="63">
        <v>38861.146580293214</v>
      </c>
      <c r="I24" s="63">
        <v>36410.420693803884</v>
      </c>
      <c r="J24" s="63">
        <v>33839.173951928453</v>
      </c>
      <c r="K24" s="63">
        <v>36819.465944825082</v>
      </c>
      <c r="L24" s="63">
        <v>34607.547241840446</v>
      </c>
      <c r="M24" s="63">
        <v>29163.021421195903</v>
      </c>
      <c r="N24" s="63">
        <v>36258.581324934166</v>
      </c>
      <c r="O24" s="63">
        <v>38556.001573361849</v>
      </c>
      <c r="P24" s="63">
        <v>38124.943218522218</v>
      </c>
      <c r="Q24" s="63">
        <v>34313.059151072572</v>
      </c>
      <c r="R24" s="63">
        <v>37325.069349845195</v>
      </c>
      <c r="S24" s="63">
        <v>38792.889594000007</v>
      </c>
      <c r="T24" s="63">
        <v>34819.038286356721</v>
      </c>
      <c r="U24" s="63">
        <v>38208.560401713126</v>
      </c>
      <c r="V24" s="63">
        <v>41512.493237602263</v>
      </c>
      <c r="W24" s="63">
        <v>38972.396947691355</v>
      </c>
      <c r="X24" s="63">
        <v>37346.217963632254</v>
      </c>
      <c r="Y24" s="63">
        <v>40088.206186450938</v>
      </c>
      <c r="Z24" s="63">
        <v>47969.548349904515</v>
      </c>
      <c r="AA24" s="63">
        <v>41967.3</v>
      </c>
    </row>
    <row r="25" spans="1:27" x14ac:dyDescent="0.25">
      <c r="A25" s="64" t="s">
        <v>56</v>
      </c>
      <c r="B25" s="65"/>
      <c r="C25" s="65"/>
      <c r="D25" s="66">
        <v>2917.7127172515156</v>
      </c>
      <c r="E25" s="66">
        <v>2925.912370133372</v>
      </c>
      <c r="F25" s="66">
        <v>2916.7831532260902</v>
      </c>
      <c r="G25" s="66">
        <v>2628.5334131433233</v>
      </c>
      <c r="H25" s="66">
        <v>2514.4491919536299</v>
      </c>
      <c r="I25" s="66">
        <v>2679.2105674754362</v>
      </c>
      <c r="J25" s="66">
        <v>2838.78144214645</v>
      </c>
      <c r="K25" s="66">
        <v>3080.6173947433108</v>
      </c>
      <c r="L25" s="66">
        <v>3043.0877742488187</v>
      </c>
      <c r="M25" s="66">
        <v>2845.0863606495832</v>
      </c>
      <c r="N25" s="66">
        <v>2873.4599225486663</v>
      </c>
      <c r="O25" s="66">
        <v>2804.9712599234922</v>
      </c>
      <c r="P25" s="66">
        <v>2734.6359521427544</v>
      </c>
      <c r="Q25" s="66">
        <v>2646.2415700593328</v>
      </c>
      <c r="R25" s="66">
        <v>2897.0452012383907</v>
      </c>
      <c r="S25" s="66">
        <v>2488.4651339999982</v>
      </c>
      <c r="T25" s="66">
        <v>2381.7157803623468</v>
      </c>
      <c r="U25" s="66">
        <v>2416.3925189356378</v>
      </c>
      <c r="V25" s="66">
        <v>2467.9806311571219</v>
      </c>
      <c r="W25" s="66">
        <v>2413.1610248145694</v>
      </c>
      <c r="X25" s="66">
        <v>2209.9822396656873</v>
      </c>
      <c r="Y25" s="66">
        <v>2451.2414057912915</v>
      </c>
      <c r="Z25" s="66">
        <v>2059.9469796866338</v>
      </c>
      <c r="AA25" s="66">
        <v>2297.7511491160008</v>
      </c>
    </row>
    <row r="26" spans="1:27" x14ac:dyDescent="0.25">
      <c r="A26" s="67" t="s">
        <v>146</v>
      </c>
      <c r="B26" s="44"/>
      <c r="C26" s="44"/>
      <c r="D26" s="45">
        <v>1443315.3683997795</v>
      </c>
      <c r="E26" s="45">
        <v>1478454.785303951</v>
      </c>
      <c r="F26" s="45">
        <v>1504331.5644619663</v>
      </c>
      <c r="G26" s="45">
        <v>1528476.9352203791</v>
      </c>
      <c r="H26" s="45">
        <v>1581107.4425502897</v>
      </c>
      <c r="I26" s="45">
        <v>1617359.2952476433</v>
      </c>
      <c r="J26" s="45">
        <v>1671948.2428172161</v>
      </c>
      <c r="K26" s="45">
        <v>1718976.1132379188</v>
      </c>
      <c r="L26" s="45">
        <v>1739664.2101717589</v>
      </c>
      <c r="M26" s="45">
        <v>1715659.3180512532</v>
      </c>
      <c r="N26" s="45">
        <v>1750257.3343852945</v>
      </c>
      <c r="O26" s="45">
        <v>1790234.2801406775</v>
      </c>
      <c r="P26" s="45">
        <v>1803450.7155250208</v>
      </c>
      <c r="Q26" s="45">
        <v>1818554.4538201734</v>
      </c>
      <c r="R26" s="45">
        <v>1842638.7309597521</v>
      </c>
      <c r="S26" s="45">
        <v>1858622.2207559999</v>
      </c>
      <c r="T26" s="45">
        <v>1881884.2845857663</v>
      </c>
      <c r="U26" s="45">
        <v>1919598.9715648177</v>
      </c>
      <c r="V26" s="45">
        <v>1947668.4994823837</v>
      </c>
      <c r="W26" s="45">
        <v>1987215.518595394</v>
      </c>
      <c r="X26" s="45">
        <v>1858418.1326123779</v>
      </c>
      <c r="Y26" s="45">
        <v>1983973.9770212208</v>
      </c>
      <c r="Z26" s="45">
        <v>2037389.6742586065</v>
      </c>
      <c r="AA26" s="45">
        <v>2027833.8857974168</v>
      </c>
    </row>
    <row r="27" spans="1:27" x14ac:dyDescent="0.25">
      <c r="A27" s="68" t="s">
        <v>148</v>
      </c>
      <c r="B27" s="69"/>
      <c r="C27" s="69"/>
      <c r="D27" s="70">
        <v>525928.84208708443</v>
      </c>
      <c r="E27" s="70">
        <v>535713.15202214487</v>
      </c>
      <c r="F27" s="70">
        <v>552451.46290260123</v>
      </c>
      <c r="G27" s="70">
        <v>562438.42695889389</v>
      </c>
      <c r="H27" s="70">
        <v>579259.67275826796</v>
      </c>
      <c r="I27" s="70">
        <v>592959.1331261273</v>
      </c>
      <c r="J27" s="70">
        <v>604321.72017887083</v>
      </c>
      <c r="K27" s="70">
        <v>618437.32426007662</v>
      </c>
      <c r="L27" s="70">
        <v>625872.41230097413</v>
      </c>
      <c r="M27" s="70">
        <v>637573.76879752183</v>
      </c>
      <c r="N27" s="70">
        <v>651973.07309134083</v>
      </c>
      <c r="O27" s="70">
        <v>666259.49399654509</v>
      </c>
      <c r="P27" s="70">
        <v>675662.05923150713</v>
      </c>
      <c r="Q27" s="70">
        <v>685612.63868553191</v>
      </c>
      <c r="R27" s="70">
        <v>696952.45170278626</v>
      </c>
      <c r="S27" s="70">
        <v>698378.78006999998</v>
      </c>
      <c r="T27" s="70">
        <v>704432.72808946262</v>
      </c>
      <c r="U27" s="70">
        <v>719906.61979815247</v>
      </c>
      <c r="V27" s="70">
        <v>720723.78513942193</v>
      </c>
      <c r="W27" s="70">
        <v>734497.87965710054</v>
      </c>
      <c r="X27" s="70">
        <v>674970.16138468485</v>
      </c>
      <c r="Y27" s="70">
        <v>733024.61699549831</v>
      </c>
      <c r="Z27" s="70">
        <v>764135.49917786592</v>
      </c>
      <c r="AA27" s="70">
        <v>735128.89999999991</v>
      </c>
    </row>
    <row r="28" spans="1:27" x14ac:dyDescent="0.25">
      <c r="A28" s="68" t="s">
        <v>150</v>
      </c>
      <c r="B28" s="71"/>
      <c r="C28" s="71"/>
      <c r="D28" s="70">
        <v>670622.32975932397</v>
      </c>
      <c r="E28" s="70">
        <v>685400.09873818175</v>
      </c>
      <c r="F28" s="70">
        <v>692942.74932591792</v>
      </c>
      <c r="G28" s="70">
        <v>702109.82103069976</v>
      </c>
      <c r="H28" s="70">
        <v>735818.8321718378</v>
      </c>
      <c r="I28" s="70">
        <v>761152.61161018629</v>
      </c>
      <c r="J28" s="70">
        <v>802358.96713247616</v>
      </c>
      <c r="K28" s="70">
        <v>831144.23448592843</v>
      </c>
      <c r="L28" s="70">
        <v>836864.19846629619</v>
      </c>
      <c r="M28" s="70">
        <v>805755.59414249496</v>
      </c>
      <c r="N28" s="70">
        <v>828412.00854030042</v>
      </c>
      <c r="O28" s="70">
        <v>847779.00174612319</v>
      </c>
      <c r="P28" s="70">
        <v>850448.45110761747</v>
      </c>
      <c r="Q28" s="70">
        <v>857641.52001825639</v>
      </c>
      <c r="R28" s="70">
        <v>870240.1495356037</v>
      </c>
      <c r="S28" s="70">
        <v>878980.0776839999</v>
      </c>
      <c r="T28" s="70">
        <v>896098.34964929218</v>
      </c>
      <c r="U28" s="70">
        <v>914566.28398501012</v>
      </c>
      <c r="V28" s="70">
        <v>939220.30338954728</v>
      </c>
      <c r="W28" s="70">
        <v>957235.74844277883</v>
      </c>
      <c r="X28" s="70">
        <v>908014.8016433249</v>
      </c>
      <c r="Y28" s="70">
        <v>954528.38917044876</v>
      </c>
      <c r="Z28" s="70">
        <v>971806.87934444449</v>
      </c>
      <c r="AA28" s="70">
        <v>984642.49999999988</v>
      </c>
    </row>
    <row r="29" spans="1:27" x14ac:dyDescent="0.25">
      <c r="A29" s="68" t="s">
        <v>152</v>
      </c>
      <c r="B29" s="71"/>
      <c r="C29" s="71"/>
      <c r="D29" s="70">
        <v>246764.19655337129</v>
      </c>
      <c r="E29" s="70">
        <v>257341.53454362441</v>
      </c>
      <c r="F29" s="70">
        <v>258937.35223344716</v>
      </c>
      <c r="G29" s="70">
        <v>263928.68723078514</v>
      </c>
      <c r="H29" s="70">
        <v>266028.93762018409</v>
      </c>
      <c r="I29" s="70">
        <v>263247.55051132943</v>
      </c>
      <c r="J29" s="70">
        <v>265267.5555058691</v>
      </c>
      <c r="K29" s="70">
        <v>269394.55449191405</v>
      </c>
      <c r="L29" s="70">
        <v>276927.59940448828</v>
      </c>
      <c r="M29" s="70">
        <v>272329.95511123625</v>
      </c>
      <c r="N29" s="70">
        <v>269872.25275365304</v>
      </c>
      <c r="O29" s="70">
        <v>276195.78439800913</v>
      </c>
      <c r="P29" s="70">
        <v>277340.20518589602</v>
      </c>
      <c r="Q29" s="70">
        <v>275300.29511638521</v>
      </c>
      <c r="R29" s="70">
        <v>275446.12972136226</v>
      </c>
      <c r="S29" s="70">
        <v>281263.36300200009</v>
      </c>
      <c r="T29" s="70">
        <v>281353.20684701181</v>
      </c>
      <c r="U29" s="70">
        <v>285126.06778165518</v>
      </c>
      <c r="V29" s="70">
        <v>287724.41095341457</v>
      </c>
      <c r="W29" s="70">
        <v>295481.89049551467</v>
      </c>
      <c r="X29" s="70">
        <v>275433.16958436853</v>
      </c>
      <c r="Y29" s="70">
        <v>296420.9708552736</v>
      </c>
      <c r="Z29" s="70">
        <v>301447.29573629622</v>
      </c>
      <c r="AA29" s="70">
        <v>308062.48579741665</v>
      </c>
    </row>
    <row r="30" spans="1:27" x14ac:dyDescent="0.25">
      <c r="A30" s="64" t="s">
        <v>154</v>
      </c>
      <c r="B30" s="65"/>
      <c r="C30" s="65"/>
      <c r="D30" s="66">
        <v>39894.977218445711</v>
      </c>
      <c r="E30" s="66">
        <v>38296.813955494843</v>
      </c>
      <c r="F30" s="66">
        <v>37830.860389313246</v>
      </c>
      <c r="G30" s="66">
        <v>37700.378589435146</v>
      </c>
      <c r="H30" s="66">
        <v>40125.164105011914</v>
      </c>
      <c r="I30" s="66">
        <v>42529.872889512735</v>
      </c>
      <c r="J30" s="66">
        <v>41189.305757406364</v>
      </c>
      <c r="K30" s="66">
        <v>33949.801693085501</v>
      </c>
      <c r="L30" s="66">
        <v>31584.172867650126</v>
      </c>
      <c r="M30" s="66">
        <v>30099.119008729944</v>
      </c>
      <c r="N30" s="66">
        <v>29821.556666494562</v>
      </c>
      <c r="O30" s="66">
        <v>32070.484755871832</v>
      </c>
      <c r="P30" s="66">
        <v>33837.126887033206</v>
      </c>
      <c r="Q30" s="66">
        <v>35436.006061159278</v>
      </c>
      <c r="R30" s="66">
        <v>35864.214860681124</v>
      </c>
      <c r="S30" s="66">
        <v>36540.461231999972</v>
      </c>
      <c r="T30" s="66">
        <v>35613.099016028071</v>
      </c>
      <c r="U30" s="66">
        <v>32826.663903319175</v>
      </c>
      <c r="V30" s="66">
        <v>35313.303456336624</v>
      </c>
      <c r="W30" s="66">
        <v>37540.702611549052</v>
      </c>
      <c r="X30" s="66">
        <v>36937.203032527657</v>
      </c>
      <c r="Y30" s="66">
        <v>35470.583796680279</v>
      </c>
      <c r="Z30" s="66">
        <v>31998.944250011045</v>
      </c>
      <c r="AA30" s="66">
        <v>78922.706720302056</v>
      </c>
    </row>
    <row r="31" spans="1:27" x14ac:dyDescent="0.25">
      <c r="A31" s="64" t="s">
        <v>37</v>
      </c>
      <c r="B31" s="65"/>
      <c r="C31" s="65"/>
      <c r="D31" s="66">
        <v>90874.564100679767</v>
      </c>
      <c r="E31" s="66">
        <v>94768.579882805498</v>
      </c>
      <c r="F31" s="66">
        <v>96887.090316449016</v>
      </c>
      <c r="G31" s="66">
        <v>99866.192124135225</v>
      </c>
      <c r="H31" s="66">
        <v>106000.05676099558</v>
      </c>
      <c r="I31" s="66">
        <v>110784.52791257267</v>
      </c>
      <c r="J31" s="66">
        <v>119588.35673560647</v>
      </c>
      <c r="K31" s="66">
        <v>129538.88413480551</v>
      </c>
      <c r="L31" s="66">
        <v>137429.94819048018</v>
      </c>
      <c r="M31" s="66">
        <v>132218.58912982259</v>
      </c>
      <c r="N31" s="66">
        <v>130322.33636598337</v>
      </c>
      <c r="O31" s="66">
        <v>134303.93777508123</v>
      </c>
      <c r="P31" s="66">
        <v>130714.56959921599</v>
      </c>
      <c r="Q31" s="66">
        <v>133245.54966681881</v>
      </c>
      <c r="R31" s="66">
        <v>131154.61486068109</v>
      </c>
      <c r="S31" s="66">
        <v>127092.08955599999</v>
      </c>
      <c r="T31" s="66">
        <v>126160.62525494721</v>
      </c>
      <c r="U31" s="66">
        <v>131194.18420113414</v>
      </c>
      <c r="V31" s="66">
        <v>133770.42087159789</v>
      </c>
      <c r="W31" s="66">
        <v>140086.22189041201</v>
      </c>
      <c r="X31" s="66">
        <v>127962.76999096452</v>
      </c>
      <c r="Y31" s="66">
        <v>137614.56246376946</v>
      </c>
      <c r="Z31" s="66">
        <v>137572.0788369987</v>
      </c>
      <c r="AA31" s="66">
        <v>143658.9</v>
      </c>
    </row>
    <row r="32" spans="1:27" x14ac:dyDescent="0.25">
      <c r="A32" s="64" t="s">
        <v>58</v>
      </c>
      <c r="B32" s="65"/>
      <c r="C32" s="65"/>
      <c r="D32" s="66">
        <v>274756.49637332355</v>
      </c>
      <c r="E32" s="66">
        <v>271908.03914872208</v>
      </c>
      <c r="F32" s="66">
        <v>265932.07628568413</v>
      </c>
      <c r="G32" s="66">
        <v>259770.1703728431</v>
      </c>
      <c r="H32" s="66">
        <v>258494.91367200817</v>
      </c>
      <c r="I32" s="66">
        <v>252642.20601564067</v>
      </c>
      <c r="J32" s="66">
        <v>249328.88954723315</v>
      </c>
      <c r="K32" s="66">
        <v>252506.77829558449</v>
      </c>
      <c r="L32" s="66">
        <v>242299.97143215351</v>
      </c>
      <c r="M32" s="66">
        <v>221321.68219280953</v>
      </c>
      <c r="N32" s="66">
        <v>220021.68073114057</v>
      </c>
      <c r="O32" s="66">
        <v>226558.01315248245</v>
      </c>
      <c r="P32" s="66">
        <v>224497.73530084314</v>
      </c>
      <c r="Q32" s="66">
        <v>227576.5372889092</v>
      </c>
      <c r="R32" s="66">
        <v>228918.62569659436</v>
      </c>
      <c r="S32" s="66">
        <v>233928.26278199995</v>
      </c>
      <c r="T32" s="66">
        <v>232222.30247833562</v>
      </c>
      <c r="U32" s="66">
        <v>234059.74765832568</v>
      </c>
      <c r="V32" s="66">
        <v>235853.65106027716</v>
      </c>
      <c r="W32" s="66">
        <v>240827.87229816319</v>
      </c>
      <c r="X32" s="66">
        <v>205620.01263835555</v>
      </c>
      <c r="Y32" s="66">
        <v>217307.10533182972</v>
      </c>
      <c r="Z32" s="66">
        <v>231792.06699360759</v>
      </c>
      <c r="AA32" s="66">
        <v>243769.85633316531</v>
      </c>
    </row>
    <row r="33" spans="1:27" x14ac:dyDescent="0.25">
      <c r="A33" s="72" t="s">
        <v>158</v>
      </c>
      <c r="B33" s="65"/>
      <c r="C33" s="65"/>
      <c r="D33" s="66">
        <v>11397.683137975382</v>
      </c>
      <c r="E33" s="66">
        <v>9973.1564295215157</v>
      </c>
      <c r="F33" s="66">
        <v>8815.8055334577057</v>
      </c>
      <c r="G33" s="66">
        <v>8239.327123502122</v>
      </c>
      <c r="H33" s="66">
        <v>9368.1147084896002</v>
      </c>
      <c r="I33" s="66">
        <v>9700.9591537998785</v>
      </c>
      <c r="J33" s="66">
        <v>9393.7975405254329</v>
      </c>
      <c r="K33" s="66">
        <v>10575.341618478575</v>
      </c>
      <c r="L33" s="66">
        <v>10725.436510092357</v>
      </c>
      <c r="M33" s="66">
        <v>7981.5215432272598</v>
      </c>
      <c r="N33" s="66">
        <v>8266.0081623379974</v>
      </c>
      <c r="O33" s="66">
        <v>9634.5713010571344</v>
      </c>
      <c r="P33" s="66">
        <v>7712.4223381449183</v>
      </c>
      <c r="Q33" s="66">
        <v>7737.9564947512554</v>
      </c>
      <c r="R33" s="66">
        <v>7409.4492260061916</v>
      </c>
      <c r="S33" s="66">
        <v>7888.1285880000005</v>
      </c>
      <c r="T33" s="66">
        <v>7182.5766353931404</v>
      </c>
      <c r="U33" s="66">
        <v>7759.0169746599504</v>
      </c>
      <c r="V33" s="66">
        <v>7370.0992486224741</v>
      </c>
      <c r="W33" s="66">
        <v>6020.3298668012885</v>
      </c>
      <c r="X33" s="66">
        <v>4583.5483905579395</v>
      </c>
      <c r="Y33" s="66">
        <v>6023.3561431141015</v>
      </c>
      <c r="Z33" s="66">
        <v>10912.835046037708</v>
      </c>
      <c r="AA33" s="66">
        <v>10282.255430632576</v>
      </c>
    </row>
    <row r="34" spans="1:27" x14ac:dyDescent="0.25">
      <c r="A34" s="73" t="s">
        <v>5</v>
      </c>
      <c r="B34" s="65"/>
      <c r="C34" s="65"/>
      <c r="D34" s="66">
        <v>8692.3054764518965</v>
      </c>
      <c r="E34" s="66">
        <v>7605.9073761231421</v>
      </c>
      <c r="F34" s="66">
        <v>6723.2676843323261</v>
      </c>
      <c r="G34" s="66">
        <v>6283.6233830078281</v>
      </c>
      <c r="H34" s="66">
        <v>7144.4796103621593</v>
      </c>
      <c r="I34" s="66">
        <v>7398.3194091838568</v>
      </c>
      <c r="J34" s="66">
        <v>7164.0663122254573</v>
      </c>
      <c r="K34" s="66">
        <v>8065.1566421752477</v>
      </c>
      <c r="L34" s="66">
        <v>8179.6246996364143</v>
      </c>
      <c r="M34" s="66">
        <v>5575.8048661321209</v>
      </c>
      <c r="N34" s="66">
        <v>5696.2334936573488</v>
      </c>
      <c r="O34" s="66">
        <v>6820.9081149716758</v>
      </c>
      <c r="P34" s="66">
        <v>4691.9828884035433</v>
      </c>
      <c r="Q34" s="66">
        <v>4774.730188310743</v>
      </c>
      <c r="R34" s="66">
        <v>4251.4287360526987</v>
      </c>
      <c r="S34" s="66">
        <v>4465.1955741715828</v>
      </c>
      <c r="T34" s="66">
        <v>3966.6375459128817</v>
      </c>
      <c r="U34" s="66">
        <v>4695.148231284451</v>
      </c>
      <c r="V34" s="66">
        <v>4842.6883887327313</v>
      </c>
      <c r="W34" s="66">
        <v>3573.4967820455654</v>
      </c>
      <c r="X34" s="66">
        <v>2576.45448981543</v>
      </c>
      <c r="Y34" s="66">
        <v>3806.4831217784867</v>
      </c>
      <c r="Z34" s="66">
        <v>7390.0676456953388</v>
      </c>
      <c r="AA34" s="66">
        <v>6869.54571285561</v>
      </c>
    </row>
    <row r="35" spans="1:27" x14ac:dyDescent="0.25">
      <c r="A35" s="74" t="s">
        <v>264</v>
      </c>
      <c r="B35" s="44"/>
      <c r="C35" s="44"/>
      <c r="D35" s="45">
        <v>5488.4927886979967</v>
      </c>
      <c r="E35" s="45">
        <v>4639.9243960769982</v>
      </c>
      <c r="F35" s="45">
        <v>4357.003032611221</v>
      </c>
      <c r="G35" s="45">
        <v>4048.2460876991595</v>
      </c>
      <c r="H35" s="45">
        <v>4645.4222311242984</v>
      </c>
      <c r="I35" s="45">
        <v>4882.0970261078619</v>
      </c>
      <c r="J35" s="45">
        <v>4672.6074263533083</v>
      </c>
      <c r="K35" s="45">
        <v>5219.4664403196557</v>
      </c>
      <c r="L35" s="45">
        <v>5150.8367480032457</v>
      </c>
      <c r="M35" s="45">
        <v>3521.60736867383</v>
      </c>
      <c r="N35" s="45">
        <v>3823.5264548877408</v>
      </c>
      <c r="O35" s="45">
        <v>4399.8365314497541</v>
      </c>
      <c r="P35" s="45">
        <v>3036.8695201213695</v>
      </c>
      <c r="Q35" s="45">
        <v>3278.8976449742772</v>
      </c>
      <c r="R35" s="45">
        <v>2966.8669891129261</v>
      </c>
      <c r="S35" s="45">
        <v>3092.2998076791582</v>
      </c>
      <c r="T35" s="45">
        <v>2771.8025479586336</v>
      </c>
      <c r="U35" s="45">
        <v>3395.2565798521355</v>
      </c>
      <c r="V35" s="45">
        <v>3481.2025006804602</v>
      </c>
      <c r="W35" s="45">
        <v>2623.6607916690318</v>
      </c>
      <c r="X35" s="45">
        <v>1842.8947863222186</v>
      </c>
      <c r="Y35" s="45">
        <v>2709.9661217771768</v>
      </c>
      <c r="Z35" s="45">
        <v>5174.2362369412112</v>
      </c>
      <c r="AA35" s="45">
        <v>4260.6180115813604</v>
      </c>
    </row>
    <row r="36" spans="1:27" x14ac:dyDescent="0.25">
      <c r="A36" s="74" t="s">
        <v>15</v>
      </c>
      <c r="B36" s="44"/>
      <c r="C36" s="44"/>
      <c r="D36" s="45">
        <v>3203.8126877538998</v>
      </c>
      <c r="E36" s="45">
        <v>2965.9829800461439</v>
      </c>
      <c r="F36" s="45">
        <v>2366.2646517211051</v>
      </c>
      <c r="G36" s="45">
        <v>2235.3772953086686</v>
      </c>
      <c r="H36" s="45">
        <v>2499.0573792378609</v>
      </c>
      <c r="I36" s="45">
        <v>2516.2223830759949</v>
      </c>
      <c r="J36" s="45">
        <v>2491.458885872149</v>
      </c>
      <c r="K36" s="45">
        <v>2845.690201855592</v>
      </c>
      <c r="L36" s="45">
        <v>3028.7879516331686</v>
      </c>
      <c r="M36" s="45">
        <v>2054.1974974582909</v>
      </c>
      <c r="N36" s="45">
        <v>1872.7070387696081</v>
      </c>
      <c r="O36" s="45">
        <v>2421.0715835219216</v>
      </c>
      <c r="P36" s="45">
        <v>1655.1133682821737</v>
      </c>
      <c r="Q36" s="45">
        <v>1495.8325433364657</v>
      </c>
      <c r="R36" s="45">
        <v>1284.5617469397725</v>
      </c>
      <c r="S36" s="45">
        <v>1372.8957664924246</v>
      </c>
      <c r="T36" s="45">
        <v>1194.8349979542481</v>
      </c>
      <c r="U36" s="45">
        <v>1299.8916514323155</v>
      </c>
      <c r="V36" s="45">
        <v>1361.4858880522711</v>
      </c>
      <c r="W36" s="45">
        <v>949.83599037653357</v>
      </c>
      <c r="X36" s="45">
        <v>733.55970349321137</v>
      </c>
      <c r="Y36" s="45">
        <v>1096.51700000131</v>
      </c>
      <c r="Z36" s="45">
        <v>2215.8314087541276</v>
      </c>
      <c r="AA36" s="45">
        <v>2608.9277012742496</v>
      </c>
    </row>
    <row r="37" spans="1:27" x14ac:dyDescent="0.25">
      <c r="A37" s="73" t="s">
        <v>263</v>
      </c>
      <c r="B37" s="65"/>
      <c r="C37" s="65"/>
      <c r="D37" s="66">
        <v>2705.3776615234856</v>
      </c>
      <c r="E37" s="66">
        <v>2367.2490533983737</v>
      </c>
      <c r="F37" s="66">
        <v>2092.5378491253796</v>
      </c>
      <c r="G37" s="66">
        <v>1955.7037404942939</v>
      </c>
      <c r="H37" s="66">
        <v>2223.6350981274409</v>
      </c>
      <c r="I37" s="66">
        <v>2302.6397446160217</v>
      </c>
      <c r="J37" s="66">
        <v>2229.7312282999756</v>
      </c>
      <c r="K37" s="66">
        <v>2510.1849763033269</v>
      </c>
      <c r="L37" s="66">
        <v>2545.8118104559426</v>
      </c>
      <c r="M37" s="66">
        <v>2405.7166770951389</v>
      </c>
      <c r="N37" s="66">
        <v>2569.7746686806486</v>
      </c>
      <c r="O37" s="66">
        <v>2813.6631860854586</v>
      </c>
      <c r="P37" s="66">
        <v>3020.439449741375</v>
      </c>
      <c r="Q37" s="66">
        <v>2963.2263064405124</v>
      </c>
      <c r="R37" s="66">
        <v>3158.0204899534929</v>
      </c>
      <c r="S37" s="66">
        <v>3422.9330138284176</v>
      </c>
      <c r="T37" s="66">
        <v>3215.9390894802586</v>
      </c>
      <c r="U37" s="66">
        <v>3063.8687433754994</v>
      </c>
      <c r="V37" s="66">
        <v>2527.4108598897428</v>
      </c>
      <c r="W37" s="66">
        <v>2446.8330847557231</v>
      </c>
      <c r="X37" s="66">
        <v>2007.0939007425095</v>
      </c>
      <c r="Y37" s="66">
        <v>2216.8730213356148</v>
      </c>
      <c r="Z37" s="66">
        <v>3522.767400342369</v>
      </c>
      <c r="AA37" s="66">
        <v>3412.7097177769665</v>
      </c>
    </row>
    <row r="38" spans="1:27" x14ac:dyDescent="0.25">
      <c r="A38" s="74" t="s">
        <v>14</v>
      </c>
      <c r="B38" s="44"/>
      <c r="C38" s="44"/>
      <c r="D38" s="45">
        <v>110.68427540871167</v>
      </c>
      <c r="E38" s="45">
        <v>96.850524758087644</v>
      </c>
      <c r="F38" s="45">
        <v>85.611350640530901</v>
      </c>
      <c r="G38" s="45">
        <v>126.74352619811491</v>
      </c>
      <c r="H38" s="45">
        <v>132.73738601516271</v>
      </c>
      <c r="I38" s="45">
        <v>209.94054426969612</v>
      </c>
      <c r="J38" s="45">
        <v>183.92645400510065</v>
      </c>
      <c r="K38" s="45">
        <v>207.06057112558656</v>
      </c>
      <c r="L38" s="45">
        <v>209.99936356386371</v>
      </c>
      <c r="M38" s="45">
        <v>142.34261385377036</v>
      </c>
      <c r="N38" s="45">
        <v>152.33619900436344</v>
      </c>
      <c r="O38" s="45">
        <v>163.54166109607075</v>
      </c>
      <c r="P38" s="45">
        <v>172.53684261106494</v>
      </c>
      <c r="Q38" s="45">
        <v>166.17883516556182</v>
      </c>
      <c r="R38" s="45">
        <v>189.22216581105559</v>
      </c>
      <c r="S38" s="45">
        <v>215.61486009960046</v>
      </c>
      <c r="T38" s="45">
        <v>194.87776973405744</v>
      </c>
      <c r="U38" s="45">
        <v>207.09282362174682</v>
      </c>
      <c r="V38" s="45">
        <v>162.26475187197263</v>
      </c>
      <c r="W38" s="45">
        <v>168.31529803505555</v>
      </c>
      <c r="X38" s="45">
        <v>117.88295580945724</v>
      </c>
      <c r="Y38" s="45">
        <v>120.42936199938443</v>
      </c>
      <c r="Z38" s="45">
        <v>245.3958076375323</v>
      </c>
      <c r="AA38" s="45">
        <v>151.79357525241159</v>
      </c>
    </row>
    <row r="39" spans="1:27" x14ac:dyDescent="0.25">
      <c r="A39" s="74" t="s">
        <v>19</v>
      </c>
      <c r="B39" s="44"/>
      <c r="C39" s="44"/>
      <c r="D39" s="45">
        <v>2008.4549309882773</v>
      </c>
      <c r="E39" s="45">
        <v>1757.4304326508984</v>
      </c>
      <c r="F39" s="45">
        <v>1553.4866060026377</v>
      </c>
      <c r="G39" s="45">
        <v>1451.9018460942091</v>
      </c>
      <c r="H39" s="45">
        <v>1650.8123583151316</v>
      </c>
      <c r="I39" s="45">
        <v>1709.4648984272651</v>
      </c>
      <c r="J39" s="45">
        <v>1655.3380860459058</v>
      </c>
      <c r="K39" s="45">
        <v>1863.5451401302789</v>
      </c>
      <c r="L39" s="45">
        <v>1889.9942720747731</v>
      </c>
      <c r="M39" s="45">
        <v>1281.0835246839331</v>
      </c>
      <c r="N39" s="45">
        <v>1371.0257910392709</v>
      </c>
      <c r="O39" s="45">
        <v>1471.8749498646366</v>
      </c>
      <c r="P39" s="45">
        <v>1552.8315834995844</v>
      </c>
      <c r="Q39" s="45">
        <v>1495.6095164900562</v>
      </c>
      <c r="R39" s="45">
        <v>1702.9994922995002</v>
      </c>
      <c r="S39" s="45">
        <v>1940.533740896404</v>
      </c>
      <c r="T39" s="45">
        <v>1753.8999276065167</v>
      </c>
      <c r="U39" s="45">
        <v>1863.8354125957212</v>
      </c>
      <c r="V39" s="45">
        <v>1460.3827668477534</v>
      </c>
      <c r="W39" s="45">
        <v>1514.8376823154999</v>
      </c>
      <c r="X39" s="45">
        <v>1060.9466022851152</v>
      </c>
      <c r="Y39" s="45">
        <v>1083.8642579944599</v>
      </c>
      <c r="Z39" s="45">
        <v>2208.5622687377904</v>
      </c>
      <c r="AA39" s="45">
        <v>1366.1421772717042</v>
      </c>
    </row>
    <row r="40" spans="1:27" x14ac:dyDescent="0.25">
      <c r="A40" s="75" t="s">
        <v>267</v>
      </c>
      <c r="B40" s="76"/>
      <c r="C40" s="76"/>
      <c r="D40" s="45">
        <v>1349.851238867391</v>
      </c>
      <c r="E40" s="45">
        <v>1213.0630678938803</v>
      </c>
      <c r="F40" s="45">
        <v>1064.3230819135676</v>
      </c>
      <c r="G40" s="45">
        <v>1008.6555702877361</v>
      </c>
      <c r="H40" s="45">
        <v>1156.3776404328462</v>
      </c>
      <c r="I40" s="45">
        <v>1209.1217849950353</v>
      </c>
      <c r="J40" s="45">
        <v>1159.3596116821714</v>
      </c>
      <c r="K40" s="45">
        <v>1298.7353040652683</v>
      </c>
      <c r="L40" s="45">
        <v>1305.8629608390966</v>
      </c>
      <c r="M40" s="45">
        <v>964.67993170285024</v>
      </c>
      <c r="N40" s="45">
        <v>962.79445280794482</v>
      </c>
      <c r="O40" s="45">
        <v>999.4637541480181</v>
      </c>
      <c r="P40" s="45">
        <v>1067.0500628531408</v>
      </c>
      <c r="Q40" s="45">
        <v>1042.411272634374</v>
      </c>
      <c r="R40" s="45">
        <v>1202.582509611995</v>
      </c>
      <c r="S40" s="45">
        <v>1429.8669669762976</v>
      </c>
      <c r="T40" s="45">
        <v>1299.2121790507945</v>
      </c>
      <c r="U40" s="45">
        <v>1364.1992434812475</v>
      </c>
      <c r="V40" s="45">
        <v>1043.8044516624855</v>
      </c>
      <c r="W40" s="45">
        <v>1091.8129175533891</v>
      </c>
      <c r="X40" s="45">
        <v>770.70345554563539</v>
      </c>
      <c r="Y40" s="45">
        <v>787.86059552745621</v>
      </c>
      <c r="Z40" s="45">
        <v>1580.4765696601617</v>
      </c>
      <c r="AA40" s="45">
        <v>702.75839820932913</v>
      </c>
    </row>
    <row r="41" spans="1:27" x14ac:dyDescent="0.25">
      <c r="A41" s="75" t="s">
        <v>268</v>
      </c>
      <c r="B41" s="76"/>
      <c r="C41" s="76"/>
      <c r="D41" s="45">
        <v>658.60369212088631</v>
      </c>
      <c r="E41" s="45">
        <v>544.36736475701809</v>
      </c>
      <c r="F41" s="45">
        <v>489.16352408907005</v>
      </c>
      <c r="G41" s="45">
        <v>443.24627580647302</v>
      </c>
      <c r="H41" s="45">
        <v>494.43471788228544</v>
      </c>
      <c r="I41" s="45">
        <v>500.34311343222976</v>
      </c>
      <c r="J41" s="45">
        <v>495.97847436373445</v>
      </c>
      <c r="K41" s="45">
        <v>564.80983606501059</v>
      </c>
      <c r="L41" s="45">
        <v>584.13131123567655</v>
      </c>
      <c r="M41" s="45">
        <v>316.40359298108285</v>
      </c>
      <c r="N41" s="45">
        <v>408.23133823132605</v>
      </c>
      <c r="O41" s="45">
        <v>472.41119571661852</v>
      </c>
      <c r="P41" s="45">
        <v>485.7815206464436</v>
      </c>
      <c r="Q41" s="45">
        <v>453.19824385568222</v>
      </c>
      <c r="R41" s="45">
        <v>500.4169826875052</v>
      </c>
      <c r="S41" s="45">
        <v>510.66677392010638</v>
      </c>
      <c r="T41" s="45">
        <v>454.68774855572224</v>
      </c>
      <c r="U41" s="45">
        <v>499.63616911447366</v>
      </c>
      <c r="V41" s="45">
        <v>416.57831518526791</v>
      </c>
      <c r="W41" s="45">
        <v>423.02476476211086</v>
      </c>
      <c r="X41" s="45">
        <v>290.24314673947981</v>
      </c>
      <c r="Y41" s="45">
        <v>296.00366246700366</v>
      </c>
      <c r="Z41" s="45">
        <v>628.08569907762876</v>
      </c>
      <c r="AA41" s="45">
        <v>663.38377906237508</v>
      </c>
    </row>
    <row r="42" spans="1:27" x14ac:dyDescent="0.25">
      <c r="A42" s="74" t="s">
        <v>13</v>
      </c>
      <c r="B42" s="44"/>
      <c r="C42" s="44"/>
      <c r="D42" s="45">
        <v>586.23845512649677</v>
      </c>
      <c r="E42" s="45">
        <v>512.96809598938785</v>
      </c>
      <c r="F42" s="45">
        <v>453.43989248221101</v>
      </c>
      <c r="G42" s="45">
        <v>377.05836820196987</v>
      </c>
      <c r="H42" s="45">
        <v>440.08535379714635</v>
      </c>
      <c r="I42" s="45">
        <v>383.2343019190605</v>
      </c>
      <c r="J42" s="45">
        <v>390.46668824896915</v>
      </c>
      <c r="K42" s="45">
        <v>439.57926504746138</v>
      </c>
      <c r="L42" s="45">
        <v>445.81817481730536</v>
      </c>
      <c r="M42" s="45">
        <v>982.29053855743564</v>
      </c>
      <c r="N42" s="45">
        <v>1046.4126786370141</v>
      </c>
      <c r="O42" s="45">
        <v>1178.2465751247514</v>
      </c>
      <c r="P42" s="45">
        <v>1295.0710236307257</v>
      </c>
      <c r="Q42" s="45">
        <v>1301.4379547848944</v>
      </c>
      <c r="R42" s="45">
        <v>1265.798831842937</v>
      </c>
      <c r="S42" s="45">
        <v>1266.7844128324134</v>
      </c>
      <c r="T42" s="45">
        <v>1267.1613921396845</v>
      </c>
      <c r="U42" s="45">
        <v>992.94050715803132</v>
      </c>
      <c r="V42" s="45">
        <v>904.7633411700167</v>
      </c>
      <c r="W42" s="45">
        <v>763.68010440516775</v>
      </c>
      <c r="X42" s="45">
        <v>828.26434264793716</v>
      </c>
      <c r="Y42" s="45">
        <v>1012.5794013417703</v>
      </c>
      <c r="Z42" s="45">
        <v>1068.8093239670461</v>
      </c>
      <c r="AA42" s="45">
        <v>1894.7739652528505</v>
      </c>
    </row>
    <row r="43" spans="1:27" x14ac:dyDescent="0.25">
      <c r="A43" s="72" t="s">
        <v>265</v>
      </c>
      <c r="B43" s="65"/>
      <c r="C43" s="65"/>
      <c r="D43" s="66">
        <v>31659.752452691529</v>
      </c>
      <c r="E43" s="66">
        <v>32107.934895926956</v>
      </c>
      <c r="F43" s="66">
        <v>30263.258178746171</v>
      </c>
      <c r="G43" s="66">
        <v>30570.259109274451</v>
      </c>
      <c r="H43" s="66">
        <v>30068.566089328335</v>
      </c>
      <c r="I43" s="66">
        <v>30917.262201724479</v>
      </c>
      <c r="J43" s="66">
        <v>31987.54343208496</v>
      </c>
      <c r="K43" s="66">
        <v>31514.320097908225</v>
      </c>
      <c r="L43" s="66">
        <v>30579.769012495301</v>
      </c>
      <c r="M43" s="66">
        <v>29401.263024500138</v>
      </c>
      <c r="N43" s="66">
        <v>28867.125491815976</v>
      </c>
      <c r="O43" s="66">
        <v>30013.939702192423</v>
      </c>
      <c r="P43" s="66">
        <v>29705.083229547352</v>
      </c>
      <c r="Q43" s="66">
        <v>31773.56113190324</v>
      </c>
      <c r="R43" s="66">
        <v>31728.052012383901</v>
      </c>
      <c r="S43" s="66">
        <v>33606.995292</v>
      </c>
      <c r="T43" s="66">
        <v>32674.024896777468</v>
      </c>
      <c r="U43" s="66">
        <v>34090.573016219212</v>
      </c>
      <c r="V43" s="66">
        <v>33217.36169644347</v>
      </c>
      <c r="W43" s="66">
        <v>34230.499693215796</v>
      </c>
      <c r="X43" s="66">
        <v>30638.395154732316</v>
      </c>
      <c r="Y43" s="66">
        <v>31371.236982637303</v>
      </c>
      <c r="Z43" s="66">
        <v>34677.532645980325</v>
      </c>
      <c r="AA43" s="66">
        <v>31840.300000000003</v>
      </c>
    </row>
    <row r="44" spans="1:27" x14ac:dyDescent="0.25">
      <c r="A44" s="73" t="s">
        <v>266</v>
      </c>
      <c r="B44" s="65"/>
      <c r="C44" s="65"/>
      <c r="D44" s="66">
        <v>17701.929281646149</v>
      </c>
      <c r="E44" s="66">
        <v>16571.275608440883</v>
      </c>
      <c r="F44" s="66">
        <v>14699.701510084833</v>
      </c>
      <c r="G44" s="66">
        <v>14340.373883715305</v>
      </c>
      <c r="H44" s="66">
        <v>14523.814428912377</v>
      </c>
      <c r="I44" s="66">
        <v>15023.606998195306</v>
      </c>
      <c r="J44" s="66">
        <v>14799.04292901062</v>
      </c>
      <c r="K44" s="66">
        <v>15369.264320147076</v>
      </c>
      <c r="L44" s="66">
        <v>15601.013385431903</v>
      </c>
      <c r="M44" s="66">
        <v>15071.195606871303</v>
      </c>
      <c r="N44" s="66">
        <v>14736.194644498371</v>
      </c>
      <c r="O44" s="66">
        <v>15924.243901937394</v>
      </c>
      <c r="P44" s="66">
        <v>15922.192607035666</v>
      </c>
      <c r="Q44" s="66">
        <v>17624.691574623459</v>
      </c>
      <c r="R44" s="66">
        <v>18271.234365325075</v>
      </c>
      <c r="S44" s="66">
        <v>19454.282009999999</v>
      </c>
      <c r="T44" s="66">
        <v>18607.373163136373</v>
      </c>
      <c r="U44" s="66">
        <v>20075.333741127015</v>
      </c>
      <c r="V44" s="66">
        <v>19321.387543830351</v>
      </c>
      <c r="W44" s="66">
        <v>20107.096192380879</v>
      </c>
      <c r="X44" s="66">
        <v>17442.920465326402</v>
      </c>
      <c r="Y44" s="66">
        <v>17097.632717919085</v>
      </c>
      <c r="Z44" s="66">
        <v>20592.526771801789</v>
      </c>
      <c r="AA44" s="66">
        <v>17821.2</v>
      </c>
    </row>
    <row r="45" spans="1:27" x14ac:dyDescent="0.25">
      <c r="A45" s="74" t="s">
        <v>20</v>
      </c>
      <c r="B45" s="44"/>
      <c r="C45" s="44"/>
      <c r="D45" s="45">
        <v>2983.3573884797624</v>
      </c>
      <c r="E45" s="45">
        <v>3848.6789850564023</v>
      </c>
      <c r="F45" s="45">
        <v>4027.5919753518028</v>
      </c>
      <c r="G45" s="45">
        <v>4972.5763381456254</v>
      </c>
      <c r="H45" s="45">
        <v>5004.279609251902</v>
      </c>
      <c r="I45" s="45">
        <v>5089.6548142778784</v>
      </c>
      <c r="J45" s="45">
        <v>5612.7477880038596</v>
      </c>
      <c r="K45" s="45">
        <v>5719.8580658168721</v>
      </c>
      <c r="L45" s="45">
        <v>5762.820828029302</v>
      </c>
      <c r="M45" s="45">
        <v>5513.3641112863634</v>
      </c>
      <c r="N45" s="45">
        <v>5890.1877106800812</v>
      </c>
      <c r="O45" s="45">
        <v>6554.5875095307565</v>
      </c>
      <c r="P45" s="45">
        <v>6083.6855491282413</v>
      </c>
      <c r="Q45" s="45">
        <v>7214.8734113426262</v>
      </c>
      <c r="R45" s="45">
        <v>5797.7100770481056</v>
      </c>
      <c r="S45" s="45">
        <v>6570.8783996810162</v>
      </c>
      <c r="T45" s="45">
        <v>6208.9506588056347</v>
      </c>
      <c r="U45" s="45">
        <v>7929.434710374444</v>
      </c>
      <c r="V45" s="45">
        <v>8010.7242994957733</v>
      </c>
      <c r="W45" s="45">
        <v>7719.2254374369659</v>
      </c>
      <c r="X45" s="45">
        <v>4789.1912829832791</v>
      </c>
      <c r="Y45" s="45">
        <v>7213.9742083858991</v>
      </c>
      <c r="Z45" s="45">
        <v>7226.7216948568794</v>
      </c>
      <c r="AA45" s="45">
        <v>6538.7250324696015</v>
      </c>
    </row>
    <row r="46" spans="1:27" x14ac:dyDescent="0.25">
      <c r="A46" s="74" t="s">
        <v>12</v>
      </c>
      <c r="B46" s="44"/>
      <c r="C46" s="44"/>
      <c r="D46" s="45">
        <v>14718.571893166387</v>
      </c>
      <c r="E46" s="45">
        <v>12722.596623384481</v>
      </c>
      <c r="F46" s="45">
        <v>10672.10953473303</v>
      </c>
      <c r="G46" s="45">
        <v>9367.7975455696796</v>
      </c>
      <c r="H46" s="45">
        <v>9519.5348196604755</v>
      </c>
      <c r="I46" s="45">
        <v>9933.9521839174267</v>
      </c>
      <c r="J46" s="45">
        <v>9186.2951410067617</v>
      </c>
      <c r="K46" s="45">
        <v>9649.4062543302043</v>
      </c>
      <c r="L46" s="45">
        <v>9838.1925574026009</v>
      </c>
      <c r="M46" s="45">
        <v>9557.8314955849382</v>
      </c>
      <c r="N46" s="45">
        <v>8846.0069338182911</v>
      </c>
      <c r="O46" s="45">
        <v>9369.6563924066377</v>
      </c>
      <c r="P46" s="45">
        <v>9838.5070579074236</v>
      </c>
      <c r="Q46" s="45">
        <v>10409.818163280834</v>
      </c>
      <c r="R46" s="45">
        <v>12473.524288276971</v>
      </c>
      <c r="S46" s="45">
        <v>12883.403610318983</v>
      </c>
      <c r="T46" s="45">
        <v>12398.422504330738</v>
      </c>
      <c r="U46" s="45">
        <v>12145.899030752571</v>
      </c>
      <c r="V46" s="45">
        <v>11310.663244334577</v>
      </c>
      <c r="W46" s="45">
        <v>12387.870754943913</v>
      </c>
      <c r="X46" s="45">
        <v>12653.729182343122</v>
      </c>
      <c r="Y46" s="45">
        <v>9883.6585095331866</v>
      </c>
      <c r="Z46" s="45">
        <v>13365.805076944911</v>
      </c>
      <c r="AA46" s="45">
        <v>11282.474967530399</v>
      </c>
    </row>
    <row r="47" spans="1:27" x14ac:dyDescent="0.25">
      <c r="A47" s="73" t="s">
        <v>11</v>
      </c>
      <c r="B47" s="65"/>
      <c r="C47" s="65"/>
      <c r="D47" s="66">
        <v>13957.82317104538</v>
      </c>
      <c r="E47" s="66">
        <v>15536.659287486071</v>
      </c>
      <c r="F47" s="66">
        <v>15563.556668661338</v>
      </c>
      <c r="G47" s="66">
        <v>16229.885225559146</v>
      </c>
      <c r="H47" s="66">
        <v>15544.751660415957</v>
      </c>
      <c r="I47" s="66">
        <v>15893.655203529173</v>
      </c>
      <c r="J47" s="66">
        <v>17188.500503074341</v>
      </c>
      <c r="K47" s="66">
        <v>16145.05577776115</v>
      </c>
      <c r="L47" s="66">
        <v>14978.755627063398</v>
      </c>
      <c r="M47" s="66">
        <v>14330.067417628836</v>
      </c>
      <c r="N47" s="66">
        <v>14130.930847317602</v>
      </c>
      <c r="O47" s="66">
        <v>14089.695800255027</v>
      </c>
      <c r="P47" s="66">
        <v>13782.890622511688</v>
      </c>
      <c r="Q47" s="66">
        <v>14148.869557279781</v>
      </c>
      <c r="R47" s="66">
        <v>13456.817647058824</v>
      </c>
      <c r="S47" s="66">
        <v>14152.713282000001</v>
      </c>
      <c r="T47" s="66">
        <v>14066.651733641093</v>
      </c>
      <c r="U47" s="66">
        <v>14015.239275092197</v>
      </c>
      <c r="V47" s="66">
        <v>13895.97415261312</v>
      </c>
      <c r="W47" s="66">
        <v>14123.403500834918</v>
      </c>
      <c r="X47" s="66">
        <v>13195.474689405915</v>
      </c>
      <c r="Y47" s="66">
        <v>14273.604264718217</v>
      </c>
      <c r="Z47" s="66">
        <v>14085.005874178536</v>
      </c>
      <c r="AA47" s="66">
        <v>14019.1</v>
      </c>
    </row>
    <row r="48" spans="1:27" x14ac:dyDescent="0.25">
      <c r="A48" s="72" t="s">
        <v>4</v>
      </c>
      <c r="B48" s="65"/>
      <c r="C48" s="65"/>
      <c r="D48" s="66">
        <v>11213.083189417601</v>
      </c>
      <c r="E48" s="66">
        <v>11314.773059639791</v>
      </c>
      <c r="F48" s="66">
        <v>11313.862332359464</v>
      </c>
      <c r="G48" s="66">
        <v>11024.218072358499</v>
      </c>
      <c r="H48" s="66">
        <v>10549.018752130922</v>
      </c>
      <c r="I48" s="66">
        <v>10688.51086825747</v>
      </c>
      <c r="J48" s="66">
        <v>10790.837674678593</v>
      </c>
      <c r="K48" s="66">
        <v>11518.617845805235</v>
      </c>
      <c r="L48" s="66">
        <v>10775.760779806928</v>
      </c>
      <c r="M48" s="66">
        <v>9391.0463906880686</v>
      </c>
      <c r="N48" s="66">
        <v>9229.2744214385275</v>
      </c>
      <c r="O48" s="66">
        <v>9658.0726070503079</v>
      </c>
      <c r="P48" s="66">
        <v>9182.9307376630804</v>
      </c>
      <c r="Q48" s="66">
        <v>9041.7017800091289</v>
      </c>
      <c r="R48" s="66">
        <v>9130.2219814241489</v>
      </c>
      <c r="S48" s="66">
        <v>9104.6438280000002</v>
      </c>
      <c r="T48" s="66">
        <v>9032.9363592044665</v>
      </c>
      <c r="U48" s="66">
        <v>9169.789584407341</v>
      </c>
      <c r="V48" s="66">
        <v>9153.0540991818289</v>
      </c>
      <c r="W48" s="66">
        <v>9687.5745738029582</v>
      </c>
      <c r="X48" s="66">
        <v>8466.2119719900584</v>
      </c>
      <c r="Y48" s="66">
        <v>8910.844682615867</v>
      </c>
      <c r="Z48" s="66">
        <v>9465.4467334295623</v>
      </c>
      <c r="AA48" s="66">
        <v>11074.444093993838</v>
      </c>
    </row>
    <row r="49" spans="1:27" x14ac:dyDescent="0.25">
      <c r="A49" s="77" t="s">
        <v>10</v>
      </c>
      <c r="B49" s="44"/>
      <c r="C49" s="44"/>
      <c r="D49" s="45">
        <v>4717.5438063631937</v>
      </c>
      <c r="E49" s="45">
        <v>4515.959383529389</v>
      </c>
      <c r="F49" s="45">
        <v>4267.9294977089439</v>
      </c>
      <c r="G49" s="45">
        <v>4342.621753159543</v>
      </c>
      <c r="H49" s="45">
        <v>4220.9521768692803</v>
      </c>
      <c r="I49" s="45">
        <v>4366.4006046908107</v>
      </c>
      <c r="J49" s="45">
        <v>4638.4944748110984</v>
      </c>
      <c r="K49" s="45">
        <v>4946.7482562181494</v>
      </c>
      <c r="L49" s="45">
        <v>4577.8418176889209</v>
      </c>
      <c r="M49" s="45">
        <v>4327.4430373698515</v>
      </c>
      <c r="N49" s="45">
        <v>4022.6419302586251</v>
      </c>
      <c r="O49" s="45">
        <v>4246.177512746217</v>
      </c>
      <c r="P49" s="45">
        <v>3893.226342246644</v>
      </c>
      <c r="Q49" s="45">
        <v>3728.4963885841598</v>
      </c>
      <c r="R49" s="45">
        <v>4059.7816585226515</v>
      </c>
      <c r="S49" s="45">
        <v>3976.5631022338084</v>
      </c>
      <c r="T49" s="45">
        <v>3951.8526000433903</v>
      </c>
      <c r="U49" s="45">
        <v>4116.9685308207409</v>
      </c>
      <c r="V49" s="45">
        <v>4079.1812086960704</v>
      </c>
      <c r="W49" s="45">
        <v>3859.5650032373187</v>
      </c>
      <c r="X49" s="45">
        <v>3758.8406535531985</v>
      </c>
      <c r="Y49" s="45">
        <v>3918.1992050122549</v>
      </c>
      <c r="Z49" s="45">
        <v>3938.5158537975681</v>
      </c>
      <c r="AA49" s="45">
        <v>4477.1886365406099</v>
      </c>
    </row>
    <row r="50" spans="1:27" x14ac:dyDescent="0.25">
      <c r="A50" s="77" t="s">
        <v>18</v>
      </c>
      <c r="B50" s="44"/>
      <c r="C50" s="44"/>
      <c r="D50" s="45">
        <v>4393.5935393112586</v>
      </c>
      <c r="E50" s="45">
        <v>4133.6174005519515</v>
      </c>
      <c r="F50" s="45">
        <v>4313.5157130957241</v>
      </c>
      <c r="G50" s="45">
        <v>4008.9949317446171</v>
      </c>
      <c r="H50" s="45">
        <v>3697.7557499933832</v>
      </c>
      <c r="I50" s="45">
        <v>3613.362298923354</v>
      </c>
      <c r="J50" s="45">
        <v>3631.8766429151751</v>
      </c>
      <c r="K50" s="45">
        <v>3757.5525954561163</v>
      </c>
      <c r="L50" s="45">
        <v>3187.6627038214042</v>
      </c>
      <c r="M50" s="45">
        <v>2478.2802311688843</v>
      </c>
      <c r="N50" s="45">
        <v>2801.905796833229</v>
      </c>
      <c r="O50" s="45">
        <v>3134.7330475382082</v>
      </c>
      <c r="P50" s="45">
        <v>2875.8417159656474</v>
      </c>
      <c r="Q50" s="45">
        <v>2856.8057513657695</v>
      </c>
      <c r="R50" s="45">
        <v>2710.3667787869931</v>
      </c>
      <c r="S50" s="45">
        <v>2853.0574456557465</v>
      </c>
      <c r="T50" s="45">
        <v>2798.0569889389153</v>
      </c>
      <c r="U50" s="45">
        <v>2928.9593911520624</v>
      </c>
      <c r="V50" s="45">
        <v>3350.9750250267548</v>
      </c>
      <c r="W50" s="45">
        <v>3385.8367823540307</v>
      </c>
      <c r="X50" s="45">
        <v>2598.0939094531582</v>
      </c>
      <c r="Y50" s="45">
        <v>2874.7567478205656</v>
      </c>
      <c r="Z50" s="45">
        <v>3416.8253518122651</v>
      </c>
      <c r="AA50" s="45">
        <v>2567.462396329327</v>
      </c>
    </row>
    <row r="51" spans="1:27" x14ac:dyDescent="0.25">
      <c r="A51" s="77" t="s">
        <v>9</v>
      </c>
      <c r="B51" s="44"/>
      <c r="C51" s="44"/>
      <c r="D51" s="45">
        <v>2101.9458437431485</v>
      </c>
      <c r="E51" s="45">
        <v>2665.19627555845</v>
      </c>
      <c r="F51" s="45">
        <v>2732.4171215547958</v>
      </c>
      <c r="G51" s="45">
        <v>2672.6013874543387</v>
      </c>
      <c r="H51" s="45">
        <v>2630.3108252682582</v>
      </c>
      <c r="I51" s="45">
        <v>2708.7479646433053</v>
      </c>
      <c r="J51" s="45">
        <v>2520.466556952319</v>
      </c>
      <c r="K51" s="45">
        <v>2814.3169941309689</v>
      </c>
      <c r="L51" s="45">
        <v>3010.2562582966025</v>
      </c>
      <c r="M51" s="45">
        <v>2585.3231221493329</v>
      </c>
      <c r="N51" s="45">
        <v>2404.726694346673</v>
      </c>
      <c r="O51" s="45">
        <v>2277.1620467658827</v>
      </c>
      <c r="P51" s="45">
        <v>2413.8626794507891</v>
      </c>
      <c r="Q51" s="45">
        <v>2456.3996400591996</v>
      </c>
      <c r="R51" s="45">
        <v>2360.0735441145039</v>
      </c>
      <c r="S51" s="45">
        <v>2275.0232801104453</v>
      </c>
      <c r="T51" s="45">
        <v>2283.0267702221608</v>
      </c>
      <c r="U51" s="45">
        <v>2123.8616624345377</v>
      </c>
      <c r="V51" s="45">
        <v>1722.8978654590032</v>
      </c>
      <c r="W51" s="45">
        <v>2442.1727882116088</v>
      </c>
      <c r="X51" s="45">
        <v>2109.2774089837017</v>
      </c>
      <c r="Y51" s="45">
        <v>2117.8887297830461</v>
      </c>
      <c r="Z51" s="45">
        <v>2110.1055278197296</v>
      </c>
      <c r="AA51" s="45">
        <v>4029.7930611239008</v>
      </c>
    </row>
    <row r="52" spans="1:27" x14ac:dyDescent="0.25">
      <c r="A52" s="72" t="s">
        <v>3</v>
      </c>
      <c r="B52" s="65"/>
      <c r="C52" s="65"/>
      <c r="D52" s="66">
        <v>15752.289700532796</v>
      </c>
      <c r="E52" s="66">
        <v>16025.809368371862</v>
      </c>
      <c r="F52" s="66">
        <v>15450.658692667816</v>
      </c>
      <c r="G52" s="66">
        <v>14677.23735798234</v>
      </c>
      <c r="H52" s="66">
        <v>14451.489717013297</v>
      </c>
      <c r="I52" s="66">
        <v>13680.933567274913</v>
      </c>
      <c r="J52" s="66">
        <v>12874.580324203465</v>
      </c>
      <c r="K52" s="66">
        <v>12509.49632630375</v>
      </c>
      <c r="L52" s="66">
        <v>11692.495104266789</v>
      </c>
      <c r="M52" s="66">
        <v>10763.044212897776</v>
      </c>
      <c r="N52" s="66">
        <v>10228.365132441782</v>
      </c>
      <c r="O52" s="66">
        <v>10554.737820328246</v>
      </c>
      <c r="P52" s="66">
        <v>10422.531870801771</v>
      </c>
      <c r="Q52" s="66">
        <v>10014.042811501597</v>
      </c>
      <c r="R52" s="66">
        <v>10269.26160990712</v>
      </c>
      <c r="S52" s="66">
        <v>10102.701996</v>
      </c>
      <c r="T52" s="66">
        <v>10123.982797902716</v>
      </c>
      <c r="U52" s="66">
        <v>9968.9407958916599</v>
      </c>
      <c r="V52" s="66">
        <v>9991.1775588579039</v>
      </c>
      <c r="W52" s="66">
        <v>9792.9348976738747</v>
      </c>
      <c r="X52" s="66">
        <v>7991.1237011520207</v>
      </c>
      <c r="Y52" s="66">
        <v>7827.6541906261928</v>
      </c>
      <c r="Z52" s="66">
        <v>9017.2029191583206</v>
      </c>
      <c r="AA52" s="66">
        <v>8401.7569970812492</v>
      </c>
    </row>
    <row r="53" spans="1:27" x14ac:dyDescent="0.25">
      <c r="A53" s="73" t="s">
        <v>21</v>
      </c>
      <c r="B53" s="65"/>
      <c r="C53" s="65"/>
      <c r="D53" s="66">
        <v>8877.7359397391156</v>
      </c>
      <c r="E53" s="66">
        <v>9322.5011539705956</v>
      </c>
      <c r="F53" s="66">
        <v>8875.3485585553863</v>
      </c>
      <c r="G53" s="66">
        <v>8333.8971256892237</v>
      </c>
      <c r="H53" s="66">
        <v>8092.509246505284</v>
      </c>
      <c r="I53" s="66">
        <v>7448.155764988971</v>
      </c>
      <c r="J53" s="66">
        <v>6818.5988820570146</v>
      </c>
      <c r="K53" s="66">
        <v>6895.6874482935536</v>
      </c>
      <c r="L53" s="66">
        <v>6353.224775377158</v>
      </c>
      <c r="M53" s="66">
        <v>5954.5732281986293</v>
      </c>
      <c r="N53" s="66">
        <v>5602.1696948417411</v>
      </c>
      <c r="O53" s="66">
        <v>5964.993019620747</v>
      </c>
      <c r="P53" s="66">
        <v>6029.9099614120332</v>
      </c>
      <c r="Q53" s="66">
        <v>5705.430908261068</v>
      </c>
      <c r="R53" s="66">
        <v>5897.0142414860675</v>
      </c>
      <c r="S53" s="66">
        <v>6050.8155419999994</v>
      </c>
      <c r="T53" s="66">
        <v>6094.5618529315198</v>
      </c>
      <c r="U53" s="66">
        <v>5940.3031169449177</v>
      </c>
      <c r="V53" s="66">
        <v>6105.2591751544487</v>
      </c>
      <c r="W53" s="66">
        <v>5961.7331424022368</v>
      </c>
      <c r="X53" s="66">
        <v>5206.2261915518402</v>
      </c>
      <c r="Y53" s="66">
        <v>4913.7330506342087</v>
      </c>
      <c r="Z53" s="66">
        <v>6117.9081307883334</v>
      </c>
      <c r="AA53" s="66">
        <v>5901.5858172041499</v>
      </c>
    </row>
    <row r="54" spans="1:27" x14ac:dyDescent="0.25">
      <c r="A54" s="74" t="s">
        <v>8</v>
      </c>
      <c r="B54" s="44"/>
      <c r="C54" s="44"/>
      <c r="D54" s="45">
        <v>509.21666775255954</v>
      </c>
      <c r="E54" s="45">
        <v>529.83384402839124</v>
      </c>
      <c r="F54" s="45">
        <v>488.3186836064308</v>
      </c>
      <c r="G54" s="45">
        <v>453.4630414798682</v>
      </c>
      <c r="H54" s="45">
        <v>439.21915352808827</v>
      </c>
      <c r="I54" s="45">
        <v>401.39463090992939</v>
      </c>
      <c r="J54" s="45">
        <v>367.00584759511656</v>
      </c>
      <c r="K54" s="45">
        <v>351.08947847884713</v>
      </c>
      <c r="L54" s="45">
        <v>334.38025133563991</v>
      </c>
      <c r="M54" s="45">
        <v>39.798243718438563</v>
      </c>
      <c r="N54" s="45">
        <v>193.37888836049683</v>
      </c>
      <c r="O54" s="45">
        <v>210.20365372020765</v>
      </c>
      <c r="P54" s="45">
        <v>158.71065514945221</v>
      </c>
      <c r="Q54" s="45">
        <v>129.71976151771165</v>
      </c>
      <c r="R54" s="45">
        <v>120.94251691026162</v>
      </c>
      <c r="S54" s="45">
        <v>146.18251286973924</v>
      </c>
      <c r="T54" s="45">
        <v>104.29204748318814</v>
      </c>
      <c r="U54" s="45">
        <v>109.33157031978098</v>
      </c>
      <c r="V54" s="45">
        <v>252.38340656533316</v>
      </c>
      <c r="W54" s="45">
        <v>95.777904174551139</v>
      </c>
      <c r="X54" s="45">
        <v>173.2858301970835</v>
      </c>
      <c r="Y54" s="45">
        <v>88.130566601721441</v>
      </c>
      <c r="Z54" s="45">
        <v>201.5445989706574</v>
      </c>
      <c r="AA54" s="45">
        <v>129.95838319630633</v>
      </c>
    </row>
    <row r="55" spans="1:27" x14ac:dyDescent="0.25">
      <c r="A55" s="74" t="s">
        <v>17</v>
      </c>
      <c r="B55" s="44"/>
      <c r="C55" s="44"/>
      <c r="D55" s="45">
        <v>8368.5192719865554</v>
      </c>
      <c r="E55" s="45">
        <v>8792.6673099422042</v>
      </c>
      <c r="F55" s="45">
        <v>8387.0298749489557</v>
      </c>
      <c r="G55" s="45">
        <v>7880.4340842093552</v>
      </c>
      <c r="H55" s="45">
        <v>7653.2900929771959</v>
      </c>
      <c r="I55" s="45">
        <v>7046.7611340790418</v>
      </c>
      <c r="J55" s="45">
        <v>6451.5930344618982</v>
      </c>
      <c r="K55" s="45">
        <v>6544.5979698147066</v>
      </c>
      <c r="L55" s="45">
        <v>6018.8445240415185</v>
      </c>
      <c r="M55" s="45">
        <v>5914.7749844801911</v>
      </c>
      <c r="N55" s="45">
        <v>5408.7908064812445</v>
      </c>
      <c r="O55" s="45">
        <v>5754.7893659005395</v>
      </c>
      <c r="P55" s="45">
        <v>5871.1993062625806</v>
      </c>
      <c r="Q55" s="45">
        <v>5575.711146743356</v>
      </c>
      <c r="R55" s="45">
        <v>5776.071724575806</v>
      </c>
      <c r="S55" s="45">
        <v>5904.6330291302602</v>
      </c>
      <c r="T55" s="45">
        <v>5990.2698054483317</v>
      </c>
      <c r="U55" s="45">
        <v>5830.9715466251364</v>
      </c>
      <c r="V55" s="45">
        <v>5852.875768589116</v>
      </c>
      <c r="W55" s="45">
        <v>5865.9552382276861</v>
      </c>
      <c r="X55" s="45">
        <v>5032.9403613547565</v>
      </c>
      <c r="Y55" s="45">
        <v>4825.6024840324872</v>
      </c>
      <c r="Z55" s="45">
        <v>5916.3635318176757</v>
      </c>
      <c r="AA55" s="45">
        <v>5771.6274340078435</v>
      </c>
    </row>
    <row r="56" spans="1:27" x14ac:dyDescent="0.25">
      <c r="A56" s="73" t="s">
        <v>16</v>
      </c>
      <c r="B56" s="65"/>
      <c r="C56" s="65"/>
      <c r="D56" s="66">
        <v>6874.5537607936803</v>
      </c>
      <c r="E56" s="66">
        <v>6703.3082144012669</v>
      </c>
      <c r="F56" s="66">
        <v>6575.3101341124293</v>
      </c>
      <c r="G56" s="66">
        <v>6343.3402322931161</v>
      </c>
      <c r="H56" s="66">
        <v>6358.9804705080132</v>
      </c>
      <c r="I56" s="66">
        <v>6232.777802285942</v>
      </c>
      <c r="J56" s="66">
        <v>6055.9814421464507</v>
      </c>
      <c r="K56" s="66">
        <v>5613.8088780101962</v>
      </c>
      <c r="L56" s="66">
        <v>5339.2703288896309</v>
      </c>
      <c r="M56" s="66">
        <v>4808.4709846991464</v>
      </c>
      <c r="N56" s="66">
        <v>4626.1954376000413</v>
      </c>
      <c r="O56" s="66">
        <v>4589.7448007075</v>
      </c>
      <c r="P56" s="66">
        <v>4392.621909389738</v>
      </c>
      <c r="Q56" s="66">
        <v>4308.6119032405286</v>
      </c>
      <c r="R56" s="66">
        <v>4372.2473684210527</v>
      </c>
      <c r="S56" s="66">
        <v>4051.8864540000013</v>
      </c>
      <c r="T56" s="66">
        <v>4029.4209449711957</v>
      </c>
      <c r="U56" s="66">
        <v>4028.6376789467431</v>
      </c>
      <c r="V56" s="66">
        <v>3885.9183837034548</v>
      </c>
      <c r="W56" s="66">
        <v>3831.2017552716384</v>
      </c>
      <c r="X56" s="66">
        <v>2784.8975096001809</v>
      </c>
      <c r="Y56" s="66">
        <v>2913.9211399919841</v>
      </c>
      <c r="Z56" s="66">
        <v>2899.2947883699881</v>
      </c>
      <c r="AA56" s="66">
        <v>2500.1711798770993</v>
      </c>
    </row>
    <row r="57" spans="1:27" x14ac:dyDescent="0.25">
      <c r="A57" s="72" t="s">
        <v>2</v>
      </c>
      <c r="B57" s="65"/>
      <c r="C57" s="65"/>
      <c r="D57" s="66">
        <v>43082.125474921915</v>
      </c>
      <c r="E57" s="66">
        <v>41874.083797677682</v>
      </c>
      <c r="F57" s="66">
        <v>43124.001548804954</v>
      </c>
      <c r="G57" s="66">
        <v>43897.479331898277</v>
      </c>
      <c r="H57" s="66">
        <v>45223.856501875205</v>
      </c>
      <c r="I57" s="66">
        <v>43210.871004611981</v>
      </c>
      <c r="J57" s="66">
        <v>41636.831302403574</v>
      </c>
      <c r="K57" s="66">
        <v>42590.738065564314</v>
      </c>
      <c r="L57" s="66">
        <v>41185.700687450379</v>
      </c>
      <c r="M57" s="66">
        <v>40495.449619825398</v>
      </c>
      <c r="N57" s="66">
        <v>39139.302960706358</v>
      </c>
      <c r="O57" s="66">
        <v>41216.349411788906</v>
      </c>
      <c r="P57" s="66">
        <v>41653.038751301574</v>
      </c>
      <c r="Q57" s="66">
        <v>43038.096321314471</v>
      </c>
      <c r="R57" s="66">
        <v>44245.0374613003</v>
      </c>
      <c r="S57" s="66">
        <v>44745.376014000001</v>
      </c>
      <c r="T57" s="66">
        <v>45193.132723781477</v>
      </c>
      <c r="U57" s="66">
        <v>45585.430191934007</v>
      </c>
      <c r="V57" s="66">
        <v>44914.254600100176</v>
      </c>
      <c r="W57" s="66">
        <v>45927.657463787815</v>
      </c>
      <c r="X57" s="66">
        <v>43776.510684436405</v>
      </c>
      <c r="Y57" s="66">
        <v>44417.691385753824</v>
      </c>
      <c r="Z57" s="66">
        <v>45602.661298738552</v>
      </c>
      <c r="AA57" s="66">
        <v>51980.800000000003</v>
      </c>
    </row>
    <row r="58" spans="1:27" x14ac:dyDescent="0.25">
      <c r="A58" s="72" t="s">
        <v>269</v>
      </c>
      <c r="B58" s="65"/>
      <c r="C58" s="65"/>
      <c r="D58" s="66">
        <v>36213.744185191994</v>
      </c>
      <c r="E58" s="66">
        <v>35983.357371391598</v>
      </c>
      <c r="F58" s="66">
        <v>36672.177873209192</v>
      </c>
      <c r="G58" s="66">
        <v>35044.458998768314</v>
      </c>
      <c r="H58" s="66">
        <v>33567.590364814183</v>
      </c>
      <c r="I58" s="66">
        <v>34257.756406657303</v>
      </c>
      <c r="J58" s="66">
        <v>33865.50653996646</v>
      </c>
      <c r="K58" s="66">
        <v>33677.842504569409</v>
      </c>
      <c r="L58" s="66">
        <v>32886.114375861929</v>
      </c>
      <c r="M58" s="66">
        <v>29387.939096967988</v>
      </c>
      <c r="N58" s="66">
        <v>31941.008699333917</v>
      </c>
      <c r="O58" s="66">
        <v>29871.967710090081</v>
      </c>
      <c r="P58" s="66">
        <v>30574.275607913594</v>
      </c>
      <c r="Q58" s="66">
        <v>31564.234413509814</v>
      </c>
      <c r="R58" s="66">
        <v>32481.364396284829</v>
      </c>
      <c r="S58" s="66">
        <v>35631.239148000001</v>
      </c>
      <c r="T58" s="66">
        <v>36119.618811871333</v>
      </c>
      <c r="U58" s="66">
        <v>35924.972453107024</v>
      </c>
      <c r="V58" s="66">
        <v>39415.860811487721</v>
      </c>
      <c r="W58" s="66">
        <v>40995.06484990874</v>
      </c>
      <c r="X58" s="66">
        <v>29452.604833973339</v>
      </c>
      <c r="Y58" s="66">
        <v>32483.699941285566</v>
      </c>
      <c r="Z58" s="66">
        <v>34366.935197554216</v>
      </c>
      <c r="AA58" s="66">
        <v>36011.9</v>
      </c>
    </row>
    <row r="59" spans="1:27" x14ac:dyDescent="0.25">
      <c r="A59" s="72" t="s">
        <v>270</v>
      </c>
      <c r="B59" s="65"/>
      <c r="C59" s="65"/>
      <c r="D59" s="66">
        <v>80514.286738930736</v>
      </c>
      <c r="E59" s="66">
        <v>78919.162274867893</v>
      </c>
      <c r="F59" s="66">
        <v>75643.019043260938</v>
      </c>
      <c r="G59" s="66">
        <v>71855.124086885437</v>
      </c>
      <c r="H59" s="66">
        <v>72498.530958063406</v>
      </c>
      <c r="I59" s="66">
        <v>69864.322538600361</v>
      </c>
      <c r="J59" s="66">
        <v>69623.234320849631</v>
      </c>
      <c r="K59" s="66">
        <v>71216.478279551491</v>
      </c>
      <c r="L59" s="66">
        <v>68029.841610598029</v>
      </c>
      <c r="M59" s="66">
        <v>60668.976044306764</v>
      </c>
      <c r="N59" s="66">
        <v>61352.520625806785</v>
      </c>
      <c r="O59" s="66">
        <v>62971.086551355351</v>
      </c>
      <c r="P59" s="66">
        <v>62928.810347291685</v>
      </c>
      <c r="Q59" s="66">
        <v>62362.482811501599</v>
      </c>
      <c r="R59" s="66">
        <v>62175.366253869965</v>
      </c>
      <c r="S59" s="66">
        <v>61312.954085999998</v>
      </c>
      <c r="T59" s="66">
        <v>60570.742575439494</v>
      </c>
      <c r="U59" s="66">
        <v>60681.580156243792</v>
      </c>
      <c r="V59" s="66">
        <v>60406.35839038236</v>
      </c>
      <c r="W59" s="66">
        <v>62047.218115801326</v>
      </c>
      <c r="X59" s="66">
        <v>52913.052682403424</v>
      </c>
      <c r="Y59" s="66">
        <v>56060.487322342247</v>
      </c>
      <c r="Z59" s="66">
        <v>57216.652222092715</v>
      </c>
      <c r="AA59" s="66">
        <v>57745.844569367422</v>
      </c>
    </row>
    <row r="60" spans="1:27" x14ac:dyDescent="0.25">
      <c r="A60" s="72" t="s">
        <v>1</v>
      </c>
      <c r="B60" s="65"/>
      <c r="C60" s="65"/>
      <c r="D60" s="66">
        <v>12559.256064670219</v>
      </c>
      <c r="E60" s="66">
        <v>12248.694402703384</v>
      </c>
      <c r="F60" s="66">
        <v>11691.47237143159</v>
      </c>
      <c r="G60" s="66">
        <v>11141.857219158999</v>
      </c>
      <c r="H60" s="66">
        <v>10254.791701329697</v>
      </c>
      <c r="I60" s="66">
        <v>9202.8748345698805</v>
      </c>
      <c r="J60" s="66">
        <v>8555.6505310229186</v>
      </c>
      <c r="K60" s="66">
        <v>8571.5372981177243</v>
      </c>
      <c r="L60" s="66">
        <v>7905.9305278114434</v>
      </c>
      <c r="M60" s="66">
        <v>6603.7785412559833</v>
      </c>
      <c r="N60" s="66">
        <v>6336.8130159549746</v>
      </c>
      <c r="O60" s="66">
        <v>6751.2623544897369</v>
      </c>
      <c r="P60" s="66">
        <v>6933.0804038465458</v>
      </c>
      <c r="Q60" s="66">
        <v>6661.3681424007309</v>
      </c>
      <c r="R60" s="66">
        <v>6358.3928792569659</v>
      </c>
      <c r="S60" s="66">
        <v>6543.1643400000003</v>
      </c>
      <c r="T60" s="66">
        <v>6471.6532479032139</v>
      </c>
      <c r="U60" s="66">
        <v>6616.8744319308389</v>
      </c>
      <c r="V60" s="66">
        <v>6802.8320587744192</v>
      </c>
      <c r="W60" s="66">
        <v>7018.6360024853402</v>
      </c>
      <c r="X60" s="66">
        <v>6522.8395188615295</v>
      </c>
      <c r="Y60" s="66">
        <v>7191.305717667452</v>
      </c>
      <c r="Z60" s="66">
        <v>6682.2582307533685</v>
      </c>
      <c r="AA60" s="66">
        <v>7868.8</v>
      </c>
    </row>
    <row r="61" spans="1:27" x14ac:dyDescent="0.25">
      <c r="A61" s="72" t="s">
        <v>0</v>
      </c>
      <c r="B61" s="65"/>
      <c r="C61" s="65"/>
      <c r="D61" s="66">
        <v>5089.9918941760061</v>
      </c>
      <c r="E61" s="66">
        <v>4908.915282021786</v>
      </c>
      <c r="F61" s="66">
        <v>4935.8830089056282</v>
      </c>
      <c r="G61" s="66">
        <v>5160.0684930876096</v>
      </c>
      <c r="H61" s="66">
        <v>4590.9542720763729</v>
      </c>
      <c r="I61" s="66">
        <v>4238.0904551834765</v>
      </c>
      <c r="J61" s="66">
        <v>4279.495136948015</v>
      </c>
      <c r="K61" s="66">
        <v>4605.768532552348</v>
      </c>
      <c r="L61" s="66">
        <v>4649.7911007564044</v>
      </c>
      <c r="M61" s="66">
        <v>4188.4805219187083</v>
      </c>
      <c r="N61" s="66">
        <v>3749.4645944131767</v>
      </c>
      <c r="O61" s="66">
        <v>4292.5436695323106</v>
      </c>
      <c r="P61" s="66">
        <v>4109.431495130566</v>
      </c>
      <c r="Q61" s="66">
        <v>4097.2644272021907</v>
      </c>
      <c r="R61" s="66">
        <v>3720.3173374613002</v>
      </c>
      <c r="S61" s="66">
        <v>3691.7370000000001</v>
      </c>
      <c r="T61" s="66">
        <v>3721.7078369531696</v>
      </c>
      <c r="U61" s="66">
        <v>3881.5418031486688</v>
      </c>
      <c r="V61" s="66">
        <v>3784.5055601936874</v>
      </c>
      <c r="W61" s="66">
        <v>4035.209380218244</v>
      </c>
      <c r="X61" s="66">
        <v>3639.6592952337919</v>
      </c>
      <c r="Y61" s="66">
        <v>4139.9787453750732</v>
      </c>
      <c r="Z61" s="66">
        <v>5526.1338312159869</v>
      </c>
      <c r="AA61" s="66">
        <v>5519.543002918751</v>
      </c>
    </row>
    <row r="62" spans="1:27" x14ac:dyDescent="0.25">
      <c r="A62" s="78" t="s">
        <v>271</v>
      </c>
      <c r="B62" s="79"/>
      <c r="C62" s="79"/>
      <c r="D62" s="80">
        <v>27274.28353481536</v>
      </c>
      <c r="E62" s="80">
        <v>28552.152266599562</v>
      </c>
      <c r="F62" s="80">
        <v>28021.937702840652</v>
      </c>
      <c r="G62" s="80">
        <v>28160.140579927014</v>
      </c>
      <c r="H62" s="80">
        <v>27922.000606887148</v>
      </c>
      <c r="I62" s="80">
        <v>26880.624984960894</v>
      </c>
      <c r="J62" s="80">
        <v>26321.412744550027</v>
      </c>
      <c r="K62" s="80">
        <v>25726.637726733436</v>
      </c>
      <c r="L62" s="80">
        <v>23869.131723013918</v>
      </c>
      <c r="M62" s="80">
        <v>22440.183197221435</v>
      </c>
      <c r="N62" s="80">
        <v>20911.797626891101</v>
      </c>
      <c r="O62" s="80">
        <v>21593.482024597921</v>
      </c>
      <c r="P62" s="80">
        <v>21276.130519202103</v>
      </c>
      <c r="Q62" s="80">
        <v>21285.828954815152</v>
      </c>
      <c r="R62" s="80">
        <v>21401.162538699689</v>
      </c>
      <c r="S62" s="80">
        <v>21301.322489999999</v>
      </c>
      <c r="T62" s="80">
        <v>21131.926593109212</v>
      </c>
      <c r="U62" s="80">
        <v>20381.028250783202</v>
      </c>
      <c r="V62" s="80">
        <v>20798.147036233091</v>
      </c>
      <c r="W62" s="80">
        <v>21072.74745446779</v>
      </c>
      <c r="X62" s="80">
        <v>17636.066405014681</v>
      </c>
      <c r="Y62" s="80">
        <v>18880.850220412118</v>
      </c>
      <c r="Z62" s="80">
        <v>18324.408868646839</v>
      </c>
      <c r="AA62" s="80">
        <v>23044.212239171437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2.2165476360395415E-2</v>
      </c>
      <c r="E66" s="83">
        <f t="shared" ref="E66:S66" si="55">E24/E$23</f>
        <v>2.2299911684022566E-2</v>
      </c>
      <c r="F66" s="83">
        <f t="shared" si="55"/>
        <v>2.1198157267215512E-2</v>
      </c>
      <c r="G66" s="83">
        <f t="shared" si="55"/>
        <v>1.9426294850233238E-2</v>
      </c>
      <c r="H66" s="83">
        <f t="shared" si="55"/>
        <v>1.9170778823977764E-2</v>
      </c>
      <c r="I66" s="83">
        <f t="shared" si="55"/>
        <v>1.765434591085201E-2</v>
      </c>
      <c r="J66" s="83">
        <f t="shared" si="55"/>
        <v>1.5971421571649873E-2</v>
      </c>
      <c r="K66" s="83">
        <f t="shared" si="55"/>
        <v>1.6929489040727184E-2</v>
      </c>
      <c r="L66" s="83">
        <f t="shared" si="55"/>
        <v>1.5812432453056587E-2</v>
      </c>
      <c r="M66" s="83">
        <f t="shared" si="55"/>
        <v>1.3683164338430738E-2</v>
      </c>
      <c r="N66" s="83">
        <f t="shared" si="55"/>
        <v>1.6712451249516345E-2</v>
      </c>
      <c r="O66" s="83">
        <f t="shared" si="55"/>
        <v>1.7332219225660493E-2</v>
      </c>
      <c r="P66" s="83">
        <f t="shared" si="55"/>
        <v>1.7070668359621378E-2</v>
      </c>
      <c r="Q66" s="83">
        <f t="shared" si="55"/>
        <v>1.5238248576684816E-2</v>
      </c>
      <c r="R66" s="83">
        <f t="shared" si="55"/>
        <v>1.6379277329912106E-2</v>
      </c>
      <c r="S66" s="83">
        <f t="shared" si="55"/>
        <v>1.6885088525778327E-2</v>
      </c>
      <c r="T66" s="83">
        <f t="shared" ref="T66:Y66" si="56">T24/T$23</f>
        <v>1.5053099005982496E-2</v>
      </c>
      <c r="U66" s="83">
        <f t="shared" si="56"/>
        <v>1.6201707656350983E-2</v>
      </c>
      <c r="V66" s="83">
        <f t="shared" si="56"/>
        <v>1.7321509512661013E-2</v>
      </c>
      <c r="W66" s="83">
        <f t="shared" si="56"/>
        <v>1.5926239107099501E-2</v>
      </c>
      <c r="X66" s="83">
        <f t="shared" si="56"/>
        <v>1.6462998236070864E-2</v>
      </c>
      <c r="Y66" s="83">
        <f t="shared" si="56"/>
        <v>1.658658282824868E-2</v>
      </c>
      <c r="Z66" s="83">
        <f t="shared" ref="Z66:AA66" si="57">Z24/Z$23</f>
        <v>1.927430499938065E-2</v>
      </c>
      <c r="AA66" s="83">
        <f t="shared" si="57"/>
        <v>1.6532645270516219E-2</v>
      </c>
    </row>
    <row r="67" spans="1:27" x14ac:dyDescent="0.25">
      <c r="A67" s="64" t="s">
        <v>56</v>
      </c>
      <c r="B67" s="65"/>
      <c r="C67" s="65"/>
      <c r="D67" s="83">
        <f t="shared" si="51"/>
        <v>1.5407188742913324E-3</v>
      </c>
      <c r="E67" s="83">
        <f t="shared" ref="E67:S67" si="58">E25/E$23</f>
        <v>1.5165046351512147E-3</v>
      </c>
      <c r="F67" s="83">
        <f t="shared" si="58"/>
        <v>1.4963861614580279E-3</v>
      </c>
      <c r="G67" s="83">
        <f t="shared" si="58"/>
        <v>1.336555866203651E-3</v>
      </c>
      <c r="H67" s="83">
        <f t="shared" si="58"/>
        <v>1.2404150048294571E-3</v>
      </c>
      <c r="I67" s="83">
        <f t="shared" si="58"/>
        <v>1.2990706842964505E-3</v>
      </c>
      <c r="J67" s="83">
        <f t="shared" si="58"/>
        <v>1.3398487571447738E-3</v>
      </c>
      <c r="K67" s="83">
        <f t="shared" si="58"/>
        <v>1.4164593940915232E-3</v>
      </c>
      <c r="L67" s="83">
        <f t="shared" si="58"/>
        <v>1.3904082696983638E-3</v>
      </c>
      <c r="M67" s="83">
        <f t="shared" si="58"/>
        <v>1.3349022951888521E-3</v>
      </c>
      <c r="N67" s="83">
        <f t="shared" si="58"/>
        <v>1.3244467135290156E-3</v>
      </c>
      <c r="O67" s="83">
        <f t="shared" si="58"/>
        <v>1.2609289037963912E-3</v>
      </c>
      <c r="P67" s="83">
        <f t="shared" si="58"/>
        <v>1.2244493888359912E-3</v>
      </c>
      <c r="Q67" s="83">
        <f t="shared" si="58"/>
        <v>1.1751819230393613E-3</v>
      </c>
      <c r="R67" s="83">
        <f t="shared" si="58"/>
        <v>1.2713039149000653E-3</v>
      </c>
      <c r="S67" s="83">
        <f t="shared" si="58"/>
        <v>1.0831354539622025E-3</v>
      </c>
      <c r="T67" s="83">
        <f t="shared" ref="T67:Y67" si="59">T25/T$23</f>
        <v>1.0296724209052431E-3</v>
      </c>
      <c r="U67" s="83">
        <f t="shared" si="59"/>
        <v>1.0246312544409143E-3</v>
      </c>
      <c r="V67" s="83">
        <f t="shared" si="59"/>
        <v>1.0297899896055578E-3</v>
      </c>
      <c r="W67" s="83">
        <f t="shared" si="59"/>
        <v>9.8614872307480105E-4</v>
      </c>
      <c r="X67" s="83">
        <f t="shared" si="59"/>
        <v>9.7420664520283813E-4</v>
      </c>
      <c r="Y67" s="83">
        <f t="shared" si="59"/>
        <v>1.0142064830761007E-3</v>
      </c>
      <c r="Z67" s="83">
        <f t="shared" ref="Z67:AA67" si="60">Z25/Z$23</f>
        <v>8.2769272871655443E-4</v>
      </c>
      <c r="AA67" s="83">
        <f t="shared" si="60"/>
        <v>9.0517866692057516E-4</v>
      </c>
    </row>
    <row r="68" spans="1:27" x14ac:dyDescent="0.25">
      <c r="A68" s="64" t="s">
        <v>146</v>
      </c>
      <c r="B68" s="65"/>
      <c r="C68" s="65"/>
      <c r="D68" s="83">
        <f t="shared" si="51"/>
        <v>0.76215290713852513</v>
      </c>
      <c r="E68" s="83">
        <f t="shared" ref="E68:S68" si="61">E26/E$23</f>
        <v>0.76628526461055113</v>
      </c>
      <c r="F68" s="83">
        <f t="shared" si="61"/>
        <v>0.77176149787330584</v>
      </c>
      <c r="G68" s="83">
        <f t="shared" si="61"/>
        <v>0.77719948466730215</v>
      </c>
      <c r="H68" s="83">
        <f t="shared" si="61"/>
        <v>0.77998370468687372</v>
      </c>
      <c r="I68" s="83">
        <f t="shared" si="61"/>
        <v>0.78421012216683272</v>
      </c>
      <c r="J68" s="83">
        <f t="shared" si="61"/>
        <v>0.78912653925735643</v>
      </c>
      <c r="K68" s="83">
        <f t="shared" si="61"/>
        <v>0.79038048281151974</v>
      </c>
      <c r="L68" s="83">
        <f t="shared" si="61"/>
        <v>0.79486484904898069</v>
      </c>
      <c r="M68" s="83">
        <f t="shared" si="61"/>
        <v>0.80497997990678116</v>
      </c>
      <c r="N68" s="83">
        <f t="shared" si="61"/>
        <v>0.80673565556486282</v>
      </c>
      <c r="O68" s="83">
        <f t="shared" si="61"/>
        <v>0.80477050893493896</v>
      </c>
      <c r="P68" s="83">
        <f t="shared" si="61"/>
        <v>0.80750570279387879</v>
      </c>
      <c r="Q68" s="83">
        <f t="shared" si="61"/>
        <v>0.80761044054805209</v>
      </c>
      <c r="R68" s="83">
        <f t="shared" si="61"/>
        <v>0.80860106408220922</v>
      </c>
      <c r="S68" s="83">
        <f t="shared" si="61"/>
        <v>0.80898847860762846</v>
      </c>
      <c r="T68" s="83">
        <f t="shared" ref="T68:Y68" si="62">T26/T$23</f>
        <v>0.81358336840601442</v>
      </c>
      <c r="U68" s="83">
        <f t="shared" si="62"/>
        <v>0.81397417300576291</v>
      </c>
      <c r="V68" s="83">
        <f t="shared" si="62"/>
        <v>0.81268446701571606</v>
      </c>
      <c r="W68" s="83">
        <f t="shared" si="62"/>
        <v>0.81208424385515743</v>
      </c>
      <c r="X68" s="83">
        <f t="shared" si="62"/>
        <v>0.81922979373368476</v>
      </c>
      <c r="Y68" s="83">
        <f t="shared" si="62"/>
        <v>0.82087356430716252</v>
      </c>
      <c r="Z68" s="83">
        <f t="shared" ref="Z68:AA68" si="63">Z26/Z$23</f>
        <v>0.81862913733952936</v>
      </c>
      <c r="AA68" s="83">
        <f t="shared" si="63"/>
        <v>0.79884715722529653</v>
      </c>
    </row>
    <row r="69" spans="1:27" x14ac:dyDescent="0.25">
      <c r="A69" s="68" t="s">
        <v>148</v>
      </c>
      <c r="B69" s="69"/>
      <c r="C69" s="69"/>
      <c r="D69" s="84">
        <f t="shared" si="51"/>
        <v>0.27772045162179881</v>
      </c>
      <c r="E69" s="84">
        <f t="shared" ref="E69:S69" si="64">E27/E$23</f>
        <v>0.27766090551646216</v>
      </c>
      <c r="F69" s="84">
        <f t="shared" si="64"/>
        <v>0.28342207169235412</v>
      </c>
      <c r="G69" s="84">
        <f t="shared" si="64"/>
        <v>0.28598851936651204</v>
      </c>
      <c r="H69" s="84">
        <f t="shared" si="64"/>
        <v>0.28575737067237877</v>
      </c>
      <c r="I69" s="84">
        <f t="shared" si="64"/>
        <v>0.28750850574459397</v>
      </c>
      <c r="J69" s="84">
        <f t="shared" si="64"/>
        <v>0.2852279128205884</v>
      </c>
      <c r="K69" s="84">
        <f t="shared" si="64"/>
        <v>0.28435577852016969</v>
      </c>
      <c r="L69" s="84">
        <f t="shared" si="64"/>
        <v>0.28596552002321074</v>
      </c>
      <c r="M69" s="84">
        <f t="shared" si="64"/>
        <v>0.29914687268955087</v>
      </c>
      <c r="N69" s="84">
        <f t="shared" si="64"/>
        <v>0.30051005312067797</v>
      </c>
      <c r="O69" s="84">
        <f t="shared" si="64"/>
        <v>0.29950604678634618</v>
      </c>
      <c r="P69" s="84">
        <f t="shared" si="64"/>
        <v>0.30253167513483287</v>
      </c>
      <c r="Q69" s="84">
        <f t="shared" si="64"/>
        <v>0.30447695641501421</v>
      </c>
      <c r="R69" s="84">
        <f t="shared" si="64"/>
        <v>0.30584209731011402</v>
      </c>
      <c r="S69" s="84">
        <f t="shared" si="64"/>
        <v>0.3039780652955249</v>
      </c>
      <c r="T69" s="84">
        <f t="shared" ref="T69:Y69" si="65">T27/T$23</f>
        <v>0.30454303509985209</v>
      </c>
      <c r="U69" s="84">
        <f t="shared" si="65"/>
        <v>0.30526448709955917</v>
      </c>
      <c r="V69" s="84">
        <f t="shared" si="65"/>
        <v>0.30072932090201338</v>
      </c>
      <c r="W69" s="84">
        <f t="shared" si="65"/>
        <v>0.30015574537992412</v>
      </c>
      <c r="X69" s="84">
        <f t="shared" si="65"/>
        <v>0.29754104115970809</v>
      </c>
      <c r="Y69" s="84">
        <f t="shared" si="65"/>
        <v>0.30329053558526148</v>
      </c>
      <c r="Z69" s="84">
        <f t="shared" ref="Z69:AA69" si="66">Z27/Z$23</f>
        <v>0.30703188123799557</v>
      </c>
      <c r="AA69" s="84">
        <f t="shared" si="66"/>
        <v>0.28959750405207835</v>
      </c>
    </row>
    <row r="70" spans="1:27" x14ac:dyDescent="0.25">
      <c r="A70" s="68" t="s">
        <v>150</v>
      </c>
      <c r="B70" s="71"/>
      <c r="C70" s="71"/>
      <c r="D70" s="84">
        <f t="shared" si="51"/>
        <v>0.35412687303729085</v>
      </c>
      <c r="E70" s="84">
        <f t="shared" ref="E70:S70" si="67">E28/E$23</f>
        <v>0.35524386761527421</v>
      </c>
      <c r="F70" s="84">
        <f t="shared" si="67"/>
        <v>0.35549778173503055</v>
      </c>
      <c r="G70" s="84">
        <f t="shared" si="67"/>
        <v>0.35700858711762917</v>
      </c>
      <c r="H70" s="84">
        <f t="shared" si="67"/>
        <v>0.36299032137248594</v>
      </c>
      <c r="I70" s="84">
        <f t="shared" si="67"/>
        <v>0.36906059419965342</v>
      </c>
      <c r="J70" s="84">
        <f t="shared" si="67"/>
        <v>0.3786975809182257</v>
      </c>
      <c r="K70" s="84">
        <f t="shared" si="67"/>
        <v>0.38215783004779691</v>
      </c>
      <c r="L70" s="84">
        <f t="shared" si="67"/>
        <v>0.38236915543760797</v>
      </c>
      <c r="M70" s="84">
        <f t="shared" si="67"/>
        <v>0.37805706247050236</v>
      </c>
      <c r="N70" s="84">
        <f t="shared" si="67"/>
        <v>0.38183499743612281</v>
      </c>
      <c r="O70" s="84">
        <f t="shared" si="67"/>
        <v>0.38110516945635137</v>
      </c>
      <c r="P70" s="84">
        <f t="shared" si="67"/>
        <v>0.38079331377885639</v>
      </c>
      <c r="Q70" s="84">
        <f t="shared" si="67"/>
        <v>0.38087407520805333</v>
      </c>
      <c r="R70" s="84">
        <f t="shared" si="67"/>
        <v>0.38188555309213251</v>
      </c>
      <c r="S70" s="84">
        <f t="shared" si="67"/>
        <v>0.38258703023724661</v>
      </c>
      <c r="T70" s="84">
        <f t="shared" ref="T70:Y70" si="68">T28/T$23</f>
        <v>0.38740464528148055</v>
      </c>
      <c r="U70" s="84">
        <f t="shared" si="68"/>
        <v>0.38780669592607958</v>
      </c>
      <c r="V70" s="84">
        <f t="shared" si="68"/>
        <v>0.39189921276301731</v>
      </c>
      <c r="W70" s="84">
        <f t="shared" si="68"/>
        <v>0.39117854187991219</v>
      </c>
      <c r="X70" s="84">
        <f t="shared" si="68"/>
        <v>0.40027201930694251</v>
      </c>
      <c r="Y70" s="84">
        <f t="shared" si="68"/>
        <v>0.39493820489881343</v>
      </c>
      <c r="Z70" s="84">
        <f t="shared" ref="Z70:AA70" si="69">Z28/Z$23</f>
        <v>0.39047484992671233</v>
      </c>
      <c r="AA70" s="84">
        <f t="shared" si="69"/>
        <v>0.38789117171641402</v>
      </c>
    </row>
    <row r="71" spans="1:27" x14ac:dyDescent="0.25">
      <c r="A71" s="68" t="s">
        <v>152</v>
      </c>
      <c r="B71" s="71"/>
      <c r="C71" s="71"/>
      <c r="D71" s="84">
        <f t="shared" si="51"/>
        <v>0.13030558247943552</v>
      </c>
      <c r="E71" s="84">
        <f t="shared" ref="E71:S71" si="70">E29/E$23</f>
        <v>0.13338049147881473</v>
      </c>
      <c r="F71" s="84">
        <f t="shared" si="70"/>
        <v>0.13284164444592125</v>
      </c>
      <c r="G71" s="84">
        <f t="shared" si="70"/>
        <v>0.13420237818316072</v>
      </c>
      <c r="H71" s="84">
        <f t="shared" si="70"/>
        <v>0.13123601264200904</v>
      </c>
      <c r="I71" s="84">
        <f t="shared" si="70"/>
        <v>0.12764102222258517</v>
      </c>
      <c r="J71" s="84">
        <f t="shared" si="70"/>
        <v>0.12520104551854236</v>
      </c>
      <c r="K71" s="84">
        <f t="shared" si="70"/>
        <v>0.12386687424355328</v>
      </c>
      <c r="L71" s="84">
        <f t="shared" si="70"/>
        <v>0.12653017358816188</v>
      </c>
      <c r="M71" s="84">
        <f t="shared" si="70"/>
        <v>0.12777604474672788</v>
      </c>
      <c r="N71" s="84">
        <f t="shared" si="70"/>
        <v>0.124390605008062</v>
      </c>
      <c r="O71" s="84">
        <f t="shared" si="70"/>
        <v>0.12415929269224141</v>
      </c>
      <c r="P71" s="84">
        <f t="shared" si="70"/>
        <v>0.12418071388018943</v>
      </c>
      <c r="Q71" s="84">
        <f t="shared" si="70"/>
        <v>0.1222594089249846</v>
      </c>
      <c r="R71" s="84">
        <f t="shared" si="70"/>
        <v>0.12087341367996279</v>
      </c>
      <c r="S71" s="84">
        <f t="shared" si="70"/>
        <v>0.12242338307485698</v>
      </c>
      <c r="T71" s="84">
        <f t="shared" ref="T71:Y71" si="71">T29/T$23</f>
        <v>0.12163568802468191</v>
      </c>
      <c r="U71" s="84">
        <f t="shared" si="71"/>
        <v>0.12090298998012421</v>
      </c>
      <c r="V71" s="84">
        <f t="shared" si="71"/>
        <v>0.12005593335068544</v>
      </c>
      <c r="W71" s="84">
        <f t="shared" si="71"/>
        <v>0.12074995659532117</v>
      </c>
      <c r="X71" s="84">
        <f t="shared" si="71"/>
        <v>0.12141673326703441</v>
      </c>
      <c r="Y71" s="84">
        <f t="shared" si="71"/>
        <v>0.12264482382308756</v>
      </c>
      <c r="Z71" s="84">
        <f t="shared" ref="Z71:AA71" si="72">Z29/Z$23</f>
        <v>0.12112240617482148</v>
      </c>
      <c r="AA71" s="84">
        <f t="shared" si="72"/>
        <v>0.12135848145680399</v>
      </c>
    </row>
    <row r="72" spans="1:27" x14ac:dyDescent="0.25">
      <c r="A72" s="64" t="s">
        <v>154</v>
      </c>
      <c r="B72" s="65"/>
      <c r="C72" s="65"/>
      <c r="D72" s="83">
        <f t="shared" si="51"/>
        <v>2.1066825402805203E-2</v>
      </c>
      <c r="E72" s="83">
        <f t="shared" ref="E72:S72" si="73">E30/E$23</f>
        <v>1.984929434929875E-2</v>
      </c>
      <c r="F72" s="83">
        <f t="shared" si="73"/>
        <v>1.9408222342482448E-2</v>
      </c>
      <c r="G72" s="83">
        <f t="shared" si="73"/>
        <v>1.9169876977729171E-2</v>
      </c>
      <c r="H72" s="83">
        <f t="shared" si="73"/>
        <v>1.9794337378688614E-2</v>
      </c>
      <c r="I72" s="83">
        <f t="shared" si="73"/>
        <v>2.0621488937198632E-2</v>
      </c>
      <c r="J72" s="83">
        <f t="shared" si="73"/>
        <v>1.9440538573124125E-2</v>
      </c>
      <c r="K72" s="83">
        <f t="shared" si="73"/>
        <v>1.5610025320824426E-2</v>
      </c>
      <c r="L72" s="83">
        <f t="shared" si="73"/>
        <v>1.4431031374901352E-2</v>
      </c>
      <c r="M72" s="83">
        <f t="shared" si="73"/>
        <v>1.4122377304125962E-2</v>
      </c>
      <c r="N72" s="83">
        <f t="shared" si="73"/>
        <v>1.3745471934136253E-2</v>
      </c>
      <c r="O72" s="83">
        <f t="shared" si="73"/>
        <v>1.4416761328436332E-2</v>
      </c>
      <c r="P72" s="83">
        <f t="shared" si="73"/>
        <v>1.5150773288243106E-2</v>
      </c>
      <c r="Q72" s="83">
        <f t="shared" si="73"/>
        <v>1.5736943376206545E-2</v>
      </c>
      <c r="R72" s="83">
        <f t="shared" si="73"/>
        <v>1.5738213797185818E-2</v>
      </c>
      <c r="S72" s="83">
        <f t="shared" si="73"/>
        <v>1.5904691017668313E-2</v>
      </c>
      <c r="T72" s="83">
        <f t="shared" ref="T72:Y72" si="74">T30/T$23</f>
        <v>1.5396390359471405E-2</v>
      </c>
      <c r="U72" s="83">
        <f t="shared" si="74"/>
        <v>1.3919603520864941E-2</v>
      </c>
      <c r="V72" s="83">
        <f t="shared" si="74"/>
        <v>1.473483460127027E-2</v>
      </c>
      <c r="W72" s="83">
        <f t="shared" si="74"/>
        <v>1.5341171004763211E-2</v>
      </c>
      <c r="X72" s="83">
        <f t="shared" si="74"/>
        <v>1.6282695853220241E-2</v>
      </c>
      <c r="Y72" s="83">
        <f t="shared" si="74"/>
        <v>1.4676031483514458E-2</v>
      </c>
      <c r="Z72" s="83">
        <f t="shared" ref="Z72:AA72" si="75">Z30/Z$23</f>
        <v>1.2857269504271209E-2</v>
      </c>
      <c r="AA72" s="83">
        <f t="shared" si="75"/>
        <v>3.1090899676551514E-2</v>
      </c>
    </row>
    <row r="73" spans="1:27" x14ac:dyDescent="0.25">
      <c r="A73" s="64" t="s">
        <v>37</v>
      </c>
      <c r="B73" s="65"/>
      <c r="C73" s="65"/>
      <c r="D73" s="83">
        <f t="shared" si="51"/>
        <v>4.7986957480449365E-2</v>
      </c>
      <c r="E73" s="83">
        <f t="shared" ref="E73:S73" si="76">E31/E$23</f>
        <v>4.9118692728457085E-2</v>
      </c>
      <c r="F73" s="83">
        <f t="shared" si="76"/>
        <v>4.970561524709631E-2</v>
      </c>
      <c r="G73" s="83">
        <f t="shared" si="76"/>
        <v>5.0779930835772043E-2</v>
      </c>
      <c r="H73" s="83">
        <f t="shared" si="76"/>
        <v>5.2291396994566045E-2</v>
      </c>
      <c r="I73" s="83">
        <f t="shared" si="76"/>
        <v>5.3716170812380344E-2</v>
      </c>
      <c r="J73" s="83">
        <f t="shared" si="76"/>
        <v>5.6443341767105311E-2</v>
      </c>
      <c r="K73" s="83">
        <f t="shared" si="76"/>
        <v>5.9561622175468981E-2</v>
      </c>
      <c r="L73" s="83">
        <f t="shared" si="76"/>
        <v>6.2792712745668347E-2</v>
      </c>
      <c r="M73" s="83">
        <f t="shared" si="76"/>
        <v>6.2036393881461718E-2</v>
      </c>
      <c r="N73" s="83">
        <f t="shared" si="76"/>
        <v>6.0068695841163679E-2</v>
      </c>
      <c r="O73" s="83">
        <f t="shared" si="76"/>
        <v>6.0374136253678046E-2</v>
      </c>
      <c r="P73" s="83">
        <f t="shared" si="76"/>
        <v>5.8528220084398459E-2</v>
      </c>
      <c r="Q73" s="83">
        <f t="shared" si="76"/>
        <v>5.9173645772021458E-2</v>
      </c>
      <c r="R73" s="83">
        <f t="shared" si="76"/>
        <v>5.7554288506896423E-2</v>
      </c>
      <c r="S73" s="83">
        <f t="shared" si="76"/>
        <v>5.5318415450317911E-2</v>
      </c>
      <c r="T73" s="83">
        <f t="shared" ref="T73:Y73" si="77">T31/T$23</f>
        <v>5.4542241144078678E-2</v>
      </c>
      <c r="U73" s="83">
        <f t="shared" si="77"/>
        <v>5.5630722442631834E-2</v>
      </c>
      <c r="V73" s="83">
        <f t="shared" si="77"/>
        <v>5.581706703034648E-2</v>
      </c>
      <c r="W73" s="83">
        <f t="shared" si="77"/>
        <v>5.7246842385173351E-2</v>
      </c>
      <c r="X73" s="83">
        <f t="shared" si="77"/>
        <v>5.6408679955101397E-2</v>
      </c>
      <c r="Y73" s="83">
        <f t="shared" si="77"/>
        <v>5.6938325652744592E-2</v>
      </c>
      <c r="Z73" s="83">
        <f t="shared" ref="Z73:AA73" si="78">Z31/Z$23</f>
        <v>5.5276864138088792E-2</v>
      </c>
      <c r="AA73" s="83">
        <f t="shared" si="78"/>
        <v>5.6593148323875068E-2</v>
      </c>
    </row>
    <row r="74" spans="1:27" x14ac:dyDescent="0.25">
      <c r="A74" s="64" t="s">
        <v>58</v>
      </c>
      <c r="B74" s="65"/>
      <c r="C74" s="65"/>
      <c r="D74" s="83">
        <f t="shared" si="51"/>
        <v>0.14508711474353353</v>
      </c>
      <c r="E74" s="83">
        <f t="shared" ref="E74:S74" si="79">E32/E$23</f>
        <v>0.14093033199251925</v>
      </c>
      <c r="F74" s="83">
        <f t="shared" si="79"/>
        <v>0.13643012110844183</v>
      </c>
      <c r="G74" s="83">
        <f t="shared" si="79"/>
        <v>0.13208785680276</v>
      </c>
      <c r="H74" s="83">
        <f t="shared" si="79"/>
        <v>0.12751936711106437</v>
      </c>
      <c r="I74" s="83">
        <f t="shared" si="79"/>
        <v>0.12249880148843964</v>
      </c>
      <c r="J74" s="83">
        <f t="shared" si="79"/>
        <v>0.11767831007361959</v>
      </c>
      <c r="K74" s="83">
        <f t="shared" si="79"/>
        <v>0.11610192125736805</v>
      </c>
      <c r="L74" s="83">
        <f t="shared" si="79"/>
        <v>0.11070856610769493</v>
      </c>
      <c r="M74" s="83">
        <f t="shared" si="79"/>
        <v>0.10384318227401165</v>
      </c>
      <c r="N74" s="83">
        <f t="shared" si="79"/>
        <v>0.10141327869679172</v>
      </c>
      <c r="O74" s="83">
        <f t="shared" si="79"/>
        <v>0.10184544535349001</v>
      </c>
      <c r="P74" s="83">
        <f t="shared" si="79"/>
        <v>0.1005201860850222</v>
      </c>
      <c r="Q74" s="83">
        <f t="shared" si="79"/>
        <v>0.10106553980399557</v>
      </c>
      <c r="R74" s="83">
        <f t="shared" si="79"/>
        <v>0.10045585236889625</v>
      </c>
      <c r="S74" s="83">
        <f t="shared" si="79"/>
        <v>0.10182019094464478</v>
      </c>
      <c r="T74" s="83">
        <f t="shared" ref="T74:Y74" si="80">T32/T$23</f>
        <v>0.10039522866354758</v>
      </c>
      <c r="U74" s="83">
        <f t="shared" si="80"/>
        <v>9.9249162119948608E-2</v>
      </c>
      <c r="V74" s="83">
        <f t="shared" si="80"/>
        <v>9.8412331850400547E-2</v>
      </c>
      <c r="W74" s="83">
        <f t="shared" si="80"/>
        <v>9.8415354924731607E-2</v>
      </c>
      <c r="X74" s="83">
        <f t="shared" si="80"/>
        <v>9.0641625576719648E-2</v>
      </c>
      <c r="Y74" s="83">
        <f t="shared" si="80"/>
        <v>8.9911289245253587E-2</v>
      </c>
      <c r="Z74" s="83">
        <f t="shared" ref="Z74:AA74" si="81">Z32/Z$23</f>
        <v>9.3134731290013456E-2</v>
      </c>
      <c r="AA74" s="83">
        <f t="shared" si="81"/>
        <v>9.6030970836840188E-2</v>
      </c>
    </row>
    <row r="75" spans="1:27" x14ac:dyDescent="0.25">
      <c r="A75" s="85" t="s">
        <v>158</v>
      </c>
      <c r="B75" s="86"/>
      <c r="C75" s="86"/>
      <c r="D75" s="87">
        <f t="shared" si="51"/>
        <v>6.0186273412184445E-3</v>
      </c>
      <c r="E75" s="87">
        <f t="shared" ref="E75:S75" si="82">E33/E$23</f>
        <v>5.169101476462914E-3</v>
      </c>
      <c r="F75" s="87">
        <f t="shared" si="82"/>
        <v>4.522739164816025E-3</v>
      </c>
      <c r="G75" s="87">
        <f t="shared" si="82"/>
        <v>4.1895305364669363E-3</v>
      </c>
      <c r="H75" s="87">
        <f t="shared" si="82"/>
        <v>4.6214296508991989E-3</v>
      </c>
      <c r="I75" s="87">
        <f t="shared" si="82"/>
        <v>4.7037107867686345E-3</v>
      </c>
      <c r="J75" s="87">
        <f t="shared" si="82"/>
        <v>4.4336868533373062E-3</v>
      </c>
      <c r="K75" s="87">
        <f t="shared" si="82"/>
        <v>4.8625129517160266E-3</v>
      </c>
      <c r="L75" s="87">
        <f t="shared" si="82"/>
        <v>4.9005275976432708E-3</v>
      </c>
      <c r="M75" s="87">
        <f t="shared" si="82"/>
        <v>3.7448956117875861E-3</v>
      </c>
      <c r="N75" s="87">
        <f t="shared" si="82"/>
        <v>3.8100017538793981E-3</v>
      </c>
      <c r="O75" s="87">
        <f t="shared" si="82"/>
        <v>4.3310637804971673E-3</v>
      </c>
      <c r="P75" s="87">
        <f t="shared" si="82"/>
        <v>3.4532826246897893E-3</v>
      </c>
      <c r="Q75" s="87">
        <f t="shared" si="82"/>
        <v>3.4363856636462731E-3</v>
      </c>
      <c r="R75" s="87">
        <f t="shared" si="82"/>
        <v>3.2514721566126534E-3</v>
      </c>
      <c r="S75" s="87">
        <f t="shared" si="82"/>
        <v>3.433406248028072E-3</v>
      </c>
      <c r="T75" s="87">
        <f t="shared" ref="T75:Y75" si="83">T33/T$23</f>
        <v>3.1051988375277637E-3</v>
      </c>
      <c r="U75" s="87">
        <f t="shared" si="83"/>
        <v>3.2900827302163693E-3</v>
      </c>
      <c r="V75" s="87">
        <f t="shared" si="83"/>
        <v>3.0752487814592082E-3</v>
      </c>
      <c r="W75" s="87">
        <f t="shared" si="83"/>
        <v>2.4602339212284356E-3</v>
      </c>
      <c r="X75" s="87">
        <f t="shared" si="83"/>
        <v>2.0205245184983047E-3</v>
      </c>
      <c r="Y75" s="87">
        <f t="shared" si="83"/>
        <v>2.4921767541090231E-3</v>
      </c>
      <c r="Z75" s="87">
        <f t="shared" ref="Z75:AA75" si="84">Z33/Z$23</f>
        <v>4.3848090782718334E-3</v>
      </c>
      <c r="AA75" s="87">
        <f t="shared" si="84"/>
        <v>4.0506032462295019E-3</v>
      </c>
    </row>
    <row r="76" spans="1:27" x14ac:dyDescent="0.25">
      <c r="A76" s="88" t="s">
        <v>5</v>
      </c>
      <c r="B76" s="44"/>
      <c r="C76" s="44"/>
      <c r="D76" s="89">
        <f t="shared" si="51"/>
        <v>4.5900334976402288E-3</v>
      </c>
      <c r="E76" s="89">
        <f t="shared" ref="E76:S76" si="85">E34/E$23</f>
        <v>3.942152850563937E-3</v>
      </c>
      <c r="F76" s="89">
        <f t="shared" si="85"/>
        <v>3.4492124351052232E-3</v>
      </c>
      <c r="G76" s="89">
        <f t="shared" si="85"/>
        <v>3.1950948964846247E-3</v>
      </c>
      <c r="H76" s="89">
        <f t="shared" si="85"/>
        <v>3.5244775431337353E-3</v>
      </c>
      <c r="I76" s="89">
        <f t="shared" si="85"/>
        <v>3.5872282582807111E-3</v>
      </c>
      <c r="J76" s="89">
        <f t="shared" si="85"/>
        <v>3.381297764607139E-3</v>
      </c>
      <c r="K76" s="89">
        <f t="shared" si="85"/>
        <v>3.7083368126539667E-3</v>
      </c>
      <c r="L76" s="89">
        <f t="shared" si="85"/>
        <v>3.7373282235379744E-3</v>
      </c>
      <c r="M76" s="89">
        <f t="shared" si="85"/>
        <v>2.6161436841676522E-3</v>
      </c>
      <c r="N76" s="89">
        <f t="shared" si="85"/>
        <v>2.6255308699335454E-3</v>
      </c>
      <c r="O76" s="89">
        <f t="shared" si="85"/>
        <v>3.0662275636085248E-3</v>
      </c>
      <c r="P76" s="89">
        <f t="shared" si="85"/>
        <v>2.1008630328409944E-3</v>
      </c>
      <c r="Q76" s="89">
        <f t="shared" si="85"/>
        <v>2.1204324911906283E-3</v>
      </c>
      <c r="R76" s="89">
        <f t="shared" si="85"/>
        <v>1.8656450350695371E-3</v>
      </c>
      <c r="S76" s="89">
        <f t="shared" si="85"/>
        <v>1.9435320066093231E-3</v>
      </c>
      <c r="T76" s="89">
        <f t="shared" ref="T76:Y76" si="86">T34/T$23</f>
        <v>1.7148718240983273E-3</v>
      </c>
      <c r="U76" s="89">
        <f t="shared" si="86"/>
        <v>1.9908998990470577E-3</v>
      </c>
      <c r="V76" s="89">
        <f t="shared" si="86"/>
        <v>2.0206609251863876E-3</v>
      </c>
      <c r="W76" s="89">
        <f t="shared" si="86"/>
        <v>1.4603249647614934E-3</v>
      </c>
      <c r="X76" s="89">
        <f t="shared" si="86"/>
        <v>1.1357553196538707E-3</v>
      </c>
      <c r="Y76" s="89">
        <f t="shared" si="86"/>
        <v>1.574940701763015E-3</v>
      </c>
      <c r="Z76" s="89">
        <f t="shared" ref="Z76:AA76" si="87">Z34/Z$23</f>
        <v>2.9693508208623858E-3</v>
      </c>
      <c r="AA76" s="89">
        <f t="shared" si="87"/>
        <v>2.7061965492237352E-3</v>
      </c>
    </row>
    <row r="77" spans="1:27" x14ac:dyDescent="0.25">
      <c r="A77" s="88" t="s">
        <v>263</v>
      </c>
      <c r="B77" s="44"/>
      <c r="C77" s="44"/>
      <c r="D77" s="89">
        <f>D37/D$23</f>
        <v>1.4285938435782157E-3</v>
      </c>
      <c r="E77" s="89">
        <f t="shared" ref="E77:S77" si="88">E37/E$23</f>
        <v>1.2269486258989768E-3</v>
      </c>
      <c r="F77" s="89">
        <f t="shared" si="88"/>
        <v>1.0735267297108018E-3</v>
      </c>
      <c r="G77" s="89">
        <f t="shared" si="88"/>
        <v>9.9443563998231183E-4</v>
      </c>
      <c r="H77" s="89">
        <f t="shared" si="88"/>
        <v>1.0969521077654632E-3</v>
      </c>
      <c r="I77" s="89">
        <f t="shared" si="88"/>
        <v>1.1164825284879236E-3</v>
      </c>
      <c r="J77" s="89">
        <f t="shared" si="88"/>
        <v>1.0523890887301672E-3</v>
      </c>
      <c r="K77" s="89">
        <f t="shared" si="88"/>
        <v>1.1541761390620596E-3</v>
      </c>
      <c r="L77" s="89">
        <f t="shared" si="88"/>
        <v>1.1631993741052966E-3</v>
      </c>
      <c r="M77" s="89">
        <f t="shared" si="88"/>
        <v>1.1287519276199339E-3</v>
      </c>
      <c r="N77" s="89">
        <f t="shared" si="88"/>
        <v>1.1844708839458525E-3</v>
      </c>
      <c r="O77" s="89">
        <f t="shared" si="88"/>
        <v>1.2648362168886423E-3</v>
      </c>
      <c r="P77" s="89">
        <f t="shared" si="88"/>
        <v>1.3524195918487947E-3</v>
      </c>
      <c r="Q77" s="89">
        <f t="shared" si="88"/>
        <v>1.3159531724556447E-3</v>
      </c>
      <c r="R77" s="89">
        <f t="shared" si="88"/>
        <v>1.3858271215431163E-3</v>
      </c>
      <c r="S77" s="89">
        <f t="shared" si="88"/>
        <v>1.4898742414187489E-3</v>
      </c>
      <c r="T77" s="89">
        <f t="shared" ref="T77:Y77" si="89">T37/T$23</f>
        <v>1.3903270134294364E-3</v>
      </c>
      <c r="U77" s="89">
        <f t="shared" si="89"/>
        <v>1.2991828311693114E-3</v>
      </c>
      <c r="V77" s="89">
        <f t="shared" si="89"/>
        <v>1.0545878562728207E-3</v>
      </c>
      <c r="W77" s="89">
        <f t="shared" si="89"/>
        <v>9.999089564669422E-4</v>
      </c>
      <c r="X77" s="89">
        <f t="shared" si="89"/>
        <v>8.8476919884443418E-4</v>
      </c>
      <c r="Y77" s="89">
        <f t="shared" si="89"/>
        <v>9.1723605234600815E-4</v>
      </c>
      <c r="Z77" s="89">
        <f t="shared" ref="Z77:AA77" si="90">Z37/Z$23</f>
        <v>1.415458257409448E-3</v>
      </c>
      <c r="AA77" s="89">
        <f t="shared" si="90"/>
        <v>1.3444066970057665E-3</v>
      </c>
    </row>
    <row r="78" spans="1:27" x14ac:dyDescent="0.25">
      <c r="A78" s="68" t="s">
        <v>265</v>
      </c>
      <c r="B78" s="44"/>
      <c r="C78" s="44"/>
      <c r="D78" s="89">
        <f>D43/D$23</f>
        <v>1.6718156613171546E-2</v>
      </c>
      <c r="E78" s="89">
        <f t="shared" ref="E78:S78" si="91">E43/E$23</f>
        <v>1.66415893352907E-2</v>
      </c>
      <c r="F78" s="89">
        <f t="shared" si="91"/>
        <v>1.552584417844689E-2</v>
      </c>
      <c r="G78" s="89">
        <f t="shared" si="91"/>
        <v>1.5544356004592473E-2</v>
      </c>
      <c r="H78" s="89">
        <f t="shared" si="91"/>
        <v>1.4833268721540697E-2</v>
      </c>
      <c r="I78" s="89">
        <f t="shared" si="91"/>
        <v>1.4990874346547695E-2</v>
      </c>
      <c r="J78" s="89">
        <f t="shared" si="91"/>
        <v>1.5097488547476027E-2</v>
      </c>
      <c r="K78" s="89">
        <f t="shared" si="91"/>
        <v>1.4490197590671229E-2</v>
      </c>
      <c r="L78" s="89">
        <f t="shared" si="91"/>
        <v>1.3972112168514371E-2</v>
      </c>
      <c r="M78" s="89">
        <f t="shared" si="91"/>
        <v>1.3794946274985972E-2</v>
      </c>
      <c r="N78" s="89">
        <f t="shared" si="91"/>
        <v>1.3305551675401104E-2</v>
      </c>
      <c r="O78" s="89">
        <f t="shared" si="91"/>
        <v>1.3492275171592573E-2</v>
      </c>
      <c r="P78" s="89">
        <f t="shared" si="91"/>
        <v>1.3300626351102249E-2</v>
      </c>
      <c r="Q78" s="89">
        <f t="shared" si="91"/>
        <v>1.4110470901551722E-2</v>
      </c>
      <c r="R78" s="89">
        <f t="shared" si="91"/>
        <v>1.3923150635776841E-2</v>
      </c>
      <c r="S78" s="89">
        <f t="shared" si="91"/>
        <v>1.4627863418522E-2</v>
      </c>
      <c r="T78" s="89">
        <f t="shared" ref="T78:Y78" si="92">T43/T$23</f>
        <v>1.4125758662548987E-2</v>
      </c>
      <c r="U78" s="89">
        <f t="shared" si="92"/>
        <v>1.4455543261491394E-2</v>
      </c>
      <c r="V78" s="89">
        <f t="shared" si="92"/>
        <v>1.3860281610097782E-2</v>
      </c>
      <c r="W78" s="89">
        <f t="shared" si="92"/>
        <v>1.3988442219793853E-2</v>
      </c>
      <c r="X78" s="89">
        <f t="shared" si="92"/>
        <v>1.350604888236835E-2</v>
      </c>
      <c r="Y78" s="89">
        <f t="shared" si="92"/>
        <v>1.2979917789711368E-2</v>
      </c>
      <c r="Z78" s="89">
        <f t="shared" ref="Z78:AA78" si="93">Z43/Z$23</f>
        <v>1.3933534165658552E-2</v>
      </c>
      <c r="AA78" s="89">
        <f t="shared" si="93"/>
        <v>1.2543203522905156E-2</v>
      </c>
    </row>
    <row r="79" spans="1:27" x14ac:dyDescent="0.25">
      <c r="A79" s="88" t="s">
        <v>266</v>
      </c>
      <c r="B79" s="44"/>
      <c r="C79" s="44"/>
      <c r="D79" s="89">
        <f>D44/D$23</f>
        <v>9.3476291871855167E-3</v>
      </c>
      <c r="E79" s="89">
        <f t="shared" ref="E79:S79" si="94">E44/E$23</f>
        <v>8.5889162392868736E-3</v>
      </c>
      <c r="F79" s="89">
        <f t="shared" si="94"/>
        <v>7.5413319268954233E-3</v>
      </c>
      <c r="G79" s="89">
        <f t="shared" si="94"/>
        <v>7.2917889276183385E-3</v>
      </c>
      <c r="H79" s="89">
        <f t="shared" si="94"/>
        <v>7.1648126367525027E-3</v>
      </c>
      <c r="I79" s="89">
        <f t="shared" si="94"/>
        <v>7.2845067351823426E-3</v>
      </c>
      <c r="J79" s="89">
        <f t="shared" si="94"/>
        <v>6.9848558895659078E-3</v>
      </c>
      <c r="K79" s="89">
        <f t="shared" si="94"/>
        <v>7.0667454074938608E-3</v>
      </c>
      <c r="L79" s="89">
        <f t="shared" si="94"/>
        <v>7.1282130638292106E-3</v>
      </c>
      <c r="M79" s="89">
        <f t="shared" si="94"/>
        <v>7.0713402183894417E-3</v>
      </c>
      <c r="N79" s="89">
        <f t="shared" si="94"/>
        <v>6.7922661505292643E-3</v>
      </c>
      <c r="O79" s="89">
        <f t="shared" si="94"/>
        <v>7.158483116723258E-3</v>
      </c>
      <c r="P79" s="89">
        <f t="shared" si="94"/>
        <v>7.1292557209808914E-3</v>
      </c>
      <c r="Q79" s="89">
        <f t="shared" si="94"/>
        <v>7.8270325627063687E-3</v>
      </c>
      <c r="R79" s="89">
        <f t="shared" si="94"/>
        <v>8.0179252186900821E-3</v>
      </c>
      <c r="S79" s="89">
        <f t="shared" si="94"/>
        <v>8.4677186304552305E-3</v>
      </c>
      <c r="T79" s="89">
        <f t="shared" ref="T79:Y79" si="95">T44/T$23</f>
        <v>8.0444103068666797E-3</v>
      </c>
      <c r="U79" s="89">
        <f t="shared" si="95"/>
        <v>8.5126130102204951E-3</v>
      </c>
      <c r="V79" s="89">
        <f t="shared" si="95"/>
        <v>8.0620452311237316E-3</v>
      </c>
      <c r="W79" s="89">
        <f t="shared" si="95"/>
        <v>8.2168521001959472E-3</v>
      </c>
      <c r="X79" s="89">
        <f t="shared" si="95"/>
        <v>7.6892061501979136E-3</v>
      </c>
      <c r="Y79" s="89">
        <f t="shared" si="95"/>
        <v>7.0741828637517854E-3</v>
      </c>
      <c r="Z79" s="89">
        <f t="shared" ref="Z79:AA79" si="96">Z44/Z$23</f>
        <v>8.2741375593628902E-3</v>
      </c>
      <c r="AA79" s="89">
        <f t="shared" si="96"/>
        <v>7.0205035323912578E-3</v>
      </c>
    </row>
    <row r="80" spans="1:27" x14ac:dyDescent="0.25">
      <c r="A80" s="88" t="s">
        <v>11</v>
      </c>
      <c r="B80" s="44"/>
      <c r="C80" s="44"/>
      <c r="D80" s="89">
        <f>D47/D$23</f>
        <v>7.3705274259860286E-3</v>
      </c>
      <c r="E80" s="89">
        <f t="shared" ref="E80:S80" si="97">E47/E$23</f>
        <v>8.0526730960038262E-3</v>
      </c>
      <c r="F80" s="89">
        <f t="shared" si="97"/>
        <v>7.9845122515514663E-3</v>
      </c>
      <c r="G80" s="89">
        <f t="shared" si="97"/>
        <v>8.2525670769741342E-3</v>
      </c>
      <c r="H80" s="89">
        <f t="shared" si="97"/>
        <v>7.6684560847881944E-3</v>
      </c>
      <c r="I80" s="89">
        <f t="shared" si="97"/>
        <v>7.706367611365352E-3</v>
      </c>
      <c r="J80" s="89">
        <f t="shared" si="97"/>
        <v>8.1126326579101186E-3</v>
      </c>
      <c r="K80" s="89">
        <f t="shared" si="97"/>
        <v>7.4234521831773679E-3</v>
      </c>
      <c r="L80" s="89">
        <f t="shared" si="97"/>
        <v>6.8438991046851612E-3</v>
      </c>
      <c r="M80" s="89">
        <f t="shared" si="97"/>
        <v>6.7236060565965313E-3</v>
      </c>
      <c r="N80" s="89">
        <f t="shared" si="97"/>
        <v>6.5132855248718393E-3</v>
      </c>
      <c r="O80" s="89">
        <f t="shared" si="97"/>
        <v>6.3337920548693144E-3</v>
      </c>
      <c r="P80" s="89">
        <f t="shared" si="97"/>
        <v>6.1713706301213585E-3</v>
      </c>
      <c r="Q80" s="89">
        <f t="shared" si="97"/>
        <v>6.2834383388453516E-3</v>
      </c>
      <c r="R80" s="89">
        <f t="shared" si="97"/>
        <v>5.9052254170867584E-3</v>
      </c>
      <c r="S80" s="89">
        <f t="shared" si="97"/>
        <v>6.1601447880667692E-3</v>
      </c>
      <c r="T80" s="89">
        <f t="shared" ref="T80:Y80" si="98">T47/T$23</f>
        <v>6.081348355682306E-3</v>
      </c>
      <c r="U80" s="89">
        <f t="shared" si="98"/>
        <v>5.9429302512708981E-3</v>
      </c>
      <c r="V80" s="89">
        <f t="shared" si="98"/>
        <v>5.7982363789740518E-3</v>
      </c>
      <c r="W80" s="89">
        <f t="shared" si="98"/>
        <v>5.771590119597908E-3</v>
      </c>
      <c r="X80" s="89">
        <f t="shared" si="98"/>
        <v>5.816842732170438E-3</v>
      </c>
      <c r="Y80" s="89">
        <f t="shared" si="98"/>
        <v>5.9057349259595826E-3</v>
      </c>
      <c r="Z80" s="89">
        <f t="shared" ref="Z80:AA80" si="99">Z47/Z$23</f>
        <v>5.6593966062956601E-3</v>
      </c>
      <c r="AA80" s="89">
        <f t="shared" si="99"/>
        <v>5.5226999905138982E-3</v>
      </c>
    </row>
    <row r="81" spans="1:27" x14ac:dyDescent="0.25">
      <c r="A81" s="68" t="s">
        <v>4</v>
      </c>
      <c r="B81" s="44"/>
      <c r="C81" s="44"/>
      <c r="D81" s="89">
        <f>D48/D$23</f>
        <v>5.9211480303683678E-3</v>
      </c>
      <c r="E81" s="89">
        <f t="shared" ref="E81:S81" si="100">E48/E$23</f>
        <v>5.8644633263044985E-3</v>
      </c>
      <c r="F81" s="89">
        <f t="shared" si="100"/>
        <v>5.8043077381528104E-3</v>
      </c>
      <c r="G81" s="89">
        <f t="shared" si="100"/>
        <v>5.6055910346214212E-3</v>
      </c>
      <c r="H81" s="89">
        <f t="shared" si="100"/>
        <v>5.2039870951633132E-3</v>
      </c>
      <c r="I81" s="89">
        <f t="shared" si="100"/>
        <v>5.1825456708395074E-3</v>
      </c>
      <c r="J81" s="89">
        <f t="shared" si="100"/>
        <v>5.0930621964462011E-3</v>
      </c>
      <c r="K81" s="89">
        <f t="shared" si="100"/>
        <v>5.2962287632608053E-3</v>
      </c>
      <c r="L81" s="89">
        <f t="shared" si="100"/>
        <v>4.9235211114583436E-3</v>
      </c>
      <c r="M81" s="89">
        <f t="shared" si="100"/>
        <v>4.4062386135415126E-3</v>
      </c>
      <c r="N81" s="89">
        <f t="shared" si="100"/>
        <v>4.2539943152886056E-3</v>
      </c>
      <c r="O81" s="89">
        <f t="shared" si="100"/>
        <v>4.3416284078169366E-3</v>
      </c>
      <c r="P81" s="89">
        <f t="shared" si="100"/>
        <v>4.111711440290401E-3</v>
      </c>
      <c r="Q81" s="89">
        <f t="shared" si="100"/>
        <v>4.0153720679179349E-3</v>
      </c>
      <c r="R81" s="89">
        <f t="shared" si="100"/>
        <v>4.0065950451616773E-3</v>
      </c>
      <c r="S81" s="89">
        <f t="shared" si="100"/>
        <v>3.9629096630955452E-3</v>
      </c>
      <c r="T81" s="89">
        <f t="shared" ref="T81:Y81" si="101">T48/T$23</f>
        <v>3.9051533879705977E-3</v>
      </c>
      <c r="U81" s="89">
        <f t="shared" si="101"/>
        <v>3.888297505973525E-3</v>
      </c>
      <c r="V81" s="89">
        <f t="shared" si="101"/>
        <v>3.8192048051999008E-3</v>
      </c>
      <c r="W81" s="89">
        <f t="shared" si="101"/>
        <v>3.9588693822791184E-3</v>
      </c>
      <c r="X81" s="89">
        <f t="shared" si="101"/>
        <v>3.7320842741506476E-3</v>
      </c>
      <c r="Y81" s="89">
        <f t="shared" si="101"/>
        <v>3.686881441151168E-3</v>
      </c>
      <c r="Z81" s="89">
        <f t="shared" ref="Z81:AA81" si="102">Z48/Z$23</f>
        <v>3.8032442157833204E-3</v>
      </c>
      <c r="AA81" s="89">
        <f t="shared" si="102"/>
        <v>4.3626789375100011E-3</v>
      </c>
    </row>
    <row r="82" spans="1:27" x14ac:dyDescent="0.25">
      <c r="A82" s="68" t="s">
        <v>3</v>
      </c>
      <c r="B82" s="44"/>
      <c r="C82" s="44"/>
      <c r="D82" s="89">
        <f>D52/D$23</f>
        <v>8.3181081918777908E-3</v>
      </c>
      <c r="E82" s="89">
        <f t="shared" ref="E82:S82" si="103">E52/E$23</f>
        <v>8.3062002940566104E-3</v>
      </c>
      <c r="F82" s="89">
        <f t="shared" si="103"/>
        <v>7.9265926325539152E-3</v>
      </c>
      <c r="G82" s="89">
        <f t="shared" si="103"/>
        <v>7.4630771640128426E-3</v>
      </c>
      <c r="H82" s="89">
        <f t="shared" si="103"/>
        <v>7.1291337858349051E-3</v>
      </c>
      <c r="I82" s="89">
        <f t="shared" si="103"/>
        <v>6.6334837383837117E-3</v>
      </c>
      <c r="J82" s="89">
        <f t="shared" si="103"/>
        <v>6.0765475601748213E-3</v>
      </c>
      <c r="K82" s="89">
        <f t="shared" si="103"/>
        <v>5.7518319597175353E-3</v>
      </c>
      <c r="L82" s="89">
        <f t="shared" si="103"/>
        <v>5.3423834908584832E-3</v>
      </c>
      <c r="M82" s="89">
        <f t="shared" si="103"/>
        <v>5.0499740962998236E-3</v>
      </c>
      <c r="N82" s="89">
        <f t="shared" si="103"/>
        <v>4.7144992272666209E-3</v>
      </c>
      <c r="O82" s="89">
        <f t="shared" si="103"/>
        <v>4.7447095732481093E-3</v>
      </c>
      <c r="P82" s="89">
        <f t="shared" si="103"/>
        <v>4.6667501644331007E-3</v>
      </c>
      <c r="Q82" s="89">
        <f t="shared" si="103"/>
        <v>4.4471835911621162E-3</v>
      </c>
      <c r="R82" s="89">
        <f t="shared" si="103"/>
        <v>4.5064372769286227E-3</v>
      </c>
      <c r="S82" s="89">
        <f t="shared" si="103"/>
        <v>4.3973269157655459E-3</v>
      </c>
      <c r="T82" s="89">
        <f t="shared" ref="T82:Y82" si="104">T52/T$23</f>
        <v>4.3768387322577979E-3</v>
      </c>
      <c r="U82" s="89">
        <f t="shared" si="104"/>
        <v>4.2271643506167252E-3</v>
      </c>
      <c r="V82" s="89">
        <f t="shared" si="104"/>
        <v>4.1689203329199603E-3</v>
      </c>
      <c r="W82" s="89">
        <f t="shared" si="104"/>
        <v>4.0019253357690167E-3</v>
      </c>
      <c r="X82" s="89">
        <f t="shared" si="104"/>
        <v>3.5226553736820371E-3</v>
      </c>
      <c r="Y82" s="89">
        <f t="shared" si="104"/>
        <v>3.238709010322111E-3</v>
      </c>
      <c r="Z82" s="89">
        <f t="shared" ref="Z82:AA82" si="105">Z52/Z$23</f>
        <v>3.6231385385872405E-3</v>
      </c>
      <c r="AA82" s="89">
        <f t="shared" si="105"/>
        <v>3.3097975824468539E-3</v>
      </c>
    </row>
    <row r="83" spans="1:27" x14ac:dyDescent="0.25">
      <c r="A83" s="88" t="s">
        <v>21</v>
      </c>
      <c r="B83" s="44"/>
      <c r="C83" s="44"/>
      <c r="D83" s="89">
        <f>D53/D$23</f>
        <v>4.6879513676779377E-3</v>
      </c>
      <c r="E83" s="89">
        <f t="shared" ref="E83:S83" si="106">E53/E$23</f>
        <v>4.831865901217855E-3</v>
      </c>
      <c r="F83" s="89">
        <f t="shared" si="106"/>
        <v>4.5532862963945141E-3</v>
      </c>
      <c r="G83" s="89">
        <f t="shared" si="106"/>
        <v>4.2376174622629111E-3</v>
      </c>
      <c r="H83" s="89">
        <f t="shared" si="106"/>
        <v>3.992154595212594E-3</v>
      </c>
      <c r="I83" s="89">
        <f t="shared" si="106"/>
        <v>3.6113924466519131E-3</v>
      </c>
      <c r="J83" s="89">
        <f t="shared" si="106"/>
        <v>3.2182439626930333E-3</v>
      </c>
      <c r="K83" s="89">
        <f t="shared" si="106"/>
        <v>3.1706180980219626E-3</v>
      </c>
      <c r="L83" s="89">
        <f t="shared" si="106"/>
        <v>2.9028332148971566E-3</v>
      </c>
      <c r="M83" s="89">
        <f t="shared" si="106"/>
        <v>2.7938601720960054E-3</v>
      </c>
      <c r="N83" s="89">
        <f t="shared" si="106"/>
        <v>2.5821746051651524E-3</v>
      </c>
      <c r="O83" s="89">
        <f t="shared" si="106"/>
        <v>2.6814649464852861E-3</v>
      </c>
      <c r="P83" s="89">
        <f t="shared" si="106"/>
        <v>2.6999277769319666E-3</v>
      </c>
      <c r="Q83" s="89">
        <f t="shared" si="106"/>
        <v>2.533751771720568E-3</v>
      </c>
      <c r="R83" s="89">
        <f t="shared" si="106"/>
        <v>2.5877736696058458E-3</v>
      </c>
      <c r="S83" s="89">
        <f t="shared" si="106"/>
        <v>2.6336928532291518E-3</v>
      </c>
      <c r="T83" s="89">
        <f t="shared" ref="T83:Y83" si="107">T53/T$23</f>
        <v>2.6348241503904475E-3</v>
      </c>
      <c r="U83" s="89">
        <f t="shared" si="107"/>
        <v>2.5188872200099148E-3</v>
      </c>
      <c r="V83" s="89">
        <f t="shared" si="107"/>
        <v>2.5474814117863597E-3</v>
      </c>
      <c r="W83" s="89">
        <f t="shared" si="107"/>
        <v>2.4362881155618075E-3</v>
      </c>
      <c r="X83" s="89">
        <f t="shared" si="107"/>
        <v>2.2950139875359899E-3</v>
      </c>
      <c r="Y83" s="89">
        <f t="shared" si="107"/>
        <v>2.0330677771207817E-3</v>
      </c>
      <c r="Z83" s="89">
        <f t="shared" ref="Z83:AA83" si="108">Z53/Z$23</f>
        <v>2.4581934024242242E-3</v>
      </c>
      <c r="AA83" s="89">
        <f t="shared" si="108"/>
        <v>2.3248773413906965E-3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3.6301568241998527E-3</v>
      </c>
      <c r="E84" s="89">
        <f t="shared" ref="E84:S84" si="110">E56/E$23</f>
        <v>3.4743343928387558E-3</v>
      </c>
      <c r="F84" s="89">
        <f t="shared" si="110"/>
        <v>3.3733063361594015E-3</v>
      </c>
      <c r="G84" s="89">
        <f t="shared" si="110"/>
        <v>3.225459701749932E-3</v>
      </c>
      <c r="H84" s="89">
        <f t="shared" si="110"/>
        <v>3.1369791906223107E-3</v>
      </c>
      <c r="I84" s="89">
        <f t="shared" si="110"/>
        <v>3.0220912917317986E-3</v>
      </c>
      <c r="J84" s="89">
        <f t="shared" si="110"/>
        <v>2.8583035974817884E-3</v>
      </c>
      <c r="K84" s="89">
        <f t="shared" si="110"/>
        <v>2.5812138616955727E-3</v>
      </c>
      <c r="L84" s="89">
        <f t="shared" si="110"/>
        <v>2.4395502759613271E-3</v>
      </c>
      <c r="M84" s="89">
        <f t="shared" si="110"/>
        <v>2.2561139242038182E-3</v>
      </c>
      <c r="N84" s="89">
        <f t="shared" si="110"/>
        <v>2.1323246221014685E-3</v>
      </c>
      <c r="O84" s="89">
        <f t="shared" si="110"/>
        <v>2.0632446267628236E-3</v>
      </c>
      <c r="P84" s="89">
        <f t="shared" si="110"/>
        <v>1.9668223875011341E-3</v>
      </c>
      <c r="Q84" s="89">
        <f t="shared" si="110"/>
        <v>1.9134318194415478E-3</v>
      </c>
      <c r="R84" s="89">
        <f t="shared" si="110"/>
        <v>1.9186636073227773E-3</v>
      </c>
      <c r="S84" s="89">
        <f t="shared" si="110"/>
        <v>1.7636340625363945E-3</v>
      </c>
      <c r="T84" s="89">
        <f t="shared" ref="T84:Y84" si="111">T56/T$23</f>
        <v>1.7420145818673502E-3</v>
      </c>
      <c r="U84" s="89">
        <f t="shared" si="111"/>
        <v>1.7082771306068105E-3</v>
      </c>
      <c r="V84" s="89">
        <f t="shared" si="111"/>
        <v>1.6214389211336006E-3</v>
      </c>
      <c r="W84" s="89">
        <f t="shared" si="111"/>
        <v>1.5656372202072092E-3</v>
      </c>
      <c r="X84" s="89">
        <f t="shared" si="111"/>
        <v>1.2276413861460474E-3</v>
      </c>
      <c r="Y84" s="89">
        <f t="shared" si="111"/>
        <v>1.2056412332013293E-3</v>
      </c>
      <c r="Z84" s="89">
        <f t="shared" ref="Z84:AA84" si="112">Z56/Z$23</f>
        <v>1.1649451361630168E-3</v>
      </c>
      <c r="AA84" s="89">
        <f t="shared" si="112"/>
        <v>9.8492024105615748E-4</v>
      </c>
    </row>
    <row r="85" spans="1:27" x14ac:dyDescent="0.25">
      <c r="A85" s="68" t="s">
        <v>2</v>
      </c>
      <c r="B85" s="44"/>
      <c r="C85" s="44"/>
      <c r="D85" s="89">
        <f t="shared" si="109"/>
        <v>2.2749821622715192E-2</v>
      </c>
      <c r="E85" s="89">
        <f t="shared" ref="E85:S85" si="113">E57/E$23</f>
        <v>2.1703398509161077E-2</v>
      </c>
      <c r="F85" s="89">
        <f t="shared" si="113"/>
        <v>2.212374240880852E-2</v>
      </c>
      <c r="G85" s="89">
        <f t="shared" si="113"/>
        <v>2.2320976868405153E-2</v>
      </c>
      <c r="H85" s="89">
        <f t="shared" si="113"/>
        <v>2.2309597808017553E-2</v>
      </c>
      <c r="I85" s="89">
        <f t="shared" si="113"/>
        <v>2.0951684965135386E-2</v>
      </c>
      <c r="J85" s="89">
        <f t="shared" si="113"/>
        <v>1.9651761788956362E-2</v>
      </c>
      <c r="K85" s="89">
        <f t="shared" si="113"/>
        <v>1.958310406777625E-2</v>
      </c>
      <c r="L85" s="89">
        <f t="shared" si="113"/>
        <v>1.881803716400798E-2</v>
      </c>
      <c r="M85" s="89">
        <f t="shared" si="113"/>
        <v>1.9000290954214544E-2</v>
      </c>
      <c r="N85" s="89">
        <f t="shared" si="113"/>
        <v>1.8040245061133629E-2</v>
      </c>
      <c r="O85" s="89">
        <f t="shared" si="113"/>
        <v>1.8528135038258311E-2</v>
      </c>
      <c r="P85" s="89">
        <f t="shared" si="113"/>
        <v>1.865039395910445E-2</v>
      </c>
      <c r="Q85" s="89">
        <f t="shared" si="113"/>
        <v>1.911299156172714E-2</v>
      </c>
      <c r="R85" s="89">
        <f t="shared" si="113"/>
        <v>1.9415951575559327E-2</v>
      </c>
      <c r="S85" s="89">
        <f t="shared" si="113"/>
        <v>1.9475982403550675E-2</v>
      </c>
      <c r="T85" s="89">
        <f t="shared" ref="T85:Y85" si="114">T57/T$23</f>
        <v>1.9538066953105747E-2</v>
      </c>
      <c r="U85" s="89">
        <f t="shared" si="114"/>
        <v>1.9329747197845127E-2</v>
      </c>
      <c r="V85" s="89">
        <f t="shared" si="114"/>
        <v>1.8740928998333749E-2</v>
      </c>
      <c r="W85" s="89">
        <f t="shared" si="114"/>
        <v>1.876853649466325E-2</v>
      </c>
      <c r="X85" s="89">
        <f t="shared" si="114"/>
        <v>1.9297606490730181E-2</v>
      </c>
      <c r="Y85" s="89">
        <f t="shared" si="114"/>
        <v>1.8377916781379889E-2</v>
      </c>
      <c r="Z85" s="89">
        <f t="shared" ref="Z85:AA85" si="115">Z57/Z$23</f>
        <v>1.8323282851110869E-2</v>
      </c>
      <c r="AA85" s="89">
        <f t="shared" si="115"/>
        <v>2.0477374700722931E-2</v>
      </c>
    </row>
    <row r="86" spans="1:27" x14ac:dyDescent="0.25">
      <c r="A86" s="68" t="s">
        <v>269</v>
      </c>
      <c r="B86" s="44"/>
      <c r="C86" s="44"/>
      <c r="D86" s="89">
        <f t="shared" si="109"/>
        <v>1.9122924215596644E-2</v>
      </c>
      <c r="E86" s="89">
        <f t="shared" ref="E86:S86" si="116">E58/E$23</f>
        <v>1.8650226438439291E-2</v>
      </c>
      <c r="F86" s="89">
        <f t="shared" si="116"/>
        <v>1.8813787860541692E-2</v>
      </c>
      <c r="G86" s="89">
        <f t="shared" si="116"/>
        <v>1.7819395796352076E-2</v>
      </c>
      <c r="H86" s="89">
        <f t="shared" si="116"/>
        <v>1.6559389188585395E-2</v>
      </c>
      <c r="I86" s="89">
        <f t="shared" si="116"/>
        <v>1.6610582086346387E-2</v>
      </c>
      <c r="J86" s="89">
        <f t="shared" si="116"/>
        <v>1.59838500329718E-2</v>
      </c>
      <c r="K86" s="89">
        <f t="shared" si="116"/>
        <v>1.548497923491955E-2</v>
      </c>
      <c r="L86" s="89">
        <f t="shared" si="116"/>
        <v>1.502589763377162E-2</v>
      </c>
      <c r="M86" s="89">
        <f t="shared" si="116"/>
        <v>1.3788694745440299E-2</v>
      </c>
      <c r="N86" s="89">
        <f t="shared" si="116"/>
        <v>1.472237829616641E-2</v>
      </c>
      <c r="O86" s="89">
        <f t="shared" si="116"/>
        <v>1.3428453987065971E-2</v>
      </c>
      <c r="P86" s="89">
        <f t="shared" si="116"/>
        <v>1.3689812368947701E-2</v>
      </c>
      <c r="Q86" s="89">
        <f t="shared" si="116"/>
        <v>1.4017510010056244E-2</v>
      </c>
      <c r="R86" s="89">
        <f t="shared" si="116"/>
        <v>1.4253725037027664E-2</v>
      </c>
      <c r="S86" s="89">
        <f t="shared" si="116"/>
        <v>1.5508940777389572E-2</v>
      </c>
      <c r="T86" s="89">
        <f t="shared" ref="T86:Y86" si="117">T58/T$23</f>
        <v>1.5615370923282849E-2</v>
      </c>
      <c r="U86" s="89">
        <f t="shared" si="117"/>
        <v>1.5233389981937283E-2</v>
      </c>
      <c r="V86" s="89">
        <f t="shared" si="117"/>
        <v>1.6446668333991443E-2</v>
      </c>
      <c r="W86" s="89">
        <f t="shared" si="117"/>
        <v>1.6752811121343487E-2</v>
      </c>
      <c r="X86" s="89">
        <f t="shared" si="117"/>
        <v>1.2983327572863459E-2</v>
      </c>
      <c r="Y86" s="89">
        <f t="shared" si="117"/>
        <v>1.344020176752663E-2</v>
      </c>
      <c r="Z86" s="89">
        <f t="shared" ref="Z86:AA86" si="118">Z58/Z$23</f>
        <v>1.3808735201337968E-2</v>
      </c>
      <c r="AA86" s="89">
        <f t="shared" si="118"/>
        <v>1.418656830954822E-2</v>
      </c>
    </row>
    <row r="87" spans="1:27" x14ac:dyDescent="0.25">
      <c r="A87" s="68" t="s">
        <v>270</v>
      </c>
      <c r="B87" s="44"/>
      <c r="C87" s="44"/>
      <c r="D87" s="89">
        <f t="shared" si="109"/>
        <v>4.2516139610081237E-2</v>
      </c>
      <c r="E87" s="89">
        <f t="shared" ref="E87:S87" si="119">E59/E$23</f>
        <v>4.0903916540273075E-2</v>
      </c>
      <c r="F87" s="89">
        <f t="shared" si="119"/>
        <v>3.8806850204838622E-2</v>
      </c>
      <c r="G87" s="89">
        <f t="shared" si="119"/>
        <v>3.6536871524973612E-2</v>
      </c>
      <c r="H87" s="89">
        <f t="shared" si="119"/>
        <v>3.5764598432233174E-2</v>
      </c>
      <c r="I87" s="89">
        <f t="shared" si="119"/>
        <v>3.3875162478792221E-2</v>
      </c>
      <c r="J87" s="89">
        <f t="shared" si="119"/>
        <v>3.2860791108545395E-2</v>
      </c>
      <c r="K87" s="89">
        <f t="shared" si="119"/>
        <v>3.2745140582961275E-2</v>
      </c>
      <c r="L87" s="89">
        <f t="shared" si="119"/>
        <v>3.1083314507743556E-2</v>
      </c>
      <c r="M87" s="89">
        <f t="shared" si="119"/>
        <v>2.8465622867705074E-2</v>
      </c>
      <c r="N87" s="89">
        <f t="shared" si="119"/>
        <v>2.8278850758251598E-2</v>
      </c>
      <c r="O87" s="89">
        <f t="shared" si="119"/>
        <v>2.8307620926652174E-2</v>
      </c>
      <c r="P87" s="89">
        <f t="shared" si="119"/>
        <v>2.8176746272037218E-2</v>
      </c>
      <c r="Q87" s="89">
        <f t="shared" si="119"/>
        <v>2.7694849670994458E-2</v>
      </c>
      <c r="R87" s="89">
        <f t="shared" si="119"/>
        <v>2.7284277958487389E-2</v>
      </c>
      <c r="S87" s="89">
        <f t="shared" si="119"/>
        <v>2.6687227178849166E-2</v>
      </c>
      <c r="T87" s="89">
        <f t="shared" ref="T87:Y87" si="120">T59/T$23</f>
        <v>2.6186173706332239E-2</v>
      </c>
      <c r="U87" s="89">
        <f t="shared" si="120"/>
        <v>2.5731019736949069E-2</v>
      </c>
      <c r="V87" s="89">
        <f t="shared" si="120"/>
        <v>2.5205166683085353E-2</v>
      </c>
      <c r="W87" s="89">
        <f t="shared" si="120"/>
        <v>2.535586489506762E-2</v>
      </c>
      <c r="X87" s="89">
        <f t="shared" si="120"/>
        <v>2.3325186336774897E-2</v>
      </c>
      <c r="Y87" s="89">
        <f t="shared" si="120"/>
        <v>2.3195149018124122E-2</v>
      </c>
      <c r="Z87" s="89">
        <f t="shared" ref="Z87:AA87" si="121">Z59/Z$23</f>
        <v>2.2989818414129407E-2</v>
      </c>
      <c r="AA87" s="89">
        <f t="shared" si="121"/>
        <v>2.2748462829672553E-2</v>
      </c>
    </row>
    <row r="88" spans="1:27" x14ac:dyDescent="0.25">
      <c r="A88" s="68" t="s">
        <v>1</v>
      </c>
      <c r="B88" s="44"/>
      <c r="C88" s="44"/>
      <c r="D88" s="89">
        <f t="shared" si="109"/>
        <v>6.632004155680978E-3</v>
      </c>
      <c r="E88" s="89">
        <f t="shared" ref="E88:S88" si="122">E60/E$23</f>
        <v>6.3485161161554908E-3</v>
      </c>
      <c r="F88" s="89">
        <f t="shared" si="122"/>
        <v>5.9980315795258596E-3</v>
      </c>
      <c r="G88" s="89">
        <f t="shared" si="122"/>
        <v>5.6654081520166972E-3</v>
      </c>
      <c r="H88" s="89">
        <f t="shared" si="122"/>
        <v>5.0588405359055398E-3</v>
      </c>
      <c r="I88" s="89">
        <f t="shared" si="122"/>
        <v>4.4622042977773106E-3</v>
      </c>
      <c r="J88" s="89">
        <f t="shared" si="122"/>
        <v>4.0380980234563275E-3</v>
      </c>
      <c r="K88" s="89">
        <f t="shared" si="122"/>
        <v>3.9411692436854464E-3</v>
      </c>
      <c r="L88" s="89">
        <f t="shared" si="122"/>
        <v>3.6122754258191767E-3</v>
      </c>
      <c r="M88" s="89">
        <f t="shared" si="122"/>
        <v>3.098464515371966E-3</v>
      </c>
      <c r="N88" s="89">
        <f t="shared" si="122"/>
        <v>2.9207893617619477E-3</v>
      </c>
      <c r="O88" s="89">
        <f t="shared" si="122"/>
        <v>3.0349194523015474E-3</v>
      </c>
      <c r="P88" s="89">
        <f t="shared" si="122"/>
        <v>3.1043276735204474E-3</v>
      </c>
      <c r="Q88" s="89">
        <f t="shared" si="122"/>
        <v>2.9582784550860586E-3</v>
      </c>
      <c r="R88" s="89">
        <f t="shared" si="122"/>
        <v>2.790239433066723E-3</v>
      </c>
      <c r="S88" s="89">
        <f t="shared" si="122"/>
        <v>2.8479938018513545E-3</v>
      </c>
      <c r="T88" s="89">
        <f t="shared" ref="T88:Y88" si="123">T60/T$23</f>
        <v>2.7978497358798998E-3</v>
      </c>
      <c r="U88" s="89">
        <f t="shared" si="123"/>
        <v>2.8057760883375311E-3</v>
      </c>
      <c r="V88" s="89">
        <f t="shared" si="123"/>
        <v>2.8385507838483786E-3</v>
      </c>
      <c r="W88" s="89">
        <f t="shared" si="123"/>
        <v>2.8681960550517326E-3</v>
      </c>
      <c r="X88" s="89">
        <f t="shared" si="123"/>
        <v>2.8754048294197467E-3</v>
      </c>
      <c r="Y88" s="89">
        <f t="shared" si="123"/>
        <v>2.9754184403906715E-3</v>
      </c>
      <c r="Z88" s="89">
        <f t="shared" ref="Z88:AA88" si="124">Z60/Z$23</f>
        <v>2.6849509252137565E-3</v>
      </c>
      <c r="AA88" s="89">
        <f t="shared" si="124"/>
        <v>3.0998439047696187E-3</v>
      </c>
    </row>
    <row r="89" spans="1:27" x14ac:dyDescent="0.25">
      <c r="A89" s="68" t="s">
        <v>0</v>
      </c>
      <c r="B89" s="44"/>
      <c r="C89" s="44"/>
      <c r="D89" s="89">
        <f t="shared" si="109"/>
        <v>2.6878062857176206E-3</v>
      </c>
      <c r="E89" s="89">
        <f t="shared" ref="E89:S89" si="125">E61/E$23</f>
        <v>2.5442979272859538E-3</v>
      </c>
      <c r="F89" s="89">
        <f t="shared" si="125"/>
        <v>2.532237276855144E-3</v>
      </c>
      <c r="G89" s="89">
        <f t="shared" si="125"/>
        <v>2.623790049600875E-3</v>
      </c>
      <c r="H89" s="89">
        <f t="shared" si="125"/>
        <v>2.2647856969203175E-3</v>
      </c>
      <c r="I89" s="89">
        <f t="shared" si="125"/>
        <v>2.0549258556087462E-3</v>
      </c>
      <c r="J89" s="89">
        <f t="shared" si="125"/>
        <v>2.0198371580558952E-3</v>
      </c>
      <c r="K89" s="89">
        <f t="shared" si="125"/>
        <v>2.1177196869942684E-3</v>
      </c>
      <c r="L89" s="89">
        <f t="shared" si="125"/>
        <v>2.1245223531080907E-3</v>
      </c>
      <c r="M89" s="89">
        <f t="shared" si="125"/>
        <v>1.9652170631426855E-3</v>
      </c>
      <c r="N89" s="89">
        <f t="shared" si="125"/>
        <v>1.7282183129108282E-3</v>
      </c>
      <c r="O89" s="89">
        <f t="shared" si="125"/>
        <v>1.9296427243497487E-3</v>
      </c>
      <c r="P89" s="89">
        <f t="shared" si="125"/>
        <v>1.8400222079773651E-3</v>
      </c>
      <c r="Q89" s="89">
        <f t="shared" si="125"/>
        <v>1.8195735201349276E-3</v>
      </c>
      <c r="R89" s="89">
        <f t="shared" si="125"/>
        <v>1.6325785989681374E-3</v>
      </c>
      <c r="S89" s="89">
        <f t="shared" si="125"/>
        <v>1.6068745254937786E-3</v>
      </c>
      <c r="T89" s="89">
        <f t="shared" ref="T89:Y89" si="126">T61/T$23</f>
        <v>1.6089828811540964E-3</v>
      </c>
      <c r="U89" s="89">
        <f t="shared" si="126"/>
        <v>1.6459035590281111E-3</v>
      </c>
      <c r="V89" s="89">
        <f t="shared" si="126"/>
        <v>1.5791233903107232E-3</v>
      </c>
      <c r="W89" s="89">
        <f t="shared" si="126"/>
        <v>1.6490058212951027E-3</v>
      </c>
      <c r="X89" s="89">
        <f t="shared" si="126"/>
        <v>1.6044383561324108E-3</v>
      </c>
      <c r="Y89" s="89">
        <f t="shared" si="126"/>
        <v>1.7129252440973835E-3</v>
      </c>
      <c r="Z89" s="89">
        <f t="shared" ref="Z89:AA89" si="127">Z61/Z$23</f>
        <v>2.2204167559243836E-3</v>
      </c>
      <c r="AA89" s="89">
        <f t="shared" si="127"/>
        <v>2.1743749662860266E-3</v>
      </c>
    </row>
    <row r="90" spans="1:27" x14ac:dyDescent="0.25">
      <c r="A90" s="90" t="s">
        <v>272</v>
      </c>
      <c r="B90" s="47"/>
      <c r="C90" s="47"/>
      <c r="D90" s="91">
        <f t="shared" si="109"/>
        <v>1.4402378677105695E-2</v>
      </c>
      <c r="E90" s="91">
        <f t="shared" ref="E90:S90" si="128">E62/E$23</f>
        <v>1.4798622029089605E-2</v>
      </c>
      <c r="F90" s="91">
        <f t="shared" si="128"/>
        <v>1.4375988063902343E-2</v>
      </c>
      <c r="G90" s="91">
        <f t="shared" si="128"/>
        <v>1.4318859671717898E-2</v>
      </c>
      <c r="H90" s="91">
        <f t="shared" si="128"/>
        <v>1.3774336195964283E-2</v>
      </c>
      <c r="I90" s="91">
        <f t="shared" si="128"/>
        <v>1.3033627262240026E-2</v>
      </c>
      <c r="J90" s="91">
        <f t="shared" si="128"/>
        <v>1.2423186804199416E-2</v>
      </c>
      <c r="K90" s="91">
        <f t="shared" si="128"/>
        <v>1.1829037175665675E-2</v>
      </c>
      <c r="L90" s="91">
        <f t="shared" si="128"/>
        <v>1.0905974654770013E-2</v>
      </c>
      <c r="M90" s="91">
        <f t="shared" si="128"/>
        <v>1.052883753152219E-2</v>
      </c>
      <c r="N90" s="91">
        <f t="shared" si="128"/>
        <v>9.6387499347315858E-3</v>
      </c>
      <c r="O90" s="91">
        <f t="shared" si="128"/>
        <v>9.7069962917074575E-3</v>
      </c>
      <c r="P90" s="91">
        <f t="shared" si="128"/>
        <v>9.526513022919493E-3</v>
      </c>
      <c r="Q90" s="91">
        <f t="shared" si="128"/>
        <v>9.4529243617186929E-3</v>
      </c>
      <c r="R90" s="91">
        <f t="shared" si="128"/>
        <v>9.3914246513072293E-3</v>
      </c>
      <c r="S90" s="91">
        <f t="shared" si="128"/>
        <v>9.2716660120991026E-3</v>
      </c>
      <c r="T90" s="91">
        <f t="shared" ref="T90:Y90" si="129">T62/T$23</f>
        <v>9.1358348434876242E-3</v>
      </c>
      <c r="U90" s="91">
        <f t="shared" si="129"/>
        <v>8.6422377075534799E-3</v>
      </c>
      <c r="V90" s="91">
        <f t="shared" si="129"/>
        <v>8.6782381311540351E-3</v>
      </c>
      <c r="W90" s="91">
        <f t="shared" si="129"/>
        <v>8.6114696782399781E-3</v>
      </c>
      <c r="X90" s="91">
        <f t="shared" si="129"/>
        <v>7.7743489420995949E-3</v>
      </c>
      <c r="Y90" s="91">
        <f t="shared" si="129"/>
        <v>7.8119929984412258E-3</v>
      </c>
      <c r="Z90" s="91">
        <f t="shared" ref="Z90:AA90" si="130">Z62/Z$23</f>
        <v>7.3628011439961357E-3</v>
      </c>
      <c r="AA90" s="91">
        <f t="shared" si="130"/>
        <v>9.078062836749317E-3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1.8997819811633621E-2</v>
      </c>
      <c r="F93" s="92">
        <f t="shared" ref="F93:F94" si="132">IF(E16=0,"",F16/E16-1)</f>
        <v>1.0672440444992715E-2</v>
      </c>
      <c r="G93" s="92">
        <f t="shared" ref="G93:G94" si="133">IF(F16=0,"",G16/F16-1)</f>
        <v>9.6779152722858974E-3</v>
      </c>
      <c r="H93" s="92">
        <f t="shared" ref="H93:H94" si="134">IF(G16=0,"",H16/G16-1)</f>
        <v>2.8681077217495687E-2</v>
      </c>
      <c r="I93" s="92">
        <f t="shared" ref="I93:I94" si="135">IF(H16=0,"",I16/H16-1)</f>
        <v>1.8884850663052122E-2</v>
      </c>
      <c r="J93" s="92">
        <f t="shared" ref="J93:J94" si="136">IF(I16=0,"",J16/I16-1)</f>
        <v>2.7147465031154727E-2</v>
      </c>
      <c r="K93" s="92">
        <f t="shared" ref="K93:K94" si="137">IF(J16=0,"",K16/J16-1)</f>
        <v>2.5304998217804187E-2</v>
      </c>
      <c r="L93" s="92">
        <f t="shared" ref="L93:L94" si="138">IF(K16=0,"",L16/K16-1)</f>
        <v>3.7964403863790519E-3</v>
      </c>
      <c r="M93" s="92">
        <f t="shared" ref="M93:M94" si="139">IF(L16=0,"",M16/L16-1)</f>
        <v>-2.8243103847958473E-2</v>
      </c>
      <c r="N93" s="92">
        <f t="shared" ref="N93:N94" si="140">IF(M16=0,"",N16/M16-1)</f>
        <v>1.99996481146969E-2</v>
      </c>
      <c r="O93" s="92">
        <f t="shared" ref="O93:O94" si="141">IF(N16=0,"",O16/N16-1)</f>
        <v>2.4376860463079852E-2</v>
      </c>
      <c r="P93" s="92">
        <f t="shared" ref="P93:P94" si="142">IF(O16=0,"",P16/O16-1)</f>
        <v>1.8449284955848189E-3</v>
      </c>
      <c r="Q93" s="92">
        <f t="shared" ref="Q93:Q94" si="143">IF(P16=0,"",Q16/P16-1)</f>
        <v>7.815817376823464E-3</v>
      </c>
      <c r="R93" s="92">
        <f t="shared" ref="R93:R94" si="144">IF(Q16=0,"",R16/Q16-1)</f>
        <v>9.9802556372421414E-3</v>
      </c>
      <c r="S93" s="92">
        <f t="shared" ref="S93:S94" si="145">IF(R16=0,"",S16/R16-1)</f>
        <v>1.0664633444134708E-2</v>
      </c>
      <c r="T93" s="92">
        <f t="shared" ref="T93:T94" si="146">IF(S16=0,"",T16/S16-1)</f>
        <v>8.6029018889368647E-3</v>
      </c>
      <c r="U93" s="92">
        <f t="shared" ref="U93:U94" si="147">IF(T16=0,"",U16/T16-1)</f>
        <v>2.0829833707227241E-2</v>
      </c>
      <c r="V93" s="92">
        <f t="shared" ref="V93:V94" si="148">IF(U16=0,"",V16/U16-1)</f>
        <v>1.6458409772267757E-2</v>
      </c>
      <c r="W93" s="92">
        <f t="shared" ref="W93:W94" si="149">IF(V16=0,"",W16/V16-1)</f>
        <v>2.0280047344562568E-2</v>
      </c>
      <c r="X93" s="92">
        <f t="shared" ref="X93:X94" si="150">IF(W16=0,"",X16/W16-1)</f>
        <v>-7.4403467947961155E-2</v>
      </c>
      <c r="Y93" s="92">
        <f t="shared" ref="Y93:Y94" si="151">IF(X16=0,"",Y16/X16-1)</f>
        <v>6.8822085432498792E-2</v>
      </c>
      <c r="Z93" s="92">
        <f t="shared" ref="Z93:Z94" si="152">IF(Y16=0,"",Z16/Y16-1)</f>
        <v>2.7160530220830204E-2</v>
      </c>
      <c r="AA93" s="92">
        <f t="shared" ref="AA93:AA94" si="153">IF(Z16=0,"",AA16/Z16-1)</f>
        <v>1.4398079741978931E-2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2.5677219666494722E-2</v>
      </c>
      <c r="F94" s="93">
        <f t="shared" si="132"/>
        <v>2.1495812230725386E-2</v>
      </c>
      <c r="G94" s="93">
        <f t="shared" si="133"/>
        <v>1.6106448095506876E-2</v>
      </c>
      <c r="H94" s="93">
        <f t="shared" si="134"/>
        <v>1.9303733229157904E-2</v>
      </c>
      <c r="I94" s="93">
        <f t="shared" si="135"/>
        <v>2.5337369465650239E-2</v>
      </c>
      <c r="J94" s="93">
        <f t="shared" si="136"/>
        <v>2.7507009962904228E-2</v>
      </c>
      <c r="K94" s="93">
        <f t="shared" si="137"/>
        <v>2.7679655460578045E-2</v>
      </c>
      <c r="L94" s="93">
        <f t="shared" si="138"/>
        <v>5.4320841070061299E-3</v>
      </c>
      <c r="M94" s="93">
        <f t="shared" si="139"/>
        <v>2.7932951767357661E-3</v>
      </c>
      <c r="N94" s="93">
        <f t="shared" si="140"/>
        <v>1.9864968690525453E-2</v>
      </c>
      <c r="O94" s="93">
        <f t="shared" si="141"/>
        <v>8.0022851229457626E-3</v>
      </c>
      <c r="P94" s="93">
        <f t="shared" si="142"/>
        <v>-3.5839986095700382E-3</v>
      </c>
      <c r="Q94" s="93">
        <f t="shared" si="143"/>
        <v>6.031350214055875E-3</v>
      </c>
      <c r="R94" s="93">
        <f t="shared" si="144"/>
        <v>1.0200116506808188E-2</v>
      </c>
      <c r="S94" s="93">
        <f t="shared" si="145"/>
        <v>1.612621845381268E-2</v>
      </c>
      <c r="T94" s="93">
        <f t="shared" si="146"/>
        <v>1.713791796348918E-2</v>
      </c>
      <c r="U94" s="93">
        <f t="shared" si="147"/>
        <v>1.4697781608905336E-2</v>
      </c>
      <c r="V94" s="93">
        <f t="shared" si="148"/>
        <v>1.0607487126134796E-2</v>
      </c>
      <c r="W94" s="93">
        <f t="shared" si="149"/>
        <v>1.6749071979254238E-2</v>
      </c>
      <c r="X94" s="93">
        <f t="shared" si="150"/>
        <v>-6.4543373976124641E-2</v>
      </c>
      <c r="Y94" s="93">
        <f t="shared" si="151"/>
        <v>5.2539203393702216E-2</v>
      </c>
      <c r="Z94" s="93">
        <f t="shared" si="152"/>
        <v>3.3185428185614096E-2</v>
      </c>
      <c r="AA94" s="93">
        <f t="shared" si="153"/>
        <v>6.7752831607759134E-3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1.1740545436553118E-2</v>
      </c>
      <c r="F95" s="92">
        <f t="shared" ref="F95:F96" si="155">IF(E20=0,"",F20/E20-1)</f>
        <v>3.3549913215400462E-3</v>
      </c>
      <c r="G95" s="92">
        <f t="shared" ref="G95:G96" si="156">IF(F20=0,"",G20/F20-1)</f>
        <v>2.4958682990661174E-3</v>
      </c>
      <c r="H95" s="92">
        <f t="shared" ref="H95:H96" si="157">IF(G20=0,"",H20/G20-1)</f>
        <v>2.1610647864120924E-2</v>
      </c>
      <c r="I95" s="92">
        <f t="shared" ref="I95:I96" si="158">IF(H20=0,"",I20/H20-1)</f>
        <v>1.1083620499617863E-2</v>
      </c>
      <c r="J95" s="92">
        <f t="shared" ref="J95:J96" si="159">IF(I20=0,"",J20/I20-1)</f>
        <v>1.9727447315332824E-2</v>
      </c>
      <c r="K95" s="92">
        <f t="shared" ref="K95:K96" si="160">IF(J20=0,"",K20/J20-1)</f>
        <v>1.8612531874818705E-2</v>
      </c>
      <c r="L95" s="92">
        <f t="shared" ref="L95:L96" si="161">IF(K20=0,"",L20/K20-1)</f>
        <v>-1.8826525456331344E-3</v>
      </c>
      <c r="M95" s="92">
        <f t="shared" ref="M95:M96" si="162">IF(L20=0,"",M20/L20-1)</f>
        <v>-3.3423267214559793E-2</v>
      </c>
      <c r="N95" s="92">
        <f t="shared" ref="N95:N96" si="163">IF(M20=0,"",N20/M20-1)</f>
        <v>1.5130980296051311E-2</v>
      </c>
      <c r="O95" s="92">
        <f t="shared" ref="O95:O96" si="164">IF(N20=0,"",O20/N20-1)</f>
        <v>1.9334251137604896E-2</v>
      </c>
      <c r="P95" s="92">
        <f t="shared" ref="P95:P96" si="165">IF(O20=0,"",P20/O20-1)</f>
        <v>-2.7326769379099058E-3</v>
      </c>
      <c r="Q95" s="92">
        <f t="shared" ref="Q95:Q96" si="166">IF(P20=0,"",Q20/P20-1)</f>
        <v>2.8479417874753832E-3</v>
      </c>
      <c r="R95" s="92">
        <f t="shared" ref="R95:R96" si="167">IF(Q20=0,"",R20/Q20-1)</f>
        <v>1.3462849472274385E-3</v>
      </c>
      <c r="S95" s="92">
        <f t="shared" ref="S95:S96" si="168">IF(R20=0,"",S20/R20-1)</f>
        <v>6.2214025594713451E-3</v>
      </c>
      <c r="T95" s="92">
        <f t="shared" ref="T95:T96" si="169">IF(S20=0,"",T20/S20-1)</f>
        <v>5.8749163073124056E-3</v>
      </c>
      <c r="U95" s="92">
        <f t="shared" ref="U95:U96" si="170">IF(T20=0,"",U20/T20-1)</f>
        <v>1.8210521685124714E-2</v>
      </c>
      <c r="V95" s="92">
        <f t="shared" ref="V95:V96" si="171">IF(U20=0,"",V20/U20-1)</f>
        <v>1.317656397498701E-2</v>
      </c>
      <c r="W95" s="92">
        <f t="shared" ref="W95:W96" si="172">IF(V20=0,"",W20/V20-1)</f>
        <v>1.6273448227866583E-2</v>
      </c>
      <c r="X95" s="92">
        <f t="shared" ref="X95:X96" si="173">IF(W20=0,"",X20/W20-1)</f>
        <v>-7.6916312150526966E-2</v>
      </c>
      <c r="Y95" s="92">
        <f t="shared" ref="Y95:Y96" si="174">IF(X20=0,"",Y20/X20-1)</f>
        <v>6.4799249462421882E-2</v>
      </c>
      <c r="Z95" s="92">
        <f t="shared" ref="Z95:Z96" si="175">IF(Y20=0,"",Z20/Y20-1)</f>
        <v>2.1682653729156343E-2</v>
      </c>
      <c r="AA95" s="92">
        <f t="shared" ref="AA95:AA96" si="176">IF(Z20=0,"",AA20/Z20-1)</f>
        <v>1.1641992541305601E-2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1.8372374789824342E-2</v>
      </c>
      <c r="F96" s="93">
        <f t="shared" si="155"/>
        <v>1.4099999960899057E-2</v>
      </c>
      <c r="G96" s="93">
        <f t="shared" si="156"/>
        <v>8.8786736442401093E-3</v>
      </c>
      <c r="H96" s="93">
        <f t="shared" si="157"/>
        <v>1.2297757135068199E-2</v>
      </c>
      <c r="I96" s="93">
        <f t="shared" si="158"/>
        <v>1.7486734716133601E-2</v>
      </c>
      <c r="J96" s="93">
        <f t="shared" si="159"/>
        <v>2.0084394927949445E-2</v>
      </c>
      <c r="K96" s="93">
        <f t="shared" si="160"/>
        <v>2.0971689033518981E-2</v>
      </c>
      <c r="L96" s="93">
        <f t="shared" si="161"/>
        <v>-2.5626266604350523E-4</v>
      </c>
      <c r="M96" s="93">
        <f t="shared" si="162"/>
        <v>-2.5523145251532542E-3</v>
      </c>
      <c r="N96" s="93">
        <f t="shared" si="163"/>
        <v>1.4996943724433276E-2</v>
      </c>
      <c r="O96" s="93">
        <f t="shared" si="164"/>
        <v>3.0402814705368097E-3</v>
      </c>
      <c r="P96" s="93">
        <f t="shared" si="165"/>
        <v>-8.1367983216326101E-3</v>
      </c>
      <c r="Q96" s="93">
        <f t="shared" si="166"/>
        <v>1.0722708855968044E-3</v>
      </c>
      <c r="R96" s="93">
        <f t="shared" si="167"/>
        <v>1.5642663025225989E-3</v>
      </c>
      <c r="S96" s="93">
        <f t="shared" si="168"/>
        <v>1.1658976554623779E-2</v>
      </c>
      <c r="T96" s="93">
        <f t="shared" si="169"/>
        <v>1.4386847577382511E-2</v>
      </c>
      <c r="U96" s="93">
        <f t="shared" si="170"/>
        <v>1.2094203607548426E-2</v>
      </c>
      <c r="V96" s="93">
        <f t="shared" si="171"/>
        <v>7.3445322403875579E-3</v>
      </c>
      <c r="W96" s="93">
        <f t="shared" si="172"/>
        <v>1.2756338862208505E-2</v>
      </c>
      <c r="X96" s="93">
        <f t="shared" si="173"/>
        <v>-6.7082986731851424E-2</v>
      </c>
      <c r="Y96" s="93">
        <f t="shared" si="174"/>
        <v>4.8577652986915298E-2</v>
      </c>
      <c r="Z96" s="93">
        <f t="shared" si="175"/>
        <v>2.7675420740739254E-2</v>
      </c>
      <c r="AA96" s="93">
        <f t="shared" si="176"/>
        <v>4.0399068550758255E-3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1.8822312364091376E-2</v>
      </c>
      <c r="F97" s="89">
        <f t="shared" ref="F97:F106" si="178">IF(E23=0,"",F23/E23-1)</f>
        <v>1.0282631378409235E-2</v>
      </c>
      <c r="G97" s="89">
        <f t="shared" ref="G97:G106" si="179">IF(F23=0,"",G23/F23-1)</f>
        <v>8.9413606410480018E-3</v>
      </c>
      <c r="H97" s="89">
        <f t="shared" ref="H97:H106" si="180">IF(G23=0,"",H23/G23-1)</f>
        <v>3.0740801520515282E-2</v>
      </c>
      <c r="I97" s="89">
        <f t="shared" ref="I97:I106" si="181">IF(H23=0,"",I23/H23-1)</f>
        <v>1.7415176957312761E-2</v>
      </c>
      <c r="J97" s="89">
        <f t="shared" ref="J97:J106" si="182">IF(I23=0,"",J23/I23-1)</f>
        <v>2.731141669991155E-2</v>
      </c>
      <c r="K97" s="89">
        <f t="shared" ref="K97:K106" si="183">IF(J23=0,"",K23/J23-1)</f>
        <v>2.6496456640301203E-2</v>
      </c>
      <c r="L97" s="89">
        <f t="shared" ref="L97:L106" si="184">IF(K23=0,"",L23/K23-1)</f>
        <v>6.3255580666008449E-3</v>
      </c>
      <c r="M97" s="89">
        <f t="shared" ref="M97:M106" si="185">IF(L23=0,"",M23/L23-1)</f>
        <v>-2.6190881664245325E-2</v>
      </c>
      <c r="N97" s="89">
        <f t="shared" ref="N97:N106" si="186">IF(M23=0,"",N23/M23-1)</f>
        <v>1.7945859761649752E-2</v>
      </c>
      <c r="O97" s="89">
        <f t="shared" ref="O97:O106" si="187">IF(N23=0,"",O23/N23-1)</f>
        <v>2.5338256252184888E-2</v>
      </c>
      <c r="P97" s="89">
        <f t="shared" ref="P97:P106" si="188">IF(O23=0,"",P23/O23-1)</f>
        <v>3.9702979964753027E-3</v>
      </c>
      <c r="Q97" s="89">
        <f t="shared" ref="Q97:Q106" si="189">IF(P23=0,"",Q23/P23-1)</f>
        <v>8.2441358895688488E-3</v>
      </c>
      <c r="R97" s="89">
        <f t="shared" ref="R97:R106" si="190">IF(Q23=0,"",R23/Q23-1)</f>
        <v>1.2002305384493983E-2</v>
      </c>
      <c r="S97" s="89">
        <f t="shared" ref="S97:S106" si="191">IF(R23=0,"",S23/R23-1)</f>
        <v>8.1911980176567756E-3</v>
      </c>
      <c r="T97" s="89">
        <f t="shared" ref="T97:T106" si="192">IF(S23=0,"",T23/S23-1)</f>
        <v>6.7973529523246423E-3</v>
      </c>
      <c r="U97" s="89">
        <f t="shared" ref="U97:U106" si="193">IF(T23=0,"",U23/T23-1)</f>
        <v>1.9551175928454789E-2</v>
      </c>
      <c r="V97" s="89">
        <f t="shared" ref="V97:V106" si="194">IF(U23=0,"",V23/U23-1)</f>
        <v>1.6232775777014652E-2</v>
      </c>
      <c r="W97" s="89">
        <f t="shared" ref="W97:W106" si="195">IF(V23=0,"",W23/V23-1)</f>
        <v>2.1058921851581758E-2</v>
      </c>
      <c r="X97" s="89">
        <f t="shared" ref="X97:X106" si="196">IF(W23=0,"",X23/W23-1)</f>
        <v>-7.2969954153411232E-2</v>
      </c>
      <c r="Y97" s="89">
        <f t="shared" ref="Y97:Y106" si="197">IF(X23=0,"",Y23/X23-1)</f>
        <v>6.5422847445270715E-2</v>
      </c>
      <c r="Z97" s="89">
        <f t="shared" ref="Z97:Z108" si="198">IF(Y23=0,"",Z23/Y23-1)</f>
        <v>2.9739093325276134E-2</v>
      </c>
      <c r="AA97" s="89">
        <f t="shared" ref="AA97:AA108" si="199">IF(Z23=0,"",AA23/Z23-1)</f>
        <v>1.9956804231557879E-2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2.5001548264744322E-2</v>
      </c>
      <c r="F98" s="83">
        <f t="shared" si="178"/>
        <v>-3.9631617929677287E-2</v>
      </c>
      <c r="G98" s="83">
        <f t="shared" si="179"/>
        <v>-7.5391690355967156E-2</v>
      </c>
      <c r="H98" s="83">
        <f t="shared" si="180"/>
        <v>1.7183363226987991E-2</v>
      </c>
      <c r="I98" s="83">
        <f t="shared" si="181"/>
        <v>-6.3063653601309611E-2</v>
      </c>
      <c r="J98" s="83">
        <f t="shared" si="182"/>
        <v>-7.0618429913197667E-2</v>
      </c>
      <c r="K98" s="83">
        <f t="shared" si="183"/>
        <v>8.8072244231800711E-2</v>
      </c>
      <c r="L98" s="83">
        <f t="shared" si="184"/>
        <v>-6.00747090221041E-2</v>
      </c>
      <c r="M98" s="83">
        <f t="shared" si="185"/>
        <v>-0.15732192121555855</v>
      </c>
      <c r="N98" s="83">
        <f t="shared" si="186"/>
        <v>0.24330674799632246</v>
      </c>
      <c r="O98" s="83">
        <f t="shared" si="187"/>
        <v>6.33621108294109E-2</v>
      </c>
      <c r="P98" s="83">
        <f t="shared" si="188"/>
        <v>-1.1180058544697391E-2</v>
      </c>
      <c r="Q98" s="83">
        <f t="shared" si="189"/>
        <v>-9.9983993303305985E-2</v>
      </c>
      <c r="R98" s="83">
        <f t="shared" si="190"/>
        <v>8.7780287543335334E-2</v>
      </c>
      <c r="S98" s="83">
        <f t="shared" si="191"/>
        <v>3.932531860549382E-2</v>
      </c>
      <c r="T98" s="83">
        <f t="shared" si="192"/>
        <v>-0.10243762063700224</v>
      </c>
      <c r="U98" s="83">
        <f t="shared" si="193"/>
        <v>9.7346804569399481E-2</v>
      </c>
      <c r="V98" s="83">
        <f t="shared" si="194"/>
        <v>8.6471010714682661E-2</v>
      </c>
      <c r="W98" s="83">
        <f t="shared" si="195"/>
        <v>-6.1188719149493864E-2</v>
      </c>
      <c r="X98" s="83">
        <f t="shared" si="196"/>
        <v>-4.1726429766220319E-2</v>
      </c>
      <c r="Y98" s="83">
        <f t="shared" si="197"/>
        <v>7.3420773838165587E-2</v>
      </c>
      <c r="Z98" s="83">
        <f t="shared" si="198"/>
        <v>0.19660002063443094</v>
      </c>
      <c r="AA98" s="83">
        <f t="shared" si="199"/>
        <v>-0.12512622187147315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2.8103016562852634E-3</v>
      </c>
      <c r="F99" s="83">
        <f t="shared" si="178"/>
        <v>-3.1201265630745878E-3</v>
      </c>
      <c r="G99" s="83">
        <f t="shared" si="179"/>
        <v>-9.8824535435193428E-2</v>
      </c>
      <c r="H99" s="83">
        <f t="shared" si="180"/>
        <v>-4.3402233587461314E-2</v>
      </c>
      <c r="I99" s="83">
        <f t="shared" si="181"/>
        <v>6.5525832078473289E-2</v>
      </c>
      <c r="J99" s="83">
        <f t="shared" si="182"/>
        <v>5.9558915080487385E-2</v>
      </c>
      <c r="K99" s="83">
        <f t="shared" si="183"/>
        <v>8.5190056904840272E-2</v>
      </c>
      <c r="L99" s="83">
        <f t="shared" si="184"/>
        <v>-1.2182499702342642E-2</v>
      </c>
      <c r="M99" s="83">
        <f t="shared" si="185"/>
        <v>-6.5065955466273695E-2</v>
      </c>
      <c r="N99" s="83">
        <f t="shared" si="186"/>
        <v>9.9728297500976115E-3</v>
      </c>
      <c r="O99" s="83">
        <f t="shared" si="187"/>
        <v>-2.3834911386001467E-2</v>
      </c>
      <c r="P99" s="83">
        <f t="shared" si="188"/>
        <v>-2.5075232957166294E-2</v>
      </c>
      <c r="Q99" s="83">
        <f t="shared" si="189"/>
        <v>-3.2324003498220399E-2</v>
      </c>
      <c r="R99" s="83">
        <f t="shared" si="190"/>
        <v>9.4777300007963472E-2</v>
      </c>
      <c r="S99" s="83">
        <f t="shared" si="191"/>
        <v>-0.1410333767190578</v>
      </c>
      <c r="T99" s="83">
        <f t="shared" si="192"/>
        <v>-4.2897669000513949E-2</v>
      </c>
      <c r="U99" s="83">
        <f t="shared" si="193"/>
        <v>1.4559562001144943E-2</v>
      </c>
      <c r="V99" s="83">
        <f t="shared" si="194"/>
        <v>2.1349226922870779E-2</v>
      </c>
      <c r="W99" s="83">
        <f t="shared" si="195"/>
        <v>-2.2212332483683261E-2</v>
      </c>
      <c r="X99" s="83">
        <f t="shared" si="196"/>
        <v>-8.4196115824676343E-2</v>
      </c>
      <c r="Y99" s="83">
        <f t="shared" si="197"/>
        <v>0.109167920807409</v>
      </c>
      <c r="Z99" s="83">
        <f t="shared" si="198"/>
        <v>-0.15963112616333397</v>
      </c>
      <c r="AA99" s="83">
        <f t="shared" si="199"/>
        <v>0.11544188844391634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2.4346319365483371E-2</v>
      </c>
      <c r="F100" s="83">
        <f t="shared" si="178"/>
        <v>1.7502584059542414E-2</v>
      </c>
      <c r="G100" s="83">
        <f t="shared" si="179"/>
        <v>1.6050564469175743E-2</v>
      </c>
      <c r="H100" s="83">
        <f t="shared" si="180"/>
        <v>3.4433301620166112E-2</v>
      </c>
      <c r="I100" s="83">
        <f t="shared" si="181"/>
        <v>2.292813993644871E-2</v>
      </c>
      <c r="J100" s="83">
        <f t="shared" si="182"/>
        <v>3.3751898993608753E-2</v>
      </c>
      <c r="K100" s="83">
        <f t="shared" si="183"/>
        <v>2.8127587455375469E-2</v>
      </c>
      <c r="L100" s="83">
        <f t="shared" si="184"/>
        <v>1.2035127640529719E-2</v>
      </c>
      <c r="M100" s="83">
        <f t="shared" si="185"/>
        <v>-1.3798577898050612E-2</v>
      </c>
      <c r="N100" s="83">
        <f t="shared" si="186"/>
        <v>2.0166017792704771E-2</v>
      </c>
      <c r="O100" s="83">
        <f t="shared" si="187"/>
        <v>2.284061033197915E-2</v>
      </c>
      <c r="P100" s="83">
        <f t="shared" si="188"/>
        <v>7.382517210710926E-3</v>
      </c>
      <c r="Q100" s="83">
        <f t="shared" si="189"/>
        <v>8.3749104786352557E-3</v>
      </c>
      <c r="R100" s="83">
        <f t="shared" si="190"/>
        <v>1.3243638148412673E-2</v>
      </c>
      <c r="S100" s="83">
        <f t="shared" si="191"/>
        <v>8.6742395715966314E-3</v>
      </c>
      <c r="T100" s="83">
        <f t="shared" si="192"/>
        <v>1.251575687086337E-2</v>
      </c>
      <c r="U100" s="83">
        <f t="shared" si="193"/>
        <v>2.004091712118905E-2</v>
      </c>
      <c r="V100" s="83">
        <f t="shared" si="194"/>
        <v>1.4622599997896613E-2</v>
      </c>
      <c r="W100" s="83">
        <f t="shared" si="195"/>
        <v>2.030479987919942E-2</v>
      </c>
      <c r="X100" s="83">
        <f t="shared" si="196"/>
        <v>-6.4812993244966588E-2</v>
      </c>
      <c r="Y100" s="83">
        <f t="shared" si="197"/>
        <v>6.7560600171474361E-2</v>
      </c>
      <c r="Z100" s="83">
        <f t="shared" si="198"/>
        <v>2.6923587635753643E-2</v>
      </c>
      <c r="AA100" s="83">
        <f t="shared" si="199"/>
        <v>-4.6902114906747228E-3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1.8603866439864003E-2</v>
      </c>
      <c r="F101" s="84">
        <f t="shared" si="178"/>
        <v>3.1244913098128269E-2</v>
      </c>
      <c r="G101" s="84">
        <f t="shared" si="179"/>
        <v>1.8077541154150945E-2</v>
      </c>
      <c r="H101" s="84">
        <f t="shared" si="180"/>
        <v>2.9907710769917717E-2</v>
      </c>
      <c r="I101" s="84">
        <f t="shared" si="181"/>
        <v>2.3649946668350852E-2</v>
      </c>
      <c r="J101" s="84">
        <f t="shared" si="182"/>
        <v>1.9162512925366526E-2</v>
      </c>
      <c r="K101" s="84">
        <f t="shared" si="183"/>
        <v>2.3357763935785369E-2</v>
      </c>
      <c r="L101" s="84">
        <f t="shared" si="184"/>
        <v>1.202237922782734E-2</v>
      </c>
      <c r="M101" s="84">
        <f t="shared" si="185"/>
        <v>1.8696073299554028E-2</v>
      </c>
      <c r="N101" s="84">
        <f t="shared" si="186"/>
        <v>2.2584530604162767E-2</v>
      </c>
      <c r="O101" s="84">
        <f t="shared" si="187"/>
        <v>2.1912593471790087E-2</v>
      </c>
      <c r="P101" s="84">
        <f t="shared" si="188"/>
        <v>1.4112467168851728E-2</v>
      </c>
      <c r="Q101" s="84">
        <f t="shared" si="189"/>
        <v>1.4727154378540108E-2</v>
      </c>
      <c r="R101" s="84">
        <f t="shared" si="190"/>
        <v>1.6539679080296965E-2</v>
      </c>
      <c r="S101" s="84">
        <f t="shared" si="191"/>
        <v>2.0465217730836205E-3</v>
      </c>
      <c r="T101" s="84">
        <f t="shared" si="192"/>
        <v>8.668573834468285E-3</v>
      </c>
      <c r="U101" s="84">
        <f t="shared" si="193"/>
        <v>2.1966457678162632E-2</v>
      </c>
      <c r="V101" s="84">
        <f t="shared" si="194"/>
        <v>1.1350990792369231E-3</v>
      </c>
      <c r="W101" s="84">
        <f t="shared" si="195"/>
        <v>1.9111474883563018E-2</v>
      </c>
      <c r="X101" s="84">
        <f t="shared" si="196"/>
        <v>-8.1045459654977003E-2</v>
      </c>
      <c r="Y101" s="84">
        <f t="shared" si="197"/>
        <v>8.6010403025396087E-2</v>
      </c>
      <c r="Z101" s="84">
        <f t="shared" si="198"/>
        <v>4.2441797261712821E-2</v>
      </c>
      <c r="AA101" s="84">
        <f t="shared" si="199"/>
        <v>-3.7960020453275956E-2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2.2035903552691583E-2</v>
      </c>
      <c r="F102" s="84">
        <f t="shared" si="178"/>
        <v>1.1004741028812326E-2</v>
      </c>
      <c r="G102" s="84">
        <f t="shared" si="179"/>
        <v>1.3229190598645246E-2</v>
      </c>
      <c r="H102" s="84">
        <f t="shared" si="180"/>
        <v>4.8011023534257236E-2</v>
      </c>
      <c r="I102" s="84">
        <f t="shared" si="181"/>
        <v>3.4429370832455453E-2</v>
      </c>
      <c r="J102" s="84">
        <f t="shared" si="182"/>
        <v>5.4136785309216284E-2</v>
      </c>
      <c r="K102" s="84">
        <f t="shared" si="183"/>
        <v>3.5875796909613955E-2</v>
      </c>
      <c r="L102" s="84">
        <f t="shared" si="184"/>
        <v>6.8820353231537901E-3</v>
      </c>
      <c r="M102" s="84">
        <f t="shared" si="185"/>
        <v>-3.7172822521041482E-2</v>
      </c>
      <c r="N102" s="84">
        <f t="shared" si="186"/>
        <v>2.8118221657420728E-2</v>
      </c>
      <c r="O102" s="84">
        <f t="shared" si="187"/>
        <v>2.3378455413687549E-2</v>
      </c>
      <c r="P102" s="84">
        <f t="shared" si="188"/>
        <v>3.148756168761091E-3</v>
      </c>
      <c r="Q102" s="84">
        <f t="shared" si="189"/>
        <v>8.4579716751447265E-3</v>
      </c>
      <c r="R102" s="84">
        <f t="shared" si="190"/>
        <v>1.4689854937385949E-2</v>
      </c>
      <c r="S102" s="84">
        <f t="shared" si="191"/>
        <v>1.0043122180768416E-2</v>
      </c>
      <c r="T102" s="84">
        <f t="shared" si="192"/>
        <v>1.9475153532940936E-2</v>
      </c>
      <c r="U102" s="84">
        <f t="shared" si="193"/>
        <v>2.0609271675308571E-2</v>
      </c>
      <c r="V102" s="84">
        <f t="shared" si="194"/>
        <v>2.6957061326504439E-2</v>
      </c>
      <c r="W102" s="84">
        <f t="shared" si="195"/>
        <v>1.9181277266064001E-2</v>
      </c>
      <c r="X102" s="84">
        <f t="shared" si="196"/>
        <v>-5.1419879459711049E-2</v>
      </c>
      <c r="Y102" s="84">
        <f t="shared" si="197"/>
        <v>5.1225582934268932E-2</v>
      </c>
      <c r="Z102" s="84">
        <f t="shared" si="198"/>
        <v>1.8101599040979632E-2</v>
      </c>
      <c r="AA102" s="84">
        <f t="shared" si="199"/>
        <v>1.3207995259525207E-2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4.2864151842082254E-2</v>
      </c>
      <c r="F103" s="84">
        <f t="shared" si="178"/>
        <v>6.2011664485206452E-3</v>
      </c>
      <c r="G103" s="84">
        <f t="shared" si="179"/>
        <v>1.9276226292906484E-2</v>
      </c>
      <c r="H103" s="84">
        <f t="shared" si="180"/>
        <v>7.9576434507191429E-3</v>
      </c>
      <c r="I103" s="84">
        <f t="shared" si="181"/>
        <v>-1.045520511315845E-2</v>
      </c>
      <c r="J103" s="84">
        <f t="shared" si="182"/>
        <v>7.6734047120894378E-3</v>
      </c>
      <c r="K103" s="84">
        <f t="shared" si="183"/>
        <v>1.5557873175159775E-2</v>
      </c>
      <c r="L103" s="84">
        <f t="shared" si="184"/>
        <v>2.796287002453246E-2</v>
      </c>
      <c r="M103" s="84">
        <f t="shared" si="185"/>
        <v>-1.6602333256558466E-2</v>
      </c>
      <c r="N103" s="84">
        <f t="shared" si="186"/>
        <v>-9.0247228094292309E-3</v>
      </c>
      <c r="O103" s="84">
        <f t="shared" si="187"/>
        <v>2.3431573938534456E-2</v>
      </c>
      <c r="P103" s="84">
        <f t="shared" si="188"/>
        <v>4.1435128721505343E-3</v>
      </c>
      <c r="Q103" s="84">
        <f t="shared" si="189"/>
        <v>-7.3552627111654889E-3</v>
      </c>
      <c r="R103" s="84">
        <f t="shared" si="190"/>
        <v>5.2972919958338416E-4</v>
      </c>
      <c r="S103" s="84">
        <f t="shared" si="191"/>
        <v>2.1119313916381666E-2</v>
      </c>
      <c r="T103" s="84">
        <f t="shared" si="192"/>
        <v>3.1942960523823061E-4</v>
      </c>
      <c r="U103" s="84">
        <f t="shared" si="193"/>
        <v>1.3409695865648663E-2</v>
      </c>
      <c r="V103" s="84">
        <f t="shared" si="194"/>
        <v>9.1129625290844452E-3</v>
      </c>
      <c r="W103" s="84">
        <f t="shared" si="195"/>
        <v>2.6961492479538496E-2</v>
      </c>
      <c r="X103" s="84">
        <f t="shared" si="196"/>
        <v>-6.7850929468215471E-2</v>
      </c>
      <c r="Y103" s="84">
        <f t="shared" si="197"/>
        <v>7.619925117434434E-2</v>
      </c>
      <c r="Z103" s="84">
        <f t="shared" si="198"/>
        <v>1.6956711485425657E-2</v>
      </c>
      <c r="AA103" s="84">
        <f t="shared" si="199"/>
        <v>2.1944764987732235E-2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-4.0059259946436221E-2</v>
      </c>
      <c r="F104" s="83">
        <f t="shared" si="178"/>
        <v>-1.2166901578890776E-2</v>
      </c>
      <c r="G104" s="83">
        <f t="shared" si="179"/>
        <v>-3.4490835930065522E-3</v>
      </c>
      <c r="H104" s="83">
        <f t="shared" si="180"/>
        <v>6.4317272300715489E-2</v>
      </c>
      <c r="I104" s="83">
        <f t="shared" si="181"/>
        <v>5.9930191891737428E-2</v>
      </c>
      <c r="J104" s="83">
        <f t="shared" si="182"/>
        <v>-3.1520600486838912E-2</v>
      </c>
      <c r="K104" s="83">
        <f t="shared" si="183"/>
        <v>-0.17576174036434467</v>
      </c>
      <c r="L104" s="83">
        <f t="shared" si="184"/>
        <v>-6.9680195684830082E-2</v>
      </c>
      <c r="M104" s="83">
        <f t="shared" si="185"/>
        <v>-4.7018925116169119E-2</v>
      </c>
      <c r="N104" s="83">
        <f t="shared" si="186"/>
        <v>-9.2216101791842142E-3</v>
      </c>
      <c r="O104" s="83">
        <f t="shared" si="187"/>
        <v>7.5412833559557635E-2</v>
      </c>
      <c r="P104" s="83">
        <f t="shared" si="188"/>
        <v>5.5086230988071305E-2</v>
      </c>
      <c r="Q104" s="83">
        <f t="shared" si="189"/>
        <v>4.7252214393497471E-2</v>
      </c>
      <c r="R104" s="83">
        <f t="shared" si="190"/>
        <v>1.2084002886295853E-2</v>
      </c>
      <c r="S104" s="83">
        <f t="shared" si="191"/>
        <v>1.8855741689754124E-2</v>
      </c>
      <c r="T104" s="83">
        <f t="shared" si="192"/>
        <v>-2.5379050638796308E-2</v>
      </c>
      <c r="U104" s="83">
        <f t="shared" si="193"/>
        <v>-7.8241860149683373E-2</v>
      </c>
      <c r="V104" s="83">
        <f t="shared" si="194"/>
        <v>7.5750602020999702E-2</v>
      </c>
      <c r="W104" s="83">
        <f t="shared" si="195"/>
        <v>6.3075355098582309E-2</v>
      </c>
      <c r="X104" s="83">
        <f t="shared" si="196"/>
        <v>-1.6075873306530264E-2</v>
      </c>
      <c r="Y104" s="83">
        <f t="shared" si="197"/>
        <v>-3.970574692826212E-2</v>
      </c>
      <c r="Z104" s="83">
        <f t="shared" si="198"/>
        <v>-9.7873763977748496E-2</v>
      </c>
      <c r="AA104" s="83">
        <f t="shared" si="199"/>
        <v>1.4664159574663098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4.2850447984669859E-2</v>
      </c>
      <c r="F105" s="83">
        <f t="shared" si="178"/>
        <v>2.2354565577149543E-2</v>
      </c>
      <c r="G105" s="83">
        <f t="shared" si="179"/>
        <v>3.0748181186533552E-2</v>
      </c>
      <c r="H105" s="83">
        <f t="shared" si="180"/>
        <v>6.1420832279615256E-2</v>
      </c>
      <c r="I105" s="83">
        <f t="shared" si="181"/>
        <v>4.5136496128156844E-2</v>
      </c>
      <c r="J105" s="83">
        <f t="shared" si="182"/>
        <v>7.9468035734931108E-2</v>
      </c>
      <c r="K105" s="83">
        <f t="shared" si="183"/>
        <v>8.3206489919401605E-2</v>
      </c>
      <c r="L105" s="83">
        <f t="shared" si="184"/>
        <v>6.0916566545862638E-2</v>
      </c>
      <c r="M105" s="83">
        <f t="shared" si="185"/>
        <v>-3.7920112240998338E-2</v>
      </c>
      <c r="N105" s="83">
        <f t="shared" si="186"/>
        <v>-1.4341801529717757E-2</v>
      </c>
      <c r="O105" s="83">
        <f t="shared" si="187"/>
        <v>3.0551949267670908E-2</v>
      </c>
      <c r="P105" s="83">
        <f t="shared" si="188"/>
        <v>-2.6725710618227372E-2</v>
      </c>
      <c r="Q105" s="83">
        <f t="shared" si="189"/>
        <v>1.93626469900261E-2</v>
      </c>
      <c r="R105" s="83">
        <f t="shared" si="190"/>
        <v>-1.5692342531259951E-2</v>
      </c>
      <c r="S105" s="83">
        <f t="shared" si="191"/>
        <v>-3.0975084704388922E-2</v>
      </c>
      <c r="T105" s="83">
        <f t="shared" si="192"/>
        <v>-7.3290501738296765E-3</v>
      </c>
      <c r="U105" s="83">
        <f t="shared" si="193"/>
        <v>3.9898018387393375E-2</v>
      </c>
      <c r="V105" s="83">
        <f t="shared" si="194"/>
        <v>1.9636820687982004E-2</v>
      </c>
      <c r="W105" s="83">
        <f t="shared" si="195"/>
        <v>4.7213733631566113E-2</v>
      </c>
      <c r="X105" s="83">
        <f t="shared" si="196"/>
        <v>-8.6542785834652247E-2</v>
      </c>
      <c r="Y105" s="83">
        <f t="shared" si="197"/>
        <v>7.5426567223313867E-2</v>
      </c>
      <c r="Z105" s="83">
        <f t="shared" si="198"/>
        <v>-3.0871461573656056E-4</v>
      </c>
      <c r="AA105" s="83">
        <f t="shared" si="199"/>
        <v>4.4244596828497684E-2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-1.0367206097762871E-2</v>
      </c>
      <c r="F106" s="83">
        <f t="shared" si="178"/>
        <v>-2.1977882234549662E-2</v>
      </c>
      <c r="G106" s="83">
        <f t="shared" si="179"/>
        <v>-2.3170976585094039E-2</v>
      </c>
      <c r="H106" s="83">
        <f t="shared" si="180"/>
        <v>-4.9091729778079074E-3</v>
      </c>
      <c r="I106" s="83">
        <f t="shared" si="181"/>
        <v>-2.2641480922111046E-2</v>
      </c>
      <c r="J106" s="83">
        <f t="shared" si="182"/>
        <v>-1.3114659346357915E-2</v>
      </c>
      <c r="K106" s="83">
        <f t="shared" si="183"/>
        <v>1.2745770272037937E-2</v>
      </c>
      <c r="L106" s="83">
        <f t="shared" si="184"/>
        <v>-4.0421912363409418E-2</v>
      </c>
      <c r="M106" s="83">
        <f t="shared" si="185"/>
        <v>-8.6579825475621708E-2</v>
      </c>
      <c r="N106" s="83">
        <f t="shared" si="186"/>
        <v>-5.8738097812596202E-3</v>
      </c>
      <c r="O106" s="83">
        <f t="shared" si="187"/>
        <v>2.9707674260197381E-2</v>
      </c>
      <c r="P106" s="83">
        <f t="shared" si="188"/>
        <v>-9.0938202669206269E-3</v>
      </c>
      <c r="Q106" s="83">
        <f t="shared" si="189"/>
        <v>1.3714178381088127E-2</v>
      </c>
      <c r="R106" s="83">
        <f t="shared" si="190"/>
        <v>5.8973056874549457E-3</v>
      </c>
      <c r="S106" s="83">
        <f t="shared" si="191"/>
        <v>2.188392084812385E-2</v>
      </c>
      <c r="T106" s="83">
        <f t="shared" si="192"/>
        <v>-7.2926643552007064E-3</v>
      </c>
      <c r="U106" s="83">
        <f t="shared" si="193"/>
        <v>7.9124406242654377E-3</v>
      </c>
      <c r="V106" s="83">
        <f t="shared" si="194"/>
        <v>7.6642969152054263E-3</v>
      </c>
      <c r="W106" s="83">
        <f t="shared" si="195"/>
        <v>2.1090287199390323E-2</v>
      </c>
      <c r="X106" s="83">
        <f t="shared" si="196"/>
        <v>-0.14619511987473621</v>
      </c>
      <c r="Y106" s="83">
        <f t="shared" si="197"/>
        <v>5.683830354601449E-2</v>
      </c>
      <c r="Z106" s="83">
        <f t="shared" si="198"/>
        <v>6.6656640792574162E-2</v>
      </c>
      <c r="AA106" s="83">
        <f t="shared" si="199"/>
        <v>5.1674716459938486E-2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-0.12498388411128536</v>
      </c>
      <c r="F107" s="87">
        <f t="shared" ref="F107:F108" si="201">IF(E33=0,"",F33/E33-1)</f>
        <v>-0.11604660011527934</v>
      </c>
      <c r="G107" s="87">
        <f t="shared" ref="G107:G108" si="202">IF(F33=0,"",G33/F33-1)</f>
        <v>-6.5391461706787335E-2</v>
      </c>
      <c r="H107" s="87">
        <f t="shared" ref="H107:H108" si="203">IF(G33=0,"",H33/G33-1)</f>
        <v>0.13699997197194524</v>
      </c>
      <c r="I107" s="87">
        <f t="shared" ref="I107:I108" si="204">IF(H33=0,"",I33/H33-1)</f>
        <v>3.5529501470412894E-2</v>
      </c>
      <c r="J107" s="87">
        <f t="shared" ref="J107:J108" si="205">IF(I33=0,"",J33/I33-1)</f>
        <v>-3.1663014801389999E-2</v>
      </c>
      <c r="K107" s="87">
        <f t="shared" ref="K107:K108" si="206">IF(J33=0,"",K33/J33-1)</f>
        <v>0.12577917214586387</v>
      </c>
      <c r="L107" s="87">
        <f t="shared" ref="L107:L108" si="207">IF(K33=0,"",L33/K33-1)</f>
        <v>1.4192911872607183E-2</v>
      </c>
      <c r="M107" s="87">
        <f t="shared" ref="M107:M108" si="208">IF(L33=0,"",M33/L33-1)</f>
        <v>-0.25583247490982253</v>
      </c>
      <c r="N107" s="87">
        <f t="shared" ref="N107:N108" si="209">IF(M33=0,"",N33/M33-1)</f>
        <v>3.564315620398717E-2</v>
      </c>
      <c r="O107" s="87">
        <f t="shared" ref="O107:O108" si="210">IF(N33=0,"",O33/N33-1)</f>
        <v>0.16556518114204799</v>
      </c>
      <c r="P107" s="87">
        <f t="shared" ref="P107:P108" si="211">IF(O33=0,"",P33/O33-1)</f>
        <v>-0.19950539602123363</v>
      </c>
      <c r="Q107" s="87">
        <f t="shared" ref="Q107:Q108" si="212">IF(P33=0,"",Q33/P33-1)</f>
        <v>3.3107829793044274E-3</v>
      </c>
      <c r="R107" s="87">
        <f t="shared" ref="R107:R108" si="213">IF(Q33=0,"",R33/Q33-1)</f>
        <v>-4.2454008234330876E-2</v>
      </c>
      <c r="S107" s="87">
        <f t="shared" ref="S107:S108" si="214">IF(R33=0,"",S33/R33-1)</f>
        <v>6.4603906092467245E-2</v>
      </c>
      <c r="T107" s="87">
        <f t="shared" ref="T107:T108" si="215">IF(S33=0,"",T33/S33-1)</f>
        <v>-8.9444783352061186E-2</v>
      </c>
      <c r="U107" s="87">
        <f t="shared" ref="U107:U108" si="216">IF(T33=0,"",U33/T33-1)</f>
        <v>8.0255369142365973E-2</v>
      </c>
      <c r="V107" s="87">
        <f t="shared" ref="V107:V108" si="217">IF(U33=0,"",V33/U33-1)</f>
        <v>-5.0124613376621885E-2</v>
      </c>
      <c r="W107" s="87">
        <f t="shared" ref="W107:W108" si="218">IF(V33=0,"",W33/V33-1)</f>
        <v>-0.18314127616035392</v>
      </c>
      <c r="X107" s="87">
        <f t="shared" ref="X107:X108" si="219">IF(W33=0,"",X33/W33-1)</f>
        <v>-0.2386549421762395</v>
      </c>
      <c r="Y107" s="87">
        <f t="shared" ref="Y107:Y108" si="220">IF(X33=0,"",Y33/X33-1)</f>
        <v>0.31412513403854336</v>
      </c>
      <c r="Z107" s="87">
        <f t="shared" si="198"/>
        <v>0.81175324632153067</v>
      </c>
      <c r="AA107" s="87">
        <f t="shared" si="199"/>
        <v>-5.7783299458382786E-2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-0.12498388411128536</v>
      </c>
      <c r="F108" s="89">
        <f t="shared" si="201"/>
        <v>-0.11604660011527934</v>
      </c>
      <c r="G108" s="89">
        <f t="shared" si="202"/>
        <v>-6.5391461706787335E-2</v>
      </c>
      <c r="H108" s="89">
        <f t="shared" si="203"/>
        <v>0.13699997197194502</v>
      </c>
      <c r="I108" s="89">
        <f t="shared" si="204"/>
        <v>3.5529501470412894E-2</v>
      </c>
      <c r="J108" s="89">
        <f t="shared" si="205"/>
        <v>-3.1663014801389999E-2</v>
      </c>
      <c r="K108" s="89">
        <f t="shared" si="206"/>
        <v>0.12577917214586387</v>
      </c>
      <c r="L108" s="89">
        <f t="shared" si="207"/>
        <v>1.4192911872607183E-2</v>
      </c>
      <c r="M108" s="89">
        <f t="shared" si="208"/>
        <v>-0.31832998812525393</v>
      </c>
      <c r="N108" s="89">
        <f t="shared" si="209"/>
        <v>2.1598429359807936E-2</v>
      </c>
      <c r="O108" s="89">
        <f t="shared" si="210"/>
        <v>0.19744180475864126</v>
      </c>
      <c r="P108" s="89">
        <f t="shared" si="211"/>
        <v>-0.31211756421336467</v>
      </c>
      <c r="Q108" s="89">
        <f t="shared" si="212"/>
        <v>1.7635891237308909E-2</v>
      </c>
      <c r="R108" s="89">
        <f t="shared" si="213"/>
        <v>-0.10959812002344449</v>
      </c>
      <c r="S108" s="89">
        <f t="shared" si="214"/>
        <v>5.0281176373982772E-2</v>
      </c>
      <c r="T108" s="89">
        <f t="shared" si="215"/>
        <v>-0.1116542422335437</v>
      </c>
      <c r="U108" s="89">
        <f t="shared" si="216"/>
        <v>0.18365950428775801</v>
      </c>
      <c r="V108" s="89">
        <f t="shared" si="217"/>
        <v>3.1423961540809175E-2</v>
      </c>
      <c r="W108" s="89">
        <f t="shared" si="218"/>
        <v>-0.26208409561105306</v>
      </c>
      <c r="X108" s="89">
        <f t="shared" si="219"/>
        <v>-0.27901026726527556</v>
      </c>
      <c r="Y108" s="89">
        <f t="shared" si="220"/>
        <v>0.47741135611953789</v>
      </c>
      <c r="Z108" s="89">
        <f t="shared" si="198"/>
        <v>0.94144237850777834</v>
      </c>
      <c r="AA108" s="89">
        <f t="shared" si="199"/>
        <v>-7.0435340756715425E-2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-0.12498388411128547</v>
      </c>
      <c r="F109" s="89">
        <f t="shared" ref="F109" si="222">IF(E37=0,"",F37/E37-1)</f>
        <v>-0.11604660011527912</v>
      </c>
      <c r="G109" s="89">
        <f t="shared" ref="G109" si="223">IF(F37=0,"",G37/F37-1)</f>
        <v>-6.5391461706787446E-2</v>
      </c>
      <c r="H109" s="89">
        <f t="shared" ref="H109" si="224">IF(G37=0,"",H37/G37-1)</f>
        <v>0.13699997197194524</v>
      </c>
      <c r="I109" s="89">
        <f t="shared" ref="I109" si="225">IF(H37=0,"",I37/H37-1)</f>
        <v>3.5529501470412894E-2</v>
      </c>
      <c r="J109" s="89">
        <f t="shared" ref="J109" si="226">IF(I37=0,"",J37/I37-1)</f>
        <v>-3.166301480139011E-2</v>
      </c>
      <c r="K109" s="89">
        <f t="shared" ref="K109" si="227">IF(J37=0,"",K37/J37-1)</f>
        <v>0.12577917214586409</v>
      </c>
      <c r="L109" s="89">
        <f t="shared" ref="L109" si="228">IF(K37=0,"",L37/K37-1)</f>
        <v>1.4192911872607183E-2</v>
      </c>
      <c r="M109" s="89">
        <f t="shared" ref="M109" si="229">IF(L37=0,"",M37/L37-1)</f>
        <v>-5.5029650182867762E-2</v>
      </c>
      <c r="N109" s="89">
        <f t="shared" ref="N109" si="230">IF(M37=0,"",N37/M37-1)</f>
        <v>6.8195059354872578E-2</v>
      </c>
      <c r="O109" s="89">
        <f t="shared" ref="O109" si="231">IF(N37=0,"",O37/N37-1)</f>
        <v>9.4906576976270474E-2</v>
      </c>
      <c r="P109" s="89">
        <f t="shared" ref="P109" si="232">IF(O37=0,"",P37/O37-1)</f>
        <v>7.3490055483007577E-2</v>
      </c>
      <c r="Q109" s="89">
        <f t="shared" ref="Q109" si="233">IF(P37=0,"",Q37/P37-1)</f>
        <v>-1.8941993128106405E-2</v>
      </c>
      <c r="R109" s="89">
        <f t="shared" ref="R109" si="234">IF(Q37=0,"",R37/Q37-1)</f>
        <v>6.5737194317423198E-2</v>
      </c>
      <c r="S109" s="89">
        <f t="shared" ref="S109" si="235">IF(R37=0,"",S37/R37-1)</f>
        <v>8.3885625415567322E-2</v>
      </c>
      <c r="T109" s="89">
        <f t="shared" ref="T109" si="236">IF(S37=0,"",T37/S37-1)</f>
        <v>-6.0472677528867091E-2</v>
      </c>
      <c r="U109" s="89">
        <f t="shared" ref="U109" si="237">IF(T37=0,"",U37/T37-1)</f>
        <v>-4.7286450978564987E-2</v>
      </c>
      <c r="V109" s="89">
        <f t="shared" ref="V109" si="238">IF(U37=0,"",V37/U37-1)</f>
        <v>-0.17509166626202621</v>
      </c>
      <c r="W109" s="89">
        <f t="shared" ref="W109" si="239">IF(V37=0,"",W37/V37-1)</f>
        <v>-3.1881549776016538E-2</v>
      </c>
      <c r="X109" s="89">
        <f t="shared" ref="X109" si="240">IF(W37=0,"",X37/W37-1)</f>
        <v>-0.17971768763177176</v>
      </c>
      <c r="Y109" s="89">
        <f t="shared" ref="Y109" si="241">IF(X37=0,"",Y37/X37-1)</f>
        <v>0.1045188371682555</v>
      </c>
      <c r="Z109" s="89">
        <f t="shared" ref="Z109" si="242">IF(Y37=0,"",Z37/Y37-1)</f>
        <v>0.58907044582101631</v>
      </c>
      <c r="AA109" s="89">
        <f t="shared" ref="AA109" si="243">IF(Z37=0,"",AA37/Z37-1)</f>
        <v>-3.1241824979618693E-2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1.4156220706562195E-2</v>
      </c>
      <c r="F110" s="89">
        <f t="shared" ref="F110:F111" si="245">IF(E43=0,"",F43/E43-1)</f>
        <v>-5.7452362575171056E-2</v>
      </c>
      <c r="G110" s="89">
        <f t="shared" ref="G110:G111" si="246">IF(F43=0,"",G43/F43-1)</f>
        <v>1.0144344958332496E-2</v>
      </c>
      <c r="H110" s="89">
        <f t="shared" ref="H110:H111" si="247">IF(G43=0,"",H43/G43-1)</f>
        <v>-1.6411147126780934E-2</v>
      </c>
      <c r="I110" s="89">
        <f t="shared" ref="I110:I111" si="248">IF(H43=0,"",I43/H43-1)</f>
        <v>2.8225360327287286E-2</v>
      </c>
      <c r="J110" s="89">
        <f t="shared" ref="J110:J111" si="249">IF(I43=0,"",J43/I43-1)</f>
        <v>3.4617593995783569E-2</v>
      </c>
      <c r="K110" s="89">
        <f t="shared" ref="K110:K111" si="250">IF(J43=0,"",K43/J43-1)</f>
        <v>-1.4793988015411985E-2</v>
      </c>
      <c r="L110" s="89">
        <f t="shared" ref="L110:L111" si="251">IF(K43=0,"",L43/K43-1)</f>
        <v>-2.9654807164155028E-2</v>
      </c>
      <c r="M110" s="89">
        <f t="shared" ref="M110:M111" si="252">IF(L43=0,"",M43/L43-1)</f>
        <v>-3.8538747219235336E-2</v>
      </c>
      <c r="N110" s="89">
        <f t="shared" ref="N110:N111" si="253">IF(M43=0,"",N43/M43-1)</f>
        <v>-1.8167162826952854E-2</v>
      </c>
      <c r="O110" s="89">
        <f t="shared" ref="O110:O111" si="254">IF(N43=0,"",O43/N43-1)</f>
        <v>3.9727343503653589E-2</v>
      </c>
      <c r="P110" s="89">
        <f t="shared" ref="P110:P111" si="255">IF(O43=0,"",P43/O43-1)</f>
        <v>-1.0290434235213364E-2</v>
      </c>
      <c r="Q110" s="89">
        <f t="shared" ref="Q110:Q111" si="256">IF(P43=0,"",Q43/P43-1)</f>
        <v>6.9633802617943719E-2</v>
      </c>
      <c r="R110" s="89">
        <f t="shared" ref="R110:R111" si="257">IF(Q43=0,"",R43/Q43-1)</f>
        <v>-1.4322952133194455E-3</v>
      </c>
      <c r="S110" s="89">
        <f t="shared" ref="S110:S111" si="258">IF(R43=0,"",S43/R43-1)</f>
        <v>5.9220253385953825E-2</v>
      </c>
      <c r="T110" s="89">
        <f t="shared" ref="T110:T111" si="259">IF(S43=0,"",T43/S43-1)</f>
        <v>-2.7761196355587936E-2</v>
      </c>
      <c r="U110" s="89">
        <f t="shared" ref="U110:U111" si="260">IF(T43=0,"",U43/T43-1)</f>
        <v>4.3353952380119853E-2</v>
      </c>
      <c r="V110" s="89">
        <f t="shared" ref="V110:V111" si="261">IF(U43=0,"",V43/U43-1)</f>
        <v>-2.5614451225571822E-2</v>
      </c>
      <c r="W110" s="89">
        <f t="shared" ref="W110:W111" si="262">IF(V43=0,"",W43/V43-1)</f>
        <v>3.0500254837541707E-2</v>
      </c>
      <c r="X110" s="89">
        <f t="shared" ref="X110:X111" si="263">IF(W43=0,"",X43/W43-1)</f>
        <v>-0.10493871169503866</v>
      </c>
      <c r="Y110" s="89">
        <f t="shared" ref="Y110:Y111" si="264">IF(X43=0,"",Y43/X43-1)</f>
        <v>2.3919067046558329E-2</v>
      </c>
      <c r="Z110" s="89">
        <f t="shared" ref="Z110:Z111" si="265">IF(Y43=0,"",Z43/Y43-1)</f>
        <v>0.10539258191103285</v>
      </c>
      <c r="AA110" s="89">
        <f t="shared" ref="AA110:AA111" si="266">IF(Z43=0,"",AA43/Z43-1)</f>
        <v>-8.1817604353382478E-2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-6.3871776641744926E-2</v>
      </c>
      <c r="F111" s="89">
        <f t="shared" si="245"/>
        <v>-0.11294085878354043</v>
      </c>
      <c r="G111" s="89">
        <f t="shared" si="246"/>
        <v>-2.4444552572921885E-2</v>
      </c>
      <c r="H111" s="89">
        <f t="shared" si="247"/>
        <v>1.2791894178253216E-2</v>
      </c>
      <c r="I111" s="89">
        <f t="shared" si="248"/>
        <v>3.4411935771363034E-2</v>
      </c>
      <c r="J111" s="89">
        <f t="shared" si="249"/>
        <v>-1.4947413707750767E-2</v>
      </c>
      <c r="K111" s="89">
        <f t="shared" si="250"/>
        <v>3.8530964054347638E-2</v>
      </c>
      <c r="L111" s="89">
        <f t="shared" si="251"/>
        <v>1.5078735094758766E-2</v>
      </c>
      <c r="M111" s="89">
        <f t="shared" si="252"/>
        <v>-3.3960472020063803E-2</v>
      </c>
      <c r="N111" s="89">
        <f t="shared" si="253"/>
        <v>-2.222789559045979E-2</v>
      </c>
      <c r="O111" s="89">
        <f t="shared" si="254"/>
        <v>8.0621170261385711E-2</v>
      </c>
      <c r="P111" s="89">
        <f t="shared" si="255"/>
        <v>-1.2881584295998394E-4</v>
      </c>
      <c r="Q111" s="89">
        <f t="shared" si="256"/>
        <v>0.10692616334985772</v>
      </c>
      <c r="R111" s="89">
        <f t="shared" si="257"/>
        <v>3.6683920848437745E-2</v>
      </c>
      <c r="S111" s="89">
        <f t="shared" si="258"/>
        <v>6.4749191051924671E-2</v>
      </c>
      <c r="T111" s="89">
        <f t="shared" si="259"/>
        <v>-4.3533287243820773E-2</v>
      </c>
      <c r="U111" s="89">
        <f t="shared" si="260"/>
        <v>7.8891338670998623E-2</v>
      </c>
      <c r="V111" s="89">
        <f t="shared" si="261"/>
        <v>-3.7555848735510877E-2</v>
      </c>
      <c r="W111" s="89">
        <f t="shared" si="262"/>
        <v>4.0665228973237877E-2</v>
      </c>
      <c r="X111" s="89">
        <f t="shared" si="263"/>
        <v>-0.13249927794466931</v>
      </c>
      <c r="Y111" s="89">
        <f t="shared" si="264"/>
        <v>-1.9795294491750437E-2</v>
      </c>
      <c r="Z111" s="89">
        <f t="shared" si="265"/>
        <v>0.20440806698461245</v>
      </c>
      <c r="AA111" s="89">
        <f t="shared" si="266"/>
        <v>-0.13457924821526435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0.11311478137335107</v>
      </c>
      <c r="F112" s="89">
        <f t="shared" ref="F112:F113" si="268">IF(E47=0,"",F47/E47-1)</f>
        <v>1.7312203786905567E-3</v>
      </c>
      <c r="G112" s="89">
        <f t="shared" ref="G112:G113" si="269">IF(F47=0,"",G47/F47-1)</f>
        <v>4.2813385852831676E-2</v>
      </c>
      <c r="H112" s="89">
        <f t="shared" ref="H112:H113" si="270">IF(G47=0,"",H47/G47-1)</f>
        <v>-4.2214319794709798E-2</v>
      </c>
      <c r="I112" s="89">
        <f t="shared" ref="I112:I113" si="271">IF(H47=0,"",I47/H47-1)</f>
        <v>2.2445102420110219E-2</v>
      </c>
      <c r="J112" s="89">
        <f t="shared" ref="J112:J113" si="272">IF(I47=0,"",J47/I47-1)</f>
        <v>8.1469321119892468E-2</v>
      </c>
      <c r="K112" s="89">
        <f t="shared" ref="K112:K113" si="273">IF(J47=0,"",K47/J47-1)</f>
        <v>-6.0705977529951549E-2</v>
      </c>
      <c r="L112" s="89">
        <f t="shared" ref="L112:L113" si="274">IF(K47=0,"",L47/K47-1)</f>
        <v>-7.2238843070722702E-2</v>
      </c>
      <c r="M112" s="89">
        <f t="shared" ref="M112:M113" si="275">IF(L47=0,"",M47/L47-1)</f>
        <v>-4.3307216272526761E-2</v>
      </c>
      <c r="N112" s="89">
        <f t="shared" ref="N112:N113" si="276">IF(M47=0,"",N47/M47-1)</f>
        <v>-1.3896415453444111E-2</v>
      </c>
      <c r="O112" s="89">
        <f t="shared" ref="O112:O113" si="277">IF(N47=0,"",O47/N47-1)</f>
        <v>-2.9180701192379477E-3</v>
      </c>
      <c r="P112" s="89">
        <f t="shared" ref="P112:P113" si="278">IF(O47=0,"",P47/O47-1)</f>
        <v>-2.1775145616542368E-2</v>
      </c>
      <c r="Q112" s="89">
        <f t="shared" ref="Q112:Q113" si="279">IF(P47=0,"",Q47/P47-1)</f>
        <v>2.6553133503819382E-2</v>
      </c>
      <c r="R112" s="89">
        <f t="shared" ref="R112:R113" si="280">IF(Q47=0,"",R47/Q47-1)</f>
        <v>-4.8912169796977656E-2</v>
      </c>
      <c r="S112" s="89">
        <f t="shared" ref="S112:S113" si="281">IF(R47=0,"",S47/R47-1)</f>
        <v>5.1713239578101478E-2</v>
      </c>
      <c r="T112" s="89">
        <f t="shared" ref="T112:T113" si="282">IF(S47=0,"",T47/S47-1)</f>
        <v>-6.080922198032801E-3</v>
      </c>
      <c r="U112" s="89">
        <f t="shared" ref="U112:U113" si="283">IF(T47=0,"",U47/T47-1)</f>
        <v>-3.6549179948729416E-3</v>
      </c>
      <c r="V112" s="89">
        <f t="shared" ref="V112:V113" si="284">IF(U47=0,"",V47/U47-1)</f>
        <v>-8.5096743721696511E-3</v>
      </c>
      <c r="W112" s="89">
        <f t="shared" ref="W112:W113" si="285">IF(V47=0,"",W47/V47-1)</f>
        <v>1.6366563849647742E-2</v>
      </c>
      <c r="X112" s="89">
        <f t="shared" ref="X112:X113" si="286">IF(W47=0,"",X47/W47-1)</f>
        <v>-6.5701501155450814E-2</v>
      </c>
      <c r="Y112" s="89">
        <f t="shared" ref="Y112:Y113" si="287">IF(X47=0,"",Y47/X47-1)</f>
        <v>8.1704493448643056E-2</v>
      </c>
      <c r="Z112" s="89">
        <f t="shared" ref="Z112:Z113" si="288">IF(Y47=0,"",Z47/Y47-1)</f>
        <v>-1.3213088091972858E-2</v>
      </c>
      <c r="AA112" s="89">
        <f t="shared" ref="AA112:AA113" si="289">IF(Z47=0,"",AA47/Z47-1)</f>
        <v>-4.6791513448608546E-3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9.0688589841338985E-3</v>
      </c>
      <c r="F113" s="89">
        <f t="shared" si="268"/>
        <v>-8.049010576938187E-5</v>
      </c>
      <c r="G113" s="89">
        <f t="shared" si="269"/>
        <v>-2.5600829450835305E-2</v>
      </c>
      <c r="H113" s="89">
        <f t="shared" si="270"/>
        <v>-4.3105036303578315E-2</v>
      </c>
      <c r="I113" s="89">
        <f t="shared" si="271"/>
        <v>1.3223231411771952E-2</v>
      </c>
      <c r="J113" s="89">
        <f t="shared" si="272"/>
        <v>9.5735325231329771E-3</v>
      </c>
      <c r="K113" s="89">
        <f t="shared" si="273"/>
        <v>6.7444270136175488E-2</v>
      </c>
      <c r="L113" s="89">
        <f t="shared" si="274"/>
        <v>-6.4491857959228627E-2</v>
      </c>
      <c r="M113" s="89">
        <f t="shared" si="275"/>
        <v>-0.12850270318859747</v>
      </c>
      <c r="N113" s="89">
        <f t="shared" si="276"/>
        <v>-1.7226192111025052E-2</v>
      </c>
      <c r="O113" s="89">
        <f t="shared" si="277"/>
        <v>4.6460660506066676E-2</v>
      </c>
      <c r="P113" s="89">
        <f t="shared" si="278"/>
        <v>-4.9196344728282382E-2</v>
      </c>
      <c r="Q113" s="89">
        <f t="shared" si="279"/>
        <v>-1.5379508099163997E-2</v>
      </c>
      <c r="R113" s="89">
        <f t="shared" si="280"/>
        <v>9.7902146707309345E-3</v>
      </c>
      <c r="S113" s="89">
        <f t="shared" si="281"/>
        <v>-2.8014820971701271E-3</v>
      </c>
      <c r="T113" s="89">
        <f t="shared" si="282"/>
        <v>-7.8759224578349718E-3</v>
      </c>
      <c r="U113" s="89">
        <f t="shared" si="283"/>
        <v>1.5150469322572135E-2</v>
      </c>
      <c r="V113" s="89">
        <f t="shared" si="284"/>
        <v>-1.8250675297903918E-3</v>
      </c>
      <c r="W113" s="89">
        <f t="shared" si="285"/>
        <v>5.8398046032406725E-2</v>
      </c>
      <c r="X113" s="89">
        <f t="shared" si="286"/>
        <v>-0.12607516902277027</v>
      </c>
      <c r="Y113" s="89">
        <f t="shared" si="287"/>
        <v>5.2518494941639515E-2</v>
      </c>
      <c r="Z113" s="89">
        <f t="shared" si="288"/>
        <v>6.2238998722047745E-2</v>
      </c>
      <c r="AA113" s="89">
        <f t="shared" si="289"/>
        <v>0.16998641541996151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1.7363803804967715E-2</v>
      </c>
      <c r="F114" s="89">
        <f t="shared" ref="F114:F115" si="291">IF(E52=0,"",F52/E52-1)</f>
        <v>-3.5889025164566712E-2</v>
      </c>
      <c r="G114" s="89">
        <f t="shared" ref="G114:G115" si="292">IF(F52=0,"",G52/F52-1)</f>
        <v>-5.0057499170084396E-2</v>
      </c>
      <c r="H114" s="89">
        <f t="shared" ref="H114:H115" si="293">IF(G52=0,"",H52/G52-1)</f>
        <v>-1.5380799224199215E-2</v>
      </c>
      <c r="I114" s="89">
        <f t="shared" ref="I114:I115" si="294">IF(H52=0,"",I52/H52-1)</f>
        <v>-5.3320188079380659E-2</v>
      </c>
      <c r="J114" s="89">
        <f t="shared" ref="J114:J115" si="295">IF(I52=0,"",J52/I52-1)</f>
        <v>-5.893992826631822E-2</v>
      </c>
      <c r="K114" s="89">
        <f t="shared" ref="K114:K115" si="296">IF(J52=0,"",K52/J52-1)</f>
        <v>-2.8356963000446656E-2</v>
      </c>
      <c r="L114" s="89">
        <f t="shared" ref="L114:L115" si="297">IF(K52=0,"",L52/K52-1)</f>
        <v>-6.5310480991872533E-2</v>
      </c>
      <c r="M114" s="89">
        <f t="shared" ref="M114:M115" si="298">IF(L52=0,"",M52/L52-1)</f>
        <v>-7.9491236308479651E-2</v>
      </c>
      <c r="N114" s="89">
        <f t="shared" ref="N114:N115" si="299">IF(M52=0,"",N52/M52-1)</f>
        <v>-4.9677309679288184E-2</v>
      </c>
      <c r="O114" s="89">
        <f t="shared" ref="O114:O115" si="300">IF(N52=0,"",O52/N52-1)</f>
        <v>3.1908587898499263E-2</v>
      </c>
      <c r="P114" s="89">
        <f t="shared" ref="P114:P115" si="301">IF(O52=0,"",P52/O52-1)</f>
        <v>-1.2525744530749838E-2</v>
      </c>
      <c r="Q114" s="89">
        <f t="shared" ref="Q114:Q115" si="302">IF(P52=0,"",Q52/P52-1)</f>
        <v>-3.9192881764606335E-2</v>
      </c>
      <c r="R114" s="89">
        <f t="shared" ref="R114:R115" si="303">IF(Q52=0,"",R52/Q52-1)</f>
        <v>2.5486090204486889E-2</v>
      </c>
      <c r="S114" s="89">
        <f t="shared" ref="S114:S115" si="304">IF(R52=0,"",S52/R52-1)</f>
        <v>-1.6219239535823493E-2</v>
      </c>
      <c r="T114" s="89">
        <f t="shared" ref="T114:T115" si="305">IF(S52=0,"",T52/S52-1)</f>
        <v>2.1064465636164709E-3</v>
      </c>
      <c r="U114" s="89">
        <f t="shared" ref="U114:U115" si="306">IF(T52=0,"",U52/T52-1)</f>
        <v>-1.5314328867012117E-2</v>
      </c>
      <c r="V114" s="89">
        <f t="shared" ref="V114:V115" si="307">IF(U52=0,"",V52/U52-1)</f>
        <v>2.2306043762851946E-3</v>
      </c>
      <c r="W114" s="89">
        <f t="shared" ref="W114:W115" si="308">IF(V52=0,"",W52/V52-1)</f>
        <v>-1.984177140443999E-2</v>
      </c>
      <c r="X114" s="89">
        <f t="shared" ref="X114:X115" si="309">IF(W52=0,"",X52/W52-1)</f>
        <v>-0.1839909297211646</v>
      </c>
      <c r="Y114" s="89">
        <f t="shared" ref="Y114:Y115" si="310">IF(X52=0,"",Y52/X52-1)</f>
        <v>-2.0456385940097688E-2</v>
      </c>
      <c r="Z114" s="89">
        <f t="shared" ref="Z114:Z115" si="311">IF(Y52=0,"",Z52/Y52-1)</f>
        <v>0.15196746043746301</v>
      </c>
      <c r="AA114" s="89">
        <f t="shared" ref="AA114:AA115" si="312">IF(Z52=0,"",AA52/Z52-1)</f>
        <v>-6.8252420134570779E-2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5.009894608833676E-2</v>
      </c>
      <c r="F115" s="89">
        <f t="shared" si="291"/>
        <v>-4.7964874236004817E-2</v>
      </c>
      <c r="G115" s="89">
        <f t="shared" si="292"/>
        <v>-6.1006216183389306E-2</v>
      </c>
      <c r="H115" s="89">
        <f t="shared" si="293"/>
        <v>-2.8964585900618123E-2</v>
      </c>
      <c r="I115" s="89">
        <f t="shared" si="294"/>
        <v>-7.9623447053158936E-2</v>
      </c>
      <c r="J115" s="89">
        <f t="shared" si="295"/>
        <v>-8.4525203660652526E-2</v>
      </c>
      <c r="K115" s="89">
        <f t="shared" si="296"/>
        <v>1.1305631489688661E-2</v>
      </c>
      <c r="L115" s="89">
        <f t="shared" si="297"/>
        <v>-7.8666946114362646E-2</v>
      </c>
      <c r="M115" s="89">
        <f t="shared" si="298"/>
        <v>-6.2747905398146897E-2</v>
      </c>
      <c r="N115" s="89">
        <f t="shared" si="299"/>
        <v>-5.9181996736229037E-2</v>
      </c>
      <c r="O115" s="89">
        <f t="shared" si="300"/>
        <v>6.4764786599213364E-2</v>
      </c>
      <c r="P115" s="89">
        <f t="shared" si="301"/>
        <v>1.0882987050907511E-2</v>
      </c>
      <c r="Q115" s="89">
        <f t="shared" si="302"/>
        <v>-5.381159175301875E-2</v>
      </c>
      <c r="R115" s="89">
        <f t="shared" si="303"/>
        <v>3.3579117214021403E-2</v>
      </c>
      <c r="S115" s="89">
        <f t="shared" si="304"/>
        <v>2.6081215716239114E-2</v>
      </c>
      <c r="T115" s="89">
        <f t="shared" si="305"/>
        <v>7.2298206130838594E-3</v>
      </c>
      <c r="U115" s="89">
        <f t="shared" si="306"/>
        <v>-2.5310882014004443E-2</v>
      </c>
      <c r="V115" s="89">
        <f t="shared" si="307"/>
        <v>2.7768963125633706E-2</v>
      </c>
      <c r="W115" s="89">
        <f t="shared" si="308"/>
        <v>-2.3508589665823809E-2</v>
      </c>
      <c r="X115" s="89">
        <f t="shared" si="309"/>
        <v>-0.12672605982259222</v>
      </c>
      <c r="Y115" s="89">
        <f t="shared" si="310"/>
        <v>-5.618141243887198E-2</v>
      </c>
      <c r="Z115" s="89">
        <f t="shared" si="311"/>
        <v>0.24506318673512473</v>
      </c>
      <c r="AA115" s="89">
        <f t="shared" si="312"/>
        <v>-3.5358869234329071E-2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-2.4910059961861797E-2</v>
      </c>
      <c r="F116" s="89">
        <f t="shared" ref="F116:F122" si="314">IF(E56=0,"",F56/E56-1)</f>
        <v>-1.9094762793966269E-2</v>
      </c>
      <c r="G116" s="89">
        <f t="shared" ref="G116:G122" si="315">IF(F56=0,"",G56/F56-1)</f>
        <v>-3.5278929371842627E-2</v>
      </c>
      <c r="H116" s="89">
        <f t="shared" ref="H116:H122" si="316">IF(G56=0,"",H56/G56-1)</f>
        <v>2.4656155341116204E-3</v>
      </c>
      <c r="I116" s="89">
        <f t="shared" ref="I116:I122" si="317">IF(H56=0,"",I56/H56-1)</f>
        <v>-1.9846368267268599E-2</v>
      </c>
      <c r="J116" s="89">
        <f t="shared" ref="J116:J122" si="318">IF(I56=0,"",J56/I56-1)</f>
        <v>-2.8365580443867167E-2</v>
      </c>
      <c r="K116" s="89">
        <f t="shared" ref="K116:K122" si="319">IF(J56=0,"",K56/J56-1)</f>
        <v>-7.3014187437723255E-2</v>
      </c>
      <c r="L116" s="89">
        <f t="shared" ref="L116:L122" si="320">IF(K56=0,"",L56/K56-1)</f>
        <v>-4.8904149586559309E-2</v>
      </c>
      <c r="M116" s="89">
        <f t="shared" ref="M116:M122" si="321">IF(L56=0,"",M56/L56-1)</f>
        <v>-9.9414210462138386E-2</v>
      </c>
      <c r="N116" s="89">
        <f t="shared" ref="N116:N122" si="322">IF(M56=0,"",N56/M56-1)</f>
        <v>-3.7907174168070767E-2</v>
      </c>
      <c r="O116" s="89">
        <f t="shared" ref="O116:O122" si="323">IF(N56=0,"",O56/N56-1)</f>
        <v>-7.8791822317499927E-3</v>
      </c>
      <c r="P116" s="89">
        <f t="shared" ref="P116:P122" si="324">IF(O56=0,"",P56/O56-1)</f>
        <v>-4.2948551581206806E-2</v>
      </c>
      <c r="Q116" s="89">
        <f t="shared" ref="Q116:Q122" si="325">IF(P56=0,"",Q56/P56-1)</f>
        <v>-1.9125253181847546E-2</v>
      </c>
      <c r="R116" s="89">
        <f t="shared" ref="R116:R122" si="326">IF(Q56=0,"",R56/Q56-1)</f>
        <v>1.4769365774778498E-2</v>
      </c>
      <c r="S116" s="89">
        <f t="shared" ref="S116:S122" si="327">IF(R56=0,"",S56/R56-1)</f>
        <v>-7.3271452282157368E-2</v>
      </c>
      <c r="T116" s="89">
        <f t="shared" ref="T116:T122" si="328">IF(S56=0,"",T56/S56-1)</f>
        <v>-5.5444567077214124E-3</v>
      </c>
      <c r="U116" s="89">
        <f t="shared" ref="U116:U122" si="329">IF(T56=0,"",U56/T56-1)</f>
        <v>-1.9438674567617831E-4</v>
      </c>
      <c r="V116" s="89">
        <f t="shared" ref="V116:V122" si="330">IF(U56=0,"",V56/U56-1)</f>
        <v>-3.5426192826703007E-2</v>
      </c>
      <c r="W116" s="89">
        <f t="shared" ref="W116:W122" si="331">IF(V56=0,"",W56/V56-1)</f>
        <v>-1.408074566395523E-2</v>
      </c>
      <c r="X116" s="89">
        <f t="shared" ref="X116:X122" si="332">IF(W56=0,"",X56/W56-1)</f>
        <v>-0.27310079513086694</v>
      </c>
      <c r="Y116" s="89">
        <f t="shared" ref="Y116:Y122" si="333">IF(X56=0,"",Y56/X56-1)</f>
        <v>4.6329758975699908E-2</v>
      </c>
      <c r="Z116" s="89">
        <f t="shared" ref="Z116:Z122" si="334">IF(Y56=0,"",Z56/Y56-1)</f>
        <v>-5.0194740761022594E-3</v>
      </c>
      <c r="AA116" s="89">
        <f t="shared" ref="AA116:AA122" si="335">IF(Z56=0,"",AA56/Z56-1)</f>
        <v>-0.13766230674228197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-2.8040438207892815E-2</v>
      </c>
      <c r="F117" s="89">
        <f t="shared" si="314"/>
        <v>2.9849435205949293E-2</v>
      </c>
      <c r="G117" s="89">
        <f t="shared" si="315"/>
        <v>1.7936131975553105E-2</v>
      </c>
      <c r="H117" s="89">
        <f t="shared" si="316"/>
        <v>3.0215337877341542E-2</v>
      </c>
      <c r="I117" s="89">
        <f t="shared" si="317"/>
        <v>-4.4511584216170408E-2</v>
      </c>
      <c r="J117" s="89">
        <f t="shared" si="318"/>
        <v>-3.6426937611149013E-2</v>
      </c>
      <c r="K117" s="89">
        <f t="shared" si="319"/>
        <v>2.2910167112204727E-2</v>
      </c>
      <c r="L117" s="89">
        <f t="shared" si="320"/>
        <v>-3.2989270482963184E-2</v>
      </c>
      <c r="M117" s="89">
        <f t="shared" si="321"/>
        <v>-1.6759483415449195E-2</v>
      </c>
      <c r="N117" s="89">
        <f t="shared" si="322"/>
        <v>-3.3488865337973905E-2</v>
      </c>
      <c r="O117" s="89">
        <f t="shared" si="323"/>
        <v>5.3068049095503333E-2</v>
      </c>
      <c r="P117" s="89">
        <f t="shared" si="324"/>
        <v>1.0595051375116737E-2</v>
      </c>
      <c r="Q117" s="89">
        <f t="shared" si="325"/>
        <v>3.3252257495129722E-2</v>
      </c>
      <c r="R117" s="89">
        <f t="shared" si="326"/>
        <v>2.8043553111062991E-2</v>
      </c>
      <c r="S117" s="89">
        <f t="shared" si="327"/>
        <v>1.1308354143384491E-2</v>
      </c>
      <c r="T117" s="89">
        <f t="shared" si="328"/>
        <v>1.000677052398391E-2</v>
      </c>
      <c r="U117" s="89">
        <f t="shared" si="329"/>
        <v>8.6804663564756801E-3</v>
      </c>
      <c r="V117" s="89">
        <f t="shared" si="330"/>
        <v>-1.472346732295593E-2</v>
      </c>
      <c r="W117" s="89">
        <f t="shared" si="331"/>
        <v>2.2563056488649424E-2</v>
      </c>
      <c r="X117" s="89">
        <f t="shared" si="332"/>
        <v>-4.6837720409483197E-2</v>
      </c>
      <c r="Y117" s="89">
        <f t="shared" si="333"/>
        <v>1.4646683604807587E-2</v>
      </c>
      <c r="Z117" s="89">
        <f t="shared" si="334"/>
        <v>2.6677881628147437E-2</v>
      </c>
      <c r="AA117" s="89">
        <f t="shared" si="335"/>
        <v>0.13986330007099568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-6.3618611934250779E-3</v>
      </c>
      <c r="F118" s="89">
        <f t="shared" si="314"/>
        <v>1.9142752431579257E-2</v>
      </c>
      <c r="G118" s="89">
        <f t="shared" si="315"/>
        <v>-4.4385661524346087E-2</v>
      </c>
      <c r="H118" s="89">
        <f t="shared" si="316"/>
        <v>-4.2142714601644649E-2</v>
      </c>
      <c r="I118" s="89">
        <f t="shared" si="317"/>
        <v>2.0560488088133821E-2</v>
      </c>
      <c r="J118" s="89">
        <f t="shared" si="318"/>
        <v>-1.1449957844134162E-2</v>
      </c>
      <c r="K118" s="89">
        <f t="shared" si="319"/>
        <v>-5.5414507140348901E-3</v>
      </c>
      <c r="L118" s="89">
        <f t="shared" si="320"/>
        <v>-2.3508873188656909E-2</v>
      </c>
      <c r="M118" s="89">
        <f t="shared" si="321"/>
        <v>-0.10637241113111151</v>
      </c>
      <c r="N118" s="89">
        <f t="shared" si="322"/>
        <v>8.6874741163096125E-2</v>
      </c>
      <c r="O118" s="89">
        <f t="shared" si="323"/>
        <v>-6.47769457978008E-2</v>
      </c>
      <c r="P118" s="89">
        <f t="shared" si="324"/>
        <v>2.3510600461257525E-2</v>
      </c>
      <c r="Q118" s="89">
        <f t="shared" si="325"/>
        <v>3.2378814736006012E-2</v>
      </c>
      <c r="R118" s="89">
        <f t="shared" si="326"/>
        <v>2.9055986936355804E-2</v>
      </c>
      <c r="S118" s="89">
        <f t="shared" si="327"/>
        <v>9.6974828806004609E-2</v>
      </c>
      <c r="T118" s="89">
        <f t="shared" si="328"/>
        <v>1.3706502371213292E-2</v>
      </c>
      <c r="U118" s="89">
        <f t="shared" si="329"/>
        <v>-5.3889372359692267E-3</v>
      </c>
      <c r="V118" s="89">
        <f t="shared" si="330"/>
        <v>9.7171636330058764E-2</v>
      </c>
      <c r="W118" s="89">
        <f t="shared" si="331"/>
        <v>4.0065192181741205E-2</v>
      </c>
      <c r="X118" s="89">
        <f t="shared" si="332"/>
        <v>-0.28155730593901218</v>
      </c>
      <c r="Y118" s="89">
        <f t="shared" si="333"/>
        <v>0.10291433047768606</v>
      </c>
      <c r="Z118" s="89">
        <f t="shared" si="334"/>
        <v>5.7974776878022105E-2</v>
      </c>
      <c r="AA118" s="89">
        <f t="shared" si="335"/>
        <v>4.7864751191513122E-2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-1.9811694652839273E-2</v>
      </c>
      <c r="F119" s="89">
        <f t="shared" si="314"/>
        <v>-4.1512645815935834E-2</v>
      </c>
      <c r="G119" s="89">
        <f t="shared" si="315"/>
        <v>-5.0075935681641259E-2</v>
      </c>
      <c r="H119" s="89">
        <f t="shared" si="316"/>
        <v>8.9542239242392796E-3</v>
      </c>
      <c r="I119" s="89">
        <f t="shared" si="317"/>
        <v>-3.6334645470082583E-2</v>
      </c>
      <c r="J119" s="89">
        <f t="shared" si="318"/>
        <v>-3.4508059191088458E-3</v>
      </c>
      <c r="K119" s="89">
        <f t="shared" si="319"/>
        <v>2.2883796971562731E-2</v>
      </c>
      <c r="L119" s="89">
        <f t="shared" si="320"/>
        <v>-4.4745777184385771E-2</v>
      </c>
      <c r="M119" s="89">
        <f t="shared" si="321"/>
        <v>-0.10820053952829656</v>
      </c>
      <c r="N119" s="89">
        <f t="shared" si="322"/>
        <v>1.1266789487279771E-2</v>
      </c>
      <c r="O119" s="89">
        <f t="shared" si="323"/>
        <v>2.6381408767543801E-2</v>
      </c>
      <c r="P119" s="89">
        <f t="shared" si="324"/>
        <v>-6.7135897407755163E-4</v>
      </c>
      <c r="Q119" s="89">
        <f t="shared" si="325"/>
        <v>-8.9994953450516224E-3</v>
      </c>
      <c r="R119" s="89">
        <f t="shared" si="326"/>
        <v>-3.0004667741856395E-3</v>
      </c>
      <c r="S119" s="89">
        <f t="shared" si="327"/>
        <v>-1.3870640734927497E-2</v>
      </c>
      <c r="T119" s="89">
        <f t="shared" si="328"/>
        <v>-1.2105296859770465E-2</v>
      </c>
      <c r="U119" s="89">
        <f t="shared" si="329"/>
        <v>1.829886445031681E-3</v>
      </c>
      <c r="V119" s="89">
        <f t="shared" si="330"/>
        <v>-4.5355075651093424E-3</v>
      </c>
      <c r="W119" s="89">
        <f t="shared" si="331"/>
        <v>2.7163692186420896E-2</v>
      </c>
      <c r="X119" s="89">
        <f t="shared" si="332"/>
        <v>-0.14721313397726266</v>
      </c>
      <c r="Y119" s="89">
        <f t="shared" si="333"/>
        <v>5.9483142256608446E-2</v>
      </c>
      <c r="Z119" s="89">
        <f t="shared" si="334"/>
        <v>2.0623525676875198E-2</v>
      </c>
      <c r="AA119" s="89">
        <f t="shared" si="335"/>
        <v>9.2489218911409043E-3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-2.4727711607095859E-2</v>
      </c>
      <c r="F120" s="89">
        <f t="shared" si="314"/>
        <v>-4.5492361304141249E-2</v>
      </c>
      <c r="G120" s="89">
        <f t="shared" si="315"/>
        <v>-4.7009917554574954E-2</v>
      </c>
      <c r="H120" s="89">
        <f t="shared" si="316"/>
        <v>-7.9615588351280131E-2</v>
      </c>
      <c r="I120" s="89">
        <f t="shared" si="317"/>
        <v>-0.10257808226601217</v>
      </c>
      <c r="J120" s="89">
        <f t="shared" si="318"/>
        <v>-7.0328491387899206E-2</v>
      </c>
      <c r="K120" s="89">
        <f t="shared" si="319"/>
        <v>1.8568742420228546E-3</v>
      </c>
      <c r="L120" s="89">
        <f t="shared" si="320"/>
        <v>-7.7653138189394011E-2</v>
      </c>
      <c r="M120" s="89">
        <f t="shared" si="321"/>
        <v>-0.16470572084775548</v>
      </c>
      <c r="N120" s="89">
        <f t="shared" si="322"/>
        <v>-4.0426177775827465E-2</v>
      </c>
      <c r="O120" s="89">
        <f t="shared" si="323"/>
        <v>6.5403435053433379E-2</v>
      </c>
      <c r="P120" s="89">
        <f t="shared" si="324"/>
        <v>2.6930970803689114E-2</v>
      </c>
      <c r="Q120" s="89">
        <f t="shared" si="325"/>
        <v>-3.9190698162834825E-2</v>
      </c>
      <c r="R120" s="89">
        <f t="shared" si="326"/>
        <v>-4.5482437941731013E-2</v>
      </c>
      <c r="S120" s="89">
        <f t="shared" si="327"/>
        <v>2.9059459560263345E-2</v>
      </c>
      <c r="T120" s="89">
        <f t="shared" si="328"/>
        <v>-1.0929129757542677E-2</v>
      </c>
      <c r="U120" s="89">
        <f t="shared" si="329"/>
        <v>2.2439580500496659E-2</v>
      </c>
      <c r="V120" s="89">
        <f t="shared" si="330"/>
        <v>2.810354477126098E-2</v>
      </c>
      <c r="W120" s="89">
        <f t="shared" si="331"/>
        <v>3.172266224514142E-2</v>
      </c>
      <c r="X120" s="89">
        <f t="shared" si="332"/>
        <v>-7.0640005187367794E-2</v>
      </c>
      <c r="Y120" s="89">
        <f t="shared" si="333"/>
        <v>0.10248085927500994</v>
      </c>
      <c r="Z120" s="89">
        <f t="shared" si="334"/>
        <v>-7.0786517344613276E-2</v>
      </c>
      <c r="AA120" s="89">
        <f t="shared" si="335"/>
        <v>0.17756598567021542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-3.5575029571541905E-2</v>
      </c>
      <c r="F121" s="89">
        <f t="shared" si="314"/>
        <v>5.4936223859083366E-3</v>
      </c>
      <c r="G121" s="89">
        <f t="shared" si="315"/>
        <v>4.5419529550739357E-2</v>
      </c>
      <c r="H121" s="89">
        <f t="shared" si="316"/>
        <v>-0.110291989684559</v>
      </c>
      <c r="I121" s="89">
        <f t="shared" si="317"/>
        <v>-7.6860669041973528E-2</v>
      </c>
      <c r="J121" s="89">
        <f t="shared" si="318"/>
        <v>9.7696550374231084E-3</v>
      </c>
      <c r="K121" s="89">
        <f t="shared" si="319"/>
        <v>7.6241095073896981E-2</v>
      </c>
      <c r="L121" s="89">
        <f t="shared" si="320"/>
        <v>9.558137342968287E-3</v>
      </c>
      <c r="M121" s="89">
        <f t="shared" si="321"/>
        <v>-9.9211033106982427E-2</v>
      </c>
      <c r="N121" s="89">
        <f t="shared" si="322"/>
        <v>-0.10481508155717101</v>
      </c>
      <c r="O121" s="89">
        <f t="shared" si="323"/>
        <v>0.14484176645602664</v>
      </c>
      <c r="P121" s="89">
        <f t="shared" si="324"/>
        <v>-4.2658197213330973E-2</v>
      </c>
      <c r="Q121" s="89">
        <f t="shared" si="325"/>
        <v>-2.9607667004043492E-3</v>
      </c>
      <c r="R121" s="89">
        <f t="shared" si="326"/>
        <v>-9.1999697954151305E-2</v>
      </c>
      <c r="S121" s="89">
        <f t="shared" si="327"/>
        <v>-7.6822310756972101E-3</v>
      </c>
      <c r="T121" s="89">
        <f t="shared" si="328"/>
        <v>8.1183564682882903E-3</v>
      </c>
      <c r="U121" s="89">
        <f t="shared" si="329"/>
        <v>4.2946403424925839E-2</v>
      </c>
      <c r="V121" s="89">
        <f t="shared" si="330"/>
        <v>-2.4999406904819721E-2</v>
      </c>
      <c r="W121" s="89">
        <f t="shared" si="331"/>
        <v>6.6244801609361526E-2</v>
      </c>
      <c r="X121" s="89">
        <f t="shared" si="332"/>
        <v>-9.8024674239595155E-2</v>
      </c>
      <c r="Y121" s="89">
        <f t="shared" si="333"/>
        <v>0.1374632649809997</v>
      </c>
      <c r="Z121" s="89">
        <f t="shared" si="334"/>
        <v>0.33482178800783458</v>
      </c>
      <c r="AA121" s="89">
        <f t="shared" si="335"/>
        <v>-1.1926653422698053E-3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4.6852513289781461E-2</v>
      </c>
      <c r="F122" s="91">
        <f t="shared" si="314"/>
        <v>-1.857003839178728E-2</v>
      </c>
      <c r="G122" s="91">
        <f t="shared" si="315"/>
        <v>4.9319529060387612E-3</v>
      </c>
      <c r="H122" s="91">
        <f t="shared" si="316"/>
        <v>-8.456632961897026E-3</v>
      </c>
      <c r="I122" s="91">
        <f t="shared" si="317"/>
        <v>-3.7295881358493821E-2</v>
      </c>
      <c r="J122" s="91">
        <f t="shared" si="318"/>
        <v>-2.0803543099304211E-2</v>
      </c>
      <c r="K122" s="91">
        <f t="shared" si="319"/>
        <v>-2.2596622133807864E-2</v>
      </c>
      <c r="L122" s="91">
        <f t="shared" si="320"/>
        <v>-7.2201662084638407E-2</v>
      </c>
      <c r="M122" s="91">
        <f t="shared" si="321"/>
        <v>-5.9865961710485305E-2</v>
      </c>
      <c r="N122" s="91">
        <f t="shared" si="322"/>
        <v>-6.8109317865086783E-2</v>
      </c>
      <c r="O122" s="91">
        <f t="shared" si="323"/>
        <v>3.2598077404413228E-2</v>
      </c>
      <c r="P122" s="91">
        <f t="shared" si="324"/>
        <v>-1.4696634152579491E-2</v>
      </c>
      <c r="Q122" s="91">
        <f t="shared" si="325"/>
        <v>4.5583644094948639E-4</v>
      </c>
      <c r="R122" s="91">
        <f t="shared" si="326"/>
        <v>5.4183271005965317E-3</v>
      </c>
      <c r="S122" s="91">
        <f t="shared" si="327"/>
        <v>-4.6651694046596637E-3</v>
      </c>
      <c r="T122" s="91">
        <f t="shared" si="328"/>
        <v>-7.9523652566787506E-3</v>
      </c>
      <c r="U122" s="91">
        <f t="shared" si="329"/>
        <v>-3.5533832611876814E-2</v>
      </c>
      <c r="V122" s="91">
        <f t="shared" si="330"/>
        <v>2.0466032445338511E-2</v>
      </c>
      <c r="W122" s="91">
        <f t="shared" si="331"/>
        <v>1.3203119381563599E-2</v>
      </c>
      <c r="X122" s="91">
        <f t="shared" si="332"/>
        <v>-0.16308652001258017</v>
      </c>
      <c r="Y122" s="91">
        <f t="shared" si="333"/>
        <v>7.0581715151826208E-2</v>
      </c>
      <c r="Z122" s="91">
        <f t="shared" si="334"/>
        <v>-2.9471202052315904E-2</v>
      </c>
      <c r="AA122" s="91">
        <f t="shared" si="335"/>
        <v>0.25756920206032996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2025-11-06T10:24:10Z</dcterms:created>
  <dcterms:modified xsi:type="dcterms:W3CDTF">2025-11-06T10:24:10Z</dcterms:modified>
</cp:coreProperties>
</file>