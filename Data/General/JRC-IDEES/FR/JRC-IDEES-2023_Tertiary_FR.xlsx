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R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Y16" i="7"/>
  <c r="X16" i="7"/>
  <c r="Y14" i="13"/>
  <c r="X13" i="12"/>
  <c r="X21" i="12"/>
  <c r="X20" i="12"/>
  <c r="X16" i="8"/>
  <c r="Y14" i="12"/>
  <c r="X8" i="12"/>
  <c r="X7" i="12"/>
  <c r="Y6" i="12"/>
  <c r="Y22" i="13"/>
  <c r="X22" i="13"/>
  <c r="Y21" i="13"/>
  <c r="X21" i="13"/>
  <c r="Y20" i="13"/>
  <c r="Y18" i="13"/>
  <c r="Y17" i="13"/>
  <c r="X17" i="10"/>
  <c r="Y6" i="13"/>
  <c r="X5" i="10"/>
  <c r="Y33" i="10"/>
  <c r="Y18" i="10"/>
  <c r="X18" i="10"/>
  <c r="Y17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7" i="25"/>
  <c r="X24" i="23"/>
  <c r="Y23" i="23"/>
  <c r="X23" i="23"/>
  <c r="Y22" i="23"/>
  <c r="X33" i="21"/>
  <c r="Y22" i="24"/>
  <c r="X21" i="21"/>
  <c r="Y20" i="21"/>
  <c r="X18" i="24"/>
  <c r="Y17" i="24"/>
  <c r="X15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0" i="23"/>
  <c r="Y20" i="26" s="1"/>
  <c r="Y8" i="23"/>
  <c r="Y33" i="24"/>
  <c r="Y33" i="27" s="1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9" i="36"/>
  <c r="Y24" i="28" l="1"/>
  <c r="Y7" i="28"/>
  <c r="Y24" i="23"/>
  <c r="Y24" i="26" s="1"/>
  <c r="Y5" i="10"/>
  <c r="X25" i="23"/>
  <c r="Y24" i="12"/>
  <c r="X25" i="12"/>
  <c r="X23" i="21"/>
  <c r="Y23" i="10"/>
  <c r="Y10" i="12"/>
  <c r="X8" i="13"/>
  <c r="X11" i="12"/>
  <c r="Y8" i="13"/>
  <c r="X8" i="24"/>
  <c r="X9" i="21"/>
  <c r="X25" i="24"/>
  <c r="X17" i="24"/>
  <c r="X25" i="13"/>
  <c r="X12" i="12"/>
  <c r="X14" i="30"/>
  <c r="Y23" i="28"/>
  <c r="X7" i="14"/>
  <c r="Y25" i="13"/>
  <c r="X31" i="23"/>
  <c r="X26" i="13"/>
  <c r="Y26" i="24"/>
  <c r="Y26" i="27" s="1"/>
  <c r="Y31" i="23"/>
  <c r="Y10" i="13"/>
  <c r="Y26" i="13"/>
  <c r="X27" i="21"/>
  <c r="X32" i="23"/>
  <c r="X32" i="26" s="1"/>
  <c r="X11" i="13"/>
  <c r="Y11" i="24"/>
  <c r="Y11" i="27" s="1"/>
  <c r="X13" i="29"/>
  <c r="X5" i="31" s="1"/>
  <c r="X12" i="24"/>
  <c r="X12" i="13"/>
  <c r="X30" i="13"/>
  <c r="Y8" i="25"/>
  <c r="Y8" i="28" s="1"/>
  <c r="Y13" i="29"/>
  <c r="Y5" i="29" s="1"/>
  <c r="Y9" i="25"/>
  <c r="Y9" i="28" s="1"/>
  <c r="Y12" i="24"/>
  <c r="Y12" i="27" s="1"/>
  <c r="Y21" i="25"/>
  <c r="Y21" i="28" s="1"/>
  <c r="X10" i="14"/>
  <c r="X30" i="14"/>
  <c r="Y12" i="13"/>
  <c r="Y52" i="38"/>
  <c r="X14" i="29"/>
  <c r="X6" i="29" s="1"/>
  <c r="X10" i="25"/>
  <c r="X13" i="21"/>
  <c r="X31" i="24"/>
  <c r="X17" i="23"/>
  <c r="X22" i="24"/>
  <c r="Y10" i="14"/>
  <c r="X31" i="13"/>
  <c r="Y33" i="12"/>
  <c r="Y8" i="24"/>
  <c r="Y8" i="27" s="1"/>
  <c r="Y17" i="23"/>
  <c r="Y17" i="26" s="1"/>
  <c r="X31" i="14"/>
  <c r="Y31" i="13"/>
  <c r="X7" i="21"/>
  <c r="X8" i="25"/>
  <c r="X9" i="36"/>
  <c r="Y53" i="38"/>
  <c r="Y31" i="14"/>
  <c r="X32" i="10"/>
  <c r="Y7" i="24"/>
  <c r="Y7" i="27" s="1"/>
  <c r="Y14" i="21"/>
  <c r="Y32" i="21"/>
  <c r="X17" i="13"/>
  <c r="Y14" i="36"/>
  <c r="Y19" i="22"/>
  <c r="Y45" i="37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4" i="28" s="1"/>
  <c r="Y8" i="14"/>
  <c r="Y12" i="12"/>
  <c r="Y18" i="12"/>
  <c r="Y28" i="12"/>
  <c r="X82" i="6"/>
  <c r="X81" i="6" s="1"/>
  <c r="X89" i="6" s="1"/>
  <c r="X107" i="6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9" i="8"/>
  <c r="X30" i="12"/>
  <c r="X30" i="10"/>
  <c r="X4" i="7"/>
  <c r="X3" i="7" s="1"/>
  <c r="X5" i="12"/>
  <c r="X32" i="14"/>
  <c r="X29" i="11"/>
  <c r="Y20" i="12"/>
  <c r="Y20" i="10"/>
  <c r="X33" i="6"/>
  <c r="X31" i="6" s="1"/>
  <c r="X5" i="24"/>
  <c r="X5" i="23"/>
  <c r="X30" i="23"/>
  <c r="X30" i="26" s="1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X8" i="27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Y16" i="25" s="1"/>
  <c r="Y16" i="28" s="1"/>
  <c r="X6" i="24"/>
  <c r="X6" i="27" s="1"/>
  <c r="X24" i="24"/>
  <c r="X30" i="24"/>
  <c r="X30" i="27" s="1"/>
  <c r="X6" i="13"/>
  <c r="Y11" i="10"/>
  <c r="Y15" i="10"/>
  <c r="X8" i="14"/>
  <c r="Y22" i="26"/>
  <c r="X13" i="13"/>
  <c r="X9" i="39"/>
  <c r="X5" i="39" s="1"/>
  <c r="X46" i="37"/>
  <c r="X25" i="26"/>
  <c r="X21" i="23"/>
  <c r="Y13" i="13"/>
  <c r="X19" i="7"/>
  <c r="X27" i="12" s="1"/>
  <c r="X29" i="7"/>
  <c r="Y19" i="18"/>
  <c r="Y19" i="23" s="1"/>
  <c r="Y19" i="26" s="1"/>
  <c r="Y31" i="25"/>
  <c r="Y31" i="28" s="1"/>
  <c r="Y9" i="38"/>
  <c r="Y52" i="37"/>
  <c r="X32" i="24"/>
  <c r="Y51" i="39"/>
  <c r="Y6" i="24"/>
  <c r="Y6" i="27" s="1"/>
  <c r="Y24" i="24"/>
  <c r="Y24" i="27" s="1"/>
  <c r="Y18" i="23"/>
  <c r="Y18" i="26" s="1"/>
  <c r="X16" i="9"/>
  <c r="X16" i="13" s="1"/>
  <c r="X19" i="8"/>
  <c r="Y33" i="6"/>
  <c r="X91" i="6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Y16" i="23" s="1"/>
  <c r="Y16" i="26" s="1"/>
  <c r="X8" i="10"/>
  <c r="X26" i="10"/>
  <c r="X114" i="6"/>
  <c r="X30" i="25"/>
  <c r="X30" i="28" s="1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12" i="36" s="1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32" i="27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4" i="19"/>
  <c r="X26" i="23"/>
  <c r="Y9" i="14"/>
  <c r="Y25" i="6"/>
  <c r="Y49" i="37"/>
  <c r="X16" i="29"/>
  <c r="Y9" i="23"/>
  <c r="Y9" i="26" s="1"/>
  <c r="X26" i="6"/>
  <c r="X22" i="15" s="1"/>
  <c r="X33" i="39"/>
  <c r="Y51" i="38"/>
  <c r="X9" i="38"/>
  <c r="X52" i="38"/>
  <c r="X68" i="29"/>
  <c r="X6" i="30" s="1"/>
  <c r="X10" i="23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93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Y15" i="13" l="1"/>
  <c r="X5" i="29"/>
  <c r="X21" i="26"/>
  <c r="X22" i="28"/>
  <c r="X33" i="26"/>
  <c r="X4" i="13"/>
  <c r="X18" i="27"/>
  <c r="X7" i="27"/>
  <c r="Y29" i="12"/>
  <c r="Y29" i="15" s="1"/>
  <c r="Y29" i="14"/>
  <c r="Y5" i="39"/>
  <c r="Y37" i="39" s="1"/>
  <c r="Y10" i="17"/>
  <c r="X29" i="13"/>
  <c r="X15" i="12"/>
  <c r="X4" i="12"/>
  <c r="X10" i="26"/>
  <c r="Y5" i="37"/>
  <c r="Y35" i="37" s="1"/>
  <c r="Y5" i="31"/>
  <c r="X17" i="28"/>
  <c r="X17" i="27"/>
  <c r="X23" i="28"/>
  <c r="X14" i="27"/>
  <c r="X14" i="26"/>
  <c r="Y139" i="6"/>
  <c r="Y30" i="15"/>
  <c r="X22" i="26"/>
  <c r="X5" i="28"/>
  <c r="Y10" i="16"/>
  <c r="X23" i="26"/>
  <c r="X22" i="27"/>
  <c r="X28" i="27"/>
  <c r="X23" i="27"/>
  <c r="X11" i="26"/>
  <c r="X17" i="26"/>
  <c r="X31" i="26"/>
  <c r="X10" i="28"/>
  <c r="X7" i="26"/>
  <c r="X24" i="27"/>
  <c r="X26" i="26"/>
  <c r="X12" i="26"/>
  <c r="X10" i="27"/>
  <c r="X21" i="27"/>
  <c r="X9" i="28"/>
  <c r="X18" i="26"/>
  <c r="X163" i="6"/>
  <c r="Y28" i="16"/>
  <c r="X4" i="14"/>
  <c r="X29" i="23"/>
  <c r="X29" i="26" s="1"/>
  <c r="X4" i="23"/>
  <c r="X4" i="26" s="1"/>
  <c r="X29" i="10"/>
  <c r="X3" i="8"/>
  <c r="X3" i="19"/>
  <c r="X3" i="23" s="1"/>
  <c r="X9" i="29"/>
  <c r="Y31" i="6"/>
  <c r="X25" i="27"/>
  <c r="Y27" i="24"/>
  <c r="Y27" i="27" s="1"/>
  <c r="X8" i="28"/>
  <c r="X5" i="26"/>
  <c r="X13" i="26"/>
  <c r="X31" i="28"/>
  <c r="X5" i="27"/>
  <c r="X90" i="6"/>
  <c r="X5" i="32"/>
  <c r="X7" i="28"/>
  <c r="X11" i="27"/>
  <c r="X94" i="6"/>
  <c r="X92" i="6"/>
  <c r="X27" i="13"/>
  <c r="X27" i="16" s="1"/>
  <c r="X28" i="26"/>
  <c r="X33" i="27"/>
  <c r="X9" i="27"/>
  <c r="X13" i="27"/>
  <c r="X113" i="6"/>
  <c r="X167" i="6" s="1"/>
  <c r="X26" i="27"/>
  <c r="X21" i="28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" i="27"/>
  <c r="X24" i="26"/>
  <c r="X58" i="6"/>
  <c r="Y50" i="39"/>
  <c r="Y48" i="38"/>
  <c r="X19" i="14"/>
  <c r="X19" i="17" s="1"/>
  <c r="X31" i="27"/>
  <c r="X16" i="23"/>
  <c r="X16" i="26" s="1"/>
  <c r="X5" i="37"/>
  <c r="X35" i="37" s="1"/>
  <c r="X48" i="39"/>
  <c r="Y27" i="23"/>
  <c r="Y27" i="26" s="1"/>
  <c r="X55" i="6"/>
  <c r="X32" i="28"/>
  <c r="X161" i="6"/>
  <c r="Y5" i="16"/>
  <c r="X4" i="15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44" i="37"/>
  <c r="Y159" i="6"/>
  <c r="Y135" i="6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5" i="15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X129" i="6"/>
  <c r="X153" i="6"/>
  <c r="Y123" i="6"/>
  <c r="Y132" i="6"/>
  <c r="Y156" i="6"/>
  <c r="Y16" i="10"/>
  <c r="Y38" i="39"/>
  <c r="Y36" i="37"/>
  <c r="X31" i="36"/>
  <c r="X34" i="36"/>
  <c r="X32" i="36"/>
  <c r="X38" i="39"/>
  <c r="X37" i="39"/>
  <c r="Y44" i="39" l="1"/>
  <c r="X3" i="14"/>
  <c r="Y34" i="37"/>
  <c r="X3" i="35"/>
  <c r="X3" i="12"/>
  <c r="Y32" i="37"/>
  <c r="Y39" i="38"/>
  <c r="Y33" i="37"/>
  <c r="Y36" i="39"/>
  <c r="Y44" i="38"/>
  <c r="Y40" i="37"/>
  <c r="Y39" i="37"/>
  <c r="Y35" i="39"/>
  <c r="Y38" i="37"/>
  <c r="Y31" i="37" s="1"/>
  <c r="X34" i="37"/>
  <c r="X3" i="29"/>
  <c r="X143" i="6"/>
  <c r="X37" i="37"/>
  <c r="X33" i="37"/>
  <c r="X36" i="37"/>
  <c r="X32" i="37"/>
  <c r="X39" i="37"/>
  <c r="X44" i="39"/>
  <c r="X38" i="37"/>
  <c r="X40" i="37"/>
  <c r="X3" i="13"/>
  <c r="X3" i="16" s="1"/>
  <c r="X3" i="10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" i="17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1" i="37" l="1"/>
  <c r="X3" i="15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V4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5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V3" i="23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29" i="13" l="1"/>
  <c r="K29" i="12"/>
  <c r="J19" i="24"/>
  <c r="P29" i="25"/>
  <c r="P29" i="28" s="1"/>
  <c r="I29" i="24"/>
  <c r="O4" i="24"/>
  <c r="N19" i="24"/>
  <c r="E4" i="24"/>
  <c r="K16" i="24"/>
  <c r="E19" i="14"/>
  <c r="O4" i="23"/>
  <c r="N19" i="23"/>
  <c r="J29" i="12"/>
  <c r="G16" i="12"/>
  <c r="F4" i="24"/>
  <c r="C4" i="13"/>
  <c r="O4" i="12"/>
  <c r="C16" i="13"/>
  <c r="E4" i="23"/>
  <c r="H4" i="12"/>
  <c r="J29" i="13"/>
  <c r="C4" i="12"/>
  <c r="C4" i="15" s="1"/>
  <c r="P29" i="24"/>
  <c r="G19" i="24"/>
  <c r="P29" i="12"/>
  <c r="P29" i="15" s="1"/>
  <c r="H29" i="23"/>
  <c r="H29" i="26" s="1"/>
  <c r="O29" i="13"/>
  <c r="O29" i="16" s="1"/>
  <c r="P19" i="24"/>
  <c r="P19" i="27" s="1"/>
  <c r="J19" i="23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M29" i="27" s="1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B130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9" i="4"/>
  <c r="B33" i="4"/>
  <c r="B44" i="4"/>
  <c r="B27" i="4"/>
  <c r="B11" i="4"/>
  <c r="B10" i="4"/>
  <c r="B35" i="4"/>
  <c r="B8" i="4"/>
  <c r="B25" i="4"/>
  <c r="B29" i="4"/>
  <c r="B7" i="4"/>
  <c r="B45" i="4"/>
  <c r="B36" i="4"/>
  <c r="B30" i="4"/>
  <c r="B17" i="4"/>
  <c r="B24" i="4"/>
  <c r="B9" i="4"/>
  <c r="B4" i="4"/>
  <c r="B14" i="4"/>
  <c r="B37" i="4"/>
  <c r="B38" i="4"/>
  <c r="B20" i="4"/>
  <c r="B23" i="4"/>
  <c r="B13" i="4"/>
  <c r="B43" i="4"/>
  <c r="B26" i="4"/>
  <c r="B42" i="4"/>
  <c r="B34" i="4"/>
  <c r="B15" i="4"/>
  <c r="B22" i="4"/>
  <c r="B21" i="4"/>
  <c r="B28" i="4"/>
  <c r="B16" i="4"/>
  <c r="B12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<sst xmlns="http://schemas.openxmlformats.org/spreadsheetml/2006/main" count="2101" uniqueCount="1057">
  <si>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</si>
  <si>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</si>
  <si>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</si>
  <si>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</si>
  <si>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</si>
  <si>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</si>
  <si>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</si>
  <si>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</si>
  <si>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</si>
  <si>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</si>
  <si>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</si>
  <si>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</si>
  <si>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</si>
  <si>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</si>
  <si>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</si>
  <si>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</si>
  <si>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</si>
  <si>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</si>
  <si>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</si>
  <si>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</si>
  <si>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</si>
  <si>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</si>
  <si>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</si>
  <si>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</si>
  <si>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</si>
  <si>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</si>
  <si>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</si>
  <si>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</si>
  <si>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</si>
  <si>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</si>
  <si>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</si>
  <si>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</si>
  <si>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</si>
  <si>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</si>
  <si>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</si>
  <si>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</si>
  <si>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</si>
  <si>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</si>
  <si>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</si>
  <si>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</si>
  <si>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</si>
  <si>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</si>
  <si>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</si>
  <si>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</si>
  <si>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</si>
  <si>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</si>
  <si>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</si>
  <si>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</si>
  <si>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</si>
  <si>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</si>
  <si>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</si>
  <si>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</si>
  <si>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</si>
  <si>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</si>
  <si>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</si>
  <si>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</si>
  <si>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</si>
  <si>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</si>
  <si>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</si>
  <si>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</si>
  <si>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</si>
  <si>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</si>
  <si>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</si>
  <si>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</si>
  <si>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</si>
  <si>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</si>
  <si>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</si>
  <si>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</si>
  <si>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</si>
  <si>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</si>
  <si>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</si>
  <si>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</si>
  <si>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</si>
  <si>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</si>
  <si>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</si>
  <si>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</si>
  <si>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</si>
  <si>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</si>
  <si>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</si>
  <si>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</si>
  <si>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</si>
  <si>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</si>
  <si>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</si>
  <si>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</si>
  <si>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</si>
  <si>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</si>
  <si>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</si>
  <si>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</si>
  <si>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</si>
  <si>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</si>
  <si>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</si>
  <si>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</si>
  <si>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</si>
  <si>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</si>
  <si>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</si>
  <si>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</si>
  <si>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</si>
  <si>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</si>
  <si>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</si>
  <si>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</si>
  <si>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</si>
  <si>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</si>
  <si>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</si>
  <si>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</si>
  <si>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</si>
  <si>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</si>
  <si>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</si>
  <si>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</si>
  <si>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</si>
  <si>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</si>
  <si>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</si>
  <si>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</si>
  <si>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</si>
  <si>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</si>
  <si>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</si>
  <si>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</si>
  <si>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</si>
  <si>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</si>
  <si>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</si>
  <si>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</si>
  <si>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</si>
  <si>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</si>
  <si>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</si>
  <si>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</si>
  <si>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</si>
  <si>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</si>
  <si>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</si>
  <si>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</si>
  <si>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</si>
  <si>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</si>
  <si>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</si>
  <si>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</si>
  <si>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</si>
  <si>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</si>
  <si>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</si>
  <si>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</si>
  <si>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</si>
  <si>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</si>
  <si>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</si>
  <si>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</si>
  <si>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</si>
  <si>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</si>
  <si>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</si>
  <si>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</si>
  <si>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</si>
  <si>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</si>
  <si>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</si>
  <si>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</si>
  <si>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</si>
  <si>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</si>
  <si>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</si>
  <si>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</si>
  <si>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</si>
  <si>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</si>
  <si>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</si>
  <si>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</si>
  <si>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</si>
  <si>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</si>
  <si>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</si>
  <si>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</si>
  <si>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</si>
  <si>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</si>
  <si>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</si>
  <si>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</si>
  <si>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</si>
  <si>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</si>
  <si>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</si>
  <si>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</si>
  <si>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</si>
  <si>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</si>
  <si>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</si>
  <si>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</si>
  <si>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</si>
  <si>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</si>
  <si>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</si>
  <si>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</si>
  <si>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</si>
  <si>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</si>
  <si>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</si>
  <si>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</si>
  <si>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</si>
  <si>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</si>
  <si>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</si>
  <si>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</si>
  <si>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</si>
  <si>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FR</t>
  </si>
  <si>
    <t>France</t>
  </si>
  <si>
    <t>FR - Services sector summary</t>
  </si>
  <si>
    <t>Macro.number.FR.Population</t>
  </si>
  <si>
    <t>Macro.Meuro2015.FR.GDP</t>
  </si>
  <si>
    <t>Macro.Meuro2015.FR.VA</t>
  </si>
  <si>
    <t>Macro.number.FR.Employees</t>
  </si>
  <si>
    <t>NUM.number.FR.Ser.Bld</t>
  </si>
  <si>
    <t>SurfaceArea.ksqm.FR.Ser.Bld</t>
  </si>
  <si>
    <t>NUM.number.FR.Ser.BldNew</t>
  </si>
  <si>
    <t>SurfaceArea.ksqm.FR.Ser.BldNew</t>
  </si>
  <si>
    <t>HDD.Celsius.FR.Actual</t>
  </si>
  <si>
    <t>HDD.Celsius.FR.Mean</t>
  </si>
  <si>
    <t>HDD.ratio.FR.Relative</t>
  </si>
  <si>
    <t>FEC.ktoe.FR.ES.Ser</t>
  </si>
  <si>
    <t>FEC.ktoe.FR.ES.Ser.Solids</t>
  </si>
  <si>
    <t>FEC.ktoe.FR.ES.Ser.LPG</t>
  </si>
  <si>
    <t>FEC.ktoe.FR.ES.Ser.Oil</t>
  </si>
  <si>
    <t>FEC.ktoe.FR.ES.Ser.NG</t>
  </si>
  <si>
    <t>FEC.ktoe.FR.ES.Ser.Biomass_Waste</t>
  </si>
  <si>
    <t>FEC.ktoe.FR.ES.Ser.Biogas</t>
  </si>
  <si>
    <t>FEC.ktoe.FR.ES.Ser.LiqBio</t>
  </si>
  <si>
    <t>FEC.ktoe.FR.ES.Ser.Solar</t>
  </si>
  <si>
    <t>FEC.ktoe.FR.ES.Ser.Geo</t>
  </si>
  <si>
    <t>FEC.ktoe.FR.ES.Ser.Ambient</t>
  </si>
  <si>
    <t>FEC.ktoe.FR.ES.Ser.Steam_Distr</t>
  </si>
  <si>
    <t>FEC.ktoe.FR.ES.Ser.Elec</t>
  </si>
  <si>
    <t>FEC.ktoe.FR.Ser</t>
  </si>
  <si>
    <t>FEC.ktoe.FR.Ser.Bld.Thermal</t>
  </si>
  <si>
    <t>FEC.ktoe.FR.Ser.Bld.Thermal.SH</t>
  </si>
  <si>
    <t>FEC.ktoe.FR.Ser.Bld.Thermal.SC</t>
  </si>
  <si>
    <t>FEC.ktoe.FR.Ser.Bld.Thermal.HW</t>
  </si>
  <si>
    <t>FEC.ktoe.FR.Ser.Bld.Thermal.CA</t>
  </si>
  <si>
    <t>FEC.ktoe.FR.Ser.SEU</t>
  </si>
  <si>
    <t>EMI.ktCO2.FR.ES.Ser</t>
  </si>
  <si>
    <t>EMI.ktCO2.FR.ES.Ser.Solids</t>
  </si>
  <si>
    <t>EMI.ktCO2.FR.ES.Ser.LPG</t>
  </si>
  <si>
    <t>EMI.ktCO2.FR.ES.Ser.Oil</t>
  </si>
  <si>
    <t>EMI.ktCO2.FR.ES.Ser.NG</t>
  </si>
  <si>
    <t>EMI.ktCO2.FR.ES.Ser.Biomass_Waste</t>
  </si>
  <si>
    <t>EMI.ktCO2.FR.ES.Ser.Biogas</t>
  </si>
  <si>
    <t>EMI.ktCO2.FR.ES.Ser.LiqBio</t>
  </si>
  <si>
    <t>EMI.ktCO2.FR.ES.Ser.Solar</t>
  </si>
  <si>
    <t>EMI.ktCO2.FR.ES.Ser.Geo</t>
  </si>
  <si>
    <t>EMI.ktCO2.FR.ES.Ser.Ambient</t>
  </si>
  <si>
    <t>EMI.ktCO2.FR.ES.Ser.Steam_Distr</t>
  </si>
  <si>
    <t>EMI.ktCO2.FR.ES.Ser.Elec</t>
  </si>
  <si>
    <t>EMI.ktCO2.FR.Ser</t>
  </si>
  <si>
    <t>EMI.ktCO2.FR.Ser.Bld.Thermal</t>
  </si>
  <si>
    <t>EMI.ktCO2.FR.Ser.Bld.Thermal.SH</t>
  </si>
  <si>
    <t>EMI.ktCO2.FR.Ser.Bld.Thermal.SC</t>
  </si>
  <si>
    <t>EMI.ktCO2.FR.Ser.Bld.Thermal.HW</t>
  </si>
  <si>
    <t>EMI.ktCO2.FR.Ser.Bld.Thermal.CA</t>
  </si>
  <si>
    <t>EMI.ktCO2.FR.Ser.SEU</t>
  </si>
  <si>
    <t>Eff.ratio.FR.Ser.Bld.Thermal</t>
  </si>
  <si>
    <t>Eff.ratio.FR.Ser.Bld.Thermal.SH</t>
  </si>
  <si>
    <t>Eff.ratio.FR.Ser.Bld.Thermal.SC</t>
  </si>
  <si>
    <t>Eff.ratio.FR.Ser.Bld.Thermal.HW</t>
  </si>
  <si>
    <t>Eff.ratio.FR.Ser.Bld.Thermal.CA</t>
  </si>
  <si>
    <t>FR - Number of buildings</t>
  </si>
  <si>
    <t>NUM.number.FR.Ser.Bld.Thermal</t>
  </si>
  <si>
    <t>NUM.number.FR.Ser.Bld.Thermal.SH</t>
  </si>
  <si>
    <t>NUM.number.FR.Ser.Bld.Thermal.SH.Solids</t>
  </si>
  <si>
    <t>NUM.number.FR.Ser.Bld.Thermal.SH.LPG</t>
  </si>
  <si>
    <t>NUM.number.FR.Ser.Bld.Thermal.SH.Oil</t>
  </si>
  <si>
    <t>NUM.number.FR.Ser.Bld.Thermal.SH.GasHP</t>
  </si>
  <si>
    <t>NUM.number.FR.Ser.Bld.Thermal.SH.GasTH</t>
  </si>
  <si>
    <t>NUM.number.FR.Ser.Bld.Thermal.SH.Biomass</t>
  </si>
  <si>
    <t>NUM.number.FR.Ser.Bld.Thermal.SH.Geo</t>
  </si>
  <si>
    <t>NUM.number.FR.Ser.Bld.Thermal.SH.DistrHeat</t>
  </si>
  <si>
    <t>NUM.number.FR.Ser.Bld.Thermal.SH.AdvElc</t>
  </si>
  <si>
    <t>NUM.number.FR.Ser.Bld.Thermal.SH.ConvElc</t>
  </si>
  <si>
    <t>NUM.number.FR.Ser.Bld.Thermal.SC</t>
  </si>
  <si>
    <t>NUM.number.FR.Ser.Bld.Thermal.SC.GasHP</t>
  </si>
  <si>
    <t>NUM.number.FR.Ser.Bld.Thermal.SC.AC</t>
  </si>
  <si>
    <t>NUM.number.FR.Ser.Bld.Thermal.HW</t>
  </si>
  <si>
    <t>NUM.number.FR.Ser.Bld.Thermal.HW.Solids</t>
  </si>
  <si>
    <t>NUM.number.FR.Ser.Bld.Thermal.HW.LPG</t>
  </si>
  <si>
    <t>NUM.number.FR.Ser.Bld.Thermal.HW.Oil</t>
  </si>
  <si>
    <t>NUM.number.FR.Ser.Bld.Thermal.HW.Gas</t>
  </si>
  <si>
    <t>NUM.number.FR.Ser.Bld.Thermal.HW.Biomass</t>
  </si>
  <si>
    <t>NUM.number.FR.Ser.Bld.Thermal.HW.DistrHeat</t>
  </si>
  <si>
    <t>NUM.number.FR.Ser.Bld.Thermal.HW.Elc</t>
  </si>
  <si>
    <t>NUM.number.FR.Ser.Bld.Thermal.HW.Solar</t>
  </si>
  <si>
    <t>NUM.number.FR.Ser.Bld.Thermal.CA</t>
  </si>
  <si>
    <t>NUM.number.FR.Ser.Bld.Thermal.CA.LPG</t>
  </si>
  <si>
    <t>NUM.number.FR.Ser.Bld.Thermal.CA.Gas</t>
  </si>
  <si>
    <t>NUM.number.FR.Ser.Bld.Thermal.CA.Biomass</t>
  </si>
  <si>
    <t>NUM.number.FR.Ser.Bld.Thermal.CA.Elc</t>
  </si>
  <si>
    <t>FR - Final energy consumption</t>
  </si>
  <si>
    <t>FEC.ktoe.FR.Ser.Bld.Thermal.SH.Solids.Solids</t>
  </si>
  <si>
    <t>FEC.ktoe.FR.Ser.Bld.Thermal.SH.LPG.LPG</t>
  </si>
  <si>
    <t>FEC.ktoe.FR.Ser.Bld.Thermal.SH.Oil.Oil_LiqBio</t>
  </si>
  <si>
    <t>FEC.ktoe.FR.Ser.Bld.Thermal.SH.GasHP.NG_Biogas</t>
  </si>
  <si>
    <t>FEC.ktoe.FR.Ser.Bld.Thermal.SH.GasTH.NG_Biogas</t>
  </si>
  <si>
    <t>FEC.ktoe.FR.Ser.Bld.Thermal.SH.Biomass.Biomass_Waste</t>
  </si>
  <si>
    <t>FEC.ktoe.FR.Ser.Bld.Thermal.SH.Geo.Geo</t>
  </si>
  <si>
    <t>FEC.ktoe.FR.Ser.Bld.Thermal.SH.DistrHeat.Steam_Distr</t>
  </si>
  <si>
    <t>FEC.ktoe.FR.Ser.Bld.Thermal.SH.AdvElc.Elec</t>
  </si>
  <si>
    <t>FEC.ktoe.FR.Ser.Bld.Thermal.SH.ConvElc.Elec</t>
  </si>
  <si>
    <t>FEC.ktoe.FR.Ser.Bld.Thermal.SH.TotalCirculation.Elec</t>
  </si>
  <si>
    <t>FEC.ktoe.FR.Ser.Bld.Thermal.SC.GasHP.NG_Biogas</t>
  </si>
  <si>
    <t>FEC.ktoe.FR.Ser.Bld.Thermal.SC.AC.Elec</t>
  </si>
  <si>
    <t>FEC.ktoe.FR.Ser.Bld.Thermal.HW.Solids.Solids</t>
  </si>
  <si>
    <t>FEC.ktoe.FR.Ser.Bld.Thermal.HW.LPG.LPG</t>
  </si>
  <si>
    <t>FEC.ktoe.FR.Ser.Bld.Thermal.HW.Oil.Oil_LiqBio</t>
  </si>
  <si>
    <t>FEC.ktoe.FR.Ser.Bld.Thermal.HW.Gas.NG_Biogas</t>
  </si>
  <si>
    <t>FEC.ktoe.FR.Ser.Bld.Thermal.HW.Biomass.Biomass_Waste</t>
  </si>
  <si>
    <t>FEC.ktoe.FR.Ser.Bld.Thermal.HW.DistrHeat.Steam_Distr</t>
  </si>
  <si>
    <t>FEC.ktoe.FR.Ser.Bld.Thermal.HW.Elc.Elec</t>
  </si>
  <si>
    <t>FEC.ktoe.FR.Ser.Bld.Thermal.HW.TotalSolar.Solar</t>
  </si>
  <si>
    <t>FEC.ktoe.FR.Ser.Bld.Thermal.CA.LPG</t>
  </si>
  <si>
    <t>FEC.ktoe.FR.Ser.Bld.Thermal.CA.Gas.NG_Biogas</t>
  </si>
  <si>
    <t>FEC.ktoe.FR.Ser.Bld.Thermal.CA.Biomass.Biomass_Waste</t>
  </si>
  <si>
    <t>FEC.ktoe.FR.Ser.Bld.Thermal.CA.Elc.Elec</t>
  </si>
  <si>
    <t>FR - Thermal energy service</t>
  </si>
  <si>
    <t>TES.ktoe.FR.Ser.Bld.Thermal</t>
  </si>
  <si>
    <t>TES.ktoe.FR.Ser.Bld.Thermal.SH</t>
  </si>
  <si>
    <t>TES.ktoe.FR.Ser.Bld.Thermal.SH.Solids.Solids</t>
  </si>
  <si>
    <t>TES.ktoe.FR.Ser.Bld.Thermal.SH.LPG.LPG</t>
  </si>
  <si>
    <t>TES.ktoe.FR.Ser.Bld.Thermal.SH.Oil.Oil_LiqBio</t>
  </si>
  <si>
    <t>TES.ktoe.FR.Ser.Bld.Thermal.SH.GasHP.NG_Biogas</t>
  </si>
  <si>
    <t>TES.ktoe.FR.Ser.Bld.Thermal.SH.GasTH.NG_Biogas</t>
  </si>
  <si>
    <t>TES.ktoe.FR.Ser.Bld.Thermal.SH.Biomass.Biomass_Waste</t>
  </si>
  <si>
    <t>TES.ktoe.FR.Ser.Bld.Thermal.SH.Geo.Geo</t>
  </si>
  <si>
    <t>TES.ktoe.FR.Ser.Bld.Thermal.SH.DistrHeat.Steam_Distr</t>
  </si>
  <si>
    <t>TES.ktoe.FR.Ser.Bld.Thermal.SH.AdvElc.Elec</t>
  </si>
  <si>
    <t>TES.ktoe.FR.Ser.Bld.Thermal.SH.ConvElc.Elec</t>
  </si>
  <si>
    <t>TES.ktoe.FR.Ser.Bld.Thermal.SH.TotalCirculation.Elec</t>
  </si>
  <si>
    <t>TES.ktoe.FR.Ser.Bld.Thermal.SC</t>
  </si>
  <si>
    <t>TES.ktoe.FR.Ser.Bld.Thermal.SC.GasHP.NG_Biogas</t>
  </si>
  <si>
    <t>TES.ktoe.FR.Ser.Bld.Thermal.SC.AC.Elec</t>
  </si>
  <si>
    <t>TES.ktoe.FR.Ser.Bld.Thermal.HW</t>
  </si>
  <si>
    <t>TES.ktoe.FR.Ser.Bld.Thermal.HW.Solids.Solids</t>
  </si>
  <si>
    <t>TES.ktoe.FR.Ser.Bld.Thermal.HW.LPG.LPG</t>
  </si>
  <si>
    <t>TES.ktoe.FR.Ser.Bld.Thermal.HW.Oil.Oil_LiqBio</t>
  </si>
  <si>
    <t>TES.ktoe.FR.Ser.Bld.Thermal.HW.Gas.NG_Biogas</t>
  </si>
  <si>
    <t>TES.ktoe.FR.Ser.Bld.Thermal.HW.Biomass.Biomass_Waste</t>
  </si>
  <si>
    <t>TES.ktoe.FR.Ser.Bld.Thermal.HW.DistrHeat.Steam_Distr</t>
  </si>
  <si>
    <t>TES.ktoe.FR.Ser.Bld.Thermal.HW.Elc.Elec</t>
  </si>
  <si>
    <t>TES.ktoe.FR.Ser.Bld.Thermal.HW.TotalSolar.Solar</t>
  </si>
  <si>
    <t>TES.ktoe.FR.Ser.Bld.Thermal.CA</t>
  </si>
  <si>
    <t>TES.ktoe.FR.Ser.Bld.Thermal.CA.LPG</t>
  </si>
  <si>
    <t>TES.ktoe.FR.Ser.Bld.Thermal.CA.Gas.NG_Biogas</t>
  </si>
  <si>
    <t>TES.ktoe.FR.Ser.Bld.Thermal.CA.Biomass.Biomass_Waste</t>
  </si>
  <si>
    <t>TES.ktoe.FR.Ser.Bld.Thermal.CA.Elc.Elec</t>
  </si>
  <si>
    <t>FR - System efficiency indicator of total stock</t>
  </si>
  <si>
    <t>Eff.ratio.FR.Ser.Bld.Thermal.SH.Solids.Solids</t>
  </si>
  <si>
    <t>Eff.ratio.FR.Ser.Bld.Thermal.SH.LPG.LPG</t>
  </si>
  <si>
    <t>Eff.ratio.FR.Ser.Bld.Thermal.SH.Oil.Oil_LiqBio</t>
  </si>
  <si>
    <t>Eff.ratio.FR.Ser.Bld.Thermal.SH.GasHP.NG_Biogas</t>
  </si>
  <si>
    <t>Eff.ratio.FR.Ser.Bld.Thermal.SH.GasTH.NG_Biogas</t>
  </si>
  <si>
    <t>Eff.ratio.FR.Ser.Bld.Thermal.SH.Biomass.Biomass_Waste</t>
  </si>
  <si>
    <t>Eff.ratio.FR.Ser.Bld.Thermal.SH.Geo.Geo</t>
  </si>
  <si>
    <t>Eff.ratio.FR.Ser.Bld.Thermal.SH.DistrHeat.Steam_Distr</t>
  </si>
  <si>
    <t>Eff.ratio.FR.Ser.Bld.Thermal.SH.AdvElc.Elec</t>
  </si>
  <si>
    <t>Eff.ratio.FR.Ser.Bld.Thermal.SH.ConvElc.Elec</t>
  </si>
  <si>
    <t>Eff.ratio.FR.Ser.Bld.Thermal.SH.TotalCirculation.Elec</t>
  </si>
  <si>
    <t>Eff.ratio.FR.Ser.Bld.Thermal.SC.GasHP.NG_Biogas</t>
  </si>
  <si>
    <t>Eff.ratio.FR.Ser.Bld.Thermal.SC.AC.Elec</t>
  </si>
  <si>
    <t>Eff.ratio.FR.Ser.Bld.Thermal.HW.Solids.Solids</t>
  </si>
  <si>
    <t>Eff.ratio.FR.Ser.Bld.Thermal.HW.LPG.LPG</t>
  </si>
  <si>
    <t>Eff.ratio.FR.Ser.Bld.Thermal.HW.Oil.Oil_LiqBio</t>
  </si>
  <si>
    <t>Eff.ratio.FR.Ser.Bld.Thermal.HW.Gas.NG_Biogas</t>
  </si>
  <si>
    <t>Eff.ratio.FR.Ser.Bld.Thermal.HW.Biomass.Biomass_Waste</t>
  </si>
  <si>
    <t>Eff.ratio.FR.Ser.Bld.Thermal.HW.DistrHeat.Steam_Distr</t>
  </si>
  <si>
    <t>Eff.ratio.FR.Ser.Bld.Thermal.HW.Elc.Elec</t>
  </si>
  <si>
    <t>Eff.ratio.FR.Ser.Bld.Thermal.HW.TotalSolar.Solar</t>
  </si>
  <si>
    <t>Eff.ratio.FR.Ser.Bld.Thermal.CA.LPG</t>
  </si>
  <si>
    <t>Eff.ratio.FR.Ser.Bld.Thermal.CA.Gas.NG_Biogas</t>
  </si>
  <si>
    <t>Eff.ratio.FR.Ser.Bld.Thermal.CA.Biomass.Biomass_Waste</t>
  </si>
  <si>
    <t>Eff.ratio.FR.Ser.Bld.Thermal.CA.Elc.Elec</t>
  </si>
  <si>
    <t>FR - CO2 emissions</t>
  </si>
  <si>
    <t>EMI.ktCO2.FR.Ser.Bld.Thermal.SH.Solids.Solids</t>
  </si>
  <si>
    <t>EMI.ktCO2.FR.Ser.Bld.Thermal.SH.LPG.LPG</t>
  </si>
  <si>
    <t>EMI.ktCO2.FR.Ser.Bld.Thermal.SH.Oil.Oil_LiqBio</t>
  </si>
  <si>
    <t>EMI.ktCO2.FR.Ser.Bld.Thermal.SH.GasHP.NG_Biogas</t>
  </si>
  <si>
    <t>EMI.ktCO2.FR.Ser.Bld.Thermal.SH.GasTH.NG_Biogas</t>
  </si>
  <si>
    <t>EMI.ktCO2.FR.Ser.Bld.Thermal.SH.Biomass.Biomass_Waste</t>
  </si>
  <si>
    <t>EMI.ktCO2.FR.Ser.Bld.Thermal.SH.Geo.Geo</t>
  </si>
  <si>
    <t>EMI.ktCO2.FR.Ser.Bld.Thermal.SH.DistrHeat.Steam_Distr</t>
  </si>
  <si>
    <t>EMI.ktCO2.FR.Ser.Bld.Thermal.SH.AdvElc.Elec</t>
  </si>
  <si>
    <t>EMI.ktCO2.FR.Ser.Bld.Thermal.SH.ConvElc.Elec</t>
  </si>
  <si>
    <t>EMI.ktCO2.FR.Ser.Bld.Thermal.SH.TotalCirculation.Elec</t>
  </si>
  <si>
    <t>EMI.ktCO2.FR.Ser.Bld.Thermal.SC.GasHP.NG_Biogas</t>
  </si>
  <si>
    <t>EMI.ktCO2.FR.Ser.Bld.Thermal.SC.AC.Elec</t>
  </si>
  <si>
    <t>EMI.ktCO2.FR.Ser.Bld.Thermal.HW.Solids.Solids</t>
  </si>
  <si>
    <t>EMI.ktCO2.FR.Ser.Bld.Thermal.HW.LPG.LPG</t>
  </si>
  <si>
    <t>EMI.ktCO2.FR.Ser.Bld.Thermal.HW.Oil.Oil_LiqBio</t>
  </si>
  <si>
    <t>EMI.ktCO2.FR.Ser.Bld.Thermal.HW.Gas.NG_Biogas</t>
  </si>
  <si>
    <t>EMI.ktCO2.FR.Ser.Bld.Thermal.HW.Biomass.Biomass_Waste</t>
  </si>
  <si>
    <t>EMI.ktCO2.FR.Ser.Bld.Thermal.HW.DistrHeat.Steam_Distr</t>
  </si>
  <si>
    <t>EMI.ktCO2.FR.Ser.Bld.Thermal.HW.Elc.Elec</t>
  </si>
  <si>
    <t>EMI.ktCO2.FR.Ser.Bld.Thermal.HW.TotalSolar.Solar</t>
  </si>
  <si>
    <t>EMI.ktCO2.FR.Ser.Bld.Thermal.CA.LPG</t>
  </si>
  <si>
    <t>EMI.ktCO2.FR.Ser.Bld.Thermal.CA.Gas.NG_Biogas</t>
  </si>
  <si>
    <t>EMI.ktCO2.FR.Ser.Bld.Thermal.CA.Biomass.Biomass_Waste</t>
  </si>
  <si>
    <t>EMI.ktCO2.FR.Ser.Bld.Thermal.CA.Elc.Elec</t>
  </si>
  <si>
    <t>FR - Final energy consumption per building</t>
  </si>
  <si>
    <t>FEC_per_building.kWh.FR.Ser.Bld.Thermal</t>
  </si>
  <si>
    <t>FEC_per_building.kWh.FR.Ser.Bld.Thermal.SH</t>
  </si>
  <si>
    <t>FEC_per_building.kWh.FR.Ser.Bld.Thermal.SH.Solids.Solids</t>
  </si>
  <si>
    <t>FEC_per_building.kWh.FR.Ser.Bld.Thermal.SH.LPG.LPG</t>
  </si>
  <si>
    <t>FEC_per_building.kWh.FR.Ser.Bld.Thermal.SH.Oil.Oil_LiqBio</t>
  </si>
  <si>
    <t>FEC_per_building.kWh.FR.Ser.Bld.Thermal.SH.GasHP.NG_Biogas</t>
  </si>
  <si>
    <t>FEC_per_building.kWh.FR.Ser.Bld.Thermal.SH.GasTH.NG_Biogas</t>
  </si>
  <si>
    <t>FEC_per_building.kWh.FR.Ser.Bld.Thermal.SH.Biomass.Biomass_Waste</t>
  </si>
  <si>
    <t>FEC_per_building.kWh.FR.Ser.Bld.Thermal.SH.Geo.Geo</t>
  </si>
  <si>
    <t>FEC_per_building.kWh.FR.Ser.Bld.Thermal.SH.DistrHeat.Steam_Distr</t>
  </si>
  <si>
    <t>FEC_per_building.kWh.FR.Ser.Bld.Thermal.SH.AdvElc.Elec</t>
  </si>
  <si>
    <t>FEC_per_building.kWh.FR.Ser.Bld.Thermal.SH.ConvElc.Elec</t>
  </si>
  <si>
    <t>FEC_per_building.kWh.FR.Ser.Bld.Thermal.SH.TotalCirculation.Elec</t>
  </si>
  <si>
    <t>FEC_per_building.kWh.FR.Ser.Bld.Thermal.SC</t>
  </si>
  <si>
    <t>FEC_per_building.kWh.FR.Ser.Bld.Thermal.SC.GasHP.NG_Biogas</t>
  </si>
  <si>
    <t>FEC_per_building.kWh.FR.Ser.Bld.Thermal.SC.AC.Elec</t>
  </si>
  <si>
    <t>FEC_per_building.kWh.FR.Ser.Bld.Thermal.HW</t>
  </si>
  <si>
    <t>FEC_per_building.kWh.FR.Ser.Bld.Thermal.HW.Solids.Solids</t>
  </si>
  <si>
    <t>FEC_per_building.kWh.FR.Ser.Bld.Thermal.HW.LPG.LPG</t>
  </si>
  <si>
    <t>FEC_per_building.kWh.FR.Ser.Bld.Thermal.HW.Oil.Oil_LiqBio</t>
  </si>
  <si>
    <t>FEC_per_building.kWh.FR.Ser.Bld.Thermal.HW.Gas.NG_Biogas</t>
  </si>
  <si>
    <t>FEC_per_building.kWh.FR.Ser.Bld.Thermal.HW.Biomass.Biomass_Waste</t>
  </si>
  <si>
    <t>FEC_per_building.kWh.FR.Ser.Bld.Thermal.HW.DistrHeat.Steam_Distr</t>
  </si>
  <si>
    <t>FEC_per_building.kWh.FR.Ser.Bld.Thermal.HW.Elc.Elec</t>
  </si>
  <si>
    <t>FEC_per_building.kWh.FR.Ser.Bld.Thermal.HW.TotalSolar.Solar</t>
  </si>
  <si>
    <t>FEC_per_building.kWh.FR.Ser.Bld.Thermal.CA</t>
  </si>
  <si>
    <t>FEC_per_building.kWh.FR.Ser.Bld.Thermal.CA.LPG</t>
  </si>
  <si>
    <t>FEC_per_building.kWh.FR.Ser.Bld.Thermal.CA.Gas.NG_Biogas</t>
  </si>
  <si>
    <t>FEC_per_building.kWh.FR.Ser.Bld.Thermal.CA.Biomass.Biomass_Waste</t>
  </si>
  <si>
    <t>FEC_per_building.kWh.FR.Ser.Bld.Thermal.CA.Elc.Elec</t>
  </si>
  <si>
    <t>FR - Thermal energy service per building</t>
  </si>
  <si>
    <t>TES_per_building.kWh.FR.Ser.Bld.Thermal</t>
  </si>
  <si>
    <t>TES_per_building.kWh.FR.Ser.Bld.Thermal.SH</t>
  </si>
  <si>
    <t>TES_per_building.kWh.FR.Ser.Bld.Thermal.SH.Solids.Solids</t>
  </si>
  <si>
    <t>TES_per_building.kWh.FR.Ser.Bld.Thermal.SH.LPG.LPG</t>
  </si>
  <si>
    <t>TES_per_building.kWh.FR.Ser.Bld.Thermal.SH.Oil.Oil_LiqBio</t>
  </si>
  <si>
    <t>TES_per_building.kWh.FR.Ser.Bld.Thermal.SH.GasHP.NG_Biogas</t>
  </si>
  <si>
    <t>TES_per_building.kWh.FR.Ser.Bld.Thermal.SH.GasTH.NG_Biogas</t>
  </si>
  <si>
    <t>TES_per_building.kWh.FR.Ser.Bld.Thermal.SH.Biomass.Biomass_Waste</t>
  </si>
  <si>
    <t>TES_per_building.kWh.FR.Ser.Bld.Thermal.SH.Geo.Geo</t>
  </si>
  <si>
    <t>TES_per_building.kWh.FR.Ser.Bld.Thermal.SH.DistrHeat.Steam_Distr</t>
  </si>
  <si>
    <t>TES_per_building.kWh.FR.Ser.Bld.Thermal.SH.AdvElc.Elec</t>
  </si>
  <si>
    <t>TES_per_building.kWh.FR.Ser.Bld.Thermal.SH.ConvElc.Elec</t>
  </si>
  <si>
    <t>TES_per_building.kWh.FR.Ser.Bld.Thermal.SH.TotalCirculation.Elec</t>
  </si>
  <si>
    <t>TES_per_building.kWh.FR.Ser.Bld.Thermal.SC</t>
  </si>
  <si>
    <t>TES_per_building.kWh.FR.Ser.Bld.Thermal.SC.GasHP.NG_Biogas</t>
  </si>
  <si>
    <t>TES_per_building.kWh.FR.Ser.Bld.Thermal.SC.AC.Elec</t>
  </si>
  <si>
    <t>TES_per_building.kWh.FR.Ser.Bld.Thermal.HW</t>
  </si>
  <si>
    <t>TES_per_building.kWh.FR.Ser.Bld.Thermal.HW.Solids.Solids</t>
  </si>
  <si>
    <t>TES_per_building.kWh.FR.Ser.Bld.Thermal.HW.LPG.LPG</t>
  </si>
  <si>
    <t>TES_per_building.kWh.FR.Ser.Bld.Thermal.HW.Oil.Oil_LiqBio</t>
  </si>
  <si>
    <t>TES_per_building.kWh.FR.Ser.Bld.Thermal.HW.Gas.NG_Biogas</t>
  </si>
  <si>
    <t>TES_per_building.kWh.FR.Ser.Bld.Thermal.HW.Biomass.Biomass_Waste</t>
  </si>
  <si>
    <t>TES_per_building.kWh.FR.Ser.Bld.Thermal.HW.DistrHeat.Steam_Distr</t>
  </si>
  <si>
    <t>TES_per_building.kWh.FR.Ser.Bld.Thermal.HW.Elc.Elec</t>
  </si>
  <si>
    <t>TES_per_building.kWh.FR.Ser.Bld.Thermal.HW.TotalSolar.Solar</t>
  </si>
  <si>
    <t>TES_per_building.kWh.FR.Ser.Bld.Thermal.CA</t>
  </si>
  <si>
    <t>TES_per_building.kWh.FR.Ser.Bld.Thermal.CA.LPG</t>
  </si>
  <si>
    <t>TES_per_building.kWh.FR.Ser.Bld.Thermal.CA.Gas.NG_Biogas</t>
  </si>
  <si>
    <t>TES_per_building.kWh.FR.Ser.Bld.Thermal.CA.Biomass.Biomass_Waste</t>
  </si>
  <si>
    <t>TES_per_building.kWh.FR.Ser.Bld.Thermal.CA.Elc.Elec</t>
  </si>
  <si>
    <t>FR - CO2 emissions per building</t>
  </si>
  <si>
    <t>EMI_per_building.kgCO2.FR.Ser.Bld.Thermal</t>
  </si>
  <si>
    <t>EMI_per_building.kgCO2.FR.Ser.Bld.Thermal.SH</t>
  </si>
  <si>
    <t>EMI_per_building.kgCO2.FR.Ser.Bld.Thermal.SH.Solids.Solids</t>
  </si>
  <si>
    <t>EMI_per_building.kgCO2.FR.Ser.Bld.Thermal.SH.LPG.LPG</t>
  </si>
  <si>
    <t>EMI_per_building.kgCO2.FR.Ser.Bld.Thermal.SH.Oil.Oil_LiqBio</t>
  </si>
  <si>
    <t>EMI_per_building.kgCO2.FR.Ser.Bld.Thermal.SH.GasHP.NG_Biogas</t>
  </si>
  <si>
    <t>EMI_per_building.kgCO2.FR.Ser.Bld.Thermal.SH.GasTH.NG_Biogas</t>
  </si>
  <si>
    <t>EMI_per_building.kgCO2.FR.Ser.Bld.Thermal.SH.Biomass.Biomass_Waste</t>
  </si>
  <si>
    <t>EMI_per_building.kgCO2.FR.Ser.Bld.Thermal.SH.Geo.Geo</t>
  </si>
  <si>
    <t>EMI_per_building.kgCO2.FR.Ser.Bld.Thermal.SH.DistrHeat.Steam_Distr</t>
  </si>
  <si>
    <t>EMI_per_building.kgCO2.FR.Ser.Bld.Thermal.SH.AdvElc.Elec</t>
  </si>
  <si>
    <t>EMI_per_building.kgCO2.FR.Ser.Bld.Thermal.SH.ConvElc.Elec</t>
  </si>
  <si>
    <t>EMI_per_building.kgCO2.FR.Ser.Bld.Thermal.SH.TotalCirculation.Elec</t>
  </si>
  <si>
    <t>EMI_per_building.kgCO2.FR.Ser.Bld.Thermal.SC</t>
  </si>
  <si>
    <t>EMI_per_building.kgCO2.FR.Ser.Bld.Thermal.SC.GasHP.NG_Biogas</t>
  </si>
  <si>
    <t>EMI_per_building.kgCO2.FR.Ser.Bld.Thermal.SC.AC.Elec</t>
  </si>
  <si>
    <t>EMI_per_building.kgCO2.FR.Ser.Bld.Thermal.HW</t>
  </si>
  <si>
    <t>EMI_per_building.kgCO2.FR.Ser.Bld.Thermal.HW.Solids.Solids</t>
  </si>
  <si>
    <t>EMI_per_building.kgCO2.FR.Ser.Bld.Thermal.HW.LPG.LPG</t>
  </si>
  <si>
    <t>EMI_per_building.kgCO2.FR.Ser.Bld.Thermal.HW.Oil.Oil_LiqBio</t>
  </si>
  <si>
    <t>EMI_per_building.kgCO2.FR.Ser.Bld.Thermal.HW.Gas.NG_Biogas</t>
  </si>
  <si>
    <t>EMI_per_building.kgCO2.FR.Ser.Bld.Thermal.HW.Biomass.Biomass_Waste</t>
  </si>
  <si>
    <t>EMI_per_building.kgCO2.FR.Ser.Bld.Thermal.HW.DistrHeat.Steam_Distr</t>
  </si>
  <si>
    <t>EMI_per_building.kgCO2.FR.Ser.Bld.Thermal.HW.Elc.Elec</t>
  </si>
  <si>
    <t>EMI_per_building.kgCO2.FR.Ser.Bld.Thermal.HW.TotalSolar.Solar</t>
  </si>
  <si>
    <t>EMI_per_building.kgCO2.FR.Ser.Bld.Thermal.CA</t>
  </si>
  <si>
    <t>EMI_per_building.kgCO2.FR.Ser.Bld.Thermal.CA.LPG</t>
  </si>
  <si>
    <t>EMI_per_building.kgCO2.FR.Ser.Bld.Thermal.CA.Gas.NG_Biogas</t>
  </si>
  <si>
    <t>EMI_per_building.kgCO2.FR.Ser.Bld.Thermal.CA.Biomass.Biomass_Waste</t>
  </si>
  <si>
    <t>EMI_per_building.kgCO2.FR.Ser.Bld.Thermal.CA.Elc.Elec</t>
  </si>
  <si>
    <t>FR - Final energy consumption per useful surface area</t>
  </si>
  <si>
    <t>FEC_per_sqm.kWh.FR.Ser.Bld.Thermal</t>
  </si>
  <si>
    <t>FEC_per_sqm.kWh.FR.Ser.Bld.Thermal.SH</t>
  </si>
  <si>
    <t>FEC_per_sqm.kWh.FR.Ser.Bld.Thermal.SH.Solids.Solids</t>
  </si>
  <si>
    <t>FEC_per_sqm.kWh.FR.Ser.Bld.Thermal.SH.LPG.LPG</t>
  </si>
  <si>
    <t>FEC_per_sqm.kWh.FR.Ser.Bld.Thermal.SH.Oil.Oil_LiqBio</t>
  </si>
  <si>
    <t>FEC_per_sqm.kWh.FR.Ser.Bld.Thermal.SH.GasHP.NG_Biogas</t>
  </si>
  <si>
    <t>FEC_per_sqm.kWh.FR.Ser.Bld.Thermal.SH.GasTH.NG_Biogas</t>
  </si>
  <si>
    <t>FEC_per_sqm.kWh.FR.Ser.Bld.Thermal.SH.Biomass.Biomass_Waste</t>
  </si>
  <si>
    <t>FEC_per_sqm.kWh.FR.Ser.Bld.Thermal.SH.Geo.Geo</t>
  </si>
  <si>
    <t>FEC_per_sqm.kWh.FR.Ser.Bld.Thermal.SH.DistrHeat.Steam_Distr</t>
  </si>
  <si>
    <t>FEC_per_sqm.kWh.FR.Ser.Bld.Thermal.SH.AdvElc.Elec</t>
  </si>
  <si>
    <t>FEC_per_sqm.kWh.FR.Ser.Bld.Thermal.SH.ConvElc.Elec</t>
  </si>
  <si>
    <t>FEC_per_sqm.kWh.FR.Ser.Bld.Thermal.SH.TotalCirculation.Elec</t>
  </si>
  <si>
    <t>FEC_per_sqm.kWh.FR.Ser.Bld.Thermal.SC</t>
  </si>
  <si>
    <t>FEC_per_sqm.kWh.FR.Ser.Bld.Thermal.SC.GasHP.NG_Biogas</t>
  </si>
  <si>
    <t>FEC_per_sqm.kWh.FR.Ser.Bld.Thermal.SC.AC.Elec</t>
  </si>
  <si>
    <t>FEC_per_sqm.kWh.FR.Ser.Bld.Thermal.HW</t>
  </si>
  <si>
    <t>FEC_per_sqm.kWh.FR.Ser.Bld.Thermal.HW.Solids.Solids</t>
  </si>
  <si>
    <t>FEC_per_sqm.kWh.FR.Ser.Bld.Thermal.HW.LPG.LPG</t>
  </si>
  <si>
    <t>FEC_per_sqm.kWh.FR.Ser.Bld.Thermal.HW.Oil.Oil_LiqBio</t>
  </si>
  <si>
    <t>FEC_per_sqm.kWh.FR.Ser.Bld.Thermal.HW.Gas.NG_Biogas</t>
  </si>
  <si>
    <t>FEC_per_sqm.kWh.FR.Ser.Bld.Thermal.HW.Biomass.Biomass_Waste</t>
  </si>
  <si>
    <t>FEC_per_sqm.kWh.FR.Ser.Bld.Thermal.HW.DistrHeat.Steam_Distr</t>
  </si>
  <si>
    <t>FEC_per_sqm.kWh.FR.Ser.Bld.Thermal.HW.Elc.Elec</t>
  </si>
  <si>
    <t>FEC_per_sqm.kWh.FR.Ser.Bld.Thermal.HW.TotalSolar.Solar</t>
  </si>
  <si>
    <t>FEC_per_sqm.kWh.FR.Ser.Bld.Thermal.CA</t>
  </si>
  <si>
    <t>FEC_per_sqm.kWh.FR.Ser.Bld.Thermal.CA.LPG</t>
  </si>
  <si>
    <t>FEC_per_sqm.kWh.FR.Ser.Bld.Thermal.CA.Gas.NG_Biogas</t>
  </si>
  <si>
    <t>FEC_per_sqm.kWh.FR.Ser.Bld.Thermal.CA.Biomass.Biomass_Waste</t>
  </si>
  <si>
    <t>FEC_per_sqm.kWh.FR.Ser.Bld.Thermal.CA.Elc.Elec</t>
  </si>
  <si>
    <t>FR - Thermal energy service per useful surface area</t>
  </si>
  <si>
    <t>TES_per_sqm.kWh.FR.Ser.Bld.Thermal</t>
  </si>
  <si>
    <t>TES_per_sqm.kWh.FR.Ser.Bld.Thermal.SH</t>
  </si>
  <si>
    <t>TES_per_sqm.kWh.FR.Ser.Bld.Thermal.SH.Solids.Solids</t>
  </si>
  <si>
    <t>TES_per_sqm.kWh.FR.Ser.Bld.Thermal.SH.LPG.LPG</t>
  </si>
  <si>
    <t>TES_per_sqm.kWh.FR.Ser.Bld.Thermal.SH.Oil.Oil_LiqBio</t>
  </si>
  <si>
    <t>TES_per_sqm.kWh.FR.Ser.Bld.Thermal.SH.GasHP.NG_Biogas</t>
  </si>
  <si>
    <t>TES_per_sqm.kWh.FR.Ser.Bld.Thermal.SH.GasTH.NG_Biogas</t>
  </si>
  <si>
    <t>TES_per_sqm.kWh.FR.Ser.Bld.Thermal.SH.Biomass.Biomass_Waste</t>
  </si>
  <si>
    <t>TES_per_sqm.kWh.FR.Ser.Bld.Thermal.SH.Geo.Geo</t>
  </si>
  <si>
    <t>TES_per_sqm.kWh.FR.Ser.Bld.Thermal.SH.DistrHeat.Steam_Distr</t>
  </si>
  <si>
    <t>TES_per_sqm.kWh.FR.Ser.Bld.Thermal.SH.AdvElc.Elec</t>
  </si>
  <si>
    <t>TES_per_sqm.kWh.FR.Ser.Bld.Thermal.SH.ConvElc.Elec</t>
  </si>
  <si>
    <t>TES_per_sqm.kWh.FR.Ser.Bld.Thermal.SH.TotalCirculation.Elec</t>
  </si>
  <si>
    <t>TES_per_sqm.kWh.FR.Ser.Bld.Thermal.SC</t>
  </si>
  <si>
    <t>TES_per_sqm.kWh.FR.Ser.Bld.Thermal.SC.GasHP.NG_Biogas</t>
  </si>
  <si>
    <t>TES_per_sqm.kWh.FR.Ser.Bld.Thermal.SC.AC.Elec</t>
  </si>
  <si>
    <t>TES_per_sqm.kWh.FR.Ser.Bld.Thermal.HW</t>
  </si>
  <si>
    <t>TES_per_sqm.kWh.FR.Ser.Bld.Thermal.HW.Solids.Solids</t>
  </si>
  <si>
    <t>TES_per_sqm.kWh.FR.Ser.Bld.Thermal.HW.LPG.LPG</t>
  </si>
  <si>
    <t>TES_per_sqm.kWh.FR.Ser.Bld.Thermal.HW.Oil.Oil_LiqBio</t>
  </si>
  <si>
    <t>TES_per_sqm.kWh.FR.Ser.Bld.Thermal.HW.Gas.NG_Biogas</t>
  </si>
  <si>
    <t>TES_per_sqm.kWh.FR.Ser.Bld.Thermal.HW.Biomass.Biomass_Waste</t>
  </si>
  <si>
    <t>TES_per_sqm.kWh.FR.Ser.Bld.Thermal.HW.DistrHeat.Steam_Distr</t>
  </si>
  <si>
    <t>TES_per_sqm.kWh.FR.Ser.Bld.Thermal.HW.Elc.Elec</t>
  </si>
  <si>
    <t>TES_per_sqm.kWh.FR.Ser.Bld.Thermal.HW.TotalSolar.Solar</t>
  </si>
  <si>
    <t>TES_per_sqm.kWh.FR.Ser.Bld.Thermal.CA</t>
  </si>
  <si>
    <t>TES_per_sqm.kWh.FR.Ser.Bld.Thermal.CA.LPG</t>
  </si>
  <si>
    <t>TES_per_sqm.kWh.FR.Ser.Bld.Thermal.CA.Gas.NG_Biogas</t>
  </si>
  <si>
    <t>TES_per_sqm.kWh.FR.Ser.Bld.Thermal.CA.Biomass.Biomass_Waste</t>
  </si>
  <si>
    <t>TES_per_sqm.kWh.FR.Ser.Bld.Thermal.CA.Elc.Elec</t>
  </si>
  <si>
    <t>FR - CO2 emissions per useful surface area</t>
  </si>
  <si>
    <t>EMI_per_sqm.kgCO2.FR.Ser.Bld.Thermal</t>
  </si>
  <si>
    <t>EMI_per_sqm.kgCO2.FR.Ser.Bld.Thermal.SH</t>
  </si>
  <si>
    <t>EMI_per_sqm.kgCO2.FR.Ser.Bld.Thermal.SH.Solids.Solids</t>
  </si>
  <si>
    <t>EMI_per_sqm.kgCO2.FR.Ser.Bld.Thermal.SH.LPG.LPG</t>
  </si>
  <si>
    <t>EMI_per_sqm.kgCO2.FR.Ser.Bld.Thermal.SH.Oil.Oil_LiqBio</t>
  </si>
  <si>
    <t>EMI_per_sqm.kgCO2.FR.Ser.Bld.Thermal.SH.GasHP.NG_Biogas</t>
  </si>
  <si>
    <t>EMI_per_sqm.kgCO2.FR.Ser.Bld.Thermal.SH.GasTH.NG_Biogas</t>
  </si>
  <si>
    <t>EMI_per_sqm.kgCO2.FR.Ser.Bld.Thermal.SH.Biomass.Biomass_Waste</t>
  </si>
  <si>
    <t>EMI_per_sqm.kgCO2.FR.Ser.Bld.Thermal.SH.Geo.Geo</t>
  </si>
  <si>
    <t>EMI_per_sqm.kgCO2.FR.Ser.Bld.Thermal.SH.DistrHeat.Steam_Distr</t>
  </si>
  <si>
    <t>EMI_per_sqm.kgCO2.FR.Ser.Bld.Thermal.SH.AdvElc.Elec</t>
  </si>
  <si>
    <t>EMI_per_sqm.kgCO2.FR.Ser.Bld.Thermal.SH.ConvElc.Elec</t>
  </si>
  <si>
    <t>EMI_per_sqm.kgCO2.FR.Ser.Bld.Thermal.SH.TotalCirculation.Elec</t>
  </si>
  <si>
    <t>EMI_per_sqm.kgCO2.FR.Ser.Bld.Thermal.SC</t>
  </si>
  <si>
    <t>EMI_per_sqm.kgCO2.FR.Ser.Bld.Thermal.SC.GasHP.NG_Biogas</t>
  </si>
  <si>
    <t>EMI_per_sqm.kgCO2.FR.Ser.Bld.Thermal.SC.AC.Elec</t>
  </si>
  <si>
    <t>EMI_per_sqm.kgCO2.FR.Ser.Bld.Thermal.HW</t>
  </si>
  <si>
    <t>EMI_per_sqm.kgCO2.FR.Ser.Bld.Thermal.HW.Solids.Solids</t>
  </si>
  <si>
    <t>EMI_per_sqm.kgCO2.FR.Ser.Bld.Thermal.HW.LPG.LPG</t>
  </si>
  <si>
    <t>EMI_per_sqm.kgCO2.FR.Ser.Bld.Thermal.HW.Oil.Oil_LiqBio</t>
  </si>
  <si>
    <t>EMI_per_sqm.kgCO2.FR.Ser.Bld.Thermal.HW.Gas.NG_Biogas</t>
  </si>
  <si>
    <t>EMI_per_sqm.kgCO2.FR.Ser.Bld.Thermal.HW.Biomass.Biomass_Waste</t>
  </si>
  <si>
    <t>EMI_per_sqm.kgCO2.FR.Ser.Bld.Thermal.HW.DistrHeat.Steam_Distr</t>
  </si>
  <si>
    <t>EMI_per_sqm.kgCO2.FR.Ser.Bld.Thermal.HW.Elc.Elec</t>
  </si>
  <si>
    <t>EMI_per_sqm.kgCO2.FR.Ser.Bld.Thermal.HW.TotalSolar.Solar</t>
  </si>
  <si>
    <t>EMI_per_sqm.kgCO2.FR.Ser.Bld.Thermal.CA</t>
  </si>
  <si>
    <t>EMI_per_sqm.kgCO2.FR.Ser.Bld.Thermal.CA.LPG</t>
  </si>
  <si>
    <t>EMI_per_sqm.kgCO2.FR.Ser.Bld.Thermal.CA.Gas.NG_Biogas</t>
  </si>
  <si>
    <t>EMI_per_sqm.kgCO2.FR.Ser.Bld.Thermal.CA.Biomass.Biomass_Waste</t>
  </si>
  <si>
    <t>EMI_per_sqm.kgCO2.FR.Ser.Bld.Thermal.CA.Elc.Elec</t>
  </si>
  <si>
    <t>FR - Number of new and renovated buildings</t>
  </si>
  <si>
    <t>NUM.number.FR.Ser.BldNew.Thermal</t>
  </si>
  <si>
    <t>NUM.number.FR.Ser.BldNew.Thermal.SH</t>
  </si>
  <si>
    <t>NUM.number.FR.Ser.BldNew.Thermal.SH.Solids</t>
  </si>
  <si>
    <t>NUM.number.FR.Ser.BldNew.Thermal.SH.LPG</t>
  </si>
  <si>
    <t>NUM.number.FR.Ser.BldNew.Thermal.SH.Oil</t>
  </si>
  <si>
    <t>NUM.number.FR.Ser.BldNew.Thermal.SH.GasHP</t>
  </si>
  <si>
    <t>NUM.number.FR.Ser.BldNew.Thermal.SH.GasTH</t>
  </si>
  <si>
    <t>NUM.number.FR.Ser.BldNew.Thermal.SH.Biomass</t>
  </si>
  <si>
    <t>NUM.number.FR.Ser.BldNew.Thermal.SH.Geo</t>
  </si>
  <si>
    <t>NUM.number.FR.Ser.BldNew.Thermal.SH.DistrHeat</t>
  </si>
  <si>
    <t>NUM.number.FR.Ser.BldNew.Thermal.SH.AdvElc</t>
  </si>
  <si>
    <t>NUM.number.FR.Ser.BldNew.Thermal.SH.ConvElc</t>
  </si>
  <si>
    <t>NUM.number.FR.Ser.BldNew.Thermal.SC</t>
  </si>
  <si>
    <t>NUM.number.FR.Ser.BldNew.Thermal.SC.GasHP</t>
  </si>
  <si>
    <t>NUM.number.FR.Ser.BldNew.Thermal.SC.AC</t>
  </si>
  <si>
    <t>NUM.number.FR.Ser.BldNew.Thermal.HW</t>
  </si>
  <si>
    <t>NUM.number.FR.Ser.BldNew.Thermal.HW.Solids</t>
  </si>
  <si>
    <t>NUM.number.FR.Ser.BldNew.Thermal.HW.LPG</t>
  </si>
  <si>
    <t>NUM.number.FR.Ser.BldNew.Thermal.HW.Oil</t>
  </si>
  <si>
    <t>NUM.number.FR.Ser.BldNew.Thermal.HW.Gas</t>
  </si>
  <si>
    <t>NUM.number.FR.Ser.BldNew.Thermal.HW.Biomass</t>
  </si>
  <si>
    <t>NUM.number.FR.Ser.BldNew.Thermal.HW.DistrHeat</t>
  </si>
  <si>
    <t>NUM.number.FR.Ser.BldNew.Thermal.HW.Elc</t>
  </si>
  <si>
    <t>NUM.number.FR.Ser.BldNew.Thermal.HW.Solar</t>
  </si>
  <si>
    <t>NUM.number.FR.Ser.BldNew.Thermal.CA</t>
  </si>
  <si>
    <t>NUM.number.FR.Ser.BldNew.Thermal.CA.LPG</t>
  </si>
  <si>
    <t>NUM.number.FR.Ser.BldNew.Thermal.CA.Gas</t>
  </si>
  <si>
    <t>NUM.number.FR.Ser.BldNew.Thermal.CA.Biomass</t>
  </si>
  <si>
    <t>NUM.number.FR.Ser.BldNew.Thermal.CA.Elc</t>
  </si>
  <si>
    <t>FR - Final energy consumption in new and renovated buildings</t>
  </si>
  <si>
    <t>FEC.ktoe.FR.Ser.BldNew.Thermal</t>
  </si>
  <si>
    <t>FEC.ktoe.FR.Ser.BldNew.Thermal.SH</t>
  </si>
  <si>
    <t>FEC.ktoe.FR.Ser.BldNew.Thermal.SH.Solids.Solids</t>
  </si>
  <si>
    <t>FEC.ktoe.FR.Ser.BldNew.Thermal.SH.LPG.LPG</t>
  </si>
  <si>
    <t>FEC.ktoe.FR.Ser.BldNew.Thermal.SH.Oil.Oil_LiqBio</t>
  </si>
  <si>
    <t>FEC.ktoe.FR.Ser.BldNew.Thermal.SH.GasHP.NG_Biogas</t>
  </si>
  <si>
    <t>FEC.ktoe.FR.Ser.BldNew.Thermal.SH.GasTH.NG_Biogas</t>
  </si>
  <si>
    <t>FEC.ktoe.FR.Ser.BldNew.Thermal.SH.Biomass.Biomass_Waste</t>
  </si>
  <si>
    <t>FEC.ktoe.FR.Ser.BldNew.Thermal.SH.Geo.Geo</t>
  </si>
  <si>
    <t>FEC.ktoe.FR.Ser.BldNew.Thermal.SH.DistrHeat.Steam_Distr</t>
  </si>
  <si>
    <t>FEC.ktoe.FR.Ser.BldNew.Thermal.SH.AdvElc.Elec</t>
  </si>
  <si>
    <t>FEC.ktoe.FR.Ser.BldNew.Thermal.SH.ConvElc.Elec</t>
  </si>
  <si>
    <t>FEC.ktoe.FR.Ser.BldNew.Thermal.SH.TotalCirculation.Elec</t>
  </si>
  <si>
    <t>FEC.ktoe.FR.Ser.BldNew.Thermal.SC</t>
  </si>
  <si>
    <t>FEC.ktoe.FR.Ser.BldNew.Thermal.SC.GasHP.NG_Biogas</t>
  </si>
  <si>
    <t>FEC.ktoe.FR.Ser.BldNew.Thermal.SC.AC.Elec</t>
  </si>
  <si>
    <t>FEC.ktoe.FR.Ser.BldNew.Thermal.HW</t>
  </si>
  <si>
    <t>FEC.ktoe.FR.Ser.BldNew.Thermal.HW.Solids.Solids</t>
  </si>
  <si>
    <t>FEC.ktoe.FR.Ser.BldNew.Thermal.HW.LPG.LPG</t>
  </si>
  <si>
    <t>FEC.ktoe.FR.Ser.BldNew.Thermal.HW.Oil.Oil_LiqBio</t>
  </si>
  <si>
    <t>FEC.ktoe.FR.Ser.BldNew.Thermal.HW.Gas.NG_Biogas</t>
  </si>
  <si>
    <t>FEC.ktoe.FR.Ser.BldNew.Thermal.HW.Biomass.Biomass_Waste</t>
  </si>
  <si>
    <t>FEC.ktoe.FR.Ser.BldNew.Thermal.HW.DistrHeat.Steam_Distr</t>
  </si>
  <si>
    <t>FEC.ktoe.FR.Ser.BldNew.Thermal.HW.Elc.Elec</t>
  </si>
  <si>
    <t>FEC.ktoe.FR.Ser.BldNew.Thermal.HW.TotalSolar.Solar</t>
  </si>
  <si>
    <t>FEC.ktoe.FR.Ser.BldNew.Thermal.CA</t>
  </si>
  <si>
    <t>FEC.ktoe.FR.Ser.BldNew.Thermal.CA.LPG</t>
  </si>
  <si>
    <t>FEC.ktoe.FR.Ser.BldNew.Thermal.CA.Gas.NG_Biogas</t>
  </si>
  <si>
    <t>FEC.ktoe.FR.Ser.BldNew.Thermal.CA.Biomass.Biomass_Waste</t>
  </si>
  <si>
    <t>FEC.ktoe.FR.Ser.BldNew.Thermal.CA.Elc.Elec</t>
  </si>
  <si>
    <t>FR - Thermal energy service in new and renovated buildings</t>
  </si>
  <si>
    <t>TES.ktoe.FR.Ser.BldNew.Thermal</t>
  </si>
  <si>
    <t>TES.ktoe.FR.Ser.BldNew.Thermal.SH</t>
  </si>
  <si>
    <t>TES.ktoe.FR.Ser.BldNew.Thermal.SH.Solids.Solids</t>
  </si>
  <si>
    <t>TES.ktoe.FR.Ser.BldNew.Thermal.SH.LPG.LPG</t>
  </si>
  <si>
    <t>TES.ktoe.FR.Ser.BldNew.Thermal.SH.Oil.Oil_LiqBio</t>
  </si>
  <si>
    <t>TES.ktoe.FR.Ser.BldNew.Thermal.SH.GasHP.NG_Biogas</t>
  </si>
  <si>
    <t>TES.ktoe.FR.Ser.BldNew.Thermal.SH.GasTH.NG_Biogas</t>
  </si>
  <si>
    <t>TES.ktoe.FR.Ser.BldNew.Thermal.SH.Biomass.Biomass_Waste</t>
  </si>
  <si>
    <t>TES.ktoe.FR.Ser.BldNew.Thermal.SH.Geo.Geo</t>
  </si>
  <si>
    <t>TES.ktoe.FR.Ser.BldNew.Thermal.SH.DistrHeat.Steam_Distr</t>
  </si>
  <si>
    <t>TES.ktoe.FR.Ser.BldNew.Thermal.SH.AdvElc.Elec</t>
  </si>
  <si>
    <t>TES.ktoe.FR.Ser.BldNew.Thermal.SH.ConvElc.Elec</t>
  </si>
  <si>
    <t>TES.ktoe.FR.Ser.BldNew.Thermal.SH.TotalCirculation.Elec</t>
  </si>
  <si>
    <t>TES.ktoe.FR.Ser.BldNew.Thermal.SC</t>
  </si>
  <si>
    <t>TES.ktoe.FR.Ser.BldNew.Thermal.SC.GasHP.NG_Biogas</t>
  </si>
  <si>
    <t>TES.ktoe.FR.Ser.BldNew.Thermal.SC.AC.Elec</t>
  </si>
  <si>
    <t>TES.ktoe.FR.Ser.BldNew.Thermal.HW</t>
  </si>
  <si>
    <t>TES.ktoe.FR.Ser.BldNew.Thermal.HW.Solids.Solids</t>
  </si>
  <si>
    <t>TES.ktoe.FR.Ser.BldNew.Thermal.HW.LPG.LPG</t>
  </si>
  <si>
    <t>TES.ktoe.FR.Ser.BldNew.Thermal.HW.Oil.Oil_LiqBio</t>
  </si>
  <si>
    <t>TES.ktoe.FR.Ser.BldNew.Thermal.HW.Gas.NG_Biogas</t>
  </si>
  <si>
    <t>TES.ktoe.FR.Ser.BldNew.Thermal.HW.Biomass.Biomass_Waste</t>
  </si>
  <si>
    <t>TES.ktoe.FR.Ser.BldNew.Thermal.HW.DistrHeat.Steam_Distr</t>
  </si>
  <si>
    <t>TES.ktoe.FR.Ser.BldNew.Thermal.HW.Elc.Elec</t>
  </si>
  <si>
    <t>TES.ktoe.FR.Ser.BldNew.Thermal.HW.TotalSolar.Solar</t>
  </si>
  <si>
    <t>TES.ktoe.FR.Ser.BldNew.Thermal.CA</t>
  </si>
  <si>
    <t>TES.ktoe.FR.Ser.BldNew.Thermal.CA.LPG</t>
  </si>
  <si>
    <t>TES.ktoe.FR.Ser.BldNew.Thermal.CA.Gas.NG_Biogas</t>
  </si>
  <si>
    <t>TES.ktoe.FR.Ser.BldNew.Thermal.CA.Biomass.Biomass_Waste</t>
  </si>
  <si>
    <t>TES.ktoe.FR.Ser.BldNew.Thermal.CA.Elc.Elec</t>
  </si>
  <si>
    <t>FR - System efficiency indicator of new and renovated buildings</t>
  </si>
  <si>
    <t>Eff.ratio.FR.Ser.BldNew.Thermal</t>
  </si>
  <si>
    <t>Eff.ratio.FR.Ser.BldNew.Thermal.SH</t>
  </si>
  <si>
    <t>Eff.ratio.FR.Ser.BldNew.Thermal.SH.Solids.Solids</t>
  </si>
  <si>
    <t>Eff.ratio.FR.Ser.BldNew.Thermal.SH.LPG.LPG</t>
  </si>
  <si>
    <t>Eff.ratio.FR.Ser.BldNew.Thermal.SH.Oil.Oil_LiqBio</t>
  </si>
  <si>
    <t>Eff.ratio.FR.Ser.BldNew.Thermal.SH.GasHP.NG_Biogas</t>
  </si>
  <si>
    <t>Eff.ratio.FR.Ser.BldNew.Thermal.SH.GasTH.NG_Biogas</t>
  </si>
  <si>
    <t>Eff.ratio.FR.Ser.BldNew.Thermal.SH.Biomass.Biomass_Waste</t>
  </si>
  <si>
    <t>Eff.ratio.FR.Ser.BldNew.Thermal.SH.Geo.Geo</t>
  </si>
  <si>
    <t>Eff.ratio.FR.Ser.BldNew.Thermal.SH.DistrHeat.Steam_Distr</t>
  </si>
  <si>
    <t>Eff.ratio.FR.Ser.BldNew.Thermal.SH.AdvElc.Elec</t>
  </si>
  <si>
    <t>Eff.ratio.FR.Ser.BldNew.Thermal.SH.ConvElc.Elec</t>
  </si>
  <si>
    <t>Eff.ratio.FR.Ser.BldNew.Thermal.SH.TotalCirculation.Elec</t>
  </si>
  <si>
    <t>Eff.ratio.FR.Ser.BldNew.Thermal.SC</t>
  </si>
  <si>
    <t>Eff.ratio.FR.Ser.BldNew.Thermal.SC.GasHP.NG_Biogas</t>
  </si>
  <si>
    <t>Eff.ratio.FR.Ser.BldNew.Thermal.SC.AC.Elec</t>
  </si>
  <si>
    <t>Eff.ratio.FR.Ser.BldNew.Thermal.HW</t>
  </si>
  <si>
    <t>Eff.ratio.FR.Ser.BldNew.Thermal.HW.Solids.Solids</t>
  </si>
  <si>
    <t>Eff.ratio.FR.Ser.BldNew.Thermal.HW.LPG.LPG</t>
  </si>
  <si>
    <t>Eff.ratio.FR.Ser.BldNew.Thermal.HW.Oil.Oil_LiqBio</t>
  </si>
  <si>
    <t>Eff.ratio.FR.Ser.BldNew.Thermal.HW.Gas.NG_Biogas</t>
  </si>
  <si>
    <t>Eff.ratio.FR.Ser.BldNew.Thermal.HW.Biomass.Biomass_Waste</t>
  </si>
  <si>
    <t>Eff.ratio.FR.Ser.BldNew.Thermal.HW.DistrHeat.Steam_Distr</t>
  </si>
  <si>
    <t>Eff.ratio.FR.Ser.BldNew.Thermal.HW.Elc.Elec</t>
  </si>
  <si>
    <t>Eff.ratio.FR.Ser.BldNew.Thermal.HW.TotalSolar.Solar</t>
  </si>
  <si>
    <t>Eff.ratio.FR.Ser.BldNew.Thermal.CA</t>
  </si>
  <si>
    <t>Eff.ratio.FR.Ser.BldNew.Thermal.CA.LPG</t>
  </si>
  <si>
    <t>Eff.ratio.FR.Ser.BldNew.Thermal.CA.Gas.NG_Biogas</t>
  </si>
  <si>
    <t>Eff.ratio.FR.Ser.BldNew.Thermal.CA.Biomass.Biomass_Waste</t>
  </si>
  <si>
    <t>Eff.ratio.FR.Ser.BldNew.Thermal.CA.Elc.Elec</t>
  </si>
  <si>
    <t>FR - CO2 emissions in new and renovated buildings</t>
  </si>
  <si>
    <t>EMI.ktCO2.FR.Ser.BldNew.Thermal</t>
  </si>
  <si>
    <t>EMI.ktCO2.FR.Ser.BldNew.Thermal.SH</t>
  </si>
  <si>
    <t>EMI.ktCO2.FR.Ser.BldNew.Thermal.SH.Solids.Solids</t>
  </si>
  <si>
    <t>EMI.ktCO2.FR.Ser.BldNew.Thermal.SH.LPG.LPG</t>
  </si>
  <si>
    <t>EMI.ktCO2.FR.Ser.BldNew.Thermal.SH.Oil.Oil_LiqBio</t>
  </si>
  <si>
    <t>EMI.ktCO2.FR.Ser.BldNew.Thermal.SH.GasHP.NG_Biogas</t>
  </si>
  <si>
    <t>EMI.ktCO2.FR.Ser.BldNew.Thermal.SH.GasTH.NG_Biogas</t>
  </si>
  <si>
    <t>EMI.ktCO2.FR.Ser.BldNew.Thermal.SH.Biomass.Biomass_Waste</t>
  </si>
  <si>
    <t>EMI.ktCO2.FR.Ser.BldNew.Thermal.SH.Geo.Geo</t>
  </si>
  <si>
    <t>EMI.ktCO2.FR.Ser.BldNew.Thermal.SH.DistrHeat.Steam_Distr</t>
  </si>
  <si>
    <t>EMI.ktCO2.FR.Ser.BldNew.Thermal.SH.AdvElc.Elec</t>
  </si>
  <si>
    <t>EMI.ktCO2.FR.Ser.BldNew.Thermal.SH.ConvElc.Elec</t>
  </si>
  <si>
    <t>EMI.ktCO2.FR.Ser.BldNew.Thermal.SH.TotalCirculation.Elec</t>
  </si>
  <si>
    <t>EMI.ktCO2.FR.Ser.BldNew.Thermal.SC</t>
  </si>
  <si>
    <t>EMI.ktCO2.FR.Ser.BldNew.Thermal.SC.GasHP.NG_Biogas</t>
  </si>
  <si>
    <t>EMI.ktCO2.FR.Ser.BldNew.Thermal.SC.AC.Elec</t>
  </si>
  <si>
    <t>EMI.ktCO2.FR.Ser.BldNew.Thermal.HW</t>
  </si>
  <si>
    <t>EMI.ktCO2.FR.Ser.BldNew.Thermal.HW.Solids.Solids</t>
  </si>
  <si>
    <t>EMI.ktCO2.FR.Ser.BldNew.Thermal.HW.LPG.LPG</t>
  </si>
  <si>
    <t>EMI.ktCO2.FR.Ser.BldNew.Thermal.HW.Oil.Oil_LiqBio</t>
  </si>
  <si>
    <t>EMI.ktCO2.FR.Ser.BldNew.Thermal.HW.Gas.NG_Biogas</t>
  </si>
  <si>
    <t>EMI.ktCO2.FR.Ser.BldNew.Thermal.HW.Biomass.Biomass_Waste</t>
  </si>
  <si>
    <t>EMI.ktCO2.FR.Ser.BldNew.Thermal.HW.DistrHeat.Steam_Distr</t>
  </si>
  <si>
    <t>EMI.ktCO2.FR.Ser.BldNew.Thermal.HW.Elc.Elec</t>
  </si>
  <si>
    <t>EMI.ktCO2.FR.Ser.BldNew.Thermal.HW.TotalSolar.Solar</t>
  </si>
  <si>
    <t>EMI.ktCO2.FR.Ser.BldNew.Thermal.CA</t>
  </si>
  <si>
    <t>EMI.ktCO2.FR.Ser.BldNew.Thermal.CA.LPG</t>
  </si>
  <si>
    <t>EMI.ktCO2.FR.Ser.BldNew.Thermal.CA.Gas.NG_Biogas</t>
  </si>
  <si>
    <t>EMI.ktCO2.FR.Ser.BldNew.Thermal.CA.Biomass.Biomass_Waste</t>
  </si>
  <si>
    <t>EMI.ktCO2.FR.Ser.BldNew.Thermal.CA.Elc.Elec</t>
  </si>
  <si>
    <t>FR - Final energy consumption of new and renovated buildings (per building)</t>
  </si>
  <si>
    <t>FEC_per_building.kWh.FR.Ser.BldNew.Thermal</t>
  </si>
  <si>
    <t>FEC_per_building.kWh.FR.Ser.BldNew.Thermal.SH</t>
  </si>
  <si>
    <t>FEC_per_building.kWh.FR.Ser.BldNew.Thermal.SH.Solids.Solids</t>
  </si>
  <si>
    <t>FEC_per_building.kWh.FR.Ser.BldNew.Thermal.SH.LPG.LPG</t>
  </si>
  <si>
    <t>FEC_per_building.kWh.FR.Ser.BldNew.Thermal.SH.Oil.Oil_LiqBio</t>
  </si>
  <si>
    <t>FEC_per_building.kWh.FR.Ser.BldNew.Thermal.SH.GasHP.NG_Biogas</t>
  </si>
  <si>
    <t>FEC_per_building.kWh.FR.Ser.BldNew.Thermal.SH.GasTH.NG_Biogas</t>
  </si>
  <si>
    <t>FEC_per_building.kWh.FR.Ser.BldNew.Thermal.SH.Biomass.Biomass_Waste</t>
  </si>
  <si>
    <t>FEC_per_building.kWh.FR.Ser.BldNew.Thermal.SH.Geo.Geo</t>
  </si>
  <si>
    <t>FEC_per_building.kWh.FR.Ser.BldNew.Thermal.SH.DistrHeat.Steam_Distr</t>
  </si>
  <si>
    <t>FEC_per_building.kWh.FR.Ser.BldNew.Thermal.SH.AdvElc.Elec</t>
  </si>
  <si>
    <t>FEC_per_building.kWh.FR.Ser.BldNew.Thermal.SH.ConvElc.Elec</t>
  </si>
  <si>
    <t>FEC_per_building.kWh.FR.Ser.BldNew.Thermal.SH.TotalCirculation.Elec</t>
  </si>
  <si>
    <t>FEC_per_building.kWh.FR.Ser.BldNew.Thermal.SC</t>
  </si>
  <si>
    <t>FEC_per_building.kWh.FR.Ser.BldNew.Thermal.SC.GasHP.NG_Biogas</t>
  </si>
  <si>
    <t>FEC_per_building.kWh.FR.Ser.BldNew.Thermal.SC.AC.Elec</t>
  </si>
  <si>
    <t>FEC_per_building.kWh.FR.Ser.BldNew.Thermal.HW</t>
  </si>
  <si>
    <t>FEC_per_building.kWh.FR.Ser.BldNew.Thermal.HW.Solids.Solids</t>
  </si>
  <si>
    <t>FEC_per_building.kWh.FR.Ser.BldNew.Thermal.HW.LPG.LPG</t>
  </si>
  <si>
    <t>FEC_per_building.kWh.FR.Ser.BldNew.Thermal.HW.Oil.Oil_LiqBio</t>
  </si>
  <si>
    <t>FEC_per_building.kWh.FR.Ser.BldNew.Thermal.HW.Gas.NG_Biogas</t>
  </si>
  <si>
    <t>FEC_per_building.kWh.FR.Ser.BldNew.Thermal.HW.Biomass.Biomass_Waste</t>
  </si>
  <si>
    <t>FEC_per_building.kWh.FR.Ser.BldNew.Thermal.HW.DistrHeat.Steam_Distr</t>
  </si>
  <si>
    <t>FEC_per_building.kWh.FR.Ser.BldNew.Thermal.HW.Elc.Elec</t>
  </si>
  <si>
    <t>FEC_per_building.kWh.FR.Ser.BldNew.Thermal.HW.TotalSolar.Solar</t>
  </si>
  <si>
    <t>FEC_per_building.kWh.FR.Ser.BldNew.Thermal.CA</t>
  </si>
  <si>
    <t>FEC_per_building.kWh.FR.Ser.BldNew.Thermal.CA.LPG</t>
  </si>
  <si>
    <t>FEC_per_building.kWh.FR.Ser.BldNew.Thermal.CA.Gas.NG_Biogas</t>
  </si>
  <si>
    <t>FEC_per_building.kWh.FR.Ser.BldNew.Thermal.CA.Biomass.Biomass_Waste</t>
  </si>
  <si>
    <t>FEC_per_building.kWh.FR.Ser.BldNew.Thermal.CA.Elc.Elec</t>
  </si>
  <si>
    <t>FR - Thermal energy service of new and renovated buildings (per building)</t>
  </si>
  <si>
    <t>TES_per_building.kWh.FR.Ser.BldNew.Thermal</t>
  </si>
  <si>
    <t>TES_per_building.kWh.FR.Ser.BldNew.Thermal.SH</t>
  </si>
  <si>
    <t>TES_per_building.kWh.FR.Ser.BldNew.Thermal.SH.Solids.Solids</t>
  </si>
  <si>
    <t>TES_per_building.kWh.FR.Ser.BldNew.Thermal.SH.LPG.LPG</t>
  </si>
  <si>
    <t>TES_per_building.kWh.FR.Ser.BldNew.Thermal.SH.Oil.Oil_LiqBio</t>
  </si>
  <si>
    <t>TES_per_building.kWh.FR.Ser.BldNew.Thermal.SH.GasHP.NG_Biogas</t>
  </si>
  <si>
    <t>TES_per_building.kWh.FR.Ser.BldNew.Thermal.SH.GasTH.NG_Biogas</t>
  </si>
  <si>
    <t>TES_per_building.kWh.FR.Ser.BldNew.Thermal.SH.Biomass.Biomass_Waste</t>
  </si>
  <si>
    <t>TES_per_building.kWh.FR.Ser.BldNew.Thermal.SH.Geo.Geo</t>
  </si>
  <si>
    <t>TES_per_building.kWh.FR.Ser.BldNew.Thermal.SH.DistrHeat.Steam_Distr</t>
  </si>
  <si>
    <t>TES_per_building.kWh.FR.Ser.BldNew.Thermal.SH.AdvElc.Elec</t>
  </si>
  <si>
    <t>TES_per_building.kWh.FR.Ser.BldNew.Thermal.SH.ConvElc.Elec</t>
  </si>
  <si>
    <t>TES_per_building.kWh.FR.Ser.BldNew.Thermal.SH.TotalCirculation.Elec</t>
  </si>
  <si>
    <t>TES_per_building.kWh.FR.Ser.BldNew.Thermal.SC</t>
  </si>
  <si>
    <t>TES_per_building.kWh.FR.Ser.BldNew.Thermal.SC.GasHP.NG_Biogas</t>
  </si>
  <si>
    <t>TES_per_building.kWh.FR.Ser.BldNew.Thermal.SC.AC.Elec</t>
  </si>
  <si>
    <t>TES_per_building.kWh.FR.Ser.BldNew.Thermal.HW</t>
  </si>
  <si>
    <t>TES_per_building.kWh.FR.Ser.BldNew.Thermal.HW.Solids.Solids</t>
  </si>
  <si>
    <t>TES_per_building.kWh.FR.Ser.BldNew.Thermal.HW.LPG.LPG</t>
  </si>
  <si>
    <t>TES_per_building.kWh.FR.Ser.BldNew.Thermal.HW.Oil.Oil_LiqBio</t>
  </si>
  <si>
    <t>TES_per_building.kWh.FR.Ser.BldNew.Thermal.HW.Gas.NG_Biogas</t>
  </si>
  <si>
    <t>TES_per_building.kWh.FR.Ser.BldNew.Thermal.HW.Biomass.Biomass_Waste</t>
  </si>
  <si>
    <t>TES_per_building.kWh.FR.Ser.BldNew.Thermal.HW.DistrHeat.Steam_Distr</t>
  </si>
  <si>
    <t>TES_per_building.kWh.FR.Ser.BldNew.Thermal.HW.Elc.Elec</t>
  </si>
  <si>
    <t>TES_per_building.kWh.FR.Ser.BldNew.Thermal.HW.TotalSolar.Solar</t>
  </si>
  <si>
    <t>TES_per_building.kWh.FR.Ser.BldNew.Thermal.CA</t>
  </si>
  <si>
    <t>TES_per_building.kWh.FR.Ser.BldNew.Thermal.CA.LPG</t>
  </si>
  <si>
    <t>TES_per_building.kWh.FR.Ser.BldNew.Thermal.CA.Gas.NG_Biogas</t>
  </si>
  <si>
    <t>TES_per_building.kWh.FR.Ser.BldNew.Thermal.CA.Biomass.Biomass_Waste</t>
  </si>
  <si>
    <t>TES_per_building.kWh.FR.Ser.BldNew.Thermal.CA.Elc.Elec</t>
  </si>
  <si>
    <t>FR - CO2 emissions in new and renovated buildings (per building)</t>
  </si>
  <si>
    <t>EMI_per_building.kgCO2.FR.Ser.BldNew.Thermal</t>
  </si>
  <si>
    <t>EMI_per_building.kgCO2.FR.Ser.BldNew.Thermal.SH</t>
  </si>
  <si>
    <t>EMI_per_building.kgCO2.FR.Ser.BldNew.Thermal.SH.Solids.Solids</t>
  </si>
  <si>
    <t>EMI_per_building.kgCO2.FR.Ser.BldNew.Thermal.SH.LPG.LPG</t>
  </si>
  <si>
    <t>EMI_per_building.kgCO2.FR.Ser.BldNew.Thermal.SH.Oil.Oil_LiqBio</t>
  </si>
  <si>
    <t>EMI_per_building.kgCO2.FR.Ser.BldNew.Thermal.SH.GasHP.NG_Biogas</t>
  </si>
  <si>
    <t>EMI_per_building.kgCO2.FR.Ser.BldNew.Thermal.SH.GasTH.NG_Biogas</t>
  </si>
  <si>
    <t>EMI_per_building.kgCO2.FR.Ser.BldNew.Thermal.SH.Biomass.Biomass_Waste</t>
  </si>
  <si>
    <t>EMI_per_building.kgCO2.FR.Ser.BldNew.Thermal.SH.Geo.Geo</t>
  </si>
  <si>
    <t>EMI_per_building.kgCO2.FR.Ser.BldNew.Thermal.SH.DistrHeat.Steam_Distr</t>
  </si>
  <si>
    <t>EMI_per_building.kgCO2.FR.Ser.BldNew.Thermal.SH.AdvElc.Elec</t>
  </si>
  <si>
    <t>EMI_per_building.kgCO2.FR.Ser.BldNew.Thermal.SH.ConvElc.Elec</t>
  </si>
  <si>
    <t>EMI_per_building.kgCO2.FR.Ser.BldNew.Thermal.SH.TotalCirculation.Elec</t>
  </si>
  <si>
    <t>EMI_per_building.kgCO2.FR.Ser.BldNew.Thermal.SC</t>
  </si>
  <si>
    <t>EMI_per_building.kgCO2.FR.Ser.BldNew.Thermal.SC.GasHP.NG_Biogas</t>
  </si>
  <si>
    <t>EMI_per_building.kgCO2.FR.Ser.BldNew.Thermal.SC.AC.Elec</t>
  </si>
  <si>
    <t>EMI_per_building.kgCO2.FR.Ser.BldNew.Thermal.HW</t>
  </si>
  <si>
    <t>EMI_per_building.kgCO2.FR.Ser.BldNew.Thermal.HW.Solids.Solids</t>
  </si>
  <si>
    <t>EMI_per_building.kgCO2.FR.Ser.BldNew.Thermal.HW.LPG.LPG</t>
  </si>
  <si>
    <t>EMI_per_building.kgCO2.FR.Ser.BldNew.Thermal.HW.Oil.Oil_LiqBio</t>
  </si>
  <si>
    <t>EMI_per_building.kgCO2.FR.Ser.BldNew.Thermal.HW.Gas.NG_Biogas</t>
  </si>
  <si>
    <t>EMI_per_building.kgCO2.FR.Ser.BldNew.Thermal.HW.Biomass.Biomass_Waste</t>
  </si>
  <si>
    <t>EMI_per_building.kgCO2.FR.Ser.BldNew.Thermal.HW.DistrHeat.Steam_Distr</t>
  </si>
  <si>
    <t>EMI_per_building.kgCO2.FR.Ser.BldNew.Thermal.HW.Elc.Elec</t>
  </si>
  <si>
    <t>EMI_per_building.kgCO2.FR.Ser.BldNew.Thermal.HW.TotalSolar.Solar</t>
  </si>
  <si>
    <t>EMI_per_building.kgCO2.FR.Ser.BldNew.Thermal.CA</t>
  </si>
  <si>
    <t>EMI_per_building.kgCO2.FR.Ser.BldNew.Thermal.CA.LPG</t>
  </si>
  <si>
    <t>EMI_per_building.kgCO2.FR.Ser.BldNew.Thermal.CA.Gas.NG_Biogas</t>
  </si>
  <si>
    <t>EMI_per_building.kgCO2.FR.Ser.BldNew.Thermal.CA.Biomass.Biomass_Waste</t>
  </si>
  <si>
    <t>EMI_per_building.kgCO2.FR.Ser.BldNew.Thermal.CA.Elc.Elec</t>
  </si>
  <si>
    <t>FR - Final energy consumption in new and renovated buildings per surface area</t>
  </si>
  <si>
    <t>FEC_per_sqm.kWh.FR.Ser.BldNew.Thermal</t>
  </si>
  <si>
    <t>FEC_per_sqm.kWh.FR.Ser.BldNew.Thermal.SH</t>
  </si>
  <si>
    <t>FEC_per_sqm.kWh.FR.Ser.BldNew.Thermal.SH.Solids.Solids</t>
  </si>
  <si>
    <t>FEC_per_sqm.kWh.FR.Ser.BldNew.Thermal.SH.LPG.LPG</t>
  </si>
  <si>
    <t>FEC_per_sqm.kWh.FR.Ser.BldNew.Thermal.SH.Oil.Oil_LiqBio</t>
  </si>
  <si>
    <t>FEC_per_sqm.kWh.FR.Ser.BldNew.Thermal.SH.GasHP.NG_Biogas</t>
  </si>
  <si>
    <t>FEC_per_sqm.kWh.FR.Ser.BldNew.Thermal.SH.GasTH.NG_Biogas</t>
  </si>
  <si>
    <t>FEC_per_sqm.kWh.FR.Ser.BldNew.Thermal.SH.Biomass.Biomass_Waste</t>
  </si>
  <si>
    <t>FEC_per_sqm.kWh.FR.Ser.BldNew.Thermal.SH.Geo.Geo</t>
  </si>
  <si>
    <t>FEC_per_sqm.kWh.FR.Ser.BldNew.Thermal.SH.DistrHeat.Steam_Distr</t>
  </si>
  <si>
    <t>FEC_per_sqm.kWh.FR.Ser.BldNew.Thermal.SH.AdvElc.Elec</t>
  </si>
  <si>
    <t>FEC_per_sqm.kWh.FR.Ser.BldNew.Thermal.SH.ConvElc.Elec</t>
  </si>
  <si>
    <t>FEC_per_sqm.kWh.FR.Ser.BldNew.Thermal.SH.TotalCirculation.Elec</t>
  </si>
  <si>
    <t>FEC_per_sqm.kWh.FR.Ser.BldNew.Thermal.SC</t>
  </si>
  <si>
    <t>FEC_per_sqm.kWh.FR.Ser.BldNew.Thermal.SC.GasHP.NG_Biogas</t>
  </si>
  <si>
    <t>FEC_per_sqm.kWh.FR.Ser.BldNew.Thermal.SC.AC.Elec</t>
  </si>
  <si>
    <t>FEC_per_sqm.kWh.FR.Ser.BldNew.Thermal.HW</t>
  </si>
  <si>
    <t>FEC_per_sqm.kWh.FR.Ser.BldNew.Thermal.HW.Solids.Solids</t>
  </si>
  <si>
    <t>FEC_per_sqm.kWh.FR.Ser.BldNew.Thermal.HW.LPG.LPG</t>
  </si>
  <si>
    <t>FEC_per_sqm.kWh.FR.Ser.BldNew.Thermal.HW.Oil.Oil_LiqBio</t>
  </si>
  <si>
    <t>FEC_per_sqm.kWh.FR.Ser.BldNew.Thermal.HW.Gas.NG_Biogas</t>
  </si>
  <si>
    <t>FEC_per_sqm.kWh.FR.Ser.BldNew.Thermal.HW.Biomass.Biomass_Waste</t>
  </si>
  <si>
    <t>FEC_per_sqm.kWh.FR.Ser.BldNew.Thermal.HW.DistrHeat.Steam_Distr</t>
  </si>
  <si>
    <t>FEC_per_sqm.kWh.FR.Ser.BldNew.Thermal.HW.Elc.Elec</t>
  </si>
  <si>
    <t>FEC_per_sqm.kWh.FR.Ser.BldNew.Thermal.HW.TotalSolar.Solar</t>
  </si>
  <si>
    <t>FEC_per_sqm.kWh.FR.Ser.BldNew.Thermal.CA</t>
  </si>
  <si>
    <t>FEC_per_sqm.kWh.FR.Ser.BldNew.Thermal.CA.LPG</t>
  </si>
  <si>
    <t>FEC_per_sqm.kWh.FR.Ser.BldNew.Thermal.CA.Gas.NG_Biogas</t>
  </si>
  <si>
    <t>FEC_per_sqm.kWh.FR.Ser.BldNew.Thermal.CA.Biomass.Biomass_Waste</t>
  </si>
  <si>
    <t>FEC_per_sqm.kWh.FR.Ser.BldNew.Thermal.CA.Elc.Elec</t>
  </si>
  <si>
    <t>FR - Thermal energy service in new and renovated buildings per surface area</t>
  </si>
  <si>
    <t>TES_per_sqm.kWh.FR.Ser.BldNew.Thermal</t>
  </si>
  <si>
    <t>TES_per_sqm.kWh.FR.Ser.BldNew.Thermal.SH</t>
  </si>
  <si>
    <t>TES_per_sqm.kWh.FR.Ser.BldNew.Thermal.SH.Solids.Solids</t>
  </si>
  <si>
    <t>TES_per_sqm.kWh.FR.Ser.BldNew.Thermal.SH.LPG.LPG</t>
  </si>
  <si>
    <t>TES_per_sqm.kWh.FR.Ser.BldNew.Thermal.SH.Oil.Oil_LiqBio</t>
  </si>
  <si>
    <t>TES_per_sqm.kWh.FR.Ser.BldNew.Thermal.SH.GasHP.NG_Biogas</t>
  </si>
  <si>
    <t>TES_per_sqm.kWh.FR.Ser.BldNew.Thermal.SH.GasTH.NG_Biogas</t>
  </si>
  <si>
    <t>TES_per_sqm.kWh.FR.Ser.BldNew.Thermal.SH.Biomass.Biomass_Waste</t>
  </si>
  <si>
    <t>TES_per_sqm.kWh.FR.Ser.BldNew.Thermal.SH.Geo.Geo</t>
  </si>
  <si>
    <t>TES_per_sqm.kWh.FR.Ser.BldNew.Thermal.SH.DistrHeat.Steam_Distr</t>
  </si>
  <si>
    <t>TES_per_sqm.kWh.FR.Ser.BldNew.Thermal.SH.AdvElc.Elec</t>
  </si>
  <si>
    <t>TES_per_sqm.kWh.FR.Ser.BldNew.Thermal.SH.ConvElc.Elec</t>
  </si>
  <si>
    <t>TES_per_sqm.kWh.FR.Ser.BldNew.Thermal.SH.TotalCirculation.Elec</t>
  </si>
  <si>
    <t>TES_per_sqm.kWh.FR.Ser.BldNew.Thermal.SC</t>
  </si>
  <si>
    <t>TES_per_sqm.kWh.FR.Ser.BldNew.Thermal.SC.GasHP.NG_Biogas</t>
  </si>
  <si>
    <t>TES_per_sqm.kWh.FR.Ser.BldNew.Thermal.SC.AC.Elec</t>
  </si>
  <si>
    <t>TES_per_sqm.kWh.FR.Ser.BldNew.Thermal.HW</t>
  </si>
  <si>
    <t>TES_per_sqm.kWh.FR.Ser.BldNew.Thermal.HW.Solids.Solids</t>
  </si>
  <si>
    <t>TES_per_sqm.kWh.FR.Ser.BldNew.Thermal.HW.LPG.LPG</t>
  </si>
  <si>
    <t>TES_per_sqm.kWh.FR.Ser.BldNew.Thermal.HW.Oil.Oil_LiqBio</t>
  </si>
  <si>
    <t>TES_per_sqm.kWh.FR.Ser.BldNew.Thermal.HW.Gas.NG_Biogas</t>
  </si>
  <si>
    <t>TES_per_sqm.kWh.FR.Ser.BldNew.Thermal.HW.Biomass.Biomass_Waste</t>
  </si>
  <si>
    <t>TES_per_sqm.kWh.FR.Ser.BldNew.Thermal.HW.DistrHeat.Steam_Distr</t>
  </si>
  <si>
    <t>TES_per_sqm.kWh.FR.Ser.BldNew.Thermal.HW.Elc.Elec</t>
  </si>
  <si>
    <t>TES_per_sqm.kWh.FR.Ser.BldNew.Thermal.HW.TotalSolar.Solar</t>
  </si>
  <si>
    <t>TES_per_sqm.kWh.FR.Ser.BldNew.Thermal.CA</t>
  </si>
  <si>
    <t>TES_per_sqm.kWh.FR.Ser.BldNew.Thermal.CA.LPG</t>
  </si>
  <si>
    <t>TES_per_sqm.kWh.FR.Ser.BldNew.Thermal.CA.Gas.NG_Biogas</t>
  </si>
  <si>
    <t>TES_per_sqm.kWh.FR.Ser.BldNew.Thermal.CA.Biomass.Biomass_Waste</t>
  </si>
  <si>
    <t>TES_per_sqm.kWh.FR.Ser.BldNew.Thermal.CA.Elc.Elec</t>
  </si>
  <si>
    <t>FR - CO2 emissions in new and renovated buildings per surface area</t>
  </si>
  <si>
    <t>EMI_per_sqm.kgCO2.FR.Ser.BldNew.Thermal</t>
  </si>
  <si>
    <t>EMI_per_sqm.kgCO2.FR.Ser.BldNew.Thermal.SH</t>
  </si>
  <si>
    <t>EMI_per_sqm.kgCO2.FR.Ser.BldNew.Thermal.SH.Solids.Solids</t>
  </si>
  <si>
    <t>EMI_per_sqm.kgCO2.FR.Ser.BldNew.Thermal.SH.LPG.LPG</t>
  </si>
  <si>
    <t>EMI_per_sqm.kgCO2.FR.Ser.BldNew.Thermal.SH.Oil.Oil_LiqBio</t>
  </si>
  <si>
    <t>EMI_per_sqm.kgCO2.FR.Ser.BldNew.Thermal.SH.GasHP.NG_Biogas</t>
  </si>
  <si>
    <t>EMI_per_sqm.kgCO2.FR.Ser.BldNew.Thermal.SH.GasTH.NG_Biogas</t>
  </si>
  <si>
    <t>EMI_per_sqm.kgCO2.FR.Ser.BldNew.Thermal.SH.Biomass.Biomass_Waste</t>
  </si>
  <si>
    <t>EMI_per_sqm.kgCO2.FR.Ser.BldNew.Thermal.SH.Geo.Geo</t>
  </si>
  <si>
    <t>EMI_per_sqm.kgCO2.FR.Ser.BldNew.Thermal.SH.DistrHeat.Steam_Distr</t>
  </si>
  <si>
    <t>EMI_per_sqm.kgCO2.FR.Ser.BldNew.Thermal.SH.AdvElc.Elec</t>
  </si>
  <si>
    <t>EMI_per_sqm.kgCO2.FR.Ser.BldNew.Thermal.SH.ConvElc.Elec</t>
  </si>
  <si>
    <t>EMI_per_sqm.kgCO2.FR.Ser.BldNew.Thermal.SH.TotalCirculation.Elec</t>
  </si>
  <si>
    <t>EMI_per_sqm.kgCO2.FR.Ser.BldNew.Thermal.SC</t>
  </si>
  <si>
    <t>EMI_per_sqm.kgCO2.FR.Ser.BldNew.Thermal.SC.GasHP.NG_Biogas</t>
  </si>
  <si>
    <t>EMI_per_sqm.kgCO2.FR.Ser.BldNew.Thermal.SC.AC.Elec</t>
  </si>
  <si>
    <t>EMI_per_sqm.kgCO2.FR.Ser.BldNew.Thermal.HW</t>
  </si>
  <si>
    <t>EMI_per_sqm.kgCO2.FR.Ser.BldNew.Thermal.HW.Solids.Solids</t>
  </si>
  <si>
    <t>EMI_per_sqm.kgCO2.FR.Ser.BldNew.Thermal.HW.LPG.LPG</t>
  </si>
  <si>
    <t>EMI_per_sqm.kgCO2.FR.Ser.BldNew.Thermal.HW.Oil.Oil_LiqBio</t>
  </si>
  <si>
    <t>EMI_per_sqm.kgCO2.FR.Ser.BldNew.Thermal.HW.Gas.NG_Biogas</t>
  </si>
  <si>
    <t>EMI_per_sqm.kgCO2.FR.Ser.BldNew.Thermal.HW.Biomass.Biomass_Waste</t>
  </si>
  <si>
    <t>EMI_per_sqm.kgCO2.FR.Ser.BldNew.Thermal.HW.DistrHeat.Steam_Distr</t>
  </si>
  <si>
    <t>EMI_per_sqm.kgCO2.FR.Ser.BldNew.Thermal.HW.Elc.Elec</t>
  </si>
  <si>
    <t>EMI_per_sqm.kgCO2.FR.Ser.BldNew.Thermal.HW.TotalSolar.Solar</t>
  </si>
  <si>
    <t>EMI_per_sqm.kgCO2.FR.Ser.BldNew.Thermal.CA</t>
  </si>
  <si>
    <t>EMI_per_sqm.kgCO2.FR.Ser.BldNew.Thermal.CA.LPG</t>
  </si>
  <si>
    <t>EMI_per_sqm.kgCO2.FR.Ser.BldNew.Thermal.CA.Gas.NG_Biogas</t>
  </si>
  <si>
    <t>EMI_per_sqm.kgCO2.FR.Ser.BldNew.Thermal.CA.Biomass.Biomass_Waste</t>
  </si>
  <si>
    <t>EMI_per_sqm.kgCO2.FR.Ser.BldNew.Thermal.CA.Elc.Elec</t>
  </si>
  <si>
    <t>FEC.ktoe.FR.Ser.SEU.VE</t>
  </si>
  <si>
    <t>FEC.ktoe.FR.Ser.SEU.SL</t>
  </si>
  <si>
    <t>FEC.ktoe.FR.Ser.SEU.BL</t>
  </si>
  <si>
    <t>FEC.ktoe.FR.Ser.SEU.CR</t>
  </si>
  <si>
    <t>FEC.ktoe.FR.Ser.SEU.BT</t>
  </si>
  <si>
    <t>FEC.ktoe.FR.Ser.SEU.IT</t>
  </si>
  <si>
    <t>Size.MW.FR.Ser.SEU</t>
  </si>
  <si>
    <t>Size.MW.FR.Ser.SEU.VE</t>
  </si>
  <si>
    <t>Size.MW.FR.Ser.SEU.SL</t>
  </si>
  <si>
    <t>Size.MW.FR.Ser.SEU.BL</t>
  </si>
  <si>
    <t>Size.MW.FR.Ser.SEU.CR</t>
  </si>
  <si>
    <t>Size.MW.FR.Ser.SEU.BT</t>
  </si>
  <si>
    <t>Size.MW.FR.Ser.SEU.IT</t>
  </si>
  <si>
    <t>NUM.Msqm.FR.Ser.SEU.VE</t>
  </si>
  <si>
    <t>NUM.k.FR.Ser.SEU.SL</t>
  </si>
  <si>
    <t>NUM.M.FR.Ser.SEU.BL</t>
  </si>
  <si>
    <t>NUM.k.FR.Ser.SEU.CR</t>
  </si>
  <si>
    <t>NUM.Msqm.FR.Ser.SEU.BT</t>
  </si>
  <si>
    <t>NUM.k.FR.Ser.SEU.IT</t>
  </si>
  <si>
    <t>NUM.Msqm.FR.Ser.SEUnew.VE</t>
  </si>
  <si>
    <t>NUM.k.FR.Ser.SEUnew.SL</t>
  </si>
  <si>
    <t>NUM.M.FR.Ser.SEUnew.BL</t>
  </si>
  <si>
    <t>NUM.k.FR.Ser.SEUnew.CR</t>
  </si>
  <si>
    <t>NUM.Msqm.FR.Ser.SEUnew.BT</t>
  </si>
  <si>
    <t>NUM.k.FR.Ser.SEUnew.IT</t>
  </si>
  <si>
    <t>NUM.Msqm.FR.Ser.SEUrepl.VE</t>
  </si>
  <si>
    <t>NUM.k.FR.Ser.SEUrepl.SL</t>
  </si>
  <si>
    <t>NUM.M.FR.Ser.SEUrepl.BL</t>
  </si>
  <si>
    <t>NUM.k.FR.Ser.SEUrepl.CR</t>
  </si>
  <si>
    <t>NUM.Msqm.FR.Ser.SEUrepl.BT</t>
  </si>
  <si>
    <t>NUM.k.FR.Ser.SEUrepl.IT</t>
  </si>
  <si>
    <t>Op.hours.FR.Ser.SEU.VE</t>
  </si>
  <si>
    <t>Op.hours.FR.Ser.SEU.SL</t>
  </si>
  <si>
    <t>Op.hours.FR.Ser.SEU.BL</t>
  </si>
  <si>
    <t>Op.hours.FR.Ser.SEU.CR</t>
  </si>
  <si>
    <t>Op.hours.FR.Ser.SEU.BT</t>
  </si>
  <si>
    <t>Op.hours.FR.Ser.SEU.IT</t>
  </si>
  <si>
    <t>Size_per_appl.W.FR.Ser.SEU.VE</t>
  </si>
  <si>
    <t>Size_per_appl.W.FR.Ser.SEU.SL</t>
  </si>
  <si>
    <t>Size_per_appl.W.FR.Ser.SEU.BL</t>
  </si>
  <si>
    <t>Size_per_appl.W.FR.Ser.SEU.CR</t>
  </si>
  <si>
    <t>Size_per_appl.W.FR.Ser.SEU.BT</t>
  </si>
  <si>
    <t>Size_per_appl.W.FR.Ser.SEU.IT</t>
  </si>
  <si>
    <t>Size_per_appl.W.FR.Ser.SEUnew.VE</t>
  </si>
  <si>
    <t>Size_per_appl.W.FR.Ser.SEUnew.SL</t>
  </si>
  <si>
    <t>Size_per_appl.W.FR.Ser.SEUnew.BL</t>
  </si>
  <si>
    <t>Size_per_appl.W.FR.Ser.SEUnew.CR</t>
  </si>
  <si>
    <t>Size_per_appl.W.FR.Ser.SEUnew.BT</t>
  </si>
  <si>
    <t>Size_per_appl.W.FR.Ser.SEUnew.IT</t>
  </si>
  <si>
    <t>NUM.sqm_per_building.FR.Ser.SEU.VE</t>
  </si>
  <si>
    <t>NUM.number_per_capita.FR.Ser.SEU.SL</t>
  </si>
  <si>
    <t>NUM.number_per_building.FR.Ser.SEU.BL</t>
  </si>
  <si>
    <t>NUM.number_per_capita.FR.Ser.SEU.CR</t>
  </si>
  <si>
    <t>NUM.sqm_per_building.FR.Ser.SEU.BT</t>
  </si>
  <si>
    <t>NUM.number_per_capita.FR.Ser.SEU.IT</t>
  </si>
  <si>
    <t>Lumens_per_sqm.lumen.FR.Ser.SEU.BL</t>
  </si>
  <si>
    <t>FEC.ktoe.FR.Ser.SEU.IT.DataCenters</t>
  </si>
  <si>
    <t>FR - Services / specific electric uses</t>
  </si>
  <si>
    <t>FR - Ventilation and others</t>
  </si>
  <si>
    <t>FR - Street lighting</t>
  </si>
  <si>
    <t>FR - Building lighting</t>
  </si>
  <si>
    <t>FR - Commercial refrigeration</t>
  </si>
  <si>
    <t>FR - Miscellaneous building technologies</t>
  </si>
  <si>
    <t>FR - ICT and multimedia</t>
  </si>
  <si>
    <t>FR - Agriculture, forestry and fishing</t>
  </si>
  <si>
    <t>VA.Meuro2015.Meuro2023.FR.AGR.AGR</t>
  </si>
  <si>
    <t>OUTPUT.index.index.FR.AGR.AGR</t>
  </si>
  <si>
    <t>CAP.index.index.FR.AGR.AGR</t>
  </si>
  <si>
    <t>NEWCAP.index.index.FR.AGR.AGR</t>
  </si>
  <si>
    <t>CAPOUT.index.FR.AGR.AGR</t>
  </si>
  <si>
    <t>CAPIDLE.index.FR.AGR.AGR</t>
  </si>
  <si>
    <t>FEC.ktoe.FR.ES.AGR</t>
  </si>
  <si>
    <t>FEC.ktoe.FR.ES.AGR.Solids</t>
  </si>
  <si>
    <t>FEC.ktoe.FR.ES.AGR.LPG</t>
  </si>
  <si>
    <t>FEC.ktoe.FR.ES.AGR.Diesel</t>
  </si>
  <si>
    <t>FEC.ktoe.FR.ES.AGR.RFO</t>
  </si>
  <si>
    <t>FEC.ktoe.FR.ES.AGR.NG</t>
  </si>
  <si>
    <t>FEC.ktoe.FR.ES.AGR.Biomass_Waste</t>
  </si>
  <si>
    <t>FEC.ktoe.FR.ES.AGR.Biogas</t>
  </si>
  <si>
    <t>FEC.ktoe.FR.ES.AGR.LiqBio</t>
  </si>
  <si>
    <t>FEC.ktoe.FR.ES.AGR.Solar</t>
  </si>
  <si>
    <t>FEC.ktoe.FR.ES.AGR.Geo</t>
  </si>
  <si>
    <t>FEC.ktoe.FR.ES.AGR.Ambient</t>
  </si>
  <si>
    <t>FEC.ktoe.FR.ES.AGR.Steam_Distr</t>
  </si>
  <si>
    <t>FEC.ktoe.FR.ES.AGR.Elec</t>
  </si>
  <si>
    <t>FR - Agriculture, forestry and fishing / final energy consumption</t>
  </si>
  <si>
    <t>FEC.ktoe.ktoe.FR.AGR.AGR.LIGHT.GENERIC.ELEC</t>
  </si>
  <si>
    <t>FEC.ktoe.ktoe.FR.AGR.AGR.FANS.GENERIC.ELEC</t>
  </si>
  <si>
    <t>FEC.ktoe.ktoe.FR.AGR.AGR.MOTOR.GENERIC.ELEC</t>
  </si>
  <si>
    <t>FEC.ktoe.ktoe.FR.AGR.AGR.LOW_ENTH.THERM.DIESEL_LIQBIO</t>
  </si>
  <si>
    <t>FEC.ktoe.ktoe.FR.AGR.AGR.LOW_ENTH.THERM.NG_BIOGAS</t>
  </si>
  <si>
    <t>FEC.ktoe.ktoe.FR.AGR.AGR.LOW_ENTH.THERM.SOLAR_GEO</t>
  </si>
  <si>
    <t>FEC.ktoe.ktoe.FR.AGR.AGR.LOW_ENTH.HP.AMBIENT</t>
  </si>
  <si>
    <t>FEC.ktoe.ktoe.FR.AGR.AGR.LOW_ENTH.THERM.STEAM_DISTR</t>
  </si>
  <si>
    <t>FEC.ktoe.ktoe.FR.AGR.AGR.LOW_ENTH.THERM.ELEC</t>
  </si>
  <si>
    <t>FEC.ktoe.ktoe.FR.AGR.AGR.FARM_DRIVES.MECH.DIESEL_LIQBIO</t>
  </si>
  <si>
    <t>FEC.ktoe.ktoe.FR.AGR.AGR.HEAT_USE.THERM.SOLIDS</t>
  </si>
  <si>
    <t>FEC.ktoe.ktoe.FR.AGR.AGR.HEAT_USE.THERM.LPG</t>
  </si>
  <si>
    <t>FEC.ktoe.ktoe.FR.AGR.AGR.HEAT_USE.THERM.DIESEL_LIQBIO</t>
  </si>
  <si>
    <t>FEC.ktoe.ktoe.FR.AGR.AGR.HEAT_USE.THERM.RFO</t>
  </si>
  <si>
    <t>FEC.ktoe.ktoe.FR.AGR.AGR.HEAT_USE.THERM.NG_BIOGAS</t>
  </si>
  <si>
    <t>FEC.ktoe.ktoe.FR.AGR.AGR.HEAT_USE.THERM.BIOMASS_WASTE</t>
  </si>
  <si>
    <t>FEC.ktoe.ktoe.FR.AGR.AGR.HEAT_USE.THERM.SOLAR_GEO</t>
  </si>
  <si>
    <t>FEC.ktoe.ktoe.FR.AGR.AGR.FARM_PUMP.MECH.DIESEL_LIQBIO</t>
  </si>
  <si>
    <t>FEC.ktoe.ktoe.FR.AGR.AGR.FARM_PUMP_ELEC.MECH.ELEC</t>
  </si>
  <si>
    <t>FEC.ktoe.ktoe.FR.AGR.AGR.GENERIC.MECH.ELEC</t>
  </si>
  <si>
    <t>FR - Agriculture, forestry and fishing / useful energy demand</t>
  </si>
  <si>
    <t>UED.ktoe.ktoe.FR.AGR.AGR.LIGHT.GENERIC.ELEC</t>
  </si>
  <si>
    <t>UED.ktoe.ktoe.FR.AGR.AGR.FANS.GENERIC.ELEC</t>
  </si>
  <si>
    <t>UED.ktoe.ktoe.FR.AGR.AGR.MOTOR.GENERIC.ELEC</t>
  </si>
  <si>
    <t>UED.ktoe.ktoe.FR.AGR.AGR.LOW_ENTH.THERM.DIESEL_LIQBIO</t>
  </si>
  <si>
    <t>UED.ktoe.ktoe.FR.AGR.AGR.LOW_ENTH.THERM.NG_BIOGAS</t>
  </si>
  <si>
    <t>UED.ktoe.ktoe.FR.AGR.AGR.LOW_ENTH.THERM.SOLAR_GEO</t>
  </si>
  <si>
    <t>UED.ktoe.ktoe.FR.AGR.AGR.LOW_ENTH.HP.AMBIENT</t>
  </si>
  <si>
    <t>UED.ktoe.ktoe.FR.AGR.AGR.LOW_ENTH.THERM.STEAM_DISTR</t>
  </si>
  <si>
    <t>UED.ktoe.ktoe.FR.AGR.AGR.LOW_ENTH.THERM.ELEC</t>
  </si>
  <si>
    <t>UED.ktoe.ktoe.FR.AGR.AGR.FARM_DRIVES.MECH.DIESEL_LIQBIO</t>
  </si>
  <si>
    <t>UED.ktoe.ktoe.FR.AGR.AGR.HEAT_USE.THERM.SOLIDS</t>
  </si>
  <si>
    <t>UED.ktoe.ktoe.FR.AGR.AGR.HEAT_USE.THERM.LPG</t>
  </si>
  <si>
    <t>UED.ktoe.ktoe.FR.AGR.AGR.HEAT_USE.THERM.DIESEL_LIQBIO</t>
  </si>
  <si>
    <t>UED.ktoe.ktoe.FR.AGR.AGR.HEAT_USE.THERM.RFO</t>
  </si>
  <si>
    <t>UED.ktoe.ktoe.FR.AGR.AGR.HEAT_USE.THERM.NG_BIOGAS</t>
  </si>
  <si>
    <t>UED.ktoe.ktoe.FR.AGR.AGR.HEAT_USE.THERM.BIOMASS_WASTE</t>
  </si>
  <si>
    <t>UED.ktoe.ktoe.FR.AGR.AGR.HEAT_USE.THERM.SOLAR_GEO</t>
  </si>
  <si>
    <t>UED.ktoe.ktoe.FR.AGR.AGR.FARM_PUMP.MECH.DIESEL_LIQBIO</t>
  </si>
  <si>
    <t>UED.ktoe.ktoe.FR.AGR.AGR.FARM_PUMP_ELEC.MECH.ELEC</t>
  </si>
  <si>
    <t>UED.ktoe.ktoe.FR.AGR.AGR.GENERIC.MECH.ELEC</t>
  </si>
  <si>
    <t>FR - Agriculture, forestry and fishing / CO2 emissions</t>
  </si>
  <si>
    <t>FUEL_EMI.ktCO2.ktCO2.FR.AGR.AGR.LIGHT.GENERIC.ELEC</t>
  </si>
  <si>
    <t>FUEL_EMI.ktCO2.ktCO2.FR.AGR.AGR.FANS.GENERIC.ELEC</t>
  </si>
  <si>
    <t>FUEL_EMI.ktCO2.ktCO2.FR.AGR.AGR.MOTOR.GENERIC.ELEC</t>
  </si>
  <si>
    <t>FUEL_EMI.ktCO2.ktCO2.FR.AGR.AGR.LOW_ENTH.THERM.DIESEL_LIQBIO</t>
  </si>
  <si>
    <t>FUEL_EMI.ktCO2.ktCO2.FR.AGR.AGR.LOW_ENTH.THERM.NG_BIOGAS</t>
  </si>
  <si>
    <t>FUEL_EMI.ktCO2.ktCO2.FR.AGR.AGR.LOW_ENTH.THERM.SOLAR_GEO</t>
  </si>
  <si>
    <t>FUEL_EMI.ktCO2.ktCO2.FR.AGR.AGR.LOW_ENTH.HP.AMBIENT</t>
  </si>
  <si>
    <t>FUEL_EMI.ktCO2.ktCO2.FR.AGR.AGR.LOW_ENTH.THERM.STEAM_DISTR</t>
  </si>
  <si>
    <t>FUEL_EMI.ktCO2.ktCO2.FR.AGR.AGR.LOW_ENTH.THERM.ELEC</t>
  </si>
  <si>
    <t>FUEL_EMI.ktCO2.ktCO2.FR.AGR.AGR.FARM_DRIVES.MECH.DIESEL_LIQBIO</t>
  </si>
  <si>
    <t>FUEL_EMI.ktCO2.ktCO2.FR.AGR.AGR.HEAT_USE.THERM.SOLIDS</t>
  </si>
  <si>
    <t>FUEL_EMI.ktCO2.ktCO2.FR.AGR.AGR.HEAT_USE.THERM.LPG</t>
  </si>
  <si>
    <t>FUEL_EMI.ktCO2.ktCO2.FR.AGR.AGR.HEAT_USE.THERM.DIESEL_LIQBIO</t>
  </si>
  <si>
    <t>FUEL_EMI.ktCO2.ktCO2.FR.AGR.AGR.HEAT_USE.THERM.RFO</t>
  </si>
  <si>
    <t>FUEL_EMI.ktCO2.ktCO2.FR.AGR.AGR.HEAT_USE.THERM.NG_BIOGAS</t>
  </si>
  <si>
    <t>FUEL_EMI.ktCO2.ktCO2.FR.AGR.AGR.HEAT_USE.THERM.BIOMASS_WASTE</t>
  </si>
  <si>
    <t>FUEL_EMI.ktCO2.ktCO2.FR.AGR.AGR.HEAT_USE.THERM.SOLAR_GEO</t>
  </si>
  <si>
    <t>FUEL_EMI.ktCO2.ktCO2.FR.AGR.AGR.FARM_PUMP.MECH.DIESEL_LIQBIO</t>
  </si>
  <si>
    <t>FUEL_EMI.ktCO2.ktCO2.FR.AGR.AGR.FARM_PUMP_ELEC.MECH.ELEC</t>
  </si>
  <si>
    <t>FUEL_EMI.ktCO2.ktCO2.FR.AGR.AGR.GENERIC.MECH.ELEC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</si>
</sst>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45967.475277777776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60545022</v>
      </c>
      <c r="C3" s="34">
        <v>60979315</v>
      </c>
      <c r="D3" s="34">
        <v>61424036</v>
      </c>
      <c r="E3" s="34">
        <v>61864088</v>
      </c>
      <c r="F3" s="34">
        <v>62292241</v>
      </c>
      <c r="G3" s="34">
        <v>62772870</v>
      </c>
      <c r="H3" s="34">
        <v>63229635</v>
      </c>
      <c r="I3" s="34">
        <v>63645065</v>
      </c>
      <c r="J3" s="34">
        <v>64007193</v>
      </c>
      <c r="K3" s="34">
        <v>64350226</v>
      </c>
      <c r="L3" s="34">
        <v>64658856</v>
      </c>
      <c r="M3" s="34">
        <v>64978721</v>
      </c>
      <c r="N3" s="34">
        <v>65276983</v>
      </c>
      <c r="O3" s="34">
        <v>65600350</v>
      </c>
      <c r="P3" s="34">
        <v>66165980</v>
      </c>
      <c r="Q3" s="34">
        <v>66458153</v>
      </c>
      <c r="R3" s="34">
        <v>66638391</v>
      </c>
      <c r="S3" s="34">
        <v>66809816</v>
      </c>
      <c r="T3" s="34">
        <v>67026224</v>
      </c>
      <c r="U3" s="34">
        <v>67290471</v>
      </c>
      <c r="V3" s="34">
        <v>67473651</v>
      </c>
      <c r="W3" s="34">
        <v>67728568</v>
      </c>
      <c r="X3" s="34">
        <v>68091703</v>
      </c>
      <c r="Y3" s="34">
        <v>68277210</v>
      </c>
      <c r="DA3" s="88" t="s">
        <v>188</v>
      </c>
    </row>
    <row r="4" spans="1:105" ht="12" customHeight="1" x14ac:dyDescent="0.25">
      <c r="A4" s="35" t="s">
        <v>178</v>
      </c>
      <c r="B4" s="36">
        <v>2129982.1205957797</v>
      </c>
      <c r="C4" s="36">
        <v>2170447.1371248597</v>
      </c>
      <c r="D4" s="36">
        <v>2193611.1049348298</v>
      </c>
      <c r="E4" s="36">
        <v>2214840.6873487346</v>
      </c>
      <c r="F4" s="36">
        <v>2278364.7041270351</v>
      </c>
      <c r="G4" s="36">
        <v>2321391.2813204429</v>
      </c>
      <c r="H4" s="36">
        <v>2384411.1699537169</v>
      </c>
      <c r="I4" s="36">
        <v>2444748.6903599082</v>
      </c>
      <c r="J4" s="36">
        <v>2454030.0330225378</v>
      </c>
      <c r="K4" s="36">
        <v>2384720.6079538735</v>
      </c>
      <c r="L4" s="36">
        <v>2432414.1809648168</v>
      </c>
      <c r="M4" s="36">
        <v>2491708.8020426128</v>
      </c>
      <c r="N4" s="36">
        <v>2496305.8266142006</v>
      </c>
      <c r="O4" s="36">
        <v>2515816.4970717174</v>
      </c>
      <c r="P4" s="36">
        <v>2540924.9888488841</v>
      </c>
      <c r="Q4" s="36">
        <v>2568023.0224639997</v>
      </c>
      <c r="R4" s="36">
        <v>2590115.4725747886</v>
      </c>
      <c r="S4" s="36">
        <v>2644067.1471510376</v>
      </c>
      <c r="T4" s="36">
        <v>2687584.2877242402</v>
      </c>
      <c r="U4" s="36">
        <v>2742088.6243217904</v>
      </c>
      <c r="V4" s="36">
        <v>2538067.7212515953</v>
      </c>
      <c r="W4" s="36">
        <v>2712742.8347970401</v>
      </c>
      <c r="X4" s="36">
        <v>2786422.3685428859</v>
      </c>
      <c r="Y4" s="36">
        <v>2826541.5</v>
      </c>
      <c r="DA4" s="89" t="s">
        <v>189</v>
      </c>
    </row>
    <row r="5" spans="1:105" ht="12" customHeight="1" x14ac:dyDescent="0.25">
      <c r="A5" s="35" t="s">
        <v>179</v>
      </c>
      <c r="B5" s="36">
        <v>1443315.3683997795</v>
      </c>
      <c r="C5" s="36">
        <v>1478454.785303951</v>
      </c>
      <c r="D5" s="36">
        <v>1504331.5644619663</v>
      </c>
      <c r="E5" s="36">
        <v>1528476.9352203791</v>
      </c>
      <c r="F5" s="36">
        <v>1581107.4425502897</v>
      </c>
      <c r="G5" s="36">
        <v>1617359.2952476433</v>
      </c>
      <c r="H5" s="36">
        <v>1671948.2428172161</v>
      </c>
      <c r="I5" s="36">
        <v>1718976.1132379188</v>
      </c>
      <c r="J5" s="36">
        <v>1739664.2101717589</v>
      </c>
      <c r="K5" s="36">
        <v>1715659.3180512532</v>
      </c>
      <c r="L5" s="36">
        <v>1750257.3343852945</v>
      </c>
      <c r="M5" s="36">
        <v>1790234.2801406775</v>
      </c>
      <c r="N5" s="36">
        <v>1803450.7155250208</v>
      </c>
      <c r="O5" s="36">
        <v>1818554.4538201734</v>
      </c>
      <c r="P5" s="36">
        <v>1842638.7309597521</v>
      </c>
      <c r="Q5" s="36">
        <v>1858622.2207559999</v>
      </c>
      <c r="R5" s="36">
        <v>1881884.2845857663</v>
      </c>
      <c r="S5" s="36">
        <v>1919598.9715648177</v>
      </c>
      <c r="T5" s="36">
        <v>1947668.4994823837</v>
      </c>
      <c r="U5" s="36">
        <v>1987215.518595394</v>
      </c>
      <c r="V5" s="36">
        <v>1858418.1326123779</v>
      </c>
      <c r="W5" s="36">
        <v>1983973.9770212208</v>
      </c>
      <c r="X5" s="36">
        <v>2037389.6742586065</v>
      </c>
      <c r="Y5" s="36">
        <v>2027833.8857974168</v>
      </c>
      <c r="DA5" s="89" t="s">
        <v>190</v>
      </c>
    </row>
    <row r="6" spans="1:105" ht="12" customHeight="1" x14ac:dyDescent="0.25">
      <c r="A6" s="37" t="s">
        <v>70</v>
      </c>
      <c r="B6" s="38">
        <v>19945300</v>
      </c>
      <c r="C6" s="38">
        <v>20285600</v>
      </c>
      <c r="D6" s="38">
        <v>20463600.000000004</v>
      </c>
      <c r="E6" s="38">
        <v>20551600</v>
      </c>
      <c r="F6" s="38">
        <v>20664699.999999996</v>
      </c>
      <c r="G6" s="38">
        <v>20852600</v>
      </c>
      <c r="H6" s="38">
        <v>21161600</v>
      </c>
      <c r="I6" s="38">
        <v>21525500.000000004</v>
      </c>
      <c r="J6" s="38">
        <v>21673500.000000004</v>
      </c>
      <c r="K6" s="38">
        <v>21539600.000000004</v>
      </c>
      <c r="L6" s="38">
        <v>21727700</v>
      </c>
      <c r="M6" s="38">
        <v>21958699.999999996</v>
      </c>
      <c r="N6" s="38">
        <v>22077500.000000004</v>
      </c>
      <c r="O6" s="38">
        <v>22157299.999999996</v>
      </c>
      <c r="P6" s="38">
        <v>22322800</v>
      </c>
      <c r="Q6" s="38">
        <v>22500400</v>
      </c>
      <c r="R6" s="38">
        <v>22764600</v>
      </c>
      <c r="S6" s="38">
        <v>23126000</v>
      </c>
      <c r="T6" s="38">
        <v>23383699.999999996</v>
      </c>
      <c r="U6" s="38">
        <v>23596000</v>
      </c>
      <c r="V6" s="38">
        <v>23535400</v>
      </c>
      <c r="W6" s="38">
        <v>24209500</v>
      </c>
      <c r="X6" s="38">
        <v>24802800</v>
      </c>
      <c r="Y6" s="38">
        <v>25107900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925351.95993153576</v>
      </c>
      <c r="C8" s="34">
        <v>939066.81149664416</v>
      </c>
      <c r="D8" s="34">
        <v>952781.66306175245</v>
      </c>
      <c r="E8" s="34">
        <v>966496.51462686062</v>
      </c>
      <c r="F8" s="34">
        <v>980211.36619196902</v>
      </c>
      <c r="G8" s="34">
        <v>993926.21775707707</v>
      </c>
      <c r="H8" s="34">
        <v>1008805.9791008371</v>
      </c>
      <c r="I8" s="34">
        <v>1027149.6970638619</v>
      </c>
      <c r="J8" s="34">
        <v>1042029.4584076216</v>
      </c>
      <c r="K8" s="34">
        <v>1048826.6543064301</v>
      </c>
      <c r="L8" s="34">
        <v>1061344.7262700251</v>
      </c>
      <c r="M8" s="34">
        <v>1075335.8551794884</v>
      </c>
      <c r="N8" s="34">
        <v>1083469.1159611586</v>
      </c>
      <c r="O8" s="34">
        <v>1090261.8874074516</v>
      </c>
      <c r="P8" s="34">
        <v>1103701.9323237424</v>
      </c>
      <c r="Q8" s="34">
        <v>1103338.0183800852</v>
      </c>
      <c r="R8" s="34">
        <v>1112800.6657927511</v>
      </c>
      <c r="S8" s="34">
        <v>1123112.5473124865</v>
      </c>
      <c r="T8" s="34">
        <v>1135141.2849703005</v>
      </c>
      <c r="U8" s="34">
        <v>1146959.0039980644</v>
      </c>
      <c r="V8" s="34">
        <v>1157991.8466666667</v>
      </c>
      <c r="W8" s="34">
        <v>1168596.7193178223</v>
      </c>
      <c r="X8" s="34">
        <v>1178926.0575755236</v>
      </c>
      <c r="Y8" s="34">
        <v>1189136.0956418614</v>
      </c>
      <c r="DA8" s="88" t="s">
        <v>192</v>
      </c>
    </row>
    <row r="9" spans="1:105" ht="12" customHeight="1" x14ac:dyDescent="0.25">
      <c r="A9" s="39" t="s">
        <v>68</v>
      </c>
      <c r="B9" s="40">
        <v>832816.76393838227</v>
      </c>
      <c r="C9" s="40">
        <v>845160.13034697971</v>
      </c>
      <c r="D9" s="40">
        <v>857503.49675557716</v>
      </c>
      <c r="E9" s="40">
        <v>869846.8631641746</v>
      </c>
      <c r="F9" s="40">
        <v>882190.22957277205</v>
      </c>
      <c r="G9" s="40">
        <v>894533.59598136938</v>
      </c>
      <c r="H9" s="40">
        <v>907925.38119075343</v>
      </c>
      <c r="I9" s="40">
        <v>924434.72735747567</v>
      </c>
      <c r="J9" s="40">
        <v>937826.51256685948</v>
      </c>
      <c r="K9" s="40">
        <v>943943.98887578701</v>
      </c>
      <c r="L9" s="40">
        <v>955210.25364302262</v>
      </c>
      <c r="M9" s="40">
        <v>967802.26966153958</v>
      </c>
      <c r="N9" s="40">
        <v>975122.20436504274</v>
      </c>
      <c r="O9" s="40">
        <v>981235.69866670645</v>
      </c>
      <c r="P9" s="40">
        <v>993331.73909136816</v>
      </c>
      <c r="Q9" s="40">
        <v>993004.21654207679</v>
      </c>
      <c r="R9" s="40">
        <v>1001520.5992134759</v>
      </c>
      <c r="S9" s="40">
        <v>1010801.2925812379</v>
      </c>
      <c r="T9" s="40">
        <v>1021627.1564732706</v>
      </c>
      <c r="U9" s="40">
        <v>1032263.1035982579</v>
      </c>
      <c r="V9" s="40">
        <v>1042192.662</v>
      </c>
      <c r="W9" s="40">
        <v>1051737.04738604</v>
      </c>
      <c r="X9" s="40">
        <v>1061033.4518179712</v>
      </c>
      <c r="Y9" s="40">
        <v>1070222.4860776754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17416.435608454816</v>
      </c>
      <c r="D10" s="41">
        <v>17470.992925207996</v>
      </c>
      <c r="E10" s="41">
        <v>17526.069835454666</v>
      </c>
      <c r="F10" s="41">
        <v>17580.627152207966</v>
      </c>
      <c r="G10" s="41">
        <v>17635.704062454035</v>
      </c>
      <c r="H10" s="41">
        <v>18855.690751352191</v>
      </c>
      <c r="I10" s="41">
        <v>22378.881028806427</v>
      </c>
      <c r="J10" s="41">
        <v>18988.187092038836</v>
      </c>
      <c r="K10" s="41">
        <v>10965.374898769902</v>
      </c>
      <c r="L10" s="41">
        <v>16713.26982518689</v>
      </c>
      <c r="M10" s="41">
        <v>18236.727339865072</v>
      </c>
      <c r="N10" s="41">
        <v>12434.455715811595</v>
      </c>
      <c r="O10" s="41">
        <v>11126.700770486001</v>
      </c>
      <c r="P10" s="41">
        <v>17800.9931021146</v>
      </c>
      <c r="Q10" s="41">
        <v>4414.9859090840582</v>
      </c>
      <c r="R10" s="41">
        <v>15091.923016645862</v>
      </c>
      <c r="S10" s="41">
        <v>15989.435937045397</v>
      </c>
      <c r="T10" s="41">
        <v>17758.903715530971</v>
      </c>
      <c r="U10" s="41">
        <v>17609.256195979597</v>
      </c>
      <c r="V10" s="41">
        <v>16884.674321653682</v>
      </c>
      <c r="W10" s="41">
        <v>16512.994317822162</v>
      </c>
      <c r="X10" s="41">
        <v>16291.566417486411</v>
      </c>
      <c r="Y10" s="41">
        <v>16224.966931518991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15674.792047609333</v>
      </c>
      <c r="D11" s="42">
        <v>15723.893632687199</v>
      </c>
      <c r="E11" s="42">
        <v>15773.4628519092</v>
      </c>
      <c r="F11" s="42">
        <v>15822.56443698717</v>
      </c>
      <c r="G11" s="42">
        <v>15872.133656208633</v>
      </c>
      <c r="H11" s="42">
        <v>16970.121676216972</v>
      </c>
      <c r="I11" s="42">
        <v>20140.992925925784</v>
      </c>
      <c r="J11" s="42">
        <v>17089.368382834953</v>
      </c>
      <c r="K11" s="42">
        <v>9868.8374088929104</v>
      </c>
      <c r="L11" s="42">
        <v>15041.942842668199</v>
      </c>
      <c r="M11" s="42">
        <v>16413.054605878566</v>
      </c>
      <c r="N11" s="42">
        <v>11191.010144230435</v>
      </c>
      <c r="O11" s="42">
        <v>10014.030693437398</v>
      </c>
      <c r="P11" s="42">
        <v>16020.893791903141</v>
      </c>
      <c r="Q11" s="42">
        <v>3973.4873181756525</v>
      </c>
      <c r="R11" s="42">
        <v>13582.730714981275</v>
      </c>
      <c r="S11" s="42">
        <v>14390.492343340858</v>
      </c>
      <c r="T11" s="42">
        <v>15983.013343977875</v>
      </c>
      <c r="U11" s="42">
        <v>15848.330576381635</v>
      </c>
      <c r="V11" s="42">
        <v>15196.20688948831</v>
      </c>
      <c r="W11" s="42">
        <v>14861.694886039946</v>
      </c>
      <c r="X11" s="42">
        <v>14662.409775737769</v>
      </c>
      <c r="Y11" s="42">
        <v>14602.470238367094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2270.83</v>
      </c>
      <c r="C13" s="43">
        <v>2412.5500000000002</v>
      </c>
      <c r="D13" s="43">
        <v>2210.0100000000002</v>
      </c>
      <c r="E13" s="43">
        <v>2374.08</v>
      </c>
      <c r="F13" s="43">
        <v>2502.7800000000002</v>
      </c>
      <c r="G13" s="43">
        <v>2506.25</v>
      </c>
      <c r="H13" s="43">
        <v>2315.4499999999998</v>
      </c>
      <c r="I13" s="43">
        <v>2264.04</v>
      </c>
      <c r="J13" s="43">
        <v>2442.65</v>
      </c>
      <c r="K13" s="43">
        <v>2384.9299999999998</v>
      </c>
      <c r="L13" s="43">
        <v>2756.06</v>
      </c>
      <c r="M13" s="43">
        <v>2057.4899999999998</v>
      </c>
      <c r="N13" s="43">
        <v>2439.2800000000002</v>
      </c>
      <c r="O13" s="43">
        <v>2637.51</v>
      </c>
      <c r="P13" s="43">
        <v>2080.89</v>
      </c>
      <c r="Q13" s="43">
        <v>2255.6999999999998</v>
      </c>
      <c r="R13" s="43">
        <v>2397.9</v>
      </c>
      <c r="S13" s="43">
        <v>2336</v>
      </c>
      <c r="T13" s="43">
        <v>2181.92</v>
      </c>
      <c r="U13" s="43">
        <v>2246.9499999999998</v>
      </c>
      <c r="V13" s="43">
        <v>2038.31</v>
      </c>
      <c r="W13" s="43">
        <v>2412.69</v>
      </c>
      <c r="X13" s="43">
        <v>2035.7</v>
      </c>
      <c r="Y13" s="43">
        <v>2045.09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2338.6466666666665</v>
      </c>
      <c r="C14" s="44">
        <f t="shared" ref="C14:Y14" si="0">AVERAGE($B$13:$V$13)</f>
        <v>2338.6466666666665</v>
      </c>
      <c r="D14" s="44">
        <f t="shared" si="0"/>
        <v>2338.6466666666665</v>
      </c>
      <c r="E14" s="44">
        <f t="shared" si="0"/>
        <v>2338.6466666666665</v>
      </c>
      <c r="F14" s="44">
        <f t="shared" si="0"/>
        <v>2338.6466666666665</v>
      </c>
      <c r="G14" s="44">
        <f t="shared" si="0"/>
        <v>2338.6466666666665</v>
      </c>
      <c r="H14" s="44">
        <f t="shared" si="0"/>
        <v>2338.6466666666665</v>
      </c>
      <c r="I14" s="44">
        <f t="shared" si="0"/>
        <v>2338.6466666666665</v>
      </c>
      <c r="J14" s="44">
        <f t="shared" si="0"/>
        <v>2338.6466666666665</v>
      </c>
      <c r="K14" s="44">
        <f t="shared" si="0"/>
        <v>2338.6466666666665</v>
      </c>
      <c r="L14" s="44">
        <f t="shared" si="0"/>
        <v>2338.6466666666665</v>
      </c>
      <c r="M14" s="44">
        <f t="shared" si="0"/>
        <v>2338.6466666666665</v>
      </c>
      <c r="N14" s="44">
        <f t="shared" si="0"/>
        <v>2338.6466666666665</v>
      </c>
      <c r="O14" s="44">
        <f t="shared" si="0"/>
        <v>2338.6466666666665</v>
      </c>
      <c r="P14" s="44">
        <f t="shared" si="0"/>
        <v>2338.6466666666665</v>
      </c>
      <c r="Q14" s="44">
        <f t="shared" si="0"/>
        <v>2338.6466666666665</v>
      </c>
      <c r="R14" s="44">
        <f t="shared" si="0"/>
        <v>2338.6466666666665</v>
      </c>
      <c r="S14" s="44">
        <f t="shared" si="0"/>
        <v>2338.6466666666665</v>
      </c>
      <c r="T14" s="44">
        <f t="shared" si="0"/>
        <v>2338.6466666666665</v>
      </c>
      <c r="U14" s="44">
        <f t="shared" si="0"/>
        <v>2338.6466666666665</v>
      </c>
      <c r="V14" s="44">
        <f t="shared" si="0"/>
        <v>2338.6466666666665</v>
      </c>
      <c r="W14" s="44">
        <f t="shared" si="0"/>
        <v>2338.6466666666665</v>
      </c>
      <c r="X14" s="44">
        <f t="shared" si="0"/>
        <v>2338.6466666666665</v>
      </c>
      <c r="Y14" s="44">
        <f t="shared" si="0"/>
        <v>2338.6466666666665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0.97100174744937962</v>
      </c>
      <c r="C15" s="46">
        <f t="shared" ref="C15:W15" si="1">C13/C14</f>
        <v>1.0316008973850974</v>
      </c>
      <c r="D15" s="46">
        <f t="shared" si="1"/>
        <v>0.9449952536652253</v>
      </c>
      <c r="E15" s="46">
        <f t="shared" si="1"/>
        <v>1.0151512128096878</v>
      </c>
      <c r="F15" s="46">
        <f t="shared" si="1"/>
        <v>1.0701830403338684</v>
      </c>
      <c r="G15" s="46">
        <f t="shared" si="1"/>
        <v>1.0716668044481568</v>
      </c>
      <c r="H15" s="46">
        <f t="shared" si="1"/>
        <v>0.99008115804867203</v>
      </c>
      <c r="I15" s="46">
        <f t="shared" si="1"/>
        <v>0.96809835887992202</v>
      </c>
      <c r="J15" s="46">
        <f t="shared" si="1"/>
        <v>1.0444715889816618</v>
      </c>
      <c r="K15" s="46">
        <f t="shared" si="1"/>
        <v>1.0197906481526353</v>
      </c>
      <c r="L15" s="46">
        <f t="shared" si="1"/>
        <v>1.178484992745092</v>
      </c>
      <c r="M15" s="46">
        <f t="shared" si="1"/>
        <v>0.87977804827293271</v>
      </c>
      <c r="N15" s="46">
        <f t="shared" si="1"/>
        <v>1.0430305846401196</v>
      </c>
      <c r="O15" s="46">
        <f t="shared" si="1"/>
        <v>1.1277932821546366</v>
      </c>
      <c r="P15" s="46">
        <f t="shared" si="1"/>
        <v>0.88978383509551107</v>
      </c>
      <c r="Q15" s="46">
        <f t="shared" si="1"/>
        <v>0.96453219383290045</v>
      </c>
      <c r="R15" s="46">
        <f t="shared" si="1"/>
        <v>1.0253365906777996</v>
      </c>
      <c r="S15" s="46">
        <f t="shared" si="1"/>
        <v>0.9988682913479876</v>
      </c>
      <c r="T15" s="46">
        <f t="shared" si="1"/>
        <v>0.93298403350085668</v>
      </c>
      <c r="U15" s="46">
        <f t="shared" si="1"/>
        <v>0.96079071371762015</v>
      </c>
      <c r="V15" s="46">
        <f t="shared" si="1"/>
        <v>0.87157672386023832</v>
      </c>
      <c r="W15" s="46">
        <f t="shared" si="1"/>
        <v>1.0316607610669419</v>
      </c>
      <c r="X15" s="46">
        <f t="shared" ref="X15:Y15" si="2">X13/X14</f>
        <v>0.8704606937915661</v>
      </c>
      <c r="Y15" s="46">
        <f t="shared" si="2"/>
        <v>0.87447583645242122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35180.136206669144</v>
      </c>
      <c r="C19" s="34">
        <f t="shared" si="3"/>
        <v>35593.170194267674</v>
      </c>
      <c r="D19" s="34">
        <f t="shared" ref="D19:W19" si="4">D4*1000000/D3</f>
        <v>35712.584971375538</v>
      </c>
      <c r="E19" s="34">
        <f t="shared" si="4"/>
        <v>35801.718880083296</v>
      </c>
      <c r="F19" s="34">
        <f t="shared" si="4"/>
        <v>36575.417219731025</v>
      </c>
      <c r="G19" s="34">
        <f t="shared" si="4"/>
        <v>36980.805263809714</v>
      </c>
      <c r="H19" s="34">
        <f t="shared" si="4"/>
        <v>37710.3421513301</v>
      </c>
      <c r="I19" s="34">
        <f t="shared" si="4"/>
        <v>38412.22709663205</v>
      </c>
      <c r="J19" s="34">
        <f t="shared" si="4"/>
        <v>38339.910219505138</v>
      </c>
      <c r="K19" s="34">
        <f t="shared" si="4"/>
        <v>37058.465155256388</v>
      </c>
      <c r="L19" s="34">
        <f t="shared" si="4"/>
        <v>37619.196061322473</v>
      </c>
      <c r="M19" s="34">
        <f t="shared" si="4"/>
        <v>38346.535045566881</v>
      </c>
      <c r="N19" s="34">
        <f t="shared" si="4"/>
        <v>38241.746353599105</v>
      </c>
      <c r="O19" s="34">
        <f t="shared" si="4"/>
        <v>38350.656621065551</v>
      </c>
      <c r="P19" s="34">
        <f t="shared" si="4"/>
        <v>38402.287532790782</v>
      </c>
      <c r="Q19" s="34">
        <f t="shared" si="4"/>
        <v>38641.203622736844</v>
      </c>
      <c r="R19" s="34">
        <f t="shared" si="4"/>
        <v>38868.217460034241</v>
      </c>
      <c r="S19" s="34">
        <f t="shared" si="4"/>
        <v>39576.027976952333</v>
      </c>
      <c r="T19" s="34">
        <f t="shared" si="4"/>
        <v>40097.50404146652</v>
      </c>
      <c r="U19" s="34">
        <f t="shared" si="4"/>
        <v>40750.028697551999</v>
      </c>
      <c r="V19" s="34">
        <f t="shared" si="4"/>
        <v>37615.686770108157</v>
      </c>
      <c r="W19" s="34">
        <f t="shared" si="4"/>
        <v>40053.15504082472</v>
      </c>
      <c r="X19" s="34">
        <f t="shared" ref="X19:Y19" si="5">X4*1000000/X3</f>
        <v>40921.613732335136</v>
      </c>
      <c r="Y19" s="34">
        <f t="shared" si="5"/>
        <v>41398.022854185168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72363.683093249012</v>
      </c>
      <c r="C20" s="36">
        <f t="shared" si="6"/>
        <v>72881.984526163928</v>
      </c>
      <c r="D20" s="36">
        <f t="shared" ref="D20:W20" si="7">D5*1000000/D6</f>
        <v>73512.557148398424</v>
      </c>
      <c r="E20" s="36">
        <f t="shared" si="7"/>
        <v>74372.649098872062</v>
      </c>
      <c r="F20" s="36">
        <f t="shared" si="7"/>
        <v>76512.479859387749</v>
      </c>
      <c r="G20" s="36">
        <f t="shared" si="7"/>
        <v>77561.517280705681</v>
      </c>
      <c r="H20" s="36">
        <f t="shared" si="7"/>
        <v>79008.593056159079</v>
      </c>
      <c r="I20" s="36">
        <f t="shared" si="7"/>
        <v>79857.66245791821</v>
      </c>
      <c r="J20" s="36">
        <f t="shared" si="7"/>
        <v>80266.879376739264</v>
      </c>
      <c r="K20" s="36">
        <f t="shared" si="7"/>
        <v>79651.401049752676</v>
      </c>
      <c r="L20" s="36">
        <f t="shared" si="7"/>
        <v>80554.192776285316</v>
      </c>
      <c r="M20" s="36">
        <f t="shared" si="7"/>
        <v>81527.334502528742</v>
      </c>
      <c r="N20" s="36">
        <f t="shared" si="7"/>
        <v>81687.270548070228</v>
      </c>
      <c r="O20" s="36">
        <f t="shared" si="7"/>
        <v>82074.731750717532</v>
      </c>
      <c r="P20" s="36">
        <f t="shared" si="7"/>
        <v>82545.143573375753</v>
      </c>
      <c r="Q20" s="36">
        <f t="shared" si="7"/>
        <v>82603.963518692995</v>
      </c>
      <c r="R20" s="36">
        <f t="shared" si="7"/>
        <v>82667.13601757845</v>
      </c>
      <c r="S20" s="36">
        <f t="shared" si="7"/>
        <v>83006.095804065451</v>
      </c>
      <c r="T20" s="36">
        <f t="shared" si="7"/>
        <v>83291.716002274406</v>
      </c>
      <c r="U20" s="36">
        <f t="shared" si="7"/>
        <v>84218.321689921766</v>
      </c>
      <c r="V20" s="36">
        <f t="shared" si="7"/>
        <v>78962.674635331365</v>
      </c>
      <c r="W20" s="36">
        <f t="shared" si="7"/>
        <v>81950.225201727459</v>
      </c>
      <c r="X20" s="36">
        <f t="shared" ref="X20:Y20" si="8">X5*1000000/X6</f>
        <v>82143.535175811048</v>
      </c>
      <c r="Y20" s="36">
        <f t="shared" si="8"/>
        <v>80764.774664444922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23838.712427914874</v>
      </c>
      <c r="C21" s="36">
        <f t="shared" si="9"/>
        <v>24245.185196061171</v>
      </c>
      <c r="D21" s="36">
        <f t="shared" ref="D21:W21" si="10">D5*1000000/D3</f>
        <v>24490.926719012186</v>
      </c>
      <c r="E21" s="36">
        <f t="shared" si="10"/>
        <v>24707.014758229026</v>
      </c>
      <c r="F21" s="36">
        <f t="shared" si="10"/>
        <v>25382.092812334202</v>
      </c>
      <c r="G21" s="36">
        <f t="shared" si="10"/>
        <v>25765.259661500953</v>
      </c>
      <c r="H21" s="36">
        <f t="shared" si="10"/>
        <v>26442.478164190194</v>
      </c>
      <c r="I21" s="36">
        <f t="shared" si="10"/>
        <v>27008.788713436283</v>
      </c>
      <c r="J21" s="36">
        <f t="shared" si="10"/>
        <v>27179.198596816437</v>
      </c>
      <c r="K21" s="36">
        <f t="shared" si="10"/>
        <v>26661.278828317605</v>
      </c>
      <c r="L21" s="36">
        <f t="shared" si="10"/>
        <v>27069.104569145089</v>
      </c>
      <c r="M21" s="36">
        <f t="shared" si="10"/>
        <v>27551.085225895375</v>
      </c>
      <c r="N21" s="36">
        <f t="shared" si="10"/>
        <v>27627.666485827336</v>
      </c>
      <c r="O21" s="36">
        <f t="shared" si="10"/>
        <v>27721.718768576287</v>
      </c>
      <c r="P21" s="36">
        <f t="shared" si="10"/>
        <v>27848.733306145426</v>
      </c>
      <c r="Q21" s="36">
        <f t="shared" si="10"/>
        <v>27966.805227885285</v>
      </c>
      <c r="R21" s="36">
        <f t="shared" si="10"/>
        <v>28240.241943803332</v>
      </c>
      <c r="S21" s="36">
        <f t="shared" si="10"/>
        <v>28732.289452268775</v>
      </c>
      <c r="T21" s="36">
        <f t="shared" si="10"/>
        <v>29058.305589203173</v>
      </c>
      <c r="U21" s="36">
        <f t="shared" si="10"/>
        <v>29531.900862982427</v>
      </c>
      <c r="V21" s="36">
        <f t="shared" si="10"/>
        <v>27542.871996246031</v>
      </c>
      <c r="W21" s="36">
        <f t="shared" si="10"/>
        <v>29293.015275639977</v>
      </c>
      <c r="X21" s="36">
        <f t="shared" ref="X21:Y21" si="11">X5*1000000/X3</f>
        <v>29921.261835066842</v>
      </c>
      <c r="Y21" s="36">
        <f t="shared" si="11"/>
        <v>29700.010967018377</v>
      </c>
      <c r="DA21" s="89"/>
    </row>
    <row r="22" spans="1:105" ht="12" customHeight="1" x14ac:dyDescent="0.25">
      <c r="A22" s="51" t="s">
        <v>148</v>
      </c>
      <c r="B22" s="52">
        <v>1.3006844610100126</v>
      </c>
      <c r="C22" s="52">
        <v>1.289872141912962</v>
      </c>
      <c r="D22" s="52">
        <v>1.277175591191273</v>
      </c>
      <c r="E22" s="52">
        <v>1.2743643049439894</v>
      </c>
      <c r="F22" s="52">
        <v>1.2795000872153521</v>
      </c>
      <c r="G22" s="52">
        <v>1.2713832120670068</v>
      </c>
      <c r="H22" s="52">
        <v>1.2660237839598627</v>
      </c>
      <c r="I22" s="52">
        <v>1.2546943027559345</v>
      </c>
      <c r="J22" s="52">
        <v>1.2458322774446438</v>
      </c>
      <c r="K22" s="52">
        <v>1.2503729070084504</v>
      </c>
      <c r="L22" s="52">
        <v>1.250685037302067</v>
      </c>
      <c r="M22" s="52">
        <v>1.2478798001860922</v>
      </c>
      <c r="N22" s="52">
        <v>1.2553275383873865</v>
      </c>
      <c r="O22" s="52">
        <v>1.2523526043218638</v>
      </c>
      <c r="P22" s="52">
        <v>1.2376324706837354</v>
      </c>
      <c r="Q22" s="52">
        <v>1.2225613783181251</v>
      </c>
      <c r="R22" s="52">
        <v>1.214081592818985</v>
      </c>
      <c r="S22" s="52">
        <v>1.20290338482014</v>
      </c>
      <c r="T22" s="52">
        <v>1.1908693562538657</v>
      </c>
      <c r="U22" s="52">
        <v>1.1877656830604939</v>
      </c>
      <c r="V22" s="52">
        <v>1.170437674724611</v>
      </c>
      <c r="W22" s="52">
        <v>1.1729503663197878</v>
      </c>
      <c r="X22" s="52">
        <v>1.1619413455688303</v>
      </c>
      <c r="Y22" s="52">
        <v>1.1506657284532753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21.55428514084057</v>
      </c>
      <c r="C23" s="53">
        <f t="shared" si="12"/>
        <v>21.601870869730437</v>
      </c>
      <c r="D23" s="53">
        <f t="shared" ref="D23:W23" si="13">D6/D8</f>
        <v>21.477743320794474</v>
      </c>
      <c r="E23" s="53">
        <f t="shared" si="13"/>
        <v>21.264018740858514</v>
      </c>
      <c r="F23" s="53">
        <f t="shared" si="13"/>
        <v>21.081881635672573</v>
      </c>
      <c r="G23" s="53">
        <f t="shared" si="13"/>
        <v>20.980028122265036</v>
      </c>
      <c r="H23" s="53">
        <f t="shared" si="13"/>
        <v>20.976878050288352</v>
      </c>
      <c r="I23" s="53">
        <f t="shared" si="13"/>
        <v>20.956536385622552</v>
      </c>
      <c r="J23" s="53">
        <f t="shared" si="13"/>
        <v>20.799316012735748</v>
      </c>
      <c r="K23" s="53">
        <f t="shared" si="13"/>
        <v>20.536854123185634</v>
      </c>
      <c r="L23" s="53">
        <f t="shared" si="13"/>
        <v>20.471859389511945</v>
      </c>
      <c r="M23" s="53">
        <f t="shared" si="13"/>
        <v>20.420317888809524</v>
      </c>
      <c r="N23" s="53">
        <f t="shared" si="13"/>
        <v>20.376676801179315</v>
      </c>
      <c r="O23" s="53">
        <f t="shared" si="13"/>
        <v>20.322915306787561</v>
      </c>
      <c r="P23" s="53">
        <f t="shared" si="13"/>
        <v>20.225388165264338</v>
      </c>
      <c r="Q23" s="53">
        <f t="shared" si="13"/>
        <v>20.393025188269107</v>
      </c>
      <c r="R23" s="53">
        <f t="shared" si="13"/>
        <v>20.457033051631637</v>
      </c>
      <c r="S23" s="53">
        <f t="shared" si="13"/>
        <v>20.590990685072985</v>
      </c>
      <c r="T23" s="53">
        <f t="shared" si="13"/>
        <v>20.599814586614915</v>
      </c>
      <c r="U23" s="53">
        <f t="shared" si="13"/>
        <v>20.572662072270386</v>
      </c>
      <c r="V23" s="53">
        <f t="shared" si="13"/>
        <v>20.324322721051743</v>
      </c>
      <c r="W23" s="53">
        <f t="shared" si="13"/>
        <v>20.716727678418</v>
      </c>
      <c r="X23" s="53">
        <f t="shared" ref="X23:Y23" si="14">X6/X8</f>
        <v>21.038469580532702</v>
      </c>
      <c r="Y23" s="53">
        <f t="shared" si="14"/>
        <v>21.114404055195614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13.755330106881161</v>
      </c>
      <c r="C24" s="54">
        <f t="shared" si="15"/>
        <v>13.85978393405993</v>
      </c>
      <c r="D24" s="54">
        <f t="shared" ref="D24:W24" si="16">D9*1000/D3</f>
        <v>13.960389980814305</v>
      </c>
      <c r="E24" s="54">
        <f t="shared" si="16"/>
        <v>14.060610788672331</v>
      </c>
      <c r="F24" s="54">
        <f t="shared" si="16"/>
        <v>14.162120601388736</v>
      </c>
      <c r="G24" s="54">
        <f t="shared" si="16"/>
        <v>14.250321770876006</v>
      </c>
      <c r="H24" s="54">
        <f t="shared" si="16"/>
        <v>14.359174795026943</v>
      </c>
      <c r="I24" s="54">
        <f t="shared" si="16"/>
        <v>14.524845364797343</v>
      </c>
      <c r="J24" s="54">
        <f t="shared" si="16"/>
        <v>14.651892523499031</v>
      </c>
      <c r="K24" s="54">
        <f t="shared" si="16"/>
        <v>14.668852738384897</v>
      </c>
      <c r="L24" s="54">
        <f t="shared" si="16"/>
        <v>14.773076926121654</v>
      </c>
      <c r="M24" s="54">
        <f t="shared" si="16"/>
        <v>14.8941415707696</v>
      </c>
      <c r="N24" s="54">
        <f t="shared" si="16"/>
        <v>14.938224157281329</v>
      </c>
      <c r="O24" s="54">
        <f t="shared" si="16"/>
        <v>14.957781454926787</v>
      </c>
      <c r="P24" s="54">
        <f t="shared" si="16"/>
        <v>15.012726163677591</v>
      </c>
      <c r="Q24" s="54">
        <f t="shared" si="16"/>
        <v>14.941796780630916</v>
      </c>
      <c r="R24" s="54">
        <f t="shared" si="16"/>
        <v>15.029183390899638</v>
      </c>
      <c r="S24" s="54">
        <f t="shared" si="16"/>
        <v>15.129532651028972</v>
      </c>
      <c r="T24" s="54">
        <f t="shared" si="16"/>
        <v>15.242200671684424</v>
      </c>
      <c r="U24" s="54">
        <f t="shared" si="16"/>
        <v>15.340405383672495</v>
      </c>
      <c r="V24" s="54">
        <f t="shared" si="16"/>
        <v>15.445920689840838</v>
      </c>
      <c r="W24" s="54">
        <f t="shared" si="16"/>
        <v>15.52870640031899</v>
      </c>
      <c r="X24" s="54">
        <f t="shared" ref="X24:Y24" si="17">X9*1000/X3</f>
        <v>15.582419077078615</v>
      </c>
      <c r="Y24" s="54">
        <f t="shared" si="17"/>
        <v>15.674666350275229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41.755038226468507</v>
      </c>
      <c r="C25" s="54">
        <f t="shared" si="18"/>
        <v>41.663058048417582</v>
      </c>
      <c r="D25" s="54">
        <f t="shared" ref="D25:W25" si="19">D9*1000/D6</f>
        <v>41.903843739888245</v>
      </c>
      <c r="E25" s="54">
        <f t="shared" si="19"/>
        <v>42.325019130587137</v>
      </c>
      <c r="F25" s="54">
        <f t="shared" si="19"/>
        <v>42.690686512399026</v>
      </c>
      <c r="G25" s="54">
        <f t="shared" si="19"/>
        <v>42.897940591646574</v>
      </c>
      <c r="H25" s="54">
        <f t="shared" si="19"/>
        <v>42.904382522623692</v>
      </c>
      <c r="I25" s="54">
        <f t="shared" si="19"/>
        <v>42.946028076350167</v>
      </c>
      <c r="J25" s="54">
        <f t="shared" si="19"/>
        <v>43.270653681540097</v>
      </c>
      <c r="K25" s="54">
        <f t="shared" si="19"/>
        <v>43.823654518922673</v>
      </c>
      <c r="L25" s="54">
        <f t="shared" si="19"/>
        <v>43.962787301141979</v>
      </c>
      <c r="M25" s="54">
        <f t="shared" si="19"/>
        <v>44.073750707534586</v>
      </c>
      <c r="N25" s="54">
        <f t="shared" si="19"/>
        <v>44.168144235762313</v>
      </c>
      <c r="O25" s="54">
        <f t="shared" si="19"/>
        <v>44.284985023748682</v>
      </c>
      <c r="P25" s="54">
        <f t="shared" si="19"/>
        <v>44.498527921737782</v>
      </c>
      <c r="Q25" s="54">
        <f t="shared" si="19"/>
        <v>44.132736153227356</v>
      </c>
      <c r="R25" s="54">
        <f t="shared" si="19"/>
        <v>43.994649552967147</v>
      </c>
      <c r="S25" s="54">
        <f t="shared" si="19"/>
        <v>43.708436071142344</v>
      </c>
      <c r="T25" s="54">
        <f t="shared" si="19"/>
        <v>43.689713624160028</v>
      </c>
      <c r="U25" s="54">
        <f t="shared" si="19"/>
        <v>43.747376826506944</v>
      </c>
      <c r="V25" s="54">
        <f t="shared" si="19"/>
        <v>44.28191838677057</v>
      </c>
      <c r="W25" s="54">
        <f t="shared" si="19"/>
        <v>43.443154438796341</v>
      </c>
      <c r="X25" s="54">
        <f t="shared" ref="X25:Y25" si="20">X9*1000/X6</f>
        <v>42.778777066217167</v>
      </c>
      <c r="Y25" s="54">
        <f t="shared" si="20"/>
        <v>42.624930244173164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899.99999999999989</v>
      </c>
      <c r="G26" s="55">
        <f t="shared" si="22"/>
        <v>900</v>
      </c>
      <c r="H26" s="55">
        <f t="shared" si="22"/>
        <v>900</v>
      </c>
      <c r="I26" s="55">
        <f t="shared" si="22"/>
        <v>900</v>
      </c>
      <c r="J26" s="55">
        <f t="shared" si="22"/>
        <v>900</v>
      </c>
      <c r="K26" s="55">
        <f t="shared" si="22"/>
        <v>899.99999999999989</v>
      </c>
      <c r="L26" s="55">
        <f t="shared" si="22"/>
        <v>900</v>
      </c>
      <c r="M26" s="55">
        <f t="shared" si="22"/>
        <v>900</v>
      </c>
      <c r="N26" s="55">
        <f t="shared" si="22"/>
        <v>899.99999999999989</v>
      </c>
      <c r="O26" s="55">
        <f t="shared" si="22"/>
        <v>900</v>
      </c>
      <c r="P26" s="55">
        <f t="shared" si="22"/>
        <v>900</v>
      </c>
      <c r="Q26" s="55">
        <f t="shared" si="22"/>
        <v>900.00000000000011</v>
      </c>
      <c r="R26" s="55">
        <f t="shared" si="22"/>
        <v>899.99999999999989</v>
      </c>
      <c r="S26" s="55">
        <f t="shared" si="22"/>
        <v>900</v>
      </c>
      <c r="T26" s="55">
        <f t="shared" si="22"/>
        <v>900.00000000000023</v>
      </c>
      <c r="U26" s="55">
        <f t="shared" si="22"/>
        <v>899.99999999999989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900.00000000000023</v>
      </c>
      <c r="E27" s="57">
        <f t="shared" si="25"/>
        <v>900</v>
      </c>
      <c r="F27" s="57">
        <f t="shared" si="25"/>
        <v>900</v>
      </c>
      <c r="G27" s="57">
        <f t="shared" si="25"/>
        <v>900.00000000000011</v>
      </c>
      <c r="H27" s="57">
        <f t="shared" si="25"/>
        <v>900</v>
      </c>
      <c r="I27" s="57">
        <f t="shared" si="25"/>
        <v>900</v>
      </c>
      <c r="J27" s="57">
        <f t="shared" si="25"/>
        <v>900</v>
      </c>
      <c r="K27" s="57">
        <f t="shared" si="25"/>
        <v>899.99999999999989</v>
      </c>
      <c r="L27" s="57">
        <f t="shared" si="25"/>
        <v>899.99999999999989</v>
      </c>
      <c r="M27" s="57">
        <f t="shared" si="25"/>
        <v>900</v>
      </c>
      <c r="N27" s="57">
        <f t="shared" si="25"/>
        <v>899.99999999999989</v>
      </c>
      <c r="O27" s="57">
        <f t="shared" si="25"/>
        <v>899.99999999999989</v>
      </c>
      <c r="P27" s="57">
        <f t="shared" si="25"/>
        <v>900.00000000000011</v>
      </c>
      <c r="Q27" s="57">
        <f t="shared" si="25"/>
        <v>900</v>
      </c>
      <c r="R27" s="57">
        <f t="shared" si="25"/>
        <v>899.99999999999989</v>
      </c>
      <c r="S27" s="57">
        <f t="shared" si="25"/>
        <v>900.00000000000011</v>
      </c>
      <c r="T27" s="57">
        <f t="shared" si="25"/>
        <v>900</v>
      </c>
      <c r="U27" s="57">
        <f t="shared" si="25"/>
        <v>899.99999999999989</v>
      </c>
      <c r="V27" s="57">
        <f t="shared" si="25"/>
        <v>899.99999999999977</v>
      </c>
      <c r="W27" s="57">
        <f t="shared" si="25"/>
        <v>900</v>
      </c>
      <c r="X27" s="57">
        <f t="shared" ref="X27:Y27" si="26">IF(SUM(X11)=0,"",X11*1000/X10)</f>
        <v>900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20705.51041844158</v>
      </c>
      <c r="C31" s="80">
        <f t="shared" ref="C31:W31" si="27">SUM(C32:C33,C36:C37,C44:C45)</f>
        <v>21770.004966671986</v>
      </c>
      <c r="D31" s="80">
        <f t="shared" si="27"/>
        <v>20841.765616045639</v>
      </c>
      <c r="E31" s="80">
        <f t="shared" si="27"/>
        <v>22707.74326267096</v>
      </c>
      <c r="F31" s="80">
        <f t="shared" si="27"/>
        <v>23239.03806952131</v>
      </c>
      <c r="G31" s="80">
        <f t="shared" si="27"/>
        <v>23157.819357505854</v>
      </c>
      <c r="H31" s="80">
        <f t="shared" si="27"/>
        <v>22362.58784915915</v>
      </c>
      <c r="I31" s="80">
        <f t="shared" si="27"/>
        <v>21810.352943950671</v>
      </c>
      <c r="J31" s="80">
        <f t="shared" si="27"/>
        <v>22056.371651805806</v>
      </c>
      <c r="K31" s="80">
        <f t="shared" si="27"/>
        <v>23526.41248646046</v>
      </c>
      <c r="L31" s="80">
        <f t="shared" si="27"/>
        <v>24682.315720460756</v>
      </c>
      <c r="M31" s="80">
        <f t="shared" si="27"/>
        <v>21198.423805520848</v>
      </c>
      <c r="N31" s="80">
        <f t="shared" si="27"/>
        <v>22609.729669663386</v>
      </c>
      <c r="O31" s="80">
        <f t="shared" si="27"/>
        <v>23245.004778527909</v>
      </c>
      <c r="P31" s="80">
        <f t="shared" si="27"/>
        <v>21913.941210513582</v>
      </c>
      <c r="Q31" s="80">
        <f t="shared" si="27"/>
        <v>22580.853517180443</v>
      </c>
      <c r="R31" s="80">
        <f t="shared" si="27"/>
        <v>22054.035105665986</v>
      </c>
      <c r="S31" s="80">
        <f t="shared" si="27"/>
        <v>22654.605898811624</v>
      </c>
      <c r="T31" s="80">
        <f t="shared" si="27"/>
        <v>22481.063241042531</v>
      </c>
      <c r="U31" s="80">
        <f t="shared" si="27"/>
        <v>21975.310718182856</v>
      </c>
      <c r="V31" s="80">
        <f t="shared" si="27"/>
        <v>20708.188048881602</v>
      </c>
      <c r="W31" s="80">
        <f t="shared" si="27"/>
        <v>21698.572935999797</v>
      </c>
      <c r="X31" s="80">
        <f t="shared" ref="X31:Y31" si="28">SUM(X32:X33,X36:X37,X44:X45)</f>
        <v>20960.79224662757</v>
      </c>
      <c r="Y31" s="80">
        <f t="shared" si="28"/>
        <v>19142.247629551766</v>
      </c>
      <c r="DA31" s="103" t="s">
        <v>199</v>
      </c>
    </row>
    <row r="32" spans="1:105" ht="12" customHeight="1" x14ac:dyDescent="0.25">
      <c r="A32" s="58" t="s">
        <v>29</v>
      </c>
      <c r="B32" s="59">
        <v>257.73860705073082</v>
      </c>
      <c r="C32" s="59">
        <v>251.07472055030092</v>
      </c>
      <c r="D32" s="59">
        <v>173.64092863284606</v>
      </c>
      <c r="E32" s="59">
        <v>196.33121238177119</v>
      </c>
      <c r="F32" s="59">
        <v>193.99071367153914</v>
      </c>
      <c r="G32" s="59">
        <v>204.59544282029231</v>
      </c>
      <c r="H32" s="59">
        <v>200.39174548581252</v>
      </c>
      <c r="I32" s="59">
        <v>190.64677558039548</v>
      </c>
      <c r="J32" s="59">
        <v>170.77480653482368</v>
      </c>
      <c r="K32" s="59">
        <v>149.6130696474635</v>
      </c>
      <c r="L32" s="59">
        <v>167.71762682717107</v>
      </c>
      <c r="M32" s="59">
        <v>46.226397248495267</v>
      </c>
      <c r="N32" s="59">
        <v>51.62269991401547</v>
      </c>
      <c r="O32" s="59">
        <v>55.54496990541702</v>
      </c>
      <c r="P32" s="59">
        <v>41.443336199484087</v>
      </c>
      <c r="Q32" s="59">
        <v>42.534393809114363</v>
      </c>
      <c r="R32" s="59">
        <v>44.112381771281171</v>
      </c>
      <c r="S32" s="59">
        <v>41.214617368873597</v>
      </c>
      <c r="T32" s="59">
        <v>36.258039552880476</v>
      </c>
      <c r="U32" s="59">
        <v>34.85717970765262</v>
      </c>
      <c r="V32" s="59">
        <v>30.631384350816845</v>
      </c>
      <c r="W32" s="59">
        <v>36.360791057609632</v>
      </c>
      <c r="X32" s="59">
        <v>32.920980223559759</v>
      </c>
      <c r="Y32" s="59">
        <v>28.816680997420459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4962.5131556319857</v>
      </c>
      <c r="C33" s="55">
        <f t="shared" ref="C33:W33" si="29">SUM(C34:C35)</f>
        <v>5178.9744625967323</v>
      </c>
      <c r="D33" s="55">
        <f t="shared" si="29"/>
        <v>4685.8244196044716</v>
      </c>
      <c r="E33" s="55">
        <f t="shared" si="29"/>
        <v>4883.621496130695</v>
      </c>
      <c r="F33" s="55">
        <f t="shared" si="29"/>
        <v>4881.4674118658641</v>
      </c>
      <c r="G33" s="55">
        <f t="shared" si="29"/>
        <v>4543.8844368013761</v>
      </c>
      <c r="H33" s="55">
        <f t="shared" si="29"/>
        <v>4170.5243336199483</v>
      </c>
      <c r="I33" s="55">
        <f t="shared" si="29"/>
        <v>3718.9701633705927</v>
      </c>
      <c r="J33" s="55">
        <f t="shared" si="29"/>
        <v>4340.5265692175408</v>
      </c>
      <c r="K33" s="55">
        <f t="shared" si="29"/>
        <v>4185.7881341358552</v>
      </c>
      <c r="L33" s="55">
        <f t="shared" si="29"/>
        <v>3885.652364574376</v>
      </c>
      <c r="M33" s="55">
        <f t="shared" si="29"/>
        <v>3088.6242476354259</v>
      </c>
      <c r="N33" s="55">
        <f t="shared" si="29"/>
        <v>3124.101031814273</v>
      </c>
      <c r="O33" s="55">
        <f t="shared" si="29"/>
        <v>3117.7081685296639</v>
      </c>
      <c r="P33" s="55">
        <f t="shared" si="29"/>
        <v>3319.4958727429052</v>
      </c>
      <c r="Q33" s="55">
        <f t="shared" si="29"/>
        <v>3303.0768701633706</v>
      </c>
      <c r="R33" s="55">
        <f t="shared" si="29"/>
        <v>2511.9613069647457</v>
      </c>
      <c r="S33" s="55">
        <f t="shared" si="29"/>
        <v>2887.3098882201211</v>
      </c>
      <c r="T33" s="55">
        <f t="shared" si="29"/>
        <v>2607.2376612209796</v>
      </c>
      <c r="U33" s="55">
        <f t="shared" si="29"/>
        <v>2508.3797936371448</v>
      </c>
      <c r="V33" s="55">
        <f t="shared" si="29"/>
        <v>2655.1402407566634</v>
      </c>
      <c r="W33" s="55">
        <f t="shared" si="29"/>
        <v>2193.8920034393814</v>
      </c>
      <c r="X33" s="55">
        <f t="shared" ref="X33:Y33" si="30">SUM(X34:X35)</f>
        <v>2520.5160791057606</v>
      </c>
      <c r="Y33" s="55">
        <f t="shared" si="30"/>
        <v>2100.4645743766123</v>
      </c>
      <c r="DA33" s="101"/>
    </row>
    <row r="34" spans="1:105" ht="12" customHeight="1" x14ac:dyDescent="0.25">
      <c r="A34" s="61" t="s">
        <v>52</v>
      </c>
      <c r="B34" s="55">
        <v>341.18177128116929</v>
      </c>
      <c r="C34" s="55">
        <v>160.42330180567498</v>
      </c>
      <c r="D34" s="55">
        <v>439.46921754084264</v>
      </c>
      <c r="E34" s="55">
        <v>510.89140154772139</v>
      </c>
      <c r="F34" s="55">
        <v>573.32226999140141</v>
      </c>
      <c r="G34" s="55">
        <v>469.58607050730865</v>
      </c>
      <c r="H34" s="55">
        <v>399.97411865864143</v>
      </c>
      <c r="I34" s="55">
        <v>437.75374032674108</v>
      </c>
      <c r="J34" s="55">
        <v>494.47033533963884</v>
      </c>
      <c r="K34" s="55">
        <v>483.45159071367152</v>
      </c>
      <c r="L34" s="55">
        <v>511.92742906276862</v>
      </c>
      <c r="M34" s="55">
        <v>314.50034393809102</v>
      </c>
      <c r="N34" s="55">
        <v>394.36087704213236</v>
      </c>
      <c r="O34" s="55">
        <v>322.40980223559757</v>
      </c>
      <c r="P34" s="55">
        <v>295.31831470335334</v>
      </c>
      <c r="Q34" s="55">
        <v>342.67403267411862</v>
      </c>
      <c r="R34" s="55">
        <v>318.69845227858985</v>
      </c>
      <c r="S34" s="55">
        <v>344.90877042132416</v>
      </c>
      <c r="T34" s="55">
        <v>317.40963026655197</v>
      </c>
      <c r="U34" s="55">
        <v>324.71152192605336</v>
      </c>
      <c r="V34" s="55">
        <v>266.85012897678416</v>
      </c>
      <c r="W34" s="55">
        <v>163.28744625967326</v>
      </c>
      <c r="X34" s="55">
        <v>190.69647463456576</v>
      </c>
      <c r="Y34" s="55">
        <v>203.30292347377474</v>
      </c>
      <c r="DA34" s="101" t="s">
        <v>201</v>
      </c>
    </row>
    <row r="35" spans="1:105" ht="12" customHeight="1" x14ac:dyDescent="0.25">
      <c r="A35" s="61" t="s">
        <v>163</v>
      </c>
      <c r="B35" s="55">
        <v>4621.3313843508167</v>
      </c>
      <c r="C35" s="55">
        <v>5018.5511607910576</v>
      </c>
      <c r="D35" s="55">
        <v>4246.3552020636289</v>
      </c>
      <c r="E35" s="55">
        <v>4372.7300945829738</v>
      </c>
      <c r="F35" s="55">
        <v>4308.1451418744628</v>
      </c>
      <c r="G35" s="55">
        <v>4074.2983662940674</v>
      </c>
      <c r="H35" s="55">
        <v>3770.5502149613067</v>
      </c>
      <c r="I35" s="55">
        <v>3281.2164230438516</v>
      </c>
      <c r="J35" s="55">
        <v>3846.0562338779018</v>
      </c>
      <c r="K35" s="55">
        <v>3702.3365434221837</v>
      </c>
      <c r="L35" s="55">
        <v>3373.7249355116073</v>
      </c>
      <c r="M35" s="55">
        <v>2774.1239036973348</v>
      </c>
      <c r="N35" s="55">
        <v>2729.7401547721406</v>
      </c>
      <c r="O35" s="55">
        <v>2795.2983662940665</v>
      </c>
      <c r="P35" s="55">
        <v>3024.177558039552</v>
      </c>
      <c r="Q35" s="55">
        <v>2960.4028374892519</v>
      </c>
      <c r="R35" s="55">
        <v>2193.2628546861561</v>
      </c>
      <c r="S35" s="55">
        <v>2542.4011177987968</v>
      </c>
      <c r="T35" s="55">
        <v>2289.8280309544275</v>
      </c>
      <c r="U35" s="55">
        <v>2183.6682717110916</v>
      </c>
      <c r="V35" s="55">
        <v>2388.2901117798792</v>
      </c>
      <c r="W35" s="55">
        <v>2030.6045571797081</v>
      </c>
      <c r="X35" s="55">
        <v>2329.8196044711949</v>
      </c>
      <c r="Y35" s="55">
        <v>1897.1616509028377</v>
      </c>
      <c r="DA35" s="101" t="s">
        <v>202</v>
      </c>
    </row>
    <row r="36" spans="1:105" ht="12" customHeight="1" x14ac:dyDescent="0.25">
      <c r="A36" s="60" t="s">
        <v>149</v>
      </c>
      <c r="B36" s="55">
        <v>4539.0963026655199</v>
      </c>
      <c r="C36" s="55">
        <v>4631.4795356835766</v>
      </c>
      <c r="D36" s="55">
        <v>4137.9940670679271</v>
      </c>
      <c r="E36" s="55">
        <v>5306.742562338778</v>
      </c>
      <c r="F36" s="55">
        <v>5503.6130696474629</v>
      </c>
      <c r="G36" s="55">
        <v>5609.5898538263109</v>
      </c>
      <c r="H36" s="55">
        <v>4983.893723129836</v>
      </c>
      <c r="I36" s="55">
        <v>5221.7824591573517</v>
      </c>
      <c r="J36" s="55">
        <v>4821.0180567497846</v>
      </c>
      <c r="K36" s="55">
        <v>5991.5932072226997</v>
      </c>
      <c r="L36" s="55">
        <v>6749.3625107480648</v>
      </c>
      <c r="M36" s="55">
        <v>5211.3773000859837</v>
      </c>
      <c r="N36" s="55">
        <v>5956.8352101279797</v>
      </c>
      <c r="O36" s="55">
        <v>6404.4681262485719</v>
      </c>
      <c r="P36" s="55">
        <v>5501.0866168199036</v>
      </c>
      <c r="Q36" s="55">
        <v>5847.9715080077831</v>
      </c>
      <c r="R36" s="55">
        <v>5946.2274053758629</v>
      </c>
      <c r="S36" s="55">
        <v>6144.157999671148</v>
      </c>
      <c r="T36" s="55">
        <v>6351.4437113897484</v>
      </c>
      <c r="U36" s="55">
        <v>6224.8296514791182</v>
      </c>
      <c r="V36" s="55">
        <v>5659.1933517241105</v>
      </c>
      <c r="W36" s="55">
        <v>6411.7666140928095</v>
      </c>
      <c r="X36" s="55">
        <v>5337.2266634323887</v>
      </c>
      <c r="Y36" s="55">
        <v>4775.1517099723769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367.63155631986251</v>
      </c>
      <c r="C37" s="55">
        <f t="shared" ref="C37:W37" si="31">SUM(C38:C42)</f>
        <v>418.81625107480659</v>
      </c>
      <c r="D37" s="55">
        <f t="shared" si="31"/>
        <v>524.62502149613067</v>
      </c>
      <c r="E37" s="55">
        <f t="shared" si="31"/>
        <v>585.02914875322426</v>
      </c>
      <c r="F37" s="55">
        <f t="shared" si="31"/>
        <v>617.22562338779028</v>
      </c>
      <c r="G37" s="55">
        <f t="shared" si="31"/>
        <v>336.03241616509024</v>
      </c>
      <c r="H37" s="55">
        <f t="shared" si="31"/>
        <v>264.83233018056745</v>
      </c>
      <c r="I37" s="55">
        <f t="shared" si="31"/>
        <v>389.76345657781604</v>
      </c>
      <c r="J37" s="55">
        <f t="shared" si="31"/>
        <v>413.83628546861559</v>
      </c>
      <c r="K37" s="55">
        <f t="shared" si="31"/>
        <v>521.68839208942393</v>
      </c>
      <c r="L37" s="55">
        <f t="shared" si="31"/>
        <v>456.70894239036943</v>
      </c>
      <c r="M37" s="55">
        <f t="shared" si="31"/>
        <v>304.91814273430776</v>
      </c>
      <c r="N37" s="55">
        <f t="shared" si="31"/>
        <v>382.18009511707589</v>
      </c>
      <c r="O37" s="55">
        <f t="shared" si="31"/>
        <v>514.45698123208103</v>
      </c>
      <c r="P37" s="55">
        <f t="shared" si="31"/>
        <v>474.26746744492732</v>
      </c>
      <c r="Q37" s="55">
        <f t="shared" si="31"/>
        <v>452.17294599049728</v>
      </c>
      <c r="R37" s="55">
        <f t="shared" si="31"/>
        <v>519.15909505405989</v>
      </c>
      <c r="S37" s="55">
        <f t="shared" si="31"/>
        <v>575.28138124028703</v>
      </c>
      <c r="T37" s="55">
        <f t="shared" si="31"/>
        <v>558.15327915195269</v>
      </c>
      <c r="U37" s="55">
        <f t="shared" si="31"/>
        <v>588.41695213223045</v>
      </c>
      <c r="V37" s="55">
        <f t="shared" si="31"/>
        <v>615.6968460402901</v>
      </c>
      <c r="W37" s="55">
        <f t="shared" si="31"/>
        <v>749.32220791922714</v>
      </c>
      <c r="X37" s="55">
        <f t="shared" ref="X37:Y37" si="32">SUM(X38:X42)</f>
        <v>855.03223596571991</v>
      </c>
      <c r="Y37" s="55">
        <f t="shared" si="32"/>
        <v>840.82464428385651</v>
      </c>
      <c r="DA37" s="101"/>
    </row>
    <row r="38" spans="1:105" ht="12" customHeight="1" x14ac:dyDescent="0.25">
      <c r="A38" s="61" t="s">
        <v>164</v>
      </c>
      <c r="B38" s="55">
        <v>303.71642304385222</v>
      </c>
      <c r="C38" s="55">
        <v>354.63834909716257</v>
      </c>
      <c r="D38" s="55">
        <v>414.0632846087704</v>
      </c>
      <c r="E38" s="55">
        <v>476.44987102321574</v>
      </c>
      <c r="F38" s="55">
        <v>508.69406706792785</v>
      </c>
      <c r="G38" s="55">
        <v>288.86027515047289</v>
      </c>
      <c r="H38" s="55">
        <v>211.33086844368012</v>
      </c>
      <c r="I38" s="55">
        <v>335.5215821152193</v>
      </c>
      <c r="J38" s="55">
        <v>360.78856405846943</v>
      </c>
      <c r="K38" s="55">
        <v>468.12717110920039</v>
      </c>
      <c r="L38" s="55">
        <v>400.2337059329318</v>
      </c>
      <c r="M38" s="55">
        <v>254.71848667239891</v>
      </c>
      <c r="N38" s="55">
        <v>313.81977644024096</v>
      </c>
      <c r="O38" s="55">
        <v>436.88985382631103</v>
      </c>
      <c r="P38" s="55">
        <v>379.75193465176255</v>
      </c>
      <c r="Q38" s="55">
        <v>353.71332760103172</v>
      </c>
      <c r="R38" s="55">
        <v>392.55356835769555</v>
      </c>
      <c r="S38" s="55">
        <v>404.16895958727434</v>
      </c>
      <c r="T38" s="55">
        <v>369.68942390369722</v>
      </c>
      <c r="U38" s="55">
        <v>376.95030094582938</v>
      </c>
      <c r="V38" s="55">
        <v>396.28443680137588</v>
      </c>
      <c r="W38" s="55">
        <v>481.64703353396385</v>
      </c>
      <c r="X38" s="55">
        <v>573.01384350816829</v>
      </c>
      <c r="Y38" s="55">
        <v>519.80223559759224</v>
      </c>
      <c r="DA38" s="101" t="s">
        <v>204</v>
      </c>
    </row>
    <row r="39" spans="1:105" ht="12" customHeight="1" x14ac:dyDescent="0.25">
      <c r="A39" s="61" t="s">
        <v>50</v>
      </c>
      <c r="B39" s="55">
        <v>63.915133276010309</v>
      </c>
      <c r="C39" s="55">
        <v>64.177901977644026</v>
      </c>
      <c r="D39" s="55">
        <v>68.907050730868434</v>
      </c>
      <c r="E39" s="55">
        <v>66.590197764402404</v>
      </c>
      <c r="F39" s="55">
        <v>66.231986242476353</v>
      </c>
      <c r="G39" s="55">
        <v>31.002235597592431</v>
      </c>
      <c r="H39" s="55">
        <v>37.283834909716248</v>
      </c>
      <c r="I39" s="55">
        <v>37.785382631126403</v>
      </c>
      <c r="J39" s="55">
        <v>36.161306964746338</v>
      </c>
      <c r="K39" s="55">
        <v>36.280653482373182</v>
      </c>
      <c r="L39" s="55">
        <v>38.740842648323287</v>
      </c>
      <c r="M39" s="55">
        <v>27.027687016337062</v>
      </c>
      <c r="N39" s="55">
        <v>41.878719364711117</v>
      </c>
      <c r="O39" s="55">
        <v>49.78862353646651</v>
      </c>
      <c r="P39" s="55">
        <v>66.944595561866407</v>
      </c>
      <c r="Q39" s="55">
        <v>70.172258114315113</v>
      </c>
      <c r="R39" s="55">
        <v>84.588243807284385</v>
      </c>
      <c r="S39" s="55">
        <v>114.73133824802561</v>
      </c>
      <c r="T39" s="55">
        <v>127.92911750104992</v>
      </c>
      <c r="U39" s="55">
        <v>142.84627285450074</v>
      </c>
      <c r="V39" s="55">
        <v>166.18850554157976</v>
      </c>
      <c r="W39" s="55">
        <v>204.62444351681955</v>
      </c>
      <c r="X39" s="55">
        <v>203.74711128816202</v>
      </c>
      <c r="Y39" s="55">
        <v>253.20675950311713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1.2295786758383489E-2</v>
      </c>
      <c r="R40" s="55">
        <v>13.213413585554592</v>
      </c>
      <c r="S40" s="55">
        <v>27.170077386070503</v>
      </c>
      <c r="T40" s="55">
        <v>30.98564058469476</v>
      </c>
      <c r="U40" s="55">
        <v>38.661822871883068</v>
      </c>
      <c r="V40" s="55">
        <v>23.072484952708514</v>
      </c>
      <c r="W40" s="55">
        <v>32.93611349957007</v>
      </c>
      <c r="X40" s="55">
        <v>48.453482373172818</v>
      </c>
      <c r="Y40" s="55">
        <v>37.983834909716251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1.7674978503869301</v>
      </c>
      <c r="H41" s="55">
        <v>1.8152192605331039</v>
      </c>
      <c r="I41" s="55">
        <v>2.0540842648323299</v>
      </c>
      <c r="J41" s="55">
        <v>2.4840068787618228</v>
      </c>
      <c r="K41" s="55">
        <v>2.8900257953568351</v>
      </c>
      <c r="L41" s="55">
        <v>3.3438521066208078</v>
      </c>
      <c r="M41" s="55">
        <v>5.4142734307824592</v>
      </c>
      <c r="N41" s="55">
        <v>8.7239036973344799</v>
      </c>
      <c r="O41" s="55">
        <v>10.02080825451419</v>
      </c>
      <c r="P41" s="55">
        <v>10.8481513327601</v>
      </c>
      <c r="Q41" s="55">
        <v>11.552278589853829</v>
      </c>
      <c r="R41" s="55">
        <v>12.081083404987099</v>
      </c>
      <c r="S41" s="55">
        <v>12.48822012037833</v>
      </c>
      <c r="T41" s="55">
        <v>12.82631126397248</v>
      </c>
      <c r="U41" s="55">
        <v>13.23576956147893</v>
      </c>
      <c r="V41" s="55">
        <v>13.42863284608771</v>
      </c>
      <c r="W41" s="55">
        <v>13.39183147033534</v>
      </c>
      <c r="X41" s="55">
        <v>13.095012897678419</v>
      </c>
      <c r="Y41" s="55">
        <v>13.109028374892519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41.654686156491827</v>
      </c>
      <c r="E42" s="55">
        <v>41.989079965606187</v>
      </c>
      <c r="F42" s="55">
        <v>42.299570077386072</v>
      </c>
      <c r="G42" s="55">
        <v>14.402407566638001</v>
      </c>
      <c r="H42" s="55">
        <v>14.402407566638001</v>
      </c>
      <c r="I42" s="55">
        <v>14.402407566638001</v>
      </c>
      <c r="J42" s="55">
        <v>14.402407566638001</v>
      </c>
      <c r="K42" s="55">
        <v>14.39054170249355</v>
      </c>
      <c r="L42" s="55">
        <v>14.39054170249355</v>
      </c>
      <c r="M42" s="55">
        <v>17.757695614789341</v>
      </c>
      <c r="N42" s="55">
        <v>17.757695614789341</v>
      </c>
      <c r="O42" s="55">
        <v>17.757695614789341</v>
      </c>
      <c r="P42" s="55">
        <v>16.722785898538259</v>
      </c>
      <c r="Q42" s="55">
        <v>16.722785898538259</v>
      </c>
      <c r="R42" s="55">
        <v>16.722785898538259</v>
      </c>
      <c r="S42" s="55">
        <v>16.722785898538259</v>
      </c>
      <c r="T42" s="55">
        <v>16.722785898538259</v>
      </c>
      <c r="U42" s="55">
        <v>16.722785898538259</v>
      </c>
      <c r="V42" s="55">
        <v>16.722785898538259</v>
      </c>
      <c r="W42" s="55">
        <v>16.722785898538259</v>
      </c>
      <c r="X42" s="55">
        <v>16.722785898538259</v>
      </c>
      <c r="Y42" s="55">
        <v>16.722785898538259</v>
      </c>
      <c r="DA42" s="101" t="s">
        <v>208</v>
      </c>
    </row>
    <row r="43" spans="1:105" ht="12" customHeight="1" x14ac:dyDescent="0.25">
      <c r="A43" s="61" t="s">
        <v>151</v>
      </c>
      <c r="B43" s="309">
        <v>24.599145487106558</v>
      </c>
      <c r="C43" s="309">
        <v>28.760740663818936</v>
      </c>
      <c r="D43" s="55">
        <v>37.403121236822351</v>
      </c>
      <c r="E43" s="55">
        <v>44.864135286310251</v>
      </c>
      <c r="F43" s="55">
        <v>53.860275150472958</v>
      </c>
      <c r="G43" s="55">
        <v>70.898108340498737</v>
      </c>
      <c r="H43" s="55">
        <v>84.820378331900315</v>
      </c>
      <c r="I43" s="55">
        <v>95.627601031814237</v>
      </c>
      <c r="J43" s="55">
        <v>117.27798796216672</v>
      </c>
      <c r="K43" s="55">
        <v>134.89707652622519</v>
      </c>
      <c r="L43" s="55">
        <v>157.83516766981936</v>
      </c>
      <c r="M43" s="55">
        <v>262.04961306964771</v>
      </c>
      <c r="N43" s="55">
        <v>320.19122957867597</v>
      </c>
      <c r="O43" s="55">
        <v>371.01779879621677</v>
      </c>
      <c r="P43" s="55">
        <v>326.84247635425612</v>
      </c>
      <c r="Q43" s="55">
        <v>362.06302665520246</v>
      </c>
      <c r="R43" s="55">
        <v>406.20507308684466</v>
      </c>
      <c r="S43" s="55">
        <v>404.35202063628509</v>
      </c>
      <c r="T43" s="55">
        <v>391.81410146173675</v>
      </c>
      <c r="U43" s="55">
        <v>410.93413585554583</v>
      </c>
      <c r="V43" s="55">
        <v>391.63740326741168</v>
      </c>
      <c r="W43" s="55">
        <v>465.2153052450563</v>
      </c>
      <c r="X43" s="55">
        <v>239.56758383490939</v>
      </c>
      <c r="Y43" s="55">
        <v>247.45563198624239</v>
      </c>
      <c r="DA43" s="101" t="s">
        <v>209</v>
      </c>
    </row>
    <row r="44" spans="1:105" ht="12" customHeight="1" x14ac:dyDescent="0.25">
      <c r="A44" s="60" t="s">
        <v>162</v>
      </c>
      <c r="B44" s="55">
        <v>1172.4650705250606</v>
      </c>
      <c r="C44" s="55">
        <v>1420.9874765972766</v>
      </c>
      <c r="D44" s="55">
        <v>1480.047810418127</v>
      </c>
      <c r="E44" s="55">
        <v>1435.4236951582425</v>
      </c>
      <c r="F44" s="55">
        <v>1455.7364847948982</v>
      </c>
      <c r="G44" s="55">
        <v>1508.565366332529</v>
      </c>
      <c r="H44" s="55">
        <v>1417.2139895099117</v>
      </c>
      <c r="I44" s="55">
        <v>703.46680997420458</v>
      </c>
      <c r="J44" s="55">
        <v>766.15855546001717</v>
      </c>
      <c r="K44" s="55">
        <v>682.32355975924327</v>
      </c>
      <c r="L44" s="55">
        <v>756.15907136715384</v>
      </c>
      <c r="M44" s="55">
        <v>642.4160791057609</v>
      </c>
      <c r="N44" s="55">
        <v>655.42846087704208</v>
      </c>
      <c r="O44" s="55">
        <v>693.94299226139287</v>
      </c>
      <c r="P44" s="55">
        <v>656.07987962166806</v>
      </c>
      <c r="Q44" s="55">
        <v>711.89535683576958</v>
      </c>
      <c r="R44" s="55">
        <v>788.34256233877909</v>
      </c>
      <c r="S44" s="55">
        <v>808.62665520206349</v>
      </c>
      <c r="T44" s="55">
        <v>804.0595012897677</v>
      </c>
      <c r="U44" s="55">
        <v>801.05846947549435</v>
      </c>
      <c r="V44" s="55">
        <v>819.6937231298366</v>
      </c>
      <c r="W44" s="55">
        <v>911.54918314703343</v>
      </c>
      <c r="X44" s="55">
        <v>835.48976784178831</v>
      </c>
      <c r="Y44" s="55">
        <v>785.91203783318986</v>
      </c>
      <c r="DA44" s="101" t="s">
        <v>210</v>
      </c>
    </row>
    <row r="45" spans="1:105" ht="12" customHeight="1" x14ac:dyDescent="0.25">
      <c r="A45" s="62" t="s">
        <v>24</v>
      </c>
      <c r="B45" s="63">
        <v>9406.0657262484201</v>
      </c>
      <c r="C45" s="63">
        <v>9868.6725201692934</v>
      </c>
      <c r="D45" s="63">
        <v>9839.6333688261348</v>
      </c>
      <c r="E45" s="63">
        <v>10300.595147908249</v>
      </c>
      <c r="F45" s="63">
        <v>10587.004766153754</v>
      </c>
      <c r="G45" s="63">
        <v>10955.151841560255</v>
      </c>
      <c r="H45" s="63">
        <v>11325.731727233075</v>
      </c>
      <c r="I45" s="63">
        <v>11585.723279290311</v>
      </c>
      <c r="J45" s="63">
        <v>11544.057378375024</v>
      </c>
      <c r="K45" s="63">
        <v>11995.406123605777</v>
      </c>
      <c r="L45" s="63">
        <v>12666.715204553624</v>
      </c>
      <c r="M45" s="63">
        <v>11904.861638710872</v>
      </c>
      <c r="N45" s="63">
        <v>12439.562171812999</v>
      </c>
      <c r="O45" s="63">
        <v>12458.883540350786</v>
      </c>
      <c r="P45" s="63">
        <v>11921.568037684692</v>
      </c>
      <c r="Q45" s="63">
        <v>12223.202442373908</v>
      </c>
      <c r="R45" s="63">
        <v>12244.232354161257</v>
      </c>
      <c r="S45" s="63">
        <v>12198.01535710913</v>
      </c>
      <c r="T45" s="63">
        <v>12123.911048437199</v>
      </c>
      <c r="U45" s="63">
        <v>11817.768671751215</v>
      </c>
      <c r="V45" s="63">
        <v>10927.832502879888</v>
      </c>
      <c r="W45" s="63">
        <v>11395.682136343736</v>
      </c>
      <c r="X45" s="63">
        <v>11379.606520058353</v>
      </c>
      <c r="Y45" s="63">
        <v>10611.077982088311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20705.510418441583</v>
      </c>
      <c r="C47" s="82">
        <f t="shared" ref="C47:W47" si="34">SUM(C48,C53)</f>
        <v>21770.004966671986</v>
      </c>
      <c r="D47" s="82">
        <f t="shared" si="34"/>
        <v>20841.765616045639</v>
      </c>
      <c r="E47" s="82">
        <f t="shared" si="34"/>
        <v>22707.74326267096</v>
      </c>
      <c r="F47" s="82">
        <f t="shared" si="34"/>
        <v>23239.03806952131</v>
      </c>
      <c r="G47" s="82">
        <f t="shared" si="34"/>
        <v>23157.819357505854</v>
      </c>
      <c r="H47" s="82">
        <f t="shared" si="34"/>
        <v>22362.58784915915</v>
      </c>
      <c r="I47" s="82">
        <f t="shared" si="34"/>
        <v>21810.352943950667</v>
      </c>
      <c r="J47" s="82">
        <f t="shared" si="34"/>
        <v>22056.371651805803</v>
      </c>
      <c r="K47" s="82">
        <f t="shared" si="34"/>
        <v>23526.41248646046</v>
      </c>
      <c r="L47" s="82">
        <f t="shared" si="34"/>
        <v>24682.315720460756</v>
      </c>
      <c r="M47" s="82">
        <f t="shared" si="34"/>
        <v>21198.423805520844</v>
      </c>
      <c r="N47" s="82">
        <f t="shared" si="34"/>
        <v>22609.729669663386</v>
      </c>
      <c r="O47" s="82">
        <f t="shared" si="34"/>
        <v>23245.004778527917</v>
      </c>
      <c r="P47" s="82">
        <f t="shared" si="34"/>
        <v>21913.941210513578</v>
      </c>
      <c r="Q47" s="82">
        <f t="shared" si="34"/>
        <v>22580.853517180443</v>
      </c>
      <c r="R47" s="82">
        <f t="shared" si="34"/>
        <v>22054.035105666</v>
      </c>
      <c r="S47" s="82">
        <f t="shared" si="34"/>
        <v>22654.605898811627</v>
      </c>
      <c r="T47" s="82">
        <f t="shared" si="34"/>
        <v>22481.063241042517</v>
      </c>
      <c r="U47" s="82">
        <f t="shared" si="34"/>
        <v>21975.310718182864</v>
      </c>
      <c r="V47" s="82">
        <f t="shared" si="34"/>
        <v>20708.188048881602</v>
      </c>
      <c r="W47" s="82">
        <f t="shared" si="34"/>
        <v>21698.5729359998</v>
      </c>
      <c r="X47" s="82">
        <f t="shared" ref="X47:Y47" si="35">SUM(X48,X53)</f>
        <v>20960.792246627567</v>
      </c>
      <c r="Y47" s="82">
        <f t="shared" si="35"/>
        <v>19142.24762955177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16549.941011738123</v>
      </c>
      <c r="C48" s="64">
        <f t="shared" ref="C48:W48" si="37">SUM(C49:C52)</f>
        <v>17456.650267329671</v>
      </c>
      <c r="D48" s="64">
        <f t="shared" si="37"/>
        <v>16362.103081682355</v>
      </c>
      <c r="E48" s="64">
        <f t="shared" si="37"/>
        <v>18050.222473810743</v>
      </c>
      <c r="F48" s="64">
        <f t="shared" si="37"/>
        <v>18388.793159196593</v>
      </c>
      <c r="G48" s="64">
        <f t="shared" si="37"/>
        <v>18151.977533699086</v>
      </c>
      <c r="H48" s="64">
        <f t="shared" si="37"/>
        <v>17216.618936663861</v>
      </c>
      <c r="I48" s="64">
        <f t="shared" si="37"/>
        <v>16517.87835904392</v>
      </c>
      <c r="J48" s="64">
        <f t="shared" si="37"/>
        <v>16641.819273497109</v>
      </c>
      <c r="K48" s="64">
        <f t="shared" si="37"/>
        <v>18023.599026181306</v>
      </c>
      <c r="L48" s="64">
        <f t="shared" si="37"/>
        <v>19090.206381972515</v>
      </c>
      <c r="M48" s="64">
        <f t="shared" si="37"/>
        <v>15529.882690031694</v>
      </c>
      <c r="N48" s="64">
        <f t="shared" si="37"/>
        <v>16875.507507865968</v>
      </c>
      <c r="O48" s="64">
        <f t="shared" si="37"/>
        <v>17454.871913764549</v>
      </c>
      <c r="P48" s="64">
        <f t="shared" si="37"/>
        <v>15985.011567514694</v>
      </c>
      <c r="Q48" s="64">
        <f t="shared" si="37"/>
        <v>16575.225239901465</v>
      </c>
      <c r="R48" s="64">
        <f t="shared" si="37"/>
        <v>16065.986329738826</v>
      </c>
      <c r="S48" s="64">
        <f t="shared" si="37"/>
        <v>16624.416461167457</v>
      </c>
      <c r="T48" s="64">
        <f t="shared" si="37"/>
        <v>16503.810628493786</v>
      </c>
      <c r="U48" s="64">
        <f t="shared" si="37"/>
        <v>16056.019435936614</v>
      </c>
      <c r="V48" s="64">
        <f t="shared" si="37"/>
        <v>15065.905653300459</v>
      </c>
      <c r="W48" s="64">
        <f t="shared" si="37"/>
        <v>16026.959911082828</v>
      </c>
      <c r="X48" s="64">
        <f t="shared" ref="X48:Y48" si="38">SUM(X49:X52)</f>
        <v>15346.544296145308</v>
      </c>
      <c r="Y48" s="64">
        <f t="shared" si="38"/>
        <v>13606.066102359739</v>
      </c>
      <c r="DA48" s="108" t="s">
        <v>213</v>
      </c>
    </row>
    <row r="49" spans="1:105" ht="12" customHeight="1" x14ac:dyDescent="0.25">
      <c r="A49" s="61" t="s">
        <v>32</v>
      </c>
      <c r="B49" s="65">
        <v>12581.602369763779</v>
      </c>
      <c r="C49" s="65">
        <v>13485.799178631702</v>
      </c>
      <c r="D49" s="65">
        <v>12282.231758162732</v>
      </c>
      <c r="E49" s="65">
        <v>13719.102814861752</v>
      </c>
      <c r="F49" s="65">
        <v>14159.052363091898</v>
      </c>
      <c r="G49" s="65">
        <v>13950.668320184224</v>
      </c>
      <c r="H49" s="65">
        <v>12960.979337914299</v>
      </c>
      <c r="I49" s="65">
        <v>12286.594930783816</v>
      </c>
      <c r="J49" s="65">
        <v>12291.933107352977</v>
      </c>
      <c r="K49" s="65">
        <v>13492.995935851615</v>
      </c>
      <c r="L49" s="65">
        <v>14517.390275184051</v>
      </c>
      <c r="M49" s="65">
        <v>11092.112777737106</v>
      </c>
      <c r="N49" s="65">
        <v>12256.120562290005</v>
      </c>
      <c r="O49" s="65">
        <v>12809.364101726042</v>
      </c>
      <c r="P49" s="65">
        <v>11256.76228430744</v>
      </c>
      <c r="Q49" s="65">
        <v>11729.919794722264</v>
      </c>
      <c r="R49" s="65">
        <v>11311.624468677172</v>
      </c>
      <c r="S49" s="65">
        <v>11802.480293646899</v>
      </c>
      <c r="T49" s="65">
        <v>11631.221052778481</v>
      </c>
      <c r="U49" s="65">
        <v>11261.892973430173</v>
      </c>
      <c r="V49" s="65">
        <v>10599.6603735586</v>
      </c>
      <c r="W49" s="65">
        <v>11461.649529498676</v>
      </c>
      <c r="X49" s="65">
        <v>10522.279893785064</v>
      </c>
      <c r="Y49" s="65">
        <v>8865.8969260086415</v>
      </c>
      <c r="DA49" s="109" t="s">
        <v>214</v>
      </c>
    </row>
    <row r="50" spans="1:105" ht="12" customHeight="1" x14ac:dyDescent="0.25">
      <c r="A50" s="61" t="s">
        <v>31</v>
      </c>
      <c r="B50" s="65">
        <v>293.57586269029531</v>
      </c>
      <c r="C50" s="65">
        <v>323.49421005519736</v>
      </c>
      <c r="D50" s="65">
        <v>321.4119933028955</v>
      </c>
      <c r="E50" s="65">
        <v>577.81299374808054</v>
      </c>
      <c r="F50" s="65">
        <v>346.28875051353356</v>
      </c>
      <c r="G50" s="65">
        <v>382.89739071192645</v>
      </c>
      <c r="H50" s="65">
        <v>462.95552826993998</v>
      </c>
      <c r="I50" s="65">
        <v>374.61876984791922</v>
      </c>
      <c r="J50" s="65">
        <v>384.2671151910605</v>
      </c>
      <c r="K50" s="65">
        <v>425.78646000960765</v>
      </c>
      <c r="L50" s="65">
        <v>426.54789791944592</v>
      </c>
      <c r="M50" s="65">
        <v>422.9583807214625</v>
      </c>
      <c r="N50" s="65">
        <v>440.73909431420299</v>
      </c>
      <c r="O50" s="65">
        <v>433.419932087554</v>
      </c>
      <c r="P50" s="65">
        <v>403.92372687346739</v>
      </c>
      <c r="Q50" s="65">
        <v>505.42864675527983</v>
      </c>
      <c r="R50" s="65">
        <v>438.59104497905577</v>
      </c>
      <c r="S50" s="65">
        <v>476.89501767728541</v>
      </c>
      <c r="T50" s="65">
        <v>472.92247257439794</v>
      </c>
      <c r="U50" s="65">
        <v>481.52394791105178</v>
      </c>
      <c r="V50" s="65">
        <v>484.37355590240537</v>
      </c>
      <c r="W50" s="65">
        <v>403.36427226547141</v>
      </c>
      <c r="X50" s="65">
        <v>590.42771751439386</v>
      </c>
      <c r="Y50" s="65">
        <v>528.91808567594535</v>
      </c>
      <c r="DA50" s="109" t="s">
        <v>215</v>
      </c>
    </row>
    <row r="51" spans="1:105" ht="12" customHeight="1" x14ac:dyDescent="0.25">
      <c r="A51" s="61" t="s">
        <v>35</v>
      </c>
      <c r="B51" s="65">
        <v>1967.3302578524526</v>
      </c>
      <c r="C51" s="65">
        <v>1958.3545295423373</v>
      </c>
      <c r="D51" s="65">
        <v>1978.7764209247889</v>
      </c>
      <c r="E51" s="65">
        <v>1958.9376593700752</v>
      </c>
      <c r="F51" s="65">
        <v>2028.3131280867005</v>
      </c>
      <c r="G51" s="65">
        <v>2022.7724354547295</v>
      </c>
      <c r="H51" s="65">
        <v>2002.692157072275</v>
      </c>
      <c r="I51" s="65">
        <v>2012.4328780180822</v>
      </c>
      <c r="J51" s="65">
        <v>2068.2709470384411</v>
      </c>
      <c r="K51" s="65">
        <v>2107.4593494013861</v>
      </c>
      <c r="L51" s="65">
        <v>2101.6593109580112</v>
      </c>
      <c r="M51" s="65">
        <v>2083.6520658189847</v>
      </c>
      <c r="N51" s="65">
        <v>2104.0417174571326</v>
      </c>
      <c r="O51" s="65">
        <v>2122.3669582071589</v>
      </c>
      <c r="P51" s="65">
        <v>2207.7007043075091</v>
      </c>
      <c r="Q51" s="65">
        <v>2189.7151858538691</v>
      </c>
      <c r="R51" s="65">
        <v>2133.6487499596201</v>
      </c>
      <c r="S51" s="65">
        <v>2154.6578991576471</v>
      </c>
      <c r="T51" s="65">
        <v>2159.1430851505888</v>
      </c>
      <c r="U51" s="65">
        <v>2083.9183053424404</v>
      </c>
      <c r="V51" s="65">
        <v>1946.220704851484</v>
      </c>
      <c r="W51" s="65">
        <v>2021.275138524996</v>
      </c>
      <c r="X51" s="65">
        <v>2064.0764122848727</v>
      </c>
      <c r="Y51" s="65">
        <v>2017.2373079386948</v>
      </c>
      <c r="DA51" s="109" t="s">
        <v>216</v>
      </c>
    </row>
    <row r="52" spans="1:105" ht="12" customHeight="1" x14ac:dyDescent="0.25">
      <c r="A52" s="66" t="s">
        <v>34</v>
      </c>
      <c r="B52" s="67">
        <v>1707.4325214315959</v>
      </c>
      <c r="C52" s="67">
        <v>1689.0023491004345</v>
      </c>
      <c r="D52" s="67">
        <v>1779.6829092919377</v>
      </c>
      <c r="E52" s="67">
        <v>1794.3690058308366</v>
      </c>
      <c r="F52" s="67">
        <v>1855.1389175044603</v>
      </c>
      <c r="G52" s="67">
        <v>1795.6393873482057</v>
      </c>
      <c r="H52" s="67">
        <v>1789.9919134073471</v>
      </c>
      <c r="I52" s="67">
        <v>1844.2317803941041</v>
      </c>
      <c r="J52" s="67">
        <v>1897.3481039146316</v>
      </c>
      <c r="K52" s="67">
        <v>1997.3572809186965</v>
      </c>
      <c r="L52" s="67">
        <v>2044.6088979110045</v>
      </c>
      <c r="M52" s="67">
        <v>1931.1594657541414</v>
      </c>
      <c r="N52" s="67">
        <v>2074.6061338046261</v>
      </c>
      <c r="O52" s="67">
        <v>2089.7209217437953</v>
      </c>
      <c r="P52" s="67">
        <v>2116.6248520262757</v>
      </c>
      <c r="Q52" s="67">
        <v>2150.1616125700521</v>
      </c>
      <c r="R52" s="67">
        <v>2182.1220661229781</v>
      </c>
      <c r="S52" s="67">
        <v>2190.3832506856261</v>
      </c>
      <c r="T52" s="67">
        <v>2240.524017990318</v>
      </c>
      <c r="U52" s="67">
        <v>2228.6842092529496</v>
      </c>
      <c r="V52" s="67">
        <v>2035.6510189879691</v>
      </c>
      <c r="W52" s="67">
        <v>2140.6709707936843</v>
      </c>
      <c r="X52" s="67">
        <v>2169.7602725609777</v>
      </c>
      <c r="Y52" s="67">
        <v>2194.0137827364588</v>
      </c>
      <c r="DA52" s="110" t="s">
        <v>217</v>
      </c>
    </row>
    <row r="53" spans="1:105" ht="12" customHeight="1" x14ac:dyDescent="0.25">
      <c r="A53" s="78" t="s">
        <v>33</v>
      </c>
      <c r="B53" s="68">
        <v>4155.5694067034583</v>
      </c>
      <c r="C53" s="68">
        <v>4313.3546993423161</v>
      </c>
      <c r="D53" s="68">
        <v>4479.6625343632841</v>
      </c>
      <c r="E53" s="68">
        <v>4657.5207888602154</v>
      </c>
      <c r="F53" s="68">
        <v>4850.2449103247172</v>
      </c>
      <c r="G53" s="68">
        <v>5005.8418238067679</v>
      </c>
      <c r="H53" s="68">
        <v>5145.9689124952911</v>
      </c>
      <c r="I53" s="68">
        <v>5292.4745849067476</v>
      </c>
      <c r="J53" s="68">
        <v>5414.5523783086937</v>
      </c>
      <c r="K53" s="68">
        <v>5502.8134602791533</v>
      </c>
      <c r="L53" s="68">
        <v>5592.1093384882424</v>
      </c>
      <c r="M53" s="68">
        <v>5668.5411154891499</v>
      </c>
      <c r="N53" s="68">
        <v>5734.2221617974174</v>
      </c>
      <c r="O53" s="68">
        <v>5790.1328647633682</v>
      </c>
      <c r="P53" s="68">
        <v>5928.9296429988835</v>
      </c>
      <c r="Q53" s="68">
        <v>6005.6282772789782</v>
      </c>
      <c r="R53" s="68">
        <v>5988.0487759271728</v>
      </c>
      <c r="S53" s="68">
        <v>6030.1894376441687</v>
      </c>
      <c r="T53" s="68">
        <v>5977.2526125487293</v>
      </c>
      <c r="U53" s="68">
        <v>5919.2912822462495</v>
      </c>
      <c r="V53" s="68">
        <v>5642.2823955811436</v>
      </c>
      <c r="W53" s="68">
        <v>5671.613024916971</v>
      </c>
      <c r="X53" s="68">
        <v>5614.2479504822586</v>
      </c>
      <c r="Y53" s="68">
        <v>5536.1815271920314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0.79930128150802515</v>
      </c>
      <c r="C56" s="70">
        <f t="shared" ref="C56:W56" si="43">IF(C48=0,0,C48/C$47)</f>
        <v>0.80186707784652822</v>
      </c>
      <c r="D56" s="70">
        <f t="shared" si="43"/>
        <v>0.78506319393043722</v>
      </c>
      <c r="E56" s="70">
        <f t="shared" si="43"/>
        <v>0.7948928374350317</v>
      </c>
      <c r="F56" s="70">
        <f t="shared" si="43"/>
        <v>0.79128891239754207</v>
      </c>
      <c r="G56" s="70">
        <f t="shared" si="43"/>
        <v>0.78383794490631575</v>
      </c>
      <c r="H56" s="70">
        <f t="shared" si="43"/>
        <v>0.76988491013624871</v>
      </c>
      <c r="I56" s="70">
        <f t="shared" si="43"/>
        <v>0.75734117652714683</v>
      </c>
      <c r="J56" s="70">
        <f t="shared" si="43"/>
        <v>0.75451300586579517</v>
      </c>
      <c r="K56" s="70">
        <f t="shared" si="43"/>
        <v>0.76610061294104892</v>
      </c>
      <c r="L56" s="70">
        <f t="shared" si="43"/>
        <v>0.77343660125647851</v>
      </c>
      <c r="M56" s="70">
        <f t="shared" si="43"/>
        <v>0.73259610396067021</v>
      </c>
      <c r="N56" s="70">
        <f t="shared" si="43"/>
        <v>0.74638254213665756</v>
      </c>
      <c r="O56" s="70">
        <f t="shared" si="43"/>
        <v>0.75090851045503415</v>
      </c>
      <c r="P56" s="70">
        <f t="shared" si="43"/>
        <v>0.72944485037888207</v>
      </c>
      <c r="Q56" s="70">
        <f t="shared" si="43"/>
        <v>0.73403891607951621</v>
      </c>
      <c r="R56" s="70">
        <f t="shared" si="43"/>
        <v>0.72848284918215445</v>
      </c>
      <c r="S56" s="70">
        <f t="shared" si="43"/>
        <v>0.73382059857591742</v>
      </c>
      <c r="T56" s="70">
        <f t="shared" si="43"/>
        <v>0.73412055522194475</v>
      </c>
      <c r="U56" s="70">
        <f t="shared" si="43"/>
        <v>0.73063901766137507</v>
      </c>
      <c r="V56" s="70">
        <f t="shared" si="43"/>
        <v>0.72753374741128696</v>
      </c>
      <c r="W56" s="70">
        <f t="shared" si="43"/>
        <v>0.73861815513649387</v>
      </c>
      <c r="X56" s="70">
        <f t="shared" ref="X56:Y56" si="44">IF(X48=0,0,X48/X$47)</f>
        <v>0.73215478287155156</v>
      </c>
      <c r="Y56" s="70">
        <f t="shared" si="44"/>
        <v>0.71078727878092629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0.60764512033269369</v>
      </c>
      <c r="C57" s="71">
        <f t="shared" ref="C57:W57" si="46">IF(C49=0,0,C49/C$47)</f>
        <v>0.61946697758118596</v>
      </c>
      <c r="D57" s="71">
        <f t="shared" si="46"/>
        <v>0.5893086019884467</v>
      </c>
      <c r="E57" s="71">
        <f t="shared" si="46"/>
        <v>0.60415967611429056</v>
      </c>
      <c r="F57" s="71">
        <f t="shared" si="46"/>
        <v>0.60927876277555204</v>
      </c>
      <c r="G57" s="71">
        <f t="shared" si="46"/>
        <v>0.60241718379509546</v>
      </c>
      <c r="H57" s="71">
        <f t="shared" si="46"/>
        <v>0.57958316029160473</v>
      </c>
      <c r="I57" s="71">
        <f t="shared" si="46"/>
        <v>0.56333773975866053</v>
      </c>
      <c r="J57" s="71">
        <f t="shared" si="46"/>
        <v>0.55729624533900213</v>
      </c>
      <c r="K57" s="71">
        <f t="shared" si="46"/>
        <v>0.573525434173905</v>
      </c>
      <c r="L57" s="71">
        <f t="shared" si="46"/>
        <v>0.58816970172493388</v>
      </c>
      <c r="M57" s="71">
        <f t="shared" si="46"/>
        <v>0.5232517700135948</v>
      </c>
      <c r="N57" s="71">
        <f t="shared" si="46"/>
        <v>0.54207284834257263</v>
      </c>
      <c r="O57" s="71">
        <f t="shared" si="46"/>
        <v>0.55105878547972686</v>
      </c>
      <c r="P57" s="71">
        <f t="shared" si="46"/>
        <v>0.51368040902230871</v>
      </c>
      <c r="Q57" s="71">
        <f t="shared" si="46"/>
        <v>0.51946308343914716</v>
      </c>
      <c r="R57" s="71">
        <f t="shared" si="46"/>
        <v>0.51290498153651043</v>
      </c>
      <c r="S57" s="71">
        <f t="shared" si="46"/>
        <v>0.52097486693714723</v>
      </c>
      <c r="T57" s="71">
        <f t="shared" si="46"/>
        <v>0.5173786011839494</v>
      </c>
      <c r="U57" s="71">
        <f t="shared" si="46"/>
        <v>0.51247935093412944</v>
      </c>
      <c r="V57" s="71">
        <f t="shared" si="46"/>
        <v>0.51185841796192599</v>
      </c>
      <c r="W57" s="71">
        <f t="shared" si="46"/>
        <v>0.52822135185133823</v>
      </c>
      <c r="X57" s="71">
        <f t="shared" ref="X57:Y57" si="47">IF(X49=0,0,X49/X$47)</f>
        <v>0.50199819596408712</v>
      </c>
      <c r="Y57" s="71">
        <f t="shared" si="47"/>
        <v>0.46315861635398992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1.4178634419406481E-2</v>
      </c>
      <c r="C58" s="72">
        <f t="shared" ref="C58:W58" si="49">IF(C50=0,0,C50/C$47)</f>
        <v>1.4859629593582514E-2</v>
      </c>
      <c r="D58" s="72">
        <f t="shared" si="49"/>
        <v>1.5421533819353919E-2</v>
      </c>
      <c r="E58" s="72">
        <f t="shared" si="49"/>
        <v>2.5445637070326658E-2</v>
      </c>
      <c r="F58" s="72">
        <f t="shared" si="49"/>
        <v>1.4901165421631696E-2</v>
      </c>
      <c r="G58" s="72">
        <f t="shared" si="49"/>
        <v>1.6534259327306771E-2</v>
      </c>
      <c r="H58" s="72">
        <f t="shared" si="49"/>
        <v>2.0702234079198818E-2</v>
      </c>
      <c r="I58" s="72">
        <f t="shared" si="49"/>
        <v>1.7176190170357774E-2</v>
      </c>
      <c r="J58" s="72">
        <f t="shared" si="49"/>
        <v>1.7422045713470724E-2</v>
      </c>
      <c r="K58" s="72">
        <f t="shared" si="49"/>
        <v>1.8098231519771635E-2</v>
      </c>
      <c r="L58" s="72">
        <f t="shared" si="49"/>
        <v>1.728151858805748E-2</v>
      </c>
      <c r="M58" s="72">
        <f t="shared" si="49"/>
        <v>1.9952350448400259E-2</v>
      </c>
      <c r="N58" s="72">
        <f t="shared" si="49"/>
        <v>1.9493337636210875E-2</v>
      </c>
      <c r="O58" s="72">
        <f t="shared" si="49"/>
        <v>1.8645723509935198E-2</v>
      </c>
      <c r="P58" s="72">
        <f t="shared" si="49"/>
        <v>1.8432272086213241E-2</v>
      </c>
      <c r="Q58" s="72">
        <f t="shared" si="49"/>
        <v>2.2383062109265661E-2</v>
      </c>
      <c r="R58" s="72">
        <f t="shared" si="49"/>
        <v>1.9887111037851544E-2</v>
      </c>
      <c r="S58" s="72">
        <f t="shared" si="49"/>
        <v>2.105068699086491E-2</v>
      </c>
      <c r="T58" s="72">
        <f t="shared" si="49"/>
        <v>2.1036481571343468E-2</v>
      </c>
      <c r="U58" s="72">
        <f t="shared" si="49"/>
        <v>2.1912042750441209E-2</v>
      </c>
      <c r="V58" s="72">
        <f t="shared" si="49"/>
        <v>2.3390436418630318E-2</v>
      </c>
      <c r="W58" s="72">
        <f t="shared" si="49"/>
        <v>1.8589437814882995E-2</v>
      </c>
      <c r="X58" s="72">
        <f t="shared" ref="X58:Y58" si="50">IF(X50=0,0,X50/X$47)</f>
        <v>2.816819662956152E-2</v>
      </c>
      <c r="Y58" s="72">
        <f t="shared" si="50"/>
        <v>2.7630929027341725E-2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9.5014815770985722E-2</v>
      </c>
      <c r="C59" s="72">
        <f t="shared" ref="C59:W59" si="52">IF(C51=0,0,C51/C$47)</f>
        <v>8.9956549506553185E-2</v>
      </c>
      <c r="D59" s="72">
        <f t="shared" si="52"/>
        <v>9.4942840130654307E-2</v>
      </c>
      <c r="E59" s="72">
        <f t="shared" si="52"/>
        <v>8.6267386270407323E-2</v>
      </c>
      <c r="F59" s="72">
        <f t="shared" si="52"/>
        <v>8.7280425378143928E-2</v>
      </c>
      <c r="G59" s="72">
        <f t="shared" si="52"/>
        <v>8.7347275847849362E-2</v>
      </c>
      <c r="H59" s="72">
        <f t="shared" si="52"/>
        <v>8.9555474106167807E-2</v>
      </c>
      <c r="I59" s="72">
        <f t="shared" si="52"/>
        <v>9.2269615406487579E-2</v>
      </c>
      <c r="J59" s="72">
        <f t="shared" si="52"/>
        <v>9.377203919526389E-2</v>
      </c>
      <c r="K59" s="72">
        <f t="shared" si="52"/>
        <v>8.9578440852987551E-2</v>
      </c>
      <c r="L59" s="72">
        <f t="shared" si="52"/>
        <v>8.5148384566518243E-2</v>
      </c>
      <c r="M59" s="72">
        <f t="shared" si="52"/>
        <v>9.8292782752853802E-2</v>
      </c>
      <c r="N59" s="72">
        <f t="shared" si="52"/>
        <v>9.3059127561362726E-2</v>
      </c>
      <c r="O59" s="72">
        <f t="shared" si="52"/>
        <v>9.1304216902878446E-2</v>
      </c>
      <c r="P59" s="72">
        <f t="shared" si="52"/>
        <v>0.10074411914769252</v>
      </c>
      <c r="Q59" s="72">
        <f t="shared" si="52"/>
        <v>9.6972206306898165E-2</v>
      </c>
      <c r="R59" s="72">
        <f t="shared" si="52"/>
        <v>9.6746411245688779E-2</v>
      </c>
      <c r="S59" s="72">
        <f t="shared" si="52"/>
        <v>9.5109043555274206E-2</v>
      </c>
      <c r="T59" s="72">
        <f t="shared" si="52"/>
        <v>9.6042747711716447E-2</v>
      </c>
      <c r="U59" s="72">
        <f t="shared" si="52"/>
        <v>9.482998133983879E-2</v>
      </c>
      <c r="V59" s="72">
        <f t="shared" si="52"/>
        <v>9.3983148127563698E-2</v>
      </c>
      <c r="W59" s="72">
        <f t="shared" si="52"/>
        <v>9.3152445761607042E-2</v>
      </c>
      <c r="X59" s="72">
        <f t="shared" ref="X59:Y59" si="53">IF(X51=0,0,X51/X$47)</f>
        <v>9.8473205974214412E-2</v>
      </c>
      <c r="Y59" s="72">
        <f t="shared" si="53"/>
        <v>0.10538142369574653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8.2462710984939208E-2</v>
      </c>
      <c r="C60" s="73">
        <f t="shared" ref="C60:W60" si="55">IF(C52=0,0,C52/C$47)</f>
        <v>7.7583921165206557E-2</v>
      </c>
      <c r="D60" s="73">
        <f t="shared" si="55"/>
        <v>8.5390217991982265E-2</v>
      </c>
      <c r="E60" s="73">
        <f t="shared" si="55"/>
        <v>7.9020137980007135E-2</v>
      </c>
      <c r="F60" s="73">
        <f t="shared" si="55"/>
        <v>7.9828558822214346E-2</v>
      </c>
      <c r="G60" s="73">
        <f t="shared" si="55"/>
        <v>7.7539225936064118E-2</v>
      </c>
      <c r="H60" s="73">
        <f t="shared" si="55"/>
        <v>8.0044041659277462E-2</v>
      </c>
      <c r="I60" s="73">
        <f t="shared" si="55"/>
        <v>8.45576311916411E-2</v>
      </c>
      <c r="J60" s="73">
        <f t="shared" si="55"/>
        <v>8.60226756180585E-2</v>
      </c>
      <c r="K60" s="73">
        <f t="shared" si="55"/>
        <v>8.4898506394384746E-2</v>
      </c>
      <c r="L60" s="73">
        <f t="shared" si="55"/>
        <v>8.2836996376968675E-2</v>
      </c>
      <c r="M60" s="73">
        <f t="shared" si="55"/>
        <v>9.109920074582134E-2</v>
      </c>
      <c r="N60" s="73">
        <f t="shared" si="55"/>
        <v>9.1757228596511253E-2</v>
      </c>
      <c r="O60" s="73">
        <f t="shared" si="55"/>
        <v>8.9899784562493659E-2</v>
      </c>
      <c r="P60" s="73">
        <f t="shared" si="55"/>
        <v>9.6588050122667565E-2</v>
      </c>
      <c r="Q60" s="73">
        <f t="shared" si="55"/>
        <v>9.5220564224205273E-2</v>
      </c>
      <c r="R60" s="73">
        <f t="shared" si="55"/>
        <v>9.8944345362103808E-2</v>
      </c>
      <c r="S60" s="73">
        <f t="shared" si="55"/>
        <v>9.6686001092631021E-2</v>
      </c>
      <c r="T60" s="73">
        <f t="shared" si="55"/>
        <v>9.9662724754935483E-2</v>
      </c>
      <c r="U60" s="73">
        <f t="shared" si="55"/>
        <v>0.10141764263696561</v>
      </c>
      <c r="V60" s="73">
        <f t="shared" si="55"/>
        <v>9.8301744903166913E-2</v>
      </c>
      <c r="W60" s="73">
        <f t="shared" si="55"/>
        <v>9.8654919708665578E-2</v>
      </c>
      <c r="X60" s="73">
        <f t="shared" ref="X60:Y60" si="56">IF(X52=0,0,X52/X$47)</f>
        <v>0.10351518430368851</v>
      </c>
      <c r="Y60" s="73">
        <f t="shared" si="56"/>
        <v>0.11461630970384815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0.20069871849197479</v>
      </c>
      <c r="C61" s="70">
        <f t="shared" ref="C61:W61" si="58">IF(C53=0,0,C53/C$47)</f>
        <v>0.19813292215347184</v>
      </c>
      <c r="D61" s="70">
        <f t="shared" si="58"/>
        <v>0.21493680606956284</v>
      </c>
      <c r="E61" s="70">
        <f t="shared" si="58"/>
        <v>0.20510716256496828</v>
      </c>
      <c r="F61" s="70">
        <f t="shared" si="58"/>
        <v>0.20871108760245793</v>
      </c>
      <c r="G61" s="70">
        <f t="shared" si="58"/>
        <v>0.21616205509368425</v>
      </c>
      <c r="H61" s="70">
        <f t="shared" si="58"/>
        <v>0.23011508986375132</v>
      </c>
      <c r="I61" s="70">
        <f t="shared" si="58"/>
        <v>0.24265882347285314</v>
      </c>
      <c r="J61" s="70">
        <f t="shared" si="58"/>
        <v>0.24548699413420488</v>
      </c>
      <c r="K61" s="70">
        <f t="shared" si="58"/>
        <v>0.23389938705895102</v>
      </c>
      <c r="L61" s="70">
        <f t="shared" si="58"/>
        <v>0.22656339874352163</v>
      </c>
      <c r="M61" s="70">
        <f t="shared" si="58"/>
        <v>0.26740389603932979</v>
      </c>
      <c r="N61" s="70">
        <f t="shared" si="58"/>
        <v>0.25361745786334244</v>
      </c>
      <c r="O61" s="70">
        <f t="shared" si="58"/>
        <v>0.24909148954496588</v>
      </c>
      <c r="P61" s="70">
        <f t="shared" si="58"/>
        <v>0.27055514962111793</v>
      </c>
      <c r="Q61" s="70">
        <f t="shared" si="58"/>
        <v>0.26596108392048373</v>
      </c>
      <c r="R61" s="70">
        <f t="shared" si="58"/>
        <v>0.27151715081784544</v>
      </c>
      <c r="S61" s="70">
        <f t="shared" si="58"/>
        <v>0.26617940142408253</v>
      </c>
      <c r="T61" s="70">
        <f t="shared" si="58"/>
        <v>0.26587944477805514</v>
      </c>
      <c r="U61" s="70">
        <f t="shared" si="58"/>
        <v>0.26936098233862493</v>
      </c>
      <c r="V61" s="70">
        <f t="shared" si="58"/>
        <v>0.27246625258871304</v>
      </c>
      <c r="W61" s="70">
        <f t="shared" si="58"/>
        <v>0.26138184486350607</v>
      </c>
      <c r="X61" s="70">
        <f t="shared" ref="X61:Y61" si="59">IF(X53=0,0,X53/X$47)</f>
        <v>0.26784521712844839</v>
      </c>
      <c r="Y61" s="70">
        <f t="shared" si="59"/>
        <v>0.28921272121907377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27696.374867684925</v>
      </c>
      <c r="C65" s="80">
        <v>28745.399515397428</v>
      </c>
      <c r="D65" s="80">
        <v>25737.825017037932</v>
      </c>
      <c r="E65" s="80">
        <v>29284.018875349771</v>
      </c>
      <c r="F65" s="80">
        <v>29757.60320947591</v>
      </c>
      <c r="G65" s="80">
        <v>28171.742966496226</v>
      </c>
      <c r="H65" s="80">
        <v>25508.543276719523</v>
      </c>
      <c r="I65" s="80">
        <v>24792.152938202671</v>
      </c>
      <c r="J65" s="80">
        <v>25724.873589404709</v>
      </c>
      <c r="K65" s="80">
        <v>28110.308165751681</v>
      </c>
      <c r="L65" s="80">
        <v>28914.346012844544</v>
      </c>
      <c r="M65" s="80">
        <v>22129.25506136179</v>
      </c>
      <c r="N65" s="80">
        <v>23999.329598094537</v>
      </c>
      <c r="O65" s="80">
        <v>25166.839143770536</v>
      </c>
      <c r="P65" s="80">
        <v>23552.347557471447</v>
      </c>
      <c r="Q65" s="80">
        <v>24203.252344023149</v>
      </c>
      <c r="R65" s="80">
        <v>22053.244597168952</v>
      </c>
      <c r="S65" s="80">
        <v>23683.987735990697</v>
      </c>
      <c r="T65" s="80">
        <v>23228.333819369236</v>
      </c>
      <c r="U65" s="80">
        <v>22619.248652794104</v>
      </c>
      <c r="V65" s="80">
        <v>21839.564155755819</v>
      </c>
      <c r="W65" s="80">
        <v>22292.626307908107</v>
      </c>
      <c r="X65" s="80">
        <v>21044.844799521576</v>
      </c>
      <c r="Y65" s="80">
        <v>18263.409624011078</v>
      </c>
      <c r="DA65" s="103" t="s">
        <v>219</v>
      </c>
    </row>
    <row r="66" spans="1:105" ht="12" customHeight="1" x14ac:dyDescent="0.25">
      <c r="A66" s="58" t="s">
        <v>29</v>
      </c>
      <c r="B66" s="59">
        <v>1061.545412161676</v>
      </c>
      <c r="C66" s="59">
        <v>1026.6684343210495</v>
      </c>
      <c r="D66" s="59">
        <v>716.311448641536</v>
      </c>
      <c r="E66" s="59">
        <v>807.96670128163169</v>
      </c>
      <c r="F66" s="59">
        <v>798.44872752161882</v>
      </c>
      <c r="G66" s="59">
        <v>853.69422888233055</v>
      </c>
      <c r="H66" s="59">
        <v>834.86218608221316</v>
      </c>
      <c r="I66" s="59">
        <v>791.20592928194117</v>
      </c>
      <c r="J66" s="59">
        <v>702.18197208138656</v>
      </c>
      <c r="K66" s="59">
        <v>614.7952099211949</v>
      </c>
      <c r="L66" s="59">
        <v>683.32776624102394</v>
      </c>
      <c r="M66" s="59">
        <v>186.2638783201707</v>
      </c>
      <c r="N66" s="59">
        <v>208.03388832019198</v>
      </c>
      <c r="O66" s="59">
        <v>224.07447312018502</v>
      </c>
      <c r="P66" s="59">
        <v>167.31954720017069</v>
      </c>
      <c r="Q66" s="59">
        <v>171.64091304017069</v>
      </c>
      <c r="R66" s="59">
        <v>177.89087016017072</v>
      </c>
      <c r="S66" s="59">
        <v>166.44063600016591</v>
      </c>
      <c r="T66" s="59">
        <v>145.00976040006859</v>
      </c>
      <c r="U66" s="59">
        <v>139.169860560052</v>
      </c>
      <c r="V66" s="59">
        <v>122.06747160003465</v>
      </c>
      <c r="W66" s="59">
        <v>145.34354592006619</v>
      </c>
      <c r="X66" s="59">
        <v>132.39937944010344</v>
      </c>
      <c r="Y66" s="59">
        <v>114.78566736002698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15222.484950839997</v>
      </c>
      <c r="C67" s="55">
        <f t="shared" ref="C67:W67" si="60">SUM(C68:C69)</f>
        <v>15976.985570639999</v>
      </c>
      <c r="D67" s="55">
        <f t="shared" si="60"/>
        <v>14309.511818400002</v>
      </c>
      <c r="E67" s="55">
        <f t="shared" si="60"/>
        <v>14889.180561839998</v>
      </c>
      <c r="F67" s="55">
        <f t="shared" si="60"/>
        <v>14854.532896800001</v>
      </c>
      <c r="G67" s="55">
        <f t="shared" si="60"/>
        <v>13851.257429160001</v>
      </c>
      <c r="H67" s="55">
        <f t="shared" si="60"/>
        <v>12716.747548200001</v>
      </c>
      <c r="I67" s="55">
        <f t="shared" si="60"/>
        <v>11288.984282279998</v>
      </c>
      <c r="J67" s="55">
        <f t="shared" si="60"/>
        <v>13189.962108240001</v>
      </c>
      <c r="K67" s="55">
        <f t="shared" si="60"/>
        <v>12717.600022799998</v>
      </c>
      <c r="L67" s="55">
        <f t="shared" si="60"/>
        <v>11773.272668759999</v>
      </c>
      <c r="M67" s="55">
        <f t="shared" si="60"/>
        <v>9383.6893680000012</v>
      </c>
      <c r="N67" s="55">
        <f t="shared" si="60"/>
        <v>9465.2642818799995</v>
      </c>
      <c r="O67" s="55">
        <f t="shared" si="60"/>
        <v>9478.21388544</v>
      </c>
      <c r="P67" s="55">
        <f t="shared" si="60"/>
        <v>10118.683412279999</v>
      </c>
      <c r="Q67" s="55">
        <f t="shared" si="60"/>
        <v>10048.409658</v>
      </c>
      <c r="R67" s="55">
        <f t="shared" si="60"/>
        <v>7617.9015640799989</v>
      </c>
      <c r="S67" s="55">
        <f t="shared" si="60"/>
        <v>8769.188050560002</v>
      </c>
      <c r="T67" s="55">
        <f t="shared" si="60"/>
        <v>7910.7076267199991</v>
      </c>
      <c r="U67" s="55">
        <f t="shared" si="60"/>
        <v>7601.3723883599996</v>
      </c>
      <c r="V67" s="55">
        <f t="shared" si="60"/>
        <v>8085.9034861199998</v>
      </c>
      <c r="W67" s="55">
        <f t="shared" si="60"/>
        <v>6688.2356024400015</v>
      </c>
      <c r="X67" s="55">
        <f t="shared" ref="X67:Y67" si="61">SUM(X68:X69)</f>
        <v>7688.6944005599989</v>
      </c>
      <c r="Y67" s="55">
        <f t="shared" si="61"/>
        <v>6379.997560920001</v>
      </c>
      <c r="DA67" s="101"/>
    </row>
    <row r="68" spans="1:105" ht="12" customHeight="1" x14ac:dyDescent="0.25">
      <c r="A68" s="61" t="s">
        <v>52</v>
      </c>
      <c r="B68" s="55">
        <v>901.35815903999992</v>
      </c>
      <c r="C68" s="55">
        <v>423.81763668000008</v>
      </c>
      <c r="D68" s="55">
        <v>1161.0208933200001</v>
      </c>
      <c r="E68" s="55">
        <v>1349.7090757200001</v>
      </c>
      <c r="F68" s="55">
        <v>1514.6433640799999</v>
      </c>
      <c r="G68" s="55">
        <v>1240.5857277600001</v>
      </c>
      <c r="H68" s="55">
        <v>1056.6799448400002</v>
      </c>
      <c r="I68" s="55">
        <v>1156.4888241599999</v>
      </c>
      <c r="J68" s="55">
        <v>1306.3267404000001</v>
      </c>
      <c r="K68" s="55">
        <v>1277.2166407200002</v>
      </c>
      <c r="L68" s="55">
        <v>1352.44612656</v>
      </c>
      <c r="M68" s="55">
        <v>830.86927523999975</v>
      </c>
      <c r="N68" s="55">
        <v>1041.8504857200001</v>
      </c>
      <c r="O68" s="55">
        <v>851.76504216000012</v>
      </c>
      <c r="P68" s="55">
        <v>780.19283231999998</v>
      </c>
      <c r="Q68" s="55">
        <v>905.30052083999999</v>
      </c>
      <c r="R68" s="55">
        <v>841.9601350800001</v>
      </c>
      <c r="S68" s="55">
        <v>911.20440924000013</v>
      </c>
      <c r="T68" s="55">
        <v>838.55523384000003</v>
      </c>
      <c r="U68" s="55">
        <v>857.84588820000033</v>
      </c>
      <c r="V68" s="55">
        <v>704.98356372000012</v>
      </c>
      <c r="W68" s="55">
        <v>431.38433628000007</v>
      </c>
      <c r="X68" s="55">
        <v>503.79544800000002</v>
      </c>
      <c r="Y68" s="55">
        <v>537.10005708000017</v>
      </c>
      <c r="DA68" s="101" t="s">
        <v>221</v>
      </c>
    </row>
    <row r="69" spans="1:105" ht="12" customHeight="1" x14ac:dyDescent="0.25">
      <c r="A69" s="61" t="s">
        <v>163</v>
      </c>
      <c r="B69" s="55">
        <v>14321.126791799998</v>
      </c>
      <c r="C69" s="55">
        <v>15553.16793396</v>
      </c>
      <c r="D69" s="55">
        <v>13148.490925080001</v>
      </c>
      <c r="E69" s="55">
        <v>13539.471486119997</v>
      </c>
      <c r="F69" s="55">
        <v>13339.889532720001</v>
      </c>
      <c r="G69" s="55">
        <v>12610.671701400001</v>
      </c>
      <c r="H69" s="55">
        <v>11660.067603360001</v>
      </c>
      <c r="I69" s="55">
        <v>10132.495458119998</v>
      </c>
      <c r="J69" s="55">
        <v>11883.635367840001</v>
      </c>
      <c r="K69" s="55">
        <v>11440.383382079997</v>
      </c>
      <c r="L69" s="55">
        <v>10420.826542199999</v>
      </c>
      <c r="M69" s="55">
        <v>8552.820092760001</v>
      </c>
      <c r="N69" s="55">
        <v>8423.413796159999</v>
      </c>
      <c r="O69" s="55">
        <v>8626.448843279999</v>
      </c>
      <c r="P69" s="55">
        <v>9338.4905799599983</v>
      </c>
      <c r="Q69" s="55">
        <v>9143.1091371600014</v>
      </c>
      <c r="R69" s="55">
        <v>6775.9414289999986</v>
      </c>
      <c r="S69" s="55">
        <v>7857.9836413200019</v>
      </c>
      <c r="T69" s="55">
        <v>7072.1523928799988</v>
      </c>
      <c r="U69" s="55">
        <v>6743.5265001599992</v>
      </c>
      <c r="V69" s="55">
        <v>7380.9199223999995</v>
      </c>
      <c r="W69" s="55">
        <v>6256.8512661600016</v>
      </c>
      <c r="X69" s="55">
        <v>7184.8989525599991</v>
      </c>
      <c r="Y69" s="55">
        <v>5842.8975038400004</v>
      </c>
      <c r="DA69" s="101" t="s">
        <v>222</v>
      </c>
    </row>
    <row r="70" spans="1:105" ht="12" customHeight="1" x14ac:dyDescent="0.25">
      <c r="A70" s="60" t="s">
        <v>149</v>
      </c>
      <c r="B70" s="55">
        <v>10661.405792400001</v>
      </c>
      <c r="C70" s="55">
        <v>10878.39504972</v>
      </c>
      <c r="D70" s="55">
        <v>9719.2989471599994</v>
      </c>
      <c r="E70" s="55">
        <v>12464.449335359999</v>
      </c>
      <c r="F70" s="55">
        <v>12926.8577592</v>
      </c>
      <c r="G70" s="55">
        <v>13175.7754788</v>
      </c>
      <c r="H70" s="55">
        <v>11706.14366064</v>
      </c>
      <c r="I70" s="55">
        <v>12264.895486800002</v>
      </c>
      <c r="J70" s="55">
        <v>11323.582142400001</v>
      </c>
      <c r="K70" s="55">
        <v>14073.022968840001</v>
      </c>
      <c r="L70" s="55">
        <v>15852.867568560001</v>
      </c>
      <c r="M70" s="55">
        <v>12240.455903279999</v>
      </c>
      <c r="N70" s="55">
        <v>13991.383566005508</v>
      </c>
      <c r="O70" s="55">
        <v>15042.781431698391</v>
      </c>
      <c r="P70" s="55">
        <v>12920.923639936183</v>
      </c>
      <c r="Q70" s="55">
        <v>13735.685068556841</v>
      </c>
      <c r="R70" s="55">
        <v>13966.46800936432</v>
      </c>
      <c r="S70" s="55">
        <v>14431.366360005995</v>
      </c>
      <c r="T70" s="55">
        <v>14918.237961804944</v>
      </c>
      <c r="U70" s="55">
        <v>14620.847516279968</v>
      </c>
      <c r="V70" s="55">
        <v>13292.283916724164</v>
      </c>
      <c r="W70" s="55">
        <v>15059.924081994799</v>
      </c>
      <c r="X70" s="55">
        <v>12536.050233491347</v>
      </c>
      <c r="Y70" s="55">
        <v>11215.851505594228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750.93871228324701</v>
      </c>
      <c r="C71" s="55">
        <f t="shared" ref="C71:W71" si="62">SUM(C72:C76)</f>
        <v>863.35046071638067</v>
      </c>
      <c r="D71" s="55">
        <f t="shared" si="62"/>
        <v>992.70280283639295</v>
      </c>
      <c r="E71" s="55">
        <f t="shared" si="62"/>
        <v>1122.4222768681436</v>
      </c>
      <c r="F71" s="55">
        <f t="shared" si="62"/>
        <v>1177.7638259542898</v>
      </c>
      <c r="G71" s="55">
        <f t="shared" si="62"/>
        <v>291.01582965389332</v>
      </c>
      <c r="H71" s="55">
        <f t="shared" si="62"/>
        <v>250.78988179731041</v>
      </c>
      <c r="I71" s="55">
        <f t="shared" si="62"/>
        <v>447.06723984073062</v>
      </c>
      <c r="J71" s="55">
        <f t="shared" si="62"/>
        <v>509.14736668332336</v>
      </c>
      <c r="K71" s="55">
        <f t="shared" si="62"/>
        <v>704.88996419048635</v>
      </c>
      <c r="L71" s="55">
        <f t="shared" si="62"/>
        <v>604.87800928352112</v>
      </c>
      <c r="M71" s="55">
        <f t="shared" si="62"/>
        <v>318.845911761617</v>
      </c>
      <c r="N71" s="55">
        <f t="shared" si="62"/>
        <v>334.64786188883983</v>
      </c>
      <c r="O71" s="55">
        <f t="shared" si="62"/>
        <v>421.76935351196238</v>
      </c>
      <c r="P71" s="55">
        <f t="shared" si="62"/>
        <v>345.42095805509456</v>
      </c>
      <c r="Q71" s="55">
        <f t="shared" si="62"/>
        <v>247.51670442613519</v>
      </c>
      <c r="R71" s="55">
        <f t="shared" si="62"/>
        <v>290.98415356446316</v>
      </c>
      <c r="S71" s="55">
        <f t="shared" si="62"/>
        <v>316.99268942453415</v>
      </c>
      <c r="T71" s="55">
        <f t="shared" si="62"/>
        <v>254.37847044422682</v>
      </c>
      <c r="U71" s="55">
        <f t="shared" si="62"/>
        <v>257.8588875940826</v>
      </c>
      <c r="V71" s="55">
        <f t="shared" si="62"/>
        <v>339.30928131162193</v>
      </c>
      <c r="W71" s="55">
        <f t="shared" si="62"/>
        <v>399.12307755324127</v>
      </c>
      <c r="X71" s="55">
        <f t="shared" ref="X71:Y71" si="63">SUM(X72:X76)</f>
        <v>687.70078603012632</v>
      </c>
      <c r="Y71" s="55">
        <f t="shared" si="63"/>
        <v>552.77489013682066</v>
      </c>
      <c r="DA71" s="101"/>
    </row>
    <row r="72" spans="1:105" ht="12" customHeight="1" x14ac:dyDescent="0.25">
      <c r="A72" s="61" t="s">
        <v>164</v>
      </c>
      <c r="B72" s="55">
        <v>750.93871228324701</v>
      </c>
      <c r="C72" s="55">
        <v>863.35046071638067</v>
      </c>
      <c r="D72" s="55">
        <v>992.70280283639295</v>
      </c>
      <c r="E72" s="55">
        <v>1122.4222768681436</v>
      </c>
      <c r="F72" s="55">
        <v>1177.7638259542898</v>
      </c>
      <c r="G72" s="55">
        <v>291.01582965389332</v>
      </c>
      <c r="H72" s="55">
        <v>250.78988179731041</v>
      </c>
      <c r="I72" s="55">
        <v>447.06723984073062</v>
      </c>
      <c r="J72" s="55">
        <v>509.14736668332336</v>
      </c>
      <c r="K72" s="55">
        <v>704.88996419048635</v>
      </c>
      <c r="L72" s="55">
        <v>604.87800928352112</v>
      </c>
      <c r="M72" s="55">
        <v>318.845911761617</v>
      </c>
      <c r="N72" s="55">
        <v>334.64786188883983</v>
      </c>
      <c r="O72" s="55">
        <v>421.76935351196238</v>
      </c>
      <c r="P72" s="55">
        <v>345.42095805509456</v>
      </c>
      <c r="Q72" s="55">
        <v>247.51670442613519</v>
      </c>
      <c r="R72" s="55">
        <v>290.98415356446316</v>
      </c>
      <c r="S72" s="55">
        <v>316.99268942453415</v>
      </c>
      <c r="T72" s="55">
        <v>254.37847044422682</v>
      </c>
      <c r="U72" s="55">
        <v>257.8588875940826</v>
      </c>
      <c r="V72" s="55">
        <v>339.30928131162193</v>
      </c>
      <c r="W72" s="55">
        <v>399.12307755324127</v>
      </c>
      <c r="X72" s="55">
        <v>687.70078603012632</v>
      </c>
      <c r="Y72" s="55">
        <v>552.77489013682066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27696.374867684925</v>
      </c>
      <c r="C81" s="82">
        <f t="shared" ref="C81:W81" si="65">C82+C87</f>
        <v>28745.399515397425</v>
      </c>
      <c r="D81" s="82">
        <f t="shared" si="65"/>
        <v>25737.825017037929</v>
      </c>
      <c r="E81" s="82">
        <f t="shared" si="65"/>
        <v>29284.018875349775</v>
      </c>
      <c r="F81" s="82">
        <f t="shared" si="65"/>
        <v>29757.603209475907</v>
      </c>
      <c r="G81" s="82">
        <f t="shared" si="65"/>
        <v>28171.742966496226</v>
      </c>
      <c r="H81" s="82">
        <f t="shared" si="65"/>
        <v>25508.543276719527</v>
      </c>
      <c r="I81" s="82">
        <f t="shared" si="65"/>
        <v>24792.152938202671</v>
      </c>
      <c r="J81" s="82">
        <f t="shared" si="65"/>
        <v>25724.873589404699</v>
      </c>
      <c r="K81" s="82">
        <f t="shared" si="65"/>
        <v>28110.30816575166</v>
      </c>
      <c r="L81" s="82">
        <f t="shared" si="65"/>
        <v>28914.346012844533</v>
      </c>
      <c r="M81" s="82">
        <f t="shared" si="65"/>
        <v>22129.255061361771</v>
      </c>
      <c r="N81" s="82">
        <f t="shared" si="65"/>
        <v>23999.32959809453</v>
      </c>
      <c r="O81" s="82">
        <f t="shared" si="65"/>
        <v>25166.839143770543</v>
      </c>
      <c r="P81" s="82">
        <f t="shared" si="65"/>
        <v>23552.347557471428</v>
      </c>
      <c r="Q81" s="82">
        <f t="shared" si="65"/>
        <v>24203.252344023163</v>
      </c>
      <c r="R81" s="82">
        <f t="shared" si="65"/>
        <v>22053.244597168974</v>
      </c>
      <c r="S81" s="82">
        <f t="shared" si="65"/>
        <v>23683.987735990697</v>
      </c>
      <c r="T81" s="82">
        <f t="shared" si="65"/>
        <v>23228.333819369229</v>
      </c>
      <c r="U81" s="82">
        <f t="shared" si="65"/>
        <v>22619.248652794122</v>
      </c>
      <c r="V81" s="82">
        <f t="shared" si="65"/>
        <v>21839.564155755816</v>
      </c>
      <c r="W81" s="82">
        <f t="shared" si="65"/>
        <v>22292.626307908111</v>
      </c>
      <c r="X81" s="82">
        <f t="shared" ref="X81:Y81" si="66">X82+X87</f>
        <v>21044.844799521565</v>
      </c>
      <c r="Y81" s="82">
        <f t="shared" si="66"/>
        <v>18263.409624011096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27696.374867684925</v>
      </c>
      <c r="C82" s="64">
        <f t="shared" ref="C82:W82" si="68">SUM(C83:C86)</f>
        <v>28745.399515397425</v>
      </c>
      <c r="D82" s="64">
        <f t="shared" si="68"/>
        <v>25737.825017037929</v>
      </c>
      <c r="E82" s="64">
        <f t="shared" si="68"/>
        <v>29284.018875349775</v>
      </c>
      <c r="F82" s="64">
        <f t="shared" si="68"/>
        <v>29757.603209475907</v>
      </c>
      <c r="G82" s="64">
        <f t="shared" si="68"/>
        <v>28171.742966496226</v>
      </c>
      <c r="H82" s="64">
        <f t="shared" si="68"/>
        <v>25508.543276719527</v>
      </c>
      <c r="I82" s="64">
        <f t="shared" si="68"/>
        <v>24792.152938202671</v>
      </c>
      <c r="J82" s="64">
        <f t="shared" si="68"/>
        <v>25724.873589404699</v>
      </c>
      <c r="K82" s="64">
        <f t="shared" si="68"/>
        <v>28110.30816575166</v>
      </c>
      <c r="L82" s="64">
        <f t="shared" si="68"/>
        <v>28914.346012844533</v>
      </c>
      <c r="M82" s="64">
        <f t="shared" si="68"/>
        <v>22129.255061361771</v>
      </c>
      <c r="N82" s="64">
        <f t="shared" si="68"/>
        <v>23999.32959809453</v>
      </c>
      <c r="O82" s="64">
        <f t="shared" si="68"/>
        <v>25166.839143770543</v>
      </c>
      <c r="P82" s="64">
        <f t="shared" si="68"/>
        <v>23552.347557471428</v>
      </c>
      <c r="Q82" s="64">
        <f t="shared" si="68"/>
        <v>24203.252344023163</v>
      </c>
      <c r="R82" s="64">
        <f t="shared" si="68"/>
        <v>22053.244597168974</v>
      </c>
      <c r="S82" s="64">
        <f t="shared" si="68"/>
        <v>23683.987735990697</v>
      </c>
      <c r="T82" s="64">
        <f t="shared" si="68"/>
        <v>23228.333819369229</v>
      </c>
      <c r="U82" s="64">
        <f t="shared" si="68"/>
        <v>22619.248652794122</v>
      </c>
      <c r="V82" s="64">
        <f t="shared" si="68"/>
        <v>21839.564155755816</v>
      </c>
      <c r="W82" s="64">
        <f t="shared" si="68"/>
        <v>22292.626307908111</v>
      </c>
      <c r="X82" s="64">
        <f t="shared" ref="X82:Y82" si="69">SUM(X83:X86)</f>
        <v>21044.844799521565</v>
      </c>
      <c r="Y82" s="64">
        <f t="shared" si="69"/>
        <v>18263.409624011096</v>
      </c>
      <c r="DA82" s="108" t="s">
        <v>233</v>
      </c>
    </row>
    <row r="83" spans="1:105" ht="12" customHeight="1" x14ac:dyDescent="0.25">
      <c r="A83" s="61" t="s">
        <v>32</v>
      </c>
      <c r="B83" s="65">
        <v>22876.124392663765</v>
      </c>
      <c r="C83" s="65">
        <v>24403.790788182192</v>
      </c>
      <c r="D83" s="65">
        <v>20689.948231943723</v>
      </c>
      <c r="E83" s="65">
        <v>24010.476445369208</v>
      </c>
      <c r="F83" s="65">
        <v>24329.289405061267</v>
      </c>
      <c r="G83" s="65">
        <v>23696.81388712646</v>
      </c>
      <c r="H83" s="65">
        <v>21353.472020090689</v>
      </c>
      <c r="I83" s="65">
        <v>20591.98716460355</v>
      </c>
      <c r="J83" s="65">
        <v>21408.77208835461</v>
      </c>
      <c r="K83" s="65">
        <v>23358.280080731794</v>
      </c>
      <c r="L83" s="65">
        <v>24255.245471566734</v>
      </c>
      <c r="M83" s="65">
        <v>17956.608457798258</v>
      </c>
      <c r="N83" s="65">
        <v>19854.644881042746</v>
      </c>
      <c r="O83" s="65">
        <v>20988.550715990292</v>
      </c>
      <c r="P83" s="65">
        <v>19064.202459204353</v>
      </c>
      <c r="Q83" s="65">
        <v>19463.388656320847</v>
      </c>
      <c r="R83" s="65">
        <v>17716.530867628233</v>
      </c>
      <c r="S83" s="65">
        <v>19120.774778881572</v>
      </c>
      <c r="T83" s="65">
        <v>18854.746996020982</v>
      </c>
      <c r="U83" s="65">
        <v>18324.096404083768</v>
      </c>
      <c r="V83" s="65">
        <v>17829.622853840006</v>
      </c>
      <c r="W83" s="65">
        <v>18063.354947722044</v>
      </c>
      <c r="X83" s="65">
        <v>16926.910457192495</v>
      </c>
      <c r="Y83" s="65">
        <v>14426.367096098302</v>
      </c>
      <c r="DA83" s="109" t="s">
        <v>234</v>
      </c>
    </row>
    <row r="84" spans="1:105" ht="12" customHeight="1" x14ac:dyDescent="0.25">
      <c r="A84" s="61" t="s">
        <v>31</v>
      </c>
      <c r="B84" s="65">
        <v>3.1460538115999546</v>
      </c>
      <c r="C84" s="65">
        <v>4.0105947585624566</v>
      </c>
      <c r="D84" s="65">
        <v>4.4125631604801434</v>
      </c>
      <c r="E84" s="65">
        <v>11.788828986911328</v>
      </c>
      <c r="F84" s="65">
        <v>6.5836248198138421</v>
      </c>
      <c r="G84" s="65">
        <v>7.1550813011437242</v>
      </c>
      <c r="H84" s="65">
        <v>12.807190514657199</v>
      </c>
      <c r="I84" s="65">
        <v>11.675859571872346</v>
      </c>
      <c r="J84" s="65">
        <v>14.533828916235583</v>
      </c>
      <c r="K84" s="65">
        <v>16.860028826453455</v>
      </c>
      <c r="L84" s="65">
        <v>19.287762829481853</v>
      </c>
      <c r="M84" s="65">
        <v>25.792432129346516</v>
      </c>
      <c r="N84" s="65">
        <v>38.93990714948449</v>
      </c>
      <c r="O84" s="65">
        <v>47.484239912549747</v>
      </c>
      <c r="P84" s="65">
        <v>48.47009400008541</v>
      </c>
      <c r="Q84" s="65">
        <v>77.235530857658119</v>
      </c>
      <c r="R84" s="65">
        <v>74.174232273582348</v>
      </c>
      <c r="S84" s="65">
        <v>92.802900826853886</v>
      </c>
      <c r="T84" s="65">
        <v>100.54462984924075</v>
      </c>
      <c r="U84" s="65">
        <v>110.77465890171348</v>
      </c>
      <c r="V84" s="65">
        <v>112.38253392464375</v>
      </c>
      <c r="W84" s="65">
        <v>92.219479543685907</v>
      </c>
      <c r="X84" s="65">
        <v>143.39809133936137</v>
      </c>
      <c r="Y84" s="65">
        <v>135.4822506519707</v>
      </c>
      <c r="DA84" s="109" t="s">
        <v>235</v>
      </c>
    </row>
    <row r="85" spans="1:105" ht="12" customHeight="1" x14ac:dyDescent="0.25">
      <c r="A85" s="61" t="s">
        <v>35</v>
      </c>
      <c r="B85" s="65">
        <v>2398.4637571814428</v>
      </c>
      <c r="C85" s="65">
        <v>2410.3555180909293</v>
      </c>
      <c r="D85" s="65">
        <v>2406.6129602035294</v>
      </c>
      <c r="E85" s="65">
        <v>2431.3533723347932</v>
      </c>
      <c r="F85" s="65">
        <v>2434.6599648356682</v>
      </c>
      <c r="G85" s="65">
        <v>2324.4136277311009</v>
      </c>
      <c r="H85" s="65">
        <v>2230.5378066400967</v>
      </c>
      <c r="I85" s="65">
        <v>2179.089122608008</v>
      </c>
      <c r="J85" s="65">
        <v>2184.8249520575241</v>
      </c>
      <c r="K85" s="65">
        <v>2262.2583669160704</v>
      </c>
      <c r="L85" s="65">
        <v>2145.8602459093622</v>
      </c>
      <c r="M85" s="65">
        <v>2074.5172933578078</v>
      </c>
      <c r="N85" s="65">
        <v>1976.0734690081088</v>
      </c>
      <c r="O85" s="65">
        <v>2051.8484868281098</v>
      </c>
      <c r="P85" s="65">
        <v>2278.2113228962035</v>
      </c>
      <c r="Q85" s="65">
        <v>2266.7394149957759</v>
      </c>
      <c r="R85" s="65">
        <v>1983.8370490978048</v>
      </c>
      <c r="S85" s="65">
        <v>2071.3057770371834</v>
      </c>
      <c r="T85" s="65">
        <v>1876.094388238241</v>
      </c>
      <c r="U85" s="65">
        <v>1776.4645507083042</v>
      </c>
      <c r="V85" s="65">
        <v>1771.4725848962153</v>
      </c>
      <c r="W85" s="65">
        <v>1697.6793292050063</v>
      </c>
      <c r="X85" s="65">
        <v>1846.1293543863121</v>
      </c>
      <c r="Y85" s="65">
        <v>1680.5513458054563</v>
      </c>
      <c r="DA85" s="109" t="s">
        <v>236</v>
      </c>
    </row>
    <row r="86" spans="1:105" ht="12" customHeight="1" x14ac:dyDescent="0.25">
      <c r="A86" s="66" t="s">
        <v>34</v>
      </c>
      <c r="B86" s="67">
        <v>2418.6406640281161</v>
      </c>
      <c r="C86" s="67">
        <v>1927.2426143657415</v>
      </c>
      <c r="D86" s="67">
        <v>2636.8512617301976</v>
      </c>
      <c r="E86" s="67">
        <v>2830.4002286588611</v>
      </c>
      <c r="F86" s="67">
        <v>2987.0702147591569</v>
      </c>
      <c r="G86" s="67">
        <v>2143.3603703375197</v>
      </c>
      <c r="H86" s="67">
        <v>1911.726259474086</v>
      </c>
      <c r="I86" s="67">
        <v>2009.4007914192414</v>
      </c>
      <c r="J86" s="67">
        <v>2116.7427200763318</v>
      </c>
      <c r="K86" s="67">
        <v>2472.9096892773432</v>
      </c>
      <c r="L86" s="67">
        <v>2493.9525325389541</v>
      </c>
      <c r="M86" s="67">
        <v>2072.336878076359</v>
      </c>
      <c r="N86" s="67">
        <v>2129.671340894191</v>
      </c>
      <c r="O86" s="67">
        <v>2078.9557010395934</v>
      </c>
      <c r="P86" s="67">
        <v>2161.4636813707866</v>
      </c>
      <c r="Q86" s="67">
        <v>2395.8887418488812</v>
      </c>
      <c r="R86" s="67">
        <v>2278.7024481693543</v>
      </c>
      <c r="S86" s="67">
        <v>2399.1042792450917</v>
      </c>
      <c r="T86" s="67">
        <v>2396.9478052607619</v>
      </c>
      <c r="U86" s="67">
        <v>2407.9130391003359</v>
      </c>
      <c r="V86" s="67">
        <v>2126.0861830949498</v>
      </c>
      <c r="W86" s="67">
        <v>2439.3725514373755</v>
      </c>
      <c r="X86" s="67">
        <v>2128.4068966033988</v>
      </c>
      <c r="Y86" s="67">
        <v>2021.0089314553677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0.82596096066546076</v>
      </c>
      <c r="C91" s="71">
        <f t="shared" ref="C91:W91" si="77">IF(C83=0,0,C83/C$81)</f>
        <v>0.84896335412246893</v>
      </c>
      <c r="D91" s="71">
        <f t="shared" si="77"/>
        <v>0.80387321843424564</v>
      </c>
      <c r="E91" s="71">
        <f t="shared" si="77"/>
        <v>0.81991739411083209</v>
      </c>
      <c r="F91" s="71">
        <f t="shared" si="77"/>
        <v>0.81758229094586266</v>
      </c>
      <c r="G91" s="71">
        <f t="shared" si="77"/>
        <v>0.84115540580177595</v>
      </c>
      <c r="H91" s="71">
        <f t="shared" si="77"/>
        <v>0.83711060206166377</v>
      </c>
      <c r="I91" s="71">
        <f t="shared" si="77"/>
        <v>0.83058487158946936</v>
      </c>
      <c r="J91" s="71">
        <f t="shared" si="77"/>
        <v>0.83222069154004474</v>
      </c>
      <c r="K91" s="71">
        <f t="shared" si="77"/>
        <v>0.83095069406569066</v>
      </c>
      <c r="L91" s="71">
        <f t="shared" si="77"/>
        <v>0.8388654358909553</v>
      </c>
      <c r="M91" s="71">
        <f t="shared" si="77"/>
        <v>0.81144206653169004</v>
      </c>
      <c r="N91" s="71">
        <f t="shared" si="77"/>
        <v>0.82729997935522093</v>
      </c>
      <c r="O91" s="71">
        <f t="shared" si="77"/>
        <v>0.83397643208545369</v>
      </c>
      <c r="P91" s="71">
        <f t="shared" si="77"/>
        <v>0.8094395861255318</v>
      </c>
      <c r="Q91" s="71">
        <f t="shared" si="77"/>
        <v>0.80416418337790896</v>
      </c>
      <c r="R91" s="71">
        <f t="shared" si="77"/>
        <v>0.80335257651395864</v>
      </c>
      <c r="S91" s="71">
        <f t="shared" si="77"/>
        <v>0.80732919608065967</v>
      </c>
      <c r="T91" s="71">
        <f t="shared" si="77"/>
        <v>0.81171327838842755</v>
      </c>
      <c r="U91" s="71">
        <f t="shared" si="77"/>
        <v>0.81011074617724843</v>
      </c>
      <c r="V91" s="71">
        <f t="shared" si="77"/>
        <v>0.81639096488750262</v>
      </c>
      <c r="W91" s="71">
        <f t="shared" si="77"/>
        <v>0.81028384445282831</v>
      </c>
      <c r="X91" s="71">
        <f t="shared" ref="X91:Y91" si="78">IF(X83=0,0,X83/X$81)</f>
        <v>0.80432574430662052</v>
      </c>
      <c r="Y91" s="71">
        <f t="shared" si="78"/>
        <v>0.78990546634467451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1.1359081564391484E-4</v>
      </c>
      <c r="C92" s="72">
        <f t="shared" ref="C92:W92" si="80">IF(C84=0,0,C84/C$81)</f>
        <v>1.395212738794668E-4</v>
      </c>
      <c r="D92" s="72">
        <f t="shared" si="80"/>
        <v>1.714427368108655E-4</v>
      </c>
      <c r="E92" s="72">
        <f t="shared" si="80"/>
        <v>4.025686855718679E-4</v>
      </c>
      <c r="F92" s="72">
        <f t="shared" si="80"/>
        <v>2.2124177049707335E-4</v>
      </c>
      <c r="G92" s="72">
        <f t="shared" si="80"/>
        <v>2.5398078172348223E-4</v>
      </c>
      <c r="H92" s="72">
        <f t="shared" si="80"/>
        <v>5.0207455501176076E-4</v>
      </c>
      <c r="I92" s="72">
        <f t="shared" si="80"/>
        <v>4.7094980419715003E-4</v>
      </c>
      <c r="J92" s="72">
        <f t="shared" si="80"/>
        <v>5.6497183030752114E-4</v>
      </c>
      <c r="K92" s="72">
        <f t="shared" si="80"/>
        <v>5.9978100300568595E-4</v>
      </c>
      <c r="L92" s="72">
        <f t="shared" si="80"/>
        <v>6.6706550516182198E-4</v>
      </c>
      <c r="M92" s="72">
        <f t="shared" si="80"/>
        <v>1.16553548946077E-3</v>
      </c>
      <c r="N92" s="72">
        <f t="shared" si="80"/>
        <v>1.6225414543486328E-3</v>
      </c>
      <c r="O92" s="72">
        <f t="shared" si="80"/>
        <v>1.8867780590675945E-3</v>
      </c>
      <c r="P92" s="72">
        <f t="shared" si="80"/>
        <v>2.0579729422644925E-3</v>
      </c>
      <c r="Q92" s="72">
        <f t="shared" si="80"/>
        <v>3.1911219930213608E-3</v>
      </c>
      <c r="R92" s="72">
        <f t="shared" si="80"/>
        <v>3.3634158432679908E-3</v>
      </c>
      <c r="S92" s="72">
        <f t="shared" si="80"/>
        <v>3.9183815606283479E-3</v>
      </c>
      <c r="T92" s="72">
        <f t="shared" si="80"/>
        <v>4.328533877251255E-3</v>
      </c>
      <c r="U92" s="72">
        <f t="shared" si="80"/>
        <v>4.8973624456809554E-3</v>
      </c>
      <c r="V92" s="72">
        <f t="shared" si="80"/>
        <v>5.1458231090671901E-3</v>
      </c>
      <c r="W92" s="72">
        <f t="shared" si="80"/>
        <v>4.136770529857752E-3</v>
      </c>
      <c r="X92" s="72">
        <f t="shared" ref="X92:Y92" si="81">IF(X84=0,0,X84/X$81)</f>
        <v>6.8139296205511285E-3</v>
      </c>
      <c r="Y92" s="72">
        <f t="shared" si="81"/>
        <v>7.4182342421894084E-3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8.6598472494675796E-2</v>
      </c>
      <c r="C93" s="72">
        <f t="shared" ref="C93:W93" si="83">IF(C85=0,0,C85/C$81)</f>
        <v>8.3851870515830762E-2</v>
      </c>
      <c r="D93" s="72">
        <f t="shared" si="83"/>
        <v>9.3504907994766434E-2</v>
      </c>
      <c r="E93" s="72">
        <f t="shared" si="83"/>
        <v>8.3026629052661158E-2</v>
      </c>
      <c r="F93" s="72">
        <f t="shared" si="83"/>
        <v>8.1816399919613939E-2</v>
      </c>
      <c r="G93" s="72">
        <f t="shared" si="83"/>
        <v>8.2508690729411152E-2</v>
      </c>
      <c r="H93" s="72">
        <f t="shared" si="83"/>
        <v>8.7442774855583619E-2</v>
      </c>
      <c r="I93" s="72">
        <f t="shared" si="83"/>
        <v>8.7894307849731387E-2</v>
      </c>
      <c r="J93" s="72">
        <f t="shared" si="83"/>
        <v>8.4930444632287244E-2</v>
      </c>
      <c r="K93" s="72">
        <f t="shared" si="83"/>
        <v>8.0477892792093428E-2</v>
      </c>
      <c r="L93" s="72">
        <f t="shared" si="83"/>
        <v>7.4214379427987517E-2</v>
      </c>
      <c r="M93" s="72">
        <f t="shared" si="83"/>
        <v>9.3745464436349984E-2</v>
      </c>
      <c r="N93" s="72">
        <f t="shared" si="83"/>
        <v>8.2338694542742674E-2</v>
      </c>
      <c r="O93" s="72">
        <f t="shared" si="83"/>
        <v>8.1529844693905326E-2</v>
      </c>
      <c r="P93" s="72">
        <f t="shared" si="83"/>
        <v>9.6729691905955872E-2</v>
      </c>
      <c r="Q93" s="72">
        <f t="shared" si="83"/>
        <v>9.3654331359129608E-2</v>
      </c>
      <c r="R93" s="72">
        <f t="shared" si="83"/>
        <v>8.9956697317567252E-2</v>
      </c>
      <c r="S93" s="72">
        <f t="shared" si="83"/>
        <v>8.7455955480401748E-2</v>
      </c>
      <c r="T93" s="72">
        <f t="shared" si="83"/>
        <v>8.0767497265509289E-2</v>
      </c>
      <c r="U93" s="72">
        <f t="shared" si="83"/>
        <v>7.8537734739869886E-2</v>
      </c>
      <c r="V93" s="72">
        <f t="shared" si="83"/>
        <v>8.1113000802689725E-2</v>
      </c>
      <c r="W93" s="72">
        <f t="shared" si="83"/>
        <v>7.6154298993599046E-2</v>
      </c>
      <c r="X93" s="72">
        <f t="shared" ref="X93:Y93" si="84">IF(X85=0,0,X85/X$81)</f>
        <v>8.7723590835332849E-2</v>
      </c>
      <c r="Y93" s="72">
        <f t="shared" si="84"/>
        <v>9.201739326899934E-2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8.7326976024219474E-2</v>
      </c>
      <c r="C94" s="73">
        <f t="shared" ref="C94:W94" si="86">IF(C86=0,0,C86/C$81)</f>
        <v>6.7045254087820805E-2</v>
      </c>
      <c r="D94" s="73">
        <f t="shared" si="86"/>
        <v>0.10245043083417711</v>
      </c>
      <c r="E94" s="73">
        <f t="shared" si="86"/>
        <v>9.6653408150934816E-2</v>
      </c>
      <c r="F94" s="73">
        <f t="shared" si="86"/>
        <v>0.1003800673640263</v>
      </c>
      <c r="G94" s="73">
        <f t="shared" si="86"/>
        <v>7.6081922687089382E-2</v>
      </c>
      <c r="H94" s="73">
        <f t="shared" si="86"/>
        <v>7.494454852774092E-2</v>
      </c>
      <c r="I94" s="73">
        <f t="shared" si="86"/>
        <v>8.104987075660218E-2</v>
      </c>
      <c r="J94" s="73">
        <f t="shared" si="86"/>
        <v>8.2283891997360664E-2</v>
      </c>
      <c r="K94" s="73">
        <f t="shared" si="86"/>
        <v>8.7971632139210262E-2</v>
      </c>
      <c r="L94" s="73">
        <f t="shared" si="86"/>
        <v>8.6253119175895357E-2</v>
      </c>
      <c r="M94" s="73">
        <f t="shared" si="86"/>
        <v>9.3646933542499158E-2</v>
      </c>
      <c r="N94" s="73">
        <f t="shared" si="86"/>
        <v>8.8738784647687835E-2</v>
      </c>
      <c r="O94" s="73">
        <f t="shared" si="86"/>
        <v>8.260694516157345E-2</v>
      </c>
      <c r="P94" s="73">
        <f t="shared" si="86"/>
        <v>9.1772749026247838E-2</v>
      </c>
      <c r="Q94" s="73">
        <f t="shared" si="86"/>
        <v>9.8990363269940054E-2</v>
      </c>
      <c r="R94" s="73">
        <f t="shared" si="86"/>
        <v>0.10332731032520615</v>
      </c>
      <c r="S94" s="73">
        <f t="shared" si="86"/>
        <v>0.10129646687831041</v>
      </c>
      <c r="T94" s="73">
        <f t="shared" si="86"/>
        <v>0.10319069046881175</v>
      </c>
      <c r="U94" s="73">
        <f t="shared" si="86"/>
        <v>0.10645415663720068</v>
      </c>
      <c r="V94" s="73">
        <f t="shared" si="86"/>
        <v>9.7350211200740472E-2</v>
      </c>
      <c r="W94" s="73">
        <f t="shared" si="86"/>
        <v>0.10942508602371492</v>
      </c>
      <c r="X94" s="73">
        <f t="shared" ref="X94:Y94" si="87">IF(X86=0,0,X86/X$81)</f>
        <v>0.1011367352374956</v>
      </c>
      <c r="Y94" s="73">
        <f t="shared" si="87"/>
        <v>0.11065890614413675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260230.80578366324</v>
      </c>
      <c r="C99" s="82">
        <f t="shared" ref="C99:W99" si="92">C47*11630*1000/C$8</f>
        <v>269613.57239202142</v>
      </c>
      <c r="D99" s="82">
        <f t="shared" si="92"/>
        <v>254402.18206519034</v>
      </c>
      <c r="E99" s="82">
        <f t="shared" si="92"/>
        <v>273245.73875656654</v>
      </c>
      <c r="F99" s="82">
        <f t="shared" si="92"/>
        <v>275726.25871347217</v>
      </c>
      <c r="G99" s="82">
        <f t="shared" si="92"/>
        <v>270971.25955240492</v>
      </c>
      <c r="H99" s="82">
        <f t="shared" si="92"/>
        <v>257806.65665515891</v>
      </c>
      <c r="I99" s="82">
        <f t="shared" si="92"/>
        <v>246949.7926769827</v>
      </c>
      <c r="J99" s="82">
        <f t="shared" si="92"/>
        <v>246169.24237679047</v>
      </c>
      <c r="K99" s="82">
        <f t="shared" si="92"/>
        <v>260874.54594531623</v>
      </c>
      <c r="L99" s="82">
        <f t="shared" si="92"/>
        <v>270463.80381780548</v>
      </c>
      <c r="M99" s="82">
        <f t="shared" si="92"/>
        <v>229265.7383930129</v>
      </c>
      <c r="N99" s="82">
        <f t="shared" si="92"/>
        <v>242693.72535359996</v>
      </c>
      <c r="O99" s="82">
        <f t="shared" si="92"/>
        <v>247958.22792368112</v>
      </c>
      <c r="P99" s="82">
        <f t="shared" si="92"/>
        <v>230913.01085401792</v>
      </c>
      <c r="Q99" s="82">
        <f t="shared" si="92"/>
        <v>238018.92260576584</v>
      </c>
      <c r="R99" s="82">
        <f t="shared" si="92"/>
        <v>230489.10390089953</v>
      </c>
      <c r="S99" s="82">
        <f t="shared" si="92"/>
        <v>234591.86457639356</v>
      </c>
      <c r="T99" s="82">
        <f t="shared" si="92"/>
        <v>230327.95032220602</v>
      </c>
      <c r="U99" s="82">
        <f t="shared" si="92"/>
        <v>222826.50274472931</v>
      </c>
      <c r="V99" s="82">
        <f t="shared" si="92"/>
        <v>207977.48075839333</v>
      </c>
      <c r="W99" s="82">
        <f t="shared" si="92"/>
        <v>215946.52720999558</v>
      </c>
      <c r="X99" s="82">
        <f t="shared" ref="X99:Y99" si="93">X47*11630*1000/X$8</f>
        <v>206776.33873798916</v>
      </c>
      <c r="Y99" s="82">
        <f t="shared" si="93"/>
        <v>187215.18987405798</v>
      </c>
      <c r="DA99" s="107"/>
    </row>
    <row r="100" spans="1:105" ht="12" customHeight="1" x14ac:dyDescent="0.25">
      <c r="A100" s="77" t="s">
        <v>36</v>
      </c>
      <c r="B100" s="64">
        <f t="shared" si="91"/>
        <v>208002.81655074802</v>
      </c>
      <c r="C100" s="64">
        <f t="shared" ref="C100:W100" si="94">C48*11630*1000/C$8</f>
        <v>216194.2474417536</v>
      </c>
      <c r="D100" s="64">
        <f t="shared" si="94"/>
        <v>199721.78959497091</v>
      </c>
      <c r="E100" s="64">
        <f t="shared" si="94"/>
        <v>217201.08059723859</v>
      </c>
      <c r="F100" s="64">
        <f t="shared" si="94"/>
        <v>218179.1313768267</v>
      </c>
      <c r="G100" s="64">
        <f t="shared" si="94"/>
        <v>212397.55521623298</v>
      </c>
      <c r="H100" s="64">
        <f t="shared" si="94"/>
        <v>198481.45469148373</v>
      </c>
      <c r="I100" s="64">
        <f t="shared" si="94"/>
        <v>187025.24652912107</v>
      </c>
      <c r="J100" s="64">
        <f t="shared" si="94"/>
        <v>185737.89501741764</v>
      </c>
      <c r="K100" s="64">
        <f t="shared" si="94"/>
        <v>199856.14954942462</v>
      </c>
      <c r="L100" s="64">
        <f t="shared" si="94"/>
        <v>209186.60518774245</v>
      </c>
      <c r="M100" s="64">
        <f t="shared" si="94"/>
        <v>167959.1867183875</v>
      </c>
      <c r="N100" s="64">
        <f t="shared" si="94"/>
        <v>181142.35969003569</v>
      </c>
      <c r="O100" s="64">
        <f t="shared" si="94"/>
        <v>186193.94358524127</v>
      </c>
      <c r="P100" s="64">
        <f t="shared" si="94"/>
        <v>168438.30665294628</v>
      </c>
      <c r="Q100" s="64">
        <f t="shared" si="94"/>
        <v>174715.15195595063</v>
      </c>
      <c r="R100" s="64">
        <f t="shared" si="94"/>
        <v>167907.35911516895</v>
      </c>
      <c r="S100" s="64">
        <f t="shared" si="94"/>
        <v>172148.34248448967</v>
      </c>
      <c r="T100" s="64">
        <f t="shared" si="94"/>
        <v>169088.48277367037</v>
      </c>
      <c r="U100" s="64">
        <f t="shared" si="94"/>
        <v>162805.73707432873</v>
      </c>
      <c r="V100" s="64">
        <f t="shared" si="94"/>
        <v>151310.63595331274</v>
      </c>
      <c r="W100" s="64">
        <f t="shared" si="94"/>
        <v>159502.0255359796</v>
      </c>
      <c r="X100" s="64">
        <f t="shared" ref="X100:Y100" si="95">X48*11630*1000/X$8</f>
        <v>151392.28539168689</v>
      </c>
      <c r="Y100" s="64">
        <f t="shared" si="95"/>
        <v>133070.17535703609</v>
      </c>
      <c r="DA100" s="108"/>
    </row>
    <row r="101" spans="1:105" ht="12" customHeight="1" x14ac:dyDescent="0.25">
      <c r="A101" s="61" t="s">
        <v>32</v>
      </c>
      <c r="B101" s="65">
        <f t="shared" si="91"/>
        <v>158127.97929468789</v>
      </c>
      <c r="C101" s="65">
        <f t="shared" ref="C101:W101" si="96">C49*11630*1000/C$8</f>
        <v>167016.70480455179</v>
      </c>
      <c r="D101" s="65">
        <f t="shared" si="96"/>
        <v>149921.39425564761</v>
      </c>
      <c r="E101" s="65">
        <f t="shared" si="96"/>
        <v>165084.05702677733</v>
      </c>
      <c r="F101" s="65">
        <f t="shared" si="96"/>
        <v>167994.15377367608</v>
      </c>
      <c r="G101" s="65">
        <f t="shared" si="96"/>
        <v>163237.74306896963</v>
      </c>
      <c r="H101" s="65">
        <f t="shared" si="96"/>
        <v>149420.39680840966</v>
      </c>
      <c r="I101" s="65">
        <f t="shared" si="96"/>
        <v>139116.13804052124</v>
      </c>
      <c r="J101" s="65">
        <f t="shared" si="96"/>
        <v>137189.19449453207</v>
      </c>
      <c r="K101" s="65">
        <f t="shared" si="96"/>
        <v>149618.18722820783</v>
      </c>
      <c r="L101" s="65">
        <f t="shared" si="96"/>
        <v>159078.61481890973</v>
      </c>
      <c r="M101" s="65">
        <f t="shared" si="96"/>
        <v>119963.70341761778</v>
      </c>
      <c r="N101" s="65">
        <f t="shared" si="96"/>
        <v>131557.67897729596</v>
      </c>
      <c r="O101" s="65">
        <f t="shared" si="96"/>
        <v>136639.55992932906</v>
      </c>
      <c r="P101" s="65">
        <f t="shared" si="96"/>
        <v>118615.48986406473</v>
      </c>
      <c r="Q101" s="65">
        <f t="shared" si="96"/>
        <v>123642.04345365486</v>
      </c>
      <c r="R101" s="65">
        <f t="shared" si="96"/>
        <v>118219.00958065769</v>
      </c>
      <c r="S101" s="65">
        <f t="shared" si="96"/>
        <v>122216.46543222389</v>
      </c>
      <c r="T101" s="65">
        <f t="shared" si="96"/>
        <v>119166.75275126914</v>
      </c>
      <c r="U101" s="65">
        <f t="shared" si="96"/>
        <v>114193.9814975409</v>
      </c>
      <c r="V101" s="65">
        <f t="shared" si="96"/>
        <v>106455.02427269811</v>
      </c>
      <c r="W101" s="65">
        <f t="shared" si="96"/>
        <v>114067.56653046566</v>
      </c>
      <c r="X101" s="65">
        <f t="shared" ref="X101:Y101" si="97">X49*11630*1000/X$8</f>
        <v>103801.34901452955</v>
      </c>
      <c r="Y101" s="65">
        <f t="shared" si="97"/>
        <v>86710.328302518217</v>
      </c>
      <c r="DA101" s="109"/>
    </row>
    <row r="102" spans="1:105" ht="12" customHeight="1" x14ac:dyDescent="0.25">
      <c r="A102" s="61" t="s">
        <v>31</v>
      </c>
      <c r="B102" s="65">
        <f t="shared" si="91"/>
        <v>3689.7174598741308</v>
      </c>
      <c r="C102" s="65">
        <f t="shared" ref="C102:W102" si="98">C50*11630*1000/C$8</f>
        <v>4006.3578191479828</v>
      </c>
      <c r="D102" s="65">
        <f t="shared" si="98"/>
        <v>3923.2718544357658</v>
      </c>
      <c r="E102" s="65">
        <f t="shared" si="98"/>
        <v>6952.911899412883</v>
      </c>
      <c r="F102" s="65">
        <f t="shared" si="98"/>
        <v>4108.6425921770669</v>
      </c>
      <c r="G102" s="65">
        <f t="shared" si="98"/>
        <v>4480.3090756864158</v>
      </c>
      <c r="H102" s="65">
        <f t="shared" si="98"/>
        <v>5337.1737532507395</v>
      </c>
      <c r="I102" s="65">
        <f t="shared" si="98"/>
        <v>4241.6566015502804</v>
      </c>
      <c r="J102" s="65">
        <f t="shared" si="98"/>
        <v>4288.7717939388976</v>
      </c>
      <c r="K102" s="65">
        <f t="shared" si="98"/>
        <v>4721.367930133636</v>
      </c>
      <c r="L102" s="65">
        <f t="shared" si="98"/>
        <v>4674.0252530741382</v>
      </c>
      <c r="M102" s="65">
        <f t="shared" si="98"/>
        <v>4574.3903582286475</v>
      </c>
      <c r="N102" s="65">
        <f t="shared" si="98"/>
        <v>4730.9107305075559</v>
      </c>
      <c r="O102" s="65">
        <f t="shared" si="98"/>
        <v>4623.3605598784516</v>
      </c>
      <c r="P102" s="65">
        <f t="shared" si="98"/>
        <v>4256.251444307969</v>
      </c>
      <c r="Q102" s="65">
        <f t="shared" si="98"/>
        <v>5327.5923278653536</v>
      </c>
      <c r="R102" s="65">
        <f t="shared" si="98"/>
        <v>4583.7624022920909</v>
      </c>
      <c r="S102" s="65">
        <f t="shared" si="98"/>
        <v>4938.3199118010307</v>
      </c>
      <c r="T102" s="65">
        <f t="shared" si="98"/>
        <v>4845.2896823184001</v>
      </c>
      <c r="U102" s="65">
        <f t="shared" si="98"/>
        <v>4882.5838540738132</v>
      </c>
      <c r="V102" s="65">
        <f t="shared" si="98"/>
        <v>4864.68404018611</v>
      </c>
      <c r="W102" s="65">
        <f t="shared" si="98"/>
        <v>4014.3245389101517</v>
      </c>
      <c r="X102" s="65">
        <f t="shared" ref="X102:Y102" si="99">X50*11630*1000/X$8</f>
        <v>5824.5165679124975</v>
      </c>
      <c r="Y102" s="65">
        <f t="shared" si="99"/>
        <v>5172.9296242504024</v>
      </c>
      <c r="DA102" s="109"/>
    </row>
    <row r="103" spans="1:105" ht="12" customHeight="1" x14ac:dyDescent="0.25">
      <c r="A103" s="61" t="s">
        <v>35</v>
      </c>
      <c r="B103" s="65">
        <f t="shared" si="91"/>
        <v>24725.782069469929</v>
      </c>
      <c r="C103" s="65">
        <f t="shared" ref="C103:W103" si="100">C51*11630*1000/C$8</f>
        <v>24253.506672521533</v>
      </c>
      <c r="D103" s="65">
        <f t="shared" si="100"/>
        <v>24153.665700704973</v>
      </c>
      <c r="E103" s="65">
        <f t="shared" si="100"/>
        <v>23572.195692055535</v>
      </c>
      <c r="F103" s="65">
        <f t="shared" si="100"/>
        <v>24065.505148436012</v>
      </c>
      <c r="G103" s="65">
        <f t="shared" si="100"/>
        <v>23668.601354963102</v>
      </c>
      <c r="H103" s="65">
        <f t="shared" si="100"/>
        <v>23087.997364478775</v>
      </c>
      <c r="I103" s="65">
        <f t="shared" si="100"/>
        <v>22785.962395017035</v>
      </c>
      <c r="J103" s="65">
        <f t="shared" si="100"/>
        <v>23083.791844824813</v>
      </c>
      <c r="K103" s="65">
        <f t="shared" si="100"/>
        <v>23368.735084012496</v>
      </c>
      <c r="L103" s="65">
        <f t="shared" si="100"/>
        <v>23029.555978801855</v>
      </c>
      <c r="M103" s="65">
        <f t="shared" si="100"/>
        <v>22535.167416537031</v>
      </c>
      <c r="N103" s="65">
        <f t="shared" si="100"/>
        <v>22584.866346022987</v>
      </c>
      <c r="O103" s="65">
        <f t="shared" si="100"/>
        <v>22639.631825197153</v>
      </c>
      <c r="P103" s="65">
        <f t="shared" si="100"/>
        <v>23263.127878229599</v>
      </c>
      <c r="Q103" s="65">
        <f t="shared" si="100"/>
        <v>23081.220067871953</v>
      </c>
      <c r="R103" s="65">
        <f t="shared" si="100"/>
        <v>22298.993633646711</v>
      </c>
      <c r="S103" s="65">
        <f t="shared" si="100"/>
        <v>22311.807865709205</v>
      </c>
      <c r="T103" s="65">
        <f t="shared" si="100"/>
        <v>22121.329223752393</v>
      </c>
      <c r="U103" s="65">
        <f t="shared" si="100"/>
        <v>21130.63309730422</v>
      </c>
      <c r="V103" s="65">
        <f t="shared" si="100"/>
        <v>19546.378381313611</v>
      </c>
      <c r="W103" s="65">
        <f t="shared" si="100"/>
        <v>20115.947163336514</v>
      </c>
      <c r="X103" s="65">
        <f t="shared" ref="X103:Y103" si="101">X51*11630*1000/X$8</f>
        <v>20361.928995139937</v>
      </c>
      <c r="Y103" s="65">
        <f t="shared" si="101"/>
        <v>19729.00324639774</v>
      </c>
      <c r="DA103" s="109"/>
    </row>
    <row r="104" spans="1:105" ht="12" customHeight="1" x14ac:dyDescent="0.25">
      <c r="A104" s="66" t="s">
        <v>34</v>
      </c>
      <c r="B104" s="67">
        <f t="shared" si="91"/>
        <v>21459.337726716065</v>
      </c>
      <c r="C104" s="67">
        <f t="shared" ref="C104:W104" si="102">C52*11630*1000/C$8</f>
        <v>20917.678145532303</v>
      </c>
      <c r="D104" s="67">
        <f t="shared" si="102"/>
        <v>21723.457784182563</v>
      </c>
      <c r="E104" s="67">
        <f t="shared" si="102"/>
        <v>21591.915978992871</v>
      </c>
      <c r="F104" s="67">
        <f t="shared" si="102"/>
        <v>22010.829862537499</v>
      </c>
      <c r="G104" s="67">
        <f t="shared" si="102"/>
        <v>21010.9017166138</v>
      </c>
      <c r="H104" s="67">
        <f t="shared" si="102"/>
        <v>20635.886765344581</v>
      </c>
      <c r="I104" s="67">
        <f t="shared" si="102"/>
        <v>20881.489492032535</v>
      </c>
      <c r="J104" s="67">
        <f t="shared" si="102"/>
        <v>21176.136884121865</v>
      </c>
      <c r="K104" s="67">
        <f t="shared" si="102"/>
        <v>22147.859307070648</v>
      </c>
      <c r="L104" s="67">
        <f t="shared" si="102"/>
        <v>22404.409136956721</v>
      </c>
      <c r="M104" s="67">
        <f t="shared" si="102"/>
        <v>20885.925526004045</v>
      </c>
      <c r="N104" s="67">
        <f t="shared" si="102"/>
        <v>22268.903636209187</v>
      </c>
      <c r="O104" s="67">
        <f t="shared" si="102"/>
        <v>22291.391270836633</v>
      </c>
      <c r="P104" s="67">
        <f t="shared" si="102"/>
        <v>22303.437466343963</v>
      </c>
      <c r="Q104" s="67">
        <f t="shared" si="102"/>
        <v>22664.296106558471</v>
      </c>
      <c r="R104" s="67">
        <f t="shared" si="102"/>
        <v>22805.593498572427</v>
      </c>
      <c r="S104" s="67">
        <f t="shared" si="102"/>
        <v>22681.749274755533</v>
      </c>
      <c r="T104" s="67">
        <f t="shared" si="102"/>
        <v>22955.11111633047</v>
      </c>
      <c r="U104" s="67">
        <f t="shared" si="102"/>
        <v>22598.538625409794</v>
      </c>
      <c r="V104" s="67">
        <f t="shared" si="102"/>
        <v>20444.549259114887</v>
      </c>
      <c r="W104" s="67">
        <f t="shared" si="102"/>
        <v>21304.187303267285</v>
      </c>
      <c r="X104" s="67">
        <f t="shared" ref="X104:Y104" si="103">X52*11630*1000/X$8</f>
        <v>21404.490814104876</v>
      </c>
      <c r="Y104" s="67">
        <f t="shared" si="103"/>
        <v>21457.914183869769</v>
      </c>
      <c r="DA104" s="110"/>
    </row>
    <row r="105" spans="1:105" ht="12" customHeight="1" x14ac:dyDescent="0.25">
      <c r="A105" s="78" t="s">
        <v>33</v>
      </c>
      <c r="B105" s="68">
        <f t="shared" si="91"/>
        <v>52227.989232915192</v>
      </c>
      <c r="C105" s="68">
        <f t="shared" ref="C105:W105" si="104">C53*11630*1000/C$8</f>
        <v>53419.324950267823</v>
      </c>
      <c r="D105" s="68">
        <f t="shared" si="104"/>
        <v>54680.392470219434</v>
      </c>
      <c r="E105" s="68">
        <f t="shared" si="104"/>
        <v>56044.658159327948</v>
      </c>
      <c r="F105" s="68">
        <f t="shared" si="104"/>
        <v>57547.12733664547</v>
      </c>
      <c r="G105" s="68">
        <f t="shared" si="104"/>
        <v>58573.70433617197</v>
      </c>
      <c r="H105" s="68">
        <f t="shared" si="104"/>
        <v>59325.201963675172</v>
      </c>
      <c r="I105" s="68">
        <f t="shared" si="104"/>
        <v>59924.54614786162</v>
      </c>
      <c r="J105" s="68">
        <f t="shared" si="104"/>
        <v>60431.347359372819</v>
      </c>
      <c r="K105" s="68">
        <f t="shared" si="104"/>
        <v>61018.396395891628</v>
      </c>
      <c r="L105" s="68">
        <f t="shared" si="104"/>
        <v>61277.198630063082</v>
      </c>
      <c r="M105" s="68">
        <f t="shared" si="104"/>
        <v>61306.551674625407</v>
      </c>
      <c r="N105" s="68">
        <f t="shared" si="104"/>
        <v>61551.36566356424</v>
      </c>
      <c r="O105" s="68">
        <f t="shared" si="104"/>
        <v>61764.28433843988</v>
      </c>
      <c r="P105" s="68">
        <f t="shared" si="104"/>
        <v>62474.704201071669</v>
      </c>
      <c r="Q105" s="68">
        <f t="shared" si="104"/>
        <v>63303.770649815211</v>
      </c>
      <c r="R105" s="68">
        <f t="shared" si="104"/>
        <v>62581.744785730581</v>
      </c>
      <c r="S105" s="68">
        <f t="shared" si="104"/>
        <v>62443.522091903877</v>
      </c>
      <c r="T105" s="68">
        <f t="shared" si="104"/>
        <v>61239.467548535606</v>
      </c>
      <c r="U105" s="68">
        <f t="shared" si="104"/>
        <v>60020.765670400593</v>
      </c>
      <c r="V105" s="68">
        <f t="shared" si="104"/>
        <v>56666.844805080611</v>
      </c>
      <c r="W105" s="68">
        <f t="shared" si="104"/>
        <v>56444.501674015955</v>
      </c>
      <c r="X105" s="68">
        <f t="shared" ref="X105:Y105" si="105">X53*11630*1000/X$8</f>
        <v>55384.053346302317</v>
      </c>
      <c r="Y105" s="68">
        <f t="shared" si="105"/>
        <v>54145.014517021897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126583.66244146402</v>
      </c>
      <c r="C107" s="85">
        <f t="shared" ref="C107:W107" si="107">SUM(C108:C111)</f>
        <v>133306.55016577546</v>
      </c>
      <c r="D107" s="85">
        <f t="shared" si="107"/>
        <v>125992.09136143552</v>
      </c>
      <c r="E107" s="85">
        <f t="shared" si="107"/>
        <v>140629.26288631361</v>
      </c>
      <c r="F107" s="85">
        <f t="shared" si="107"/>
        <v>138766.30601793918</v>
      </c>
      <c r="G107" s="85">
        <f t="shared" si="107"/>
        <v>138359.89511523524</v>
      </c>
      <c r="H107" s="85">
        <f t="shared" si="107"/>
        <v>134135.16871782058</v>
      </c>
      <c r="I107" s="85">
        <f t="shared" si="107"/>
        <v>125800.07012675359</v>
      </c>
      <c r="J107" s="85">
        <f t="shared" si="107"/>
        <v>126334.60082176408</v>
      </c>
      <c r="K107" s="85">
        <f t="shared" si="107"/>
        <v>137092.17039489711</v>
      </c>
      <c r="L107" s="85">
        <f t="shared" si="107"/>
        <v>145411.31218419914</v>
      </c>
      <c r="M107" s="85">
        <f t="shared" si="107"/>
        <v>122645.45297406267</v>
      </c>
      <c r="N107" s="85">
        <f t="shared" si="107"/>
        <v>133914.20081788232</v>
      </c>
      <c r="O107" s="85">
        <f t="shared" si="107"/>
        <v>139196.05569851233</v>
      </c>
      <c r="P107" s="85">
        <f t="shared" si="107"/>
        <v>126751.17376555278</v>
      </c>
      <c r="Q107" s="85">
        <f t="shared" si="107"/>
        <v>135472.4347667257</v>
      </c>
      <c r="R107" s="85">
        <f t="shared" si="107"/>
        <v>132142.89362805907</v>
      </c>
      <c r="S107" s="85">
        <f t="shared" si="107"/>
        <v>137403.08296287703</v>
      </c>
      <c r="T107" s="85">
        <f t="shared" si="107"/>
        <v>137309.4307753451</v>
      </c>
      <c r="U107" s="85">
        <f t="shared" si="107"/>
        <v>135276.87319583155</v>
      </c>
      <c r="V107" s="85">
        <f t="shared" si="107"/>
        <v>128471.39517059345</v>
      </c>
      <c r="W107" s="85">
        <f t="shared" si="107"/>
        <v>135248.2338481654</v>
      </c>
      <c r="X107" s="85">
        <f t="shared" ref="X107:Y107" si="108">SUM(X108:X111)</f>
        <v>134106.25716006756</v>
      </c>
      <c r="Y107" s="85">
        <f t="shared" si="108"/>
        <v>120238.21544306485</v>
      </c>
      <c r="DA107" s="117"/>
    </row>
    <row r="108" spans="1:105" ht="12" customHeight="1" x14ac:dyDescent="0.25">
      <c r="A108" s="61" t="s">
        <v>32</v>
      </c>
      <c r="B108" s="65">
        <v>90632.769549132994</v>
      </c>
      <c r="C108" s="65">
        <v>96621.878470840224</v>
      </c>
      <c r="D108" s="65">
        <v>89062.715580583303</v>
      </c>
      <c r="E108" s="65">
        <v>97621.815850204337</v>
      </c>
      <c r="F108" s="65">
        <v>100546.87529050905</v>
      </c>
      <c r="G108" s="65">
        <v>98913.164497355916</v>
      </c>
      <c r="H108" s="65">
        <v>92330.172375380818</v>
      </c>
      <c r="I108" s="65">
        <v>86025.63668368572</v>
      </c>
      <c r="J108" s="65">
        <v>85293.371944860322</v>
      </c>
      <c r="K108" s="65">
        <v>93855.662236756136</v>
      </c>
      <c r="L108" s="65">
        <v>101801.30592194982</v>
      </c>
      <c r="M108" s="65">
        <v>79844.258210172164</v>
      </c>
      <c r="N108" s="65">
        <v>88951.367886819571</v>
      </c>
      <c r="O108" s="65">
        <v>93832.793438525478</v>
      </c>
      <c r="P108" s="65">
        <v>81596.332101464912</v>
      </c>
      <c r="Q108" s="65">
        <v>86189.836997786784</v>
      </c>
      <c r="R108" s="65">
        <v>84685.531780202189</v>
      </c>
      <c r="S108" s="65">
        <v>88104.082987633083</v>
      </c>
      <c r="T108" s="65">
        <v>87298.674149261264</v>
      </c>
      <c r="U108" s="65">
        <v>85365.12732994715</v>
      </c>
      <c r="V108" s="65">
        <v>80550.28053755076</v>
      </c>
      <c r="W108" s="65">
        <v>88862.2500980841</v>
      </c>
      <c r="X108" s="65">
        <v>79544.065230249384</v>
      </c>
      <c r="Y108" s="65">
        <v>67896.046805654521</v>
      </c>
      <c r="DA108" s="109"/>
    </row>
    <row r="109" spans="1:105" ht="12" customHeight="1" x14ac:dyDescent="0.25">
      <c r="A109" s="61" t="s">
        <v>31</v>
      </c>
      <c r="B109" s="65">
        <v>6665.6502893205425</v>
      </c>
      <c r="C109" s="65">
        <v>7561.529750480132</v>
      </c>
      <c r="D109" s="65">
        <v>7742.5976896075344</v>
      </c>
      <c r="E109" s="65">
        <v>14336.032762917233</v>
      </c>
      <c r="F109" s="65">
        <v>8869.8271503979286</v>
      </c>
      <c r="G109" s="65">
        <v>10156.894418783844</v>
      </c>
      <c r="H109" s="65">
        <v>12800.691225398596</v>
      </c>
      <c r="I109" s="65">
        <v>10756.39647956883</v>
      </c>
      <c r="J109" s="65">
        <v>11496.004961693679</v>
      </c>
      <c r="K109" s="65">
        <v>12919.465202531117</v>
      </c>
      <c r="L109" s="65">
        <v>13114.021331476157</v>
      </c>
      <c r="M109" s="65">
        <v>13264.768884493769</v>
      </c>
      <c r="N109" s="65">
        <v>14093.162262651909</v>
      </c>
      <c r="O109" s="65">
        <v>14190.840247936663</v>
      </c>
      <c r="P109" s="65">
        <v>13542.152455205531</v>
      </c>
      <c r="Q109" s="65">
        <v>17527.962142990134</v>
      </c>
      <c r="R109" s="65">
        <v>15631.066879469936</v>
      </c>
      <c r="S109" s="65">
        <v>17357.710081526275</v>
      </c>
      <c r="T109" s="65">
        <v>17479.327886428408</v>
      </c>
      <c r="U109" s="65">
        <v>17962.479718626619</v>
      </c>
      <c r="V109" s="65">
        <v>18289.193086622301</v>
      </c>
      <c r="W109" s="65">
        <v>15401.128644634717</v>
      </c>
      <c r="X109" s="65">
        <v>22594.816430165985</v>
      </c>
      <c r="Y109" s="65">
        <v>20222.835933921786</v>
      </c>
      <c r="DA109" s="109"/>
    </row>
    <row r="110" spans="1:105" ht="12" customHeight="1" x14ac:dyDescent="0.25">
      <c r="A110" s="61" t="s">
        <v>35</v>
      </c>
      <c r="B110" s="65">
        <v>15265.688453381917</v>
      </c>
      <c r="C110" s="65">
        <v>15030.035684746705</v>
      </c>
      <c r="D110" s="65">
        <v>15046.807553748309</v>
      </c>
      <c r="E110" s="65">
        <v>14732.962532673475</v>
      </c>
      <c r="F110" s="65">
        <v>15158.628968269317</v>
      </c>
      <c r="G110" s="65">
        <v>15034.842439836111</v>
      </c>
      <c r="H110" s="65">
        <v>14784.828626895969</v>
      </c>
      <c r="I110" s="65">
        <v>14626.894825577137</v>
      </c>
      <c r="J110" s="65">
        <v>14951.866143327488</v>
      </c>
      <c r="K110" s="65">
        <v>15239.201547917788</v>
      </c>
      <c r="L110" s="65">
        <v>15176.896928395712</v>
      </c>
      <c r="M110" s="65">
        <v>15021.095221682879</v>
      </c>
      <c r="N110" s="65">
        <v>15285.701810727878</v>
      </c>
      <c r="O110" s="65">
        <v>15500.324872129942</v>
      </c>
      <c r="P110" s="65">
        <v>15957.778586402024</v>
      </c>
      <c r="Q110" s="65">
        <v>15971.923046180449</v>
      </c>
      <c r="R110" s="65">
        <v>15746.512951729666</v>
      </c>
      <c r="S110" s="65">
        <v>15957.060139457657</v>
      </c>
      <c r="T110" s="65">
        <v>16196.113880145682</v>
      </c>
      <c r="U110" s="65">
        <v>15769.087452582937</v>
      </c>
      <c r="V110" s="65">
        <v>14820.67705438242</v>
      </c>
      <c r="W110" s="65">
        <v>15630.551912228826</v>
      </c>
      <c r="X110" s="65">
        <v>16079.497484388377</v>
      </c>
      <c r="Y110" s="65">
        <v>15942.262199281589</v>
      </c>
      <c r="DA110" s="109"/>
    </row>
    <row r="111" spans="1:105" ht="12" customHeight="1" x14ac:dyDescent="0.25">
      <c r="A111" s="74" t="s">
        <v>34</v>
      </c>
      <c r="B111" s="68">
        <v>14019.554149628566</v>
      </c>
      <c r="C111" s="68">
        <v>14093.106259708396</v>
      </c>
      <c r="D111" s="68">
        <v>14139.970537496381</v>
      </c>
      <c r="E111" s="68">
        <v>13938.451740518556</v>
      </c>
      <c r="F111" s="68">
        <v>14190.97460876287</v>
      </c>
      <c r="G111" s="68">
        <v>14254.993759259356</v>
      </c>
      <c r="H111" s="68">
        <v>14219.476490145187</v>
      </c>
      <c r="I111" s="68">
        <v>14391.142137921899</v>
      </c>
      <c r="J111" s="68">
        <v>14593.357771882602</v>
      </c>
      <c r="K111" s="68">
        <v>15077.841407692049</v>
      </c>
      <c r="L111" s="68">
        <v>15319.088002377441</v>
      </c>
      <c r="M111" s="68">
        <v>14515.330657713874</v>
      </c>
      <c r="N111" s="68">
        <v>15583.968857682943</v>
      </c>
      <c r="O111" s="68">
        <v>15672.09713992023</v>
      </c>
      <c r="P111" s="68">
        <v>15654.910622480309</v>
      </c>
      <c r="Q111" s="68">
        <v>15782.71257976832</v>
      </c>
      <c r="R111" s="68">
        <v>16079.782016657302</v>
      </c>
      <c r="S111" s="68">
        <v>15984.229754260028</v>
      </c>
      <c r="T111" s="68">
        <v>16335.314859509732</v>
      </c>
      <c r="U111" s="68">
        <v>16180.178694674829</v>
      </c>
      <c r="V111" s="68">
        <v>14811.244492037969</v>
      </c>
      <c r="W111" s="68">
        <v>15354.303193217758</v>
      </c>
      <c r="X111" s="68">
        <v>15887.87801526381</v>
      </c>
      <c r="Y111" s="68">
        <v>16177.070504206966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29930.638359196975</v>
      </c>
      <c r="C113" s="82">
        <f t="shared" ref="C113:W113" si="110">C81*1000000/C$8</f>
        <v>30610.60103868887</v>
      </c>
      <c r="D113" s="82">
        <f t="shared" si="110"/>
        <v>27013.350502915575</v>
      </c>
      <c r="E113" s="82">
        <f t="shared" si="110"/>
        <v>30299.145865679173</v>
      </c>
      <c r="F113" s="82">
        <f t="shared" si="110"/>
        <v>30358.353550909593</v>
      </c>
      <c r="G113" s="82">
        <f t="shared" si="110"/>
        <v>28343.897628608091</v>
      </c>
      <c r="H113" s="82">
        <f t="shared" si="110"/>
        <v>25285.876377790355</v>
      </c>
      <c r="I113" s="82">
        <f t="shared" si="110"/>
        <v>24136.844910797114</v>
      </c>
      <c r="J113" s="82">
        <f t="shared" si="110"/>
        <v>24687.280557995156</v>
      </c>
      <c r="K113" s="82">
        <f t="shared" si="110"/>
        <v>26801.672183226972</v>
      </c>
      <c r="L113" s="82">
        <f t="shared" si="110"/>
        <v>27243.12402668707</v>
      </c>
      <c r="M113" s="82">
        <f t="shared" si="110"/>
        <v>20578.92420751477</v>
      </c>
      <c r="N113" s="82">
        <f t="shared" si="110"/>
        <v>22150.451032288474</v>
      </c>
      <c r="O113" s="82">
        <f t="shared" si="110"/>
        <v>23083.297173319621</v>
      </c>
      <c r="P113" s="82">
        <f t="shared" si="110"/>
        <v>21339.409552254871</v>
      </c>
      <c r="Q113" s="82">
        <f t="shared" si="110"/>
        <v>21936.389339287198</v>
      </c>
      <c r="R113" s="82">
        <f t="shared" si="110"/>
        <v>19817.785228820296</v>
      </c>
      <c r="S113" s="82">
        <f t="shared" si="110"/>
        <v>21087.813320814981</v>
      </c>
      <c r="T113" s="82">
        <f t="shared" si="110"/>
        <v>20462.9451213881</v>
      </c>
      <c r="U113" s="82">
        <f t="shared" si="110"/>
        <v>19721.061148609537</v>
      </c>
      <c r="V113" s="82">
        <f t="shared" si="110"/>
        <v>18859.860040139331</v>
      </c>
      <c r="W113" s="82">
        <f t="shared" si="110"/>
        <v>19076.406718753766</v>
      </c>
      <c r="X113" s="82">
        <f t="shared" ref="X113:Y113" si="111">X81*1000000/X$8</f>
        <v>17850.860674672469</v>
      </c>
      <c r="Y113" s="82">
        <f t="shared" si="111"/>
        <v>15358.552894782859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29930.638359196975</v>
      </c>
      <c r="C114" s="64">
        <f t="shared" ref="C114:W114" si="113">C82*1000000/C$8</f>
        <v>30610.60103868887</v>
      </c>
      <c r="D114" s="64">
        <f t="shared" si="113"/>
        <v>27013.350502915575</v>
      </c>
      <c r="E114" s="64">
        <f t="shared" si="113"/>
        <v>30299.145865679173</v>
      </c>
      <c r="F114" s="64">
        <f t="shared" si="113"/>
        <v>30358.353550909593</v>
      </c>
      <c r="G114" s="64">
        <f t="shared" si="113"/>
        <v>28343.897628608091</v>
      </c>
      <c r="H114" s="64">
        <f t="shared" si="113"/>
        <v>25285.876377790355</v>
      </c>
      <c r="I114" s="64">
        <f t="shared" si="113"/>
        <v>24136.844910797114</v>
      </c>
      <c r="J114" s="64">
        <f t="shared" si="113"/>
        <v>24687.280557995156</v>
      </c>
      <c r="K114" s="64">
        <f t="shared" si="113"/>
        <v>26801.672183226972</v>
      </c>
      <c r="L114" s="64">
        <f t="shared" si="113"/>
        <v>27243.12402668707</v>
      </c>
      <c r="M114" s="64">
        <f t="shared" si="113"/>
        <v>20578.92420751477</v>
      </c>
      <c r="N114" s="64">
        <f t="shared" si="113"/>
        <v>22150.451032288474</v>
      </c>
      <c r="O114" s="64">
        <f t="shared" si="113"/>
        <v>23083.297173319621</v>
      </c>
      <c r="P114" s="64">
        <f t="shared" si="113"/>
        <v>21339.409552254871</v>
      </c>
      <c r="Q114" s="64">
        <f t="shared" si="113"/>
        <v>21936.389339287198</v>
      </c>
      <c r="R114" s="64">
        <f t="shared" si="113"/>
        <v>19817.785228820296</v>
      </c>
      <c r="S114" s="64">
        <f t="shared" si="113"/>
        <v>21087.813320814981</v>
      </c>
      <c r="T114" s="64">
        <f t="shared" si="113"/>
        <v>20462.9451213881</v>
      </c>
      <c r="U114" s="64">
        <f t="shared" si="113"/>
        <v>19721.061148609537</v>
      </c>
      <c r="V114" s="64">
        <f t="shared" si="113"/>
        <v>18859.860040139331</v>
      </c>
      <c r="W114" s="64">
        <f t="shared" si="113"/>
        <v>19076.406718753766</v>
      </c>
      <c r="X114" s="64">
        <f t="shared" ref="X114:Y114" si="114">X82*1000000/X$8</f>
        <v>17850.860674672469</v>
      </c>
      <c r="Y114" s="64">
        <f t="shared" si="114"/>
        <v>15358.552894782859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24721.538812492821</v>
      </c>
      <c r="C115" s="65">
        <f t="shared" ref="C115:W115" si="116">C83*1000000/C$8</f>
        <v>25987.27852951004</v>
      </c>
      <c r="D115" s="65">
        <f t="shared" si="116"/>
        <v>21715.30900947109</v>
      </c>
      <c r="E115" s="65">
        <f t="shared" si="116"/>
        <v>24842.796721971663</v>
      </c>
      <c r="F115" s="65">
        <f t="shared" si="116"/>
        <v>24820.45224549713</v>
      </c>
      <c r="G115" s="65">
        <f t="shared" si="116"/>
        <v>23841.622711795833</v>
      </c>
      <c r="H115" s="65">
        <f t="shared" si="116"/>
        <v>21167.075198268882</v>
      </c>
      <c r="I115" s="65">
        <f t="shared" si="116"/>
        <v>20047.698230809357</v>
      </c>
      <c r="J115" s="65">
        <f t="shared" si="116"/>
        <v>20545.265698217831</v>
      </c>
      <c r="K115" s="65">
        <f t="shared" si="116"/>
        <v>22270.868102773569</v>
      </c>
      <c r="L115" s="65">
        <f t="shared" si="116"/>
        <v>22853.315111678206</v>
      </c>
      <c r="M115" s="65">
        <f t="shared" si="116"/>
        <v>16698.604785944808</v>
      </c>
      <c r="N115" s="65">
        <f t="shared" si="116"/>
        <v>18325.067681721088</v>
      </c>
      <c r="O115" s="65">
        <f t="shared" si="116"/>
        <v>19250.925817373336</v>
      </c>
      <c r="P115" s="65">
        <f t="shared" si="116"/>
        <v>17272.962836140403</v>
      </c>
      <c r="Q115" s="65">
        <f t="shared" si="116"/>
        <v>17640.458619287754</v>
      </c>
      <c r="R115" s="65">
        <f t="shared" si="116"/>
        <v>15920.668824373055</v>
      </c>
      <c r="S115" s="65">
        <f t="shared" si="116"/>
        <v>17024.807375392586</v>
      </c>
      <c r="T115" s="65">
        <f t="shared" si="116"/>
        <v>16610.044269964412</v>
      </c>
      <c r="U115" s="65">
        <f t="shared" si="116"/>
        <v>15976.243562507218</v>
      </c>
      <c r="V115" s="65">
        <f t="shared" si="116"/>
        <v>15397.019335812602</v>
      </c>
      <c r="W115" s="65">
        <f t="shared" si="116"/>
        <v>15457.304174417566</v>
      </c>
      <c r="X115" s="65">
        <f t="shared" ref="X115:Y115" si="117">X83*1000000/X$8</f>
        <v>14357.906798669715</v>
      </c>
      <c r="Y115" s="65">
        <f t="shared" si="117"/>
        <v>12131.804886732803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3.3998456239642292</v>
      </c>
      <c r="C116" s="65">
        <f t="shared" ref="C116:W116" si="119">C84*1000000/C$8</f>
        <v>4.270830051134002</v>
      </c>
      <c r="D116" s="65">
        <f t="shared" si="119"/>
        <v>4.6312427406510164</v>
      </c>
      <c r="E116" s="65">
        <f t="shared" si="119"/>
        <v>12.197487325096761</v>
      </c>
      <c r="F116" s="65">
        <f t="shared" si="119"/>
        <v>6.7165358889793518</v>
      </c>
      <c r="G116" s="65">
        <f t="shared" si="119"/>
        <v>7.1988052768042383</v>
      </c>
      <c r="H116" s="65">
        <f t="shared" si="119"/>
        <v>12.695395130461486</v>
      </c>
      <c r="I116" s="65">
        <f t="shared" si="119"/>
        <v>11.367242384676878</v>
      </c>
      <c r="J116" s="65">
        <f t="shared" si="119"/>
        <v>13.947618082165805</v>
      </c>
      <c r="K116" s="65">
        <f t="shared" si="119"/>
        <v>16.075133824285466</v>
      </c>
      <c r="L116" s="65">
        <f t="shared" si="119"/>
        <v>18.172948291048179</v>
      </c>
      <c r="M116" s="65">
        <f t="shared" si="119"/>
        <v>23.985466498781818</v>
      </c>
      <c r="N116" s="65">
        <f t="shared" si="119"/>
        <v>35.940025032407526</v>
      </c>
      <c r="O116" s="65">
        <f t="shared" si="119"/>
        <v>43.553058637556489</v>
      </c>
      <c r="P116" s="65">
        <f t="shared" si="119"/>
        <v>43.915927462440976</v>
      </c>
      <c r="Q116" s="65">
        <f t="shared" si="119"/>
        <v>70.001694468078696</v>
      </c>
      <c r="R116" s="65">
        <f t="shared" si="119"/>
        <v>66.65545281709656</v>
      </c>
      <c r="S116" s="65">
        <f t="shared" si="119"/>
        <v>82.630098870254272</v>
      </c>
      <c r="T116" s="65">
        <f t="shared" si="119"/>
        <v>88.574551186261687</v>
      </c>
      <c r="U116" s="65">
        <f t="shared" si="119"/>
        <v>96.581184258178084</v>
      </c>
      <c r="V116" s="65">
        <f t="shared" si="119"/>
        <v>97.049503628321816</v>
      </c>
      <c r="W116" s="65">
        <f t="shared" si="119"/>
        <v>78.914717129720998</v>
      </c>
      <c r="X116" s="65">
        <f t="shared" ref="X116:Y116" si="120">X84*1000000/X$8</f>
        <v>121.63450830348204</v>
      </c>
      <c r="Y116" s="65">
        <f t="shared" si="120"/>
        <v>113.93334299455547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2591.947562697007</v>
      </c>
      <c r="C117" s="65">
        <f t="shared" ref="C117:W117" si="122">C85*1000000/C$8</f>
        <v>2566.7561547078944</v>
      </c>
      <c r="D117" s="65">
        <f t="shared" si="122"/>
        <v>2525.8808534054983</v>
      </c>
      <c r="E117" s="65">
        <f t="shared" si="122"/>
        <v>2515.6359444022164</v>
      </c>
      <c r="F117" s="65">
        <f t="shared" si="122"/>
        <v>2483.811195022251</v>
      </c>
      <c r="G117" s="65">
        <f t="shared" si="122"/>
        <v>2338.617883504915</v>
      </c>
      <c r="H117" s="65">
        <f t="shared" si="122"/>
        <v>2211.067195129242</v>
      </c>
      <c r="I117" s="65">
        <f t="shared" si="122"/>
        <v>2121.4912771108234</v>
      </c>
      <c r="J117" s="65">
        <f t="shared" si="122"/>
        <v>2096.7017145525488</v>
      </c>
      <c r="K117" s="65">
        <f t="shared" si="122"/>
        <v>2156.9421006105727</v>
      </c>
      <c r="L117" s="65">
        <f t="shared" si="122"/>
        <v>2021.8315433202774</v>
      </c>
      <c r="M117" s="65">
        <f t="shared" si="122"/>
        <v>1929.1808074339176</v>
      </c>
      <c r="N117" s="65">
        <f t="shared" si="122"/>
        <v>1823.8392215315801</v>
      </c>
      <c r="O117" s="65">
        <f t="shared" si="122"/>
        <v>1881.9776335640126</v>
      </c>
      <c r="P117" s="65">
        <f t="shared" si="122"/>
        <v>2064.1545114446253</v>
      </c>
      <c r="Q117" s="65">
        <f t="shared" si="122"/>
        <v>2054.4378760044815</v>
      </c>
      <c r="R117" s="65">
        <f t="shared" si="122"/>
        <v>1782.7425073335426</v>
      </c>
      <c r="S117" s="65">
        <f t="shared" si="122"/>
        <v>1844.2548629642179</v>
      </c>
      <c r="T117" s="65">
        <f t="shared" si="122"/>
        <v>1652.7408641359798</v>
      </c>
      <c r="U117" s="65">
        <f t="shared" si="122"/>
        <v>1548.8474692782499</v>
      </c>
      <c r="V117" s="65">
        <f t="shared" si="122"/>
        <v>1529.7798425744372</v>
      </c>
      <c r="W117" s="65">
        <f t="shared" si="122"/>
        <v>1452.7503809834759</v>
      </c>
      <c r="X117" s="65">
        <f t="shared" ref="X117:Y117" si="123">X85*1000000/X$8</f>
        <v>1565.9415978835011</v>
      </c>
      <c r="Y117" s="65">
        <f t="shared" si="123"/>
        <v>1413.2540017619624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2613.7521383831777</v>
      </c>
      <c r="C118" s="67">
        <f t="shared" ref="C118:W118" si="125">C86*1000000/C$8</f>
        <v>2052.295524419807</v>
      </c>
      <c r="D118" s="67">
        <f t="shared" si="125"/>
        <v>2767.5293972983354</v>
      </c>
      <c r="E118" s="67">
        <f t="shared" si="125"/>
        <v>2928.5157119801988</v>
      </c>
      <c r="F118" s="67">
        <f t="shared" si="125"/>
        <v>3047.3735745012318</v>
      </c>
      <c r="G118" s="67">
        <f t="shared" si="125"/>
        <v>2156.4582280305367</v>
      </c>
      <c r="H118" s="67">
        <f t="shared" si="125"/>
        <v>1895.0385892617671</v>
      </c>
      <c r="I118" s="67">
        <f t="shared" si="125"/>
        <v>1956.288160492257</v>
      </c>
      <c r="J118" s="67">
        <f t="shared" si="125"/>
        <v>2031.3655271426151</v>
      </c>
      <c r="K118" s="67">
        <f t="shared" si="125"/>
        <v>2357.7868460185473</v>
      </c>
      <c r="L118" s="67">
        <f t="shared" si="125"/>
        <v>2349.8044233975379</v>
      </c>
      <c r="M118" s="67">
        <f t="shared" si="125"/>
        <v>1927.1531476372629</v>
      </c>
      <c r="N118" s="67">
        <f t="shared" si="125"/>
        <v>1965.6041040034017</v>
      </c>
      <c r="O118" s="67">
        <f t="shared" si="125"/>
        <v>1906.8406637447174</v>
      </c>
      <c r="P118" s="67">
        <f t="shared" si="125"/>
        <v>1958.3762772074019</v>
      </c>
      <c r="Q118" s="67">
        <f t="shared" si="125"/>
        <v>2171.4911495268802</v>
      </c>
      <c r="R118" s="67">
        <f t="shared" si="125"/>
        <v>2047.7184442966013</v>
      </c>
      <c r="S118" s="67">
        <f t="shared" si="125"/>
        <v>2136.1209835879276</v>
      </c>
      <c r="T118" s="67">
        <f t="shared" si="125"/>
        <v>2111.5854361014408</v>
      </c>
      <c r="U118" s="67">
        <f t="shared" si="125"/>
        <v>2099.3889325658929</v>
      </c>
      <c r="V118" s="67">
        <f t="shared" si="125"/>
        <v>1836.0113581239691</v>
      </c>
      <c r="W118" s="67">
        <f t="shared" si="125"/>
        <v>2087.4374462230039</v>
      </c>
      <c r="X118" s="67">
        <f t="shared" ref="X118:Y118" si="126">X86*1000000/X$8</f>
        <v>1805.3777698157717</v>
      </c>
      <c r="Y118" s="67">
        <f t="shared" si="126"/>
        <v>1699.5606632935362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0.60856705952623702</v>
      </c>
      <c r="C121" s="86">
        <f t="shared" ref="C121:W121" si="131">IF(C107=0,"",C107/C100)</f>
        <v>0.6166054450717543</v>
      </c>
      <c r="D121" s="86">
        <f t="shared" si="131"/>
        <v>0.63083798526411794</v>
      </c>
      <c r="E121" s="86">
        <f t="shared" si="131"/>
        <v>0.64746115672916926</v>
      </c>
      <c r="F121" s="86">
        <f t="shared" si="131"/>
        <v>0.63602006819923507</v>
      </c>
      <c r="G121" s="86">
        <f t="shared" si="131"/>
        <v>0.65141943359177024</v>
      </c>
      <c r="H121" s="86">
        <f t="shared" si="131"/>
        <v>0.67580706180493311</v>
      </c>
      <c r="I121" s="86">
        <f t="shared" si="131"/>
        <v>0.67263683626352389</v>
      </c>
      <c r="J121" s="86">
        <f t="shared" si="131"/>
        <v>0.68017676635086777</v>
      </c>
      <c r="K121" s="86">
        <f t="shared" si="131"/>
        <v>0.68595422609697621</v>
      </c>
      <c r="L121" s="86">
        <f t="shared" si="131"/>
        <v>0.69512726234882127</v>
      </c>
      <c r="M121" s="86">
        <f t="shared" si="131"/>
        <v>0.73020985258578852</v>
      </c>
      <c r="N121" s="86">
        <f t="shared" si="131"/>
        <v>0.7392760094713986</v>
      </c>
      <c r="O121" s="86">
        <f t="shared" si="131"/>
        <v>0.74758637696927621</v>
      </c>
      <c r="P121" s="86">
        <f t="shared" si="131"/>
        <v>0.75250800298481679</v>
      </c>
      <c r="Q121" s="86">
        <f t="shared" si="131"/>
        <v>0.77539030387519658</v>
      </c>
      <c r="R121" s="86">
        <f t="shared" si="131"/>
        <v>0.78699882080463934</v>
      </c>
      <c r="S121" s="86">
        <f t="shared" si="131"/>
        <v>0.79816674955936251</v>
      </c>
      <c r="T121" s="86">
        <f t="shared" si="131"/>
        <v>0.81205667306825136</v>
      </c>
      <c r="U121" s="86">
        <f t="shared" si="131"/>
        <v>0.83090974327318134</v>
      </c>
      <c r="V121" s="86">
        <f t="shared" si="131"/>
        <v>0.84905726792552505</v>
      </c>
      <c r="W121" s="86">
        <f t="shared" si="131"/>
        <v>0.84794054115417383</v>
      </c>
      <c r="X121" s="86">
        <f t="shared" ref="X121:Y121" si="132">IF(X107=0,"",X107/X100)</f>
        <v>0.88581962292929006</v>
      </c>
      <c r="Y121" s="86">
        <f t="shared" si="132"/>
        <v>0.90356997817473195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0.57316086598583182</v>
      </c>
      <c r="C122" s="75">
        <f t="shared" ref="C122:W122" si="134">IF(C108=0,"",C108/C101)</f>
        <v>0.57851625431067022</v>
      </c>
      <c r="D122" s="75">
        <f t="shared" si="134"/>
        <v>0.59406274883431631</v>
      </c>
      <c r="E122" s="75">
        <f t="shared" si="134"/>
        <v>0.59134611547842963</v>
      </c>
      <c r="F122" s="75">
        <f t="shared" si="134"/>
        <v>0.59851413297374101</v>
      </c>
      <c r="G122" s="75">
        <f t="shared" si="134"/>
        <v>0.60594543049743144</v>
      </c>
      <c r="H122" s="75">
        <f t="shared" si="134"/>
        <v>0.61792214682556845</v>
      </c>
      <c r="I122" s="75">
        <f t="shared" si="134"/>
        <v>0.61837280631402003</v>
      </c>
      <c r="J122" s="75">
        <f t="shared" si="134"/>
        <v>0.62172077224536693</v>
      </c>
      <c r="K122" s="75">
        <f t="shared" si="134"/>
        <v>0.62730115887315963</v>
      </c>
      <c r="L122" s="75">
        <f t="shared" si="134"/>
        <v>0.63994337666214496</v>
      </c>
      <c r="M122" s="75">
        <f t="shared" si="134"/>
        <v>0.66557013442822988</v>
      </c>
      <c r="N122" s="75">
        <f t="shared" si="134"/>
        <v>0.67613968700504878</v>
      </c>
      <c r="O122" s="75">
        <f t="shared" si="134"/>
        <v>0.6867176203367199</v>
      </c>
      <c r="P122" s="75">
        <f t="shared" si="134"/>
        <v>0.68790621018364151</v>
      </c>
      <c r="Q122" s="75">
        <f t="shared" si="134"/>
        <v>0.69709165741905255</v>
      </c>
      <c r="R122" s="75">
        <f t="shared" si="134"/>
        <v>0.71634445323637652</v>
      </c>
      <c r="S122" s="75">
        <f t="shared" si="134"/>
        <v>0.72088554251711601</v>
      </c>
      <c r="T122" s="75">
        <f t="shared" si="134"/>
        <v>0.73257575736309155</v>
      </c>
      <c r="U122" s="75">
        <f t="shared" si="134"/>
        <v>0.74754488993612545</v>
      </c>
      <c r="V122" s="75">
        <f t="shared" si="134"/>
        <v>0.75666020545174972</v>
      </c>
      <c r="W122" s="75">
        <f t="shared" si="134"/>
        <v>0.77903169850082132</v>
      </c>
      <c r="X122" s="75">
        <f t="shared" ref="X122:Y122" si="135">IF(X108=0,"",X108/X101)</f>
        <v>0.76631051508892467</v>
      </c>
      <c r="Y122" s="75">
        <f t="shared" si="135"/>
        <v>0.78302144778850646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1.8065476182959361</v>
      </c>
      <c r="C123" s="76">
        <f t="shared" ref="C123:W123" si="137">IF(C109=0,"",C109/C102)</f>
        <v>1.8873825284253354</v>
      </c>
      <c r="D123" s="76">
        <f t="shared" si="137"/>
        <v>1.9735052723541264</v>
      </c>
      <c r="E123" s="76">
        <f t="shared" si="137"/>
        <v>2.0618746462367508</v>
      </c>
      <c r="F123" s="76">
        <f t="shared" si="137"/>
        <v>2.158821788803496</v>
      </c>
      <c r="G123" s="76">
        <f t="shared" si="137"/>
        <v>2.2670075316685008</v>
      </c>
      <c r="H123" s="76">
        <f t="shared" si="137"/>
        <v>2.3984025660776012</v>
      </c>
      <c r="I123" s="76">
        <f t="shared" si="137"/>
        <v>2.5358951678543429</v>
      </c>
      <c r="J123" s="76">
        <f t="shared" si="137"/>
        <v>2.6804888471660808</v>
      </c>
      <c r="K123" s="76">
        <f t="shared" si="137"/>
        <v>2.7363817846251686</v>
      </c>
      <c r="L123" s="76">
        <f t="shared" si="137"/>
        <v>2.8057232516771227</v>
      </c>
      <c r="M123" s="76">
        <f t="shared" si="137"/>
        <v>2.8997894463974689</v>
      </c>
      <c r="N123" s="76">
        <f t="shared" si="137"/>
        <v>2.9789533274790676</v>
      </c>
      <c r="O123" s="76">
        <f t="shared" si="137"/>
        <v>3.0693777965501661</v>
      </c>
      <c r="P123" s="76">
        <f t="shared" si="137"/>
        <v>3.1817087482732993</v>
      </c>
      <c r="Q123" s="76">
        <f t="shared" si="137"/>
        <v>3.290034421611459</v>
      </c>
      <c r="R123" s="76">
        <f t="shared" si="137"/>
        <v>3.4100953556523104</v>
      </c>
      <c r="S123" s="76">
        <f t="shared" si="137"/>
        <v>3.5149019082475417</v>
      </c>
      <c r="T123" s="76">
        <f t="shared" si="137"/>
        <v>3.6074887225452339</v>
      </c>
      <c r="U123" s="76">
        <f t="shared" si="137"/>
        <v>3.6788881165122267</v>
      </c>
      <c r="V123" s="76">
        <f t="shared" si="137"/>
        <v>3.759584987542707</v>
      </c>
      <c r="W123" s="76">
        <f t="shared" si="137"/>
        <v>3.836542983845538</v>
      </c>
      <c r="X123" s="76">
        <f t="shared" ref="X123:Y123" si="138">IF(X109=0,"",X109/X102)</f>
        <v>3.8792603929812413</v>
      </c>
      <c r="Y123" s="76">
        <f t="shared" si="138"/>
        <v>3.9093584105838732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0.61739961997930781</v>
      </c>
      <c r="C124" s="76">
        <f t="shared" ref="C124:W124" si="140">IF(C110=0,"",C110/C103)</f>
        <v>0.61970567339754079</v>
      </c>
      <c r="D124" s="76">
        <f t="shared" si="140"/>
        <v>0.62296165477313603</v>
      </c>
      <c r="E124" s="76">
        <f t="shared" si="140"/>
        <v>0.62501443332404039</v>
      </c>
      <c r="F124" s="76">
        <f t="shared" si="140"/>
        <v>0.62989032953062518</v>
      </c>
      <c r="G124" s="76">
        <f t="shared" si="140"/>
        <v>0.63522310483646027</v>
      </c>
      <c r="H124" s="76">
        <f t="shared" si="140"/>
        <v>0.64036860336975987</v>
      </c>
      <c r="I124" s="76">
        <f t="shared" si="140"/>
        <v>0.64192569846318326</v>
      </c>
      <c r="J124" s="76">
        <f t="shared" si="140"/>
        <v>0.64772140746363416</v>
      </c>
      <c r="K124" s="76">
        <f t="shared" si="140"/>
        <v>0.65211923080695744</v>
      </c>
      <c r="L124" s="76">
        <f t="shared" si="140"/>
        <v>0.65901821738837152</v>
      </c>
      <c r="M124" s="76">
        <f t="shared" si="140"/>
        <v>0.66656239752006086</v>
      </c>
      <c r="N124" s="76">
        <f t="shared" si="140"/>
        <v>0.6768117010982253</v>
      </c>
      <c r="O124" s="76">
        <f t="shared" si="140"/>
        <v>0.68465445868596675</v>
      </c>
      <c r="P124" s="76">
        <f t="shared" si="140"/>
        <v>0.68596874289359167</v>
      </c>
      <c r="Q124" s="76">
        <f t="shared" si="140"/>
        <v>0.69198781516808405</v>
      </c>
      <c r="R124" s="76">
        <f t="shared" si="140"/>
        <v>0.70615352470301274</v>
      </c>
      <c r="S124" s="76">
        <f t="shared" si="140"/>
        <v>0.71518454423327582</v>
      </c>
      <c r="T124" s="76">
        <f t="shared" si="140"/>
        <v>0.73214921745097428</v>
      </c>
      <c r="U124" s="76">
        <f t="shared" si="140"/>
        <v>0.74626668211823277</v>
      </c>
      <c r="V124" s="76">
        <f t="shared" si="140"/>
        <v>0.75823135955206045</v>
      </c>
      <c r="W124" s="76">
        <f t="shared" si="140"/>
        <v>0.77702291546665003</v>
      </c>
      <c r="X124" s="76">
        <f t="shared" ref="X124:Y124" si="141">IF(X110=0,"",X110/X103)</f>
        <v>0.78968439032599969</v>
      </c>
      <c r="Y124" s="76">
        <f t="shared" si="141"/>
        <v>0.8080622219063418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0.65330786663442786</v>
      </c>
      <c r="C125" s="56">
        <f t="shared" ref="C125:W125" si="143">IF(C111=0,"",C111/C104)</f>
        <v>0.67374142396002346</v>
      </c>
      <c r="D125" s="56">
        <f t="shared" si="143"/>
        <v>0.65090791152926286</v>
      </c>
      <c r="E125" s="56">
        <f t="shared" si="143"/>
        <v>0.6455402917499079</v>
      </c>
      <c r="F125" s="56">
        <f t="shared" si="143"/>
        <v>0.64472692294605183</v>
      </c>
      <c r="G125" s="56">
        <f t="shared" si="143"/>
        <v>0.67845701967125027</v>
      </c>
      <c r="H125" s="56">
        <f t="shared" si="143"/>
        <v>0.68906544467112696</v>
      </c>
      <c r="I125" s="56">
        <f t="shared" si="143"/>
        <v>0.68918178195156676</v>
      </c>
      <c r="J125" s="56">
        <f t="shared" si="143"/>
        <v>0.68914164333839789</v>
      </c>
      <c r="K125" s="56">
        <f t="shared" si="143"/>
        <v>0.68078098197411274</v>
      </c>
      <c r="L125" s="56">
        <f t="shared" si="143"/>
        <v>0.68375326966816374</v>
      </c>
      <c r="M125" s="56">
        <f t="shared" si="143"/>
        <v>0.69498144286886143</v>
      </c>
      <c r="N125" s="56">
        <f t="shared" si="143"/>
        <v>0.69980853625606632</v>
      </c>
      <c r="O125" s="56">
        <f t="shared" si="143"/>
        <v>0.70305603403156403</v>
      </c>
      <c r="P125" s="56">
        <f t="shared" si="143"/>
        <v>0.70190573296621539</v>
      </c>
      <c r="Q125" s="56">
        <f t="shared" si="143"/>
        <v>0.69636897195325664</v>
      </c>
      <c r="R125" s="56">
        <f t="shared" si="143"/>
        <v>0.70508062057950194</v>
      </c>
      <c r="S125" s="56">
        <f t="shared" si="143"/>
        <v>0.70471768119094103</v>
      </c>
      <c r="T125" s="56">
        <f t="shared" si="143"/>
        <v>0.71161994279734253</v>
      </c>
      <c r="U125" s="56">
        <f t="shared" si="143"/>
        <v>0.71598340772716329</v>
      </c>
      <c r="V125" s="56">
        <f t="shared" si="143"/>
        <v>0.7244593316448199</v>
      </c>
      <c r="W125" s="56">
        <f t="shared" si="143"/>
        <v>0.72071762112525961</v>
      </c>
      <c r="X125" s="56">
        <f t="shared" ref="X125:Y125" si="144">IF(X111=0,"",X111/X104)</f>
        <v>0.74226844045242157</v>
      </c>
      <c r="Y125" s="56">
        <f t="shared" si="144"/>
        <v>0.75389762330056798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289.14533975962576</v>
      </c>
      <c r="C129" s="82">
        <f t="shared" ref="C129:W129" si="146">IF(C99=0,0,C99/C$26)</f>
        <v>299.57063599113491</v>
      </c>
      <c r="D129" s="82">
        <f t="shared" si="146"/>
        <v>282.66909118354482</v>
      </c>
      <c r="E129" s="82">
        <f t="shared" si="146"/>
        <v>303.60637639618506</v>
      </c>
      <c r="F129" s="82">
        <f t="shared" si="146"/>
        <v>306.3625096816358</v>
      </c>
      <c r="G129" s="82">
        <f t="shared" si="146"/>
        <v>301.07917728044993</v>
      </c>
      <c r="H129" s="82">
        <f t="shared" si="146"/>
        <v>286.45184072795433</v>
      </c>
      <c r="I129" s="82">
        <f t="shared" si="146"/>
        <v>274.38865852998077</v>
      </c>
      <c r="J129" s="82">
        <f t="shared" si="146"/>
        <v>273.52138041865607</v>
      </c>
      <c r="K129" s="82">
        <f t="shared" si="146"/>
        <v>289.86060660590698</v>
      </c>
      <c r="L129" s="82">
        <f t="shared" si="146"/>
        <v>300.5153375753394</v>
      </c>
      <c r="M129" s="82">
        <f t="shared" si="146"/>
        <v>254.73970932556989</v>
      </c>
      <c r="N129" s="82">
        <f t="shared" si="146"/>
        <v>269.65969483733335</v>
      </c>
      <c r="O129" s="82">
        <f t="shared" si="146"/>
        <v>275.50914213742345</v>
      </c>
      <c r="P129" s="82">
        <f t="shared" si="146"/>
        <v>256.57001206001991</v>
      </c>
      <c r="Q129" s="82">
        <f t="shared" si="146"/>
        <v>264.46546956196198</v>
      </c>
      <c r="R129" s="82">
        <f t="shared" si="146"/>
        <v>256.09900433433285</v>
      </c>
      <c r="S129" s="82">
        <f t="shared" si="146"/>
        <v>260.65762730710395</v>
      </c>
      <c r="T129" s="82">
        <f t="shared" si="146"/>
        <v>255.91994480245106</v>
      </c>
      <c r="U129" s="82">
        <f t="shared" si="146"/>
        <v>247.58500304969925</v>
      </c>
      <c r="V129" s="82">
        <f t="shared" si="146"/>
        <v>231.08608973154816</v>
      </c>
      <c r="W129" s="82">
        <f t="shared" si="146"/>
        <v>239.94058578888396</v>
      </c>
      <c r="X129" s="82">
        <f t="shared" ref="X129:Y129" si="147">IF(X99=0,0,X99/X$26)</f>
        <v>229.75148748665464</v>
      </c>
      <c r="Y129" s="82">
        <f t="shared" si="147"/>
        <v>208.01687763784219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231.11424061194222</v>
      </c>
      <c r="C130" s="64">
        <f t="shared" ref="C130:W130" si="149">IF(C100=0,0,C100/C$26)</f>
        <v>240.21583049083733</v>
      </c>
      <c r="D130" s="64">
        <f t="shared" si="149"/>
        <v>221.91309954996768</v>
      </c>
      <c r="E130" s="64">
        <f t="shared" si="149"/>
        <v>241.33453399693175</v>
      </c>
      <c r="F130" s="64">
        <f t="shared" si="149"/>
        <v>242.42125708536304</v>
      </c>
      <c r="G130" s="64">
        <f t="shared" si="149"/>
        <v>235.9972835735922</v>
      </c>
      <c r="H130" s="64">
        <f t="shared" si="149"/>
        <v>220.53494965720415</v>
      </c>
      <c r="I130" s="64">
        <f t="shared" si="149"/>
        <v>207.80582947680119</v>
      </c>
      <c r="J130" s="64">
        <f t="shared" si="149"/>
        <v>206.37543890824182</v>
      </c>
      <c r="K130" s="64">
        <f t="shared" si="149"/>
        <v>222.06238838824962</v>
      </c>
      <c r="L130" s="64">
        <f t="shared" si="149"/>
        <v>232.42956131971383</v>
      </c>
      <c r="M130" s="64">
        <f t="shared" si="149"/>
        <v>186.62131857598612</v>
      </c>
      <c r="N130" s="64">
        <f t="shared" si="149"/>
        <v>201.26928854448414</v>
      </c>
      <c r="O130" s="64">
        <f t="shared" si="149"/>
        <v>206.88215953915696</v>
      </c>
      <c r="P130" s="64">
        <f t="shared" si="149"/>
        <v>187.15367405882921</v>
      </c>
      <c r="Q130" s="64">
        <f t="shared" si="149"/>
        <v>194.1279466177229</v>
      </c>
      <c r="R130" s="64">
        <f t="shared" si="149"/>
        <v>186.56373235018773</v>
      </c>
      <c r="S130" s="64">
        <f t="shared" si="149"/>
        <v>191.27593609387742</v>
      </c>
      <c r="T130" s="64">
        <f t="shared" si="149"/>
        <v>187.87609197074482</v>
      </c>
      <c r="U130" s="64">
        <f t="shared" si="149"/>
        <v>180.89526341592082</v>
      </c>
      <c r="V130" s="64">
        <f t="shared" si="149"/>
        <v>168.12292883701414</v>
      </c>
      <c r="W130" s="64">
        <f t="shared" si="149"/>
        <v>177.2244728177551</v>
      </c>
      <c r="X130" s="64">
        <f t="shared" ref="X130:Y130" si="150">IF(X100=0,0,X100/X$26)</f>
        <v>168.21365043520765</v>
      </c>
      <c r="Y130" s="64">
        <f t="shared" si="150"/>
        <v>147.85575039670675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175.6977547718754</v>
      </c>
      <c r="C131" s="65">
        <f t="shared" ref="C131:W131" si="152">IF(C101=0,0,C101/C$26)</f>
        <v>185.57411644950199</v>
      </c>
      <c r="D131" s="65">
        <f t="shared" si="152"/>
        <v>166.57932695071958</v>
      </c>
      <c r="E131" s="65">
        <f t="shared" si="152"/>
        <v>183.42673002975258</v>
      </c>
      <c r="F131" s="65">
        <f t="shared" si="152"/>
        <v>186.66017085964012</v>
      </c>
      <c r="G131" s="65">
        <f t="shared" si="152"/>
        <v>181.37527007663292</v>
      </c>
      <c r="H131" s="65">
        <f t="shared" si="152"/>
        <v>166.02266312045518</v>
      </c>
      <c r="I131" s="65">
        <f t="shared" si="152"/>
        <v>154.57348671169026</v>
      </c>
      <c r="J131" s="65">
        <f t="shared" si="152"/>
        <v>152.43243832725787</v>
      </c>
      <c r="K131" s="65">
        <f t="shared" si="152"/>
        <v>166.24243025356427</v>
      </c>
      <c r="L131" s="65">
        <f t="shared" si="152"/>
        <v>176.75401646545527</v>
      </c>
      <c r="M131" s="65">
        <f t="shared" si="152"/>
        <v>133.29300379735309</v>
      </c>
      <c r="N131" s="65">
        <f t="shared" si="152"/>
        <v>146.17519886366219</v>
      </c>
      <c r="O131" s="65">
        <f t="shared" si="152"/>
        <v>151.82173325481006</v>
      </c>
      <c r="P131" s="65">
        <f t="shared" si="152"/>
        <v>131.79498873784971</v>
      </c>
      <c r="Q131" s="65">
        <f t="shared" si="152"/>
        <v>137.38004828183873</v>
      </c>
      <c r="R131" s="65">
        <f t="shared" si="152"/>
        <v>131.35445508961968</v>
      </c>
      <c r="S131" s="65">
        <f t="shared" si="152"/>
        <v>135.79607270247098</v>
      </c>
      <c r="T131" s="65">
        <f t="shared" si="152"/>
        <v>132.40750305696568</v>
      </c>
      <c r="U131" s="65">
        <f t="shared" si="152"/>
        <v>126.88220166393434</v>
      </c>
      <c r="V131" s="65">
        <f t="shared" si="152"/>
        <v>118.28336030299789</v>
      </c>
      <c r="W131" s="65">
        <f t="shared" si="152"/>
        <v>126.74174058940629</v>
      </c>
      <c r="X131" s="65">
        <f t="shared" ref="X131:Y131" si="153">IF(X101=0,0,X101/X$26)</f>
        <v>115.33483223836616</v>
      </c>
      <c r="Y131" s="65">
        <f t="shared" si="153"/>
        <v>96.344809225020242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4.0996860665268118</v>
      </c>
      <c r="C132" s="65">
        <f t="shared" ref="C132:W132" si="155">IF(C102=0,0,C102/C$26)</f>
        <v>4.4515086879422032</v>
      </c>
      <c r="D132" s="65">
        <f t="shared" si="155"/>
        <v>4.3591909493730734</v>
      </c>
      <c r="E132" s="65">
        <f t="shared" si="155"/>
        <v>7.7254576660143144</v>
      </c>
      <c r="F132" s="65">
        <f t="shared" si="155"/>
        <v>4.5651584357522967</v>
      </c>
      <c r="G132" s="65">
        <f t="shared" si="155"/>
        <v>4.9781211952071285</v>
      </c>
      <c r="H132" s="65">
        <f t="shared" si="155"/>
        <v>5.9301930591674887</v>
      </c>
      <c r="I132" s="65">
        <f t="shared" si="155"/>
        <v>4.7129517795003117</v>
      </c>
      <c r="J132" s="65">
        <f t="shared" si="155"/>
        <v>4.7653019932654415</v>
      </c>
      <c r="K132" s="65">
        <f t="shared" si="155"/>
        <v>5.2459643668151514</v>
      </c>
      <c r="L132" s="65">
        <f t="shared" si="155"/>
        <v>5.193361392304598</v>
      </c>
      <c r="M132" s="65">
        <f t="shared" si="155"/>
        <v>5.0826559535873859</v>
      </c>
      <c r="N132" s="65">
        <f t="shared" si="155"/>
        <v>5.2565674783417293</v>
      </c>
      <c r="O132" s="65">
        <f t="shared" si="155"/>
        <v>5.1370672887538351</v>
      </c>
      <c r="P132" s="65">
        <f t="shared" si="155"/>
        <v>4.7291682714532985</v>
      </c>
      <c r="Q132" s="65">
        <f t="shared" si="155"/>
        <v>5.9195470309615033</v>
      </c>
      <c r="R132" s="65">
        <f t="shared" si="155"/>
        <v>5.0930693358801014</v>
      </c>
      <c r="S132" s="65">
        <f t="shared" si="155"/>
        <v>5.4870221242233672</v>
      </c>
      <c r="T132" s="65">
        <f t="shared" si="155"/>
        <v>5.3836552025759987</v>
      </c>
      <c r="U132" s="65">
        <f t="shared" si="155"/>
        <v>5.4250931711931267</v>
      </c>
      <c r="V132" s="65">
        <f t="shared" si="155"/>
        <v>5.4052044890956781</v>
      </c>
      <c r="W132" s="65">
        <f t="shared" si="155"/>
        <v>4.4603605987890571</v>
      </c>
      <c r="X132" s="65">
        <f t="shared" ref="X132:Y132" si="156">IF(X102=0,0,X102/X$26)</f>
        <v>6.4716850754583302</v>
      </c>
      <c r="Y132" s="65">
        <f t="shared" si="156"/>
        <v>5.7476995825004469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27.473091188299918</v>
      </c>
      <c r="C133" s="65">
        <f t="shared" ref="C133:W133" si="158">IF(C103=0,0,C103/C$26)</f>
        <v>26.948340747246149</v>
      </c>
      <c r="D133" s="65">
        <f t="shared" si="158"/>
        <v>26.837406334116636</v>
      </c>
      <c r="E133" s="65">
        <f t="shared" si="158"/>
        <v>26.191328546728371</v>
      </c>
      <c r="F133" s="65">
        <f t="shared" si="158"/>
        <v>26.739450164928904</v>
      </c>
      <c r="G133" s="65">
        <f t="shared" si="158"/>
        <v>26.298445949959003</v>
      </c>
      <c r="H133" s="65">
        <f t="shared" si="158"/>
        <v>25.653330404976415</v>
      </c>
      <c r="I133" s="65">
        <f t="shared" si="158"/>
        <v>25.317735994463373</v>
      </c>
      <c r="J133" s="65">
        <f t="shared" si="158"/>
        <v>25.648657605360903</v>
      </c>
      <c r="K133" s="65">
        <f t="shared" si="158"/>
        <v>25.965261204458333</v>
      </c>
      <c r="L133" s="65">
        <f t="shared" si="158"/>
        <v>25.58839553200206</v>
      </c>
      <c r="M133" s="65">
        <f t="shared" si="158"/>
        <v>25.03907490726337</v>
      </c>
      <c r="N133" s="65">
        <f t="shared" si="158"/>
        <v>25.094295940025546</v>
      </c>
      <c r="O133" s="65">
        <f t="shared" si="158"/>
        <v>25.155146472441281</v>
      </c>
      <c r="P133" s="65">
        <f t="shared" si="158"/>
        <v>25.847919864699556</v>
      </c>
      <c r="Q133" s="65">
        <f t="shared" si="158"/>
        <v>25.645800075413277</v>
      </c>
      <c r="R133" s="65">
        <f t="shared" si="158"/>
        <v>24.776659592940792</v>
      </c>
      <c r="S133" s="65">
        <f t="shared" si="158"/>
        <v>24.790897628565784</v>
      </c>
      <c r="T133" s="65">
        <f t="shared" si="158"/>
        <v>24.579254693058207</v>
      </c>
      <c r="U133" s="65">
        <f t="shared" si="158"/>
        <v>23.478481219226914</v>
      </c>
      <c r="V133" s="65">
        <f t="shared" si="158"/>
        <v>21.718198201459568</v>
      </c>
      <c r="W133" s="65">
        <f t="shared" si="158"/>
        <v>22.351052403707236</v>
      </c>
      <c r="X133" s="65">
        <f t="shared" ref="X133:Y133" si="159">IF(X103=0,0,X103/X$26)</f>
        <v>22.624365550155485</v>
      </c>
      <c r="Y133" s="65">
        <f t="shared" si="159"/>
        <v>21.921114718219712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23.843708585240069</v>
      </c>
      <c r="C134" s="67">
        <f t="shared" ref="C134:W134" si="161">IF(C104=0,0,C104/C$26)</f>
        <v>23.241864606147004</v>
      </c>
      <c r="D134" s="67">
        <f t="shared" si="161"/>
        <v>24.137175315758402</v>
      </c>
      <c r="E134" s="67">
        <f t="shared" si="161"/>
        <v>23.991017754436523</v>
      </c>
      <c r="F134" s="67">
        <f t="shared" si="161"/>
        <v>24.456477625041668</v>
      </c>
      <c r="G134" s="67">
        <f t="shared" si="161"/>
        <v>23.345446351793111</v>
      </c>
      <c r="H134" s="67">
        <f t="shared" si="161"/>
        <v>22.92876307260509</v>
      </c>
      <c r="I134" s="67">
        <f t="shared" si="161"/>
        <v>23.201654991147262</v>
      </c>
      <c r="J134" s="67">
        <f t="shared" si="161"/>
        <v>23.529040982357628</v>
      </c>
      <c r="K134" s="67">
        <f t="shared" si="161"/>
        <v>24.608732563411834</v>
      </c>
      <c r="L134" s="67">
        <f t="shared" si="161"/>
        <v>24.893787929951912</v>
      </c>
      <c r="M134" s="67">
        <f t="shared" si="161"/>
        <v>23.206583917782272</v>
      </c>
      <c r="N134" s="67">
        <f t="shared" si="161"/>
        <v>24.743226262454655</v>
      </c>
      <c r="O134" s="67">
        <f t="shared" si="161"/>
        <v>24.768212523151814</v>
      </c>
      <c r="P134" s="67">
        <f t="shared" si="161"/>
        <v>24.781597184826627</v>
      </c>
      <c r="Q134" s="67">
        <f t="shared" si="161"/>
        <v>25.182551229509411</v>
      </c>
      <c r="R134" s="67">
        <f t="shared" si="161"/>
        <v>25.339548331747146</v>
      </c>
      <c r="S134" s="67">
        <f t="shared" si="161"/>
        <v>25.201943638617259</v>
      </c>
      <c r="T134" s="67">
        <f t="shared" si="161"/>
        <v>25.50567901814496</v>
      </c>
      <c r="U134" s="67">
        <f t="shared" si="161"/>
        <v>25.10948736156644</v>
      </c>
      <c r="V134" s="67">
        <f t="shared" si="161"/>
        <v>22.716165843460985</v>
      </c>
      <c r="W134" s="67">
        <f t="shared" si="161"/>
        <v>23.671319225852539</v>
      </c>
      <c r="X134" s="67">
        <f t="shared" ref="X134:Y134" si="162">IF(X104=0,0,X104/X$26)</f>
        <v>23.782767571227641</v>
      </c>
      <c r="Y134" s="67">
        <f t="shared" si="162"/>
        <v>23.84212687096641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58.031099147683541</v>
      </c>
      <c r="C135" s="68">
        <f t="shared" ref="C135:W135" si="164">IF(C105=0,0,C105/C$26)</f>
        <v>59.35480550029758</v>
      </c>
      <c r="D135" s="68">
        <f t="shared" si="164"/>
        <v>60.755991633577146</v>
      </c>
      <c r="E135" s="68">
        <f t="shared" si="164"/>
        <v>62.271842399253273</v>
      </c>
      <c r="F135" s="68">
        <f t="shared" si="164"/>
        <v>63.941252596272754</v>
      </c>
      <c r="G135" s="68">
        <f t="shared" si="164"/>
        <v>65.081893706857741</v>
      </c>
      <c r="H135" s="68">
        <f t="shared" si="164"/>
        <v>65.916891070750196</v>
      </c>
      <c r="I135" s="68">
        <f t="shared" si="164"/>
        <v>66.58282905317958</v>
      </c>
      <c r="J135" s="68">
        <f t="shared" si="164"/>
        <v>67.145941510414247</v>
      </c>
      <c r="K135" s="68">
        <f t="shared" si="164"/>
        <v>67.798218217657379</v>
      </c>
      <c r="L135" s="68">
        <f t="shared" si="164"/>
        <v>68.085776255625646</v>
      </c>
      <c r="M135" s="68">
        <f t="shared" si="164"/>
        <v>68.118390749583781</v>
      </c>
      <c r="N135" s="68">
        <f t="shared" si="164"/>
        <v>68.390406292849164</v>
      </c>
      <c r="O135" s="68">
        <f t="shared" si="164"/>
        <v>68.626982598266537</v>
      </c>
      <c r="P135" s="68">
        <f t="shared" si="164"/>
        <v>69.416338001190738</v>
      </c>
      <c r="Q135" s="68">
        <f t="shared" si="164"/>
        <v>70.337522944239112</v>
      </c>
      <c r="R135" s="68">
        <f t="shared" si="164"/>
        <v>69.535271984145098</v>
      </c>
      <c r="S135" s="68">
        <f t="shared" si="164"/>
        <v>69.381691213226532</v>
      </c>
      <c r="T135" s="68">
        <f t="shared" si="164"/>
        <v>68.043852831706218</v>
      </c>
      <c r="U135" s="68">
        <f t="shared" si="164"/>
        <v>66.689739633778444</v>
      </c>
      <c r="V135" s="68">
        <f t="shared" si="164"/>
        <v>62.963160894534013</v>
      </c>
      <c r="W135" s="68">
        <f t="shared" si="164"/>
        <v>62.716112971128837</v>
      </c>
      <c r="X135" s="68">
        <f t="shared" ref="X135:Y135" si="165">IF(X105=0,0,X105/X$26)</f>
        <v>61.537837051447021</v>
      </c>
      <c r="Y135" s="68">
        <f t="shared" si="165"/>
        <v>60.161127241135439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140.6485138238489</v>
      </c>
      <c r="C137" s="85">
        <f t="shared" ref="C137:W137" si="167">IF(C107=0,0,C107/C$26)</f>
        <v>148.11838907308385</v>
      </c>
      <c r="D137" s="85">
        <f t="shared" si="167"/>
        <v>139.99121262381726</v>
      </c>
      <c r="E137" s="85">
        <f t="shared" si="167"/>
        <v>156.25473654034846</v>
      </c>
      <c r="F137" s="85">
        <f t="shared" si="167"/>
        <v>154.18478446437689</v>
      </c>
      <c r="G137" s="85">
        <f t="shared" si="167"/>
        <v>153.73321679470581</v>
      </c>
      <c r="H137" s="85">
        <f t="shared" si="167"/>
        <v>149.03907635313396</v>
      </c>
      <c r="I137" s="85">
        <f t="shared" si="167"/>
        <v>139.77785569639289</v>
      </c>
      <c r="J137" s="85">
        <f t="shared" si="167"/>
        <v>140.37177869084897</v>
      </c>
      <c r="K137" s="85">
        <f t="shared" si="167"/>
        <v>152.32463377210792</v>
      </c>
      <c r="L137" s="85">
        <f t="shared" si="167"/>
        <v>161.56812464911016</v>
      </c>
      <c r="M137" s="85">
        <f t="shared" si="167"/>
        <v>136.27272552673631</v>
      </c>
      <c r="N137" s="85">
        <f t="shared" si="167"/>
        <v>148.7935564643137</v>
      </c>
      <c r="O137" s="85">
        <f t="shared" si="167"/>
        <v>154.66228410945814</v>
      </c>
      <c r="P137" s="85">
        <f t="shared" si="167"/>
        <v>140.83463751728087</v>
      </c>
      <c r="Q137" s="85">
        <f t="shared" si="167"/>
        <v>150.52492751858409</v>
      </c>
      <c r="R137" s="85">
        <f t="shared" si="167"/>
        <v>146.82543736451009</v>
      </c>
      <c r="S137" s="85">
        <f t="shared" si="167"/>
        <v>152.67009218097448</v>
      </c>
      <c r="T137" s="85">
        <f t="shared" si="167"/>
        <v>152.56603419482784</v>
      </c>
      <c r="U137" s="85">
        <f t="shared" si="167"/>
        <v>150.30763688425731</v>
      </c>
      <c r="V137" s="85">
        <f t="shared" si="167"/>
        <v>142.74599463399272</v>
      </c>
      <c r="W137" s="85">
        <f t="shared" si="167"/>
        <v>150.27581538685044</v>
      </c>
      <c r="X137" s="85">
        <f t="shared" ref="X137:Y137" si="168">IF(X107=0,0,X107/X$26)</f>
        <v>149.00695240007508</v>
      </c>
      <c r="Y137" s="85">
        <f t="shared" si="168"/>
        <v>133.59801715896094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100.70307727681443</v>
      </c>
      <c r="C138" s="65">
        <f t="shared" ref="C138:W138" si="170">IF(C108=0,0,C108/C$26)</f>
        <v>107.35764274537803</v>
      </c>
      <c r="D138" s="65">
        <f t="shared" si="170"/>
        <v>98.958572867314786</v>
      </c>
      <c r="E138" s="65">
        <f t="shared" si="170"/>
        <v>108.46868427800482</v>
      </c>
      <c r="F138" s="65">
        <f t="shared" si="170"/>
        <v>111.71875032278786</v>
      </c>
      <c r="G138" s="65">
        <f t="shared" si="170"/>
        <v>109.90351610817324</v>
      </c>
      <c r="H138" s="65">
        <f t="shared" si="170"/>
        <v>102.5890804170898</v>
      </c>
      <c r="I138" s="65">
        <f t="shared" si="170"/>
        <v>95.584040759650804</v>
      </c>
      <c r="J138" s="65">
        <f t="shared" si="170"/>
        <v>94.770413272067032</v>
      </c>
      <c r="K138" s="65">
        <f t="shared" si="170"/>
        <v>104.28406915195127</v>
      </c>
      <c r="L138" s="65">
        <f t="shared" si="170"/>
        <v>113.1125621354998</v>
      </c>
      <c r="M138" s="65">
        <f t="shared" si="170"/>
        <v>88.715842455746852</v>
      </c>
      <c r="N138" s="65">
        <f t="shared" si="170"/>
        <v>98.834853207577311</v>
      </c>
      <c r="O138" s="65">
        <f t="shared" si="170"/>
        <v>104.25865937613942</v>
      </c>
      <c r="P138" s="65">
        <f t="shared" si="170"/>
        <v>90.662591223849901</v>
      </c>
      <c r="Q138" s="65">
        <f t="shared" si="170"/>
        <v>95.766485553096416</v>
      </c>
      <c r="R138" s="65">
        <f t="shared" si="170"/>
        <v>94.095035311335778</v>
      </c>
      <c r="S138" s="65">
        <f t="shared" si="170"/>
        <v>97.893425541814537</v>
      </c>
      <c r="T138" s="65">
        <f t="shared" si="170"/>
        <v>96.998526832512496</v>
      </c>
      <c r="U138" s="65">
        <f t="shared" si="170"/>
        <v>94.850141477719063</v>
      </c>
      <c r="V138" s="65">
        <f t="shared" si="170"/>
        <v>89.500311708389731</v>
      </c>
      <c r="W138" s="65">
        <f t="shared" si="170"/>
        <v>98.735833442315666</v>
      </c>
      <c r="X138" s="65">
        <f t="shared" ref="X138:Y138" si="171">IF(X108=0,0,X108/X$26)</f>
        <v>88.382294700277086</v>
      </c>
      <c r="Y138" s="65">
        <f t="shared" si="171"/>
        <v>75.440052006282798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7.4062780992450463</v>
      </c>
      <c r="C139" s="65">
        <f t="shared" ref="C139:W139" si="173">IF(C109=0,0,C109/C$26)</f>
        <v>8.4016997227557013</v>
      </c>
      <c r="D139" s="65">
        <f t="shared" si="173"/>
        <v>8.6028863217861495</v>
      </c>
      <c r="E139" s="65">
        <f t="shared" si="173"/>
        <v>15.928925292130259</v>
      </c>
      <c r="F139" s="65">
        <f t="shared" si="173"/>
        <v>9.8553635004421434</v>
      </c>
      <c r="G139" s="65">
        <f t="shared" si="173"/>
        <v>11.285438243093161</v>
      </c>
      <c r="H139" s="65">
        <f t="shared" si="173"/>
        <v>14.222990250442884</v>
      </c>
      <c r="I139" s="65">
        <f t="shared" si="173"/>
        <v>11.951551643965367</v>
      </c>
      <c r="J139" s="65">
        <f t="shared" si="173"/>
        <v>12.773338846326311</v>
      </c>
      <c r="K139" s="65">
        <f t="shared" si="173"/>
        <v>14.354961336145687</v>
      </c>
      <c r="L139" s="65">
        <f t="shared" si="173"/>
        <v>14.571134812751286</v>
      </c>
      <c r="M139" s="65">
        <f t="shared" si="173"/>
        <v>14.738632093881966</v>
      </c>
      <c r="N139" s="65">
        <f t="shared" si="173"/>
        <v>15.659069180724346</v>
      </c>
      <c r="O139" s="65">
        <f t="shared" si="173"/>
        <v>15.767600275485181</v>
      </c>
      <c r="P139" s="65">
        <f t="shared" si="173"/>
        <v>15.046836061339478</v>
      </c>
      <c r="Q139" s="65">
        <f t="shared" si="173"/>
        <v>19.47551349221126</v>
      </c>
      <c r="R139" s="65">
        <f t="shared" si="173"/>
        <v>17.36785208829993</v>
      </c>
      <c r="S139" s="65">
        <f t="shared" si="173"/>
        <v>19.286344535029194</v>
      </c>
      <c r="T139" s="65">
        <f t="shared" si="173"/>
        <v>19.421475429364893</v>
      </c>
      <c r="U139" s="65">
        <f t="shared" si="173"/>
        <v>19.958310798474024</v>
      </c>
      <c r="V139" s="65">
        <f t="shared" si="173"/>
        <v>20.321325651802557</v>
      </c>
      <c r="W139" s="65">
        <f t="shared" si="173"/>
        <v>17.112365160705242</v>
      </c>
      <c r="X139" s="65">
        <f t="shared" ref="X139:Y139" si="174">IF(X109=0,0,X109/X$26)</f>
        <v>25.105351589073319</v>
      </c>
      <c r="Y139" s="65">
        <f t="shared" si="174"/>
        <v>22.469817704357538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16.961876059313241</v>
      </c>
      <c r="C140" s="65">
        <f t="shared" ref="C140:W140" si="176">IF(C110=0,0,C110/C$26)</f>
        <v>16.700039649718562</v>
      </c>
      <c r="D140" s="65">
        <f t="shared" si="176"/>
        <v>16.718675059720344</v>
      </c>
      <c r="E140" s="65">
        <f t="shared" si="176"/>
        <v>16.369958369637196</v>
      </c>
      <c r="F140" s="65">
        <f t="shared" si="176"/>
        <v>16.8429210758548</v>
      </c>
      <c r="G140" s="65">
        <f t="shared" si="176"/>
        <v>16.70538048870679</v>
      </c>
      <c r="H140" s="65">
        <f t="shared" si="176"/>
        <v>16.427587363217743</v>
      </c>
      <c r="I140" s="65">
        <f t="shared" si="176"/>
        <v>16.252105361752374</v>
      </c>
      <c r="J140" s="65">
        <f t="shared" si="176"/>
        <v>16.61318460369721</v>
      </c>
      <c r="K140" s="65">
        <f t="shared" si="176"/>
        <v>16.932446164353099</v>
      </c>
      <c r="L140" s="65">
        <f t="shared" si="176"/>
        <v>16.863218809328568</v>
      </c>
      <c r="M140" s="65">
        <f t="shared" si="176"/>
        <v>16.690105801869866</v>
      </c>
      <c r="N140" s="65">
        <f t="shared" si="176"/>
        <v>16.984113123030976</v>
      </c>
      <c r="O140" s="65">
        <f t="shared" si="176"/>
        <v>17.222583191255492</v>
      </c>
      <c r="P140" s="65">
        <f t="shared" si="176"/>
        <v>17.730865096002248</v>
      </c>
      <c r="Q140" s="65">
        <f t="shared" si="176"/>
        <v>17.746581162422718</v>
      </c>
      <c r="R140" s="65">
        <f t="shared" si="176"/>
        <v>17.496125501921853</v>
      </c>
      <c r="S140" s="65">
        <f t="shared" si="176"/>
        <v>17.730066821619619</v>
      </c>
      <c r="T140" s="65">
        <f t="shared" si="176"/>
        <v>17.995682089050753</v>
      </c>
      <c r="U140" s="65">
        <f t="shared" si="176"/>
        <v>17.521208280647709</v>
      </c>
      <c r="V140" s="65">
        <f t="shared" si="176"/>
        <v>16.467418949313799</v>
      </c>
      <c r="W140" s="65">
        <f t="shared" si="176"/>
        <v>17.367279902476472</v>
      </c>
      <c r="X140" s="65">
        <f t="shared" ref="X140:Y140" si="177">IF(X110=0,0,X110/X$26)</f>
        <v>17.866108315987088</v>
      </c>
      <c r="Y140" s="65">
        <f t="shared" si="177"/>
        <v>17.713624665868434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15.577282388476183</v>
      </c>
      <c r="C141" s="68">
        <f t="shared" ref="C141:W141" si="179">IF(C111=0,0,C111/C$26)</f>
        <v>15.659006955231552</v>
      </c>
      <c r="D141" s="68">
        <f t="shared" si="179"/>
        <v>15.71107837499598</v>
      </c>
      <c r="E141" s="68">
        <f t="shared" si="179"/>
        <v>15.487168600576174</v>
      </c>
      <c r="F141" s="68">
        <f t="shared" si="179"/>
        <v>15.76774956529208</v>
      </c>
      <c r="G141" s="68">
        <f t="shared" si="179"/>
        <v>15.838881954732617</v>
      </c>
      <c r="H141" s="68">
        <f t="shared" si="179"/>
        <v>15.799418322383541</v>
      </c>
      <c r="I141" s="68">
        <f t="shared" si="179"/>
        <v>15.990157931024333</v>
      </c>
      <c r="J141" s="68">
        <f t="shared" si="179"/>
        <v>16.214841968758446</v>
      </c>
      <c r="K141" s="68">
        <f t="shared" si="179"/>
        <v>16.753157119657835</v>
      </c>
      <c r="L141" s="68">
        <f t="shared" si="179"/>
        <v>17.021208891530488</v>
      </c>
      <c r="M141" s="68">
        <f t="shared" si="179"/>
        <v>16.128145175237638</v>
      </c>
      <c r="N141" s="68">
        <f t="shared" si="179"/>
        <v>17.31552095298105</v>
      </c>
      <c r="O141" s="68">
        <f t="shared" si="179"/>
        <v>17.413441266578033</v>
      </c>
      <c r="P141" s="68">
        <f t="shared" si="179"/>
        <v>17.394345136089232</v>
      </c>
      <c r="Q141" s="68">
        <f t="shared" si="179"/>
        <v>17.536347310853685</v>
      </c>
      <c r="R141" s="68">
        <f t="shared" si="179"/>
        <v>17.866424462952558</v>
      </c>
      <c r="S141" s="68">
        <f t="shared" si="179"/>
        <v>17.760255282511142</v>
      </c>
      <c r="T141" s="68">
        <f t="shared" si="179"/>
        <v>18.150349843899697</v>
      </c>
      <c r="U141" s="68">
        <f t="shared" si="179"/>
        <v>17.977976327416478</v>
      </c>
      <c r="V141" s="68">
        <f t="shared" si="179"/>
        <v>16.456938324486632</v>
      </c>
      <c r="W141" s="68">
        <f t="shared" si="179"/>
        <v>17.060336881353066</v>
      </c>
      <c r="X141" s="68">
        <f t="shared" ref="X141:Y141" si="180">IF(X111=0,0,X111/X$26)</f>
        <v>17.653197794737565</v>
      </c>
      <c r="Y141" s="68">
        <f t="shared" si="180"/>
        <v>17.974522782452183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33.256264843552188</v>
      </c>
      <c r="C143" s="82">
        <f t="shared" ref="C143:W143" si="182">IF(C113=0,0,C113/C$26)</f>
        <v>34.01177893187652</v>
      </c>
      <c r="D143" s="82">
        <f t="shared" si="182"/>
        <v>30.014833892128415</v>
      </c>
      <c r="E143" s="82">
        <f t="shared" si="182"/>
        <v>33.665717628532413</v>
      </c>
      <c r="F143" s="82">
        <f t="shared" si="182"/>
        <v>33.73150394545511</v>
      </c>
      <c r="G143" s="82">
        <f t="shared" si="182"/>
        <v>31.493219587342324</v>
      </c>
      <c r="H143" s="82">
        <f t="shared" si="182"/>
        <v>28.095418197544838</v>
      </c>
      <c r="I143" s="82">
        <f t="shared" si="182"/>
        <v>26.81871656755235</v>
      </c>
      <c r="J143" s="82">
        <f t="shared" si="182"/>
        <v>27.430311731105729</v>
      </c>
      <c r="K143" s="82">
        <f t="shared" si="182"/>
        <v>29.779635759141083</v>
      </c>
      <c r="L143" s="82">
        <f t="shared" si="182"/>
        <v>30.270137807430078</v>
      </c>
      <c r="M143" s="82">
        <f t="shared" si="182"/>
        <v>22.865471341683079</v>
      </c>
      <c r="N143" s="82">
        <f t="shared" si="182"/>
        <v>24.611612258098308</v>
      </c>
      <c r="O143" s="82">
        <f t="shared" si="182"/>
        <v>25.648107970355134</v>
      </c>
      <c r="P143" s="82">
        <f t="shared" si="182"/>
        <v>23.710455058060969</v>
      </c>
      <c r="Q143" s="82">
        <f t="shared" si="182"/>
        <v>24.373765932541328</v>
      </c>
      <c r="R143" s="82">
        <f t="shared" si="182"/>
        <v>22.019761365355887</v>
      </c>
      <c r="S143" s="82">
        <f t="shared" si="182"/>
        <v>23.430903689794423</v>
      </c>
      <c r="T143" s="82">
        <f t="shared" si="182"/>
        <v>22.736605690431215</v>
      </c>
      <c r="U143" s="82">
        <f t="shared" si="182"/>
        <v>21.912290165121711</v>
      </c>
      <c r="V143" s="82">
        <f t="shared" si="182"/>
        <v>20.955400044599255</v>
      </c>
      <c r="W143" s="82">
        <f t="shared" si="182"/>
        <v>21.196007465281962</v>
      </c>
      <c r="X143" s="82">
        <f t="shared" ref="X143:Y143" si="183">IF(X113=0,0,X113/X$26)</f>
        <v>19.834289638524965</v>
      </c>
      <c r="Y143" s="82">
        <f t="shared" si="183"/>
        <v>17.065058771980954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33.256264843552188</v>
      </c>
      <c r="C144" s="64">
        <f t="shared" ref="C144:W144" si="185">IF(C114=0,0,C114/C$26)</f>
        <v>34.01177893187652</v>
      </c>
      <c r="D144" s="64">
        <f t="shared" si="185"/>
        <v>30.014833892128415</v>
      </c>
      <c r="E144" s="64">
        <f t="shared" si="185"/>
        <v>33.665717628532413</v>
      </c>
      <c r="F144" s="64">
        <f t="shared" si="185"/>
        <v>33.73150394545511</v>
      </c>
      <c r="G144" s="64">
        <f t="shared" si="185"/>
        <v>31.493219587342324</v>
      </c>
      <c r="H144" s="64">
        <f t="shared" si="185"/>
        <v>28.095418197544838</v>
      </c>
      <c r="I144" s="64">
        <f t="shared" si="185"/>
        <v>26.81871656755235</v>
      </c>
      <c r="J144" s="64">
        <f t="shared" si="185"/>
        <v>27.430311731105729</v>
      </c>
      <c r="K144" s="64">
        <f t="shared" si="185"/>
        <v>29.779635759141083</v>
      </c>
      <c r="L144" s="64">
        <f t="shared" si="185"/>
        <v>30.270137807430078</v>
      </c>
      <c r="M144" s="64">
        <f t="shared" si="185"/>
        <v>22.865471341683079</v>
      </c>
      <c r="N144" s="64">
        <f t="shared" si="185"/>
        <v>24.611612258098308</v>
      </c>
      <c r="O144" s="64">
        <f t="shared" si="185"/>
        <v>25.648107970355134</v>
      </c>
      <c r="P144" s="64">
        <f t="shared" si="185"/>
        <v>23.710455058060969</v>
      </c>
      <c r="Q144" s="64">
        <f t="shared" si="185"/>
        <v>24.373765932541328</v>
      </c>
      <c r="R144" s="64">
        <f t="shared" si="185"/>
        <v>22.019761365355887</v>
      </c>
      <c r="S144" s="64">
        <f t="shared" si="185"/>
        <v>23.430903689794423</v>
      </c>
      <c r="T144" s="64">
        <f t="shared" si="185"/>
        <v>22.736605690431215</v>
      </c>
      <c r="U144" s="64">
        <f t="shared" si="185"/>
        <v>21.912290165121711</v>
      </c>
      <c r="V144" s="64">
        <f t="shared" si="185"/>
        <v>20.955400044599255</v>
      </c>
      <c r="W144" s="64">
        <f t="shared" si="185"/>
        <v>21.196007465281962</v>
      </c>
      <c r="X144" s="64">
        <f t="shared" ref="X144:Y144" si="186">IF(X114=0,0,X114/X$26)</f>
        <v>19.834289638524965</v>
      </c>
      <c r="Y144" s="64">
        <f t="shared" si="186"/>
        <v>17.065058771980954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27.468376458325352</v>
      </c>
      <c r="C145" s="65">
        <f t="shared" ref="C145:W145" si="188">IF(C115=0,0,C115/C$26)</f>
        <v>28.874753921677822</v>
      </c>
      <c r="D145" s="65">
        <f t="shared" si="188"/>
        <v>24.128121121634543</v>
      </c>
      <c r="E145" s="65">
        <f t="shared" si="188"/>
        <v>27.603107468857402</v>
      </c>
      <c r="F145" s="65">
        <f t="shared" si="188"/>
        <v>27.578280272774592</v>
      </c>
      <c r="G145" s="65">
        <f t="shared" si="188"/>
        <v>26.490691901995369</v>
      </c>
      <c r="H145" s="65">
        <f t="shared" si="188"/>
        <v>23.51897244252098</v>
      </c>
      <c r="I145" s="65">
        <f t="shared" si="188"/>
        <v>22.27522025645484</v>
      </c>
      <c r="J145" s="65">
        <f t="shared" si="188"/>
        <v>22.828072998019813</v>
      </c>
      <c r="K145" s="65">
        <f t="shared" si="188"/>
        <v>24.745409003081747</v>
      </c>
      <c r="L145" s="65">
        <f t="shared" si="188"/>
        <v>25.39257234630912</v>
      </c>
      <c r="M145" s="65">
        <f t="shared" si="188"/>
        <v>18.554005317716452</v>
      </c>
      <c r="N145" s="65">
        <f t="shared" si="188"/>
        <v>20.361186313023435</v>
      </c>
      <c r="O145" s="65">
        <f t="shared" si="188"/>
        <v>21.389917574859261</v>
      </c>
      <c r="P145" s="65">
        <f t="shared" si="188"/>
        <v>19.192180929044891</v>
      </c>
      <c r="Q145" s="65">
        <f t="shared" si="188"/>
        <v>19.60050957698639</v>
      </c>
      <c r="R145" s="65">
        <f t="shared" si="188"/>
        <v>17.689632027081174</v>
      </c>
      <c r="S145" s="65">
        <f t="shared" si="188"/>
        <v>18.916452639325094</v>
      </c>
      <c r="T145" s="65">
        <f t="shared" si="188"/>
        <v>18.455604744404898</v>
      </c>
      <c r="U145" s="65">
        <f t="shared" si="188"/>
        <v>17.751381736119132</v>
      </c>
      <c r="V145" s="65">
        <f t="shared" si="188"/>
        <v>17.107799262014002</v>
      </c>
      <c r="W145" s="65">
        <f t="shared" si="188"/>
        <v>17.174782416019518</v>
      </c>
      <c r="X145" s="65">
        <f t="shared" ref="X145:Y145" si="189">IF(X115=0,0,X115/X$26)</f>
        <v>15.953229776299684</v>
      </c>
      <c r="Y145" s="65">
        <f t="shared" si="189"/>
        <v>13.479783207480892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3.7776062488491429E-3</v>
      </c>
      <c r="C146" s="65">
        <f t="shared" ref="C146:W146" si="191">IF(C116=0,0,C116/C$26)</f>
        <v>4.7453667234822246E-3</v>
      </c>
      <c r="D146" s="65">
        <f t="shared" si="191"/>
        <v>5.1458252673900178E-3</v>
      </c>
      <c r="E146" s="65">
        <f t="shared" si="191"/>
        <v>1.3552763694551957E-2</v>
      </c>
      <c r="F146" s="65">
        <f t="shared" si="191"/>
        <v>7.4628176544215032E-3</v>
      </c>
      <c r="G146" s="65">
        <f t="shared" si="191"/>
        <v>7.9986725297824871E-3</v>
      </c>
      <c r="H146" s="65">
        <f t="shared" si="191"/>
        <v>1.4105994589401651E-2</v>
      </c>
      <c r="I146" s="65">
        <f t="shared" si="191"/>
        <v>1.2630269316307643E-2</v>
      </c>
      <c r="J146" s="65">
        <f t="shared" si="191"/>
        <v>1.5497353424628673E-2</v>
      </c>
      <c r="K146" s="65">
        <f t="shared" si="191"/>
        <v>1.786125980476163E-2</v>
      </c>
      <c r="L146" s="65">
        <f t="shared" si="191"/>
        <v>2.0192164767831311E-2</v>
      </c>
      <c r="M146" s="65">
        <f t="shared" si="191"/>
        <v>2.6650518331979799E-2</v>
      </c>
      <c r="N146" s="65">
        <f t="shared" si="191"/>
        <v>3.9933361147119477E-2</v>
      </c>
      <c r="O146" s="65">
        <f t="shared" si="191"/>
        <v>4.8392287375062765E-2</v>
      </c>
      <c r="P146" s="65">
        <f t="shared" si="191"/>
        <v>4.8795474958267748E-2</v>
      </c>
      <c r="Q146" s="65">
        <f t="shared" si="191"/>
        <v>7.7779660520087432E-2</v>
      </c>
      <c r="R146" s="65">
        <f t="shared" si="191"/>
        <v>7.4061614241218404E-2</v>
      </c>
      <c r="S146" s="65">
        <f t="shared" si="191"/>
        <v>9.1811220966949186E-2</v>
      </c>
      <c r="T146" s="65">
        <f t="shared" si="191"/>
        <v>9.8416167984735181E-2</v>
      </c>
      <c r="U146" s="65">
        <f t="shared" si="191"/>
        <v>0.10731242695353121</v>
      </c>
      <c r="V146" s="65">
        <f t="shared" si="191"/>
        <v>0.10783278180924646</v>
      </c>
      <c r="W146" s="65">
        <f t="shared" si="191"/>
        <v>8.7683019033023335E-2</v>
      </c>
      <c r="X146" s="65">
        <f t="shared" ref="X146:Y146" si="192">IF(X116=0,0,X116/X$26)</f>
        <v>0.1351494536705356</v>
      </c>
      <c r="Y146" s="65">
        <f t="shared" si="192"/>
        <v>0.12659260332728386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2.8799417363300073</v>
      </c>
      <c r="C147" s="65">
        <f t="shared" ref="C147:W147" si="194">IF(C117=0,0,C117/C$26)</f>
        <v>2.8519512830087717</v>
      </c>
      <c r="D147" s="65">
        <f t="shared" si="194"/>
        <v>2.8065342815616647</v>
      </c>
      <c r="E147" s="65">
        <f t="shared" si="194"/>
        <v>2.7951510493357961</v>
      </c>
      <c r="F147" s="65">
        <f t="shared" si="194"/>
        <v>2.7597902166913904</v>
      </c>
      <c r="G147" s="65">
        <f t="shared" si="194"/>
        <v>2.5984643150054612</v>
      </c>
      <c r="H147" s="65">
        <f t="shared" si="194"/>
        <v>2.4567413279213799</v>
      </c>
      <c r="I147" s="65">
        <f t="shared" si="194"/>
        <v>2.357212530123137</v>
      </c>
      <c r="J147" s="65">
        <f t="shared" si="194"/>
        <v>2.3296685717250543</v>
      </c>
      <c r="K147" s="65">
        <f t="shared" si="194"/>
        <v>2.3966023340117477</v>
      </c>
      <c r="L147" s="65">
        <f t="shared" si="194"/>
        <v>2.2464794925780862</v>
      </c>
      <c r="M147" s="65">
        <f t="shared" si="194"/>
        <v>2.1435342304821305</v>
      </c>
      <c r="N147" s="65">
        <f t="shared" si="194"/>
        <v>2.026488023923978</v>
      </c>
      <c r="O147" s="65">
        <f t="shared" si="194"/>
        <v>2.0910862595155697</v>
      </c>
      <c r="P147" s="65">
        <f t="shared" si="194"/>
        <v>2.2935050127162504</v>
      </c>
      <c r="Q147" s="65">
        <f t="shared" si="194"/>
        <v>2.2827087511160902</v>
      </c>
      <c r="R147" s="65">
        <f t="shared" si="194"/>
        <v>1.9808250081483809</v>
      </c>
      <c r="S147" s="65">
        <f t="shared" si="194"/>
        <v>2.049172069960242</v>
      </c>
      <c r="T147" s="65">
        <f t="shared" si="194"/>
        <v>1.8363787379288661</v>
      </c>
      <c r="U147" s="65">
        <f t="shared" si="194"/>
        <v>1.7209416325313891</v>
      </c>
      <c r="V147" s="65">
        <f t="shared" si="194"/>
        <v>1.6997553806382635</v>
      </c>
      <c r="W147" s="65">
        <f t="shared" si="194"/>
        <v>1.6141670899816398</v>
      </c>
      <c r="X147" s="65">
        <f t="shared" ref="X147:Y147" si="195">IF(X117=0,0,X117/X$26)</f>
        <v>1.7399351087594457</v>
      </c>
      <c r="Y147" s="65">
        <f t="shared" si="195"/>
        <v>1.5702822241799583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2.9041690426479749</v>
      </c>
      <c r="C148" s="67">
        <f t="shared" ref="C148:W148" si="197">IF(C118=0,0,C118/C$26)</f>
        <v>2.2803283604664522</v>
      </c>
      <c r="D148" s="67">
        <f t="shared" si="197"/>
        <v>3.0750326636648171</v>
      </c>
      <c r="E148" s="67">
        <f t="shared" si="197"/>
        <v>3.2539063466446652</v>
      </c>
      <c r="F148" s="67">
        <f t="shared" si="197"/>
        <v>3.3859706383347024</v>
      </c>
      <c r="G148" s="67">
        <f t="shared" si="197"/>
        <v>2.3960646978117075</v>
      </c>
      <c r="H148" s="67">
        <f t="shared" si="197"/>
        <v>2.1055984325130748</v>
      </c>
      <c r="I148" s="67">
        <f t="shared" si="197"/>
        <v>2.1736535116580633</v>
      </c>
      <c r="J148" s="67">
        <f t="shared" si="197"/>
        <v>2.2570728079362388</v>
      </c>
      <c r="K148" s="67">
        <f t="shared" si="197"/>
        <v>2.6197631622428306</v>
      </c>
      <c r="L148" s="67">
        <f t="shared" si="197"/>
        <v>2.610893803775042</v>
      </c>
      <c r="M148" s="67">
        <f t="shared" si="197"/>
        <v>2.1412812751525143</v>
      </c>
      <c r="N148" s="67">
        <f t="shared" si="197"/>
        <v>2.1840045600037801</v>
      </c>
      <c r="O148" s="67">
        <f t="shared" si="197"/>
        <v>2.1187118486052414</v>
      </c>
      <c r="P148" s="67">
        <f t="shared" si="197"/>
        <v>2.1759736413415576</v>
      </c>
      <c r="Q148" s="67">
        <f t="shared" si="197"/>
        <v>2.4127679439187557</v>
      </c>
      <c r="R148" s="67">
        <f t="shared" si="197"/>
        <v>2.275242715885113</v>
      </c>
      <c r="S148" s="67">
        <f t="shared" si="197"/>
        <v>2.3734677595421418</v>
      </c>
      <c r="T148" s="67">
        <f t="shared" si="197"/>
        <v>2.3462060401127114</v>
      </c>
      <c r="U148" s="67">
        <f t="shared" si="197"/>
        <v>2.3326543695176589</v>
      </c>
      <c r="V148" s="67">
        <f t="shared" si="197"/>
        <v>2.0400126201377433</v>
      </c>
      <c r="W148" s="67">
        <f t="shared" si="197"/>
        <v>2.3193749402477821</v>
      </c>
      <c r="X148" s="67">
        <f t="shared" ref="X148:Y148" si="198">IF(X118=0,0,X118/X$26)</f>
        <v>2.0059752997953018</v>
      </c>
      <c r="Y148" s="67">
        <f t="shared" si="198"/>
        <v>1.888400736992818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12073.2747146684</v>
      </c>
      <c r="C153" s="82">
        <f t="shared" ref="C153:W153" si="203">IF(C99=0,0,C99/C$23)</f>
        <v>12481.028796900027</v>
      </c>
      <c r="D153" s="82">
        <f t="shared" si="203"/>
        <v>11844.921427051484</v>
      </c>
      <c r="E153" s="82">
        <f t="shared" si="203"/>
        <v>12850.145689136771</v>
      </c>
      <c r="F153" s="82">
        <f t="shared" si="203"/>
        <v>13078.825859970526</v>
      </c>
      <c r="G153" s="82">
        <f t="shared" si="203"/>
        <v>12915.676660358567</v>
      </c>
      <c r="H153" s="82">
        <f t="shared" si="203"/>
        <v>12290.039348901828</v>
      </c>
      <c r="I153" s="82">
        <f t="shared" si="203"/>
        <v>11783.903033060613</v>
      </c>
      <c r="J153" s="82">
        <f t="shared" si="203"/>
        <v>11835.448926592451</v>
      </c>
      <c r="K153" s="82">
        <f t="shared" si="203"/>
        <v>12702.751082542622</v>
      </c>
      <c r="L153" s="82">
        <f t="shared" si="203"/>
        <v>13211.491866555529</v>
      </c>
      <c r="M153" s="82">
        <f t="shared" si="203"/>
        <v>11227.334444124992</v>
      </c>
      <c r="N153" s="82">
        <f t="shared" si="203"/>
        <v>11910.368296146989</v>
      </c>
      <c r="O153" s="82">
        <f t="shared" si="203"/>
        <v>12200.918233461645</v>
      </c>
      <c r="P153" s="82">
        <f t="shared" si="203"/>
        <v>11416.987845533395</v>
      </c>
      <c r="Q153" s="82">
        <f t="shared" si="203"/>
        <v>11671.584789817449</v>
      </c>
      <c r="R153" s="82">
        <f t="shared" si="203"/>
        <v>11266.985946552788</v>
      </c>
      <c r="S153" s="82">
        <f t="shared" si="203"/>
        <v>11392.9372396082</v>
      </c>
      <c r="T153" s="82">
        <f t="shared" si="203"/>
        <v>11181.069099129929</v>
      </c>
      <c r="U153" s="82">
        <f t="shared" si="203"/>
        <v>10831.194425007065</v>
      </c>
      <c r="V153" s="82">
        <f t="shared" si="203"/>
        <v>10232.935365810356</v>
      </c>
      <c r="W153" s="82">
        <f t="shared" si="203"/>
        <v>10423.775924561749</v>
      </c>
      <c r="X153" s="82">
        <f t="shared" ref="X153:Y153" si="204">IF(X99=0,0,X99/X$23)</f>
        <v>9828.4876638233836</v>
      </c>
      <c r="Y153" s="82">
        <f t="shared" si="204"/>
        <v>8866.7048989237283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9650.1839514328876</v>
      </c>
      <c r="C154" s="64">
        <f t="shared" ref="C154:W154" si="206">IF(C100=0,0,C100/C$23)</f>
        <v>10008.126089888594</v>
      </c>
      <c r="D154" s="64">
        <f t="shared" si="206"/>
        <v>9299.0118473761086</v>
      </c>
      <c r="E154" s="64">
        <f t="shared" si="206"/>
        <v>10214.488768291469</v>
      </c>
      <c r="F154" s="64">
        <f t="shared" si="206"/>
        <v>10349.129890172924</v>
      </c>
      <c r="G154" s="64">
        <f t="shared" si="206"/>
        <v>10123.797450529928</v>
      </c>
      <c r="H154" s="64">
        <f t="shared" si="206"/>
        <v>9461.9158397002429</v>
      </c>
      <c r="I154" s="64">
        <f t="shared" si="206"/>
        <v>8924.434987139939</v>
      </c>
      <c r="J154" s="64">
        <f t="shared" si="206"/>
        <v>8930.000145374368</v>
      </c>
      <c r="K154" s="64">
        <f t="shared" si="206"/>
        <v>9731.5853903734769</v>
      </c>
      <c r="L154" s="64">
        <f t="shared" si="206"/>
        <v>10218.251366796318</v>
      </c>
      <c r="M154" s="64">
        <f t="shared" si="206"/>
        <v>8225.1014716294067</v>
      </c>
      <c r="N154" s="64">
        <f t="shared" si="206"/>
        <v>8889.6909666620395</v>
      </c>
      <c r="O154" s="64">
        <f t="shared" si="206"/>
        <v>9161.773336872353</v>
      </c>
      <c r="P154" s="64">
        <f t="shared" si="206"/>
        <v>8328.0629907626226</v>
      </c>
      <c r="Q154" s="64">
        <f t="shared" si="206"/>
        <v>8567.39744804777</v>
      </c>
      <c r="R154" s="64">
        <f t="shared" si="206"/>
        <v>8207.80602404007</v>
      </c>
      <c r="S154" s="64">
        <f t="shared" si="206"/>
        <v>8360.3720247071487</v>
      </c>
      <c r="T154" s="64">
        <f t="shared" si="206"/>
        <v>8208.2526550281927</v>
      </c>
      <c r="U154" s="64">
        <f t="shared" si="206"/>
        <v>7913.6932547865254</v>
      </c>
      <c r="V154" s="64">
        <f t="shared" si="206"/>
        <v>7444.8058137054968</v>
      </c>
      <c r="W154" s="64">
        <f t="shared" si="206"/>
        <v>7699.1901429560003</v>
      </c>
      <c r="X154" s="64">
        <f t="shared" ref="X154:Y154" si="207">IF(X100=0,0,X100/X$23)</f>
        <v>7195.974251462334</v>
      </c>
      <c r="Y154" s="64">
        <f t="shared" si="207"/>
        <v>6302.3410468595048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7336.2664668043471</v>
      </c>
      <c r="C155" s="65">
        <f t="shared" ref="C155:W155" si="209">IF(C101=0,0,C101/C$23)</f>
        <v>7731.5851859194054</v>
      </c>
      <c r="D155" s="65">
        <f t="shared" si="209"/>
        <v>6980.3140868387063</v>
      </c>
      <c r="E155" s="65">
        <f t="shared" si="209"/>
        <v>7763.5398575703202</v>
      </c>
      <c r="F155" s="65">
        <f t="shared" si="209"/>
        <v>7968.6508385197367</v>
      </c>
      <c r="G155" s="65">
        <f t="shared" si="209"/>
        <v>7780.6255605412525</v>
      </c>
      <c r="H155" s="65">
        <f t="shared" si="209"/>
        <v>7123.0998459446973</v>
      </c>
      <c r="I155" s="65">
        <f t="shared" si="209"/>
        <v>6638.3173001795894</v>
      </c>
      <c r="J155" s="65">
        <f t="shared" si="209"/>
        <v>6595.8512486914942</v>
      </c>
      <c r="K155" s="65">
        <f t="shared" si="209"/>
        <v>7285.3508298182996</v>
      </c>
      <c r="L155" s="65">
        <f t="shared" si="209"/>
        <v>7770.599230493357</v>
      </c>
      <c r="M155" s="65">
        <f t="shared" si="209"/>
        <v>5874.7226204230019</v>
      </c>
      <c r="N155" s="65">
        <f t="shared" si="209"/>
        <v>6456.287267101472</v>
      </c>
      <c r="O155" s="65">
        <f t="shared" si="209"/>
        <v>6723.4231834688308</v>
      </c>
      <c r="P155" s="65">
        <f t="shared" si="209"/>
        <v>5864.6829862963214</v>
      </c>
      <c r="Q155" s="65">
        <f t="shared" si="209"/>
        <v>6062.9574235400232</v>
      </c>
      <c r="R155" s="65">
        <f t="shared" si="209"/>
        <v>5778.8932188887784</v>
      </c>
      <c r="S155" s="65">
        <f t="shared" si="209"/>
        <v>5935.4339624281511</v>
      </c>
      <c r="T155" s="65">
        <f t="shared" si="209"/>
        <v>5784.8458902489247</v>
      </c>
      <c r="U155" s="65">
        <f t="shared" si="209"/>
        <v>5550.7634887689828</v>
      </c>
      <c r="V155" s="65">
        <f t="shared" si="209"/>
        <v>5237.8141074503301</v>
      </c>
      <c r="W155" s="65">
        <f t="shared" si="209"/>
        <v>5506.0610102674409</v>
      </c>
      <c r="X155" s="65">
        <f t="shared" ref="X155:Y155" si="210">IF(X101=0,0,X101/X$23)</f>
        <v>4933.8830762946236</v>
      </c>
      <c r="Y155" s="65">
        <f t="shared" si="210"/>
        <v>4106.6907726046593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171.18254842434732</v>
      </c>
      <c r="C156" s="65">
        <f t="shared" ref="C156:W156" si="212">IF(C102=0,0,C102/C$23)</f>
        <v>185.46346486877121</v>
      </c>
      <c r="D156" s="65">
        <f t="shared" si="212"/>
        <v>182.66685637486432</v>
      </c>
      <c r="E156" s="65">
        <f t="shared" si="212"/>
        <v>326.9801435065969</v>
      </c>
      <c r="F156" s="65">
        <f t="shared" si="212"/>
        <v>194.88974766013524</v>
      </c>
      <c r="G156" s="65">
        <f t="shared" si="212"/>
        <v>213.55114729001207</v>
      </c>
      <c r="H156" s="65">
        <f t="shared" si="212"/>
        <v>254.43127144352988</v>
      </c>
      <c r="I156" s="65">
        <f t="shared" si="212"/>
        <v>202.40255944490485</v>
      </c>
      <c r="J156" s="65">
        <f t="shared" si="212"/>
        <v>206.19773223854165</v>
      </c>
      <c r="K156" s="65">
        <f t="shared" si="212"/>
        <v>229.89733002988615</v>
      </c>
      <c r="L156" s="65">
        <f t="shared" si="212"/>
        <v>228.31464226784962</v>
      </c>
      <c r="M156" s="65">
        <f t="shared" si="212"/>
        <v>224.01171143057695</v>
      </c>
      <c r="N156" s="65">
        <f t="shared" si="212"/>
        <v>232.17283056841492</v>
      </c>
      <c r="O156" s="65">
        <f t="shared" si="212"/>
        <v>227.49494794845285</v>
      </c>
      <c r="P156" s="65">
        <f t="shared" si="212"/>
        <v>210.44102637386101</v>
      </c>
      <c r="Q156" s="65">
        <f t="shared" si="212"/>
        <v>261.2458072640444</v>
      </c>
      <c r="R156" s="65">
        <f t="shared" si="212"/>
        <v>224.06780058100819</v>
      </c>
      <c r="S156" s="65">
        <f t="shared" si="212"/>
        <v>239.82915573756071</v>
      </c>
      <c r="T156" s="65">
        <f t="shared" si="212"/>
        <v>235.21035405176465</v>
      </c>
      <c r="U156" s="65">
        <f t="shared" si="212"/>
        <v>237.33359527909528</v>
      </c>
      <c r="V156" s="65">
        <f t="shared" si="212"/>
        <v>239.35282404994069</v>
      </c>
      <c r="W156" s="65">
        <f t="shared" si="212"/>
        <v>193.77213434591516</v>
      </c>
      <c r="X156" s="65">
        <f t="shared" ref="X156:Y156" si="213">IF(X102=0,0,X102/X$23)</f>
        <v>276.85077308579679</v>
      </c>
      <c r="Y156" s="65">
        <f t="shared" si="213"/>
        <v>244.99529376854477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1147.1399727667181</v>
      </c>
      <c r="C157" s="65">
        <f t="shared" ref="C157:W157" si="215">IF(C103=0,0,C103/C$23)</f>
        <v>1122.7502848610532</v>
      </c>
      <c r="D157" s="65">
        <f t="shared" si="215"/>
        <v>1124.5904814087105</v>
      </c>
      <c r="E157" s="65">
        <f t="shared" si="215"/>
        <v>1108.5484817957713</v>
      </c>
      <c r="F157" s="65">
        <f t="shared" si="215"/>
        <v>1141.5254845048964</v>
      </c>
      <c r="G157" s="65">
        <f t="shared" si="215"/>
        <v>1128.1491720139697</v>
      </c>
      <c r="H157" s="65">
        <f t="shared" si="215"/>
        <v>1100.640300674361</v>
      </c>
      <c r="I157" s="65">
        <f t="shared" si="215"/>
        <v>1087.2962008478453</v>
      </c>
      <c r="J157" s="65">
        <f t="shared" si="215"/>
        <v>1109.8341806379713</v>
      </c>
      <c r="K157" s="65">
        <f t="shared" si="215"/>
        <v>1137.8926365177681</v>
      </c>
      <c r="L157" s="65">
        <f t="shared" si="215"/>
        <v>1124.9371901508985</v>
      </c>
      <c r="M157" s="65">
        <f t="shared" si="215"/>
        <v>1103.5659454100105</v>
      </c>
      <c r="N157" s="65">
        <f t="shared" si="215"/>
        <v>1108.3684825739531</v>
      </c>
      <c r="O157" s="65">
        <f t="shared" si="215"/>
        <v>1113.9952848022667</v>
      </c>
      <c r="P157" s="65">
        <f t="shared" si="215"/>
        <v>1150.1943838181737</v>
      </c>
      <c r="Q157" s="65">
        <f t="shared" si="215"/>
        <v>1131.8193281666324</v>
      </c>
      <c r="R157" s="65">
        <f t="shared" si="215"/>
        <v>1090.0404558845917</v>
      </c>
      <c r="S157" s="65">
        <f t="shared" si="215"/>
        <v>1083.5713641444017</v>
      </c>
      <c r="T157" s="65">
        <f t="shared" si="215"/>
        <v>1073.8605986350046</v>
      </c>
      <c r="U157" s="65">
        <f t="shared" si="215"/>
        <v>1027.121965211586</v>
      </c>
      <c r="V157" s="65">
        <f t="shared" si="215"/>
        <v>961.72348026473992</v>
      </c>
      <c r="W157" s="65">
        <f t="shared" si="215"/>
        <v>971.00022144388379</v>
      </c>
      <c r="X157" s="65">
        <f t="shared" ref="X157:Y157" si="216">IF(X103=0,0,X103/X$23)</f>
        <v>967.84269013470532</v>
      </c>
      <c r="Y157" s="65">
        <f t="shared" si="216"/>
        <v>934.38598573863283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995.59496343747446</v>
      </c>
      <c r="C158" s="67">
        <f t="shared" ref="C158:W158" si="218">IF(C104=0,0,C104/C$23)</f>
        <v>968.32715423936463</v>
      </c>
      <c r="D158" s="67">
        <f t="shared" si="218"/>
        <v>1011.4404227538278</v>
      </c>
      <c r="E158" s="67">
        <f t="shared" si="218"/>
        <v>1015.4202854187815</v>
      </c>
      <c r="F158" s="67">
        <f t="shared" si="218"/>
        <v>1044.0638194881549</v>
      </c>
      <c r="G158" s="67">
        <f t="shared" si="218"/>
        <v>1001.4715706846932</v>
      </c>
      <c r="H158" s="67">
        <f t="shared" si="218"/>
        <v>983.74442163765718</v>
      </c>
      <c r="I158" s="67">
        <f t="shared" si="218"/>
        <v>996.41892666760032</v>
      </c>
      <c r="J158" s="67">
        <f t="shared" si="218"/>
        <v>1018.116983806361</v>
      </c>
      <c r="K158" s="67">
        <f t="shared" si="218"/>
        <v>1078.4445940075227</v>
      </c>
      <c r="L158" s="67">
        <f t="shared" si="218"/>
        <v>1094.4003038842116</v>
      </c>
      <c r="M158" s="67">
        <f t="shared" si="218"/>
        <v>1022.8011943658172</v>
      </c>
      <c r="N158" s="67">
        <f t="shared" si="218"/>
        <v>1092.8623864181993</v>
      </c>
      <c r="O158" s="67">
        <f t="shared" si="218"/>
        <v>1096.8599206528027</v>
      </c>
      <c r="P158" s="67">
        <f t="shared" si="218"/>
        <v>1102.7445942742659</v>
      </c>
      <c r="Q158" s="67">
        <f t="shared" si="218"/>
        <v>1111.3748890770698</v>
      </c>
      <c r="R158" s="67">
        <f t="shared" si="218"/>
        <v>1114.8045486856888</v>
      </c>
      <c r="S158" s="67">
        <f t="shared" si="218"/>
        <v>1101.5375423970349</v>
      </c>
      <c r="T158" s="67">
        <f t="shared" si="218"/>
        <v>1114.3358120925006</v>
      </c>
      <c r="U158" s="67">
        <f t="shared" si="218"/>
        <v>1098.4742055268607</v>
      </c>
      <c r="V158" s="67">
        <f t="shared" si="218"/>
        <v>1005.9154019404846</v>
      </c>
      <c r="W158" s="67">
        <f t="shared" si="218"/>
        <v>1028.3567768987609</v>
      </c>
      <c r="X158" s="67">
        <f t="shared" ref="X158:Y158" si="219">IF(X104=0,0,X104/X$23)</f>
        <v>1017.3977119472065</v>
      </c>
      <c r="Y158" s="67">
        <f t="shared" si="219"/>
        <v>1016.2689947476698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2423.0907632355102</v>
      </c>
      <c r="C159" s="68">
        <f t="shared" ref="C159:W159" si="221">IF(C105=0,0,C105/C$23)</f>
        <v>2472.9027070114334</v>
      </c>
      <c r="D159" s="68">
        <f t="shared" si="221"/>
        <v>2545.9095796753741</v>
      </c>
      <c r="E159" s="68">
        <f t="shared" si="221"/>
        <v>2635.656920845302</v>
      </c>
      <c r="F159" s="68">
        <f t="shared" si="221"/>
        <v>2729.6959697976004</v>
      </c>
      <c r="G159" s="68">
        <f t="shared" si="221"/>
        <v>2791.8792098286408</v>
      </c>
      <c r="H159" s="68">
        <f t="shared" si="221"/>
        <v>2828.1235092015836</v>
      </c>
      <c r="I159" s="68">
        <f t="shared" si="221"/>
        <v>2859.4680459206738</v>
      </c>
      <c r="J159" s="68">
        <f t="shared" si="221"/>
        <v>2905.4487812180823</v>
      </c>
      <c r="K159" s="68">
        <f t="shared" si="221"/>
        <v>2971.165692169146</v>
      </c>
      <c r="L159" s="68">
        <f t="shared" si="221"/>
        <v>2993.2404997592134</v>
      </c>
      <c r="M159" s="68">
        <f t="shared" si="221"/>
        <v>3002.2329724955862</v>
      </c>
      <c r="N159" s="68">
        <f t="shared" si="221"/>
        <v>3020.6773294849486</v>
      </c>
      <c r="O159" s="68">
        <f t="shared" si="221"/>
        <v>3039.1448965892951</v>
      </c>
      <c r="P159" s="68">
        <f t="shared" si="221"/>
        <v>3088.9248547707734</v>
      </c>
      <c r="Q159" s="68">
        <f t="shared" si="221"/>
        <v>3104.1873417696802</v>
      </c>
      <c r="R159" s="68">
        <f t="shared" si="221"/>
        <v>3059.1799225127179</v>
      </c>
      <c r="S159" s="68">
        <f t="shared" si="221"/>
        <v>3032.5652149010502</v>
      </c>
      <c r="T159" s="68">
        <f t="shared" si="221"/>
        <v>2972.8164441017352</v>
      </c>
      <c r="U159" s="68">
        <f t="shared" si="221"/>
        <v>2917.5011702205411</v>
      </c>
      <c r="V159" s="68">
        <f t="shared" si="221"/>
        <v>2788.1295521048592</v>
      </c>
      <c r="W159" s="68">
        <f t="shared" si="221"/>
        <v>2724.5857816057487</v>
      </c>
      <c r="X159" s="68">
        <f t="shared" ref="X159:Y159" si="222">IF(X105=0,0,X105/X$23)</f>
        <v>2632.513412361051</v>
      </c>
      <c r="Y159" s="68">
        <f t="shared" si="222"/>
        <v>2564.3638520642239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5872.7840712107954</v>
      </c>
      <c r="C161" s="85">
        <f t="shared" ref="C161:W161" si="224">IF(C107=0,0,C107/C$23)</f>
        <v>6171.065041989993</v>
      </c>
      <c r="D161" s="85">
        <f t="shared" si="224"/>
        <v>5866.1698987459085</v>
      </c>
      <c r="E161" s="85">
        <f t="shared" si="224"/>
        <v>6613.4847133151006</v>
      </c>
      <c r="F161" s="85">
        <f t="shared" si="224"/>
        <v>6582.2542985505252</v>
      </c>
      <c r="G161" s="85">
        <f t="shared" si="224"/>
        <v>6594.8384010220143</v>
      </c>
      <c r="H161" s="85">
        <f t="shared" si="224"/>
        <v>6394.4295426733779</v>
      </c>
      <c r="I161" s="85">
        <f t="shared" si="224"/>
        <v>6002.9037151893108</v>
      </c>
      <c r="J161" s="85">
        <f t="shared" si="224"/>
        <v>6073.9786223935162</v>
      </c>
      <c r="K161" s="85">
        <f t="shared" si="224"/>
        <v>6675.4221251502786</v>
      </c>
      <c r="L161" s="85">
        <f t="shared" si="224"/>
        <v>7102.9850985932253</v>
      </c>
      <c r="M161" s="85">
        <f t="shared" si="224"/>
        <v>6006.0501331016612</v>
      </c>
      <c r="N161" s="85">
        <f t="shared" si="224"/>
        <v>6571.935263267852</v>
      </c>
      <c r="O161" s="85">
        <f t="shared" si="224"/>
        <v>6849.2169355261176</v>
      </c>
      <c r="P161" s="85">
        <f t="shared" si="224"/>
        <v>6266.9340499105419</v>
      </c>
      <c r="Q161" s="85">
        <f t="shared" si="224"/>
        <v>6643.0769106613434</v>
      </c>
      <c r="R161" s="85">
        <f t="shared" si="224"/>
        <v>6459.5336623127496</v>
      </c>
      <c r="S161" s="85">
        <f t="shared" si="224"/>
        <v>6672.970964067531</v>
      </c>
      <c r="T161" s="85">
        <f t="shared" si="224"/>
        <v>6665.5663427458358</v>
      </c>
      <c r="U161" s="85">
        <f t="shared" si="224"/>
        <v>6575.5648306773783</v>
      </c>
      <c r="V161" s="85">
        <f t="shared" si="224"/>
        <v>6321.066484420855</v>
      </c>
      <c r="W161" s="85">
        <f t="shared" si="224"/>
        <v>6528.4554562669919</v>
      </c>
      <c r="X161" s="85">
        <f t="shared" ref="X161:Y161" si="225">IF(X107=0,0,X107/X$23)</f>
        <v>6374.3351980392454</v>
      </c>
      <c r="Y161" s="85">
        <f t="shared" si="225"/>
        <v>5694.6061621605595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4204.8608412163985</v>
      </c>
      <c r="C162" s="65">
        <f t="shared" ref="C162:W162" si="227">IF(C108=0,0,C108/C$23)</f>
        <v>4472.8477016419611</v>
      </c>
      <c r="D162" s="65">
        <f t="shared" si="227"/>
        <v>4146.7445741543024</v>
      </c>
      <c r="E162" s="65">
        <f t="shared" si="227"/>
        <v>4590.9391371361698</v>
      </c>
      <c r="F162" s="65">
        <f t="shared" si="227"/>
        <v>4769.3501475871135</v>
      </c>
      <c r="G162" s="65">
        <f t="shared" si="227"/>
        <v>4714.634504821488</v>
      </c>
      <c r="H162" s="65">
        <f t="shared" si="227"/>
        <v>4401.521148859023</v>
      </c>
      <c r="I162" s="65">
        <f t="shared" si="227"/>
        <v>4104.9548981149619</v>
      </c>
      <c r="J162" s="65">
        <f t="shared" si="227"/>
        <v>4100.7777319520437</v>
      </c>
      <c r="K162" s="65">
        <f t="shared" si="227"/>
        <v>4570.109018342554</v>
      </c>
      <c r="L162" s="65">
        <f t="shared" si="227"/>
        <v>4972.743510250184</v>
      </c>
      <c r="M162" s="65">
        <f t="shared" si="227"/>
        <v>3910.0399242034996</v>
      </c>
      <c r="N162" s="65">
        <f t="shared" si="227"/>
        <v>4365.3520519926706</v>
      </c>
      <c r="O162" s="65">
        <f t="shared" si="227"/>
        <v>4617.0931690684492</v>
      </c>
      <c r="P162" s="65">
        <f t="shared" si="227"/>
        <v>4034.3518470315835</v>
      </c>
      <c r="Q162" s="65">
        <f t="shared" si="227"/>
        <v>4226.4370392366636</v>
      </c>
      <c r="R162" s="65">
        <f t="shared" si="227"/>
        <v>4139.6781031962864</v>
      </c>
      <c r="S162" s="65">
        <f t="shared" si="227"/>
        <v>4278.7685320795335</v>
      </c>
      <c r="T162" s="65">
        <f t="shared" si="227"/>
        <v>4237.8378592778736</v>
      </c>
      <c r="U162" s="65">
        <f t="shared" si="227"/>
        <v>4149.4448812732726</v>
      </c>
      <c r="V162" s="65">
        <f t="shared" si="227"/>
        <v>3963.2454986614403</v>
      </c>
      <c r="W162" s="65">
        <f t="shared" si="227"/>
        <v>4289.3960608777925</v>
      </c>
      <c r="X162" s="65">
        <f t="shared" ref="X162:Y162" si="228">IF(X108=0,0,X108/X$23)</f>
        <v>3780.8864815838615</v>
      </c>
      <c r="Y162" s="65">
        <f t="shared" si="228"/>
        <v>3215.6269543846001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309.24942514983343</v>
      </c>
      <c r="C163" s="65">
        <f t="shared" ref="C163:W163" si="230">IF(C109=0,0,C109/C$23)</f>
        <v>350.04050325454472</v>
      </c>
      <c r="D163" s="65">
        <f t="shared" si="230"/>
        <v>360.49400414014872</v>
      </c>
      <c r="E163" s="65">
        <f t="shared" si="230"/>
        <v>674.19206771910649</v>
      </c>
      <c r="F163" s="65">
        <f t="shared" si="230"/>
        <v>420.7322336631151</v>
      </c>
      <c r="G163" s="65">
        <f t="shared" si="230"/>
        <v>484.12205930290668</v>
      </c>
      <c r="H163" s="65">
        <f t="shared" si="230"/>
        <v>610.22861432054879</v>
      </c>
      <c r="I163" s="65">
        <f t="shared" si="230"/>
        <v>513.27167245768567</v>
      </c>
      <c r="J163" s="65">
        <f t="shared" si="230"/>
        <v>552.71072157634876</v>
      </c>
      <c r="K163" s="65">
        <f t="shared" si="230"/>
        <v>629.08686622774121</v>
      </c>
      <c r="L163" s="65">
        <f t="shared" si="230"/>
        <v>640.58770050925011</v>
      </c>
      <c r="M163" s="65">
        <f t="shared" si="230"/>
        <v>649.58679667582226</v>
      </c>
      <c r="N163" s="65">
        <f t="shared" si="230"/>
        <v>691.63202617201341</v>
      </c>
      <c r="O163" s="65">
        <f t="shared" si="230"/>
        <v>698.26794206031684</v>
      </c>
      <c r="P163" s="65">
        <f t="shared" si="230"/>
        <v>669.56205460932574</v>
      </c>
      <c r="Q163" s="65">
        <f t="shared" si="230"/>
        <v>859.5076984003789</v>
      </c>
      <c r="R163" s="65">
        <f t="shared" si="230"/>
        <v>764.09256611252408</v>
      </c>
      <c r="S163" s="65">
        <f t="shared" si="230"/>
        <v>842.97595715534896</v>
      </c>
      <c r="T163" s="65">
        <f t="shared" si="230"/>
        <v>848.51869966761262</v>
      </c>
      <c r="U163" s="65">
        <f t="shared" si="230"/>
        <v>873.12374332138586</v>
      </c>
      <c r="V163" s="65">
        <f t="shared" si="230"/>
        <v>899.86728402410802</v>
      </c>
      <c r="W163" s="65">
        <f t="shared" si="230"/>
        <v>743.41512248959577</v>
      </c>
      <c r="X163" s="65">
        <f t="shared" ref="X163:Y163" si="231">IF(X109=0,0,X109/X$23)</f>
        <v>1073.9762387979686</v>
      </c>
      <c r="Y163" s="65">
        <f t="shared" si="231"/>
        <v>957.77441224752727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708.24378324924533</v>
      </c>
      <c r="C164" s="65">
        <f t="shared" ref="C164:W164" si="233">IF(C110=0,0,C110/C$23)</f>
        <v>695.77472133709966</v>
      </c>
      <c r="D164" s="65">
        <f t="shared" si="233"/>
        <v>700.57674724048798</v>
      </c>
      <c r="E164" s="65">
        <f t="shared" si="233"/>
        <v>692.85880116180931</v>
      </c>
      <c r="F164" s="65">
        <f t="shared" si="233"/>
        <v>719.03586360239581</v>
      </c>
      <c r="G164" s="65">
        <f t="shared" si="233"/>
        <v>716.62641976539578</v>
      </c>
      <c r="H164" s="65">
        <f t="shared" si="233"/>
        <v>704.81549215531311</v>
      </c>
      <c r="I164" s="65">
        <f t="shared" si="233"/>
        <v>697.96337316561858</v>
      </c>
      <c r="J164" s="65">
        <f t="shared" si="233"/>
        <v>718.86335753407593</v>
      </c>
      <c r="K164" s="65">
        <f t="shared" si="233"/>
        <v>742.04167086686766</v>
      </c>
      <c r="L164" s="65">
        <f t="shared" si="233"/>
        <v>741.35410172712864</v>
      </c>
      <c r="M164" s="65">
        <f t="shared" si="233"/>
        <v>735.5955623939891</v>
      </c>
      <c r="N164" s="65">
        <f t="shared" si="233"/>
        <v>750.15675813453583</v>
      </c>
      <c r="O164" s="65">
        <f t="shared" si="233"/>
        <v>762.70183869501523</v>
      </c>
      <c r="P164" s="65">
        <f t="shared" si="233"/>
        <v>788.9973955510219</v>
      </c>
      <c r="Q164" s="65">
        <f t="shared" si="233"/>
        <v>783.20518406303665</v>
      </c>
      <c r="R164" s="65">
        <f t="shared" si="233"/>
        <v>769.73590999178339</v>
      </c>
      <c r="S164" s="65">
        <f t="shared" si="233"/>
        <v>774.95349220984303</v>
      </c>
      <c r="T164" s="65">
        <f t="shared" si="233"/>
        <v>786.22619694205332</v>
      </c>
      <c r="U164" s="65">
        <f t="shared" si="233"/>
        <v>766.50690110920925</v>
      </c>
      <c r="V164" s="65">
        <f t="shared" si="233"/>
        <v>729.20890195427285</v>
      </c>
      <c r="W164" s="65">
        <f t="shared" si="233"/>
        <v>754.48942298508939</v>
      </c>
      <c r="X164" s="65">
        <f t="shared" ref="X164:Y164" si="234">IF(X110=0,0,X110/X$23)</f>
        <v>764.29026469050029</v>
      </c>
      <c r="Y164" s="65">
        <f t="shared" si="234"/>
        <v>755.04201575410707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650.43002159531761</v>
      </c>
      <c r="C165" s="68">
        <f t="shared" ref="C165:W165" si="236">IF(C111=0,0,C111/C$23)</f>
        <v>652.40211575638682</v>
      </c>
      <c r="D165" s="68">
        <f t="shared" si="236"/>
        <v>658.35457321096874</v>
      </c>
      <c r="E165" s="68">
        <f t="shared" si="236"/>
        <v>655.49470729801499</v>
      </c>
      <c r="F165" s="68">
        <f t="shared" si="236"/>
        <v>673.13605369790025</v>
      </c>
      <c r="G165" s="68">
        <f t="shared" si="236"/>
        <v>679.45541713222281</v>
      </c>
      <c r="H165" s="68">
        <f t="shared" si="236"/>
        <v>677.86428733849289</v>
      </c>
      <c r="I165" s="68">
        <f t="shared" si="236"/>
        <v>686.71377145104429</v>
      </c>
      <c r="J165" s="68">
        <f t="shared" si="236"/>
        <v>701.62681133104854</v>
      </c>
      <c r="K165" s="68">
        <f t="shared" si="236"/>
        <v>734.18456971311468</v>
      </c>
      <c r="L165" s="68">
        <f t="shared" si="236"/>
        <v>748.2997861066616</v>
      </c>
      <c r="M165" s="68">
        <f t="shared" si="236"/>
        <v>710.8278498283504</v>
      </c>
      <c r="N165" s="68">
        <f t="shared" si="236"/>
        <v>764.79442696863157</v>
      </c>
      <c r="O165" s="68">
        <f t="shared" si="236"/>
        <v>771.15398570233549</v>
      </c>
      <c r="P165" s="68">
        <f t="shared" si="236"/>
        <v>774.02275271861049</v>
      </c>
      <c r="Q165" s="68">
        <f t="shared" si="236"/>
        <v>773.92698896126387</v>
      </c>
      <c r="R165" s="68">
        <f t="shared" si="236"/>
        <v>786.02708301215705</v>
      </c>
      <c r="S165" s="68">
        <f t="shared" si="236"/>
        <v>776.27298262280635</v>
      </c>
      <c r="T165" s="68">
        <f t="shared" si="236"/>
        <v>792.98358685829555</v>
      </c>
      <c r="U165" s="68">
        <f t="shared" si="236"/>
        <v>786.48930497351012</v>
      </c>
      <c r="V165" s="68">
        <f t="shared" si="236"/>
        <v>728.74479978103386</v>
      </c>
      <c r="W165" s="68">
        <f t="shared" si="236"/>
        <v>741.15484991451433</v>
      </c>
      <c r="X165" s="68">
        <f t="shared" ref="X165:Y165" si="237">IF(X111=0,0,X111/X$23)</f>
        <v>755.18221296691502</v>
      </c>
      <c r="Y165" s="68">
        <f t="shared" si="237"/>
        <v>766.16277977432571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1388.6166098120825</v>
      </c>
      <c r="C167" s="82">
        <f t="shared" ref="C167:W167" si="239">IF(C113=0,0,C113/C$23)</f>
        <v>1417.0347199687178</v>
      </c>
      <c r="D167" s="82">
        <f t="shared" si="239"/>
        <v>1257.7369092944507</v>
      </c>
      <c r="E167" s="82">
        <f t="shared" si="239"/>
        <v>1424.902142672579</v>
      </c>
      <c r="F167" s="82">
        <f t="shared" si="239"/>
        <v>1440.021060527175</v>
      </c>
      <c r="G167" s="82">
        <f t="shared" si="239"/>
        <v>1350.9942628974914</v>
      </c>
      <c r="H167" s="82">
        <f t="shared" si="239"/>
        <v>1205.4165694805463</v>
      </c>
      <c r="I167" s="82">
        <f t="shared" si="239"/>
        <v>1151.7573546817805</v>
      </c>
      <c r="J167" s="82">
        <f t="shared" si="239"/>
        <v>1186.9275192933626</v>
      </c>
      <c r="K167" s="82">
        <f t="shared" si="239"/>
        <v>1305.0524692079543</v>
      </c>
      <c r="L167" s="82">
        <f t="shared" si="239"/>
        <v>1330.7596300043049</v>
      </c>
      <c r="M167" s="82">
        <f t="shared" si="239"/>
        <v>1007.7670837236165</v>
      </c>
      <c r="N167" s="82">
        <f t="shared" si="239"/>
        <v>1087.049240090342</v>
      </c>
      <c r="O167" s="82">
        <f t="shared" si="239"/>
        <v>1135.8260773546663</v>
      </c>
      <c r="P167" s="82">
        <f t="shared" si="239"/>
        <v>1055.0803464382348</v>
      </c>
      <c r="Q167" s="82">
        <f t="shared" si="239"/>
        <v>1075.680980961368</v>
      </c>
      <c r="R167" s="82">
        <f t="shared" si="239"/>
        <v>968.75168450879755</v>
      </c>
      <c r="S167" s="82">
        <f t="shared" si="239"/>
        <v>1024.1281560144728</v>
      </c>
      <c r="T167" s="82">
        <f t="shared" si="239"/>
        <v>993.35579140038726</v>
      </c>
      <c r="U167" s="82">
        <f t="shared" si="239"/>
        <v>958.6052149853416</v>
      </c>
      <c r="V167" s="82">
        <f t="shared" si="239"/>
        <v>927.94531453707259</v>
      </c>
      <c r="W167" s="82">
        <f t="shared" si="239"/>
        <v>920.82142580012453</v>
      </c>
      <c r="X167" s="82">
        <f t="shared" ref="X167:Y167" si="240">IF(X113=0,0,X113/X$23)</f>
        <v>848.48665471324068</v>
      </c>
      <c r="Y167" s="82">
        <f t="shared" si="240"/>
        <v>727.39693976840351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1388.6166098120825</v>
      </c>
      <c r="C168" s="64">
        <f t="shared" ref="C168:W168" si="242">IF(C114=0,0,C114/C$23)</f>
        <v>1417.0347199687178</v>
      </c>
      <c r="D168" s="64">
        <f t="shared" si="242"/>
        <v>1257.7369092944507</v>
      </c>
      <c r="E168" s="64">
        <f t="shared" si="242"/>
        <v>1424.902142672579</v>
      </c>
      <c r="F168" s="64">
        <f t="shared" si="242"/>
        <v>1440.021060527175</v>
      </c>
      <c r="G168" s="64">
        <f t="shared" si="242"/>
        <v>1350.9942628974914</v>
      </c>
      <c r="H168" s="64">
        <f t="shared" si="242"/>
        <v>1205.4165694805463</v>
      </c>
      <c r="I168" s="64">
        <f t="shared" si="242"/>
        <v>1151.7573546817805</v>
      </c>
      <c r="J168" s="64">
        <f t="shared" si="242"/>
        <v>1186.9275192933626</v>
      </c>
      <c r="K168" s="64">
        <f t="shared" si="242"/>
        <v>1305.0524692079543</v>
      </c>
      <c r="L168" s="64">
        <f t="shared" si="242"/>
        <v>1330.7596300043049</v>
      </c>
      <c r="M168" s="64">
        <f t="shared" si="242"/>
        <v>1007.7670837236165</v>
      </c>
      <c r="N168" s="64">
        <f t="shared" si="242"/>
        <v>1087.049240090342</v>
      </c>
      <c r="O168" s="64">
        <f t="shared" si="242"/>
        <v>1135.8260773546663</v>
      </c>
      <c r="P168" s="64">
        <f t="shared" si="242"/>
        <v>1055.0803464382348</v>
      </c>
      <c r="Q168" s="64">
        <f t="shared" si="242"/>
        <v>1075.680980961368</v>
      </c>
      <c r="R168" s="64">
        <f t="shared" si="242"/>
        <v>968.75168450879755</v>
      </c>
      <c r="S168" s="64">
        <f t="shared" si="242"/>
        <v>1024.1281560144728</v>
      </c>
      <c r="T168" s="64">
        <f t="shared" si="242"/>
        <v>993.35579140038726</v>
      </c>
      <c r="U168" s="64">
        <f t="shared" si="242"/>
        <v>958.6052149853416</v>
      </c>
      <c r="V168" s="64">
        <f t="shared" si="242"/>
        <v>927.94531453707259</v>
      </c>
      <c r="W168" s="64">
        <f t="shared" si="242"/>
        <v>920.82142580012453</v>
      </c>
      <c r="X168" s="64">
        <f t="shared" ref="X168:Y168" si="243">IF(X114=0,0,X114/X$23)</f>
        <v>848.48665471324068</v>
      </c>
      <c r="Y168" s="64">
        <f t="shared" si="243"/>
        <v>727.39693976840351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1146.9431090364028</v>
      </c>
      <c r="C169" s="65">
        <f t="shared" ref="C169:W169" si="245">IF(C115=0,0,C115/C$23)</f>
        <v>1203.0105487726364</v>
      </c>
      <c r="D169" s="65">
        <f t="shared" si="245"/>
        <v>1011.0610172180709</v>
      </c>
      <c r="E169" s="65">
        <f t="shared" si="245"/>
        <v>1168.3020516830422</v>
      </c>
      <c r="F169" s="65">
        <f t="shared" si="245"/>
        <v>1177.3357176760985</v>
      </c>
      <c r="G169" s="65">
        <f t="shared" si="245"/>
        <v>1136.3961274434105</v>
      </c>
      <c r="H169" s="65">
        <f t="shared" si="245"/>
        <v>1009.0669902129653</v>
      </c>
      <c r="I169" s="65">
        <f t="shared" si="245"/>
        <v>956.63223454059357</v>
      </c>
      <c r="J169" s="65">
        <f t="shared" si="245"/>
        <v>987.78564091423209</v>
      </c>
      <c r="K169" s="65">
        <f t="shared" si="245"/>
        <v>1084.4342550804931</v>
      </c>
      <c r="L169" s="65">
        <f t="shared" si="245"/>
        <v>1116.3282570896476</v>
      </c>
      <c r="M169" s="65">
        <f t="shared" si="245"/>
        <v>817.74460499930603</v>
      </c>
      <c r="N169" s="65">
        <f t="shared" si="245"/>
        <v>899.31581388484858</v>
      </c>
      <c r="O169" s="65">
        <f t="shared" si="245"/>
        <v>947.25217946186115</v>
      </c>
      <c r="P169" s="65">
        <f t="shared" si="245"/>
        <v>854.02379895014747</v>
      </c>
      <c r="Q169" s="65">
        <f t="shared" si="245"/>
        <v>865.02411762994632</v>
      </c>
      <c r="R169" s="65">
        <f t="shared" si="245"/>
        <v>778.24916175238002</v>
      </c>
      <c r="S169" s="65">
        <f t="shared" si="245"/>
        <v>826.80856087873269</v>
      </c>
      <c r="T169" s="65">
        <f t="shared" si="245"/>
        <v>806.32008604373914</v>
      </c>
      <c r="U169" s="65">
        <f t="shared" si="245"/>
        <v>776.57638600117684</v>
      </c>
      <c r="V169" s="65">
        <f t="shared" si="245"/>
        <v>757.5661706977578</v>
      </c>
      <c r="W169" s="65">
        <f t="shared" si="245"/>
        <v>746.12672495185973</v>
      </c>
      <c r="X169" s="65">
        <f t="shared" ref="X169:Y169" si="246">IF(X115=0,0,X115/X$23)</f>
        <v>682.45966008646189</v>
      </c>
      <c r="Y169" s="65">
        <f t="shared" si="246"/>
        <v>574.57481892544979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0.15773409332524227</v>
      </c>
      <c r="C170" s="65">
        <f t="shared" ref="C170:W170" si="248">IF(C116=0,0,C116/C$23)</f>
        <v>0.19770648926146905</v>
      </c>
      <c r="D170" s="65">
        <f t="shared" si="248"/>
        <v>0.21562985791747996</v>
      </c>
      <c r="E170" s="65">
        <f t="shared" si="248"/>
        <v>0.57362098264423833</v>
      </c>
      <c r="F170" s="65">
        <f t="shared" si="248"/>
        <v>0.31859280898410541</v>
      </c>
      <c r="G170" s="65">
        <f t="shared" si="248"/>
        <v>0.34312657899464455</v>
      </c>
      <c r="H170" s="65">
        <f t="shared" si="248"/>
        <v>0.60520898772574849</v>
      </c>
      <c r="I170" s="65">
        <f t="shared" si="248"/>
        <v>0.542419900670012</v>
      </c>
      <c r="J170" s="65">
        <f t="shared" si="248"/>
        <v>0.67058061301753669</v>
      </c>
      <c r="K170" s="65">
        <f t="shared" si="248"/>
        <v>0.78274567895659397</v>
      </c>
      <c r="L170" s="65">
        <f t="shared" si="248"/>
        <v>0.88770384483778086</v>
      </c>
      <c r="M170" s="65">
        <f t="shared" si="248"/>
        <v>1.1745883011902583</v>
      </c>
      <c r="N170" s="65">
        <f t="shared" si="248"/>
        <v>1.76378245496476</v>
      </c>
      <c r="O170" s="65">
        <f t="shared" si="248"/>
        <v>2.1430517216695972</v>
      </c>
      <c r="P170" s="65">
        <f t="shared" si="248"/>
        <v>2.1713268048849343</v>
      </c>
      <c r="Q170" s="65">
        <f t="shared" si="248"/>
        <v>3.4326292358206132</v>
      </c>
      <c r="R170" s="65">
        <f t="shared" si="248"/>
        <v>3.2583147638694445</v>
      </c>
      <c r="S170" s="65">
        <f t="shared" si="248"/>
        <v>4.0129248822474217</v>
      </c>
      <c r="T170" s="65">
        <f t="shared" si="248"/>
        <v>4.2997741952403068</v>
      </c>
      <c r="U170" s="65">
        <f t="shared" si="248"/>
        <v>4.6946371801031308</v>
      </c>
      <c r="V170" s="65">
        <f t="shared" si="248"/>
        <v>4.7750424434954901</v>
      </c>
      <c r="W170" s="65">
        <f t="shared" si="248"/>
        <v>3.8092269375115517</v>
      </c>
      <c r="X170" s="65">
        <f t="shared" ref="X170:Y170" si="249">IF(X116=0,0,X116/X$23)</f>
        <v>5.7815283491928886</v>
      </c>
      <c r="Y170" s="65">
        <f t="shared" si="249"/>
        <v>5.3960008862537583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120.25207729046154</v>
      </c>
      <c r="C171" s="65">
        <f t="shared" ref="C171:W171" si="251">IF(C117=0,0,C117/C$23)</f>
        <v>118.82101185525345</v>
      </c>
      <c r="D171" s="65">
        <f t="shared" si="251"/>
        <v>117.60457398519951</v>
      </c>
      <c r="E171" s="65">
        <f t="shared" si="251"/>
        <v>118.30482163601827</v>
      </c>
      <c r="F171" s="65">
        <f t="shared" si="251"/>
        <v>117.81733898075792</v>
      </c>
      <c r="G171" s="65">
        <f t="shared" si="251"/>
        <v>111.46876781461789</v>
      </c>
      <c r="H171" s="65">
        <f t="shared" si="251"/>
        <v>105.40496969227736</v>
      </c>
      <c r="I171" s="65">
        <f t="shared" si="251"/>
        <v>101.23291550059265</v>
      </c>
      <c r="J171" s="65">
        <f t="shared" si="251"/>
        <v>100.80628195988298</v>
      </c>
      <c r="K171" s="65">
        <f t="shared" si="251"/>
        <v>105.02787270497456</v>
      </c>
      <c r="L171" s="65">
        <f t="shared" si="251"/>
        <v>98.761500108587768</v>
      </c>
      <c r="M171" s="65">
        <f t="shared" si="251"/>
        <v>94.473593307336415</v>
      </c>
      <c r="N171" s="65">
        <f t="shared" si="251"/>
        <v>89.506215332719222</v>
      </c>
      <c r="O171" s="65">
        <f t="shared" si="251"/>
        <v>92.603723686013652</v>
      </c>
      <c r="P171" s="65">
        <f t="shared" si="251"/>
        <v>102.05759684699963</v>
      </c>
      <c r="Q171" s="65">
        <f t="shared" si="251"/>
        <v>100.74218302766954</v>
      </c>
      <c r="R171" s="65">
        <f t="shared" si="251"/>
        <v>87.145702059241302</v>
      </c>
      <c r="S171" s="65">
        <f t="shared" si="251"/>
        <v>89.566106418627669</v>
      </c>
      <c r="T171" s="65">
        <f t="shared" si="251"/>
        <v>80.230861165608587</v>
      </c>
      <c r="U171" s="65">
        <f t="shared" si="251"/>
        <v>75.286682094774719</v>
      </c>
      <c r="V171" s="65">
        <f t="shared" si="251"/>
        <v>75.268429042897722</v>
      </c>
      <c r="W171" s="65">
        <f t="shared" si="251"/>
        <v>70.124510180094859</v>
      </c>
      <c r="X171" s="65">
        <f t="shared" ref="X171:Y171" si="252">IF(X117=0,0,X117/X$23)</f>
        <v>74.432296127304653</v>
      </c>
      <c r="Y171" s="65">
        <f t="shared" si="252"/>
        <v>66.933170269335804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121.26368939189264</v>
      </c>
      <c r="C172" s="67">
        <f t="shared" ref="C172:W172" si="254">IF(C118=0,0,C118/C$23)</f>
        <v>95.005452851566687</v>
      </c>
      <c r="D172" s="67">
        <f t="shared" si="254"/>
        <v>128.85568823326281</v>
      </c>
      <c r="E172" s="67">
        <f t="shared" si="254"/>
        <v>137.72164837087436</v>
      </c>
      <c r="F172" s="67">
        <f t="shared" si="254"/>
        <v>144.54941106133441</v>
      </c>
      <c r="G172" s="67">
        <f t="shared" si="254"/>
        <v>102.78624106046823</v>
      </c>
      <c r="H172" s="67">
        <f t="shared" si="254"/>
        <v>90.339400587577785</v>
      </c>
      <c r="I172" s="67">
        <f t="shared" si="254"/>
        <v>93.349784739924331</v>
      </c>
      <c r="J172" s="67">
        <f t="shared" si="254"/>
        <v>97.665015806230272</v>
      </c>
      <c r="K172" s="67">
        <f t="shared" si="254"/>
        <v>114.80759574353019</v>
      </c>
      <c r="L172" s="67">
        <f t="shared" si="254"/>
        <v>114.7821689612317</v>
      </c>
      <c r="M172" s="67">
        <f t="shared" si="254"/>
        <v>94.374297115783691</v>
      </c>
      <c r="N172" s="67">
        <f t="shared" si="254"/>
        <v>96.463428417809567</v>
      </c>
      <c r="O172" s="67">
        <f t="shared" si="254"/>
        <v>93.827122485122004</v>
      </c>
      <c r="P172" s="67">
        <f t="shared" si="254"/>
        <v>96.827623836202733</v>
      </c>
      <c r="Q172" s="67">
        <f t="shared" si="254"/>
        <v>106.48205106793129</v>
      </c>
      <c r="R172" s="67">
        <f t="shared" si="254"/>
        <v>100.09850593330673</v>
      </c>
      <c r="S172" s="67">
        <f t="shared" si="254"/>
        <v>103.74056383486514</v>
      </c>
      <c r="T172" s="67">
        <f t="shared" si="254"/>
        <v>102.50506999579889</v>
      </c>
      <c r="U172" s="67">
        <f t="shared" si="254"/>
        <v>102.04750970928701</v>
      </c>
      <c r="V172" s="67">
        <f t="shared" si="254"/>
        <v>90.335672352921549</v>
      </c>
      <c r="W172" s="67">
        <f t="shared" si="254"/>
        <v>100.76096373065845</v>
      </c>
      <c r="X172" s="67">
        <f t="shared" ref="X172:Y172" si="255">IF(X118=0,0,X118/X$23)</f>
        <v>85.81317015028138</v>
      </c>
      <c r="Y172" s="67">
        <f t="shared" si="255"/>
        <v>80.49294968736406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925351.95993153588</v>
      </c>
      <c r="C3" s="124">
        <f t="shared" si="0"/>
        <v>939066.81149664428</v>
      </c>
      <c r="D3" s="124">
        <f t="shared" si="0"/>
        <v>952781.66306175233</v>
      </c>
      <c r="E3" s="124">
        <f t="shared" si="0"/>
        <v>966496.5146268605</v>
      </c>
      <c r="F3" s="124">
        <f t="shared" si="0"/>
        <v>980211.36619196867</v>
      </c>
      <c r="G3" s="124">
        <f t="shared" si="0"/>
        <v>993926.21775707719</v>
      </c>
      <c r="H3" s="124">
        <f t="shared" si="0"/>
        <v>1008805.9791008371</v>
      </c>
      <c r="I3" s="124">
        <f t="shared" si="0"/>
        <v>1027149.6970638623</v>
      </c>
      <c r="J3" s="124">
        <f t="shared" si="0"/>
        <v>1042029.4584076214</v>
      </c>
      <c r="K3" s="124">
        <f t="shared" si="0"/>
        <v>1048826.6543064301</v>
      </c>
      <c r="L3" s="124">
        <f t="shared" si="0"/>
        <v>1061344.7262700249</v>
      </c>
      <c r="M3" s="124">
        <f t="shared" si="0"/>
        <v>1075335.8551794882</v>
      </c>
      <c r="N3" s="124">
        <f t="shared" si="0"/>
        <v>1083469.1159611589</v>
      </c>
      <c r="O3" s="124">
        <f t="shared" si="0"/>
        <v>1090261.8874074514</v>
      </c>
      <c r="P3" s="124">
        <f t="shared" si="0"/>
        <v>1103701.9323237424</v>
      </c>
      <c r="Q3" s="124">
        <f t="shared" si="0"/>
        <v>1103338.0183800855</v>
      </c>
      <c r="R3" s="124">
        <f t="shared" si="0"/>
        <v>1112800.6657927511</v>
      </c>
      <c r="S3" s="124">
        <f t="shared" si="0"/>
        <v>1123112.547312486</v>
      </c>
      <c r="T3" s="124">
        <f t="shared" si="0"/>
        <v>1135141.2849703007</v>
      </c>
      <c r="U3" s="124">
        <f t="shared" si="0"/>
        <v>1146959.0039980642</v>
      </c>
      <c r="V3" s="124">
        <f t="shared" si="0"/>
        <v>1157991.8466666662</v>
      </c>
      <c r="W3" s="124">
        <f t="shared" si="0"/>
        <v>1168596.7193178218</v>
      </c>
      <c r="X3" s="124">
        <f t="shared" si="0"/>
        <v>1178926.0575755241</v>
      </c>
      <c r="Y3" s="124">
        <f t="shared" si="0"/>
        <v>1189136.095641861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925351.95993153588</v>
      </c>
      <c r="C4" s="139">
        <f t="shared" si="1"/>
        <v>939066.81149664428</v>
      </c>
      <c r="D4" s="139">
        <f t="shared" si="1"/>
        <v>952781.66306175233</v>
      </c>
      <c r="E4" s="139">
        <f t="shared" si="1"/>
        <v>966496.5146268605</v>
      </c>
      <c r="F4" s="139">
        <f t="shared" si="1"/>
        <v>980211.36619196867</v>
      </c>
      <c r="G4" s="139">
        <f t="shared" si="1"/>
        <v>993926.21775707719</v>
      </c>
      <c r="H4" s="139">
        <f t="shared" si="1"/>
        <v>1008805.9791008371</v>
      </c>
      <c r="I4" s="139">
        <f t="shared" si="1"/>
        <v>1027149.6970638623</v>
      </c>
      <c r="J4" s="139">
        <f t="shared" si="1"/>
        <v>1042029.4584076214</v>
      </c>
      <c r="K4" s="139">
        <f t="shared" si="1"/>
        <v>1048826.6543064301</v>
      </c>
      <c r="L4" s="139">
        <f t="shared" si="1"/>
        <v>1061344.7262700249</v>
      </c>
      <c r="M4" s="139">
        <f t="shared" si="1"/>
        <v>1075335.8551794882</v>
      </c>
      <c r="N4" s="139">
        <f t="shared" si="1"/>
        <v>1083469.1159611589</v>
      </c>
      <c r="O4" s="139">
        <f t="shared" si="1"/>
        <v>1090261.8874074514</v>
      </c>
      <c r="P4" s="139">
        <f t="shared" si="1"/>
        <v>1103701.9323237424</v>
      </c>
      <c r="Q4" s="139">
        <f t="shared" si="1"/>
        <v>1103338.0183800855</v>
      </c>
      <c r="R4" s="139">
        <f t="shared" ref="R4:W4" si="2">SUM(R5:R14)</f>
        <v>1112800.6657927511</v>
      </c>
      <c r="S4" s="139">
        <f t="shared" si="2"/>
        <v>1123112.547312486</v>
      </c>
      <c r="T4" s="139">
        <f t="shared" si="2"/>
        <v>1135141.2849703007</v>
      </c>
      <c r="U4" s="139">
        <f t="shared" si="2"/>
        <v>1146959.0039980642</v>
      </c>
      <c r="V4" s="139">
        <f t="shared" si="2"/>
        <v>1157991.8466666662</v>
      </c>
      <c r="W4" s="139">
        <f t="shared" si="2"/>
        <v>1168596.7193178218</v>
      </c>
      <c r="X4" s="139">
        <f t="shared" ref="X4:Y4" si="3">SUM(X5:X14)</f>
        <v>1178926.0575755241</v>
      </c>
      <c r="Y4" s="139">
        <f t="shared" si="3"/>
        <v>1189136.095641861</v>
      </c>
      <c r="DA4" s="169" t="s">
        <v>246</v>
      </c>
    </row>
    <row r="5" spans="1:105" ht="12" customHeight="1" x14ac:dyDescent="0.25">
      <c r="A5" s="131" t="s">
        <v>29</v>
      </c>
      <c r="B5" s="140">
        <v>17842.044853115884</v>
      </c>
      <c r="C5" s="140">
        <v>16132.11838821331</v>
      </c>
      <c r="D5" s="140">
        <v>14084.898802437549</v>
      </c>
      <c r="E5" s="140">
        <v>13288.271135751202</v>
      </c>
      <c r="F5" s="140">
        <v>13135.281974432488</v>
      </c>
      <c r="G5" s="140">
        <v>13851.61874766417</v>
      </c>
      <c r="H5" s="140">
        <v>14453.678155908134</v>
      </c>
      <c r="I5" s="140">
        <v>14481.804287401163</v>
      </c>
      <c r="J5" s="140">
        <v>13681.063522720364</v>
      </c>
      <c r="K5" s="140">
        <v>11714.765280314265</v>
      </c>
      <c r="L5" s="140">
        <v>9720.08155116122</v>
      </c>
      <c r="M5" s="140">
        <v>6535.8804188584854</v>
      </c>
      <c r="N5" s="140">
        <v>5085.2025928985349</v>
      </c>
      <c r="O5" s="140">
        <v>4307.5425876332856</v>
      </c>
      <c r="P5" s="140">
        <v>4109.0305691535932</v>
      </c>
      <c r="Q5" s="140">
        <v>3962.2240331972034</v>
      </c>
      <c r="R5" s="140">
        <v>3836.4618117707219</v>
      </c>
      <c r="S5" s="140">
        <v>3620.7729173202601</v>
      </c>
      <c r="T5" s="140">
        <v>3384.2280685605579</v>
      </c>
      <c r="U5" s="140">
        <v>3275.515172134395</v>
      </c>
      <c r="V5" s="140">
        <v>3284.8037954045421</v>
      </c>
      <c r="W5" s="140">
        <v>3471.1032885894588</v>
      </c>
      <c r="X5" s="140">
        <v>3679.9118796549751</v>
      </c>
      <c r="Y5" s="140">
        <v>3790.4538506838308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259794.6512947093</v>
      </c>
      <c r="C7" s="140">
        <v>256995.9432888905</v>
      </c>
      <c r="D7" s="140">
        <v>242292.67449340271</v>
      </c>
      <c r="E7" s="140">
        <v>230438.95082570429</v>
      </c>
      <c r="F7" s="140">
        <v>220241.48909264043</v>
      </c>
      <c r="G7" s="140">
        <v>212812.31921107814</v>
      </c>
      <c r="H7" s="140">
        <v>212229.82371767369</v>
      </c>
      <c r="I7" s="140">
        <v>212294.62840902762</v>
      </c>
      <c r="J7" s="140">
        <v>213493.88666629419</v>
      </c>
      <c r="K7" s="140">
        <v>209397.18647566973</v>
      </c>
      <c r="L7" s="140">
        <v>195215.23401028843</v>
      </c>
      <c r="M7" s="140">
        <v>185928.26161635047</v>
      </c>
      <c r="N7" s="140">
        <v>180989.86932586212</v>
      </c>
      <c r="O7" s="140">
        <v>185108.8662033623</v>
      </c>
      <c r="P7" s="140">
        <v>192113.17208998653</v>
      </c>
      <c r="Q7" s="140">
        <v>187015.32760599346</v>
      </c>
      <c r="R7" s="140">
        <v>172233.46283864975</v>
      </c>
      <c r="S7" s="140">
        <v>167108.26088424743</v>
      </c>
      <c r="T7" s="140">
        <v>164837.61551219135</v>
      </c>
      <c r="U7" s="140">
        <v>166894.89903413705</v>
      </c>
      <c r="V7" s="140">
        <v>174669.22514476403</v>
      </c>
      <c r="W7" s="140">
        <v>174318.40976795295</v>
      </c>
      <c r="X7" s="140">
        <v>186146.16052722113</v>
      </c>
      <c r="Y7" s="140">
        <v>195179.92838684007</v>
      </c>
      <c r="DA7" s="170" t="s">
        <v>249</v>
      </c>
    </row>
    <row r="8" spans="1:105" ht="12" customHeight="1" x14ac:dyDescent="0.25">
      <c r="A8" s="131" t="s">
        <v>73</v>
      </c>
      <c r="B8" s="140">
        <v>36.800080560916697</v>
      </c>
      <c r="C8" s="140">
        <v>62.808245997928658</v>
      </c>
      <c r="D8" s="140">
        <v>140.23680837356582</v>
      </c>
      <c r="E8" s="140">
        <v>275.07710009135258</v>
      </c>
      <c r="F8" s="140">
        <v>488.09114425761436</v>
      </c>
      <c r="G8" s="140">
        <v>830.52561956249451</v>
      </c>
      <c r="H8" s="140">
        <v>1189.7205556591216</v>
      </c>
      <c r="I8" s="140">
        <v>1512.6749815921091</v>
      </c>
      <c r="J8" s="140">
        <v>1710.7998496657638</v>
      </c>
      <c r="K8" s="140">
        <v>2050.9843338163446</v>
      </c>
      <c r="L8" s="140">
        <v>2773.5385527751987</v>
      </c>
      <c r="M8" s="140">
        <v>4392.2760098111285</v>
      </c>
      <c r="N8" s="140">
        <v>5923.0050656346948</v>
      </c>
      <c r="O8" s="140">
        <v>7854.5767193049751</v>
      </c>
      <c r="P8" s="140">
        <v>9770.0808998088196</v>
      </c>
      <c r="Q8" s="140">
        <v>11648.131519193683</v>
      </c>
      <c r="R8" s="140">
        <v>13151.339452400358</v>
      </c>
      <c r="S8" s="140">
        <v>14076.299064726203</v>
      </c>
      <c r="T8" s="140">
        <v>14703.173390970336</v>
      </c>
      <c r="U8" s="140">
        <v>15110.91622254211</v>
      </c>
      <c r="V8" s="140">
        <v>14372.928865440092</v>
      </c>
      <c r="W8" s="140">
        <v>13120.375845026263</v>
      </c>
      <c r="X8" s="140">
        <v>9805.135611868729</v>
      </c>
      <c r="Y8" s="140">
        <v>8317.8434918151706</v>
      </c>
      <c r="DA8" s="170" t="s">
        <v>250</v>
      </c>
    </row>
    <row r="9" spans="1:105" ht="12" customHeight="1" x14ac:dyDescent="0.25">
      <c r="A9" s="131" t="s">
        <v>78</v>
      </c>
      <c r="B9" s="140">
        <v>226636.0515841468</v>
      </c>
      <c r="C9" s="140">
        <v>220902.17572807759</v>
      </c>
      <c r="D9" s="140">
        <v>233912.52631010252</v>
      </c>
      <c r="E9" s="140">
        <v>258902.58945336865</v>
      </c>
      <c r="F9" s="140">
        <v>276970.54209635145</v>
      </c>
      <c r="G9" s="140">
        <v>296751.67543778132</v>
      </c>
      <c r="H9" s="140">
        <v>302786.83968036651</v>
      </c>
      <c r="I9" s="140">
        <v>320809.59484730911</v>
      </c>
      <c r="J9" s="140">
        <v>335592.5285525361</v>
      </c>
      <c r="K9" s="140">
        <v>350689.82666426024</v>
      </c>
      <c r="L9" s="140">
        <v>367947.84320179478</v>
      </c>
      <c r="M9" s="140">
        <v>380085.75342704798</v>
      </c>
      <c r="N9" s="140">
        <v>392251.05112001952</v>
      </c>
      <c r="O9" s="140">
        <v>398145.17313272</v>
      </c>
      <c r="P9" s="140">
        <v>406606.48514022195</v>
      </c>
      <c r="Q9" s="140">
        <v>407518.72757223836</v>
      </c>
      <c r="R9" s="140">
        <v>425069.01238569018</v>
      </c>
      <c r="S9" s="140">
        <v>444868.9689764303</v>
      </c>
      <c r="T9" s="140">
        <v>466174.28042291256</v>
      </c>
      <c r="U9" s="140">
        <v>480949.38579322363</v>
      </c>
      <c r="V9" s="140">
        <v>486207.54841536318</v>
      </c>
      <c r="W9" s="140">
        <v>499263.60523549898</v>
      </c>
      <c r="X9" s="140">
        <v>496101.27383028064</v>
      </c>
      <c r="Y9" s="140">
        <v>494450.83272874035</v>
      </c>
      <c r="DA9" s="170" t="s">
        <v>251</v>
      </c>
    </row>
    <row r="10" spans="1:105" ht="12" customHeight="1" x14ac:dyDescent="0.25">
      <c r="A10" s="131" t="s">
        <v>128</v>
      </c>
      <c r="B10" s="140">
        <v>17650.997571117707</v>
      </c>
      <c r="C10" s="140">
        <v>20276.513724196062</v>
      </c>
      <c r="D10" s="140">
        <v>24163.108305318987</v>
      </c>
      <c r="E10" s="140">
        <v>25402.450715335301</v>
      </c>
      <c r="F10" s="140">
        <v>23970.164277999906</v>
      </c>
      <c r="G10" s="140">
        <v>19545.560588046526</v>
      </c>
      <c r="H10" s="140">
        <v>18786.86552862898</v>
      </c>
      <c r="I10" s="140">
        <v>20641.775987281777</v>
      </c>
      <c r="J10" s="140">
        <v>23609.70949476531</v>
      </c>
      <c r="K10" s="140">
        <v>24472.926016397498</v>
      </c>
      <c r="L10" s="140">
        <v>23660.926841313802</v>
      </c>
      <c r="M10" s="140">
        <v>22525.710832802954</v>
      </c>
      <c r="N10" s="140">
        <v>23592.550182915867</v>
      </c>
      <c r="O10" s="140">
        <v>26356.828358638897</v>
      </c>
      <c r="P10" s="140">
        <v>27827.144211931947</v>
      </c>
      <c r="Q10" s="140">
        <v>27932.104593733377</v>
      </c>
      <c r="R10" s="140">
        <v>28354.940134487293</v>
      </c>
      <c r="S10" s="140">
        <v>28235.452499644154</v>
      </c>
      <c r="T10" s="140">
        <v>28117.475657255687</v>
      </c>
      <c r="U10" s="140">
        <v>29012.814824329202</v>
      </c>
      <c r="V10" s="140">
        <v>32042.293468955755</v>
      </c>
      <c r="W10" s="140">
        <v>36626.906127119881</v>
      </c>
      <c r="X10" s="140">
        <v>43443.452883125021</v>
      </c>
      <c r="Y10" s="140">
        <v>47409.734451713695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2013.4909681449874</v>
      </c>
      <c r="E11" s="140">
        <v>2283.800178021349</v>
      </c>
      <c r="F11" s="140">
        <v>2307.1780925084427</v>
      </c>
      <c r="G11" s="140">
        <v>2231.7224289703663</v>
      </c>
      <c r="H11" s="140">
        <v>1759.3373154925962</v>
      </c>
      <c r="I11" s="140">
        <v>1547.6366467341547</v>
      </c>
      <c r="J11" s="140">
        <v>1543.9879893813479</v>
      </c>
      <c r="K11" s="140">
        <v>1554.7384709255632</v>
      </c>
      <c r="L11" s="140">
        <v>1617.5487726957201</v>
      </c>
      <c r="M11" s="140">
        <v>1842.3455127993018</v>
      </c>
      <c r="N11" s="140">
        <v>1898.6018082237629</v>
      </c>
      <c r="O11" s="140">
        <v>1918.2814807257669</v>
      </c>
      <c r="P11" s="140">
        <v>1930.3434813037672</v>
      </c>
      <c r="Q11" s="140">
        <v>1924.5805717519027</v>
      </c>
      <c r="R11" s="140">
        <v>1942.2724183960561</v>
      </c>
      <c r="S11" s="140">
        <v>1941.8490129749791</v>
      </c>
      <c r="T11" s="140">
        <v>1982.2955778364103</v>
      </c>
      <c r="U11" s="140">
        <v>2013.5606376848609</v>
      </c>
      <c r="V11" s="140">
        <v>2062.1870941546576</v>
      </c>
      <c r="W11" s="140">
        <v>2197.4928042332594</v>
      </c>
      <c r="X11" s="140">
        <v>2312.0310846278589</v>
      </c>
      <c r="Y11" s="140">
        <v>2427.8956773622217</v>
      </c>
      <c r="DA11" s="170" t="s">
        <v>253</v>
      </c>
    </row>
    <row r="12" spans="1:105" ht="12" customHeight="1" x14ac:dyDescent="0.25">
      <c r="A12" s="131" t="s">
        <v>162</v>
      </c>
      <c r="B12" s="140">
        <v>114922.17707306329</v>
      </c>
      <c r="C12" s="140">
        <v>126625.67586379214</v>
      </c>
      <c r="D12" s="140">
        <v>131917.11457975628</v>
      </c>
      <c r="E12" s="140">
        <v>130801.6059512085</v>
      </c>
      <c r="F12" s="140">
        <v>129983.14352165841</v>
      </c>
      <c r="G12" s="140">
        <v>124737.31568767512</v>
      </c>
      <c r="H12" s="140">
        <v>114417.07352671225</v>
      </c>
      <c r="I12" s="140">
        <v>90020.954435503678</v>
      </c>
      <c r="J12" s="140">
        <v>77334.206821891305</v>
      </c>
      <c r="K12" s="140">
        <v>66968.613692300278</v>
      </c>
      <c r="L12" s="140">
        <v>65869.502373953685</v>
      </c>
      <c r="M12" s="140">
        <v>65522.889997655613</v>
      </c>
      <c r="N12" s="140">
        <v>64867.004364835469</v>
      </c>
      <c r="O12" s="140">
        <v>65860.966053090044</v>
      </c>
      <c r="P12" s="140">
        <v>69374.582827296705</v>
      </c>
      <c r="Q12" s="140">
        <v>73716.980072426333</v>
      </c>
      <c r="R12" s="140">
        <v>78678.226452897987</v>
      </c>
      <c r="S12" s="140">
        <v>80915.86878094291</v>
      </c>
      <c r="T12" s="140">
        <v>82784.503684447132</v>
      </c>
      <c r="U12" s="140">
        <v>85563.821856920316</v>
      </c>
      <c r="V12" s="140">
        <v>90131.39651797738</v>
      </c>
      <c r="W12" s="140">
        <v>94996.093898606894</v>
      </c>
      <c r="X12" s="140">
        <v>99731.206435355212</v>
      </c>
      <c r="Y12" s="140">
        <v>104933.23920831918</v>
      </c>
      <c r="DA12" s="170" t="s">
        <v>254</v>
      </c>
    </row>
    <row r="13" spans="1:105" ht="12" customHeight="1" x14ac:dyDescent="0.25">
      <c r="A13" s="131" t="s">
        <v>77</v>
      </c>
      <c r="B13" s="140">
        <v>8982.8772518888363</v>
      </c>
      <c r="C13" s="140">
        <v>10007.060916529288</v>
      </c>
      <c r="D13" s="140">
        <v>11822.292835093565</v>
      </c>
      <c r="E13" s="140">
        <v>13368.68012787549</v>
      </c>
      <c r="F13" s="140">
        <v>15459.145766107857</v>
      </c>
      <c r="G13" s="140">
        <v>18357.59583430858</v>
      </c>
      <c r="H13" s="140">
        <v>21946.551939583591</v>
      </c>
      <c r="I13" s="140">
        <v>25466.17520080107</v>
      </c>
      <c r="J13" s="140">
        <v>28683.134932973633</v>
      </c>
      <c r="K13" s="140">
        <v>33450.16152879256</v>
      </c>
      <c r="L13" s="140">
        <v>40995.271928200964</v>
      </c>
      <c r="M13" s="140">
        <v>54762.993658691928</v>
      </c>
      <c r="N13" s="140">
        <v>63166.340774780096</v>
      </c>
      <c r="O13" s="140">
        <v>68234.720323037443</v>
      </c>
      <c r="P13" s="140">
        <v>69680.206597872733</v>
      </c>
      <c r="Q13" s="140">
        <v>71123.887082465924</v>
      </c>
      <c r="R13" s="140">
        <v>72921.478517524258</v>
      </c>
      <c r="S13" s="140">
        <v>73087.277748226799</v>
      </c>
      <c r="T13" s="140">
        <v>73607.641753289179</v>
      </c>
      <c r="U13" s="140">
        <v>74433.303188530946</v>
      </c>
      <c r="V13" s="140">
        <v>71320.70342838658</v>
      </c>
      <c r="W13" s="140">
        <v>67292.589412542366</v>
      </c>
      <c r="X13" s="140">
        <v>58782.741778069678</v>
      </c>
      <c r="Y13" s="140">
        <v>51623.035378680579</v>
      </c>
      <c r="DA13" s="170" t="s">
        <v>255</v>
      </c>
    </row>
    <row r="14" spans="1:105" ht="12" customHeight="1" x14ac:dyDescent="0.25">
      <c r="A14" s="60" t="s">
        <v>76</v>
      </c>
      <c r="B14" s="141">
        <v>279486.36022293317</v>
      </c>
      <c r="C14" s="141">
        <v>288064.51534094737</v>
      </c>
      <c r="D14" s="141">
        <v>292435.31995912222</v>
      </c>
      <c r="E14" s="141">
        <v>291735.08913950436</v>
      </c>
      <c r="F14" s="141">
        <v>297656.33022601216</v>
      </c>
      <c r="G14" s="141">
        <v>304807.88420199044</v>
      </c>
      <c r="H14" s="141">
        <v>321236.08868081222</v>
      </c>
      <c r="I14" s="141">
        <v>340374.45226821146</v>
      </c>
      <c r="J14" s="141">
        <v>346380.14057739335</v>
      </c>
      <c r="K14" s="141">
        <v>348527.45184395363</v>
      </c>
      <c r="L14" s="141">
        <v>353544.77903784119</v>
      </c>
      <c r="M14" s="141">
        <v>353739.74370547046</v>
      </c>
      <c r="N14" s="141">
        <v>345695.4907259887</v>
      </c>
      <c r="O14" s="141">
        <v>332474.93254893878</v>
      </c>
      <c r="P14" s="141">
        <v>322290.88650616637</v>
      </c>
      <c r="Q14" s="141">
        <v>318496.05532908509</v>
      </c>
      <c r="R14" s="141">
        <v>316613.47178093443</v>
      </c>
      <c r="S14" s="141">
        <v>309257.79742797307</v>
      </c>
      <c r="T14" s="141">
        <v>299550.07090283732</v>
      </c>
      <c r="U14" s="141">
        <v>289704.78726856149</v>
      </c>
      <c r="V14" s="141">
        <v>283900.75993622013</v>
      </c>
      <c r="W14" s="141">
        <v>277310.14293825184</v>
      </c>
      <c r="X14" s="141">
        <v>278924.14354532084</v>
      </c>
      <c r="Y14" s="141">
        <v>281003.1324677057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636882.72245671391</v>
      </c>
      <c r="C15" s="143">
        <f t="shared" si="4"/>
        <v>640995.23523916758</v>
      </c>
      <c r="D15" s="143">
        <f t="shared" si="4"/>
        <v>648524.05026753654</v>
      </c>
      <c r="E15" s="143">
        <f t="shared" si="4"/>
        <v>661392.74535948061</v>
      </c>
      <c r="F15" s="143">
        <f t="shared" si="4"/>
        <v>667095.89019984868</v>
      </c>
      <c r="G15" s="143">
        <f t="shared" si="4"/>
        <v>670760.73772077821</v>
      </c>
      <c r="H15" s="143">
        <f t="shared" si="4"/>
        <v>665623.33848044125</v>
      </c>
      <c r="I15" s="143">
        <f t="shared" si="4"/>
        <v>661309.06959484972</v>
      </c>
      <c r="J15" s="143">
        <f t="shared" si="4"/>
        <v>666966.18289725436</v>
      </c>
      <c r="K15" s="143">
        <f t="shared" si="4"/>
        <v>666849.04093368398</v>
      </c>
      <c r="L15" s="143">
        <f t="shared" si="4"/>
        <v>666804.6753039828</v>
      </c>
      <c r="M15" s="143">
        <f t="shared" si="4"/>
        <v>666833.11781532597</v>
      </c>
      <c r="N15" s="143">
        <f t="shared" si="4"/>
        <v>674607.28446038999</v>
      </c>
      <c r="O15" s="143">
        <f t="shared" si="4"/>
        <v>689552.23453547526</v>
      </c>
      <c r="P15" s="143">
        <f t="shared" si="4"/>
        <v>711730.83921970334</v>
      </c>
      <c r="Q15" s="143">
        <f t="shared" si="4"/>
        <v>713718.07596853434</v>
      </c>
      <c r="R15" s="143">
        <f t="shared" ref="R15:W15" si="5">SUM(R5:R12)</f>
        <v>723265.71549429244</v>
      </c>
      <c r="S15" s="143">
        <f t="shared" si="5"/>
        <v>740767.4721362862</v>
      </c>
      <c r="T15" s="143">
        <f t="shared" si="5"/>
        <v>761983.57231417415</v>
      </c>
      <c r="U15" s="143">
        <f t="shared" si="5"/>
        <v>782820.9135409717</v>
      </c>
      <c r="V15" s="143">
        <f t="shared" si="5"/>
        <v>802770.38330205961</v>
      </c>
      <c r="W15" s="143">
        <f t="shared" si="5"/>
        <v>823993.98696702765</v>
      </c>
      <c r="X15" s="143">
        <f t="shared" ref="X15:Y15" si="6">SUM(X5:X12)</f>
        <v>841219.17225213361</v>
      </c>
      <c r="Y15" s="143">
        <f t="shared" si="6"/>
        <v>856509.92779547465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261698.02497532399</v>
      </c>
      <c r="C16" s="139">
        <f t="shared" si="7"/>
        <v>286334.76722614357</v>
      </c>
      <c r="D16" s="139">
        <f t="shared" si="7"/>
        <v>310761.14024230884</v>
      </c>
      <c r="E16" s="139">
        <f t="shared" si="7"/>
        <v>333906.21906713105</v>
      </c>
      <c r="F16" s="139">
        <f t="shared" si="7"/>
        <v>355291.9956132439</v>
      </c>
      <c r="G16" s="139">
        <f t="shared" si="7"/>
        <v>379091.75670761126</v>
      </c>
      <c r="H16" s="139">
        <f t="shared" si="7"/>
        <v>423280.93929450877</v>
      </c>
      <c r="I16" s="139">
        <f t="shared" si="7"/>
        <v>463147.88558060775</v>
      </c>
      <c r="J16" s="139">
        <f t="shared" si="7"/>
        <v>494557.16734391893</v>
      </c>
      <c r="K16" s="139">
        <f t="shared" si="7"/>
        <v>523616.80365892494</v>
      </c>
      <c r="L16" s="139">
        <f t="shared" si="7"/>
        <v>545544.45274411433</v>
      </c>
      <c r="M16" s="139">
        <f t="shared" si="7"/>
        <v>568265.49267138785</v>
      </c>
      <c r="N16" s="139">
        <f t="shared" si="7"/>
        <v>579040.52967992472</v>
      </c>
      <c r="O16" s="139">
        <f t="shared" si="7"/>
        <v>589784.62809683173</v>
      </c>
      <c r="P16" s="139">
        <f t="shared" si="7"/>
        <v>606451.18120806734</v>
      </c>
      <c r="Q16" s="139">
        <f t="shared" si="7"/>
        <v>626777.95251439535</v>
      </c>
      <c r="R16" s="139">
        <f t="shared" ref="R16:W16" si="8">SUM(R17:R18)</f>
        <v>636310.10579322488</v>
      </c>
      <c r="S16" s="139">
        <f t="shared" si="8"/>
        <v>654528.06381790608</v>
      </c>
      <c r="T16" s="139">
        <f t="shared" si="8"/>
        <v>669938.877855425</v>
      </c>
      <c r="U16" s="139">
        <f t="shared" si="8"/>
        <v>683113.64294656913</v>
      </c>
      <c r="V16" s="139">
        <f t="shared" si="8"/>
        <v>695709.61419665872</v>
      </c>
      <c r="W16" s="139">
        <f t="shared" si="8"/>
        <v>699152.69096914271</v>
      </c>
      <c r="X16" s="139">
        <f t="shared" ref="X16:Y16" si="9">SUM(X17:X18)</f>
        <v>712904.63848874113</v>
      </c>
      <c r="Y16" s="139">
        <f t="shared" si="9"/>
        <v>733855.68840259721</v>
      </c>
      <c r="DA16" s="169" t="s">
        <v>257</v>
      </c>
    </row>
    <row r="17" spans="1:105" ht="12.95" customHeight="1" x14ac:dyDescent="0.25">
      <c r="A17" s="131" t="s">
        <v>73</v>
      </c>
      <c r="B17" s="140">
        <v>730.77624781698125</v>
      </c>
      <c r="C17" s="140">
        <v>904.41883375011878</v>
      </c>
      <c r="D17" s="140">
        <v>1061.0408118007947</v>
      </c>
      <c r="E17" s="140">
        <v>1456.3087817186001</v>
      </c>
      <c r="F17" s="140">
        <v>1585.4184055352794</v>
      </c>
      <c r="G17" s="140">
        <v>1795.0787901167521</v>
      </c>
      <c r="H17" s="140">
        <v>2558.7752112626504</v>
      </c>
      <c r="I17" s="140">
        <v>3025.049972762165</v>
      </c>
      <c r="J17" s="140">
        <v>3770.1966491530884</v>
      </c>
      <c r="K17" s="140">
        <v>4117.8376524356736</v>
      </c>
      <c r="L17" s="140">
        <v>4835.8730747842492</v>
      </c>
      <c r="M17" s="140">
        <v>6705.2719220248055</v>
      </c>
      <c r="N17" s="140">
        <v>9854.2792634743601</v>
      </c>
      <c r="O17" s="140">
        <v>12260.030271521959</v>
      </c>
      <c r="P17" s="140">
        <v>14520.094663845397</v>
      </c>
      <c r="Q17" s="140">
        <v>17475.231010292435</v>
      </c>
      <c r="R17" s="140">
        <v>19189.897265523639</v>
      </c>
      <c r="S17" s="140">
        <v>22464.330566177261</v>
      </c>
      <c r="T17" s="140">
        <v>24843.3756908537</v>
      </c>
      <c r="U17" s="140">
        <v>27346.968553063147</v>
      </c>
      <c r="V17" s="140">
        <v>29196.390381745154</v>
      </c>
      <c r="W17" s="140">
        <v>30231.098770064877</v>
      </c>
      <c r="X17" s="140">
        <v>32328.968892982994</v>
      </c>
      <c r="Y17" s="140">
        <v>33648.545417740672</v>
      </c>
      <c r="DA17" s="170" t="s">
        <v>258</v>
      </c>
    </row>
    <row r="18" spans="1:105" ht="12" customHeight="1" x14ac:dyDescent="0.25">
      <c r="A18" s="131" t="s">
        <v>72</v>
      </c>
      <c r="B18" s="140">
        <v>260967.24872750702</v>
      </c>
      <c r="C18" s="140">
        <v>285430.34839239344</v>
      </c>
      <c r="D18" s="140">
        <v>309700.09943050804</v>
      </c>
      <c r="E18" s="140">
        <v>332449.91028541245</v>
      </c>
      <c r="F18" s="140">
        <v>353706.57720770861</v>
      </c>
      <c r="G18" s="140">
        <v>377296.6779174945</v>
      </c>
      <c r="H18" s="140">
        <v>420722.16408324614</v>
      </c>
      <c r="I18" s="140">
        <v>460122.83560784557</v>
      </c>
      <c r="J18" s="140">
        <v>490786.97069476586</v>
      </c>
      <c r="K18" s="140">
        <v>519498.96600648924</v>
      </c>
      <c r="L18" s="140">
        <v>540708.57966933004</v>
      </c>
      <c r="M18" s="140">
        <v>561560.22074936307</v>
      </c>
      <c r="N18" s="140">
        <v>569186.25041645032</v>
      </c>
      <c r="O18" s="140">
        <v>577524.59782530973</v>
      </c>
      <c r="P18" s="140">
        <v>591931.08654422197</v>
      </c>
      <c r="Q18" s="140">
        <v>609302.72150410293</v>
      </c>
      <c r="R18" s="140">
        <v>617120.20852770121</v>
      </c>
      <c r="S18" s="140">
        <v>632063.73325172882</v>
      </c>
      <c r="T18" s="140">
        <v>645095.50216457131</v>
      </c>
      <c r="U18" s="140">
        <v>655766.67439350602</v>
      </c>
      <c r="V18" s="140">
        <v>666513.22381491354</v>
      </c>
      <c r="W18" s="140">
        <v>668921.59219907783</v>
      </c>
      <c r="X18" s="140">
        <v>680575.66959575808</v>
      </c>
      <c r="Y18" s="140">
        <v>700207.1429848565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925351.95993153588</v>
      </c>
      <c r="C19" s="139">
        <f t="shared" si="10"/>
        <v>939066.81149664416</v>
      </c>
      <c r="D19" s="139">
        <f t="shared" si="10"/>
        <v>952781.66306175233</v>
      </c>
      <c r="E19" s="139">
        <f t="shared" si="10"/>
        <v>966496.51462686062</v>
      </c>
      <c r="F19" s="139">
        <f t="shared" si="10"/>
        <v>980211.36619196925</v>
      </c>
      <c r="G19" s="139">
        <f t="shared" si="10"/>
        <v>993926.21775707719</v>
      </c>
      <c r="H19" s="139">
        <f t="shared" si="10"/>
        <v>1008805.9791008375</v>
      </c>
      <c r="I19" s="139">
        <f t="shared" si="10"/>
        <v>1027149.6970638619</v>
      </c>
      <c r="J19" s="139">
        <f t="shared" si="10"/>
        <v>1042029.4584076214</v>
      </c>
      <c r="K19" s="139">
        <f t="shared" si="10"/>
        <v>1048826.6543064301</v>
      </c>
      <c r="L19" s="139">
        <f t="shared" si="10"/>
        <v>1061344.7262700256</v>
      </c>
      <c r="M19" s="139">
        <f t="shared" si="10"/>
        <v>1075335.8551794882</v>
      </c>
      <c r="N19" s="139">
        <f t="shared" si="10"/>
        <v>1083469.1159611589</v>
      </c>
      <c r="O19" s="139">
        <f t="shared" si="10"/>
        <v>1090261.8874074507</v>
      </c>
      <c r="P19" s="139">
        <f t="shared" si="10"/>
        <v>1103701.9323237429</v>
      </c>
      <c r="Q19" s="139">
        <f t="shared" si="10"/>
        <v>1103338.0183800859</v>
      </c>
      <c r="R19" s="139">
        <f t="shared" ref="R19:W19" si="11">SUM(R20:R26)</f>
        <v>1112800.6657927509</v>
      </c>
      <c r="S19" s="139">
        <f t="shared" si="11"/>
        <v>1123112.5473124867</v>
      </c>
      <c r="T19" s="139">
        <f t="shared" si="11"/>
        <v>1135141.2849703005</v>
      </c>
      <c r="U19" s="139">
        <f t="shared" si="11"/>
        <v>1146959.0039980647</v>
      </c>
      <c r="V19" s="139">
        <f t="shared" si="11"/>
        <v>1157991.8466666667</v>
      </c>
      <c r="W19" s="139">
        <f t="shared" si="11"/>
        <v>1168596.7193178223</v>
      </c>
      <c r="X19" s="139">
        <f t="shared" ref="X19:Y19" si="12">SUM(X20:X26)</f>
        <v>1178926.0575755234</v>
      </c>
      <c r="Y19" s="139">
        <f t="shared" si="12"/>
        <v>1189136.0956418612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23696.139964658047</v>
      </c>
      <c r="C21" s="140">
        <v>25074.003592367237</v>
      </c>
      <c r="D21" s="140">
        <v>27291.229233185466</v>
      </c>
      <c r="E21" s="140">
        <v>28870.334305601693</v>
      </c>
      <c r="F21" s="140">
        <v>29600.111454495458</v>
      </c>
      <c r="G21" s="140">
        <v>30043.483898723691</v>
      </c>
      <c r="H21" s="140">
        <v>30913.01986235247</v>
      </c>
      <c r="I21" s="140">
        <v>31694.887457864897</v>
      </c>
      <c r="J21" s="140">
        <v>31896.276718371901</v>
      </c>
      <c r="K21" s="140">
        <v>30574.814349054726</v>
      </c>
      <c r="L21" s="140">
        <v>28575.014298662496</v>
      </c>
      <c r="M21" s="140">
        <v>25507.089563425136</v>
      </c>
      <c r="N21" s="140">
        <v>26064.785906128473</v>
      </c>
      <c r="O21" s="140">
        <v>25503.953683896954</v>
      </c>
      <c r="P21" s="140">
        <v>24942.45779256168</v>
      </c>
      <c r="Q21" s="140">
        <v>24177.963455814643</v>
      </c>
      <c r="R21" s="140">
        <v>23088.801694740068</v>
      </c>
      <c r="S21" s="140">
        <v>21501.806849302098</v>
      </c>
      <c r="T21" s="140">
        <v>18780.518186862573</v>
      </c>
      <c r="U21" s="140">
        <v>16280.480935362253</v>
      </c>
      <c r="V21" s="140">
        <v>14159.80801661909</v>
      </c>
      <c r="W21" s="140">
        <v>11459.151671894933</v>
      </c>
      <c r="X21" s="140">
        <v>10560.053132390338</v>
      </c>
      <c r="Y21" s="140">
        <v>10414.810496801472</v>
      </c>
      <c r="DA21" s="170" t="s">
        <v>262</v>
      </c>
    </row>
    <row r="22" spans="1:105" ht="12" customHeight="1" x14ac:dyDescent="0.25">
      <c r="A22" s="131" t="s">
        <v>161</v>
      </c>
      <c r="B22" s="140">
        <v>164894.46289061266</v>
      </c>
      <c r="C22" s="140">
        <v>166802.6259185877</v>
      </c>
      <c r="D22" s="140">
        <v>167932.23305346508</v>
      </c>
      <c r="E22" s="140">
        <v>169201.32041299553</v>
      </c>
      <c r="F22" s="140">
        <v>168370.09904102099</v>
      </c>
      <c r="G22" s="140">
        <v>166760.16404106724</v>
      </c>
      <c r="H22" s="140">
        <v>163460.20717780976</v>
      </c>
      <c r="I22" s="140">
        <v>159592.6215424478</v>
      </c>
      <c r="J22" s="140">
        <v>156162.63531657957</v>
      </c>
      <c r="K22" s="140">
        <v>151626.44463038002</v>
      </c>
      <c r="L22" s="140">
        <v>147446.14522010947</v>
      </c>
      <c r="M22" s="140">
        <v>145120.29372153251</v>
      </c>
      <c r="N22" s="140">
        <v>150515.69057402809</v>
      </c>
      <c r="O22" s="140">
        <v>158682.02585928093</v>
      </c>
      <c r="P22" s="140">
        <v>167000.77987133642</v>
      </c>
      <c r="Q22" s="140">
        <v>166434.49904371685</v>
      </c>
      <c r="R22" s="140">
        <v>152807.54261598943</v>
      </c>
      <c r="S22" s="140">
        <v>147188.73983064809</v>
      </c>
      <c r="T22" s="140">
        <v>139107.46238817714</v>
      </c>
      <c r="U22" s="140">
        <v>135539.07062209048</v>
      </c>
      <c r="V22" s="140">
        <v>136662.33177533335</v>
      </c>
      <c r="W22" s="140">
        <v>128872.4531098251</v>
      </c>
      <c r="X22" s="140">
        <v>129187.21004058901</v>
      </c>
      <c r="Y22" s="140">
        <v>128988.08281403384</v>
      </c>
      <c r="DA22" s="170" t="s">
        <v>263</v>
      </c>
    </row>
    <row r="23" spans="1:105" ht="12" customHeight="1" x14ac:dyDescent="0.25">
      <c r="A23" s="131" t="s">
        <v>149</v>
      </c>
      <c r="B23" s="140">
        <v>169620.19943426442</v>
      </c>
      <c r="C23" s="140">
        <v>170771.31707787569</v>
      </c>
      <c r="D23" s="140">
        <v>173194.76487853506</v>
      </c>
      <c r="E23" s="140">
        <v>174597.20639110071</v>
      </c>
      <c r="F23" s="140">
        <v>171438.36068009722</v>
      </c>
      <c r="G23" s="140">
        <v>166709.59822254669</v>
      </c>
      <c r="H23" s="140">
        <v>162841.87470870194</v>
      </c>
      <c r="I23" s="140">
        <v>163411.32011037439</v>
      </c>
      <c r="J23" s="140">
        <v>164973.56516643715</v>
      </c>
      <c r="K23" s="140">
        <v>172436.97033459082</v>
      </c>
      <c r="L23" s="140">
        <v>173702.57450930114</v>
      </c>
      <c r="M23" s="140">
        <v>176438.44393959158</v>
      </c>
      <c r="N23" s="140">
        <v>176377.56125183034</v>
      </c>
      <c r="O23" s="140">
        <v>177128.54271483788</v>
      </c>
      <c r="P23" s="140">
        <v>174632.41501924876</v>
      </c>
      <c r="Q23" s="140">
        <v>175551.44571095228</v>
      </c>
      <c r="R23" s="140">
        <v>183172.40171788415</v>
      </c>
      <c r="S23" s="140">
        <v>184547.98208436256</v>
      </c>
      <c r="T23" s="140">
        <v>185964.40993444834</v>
      </c>
      <c r="U23" s="140">
        <v>190861.10505764792</v>
      </c>
      <c r="V23" s="140">
        <v>197323.17624778696</v>
      </c>
      <c r="W23" s="140">
        <v>200180.5490352402</v>
      </c>
      <c r="X23" s="140">
        <v>211360.36242818245</v>
      </c>
      <c r="Y23" s="140">
        <v>214486.45662554167</v>
      </c>
      <c r="DA23" s="170" t="s">
        <v>264</v>
      </c>
    </row>
    <row r="24" spans="1:105" ht="12" customHeight="1" x14ac:dyDescent="0.25">
      <c r="A24" s="131" t="s">
        <v>128</v>
      </c>
      <c r="B24" s="140">
        <v>7460.8861230044831</v>
      </c>
      <c r="C24" s="140">
        <v>7497.9201914523283</v>
      </c>
      <c r="D24" s="140">
        <v>7789.6421639228738</v>
      </c>
      <c r="E24" s="140">
        <v>8155.4682211708687</v>
      </c>
      <c r="F24" s="140">
        <v>8573.1687793490019</v>
      </c>
      <c r="G24" s="140">
        <v>9154.3986439779455</v>
      </c>
      <c r="H24" s="140">
        <v>9837.2144270349945</v>
      </c>
      <c r="I24" s="140">
        <v>10863.76724928558</v>
      </c>
      <c r="J24" s="140">
        <v>11560.608145682134</v>
      </c>
      <c r="K24" s="140">
        <v>11830.668852466275</v>
      </c>
      <c r="L24" s="140">
        <v>11466.538153482354</v>
      </c>
      <c r="M24" s="140">
        <v>10127.719065001058</v>
      </c>
      <c r="N24" s="140">
        <v>9720.5687872604194</v>
      </c>
      <c r="O24" s="140">
        <v>9730.8221773630557</v>
      </c>
      <c r="P24" s="140">
        <v>9080.4658672453825</v>
      </c>
      <c r="Q24" s="140">
        <v>8391.9834534930433</v>
      </c>
      <c r="R24" s="140">
        <v>8253.0611189078227</v>
      </c>
      <c r="S24" s="140">
        <v>8529.3659751088853</v>
      </c>
      <c r="T24" s="140">
        <v>9150.1031049482408</v>
      </c>
      <c r="U24" s="140">
        <v>10192.989357513341</v>
      </c>
      <c r="V24" s="140">
        <v>11736.433711495527</v>
      </c>
      <c r="W24" s="140">
        <v>13373.231662817885</v>
      </c>
      <c r="X24" s="140">
        <v>15179.492935257162</v>
      </c>
      <c r="Y24" s="140">
        <v>16057.242540694799</v>
      </c>
      <c r="DA24" s="170" t="s">
        <v>265</v>
      </c>
    </row>
    <row r="25" spans="1:105" ht="12" customHeight="1" x14ac:dyDescent="0.25">
      <c r="A25" s="131" t="s">
        <v>162</v>
      </c>
      <c r="B25" s="140">
        <v>69925.966871975179</v>
      </c>
      <c r="C25" s="140">
        <v>71171.412380336202</v>
      </c>
      <c r="D25" s="140">
        <v>72424.481361759434</v>
      </c>
      <c r="E25" s="140">
        <v>74097.339713434601</v>
      </c>
      <c r="F25" s="140">
        <v>74889.086911326929</v>
      </c>
      <c r="G25" s="140">
        <v>71847.680796887871</v>
      </c>
      <c r="H25" s="140">
        <v>65073.659681542282</v>
      </c>
      <c r="I25" s="140">
        <v>51657.692262854973</v>
      </c>
      <c r="J25" s="140">
        <v>46383.457588394042</v>
      </c>
      <c r="K25" s="140">
        <v>44675.101389655792</v>
      </c>
      <c r="L25" s="140">
        <v>45322.811637545543</v>
      </c>
      <c r="M25" s="140">
        <v>46926.563767371183</v>
      </c>
      <c r="N25" s="140">
        <v>50099.220445999526</v>
      </c>
      <c r="O25" s="140">
        <v>51738.465560999655</v>
      </c>
      <c r="P25" s="140">
        <v>51457.840625794168</v>
      </c>
      <c r="Q25" s="140">
        <v>52419.743774576847</v>
      </c>
      <c r="R25" s="140">
        <v>55308.822262421862</v>
      </c>
      <c r="S25" s="140">
        <v>57831.608095493015</v>
      </c>
      <c r="T25" s="140">
        <v>61548.304145034715</v>
      </c>
      <c r="U25" s="140">
        <v>61741.65558498419</v>
      </c>
      <c r="V25" s="140">
        <v>60580.989541060495</v>
      </c>
      <c r="W25" s="140">
        <v>58062.423611196587</v>
      </c>
      <c r="X25" s="140">
        <v>48368.057536327309</v>
      </c>
      <c r="Y25" s="140">
        <v>44842.540181305289</v>
      </c>
      <c r="DA25" s="170" t="s">
        <v>266</v>
      </c>
    </row>
    <row r="26" spans="1:105" ht="12" customHeight="1" x14ac:dyDescent="0.25">
      <c r="A26" s="131" t="s">
        <v>24</v>
      </c>
      <c r="B26" s="141">
        <v>489754.30464702111</v>
      </c>
      <c r="C26" s="141">
        <v>497749.53233602503</v>
      </c>
      <c r="D26" s="141">
        <v>504149.31237088441</v>
      </c>
      <c r="E26" s="141">
        <v>511574.84558255714</v>
      </c>
      <c r="F26" s="141">
        <v>527340.53932567965</v>
      </c>
      <c r="G26" s="141">
        <v>549410.89215387381</v>
      </c>
      <c r="H26" s="141">
        <v>576680.00324339606</v>
      </c>
      <c r="I26" s="141">
        <v>609929.40844103415</v>
      </c>
      <c r="J26" s="141">
        <v>631052.91547215648</v>
      </c>
      <c r="K26" s="141">
        <v>637682.65475028253</v>
      </c>
      <c r="L26" s="141">
        <v>654831.64245092461</v>
      </c>
      <c r="M26" s="141">
        <v>671215.7451225667</v>
      </c>
      <c r="N26" s="141">
        <v>670691.28899591207</v>
      </c>
      <c r="O26" s="141">
        <v>667478.07741107233</v>
      </c>
      <c r="P26" s="141">
        <v>676587.97314755642</v>
      </c>
      <c r="Q26" s="141">
        <v>676362.38294153241</v>
      </c>
      <c r="R26" s="141">
        <v>690170.03638280754</v>
      </c>
      <c r="S26" s="141">
        <v>703513.04447757208</v>
      </c>
      <c r="T26" s="141">
        <v>720590.48721082951</v>
      </c>
      <c r="U26" s="141">
        <v>732343.7024404665</v>
      </c>
      <c r="V26" s="141">
        <v>737529.10737437126</v>
      </c>
      <c r="W26" s="141">
        <v>756648.91022684763</v>
      </c>
      <c r="X26" s="141">
        <v>764270.88150277711</v>
      </c>
      <c r="Y26" s="141">
        <v>774346.96298348426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1738.3417518615556</v>
      </c>
      <c r="H27" s="150">
        <v>1789.6538382033712</v>
      </c>
      <c r="I27" s="150">
        <v>2160.7775665928561</v>
      </c>
      <c r="J27" s="150">
        <v>2491.6763442180595</v>
      </c>
      <c r="K27" s="150">
        <v>2771.4613966453794</v>
      </c>
      <c r="L27" s="150">
        <v>4634.2566230382099</v>
      </c>
      <c r="M27" s="150">
        <v>5220.0793742072919</v>
      </c>
      <c r="N27" s="150">
        <v>8912.9638970349333</v>
      </c>
      <c r="O27" s="150">
        <v>10257.36106857648</v>
      </c>
      <c r="P27" s="150">
        <v>9776.7666378104332</v>
      </c>
      <c r="Q27" s="150">
        <v>10796.630444311635</v>
      </c>
      <c r="R27" s="150">
        <v>11266.027594104937</v>
      </c>
      <c r="S27" s="150">
        <v>11879.871559382</v>
      </c>
      <c r="T27" s="150">
        <v>11993.371368888033</v>
      </c>
      <c r="U27" s="150">
        <v>12384.083823664629</v>
      </c>
      <c r="V27" s="150">
        <v>13436.680060617169</v>
      </c>
      <c r="W27" s="150">
        <v>12770.487951872356</v>
      </c>
      <c r="X27" s="150">
        <v>10341.513218615351</v>
      </c>
      <c r="Y27" s="150">
        <v>10268.930371993969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925351.95993153588</v>
      </c>
      <c r="C29" s="139">
        <f t="shared" si="13"/>
        <v>939066.81149664428</v>
      </c>
      <c r="D29" s="139">
        <f t="shared" si="13"/>
        <v>952781.66306175245</v>
      </c>
      <c r="E29" s="139">
        <f t="shared" si="13"/>
        <v>966496.51462686085</v>
      </c>
      <c r="F29" s="139">
        <f t="shared" si="13"/>
        <v>980211.36619196902</v>
      </c>
      <c r="G29" s="139">
        <f t="shared" si="13"/>
        <v>993926.21775707696</v>
      </c>
      <c r="H29" s="139">
        <f t="shared" si="13"/>
        <v>1008805.9791008373</v>
      </c>
      <c r="I29" s="139">
        <f t="shared" si="13"/>
        <v>1027149.6970638616</v>
      </c>
      <c r="J29" s="139">
        <f t="shared" si="13"/>
        <v>1042029.4584076216</v>
      </c>
      <c r="K29" s="139">
        <f t="shared" si="13"/>
        <v>1048826.6543064297</v>
      </c>
      <c r="L29" s="139">
        <f t="shared" si="13"/>
        <v>1061344.7262700249</v>
      </c>
      <c r="M29" s="139">
        <f t="shared" si="13"/>
        <v>1075335.8551794882</v>
      </c>
      <c r="N29" s="139">
        <f t="shared" si="13"/>
        <v>1083469.1159611584</v>
      </c>
      <c r="O29" s="139">
        <f t="shared" si="13"/>
        <v>1090261.8874074521</v>
      </c>
      <c r="P29" s="139">
        <f t="shared" si="13"/>
        <v>1103701.932323742</v>
      </c>
      <c r="Q29" s="139">
        <f t="shared" si="13"/>
        <v>1103338.0183800859</v>
      </c>
      <c r="R29" s="139">
        <f t="shared" ref="R29:W29" si="14">SUM(R30:R33)</f>
        <v>1112800.6657927511</v>
      </c>
      <c r="S29" s="139">
        <f t="shared" si="14"/>
        <v>1123112.5473124869</v>
      </c>
      <c r="T29" s="139">
        <f t="shared" si="14"/>
        <v>1135141.2849703007</v>
      </c>
      <c r="U29" s="139">
        <f t="shared" si="14"/>
        <v>1146959.0039980644</v>
      </c>
      <c r="V29" s="139">
        <f t="shared" si="14"/>
        <v>1157991.8466666671</v>
      </c>
      <c r="W29" s="139">
        <f t="shared" si="14"/>
        <v>1168596.7193178223</v>
      </c>
      <c r="X29" s="139">
        <f t="shared" ref="X29:Y29" si="15">SUM(X30:X33)</f>
        <v>1178926.0575755239</v>
      </c>
      <c r="Y29" s="139">
        <f t="shared" si="15"/>
        <v>1189136.0956418607</v>
      </c>
      <c r="DA29" s="169" t="s">
        <v>269</v>
      </c>
    </row>
    <row r="30" spans="1:105" ht="12" customHeight="1" x14ac:dyDescent="0.25">
      <c r="A30" s="131" t="s">
        <v>52</v>
      </c>
      <c r="B30" s="140">
        <v>102497.83933956192</v>
      </c>
      <c r="C30" s="140">
        <v>108447.28684578347</v>
      </c>
      <c r="D30" s="140">
        <v>161847.63067320723</v>
      </c>
      <c r="E30" s="140">
        <v>193447.51690354251</v>
      </c>
      <c r="F30" s="140">
        <v>200558.58026839429</v>
      </c>
      <c r="G30" s="140">
        <v>194432.16471246391</v>
      </c>
      <c r="H30" s="140">
        <v>179091.17895761813</v>
      </c>
      <c r="I30" s="140">
        <v>177128.4496124193</v>
      </c>
      <c r="J30" s="140">
        <v>185152.05388893851</v>
      </c>
      <c r="K30" s="140">
        <v>182183.75238512244</v>
      </c>
      <c r="L30" s="140">
        <v>174794.33653561125</v>
      </c>
      <c r="M30" s="140">
        <v>148613.01753405319</v>
      </c>
      <c r="N30" s="140">
        <v>135935.75844685003</v>
      </c>
      <c r="O30" s="140">
        <v>120558.47352014853</v>
      </c>
      <c r="P30" s="140">
        <v>115384.28866038096</v>
      </c>
      <c r="Q30" s="140">
        <v>117412.98580376062</v>
      </c>
      <c r="R30" s="140">
        <v>117589.33643559761</v>
      </c>
      <c r="S30" s="140">
        <v>121284.12724486623</v>
      </c>
      <c r="T30" s="140">
        <v>119021.52038810475</v>
      </c>
      <c r="U30" s="140">
        <v>113854.02532134012</v>
      </c>
      <c r="V30" s="140">
        <v>100573.69778754446</v>
      </c>
      <c r="W30" s="140">
        <v>82822.238803615066</v>
      </c>
      <c r="X30" s="140">
        <v>77521.391484988562</v>
      </c>
      <c r="Y30" s="140">
        <v>76589.831821940563</v>
      </c>
      <c r="DA30" s="170" t="s">
        <v>270</v>
      </c>
    </row>
    <row r="31" spans="1:105" ht="12" customHeight="1" x14ac:dyDescent="0.25">
      <c r="A31" s="131" t="s">
        <v>149</v>
      </c>
      <c r="B31" s="140">
        <v>344508.15796995629</v>
      </c>
      <c r="C31" s="140">
        <v>342751.32019250555</v>
      </c>
      <c r="D31" s="140">
        <v>342738.81504952518</v>
      </c>
      <c r="E31" s="140">
        <v>331282.9214476957</v>
      </c>
      <c r="F31" s="140">
        <v>304687.6798962797</v>
      </c>
      <c r="G31" s="140">
        <v>253989.61939794902</v>
      </c>
      <c r="H31" s="140">
        <v>224898.97104002754</v>
      </c>
      <c r="I31" s="140">
        <v>215620.20565843285</v>
      </c>
      <c r="J31" s="140">
        <v>222752.05145017547</v>
      </c>
      <c r="K31" s="140">
        <v>247225.97095050989</v>
      </c>
      <c r="L31" s="140">
        <v>254021.47058662324</v>
      </c>
      <c r="M31" s="140">
        <v>260998.21913909222</v>
      </c>
      <c r="N31" s="140">
        <v>256074.77448478216</v>
      </c>
      <c r="O31" s="140">
        <v>267531.51838150289</v>
      </c>
      <c r="P31" s="140">
        <v>281895.90597426333</v>
      </c>
      <c r="Q31" s="140">
        <v>295341.34113562806</v>
      </c>
      <c r="R31" s="140">
        <v>298190.18666091899</v>
      </c>
      <c r="S31" s="140">
        <v>302447.73169400712</v>
      </c>
      <c r="T31" s="140">
        <v>305106.94693217246</v>
      </c>
      <c r="U31" s="140">
        <v>318915.94973537856</v>
      </c>
      <c r="V31" s="140">
        <v>333795.16720025981</v>
      </c>
      <c r="W31" s="140">
        <v>326628.25855518586</v>
      </c>
      <c r="X31" s="140">
        <v>321092.69659165287</v>
      </c>
      <c r="Y31" s="140">
        <v>313237.55528343382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478345.9626220176</v>
      </c>
      <c r="C33" s="152">
        <v>487868.20445835526</v>
      </c>
      <c r="D33" s="152">
        <v>448195.21733901999</v>
      </c>
      <c r="E33" s="152">
        <v>441766.07627562265</v>
      </c>
      <c r="F33" s="152">
        <v>474965.106027295</v>
      </c>
      <c r="G33" s="152">
        <v>545504.43364666402</v>
      </c>
      <c r="H33" s="152">
        <v>604815.82910319162</v>
      </c>
      <c r="I33" s="152">
        <v>634401.0417930095</v>
      </c>
      <c r="J33" s="152">
        <v>634125.35306850763</v>
      </c>
      <c r="K33" s="152">
        <v>619416.93097079732</v>
      </c>
      <c r="L33" s="152">
        <v>632528.91914779041</v>
      </c>
      <c r="M33" s="152">
        <v>665724.61850634275</v>
      </c>
      <c r="N33" s="152">
        <v>691458.58302952617</v>
      </c>
      <c r="O33" s="152">
        <v>702171.89550580061</v>
      </c>
      <c r="P33" s="152">
        <v>706421.73768909764</v>
      </c>
      <c r="Q33" s="152">
        <v>690583.69144069741</v>
      </c>
      <c r="R33" s="152">
        <v>697021.1426962344</v>
      </c>
      <c r="S33" s="152">
        <v>699380.68837361352</v>
      </c>
      <c r="T33" s="152">
        <v>711012.81765002338</v>
      </c>
      <c r="U33" s="152">
        <v>714189.02894134587</v>
      </c>
      <c r="V33" s="152">
        <v>723622.98167886282</v>
      </c>
      <c r="W33" s="152">
        <v>759146.22195902129</v>
      </c>
      <c r="X33" s="152">
        <v>780311.9694988823</v>
      </c>
      <c r="Y33" s="152">
        <v>799308.70853648637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16549.941011738123</v>
      </c>
      <c r="C3" s="125">
        <f t="shared" si="0"/>
        <v>17456.650267329671</v>
      </c>
      <c r="D3" s="125">
        <f t="shared" si="0"/>
        <v>16362.103081682357</v>
      </c>
      <c r="E3" s="125">
        <f t="shared" si="0"/>
        <v>18050.222473810743</v>
      </c>
      <c r="F3" s="125">
        <f t="shared" si="0"/>
        <v>18388.79315919659</v>
      </c>
      <c r="G3" s="125">
        <f t="shared" si="0"/>
        <v>18151.977533699086</v>
      </c>
      <c r="H3" s="125">
        <f t="shared" si="0"/>
        <v>17216.618936663861</v>
      </c>
      <c r="I3" s="125">
        <f t="shared" si="0"/>
        <v>16517.87835904392</v>
      </c>
      <c r="J3" s="125">
        <f t="shared" si="0"/>
        <v>16641.819273497109</v>
      </c>
      <c r="K3" s="125">
        <f t="shared" si="0"/>
        <v>18023.599026181306</v>
      </c>
      <c r="L3" s="125">
        <f t="shared" si="0"/>
        <v>19090.206381972515</v>
      </c>
      <c r="M3" s="125">
        <f t="shared" si="0"/>
        <v>15529.882690031693</v>
      </c>
      <c r="N3" s="125">
        <f t="shared" si="0"/>
        <v>16875.507507865968</v>
      </c>
      <c r="O3" s="125">
        <f t="shared" si="0"/>
        <v>17454.871913764549</v>
      </c>
      <c r="P3" s="125">
        <f t="shared" si="0"/>
        <v>15985.011567514694</v>
      </c>
      <c r="Q3" s="125">
        <f t="shared" si="0"/>
        <v>16575.225239901465</v>
      </c>
      <c r="R3" s="125">
        <f t="shared" ref="R3:W3" si="1">SUM(R4,R16,R19,R29)</f>
        <v>16065.986329738826</v>
      </c>
      <c r="S3" s="125">
        <f t="shared" si="1"/>
        <v>16624.416461167453</v>
      </c>
      <c r="T3" s="125">
        <f t="shared" si="1"/>
        <v>16503.810628493786</v>
      </c>
      <c r="U3" s="125">
        <f t="shared" si="1"/>
        <v>16056.019435936612</v>
      </c>
      <c r="V3" s="125">
        <f t="shared" si="1"/>
        <v>15065.905653300459</v>
      </c>
      <c r="W3" s="125">
        <f t="shared" si="1"/>
        <v>16026.959911082828</v>
      </c>
      <c r="X3" s="125">
        <f t="shared" ref="X3:Y3" si="2">SUM(X4,X16,X19,X29)</f>
        <v>15346.544296145308</v>
      </c>
      <c r="Y3" s="125">
        <f t="shared" si="2"/>
        <v>13606.066102359739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12581.602369763779</v>
      </c>
      <c r="C4" s="130">
        <f t="shared" si="3"/>
        <v>13485.799178631702</v>
      </c>
      <c r="D4" s="130">
        <f t="shared" si="3"/>
        <v>12282.231758162734</v>
      </c>
      <c r="E4" s="130">
        <f t="shared" si="3"/>
        <v>13719.102814861752</v>
      </c>
      <c r="F4" s="130">
        <f t="shared" si="3"/>
        <v>14159.052363091894</v>
      </c>
      <c r="G4" s="130">
        <f t="shared" si="3"/>
        <v>13950.668320184224</v>
      </c>
      <c r="H4" s="130">
        <f t="shared" si="3"/>
        <v>12960.979337914299</v>
      </c>
      <c r="I4" s="130">
        <f t="shared" si="3"/>
        <v>12286.594930783816</v>
      </c>
      <c r="J4" s="130">
        <f t="shared" si="3"/>
        <v>12291.933107352976</v>
      </c>
      <c r="K4" s="130">
        <f t="shared" si="3"/>
        <v>13492.995935851615</v>
      </c>
      <c r="L4" s="130">
        <f t="shared" si="3"/>
        <v>14517.390275184054</v>
      </c>
      <c r="M4" s="130">
        <f t="shared" si="3"/>
        <v>11092.112777737106</v>
      </c>
      <c r="N4" s="130">
        <f t="shared" si="3"/>
        <v>12256.120562290005</v>
      </c>
      <c r="O4" s="130">
        <f t="shared" si="3"/>
        <v>12809.364101726042</v>
      </c>
      <c r="P4" s="130">
        <f t="shared" si="3"/>
        <v>11256.76228430744</v>
      </c>
      <c r="Q4" s="130">
        <f t="shared" si="3"/>
        <v>11729.919794722264</v>
      </c>
      <c r="R4" s="130">
        <f t="shared" ref="R4:W4" si="4">SUM(R5:R15)</f>
        <v>11311.624468677172</v>
      </c>
      <c r="S4" s="130">
        <f t="shared" si="4"/>
        <v>11802.480293646897</v>
      </c>
      <c r="T4" s="130">
        <f t="shared" si="4"/>
        <v>11631.221052778481</v>
      </c>
      <c r="U4" s="130">
        <f t="shared" si="4"/>
        <v>11261.892973430171</v>
      </c>
      <c r="V4" s="130">
        <f t="shared" si="4"/>
        <v>10599.660373558598</v>
      </c>
      <c r="W4" s="130">
        <f t="shared" si="4"/>
        <v>11461.649529498676</v>
      </c>
      <c r="X4" s="130">
        <f t="shared" ref="X4:Y4" si="5">SUM(X5:X15)</f>
        <v>10522.279893785064</v>
      </c>
      <c r="Y4" s="130">
        <f t="shared" si="5"/>
        <v>8865.8969260086415</v>
      </c>
      <c r="DA4" s="155" t="s">
        <v>214</v>
      </c>
    </row>
    <row r="5" spans="1:105" ht="12" customHeight="1" x14ac:dyDescent="0.25">
      <c r="A5" s="131" t="s">
        <v>29</v>
      </c>
      <c r="B5" s="132">
        <v>257.73860705073082</v>
      </c>
      <c r="C5" s="132">
        <v>251.07472055030092</v>
      </c>
      <c r="D5" s="132">
        <v>173.64092863284606</v>
      </c>
      <c r="E5" s="132">
        <v>196.33121238177119</v>
      </c>
      <c r="F5" s="132">
        <v>193.99071367153911</v>
      </c>
      <c r="G5" s="132">
        <v>204.59544282029233</v>
      </c>
      <c r="H5" s="132">
        <v>200.39174548581255</v>
      </c>
      <c r="I5" s="132">
        <v>190.64677558039548</v>
      </c>
      <c r="J5" s="132">
        <v>170.77480653482368</v>
      </c>
      <c r="K5" s="132">
        <v>149.6130696474635</v>
      </c>
      <c r="L5" s="132">
        <v>167.71762682717105</v>
      </c>
      <c r="M5" s="132">
        <v>46.226397248495232</v>
      </c>
      <c r="N5" s="132">
        <v>51.622699914015477</v>
      </c>
      <c r="O5" s="132">
        <v>55.544969905417027</v>
      </c>
      <c r="P5" s="132">
        <v>41.443336199484087</v>
      </c>
      <c r="Q5" s="132">
        <v>42.534393809114349</v>
      </c>
      <c r="R5" s="132">
        <v>44.112381771281171</v>
      </c>
      <c r="S5" s="132">
        <v>41.214617368873618</v>
      </c>
      <c r="T5" s="132">
        <v>36.258039552880483</v>
      </c>
      <c r="U5" s="132">
        <v>34.857179707652598</v>
      </c>
      <c r="V5" s="132">
        <v>30.631384350816845</v>
      </c>
      <c r="W5" s="132">
        <v>36.36079105760961</v>
      </c>
      <c r="X5" s="132">
        <v>32.920980223559731</v>
      </c>
      <c r="Y5" s="132">
        <v>28.81668099742047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4216.6040104215826</v>
      </c>
      <c r="C7" s="132">
        <v>4608.6315167456305</v>
      </c>
      <c r="D7" s="132">
        <v>3840.1385421851787</v>
      </c>
      <c r="E7" s="132">
        <v>3967.7908208292488</v>
      </c>
      <c r="F7" s="132">
        <v>3899.3847055725269</v>
      </c>
      <c r="G7" s="132">
        <v>3670.282938879051</v>
      </c>
      <c r="H7" s="132">
        <v>3385.2749544023591</v>
      </c>
      <c r="I7" s="132">
        <v>2916.2635699502539</v>
      </c>
      <c r="J7" s="132">
        <v>3476.1031537484596</v>
      </c>
      <c r="K7" s="132">
        <v>3337.2067353408788</v>
      </c>
      <c r="L7" s="132">
        <v>3030.4431546244941</v>
      </c>
      <c r="M7" s="132">
        <v>2454.3413335496334</v>
      </c>
      <c r="N7" s="132">
        <v>2385.4226976744394</v>
      </c>
      <c r="O7" s="132">
        <v>2448.6086947022536</v>
      </c>
      <c r="P7" s="132">
        <v>2608.8575492828832</v>
      </c>
      <c r="Q7" s="132">
        <v>2543.5168114923658</v>
      </c>
      <c r="R7" s="132">
        <v>1903.7743154001857</v>
      </c>
      <c r="S7" s="132">
        <v>2218.106807449627</v>
      </c>
      <c r="T7" s="132">
        <v>2019.5415005655959</v>
      </c>
      <c r="U7" s="132">
        <v>1945.7475829936766</v>
      </c>
      <c r="V7" s="132">
        <v>2111.1099008636966</v>
      </c>
      <c r="W7" s="132">
        <v>1832.8112000344645</v>
      </c>
      <c r="X7" s="132">
        <v>2090.7633808207947</v>
      </c>
      <c r="Y7" s="132">
        <v>1690.9939376776367</v>
      </c>
      <c r="DA7" s="156" t="s">
        <v>277</v>
      </c>
    </row>
    <row r="8" spans="1:105" ht="12" customHeight="1" x14ac:dyDescent="0.25">
      <c r="A8" s="131" t="s">
        <v>73</v>
      </c>
      <c r="B8" s="132">
        <v>0.21067397703189955</v>
      </c>
      <c r="C8" s="132">
        <v>0.40626712296240663</v>
      </c>
      <c r="D8" s="132">
        <v>0.71166224916487819</v>
      </c>
      <c r="E8" s="132">
        <v>1.4477442467242934</v>
      </c>
      <c r="F8" s="132">
        <v>2.302903946937811</v>
      </c>
      <c r="G8" s="132">
        <v>5.1037227675408072</v>
      </c>
      <c r="H8" s="132">
        <v>6.3901923020425508</v>
      </c>
      <c r="I8" s="132">
        <v>7.9898952059339798</v>
      </c>
      <c r="J8" s="132">
        <v>9.2559517338679207</v>
      </c>
      <c r="K8" s="132">
        <v>8.5397577451663746</v>
      </c>
      <c r="L8" s="132">
        <v>9.4587846865603584</v>
      </c>
      <c r="M8" s="132">
        <v>19.772573566402116</v>
      </c>
      <c r="N8" s="132">
        <v>23.652965126169004</v>
      </c>
      <c r="O8" s="132">
        <v>33.174235969682393</v>
      </c>
      <c r="P8" s="132">
        <v>34.933135801775606</v>
      </c>
      <c r="Q8" s="132">
        <v>43.414347774099497</v>
      </c>
      <c r="R8" s="132">
        <v>47.837300382567363</v>
      </c>
      <c r="S8" s="132">
        <v>49.646806322332601</v>
      </c>
      <c r="T8" s="132">
        <v>51.022127377235343</v>
      </c>
      <c r="U8" s="132">
        <v>51.429065678054002</v>
      </c>
      <c r="V8" s="132">
        <v>45.700315105270903</v>
      </c>
      <c r="W8" s="132">
        <v>52.800922268319056</v>
      </c>
      <c r="X8" s="132">
        <v>22.272089479891207</v>
      </c>
      <c r="Y8" s="132">
        <v>22.417514260166456</v>
      </c>
      <c r="DA8" s="156" t="s">
        <v>278</v>
      </c>
    </row>
    <row r="9" spans="1:105" ht="12" customHeight="1" x14ac:dyDescent="0.25">
      <c r="A9" s="131" t="s">
        <v>78</v>
      </c>
      <c r="B9" s="132">
        <v>3475.0347835942516</v>
      </c>
      <c r="C9" s="132">
        <v>3573.9489171835839</v>
      </c>
      <c r="D9" s="132">
        <v>3089.5817753876449</v>
      </c>
      <c r="E9" s="132">
        <v>4242.0141165606465</v>
      </c>
      <c r="F9" s="132">
        <v>4448.5128775671819</v>
      </c>
      <c r="G9" s="132">
        <v>4795.7042223686294</v>
      </c>
      <c r="H9" s="132">
        <v>4207.9516609938655</v>
      </c>
      <c r="I9" s="132">
        <v>4444.2450262372131</v>
      </c>
      <c r="J9" s="132">
        <v>4062.3665218383685</v>
      </c>
      <c r="K9" s="132">
        <v>5031.6485770626596</v>
      </c>
      <c r="L9" s="132">
        <v>5835.2762202836793</v>
      </c>
      <c r="M9" s="132">
        <v>4219.6819320626228</v>
      </c>
      <c r="N9" s="132">
        <v>5108.6358422108769</v>
      </c>
      <c r="O9" s="132">
        <v>5462.5924573911134</v>
      </c>
      <c r="P9" s="132">
        <v>4495.2994543286159</v>
      </c>
      <c r="Q9" s="132">
        <v>4781.9507890519853</v>
      </c>
      <c r="R9" s="132">
        <v>4880.7131646549551</v>
      </c>
      <c r="S9" s="132">
        <v>5097.3786238810444</v>
      </c>
      <c r="T9" s="132">
        <v>5296.8722135551125</v>
      </c>
      <c r="U9" s="132">
        <v>5190.2112655545061</v>
      </c>
      <c r="V9" s="132">
        <v>4741.5338875315301</v>
      </c>
      <c r="W9" s="132">
        <v>5210.8068946831318</v>
      </c>
      <c r="X9" s="132">
        <v>4319.7138504975073</v>
      </c>
      <c r="Y9" s="132">
        <v>3870.3519149236199</v>
      </c>
      <c r="DA9" s="156" t="s">
        <v>279</v>
      </c>
    </row>
    <row r="10" spans="1:105" ht="12" customHeight="1" x14ac:dyDescent="0.25">
      <c r="A10" s="131" t="s">
        <v>128</v>
      </c>
      <c r="B10" s="132">
        <v>282.45627343078257</v>
      </c>
      <c r="C10" s="132">
        <v>334.23045620183592</v>
      </c>
      <c r="D10" s="132">
        <v>393.4935387391676</v>
      </c>
      <c r="E10" s="132">
        <v>455.62645731925659</v>
      </c>
      <c r="F10" s="132">
        <v>486.72912580160477</v>
      </c>
      <c r="G10" s="132">
        <v>266.81970662852063</v>
      </c>
      <c r="H10" s="132">
        <v>189.46853946038581</v>
      </c>
      <c r="I10" s="132">
        <v>309.96340548979617</v>
      </c>
      <c r="J10" s="132">
        <v>335.76759482496209</v>
      </c>
      <c r="K10" s="132">
        <v>441.13993640640899</v>
      </c>
      <c r="L10" s="132">
        <v>371.65840963423705</v>
      </c>
      <c r="M10" s="132">
        <v>237.42975193504515</v>
      </c>
      <c r="N10" s="132">
        <v>295.53886121639783</v>
      </c>
      <c r="O10" s="132">
        <v>413.38676287890826</v>
      </c>
      <c r="P10" s="132">
        <v>360.84417942175889</v>
      </c>
      <c r="Q10" s="132">
        <v>338.40459044727595</v>
      </c>
      <c r="R10" s="132">
        <v>375.69765819765252</v>
      </c>
      <c r="S10" s="132">
        <v>386.91788601863465</v>
      </c>
      <c r="T10" s="132">
        <v>352.49053691106508</v>
      </c>
      <c r="U10" s="132">
        <v>358.6211364378081</v>
      </c>
      <c r="V10" s="132">
        <v>376.3314035197713</v>
      </c>
      <c r="W10" s="132">
        <v>458.53684717089891</v>
      </c>
      <c r="X10" s="132">
        <v>545.57316166914848</v>
      </c>
      <c r="Y10" s="132">
        <v>491.77225831347488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41.654686156491834</v>
      </c>
      <c r="E11" s="132">
        <v>41.98907996560618</v>
      </c>
      <c r="F11" s="132">
        <v>42.299570077386072</v>
      </c>
      <c r="G11" s="132">
        <v>14.402407566637997</v>
      </c>
      <c r="H11" s="132">
        <v>14.402407566637997</v>
      </c>
      <c r="I11" s="132">
        <v>14.402407566637997</v>
      </c>
      <c r="J11" s="132">
        <v>14.402407566637995</v>
      </c>
      <c r="K11" s="132">
        <v>14.390541702493548</v>
      </c>
      <c r="L11" s="132">
        <v>14.390541702493547</v>
      </c>
      <c r="M11" s="132">
        <v>17.757695614789334</v>
      </c>
      <c r="N11" s="132">
        <v>17.757695614789334</v>
      </c>
      <c r="O11" s="132">
        <v>17.757695614789331</v>
      </c>
      <c r="P11" s="132">
        <v>16.722785898538262</v>
      </c>
      <c r="Q11" s="132">
        <v>16.722785898538259</v>
      </c>
      <c r="R11" s="132">
        <v>16.722785898538255</v>
      </c>
      <c r="S11" s="132">
        <v>16.722785898538262</v>
      </c>
      <c r="T11" s="132">
        <v>16.722785898538259</v>
      </c>
      <c r="U11" s="132">
        <v>16.722785898538266</v>
      </c>
      <c r="V11" s="132">
        <v>16.722785898538255</v>
      </c>
      <c r="W11" s="132">
        <v>16.72278589853827</v>
      </c>
      <c r="X11" s="132">
        <v>16.722785898538262</v>
      </c>
      <c r="Y11" s="132">
        <v>16.722785898538259</v>
      </c>
      <c r="DA11" s="156" t="s">
        <v>281</v>
      </c>
    </row>
    <row r="12" spans="1:105" ht="12" customHeight="1" x14ac:dyDescent="0.25">
      <c r="A12" s="131" t="s">
        <v>162</v>
      </c>
      <c r="B12" s="132">
        <v>1060.6257260527698</v>
      </c>
      <c r="C12" s="132">
        <v>1305.7443370585167</v>
      </c>
      <c r="D12" s="132">
        <v>1366.1934813342461</v>
      </c>
      <c r="E12" s="132">
        <v>1318.8132375469811</v>
      </c>
      <c r="F12" s="132">
        <v>1336.1296318431262</v>
      </c>
      <c r="G12" s="132">
        <v>1389.3417299058694</v>
      </c>
      <c r="H12" s="132">
        <v>1299.4529393241446</v>
      </c>
      <c r="I12" s="132">
        <v>643.75410702261786</v>
      </c>
      <c r="J12" s="132">
        <v>699.71892996179702</v>
      </c>
      <c r="K12" s="132">
        <v>606.01009711585994</v>
      </c>
      <c r="L12" s="132">
        <v>687.10634216095184</v>
      </c>
      <c r="M12" s="132">
        <v>576.11345233705572</v>
      </c>
      <c r="N12" s="132">
        <v>572.87756979424182</v>
      </c>
      <c r="O12" s="132">
        <v>607.53995378592708</v>
      </c>
      <c r="P12" s="132">
        <v>578.85875029029501</v>
      </c>
      <c r="Q12" s="132">
        <v>630.47284754859402</v>
      </c>
      <c r="R12" s="132">
        <v>699.20349143951694</v>
      </c>
      <c r="S12" s="132">
        <v>720.77427093455617</v>
      </c>
      <c r="T12" s="132">
        <v>701.12447064082983</v>
      </c>
      <c r="U12" s="132">
        <v>705.6479592509653</v>
      </c>
      <c r="V12" s="132">
        <v>725.79803063389522</v>
      </c>
      <c r="W12" s="132">
        <v>827.56659990642925</v>
      </c>
      <c r="X12" s="132">
        <v>761.3073139706853</v>
      </c>
      <c r="Y12" s="132">
        <v>718.30168868314911</v>
      </c>
      <c r="DA12" s="156" t="s">
        <v>282</v>
      </c>
    </row>
    <row r="13" spans="1:105" ht="12" customHeight="1" x14ac:dyDescent="0.25">
      <c r="A13" s="131" t="s">
        <v>77</v>
      </c>
      <c r="B13" s="132">
        <v>43.991905603773432</v>
      </c>
      <c r="C13" s="132">
        <v>48.938106248762246</v>
      </c>
      <c r="D13" s="132">
        <v>58.737685488879926</v>
      </c>
      <c r="E13" s="132">
        <v>65.31099130879214</v>
      </c>
      <c r="F13" s="132">
        <v>71.812676556166451</v>
      </c>
      <c r="G13" s="132">
        <v>85.007427091136137</v>
      </c>
      <c r="H13" s="132">
        <v>92.432376419909573</v>
      </c>
      <c r="I13" s="132">
        <v>95.715988223874646</v>
      </c>
      <c r="J13" s="132">
        <v>109.73279430028911</v>
      </c>
      <c r="K13" s="132">
        <v>117.20297163539965</v>
      </c>
      <c r="L13" s="132">
        <v>124.84714391131995</v>
      </c>
      <c r="M13" s="132">
        <v>182.28469596303142</v>
      </c>
      <c r="N13" s="132">
        <v>207.23670088658704</v>
      </c>
      <c r="O13" s="132">
        <v>223.48796991144371</v>
      </c>
      <c r="P13" s="132">
        <v>187.1013787187718</v>
      </c>
      <c r="Q13" s="132">
        <v>195.78393769496361</v>
      </c>
      <c r="R13" s="132">
        <v>209.46680693380759</v>
      </c>
      <c r="S13" s="132">
        <v>197.62335070940406</v>
      </c>
      <c r="T13" s="132">
        <v>180.01809987449607</v>
      </c>
      <c r="U13" s="132">
        <v>180.19448730333619</v>
      </c>
      <c r="V13" s="132">
        <v>167.75679542009186</v>
      </c>
      <c r="W13" s="132">
        <v>193.16043589377838</v>
      </c>
      <c r="X13" s="132">
        <v>99.576761201777686</v>
      </c>
      <c r="Y13" s="132">
        <v>100.48979417531174</v>
      </c>
      <c r="DA13" s="156" t="s">
        <v>283</v>
      </c>
    </row>
    <row r="14" spans="1:105" ht="12" customHeight="1" x14ac:dyDescent="0.25">
      <c r="A14" s="60" t="s">
        <v>76</v>
      </c>
      <c r="B14" s="65">
        <v>3163.725428635652</v>
      </c>
      <c r="C14" s="65">
        <v>3277.0414958566421</v>
      </c>
      <c r="D14" s="65">
        <v>3244.7823066832989</v>
      </c>
      <c r="E14" s="65">
        <v>3344.4801971391635</v>
      </c>
      <c r="F14" s="65">
        <v>3591.6949723179268</v>
      </c>
      <c r="G14" s="65">
        <v>3433.2304459632637</v>
      </c>
      <c r="H14" s="65">
        <v>3488.3523435823231</v>
      </c>
      <c r="I14" s="65">
        <v>3590.5483976455694</v>
      </c>
      <c r="J14" s="65">
        <v>3339.359916949516</v>
      </c>
      <c r="K14" s="65">
        <v>3704.5965343245007</v>
      </c>
      <c r="L14" s="65">
        <v>4188.613704508175</v>
      </c>
      <c r="M14" s="65">
        <v>3272.4760530291774</v>
      </c>
      <c r="N14" s="65">
        <v>3518.2793629234893</v>
      </c>
      <c r="O14" s="65">
        <v>3466.3420484509402</v>
      </c>
      <c r="P14" s="65">
        <v>2859.9827540550214</v>
      </c>
      <c r="Q14" s="65">
        <v>3061.7340684050437</v>
      </c>
      <c r="R14" s="65">
        <v>3062.3392562292274</v>
      </c>
      <c r="S14" s="65">
        <v>2995.8330179977193</v>
      </c>
      <c r="T14" s="65">
        <v>2897.3004171970119</v>
      </c>
      <c r="U14" s="65">
        <v>2698.7147296306102</v>
      </c>
      <c r="V14" s="65">
        <v>2306.0001115186778</v>
      </c>
      <c r="W14" s="65">
        <v>2749.7111969549064</v>
      </c>
      <c r="X14" s="65">
        <v>2556.440655437767</v>
      </c>
      <c r="Y14" s="65">
        <v>1857.3890402654004</v>
      </c>
      <c r="DA14" s="109" t="s">
        <v>284</v>
      </c>
    </row>
    <row r="15" spans="1:105" ht="12" customHeight="1" x14ac:dyDescent="0.25">
      <c r="A15" s="133" t="s">
        <v>80</v>
      </c>
      <c r="B15" s="134">
        <v>81.214960997203335</v>
      </c>
      <c r="C15" s="134">
        <v>85.783361663466593</v>
      </c>
      <c r="D15" s="134">
        <v>73.297151305812861</v>
      </c>
      <c r="E15" s="134">
        <v>85.298957563561729</v>
      </c>
      <c r="F15" s="134">
        <v>86.195185737498903</v>
      </c>
      <c r="G15" s="134">
        <v>86.180276193284001</v>
      </c>
      <c r="H15" s="134">
        <v>76.86217837681987</v>
      </c>
      <c r="I15" s="134">
        <v>73.065357861525698</v>
      </c>
      <c r="J15" s="134">
        <v>74.451029894254447</v>
      </c>
      <c r="K15" s="134">
        <v>82.647714870785151</v>
      </c>
      <c r="L15" s="134">
        <v>87.878346844968959</v>
      </c>
      <c r="M15" s="134">
        <v>66.028892430853773</v>
      </c>
      <c r="N15" s="134">
        <v>75.096166928998741</v>
      </c>
      <c r="O15" s="134">
        <v>80.929313115565662</v>
      </c>
      <c r="P15" s="134">
        <v>72.718960310296282</v>
      </c>
      <c r="Q15" s="134">
        <v>75.385222600284848</v>
      </c>
      <c r="R15" s="134">
        <v>71.757307769438825</v>
      </c>
      <c r="S15" s="134">
        <v>78.262127066168077</v>
      </c>
      <c r="T15" s="134">
        <v>79.870861205716352</v>
      </c>
      <c r="U15" s="134">
        <v>79.746780975025601</v>
      </c>
      <c r="V15" s="134">
        <v>78.07575871631073</v>
      </c>
      <c r="W15" s="134">
        <v>83.171855630600163</v>
      </c>
      <c r="X15" s="134">
        <v>76.988914585393786</v>
      </c>
      <c r="Y15" s="134">
        <v>68.641310813924704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293.57586269029531</v>
      </c>
      <c r="C16" s="130">
        <f t="shared" si="6"/>
        <v>323.49421005519736</v>
      </c>
      <c r="D16" s="130">
        <f t="shared" si="6"/>
        <v>321.4119933028955</v>
      </c>
      <c r="E16" s="130">
        <f t="shared" si="6"/>
        <v>577.81299374808054</v>
      </c>
      <c r="F16" s="130">
        <f t="shared" si="6"/>
        <v>346.28875051353356</v>
      </c>
      <c r="G16" s="130">
        <f t="shared" si="6"/>
        <v>382.89739071192645</v>
      </c>
      <c r="H16" s="130">
        <f t="shared" si="6"/>
        <v>462.95552826993998</v>
      </c>
      <c r="I16" s="130">
        <f t="shared" si="6"/>
        <v>374.61876984791922</v>
      </c>
      <c r="J16" s="130">
        <f t="shared" si="6"/>
        <v>384.2671151910605</v>
      </c>
      <c r="K16" s="130">
        <f t="shared" si="6"/>
        <v>425.78646000960765</v>
      </c>
      <c r="L16" s="130">
        <f t="shared" si="6"/>
        <v>426.54789791944592</v>
      </c>
      <c r="M16" s="130">
        <f t="shared" si="6"/>
        <v>422.9583807214625</v>
      </c>
      <c r="N16" s="130">
        <f t="shared" si="6"/>
        <v>440.73909431420299</v>
      </c>
      <c r="O16" s="130">
        <f t="shared" si="6"/>
        <v>433.419932087554</v>
      </c>
      <c r="P16" s="130">
        <f t="shared" si="6"/>
        <v>403.92372687346739</v>
      </c>
      <c r="Q16" s="130">
        <f t="shared" si="6"/>
        <v>505.42864675527983</v>
      </c>
      <c r="R16" s="130">
        <f t="shared" ref="R16:W16" si="7">SUM(R17:R18)</f>
        <v>438.59104497905577</v>
      </c>
      <c r="S16" s="130">
        <f t="shared" si="7"/>
        <v>476.89501767728541</v>
      </c>
      <c r="T16" s="130">
        <f t="shared" si="7"/>
        <v>472.92247257439794</v>
      </c>
      <c r="U16" s="130">
        <f t="shared" si="7"/>
        <v>481.52394791105178</v>
      </c>
      <c r="V16" s="130">
        <f t="shared" si="7"/>
        <v>484.37355590240537</v>
      </c>
      <c r="W16" s="130">
        <f t="shared" si="7"/>
        <v>403.36427226547141</v>
      </c>
      <c r="X16" s="130">
        <f t="shared" ref="X16:Y16" si="8">SUM(X17:X18)</f>
        <v>590.42771751439386</v>
      </c>
      <c r="Y16" s="130">
        <f t="shared" si="8"/>
        <v>528.91808567594535</v>
      </c>
      <c r="DA16" s="155" t="s">
        <v>215</v>
      </c>
    </row>
    <row r="17" spans="1:105" ht="12.95" customHeight="1" x14ac:dyDescent="0.25">
      <c r="A17" s="131" t="s">
        <v>73</v>
      </c>
      <c r="B17" s="132">
        <v>1.3582938268051914</v>
      </c>
      <c r="C17" s="132">
        <v>1.73117256924528</v>
      </c>
      <c r="D17" s="132">
        <v>1.9099337301077579</v>
      </c>
      <c r="E17" s="132">
        <v>5.0820777793145151</v>
      </c>
      <c r="F17" s="132">
        <v>2.8367118162475853</v>
      </c>
      <c r="G17" s="132">
        <v>3.0631134426473938</v>
      </c>
      <c r="H17" s="132">
        <v>5.4934553562635795</v>
      </c>
      <c r="I17" s="132">
        <v>5.0069709599686352</v>
      </c>
      <c r="J17" s="132">
        <v>6.2341945331386928</v>
      </c>
      <c r="K17" s="132">
        <v>7.2216273133880842</v>
      </c>
      <c r="L17" s="132">
        <v>8.2589050199334242</v>
      </c>
      <c r="M17" s="132">
        <v>11.038086012765424</v>
      </c>
      <c r="N17" s="132">
        <v>16.695229769721308</v>
      </c>
      <c r="O17" s="132">
        <v>20.37359097155904</v>
      </c>
      <c r="P17" s="132">
        <v>20.887283585934643</v>
      </c>
      <c r="Q17" s="132">
        <v>33.277624900903852</v>
      </c>
      <c r="R17" s="132">
        <v>32.028936769248801</v>
      </c>
      <c r="S17" s="132">
        <v>40.24865504924545</v>
      </c>
      <c r="T17" s="132">
        <v>43.669107866759958</v>
      </c>
      <c r="U17" s="132">
        <v>48.244612887815769</v>
      </c>
      <c r="V17" s="132">
        <v>49.251970413787781</v>
      </c>
      <c r="W17" s="132">
        <v>40.515485766608009</v>
      </c>
      <c r="X17" s="132">
        <v>63.382409024943229</v>
      </c>
      <c r="Y17" s="132">
        <v>60.740223084234302</v>
      </c>
      <c r="DA17" s="156" t="s">
        <v>286</v>
      </c>
    </row>
    <row r="18" spans="1:105" ht="12" customHeight="1" x14ac:dyDescent="0.25">
      <c r="A18" s="131" t="s">
        <v>72</v>
      </c>
      <c r="B18" s="132">
        <v>292.2175688634901</v>
      </c>
      <c r="C18" s="132">
        <v>321.76303748595205</v>
      </c>
      <c r="D18" s="132">
        <v>319.50205957278774</v>
      </c>
      <c r="E18" s="132">
        <v>572.730915968766</v>
      </c>
      <c r="F18" s="132">
        <v>343.45203869728596</v>
      </c>
      <c r="G18" s="132">
        <v>379.83427726927903</v>
      </c>
      <c r="H18" s="132">
        <v>457.46207291367642</v>
      </c>
      <c r="I18" s="132">
        <v>369.61179888795061</v>
      </c>
      <c r="J18" s="132">
        <v>378.03292065792181</v>
      </c>
      <c r="K18" s="132">
        <v>418.56483269621958</v>
      </c>
      <c r="L18" s="132">
        <v>418.28899289951249</v>
      </c>
      <c r="M18" s="132">
        <v>411.9202947086971</v>
      </c>
      <c r="N18" s="132">
        <v>424.04386454448166</v>
      </c>
      <c r="O18" s="132">
        <v>413.04634111599495</v>
      </c>
      <c r="P18" s="132">
        <v>383.03644328753273</v>
      </c>
      <c r="Q18" s="132">
        <v>472.15102185437598</v>
      </c>
      <c r="R18" s="132">
        <v>406.56210820980698</v>
      </c>
      <c r="S18" s="132">
        <v>436.64636262803998</v>
      </c>
      <c r="T18" s="132">
        <v>429.25336470763796</v>
      </c>
      <c r="U18" s="132">
        <v>433.279335023236</v>
      </c>
      <c r="V18" s="132">
        <v>435.1215854886176</v>
      </c>
      <c r="W18" s="132">
        <v>362.84878649886338</v>
      </c>
      <c r="X18" s="132">
        <v>527.04530848945058</v>
      </c>
      <c r="Y18" s="132">
        <v>468.17786259171106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1967.3302578524526</v>
      </c>
      <c r="C19" s="130">
        <f t="shared" si="9"/>
        <v>1958.3545295423373</v>
      </c>
      <c r="D19" s="130">
        <f t="shared" si="9"/>
        <v>1978.7764209247889</v>
      </c>
      <c r="E19" s="130">
        <f t="shared" si="9"/>
        <v>1958.9376593700752</v>
      </c>
      <c r="F19" s="130">
        <f t="shared" si="9"/>
        <v>2028.3131280867005</v>
      </c>
      <c r="G19" s="130">
        <f t="shared" si="9"/>
        <v>2022.7724354547297</v>
      </c>
      <c r="H19" s="130">
        <f t="shared" si="9"/>
        <v>2002.6921570722748</v>
      </c>
      <c r="I19" s="130">
        <f t="shared" si="9"/>
        <v>2012.432878018082</v>
      </c>
      <c r="J19" s="130">
        <f t="shared" si="9"/>
        <v>2068.2709470384411</v>
      </c>
      <c r="K19" s="130">
        <f t="shared" si="9"/>
        <v>2107.4593494013857</v>
      </c>
      <c r="L19" s="130">
        <f t="shared" si="9"/>
        <v>2101.6593109580108</v>
      </c>
      <c r="M19" s="130">
        <f t="shared" si="9"/>
        <v>2083.6520658189843</v>
      </c>
      <c r="N19" s="130">
        <f t="shared" si="9"/>
        <v>2104.0417174571326</v>
      </c>
      <c r="O19" s="130">
        <f t="shared" si="9"/>
        <v>2122.3669582071589</v>
      </c>
      <c r="P19" s="130">
        <f t="shared" si="9"/>
        <v>2207.70070430751</v>
      </c>
      <c r="Q19" s="130">
        <f t="shared" si="9"/>
        <v>2189.71518585387</v>
      </c>
      <c r="R19" s="130">
        <f t="shared" ref="R19:W19" si="10">SUM(R20:R27)</f>
        <v>2133.6487499596196</v>
      </c>
      <c r="S19" s="130">
        <f t="shared" si="10"/>
        <v>2154.6578991576466</v>
      </c>
      <c r="T19" s="130">
        <f t="shared" si="10"/>
        <v>2159.1430851505879</v>
      </c>
      <c r="U19" s="130">
        <f t="shared" si="10"/>
        <v>2083.9183053424399</v>
      </c>
      <c r="V19" s="130">
        <f t="shared" si="10"/>
        <v>1946.220704851484</v>
      </c>
      <c r="W19" s="130">
        <f t="shared" si="10"/>
        <v>2021.2751385249965</v>
      </c>
      <c r="X19" s="130">
        <f t="shared" ref="X19:Y19" si="11">SUM(X20:X27)</f>
        <v>2064.0764122848727</v>
      </c>
      <c r="Y19" s="130">
        <f t="shared" si="11"/>
        <v>2017.2373079386944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54.142868791224046</v>
      </c>
      <c r="C21" s="132">
        <v>56.739624689747224</v>
      </c>
      <c r="D21" s="132">
        <v>62.915188965041708</v>
      </c>
      <c r="E21" s="132">
        <v>66.7176801078095</v>
      </c>
      <c r="F21" s="132">
        <v>67.749703394789435</v>
      </c>
      <c r="G21" s="132">
        <v>65.393830862519735</v>
      </c>
      <c r="H21" s="132">
        <v>68.494049754993384</v>
      </c>
      <c r="I21" s="132">
        <v>69.956555284033954</v>
      </c>
      <c r="J21" s="132">
        <v>70.781475567767146</v>
      </c>
      <c r="K21" s="132">
        <v>72.09809323856399</v>
      </c>
      <c r="L21" s="132">
        <v>67.445516622082579</v>
      </c>
      <c r="M21" s="132">
        <v>43.045526695818367</v>
      </c>
      <c r="N21" s="132">
        <v>62.58948566771079</v>
      </c>
      <c r="O21" s="132">
        <v>58.506421596140171</v>
      </c>
      <c r="P21" s="132">
        <v>53.674317532859938</v>
      </c>
      <c r="Q21" s="132">
        <v>53.777240050590862</v>
      </c>
      <c r="R21" s="132">
        <v>51.202783155263425</v>
      </c>
      <c r="S21" s="132">
        <v>49.595860908202226</v>
      </c>
      <c r="T21" s="132">
        <v>37.642606900207205</v>
      </c>
      <c r="U21" s="132">
        <v>33.173149651328352</v>
      </c>
      <c r="V21" s="132">
        <v>30.842052122919387</v>
      </c>
      <c r="W21" s="132">
        <v>17.617419172010553</v>
      </c>
      <c r="X21" s="132">
        <v>21.408030560299892</v>
      </c>
      <c r="Y21" s="132">
        <v>20.060754339348339</v>
      </c>
      <c r="DA21" s="156" t="s">
        <v>289</v>
      </c>
    </row>
    <row r="22" spans="1:105" ht="12" customHeight="1" x14ac:dyDescent="0.25">
      <c r="A22" s="131" t="s">
        <v>161</v>
      </c>
      <c r="B22" s="132">
        <v>404.72737392923455</v>
      </c>
      <c r="C22" s="132">
        <v>409.91964404542716</v>
      </c>
      <c r="D22" s="132">
        <v>406.21665987845051</v>
      </c>
      <c r="E22" s="132">
        <v>404.93927375372527</v>
      </c>
      <c r="F22" s="132">
        <v>408.76043630193584</v>
      </c>
      <c r="G22" s="132">
        <v>404.01542741501606</v>
      </c>
      <c r="H22" s="132">
        <v>385.27526055894816</v>
      </c>
      <c r="I22" s="132">
        <v>364.95285309359633</v>
      </c>
      <c r="J22" s="132">
        <v>369.95308012944082</v>
      </c>
      <c r="K22" s="132">
        <v>365.12980808130283</v>
      </c>
      <c r="L22" s="132">
        <v>343.28178088710985</v>
      </c>
      <c r="M22" s="132">
        <v>319.78257014769906</v>
      </c>
      <c r="N22" s="132">
        <v>344.31745709769871</v>
      </c>
      <c r="O22" s="132">
        <v>346.68967159181244</v>
      </c>
      <c r="P22" s="132">
        <v>415.32000875666853</v>
      </c>
      <c r="Q22" s="132">
        <v>416.89832178364895</v>
      </c>
      <c r="R22" s="132">
        <v>302.70195287152757</v>
      </c>
      <c r="S22" s="132">
        <v>351.46438773524244</v>
      </c>
      <c r="T22" s="132">
        <v>301.27217097352656</v>
      </c>
      <c r="U22" s="132">
        <v>276.58251158929738</v>
      </c>
      <c r="V22" s="132">
        <v>300.25269586888942</v>
      </c>
      <c r="W22" s="132">
        <v>230.72947064481261</v>
      </c>
      <c r="X22" s="132">
        <v>287.5097060235733</v>
      </c>
      <c r="Y22" s="132">
        <v>244.15154813491861</v>
      </c>
      <c r="DA22" s="156" t="s">
        <v>290</v>
      </c>
    </row>
    <row r="23" spans="1:105" ht="12" customHeight="1" x14ac:dyDescent="0.25">
      <c r="A23" s="131" t="s">
        <v>149</v>
      </c>
      <c r="B23" s="132">
        <v>409.57197293046073</v>
      </c>
      <c r="C23" s="132">
        <v>405.91416179087457</v>
      </c>
      <c r="D23" s="132">
        <v>403.95538860821324</v>
      </c>
      <c r="E23" s="132">
        <v>410.48954226424007</v>
      </c>
      <c r="F23" s="132">
        <v>404.64195471321881</v>
      </c>
      <c r="G23" s="132">
        <v>376.28029378763938</v>
      </c>
      <c r="H23" s="132">
        <v>356.96587766111833</v>
      </c>
      <c r="I23" s="132">
        <v>357.31591230353433</v>
      </c>
      <c r="J23" s="132">
        <v>351.48930677657023</v>
      </c>
      <c r="K23" s="132">
        <v>386.72940270555409</v>
      </c>
      <c r="L23" s="132">
        <v>370.02659200672014</v>
      </c>
      <c r="M23" s="132">
        <v>407.94827278764899</v>
      </c>
      <c r="N23" s="132">
        <v>312.43967854464449</v>
      </c>
      <c r="O23" s="132">
        <v>345.25969169743581</v>
      </c>
      <c r="P23" s="132">
        <v>360.5720806327883</v>
      </c>
      <c r="Q23" s="132">
        <v>356.05440238599965</v>
      </c>
      <c r="R23" s="132">
        <v>391.43017318712288</v>
      </c>
      <c r="S23" s="132">
        <v>369.48652020967046</v>
      </c>
      <c r="T23" s="132">
        <v>367.767235755218</v>
      </c>
      <c r="U23" s="132">
        <v>364.53662655489705</v>
      </c>
      <c r="V23" s="132">
        <v>330.38419280437535</v>
      </c>
      <c r="W23" s="132">
        <v>409.63494456002525</v>
      </c>
      <c r="X23" s="132">
        <v>392.52355376505943</v>
      </c>
      <c r="Y23" s="132">
        <v>385.81345524282705</v>
      </c>
      <c r="DA23" s="156" t="s">
        <v>291</v>
      </c>
    </row>
    <row r="24" spans="1:105" ht="12" customHeight="1" x14ac:dyDescent="0.25">
      <c r="A24" s="131" t="s">
        <v>128</v>
      </c>
      <c r="B24" s="132">
        <v>21.26014961306964</v>
      </c>
      <c r="C24" s="132">
        <v>20.407892895326601</v>
      </c>
      <c r="D24" s="132">
        <v>20.569745869602798</v>
      </c>
      <c r="E24" s="132">
        <v>20.823413703959211</v>
      </c>
      <c r="F24" s="132">
        <v>21.964941266323009</v>
      </c>
      <c r="G24" s="132">
        <v>22.040568521952171</v>
      </c>
      <c r="H24" s="132">
        <v>21.862328983294379</v>
      </c>
      <c r="I24" s="132">
        <v>25.558176625423343</v>
      </c>
      <c r="J24" s="132">
        <v>25.020969233507433</v>
      </c>
      <c r="K24" s="132">
        <v>26.987234702791646</v>
      </c>
      <c r="L24" s="132">
        <v>28.575296298694699</v>
      </c>
      <c r="M24" s="132">
        <v>17.288734737353838</v>
      </c>
      <c r="N24" s="132">
        <v>18.280915223843238</v>
      </c>
      <c r="O24" s="132">
        <v>23.503090947402871</v>
      </c>
      <c r="P24" s="132">
        <v>18.907755230003527</v>
      </c>
      <c r="Q24" s="132">
        <v>15.308737153756073</v>
      </c>
      <c r="R24" s="132">
        <v>16.85591016004291</v>
      </c>
      <c r="S24" s="132">
        <v>17.251073568639278</v>
      </c>
      <c r="T24" s="132">
        <v>17.198886992632204</v>
      </c>
      <c r="U24" s="132">
        <v>18.32916450802097</v>
      </c>
      <c r="V24" s="132">
        <v>19.953033281604679</v>
      </c>
      <c r="W24" s="132">
        <v>23.110186363064837</v>
      </c>
      <c r="X24" s="132">
        <v>27.440681839020318</v>
      </c>
      <c r="Y24" s="132">
        <v>28.029977284117034</v>
      </c>
      <c r="DA24" s="156" t="s">
        <v>292</v>
      </c>
    </row>
    <row r="25" spans="1:105" ht="12" customHeight="1" x14ac:dyDescent="0.25">
      <c r="A25" s="131" t="s">
        <v>162</v>
      </c>
      <c r="B25" s="132">
        <v>111.83934447229088</v>
      </c>
      <c r="C25" s="132">
        <v>115.24313953876006</v>
      </c>
      <c r="D25" s="132">
        <v>113.854329083881</v>
      </c>
      <c r="E25" s="132">
        <v>116.61045761126148</v>
      </c>
      <c r="F25" s="132">
        <v>119.60685295177156</v>
      </c>
      <c r="G25" s="132">
        <v>119.22363642665968</v>
      </c>
      <c r="H25" s="132">
        <v>117.76105018576744</v>
      </c>
      <c r="I25" s="132">
        <v>59.712702951586543</v>
      </c>
      <c r="J25" s="132">
        <v>66.439625498220153</v>
      </c>
      <c r="K25" s="132">
        <v>76.313462643383275</v>
      </c>
      <c r="L25" s="132">
        <v>69.052729206201917</v>
      </c>
      <c r="M25" s="132">
        <v>66.302626768705039</v>
      </c>
      <c r="N25" s="132">
        <v>82.55089108280022</v>
      </c>
      <c r="O25" s="132">
        <v>86.403038475465863</v>
      </c>
      <c r="P25" s="132">
        <v>77.221129331373021</v>
      </c>
      <c r="Q25" s="132">
        <v>81.422509287175743</v>
      </c>
      <c r="R25" s="132">
        <v>89.139070899263388</v>
      </c>
      <c r="S25" s="132">
        <v>87.852384267507205</v>
      </c>
      <c r="T25" s="132">
        <v>102.93503064893771</v>
      </c>
      <c r="U25" s="132">
        <v>95.410510224529659</v>
      </c>
      <c r="V25" s="132">
        <v>93.895692495940267</v>
      </c>
      <c r="W25" s="132">
        <v>83.982583240603702</v>
      </c>
      <c r="X25" s="132">
        <v>74.182453871103377</v>
      </c>
      <c r="Y25" s="132">
        <v>67.61034915003971</v>
      </c>
      <c r="DA25" s="156" t="s">
        <v>293</v>
      </c>
    </row>
    <row r="26" spans="1:105" ht="12" customHeight="1" x14ac:dyDescent="0.25">
      <c r="A26" s="131" t="s">
        <v>24</v>
      </c>
      <c r="B26" s="65">
        <v>965.78854811617293</v>
      </c>
      <c r="C26" s="65">
        <v>950.13006658220183</v>
      </c>
      <c r="D26" s="65">
        <v>971.26510851959961</v>
      </c>
      <c r="E26" s="65">
        <v>939.35729192907968</v>
      </c>
      <c r="F26" s="65">
        <v>1005.589239458662</v>
      </c>
      <c r="G26" s="65">
        <v>1034.0511805905558</v>
      </c>
      <c r="H26" s="65">
        <v>1050.51837066762</v>
      </c>
      <c r="I26" s="65">
        <v>1132.8825934950753</v>
      </c>
      <c r="J26" s="65">
        <v>1182.1024829541736</v>
      </c>
      <c r="K26" s="65">
        <v>1177.311322234433</v>
      </c>
      <c r="L26" s="65">
        <v>1219.9335438305807</v>
      </c>
      <c r="M26" s="65">
        <v>1223.8700612509765</v>
      </c>
      <c r="N26" s="65">
        <v>1275.1393861431004</v>
      </c>
      <c r="O26" s="65">
        <v>1251.9842356443878</v>
      </c>
      <c r="P26" s="65">
        <v>1271.1572614910565</v>
      </c>
      <c r="Q26" s="65">
        <v>1254.7016966028448</v>
      </c>
      <c r="R26" s="65">
        <v>1270.2377762814124</v>
      </c>
      <c r="S26" s="65">
        <v>1266.5194523480068</v>
      </c>
      <c r="T26" s="65">
        <v>1319.5008426160937</v>
      </c>
      <c r="U26" s="65">
        <v>1282.6505732528881</v>
      </c>
      <c r="V26" s="65">
        <v>1157.464405431667</v>
      </c>
      <c r="W26" s="65">
        <v>1242.8087030741442</v>
      </c>
      <c r="X26" s="65">
        <v>1247.9169733281383</v>
      </c>
      <c r="Y26" s="65">
        <v>1258.4621954125512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1.7674978503869301</v>
      </c>
      <c r="H27" s="145">
        <v>1.8152192605331041</v>
      </c>
      <c r="I27" s="145">
        <v>2.0540842648323303</v>
      </c>
      <c r="J27" s="145">
        <v>2.4840068787618232</v>
      </c>
      <c r="K27" s="145">
        <v>2.8900257953568351</v>
      </c>
      <c r="L27" s="145">
        <v>3.3438521066208091</v>
      </c>
      <c r="M27" s="145">
        <v>5.4142734307824583</v>
      </c>
      <c r="N27" s="145">
        <v>8.7239036973344817</v>
      </c>
      <c r="O27" s="145">
        <v>10.02080825451419</v>
      </c>
      <c r="P27" s="145">
        <v>10.848151332760098</v>
      </c>
      <c r="Q27" s="145">
        <v>11.552278589853833</v>
      </c>
      <c r="R27" s="145">
        <v>12.081083404987101</v>
      </c>
      <c r="S27" s="145">
        <v>12.488220120378339</v>
      </c>
      <c r="T27" s="145">
        <v>12.826311263972487</v>
      </c>
      <c r="U27" s="145">
        <v>13.235769561478929</v>
      </c>
      <c r="V27" s="145">
        <v>13.428632846087703</v>
      </c>
      <c r="W27" s="145">
        <v>13.39183147033533</v>
      </c>
      <c r="X27" s="145">
        <v>13.095012897678414</v>
      </c>
      <c r="Y27" s="145">
        <v>13.109028374892521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1707.4325214315959</v>
      </c>
      <c r="C29" s="130">
        <f t="shared" si="12"/>
        <v>1689.0023491004345</v>
      </c>
      <c r="D29" s="130">
        <f t="shared" si="12"/>
        <v>1779.6829092919377</v>
      </c>
      <c r="E29" s="130">
        <f t="shared" si="12"/>
        <v>1794.3690058308366</v>
      </c>
      <c r="F29" s="130">
        <f t="shared" si="12"/>
        <v>1855.1389175044603</v>
      </c>
      <c r="G29" s="130">
        <f t="shared" si="12"/>
        <v>1795.6393873482057</v>
      </c>
      <c r="H29" s="130">
        <f t="shared" si="12"/>
        <v>1789.9919134073471</v>
      </c>
      <c r="I29" s="130">
        <f t="shared" si="12"/>
        <v>1844.2317803941041</v>
      </c>
      <c r="J29" s="130">
        <f t="shared" si="12"/>
        <v>1897.3481039146316</v>
      </c>
      <c r="K29" s="130">
        <f t="shared" si="12"/>
        <v>1997.3572809186965</v>
      </c>
      <c r="L29" s="130">
        <f t="shared" si="12"/>
        <v>2044.6088979110045</v>
      </c>
      <c r="M29" s="130">
        <f t="shared" si="12"/>
        <v>1931.1594657541414</v>
      </c>
      <c r="N29" s="130">
        <f t="shared" si="12"/>
        <v>2074.6061338046261</v>
      </c>
      <c r="O29" s="130">
        <f t="shared" si="12"/>
        <v>2089.7209217437953</v>
      </c>
      <c r="P29" s="130">
        <f t="shared" si="12"/>
        <v>2116.6248520262757</v>
      </c>
      <c r="Q29" s="130">
        <f t="shared" si="12"/>
        <v>2150.1616125700521</v>
      </c>
      <c r="R29" s="130">
        <f t="shared" ref="R29:W29" si="13">SUM(R30:R33)</f>
        <v>2182.1220661229781</v>
      </c>
      <c r="S29" s="130">
        <f t="shared" si="13"/>
        <v>2190.3832506856261</v>
      </c>
      <c r="T29" s="130">
        <f t="shared" si="13"/>
        <v>2240.524017990318</v>
      </c>
      <c r="U29" s="130">
        <f t="shared" si="13"/>
        <v>2228.6842092529496</v>
      </c>
      <c r="V29" s="130">
        <f t="shared" si="13"/>
        <v>2035.6510189879691</v>
      </c>
      <c r="W29" s="130">
        <f t="shared" si="13"/>
        <v>2140.6709707936843</v>
      </c>
      <c r="X29" s="130">
        <f t="shared" ref="X29:Y29" si="14">SUM(X30:X33)</f>
        <v>2169.7602725609777</v>
      </c>
      <c r="Y29" s="130">
        <f t="shared" si="14"/>
        <v>2194.0137827364588</v>
      </c>
      <c r="DA29" s="155" t="s">
        <v>217</v>
      </c>
    </row>
    <row r="30" spans="1:105" ht="12" customHeight="1" x14ac:dyDescent="0.25">
      <c r="A30" s="131" t="s">
        <v>52</v>
      </c>
      <c r="B30" s="132">
        <v>287.03890248994526</v>
      </c>
      <c r="C30" s="132">
        <v>103.68367711592775</v>
      </c>
      <c r="D30" s="132">
        <v>376.55402857580094</v>
      </c>
      <c r="E30" s="132">
        <v>444.17372143991201</v>
      </c>
      <c r="F30" s="132">
        <v>505.57256659661192</v>
      </c>
      <c r="G30" s="132">
        <v>404.19223964478891</v>
      </c>
      <c r="H30" s="132">
        <v>331.48006890364803</v>
      </c>
      <c r="I30" s="132">
        <v>367.79718504270727</v>
      </c>
      <c r="J30" s="132">
        <v>423.68885977187142</v>
      </c>
      <c r="K30" s="132">
        <v>411.35349747510747</v>
      </c>
      <c r="L30" s="132">
        <v>444.48191244068596</v>
      </c>
      <c r="M30" s="132">
        <v>271.4548172422725</v>
      </c>
      <c r="N30" s="132">
        <v>331.77139137442168</v>
      </c>
      <c r="O30" s="132">
        <v>263.90338063945734</v>
      </c>
      <c r="P30" s="132">
        <v>241.64399717049346</v>
      </c>
      <c r="Q30" s="132">
        <v>288.89679262352752</v>
      </c>
      <c r="R30" s="132">
        <v>267.49566912332642</v>
      </c>
      <c r="S30" s="132">
        <v>295.31290951312218</v>
      </c>
      <c r="T30" s="132">
        <v>279.76702336634452</v>
      </c>
      <c r="U30" s="132">
        <v>291.53837227472502</v>
      </c>
      <c r="V30" s="132">
        <v>236.00807685386451</v>
      </c>
      <c r="W30" s="132">
        <v>145.67002708766267</v>
      </c>
      <c r="X30" s="132">
        <v>169.28844407426593</v>
      </c>
      <c r="Y30" s="132">
        <v>183.24216913442643</v>
      </c>
      <c r="DA30" s="156" t="s">
        <v>296</v>
      </c>
    </row>
    <row r="31" spans="1:105" ht="12" customHeight="1" x14ac:dyDescent="0.25">
      <c r="A31" s="131" t="s">
        <v>149</v>
      </c>
      <c r="B31" s="132">
        <v>716.83571161298084</v>
      </c>
      <c r="C31" s="132">
        <v>713.6569189945543</v>
      </c>
      <c r="D31" s="132">
        <v>710.7423578236652</v>
      </c>
      <c r="E31" s="132">
        <v>714.29927925225502</v>
      </c>
      <c r="F31" s="132">
        <v>711.55060784635259</v>
      </c>
      <c r="G31" s="132">
        <v>460.44073705744796</v>
      </c>
      <c r="H31" s="132">
        <v>444.37637172626296</v>
      </c>
      <c r="I31" s="132">
        <v>445.01003708182941</v>
      </c>
      <c r="J31" s="132">
        <v>427.83338883258511</v>
      </c>
      <c r="K31" s="132">
        <v>593.73449587830089</v>
      </c>
      <c r="L31" s="132">
        <v>565.08285139949464</v>
      </c>
      <c r="M31" s="132">
        <v>579.96412267287906</v>
      </c>
      <c r="N31" s="132">
        <v>537.29021384127861</v>
      </c>
      <c r="O31" s="132">
        <v>592.85677375525029</v>
      </c>
      <c r="P31" s="132">
        <v>656.3392580326497</v>
      </c>
      <c r="Q31" s="132">
        <v>703.44660200910994</v>
      </c>
      <c r="R31" s="132">
        <v>678.80607418925888</v>
      </c>
      <c r="S31" s="132">
        <v>702.12873245687899</v>
      </c>
      <c r="T31" s="132">
        <v>720.04214433646825</v>
      </c>
      <c r="U31" s="132">
        <v>713.25435365835597</v>
      </c>
      <c r="V31" s="132">
        <v>658.51149141072574</v>
      </c>
      <c r="W31" s="132">
        <v>902.63281033154794</v>
      </c>
      <c r="X31" s="132">
        <v>743.08187195314611</v>
      </c>
      <c r="Y31" s="132">
        <v>689.03536196465336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703.5579073286699</v>
      </c>
      <c r="C33" s="68">
        <v>871.66175298995245</v>
      </c>
      <c r="D33" s="68">
        <v>692.38652289247148</v>
      </c>
      <c r="E33" s="68">
        <v>635.89600513866947</v>
      </c>
      <c r="F33" s="68">
        <v>638.01574306149587</v>
      </c>
      <c r="G33" s="68">
        <v>931.0064106459688</v>
      </c>
      <c r="H33" s="68">
        <v>1014.1354727774361</v>
      </c>
      <c r="I33" s="68">
        <v>1031.4245582695673</v>
      </c>
      <c r="J33" s="68">
        <v>1045.825855310175</v>
      </c>
      <c r="K33" s="68">
        <v>992.2692875652881</v>
      </c>
      <c r="L33" s="68">
        <v>1035.0441340708239</v>
      </c>
      <c r="M33" s="68">
        <v>1079.7405258389897</v>
      </c>
      <c r="N33" s="68">
        <v>1205.5445285889257</v>
      </c>
      <c r="O33" s="68">
        <v>1232.9607673490877</v>
      </c>
      <c r="P33" s="68">
        <v>1218.6415968231327</v>
      </c>
      <c r="Q33" s="68">
        <v>1157.8182179374146</v>
      </c>
      <c r="R33" s="68">
        <v>1235.8203228103926</v>
      </c>
      <c r="S33" s="68">
        <v>1192.9416087156246</v>
      </c>
      <c r="T33" s="68">
        <v>1240.7148502875052</v>
      </c>
      <c r="U33" s="68">
        <v>1223.8914833198685</v>
      </c>
      <c r="V33" s="68">
        <v>1141.131450723379</v>
      </c>
      <c r="W33" s="68">
        <v>1092.3681333744737</v>
      </c>
      <c r="X33" s="68">
        <v>1257.3899565335655</v>
      </c>
      <c r="Y33" s="68">
        <v>1321.7362516373789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10071.748936846147</v>
      </c>
      <c r="C3" s="125">
        <f t="shared" si="0"/>
        <v>10763.865607548769</v>
      </c>
      <c r="D3" s="125">
        <f t="shared" si="0"/>
        <v>10321.836142732311</v>
      </c>
      <c r="E3" s="125">
        <f t="shared" si="0"/>
        <v>11686.817922112346</v>
      </c>
      <c r="F3" s="125">
        <f t="shared" si="0"/>
        <v>11695.64147921384</v>
      </c>
      <c r="G3" s="125">
        <f t="shared" si="0"/>
        <v>11824.550923572799</v>
      </c>
      <c r="H3" s="125">
        <f t="shared" si="0"/>
        <v>11635.112657801972</v>
      </c>
      <c r="I3" s="125">
        <f t="shared" si="0"/>
        <v>11110.533441213031</v>
      </c>
      <c r="J3" s="125">
        <f t="shared" si="0"/>
        <v>11319.378819642807</v>
      </c>
      <c r="K3" s="125">
        <f t="shared" si="0"/>
        <v>12363.363921486409</v>
      </c>
      <c r="L3" s="125">
        <f t="shared" si="0"/>
        <v>13270.122899974549</v>
      </c>
      <c r="M3" s="125">
        <f t="shared" si="0"/>
        <v>11340.073349762632</v>
      </c>
      <c r="N3" s="125">
        <f t="shared" si="0"/>
        <v>12475.657848219778</v>
      </c>
      <c r="O3" s="125">
        <f t="shared" si="0"/>
        <v>13049.024454474014</v>
      </c>
      <c r="P3" s="125">
        <f t="shared" si="0"/>
        <v>12028.849132359679</v>
      </c>
      <c r="Q3" s="125">
        <f t="shared" si="0"/>
        <v>12852.268935567026</v>
      </c>
      <c r="R3" s="125">
        <f t="shared" ref="R3:W3" si="1">SUM(R4,R16,R19,R29)</f>
        <v>12643.912296567916</v>
      </c>
      <c r="S3" s="125">
        <f t="shared" si="1"/>
        <v>13269.056450131189</v>
      </c>
      <c r="T3" s="125">
        <f t="shared" si="1"/>
        <v>13402.029551923108</v>
      </c>
      <c r="U3" s="125">
        <f t="shared" si="1"/>
        <v>13341.102987503296</v>
      </c>
      <c r="V3" s="125">
        <f t="shared" si="1"/>
        <v>12791.816692815009</v>
      </c>
      <c r="W3" s="125">
        <f t="shared" si="1"/>
        <v>13589.909060059819</v>
      </c>
      <c r="X3" s="125">
        <f t="shared" ref="X3:Y3" si="2">SUM(X4,X16,X19,X29)</f>
        <v>13594.270081679093</v>
      </c>
      <c r="Y3" s="125">
        <f t="shared" si="2"/>
        <v>12294.032851153142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7211.2821097432034</v>
      </c>
      <c r="C4" s="130">
        <f t="shared" si="3"/>
        <v>7801.754027207925</v>
      </c>
      <c r="D4" s="130">
        <f t="shared" si="3"/>
        <v>7296.4163600742904</v>
      </c>
      <c r="E4" s="130">
        <f t="shared" si="3"/>
        <v>8112.7381574176852</v>
      </c>
      <c r="F4" s="130">
        <f t="shared" si="3"/>
        <v>8474.3929488257418</v>
      </c>
      <c r="G4" s="130">
        <f t="shared" si="3"/>
        <v>8453.3437210009088</v>
      </c>
      <c r="H4" s="130">
        <f t="shared" si="3"/>
        <v>8008.876177445838</v>
      </c>
      <c r="I4" s="130">
        <f t="shared" si="3"/>
        <v>7597.6961873924047</v>
      </c>
      <c r="J4" s="130">
        <f t="shared" si="3"/>
        <v>7642.1501438918822</v>
      </c>
      <c r="K4" s="130">
        <f t="shared" si="3"/>
        <v>8464.1719872305493</v>
      </c>
      <c r="L4" s="130">
        <f t="shared" si="3"/>
        <v>9290.3077530234677</v>
      </c>
      <c r="M4" s="130">
        <f t="shared" si="3"/>
        <v>7382.5789925715708</v>
      </c>
      <c r="N4" s="130">
        <f t="shared" si="3"/>
        <v>8286.8495208829081</v>
      </c>
      <c r="O4" s="130">
        <f t="shared" si="3"/>
        <v>8796.4160339639147</v>
      </c>
      <c r="P4" s="130">
        <f t="shared" si="3"/>
        <v>7743.5966819360838</v>
      </c>
      <c r="Q4" s="130">
        <f t="shared" si="3"/>
        <v>8176.8292310954976</v>
      </c>
      <c r="R4" s="130">
        <f t="shared" ref="R4:W4" si="4">SUM(R5:R15)</f>
        <v>8103.0194452297683</v>
      </c>
      <c r="S4" s="130">
        <f t="shared" si="4"/>
        <v>8508.2374095332143</v>
      </c>
      <c r="T4" s="130">
        <f t="shared" si="4"/>
        <v>8520.7505717967324</v>
      </c>
      <c r="U4" s="130">
        <f t="shared" si="4"/>
        <v>8418.7705432952771</v>
      </c>
      <c r="V4" s="130">
        <f t="shared" si="4"/>
        <v>8020.3411959756168</v>
      </c>
      <c r="W4" s="130">
        <f t="shared" si="4"/>
        <v>8928.9883005864904</v>
      </c>
      <c r="X4" s="130">
        <f t="shared" ref="X4:Y4" si="5">SUM(X5:X15)</f>
        <v>8063.3337253162717</v>
      </c>
      <c r="Y4" s="130">
        <f t="shared" si="5"/>
        <v>6942.1874469469522</v>
      </c>
      <c r="DA4" s="155" t="s">
        <v>302</v>
      </c>
    </row>
    <row r="5" spans="1:105" ht="12" customHeight="1" x14ac:dyDescent="0.25">
      <c r="A5" s="131" t="s">
        <v>29</v>
      </c>
      <c r="B5" s="132">
        <v>141.75028692579713</v>
      </c>
      <c r="C5" s="132">
        <v>138.08530311027212</v>
      </c>
      <c r="D5" s="132">
        <v>95.498504230385137</v>
      </c>
      <c r="E5" s="132">
        <v>107.97763674623991</v>
      </c>
      <c r="F5" s="132">
        <v>107.76771604889869</v>
      </c>
      <c r="G5" s="132">
        <v>116.46730811760075</v>
      </c>
      <c r="H5" s="132">
        <v>116.72164648972627</v>
      </c>
      <c r="I5" s="132">
        <v>113.12466326261782</v>
      </c>
      <c r="J5" s="132">
        <v>102.71104218365583</v>
      </c>
      <c r="K5" s="132">
        <v>90.934201876991324</v>
      </c>
      <c r="L5" s="132">
        <v>103.14819259763641</v>
      </c>
      <c r="M5" s="132">
        <v>28.864518204529983</v>
      </c>
      <c r="N5" s="132">
        <v>32.848444682569287</v>
      </c>
      <c r="O5" s="132">
        <v>36.868760919091635</v>
      </c>
      <c r="P5" s="132">
        <v>27.508581898237285</v>
      </c>
      <c r="Q5" s="132">
        <v>28.232786326803129</v>
      </c>
      <c r="R5" s="132">
        <v>29.280197444546076</v>
      </c>
      <c r="S5" s="132">
        <v>27.363377765593018</v>
      </c>
      <c r="T5" s="132">
        <v>24.093677087163531</v>
      </c>
      <c r="U5" s="132">
        <v>23.490606883408635</v>
      </c>
      <c r="V5" s="132">
        <v>21.39520604164591</v>
      </c>
      <c r="W5" s="132">
        <v>26.628611498919884</v>
      </c>
      <c r="X5" s="132">
        <v>24.976944252553462</v>
      </c>
      <c r="Y5" s="132">
        <v>22.271798610352342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1964.0044947537226</v>
      </c>
      <c r="C7" s="132">
        <v>2161.453290376508</v>
      </c>
      <c r="D7" s="132">
        <v>1806.3162199483561</v>
      </c>
      <c r="E7" s="132">
        <v>1875.296604352116</v>
      </c>
      <c r="F7" s="132">
        <v>1854.773509344179</v>
      </c>
      <c r="G7" s="132">
        <v>1761.2043994511548</v>
      </c>
      <c r="H7" s="132">
        <v>1646.1905603071227</v>
      </c>
      <c r="I7" s="132">
        <v>1439.0719037276294</v>
      </c>
      <c r="J7" s="132">
        <v>1743.5586175255266</v>
      </c>
      <c r="K7" s="132">
        <v>1700.2251363281346</v>
      </c>
      <c r="L7" s="132">
        <v>1565.0423713054797</v>
      </c>
      <c r="M7" s="132">
        <v>1292.4117692448276</v>
      </c>
      <c r="N7" s="132">
        <v>1290.8055788260042</v>
      </c>
      <c r="O7" s="132">
        <v>1369.7546489396555</v>
      </c>
      <c r="P7" s="132">
        <v>1476.2889210473124</v>
      </c>
      <c r="Q7" s="132">
        <v>1448.2210883726291</v>
      </c>
      <c r="R7" s="132">
        <v>1088.35649421068</v>
      </c>
      <c r="S7" s="132">
        <v>1281.1427808589481</v>
      </c>
      <c r="T7" s="132">
        <v>1183.5393706620523</v>
      </c>
      <c r="U7" s="132">
        <v>1163.8200870875921</v>
      </c>
      <c r="V7" s="132">
        <v>1294.8827267893762</v>
      </c>
      <c r="W7" s="132">
        <v>1147.3938180636958</v>
      </c>
      <c r="X7" s="132">
        <v>1343.2318230933308</v>
      </c>
      <c r="Y7" s="132">
        <v>1109.2020901398789</v>
      </c>
      <c r="DA7" s="156" t="s">
        <v>305</v>
      </c>
    </row>
    <row r="8" spans="1:105" ht="12" customHeight="1" x14ac:dyDescent="0.25">
      <c r="A8" s="131" t="s">
        <v>73</v>
      </c>
      <c r="B8" s="132">
        <v>0.21563121853908881</v>
      </c>
      <c r="C8" s="132">
        <v>0.452926615728028</v>
      </c>
      <c r="D8" s="132">
        <v>0.86775395784899489</v>
      </c>
      <c r="E8" s="132">
        <v>1.8706923815540117</v>
      </c>
      <c r="F8" s="132">
        <v>3.1130374886016718</v>
      </c>
      <c r="G8" s="132">
        <v>7.1892913164978047</v>
      </c>
      <c r="H8" s="132">
        <v>9.2786250602357629</v>
      </c>
      <c r="I8" s="132">
        <v>11.881258885190064</v>
      </c>
      <c r="J8" s="132">
        <v>13.980814217356766</v>
      </c>
      <c r="K8" s="132">
        <v>13.235545304378547</v>
      </c>
      <c r="L8" s="132">
        <v>15.294760544798361</v>
      </c>
      <c r="M8" s="132">
        <v>33.974747650399422</v>
      </c>
      <c r="N8" s="132">
        <v>42.416668531662118</v>
      </c>
      <c r="O8" s="132">
        <v>62.278721011650724</v>
      </c>
      <c r="P8" s="132">
        <v>68.195966001983251</v>
      </c>
      <c r="Q8" s="132">
        <v>87.956430943850208</v>
      </c>
      <c r="R8" s="132">
        <v>99.790503974080238</v>
      </c>
      <c r="S8" s="132">
        <v>105.84261069160308</v>
      </c>
      <c r="T8" s="132">
        <v>110.86878991981402</v>
      </c>
      <c r="U8" s="132">
        <v>113.76136346433013</v>
      </c>
      <c r="V8" s="132">
        <v>101.96580777387506</v>
      </c>
      <c r="W8" s="132">
        <v>118.88000080173047</v>
      </c>
      <c r="X8" s="132">
        <v>50.518754810662998</v>
      </c>
      <c r="Y8" s="132">
        <v>50.99085004969303</v>
      </c>
      <c r="DA8" s="156" t="s">
        <v>306</v>
      </c>
    </row>
    <row r="9" spans="1:105" ht="12" customHeight="1" x14ac:dyDescent="0.25">
      <c r="A9" s="131" t="s">
        <v>78</v>
      </c>
      <c r="B9" s="132">
        <v>1749.5327815851601</v>
      </c>
      <c r="C9" s="132">
        <v>1808.3590361348695</v>
      </c>
      <c r="D9" s="132">
        <v>1583.6244927865621</v>
      </c>
      <c r="E9" s="132">
        <v>2210.2573433869911</v>
      </c>
      <c r="F9" s="132">
        <v>2348.5797248022373</v>
      </c>
      <c r="G9" s="132">
        <v>2565.364663417527</v>
      </c>
      <c r="H9" s="132">
        <v>2273.0871011438903</v>
      </c>
      <c r="I9" s="132">
        <v>2431.613942450876</v>
      </c>
      <c r="J9" s="132">
        <v>2249.9160588675368</v>
      </c>
      <c r="K9" s="132">
        <v>2822.3806757882644</v>
      </c>
      <c r="L9" s="132">
        <v>3318.0317355033917</v>
      </c>
      <c r="M9" s="132">
        <v>2434.1609852272359</v>
      </c>
      <c r="N9" s="132">
        <v>2999.6341101034391</v>
      </c>
      <c r="O9" s="132">
        <v>3265.8597635169722</v>
      </c>
      <c r="P9" s="132">
        <v>2718.2826638856991</v>
      </c>
      <c r="Q9" s="132">
        <v>2929.5647802522922</v>
      </c>
      <c r="R9" s="132">
        <v>3062.0959478572699</v>
      </c>
      <c r="S9" s="132">
        <v>3289.5301303472206</v>
      </c>
      <c r="T9" s="132">
        <v>3523.7436852018641</v>
      </c>
      <c r="U9" s="132">
        <v>3549.7005877243937</v>
      </c>
      <c r="V9" s="132">
        <v>3319.0063218491618</v>
      </c>
      <c r="W9" s="132">
        <v>3736.4639281560999</v>
      </c>
      <c r="X9" s="132">
        <v>3156.8905659613929</v>
      </c>
      <c r="Y9" s="132">
        <v>2885.5709548182735</v>
      </c>
      <c r="DA9" s="156" t="s">
        <v>307</v>
      </c>
    </row>
    <row r="10" spans="1:105" ht="12" customHeight="1" x14ac:dyDescent="0.25">
      <c r="A10" s="131" t="s">
        <v>128</v>
      </c>
      <c r="B10" s="132">
        <v>129.65357388978458</v>
      </c>
      <c r="C10" s="132">
        <v>159.16728014425024</v>
      </c>
      <c r="D10" s="132">
        <v>194.26208836411749</v>
      </c>
      <c r="E10" s="132">
        <v>228.74632829654681</v>
      </c>
      <c r="F10" s="132">
        <v>245.6565567844064</v>
      </c>
      <c r="G10" s="132">
        <v>135.45261248022203</v>
      </c>
      <c r="H10" s="132">
        <v>96.184831986386868</v>
      </c>
      <c r="I10" s="132">
        <v>160.29020292320965</v>
      </c>
      <c r="J10" s="132">
        <v>177.63369395234352</v>
      </c>
      <c r="K10" s="132">
        <v>236.778802349926</v>
      </c>
      <c r="L10" s="132">
        <v>201.7318626434934</v>
      </c>
      <c r="M10" s="132">
        <v>130.40961472693274</v>
      </c>
      <c r="N10" s="132">
        <v>164.74391730696851</v>
      </c>
      <c r="O10" s="132">
        <v>233.08507671680238</v>
      </c>
      <c r="P10" s="132">
        <v>203.54021646087566</v>
      </c>
      <c r="Q10" s="132">
        <v>190.94999139446259</v>
      </c>
      <c r="R10" s="132">
        <v>212.09331281507363</v>
      </c>
      <c r="S10" s="132">
        <v>218.54742790667609</v>
      </c>
      <c r="T10" s="132">
        <v>199.19503333556773</v>
      </c>
      <c r="U10" s="132">
        <v>202.73768202339821</v>
      </c>
      <c r="V10" s="132">
        <v>212.8557710356784</v>
      </c>
      <c r="W10" s="132">
        <v>259.5092123537874</v>
      </c>
      <c r="X10" s="132">
        <v>309.54498862420655</v>
      </c>
      <c r="Y10" s="132">
        <v>279.78819783748185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34.07349589997326</v>
      </c>
      <c r="E11" s="132">
        <v>34.370679670641309</v>
      </c>
      <c r="F11" s="132">
        <v>34.629235662897017</v>
      </c>
      <c r="G11" s="132">
        <v>11.790793676049969</v>
      </c>
      <c r="H11" s="132">
        <v>11.790793676049971</v>
      </c>
      <c r="I11" s="132">
        <v>11.790793676049971</v>
      </c>
      <c r="J11" s="132">
        <v>11.790793676049969</v>
      </c>
      <c r="K11" s="132">
        <v>11.784180231389964</v>
      </c>
      <c r="L11" s="132">
        <v>11.803720576919948</v>
      </c>
      <c r="M11" s="132">
        <v>14.648359535101173</v>
      </c>
      <c r="N11" s="132">
        <v>14.668655742239247</v>
      </c>
      <c r="O11" s="132">
        <v>14.676347434407729</v>
      </c>
      <c r="P11" s="132">
        <v>13.907292389123437</v>
      </c>
      <c r="Q11" s="132">
        <v>14.038332444846569</v>
      </c>
      <c r="R11" s="132">
        <v>14.212050440124125</v>
      </c>
      <c r="S11" s="132">
        <v>14.426006529144212</v>
      </c>
      <c r="T11" s="132">
        <v>14.702314894306262</v>
      </c>
      <c r="U11" s="132">
        <v>14.745416314016291</v>
      </c>
      <c r="V11" s="132">
        <v>14.76219554191556</v>
      </c>
      <c r="W11" s="132">
        <v>14.790118547373737</v>
      </c>
      <c r="X11" s="132">
        <v>14.819108949693712</v>
      </c>
      <c r="Y11" s="132">
        <v>14.852490476756035</v>
      </c>
      <c r="DA11" s="156" t="s">
        <v>309</v>
      </c>
    </row>
    <row r="12" spans="1:105" ht="12" customHeight="1" x14ac:dyDescent="0.25">
      <c r="A12" s="131" t="s">
        <v>162</v>
      </c>
      <c r="B12" s="132">
        <v>845.81974123543034</v>
      </c>
      <c r="C12" s="132">
        <v>1046.7487030577693</v>
      </c>
      <c r="D12" s="132">
        <v>1099.0460794154849</v>
      </c>
      <c r="E12" s="132">
        <v>1063.348490076587</v>
      </c>
      <c r="F12" s="132">
        <v>1080.0266621989363</v>
      </c>
      <c r="G12" s="132">
        <v>1125.0918776001072</v>
      </c>
      <c r="H12" s="132">
        <v>1053.4906724673392</v>
      </c>
      <c r="I12" s="132">
        <v>522.57156726231392</v>
      </c>
      <c r="J12" s="132">
        <v>568.15740719713403</v>
      </c>
      <c r="K12" s="132">
        <v>492.48995031727048</v>
      </c>
      <c r="L12" s="132">
        <v>560.71695026781742</v>
      </c>
      <c r="M12" s="132">
        <v>473.80892045099199</v>
      </c>
      <c r="N12" s="132">
        <v>475.20595706299542</v>
      </c>
      <c r="O12" s="132">
        <v>508.54793607764935</v>
      </c>
      <c r="P12" s="132">
        <v>486.31487503881254</v>
      </c>
      <c r="Q12" s="132">
        <v>532.71462719221108</v>
      </c>
      <c r="R12" s="132">
        <v>595.02347023570906</v>
      </c>
      <c r="S12" s="132">
        <v>618.04976436087998</v>
      </c>
      <c r="T12" s="132">
        <v>604.45130399337006</v>
      </c>
      <c r="U12" s="132">
        <v>610.93146606895004</v>
      </c>
      <c r="V12" s="132">
        <v>630.97450729666275</v>
      </c>
      <c r="W12" s="132">
        <v>721.84187935964371</v>
      </c>
      <c r="X12" s="132">
        <v>666.16261634708985</v>
      </c>
      <c r="Y12" s="132">
        <v>630.96097661922863</v>
      </c>
      <c r="DA12" s="156" t="s">
        <v>310</v>
      </c>
    </row>
    <row r="13" spans="1:105" ht="12" customHeight="1" x14ac:dyDescent="0.25">
      <c r="A13" s="131" t="s">
        <v>77</v>
      </c>
      <c r="B13" s="132">
        <v>68.586093849372801</v>
      </c>
      <c r="C13" s="132">
        <v>77.652187419815561</v>
      </c>
      <c r="D13" s="132">
        <v>95.984715017018161</v>
      </c>
      <c r="E13" s="132">
        <v>109.75217846027267</v>
      </c>
      <c r="F13" s="132">
        <v>124.86281816497555</v>
      </c>
      <c r="G13" s="132">
        <v>153.81996688267787</v>
      </c>
      <c r="H13" s="132">
        <v>174.36432199361667</v>
      </c>
      <c r="I13" s="132">
        <v>187.4522255764328</v>
      </c>
      <c r="J13" s="132">
        <v>222.28591977896698</v>
      </c>
      <c r="K13" s="132">
        <v>247.40426060241268</v>
      </c>
      <c r="L13" s="132">
        <v>276.8463357229013</v>
      </c>
      <c r="M13" s="132">
        <v>430.13213494868182</v>
      </c>
      <c r="N13" s="132">
        <v>508.66422705976993</v>
      </c>
      <c r="O13" s="132">
        <v>565.40128366569218</v>
      </c>
      <c r="P13" s="132">
        <v>480.68102487282027</v>
      </c>
      <c r="Q13" s="132">
        <v>513.30488118041535</v>
      </c>
      <c r="R13" s="132">
        <v>563.71867642913935</v>
      </c>
      <c r="S13" s="132">
        <v>545.77956697641866</v>
      </c>
      <c r="T13" s="132">
        <v>511.9855387936542</v>
      </c>
      <c r="U13" s="132">
        <v>528.79632537260591</v>
      </c>
      <c r="V13" s="132">
        <v>503.12870601889938</v>
      </c>
      <c r="W13" s="132">
        <v>592.29666260542331</v>
      </c>
      <c r="X13" s="132">
        <v>310.89767970591527</v>
      </c>
      <c r="Y13" s="132">
        <v>319.37209037202757</v>
      </c>
      <c r="DA13" s="156" t="s">
        <v>311</v>
      </c>
    </row>
    <row r="14" spans="1:105" ht="12" customHeight="1" x14ac:dyDescent="0.25">
      <c r="A14" s="60" t="s">
        <v>76</v>
      </c>
      <c r="B14" s="65">
        <v>2230.5045452881941</v>
      </c>
      <c r="C14" s="65">
        <v>2324.051938685247</v>
      </c>
      <c r="D14" s="65">
        <v>2313.4458591487323</v>
      </c>
      <c r="E14" s="65">
        <v>2395.8192464831759</v>
      </c>
      <c r="F14" s="65">
        <v>2588.7885025931114</v>
      </c>
      <c r="G14" s="65">
        <v>2490.782531865787</v>
      </c>
      <c r="H14" s="65">
        <v>2550.9054459446502</v>
      </c>
      <c r="I14" s="65">
        <v>2646.8342717665578</v>
      </c>
      <c r="J14" s="65">
        <v>2477.6647665990586</v>
      </c>
      <c r="K14" s="65">
        <v>2766.2915195609962</v>
      </c>
      <c r="L14" s="65">
        <v>3149.8134770160614</v>
      </c>
      <c r="M14" s="65">
        <v>2478.1390501520168</v>
      </c>
      <c r="N14" s="65">
        <v>2682.7657946382606</v>
      </c>
      <c r="O14" s="65">
        <v>2659.0141825664273</v>
      </c>
      <c r="P14" s="65">
        <v>2196.1581800309227</v>
      </c>
      <c r="Q14" s="65">
        <v>2356.4610903877028</v>
      </c>
      <c r="R14" s="65">
        <v>2366.691484053707</v>
      </c>
      <c r="S14" s="65">
        <v>2329.2936170305629</v>
      </c>
      <c r="T14" s="65">
        <v>2268.2999967032247</v>
      </c>
      <c r="U14" s="65">
        <v>2131.0402273815571</v>
      </c>
      <c r="V14" s="65">
        <v>1843.2941949120909</v>
      </c>
      <c r="W14" s="65">
        <v>2228.0122135692163</v>
      </c>
      <c r="X14" s="65">
        <v>2109.3023289860312</v>
      </c>
      <c r="Y14" s="65">
        <v>1560.5366872093346</v>
      </c>
      <c r="DA14" s="109" t="s">
        <v>312</v>
      </c>
    </row>
    <row r="15" spans="1:105" ht="12" customHeight="1" x14ac:dyDescent="0.25">
      <c r="A15" s="133" t="s">
        <v>80</v>
      </c>
      <c r="B15" s="134">
        <v>81.214960997203335</v>
      </c>
      <c r="C15" s="134">
        <v>85.783361663466593</v>
      </c>
      <c r="D15" s="134">
        <v>73.297151305812861</v>
      </c>
      <c r="E15" s="134">
        <v>85.298957563561729</v>
      </c>
      <c r="F15" s="134">
        <v>86.195185737498903</v>
      </c>
      <c r="G15" s="134">
        <v>86.180276193284001</v>
      </c>
      <c r="H15" s="134">
        <v>76.86217837681987</v>
      </c>
      <c r="I15" s="134">
        <v>73.065357861525698</v>
      </c>
      <c r="J15" s="134">
        <v>74.451029894254447</v>
      </c>
      <c r="K15" s="134">
        <v>82.647714870785151</v>
      </c>
      <c r="L15" s="134">
        <v>87.878346844968959</v>
      </c>
      <c r="M15" s="134">
        <v>66.028892430853773</v>
      </c>
      <c r="N15" s="134">
        <v>75.096166928998741</v>
      </c>
      <c r="O15" s="134">
        <v>80.929313115565662</v>
      </c>
      <c r="P15" s="134">
        <v>72.718960310296282</v>
      </c>
      <c r="Q15" s="134">
        <v>75.385222600284848</v>
      </c>
      <c r="R15" s="134">
        <v>71.757307769438825</v>
      </c>
      <c r="S15" s="134">
        <v>78.262127066168077</v>
      </c>
      <c r="T15" s="134">
        <v>79.870861205716352</v>
      </c>
      <c r="U15" s="134">
        <v>79.746780975025601</v>
      </c>
      <c r="V15" s="134">
        <v>78.07575871631073</v>
      </c>
      <c r="W15" s="134">
        <v>83.171855630600163</v>
      </c>
      <c r="X15" s="134">
        <v>76.988914585393786</v>
      </c>
      <c r="Y15" s="134">
        <v>68.641310813924704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530.35877553232785</v>
      </c>
      <c r="C16" s="130">
        <f t="shared" si="6"/>
        <v>610.55732010493489</v>
      </c>
      <c r="D16" s="130">
        <f t="shared" si="6"/>
        <v>634.30826338111331</v>
      </c>
      <c r="E16" s="130">
        <f t="shared" si="6"/>
        <v>1191.3779620753214</v>
      </c>
      <c r="F16" s="130">
        <f t="shared" si="6"/>
        <v>747.57569982615394</v>
      </c>
      <c r="G16" s="130">
        <f t="shared" si="6"/>
        <v>868.03126860015425</v>
      </c>
      <c r="H16" s="130">
        <f t="shared" si="6"/>
        <v>1110.3537269824353</v>
      </c>
      <c r="I16" s="130">
        <f t="shared" si="6"/>
        <v>949.99392824487666</v>
      </c>
      <c r="J16" s="130">
        <f t="shared" si="6"/>
        <v>1030.023716602321</v>
      </c>
      <c r="K16" s="130">
        <f t="shared" si="6"/>
        <v>1165.114313310323</v>
      </c>
      <c r="L16" s="130">
        <f t="shared" si="6"/>
        <v>1196.7753551465892</v>
      </c>
      <c r="M16" s="130">
        <f t="shared" si="6"/>
        <v>1226.4902486814597</v>
      </c>
      <c r="N16" s="130">
        <f t="shared" si="6"/>
        <v>1312.9411915574055</v>
      </c>
      <c r="O16" s="130">
        <f t="shared" si="6"/>
        <v>1330.3295161318188</v>
      </c>
      <c r="P16" s="130">
        <f t="shared" si="6"/>
        <v>1285.1676554284657</v>
      </c>
      <c r="Q16" s="130">
        <f t="shared" si="6"/>
        <v>1662.87764549337</v>
      </c>
      <c r="R16" s="130">
        <f t="shared" ref="R16:W16" si="7">SUM(R17:R18)</f>
        <v>1495.637285513772</v>
      </c>
      <c r="S16" s="130">
        <f t="shared" si="7"/>
        <v>1676.2392076676351</v>
      </c>
      <c r="T16" s="130">
        <f t="shared" si="7"/>
        <v>1706.0624864503486</v>
      </c>
      <c r="U16" s="130">
        <f t="shared" si="7"/>
        <v>1771.47272978602</v>
      </c>
      <c r="V16" s="130">
        <f t="shared" si="7"/>
        <v>1821.0435491333608</v>
      </c>
      <c r="W16" s="130">
        <f t="shared" si="7"/>
        <v>1547.5243686940553</v>
      </c>
      <c r="X16" s="130">
        <f t="shared" ref="X16:Y16" si="8">SUM(X17:X18)</f>
        <v>2290.4228594719052</v>
      </c>
      <c r="Y16" s="130">
        <f t="shared" si="8"/>
        <v>2067.7303667471774</v>
      </c>
      <c r="DA16" s="155" t="s">
        <v>314</v>
      </c>
    </row>
    <row r="17" spans="1:105" ht="12.95" customHeight="1" x14ac:dyDescent="0.25">
      <c r="A17" s="131" t="s">
        <v>73</v>
      </c>
      <c r="B17" s="132">
        <v>1.4809954947763484</v>
      </c>
      <c r="C17" s="132">
        <v>1.9285102704652732</v>
      </c>
      <c r="D17" s="132">
        <v>2.1657371773861702</v>
      </c>
      <c r="E17" s="132">
        <v>5.9061749477187666</v>
      </c>
      <c r="F17" s="132">
        <v>3.3359048013168273</v>
      </c>
      <c r="G17" s="132">
        <v>3.6542844788522184</v>
      </c>
      <c r="H17" s="132">
        <v>6.7121982791699759</v>
      </c>
      <c r="I17" s="132">
        <v>6.2048844359045763</v>
      </c>
      <c r="J17" s="132">
        <v>7.8522610151170911</v>
      </c>
      <c r="K17" s="132">
        <v>9.162715090910222</v>
      </c>
      <c r="L17" s="132">
        <v>10.608583200518677</v>
      </c>
      <c r="M17" s="132">
        <v>14.472021851018141</v>
      </c>
      <c r="N17" s="132">
        <v>22.344013061187358</v>
      </c>
      <c r="O17" s="132">
        <v>27.65395936397292</v>
      </c>
      <c r="P17" s="132">
        <v>28.698578679043742</v>
      </c>
      <c r="Q17" s="132">
        <v>46.362784269112126</v>
      </c>
      <c r="R17" s="132">
        <v>45.10556345772693</v>
      </c>
      <c r="S17" s="132">
        <v>57.530904709247693</v>
      </c>
      <c r="T17" s="132">
        <v>63.265997397524316</v>
      </c>
      <c r="U17" s="132">
        <v>70.917056823852761</v>
      </c>
      <c r="V17" s="132">
        <v>73.512104058900889</v>
      </c>
      <c r="W17" s="132">
        <v>61.416051394334396</v>
      </c>
      <c r="X17" s="132">
        <v>97.715164450847951</v>
      </c>
      <c r="Y17" s="132">
        <v>94.808993453440863</v>
      </c>
      <c r="DA17" s="156" t="s">
        <v>315</v>
      </c>
    </row>
    <row r="18" spans="1:105" ht="12" customHeight="1" x14ac:dyDescent="0.25">
      <c r="A18" s="131" t="s">
        <v>72</v>
      </c>
      <c r="B18" s="132">
        <v>528.87778003755147</v>
      </c>
      <c r="C18" s="132">
        <v>608.62880983446962</v>
      </c>
      <c r="D18" s="132">
        <v>632.14252620372713</v>
      </c>
      <c r="E18" s="132">
        <v>1185.4717871276027</v>
      </c>
      <c r="F18" s="132">
        <v>744.23979502483712</v>
      </c>
      <c r="G18" s="132">
        <v>864.37698412130203</v>
      </c>
      <c r="H18" s="132">
        <v>1103.6415287032653</v>
      </c>
      <c r="I18" s="132">
        <v>943.78904380897211</v>
      </c>
      <c r="J18" s="132">
        <v>1022.1714555872038</v>
      </c>
      <c r="K18" s="132">
        <v>1155.9515982194127</v>
      </c>
      <c r="L18" s="132">
        <v>1186.1667719460704</v>
      </c>
      <c r="M18" s="132">
        <v>1212.0182268304416</v>
      </c>
      <c r="N18" s="132">
        <v>1290.5971784962182</v>
      </c>
      <c r="O18" s="132">
        <v>1302.6755567678458</v>
      </c>
      <c r="P18" s="132">
        <v>1256.4690767494219</v>
      </c>
      <c r="Q18" s="132">
        <v>1616.5148612242579</v>
      </c>
      <c r="R18" s="132">
        <v>1450.5317220560451</v>
      </c>
      <c r="S18" s="132">
        <v>1618.7083029583873</v>
      </c>
      <c r="T18" s="132">
        <v>1642.7964890528242</v>
      </c>
      <c r="U18" s="132">
        <v>1700.5556729621671</v>
      </c>
      <c r="V18" s="132">
        <v>1747.53144507446</v>
      </c>
      <c r="W18" s="132">
        <v>1486.108317299721</v>
      </c>
      <c r="X18" s="132">
        <v>2192.7076950210571</v>
      </c>
      <c r="Y18" s="132">
        <v>1972.9213732937365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1214.6289535718979</v>
      </c>
      <c r="C19" s="130">
        <f t="shared" si="9"/>
        <v>1213.6034124811583</v>
      </c>
      <c r="D19" s="130">
        <f t="shared" si="9"/>
        <v>1232.7018336053698</v>
      </c>
      <c r="E19" s="130">
        <f t="shared" si="9"/>
        <v>1224.3643110883093</v>
      </c>
      <c r="F19" s="130">
        <f t="shared" si="9"/>
        <v>1277.6148246418252</v>
      </c>
      <c r="G19" s="130">
        <f t="shared" si="9"/>
        <v>1284.9117868271624</v>
      </c>
      <c r="H19" s="130">
        <f t="shared" si="9"/>
        <v>1282.4611796039444</v>
      </c>
      <c r="I19" s="130">
        <f t="shared" si="9"/>
        <v>1291.832380832031</v>
      </c>
      <c r="J19" s="130">
        <f t="shared" si="9"/>
        <v>1339.6633688318823</v>
      </c>
      <c r="K19" s="130">
        <f t="shared" si="9"/>
        <v>1374.3147698885628</v>
      </c>
      <c r="L19" s="130">
        <f t="shared" si="9"/>
        <v>1385.0317726652227</v>
      </c>
      <c r="M19" s="130">
        <f t="shared" si="9"/>
        <v>1388.88411658993</v>
      </c>
      <c r="N19" s="130">
        <f t="shared" si="9"/>
        <v>1424.0400539737936</v>
      </c>
      <c r="O19" s="130">
        <f t="shared" si="9"/>
        <v>1453.0880009043028</v>
      </c>
      <c r="P19" s="130">
        <f t="shared" si="9"/>
        <v>1514.4136768191195</v>
      </c>
      <c r="Q19" s="130">
        <f t="shared" si="9"/>
        <v>1515.2562272993944</v>
      </c>
      <c r="R19" s="130">
        <f t="shared" ref="R19:W19" si="10">SUM(R20:R27)</f>
        <v>1506.6835852621623</v>
      </c>
      <c r="S19" s="130">
        <f t="shared" si="10"/>
        <v>1540.9780275876897</v>
      </c>
      <c r="T19" s="130">
        <f t="shared" si="10"/>
        <v>1580.8149201576862</v>
      </c>
      <c r="U19" s="130">
        <f t="shared" si="10"/>
        <v>1555.1587995333537</v>
      </c>
      <c r="V19" s="130">
        <f t="shared" si="10"/>
        <v>1475.6855710279103</v>
      </c>
      <c r="W19" s="130">
        <f t="shared" si="10"/>
        <v>1570.5771010969495</v>
      </c>
      <c r="X19" s="130">
        <f t="shared" ref="X19:Y19" si="11">SUM(X20:X27)</f>
        <v>1629.9689232214564</v>
      </c>
      <c r="Y19" s="130">
        <f t="shared" si="11"/>
        <v>1630.0532611653089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30.398720298302905</v>
      </c>
      <c r="C21" s="132">
        <v>32.012226223219081</v>
      </c>
      <c r="D21" s="132">
        <v>35.703481450781275</v>
      </c>
      <c r="E21" s="132">
        <v>38.046738989677905</v>
      </c>
      <c r="F21" s="132">
        <v>38.790928145442201</v>
      </c>
      <c r="G21" s="132">
        <v>37.590282517778888</v>
      </c>
      <c r="H21" s="132">
        <v>39.55884903185639</v>
      </c>
      <c r="I21" s="132">
        <v>40.603587628405045</v>
      </c>
      <c r="J21" s="132">
        <v>41.27784448815607</v>
      </c>
      <c r="K21" s="132">
        <v>42.195891740663257</v>
      </c>
      <c r="L21" s="132">
        <v>39.607249149533146</v>
      </c>
      <c r="M21" s="132">
        <v>25.360793078783047</v>
      </c>
      <c r="N21" s="132">
        <v>37.378778614448812</v>
      </c>
      <c r="O21" s="132">
        <v>35.434347632414521</v>
      </c>
      <c r="P21" s="132">
        <v>32.758385509567169</v>
      </c>
      <c r="Q21" s="132">
        <v>33.196809479416139</v>
      </c>
      <c r="R21" s="132">
        <v>32.081805145950703</v>
      </c>
      <c r="S21" s="132">
        <v>31.669706679681465</v>
      </c>
      <c r="T21" s="132">
        <v>24.296831935100933</v>
      </c>
      <c r="U21" s="132">
        <v>21.654124048523258</v>
      </c>
      <c r="V21" s="132">
        <v>20.369929463633259</v>
      </c>
      <c r="W21" s="132">
        <v>11.788508865665539</v>
      </c>
      <c r="X21" s="132">
        <v>14.578489313854199</v>
      </c>
      <c r="Y21" s="132">
        <v>14.162362747027299</v>
      </c>
      <c r="DA21" s="156" t="s">
        <v>319</v>
      </c>
    </row>
    <row r="22" spans="1:105" ht="12" customHeight="1" x14ac:dyDescent="0.25">
      <c r="A22" s="131" t="s">
        <v>161</v>
      </c>
      <c r="B22" s="132">
        <v>214.14440691552696</v>
      </c>
      <c r="C22" s="132">
        <v>217.62687687663649</v>
      </c>
      <c r="D22" s="132">
        <v>216.418562295746</v>
      </c>
      <c r="E22" s="132">
        <v>216.5767457669308</v>
      </c>
      <c r="F22" s="132">
        <v>219.44525483316423</v>
      </c>
      <c r="G22" s="132">
        <v>217.76938210428781</v>
      </c>
      <c r="H22" s="132">
        <v>208.52408961115651</v>
      </c>
      <c r="I22" s="132">
        <v>198.43076910784151</v>
      </c>
      <c r="J22" s="132">
        <v>202.2511068427774</v>
      </c>
      <c r="K22" s="132">
        <v>200.83933971619985</v>
      </c>
      <c r="L22" s="132">
        <v>190.24525983465824</v>
      </c>
      <c r="M22" s="132">
        <v>179.10860651817183</v>
      </c>
      <c r="N22" s="132">
        <v>196.42871702711392</v>
      </c>
      <c r="O22" s="132">
        <v>202.3745925323166</v>
      </c>
      <c r="P22" s="132">
        <v>245.95172557580702</v>
      </c>
      <c r="Q22" s="132">
        <v>249.61798728815072</v>
      </c>
      <c r="R22" s="132">
        <v>182.10398002862385</v>
      </c>
      <c r="S22" s="132">
        <v>214.06366159714221</v>
      </c>
      <c r="T22" s="132">
        <v>185.83045699959777</v>
      </c>
      <c r="U22" s="132">
        <v>174.06595965992832</v>
      </c>
      <c r="V22" s="132">
        <v>194.0751802723037</v>
      </c>
      <c r="W22" s="132">
        <v>151.42189647766315</v>
      </c>
      <c r="X22" s="132">
        <v>193.7501601426396</v>
      </c>
      <c r="Y22" s="132">
        <v>168.86013249242697</v>
      </c>
      <c r="DA22" s="156" t="s">
        <v>320</v>
      </c>
    </row>
    <row r="23" spans="1:105" ht="12" customHeight="1" x14ac:dyDescent="0.25">
      <c r="A23" s="131" t="s">
        <v>149</v>
      </c>
      <c r="B23" s="132">
        <v>221.57657318244335</v>
      </c>
      <c r="C23" s="132">
        <v>221.31392216454765</v>
      </c>
      <c r="D23" s="132">
        <v>222.24928125867999</v>
      </c>
      <c r="E23" s="132">
        <v>227.92082585073811</v>
      </c>
      <c r="F23" s="132">
        <v>226.38033501719588</v>
      </c>
      <c r="G23" s="132">
        <v>212.12329807856304</v>
      </c>
      <c r="H23" s="132">
        <v>203.08452093909122</v>
      </c>
      <c r="I23" s="132">
        <v>205.88893602772552</v>
      </c>
      <c r="J23" s="132">
        <v>205.45039895109733</v>
      </c>
      <c r="K23" s="132">
        <v>230.19507641308005</v>
      </c>
      <c r="L23" s="132">
        <v>223.83350439157954</v>
      </c>
      <c r="M23" s="132">
        <v>251.46765265158123</v>
      </c>
      <c r="N23" s="132">
        <v>196.62327032746023</v>
      </c>
      <c r="O23" s="132">
        <v>222.01431434465428</v>
      </c>
      <c r="P23" s="132">
        <v>233.1527310758307</v>
      </c>
      <c r="Q23" s="132">
        <v>232.86000655799964</v>
      </c>
      <c r="R23" s="132">
        <v>261.1494973150223</v>
      </c>
      <c r="S23" s="132">
        <v>251.14124207141032</v>
      </c>
      <c r="T23" s="132">
        <v>254.67615954706574</v>
      </c>
      <c r="U23" s="132">
        <v>257.59723689359583</v>
      </c>
      <c r="V23" s="132">
        <v>238.17078154811648</v>
      </c>
      <c r="W23" s="132">
        <v>300.59634902979667</v>
      </c>
      <c r="X23" s="132">
        <v>294.38207342959385</v>
      </c>
      <c r="Y23" s="132">
        <v>294.56547786498749</v>
      </c>
      <c r="DA23" s="156" t="s">
        <v>321</v>
      </c>
    </row>
    <row r="24" spans="1:105" ht="12" customHeight="1" x14ac:dyDescent="0.25">
      <c r="A24" s="131" t="s">
        <v>128</v>
      </c>
      <c r="B24" s="132">
        <v>9.8185184167211297</v>
      </c>
      <c r="C24" s="132">
        <v>9.5923295926261325</v>
      </c>
      <c r="D24" s="132">
        <v>9.9191887126406506</v>
      </c>
      <c r="E24" s="132">
        <v>10.325329364747731</v>
      </c>
      <c r="F24" s="132">
        <v>11.213321704046006</v>
      </c>
      <c r="G24" s="132">
        <v>11.619058749287277</v>
      </c>
      <c r="H24" s="132">
        <v>11.910885978369238</v>
      </c>
      <c r="I24" s="132">
        <v>14.440630046385754</v>
      </c>
      <c r="J24" s="132">
        <v>14.567063401771811</v>
      </c>
      <c r="K24" s="132">
        <v>16.109318244375118</v>
      </c>
      <c r="L24" s="132">
        <v>17.393254148306148</v>
      </c>
      <c r="M24" s="132">
        <v>10.707563354614997</v>
      </c>
      <c r="N24" s="132">
        <v>11.571029908437776</v>
      </c>
      <c r="O24" s="132">
        <v>15.32193902978897</v>
      </c>
      <c r="P24" s="132">
        <v>12.360609678136333</v>
      </c>
      <c r="Q24" s="132">
        <v>10.040191863886998</v>
      </c>
      <c r="R24" s="132">
        <v>11.177317945157853</v>
      </c>
      <c r="S24" s="132">
        <v>11.738157711037671</v>
      </c>
      <c r="T24" s="132">
        <v>12.073125068714404</v>
      </c>
      <c r="U24" s="132">
        <v>13.298467923106411</v>
      </c>
      <c r="V24" s="132">
        <v>14.944919670838534</v>
      </c>
      <c r="W24" s="132">
        <v>17.765865045897701</v>
      </c>
      <c r="X24" s="132">
        <v>21.539102930865891</v>
      </c>
      <c r="Y24" s="132">
        <v>22.299838643593592</v>
      </c>
      <c r="DA24" s="156" t="s">
        <v>322</v>
      </c>
    </row>
    <row r="25" spans="1:105" ht="12" customHeight="1" x14ac:dyDescent="0.25">
      <c r="A25" s="131" t="s">
        <v>162</v>
      </c>
      <c r="B25" s="132">
        <v>90.287837960391457</v>
      </c>
      <c r="C25" s="132">
        <v>93.318391333804087</v>
      </c>
      <c r="D25" s="132">
        <v>92.485848285315399</v>
      </c>
      <c r="E25" s="132">
        <v>95.051727648288278</v>
      </c>
      <c r="F25" s="132">
        <v>97.809273362056757</v>
      </c>
      <c r="G25" s="132">
        <v>97.68961959017166</v>
      </c>
      <c r="H25" s="132">
        <v>96.604770821509263</v>
      </c>
      <c r="I25" s="132">
        <v>49.048384794315915</v>
      </c>
      <c r="J25" s="132">
        <v>54.59217477560729</v>
      </c>
      <c r="K25" s="132">
        <v>62.862757932961145</v>
      </c>
      <c r="L25" s="132">
        <v>57.301282066158869</v>
      </c>
      <c r="M25" s="132">
        <v>55.47660780100184</v>
      </c>
      <c r="N25" s="132">
        <v>69.743302888160756</v>
      </c>
      <c r="O25" s="132">
        <v>73.608723784872026</v>
      </c>
      <c r="P25" s="132">
        <v>65.907879219179904</v>
      </c>
      <c r="Q25" s="132">
        <v>69.762697102632899</v>
      </c>
      <c r="R25" s="132">
        <v>76.845644510788148</v>
      </c>
      <c r="S25" s="132">
        <v>76.260139443517986</v>
      </c>
      <c r="T25" s="132">
        <v>89.966406899865802</v>
      </c>
      <c r="U25" s="132">
        <v>83.748570290147015</v>
      </c>
      <c r="V25" s="132">
        <v>82.648356396993236</v>
      </c>
      <c r="W25" s="132">
        <v>74.009594766538342</v>
      </c>
      <c r="X25" s="132">
        <v>65.434814674244151</v>
      </c>
      <c r="Y25" s="132">
        <v>59.656878750598452</v>
      </c>
      <c r="DA25" s="156" t="s">
        <v>323</v>
      </c>
    </row>
    <row r="26" spans="1:105" ht="12" customHeight="1" x14ac:dyDescent="0.25">
      <c r="A26" s="131" t="s">
        <v>24</v>
      </c>
      <c r="B26" s="65">
        <v>648.4028967985123</v>
      </c>
      <c r="C26" s="65">
        <v>639.73966629032486</v>
      </c>
      <c r="D26" s="65">
        <v>655.92547160220658</v>
      </c>
      <c r="E26" s="65">
        <v>636.4429434679264</v>
      </c>
      <c r="F26" s="65">
        <v>683.97571157992024</v>
      </c>
      <c r="G26" s="65">
        <v>706.35264793668671</v>
      </c>
      <c r="H26" s="65">
        <v>720.96284396142869</v>
      </c>
      <c r="I26" s="65">
        <v>781.36598896252508</v>
      </c>
      <c r="J26" s="65">
        <v>819.04077349371062</v>
      </c>
      <c r="K26" s="65">
        <v>819.22236004592628</v>
      </c>
      <c r="L26" s="65">
        <v>853.30737096836594</v>
      </c>
      <c r="M26" s="65">
        <v>861.34861975499462</v>
      </c>
      <c r="N26" s="65">
        <v>903.57105151083772</v>
      </c>
      <c r="O26" s="65">
        <v>894.31327532574232</v>
      </c>
      <c r="P26" s="65">
        <v>913.43419442783818</v>
      </c>
      <c r="Q26" s="65">
        <v>908.22625641745412</v>
      </c>
      <c r="R26" s="65">
        <v>931.24425691163231</v>
      </c>
      <c r="S26" s="65">
        <v>943.61689996452162</v>
      </c>
      <c r="T26" s="65">
        <v>1001.145628443369</v>
      </c>
      <c r="U26" s="65">
        <v>991.55867115657384</v>
      </c>
      <c r="V26" s="65">
        <v>912.04777082993724</v>
      </c>
      <c r="W26" s="65">
        <v>1001.6030554410528</v>
      </c>
      <c r="X26" s="65">
        <v>1027.1892698325803</v>
      </c>
      <c r="Y26" s="65">
        <v>1057.3995422917826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1.7674978503869301</v>
      </c>
      <c r="H27" s="145">
        <v>1.8152192605331041</v>
      </c>
      <c r="I27" s="145">
        <v>2.0540842648323303</v>
      </c>
      <c r="J27" s="145">
        <v>2.4840068787618232</v>
      </c>
      <c r="K27" s="145">
        <v>2.8900257953568351</v>
      </c>
      <c r="L27" s="145">
        <v>3.3438521066208091</v>
      </c>
      <c r="M27" s="145">
        <v>5.4142734307824583</v>
      </c>
      <c r="N27" s="145">
        <v>8.7239036973344817</v>
      </c>
      <c r="O27" s="145">
        <v>10.02080825451419</v>
      </c>
      <c r="P27" s="145">
        <v>10.848151332760098</v>
      </c>
      <c r="Q27" s="145">
        <v>11.552278589853833</v>
      </c>
      <c r="R27" s="145">
        <v>12.081083404987101</v>
      </c>
      <c r="S27" s="145">
        <v>12.488220120378339</v>
      </c>
      <c r="T27" s="145">
        <v>12.826311263972487</v>
      </c>
      <c r="U27" s="145">
        <v>13.235769561478929</v>
      </c>
      <c r="V27" s="145">
        <v>13.428632846087703</v>
      </c>
      <c r="W27" s="145">
        <v>13.39183147033533</v>
      </c>
      <c r="X27" s="145">
        <v>13.095012897678414</v>
      </c>
      <c r="Y27" s="145">
        <v>13.109028374892521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1115.4790979987179</v>
      </c>
      <c r="C29" s="130">
        <f t="shared" si="12"/>
        <v>1137.9508477547517</v>
      </c>
      <c r="D29" s="130">
        <f t="shared" si="12"/>
        <v>1158.4096856715378</v>
      </c>
      <c r="E29" s="130">
        <f t="shared" si="12"/>
        <v>1158.3374915310305</v>
      </c>
      <c r="F29" s="130">
        <f t="shared" si="12"/>
        <v>1196.05800592012</v>
      </c>
      <c r="G29" s="130">
        <f t="shared" si="12"/>
        <v>1218.2641471445731</v>
      </c>
      <c r="H29" s="130">
        <f t="shared" si="12"/>
        <v>1233.421573769755</v>
      </c>
      <c r="I29" s="130">
        <f t="shared" si="12"/>
        <v>1271.0109447437194</v>
      </c>
      <c r="J29" s="130">
        <f t="shared" si="12"/>
        <v>1307.5415903167222</v>
      </c>
      <c r="K29" s="130">
        <f t="shared" si="12"/>
        <v>1359.7628510569732</v>
      </c>
      <c r="L29" s="130">
        <f t="shared" si="12"/>
        <v>1398.0080191392699</v>
      </c>
      <c r="M29" s="130">
        <f t="shared" si="12"/>
        <v>1342.1199919196724</v>
      </c>
      <c r="N29" s="130">
        <f t="shared" si="12"/>
        <v>1451.8270818056717</v>
      </c>
      <c r="O29" s="130">
        <f t="shared" si="12"/>
        <v>1469.1909034739779</v>
      </c>
      <c r="P29" s="130">
        <f t="shared" si="12"/>
        <v>1485.6711181760093</v>
      </c>
      <c r="Q29" s="130">
        <f t="shared" si="12"/>
        <v>1497.3058316787644</v>
      </c>
      <c r="R29" s="130">
        <f t="shared" ref="R29:W29" si="13">SUM(R30:R33)</f>
        <v>1538.5719805622143</v>
      </c>
      <c r="S29" s="130">
        <f t="shared" si="13"/>
        <v>1543.6018053426506</v>
      </c>
      <c r="T29" s="130">
        <f t="shared" si="13"/>
        <v>1594.4015735183425</v>
      </c>
      <c r="U29" s="130">
        <f t="shared" si="13"/>
        <v>1595.7009148886452</v>
      </c>
      <c r="V29" s="130">
        <f t="shared" si="13"/>
        <v>1474.7463766781214</v>
      </c>
      <c r="W29" s="130">
        <f t="shared" si="13"/>
        <v>1542.8192896823246</v>
      </c>
      <c r="X29" s="130">
        <f t="shared" ref="X29:Y29" si="14">SUM(X30:X33)</f>
        <v>1610.5445736694585</v>
      </c>
      <c r="Y29" s="130">
        <f t="shared" si="14"/>
        <v>1654.061776293704</v>
      </c>
      <c r="DA29" s="155" t="s">
        <v>326</v>
      </c>
    </row>
    <row r="30" spans="1:105" ht="12" customHeight="1" x14ac:dyDescent="0.25">
      <c r="A30" s="131" t="s">
        <v>52</v>
      </c>
      <c r="B30" s="132">
        <v>164.73143948146324</v>
      </c>
      <c r="C30" s="132">
        <v>59.60273180711949</v>
      </c>
      <c r="D30" s="132">
        <v>217.34434168591898</v>
      </c>
      <c r="E30" s="132">
        <v>256.83403970327112</v>
      </c>
      <c r="F30" s="132">
        <v>292.60514181030237</v>
      </c>
      <c r="G30" s="132">
        <v>234.07394511855571</v>
      </c>
      <c r="H30" s="132">
        <v>192.06103998389443</v>
      </c>
      <c r="I30" s="132">
        <v>213.29574952382009</v>
      </c>
      <c r="J30" s="132">
        <v>246.04952638707323</v>
      </c>
      <c r="K30" s="132">
        <v>239.17561508266803</v>
      </c>
      <c r="L30" s="132">
        <v>258.67214780797764</v>
      </c>
      <c r="M30" s="132">
        <v>158.00869217918978</v>
      </c>
      <c r="N30" s="132">
        <v>193.18711654099465</v>
      </c>
      <c r="O30" s="132">
        <v>153.81577181847013</v>
      </c>
      <c r="P30" s="132">
        <v>141.07348449977036</v>
      </c>
      <c r="Q30" s="132">
        <v>168.89901139074408</v>
      </c>
      <c r="R30" s="132">
        <v>156.58490868401876</v>
      </c>
      <c r="S30" s="132">
        <v>173.22727140028601</v>
      </c>
      <c r="T30" s="132">
        <v>164.45361302628572</v>
      </c>
      <c r="U30" s="132">
        <v>171.89465437906054</v>
      </c>
      <c r="V30" s="132">
        <v>139.3780374662303</v>
      </c>
      <c r="W30" s="132">
        <v>86.122725969323682</v>
      </c>
      <c r="X30" s="132">
        <v>100.15219514303588</v>
      </c>
      <c r="Y30" s="132">
        <v>108.81449427190611</v>
      </c>
      <c r="DA30" s="156" t="s">
        <v>327</v>
      </c>
    </row>
    <row r="31" spans="1:105" ht="12" customHeight="1" x14ac:dyDescent="0.25">
      <c r="A31" s="131" t="s">
        <v>149</v>
      </c>
      <c r="B31" s="132">
        <v>416.47921743820245</v>
      </c>
      <c r="C31" s="132">
        <v>415.08514223944314</v>
      </c>
      <c r="D31" s="132">
        <v>413.90643956268008</v>
      </c>
      <c r="E31" s="132">
        <v>416.40774887900966</v>
      </c>
      <c r="F31" s="132">
        <v>415.10505457274695</v>
      </c>
      <c r="G31" s="132">
        <v>268.75114547203867</v>
      </c>
      <c r="H31" s="132">
        <v>259.5203590055641</v>
      </c>
      <c r="I31" s="132">
        <v>260.47593879347806</v>
      </c>
      <c r="J31" s="132">
        <v>251.25447318411886</v>
      </c>
      <c r="K31" s="132">
        <v>349.98287182447234</v>
      </c>
      <c r="L31" s="132">
        <v>333.8046669352733</v>
      </c>
      <c r="M31" s="132">
        <v>342.78060250161786</v>
      </c>
      <c r="N31" s="132">
        <v>317.72646759151263</v>
      </c>
      <c r="O31" s="132">
        <v>350.89433941191049</v>
      </c>
      <c r="P31" s="132">
        <v>388.7549611422333</v>
      </c>
      <c r="Q31" s="132">
        <v>416.97924032684546</v>
      </c>
      <c r="R31" s="132">
        <v>402.76955178946383</v>
      </c>
      <c r="S31" s="132">
        <v>417.44643684881464</v>
      </c>
      <c r="T31" s="132">
        <v>429.6115209503015</v>
      </c>
      <c r="U31" s="132">
        <v>428.42136642293326</v>
      </c>
      <c r="V31" s="132">
        <v>398.56648701905499</v>
      </c>
      <c r="W31" s="132">
        <v>549.23892373028878</v>
      </c>
      <c r="X31" s="132">
        <v>454.00214608892685</v>
      </c>
      <c r="Y31" s="132">
        <v>422.42656982094189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534.26844107905231</v>
      </c>
      <c r="C33" s="68">
        <v>663.26297370818918</v>
      </c>
      <c r="D33" s="68">
        <v>527.15890442293869</v>
      </c>
      <c r="E33" s="68">
        <v>485.09570294874976</v>
      </c>
      <c r="F33" s="68">
        <v>488.34780953707065</v>
      </c>
      <c r="G33" s="68">
        <v>715.43905655397862</v>
      </c>
      <c r="H33" s="68">
        <v>781.84017478029648</v>
      </c>
      <c r="I33" s="68">
        <v>797.23925642642132</v>
      </c>
      <c r="J33" s="68">
        <v>810.23759074553016</v>
      </c>
      <c r="K33" s="68">
        <v>770.6043641498328</v>
      </c>
      <c r="L33" s="68">
        <v>805.53120439601878</v>
      </c>
      <c r="M33" s="68">
        <v>841.3306972388649</v>
      </c>
      <c r="N33" s="68">
        <v>940.91349767316456</v>
      </c>
      <c r="O33" s="68">
        <v>964.48079224359719</v>
      </c>
      <c r="P33" s="68">
        <v>955.84267253400549</v>
      </c>
      <c r="Q33" s="68">
        <v>911.42757996117484</v>
      </c>
      <c r="R33" s="68">
        <v>979.2175200887317</v>
      </c>
      <c r="S33" s="68">
        <v>952.92809709354992</v>
      </c>
      <c r="T33" s="68">
        <v>1000.3364395417551</v>
      </c>
      <c r="U33" s="68">
        <v>995.38489408665146</v>
      </c>
      <c r="V33" s="68">
        <v>936.80185219283612</v>
      </c>
      <c r="W33" s="68">
        <v>907.45763998271207</v>
      </c>
      <c r="X33" s="68">
        <v>1056.3902324374958</v>
      </c>
      <c r="Y33" s="68">
        <v>1122.820712200856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0.60856705952623702</v>
      </c>
      <c r="C3" s="126">
        <f>IF(SER_hh_tes!C3=0,"",SER_hh_tes!C3/SER_hh_fec!C3)</f>
        <v>0.61660544507175419</v>
      </c>
      <c r="D3" s="126">
        <f>IF(SER_hh_tes!D3=0,"",SER_hh_tes!D3/SER_hh_fec!D3)</f>
        <v>0.63083798526411783</v>
      </c>
      <c r="E3" s="126">
        <f>IF(SER_hh_tes!E3=0,"",SER_hh_tes!E3/SER_hh_fec!E3)</f>
        <v>0.64746115672916904</v>
      </c>
      <c r="F3" s="126">
        <f>IF(SER_hh_tes!F3=0,"",SER_hh_tes!F3/SER_hh_fec!F3)</f>
        <v>0.63602006819923496</v>
      </c>
      <c r="G3" s="126">
        <f>IF(SER_hh_tes!G3=0,"",SER_hh_tes!G3/SER_hh_fec!G3)</f>
        <v>0.65141943359177035</v>
      </c>
      <c r="H3" s="126">
        <f>IF(SER_hh_tes!H3=0,"",SER_hh_tes!H3/SER_hh_fec!H3)</f>
        <v>0.67580706180493288</v>
      </c>
      <c r="I3" s="126">
        <f>IF(SER_hh_tes!I3=0,"",SER_hh_tes!I3/SER_hh_fec!I3)</f>
        <v>0.67263683626352389</v>
      </c>
      <c r="J3" s="126">
        <f>IF(SER_hh_tes!J3=0,"",SER_hh_tes!J3/SER_hh_fec!J3)</f>
        <v>0.68017676635086755</v>
      </c>
      <c r="K3" s="126">
        <f>IF(SER_hh_tes!K3=0,"",SER_hh_tes!K3/SER_hh_fec!K3)</f>
        <v>0.68595422609697609</v>
      </c>
      <c r="L3" s="126">
        <f>IF(SER_hh_tes!L3=0,"",SER_hh_tes!L3/SER_hh_fec!L3)</f>
        <v>0.69512726234882116</v>
      </c>
      <c r="M3" s="126">
        <f>IF(SER_hh_tes!M3=0,"",SER_hh_tes!M3/SER_hh_fec!M3)</f>
        <v>0.73020985258578852</v>
      </c>
      <c r="N3" s="126">
        <f>IF(SER_hh_tes!N3=0,"",SER_hh_tes!N3/SER_hh_fec!N3)</f>
        <v>0.73927600947139849</v>
      </c>
      <c r="O3" s="126">
        <f>IF(SER_hh_tes!O3=0,"",SER_hh_tes!O3/SER_hh_fec!O3)</f>
        <v>0.7475863769692761</v>
      </c>
      <c r="P3" s="126">
        <f>IF(SER_hh_tes!P3=0,"",SER_hh_tes!P3/SER_hh_fec!P3)</f>
        <v>0.7525080029848169</v>
      </c>
      <c r="Q3" s="126">
        <f>IF(SER_hh_tes!Q3=0,"",SER_hh_tes!Q3/SER_hh_fec!Q3)</f>
        <v>0.7753903038751967</v>
      </c>
      <c r="R3" s="126">
        <f>IF(SER_hh_tes!R3=0,"",SER_hh_tes!R3/SER_hh_fec!R3)</f>
        <v>0.78699882080463968</v>
      </c>
      <c r="S3" s="126">
        <f>IF(SER_hh_tes!S3=0,"",SER_hh_tes!S3/SER_hh_fec!S3)</f>
        <v>0.79816674955936273</v>
      </c>
      <c r="T3" s="126">
        <f>IF(SER_hh_tes!T3=0,"",SER_hh_tes!T3/SER_hh_fec!T3)</f>
        <v>0.81205667306825124</v>
      </c>
      <c r="U3" s="126">
        <f>IF(SER_hh_tes!U3=0,"",SER_hh_tes!U3/SER_hh_fec!U3)</f>
        <v>0.83090974327318112</v>
      </c>
      <c r="V3" s="126">
        <f>IF(SER_hh_tes!V3=0,"",SER_hh_tes!V3/SER_hh_fec!V3)</f>
        <v>0.84905726792552505</v>
      </c>
      <c r="W3" s="126">
        <f>IF(SER_hh_tes!W3=0,"",SER_hh_tes!W3/SER_hh_fec!W3)</f>
        <v>0.84794054115417361</v>
      </c>
      <c r="X3" s="126">
        <f>IF(SER_hh_tes!X3=0,"",SER_hh_tes!X3/SER_hh_fec!X3)</f>
        <v>0.88581962292929062</v>
      </c>
      <c r="Y3" s="126">
        <f>IF(SER_hh_tes!Y3=0,"",SER_hh_tes!Y3/SER_hh_fec!Y3)</f>
        <v>0.9035699781747315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0.57316086598583194</v>
      </c>
      <c r="C4" s="135">
        <f>IF(SER_hh_tes!C4=0,"",SER_hh_tes!C4/SER_hh_fec!C4)</f>
        <v>0.57851625431067022</v>
      </c>
      <c r="D4" s="135">
        <f>IF(SER_hh_tes!D4=0,"",SER_hh_tes!D4/SER_hh_fec!D4)</f>
        <v>0.5940627488343162</v>
      </c>
      <c r="E4" s="135">
        <f>IF(SER_hh_tes!E4=0,"",SER_hh_tes!E4/SER_hh_fec!E4)</f>
        <v>0.59134611547842952</v>
      </c>
      <c r="F4" s="135">
        <f>IF(SER_hh_tes!F4=0,"",SER_hh_tes!F4/SER_hh_fec!F4)</f>
        <v>0.5985141329737409</v>
      </c>
      <c r="G4" s="135">
        <f>IF(SER_hh_tes!G4=0,"",SER_hh_tes!G4/SER_hh_fec!G4)</f>
        <v>0.60594543049743144</v>
      </c>
      <c r="H4" s="135">
        <f>IF(SER_hh_tes!H4=0,"",SER_hh_tes!H4/SER_hh_fec!H4)</f>
        <v>0.61792214682556845</v>
      </c>
      <c r="I4" s="135">
        <f>IF(SER_hh_tes!I4=0,"",SER_hh_tes!I4/SER_hh_fec!I4)</f>
        <v>0.61837280631402036</v>
      </c>
      <c r="J4" s="135">
        <f>IF(SER_hh_tes!J4=0,"",SER_hh_tes!J4/SER_hh_fec!J4)</f>
        <v>0.6217207722453667</v>
      </c>
      <c r="K4" s="135">
        <f>IF(SER_hh_tes!K4=0,"",SER_hh_tes!K4/SER_hh_fec!K4)</f>
        <v>0.62730115887315951</v>
      </c>
      <c r="L4" s="135">
        <f>IF(SER_hh_tes!L4=0,"",SER_hh_tes!L4/SER_hh_fec!L4)</f>
        <v>0.63994337666214485</v>
      </c>
      <c r="M4" s="135">
        <f>IF(SER_hh_tes!M4=0,"",SER_hh_tes!M4/SER_hh_fec!M4)</f>
        <v>0.66557013442822976</v>
      </c>
      <c r="N4" s="135">
        <f>IF(SER_hh_tes!N4=0,"",SER_hh_tes!N4/SER_hh_fec!N4)</f>
        <v>0.67613968700504889</v>
      </c>
      <c r="O4" s="135">
        <f>IF(SER_hh_tes!O4=0,"",SER_hh_tes!O4/SER_hh_fec!O4)</f>
        <v>0.68671762033672001</v>
      </c>
      <c r="P4" s="135">
        <f>IF(SER_hh_tes!P4=0,"",SER_hh_tes!P4/SER_hh_fec!P4)</f>
        <v>0.68790621018364162</v>
      </c>
      <c r="Q4" s="135">
        <f>IF(SER_hh_tes!Q4=0,"",SER_hh_tes!Q4/SER_hh_fec!Q4)</f>
        <v>0.69709165741905277</v>
      </c>
      <c r="R4" s="135">
        <f>IF(SER_hh_tes!R4=0,"",SER_hh_tes!R4/SER_hh_fec!R4)</f>
        <v>0.71634445323637663</v>
      </c>
      <c r="S4" s="135">
        <f>IF(SER_hh_tes!S4=0,"",SER_hh_tes!S4/SER_hh_fec!S4)</f>
        <v>0.72088554251711601</v>
      </c>
      <c r="T4" s="135">
        <f>IF(SER_hh_tes!T4=0,"",SER_hh_tes!T4/SER_hh_fec!T4)</f>
        <v>0.73257575736309166</v>
      </c>
      <c r="U4" s="135">
        <f>IF(SER_hh_tes!U4=0,"",SER_hh_tes!U4/SER_hh_fec!U4)</f>
        <v>0.747544889936125</v>
      </c>
      <c r="V4" s="135">
        <f>IF(SER_hh_tes!V4=0,"",SER_hh_tes!V4/SER_hh_fec!V4)</f>
        <v>0.7566602054517495</v>
      </c>
      <c r="W4" s="135">
        <f>IF(SER_hh_tes!W4=0,"",SER_hh_tes!W4/SER_hh_fec!W4)</f>
        <v>0.7790316985008211</v>
      </c>
      <c r="X4" s="135">
        <f>IF(SER_hh_tes!X4=0,"",SER_hh_tes!X4/SER_hh_fec!X4)</f>
        <v>0.766310515088925</v>
      </c>
      <c r="Y4" s="135">
        <f>IF(SER_hh_tes!Y4=0,"",SER_hh_tes!Y4/SER_hh_fec!Y4)</f>
        <v>0.78302144778850613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0.54997692642102447</v>
      </c>
      <c r="C5" s="136">
        <f>IF(SER_hh_tes!C5=0,"",SER_hh_tes!C5/SER_hh_fec!C5)</f>
        <v>0.54997692642102447</v>
      </c>
      <c r="D5" s="136">
        <f>IF(SER_hh_tes!D5=0,"",SER_hh_tes!D5/SER_hh_fec!D5)</f>
        <v>0.54997692642102447</v>
      </c>
      <c r="E5" s="136">
        <f>IF(SER_hh_tes!E5=0,"",SER_hh_tes!E5/SER_hh_fec!E5)</f>
        <v>0.54997692642102447</v>
      </c>
      <c r="F5" s="136">
        <f>IF(SER_hh_tes!F5=0,"",SER_hh_tes!F5/SER_hh_fec!F5)</f>
        <v>0.55553028291533924</v>
      </c>
      <c r="G5" s="136">
        <f>IF(SER_hh_tes!G5=0,"",SER_hh_tes!G5/SER_hh_fec!G5)</f>
        <v>0.56925660959076463</v>
      </c>
      <c r="H5" s="136">
        <f>IF(SER_hh_tes!H5=0,"",SER_hh_tes!H5/SER_hh_fec!H5)</f>
        <v>0.58246733769774961</v>
      </c>
      <c r="I5" s="136">
        <f>IF(SER_hh_tes!I5=0,"",SER_hh_tes!I5/SER_hh_fec!I5)</f>
        <v>0.59337307393857963</v>
      </c>
      <c r="J5" s="136">
        <f>IF(SER_hh_tes!J5=0,"",SER_hh_tes!J5/SER_hh_fec!J5)</f>
        <v>0.60144142024082126</v>
      </c>
      <c r="K5" s="136">
        <f>IF(SER_hh_tes!K5=0,"",SER_hh_tes!K5/SER_hh_fec!K5)</f>
        <v>0.60779584358011995</v>
      </c>
      <c r="L5" s="136">
        <f>IF(SER_hh_tes!L5=0,"",SER_hh_tes!L5/SER_hh_fec!L5)</f>
        <v>0.61501104295929565</v>
      </c>
      <c r="M5" s="136">
        <f>IF(SER_hh_tes!M5=0,"",SER_hh_tes!M5/SER_hh_fec!M5)</f>
        <v>0.6244163491557756</v>
      </c>
      <c r="N5" s="136">
        <f>IF(SER_hh_tes!N5=0,"",SER_hh_tes!N5/SER_hh_fec!N5)</f>
        <v>0.6363178357056638</v>
      </c>
      <c r="O5" s="136">
        <f>IF(SER_hh_tes!O5=0,"",SER_hh_tes!O5/SER_hh_fec!O5)</f>
        <v>0.66376417129890297</v>
      </c>
      <c r="P5" s="136">
        <f>IF(SER_hh_tes!P5=0,"",SER_hh_tes!P5/SER_hh_fec!P5)</f>
        <v>0.66376369329503282</v>
      </c>
      <c r="Q5" s="136">
        <f>IF(SER_hh_tes!Q5=0,"",SER_hh_tes!Q5/SER_hh_fec!Q5)</f>
        <v>0.66376369329503304</v>
      </c>
      <c r="R5" s="136">
        <f>IF(SER_hh_tes!R5=0,"",SER_hh_tes!R5/SER_hh_fec!R5)</f>
        <v>0.66376369329503293</v>
      </c>
      <c r="S5" s="136">
        <f>IF(SER_hh_tes!S5=0,"",SER_hh_tes!S5/SER_hh_fec!S5)</f>
        <v>0.66392410053668416</v>
      </c>
      <c r="T5" s="136">
        <f>IF(SER_hh_tes!T5=0,"",SER_hh_tes!T5/SER_hh_fec!T5)</f>
        <v>0.66450578642080593</v>
      </c>
      <c r="U5" s="136">
        <f>IF(SER_hh_tes!U5=0,"",SER_hh_tes!U5/SER_hh_fec!U5)</f>
        <v>0.67391014076366806</v>
      </c>
      <c r="V5" s="136">
        <f>IF(SER_hh_tes!V5=0,"",SER_hh_tes!V5/SER_hh_fec!V5)</f>
        <v>0.69847336302563701</v>
      </c>
      <c r="W5" s="136">
        <f>IF(SER_hh_tes!W5=0,"",SER_hh_tes!W5/SER_hh_fec!W5)</f>
        <v>0.73234411915653386</v>
      </c>
      <c r="X5" s="136">
        <f>IF(SER_hh_tes!X5=0,"",SER_hh_tes!X5/SER_hh_fec!X5)</f>
        <v>0.75869382026112453</v>
      </c>
      <c r="Y5" s="136">
        <f>IF(SER_hh_tes!Y5=0,"",SER_hh_tes!Y5/SER_hh_fec!Y5)</f>
        <v>0.77287868829675443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0.46577873803173619</v>
      </c>
      <c r="C7" s="136">
        <f>IF(SER_hh_tes!C7=0,"",SER_hh_tes!C7/SER_hh_fec!C7)</f>
        <v>0.46900110857697969</v>
      </c>
      <c r="D7" s="136">
        <f>IF(SER_hh_tes!D7=0,"",SER_hh_tes!D7/SER_hh_fec!D7)</f>
        <v>0.47037787832532113</v>
      </c>
      <c r="E7" s="136">
        <f>IF(SER_hh_tes!E7=0,"",SER_hh_tes!E7/SER_hh_fec!E7)</f>
        <v>0.47262990642238245</v>
      </c>
      <c r="F7" s="136">
        <f>IF(SER_hh_tes!F7=0,"",SER_hh_tes!F7/SER_hh_fec!F7)</f>
        <v>0.47565799463016872</v>
      </c>
      <c r="G7" s="136">
        <f>IF(SER_hh_tes!G7=0,"",SER_hh_tes!G7/SER_hh_fec!G7)</f>
        <v>0.47985521246736579</v>
      </c>
      <c r="H7" s="136">
        <f>IF(SER_hh_tes!H7=0,"",SER_hh_tes!H7/SER_hh_fec!H7)</f>
        <v>0.48627972099174538</v>
      </c>
      <c r="I7" s="136">
        <f>IF(SER_hh_tes!I7=0,"",SER_hh_tes!I7/SER_hh_fec!I7)</f>
        <v>0.49346428030583578</v>
      </c>
      <c r="J7" s="136">
        <f>IF(SER_hh_tes!J7=0,"",SER_hh_tes!J7/SER_hh_fec!J7)</f>
        <v>0.50158425697044073</v>
      </c>
      <c r="K7" s="136">
        <f>IF(SER_hh_tes!K7=0,"",SER_hh_tes!K7/SER_hh_fec!K7)</f>
        <v>0.50947551984802797</v>
      </c>
      <c r="L7" s="136">
        <f>IF(SER_hh_tes!L7=0,"",SER_hh_tes!L7/SER_hh_fec!L7)</f>
        <v>0.51644010181059019</v>
      </c>
      <c r="M7" s="136">
        <f>IF(SER_hh_tes!M7=0,"",SER_hh_tes!M7/SER_hh_fec!M7)</f>
        <v>0.52658191897687467</v>
      </c>
      <c r="N7" s="136">
        <f>IF(SER_hh_tes!N7=0,"",SER_hh_tes!N7/SER_hh_fec!N7)</f>
        <v>0.5411223679913908</v>
      </c>
      <c r="O7" s="136">
        <f>IF(SER_hh_tes!O7=0,"",SER_hh_tes!O7/SER_hh_fec!O7)</f>
        <v>0.55940120277413907</v>
      </c>
      <c r="P7" s="136">
        <f>IF(SER_hh_tes!P7=0,"",SER_hh_tes!P7/SER_hh_fec!P7)</f>
        <v>0.56587563451025191</v>
      </c>
      <c r="Q7" s="136">
        <f>IF(SER_hh_tes!Q7=0,"",SER_hh_tes!Q7/SER_hh_fec!Q7)</f>
        <v>0.56937743907535243</v>
      </c>
      <c r="R7" s="136">
        <f>IF(SER_hh_tes!R7=0,"",SER_hh_tes!R7/SER_hh_fec!R7)</f>
        <v>0.57168356848112034</v>
      </c>
      <c r="S7" s="136">
        <f>IF(SER_hh_tes!S7=0,"",SER_hh_tes!S7/SER_hh_fec!S7)</f>
        <v>0.57758390017836991</v>
      </c>
      <c r="T7" s="136">
        <f>IF(SER_hh_tes!T7=0,"",SER_hh_tes!T7/SER_hh_fec!T7)</f>
        <v>0.58604359966387842</v>
      </c>
      <c r="U7" s="136">
        <f>IF(SER_hh_tes!U7=0,"",SER_hh_tes!U7/SER_hh_fec!U7)</f>
        <v>0.59813518323736981</v>
      </c>
      <c r="V7" s="136">
        <f>IF(SER_hh_tes!V7=0,"",SER_hh_tes!V7/SER_hh_fec!V7)</f>
        <v>0.61336585379075448</v>
      </c>
      <c r="W7" s="136">
        <f>IF(SER_hh_tes!W7=0,"",SER_hh_tes!W7/SER_hh_fec!W7)</f>
        <v>0.62602946666962755</v>
      </c>
      <c r="X7" s="136">
        <f>IF(SER_hh_tes!X7=0,"",SER_hh_tes!X7/SER_hh_fec!X7)</f>
        <v>0.64245999112821794</v>
      </c>
      <c r="Y7" s="136">
        <f>IF(SER_hh_tes!Y7=0,"",SER_hh_tes!Y7/SER_hh_fec!Y7)</f>
        <v>0.65594681649966513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1.0235303931554804</v>
      </c>
      <c r="C8" s="136">
        <f>IF(SER_hh_tes!C8=0,"",SER_hh_tes!C8/SER_hh_fec!C8)</f>
        <v>1.1148492952749685</v>
      </c>
      <c r="D8" s="136">
        <f>IF(SER_hh_tes!D8=0,"",SER_hh_tes!D8/SER_hh_fec!D8)</f>
        <v>1.2193339731976611</v>
      </c>
      <c r="E8" s="136">
        <f>IF(SER_hh_tes!E8=0,"",SER_hh_tes!E8/SER_hh_fec!E8)</f>
        <v>1.2921428531224992</v>
      </c>
      <c r="F8" s="136">
        <f>IF(SER_hh_tes!F8=0,"",SER_hh_tes!F8/SER_hh_fec!F8)</f>
        <v>1.3517878124014255</v>
      </c>
      <c r="G8" s="136">
        <f>IF(SER_hh_tes!G8=0,"",SER_hh_tes!G8/SER_hh_fec!G8)</f>
        <v>1.4086367234170742</v>
      </c>
      <c r="H8" s="136">
        <f>IF(SER_hh_tes!H8=0,"",SER_hh_tes!H8/SER_hh_fec!H8)</f>
        <v>1.45201030292468</v>
      </c>
      <c r="I8" s="136">
        <f>IF(SER_hh_tes!I8=0,"",SER_hh_tes!I8/SER_hh_fec!I8)</f>
        <v>1.487035634255381</v>
      </c>
      <c r="J8" s="136">
        <f>IF(SER_hh_tes!J8=0,"",SER_hh_tes!J8/SER_hh_fec!J8)</f>
        <v>1.5104674937100604</v>
      </c>
      <c r="K8" s="136">
        <f>IF(SER_hh_tes!K8=0,"",SER_hh_tes!K8/SER_hh_fec!K8)</f>
        <v>1.5498736263180364</v>
      </c>
      <c r="L8" s="136">
        <f>IF(SER_hh_tes!L8=0,"",SER_hh_tes!L8/SER_hh_fec!L8)</f>
        <v>1.6169900311326599</v>
      </c>
      <c r="M8" s="136">
        <f>IF(SER_hh_tes!M8=0,"",SER_hh_tes!M8/SER_hh_fec!M8)</f>
        <v>1.7182764568457529</v>
      </c>
      <c r="N8" s="136">
        <f>IF(SER_hh_tes!N8=0,"",SER_hh_tes!N8/SER_hh_fec!N8)</f>
        <v>1.7932918052939357</v>
      </c>
      <c r="O8" s="136">
        <f>IF(SER_hh_tes!O8=0,"",SER_hh_tes!O8/SER_hh_fec!O8)</f>
        <v>1.8773219394884222</v>
      </c>
      <c r="P8" s="136">
        <f>IF(SER_hh_tes!P8=0,"",SER_hh_tes!P8/SER_hh_fec!P8)</f>
        <v>1.9521856379843501</v>
      </c>
      <c r="Q8" s="136">
        <f>IF(SER_hh_tes!Q8=0,"",SER_hh_tes!Q8/SER_hh_fec!Q8)</f>
        <v>2.0259760989965629</v>
      </c>
      <c r="R8" s="136">
        <f>IF(SER_hh_tes!R8=0,"",SER_hh_tes!R8/SER_hh_fec!R8)</f>
        <v>2.0860396213003152</v>
      </c>
      <c r="S8" s="136">
        <f>IF(SER_hh_tes!S8=0,"",SER_hh_tes!S8/SER_hh_fec!S8)</f>
        <v>2.1319117689951379</v>
      </c>
      <c r="T8" s="136">
        <f>IF(SER_hh_tes!T8=0,"",SER_hh_tes!T8/SER_hh_fec!T8)</f>
        <v>2.1729550612442829</v>
      </c>
      <c r="U8" s="136">
        <f>IF(SER_hh_tes!U8=0,"",SER_hh_tes!U8/SER_hh_fec!U8)</f>
        <v>2.2120052535365189</v>
      </c>
      <c r="V8" s="136">
        <f>IF(SER_hh_tes!V8=0,"",SER_hh_tes!V8/SER_hh_fec!V8)</f>
        <v>2.2311839106359836</v>
      </c>
      <c r="W8" s="136">
        <f>IF(SER_hh_tes!W8=0,"",SER_hh_tes!W8/SER_hh_fec!W8)</f>
        <v>2.251475839713871</v>
      </c>
      <c r="X8" s="136">
        <f>IF(SER_hh_tes!X8=0,"",SER_hh_tes!X8/SER_hh_fec!X8)</f>
        <v>2.2682539443043654</v>
      </c>
      <c r="Y8" s="136">
        <f>IF(SER_hh_tes!Y8=0,"",SER_hh_tes!Y8/SER_hh_fec!Y8)</f>
        <v>2.2745987560404215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0.50345763151631151</v>
      </c>
      <c r="C9" s="136">
        <f>IF(SER_hh_tes!C9=0,"",SER_hh_tes!C9/SER_hh_fec!C9)</f>
        <v>0.50598345920398025</v>
      </c>
      <c r="D9" s="136">
        <f>IF(SER_hh_tes!D9=0,"",SER_hh_tes!D9/SER_hh_fec!D9)</f>
        <v>0.51256921095343633</v>
      </c>
      <c r="E9" s="136">
        <f>IF(SER_hh_tes!E9=0,"",SER_hh_tes!E9/SER_hh_fec!E9)</f>
        <v>0.52103960115508308</v>
      </c>
      <c r="F9" s="136">
        <f>IF(SER_hh_tes!F9=0,"",SER_hh_tes!F9/SER_hh_fec!F9)</f>
        <v>0.52794715659823754</v>
      </c>
      <c r="G9" s="136">
        <f>IF(SER_hh_tes!G9=0,"",SER_hh_tes!G9/SER_hh_fec!G9)</f>
        <v>0.53492970885316127</v>
      </c>
      <c r="H9" s="136">
        <f>IF(SER_hh_tes!H9=0,"",SER_hh_tes!H9/SER_hh_fec!H9)</f>
        <v>0.54018850126406048</v>
      </c>
      <c r="I9" s="136">
        <f>IF(SER_hh_tes!I9=0,"",SER_hh_tes!I9/SER_hh_fec!I9)</f>
        <v>0.54713768662517659</v>
      </c>
      <c r="J9" s="136">
        <f>IF(SER_hh_tes!J9=0,"",SER_hh_tes!J9/SER_hh_fec!J9)</f>
        <v>0.55384368859198063</v>
      </c>
      <c r="K9" s="136">
        <f>IF(SER_hh_tes!K9=0,"",SER_hh_tes!K9/SER_hh_fec!K9)</f>
        <v>0.56092563551723518</v>
      </c>
      <c r="L9" s="136">
        <f>IF(SER_hh_tes!L9=0,"",SER_hh_tes!L9/SER_hh_fec!L9)</f>
        <v>0.56861605350741851</v>
      </c>
      <c r="M9" s="136">
        <f>IF(SER_hh_tes!M9=0,"",SER_hh_tes!M9/SER_hh_fec!M9)</f>
        <v>0.57685887809022462</v>
      </c>
      <c r="N9" s="136">
        <f>IF(SER_hh_tes!N9=0,"",SER_hh_tes!N9/SER_hh_fec!N9)</f>
        <v>0.58716929582619848</v>
      </c>
      <c r="O9" s="136">
        <f>IF(SER_hh_tes!O9=0,"",SER_hh_tes!O9/SER_hh_fec!O9)</f>
        <v>0.59785894499563641</v>
      </c>
      <c r="P9" s="136">
        <f>IF(SER_hh_tes!P9=0,"",SER_hh_tes!P9/SER_hh_fec!P9)</f>
        <v>0.60469445728875948</v>
      </c>
      <c r="Q9" s="136">
        <f>IF(SER_hh_tes!Q9=0,"",SER_hh_tes!Q9/SER_hh_fec!Q9)</f>
        <v>0.61262963787903679</v>
      </c>
      <c r="R9" s="136">
        <f>IF(SER_hh_tes!R9=0,"",SER_hh_tes!R9/SER_hh_fec!R9)</f>
        <v>0.62738699131764009</v>
      </c>
      <c r="S9" s="136">
        <f>IF(SER_hh_tes!S9=0,"",SER_hh_tes!S9/SER_hh_fec!S9)</f>
        <v>0.64533760842011711</v>
      </c>
      <c r="T9" s="136">
        <f>IF(SER_hh_tes!T9=0,"",SER_hh_tes!T9/SER_hh_fec!T9)</f>
        <v>0.66524989524654321</v>
      </c>
      <c r="U9" s="136">
        <f>IF(SER_hh_tes!U9=0,"",SER_hh_tes!U9/SER_hh_fec!U9)</f>
        <v>0.68392217698004532</v>
      </c>
      <c r="V9" s="136">
        <f>IF(SER_hh_tes!V9=0,"",SER_hh_tes!V9/SER_hh_fec!V9)</f>
        <v>0.69998578531240985</v>
      </c>
      <c r="W9" s="136">
        <f>IF(SER_hh_tes!W9=0,"",SER_hh_tes!W9/SER_hh_fec!W9)</f>
        <v>0.71706052511149787</v>
      </c>
      <c r="X9" s="136">
        <f>IF(SER_hh_tes!X9=0,"",SER_hh_tes!X9/SER_hh_fec!X9)</f>
        <v>0.73081011271100971</v>
      </c>
      <c r="Y9" s="136">
        <f>IF(SER_hh_tes!Y9=0,"",SER_hh_tes!Y9/SER_hh_fec!Y9)</f>
        <v>0.74555777310374616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0.45902175340267981</v>
      </c>
      <c r="C10" s="136">
        <f>IF(SER_hh_tes!C10=0,"",SER_hh_tes!C10/SER_hh_fec!C10)</f>
        <v>0.47622015645435944</v>
      </c>
      <c r="D10" s="136">
        <f>IF(SER_hh_tes!D10=0,"",SER_hh_tes!D10/SER_hh_fec!D10)</f>
        <v>0.49368558626546261</v>
      </c>
      <c r="E10" s="136">
        <f>IF(SER_hh_tes!E10=0,"",SER_hh_tes!E10/SER_hh_fec!E10)</f>
        <v>0.50204794875698955</v>
      </c>
      <c r="F10" s="136">
        <f>IF(SER_hh_tes!F10=0,"",SER_hh_tes!F10/SER_hh_fec!F10)</f>
        <v>0.50470897212043619</v>
      </c>
      <c r="G10" s="136">
        <f>IF(SER_hh_tes!G10=0,"",SER_hh_tes!G10/SER_hh_fec!G10)</f>
        <v>0.50765595312195488</v>
      </c>
      <c r="H10" s="136">
        <f>IF(SER_hh_tes!H10=0,"",SER_hh_tes!H10/SER_hh_fec!H10)</f>
        <v>0.50765595312195477</v>
      </c>
      <c r="I10" s="136">
        <f>IF(SER_hh_tes!I10=0,"",SER_hh_tes!I10/SER_hh_fec!I10)</f>
        <v>0.5171262158186809</v>
      </c>
      <c r="J10" s="136">
        <f>IF(SER_hh_tes!J10=0,"",SER_hh_tes!J10/SER_hh_fec!J10)</f>
        <v>0.52903763403655779</v>
      </c>
      <c r="K10" s="136">
        <f>IF(SER_hh_tes!K10=0,"",SER_hh_tes!K10/SER_hh_fec!K10)</f>
        <v>0.53674306678910333</v>
      </c>
      <c r="L10" s="136">
        <f>IF(SER_hh_tes!L10=0,"",SER_hh_tes!L10/SER_hh_fec!L10)</f>
        <v>0.54278837075696817</v>
      </c>
      <c r="M10" s="136">
        <f>IF(SER_hh_tes!M10=0,"",SER_hh_tes!M10/SER_hh_fec!M10)</f>
        <v>0.54925557418183024</v>
      </c>
      <c r="N10" s="136">
        <f>IF(SER_hh_tes!N10=0,"",SER_hh_tes!N10/SER_hh_fec!N10)</f>
        <v>0.55743571802674241</v>
      </c>
      <c r="O10" s="136">
        <f>IF(SER_hh_tes!O10=0,"",SER_hh_tes!O10/SER_hh_fec!O10)</f>
        <v>0.56384262305244415</v>
      </c>
      <c r="P10" s="136">
        <f>IF(SER_hh_tes!P10=0,"",SER_hh_tes!P10/SER_hh_fec!P10)</f>
        <v>0.56406678579946135</v>
      </c>
      <c r="Q10" s="136">
        <f>IF(SER_hh_tes!Q10=0,"",SER_hh_tes!Q10/SER_hh_fec!Q10)</f>
        <v>0.56426536987007259</v>
      </c>
      <c r="R10" s="136">
        <f>IF(SER_hh_tes!R10=0,"",SER_hh_tes!R10/SER_hh_fec!R10)</f>
        <v>0.56453190001917042</v>
      </c>
      <c r="S10" s="136">
        <f>IF(SER_hh_tes!S10=0,"",SER_hh_tes!S10/SER_hh_fec!S10)</f>
        <v>0.56484188455467388</v>
      </c>
      <c r="T10" s="136">
        <f>IF(SER_hh_tes!T10=0,"",SER_hh_tes!T10/SER_hh_fec!T10)</f>
        <v>0.56510746382342036</v>
      </c>
      <c r="U10" s="136">
        <f>IF(SER_hh_tes!U10=0,"",SER_hh_tes!U10/SER_hh_fec!U10)</f>
        <v>0.56532552441609052</v>
      </c>
      <c r="V10" s="136">
        <f>IF(SER_hh_tes!V10=0,"",SER_hh_tes!V10/SER_hh_fec!V10)</f>
        <v>0.56560725213168561</v>
      </c>
      <c r="W10" s="136">
        <f>IF(SER_hh_tes!W10=0,"",SER_hh_tes!W10/SER_hh_fec!W10)</f>
        <v>0.56595061870146079</v>
      </c>
      <c r="X10" s="136">
        <f>IF(SER_hh_tes!X10=0,"",SER_hh_tes!X10/SER_hh_fec!X10)</f>
        <v>0.56737576254149336</v>
      </c>
      <c r="Y10" s="136">
        <f>IF(SER_hh_tes!Y10=0,"",SER_hh_tes!Y10/SER_hh_fec!Y10)</f>
        <v>0.56893855460047915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>
        <f>IF(SER_hh_tes!D11=0,"",SER_hh_tes!D11/SER_hh_fec!D11)</f>
        <v>0.81799910271711274</v>
      </c>
      <c r="E11" s="136">
        <f>IF(SER_hh_tes!E11=0,"",SER_hh_tes!E11/SER_hh_fec!E11)</f>
        <v>0.81856234284711149</v>
      </c>
      <c r="F11" s="136">
        <f>IF(SER_hh_tes!F11=0,"",SER_hh_tes!F11/SER_hh_fec!F11)</f>
        <v>0.81866637413911403</v>
      </c>
      <c r="G11" s="136">
        <f>IF(SER_hh_tes!G11=0,"",SER_hh_tes!G11/SER_hh_fec!G11)</f>
        <v>0.81866824150723116</v>
      </c>
      <c r="H11" s="136">
        <f>IF(SER_hh_tes!H11=0,"",SER_hh_tes!H11/SER_hh_fec!H11)</f>
        <v>0.81866824150723128</v>
      </c>
      <c r="I11" s="136">
        <f>IF(SER_hh_tes!I11=0,"",SER_hh_tes!I11/SER_hh_fec!I11)</f>
        <v>0.81866824150723128</v>
      </c>
      <c r="J11" s="136">
        <f>IF(SER_hh_tes!J11=0,"",SER_hh_tes!J11/SER_hh_fec!J11)</f>
        <v>0.81866824150723128</v>
      </c>
      <c r="K11" s="136">
        <f>IF(SER_hh_tes!K11=0,"",SER_hh_tes!K11/SER_hh_fec!K11)</f>
        <v>0.81888371369286517</v>
      </c>
      <c r="L11" s="136">
        <f>IF(SER_hh_tes!L11=0,"",SER_hh_tes!L11/SER_hh_fec!L11)</f>
        <v>0.82024157401070164</v>
      </c>
      <c r="M11" s="136">
        <f>IF(SER_hh_tes!M11=0,"",SER_hh_tes!M11/SER_hh_fec!M11)</f>
        <v>0.82490205108040149</v>
      </c>
      <c r="N11" s="136">
        <f>IF(SER_hh_tes!N11=0,"",SER_hh_tes!N11/SER_hh_fec!N11)</f>
        <v>0.82604500383611668</v>
      </c>
      <c r="O11" s="136">
        <f>IF(SER_hh_tes!O11=0,"",SER_hh_tes!O11/SER_hh_fec!O11)</f>
        <v>0.82647815081280429</v>
      </c>
      <c r="P11" s="136">
        <f>IF(SER_hh_tes!P11=0,"",SER_hh_tes!P11/SER_hh_fec!P11)</f>
        <v>0.83163729258407071</v>
      </c>
      <c r="Q11" s="136">
        <f>IF(SER_hh_tes!Q11=0,"",SER_hh_tes!Q11/SER_hh_fec!Q11)</f>
        <v>0.83947331084790489</v>
      </c>
      <c r="R11" s="136">
        <f>IF(SER_hh_tes!R11=0,"",SER_hh_tes!R11/SER_hh_fec!R11)</f>
        <v>0.84986141222835399</v>
      </c>
      <c r="S11" s="136">
        <f>IF(SER_hh_tes!S11=0,"",SER_hh_tes!S11/SER_hh_fec!S11)</f>
        <v>0.86265569724271773</v>
      </c>
      <c r="T11" s="136">
        <f>IF(SER_hh_tes!T11=0,"",SER_hh_tes!T11/SER_hh_fec!T11)</f>
        <v>0.87917856411660411</v>
      </c>
      <c r="U11" s="136">
        <f>IF(SER_hh_tes!U11=0,"",SER_hh_tes!U11/SER_hh_fec!U11)</f>
        <v>0.88175597077429446</v>
      </c>
      <c r="V11" s="136">
        <f>IF(SER_hh_tes!V11=0,"",SER_hh_tes!V11/SER_hh_fec!V11)</f>
        <v>0.8827593459296712</v>
      </c>
      <c r="W11" s="136">
        <f>IF(SER_hh_tes!W11=0,"",SER_hh_tes!W11/SER_hh_fec!W11)</f>
        <v>0.88442910392499463</v>
      </c>
      <c r="X11" s="136">
        <f>IF(SER_hh_tes!X11=0,"",SER_hh_tes!X11/SER_hh_fec!X11)</f>
        <v>0.88616269081033017</v>
      </c>
      <c r="Y11" s="136">
        <f>IF(SER_hh_tes!Y11=0,"",SER_hh_tes!Y11/SER_hh_fec!Y11)</f>
        <v>0.8881588610217328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0.79747239809394166</v>
      </c>
      <c r="C12" s="136">
        <f>IF(SER_hh_tes!C12=0,"",SER_hh_tes!C12/SER_hh_fec!C12)</f>
        <v>0.80164904671599535</v>
      </c>
      <c r="D12" s="136">
        <f>IF(SER_hh_tes!D12=0,"",SER_hh_tes!D12/SER_hh_fec!D12)</f>
        <v>0.80445858835612294</v>
      </c>
      <c r="E12" s="136">
        <f>IF(SER_hh_tes!E12=0,"",SER_hh_tes!E12/SER_hh_fec!E12)</f>
        <v>0.80629194475969657</v>
      </c>
      <c r="F12" s="136">
        <f>IF(SER_hh_tes!F12=0,"",SER_hh_tes!F12/SER_hh_fec!F12)</f>
        <v>0.80832475866064868</v>
      </c>
      <c r="G12" s="136">
        <f>IF(SER_hh_tes!G12=0,"",SER_hh_tes!G12/SER_hh_fec!G12)</f>
        <v>0.80980211950902414</v>
      </c>
      <c r="H12" s="136">
        <f>IF(SER_hh_tes!H12=0,"",SER_hh_tes!H12/SER_hh_fec!H12)</f>
        <v>0.81071860364198167</v>
      </c>
      <c r="I12" s="136">
        <f>IF(SER_hh_tes!I12=0,"",SER_hh_tes!I12/SER_hh_fec!I12)</f>
        <v>0.81175647900597192</v>
      </c>
      <c r="J12" s="136">
        <f>IF(SER_hh_tes!J12=0,"",SER_hh_tes!J12/SER_hh_fec!J12)</f>
        <v>0.81197947185472608</v>
      </c>
      <c r="K12" s="136">
        <f>IF(SER_hh_tes!K12=0,"",SER_hh_tes!K12/SER_hh_fec!K12)</f>
        <v>0.81267614625753315</v>
      </c>
      <c r="L12" s="136">
        <f>IF(SER_hh_tes!L12=0,"",SER_hh_tes!L12/SER_hh_fec!L12)</f>
        <v>0.81605555917932682</v>
      </c>
      <c r="M12" s="136">
        <f>IF(SER_hh_tes!M12=0,"",SER_hh_tes!M12/SER_hh_fec!M12)</f>
        <v>0.82242294209403333</v>
      </c>
      <c r="N12" s="136">
        <f>IF(SER_hh_tes!N12=0,"",SER_hh_tes!N12/SER_hh_fec!N12)</f>
        <v>0.8295070048451596</v>
      </c>
      <c r="O12" s="136">
        <f>IF(SER_hh_tes!O12=0,"",SER_hh_tes!O12/SER_hh_fec!O12)</f>
        <v>0.83706089271758644</v>
      </c>
      <c r="P12" s="136">
        <f>IF(SER_hh_tes!P12=0,"",SER_hh_tes!P12/SER_hh_fec!P12)</f>
        <v>0.84012701681529023</v>
      </c>
      <c r="Q12" s="136">
        <f>IF(SER_hh_tes!Q12=0,"",SER_hh_tes!Q12/SER_hh_fec!Q12)</f>
        <v>0.84494459874602579</v>
      </c>
      <c r="R12" s="136">
        <f>IF(SER_hh_tes!R12=0,"",SER_hh_tes!R12/SER_hh_fec!R12)</f>
        <v>0.85100185785782834</v>
      </c>
      <c r="S12" s="136">
        <f>IF(SER_hh_tes!S12=0,"",SER_hh_tes!S12/SER_hh_fec!S12)</f>
        <v>0.85748033647138433</v>
      </c>
      <c r="T12" s="136">
        <f>IF(SER_hh_tes!T12=0,"",SER_hh_tes!T12/SER_hh_fec!T12)</f>
        <v>0.86211696967430018</v>
      </c>
      <c r="U12" s="136">
        <f>IF(SER_hh_tes!U12=0,"",SER_hh_tes!U12/SER_hh_fec!U12)</f>
        <v>0.8657737304554024</v>
      </c>
      <c r="V12" s="136">
        <f>IF(SER_hh_tes!V12=0,"",SER_hh_tes!V12/SER_hh_fec!V12)</f>
        <v>0.8693527409348083</v>
      </c>
      <c r="W12" s="136">
        <f>IF(SER_hh_tes!W12=0,"",SER_hh_tes!W12/SER_hh_fec!W12)</f>
        <v>0.87224626929271976</v>
      </c>
      <c r="X12" s="136">
        <f>IF(SER_hh_tes!X12=0,"",SER_hh_tes!X12/SER_hh_fec!X12)</f>
        <v>0.87502458484556334</v>
      </c>
      <c r="Y12" s="136">
        <f>IF(SER_hh_tes!Y12=0,"",SER_hh_tes!Y12/SER_hh_fec!Y12)</f>
        <v>0.87840664523002754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1.5590616707335767</v>
      </c>
      <c r="C13" s="136">
        <f>IF(SER_hh_tes!C13=0,"",SER_hh_tes!C13/SER_hh_fec!C13)</f>
        <v>1.5867427935419867</v>
      </c>
      <c r="D13" s="136">
        <f>IF(SER_hh_tes!D13=0,"",SER_hh_tes!D13/SER_hh_fec!D13)</f>
        <v>1.6341249100662938</v>
      </c>
      <c r="E13" s="136">
        <f>IF(SER_hh_tes!E13=0,"",SER_hh_tes!E13/SER_hh_fec!E13)</f>
        <v>1.6804549473359147</v>
      </c>
      <c r="F13" s="136">
        <f>IF(SER_hh_tes!F13=0,"",SER_hh_tes!F13/SER_hh_fec!F13)</f>
        <v>1.7387294855570143</v>
      </c>
      <c r="G13" s="136">
        <f>IF(SER_hh_tes!G13=0,"",SER_hh_tes!G13/SER_hh_fec!G13)</f>
        <v>1.8094885605438695</v>
      </c>
      <c r="H13" s="136">
        <f>IF(SER_hh_tes!H13=0,"",SER_hh_tes!H13/SER_hh_fec!H13)</f>
        <v>1.8863987787298659</v>
      </c>
      <c r="I13" s="136">
        <f>IF(SER_hh_tes!I13=0,"",SER_hh_tes!I13/SER_hh_fec!I13)</f>
        <v>1.958421252863126</v>
      </c>
      <c r="J13" s="136">
        <f>IF(SER_hh_tes!J13=0,"",SER_hh_tes!J13/SER_hh_fec!J13)</f>
        <v>2.0257018077081934</v>
      </c>
      <c r="K13" s="136">
        <f>IF(SER_hh_tes!K13=0,"",SER_hh_tes!K13/SER_hh_fec!K13)</f>
        <v>2.110904332460521</v>
      </c>
      <c r="L13" s="136">
        <f>IF(SER_hh_tes!L13=0,"",SER_hh_tes!L13/SER_hh_fec!L13)</f>
        <v>2.2174823311901131</v>
      </c>
      <c r="M13" s="136">
        <f>IF(SER_hh_tes!M13=0,"",SER_hh_tes!M13/SER_hh_fec!M13)</f>
        <v>2.3596722296199544</v>
      </c>
      <c r="N13" s="136">
        <f>IF(SER_hh_tes!N13=0,"",SER_hh_tes!N13/SER_hh_fec!N13)</f>
        <v>2.4545084190379143</v>
      </c>
      <c r="O13" s="136">
        <f>IF(SER_hh_tes!O13=0,"",SER_hh_tes!O13/SER_hh_fec!O13)</f>
        <v>2.5298958323784961</v>
      </c>
      <c r="P13" s="136">
        <f>IF(SER_hh_tes!P13=0,"",SER_hh_tes!P13/SER_hh_fec!P13)</f>
        <v>2.5690939754929434</v>
      </c>
      <c r="Q13" s="136">
        <f>IF(SER_hh_tes!Q13=0,"",SER_hh_tes!Q13/SER_hh_fec!Q13)</f>
        <v>2.6217926108941456</v>
      </c>
      <c r="R13" s="136">
        <f>IF(SER_hh_tes!R13=0,"",SER_hh_tes!R13/SER_hh_fec!R13)</f>
        <v>2.6912076652186561</v>
      </c>
      <c r="S13" s="136">
        <f>IF(SER_hh_tes!S13=0,"",SER_hh_tes!S13/SER_hh_fec!S13)</f>
        <v>2.7617159865838024</v>
      </c>
      <c r="T13" s="136">
        <f>IF(SER_hh_tes!T13=0,"",SER_hh_tes!T13/SER_hh_fec!T13)</f>
        <v>2.8440781185369537</v>
      </c>
      <c r="U13" s="136">
        <f>IF(SER_hh_tes!U13=0,"",SER_hh_tes!U13/SER_hh_fec!U13)</f>
        <v>2.9345865863390128</v>
      </c>
      <c r="V13" s="136">
        <f>IF(SER_hh_tes!V13=0,"",SER_hh_tes!V13/SER_hh_fec!V13)</f>
        <v>2.9991554426095144</v>
      </c>
      <c r="W13" s="136">
        <f>IF(SER_hh_tes!W13=0,"",SER_hh_tes!W13/SER_hh_fec!W13)</f>
        <v>3.0663456512964977</v>
      </c>
      <c r="X13" s="136">
        <f>IF(SER_hh_tes!X13=0,"",SER_hh_tes!X13/SER_hh_fec!X13)</f>
        <v>3.1221911212388878</v>
      </c>
      <c r="Y13" s="136">
        <f>IF(SER_hh_tes!Y13=0,"",SER_hh_tes!Y13/SER_hh_fec!Y13)</f>
        <v>3.1781544881548842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0.70502469180775063</v>
      </c>
      <c r="C14" s="137">
        <f>IF(SER_hh_tes!C14=0,"",SER_hh_tes!C14/SER_hh_fec!C14)</f>
        <v>0.70919209952748041</v>
      </c>
      <c r="D14" s="137">
        <f>IF(SER_hh_tes!D14=0,"",SER_hh_tes!D14/SER_hh_fec!D14)</f>
        <v>0.71297413523973951</v>
      </c>
      <c r="E14" s="137">
        <f>IF(SER_hh_tes!E14=0,"",SER_hh_tes!E14/SER_hh_fec!E14)</f>
        <v>0.7163502563216062</v>
      </c>
      <c r="F14" s="137">
        <f>IF(SER_hh_tes!F14=0,"",SER_hh_tes!F14/SER_hh_fec!F14)</f>
        <v>0.72077070089346085</v>
      </c>
      <c r="G14" s="137">
        <f>IF(SER_hh_tes!G14=0,"",SER_hh_tes!G14/SER_hh_fec!G14)</f>
        <v>0.72549238132104077</v>
      </c>
      <c r="H14" s="137">
        <f>IF(SER_hh_tes!H14=0,"",SER_hh_tes!H14/SER_hh_fec!H14)</f>
        <v>0.73126370122492479</v>
      </c>
      <c r="I14" s="137">
        <f>IF(SER_hh_tes!I14=0,"",SER_hh_tes!I14/SER_hh_fec!I14)</f>
        <v>0.7371671339960677</v>
      </c>
      <c r="J14" s="137">
        <f>IF(SER_hh_tes!J14=0,"",SER_hh_tes!J14/SER_hh_fec!J14)</f>
        <v>0.74195798842264049</v>
      </c>
      <c r="K14" s="137">
        <f>IF(SER_hh_tes!K14=0,"",SER_hh_tes!K14/SER_hh_fec!K14)</f>
        <v>0.74671870308419541</v>
      </c>
      <c r="L14" s="137">
        <f>IF(SER_hh_tes!L14=0,"",SER_hh_tes!L14/SER_hh_fec!L14)</f>
        <v>0.75199426331101848</v>
      </c>
      <c r="M14" s="137">
        <f>IF(SER_hh_tes!M14=0,"",SER_hh_tes!M14/SER_hh_fec!M14)</f>
        <v>0.75726728324203318</v>
      </c>
      <c r="N14" s="137">
        <f>IF(SER_hh_tes!N14=0,"",SER_hh_tes!N14/SER_hh_fec!N14)</f>
        <v>0.76252210751366689</v>
      </c>
      <c r="O14" s="137">
        <f>IF(SER_hh_tes!O14=0,"",SER_hh_tes!O14/SER_hh_fec!O14)</f>
        <v>0.76709515258446681</v>
      </c>
      <c r="P14" s="137">
        <f>IF(SER_hh_tes!P14=0,"",SER_hh_tes!P14/SER_hh_fec!P14)</f>
        <v>0.76789210596361246</v>
      </c>
      <c r="Q14" s="137">
        <f>IF(SER_hh_tes!Q14=0,"",SER_hh_tes!Q14/SER_hh_fec!Q14)</f>
        <v>0.76964917192016602</v>
      </c>
      <c r="R14" s="137">
        <f>IF(SER_hh_tes!R14=0,"",SER_hh_tes!R14/SER_hh_fec!R14)</f>
        <v>0.77283778380841528</v>
      </c>
      <c r="S14" s="137">
        <f>IF(SER_hh_tes!S14=0,"",SER_hh_tes!S14/SER_hh_fec!S14)</f>
        <v>0.77751116401920106</v>
      </c>
      <c r="T14" s="137">
        <f>IF(SER_hh_tes!T14=0,"",SER_hh_tes!T14/SER_hh_fec!T14)</f>
        <v>0.78290120804859009</v>
      </c>
      <c r="U14" s="137">
        <f>IF(SER_hh_tes!U14=0,"",SER_hh_tes!U14/SER_hh_fec!U14)</f>
        <v>0.78965005229479945</v>
      </c>
      <c r="V14" s="137">
        <f>IF(SER_hh_tes!V14=0,"",SER_hh_tes!V14/SER_hh_fec!V14)</f>
        <v>0.79934696694274676</v>
      </c>
      <c r="W14" s="137">
        <f>IF(SER_hh_tes!W14=0,"",SER_hh_tes!W14/SER_hh_fec!W14)</f>
        <v>0.81027135360126856</v>
      </c>
      <c r="X14" s="137">
        <f>IF(SER_hh_tes!X14=0,"",SER_hh_tes!X14/SER_hh_fec!X14)</f>
        <v>0.82509340652964713</v>
      </c>
      <c r="Y14" s="137">
        <f>IF(SER_hh_tes!Y14=0,"",SER_hh_tes!Y14/SER_hh_fec!Y14)</f>
        <v>0.84017761135618152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1.8065476182959364</v>
      </c>
      <c r="C16" s="135">
        <f>IF(SER_hh_tes!C16=0,"",SER_hh_tes!C16/SER_hh_fec!C16)</f>
        <v>1.8873825284253352</v>
      </c>
      <c r="D16" s="135">
        <f>IF(SER_hh_tes!D16=0,"",SER_hh_tes!D16/SER_hh_fec!D16)</f>
        <v>1.973505272354126</v>
      </c>
      <c r="E16" s="135">
        <f>IF(SER_hh_tes!E16=0,"",SER_hh_tes!E16/SER_hh_fec!E16)</f>
        <v>2.0618746462367508</v>
      </c>
      <c r="F16" s="135">
        <f>IF(SER_hh_tes!F16=0,"",SER_hh_tes!F16/SER_hh_fec!F16)</f>
        <v>2.1588217888034955</v>
      </c>
      <c r="G16" s="135">
        <f>IF(SER_hh_tes!G16=0,"",SER_hh_tes!G16/SER_hh_fec!G16)</f>
        <v>2.2670075316685017</v>
      </c>
      <c r="H16" s="135">
        <f>IF(SER_hh_tes!H16=0,"",SER_hh_tes!H16/SER_hh_fec!H16)</f>
        <v>2.3984025660776007</v>
      </c>
      <c r="I16" s="135">
        <f>IF(SER_hh_tes!I16=0,"",SER_hh_tes!I16/SER_hh_fec!I16)</f>
        <v>2.5358951678543433</v>
      </c>
      <c r="J16" s="135">
        <f>IF(SER_hh_tes!J16=0,"",SER_hh_tes!J16/SER_hh_fec!J16)</f>
        <v>2.6804888471660799</v>
      </c>
      <c r="K16" s="135">
        <f>IF(SER_hh_tes!K16=0,"",SER_hh_tes!K16/SER_hh_fec!K16)</f>
        <v>2.7363817846251681</v>
      </c>
      <c r="L16" s="135">
        <f>IF(SER_hh_tes!L16=0,"",SER_hh_tes!L16/SER_hh_fec!L16)</f>
        <v>2.8057232516771227</v>
      </c>
      <c r="M16" s="135">
        <f>IF(SER_hh_tes!M16=0,"",SER_hh_tes!M16/SER_hh_fec!M16)</f>
        <v>2.8997894463974689</v>
      </c>
      <c r="N16" s="135">
        <f>IF(SER_hh_tes!N16=0,"",SER_hh_tes!N16/SER_hh_fec!N16)</f>
        <v>2.9789533274790676</v>
      </c>
      <c r="O16" s="135">
        <f>IF(SER_hh_tes!O16=0,"",SER_hh_tes!O16/SER_hh_fec!O16)</f>
        <v>3.0693777965501652</v>
      </c>
      <c r="P16" s="135">
        <f>IF(SER_hh_tes!P16=0,"",SER_hh_tes!P16/SER_hh_fec!P16)</f>
        <v>3.1817087482732984</v>
      </c>
      <c r="Q16" s="135">
        <f>IF(SER_hh_tes!Q16=0,"",SER_hh_tes!Q16/SER_hh_fec!Q16)</f>
        <v>3.2900344216114599</v>
      </c>
      <c r="R16" s="135">
        <f>IF(SER_hh_tes!R16=0,"",SER_hh_tes!R16/SER_hh_fec!R16)</f>
        <v>3.4100953556523113</v>
      </c>
      <c r="S16" s="135">
        <f>IF(SER_hh_tes!S16=0,"",SER_hh_tes!S16/SER_hh_fec!S16)</f>
        <v>3.5149019082475408</v>
      </c>
      <c r="T16" s="135">
        <f>IF(SER_hh_tes!T16=0,"",SER_hh_tes!T16/SER_hh_fec!T16)</f>
        <v>3.6074887225452348</v>
      </c>
      <c r="U16" s="135">
        <f>IF(SER_hh_tes!U16=0,"",SER_hh_tes!U16/SER_hh_fec!U16)</f>
        <v>3.6788881165122249</v>
      </c>
      <c r="V16" s="135">
        <f>IF(SER_hh_tes!V16=0,"",SER_hh_tes!V16/SER_hh_fec!V16)</f>
        <v>3.7595849875427056</v>
      </c>
      <c r="W16" s="135">
        <f>IF(SER_hh_tes!W16=0,"",SER_hh_tes!W16/SER_hh_fec!W16)</f>
        <v>3.8365429838455372</v>
      </c>
      <c r="X16" s="135">
        <f>IF(SER_hh_tes!X16=0,"",SER_hh_tes!X16/SER_hh_fec!X16)</f>
        <v>3.8792603929812417</v>
      </c>
      <c r="Y16" s="135">
        <f>IF(SER_hh_tes!Y16=0,"",SER_hh_tes!Y16/SER_hh_fec!Y16)</f>
        <v>3.909358410583871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1.0903351436557438</v>
      </c>
      <c r="C17" s="136">
        <f>IF(SER_hh_tes!C17=0,"",SER_hh_tes!C17/SER_hh_fec!C17)</f>
        <v>1.1139907740717174</v>
      </c>
      <c r="D17" s="136">
        <f>IF(SER_hh_tes!D17=0,"",SER_hh_tes!D17/SER_hh_fec!D17)</f>
        <v>1.1339331534105008</v>
      </c>
      <c r="E17" s="136">
        <f>IF(SER_hh_tes!E17=0,"",SER_hh_tes!E17/SER_hh_fec!E17)</f>
        <v>1.162157527725876</v>
      </c>
      <c r="F17" s="136">
        <f>IF(SER_hh_tes!F17=0,"",SER_hh_tes!F17/SER_hh_fec!F17)</f>
        <v>1.1759759247344261</v>
      </c>
      <c r="G17" s="136">
        <f>IF(SER_hh_tes!G17=0,"",SER_hh_tes!G17/SER_hh_fec!G17)</f>
        <v>1.1929967816320528</v>
      </c>
      <c r="H17" s="136">
        <f>IF(SER_hh_tes!H17=0,"",SER_hh_tes!H17/SER_hh_fec!H17)</f>
        <v>1.2218536137764</v>
      </c>
      <c r="I17" s="136">
        <f>IF(SER_hh_tes!I17=0,"",SER_hh_tes!I17/SER_hh_fec!I17)</f>
        <v>1.2392491359573303</v>
      </c>
      <c r="J17" s="136">
        <f>IF(SER_hh_tes!J17=0,"",SER_hh_tes!J17/SER_hh_fec!J17)</f>
        <v>1.2595469989550936</v>
      </c>
      <c r="K17" s="136">
        <f>IF(SER_hh_tes!K17=0,"",SER_hh_tes!K17/SER_hh_fec!K17)</f>
        <v>1.2687881405792818</v>
      </c>
      <c r="L17" s="136">
        <f>IF(SER_hh_tes!L17=0,"",SER_hh_tes!L17/SER_hh_fec!L17)</f>
        <v>1.2845023855964133</v>
      </c>
      <c r="M17" s="136">
        <f>IF(SER_hh_tes!M17=0,"",SER_hh_tes!M17/SER_hh_fec!M17)</f>
        <v>1.3110988475974374</v>
      </c>
      <c r="N17" s="136">
        <f>IF(SER_hh_tes!N17=0,"",SER_hh_tes!N17/SER_hh_fec!N17)</f>
        <v>1.3383471428294302</v>
      </c>
      <c r="O17" s="136">
        <f>IF(SER_hh_tes!O17=0,"",SER_hh_tes!O17/SER_hh_fec!O17)</f>
        <v>1.3573434061073018</v>
      </c>
      <c r="P17" s="136">
        <f>IF(SER_hh_tes!P17=0,"",SER_hh_tes!P17/SER_hh_fec!P17)</f>
        <v>1.3739737175957707</v>
      </c>
      <c r="Q17" s="136">
        <f>IF(SER_hh_tes!Q17=0,"",SER_hh_tes!Q17/SER_hh_fec!Q17)</f>
        <v>1.3932119376660463</v>
      </c>
      <c r="R17" s="136">
        <f>IF(SER_hh_tes!R17=0,"",SER_hh_tes!R17/SER_hh_fec!R17)</f>
        <v>1.4082753911779264</v>
      </c>
      <c r="S17" s="136">
        <f>IF(SER_hh_tes!S17=0,"",SER_hh_tes!S17/SER_hh_fec!S17)</f>
        <v>1.4293870102952977</v>
      </c>
      <c r="T17" s="136">
        <f>IF(SER_hh_tes!T17=0,"",SER_hh_tes!T17/SER_hh_fec!T17)</f>
        <v>1.4487586417051839</v>
      </c>
      <c r="U17" s="136">
        <f>IF(SER_hh_tes!U17=0,"",SER_hh_tes!U17/SER_hh_fec!U17)</f>
        <v>1.4699476807650569</v>
      </c>
      <c r="V17" s="136">
        <f>IF(SER_hh_tes!V17=0,"",SER_hh_tes!V17/SER_hh_fec!V17)</f>
        <v>1.4925718390816225</v>
      </c>
      <c r="W17" s="136">
        <f>IF(SER_hh_tes!W17=0,"",SER_hh_tes!W17/SER_hh_fec!W17)</f>
        <v>1.5158660998938875</v>
      </c>
      <c r="X17" s="136">
        <f>IF(SER_hh_tes!X17=0,"",SER_hh_tes!X17/SER_hh_fec!X17)</f>
        <v>1.5416764044483315</v>
      </c>
      <c r="Y17" s="136">
        <f>IF(SER_hh_tes!Y17=0,"",SER_hh_tes!Y17/SER_hh_fec!Y17)</f>
        <v>1.5608930728153587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1.8098767370302009</v>
      </c>
      <c r="C18" s="136">
        <f>IF(SER_hh_tes!C18=0,"",SER_hh_tes!C18/SER_hh_fec!C18)</f>
        <v>1.8915435862052425</v>
      </c>
      <c r="D18" s="136">
        <f>IF(SER_hh_tes!D18=0,"",SER_hh_tes!D18/SER_hh_fec!D18)</f>
        <v>1.9785241041919319</v>
      </c>
      <c r="E18" s="136">
        <f>IF(SER_hh_tes!E18=0,"",SER_hh_tes!E18/SER_hh_fec!E18)</f>
        <v>2.0698582075360723</v>
      </c>
      <c r="F18" s="136">
        <f>IF(SER_hh_tes!F18=0,"",SER_hh_tes!F18/SER_hh_fec!F18)</f>
        <v>2.166939517516739</v>
      </c>
      <c r="G18" s="136">
        <f>IF(SER_hh_tes!G18=0,"",SER_hh_tes!G18/SER_hh_fec!G18)</f>
        <v>2.2756687214632612</v>
      </c>
      <c r="H18" s="136">
        <f>IF(SER_hh_tes!H18=0,"",SER_hh_tes!H18/SER_hh_fec!H18)</f>
        <v>2.4125312108912769</v>
      </c>
      <c r="I18" s="136">
        <f>IF(SER_hh_tes!I18=0,"",SER_hh_tes!I18/SER_hh_fec!I18)</f>
        <v>2.5534602700686126</v>
      </c>
      <c r="J18" s="136">
        <f>IF(SER_hh_tes!J18=0,"",SER_hh_tes!J18/SER_hh_fec!J18)</f>
        <v>2.7039218008004031</v>
      </c>
      <c r="K18" s="136">
        <f>IF(SER_hh_tes!K18=0,"",SER_hh_tes!K18/SER_hh_fec!K18)</f>
        <v>2.7617026274597798</v>
      </c>
      <c r="L18" s="136">
        <f>IF(SER_hh_tes!L18=0,"",SER_hh_tes!L18/SER_hh_fec!L18)</f>
        <v>2.8357589897925637</v>
      </c>
      <c r="M18" s="136">
        <f>IF(SER_hh_tes!M18=0,"",SER_hh_tes!M18/SER_hh_fec!M18)</f>
        <v>2.9423610402288141</v>
      </c>
      <c r="N18" s="136">
        <f>IF(SER_hh_tes!N18=0,"",SER_hh_tes!N18/SER_hh_fec!N18)</f>
        <v>3.0435464026407018</v>
      </c>
      <c r="O18" s="136">
        <f>IF(SER_hh_tes!O18=0,"",SER_hh_tes!O18/SER_hh_fec!O18)</f>
        <v>3.1538242252629423</v>
      </c>
      <c r="P18" s="136">
        <f>IF(SER_hh_tes!P18=0,"",SER_hh_tes!P18/SER_hh_fec!P18)</f>
        <v>3.2802859852325654</v>
      </c>
      <c r="Q18" s="136">
        <f>IF(SER_hh_tes!Q18=0,"",SER_hh_tes!Q18/SER_hh_fec!Q18)</f>
        <v>3.4237241611283316</v>
      </c>
      <c r="R18" s="136">
        <f>IF(SER_hh_tes!R18=0,"",SER_hh_tes!R18/SER_hh_fec!R18)</f>
        <v>3.567798603866684</v>
      </c>
      <c r="S18" s="136">
        <f>IF(SER_hh_tes!S18=0,"",SER_hh_tes!S18/SER_hh_fec!S18)</f>
        <v>3.7071379530471309</v>
      </c>
      <c r="T18" s="136">
        <f>IF(SER_hh_tes!T18=0,"",SER_hh_tes!T18/SER_hh_fec!T18)</f>
        <v>3.8271021828139276</v>
      </c>
      <c r="U18" s="136">
        <f>IF(SER_hh_tes!U18=0,"",SER_hh_tes!U18/SER_hh_fec!U18)</f>
        <v>3.9248483264750424</v>
      </c>
      <c r="V18" s="136">
        <f>IF(SER_hh_tes!V18=0,"",SER_hh_tes!V18/SER_hh_fec!V18)</f>
        <v>4.0161911138287438</v>
      </c>
      <c r="W18" s="136">
        <f>IF(SER_hh_tes!W18=0,"",SER_hh_tes!W18/SER_hh_fec!W18)</f>
        <v>4.0956684233099292</v>
      </c>
      <c r="X18" s="136">
        <f>IF(SER_hh_tes!X18=0,"",SER_hh_tes!X18/SER_hh_fec!X18)</f>
        <v>4.1603779783288717</v>
      </c>
      <c r="Y18" s="136">
        <f>IF(SER_hh_tes!Y18=0,"",SER_hh_tes!Y18/SER_hh_fec!Y18)</f>
        <v>4.2140424204855735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0.61739961997930781</v>
      </c>
      <c r="C19" s="135">
        <f>IF(SER_hh_tes!C19=0,"",SER_hh_tes!C19/SER_hh_fec!C19)</f>
        <v>0.61970567339754079</v>
      </c>
      <c r="D19" s="135">
        <f>IF(SER_hh_tes!D19=0,"",SER_hh_tes!D19/SER_hh_fec!D19)</f>
        <v>0.62296165477313592</v>
      </c>
      <c r="E19" s="135">
        <f>IF(SER_hh_tes!E19=0,"",SER_hh_tes!E19/SER_hh_fec!E19)</f>
        <v>0.62501443332404027</v>
      </c>
      <c r="F19" s="135">
        <f>IF(SER_hh_tes!F19=0,"",SER_hh_tes!F19/SER_hh_fec!F19)</f>
        <v>0.62989032953062529</v>
      </c>
      <c r="G19" s="135">
        <f>IF(SER_hh_tes!G19=0,"",SER_hh_tes!G19/SER_hh_fec!G19)</f>
        <v>0.63522310483646049</v>
      </c>
      <c r="H19" s="135">
        <f>IF(SER_hh_tes!H19=0,"",SER_hh_tes!H19/SER_hh_fec!H19)</f>
        <v>0.64036860336975987</v>
      </c>
      <c r="I19" s="135">
        <f>IF(SER_hh_tes!I19=0,"",SER_hh_tes!I19/SER_hh_fec!I19)</f>
        <v>0.64192569846318315</v>
      </c>
      <c r="J19" s="135">
        <f>IF(SER_hh_tes!J19=0,"",SER_hh_tes!J19/SER_hh_fec!J19)</f>
        <v>0.64772140746363394</v>
      </c>
      <c r="K19" s="135">
        <f>IF(SER_hh_tes!K19=0,"",SER_hh_tes!K19/SER_hh_fec!K19)</f>
        <v>0.65211923080695755</v>
      </c>
      <c r="L19" s="135">
        <f>IF(SER_hh_tes!L19=0,"",SER_hh_tes!L19/SER_hh_fec!L19)</f>
        <v>0.65901821738837207</v>
      </c>
      <c r="M19" s="135">
        <f>IF(SER_hh_tes!M19=0,"",SER_hh_tes!M19/SER_hh_fec!M19)</f>
        <v>0.66656239752006097</v>
      </c>
      <c r="N19" s="135">
        <f>IF(SER_hh_tes!N19=0,"",SER_hh_tes!N19/SER_hh_fec!N19)</f>
        <v>0.67681170109822542</v>
      </c>
      <c r="O19" s="135">
        <f>IF(SER_hh_tes!O19=0,"",SER_hh_tes!O19/SER_hh_fec!O19)</f>
        <v>0.68465445868596608</v>
      </c>
      <c r="P19" s="135">
        <f>IF(SER_hh_tes!P19=0,"",SER_hh_tes!P19/SER_hh_fec!P19)</f>
        <v>0.68596874289359167</v>
      </c>
      <c r="Q19" s="135">
        <f>IF(SER_hh_tes!Q19=0,"",SER_hh_tes!Q19/SER_hh_fec!Q19)</f>
        <v>0.69198781516808394</v>
      </c>
      <c r="R19" s="135">
        <f>IF(SER_hh_tes!R19=0,"",SER_hh_tes!R19/SER_hh_fec!R19)</f>
        <v>0.70615352470301262</v>
      </c>
      <c r="S19" s="135">
        <f>IF(SER_hh_tes!S19=0,"",SER_hh_tes!S19/SER_hh_fec!S19)</f>
        <v>0.71518454423327604</v>
      </c>
      <c r="T19" s="135">
        <f>IF(SER_hh_tes!T19=0,"",SER_hh_tes!T19/SER_hh_fec!T19)</f>
        <v>0.73214921745097472</v>
      </c>
      <c r="U19" s="135">
        <f>IF(SER_hh_tes!U19=0,"",SER_hh_tes!U19/SER_hh_fec!U19)</f>
        <v>0.7462666821182331</v>
      </c>
      <c r="V19" s="135">
        <f>IF(SER_hh_tes!V19=0,"",SER_hh_tes!V19/SER_hh_fec!V19)</f>
        <v>0.75823135955206056</v>
      </c>
      <c r="W19" s="135">
        <f>IF(SER_hh_tes!W19=0,"",SER_hh_tes!W19/SER_hh_fec!W19)</f>
        <v>0.77702291546664992</v>
      </c>
      <c r="X19" s="135">
        <f>IF(SER_hh_tes!X19=0,"",SER_hh_tes!X19/SER_hh_fec!X19)</f>
        <v>0.78968439032599969</v>
      </c>
      <c r="Y19" s="135">
        <f>IF(SER_hh_tes!Y19=0,"",SER_hh_tes!Y19/SER_hh_fec!Y19)</f>
        <v>0.8080622219063418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0.56145381611604217</v>
      </c>
      <c r="C21" s="136">
        <f>IF(SER_hh_tes!C21=0,"",SER_hh_tes!C21/SER_hh_fec!C21)</f>
        <v>0.56419524094955198</v>
      </c>
      <c r="D21" s="136">
        <f>IF(SER_hh_tes!D21=0,"",SER_hh_tes!D21/SER_hh_fec!D21)</f>
        <v>0.56748588120143151</v>
      </c>
      <c r="E21" s="136">
        <f>IF(SER_hh_tes!E21=0,"",SER_hh_tes!E21/SER_hh_fec!E21)</f>
        <v>0.5702647173612444</v>
      </c>
      <c r="F21" s="136">
        <f>IF(SER_hh_tes!F21=0,"",SER_hh_tes!F21/SER_hh_fec!F21)</f>
        <v>0.57256233166661474</v>
      </c>
      <c r="G21" s="136">
        <f>IF(SER_hh_tes!G21=0,"",SER_hh_tes!G21/SER_hh_fec!G21)</f>
        <v>0.5748291852912939</v>
      </c>
      <c r="H21" s="136">
        <f>IF(SER_hh_tes!H21=0,"",SER_hh_tes!H21/SER_hh_fec!H21)</f>
        <v>0.57755161467836047</v>
      </c>
      <c r="I21" s="136">
        <f>IF(SER_hh_tes!I21=0,"",SER_hh_tes!I21/SER_hh_fec!I21)</f>
        <v>0.58041147771711288</v>
      </c>
      <c r="J21" s="136">
        <f>IF(SER_hh_tes!J21=0,"",SER_hh_tes!J21/SER_hh_fec!J21)</f>
        <v>0.58317298639297366</v>
      </c>
      <c r="K21" s="136">
        <f>IF(SER_hh_tes!K21=0,"",SER_hh_tes!K21/SER_hh_fec!K21)</f>
        <v>0.58525669466794472</v>
      </c>
      <c r="L21" s="136">
        <f>IF(SER_hh_tes!L21=0,"",SER_hh_tes!L21/SER_hh_fec!L21)</f>
        <v>0.58724806530083273</v>
      </c>
      <c r="M21" s="136">
        <f>IF(SER_hh_tes!M21=0,"",SER_hh_tes!M21/SER_hh_fec!M21)</f>
        <v>0.5891621040670576</v>
      </c>
      <c r="N21" s="136">
        <f>IF(SER_hh_tes!N21=0,"",SER_hh_tes!N21/SER_hh_fec!N21)</f>
        <v>0.59720539665230232</v>
      </c>
      <c r="O21" s="136">
        <f>IF(SER_hh_tes!O21=0,"",SER_hh_tes!O21/SER_hh_fec!O21)</f>
        <v>0.60564886153885411</v>
      </c>
      <c r="P21" s="136">
        <f>IF(SER_hh_tes!P21=0,"",SER_hh_tes!P21/SER_hh_fec!P21)</f>
        <v>0.61031769038352779</v>
      </c>
      <c r="Q21" s="136">
        <f>IF(SER_hh_tes!Q21=0,"",SER_hh_tes!Q21/SER_hh_fec!Q21)</f>
        <v>0.61730221648017425</v>
      </c>
      <c r="R21" s="136">
        <f>IF(SER_hh_tes!R21=0,"",SER_hh_tes!R21/SER_hh_fec!R21)</f>
        <v>0.62656369769331244</v>
      </c>
      <c r="S21" s="136">
        <f>IF(SER_hh_tes!S21=0,"",SER_hh_tes!S21/SER_hh_fec!S21)</f>
        <v>0.63855543788824298</v>
      </c>
      <c r="T21" s="136">
        <f>IF(SER_hh_tes!T21=0,"",SER_hh_tes!T21/SER_hh_fec!T21)</f>
        <v>0.64546092675019251</v>
      </c>
      <c r="U21" s="136">
        <f>IF(SER_hh_tes!U21=0,"",SER_hh_tes!U21/SER_hh_fec!U21)</f>
        <v>0.65276056919895642</v>
      </c>
      <c r="V21" s="136">
        <f>IF(SER_hh_tes!V21=0,"",SER_hh_tes!V21/SER_hh_fec!V21)</f>
        <v>0.66045960179465257</v>
      </c>
      <c r="W21" s="136">
        <f>IF(SER_hh_tes!W21=0,"",SER_hh_tes!W21/SER_hh_fec!W21)</f>
        <v>0.66913937566941584</v>
      </c>
      <c r="X21" s="136">
        <f>IF(SER_hh_tes!X21=0,"",SER_hh_tes!X21/SER_hh_fec!X21)</f>
        <v>0.68098227311433635</v>
      </c>
      <c r="Y21" s="136">
        <f>IF(SER_hh_tes!Y21=0,"",SER_hh_tes!Y21/SER_hh_fec!Y21)</f>
        <v>0.70597358940029542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0.52910779134244945</v>
      </c>
      <c r="C22" s="136">
        <f>IF(SER_hh_tes!C22=0,"",SER_hh_tes!C22/SER_hh_fec!C22)</f>
        <v>0.53090131209354574</v>
      </c>
      <c r="D22" s="136">
        <f>IF(SER_hh_tes!D22=0,"",SER_hh_tes!D22/SER_hh_fec!D22)</f>
        <v>0.53276633794513373</v>
      </c>
      <c r="E22" s="136">
        <f>IF(SER_hh_tes!E22=0,"",SER_hh_tes!E22/SER_hh_fec!E22)</f>
        <v>0.53483759122521612</v>
      </c>
      <c r="F22" s="136">
        <f>IF(SER_hh_tes!F22=0,"",SER_hh_tes!F22/SER_hh_fec!F22)</f>
        <v>0.53685541785425717</v>
      </c>
      <c r="G22" s="136">
        <f>IF(SER_hh_tes!G22=0,"",SER_hh_tes!G22/SER_hh_fec!G22)</f>
        <v>0.53901254092603978</v>
      </c>
      <c r="H22" s="136">
        <f>IF(SER_hh_tes!H22=0,"",SER_hh_tes!H22/SER_hh_fec!H22)</f>
        <v>0.54123404993259816</v>
      </c>
      <c r="I22" s="136">
        <f>IF(SER_hh_tes!I22=0,"",SER_hh_tes!I22/SER_hh_fec!I22)</f>
        <v>0.54371617436554653</v>
      </c>
      <c r="J22" s="136">
        <f>IF(SER_hh_tes!J22=0,"",SER_hh_tes!J22/SER_hh_fec!J22)</f>
        <v>0.54669393959907808</v>
      </c>
      <c r="K22" s="136">
        <f>IF(SER_hh_tes!K22=0,"",SER_hh_tes!K22/SER_hh_fec!K22)</f>
        <v>0.55004914764855162</v>
      </c>
      <c r="L22" s="136">
        <f>IF(SER_hh_tes!L22=0,"",SER_hh_tes!L22/SER_hh_fec!L22)</f>
        <v>0.55419562128530631</v>
      </c>
      <c r="M22" s="136">
        <f>IF(SER_hh_tes!M22=0,"",SER_hh_tes!M22/SER_hh_fec!M22)</f>
        <v>0.56009496213457266</v>
      </c>
      <c r="N22" s="136">
        <f>IF(SER_hh_tes!N22=0,"",SER_hh_tes!N22/SER_hh_fec!N22)</f>
        <v>0.57048724361186853</v>
      </c>
      <c r="O22" s="136">
        <f>IF(SER_hh_tes!O22=0,"",SER_hh_tes!O22/SER_hh_fec!O22)</f>
        <v>0.58373412626664456</v>
      </c>
      <c r="P22" s="136">
        <f>IF(SER_hh_tes!P22=0,"",SER_hh_tes!P22/SER_hh_fec!P22)</f>
        <v>0.59219811323828475</v>
      </c>
      <c r="Q22" s="136">
        <f>IF(SER_hh_tes!Q22=0,"",SER_hh_tes!Q22/SER_hh_fec!Q22)</f>
        <v>0.59875028093226756</v>
      </c>
      <c r="R22" s="136">
        <f>IF(SER_hh_tes!R22=0,"",SER_hh_tes!R22/SER_hh_fec!R22)</f>
        <v>0.60159499567520869</v>
      </c>
      <c r="S22" s="136">
        <f>IF(SER_hh_tes!S22=0,"",SER_hh_tes!S22/SER_hh_fec!S22)</f>
        <v>0.60906216694248982</v>
      </c>
      <c r="T22" s="136">
        <f>IF(SER_hh_tes!T22=0,"",SER_hh_tes!T22/SER_hh_fec!T22)</f>
        <v>0.6168191917597563</v>
      </c>
      <c r="U22" s="136">
        <f>IF(SER_hh_tes!U22=0,"",SER_hh_tes!U22/SER_hh_fec!U22)</f>
        <v>0.62934550221455132</v>
      </c>
      <c r="V22" s="136">
        <f>IF(SER_hh_tes!V22=0,"",SER_hh_tes!V22/SER_hh_fec!V22)</f>
        <v>0.64637281510721223</v>
      </c>
      <c r="W22" s="136">
        <f>IF(SER_hh_tes!W22=0,"",SER_hh_tes!W22/SER_hh_fec!W22)</f>
        <v>0.65627462349949928</v>
      </c>
      <c r="X22" s="136">
        <f>IF(SER_hh_tes!X22=0,"",SER_hh_tes!X22/SER_hh_fec!X22)</f>
        <v>0.67389084988579051</v>
      </c>
      <c r="Y22" s="136">
        <f>IF(SER_hh_tes!Y22=0,"",SER_hh_tes!Y22/SER_hh_fec!Y22)</f>
        <v>0.69162015880036332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0.54099544848510372</v>
      </c>
      <c r="C23" s="136">
        <f>IF(SER_hh_tes!C23=0,"",SER_hh_tes!C23/SER_hh_fec!C23)</f>
        <v>0.54522345608273637</v>
      </c>
      <c r="D23" s="136">
        <f>IF(SER_hh_tes!D23=0,"",SER_hh_tes!D23/SER_hh_fec!D23)</f>
        <v>0.55018273682254126</v>
      </c>
      <c r="E23" s="136">
        <f>IF(SER_hh_tes!E23=0,"",SER_hh_tes!E23/SER_hh_fec!E23)</f>
        <v>0.55524149188682881</v>
      </c>
      <c r="F23" s="136">
        <f>IF(SER_hh_tes!F23=0,"",SER_hh_tes!F23/SER_hh_fec!F23)</f>
        <v>0.55945838631003553</v>
      </c>
      <c r="G23" s="136">
        <f>IF(SER_hh_tes!G23=0,"",SER_hh_tes!G23/SER_hh_fec!G23)</f>
        <v>0.56373746268593772</v>
      </c>
      <c r="H23" s="136">
        <f>IF(SER_hh_tes!H23=0,"",SER_hh_tes!H23/SER_hh_fec!H23)</f>
        <v>0.56891858199367529</v>
      </c>
      <c r="I23" s="136">
        <f>IF(SER_hh_tes!I23=0,"",SER_hh_tes!I23/SER_hh_fec!I23)</f>
        <v>0.57620981584728881</v>
      </c>
      <c r="J23" s="136">
        <f>IF(SER_hh_tes!J23=0,"",SER_hh_tes!J23/SER_hh_fec!J23)</f>
        <v>0.58451393823395925</v>
      </c>
      <c r="K23" s="136">
        <f>IF(SER_hh_tes!K23=0,"",SER_hh_tes!K23/SER_hh_fec!K23)</f>
        <v>0.59523551817533948</v>
      </c>
      <c r="L23" s="136">
        <f>IF(SER_hh_tes!L23=0,"",SER_hh_tes!L23/SER_hh_fec!L23)</f>
        <v>0.60491194207878562</v>
      </c>
      <c r="M23" s="136">
        <f>IF(SER_hh_tes!M23=0,"",SER_hh_tes!M23/SER_hh_fec!M23)</f>
        <v>0.61642043716282313</v>
      </c>
      <c r="N23" s="136">
        <f>IF(SER_hh_tes!N23=0,"",SER_hh_tes!N23/SER_hh_fec!N23)</f>
        <v>0.62931594105889066</v>
      </c>
      <c r="O23" s="136">
        <f>IF(SER_hh_tes!O23=0,"",SER_hh_tes!O23/SER_hh_fec!O23)</f>
        <v>0.64303571973068274</v>
      </c>
      <c r="P23" s="136">
        <f>IF(SER_hh_tes!P23=0,"",SER_hh_tes!P23/SER_hh_fec!P23)</f>
        <v>0.64661892475606486</v>
      </c>
      <c r="Q23" s="136">
        <f>IF(SER_hh_tes!Q23=0,"",SER_hh_tes!Q23/SER_hh_fec!Q23)</f>
        <v>0.65400120037149656</v>
      </c>
      <c r="R23" s="136">
        <f>IF(SER_hh_tes!R23=0,"",SER_hh_tes!R23/SER_hh_fec!R23)</f>
        <v>0.66716751850956568</v>
      </c>
      <c r="S23" s="136">
        <f>IF(SER_hh_tes!S23=0,"",SER_hh_tes!S23/SER_hh_fec!S23)</f>
        <v>0.67970339467024832</v>
      </c>
      <c r="T23" s="136">
        <f>IF(SER_hh_tes!T23=0,"",SER_hh_tes!T23/SER_hh_fec!T23)</f>
        <v>0.69249279105595885</v>
      </c>
      <c r="U23" s="136">
        <f>IF(SER_hh_tes!U23=0,"",SER_hh_tes!U23/SER_hh_fec!U23)</f>
        <v>0.7066429492368258</v>
      </c>
      <c r="V23" s="136">
        <f>IF(SER_hh_tes!V23=0,"",SER_hh_tes!V23/SER_hh_fec!V23)</f>
        <v>0.72089036562696696</v>
      </c>
      <c r="W23" s="136">
        <f>IF(SER_hh_tes!W23=0,"",SER_hh_tes!W23/SER_hh_fec!W23)</f>
        <v>0.73381520063591454</v>
      </c>
      <c r="X23" s="136">
        <f>IF(SER_hh_tes!X23=0,"",SER_hh_tes!X23/SER_hh_fec!X23)</f>
        <v>0.74997301590159593</v>
      </c>
      <c r="Y23" s="136">
        <f>IF(SER_hh_tes!Y23=0,"",SER_hh_tes!Y23/SER_hh_fec!Y23)</f>
        <v>0.76349197743658526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0.46182734342966303</v>
      </c>
      <c r="C24" s="136">
        <f>IF(SER_hh_tes!C24=0,"",SER_hh_tes!C24/SER_hh_fec!C24)</f>
        <v>0.47003037706174811</v>
      </c>
      <c r="D24" s="136">
        <f>IF(SER_hh_tes!D24=0,"",SER_hh_tes!D24/SER_hh_fec!D24)</f>
        <v>0.48222222945879256</v>
      </c>
      <c r="E24" s="136">
        <f>IF(SER_hh_tes!E24=0,"",SER_hh_tes!E24/SER_hh_fec!E24)</f>
        <v>0.49585190553000197</v>
      </c>
      <c r="F24" s="136">
        <f>IF(SER_hh_tes!F24=0,"",SER_hh_tes!F24/SER_hh_fec!F24)</f>
        <v>0.51050997897446904</v>
      </c>
      <c r="G24" s="136">
        <f>IF(SER_hh_tes!G24=0,"",SER_hh_tes!G24/SER_hh_fec!G24)</f>
        <v>0.52716692574036006</v>
      </c>
      <c r="H24" s="136">
        <f>IF(SER_hh_tes!H24=0,"",SER_hh_tes!H24/SER_hh_fec!H24)</f>
        <v>0.54481322586768688</v>
      </c>
      <c r="I24" s="136">
        <f>IF(SER_hh_tes!I24=0,"",SER_hh_tes!I24/SER_hh_fec!I24)</f>
        <v>0.56501018276950576</v>
      </c>
      <c r="J24" s="136">
        <f>IF(SER_hh_tes!J24=0,"",SER_hh_tes!J24/SER_hh_fec!J24)</f>
        <v>0.58219420941791411</v>
      </c>
      <c r="K24" s="136">
        <f>IF(SER_hh_tes!K24=0,"",SER_hh_tes!K24/SER_hh_fec!K24)</f>
        <v>0.5969236352588847</v>
      </c>
      <c r="L24" s="136">
        <f>IF(SER_hh_tes!L24=0,"",SER_hh_tes!L24/SER_hh_fec!L24)</f>
        <v>0.60868149769983881</v>
      </c>
      <c r="M24" s="136">
        <f>IF(SER_hh_tes!M24=0,"",SER_hh_tes!M24/SER_hh_fec!M24)</f>
        <v>0.61933759278985068</v>
      </c>
      <c r="N24" s="136">
        <f>IF(SER_hh_tes!N24=0,"",SER_hh_tes!N24/SER_hh_fec!N24)</f>
        <v>0.6329568168089329</v>
      </c>
      <c r="O24" s="136">
        <f>IF(SER_hh_tes!O24=0,"",SER_hh_tes!O24/SER_hh_fec!O24)</f>
        <v>0.65191165979307364</v>
      </c>
      <c r="P24" s="136">
        <f>IF(SER_hh_tes!P24=0,"",SER_hh_tes!P24/SER_hh_fec!P24)</f>
        <v>0.65373226635185433</v>
      </c>
      <c r="Q24" s="136">
        <f>IF(SER_hh_tes!Q24=0,"",SER_hh_tes!Q24/SER_hh_fec!Q24)</f>
        <v>0.65584716512188512</v>
      </c>
      <c r="R24" s="136">
        <f>IF(SER_hh_tes!R24=0,"",SER_hh_tes!R24/SER_hh_fec!R24)</f>
        <v>0.66310972466226048</v>
      </c>
      <c r="S24" s="136">
        <f>IF(SER_hh_tes!S24=0,"",SER_hh_tes!S24/SER_hh_fec!S24)</f>
        <v>0.68043056360135545</v>
      </c>
      <c r="T24" s="136">
        <f>IF(SER_hh_tes!T24=0,"",SER_hh_tes!T24/SER_hh_fec!T24)</f>
        <v>0.70197130046184886</v>
      </c>
      <c r="U24" s="136">
        <f>IF(SER_hh_tes!U24=0,"",SER_hh_tes!U24/SER_hh_fec!U24)</f>
        <v>0.72553595758753264</v>
      </c>
      <c r="V24" s="136">
        <f>IF(SER_hh_tes!V24=0,"",SER_hh_tes!V24/SER_hh_fec!V24)</f>
        <v>0.74900489864950603</v>
      </c>
      <c r="W24" s="136">
        <f>IF(SER_hh_tes!W24=0,"",SER_hh_tes!W24/SER_hh_fec!W24)</f>
        <v>0.76874607442765852</v>
      </c>
      <c r="X24" s="136">
        <f>IF(SER_hh_tes!X24=0,"",SER_hh_tes!X24/SER_hh_fec!X24)</f>
        <v>0.78493322641267416</v>
      </c>
      <c r="Y24" s="136">
        <f>IF(SER_hh_tes!Y24=0,"",SER_hh_tes!Y24/SER_hh_fec!Y24)</f>
        <v>0.79557105657126659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0.80729942031054214</v>
      </c>
      <c r="C25" s="136">
        <f>IF(SER_hh_tes!C25=0,"",SER_hh_tes!C25/SER_hh_fec!C25)</f>
        <v>0.80975224822314074</v>
      </c>
      <c r="D25" s="136">
        <f>IF(SER_hh_tes!D25=0,"",SER_hh_tes!D25/SER_hh_fec!D25)</f>
        <v>0.81231736227769968</v>
      </c>
      <c r="E25" s="136">
        <f>IF(SER_hh_tes!E25=0,"",SER_hh_tes!E25/SER_hh_fec!E25)</f>
        <v>0.81512181321813804</v>
      </c>
      <c r="F25" s="136">
        <f>IF(SER_hh_tes!F25=0,"",SER_hh_tes!F25/SER_hh_fec!F25)</f>
        <v>0.8177564324135832</v>
      </c>
      <c r="G25" s="136">
        <f>IF(SER_hh_tes!G25=0,"",SER_hh_tes!G25/SER_hh_fec!G25)</f>
        <v>0.81938131160984462</v>
      </c>
      <c r="H25" s="136">
        <f>IF(SER_hh_tes!H25=0,"",SER_hh_tes!H25/SER_hh_fec!H25)</f>
        <v>0.82034569723279249</v>
      </c>
      <c r="I25" s="136">
        <f>IF(SER_hh_tes!I25=0,"",SER_hh_tes!I25/SER_hh_fec!I25)</f>
        <v>0.82140620621516713</v>
      </c>
      <c r="J25" s="136">
        <f>IF(SER_hh_tes!J25=0,"",SER_hh_tes!J25/SER_hh_fec!J25)</f>
        <v>0.82168095268793706</v>
      </c>
      <c r="K25" s="136">
        <f>IF(SER_hh_tes!K25=0,"",SER_hh_tes!K25/SER_hh_fec!K25)</f>
        <v>0.8237440125960741</v>
      </c>
      <c r="L25" s="136">
        <f>IF(SER_hh_tes!L25=0,"",SER_hh_tes!L25/SER_hh_fec!L25)</f>
        <v>0.82981922256901031</v>
      </c>
      <c r="M25" s="136">
        <f>IF(SER_hh_tes!M25=0,"",SER_hh_tes!M25/SER_hh_fec!M25)</f>
        <v>0.83671809858349233</v>
      </c>
      <c r="N25" s="136">
        <f>IF(SER_hh_tes!N25=0,"",SER_hh_tes!N25/SER_hh_fec!N25)</f>
        <v>0.84485221144623146</v>
      </c>
      <c r="O25" s="136">
        <f>IF(SER_hh_tes!O25=0,"",SER_hh_tes!O25/SER_hh_fec!O25)</f>
        <v>0.8519228615527592</v>
      </c>
      <c r="P25" s="136">
        <f>IF(SER_hh_tes!P25=0,"",SER_hh_tes!P25/SER_hh_fec!P25)</f>
        <v>0.85349540714892358</v>
      </c>
      <c r="Q25" s="136">
        <f>IF(SER_hh_tes!Q25=0,"",SER_hh_tes!Q25/SER_hh_fec!Q25)</f>
        <v>0.85679866308935659</v>
      </c>
      <c r="R25" s="136">
        <f>IF(SER_hh_tes!R25=0,"",SER_hh_tes!R25/SER_hh_fec!R25)</f>
        <v>0.86208711551000894</v>
      </c>
      <c r="S25" s="136">
        <f>IF(SER_hh_tes!S25=0,"",SER_hh_tes!S25/SER_hh_fec!S25)</f>
        <v>0.86804860311256582</v>
      </c>
      <c r="T25" s="136">
        <f>IF(SER_hh_tes!T25=0,"",SER_hh_tes!T25/SER_hh_fec!T25)</f>
        <v>0.87401156178500883</v>
      </c>
      <c r="U25" s="136">
        <f>IF(SER_hh_tes!U25=0,"",SER_hh_tes!U25/SER_hh_fec!U25)</f>
        <v>0.87777090902314026</v>
      </c>
      <c r="V25" s="136">
        <f>IF(SER_hh_tes!V25=0,"",SER_hh_tes!V25/SER_hh_fec!V25)</f>
        <v>0.88021456788943409</v>
      </c>
      <c r="W25" s="136">
        <f>IF(SER_hh_tes!W25=0,"",SER_hh_tes!W25/SER_hh_fec!W25)</f>
        <v>0.88124932469041217</v>
      </c>
      <c r="X25" s="136">
        <f>IF(SER_hh_tes!X25=0,"",SER_hh_tes!X25/SER_hh_fec!X25)</f>
        <v>0.88207940368137738</v>
      </c>
      <c r="Y25" s="136">
        <f>IF(SER_hh_tes!Y25=0,"",SER_hh_tes!Y25/SER_hh_fec!Y25)</f>
        <v>0.8823631219269249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0.67137149023278453</v>
      </c>
      <c r="C26" s="137">
        <f>IF(SER_hh_tes!C26=0,"",SER_hh_tes!C26/SER_hh_fec!C26)</f>
        <v>0.67331798960071843</v>
      </c>
      <c r="D26" s="137">
        <f>IF(SER_hh_tes!D26=0,"",SER_hh_tes!D26/SER_hh_fec!D26)</f>
        <v>0.67533103562421481</v>
      </c>
      <c r="E26" s="137">
        <f>IF(SER_hh_tes!E26=0,"",SER_hh_tes!E26/SER_hh_fec!E26)</f>
        <v>0.6775302102152384</v>
      </c>
      <c r="F26" s="137">
        <f>IF(SER_hh_tes!F26=0,"",SER_hh_tes!F26/SER_hh_fec!F26)</f>
        <v>0.68017405590788182</v>
      </c>
      <c r="G26" s="137">
        <f>IF(SER_hh_tes!G26=0,"",SER_hh_tes!G26/SER_hh_fec!G26)</f>
        <v>0.68309254048071633</v>
      </c>
      <c r="H26" s="137">
        <f>IF(SER_hh_tes!H26=0,"",SER_hh_tes!H26/SER_hh_fec!H26)</f>
        <v>0.68629246674024946</v>
      </c>
      <c r="I26" s="137">
        <f>IF(SER_hh_tes!I26=0,"",SER_hh_tes!I26/SER_hh_fec!I26)</f>
        <v>0.68971488612241771</v>
      </c>
      <c r="J26" s="137">
        <f>IF(SER_hh_tes!J26=0,"",SER_hh_tes!J26/SER_hh_fec!J26)</f>
        <v>0.69286782263316016</v>
      </c>
      <c r="K26" s="137">
        <f>IF(SER_hh_tes!K26=0,"",SER_hh_tes!K26/SER_hh_fec!K26)</f>
        <v>0.69584174090088136</v>
      </c>
      <c r="L26" s="137">
        <f>IF(SER_hh_tes!L26=0,"",SER_hh_tes!L26/SER_hh_fec!L26)</f>
        <v>0.69947037302457338</v>
      </c>
      <c r="M26" s="137">
        <f>IF(SER_hh_tes!M26=0,"",SER_hh_tes!M26/SER_hh_fec!M26)</f>
        <v>0.70379090642561248</v>
      </c>
      <c r="N26" s="137">
        <f>IF(SER_hh_tes!N26=0,"",SER_hh_tes!N26/SER_hh_fec!N26)</f>
        <v>0.70860571113237969</v>
      </c>
      <c r="O26" s="137">
        <f>IF(SER_hh_tes!O26=0,"",SER_hh_tes!O26/SER_hh_fec!O26)</f>
        <v>0.71431672209949615</v>
      </c>
      <c r="P26" s="137">
        <f>IF(SER_hh_tes!P26=0,"",SER_hh_tes!P26/SER_hh_fec!P26)</f>
        <v>0.71858472755478564</v>
      </c>
      <c r="Q26" s="137">
        <f>IF(SER_hh_tes!Q26=0,"",SER_hh_tes!Q26/SER_hh_fec!Q26)</f>
        <v>0.72385831538804257</v>
      </c>
      <c r="R26" s="137">
        <f>IF(SER_hh_tes!R26=0,"",SER_hh_tes!R26/SER_hh_fec!R26)</f>
        <v>0.73312593460873543</v>
      </c>
      <c r="S26" s="137">
        <f>IF(SER_hh_tes!S26=0,"",SER_hh_tes!S26/SER_hh_fec!S26)</f>
        <v>0.7450473012594836</v>
      </c>
      <c r="T26" s="137">
        <f>IF(SER_hh_tes!T26=0,"",SER_hh_tes!T26/SER_hh_fec!T26)</f>
        <v>0.7587305715231365</v>
      </c>
      <c r="U26" s="137">
        <f>IF(SER_hh_tes!U26=0,"",SER_hh_tes!U26/SER_hh_fec!U26)</f>
        <v>0.77305440143523607</v>
      </c>
      <c r="V26" s="137">
        <f>IF(SER_hh_tes!V26=0,"",SER_hh_tes!V26/SER_hh_fec!V26)</f>
        <v>0.78797046937248694</v>
      </c>
      <c r="W26" s="137">
        <f>IF(SER_hh_tes!W26=0,"",SER_hh_tes!W26/SER_hh_fec!W26)</f>
        <v>0.8059189261899613</v>
      </c>
      <c r="X26" s="137">
        <f>IF(SER_hh_tes!X26=0,"",SER_hh_tes!X26/SER_hh_fec!X26)</f>
        <v>0.82312308573952064</v>
      </c>
      <c r="Y26" s="137">
        <f>IF(SER_hh_tes!Y26=0,"",SER_hh_tes!Y26/SER_hh_fec!Y26)</f>
        <v>0.84023147151046851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0.65330786663442786</v>
      </c>
      <c r="C29" s="135">
        <f>IF(SER_hh_tes!C29=0,"",SER_hh_tes!C29/SER_hh_fec!C29)</f>
        <v>0.67374142396002368</v>
      </c>
      <c r="D29" s="135">
        <f>IF(SER_hh_tes!D29=0,"",SER_hh_tes!D29/SER_hh_fec!D29)</f>
        <v>0.65090791152926286</v>
      </c>
      <c r="E29" s="135">
        <f>IF(SER_hh_tes!E29=0,"",SER_hh_tes!E29/SER_hh_fec!E29)</f>
        <v>0.6455402917499079</v>
      </c>
      <c r="F29" s="135">
        <f>IF(SER_hh_tes!F29=0,"",SER_hh_tes!F29/SER_hh_fec!F29)</f>
        <v>0.64472692294605172</v>
      </c>
      <c r="G29" s="135">
        <f>IF(SER_hh_tes!G29=0,"",SER_hh_tes!G29/SER_hh_fec!G29)</f>
        <v>0.67845701967125016</v>
      </c>
      <c r="H29" s="135">
        <f>IF(SER_hh_tes!H29=0,"",SER_hh_tes!H29/SER_hh_fec!H29)</f>
        <v>0.68906544467112696</v>
      </c>
      <c r="I29" s="135">
        <f>IF(SER_hh_tes!I29=0,"",SER_hh_tes!I29/SER_hh_fec!I29)</f>
        <v>0.68918178195156687</v>
      </c>
      <c r="J29" s="135">
        <f>IF(SER_hh_tes!J29=0,"",SER_hh_tes!J29/SER_hh_fec!J29)</f>
        <v>0.68914164333839778</v>
      </c>
      <c r="K29" s="135">
        <f>IF(SER_hh_tes!K29=0,"",SER_hh_tes!K29/SER_hh_fec!K29)</f>
        <v>0.68078098197411241</v>
      </c>
      <c r="L29" s="135">
        <f>IF(SER_hh_tes!L29=0,"",SER_hh_tes!L29/SER_hh_fec!L29)</f>
        <v>0.68375326966816363</v>
      </c>
      <c r="M29" s="135">
        <f>IF(SER_hh_tes!M29=0,"",SER_hh_tes!M29/SER_hh_fec!M29)</f>
        <v>0.69498144286886121</v>
      </c>
      <c r="N29" s="135">
        <f>IF(SER_hh_tes!N29=0,"",SER_hh_tes!N29/SER_hh_fec!N29)</f>
        <v>0.69980853625606609</v>
      </c>
      <c r="O29" s="135">
        <f>IF(SER_hh_tes!O29=0,"",SER_hh_tes!O29/SER_hh_fec!O29)</f>
        <v>0.70305603403156436</v>
      </c>
      <c r="P29" s="135">
        <f>IF(SER_hh_tes!P29=0,"",SER_hh_tes!P29/SER_hh_fec!P29)</f>
        <v>0.70190573296621495</v>
      </c>
      <c r="Q29" s="135">
        <f>IF(SER_hh_tes!Q29=0,"",SER_hh_tes!Q29/SER_hh_fec!Q29)</f>
        <v>0.69636897195325698</v>
      </c>
      <c r="R29" s="135">
        <f>IF(SER_hh_tes!R29=0,"",SER_hh_tes!R29/SER_hh_fec!R29)</f>
        <v>0.70508062057950194</v>
      </c>
      <c r="S29" s="135">
        <f>IF(SER_hh_tes!S29=0,"",SER_hh_tes!S29/SER_hh_fec!S29)</f>
        <v>0.70471768119094125</v>
      </c>
      <c r="T29" s="135">
        <f>IF(SER_hh_tes!T29=0,"",SER_hh_tes!T29/SER_hh_fec!T29)</f>
        <v>0.71161994279734264</v>
      </c>
      <c r="U29" s="135">
        <f>IF(SER_hh_tes!U29=0,"",SER_hh_tes!U29/SER_hh_fec!U29)</f>
        <v>0.71598340772716329</v>
      </c>
      <c r="V29" s="135">
        <f>IF(SER_hh_tes!V29=0,"",SER_hh_tes!V29/SER_hh_fec!V29)</f>
        <v>0.72445933164482024</v>
      </c>
      <c r="W29" s="135">
        <f>IF(SER_hh_tes!W29=0,"",SER_hh_tes!W29/SER_hh_fec!W29)</f>
        <v>0.72071762112525972</v>
      </c>
      <c r="X29" s="135">
        <f>IF(SER_hh_tes!X29=0,"",SER_hh_tes!X29/SER_hh_fec!X29)</f>
        <v>0.7422684404524218</v>
      </c>
      <c r="Y29" s="135">
        <f>IF(SER_hh_tes!Y29=0,"",SER_hh_tes!Y29/SER_hh_fec!Y29)</f>
        <v>0.75389762330056753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0.57389934971352408</v>
      </c>
      <c r="C30" s="136">
        <f>IF(SER_hh_tes!C30=0,"",SER_hh_tes!C30/SER_hh_fec!C30)</f>
        <v>0.57485163976657805</v>
      </c>
      <c r="D30" s="136">
        <f>IF(SER_hh_tes!D30=0,"",SER_hh_tes!D30/SER_hh_fec!D30)</f>
        <v>0.57719297947218007</v>
      </c>
      <c r="E30" s="136">
        <f>IF(SER_hh_tes!E30=0,"",SER_hh_tes!E30/SER_hh_fec!E30)</f>
        <v>0.57822880397037568</v>
      </c>
      <c r="F30" s="136">
        <f>IF(SER_hh_tes!F30=0,"",SER_hh_tes!F30/SER_hh_fec!F30)</f>
        <v>0.57875992714566582</v>
      </c>
      <c r="G30" s="136">
        <f>IF(SER_hh_tes!G30=0,"",SER_hh_tes!G30/SER_hh_fec!G30)</f>
        <v>0.57911538658996498</v>
      </c>
      <c r="H30" s="136">
        <f>IF(SER_hh_tes!H30=0,"",SER_hh_tes!H30/SER_hh_fec!H30)</f>
        <v>0.57940448914206422</v>
      </c>
      <c r="I30" s="136">
        <f>IF(SER_hh_tes!I30=0,"",SER_hh_tes!I30/SER_hh_fec!I30)</f>
        <v>0.57992762913357521</v>
      </c>
      <c r="J30" s="136">
        <f>IF(SER_hh_tes!J30=0,"",SER_hh_tes!J30/SER_hh_fec!J30)</f>
        <v>0.58073164000477784</v>
      </c>
      <c r="K30" s="136">
        <f>IF(SER_hh_tes!K30=0,"",SER_hh_tes!K30/SER_hh_fec!K30)</f>
        <v>0.5814357153901224</v>
      </c>
      <c r="L30" s="136">
        <f>IF(SER_hh_tes!L30=0,"",SER_hh_tes!L30/SER_hh_fec!L30)</f>
        <v>0.5819632713232088</v>
      </c>
      <c r="M30" s="136">
        <f>IF(SER_hh_tes!M30=0,"",SER_hh_tes!M30/SER_hh_fec!M30)</f>
        <v>0.58208100259339868</v>
      </c>
      <c r="N30" s="136">
        <f>IF(SER_hh_tes!N30=0,"",SER_hh_tes!N30/SER_hh_fec!N30)</f>
        <v>0.58228985850974924</v>
      </c>
      <c r="O30" s="136">
        <f>IF(SER_hh_tes!O30=0,"",SER_hh_tes!O30/SER_hh_fec!O30)</f>
        <v>0.5828488117346704</v>
      </c>
      <c r="P30" s="136">
        <f>IF(SER_hh_tes!P30=0,"",SER_hh_tes!P30/SER_hh_fec!P30)</f>
        <v>0.58380711357060966</v>
      </c>
      <c r="Q30" s="136">
        <f>IF(SER_hh_tes!Q30=0,"",SER_hh_tes!Q30/SER_hh_fec!Q30)</f>
        <v>0.58463442898392737</v>
      </c>
      <c r="R30" s="136">
        <f>IF(SER_hh_tes!R30=0,"",SER_hh_tes!R30/SER_hh_fec!R30)</f>
        <v>0.58537362192517117</v>
      </c>
      <c r="S30" s="136">
        <f>IF(SER_hh_tes!S30=0,"",SER_hh_tes!S30/SER_hh_fec!S30)</f>
        <v>0.58658888866688264</v>
      </c>
      <c r="T30" s="136">
        <f>IF(SER_hh_tes!T30=0,"",SER_hh_tes!T30/SER_hh_fec!T30)</f>
        <v>0.58782343625588718</v>
      </c>
      <c r="U30" s="136">
        <f>IF(SER_hh_tes!U30=0,"",SER_hh_tes!U30/SER_hh_fec!U30)</f>
        <v>0.58961245148573183</v>
      </c>
      <c r="V30" s="136">
        <f>IF(SER_hh_tes!V30=0,"",SER_hh_tes!V30/SER_hh_fec!V30)</f>
        <v>0.5905646930572328</v>
      </c>
      <c r="W30" s="136">
        <f>IF(SER_hh_tes!W30=0,"",SER_hh_tes!W30/SER_hh_fec!W30)</f>
        <v>0.59121788943923204</v>
      </c>
      <c r="X30" s="136">
        <f>IF(SER_hh_tes!X30=0,"",SER_hh_tes!X30/SER_hh_fec!X30)</f>
        <v>0.59160680276026201</v>
      </c>
      <c r="Y30" s="136">
        <f>IF(SER_hh_tes!Y30=0,"",SER_hh_tes!Y30/SER_hh_fec!Y30)</f>
        <v>0.59382889203892697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0.58099674819641145</v>
      </c>
      <c r="C31" s="136">
        <f>IF(SER_hh_tes!C31=0,"",SER_hh_tes!C31/SER_hh_fec!C31)</f>
        <v>0.58163121689374464</v>
      </c>
      <c r="D31" s="136">
        <f>IF(SER_hh_tes!D31=0,"",SER_hh_tes!D31/SER_hh_fec!D31)</f>
        <v>0.58235791775529722</v>
      </c>
      <c r="E31" s="136">
        <f>IF(SER_hh_tes!E31=0,"",SER_hh_tes!E31/SER_hh_fec!E31)</f>
        <v>0.58295977746878713</v>
      </c>
      <c r="F31" s="136">
        <f>IF(SER_hh_tes!F31=0,"",SER_hh_tes!F31/SER_hh_fec!F31)</f>
        <v>0.58338092891121796</v>
      </c>
      <c r="G31" s="136">
        <f>IF(SER_hh_tes!G31=0,"",SER_hh_tes!G31/SER_hh_fec!G31)</f>
        <v>0.5836823804721416</v>
      </c>
      <c r="H31" s="136">
        <f>IF(SER_hh_tes!H31=0,"",SER_hh_tes!H31/SER_hh_fec!H31)</f>
        <v>0.58401025688519137</v>
      </c>
      <c r="I31" s="136">
        <f>IF(SER_hh_tes!I31=0,"",SER_hh_tes!I31/SER_hh_fec!I31)</f>
        <v>0.58532598613181663</v>
      </c>
      <c r="J31" s="136">
        <f>IF(SER_hh_tes!J31=0,"",SER_hh_tes!J31/SER_hh_fec!J31)</f>
        <v>0.58727177387839846</v>
      </c>
      <c r="K31" s="136">
        <f>IF(SER_hh_tes!K31=0,"",SER_hh_tes!K31/SER_hh_fec!K31)</f>
        <v>0.58946022886332194</v>
      </c>
      <c r="L31" s="136">
        <f>IF(SER_hh_tes!L31=0,"",SER_hh_tes!L31/SER_hh_fec!L31)</f>
        <v>0.59071809754722959</v>
      </c>
      <c r="M31" s="136">
        <f>IF(SER_hh_tes!M31=0,"",SER_hh_tes!M31/SER_hh_fec!M31)</f>
        <v>0.59103759888085117</v>
      </c>
      <c r="N31" s="136">
        <f>IF(SER_hh_tes!N31=0,"",SER_hh_tes!N31/SER_hh_fec!N31)</f>
        <v>0.59134981320425184</v>
      </c>
      <c r="O31" s="136">
        <f>IF(SER_hh_tes!O31=0,"",SER_hh_tes!O31/SER_hh_fec!O31)</f>
        <v>0.59187033857990567</v>
      </c>
      <c r="P31" s="136">
        <f>IF(SER_hh_tes!P31=0,"",SER_hh_tes!P31/SER_hh_fec!P31)</f>
        <v>0.59230795108540446</v>
      </c>
      <c r="Q31" s="136">
        <f>IF(SER_hh_tes!Q31=0,"",SER_hh_tes!Q31/SER_hh_fec!Q31)</f>
        <v>0.59276601683185814</v>
      </c>
      <c r="R31" s="136">
        <f>IF(SER_hh_tes!R31=0,"",SER_hh_tes!R31/SER_hh_fec!R31)</f>
        <v>0.59334995237117916</v>
      </c>
      <c r="S31" s="136">
        <f>IF(SER_hh_tes!S31=0,"",SER_hh_tes!S31/SER_hh_fec!S31)</f>
        <v>0.59454401671911639</v>
      </c>
      <c r="T31" s="136">
        <f>IF(SER_hh_tes!T31=0,"",SER_hh_tes!T31/SER_hh_fec!T31)</f>
        <v>0.59664774392642839</v>
      </c>
      <c r="U31" s="136">
        <f>IF(SER_hh_tes!U31=0,"",SER_hh_tes!U31/SER_hh_fec!U31)</f>
        <v>0.60065720486039154</v>
      </c>
      <c r="V31" s="136">
        <f>IF(SER_hh_tes!V31=0,"",SER_hh_tes!V31/SER_hh_fec!V31)</f>
        <v>0.60525365497450634</v>
      </c>
      <c r="W31" s="136">
        <f>IF(SER_hh_tes!W31=0,"",SER_hh_tes!W31/SER_hh_fec!W31)</f>
        <v>0.60848544108267755</v>
      </c>
      <c r="X31" s="136">
        <f>IF(SER_hh_tes!X31=0,"",SER_hh_tes!X31/SER_hh_fec!X31)</f>
        <v>0.61097190393786549</v>
      </c>
      <c r="Y31" s="136">
        <f>IF(SER_hh_tes!Y31=0,"",SER_hh_tes!Y31/SER_hh_fec!Y31)</f>
        <v>0.61306950722597575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0.75938090598343122</v>
      </c>
      <c r="C33" s="149">
        <f>IF(SER_hh_tes!C33=0,"",SER_hh_tes!C33/SER_hh_fec!C33)</f>
        <v>0.76091783473701935</v>
      </c>
      <c r="D33" s="149">
        <f>IF(SER_hh_tes!D33=0,"",SER_hh_tes!D33/SER_hh_fec!D33)</f>
        <v>0.76136505693483458</v>
      </c>
      <c r="E33" s="149">
        <f>IF(SER_hh_tes!E33=0,"",SER_hh_tes!E33/SER_hh_fec!E33)</f>
        <v>0.76285382991667827</v>
      </c>
      <c r="F33" s="149">
        <f>IF(SER_hh_tes!F33=0,"",SER_hh_tes!F33/SER_hh_fec!F33)</f>
        <v>0.76541655099880612</v>
      </c>
      <c r="G33" s="149">
        <f>IF(SER_hh_tes!G33=0,"",SER_hh_tes!G33/SER_hh_fec!G33)</f>
        <v>0.76845771239918625</v>
      </c>
      <c r="H33" s="149">
        <f>IF(SER_hh_tes!H33=0,"",SER_hh_tes!H33/SER_hh_fec!H33)</f>
        <v>0.77094253752810049</v>
      </c>
      <c r="I33" s="149">
        <f>IF(SER_hh_tes!I33=0,"",SER_hh_tes!I33/SER_hh_fec!I33)</f>
        <v>0.77294965495485068</v>
      </c>
      <c r="J33" s="149">
        <f>IF(SER_hh_tes!J33=0,"",SER_hh_tes!J33/SER_hh_fec!J33)</f>
        <v>0.77473471002036642</v>
      </c>
      <c r="K33" s="149">
        <f>IF(SER_hh_tes!K33=0,"",SER_hh_tes!K33/SER_hh_fec!K33)</f>
        <v>0.77660809803017261</v>
      </c>
      <c r="L33" s="149">
        <f>IF(SER_hh_tes!L33=0,"",SER_hh_tes!L33/SER_hh_fec!L33)</f>
        <v>0.77825783256977477</v>
      </c>
      <c r="M33" s="149">
        <f>IF(SER_hh_tes!M33=0,"",SER_hh_tes!M33/SER_hh_fec!M33)</f>
        <v>0.77919710995854907</v>
      </c>
      <c r="N33" s="149">
        <f>IF(SER_hh_tes!N33=0,"",SER_hh_tes!N33/SER_hh_fec!N33)</f>
        <v>0.78048838127488473</v>
      </c>
      <c r="O33" s="149">
        <f>IF(SER_hh_tes!O33=0,"",SER_hh_tes!O33/SER_hh_fec!O33)</f>
        <v>0.78224775498515442</v>
      </c>
      <c r="P33" s="149">
        <f>IF(SER_hh_tes!P33=0,"",SER_hh_tes!P33/SER_hh_fec!P33)</f>
        <v>0.78435093223945773</v>
      </c>
      <c r="Q33" s="149">
        <f>IF(SER_hh_tes!Q33=0,"",SER_hh_tes!Q33/SER_hh_fec!Q33)</f>
        <v>0.78719402220568768</v>
      </c>
      <c r="R33" s="149">
        <f>IF(SER_hh_tes!R33=0,"",SER_hh_tes!R33/SER_hh_fec!R33)</f>
        <v>0.79236237017196998</v>
      </c>
      <c r="S33" s="149">
        <f>IF(SER_hh_tes!S33=0,"",SER_hh_tes!S33/SER_hh_fec!S33)</f>
        <v>0.79880531463691318</v>
      </c>
      <c r="T33" s="149">
        <f>IF(SER_hh_tes!T33=0,"",SER_hh_tes!T33/SER_hh_fec!T33)</f>
        <v>0.80625813361543286</v>
      </c>
      <c r="U33" s="149">
        <f>IF(SER_hh_tes!U33=0,"",SER_hh_tes!U33/SER_hh_fec!U33)</f>
        <v>0.81329505732535934</v>
      </c>
      <c r="V33" s="149">
        <f>IF(SER_hh_tes!V33=0,"",SER_hh_tes!V33/SER_hh_fec!V33)</f>
        <v>0.82094122600773511</v>
      </c>
      <c r="W33" s="149">
        <f>IF(SER_hh_tes!W33=0,"",SER_hh_tes!W33/SER_hh_fec!W33)</f>
        <v>0.83072511203659161</v>
      </c>
      <c r="X33" s="149">
        <f>IF(SER_hh_tes!X33=0,"",SER_hh_tes!X33/SER_hh_fec!X33)</f>
        <v>0.84014527629105962</v>
      </c>
      <c r="Y33" s="149">
        <f>IF(SER_hh_tes!Y33=0,"",SER_hh_tes!Y33/SER_hh_fec!Y33)</f>
        <v>0.84950436277275088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27696.374867684925</v>
      </c>
      <c r="C3" s="125">
        <f t="shared" si="0"/>
        <v>28745.399515397425</v>
      </c>
      <c r="D3" s="125">
        <f t="shared" si="0"/>
        <v>25737.825017037929</v>
      </c>
      <c r="E3" s="125">
        <f t="shared" si="0"/>
        <v>29284.018875349775</v>
      </c>
      <c r="F3" s="125">
        <f t="shared" si="0"/>
        <v>29757.603209475907</v>
      </c>
      <c r="G3" s="125">
        <f t="shared" si="0"/>
        <v>28171.742966496226</v>
      </c>
      <c r="H3" s="125">
        <f t="shared" si="0"/>
        <v>25508.543276719527</v>
      </c>
      <c r="I3" s="125">
        <f t="shared" si="0"/>
        <v>24792.152938202671</v>
      </c>
      <c r="J3" s="125">
        <f t="shared" si="0"/>
        <v>25724.873589404699</v>
      </c>
      <c r="K3" s="125">
        <f t="shared" si="0"/>
        <v>28110.30816575166</v>
      </c>
      <c r="L3" s="125">
        <f t="shared" si="0"/>
        <v>28914.346012844533</v>
      </c>
      <c r="M3" s="125">
        <f t="shared" si="0"/>
        <v>22129.255061361771</v>
      </c>
      <c r="N3" s="125">
        <f t="shared" si="0"/>
        <v>23999.32959809453</v>
      </c>
      <c r="O3" s="125">
        <f t="shared" si="0"/>
        <v>25166.839143770543</v>
      </c>
      <c r="P3" s="125">
        <f t="shared" si="0"/>
        <v>23552.347557471428</v>
      </c>
      <c r="Q3" s="125">
        <f t="shared" si="0"/>
        <v>24203.252344023163</v>
      </c>
      <c r="R3" s="125">
        <f t="shared" ref="R3:W3" si="1">SUM(R4,R16,R19,R29)</f>
        <v>22053.244597168974</v>
      </c>
      <c r="S3" s="125">
        <f t="shared" si="1"/>
        <v>23683.987735990697</v>
      </c>
      <c r="T3" s="125">
        <f t="shared" si="1"/>
        <v>23228.333819369229</v>
      </c>
      <c r="U3" s="125">
        <f t="shared" si="1"/>
        <v>22619.248652794122</v>
      </c>
      <c r="V3" s="125">
        <f t="shared" si="1"/>
        <v>21839.564155755816</v>
      </c>
      <c r="W3" s="125">
        <f t="shared" si="1"/>
        <v>22292.626307908111</v>
      </c>
      <c r="X3" s="125">
        <f t="shared" ref="X3:Y3" si="2">SUM(X4,X16,X19,X29)</f>
        <v>21044.844799521565</v>
      </c>
      <c r="Y3" s="125">
        <f t="shared" si="2"/>
        <v>18263.409624011096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22876.124392663765</v>
      </c>
      <c r="C4" s="130">
        <f t="shared" si="3"/>
        <v>24403.790788182192</v>
      </c>
      <c r="D4" s="130">
        <f t="shared" si="3"/>
        <v>20689.948231943723</v>
      </c>
      <c r="E4" s="130">
        <f t="shared" si="3"/>
        <v>24010.476445369208</v>
      </c>
      <c r="F4" s="130">
        <f t="shared" si="3"/>
        <v>24329.289405061267</v>
      </c>
      <c r="G4" s="130">
        <f t="shared" si="3"/>
        <v>23696.81388712646</v>
      </c>
      <c r="H4" s="130">
        <f t="shared" si="3"/>
        <v>21353.472020090689</v>
      </c>
      <c r="I4" s="130">
        <f t="shared" si="3"/>
        <v>20591.98716460355</v>
      </c>
      <c r="J4" s="130">
        <f t="shared" si="3"/>
        <v>21408.77208835461</v>
      </c>
      <c r="K4" s="130">
        <f t="shared" si="3"/>
        <v>23358.280080731794</v>
      </c>
      <c r="L4" s="130">
        <f t="shared" si="3"/>
        <v>24255.245471566734</v>
      </c>
      <c r="M4" s="130">
        <f t="shared" si="3"/>
        <v>17956.608457798258</v>
      </c>
      <c r="N4" s="130">
        <f t="shared" si="3"/>
        <v>19854.644881042746</v>
      </c>
      <c r="O4" s="130">
        <f t="shared" si="3"/>
        <v>20988.550715990292</v>
      </c>
      <c r="P4" s="130">
        <f t="shared" si="3"/>
        <v>19064.202459204353</v>
      </c>
      <c r="Q4" s="130">
        <f t="shared" si="3"/>
        <v>19463.388656320847</v>
      </c>
      <c r="R4" s="130">
        <f t="shared" ref="R4:W4" si="4">SUM(R5:R15)</f>
        <v>17716.530867628233</v>
      </c>
      <c r="S4" s="130">
        <f t="shared" si="4"/>
        <v>19120.774778881572</v>
      </c>
      <c r="T4" s="130">
        <f t="shared" si="4"/>
        <v>18854.746996020982</v>
      </c>
      <c r="U4" s="130">
        <f t="shared" si="4"/>
        <v>18324.096404083768</v>
      </c>
      <c r="V4" s="130">
        <f t="shared" si="4"/>
        <v>17829.622853840006</v>
      </c>
      <c r="W4" s="130">
        <f t="shared" si="4"/>
        <v>18063.354947722044</v>
      </c>
      <c r="X4" s="130">
        <f t="shared" ref="X4:Y4" si="5">SUM(X5:X15)</f>
        <v>16926.910457192495</v>
      </c>
      <c r="Y4" s="130">
        <f t="shared" si="5"/>
        <v>14426.367096098302</v>
      </c>
      <c r="DA4" s="155" t="s">
        <v>234</v>
      </c>
    </row>
    <row r="5" spans="1:105" ht="12" customHeight="1" x14ac:dyDescent="0.25">
      <c r="A5" s="131" t="s">
        <v>29</v>
      </c>
      <c r="B5" s="132">
        <v>1061.545412161676</v>
      </c>
      <c r="C5" s="132">
        <v>1026.6684343210495</v>
      </c>
      <c r="D5" s="132">
        <v>716.311448641536</v>
      </c>
      <c r="E5" s="132">
        <v>807.96670128163169</v>
      </c>
      <c r="F5" s="132">
        <v>798.44872752161871</v>
      </c>
      <c r="G5" s="132">
        <v>853.69422888233066</v>
      </c>
      <c r="H5" s="132">
        <v>834.86218608221316</v>
      </c>
      <c r="I5" s="132">
        <v>791.20592928194105</v>
      </c>
      <c r="J5" s="132">
        <v>702.18197208138668</v>
      </c>
      <c r="K5" s="132">
        <v>614.7952099211949</v>
      </c>
      <c r="L5" s="132">
        <v>683.32776624102371</v>
      </c>
      <c r="M5" s="132">
        <v>186.26387832017053</v>
      </c>
      <c r="N5" s="132">
        <v>208.03388832019201</v>
      </c>
      <c r="O5" s="132">
        <v>224.07447312018502</v>
      </c>
      <c r="P5" s="132">
        <v>167.31954720017066</v>
      </c>
      <c r="Q5" s="132">
        <v>171.64091304017063</v>
      </c>
      <c r="R5" s="132">
        <v>177.89087016017072</v>
      </c>
      <c r="S5" s="132">
        <v>166.44063600016597</v>
      </c>
      <c r="T5" s="132">
        <v>145.00976040006861</v>
      </c>
      <c r="U5" s="132">
        <v>139.16986056005192</v>
      </c>
      <c r="V5" s="132">
        <v>122.06747160003465</v>
      </c>
      <c r="W5" s="132">
        <v>145.34354592006611</v>
      </c>
      <c r="X5" s="132">
        <v>132.39937944010333</v>
      </c>
      <c r="Y5" s="132">
        <v>114.78566736002702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13066.909866828921</v>
      </c>
      <c r="C7" s="132">
        <v>14282.771586687797</v>
      </c>
      <c r="D7" s="132">
        <v>11890.674324284937</v>
      </c>
      <c r="E7" s="132">
        <v>12285.640668299631</v>
      </c>
      <c r="F7" s="132">
        <v>12074.189588534335</v>
      </c>
      <c r="G7" s="132">
        <v>11360.172729704454</v>
      </c>
      <c r="H7" s="132">
        <v>10468.640536245455</v>
      </c>
      <c r="I7" s="132">
        <v>9005.5100205155995</v>
      </c>
      <c r="J7" s="132">
        <v>10740.545605204159</v>
      </c>
      <c r="K7" s="132">
        <v>10312.116154159577</v>
      </c>
      <c r="L7" s="132">
        <v>9360.4911674728228</v>
      </c>
      <c r="M7" s="132">
        <v>7566.9078241592915</v>
      </c>
      <c r="N7" s="132">
        <v>7360.9213045925726</v>
      </c>
      <c r="O7" s="132">
        <v>7556.5449101104923</v>
      </c>
      <c r="P7" s="132">
        <v>8056.0057010108603</v>
      </c>
      <c r="Q7" s="132">
        <v>7855.5374002365352</v>
      </c>
      <c r="R7" s="132">
        <v>5846.3639245440136</v>
      </c>
      <c r="S7" s="132">
        <v>6783.1734105291898</v>
      </c>
      <c r="T7" s="132">
        <v>6154.0938985737448</v>
      </c>
      <c r="U7" s="132">
        <v>5904.2535672462054</v>
      </c>
      <c r="V7" s="132">
        <v>6461.8789172455308</v>
      </c>
      <c r="W7" s="132">
        <v>5557.2576012242816</v>
      </c>
      <c r="X7" s="132">
        <v>6316.315694780913</v>
      </c>
      <c r="Y7" s="132">
        <v>5105.7165106718412</v>
      </c>
      <c r="DA7" s="156" t="s">
        <v>360</v>
      </c>
    </row>
    <row r="8" spans="1:105" ht="12" customHeight="1" x14ac:dyDescent="0.25">
      <c r="A8" s="131" t="s">
        <v>73</v>
      </c>
      <c r="B8" s="132">
        <v>0.48795897865858995</v>
      </c>
      <c r="C8" s="132">
        <v>0.94119605571131282</v>
      </c>
      <c r="D8" s="132">
        <v>1.644169414816403</v>
      </c>
      <c r="E8" s="132">
        <v>3.3583132888846752</v>
      </c>
      <c r="F8" s="132">
        <v>5.344728884995682</v>
      </c>
      <c r="G8" s="132">
        <v>11.921710385199207</v>
      </c>
      <c r="H8" s="132">
        <v>14.897802008027833</v>
      </c>
      <c r="I8" s="132">
        <v>18.631802573715269</v>
      </c>
      <c r="J8" s="132">
        <v>21.578476295837092</v>
      </c>
      <c r="K8" s="132">
        <v>19.937412373456393</v>
      </c>
      <c r="L8" s="132">
        <v>22.089949605811267</v>
      </c>
      <c r="M8" s="132">
        <v>46.202100721460958</v>
      </c>
      <c r="N8" s="132">
        <v>55.168109605381652</v>
      </c>
      <c r="O8" s="132">
        <v>77.31839624634388</v>
      </c>
      <c r="P8" s="132">
        <v>81.064269035443672</v>
      </c>
      <c r="Q8" s="132">
        <v>100.76230521729599</v>
      </c>
      <c r="R8" s="132">
        <v>110.78404055311705</v>
      </c>
      <c r="S8" s="132">
        <v>114.47258642218482</v>
      </c>
      <c r="T8" s="132">
        <v>117.47436945396801</v>
      </c>
      <c r="U8" s="132">
        <v>118.08649436917848</v>
      </c>
      <c r="V8" s="132">
        <v>104.27841098611658</v>
      </c>
      <c r="W8" s="132">
        <v>120.18302332744457</v>
      </c>
      <c r="X8" s="132">
        <v>50.388982853255158</v>
      </c>
      <c r="Y8" s="132">
        <v>50.002702192549677</v>
      </c>
      <c r="DA8" s="156" t="s">
        <v>361</v>
      </c>
    </row>
    <row r="9" spans="1:105" ht="12" customHeight="1" x14ac:dyDescent="0.25">
      <c r="A9" s="131" t="s">
        <v>78</v>
      </c>
      <c r="B9" s="132">
        <v>8048.8081522710891</v>
      </c>
      <c r="C9" s="132">
        <v>8279.7411703879607</v>
      </c>
      <c r="D9" s="132">
        <v>7137.9307608736717</v>
      </c>
      <c r="E9" s="132">
        <v>9840.14435665376</v>
      </c>
      <c r="F9" s="132">
        <v>10324.397291352005</v>
      </c>
      <c r="G9" s="132">
        <v>11202.214429782631</v>
      </c>
      <c r="H9" s="132">
        <v>9810.2260059999408</v>
      </c>
      <c r="I9" s="132">
        <v>10363.627279688255</v>
      </c>
      <c r="J9" s="132">
        <v>9470.6284363757986</v>
      </c>
      <c r="K9" s="132">
        <v>11747.177799744353</v>
      </c>
      <c r="L9" s="132">
        <v>13627.64476764187</v>
      </c>
      <c r="M9" s="132">
        <v>9860.0300554178957</v>
      </c>
      <c r="N9" s="132">
        <v>11915.367928448748</v>
      </c>
      <c r="O9" s="132">
        <v>12731.533245825016</v>
      </c>
      <c r="P9" s="132">
        <v>10431.590408269494</v>
      </c>
      <c r="Q9" s="132">
        <v>11098.643873397217</v>
      </c>
      <c r="R9" s="132">
        <v>11303.002486283862</v>
      </c>
      <c r="S9" s="132">
        <v>11753.225600462043</v>
      </c>
      <c r="T9" s="132">
        <v>12195.624826950274</v>
      </c>
      <c r="U9" s="132">
        <v>11917.265952709795</v>
      </c>
      <c r="V9" s="132">
        <v>10819.173090812785</v>
      </c>
      <c r="W9" s="132">
        <v>11860.59825614574</v>
      </c>
      <c r="X9" s="132">
        <v>9773.0384632394598</v>
      </c>
      <c r="Y9" s="132">
        <v>8632.8953306910098</v>
      </c>
      <c r="DA9" s="156" t="s">
        <v>362</v>
      </c>
    </row>
    <row r="10" spans="1:105" ht="12" customHeight="1" x14ac:dyDescent="0.25">
      <c r="A10" s="131" t="s">
        <v>128</v>
      </c>
      <c r="B10" s="132">
        <v>698.37300242341973</v>
      </c>
      <c r="C10" s="132">
        <v>813.66840072967693</v>
      </c>
      <c r="D10" s="132">
        <v>943.3875287287633</v>
      </c>
      <c r="E10" s="132">
        <v>1073.3664058453005</v>
      </c>
      <c r="F10" s="132">
        <v>1126.9090687683142</v>
      </c>
      <c r="G10" s="132">
        <v>268.81078837184731</v>
      </c>
      <c r="H10" s="132">
        <v>224.84548975504956</v>
      </c>
      <c r="I10" s="132">
        <v>413.01213254403814</v>
      </c>
      <c r="J10" s="132">
        <v>473.8375983974301</v>
      </c>
      <c r="K10" s="132">
        <v>664.25350453321653</v>
      </c>
      <c r="L10" s="132">
        <v>561.69182060520507</v>
      </c>
      <c r="M10" s="132">
        <v>297.20459917944066</v>
      </c>
      <c r="N10" s="132">
        <v>315.15365007585291</v>
      </c>
      <c r="O10" s="132">
        <v>399.07969068825241</v>
      </c>
      <c r="P10" s="132">
        <v>328.22253368838733</v>
      </c>
      <c r="Q10" s="132">
        <v>236.8041644296284</v>
      </c>
      <c r="R10" s="132">
        <v>278.48954608707169</v>
      </c>
      <c r="S10" s="132">
        <v>303.4625454679873</v>
      </c>
      <c r="T10" s="132">
        <v>242.54414064292703</v>
      </c>
      <c r="U10" s="132">
        <v>245.32052919853774</v>
      </c>
      <c r="V10" s="132">
        <v>322.22496319553733</v>
      </c>
      <c r="W10" s="132">
        <v>379.97252110451143</v>
      </c>
      <c r="X10" s="132">
        <v>654.76793687876454</v>
      </c>
      <c r="Y10" s="132">
        <v>522.96688518287408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3.1460538115999546</v>
      </c>
      <c r="C16" s="130">
        <f t="shared" si="6"/>
        <v>4.0105947585624566</v>
      </c>
      <c r="D16" s="130">
        <f t="shared" si="6"/>
        <v>4.4125631604801434</v>
      </c>
      <c r="E16" s="130">
        <f t="shared" si="6"/>
        <v>11.788828986911328</v>
      </c>
      <c r="F16" s="130">
        <f t="shared" si="6"/>
        <v>6.5836248198138421</v>
      </c>
      <c r="G16" s="130">
        <f t="shared" si="6"/>
        <v>7.1550813011437242</v>
      </c>
      <c r="H16" s="130">
        <f t="shared" si="6"/>
        <v>12.807190514657199</v>
      </c>
      <c r="I16" s="130">
        <f t="shared" si="6"/>
        <v>11.675859571872346</v>
      </c>
      <c r="J16" s="130">
        <f t="shared" si="6"/>
        <v>14.533828916235583</v>
      </c>
      <c r="K16" s="130">
        <f t="shared" si="6"/>
        <v>16.860028826453455</v>
      </c>
      <c r="L16" s="130">
        <f t="shared" si="6"/>
        <v>19.287762829481853</v>
      </c>
      <c r="M16" s="130">
        <f t="shared" si="6"/>
        <v>25.792432129346516</v>
      </c>
      <c r="N16" s="130">
        <f t="shared" si="6"/>
        <v>38.93990714948449</v>
      </c>
      <c r="O16" s="130">
        <f t="shared" si="6"/>
        <v>47.484239912549747</v>
      </c>
      <c r="P16" s="130">
        <f t="shared" si="6"/>
        <v>48.47009400008541</v>
      </c>
      <c r="Q16" s="130">
        <f t="shared" si="6"/>
        <v>77.235530857658119</v>
      </c>
      <c r="R16" s="130">
        <f t="shared" ref="R16:W16" si="7">SUM(R17:R18)</f>
        <v>74.174232273582348</v>
      </c>
      <c r="S16" s="130">
        <f t="shared" si="7"/>
        <v>92.802900826853886</v>
      </c>
      <c r="T16" s="130">
        <f t="shared" si="7"/>
        <v>100.54462984924075</v>
      </c>
      <c r="U16" s="130">
        <f t="shared" si="7"/>
        <v>110.77465890171348</v>
      </c>
      <c r="V16" s="130">
        <f t="shared" si="7"/>
        <v>112.38253392464375</v>
      </c>
      <c r="W16" s="130">
        <f t="shared" si="7"/>
        <v>92.219479543685907</v>
      </c>
      <c r="X16" s="130">
        <f t="shared" ref="X16:Y16" si="8">SUM(X17:X18)</f>
        <v>143.39809133936137</v>
      </c>
      <c r="Y16" s="130">
        <f t="shared" si="8"/>
        <v>135.4822506519707</v>
      </c>
      <c r="DA16" s="155" t="s">
        <v>235</v>
      </c>
    </row>
    <row r="17" spans="1:105" ht="12.95" customHeight="1" x14ac:dyDescent="0.25">
      <c r="A17" s="131" t="s">
        <v>73</v>
      </c>
      <c r="B17" s="132">
        <v>3.1460538115999546</v>
      </c>
      <c r="C17" s="132">
        <v>4.0105947585624566</v>
      </c>
      <c r="D17" s="132">
        <v>4.4125631604801434</v>
      </c>
      <c r="E17" s="132">
        <v>11.788828986911328</v>
      </c>
      <c r="F17" s="132">
        <v>6.5836248198138421</v>
      </c>
      <c r="G17" s="132">
        <v>7.1550813011437242</v>
      </c>
      <c r="H17" s="132">
        <v>12.807190514657199</v>
      </c>
      <c r="I17" s="132">
        <v>11.675859571872346</v>
      </c>
      <c r="J17" s="132">
        <v>14.533828916235583</v>
      </c>
      <c r="K17" s="132">
        <v>16.860028826453455</v>
      </c>
      <c r="L17" s="132">
        <v>19.287762829481853</v>
      </c>
      <c r="M17" s="132">
        <v>25.792432129346516</v>
      </c>
      <c r="N17" s="132">
        <v>38.93990714948449</v>
      </c>
      <c r="O17" s="132">
        <v>47.484239912549747</v>
      </c>
      <c r="P17" s="132">
        <v>48.47009400008541</v>
      </c>
      <c r="Q17" s="132">
        <v>77.235530857658119</v>
      </c>
      <c r="R17" s="132">
        <v>74.174232273582348</v>
      </c>
      <c r="S17" s="132">
        <v>92.802900826853886</v>
      </c>
      <c r="T17" s="132">
        <v>100.54462984924075</v>
      </c>
      <c r="U17" s="132">
        <v>110.77465890171348</v>
      </c>
      <c r="V17" s="132">
        <v>112.38253392464375</v>
      </c>
      <c r="W17" s="132">
        <v>92.219479543685907</v>
      </c>
      <c r="X17" s="132">
        <v>143.39809133936137</v>
      </c>
      <c r="Y17" s="132">
        <v>135.4822506519707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2398.4637571814428</v>
      </c>
      <c r="C19" s="130">
        <f t="shared" si="9"/>
        <v>2410.3555180909293</v>
      </c>
      <c r="D19" s="130">
        <f t="shared" si="9"/>
        <v>2406.6129602035294</v>
      </c>
      <c r="E19" s="130">
        <f t="shared" si="9"/>
        <v>2431.3533723347932</v>
      </c>
      <c r="F19" s="130">
        <f t="shared" si="9"/>
        <v>2434.6599648356682</v>
      </c>
      <c r="G19" s="130">
        <f t="shared" si="9"/>
        <v>2324.4136277311009</v>
      </c>
      <c r="H19" s="130">
        <f t="shared" si="9"/>
        <v>2230.5378066400967</v>
      </c>
      <c r="I19" s="130">
        <f t="shared" si="9"/>
        <v>2179.089122608008</v>
      </c>
      <c r="J19" s="130">
        <f t="shared" si="9"/>
        <v>2184.8249520575237</v>
      </c>
      <c r="K19" s="130">
        <f t="shared" si="9"/>
        <v>2262.2583669160704</v>
      </c>
      <c r="L19" s="130">
        <f t="shared" si="9"/>
        <v>2145.8602459093622</v>
      </c>
      <c r="M19" s="130">
        <f t="shared" si="9"/>
        <v>2074.5172933578078</v>
      </c>
      <c r="N19" s="130">
        <f t="shared" si="9"/>
        <v>1976.0734690081085</v>
      </c>
      <c r="O19" s="130">
        <f t="shared" si="9"/>
        <v>2051.8484868281098</v>
      </c>
      <c r="P19" s="130">
        <f t="shared" si="9"/>
        <v>2278.2113228962039</v>
      </c>
      <c r="Q19" s="130">
        <f t="shared" si="9"/>
        <v>2266.7394149957763</v>
      </c>
      <c r="R19" s="130">
        <f t="shared" ref="R19:W19" si="10">SUM(R20:R27)</f>
        <v>1983.837049097805</v>
      </c>
      <c r="S19" s="130">
        <f t="shared" si="10"/>
        <v>2071.3057770371834</v>
      </c>
      <c r="T19" s="130">
        <f t="shared" si="10"/>
        <v>1876.094388238241</v>
      </c>
      <c r="U19" s="130">
        <f t="shared" si="10"/>
        <v>1776.4645507083044</v>
      </c>
      <c r="V19" s="130">
        <f t="shared" si="10"/>
        <v>1771.4725848962155</v>
      </c>
      <c r="W19" s="130">
        <f t="shared" si="10"/>
        <v>1697.6793292050065</v>
      </c>
      <c r="X19" s="130">
        <f t="shared" ref="X19:Y19" si="11">SUM(X20:X27)</f>
        <v>1846.1293543863121</v>
      </c>
      <c r="Y19" s="130">
        <f t="shared" si="11"/>
        <v>1680.5513458054561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143.03846408776613</v>
      </c>
      <c r="C21" s="132">
        <v>149.89875767080227</v>
      </c>
      <c r="D21" s="132">
        <v>166.21380060322593</v>
      </c>
      <c r="E21" s="132">
        <v>176.2594909205628</v>
      </c>
      <c r="F21" s="132">
        <v>178.9859631073551</v>
      </c>
      <c r="G21" s="132">
        <v>172.7620522558297</v>
      </c>
      <c r="H21" s="132">
        <v>180.95243002146421</v>
      </c>
      <c r="I21" s="132">
        <v>184.81618067347503</v>
      </c>
      <c r="J21" s="132">
        <v>186.99551348339747</v>
      </c>
      <c r="K21" s="132">
        <v>190.47384726263968</v>
      </c>
      <c r="L21" s="132">
        <v>178.18234095479465</v>
      </c>
      <c r="M21" s="132">
        <v>113.72072004830305</v>
      </c>
      <c r="N21" s="132">
        <v>165.35333457254367</v>
      </c>
      <c r="O21" s="132">
        <v>154.56640682733214</v>
      </c>
      <c r="P21" s="132">
        <v>141.80061219999072</v>
      </c>
      <c r="Q21" s="132">
        <v>142.07252019424655</v>
      </c>
      <c r="R21" s="132">
        <v>135.27113769662233</v>
      </c>
      <c r="S21" s="132">
        <v>131.02585673424093</v>
      </c>
      <c r="T21" s="132">
        <v>99.446904005535956</v>
      </c>
      <c r="U21" s="132">
        <v>87.639175407874561</v>
      </c>
      <c r="V21" s="132">
        <v>81.480716915618743</v>
      </c>
      <c r="W21" s="132">
        <v>46.542945281894866</v>
      </c>
      <c r="X21" s="132">
        <v>56.557250822763926</v>
      </c>
      <c r="Y21" s="132">
        <v>52.997921115097675</v>
      </c>
      <c r="DA21" s="156" t="s">
        <v>372</v>
      </c>
    </row>
    <row r="22" spans="1:105" ht="12" customHeight="1" x14ac:dyDescent="0.25">
      <c r="A22" s="131" t="s">
        <v>161</v>
      </c>
      <c r="B22" s="132">
        <v>1254.216924971078</v>
      </c>
      <c r="C22" s="132">
        <v>1270.3963472722032</v>
      </c>
      <c r="D22" s="132">
        <v>1257.8166007950654</v>
      </c>
      <c r="E22" s="132">
        <v>1253.8308178203674</v>
      </c>
      <c r="F22" s="132">
        <v>1265.6999441856658</v>
      </c>
      <c r="G22" s="132">
        <v>1250.4989716955447</v>
      </c>
      <c r="H22" s="132">
        <v>1191.4270671145471</v>
      </c>
      <c r="I22" s="132">
        <v>1126.9854376043941</v>
      </c>
      <c r="J22" s="132">
        <v>1143.089762635836</v>
      </c>
      <c r="K22" s="132">
        <v>1128.2672279204141</v>
      </c>
      <c r="L22" s="132">
        <v>1060.3353747271642</v>
      </c>
      <c r="M22" s="132">
        <v>985.91226860070219</v>
      </c>
      <c r="N22" s="132">
        <v>1062.4924915674192</v>
      </c>
      <c r="O22" s="132">
        <v>1069.9039331695051</v>
      </c>
      <c r="P22" s="132">
        <v>1282.4848789491375</v>
      </c>
      <c r="Q22" s="132">
        <v>1287.571736923481</v>
      </c>
      <c r="R22" s="132">
        <v>929.57750445599299</v>
      </c>
      <c r="S22" s="132">
        <v>1074.810230790818</v>
      </c>
      <c r="T22" s="132">
        <v>918.05849430625506</v>
      </c>
      <c r="U22" s="132">
        <v>839.27293291379146</v>
      </c>
      <c r="V22" s="132">
        <v>919.04100515446316</v>
      </c>
      <c r="W22" s="132">
        <v>699.59366493571645</v>
      </c>
      <c r="X22" s="132">
        <v>868.58325777908647</v>
      </c>
      <c r="Y22" s="132">
        <v>737.18099316816392</v>
      </c>
      <c r="DA22" s="156" t="s">
        <v>373</v>
      </c>
    </row>
    <row r="23" spans="1:105" ht="12" customHeight="1" x14ac:dyDescent="0.25">
      <c r="A23" s="131" t="s">
        <v>149</v>
      </c>
      <c r="B23" s="132">
        <v>948.64265826277153</v>
      </c>
      <c r="C23" s="132">
        <v>940.37835316122005</v>
      </c>
      <c r="D23" s="132">
        <v>933.26728469760826</v>
      </c>
      <c r="E23" s="132">
        <v>952.20719257101962</v>
      </c>
      <c r="F23" s="132">
        <v>939.11930035667183</v>
      </c>
      <c r="G23" s="132">
        <v>878.94756249768045</v>
      </c>
      <c r="H23" s="132">
        <v>832.21391746182462</v>
      </c>
      <c r="I23" s="132">
        <v>833.2323970334462</v>
      </c>
      <c r="J23" s="132">
        <v>819.42990765239676</v>
      </c>
      <c r="K23" s="132">
        <v>902.88083207574618</v>
      </c>
      <c r="L23" s="132">
        <v>864.15634154908776</v>
      </c>
      <c r="M23" s="132">
        <v>953.24299212662618</v>
      </c>
      <c r="N23" s="132">
        <v>728.7334310551588</v>
      </c>
      <c r="O23" s="132">
        <v>804.68848400756235</v>
      </c>
      <c r="P23" s="132">
        <v>836.72740738036873</v>
      </c>
      <c r="Q23" s="132">
        <v>826.38261788154148</v>
      </c>
      <c r="R23" s="132">
        <v>906.49379946779823</v>
      </c>
      <c r="S23" s="132">
        <v>851.93954555557809</v>
      </c>
      <c r="T23" s="132">
        <v>846.75466012515017</v>
      </c>
      <c r="U23" s="132">
        <v>837.0140839910938</v>
      </c>
      <c r="V23" s="132">
        <v>753.86654471004886</v>
      </c>
      <c r="W23" s="132">
        <v>932.39216253866539</v>
      </c>
      <c r="X23" s="132">
        <v>888.05599663309943</v>
      </c>
      <c r="Y23" s="132">
        <v>860.56442656824834</v>
      </c>
      <c r="DA23" s="156" t="s">
        <v>374</v>
      </c>
    </row>
    <row r="24" spans="1:105" ht="12" customHeight="1" x14ac:dyDescent="0.25">
      <c r="A24" s="131" t="s">
        <v>128</v>
      </c>
      <c r="B24" s="132">
        <v>52.565709859827251</v>
      </c>
      <c r="C24" s="132">
        <v>49.682059986703628</v>
      </c>
      <c r="D24" s="132">
        <v>49.315274107629733</v>
      </c>
      <c r="E24" s="132">
        <v>49.055871022843306</v>
      </c>
      <c r="F24" s="132">
        <v>50.854757185975593</v>
      </c>
      <c r="G24" s="132">
        <v>22.205041282045929</v>
      </c>
      <c r="H24" s="132">
        <v>25.944392042260958</v>
      </c>
      <c r="I24" s="132">
        <v>34.055107296692725</v>
      </c>
      <c r="J24" s="132">
        <v>35.309768285893398</v>
      </c>
      <c r="K24" s="132">
        <v>40.636459657270215</v>
      </c>
      <c r="L24" s="132">
        <v>43.186188678315965</v>
      </c>
      <c r="M24" s="132">
        <v>21.641312582176422</v>
      </c>
      <c r="N24" s="132">
        <v>19.494211812986986</v>
      </c>
      <c r="O24" s="132">
        <v>22.689662823710044</v>
      </c>
      <c r="P24" s="132">
        <v>17.198424366707119</v>
      </c>
      <c r="Q24" s="132">
        <v>10.712539996507001</v>
      </c>
      <c r="R24" s="132">
        <v>12.494607477391355</v>
      </c>
      <c r="S24" s="132">
        <v>13.530143956546535</v>
      </c>
      <c r="T24" s="132">
        <v>11.834329801299825</v>
      </c>
      <c r="U24" s="132">
        <v>12.538358395544666</v>
      </c>
      <c r="V24" s="132">
        <v>17.08431811608467</v>
      </c>
      <c r="W24" s="132">
        <v>19.150556448729706</v>
      </c>
      <c r="X24" s="132">
        <v>32.932849151362397</v>
      </c>
      <c r="Y24" s="132">
        <v>29.808004953946266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2418.6406640281161</v>
      </c>
      <c r="C29" s="130">
        <f t="shared" si="12"/>
        <v>1927.2426143657415</v>
      </c>
      <c r="D29" s="130">
        <f t="shared" si="12"/>
        <v>2636.8512617301976</v>
      </c>
      <c r="E29" s="130">
        <f t="shared" si="12"/>
        <v>2830.4002286588611</v>
      </c>
      <c r="F29" s="130">
        <f t="shared" si="12"/>
        <v>2987.0702147591569</v>
      </c>
      <c r="G29" s="130">
        <f t="shared" si="12"/>
        <v>2143.3603703375197</v>
      </c>
      <c r="H29" s="130">
        <f t="shared" si="12"/>
        <v>1911.726259474086</v>
      </c>
      <c r="I29" s="130">
        <f t="shared" si="12"/>
        <v>2009.4007914192414</v>
      </c>
      <c r="J29" s="130">
        <f t="shared" si="12"/>
        <v>2116.7427200763318</v>
      </c>
      <c r="K29" s="130">
        <f t="shared" si="12"/>
        <v>2472.9096892773432</v>
      </c>
      <c r="L29" s="130">
        <f t="shared" si="12"/>
        <v>2493.9525325389541</v>
      </c>
      <c r="M29" s="130">
        <f t="shared" si="12"/>
        <v>2072.336878076359</v>
      </c>
      <c r="N29" s="130">
        <f t="shared" si="12"/>
        <v>2129.671340894191</v>
      </c>
      <c r="O29" s="130">
        <f t="shared" si="12"/>
        <v>2078.9557010395934</v>
      </c>
      <c r="P29" s="130">
        <f t="shared" si="12"/>
        <v>2161.4636813707866</v>
      </c>
      <c r="Q29" s="130">
        <f t="shared" si="12"/>
        <v>2395.8887418488812</v>
      </c>
      <c r="R29" s="130">
        <f t="shared" ref="R29:W29" si="13">SUM(R30:R33)</f>
        <v>2278.7024481693543</v>
      </c>
      <c r="S29" s="130">
        <f t="shared" si="13"/>
        <v>2399.1042792450917</v>
      </c>
      <c r="T29" s="130">
        <f t="shared" si="13"/>
        <v>2396.9478052607619</v>
      </c>
      <c r="U29" s="130">
        <f t="shared" si="13"/>
        <v>2407.9130391003359</v>
      </c>
      <c r="V29" s="130">
        <f t="shared" si="13"/>
        <v>2126.0861830949498</v>
      </c>
      <c r="W29" s="130">
        <f t="shared" si="13"/>
        <v>2439.3725514373755</v>
      </c>
      <c r="X29" s="130">
        <f t="shared" ref="X29:Y29" si="14">SUM(X30:X33)</f>
        <v>2128.4068966033988</v>
      </c>
      <c r="Y29" s="130">
        <f t="shared" si="14"/>
        <v>2021.0089314553677</v>
      </c>
      <c r="DA29" s="155" t="s">
        <v>237</v>
      </c>
    </row>
    <row r="30" spans="1:105" ht="12" customHeight="1" x14ac:dyDescent="0.25">
      <c r="A30" s="131" t="s">
        <v>52</v>
      </c>
      <c r="B30" s="132">
        <v>758.31969495223382</v>
      </c>
      <c r="C30" s="132">
        <v>273.91887900919778</v>
      </c>
      <c r="D30" s="132">
        <v>994.80709271677426</v>
      </c>
      <c r="E30" s="132">
        <v>1173.4495847994376</v>
      </c>
      <c r="F30" s="132">
        <v>1335.6574009726446</v>
      </c>
      <c r="G30" s="132">
        <v>1067.8236755041703</v>
      </c>
      <c r="H30" s="132">
        <v>875.72751481853584</v>
      </c>
      <c r="I30" s="132">
        <v>971.6726434865252</v>
      </c>
      <c r="J30" s="132">
        <v>1119.331226916602</v>
      </c>
      <c r="K30" s="132">
        <v>1086.7427934573602</v>
      </c>
      <c r="L30" s="132">
        <v>1174.2637856052052</v>
      </c>
      <c r="M30" s="132">
        <v>717.14855519169635</v>
      </c>
      <c r="N30" s="132">
        <v>876.49715114745663</v>
      </c>
      <c r="O30" s="132">
        <v>697.19863533266778</v>
      </c>
      <c r="P30" s="132">
        <v>638.39222012000937</v>
      </c>
      <c r="Q30" s="132">
        <v>763.2280006457529</v>
      </c>
      <c r="R30" s="132">
        <v>706.6889973833778</v>
      </c>
      <c r="S30" s="132">
        <v>780.17855250575985</v>
      </c>
      <c r="T30" s="132">
        <v>739.10832983446335</v>
      </c>
      <c r="U30" s="132">
        <v>770.2067127921257</v>
      </c>
      <c r="V30" s="132">
        <v>623.50284680438062</v>
      </c>
      <c r="W30" s="132">
        <v>384.84139099810511</v>
      </c>
      <c r="X30" s="132">
        <v>447.23819717723626</v>
      </c>
      <c r="Y30" s="132">
        <v>484.10213596490252</v>
      </c>
      <c r="DA30" s="156" t="s">
        <v>379</v>
      </c>
    </row>
    <row r="31" spans="1:105" ht="12" customHeight="1" x14ac:dyDescent="0.25">
      <c r="A31" s="131" t="s">
        <v>149</v>
      </c>
      <c r="B31" s="132">
        <v>1660.3209690758824</v>
      </c>
      <c r="C31" s="132">
        <v>1653.3237353565437</v>
      </c>
      <c r="D31" s="132">
        <v>1642.0441690134232</v>
      </c>
      <c r="E31" s="132">
        <v>1656.9506438594233</v>
      </c>
      <c r="F31" s="132">
        <v>1651.4128137865123</v>
      </c>
      <c r="G31" s="132">
        <v>1075.5366948333494</v>
      </c>
      <c r="H31" s="132">
        <v>1035.9987446555501</v>
      </c>
      <c r="I31" s="132">
        <v>1037.7281479327162</v>
      </c>
      <c r="J31" s="132">
        <v>997.41149315972973</v>
      </c>
      <c r="K31" s="132">
        <v>1386.166895819983</v>
      </c>
      <c r="L31" s="132">
        <v>1319.6887469337489</v>
      </c>
      <c r="M31" s="132">
        <v>1355.1883228846627</v>
      </c>
      <c r="N31" s="132">
        <v>1253.1741897467343</v>
      </c>
      <c r="O31" s="132">
        <v>1381.7570657069257</v>
      </c>
      <c r="P31" s="132">
        <v>1523.071461250777</v>
      </c>
      <c r="Q31" s="132">
        <v>1632.6607412031283</v>
      </c>
      <c r="R31" s="132">
        <v>1572.0134507859766</v>
      </c>
      <c r="S31" s="132">
        <v>1618.9257267393318</v>
      </c>
      <c r="T31" s="132">
        <v>1657.8394754262986</v>
      </c>
      <c r="U31" s="132">
        <v>1637.7063263082102</v>
      </c>
      <c r="V31" s="132">
        <v>1502.5833362905689</v>
      </c>
      <c r="W31" s="132">
        <v>2054.5311604392705</v>
      </c>
      <c r="X31" s="132">
        <v>1681.1686994261627</v>
      </c>
      <c r="Y31" s="132">
        <v>1536.9067954904651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208002.81655074802</v>
      </c>
      <c r="C3" s="125">
        <f>IF(SER_hh_fec!C3=0,0,11630*1000*SER_hh_fec!C3/SER_hh_num!C3)</f>
        <v>216194.24744175357</v>
      </c>
      <c r="D3" s="125">
        <f>IF(SER_hh_fec!D3=0,0,11630*1000*SER_hh_fec!D3/SER_hh_num!D3)</f>
        <v>199721.78959497096</v>
      </c>
      <c r="E3" s="125">
        <f>IF(SER_hh_fec!E3=0,0,11630*1000*SER_hh_fec!E3/SER_hh_num!E3)</f>
        <v>217201.08059723862</v>
      </c>
      <c r="F3" s="125">
        <f>IF(SER_hh_fec!F3=0,0,11630*1000*SER_hh_fec!F3/SER_hh_num!F3)</f>
        <v>218179.1313768267</v>
      </c>
      <c r="G3" s="125">
        <f>IF(SER_hh_fec!G3=0,0,11630*1000*SER_hh_fec!G3/SER_hh_num!G3)</f>
        <v>212397.55521623295</v>
      </c>
      <c r="H3" s="125">
        <f>IF(SER_hh_fec!H3=0,0,11630*1000*SER_hh_fec!H3/SER_hh_num!H3)</f>
        <v>198481.45469148373</v>
      </c>
      <c r="I3" s="125">
        <f>IF(SER_hh_fec!I3=0,0,11630*1000*SER_hh_fec!I3/SER_hh_num!I3)</f>
        <v>187025.24652912098</v>
      </c>
      <c r="J3" s="125">
        <f>IF(SER_hh_fec!J3=0,0,11630*1000*SER_hh_fec!J3/SER_hh_num!J3)</f>
        <v>185737.89501741767</v>
      </c>
      <c r="K3" s="125">
        <f>IF(SER_hh_fec!K3=0,0,11630*1000*SER_hh_fec!K3/SER_hh_num!K3)</f>
        <v>199856.14954942462</v>
      </c>
      <c r="L3" s="125">
        <f>IF(SER_hh_fec!L3=0,0,11630*1000*SER_hh_fec!L3/SER_hh_num!L3)</f>
        <v>209186.60518774253</v>
      </c>
      <c r="M3" s="125">
        <f>IF(SER_hh_fec!M3=0,0,11630*1000*SER_hh_fec!M3/SER_hh_num!M3)</f>
        <v>167959.1867183875</v>
      </c>
      <c r="N3" s="125">
        <f>IF(SER_hh_fec!N3=0,0,11630*1000*SER_hh_fec!N3/SER_hh_num!N3)</f>
        <v>181142.35969003566</v>
      </c>
      <c r="O3" s="125">
        <f>IF(SER_hh_fec!O3=0,0,11630*1000*SER_hh_fec!O3/SER_hh_num!O3)</f>
        <v>186193.9435852413</v>
      </c>
      <c r="P3" s="125">
        <f>IF(SER_hh_fec!P3=0,0,11630*1000*SER_hh_fec!P3/SER_hh_num!P3)</f>
        <v>168438.30665294628</v>
      </c>
      <c r="Q3" s="125">
        <f>IF(SER_hh_fec!Q3=0,0,11630*1000*SER_hh_fec!Q3/SER_hh_num!Q3)</f>
        <v>174715.1519559506</v>
      </c>
      <c r="R3" s="125">
        <f>IF(SER_hh_fec!R3=0,0,11630*1000*SER_hh_fec!R3/SER_hh_num!R3)</f>
        <v>167907.35911516895</v>
      </c>
      <c r="S3" s="125">
        <f>IF(SER_hh_fec!S3=0,0,11630*1000*SER_hh_fec!S3/SER_hh_num!S3)</f>
        <v>172148.34248448969</v>
      </c>
      <c r="T3" s="125">
        <f>IF(SER_hh_fec!T3=0,0,11630*1000*SER_hh_fec!T3/SER_hh_num!T3)</f>
        <v>169088.48277367034</v>
      </c>
      <c r="U3" s="125">
        <f>IF(SER_hh_fec!U3=0,0,11630*1000*SER_hh_fec!U3/SER_hh_num!U3)</f>
        <v>162805.73707432873</v>
      </c>
      <c r="V3" s="125">
        <f>IF(SER_hh_fec!V3=0,0,11630*1000*SER_hh_fec!V3/SER_hh_num!V3)</f>
        <v>151310.6359533128</v>
      </c>
      <c r="W3" s="125">
        <f>IF(SER_hh_fec!W3=0,0,11630*1000*SER_hh_fec!W3/SER_hh_num!W3)</f>
        <v>159502.02553597969</v>
      </c>
      <c r="X3" s="125">
        <f>IF(SER_hh_fec!X3=0,0,11630*1000*SER_hh_fec!X3/SER_hh_num!X3)</f>
        <v>151392.2853916868</v>
      </c>
      <c r="Y3" s="125">
        <f>IF(SER_hh_fec!Y3=0,0,11630*1000*SER_hh_fec!Y3/SER_hh_num!Y3)</f>
        <v>133070.17535703615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158127.97929468789</v>
      </c>
      <c r="C4" s="130">
        <f>IF(SER_hh_fec!C4=0,0,11630*1000*SER_hh_fec!C4/SER_hh_num!C4)</f>
        <v>167016.70480455176</v>
      </c>
      <c r="D4" s="130">
        <f>IF(SER_hh_fec!D4=0,0,11630*1000*SER_hh_fec!D4/SER_hh_num!D4)</f>
        <v>149921.39425564761</v>
      </c>
      <c r="E4" s="130">
        <f>IF(SER_hh_fec!E4=0,0,11630*1000*SER_hh_fec!E4/SER_hh_num!E4)</f>
        <v>165084.05702677733</v>
      </c>
      <c r="F4" s="130">
        <f>IF(SER_hh_fec!F4=0,0,11630*1000*SER_hh_fec!F4/SER_hh_num!F4)</f>
        <v>167994.15377367611</v>
      </c>
      <c r="G4" s="130">
        <f>IF(SER_hh_fec!G4=0,0,11630*1000*SER_hh_fec!G4/SER_hh_num!G4)</f>
        <v>163237.74306896963</v>
      </c>
      <c r="H4" s="130">
        <f>IF(SER_hh_fec!H4=0,0,11630*1000*SER_hh_fec!H4/SER_hh_num!H4)</f>
        <v>149420.39680840966</v>
      </c>
      <c r="I4" s="130">
        <f>IF(SER_hh_fec!I4=0,0,11630*1000*SER_hh_fec!I4/SER_hh_num!I4)</f>
        <v>139116.13804052118</v>
      </c>
      <c r="J4" s="130">
        <f>IF(SER_hh_fec!J4=0,0,11630*1000*SER_hh_fec!J4/SER_hh_num!J4)</f>
        <v>137189.1944945321</v>
      </c>
      <c r="K4" s="130">
        <f>IF(SER_hh_fec!K4=0,0,11630*1000*SER_hh_fec!K4/SER_hh_num!K4)</f>
        <v>149618.18722820783</v>
      </c>
      <c r="L4" s="130">
        <f>IF(SER_hh_fec!L4=0,0,11630*1000*SER_hh_fec!L4/SER_hh_num!L4)</f>
        <v>159078.61481890982</v>
      </c>
      <c r="M4" s="130">
        <f>IF(SER_hh_fec!M4=0,0,11630*1000*SER_hh_fec!M4/SER_hh_num!M4)</f>
        <v>119963.70341761781</v>
      </c>
      <c r="N4" s="130">
        <f>IF(SER_hh_fec!N4=0,0,11630*1000*SER_hh_fec!N4/SER_hh_num!N4)</f>
        <v>131557.67897729593</v>
      </c>
      <c r="O4" s="130">
        <f>IF(SER_hh_fec!O4=0,0,11630*1000*SER_hh_fec!O4/SER_hh_num!O4)</f>
        <v>136639.55992932906</v>
      </c>
      <c r="P4" s="130">
        <f>IF(SER_hh_fec!P4=0,0,11630*1000*SER_hh_fec!P4/SER_hh_num!P4)</f>
        <v>118615.48986406473</v>
      </c>
      <c r="Q4" s="130">
        <f>IF(SER_hh_fec!Q4=0,0,11630*1000*SER_hh_fec!Q4/SER_hh_num!Q4)</f>
        <v>123642.04345365483</v>
      </c>
      <c r="R4" s="130">
        <f>IF(SER_hh_fec!R4=0,0,11630*1000*SER_hh_fec!R4/SER_hh_num!R4)</f>
        <v>118219.00958065769</v>
      </c>
      <c r="S4" s="130">
        <f>IF(SER_hh_fec!S4=0,0,11630*1000*SER_hh_fec!S4/SER_hh_num!S4)</f>
        <v>122216.46543222392</v>
      </c>
      <c r="T4" s="130">
        <f>IF(SER_hh_fec!T4=0,0,11630*1000*SER_hh_fec!T4/SER_hh_num!T4)</f>
        <v>119166.7527512691</v>
      </c>
      <c r="U4" s="130">
        <f>IF(SER_hh_fec!U4=0,0,11630*1000*SER_hh_fec!U4/SER_hh_num!U4)</f>
        <v>114193.98149754091</v>
      </c>
      <c r="V4" s="130">
        <f>IF(SER_hh_fec!V4=0,0,11630*1000*SER_hh_fec!V4/SER_hh_num!V4)</f>
        <v>106455.02427269814</v>
      </c>
      <c r="W4" s="130">
        <f>IF(SER_hh_fec!W4=0,0,11630*1000*SER_hh_fec!W4/SER_hh_num!W4)</f>
        <v>114067.56653046572</v>
      </c>
      <c r="X4" s="130">
        <f>IF(SER_hh_fec!X4=0,0,11630*1000*SER_hh_fec!X4/SER_hh_num!X4)</f>
        <v>103801.34901452951</v>
      </c>
      <c r="Y4" s="130">
        <f>IF(SER_hh_fec!Y4=0,0,11630*1000*SER_hh_fec!Y4/SER_hh_num!Y4)</f>
        <v>86710.328302518246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168002.04374985216</v>
      </c>
      <c r="C5" s="132">
        <f>IF(SER_hh_fec!C5=0,0,11630*1000*SER_hh_fec!C5/SER_hh_num!C5)</f>
        <v>181005.30443251971</v>
      </c>
      <c r="D5" s="132">
        <f>IF(SER_hh_fec!D5=0,0,11630*1000*SER_hh_fec!D5/SER_hh_num!D5)</f>
        <v>143376.53598551324</v>
      </c>
      <c r="E5" s="132">
        <f>IF(SER_hh_fec!E5=0,0,11630*1000*SER_hh_fec!E5/SER_hh_num!E5)</f>
        <v>171830.62993475859</v>
      </c>
      <c r="F5" s="132">
        <f>IF(SER_hh_fec!F5=0,0,11630*1000*SER_hh_fec!F5/SER_hh_num!F5)</f>
        <v>171759.6930459101</v>
      </c>
      <c r="G5" s="132">
        <f>IF(SER_hh_fec!G5=0,0,11630*1000*SER_hh_fec!G5/SER_hh_num!G5)</f>
        <v>171781.00576882044</v>
      </c>
      <c r="H5" s="132">
        <f>IF(SER_hh_fec!H5=0,0,11630*1000*SER_hh_fec!H5/SER_hh_num!H5)</f>
        <v>161243.10883782577</v>
      </c>
      <c r="I5" s="132">
        <f>IF(SER_hh_fec!I5=0,0,11630*1000*SER_hh_fec!I5/SER_hh_num!I5)</f>
        <v>153103.98870180367</v>
      </c>
      <c r="J5" s="132">
        <f>IF(SER_hh_fec!J5=0,0,11630*1000*SER_hh_fec!J5/SER_hh_num!J5)</f>
        <v>145172.26652018924</v>
      </c>
      <c r="K5" s="132">
        <f>IF(SER_hh_fec!K5=0,0,11630*1000*SER_hh_fec!K5/SER_hh_num!K5)</f>
        <v>148530.50474036665</v>
      </c>
      <c r="L5" s="132">
        <f>IF(SER_hh_fec!L5=0,0,11630*1000*SER_hh_fec!L5/SER_hh_num!L5)</f>
        <v>200672.80194444192</v>
      </c>
      <c r="M5" s="132">
        <f>IF(SER_hh_fec!M5=0,0,11630*1000*SER_hh_fec!M5/SER_hh_num!M5)</f>
        <v>82255.635897006752</v>
      </c>
      <c r="N5" s="132">
        <f>IF(SER_hh_fec!N5=0,0,11630*1000*SER_hh_fec!N5/SER_hh_num!N5)</f>
        <v>118062.55287417991</v>
      </c>
      <c r="O5" s="132">
        <f>IF(SER_hh_fec!O5=0,0,11630*1000*SER_hh_fec!O5/SER_hh_num!O5)</f>
        <v>149966.71230937925</v>
      </c>
      <c r="P5" s="132">
        <f>IF(SER_hh_fec!P5=0,0,11630*1000*SER_hh_fec!P5/SER_hh_num!P5)</f>
        <v>117299.20035598148</v>
      </c>
      <c r="Q5" s="132">
        <f>IF(SER_hh_fec!Q5=0,0,11630*1000*SER_hh_fec!Q5/SER_hh_num!Q5)</f>
        <v>124847.81169752181</v>
      </c>
      <c r="R5" s="132">
        <f>IF(SER_hh_fec!R5=0,0,11630*1000*SER_hh_fec!R5/SER_hh_num!R5)</f>
        <v>133723.99496483244</v>
      </c>
      <c r="S5" s="132">
        <f>IF(SER_hh_fec!S5=0,0,11630*1000*SER_hh_fec!S5/SER_hh_num!S5)</f>
        <v>132382.2319005717</v>
      </c>
      <c r="T5" s="132">
        <f>IF(SER_hh_fec!T5=0,0,11630*1000*SER_hh_fec!T5/SER_hh_num!T5)</f>
        <v>124601.82690327875</v>
      </c>
      <c r="U5" s="132">
        <f>IF(SER_hh_fec!U5=0,0,11630*1000*SER_hh_fec!U5/SER_hh_num!U5)</f>
        <v>123763.43222243103</v>
      </c>
      <c r="V5" s="132">
        <f>IF(SER_hh_fec!V5=0,0,11630*1000*SER_hh_fec!V5/SER_hh_num!V5)</f>
        <v>108451.83523545173</v>
      </c>
      <c r="W5" s="132">
        <f>IF(SER_hh_fec!W5=0,0,11630*1000*SER_hh_fec!W5/SER_hh_num!W5)</f>
        <v>121827.54727873355</v>
      </c>
      <c r="X5" s="132">
        <f>IF(SER_hh_fec!X5=0,0,11630*1000*SER_hh_fec!X5/SER_hh_num!X5)</f>
        <v>104043.52400848719</v>
      </c>
      <c r="Y5" s="132">
        <f>IF(SER_hh_fec!Y5=0,0,11630*1000*SER_hh_fec!Y5/SER_hh_num!Y5)</f>
        <v>88416.325116196371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188761.02489721149</v>
      </c>
      <c r="C7" s="132">
        <f>IF(SER_hh_fec!C7=0,0,11630*1000*SER_hh_fec!C7/SER_hh_num!C7)</f>
        <v>208557.31749625891</v>
      </c>
      <c r="D7" s="132">
        <f>IF(SER_hh_fec!D7=0,0,11630*1000*SER_hh_fec!D7/SER_hh_num!D7)</f>
        <v>184325.883310309</v>
      </c>
      <c r="E7" s="132">
        <f>IF(SER_hh_fec!E7=0,0,11630*1000*SER_hh_fec!E7/SER_hh_num!E7)</f>
        <v>200250.03186699495</v>
      </c>
      <c r="F7" s="132">
        <f>IF(SER_hh_fec!F7=0,0,11630*1000*SER_hh_fec!F7/SER_hh_num!F7)</f>
        <v>205909.63270654663</v>
      </c>
      <c r="G7" s="132">
        <f>IF(SER_hh_fec!G7=0,0,11630*1000*SER_hh_fec!G7/SER_hh_num!G7)</f>
        <v>200577.62979795266</v>
      </c>
      <c r="H7" s="132">
        <f>IF(SER_hh_fec!H7=0,0,11630*1000*SER_hh_fec!H7/SER_hh_num!H7)</f>
        <v>185509.96759095354</v>
      </c>
      <c r="I7" s="132">
        <f>IF(SER_hh_fec!I7=0,0,11630*1000*SER_hh_fec!I7/SER_hh_num!I7)</f>
        <v>159759.79030979195</v>
      </c>
      <c r="J7" s="132">
        <f>IF(SER_hh_fec!J7=0,0,11630*1000*SER_hh_fec!J7/SER_hh_num!J7)</f>
        <v>189359.42527143611</v>
      </c>
      <c r="K7" s="132">
        <f>IF(SER_hh_fec!K7=0,0,11630*1000*SER_hh_fec!K7/SER_hh_num!K7)</f>
        <v>185349.74125129436</v>
      </c>
      <c r="L7" s="132">
        <f>IF(SER_hh_fec!L7=0,0,11630*1000*SER_hh_fec!L7/SER_hh_num!L7)</f>
        <v>180539.46489865336</v>
      </c>
      <c r="M7" s="132">
        <f>IF(SER_hh_fec!M7=0,0,11630*1000*SER_hh_fec!M7/SER_hh_num!M7)</f>
        <v>153521.52201627471</v>
      </c>
      <c r="N7" s="132">
        <f>IF(SER_hh_fec!N7=0,0,11630*1000*SER_hh_fec!N7/SER_hh_num!N7)</f>
        <v>153281.87194834079</v>
      </c>
      <c r="O7" s="132">
        <f>IF(SER_hh_fec!O7=0,0,11630*1000*SER_hh_fec!O7/SER_hh_num!O7)</f>
        <v>153840.924551403</v>
      </c>
      <c r="P7" s="132">
        <f>IF(SER_hh_fec!P7=0,0,11630*1000*SER_hh_fec!P7/SER_hh_num!P7)</f>
        <v>157933.01920988577</v>
      </c>
      <c r="Q7" s="132">
        <f>IF(SER_hh_fec!Q7=0,0,11630*1000*SER_hh_fec!Q7/SER_hh_num!Q7)</f>
        <v>158174.73838282441</v>
      </c>
      <c r="R7" s="132">
        <f>IF(SER_hh_fec!R7=0,0,11630*1000*SER_hh_fec!R7/SER_hh_num!R7)</f>
        <v>128551.64683558619</v>
      </c>
      <c r="S7" s="132">
        <f>IF(SER_hh_fec!S7=0,0,11630*1000*SER_hh_fec!S7/SER_hh_num!S7)</f>
        <v>154370.4783601808</v>
      </c>
      <c r="T7" s="132">
        <f>IF(SER_hh_fec!T7=0,0,11630*1000*SER_hh_fec!T7/SER_hh_num!T7)</f>
        <v>142487.30533135362</v>
      </c>
      <c r="U7" s="132">
        <f>IF(SER_hh_fec!U7=0,0,11630*1000*SER_hh_fec!U7/SER_hh_num!U7)</f>
        <v>135588.59210902464</v>
      </c>
      <c r="V7" s="132">
        <f>IF(SER_hh_fec!V7=0,0,11630*1000*SER_hh_fec!V7/SER_hh_num!V7)</f>
        <v>140564.01822757375</v>
      </c>
      <c r="W7" s="132">
        <f>IF(SER_hh_fec!W7=0,0,11630*1000*SER_hh_fec!W7/SER_hh_num!W7)</f>
        <v>122279.65069653546</v>
      </c>
      <c r="X7" s="132">
        <f>IF(SER_hh_fec!X7=0,0,11630*1000*SER_hh_fec!X7/SER_hh_num!X7)</f>
        <v>130626.26728414335</v>
      </c>
      <c r="Y7" s="132">
        <f>IF(SER_hh_fec!Y7=0,0,11630*1000*SER_hh_fec!Y7/SER_hh_num!Y7)</f>
        <v>100759.64090023155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66579.700792371266</v>
      </c>
      <c r="C8" s="132">
        <f>IF(SER_hh_fec!C8=0,0,11630*1000*SER_hh_fec!C8/SER_hh_num!C8)</f>
        <v>75227.170652219938</v>
      </c>
      <c r="D8" s="132">
        <f>IF(SER_hh_fec!D8=0,0,11630*1000*SER_hh_fec!D8/SER_hh_num!D8)</f>
        <v>59018.969796717443</v>
      </c>
      <c r="E8" s="132">
        <f>IF(SER_hh_fec!E8=0,0,11630*1000*SER_hh_fec!E8/SER_hh_num!E8)</f>
        <v>61209.259454210871</v>
      </c>
      <c r="F8" s="132">
        <f>IF(SER_hh_fec!F8=0,0,11630*1000*SER_hh_fec!F8/SER_hh_num!F8)</f>
        <v>54872.482768814181</v>
      </c>
      <c r="G8" s="132">
        <f>IF(SER_hh_fec!G8=0,0,11630*1000*SER_hh_fec!G8/SER_hh_num!G8)</f>
        <v>71468.350148870042</v>
      </c>
      <c r="H8" s="132">
        <f>IF(SER_hh_fec!H8=0,0,11630*1000*SER_hh_fec!H8/SER_hh_num!H8)</f>
        <v>62466.716338763857</v>
      </c>
      <c r="I8" s="132">
        <f>IF(SER_hh_fec!I8=0,0,11630*1000*SER_hh_fec!I8/SER_hh_num!I8)</f>
        <v>61429.244468107827</v>
      </c>
      <c r="J8" s="132">
        <f>IF(SER_hh_fec!J8=0,0,11630*1000*SER_hh_fec!J8/SER_hh_num!J8)</f>
        <v>62921.865866375119</v>
      </c>
      <c r="K8" s="132">
        <f>IF(SER_hh_fec!K8=0,0,11630*1000*SER_hh_fec!K8/SER_hh_num!K8)</f>
        <v>48424.252169435786</v>
      </c>
      <c r="L8" s="132">
        <f>IF(SER_hh_fec!L8=0,0,11630*1000*SER_hh_fec!L8/SER_hh_num!L8)</f>
        <v>39662.569606117591</v>
      </c>
      <c r="M8" s="132">
        <f>IF(SER_hh_fec!M8=0,0,11630*1000*SER_hh_fec!M8/SER_hh_num!M8)</f>
        <v>52354.412624252378</v>
      </c>
      <c r="N8" s="132">
        <f>IF(SER_hh_fec!N8=0,0,11630*1000*SER_hh_fec!N8/SER_hh_num!N8)</f>
        <v>46443.314055796473</v>
      </c>
      <c r="O8" s="132">
        <f>IF(SER_hh_fec!O8=0,0,11630*1000*SER_hh_fec!O8/SER_hh_num!O8)</f>
        <v>49119.943456551511</v>
      </c>
      <c r="P8" s="132">
        <f>IF(SER_hh_fec!P8=0,0,11630*1000*SER_hh_fec!P8/SER_hh_num!P8)</f>
        <v>41583.316815994862</v>
      </c>
      <c r="Q8" s="132">
        <f>IF(SER_hh_fec!Q8=0,0,11630*1000*SER_hh_fec!Q8/SER_hh_num!Q8)</f>
        <v>43346.768859949174</v>
      </c>
      <c r="R8" s="132">
        <f>IF(SER_hh_fec!R8=0,0,11630*1000*SER_hh_fec!R8/SER_hh_num!R8)</f>
        <v>42303.508738626231</v>
      </c>
      <c r="S8" s="132">
        <f>IF(SER_hh_fec!S8=0,0,11630*1000*SER_hh_fec!S8/SER_hh_num!S8)</f>
        <v>41018.761740833965</v>
      </c>
      <c r="T8" s="132">
        <f>IF(SER_hh_fec!T8=0,0,11630*1000*SER_hh_fec!T8/SER_hh_num!T8)</f>
        <v>40357.773496819689</v>
      </c>
      <c r="U8" s="132">
        <f>IF(SER_hh_fec!U8=0,0,11630*1000*SER_hh_fec!U8/SER_hh_num!U8)</f>
        <v>39581.983317696286</v>
      </c>
      <c r="V8" s="132">
        <f>IF(SER_hh_fec!V8=0,0,11630*1000*SER_hh_fec!V8/SER_hh_num!V8)</f>
        <v>36978.869766223288</v>
      </c>
      <c r="W8" s="132">
        <f>IF(SER_hh_fec!W8=0,0,11630*1000*SER_hh_fec!W8/SER_hh_num!W8)</f>
        <v>46803.135309064877</v>
      </c>
      <c r="X8" s="132">
        <f>IF(SER_hh_fec!X8=0,0,11630*1000*SER_hh_fec!X8/SER_hh_num!X8)</f>
        <v>26417.217558683831</v>
      </c>
      <c r="Y8" s="132">
        <f>IF(SER_hh_fec!Y8=0,0,11630*1000*SER_hh_fec!Y8/SER_hh_num!Y8)</f>
        <v>31344.144801748476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178324.03208011127</v>
      </c>
      <c r="C9" s="132">
        <f>IF(SER_hh_fec!C9=0,0,11630*1000*SER_hh_fec!C9/SER_hh_num!C9)</f>
        <v>188160.32829848668</v>
      </c>
      <c r="D9" s="132">
        <f>IF(SER_hh_fec!D9=0,0,11630*1000*SER_hh_fec!D9/SER_hh_num!D9)</f>
        <v>153612.27812196236</v>
      </c>
      <c r="E9" s="132">
        <f>IF(SER_hh_fec!E9=0,0,11630*1000*SER_hh_fec!E9/SER_hh_num!E9)</f>
        <v>190552.84182271978</v>
      </c>
      <c r="F9" s="132">
        <f>IF(SER_hh_fec!F9=0,0,11630*1000*SER_hh_fec!F9/SER_hh_num!F9)</f>
        <v>186793.16715244227</v>
      </c>
      <c r="G9" s="132">
        <f>IF(SER_hh_fec!G9=0,0,11630*1000*SER_hh_fec!G9/SER_hh_num!G9)</f>
        <v>187948.52640298259</v>
      </c>
      <c r="H9" s="132">
        <f>IF(SER_hh_fec!H9=0,0,11630*1000*SER_hh_fec!H9/SER_hh_num!H9)</f>
        <v>161626.83249054023</v>
      </c>
      <c r="I9" s="132">
        <f>IF(SER_hh_fec!I9=0,0,11630*1000*SER_hh_fec!I9/SER_hh_num!I9)</f>
        <v>161112.91708634607</v>
      </c>
      <c r="J9" s="132">
        <f>IF(SER_hh_fec!J9=0,0,11630*1000*SER_hh_fec!J9/SER_hh_num!J9)</f>
        <v>140781.80718967973</v>
      </c>
      <c r="K9" s="132">
        <f>IF(SER_hh_fec!K9=0,0,11630*1000*SER_hh_fec!K9/SER_hh_num!K9)</f>
        <v>166865.61314840236</v>
      </c>
      <c r="L9" s="132">
        <f>IF(SER_hh_fec!L9=0,0,11630*1000*SER_hh_fec!L9/SER_hh_num!L9)</f>
        <v>184439.89738154324</v>
      </c>
      <c r="M9" s="132">
        <f>IF(SER_hh_fec!M9=0,0,11630*1000*SER_hh_fec!M9/SER_hh_num!M9)</f>
        <v>129115.33891340005</v>
      </c>
      <c r="N9" s="132">
        <f>IF(SER_hh_fec!N9=0,0,11630*1000*SER_hh_fec!N9/SER_hh_num!N9)</f>
        <v>151467.87924535963</v>
      </c>
      <c r="O9" s="132">
        <f>IF(SER_hh_fec!O9=0,0,11630*1000*SER_hh_fec!O9/SER_hh_num!O9)</f>
        <v>159564.78833985818</v>
      </c>
      <c r="P9" s="132">
        <f>IF(SER_hh_fec!P9=0,0,11630*1000*SER_hh_fec!P9/SER_hh_num!P9)</f>
        <v>128577.22285421113</v>
      </c>
      <c r="Q9" s="132">
        <f>IF(SER_hh_fec!Q9=0,0,11630*1000*SER_hh_fec!Q9/SER_hh_num!Q9)</f>
        <v>136470.01699281714</v>
      </c>
      <c r="R9" s="132">
        <f>IF(SER_hh_fec!R9=0,0,11630*1000*SER_hh_fec!R9/SER_hh_num!R9)</f>
        <v>133537.59613376143</v>
      </c>
      <c r="S9" s="132">
        <f>IF(SER_hh_fec!S9=0,0,11630*1000*SER_hh_fec!S9/SER_hh_num!S9)</f>
        <v>133258.36938489051</v>
      </c>
      <c r="T9" s="132">
        <f>IF(SER_hh_fec!T9=0,0,11630*1000*SER_hh_fec!T9/SER_hh_num!T9)</f>
        <v>132145.05053294695</v>
      </c>
      <c r="U9" s="132">
        <f>IF(SER_hh_fec!U9=0,0,11630*1000*SER_hh_fec!U9/SER_hh_num!U9)</f>
        <v>125506.25658632327</v>
      </c>
      <c r="V9" s="132">
        <f>IF(SER_hh_fec!V9=0,0,11630*1000*SER_hh_fec!V9/SER_hh_num!V9)</f>
        <v>113416.66597261996</v>
      </c>
      <c r="W9" s="132">
        <f>IF(SER_hh_fec!W9=0,0,11630*1000*SER_hh_fec!W9/SER_hh_num!W9)</f>
        <v>121382.13871323438</v>
      </c>
      <c r="X9" s="132">
        <f>IF(SER_hh_fec!X9=0,0,11630*1000*SER_hh_fec!X9/SER_hh_num!X9)</f>
        <v>101266.16223620671</v>
      </c>
      <c r="Y9" s="132">
        <f>IF(SER_hh_fec!Y9=0,0,11630*1000*SER_hh_fec!Y9/SER_hh_num!Y9)</f>
        <v>91034.719311021458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186106.56121641453</v>
      </c>
      <c r="C10" s="132">
        <f>IF(SER_hh_fec!C10=0,0,11630*1000*SER_hh_fec!C10/SER_hh_num!C10)</f>
        <v>191704.56314631918</v>
      </c>
      <c r="D10" s="132">
        <f>IF(SER_hh_fec!D10=0,0,11630*1000*SER_hh_fec!D10/SER_hh_num!D10)</f>
        <v>189393.26007693881</v>
      </c>
      <c r="E10" s="132">
        <f>IF(SER_hh_fec!E10=0,0,11630*1000*SER_hh_fec!E10/SER_hh_num!E10)</f>
        <v>208599.3890118649</v>
      </c>
      <c r="F10" s="132">
        <f>IF(SER_hh_fec!F10=0,0,11630*1000*SER_hh_fec!F10/SER_hh_num!F10)</f>
        <v>236154.39875262274</v>
      </c>
      <c r="G10" s="132">
        <f>IF(SER_hh_fec!G10=0,0,11630*1000*SER_hh_fec!G10/SER_hh_num!G10)</f>
        <v>158763.06919472371</v>
      </c>
      <c r="H10" s="132">
        <f>IF(SER_hh_fec!H10=0,0,11630*1000*SER_hh_fec!H10/SER_hh_num!H10)</f>
        <v>117290.4075225525</v>
      </c>
      <c r="I10" s="132">
        <f>IF(SER_hh_fec!I10=0,0,11630*1000*SER_hh_fec!I10/SER_hh_num!I10)</f>
        <v>174639.74069224647</v>
      </c>
      <c r="J10" s="132">
        <f>IF(SER_hh_fec!J10=0,0,11630*1000*SER_hh_fec!J10/SER_hh_num!J10)</f>
        <v>165397.08498658621</v>
      </c>
      <c r="K10" s="132">
        <f>IF(SER_hh_fec!K10=0,0,11630*1000*SER_hh_fec!K10/SER_hh_num!K10)</f>
        <v>209638.08973920802</v>
      </c>
      <c r="L10" s="132">
        <f>IF(SER_hh_fec!L10=0,0,11630*1000*SER_hh_fec!L10/SER_hh_num!L10)</f>
        <v>182680.38834805725</v>
      </c>
      <c r="M10" s="132">
        <f>IF(SER_hh_fec!M10=0,0,11630*1000*SER_hh_fec!M10/SER_hh_num!M10)</f>
        <v>122584.72265316636</v>
      </c>
      <c r="N10" s="132">
        <f>IF(SER_hh_fec!N10=0,0,11630*1000*SER_hh_fec!N10/SER_hh_num!N10)</f>
        <v>145686.53788159089</v>
      </c>
      <c r="O10" s="132">
        <f>IF(SER_hh_fec!O10=0,0,11630*1000*SER_hh_fec!O10/SER_hh_num!O10)</f>
        <v>182407.68528228102</v>
      </c>
      <c r="P10" s="132">
        <f>IF(SER_hh_fec!P10=0,0,11630*1000*SER_hh_fec!P10/SER_hh_num!P10)</f>
        <v>150810.2223754458</v>
      </c>
      <c r="Q10" s="132">
        <f>IF(SER_hh_fec!Q10=0,0,11630*1000*SER_hh_fec!Q10/SER_hh_num!Q10)</f>
        <v>140900.42423028836</v>
      </c>
      <c r="R10" s="132">
        <f>IF(SER_hh_fec!R10=0,0,11630*1000*SER_hh_fec!R10/SER_hh_num!R10)</f>
        <v>154095.32674429342</v>
      </c>
      <c r="S10" s="132">
        <f>IF(SER_hh_fec!S10=0,0,11630*1000*SER_hh_fec!S10/SER_hh_num!S10)</f>
        <v>159368.97113490326</v>
      </c>
      <c r="T10" s="132">
        <f>IF(SER_hh_fec!T10=0,0,11630*1000*SER_hh_fec!T10/SER_hh_num!T10)</f>
        <v>145797.75916753834</v>
      </c>
      <c r="U10" s="132">
        <f>IF(SER_hh_fec!U10=0,0,11630*1000*SER_hh_fec!U10/SER_hh_num!U10)</f>
        <v>143755.91758419256</v>
      </c>
      <c r="V10" s="132">
        <f>IF(SER_hh_fec!V10=0,0,11630*1000*SER_hh_fec!V10/SER_hh_num!V10)</f>
        <v>136592.41424698106</v>
      </c>
      <c r="W10" s="132">
        <f>IF(SER_hh_fec!W10=0,0,11630*1000*SER_hh_fec!W10/SER_hh_num!W10)</f>
        <v>145597.4335940149</v>
      </c>
      <c r="X10" s="132">
        <f>IF(SER_hh_fec!X10=0,0,11630*1000*SER_hh_fec!X10/SER_hh_num!X10)</f>
        <v>146052.292097547</v>
      </c>
      <c r="Y10" s="132">
        <f>IF(SER_hh_fec!Y10=0,0,11630*1000*SER_hh_fec!Y10/SER_hh_num!Y10)</f>
        <v>120635.80254833045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240599.04298766947</v>
      </c>
      <c r="E11" s="132">
        <f>IF(SER_hh_fec!E11=0,0,11630*1000*SER_hh_fec!E11/SER_hh_num!E11)</f>
        <v>213824.74907374973</v>
      </c>
      <c r="F11" s="132">
        <f>IF(SER_hh_fec!F11=0,0,11630*1000*SER_hh_fec!F11/SER_hh_num!F11)</f>
        <v>213223.24513975499</v>
      </c>
      <c r="G11" s="132">
        <f>IF(SER_hh_fec!G11=0,0,11630*1000*SER_hh_fec!G11/SER_hh_num!G11)</f>
        <v>75054.13658331972</v>
      </c>
      <c r="H11" s="132">
        <f>IF(SER_hh_fec!H11=0,0,11630*1000*SER_hh_fec!H11/SER_hh_num!H11)</f>
        <v>95206.302125810165</v>
      </c>
      <c r="I11" s="132">
        <f>IF(SER_hh_fec!I11=0,0,11630*1000*SER_hh_fec!I11/SER_hh_num!I11)</f>
        <v>108229.53847303941</v>
      </c>
      <c r="J11" s="132">
        <f>IF(SER_hh_fec!J11=0,0,11630*1000*SER_hh_fec!J11/SER_hh_num!J11)</f>
        <v>108485.29985464105</v>
      </c>
      <c r="K11" s="132">
        <f>IF(SER_hh_fec!K11=0,0,11630*1000*SER_hh_fec!K11/SER_hh_num!K11)</f>
        <v>107646.40042666881</v>
      </c>
      <c r="L11" s="132">
        <f>IF(SER_hh_fec!L11=0,0,11630*1000*SER_hh_fec!L11/SER_hh_num!L11)</f>
        <v>103466.43194015312</v>
      </c>
      <c r="M11" s="132">
        <f>IF(SER_hh_fec!M11=0,0,11630*1000*SER_hh_fec!M11/SER_hh_num!M11)</f>
        <v>112097.32298596138</v>
      </c>
      <c r="N11" s="132">
        <f>IF(SER_hh_fec!N11=0,0,11630*1000*SER_hh_fec!N11/SER_hh_num!N11)</f>
        <v>108775.83656849651</v>
      </c>
      <c r="O11" s="132">
        <f>IF(SER_hh_fec!O11=0,0,11630*1000*SER_hh_fec!O11/SER_hh_num!O11)</f>
        <v>107659.90396876684</v>
      </c>
      <c r="P11" s="132">
        <f>IF(SER_hh_fec!P11=0,0,11630*1000*SER_hh_fec!P11/SER_hh_num!P11)</f>
        <v>100752.01739155916</v>
      </c>
      <c r="Q11" s="132">
        <f>IF(SER_hh_fec!Q11=0,0,11630*1000*SER_hh_fec!Q11/SER_hh_num!Q11)</f>
        <v>101053.70637871695</v>
      </c>
      <c r="R11" s="132">
        <f>IF(SER_hh_fec!R11=0,0,11630*1000*SER_hh_fec!R11/SER_hh_num!R11)</f>
        <v>100133.2244426392</v>
      </c>
      <c r="S11" s="132">
        <f>IF(SER_hh_fec!S11=0,0,11630*1000*SER_hh_fec!S11/SER_hh_num!S11)</f>
        <v>100155.05773131187</v>
      </c>
      <c r="T11" s="132">
        <f>IF(SER_hh_fec!T11=0,0,11630*1000*SER_hh_fec!T11/SER_hh_num!T11)</f>
        <v>98111.503740664644</v>
      </c>
      <c r="U11" s="132">
        <f>IF(SER_hh_fec!U11=0,0,11630*1000*SER_hh_fec!U11/SER_hh_num!U11)</f>
        <v>96588.101872916493</v>
      </c>
      <c r="V11" s="132">
        <f>IF(SER_hh_fec!V11=0,0,11630*1000*SER_hh_fec!V11/SER_hh_num!V11)</f>
        <v>94310.550459401755</v>
      </c>
      <c r="W11" s="132">
        <f>IF(SER_hh_fec!W11=0,0,11630*1000*SER_hh_fec!W11/SER_hh_num!W11)</f>
        <v>88503.589010776937</v>
      </c>
      <c r="X11" s="132">
        <f>IF(SER_hh_fec!X11=0,0,11630*1000*SER_hh_fec!X11/SER_hh_num!X11)</f>
        <v>84119.111240800717</v>
      </c>
      <c r="Y11" s="132">
        <f>IF(SER_hh_fec!Y11=0,0,11630*1000*SER_hh_fec!Y11/SER_hh_num!Y11)</f>
        <v>80104.759777528219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107334.17611947541</v>
      </c>
      <c r="C12" s="132">
        <f>IF(SER_hh_fec!C12=0,0,11630*1000*SER_hh_fec!C12/SER_hh_num!C12)</f>
        <v>119926.75684768321</v>
      </c>
      <c r="D12" s="132">
        <f>IF(SER_hh_fec!D12=0,0,11630*1000*SER_hh_fec!D12/SER_hh_num!D12)</f>
        <v>120445.55582142447</v>
      </c>
      <c r="E12" s="132">
        <f>IF(SER_hh_fec!E12=0,0,11630*1000*SER_hh_fec!E12/SER_hh_num!E12)</f>
        <v>117260.01252914801</v>
      </c>
      <c r="F12" s="132">
        <f>IF(SER_hh_fec!F12=0,0,11630*1000*SER_hh_fec!F12/SER_hh_num!F12)</f>
        <v>119547.71362908564</v>
      </c>
      <c r="G12" s="132">
        <f>IF(SER_hh_fec!G12=0,0,11630*1000*SER_hh_fec!G12/SER_hh_num!G12)</f>
        <v>129536.5723538797</v>
      </c>
      <c r="H12" s="132">
        <f>IF(SER_hh_fec!H12=0,0,11630*1000*SER_hh_fec!H12/SER_hh_num!H12)</f>
        <v>132083.76353736705</v>
      </c>
      <c r="I12" s="132">
        <f>IF(SER_hh_fec!I12=0,0,11630*1000*SER_hh_fec!I12/SER_hh_num!I12)</f>
        <v>83167.972519521267</v>
      </c>
      <c r="J12" s="132">
        <f>IF(SER_hh_fec!J12=0,0,11630*1000*SER_hh_fec!J12/SER_hh_num!J12)</f>
        <v>105228.09361965446</v>
      </c>
      <c r="K12" s="132">
        <f>IF(SER_hh_fec!K12=0,0,11630*1000*SER_hh_fec!K12/SER_hh_num!K12)</f>
        <v>105241.79971591354</v>
      </c>
      <c r="L12" s="132">
        <f>IF(SER_hh_fec!L12=0,0,11630*1000*SER_hh_fec!L12/SER_hh_num!L12)</f>
        <v>121316.33717171839</v>
      </c>
      <c r="M12" s="132">
        <f>IF(SER_hh_fec!M12=0,0,11630*1000*SER_hh_fec!M12/SER_hh_num!M12)</f>
        <v>102257.38594435761</v>
      </c>
      <c r="N12" s="132">
        <f>IF(SER_hh_fec!N12=0,0,11630*1000*SER_hh_fec!N12/SER_hh_num!N12)</f>
        <v>102711.17345321442</v>
      </c>
      <c r="O12" s="132">
        <f>IF(SER_hh_fec!O12=0,0,11630*1000*SER_hh_fec!O12/SER_hh_num!O12)</f>
        <v>107281.90134403329</v>
      </c>
      <c r="P12" s="132">
        <f>IF(SER_hh_fec!P12=0,0,11630*1000*SER_hh_fec!P12/SER_hh_num!P12)</f>
        <v>97040.255833109695</v>
      </c>
      <c r="Q12" s="132">
        <f>IF(SER_hh_fec!Q12=0,0,11630*1000*SER_hh_fec!Q12/SER_hh_num!Q12)</f>
        <v>99466.89636208817</v>
      </c>
      <c r="R12" s="132">
        <f>IF(SER_hh_fec!R12=0,0,11630*1000*SER_hh_fec!R12/SER_hh_num!R12)</f>
        <v>103354.34556738235</v>
      </c>
      <c r="S12" s="132">
        <f>IF(SER_hh_fec!S12=0,0,11630*1000*SER_hh_fec!S12/SER_hh_num!S12)</f>
        <v>103596.54907324108</v>
      </c>
      <c r="T12" s="132">
        <f>IF(SER_hh_fec!T12=0,0,11630*1000*SER_hh_fec!T12/SER_hh_num!T12)</f>
        <v>98497.632173215185</v>
      </c>
      <c r="U12" s="132">
        <f>IF(SER_hh_fec!U12=0,0,11630*1000*SER_hh_fec!U12/SER_hh_num!U12)</f>
        <v>95913.034130382031</v>
      </c>
      <c r="V12" s="132">
        <f>IF(SER_hh_fec!V12=0,0,11630*1000*SER_hh_fec!V12/SER_hh_num!V12)</f>
        <v>93652.505368521335</v>
      </c>
      <c r="W12" s="132">
        <f>IF(SER_hh_fec!W12=0,0,11630*1000*SER_hh_fec!W12/SER_hh_num!W12)</f>
        <v>101315.74006805469</v>
      </c>
      <c r="X12" s="132">
        <f>IF(SER_hh_fec!X12=0,0,11630*1000*SER_hh_fec!X12/SER_hh_num!X12)</f>
        <v>88778.67197182808</v>
      </c>
      <c r="Y12" s="132">
        <f>IF(SER_hh_fec!Y12=0,0,11630*1000*SER_hh_fec!Y12/SER_hh_num!Y12)</f>
        <v>79611.08131619294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56955.677766197354</v>
      </c>
      <c r="C13" s="132">
        <f>IF(SER_hh_fec!C13=0,0,11630*1000*SER_hh_fec!C13/SER_hh_num!C13)</f>
        <v>56874.858704317863</v>
      </c>
      <c r="D13" s="132">
        <f>IF(SER_hh_fec!D13=0,0,11630*1000*SER_hh_fec!D13/SER_hh_num!D13)</f>
        <v>57782.300926254051</v>
      </c>
      <c r="E13" s="132">
        <f>IF(SER_hh_fec!E13=0,0,11630*1000*SER_hh_fec!E13/SER_hh_num!E13)</f>
        <v>56816.890048663365</v>
      </c>
      <c r="F13" s="132">
        <f>IF(SER_hh_fec!F13=0,0,11630*1000*SER_hh_fec!F13/SER_hh_num!F13)</f>
        <v>54025.069753804979</v>
      </c>
      <c r="G13" s="132">
        <f>IF(SER_hh_fec!G13=0,0,11630*1000*SER_hh_fec!G13/SER_hh_num!G13)</f>
        <v>53854.349229230058</v>
      </c>
      <c r="H13" s="132">
        <f>IF(SER_hh_fec!H13=0,0,11630*1000*SER_hh_fec!H13/SER_hh_num!H13)</f>
        <v>48982.115310089343</v>
      </c>
      <c r="I13" s="132">
        <f>IF(SER_hh_fec!I13=0,0,11630*1000*SER_hh_fec!I13/SER_hh_num!I13)</f>
        <v>43711.980078133041</v>
      </c>
      <c r="J13" s="132">
        <f>IF(SER_hh_fec!J13=0,0,11630*1000*SER_hh_fec!J13/SER_hh_num!J13)</f>
        <v>44492.779492009911</v>
      </c>
      <c r="K13" s="132">
        <f>IF(SER_hh_fec!K13=0,0,11630*1000*SER_hh_fec!K13/SER_hh_num!K13)</f>
        <v>40749.296799252261</v>
      </c>
      <c r="L13" s="132">
        <f>IF(SER_hh_fec!L13=0,0,11630*1000*SER_hh_fec!L13/SER_hh_num!L13)</f>
        <v>35418.042505770725</v>
      </c>
      <c r="M13" s="132">
        <f>IF(SER_hh_fec!M13=0,0,11630*1000*SER_hh_fec!M13/SER_hh_num!M13)</f>
        <v>38711.744417456182</v>
      </c>
      <c r="N13" s="132">
        <f>IF(SER_hh_fec!N13=0,0,11630*1000*SER_hh_fec!N13/SER_hh_num!N13)</f>
        <v>38155.808960098781</v>
      </c>
      <c r="O13" s="132">
        <f>IF(SER_hh_fec!O13=0,0,11630*1000*SER_hh_fec!O13/SER_hh_num!O13)</f>
        <v>38091.532840833803</v>
      </c>
      <c r="P13" s="132">
        <f>IF(SER_hh_fec!P13=0,0,11630*1000*SER_hh_fec!P13/SER_hh_num!P13)</f>
        <v>31228.223059914792</v>
      </c>
      <c r="Q13" s="132">
        <f>IF(SER_hh_fec!Q13=0,0,11630*1000*SER_hh_fec!Q13/SER_hh_num!Q13)</f>
        <v>32014.099464956897</v>
      </c>
      <c r="R13" s="132">
        <f>IF(SER_hh_fec!R13=0,0,11630*1000*SER_hh_fec!R13/SER_hh_num!R13)</f>
        <v>33407.152654683858</v>
      </c>
      <c r="S13" s="132">
        <f>IF(SER_hh_fec!S13=0,0,11630*1000*SER_hh_fec!S13/SER_hh_num!S13)</f>
        <v>31446.780336624735</v>
      </c>
      <c r="T13" s="132">
        <f>IF(SER_hh_fec!T13=0,0,11630*1000*SER_hh_fec!T13/SER_hh_num!T13)</f>
        <v>28442.841689692304</v>
      </c>
      <c r="U13" s="132">
        <f>IF(SER_hh_fec!U13=0,0,11630*1000*SER_hh_fec!U13/SER_hh_num!U13)</f>
        <v>28154.895692721449</v>
      </c>
      <c r="V13" s="132">
        <f>IF(SER_hh_fec!V13=0,0,11630*1000*SER_hh_fec!V13/SER_hh_num!V13)</f>
        <v>27355.472351652945</v>
      </c>
      <c r="W13" s="132">
        <f>IF(SER_hh_fec!W13=0,0,11630*1000*SER_hh_fec!W13/SER_hh_num!W13)</f>
        <v>33383.406539352691</v>
      </c>
      <c r="X13" s="132">
        <f>IF(SER_hh_fec!X13=0,0,11630*1000*SER_hh_fec!X13/SER_hh_num!X13)</f>
        <v>19700.981916578847</v>
      </c>
      <c r="Y13" s="132">
        <f>IF(SER_hh_fec!Y13=0,0,11630*1000*SER_hh_fec!Y13/SER_hh_num!Y13)</f>
        <v>22639.046652059653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131649.09624098893</v>
      </c>
      <c r="C14" s="65">
        <f>IF(SER_hh_fec!C14=0,0,11630*1000*SER_hh_fec!C14/SER_hh_num!C14)</f>
        <v>132303.67007093586</v>
      </c>
      <c r="D14" s="65">
        <f>IF(SER_hh_fec!D14=0,0,11630*1000*SER_hh_fec!D14/SER_hh_num!D14)</f>
        <v>129043.29829926758</v>
      </c>
      <c r="E14" s="65">
        <f>IF(SER_hh_fec!E14=0,0,11630*1000*SER_hh_fec!E14/SER_hh_num!E14)</f>
        <v>133327.48147456718</v>
      </c>
      <c r="F14" s="65">
        <f>IF(SER_hh_fec!F14=0,0,11630*1000*SER_hh_fec!F14/SER_hh_num!F14)</f>
        <v>140334.36647001666</v>
      </c>
      <c r="G14" s="65">
        <f>IF(SER_hh_fec!G14=0,0,11630*1000*SER_hh_fec!G14/SER_hh_num!G14)</f>
        <v>130995.52917106604</v>
      </c>
      <c r="H14" s="65">
        <f>IF(SER_hh_fec!H14=0,0,11630*1000*SER_hh_fec!H14/SER_hh_num!H14)</f>
        <v>126291.96776260488</v>
      </c>
      <c r="I14" s="65">
        <f>IF(SER_hh_fec!I14=0,0,11630*1000*SER_hh_fec!I14/SER_hh_num!I14)</f>
        <v>122682.76184169383</v>
      </c>
      <c r="J14" s="65">
        <f>IF(SER_hh_fec!J14=0,0,11630*1000*SER_hh_fec!J14/SER_hh_num!J14)</f>
        <v>112121.773983302</v>
      </c>
      <c r="K14" s="65">
        <f>IF(SER_hh_fec!K14=0,0,11630*1000*SER_hh_fec!K14/SER_hh_num!K14)</f>
        <v>123618.54845650484</v>
      </c>
      <c r="L14" s="65">
        <f>IF(SER_hh_fec!L14=0,0,11630*1000*SER_hh_fec!L14/SER_hh_num!L14)</f>
        <v>137786.15969383635</v>
      </c>
      <c r="M14" s="65">
        <f>IF(SER_hh_fec!M14=0,0,11630*1000*SER_hh_fec!M14/SER_hh_num!M14)</f>
        <v>107590.1059294536</v>
      </c>
      <c r="N14" s="65">
        <f>IF(SER_hh_fec!N14=0,0,11630*1000*SER_hh_fec!N14/SER_hh_num!N14)</f>
        <v>118363.09725900649</v>
      </c>
      <c r="O14" s="65">
        <f>IF(SER_hh_fec!O14=0,0,11630*1000*SER_hh_fec!O14/SER_hh_num!O14)</f>
        <v>121252.92488795517</v>
      </c>
      <c r="P14" s="65">
        <f>IF(SER_hh_fec!P14=0,0,11630*1000*SER_hh_fec!P14/SER_hh_num!P14)</f>
        <v>103203.66110949124</v>
      </c>
      <c r="Q14" s="65">
        <f>IF(SER_hh_fec!Q14=0,0,11630*1000*SER_hh_fec!Q14/SER_hh_num!Q14)</f>
        <v>111800.33981506877</v>
      </c>
      <c r="R14" s="65">
        <f>IF(SER_hh_fec!R14=0,0,11630*1000*SER_hh_fec!R14/SER_hh_num!R14)</f>
        <v>112487.33463428877</v>
      </c>
      <c r="S14" s="65">
        <f>IF(SER_hh_fec!S14=0,0,11630*1000*SER_hh_fec!S14/SER_hh_num!S14)</f>
        <v>112661.79313531508</v>
      </c>
      <c r="T14" s="65">
        <f>IF(SER_hh_fec!T14=0,0,11630*1000*SER_hh_fec!T14/SER_hh_num!T14)</f>
        <v>112487.38399708415</v>
      </c>
      <c r="U14" s="65">
        <f>IF(SER_hh_fec!U14=0,0,11630*1000*SER_hh_fec!U14/SER_hh_num!U14)</f>
        <v>108338.05199259124</v>
      </c>
      <c r="V14" s="65">
        <f>IF(SER_hh_fec!V14=0,0,11630*1000*SER_hh_fec!V14/SER_hh_num!V14)</f>
        <v>94465.338180099308</v>
      </c>
      <c r="W14" s="65">
        <f>IF(SER_hh_fec!W14=0,0,11630*1000*SER_hh_fec!W14/SER_hh_num!W14)</f>
        <v>115319.04632751316</v>
      </c>
      <c r="X14" s="65">
        <f>IF(SER_hh_fec!X14=0,0,11630*1000*SER_hh_fec!X14/SER_hh_num!X14)</f>
        <v>106593.15627838556</v>
      </c>
      <c r="Y14" s="65">
        <f>IF(SER_hh_fec!Y14=0,0,11630*1000*SER_hh_fec!Y14/SER_hh_num!Y14)</f>
        <v>76872.57557802902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1483.0516876859856</v>
      </c>
      <c r="C15" s="134">
        <f>IF(SER_hh_fec!C15=0,0,11630*1000*SER_hh_fec!C15/SER_hh_num!C15)</f>
        <v>1556.4241998988812</v>
      </c>
      <c r="D15" s="134">
        <f>IF(SER_hh_fec!D15=0,0,11630*1000*SER_hh_fec!D15/SER_hh_num!D15)</f>
        <v>1314.4398720987183</v>
      </c>
      <c r="E15" s="134">
        <f>IF(SER_hh_fec!E15=0,0,11630*1000*SER_hh_fec!E15/SER_hh_num!E15)</f>
        <v>1499.9058931694749</v>
      </c>
      <c r="F15" s="134">
        <f>IF(SER_hh_fec!F15=0,0,11630*1000*SER_hh_fec!F15/SER_hh_num!F15)</f>
        <v>1502.7075190446731</v>
      </c>
      <c r="G15" s="134">
        <f>IF(SER_hh_fec!G15=0,0,11630*1000*SER_hh_fec!G15/SER_hh_num!G15)</f>
        <v>1494.238639449283</v>
      </c>
      <c r="H15" s="134">
        <f>IF(SER_hh_fec!H15=0,0,11630*1000*SER_hh_fec!H15/SER_hh_num!H15)</f>
        <v>1342.9624276142802</v>
      </c>
      <c r="I15" s="134">
        <f>IF(SER_hh_fec!I15=0,0,11630*1000*SER_hh_fec!I15/SER_hh_num!I15)</f>
        <v>1284.9515468616548</v>
      </c>
      <c r="J15" s="134">
        <f>IF(SER_hh_fec!J15=0,0,11630*1000*SER_hh_fec!J15/SER_hh_num!J15)</f>
        <v>1298.2149618274802</v>
      </c>
      <c r="K15" s="134">
        <f>IF(SER_hh_fec!K15=0,0,11630*1000*SER_hh_fec!K15/SER_hh_num!K15)</f>
        <v>1441.395075865182</v>
      </c>
      <c r="L15" s="134">
        <f>IF(SER_hh_fec!L15=0,0,11630*1000*SER_hh_fec!L15/SER_hh_num!L15)</f>
        <v>1532.7204677157795</v>
      </c>
      <c r="M15" s="134">
        <f>IF(SER_hh_fec!M15=0,0,11630*1000*SER_hh_fec!M15/SER_hh_num!M15)</f>
        <v>1151.5865041116592</v>
      </c>
      <c r="N15" s="134">
        <f>IF(SER_hh_fec!N15=0,0,11630*1000*SER_hh_fec!N15/SER_hh_num!N15)</f>
        <v>1294.6323609340388</v>
      </c>
      <c r="O15" s="134">
        <f>IF(SER_hh_fec!O15=0,0,11630*1000*SER_hh_fec!O15/SER_hh_num!O15)</f>
        <v>1364.955204833879</v>
      </c>
      <c r="P15" s="134">
        <f>IF(SER_hh_fec!P15=0,0,11630*1000*SER_hh_fec!P15/SER_hh_num!P15)</f>
        <v>1188.2603110691975</v>
      </c>
      <c r="Q15" s="134">
        <f>IF(SER_hh_fec!Q15=0,0,11630*1000*SER_hh_fec!Q15/SER_hh_num!Q15)</f>
        <v>1228.3983947745287</v>
      </c>
      <c r="R15" s="134">
        <f>IF(SER_hh_fec!R15=0,0,11630*1000*SER_hh_fec!R15/SER_hh_num!R15)</f>
        <v>1153.8463271250678</v>
      </c>
      <c r="S15" s="134">
        <f>IF(SER_hh_fec!S15=0,0,11630*1000*SER_hh_fec!S15/SER_hh_num!S15)</f>
        <v>1228.7101850661154</v>
      </c>
      <c r="T15" s="134">
        <f>IF(SER_hh_fec!T15=0,0,11630*1000*SER_hh_fec!T15/SER_hh_num!T15)</f>
        <v>1219.0526798384656</v>
      </c>
      <c r="U15" s="134">
        <f>IF(SER_hh_fec!U15=0,0,11630*1000*SER_hh_fec!U15/SER_hh_num!U15)</f>
        <v>1184.7602008284953</v>
      </c>
      <c r="V15" s="134">
        <f>IF(SER_hh_fec!V15=0,0,11630*1000*SER_hh_fec!V15/SER_hh_num!V15)</f>
        <v>1131.1093343226034</v>
      </c>
      <c r="W15" s="134">
        <f>IF(SER_hh_fec!W15=0,0,11630*1000*SER_hh_fec!W15/SER_hh_num!W15)</f>
        <v>1173.9025967219663</v>
      </c>
      <c r="X15" s="134">
        <f>IF(SER_hh_fec!X15=0,0,11630*1000*SER_hh_fec!X15/SER_hh_num!X15)</f>
        <v>1064.3850094749891</v>
      </c>
      <c r="Y15" s="134">
        <f>IF(SER_hh_fec!Y15=0,0,11630*1000*SER_hh_fec!Y15/SER_hh_num!Y15)</f>
        <v>932.03641762873929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13046.668133663117</v>
      </c>
      <c r="C16" s="130">
        <f>IF(SER_hh_fec!C16=0,0,11630*1000*SER_hh_fec!C16/SER_hh_num!C16)</f>
        <v>13139.297401389533</v>
      </c>
      <c r="D16" s="130">
        <f>IF(SER_hh_fec!D16=0,0,11630*1000*SER_hh_fec!D16/SER_hh_num!D16)</f>
        <v>12028.600098448727</v>
      </c>
      <c r="E16" s="130">
        <f>IF(SER_hh_fec!E16=0,0,11630*1000*SER_hh_fec!E16/SER_hh_num!E16)</f>
        <v>20125.306848325406</v>
      </c>
      <c r="F16" s="130">
        <f>IF(SER_hh_fec!F16=0,0,11630*1000*SER_hh_fec!F16/SER_hh_num!F16)</f>
        <v>11335.291023151527</v>
      </c>
      <c r="G16" s="130">
        <f>IF(SER_hh_fec!G16=0,0,11630*1000*SER_hh_fec!G16/SER_hh_num!G16)</f>
        <v>11746.751479521943</v>
      </c>
      <c r="H16" s="130">
        <f>IF(SER_hh_fec!H16=0,0,11630*1000*SER_hh_fec!H16/SER_hh_num!H16)</f>
        <v>12720.092718451522</v>
      </c>
      <c r="I16" s="130">
        <f>IF(SER_hh_fec!I16=0,0,11630*1000*SER_hh_fec!I16/SER_hh_num!I16)</f>
        <v>9406.9657424205743</v>
      </c>
      <c r="J16" s="130">
        <f>IF(SER_hh_fec!J16=0,0,11630*1000*SER_hh_fec!J16/SER_hh_num!J16)</f>
        <v>9036.4205490610893</v>
      </c>
      <c r="K16" s="130">
        <f>IF(SER_hh_fec!K16=0,0,11630*1000*SER_hh_fec!K16/SER_hh_num!K16)</f>
        <v>9457.1001070036673</v>
      </c>
      <c r="L16" s="130">
        <f>IF(SER_hh_fec!L16=0,0,11630*1000*SER_hh_fec!L16/SER_hh_num!L16)</f>
        <v>9093.2132621830151</v>
      </c>
      <c r="M16" s="130">
        <f>IF(SER_hh_fec!M16=0,0,11630*1000*SER_hh_fec!M16/SER_hh_num!M16)</f>
        <v>8656.1757333999049</v>
      </c>
      <c r="N16" s="130">
        <f>IF(SER_hh_fec!N16=0,0,11630*1000*SER_hh_fec!N16/SER_hh_num!N16)</f>
        <v>8852.2226064340575</v>
      </c>
      <c r="O16" s="130">
        <f>IF(SER_hh_fec!O16=0,0,11630*1000*SER_hh_fec!O16/SER_hh_num!O16)</f>
        <v>8546.6347714824933</v>
      </c>
      <c r="P16" s="130">
        <f>IF(SER_hh_fec!P16=0,0,11630*1000*SER_hh_fec!P16/SER_hh_num!P16)</f>
        <v>7746.1023889517573</v>
      </c>
      <c r="Q16" s="130">
        <f>IF(SER_hh_fec!Q16=0,0,11630*1000*SER_hh_fec!Q16/SER_hh_num!Q16)</f>
        <v>9378.3374769055881</v>
      </c>
      <c r="R16" s="130">
        <f>IF(SER_hh_fec!R16=0,0,11630*1000*SER_hh_fec!R16/SER_hh_num!R16)</f>
        <v>8016.2389480640704</v>
      </c>
      <c r="S16" s="130">
        <f>IF(SER_hh_fec!S16=0,0,11630*1000*SER_hh_fec!S16/SER_hh_num!S16)</f>
        <v>8473.7223080015137</v>
      </c>
      <c r="T16" s="130">
        <f>IF(SER_hh_fec!T16=0,0,11630*1000*SER_hh_fec!T16/SER_hh_num!T16)</f>
        <v>8209.836057950326</v>
      </c>
      <c r="U16" s="130">
        <f>IF(SER_hh_fec!U16=0,0,11630*1000*SER_hh_fec!U16/SER_hh_num!U16)</f>
        <v>8197.9383255321027</v>
      </c>
      <c r="V16" s="130">
        <f>IF(SER_hh_fec!V16=0,0,11630*1000*SER_hh_fec!V16/SER_hh_num!V16)</f>
        <v>8097.1490693710602</v>
      </c>
      <c r="W16" s="130">
        <f>IF(SER_hh_fec!W16=0,0,11630*1000*SER_hh_fec!W16/SER_hh_num!W16)</f>
        <v>6709.7310030298895</v>
      </c>
      <c r="X16" s="130">
        <f>IF(SER_hh_fec!X16=0,0,11630*1000*SER_hh_fec!X16/SER_hh_num!X16)</f>
        <v>9631.9675647626555</v>
      </c>
      <c r="Y16" s="130">
        <f>IF(SER_hh_fec!Y16=0,0,11630*1000*SER_hh_fec!Y16/SER_hh_num!Y16)</f>
        <v>8382.1893508803842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21616.681238524099</v>
      </c>
      <c r="C17" s="132">
        <f>IF(SER_hh_fec!C17=0,0,11630*1000*SER_hh_fec!C17/SER_hh_num!C17)</f>
        <v>22261.297784832826</v>
      </c>
      <c r="D17" s="132">
        <f>IF(SER_hh_fec!D17=0,0,11630*1000*SER_hh_fec!D17/SER_hh_num!D17)</f>
        <v>20934.660603162094</v>
      </c>
      <c r="E17" s="132">
        <f>IF(SER_hh_fec!E17=0,0,11630*1000*SER_hh_fec!E17/SER_hh_num!E17)</f>
        <v>40585.187231843855</v>
      </c>
      <c r="F17" s="132">
        <f>IF(SER_hh_fec!F17=0,0,11630*1000*SER_hh_fec!F17/SER_hh_num!F17)</f>
        <v>20808.991688109483</v>
      </c>
      <c r="G17" s="132">
        <f>IF(SER_hh_fec!G17=0,0,11630*1000*SER_hh_fec!G17/SER_hh_num!G17)</f>
        <v>19845.373659432633</v>
      </c>
      <c r="H17" s="132">
        <f>IF(SER_hh_fec!H17=0,0,11630*1000*SER_hh_fec!H17/SER_hh_num!H17)</f>
        <v>24968.541789889739</v>
      </c>
      <c r="I17" s="132">
        <f>IF(SER_hh_fec!I17=0,0,11630*1000*SER_hh_fec!I17/SER_hh_num!I17)</f>
        <v>19249.623242178903</v>
      </c>
      <c r="J17" s="132">
        <f>IF(SER_hh_fec!J17=0,0,11630*1000*SER_hh_fec!J17/SER_hh_num!J17)</f>
        <v>19230.742894190877</v>
      </c>
      <c r="K17" s="132">
        <f>IF(SER_hh_fec!K17=0,0,11630*1000*SER_hh_fec!K17/SER_hh_num!K17)</f>
        <v>20396.026444856408</v>
      </c>
      <c r="L17" s="132">
        <f>IF(SER_hh_fec!L17=0,0,11630*1000*SER_hh_fec!L17/SER_hh_num!L17)</f>
        <v>19862.197352255986</v>
      </c>
      <c r="M17" s="132">
        <f>IF(SER_hh_fec!M17=0,0,11630*1000*SER_hh_fec!M17/SER_hh_num!M17)</f>
        <v>19145.075967284087</v>
      </c>
      <c r="N17" s="132">
        <f>IF(SER_hh_fec!N17=0,0,11630*1000*SER_hh_fec!N17/SER_hh_num!N17)</f>
        <v>19703.675634761865</v>
      </c>
      <c r="O17" s="132">
        <f>IF(SER_hh_fec!O17=0,0,11630*1000*SER_hh_fec!O17/SER_hh_num!O17)</f>
        <v>19326.613209888699</v>
      </c>
      <c r="P17" s="132">
        <f>IF(SER_hh_fec!P17=0,0,11630*1000*SER_hh_fec!P17/SER_hh_num!P17)</f>
        <v>16729.85705177813</v>
      </c>
      <c r="Q17" s="132">
        <f>IF(SER_hh_fec!Q17=0,0,11630*1000*SER_hh_fec!Q17/SER_hh_num!Q17)</f>
        <v>22146.704519646595</v>
      </c>
      <c r="R17" s="132">
        <f>IF(SER_hh_fec!R17=0,0,11630*1000*SER_hh_fec!R17/SER_hh_num!R17)</f>
        <v>19411.074977227043</v>
      </c>
      <c r="S17" s="132">
        <f>IF(SER_hh_fec!S17=0,0,11630*1000*SER_hh_fec!S17/SER_hh_num!S17)</f>
        <v>20837.115837651218</v>
      </c>
      <c r="T17" s="132">
        <f>IF(SER_hh_fec!T17=0,0,11630*1000*SER_hh_fec!T17/SER_hh_num!T17)</f>
        <v>20442.943455441749</v>
      </c>
      <c r="U17" s="132">
        <f>IF(SER_hh_fec!U17=0,0,11630*1000*SER_hh_fec!U17/SER_hh_num!U17)</f>
        <v>20517.259410182414</v>
      </c>
      <c r="V17" s="132">
        <f>IF(SER_hh_fec!V17=0,0,11630*1000*SER_hh_fec!V17/SER_hh_num!V17)</f>
        <v>19618.87782780475</v>
      </c>
      <c r="W17" s="132">
        <f>IF(SER_hh_fec!W17=0,0,11630*1000*SER_hh_fec!W17/SER_hh_num!W17)</f>
        <v>15586.436439162213</v>
      </c>
      <c r="X17" s="132">
        <f>IF(SER_hh_fec!X17=0,0,11630*1000*SER_hh_fec!X17/SER_hh_num!X17)</f>
        <v>22801.142201602524</v>
      </c>
      <c r="Y17" s="132">
        <f>IF(SER_hh_fec!Y17=0,0,11630*1000*SER_hh_fec!Y17/SER_hh_num!Y17)</f>
        <v>20993.739423196635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13022.669865485597</v>
      </c>
      <c r="C18" s="132">
        <f>IF(SER_hh_fec!C18=0,0,11630*1000*SER_hh_fec!C18/SER_hh_num!C18)</f>
        <v>13110.393295730382</v>
      </c>
      <c r="D18" s="132">
        <f>IF(SER_hh_fec!D18=0,0,11630*1000*SER_hh_fec!D18/SER_hh_num!D18)</f>
        <v>11998.087697305671</v>
      </c>
      <c r="E18" s="132">
        <f>IF(SER_hh_fec!E18=0,0,11630*1000*SER_hh_fec!E18/SER_hh_num!E18)</f>
        <v>20035.681606887232</v>
      </c>
      <c r="F18" s="132">
        <f>IF(SER_hh_fec!F18=0,0,11630*1000*SER_hh_fec!F18/SER_hh_num!F18)</f>
        <v>11292.827070342597</v>
      </c>
      <c r="G18" s="132">
        <f>IF(SER_hh_fec!G18=0,0,11630*1000*SER_hh_fec!G18/SER_hh_num!G18)</f>
        <v>11708.220355991863</v>
      </c>
      <c r="H18" s="132">
        <f>IF(SER_hh_fec!H18=0,0,11630*1000*SER_hh_fec!H18/SER_hh_num!H18)</f>
        <v>12645.59931036426</v>
      </c>
      <c r="I18" s="132">
        <f>IF(SER_hh_fec!I18=0,0,11630*1000*SER_hh_fec!I18/SER_hh_num!I18)</f>
        <v>9342.2557813028707</v>
      </c>
      <c r="J18" s="132">
        <f>IF(SER_hh_fec!J18=0,0,11630*1000*SER_hh_fec!J18/SER_hh_num!J18)</f>
        <v>8958.1083642620815</v>
      </c>
      <c r="K18" s="132">
        <f>IF(SER_hh_fec!K18=0,0,11630*1000*SER_hh_fec!K18/SER_hh_num!K18)</f>
        <v>9370.3920946711314</v>
      </c>
      <c r="L18" s="132">
        <f>IF(SER_hh_fec!L18=0,0,11630*1000*SER_hh_fec!L18/SER_hh_num!L18)</f>
        <v>8996.8999389584951</v>
      </c>
      <c r="M18" s="132">
        <f>IF(SER_hh_fec!M18=0,0,11630*1000*SER_hh_fec!M18/SER_hh_num!M18)</f>
        <v>8530.9337279435167</v>
      </c>
      <c r="N18" s="132">
        <f>IF(SER_hh_fec!N18=0,0,11630*1000*SER_hh_fec!N18/SER_hh_num!N18)</f>
        <v>8664.3522064070403</v>
      </c>
      <c r="O18" s="132">
        <f>IF(SER_hh_fec!O18=0,0,11630*1000*SER_hh_fec!O18/SER_hh_num!O18)</f>
        <v>8317.7910781075643</v>
      </c>
      <c r="P18" s="132">
        <f>IF(SER_hh_fec!P18=0,0,11630*1000*SER_hh_fec!P18/SER_hh_num!P18)</f>
        <v>7525.7305059635573</v>
      </c>
      <c r="Q18" s="132">
        <f>IF(SER_hh_fec!Q18=0,0,11630*1000*SER_hh_fec!Q18/SER_hh_num!Q18)</f>
        <v>9012.1317210125344</v>
      </c>
      <c r="R18" s="132">
        <f>IF(SER_hh_fec!R18=0,0,11630*1000*SER_hh_fec!R18/SER_hh_num!R18)</f>
        <v>7661.9064699901346</v>
      </c>
      <c r="S18" s="132">
        <f>IF(SER_hh_fec!S18=0,0,11630*1000*SER_hh_fec!S18/SER_hh_num!S18)</f>
        <v>8034.3119375615834</v>
      </c>
      <c r="T18" s="132">
        <f>IF(SER_hh_fec!T18=0,0,11630*1000*SER_hh_fec!T18/SER_hh_num!T18)</f>
        <v>7738.7249094107892</v>
      </c>
      <c r="U18" s="132">
        <f>IF(SER_hh_fec!U18=0,0,11630*1000*SER_hh_fec!U18/SER_hh_num!U18)</f>
        <v>7684.1944903355325</v>
      </c>
      <c r="V18" s="132">
        <f>IF(SER_hh_fec!V18=0,0,11630*1000*SER_hh_fec!V18/SER_hh_num!V18)</f>
        <v>7592.4435681382392</v>
      </c>
      <c r="W18" s="132">
        <f>IF(SER_hh_fec!W18=0,0,11630*1000*SER_hh_fec!W18/SER_hh_num!W18)</f>
        <v>6308.5590840456634</v>
      </c>
      <c r="X18" s="132">
        <f>IF(SER_hh_fec!X18=0,0,11630*1000*SER_hh_fec!X18/SER_hh_num!X18)</f>
        <v>9006.4003336661663</v>
      </c>
      <c r="Y18" s="132">
        <f>IF(SER_hh_fec!Y18=0,0,11630*1000*SER_hh_fec!Y18/SER_hh_num!Y18)</f>
        <v>7776.1396702280681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24725.782069469926</v>
      </c>
      <c r="C19" s="130">
        <f>IF(SER_hh_fec!C19=0,0,11630*1000*SER_hh_fec!C19/SER_hh_num!C19)</f>
        <v>24253.50667252154</v>
      </c>
      <c r="D19" s="130">
        <f>IF(SER_hh_fec!D19=0,0,11630*1000*SER_hh_fec!D19/SER_hh_num!D19)</f>
        <v>24153.665700704976</v>
      </c>
      <c r="E19" s="130">
        <f>IF(SER_hh_fec!E19=0,0,11630*1000*SER_hh_fec!E19/SER_hh_num!E19)</f>
        <v>23572.195692055535</v>
      </c>
      <c r="F19" s="130">
        <f>IF(SER_hh_fec!F19=0,0,11630*1000*SER_hh_fec!F19/SER_hh_num!F19)</f>
        <v>24065.505148436005</v>
      </c>
      <c r="G19" s="130">
        <f>IF(SER_hh_fec!G19=0,0,11630*1000*SER_hh_fec!G19/SER_hh_num!G19)</f>
        <v>23668.601354963099</v>
      </c>
      <c r="H19" s="130">
        <f>IF(SER_hh_fec!H19=0,0,11630*1000*SER_hh_fec!H19/SER_hh_num!H19)</f>
        <v>23087.997364478764</v>
      </c>
      <c r="I19" s="130">
        <f>IF(SER_hh_fec!I19=0,0,11630*1000*SER_hh_fec!I19/SER_hh_num!I19)</f>
        <v>22785.962395017032</v>
      </c>
      <c r="J19" s="130">
        <f>IF(SER_hh_fec!J19=0,0,11630*1000*SER_hh_fec!J19/SER_hh_num!J19)</f>
        <v>23083.791844824817</v>
      </c>
      <c r="K19" s="130">
        <f>IF(SER_hh_fec!K19=0,0,11630*1000*SER_hh_fec!K19/SER_hh_num!K19)</f>
        <v>23368.735084012493</v>
      </c>
      <c r="L19" s="130">
        <f>IF(SER_hh_fec!L19=0,0,11630*1000*SER_hh_fec!L19/SER_hh_num!L19)</f>
        <v>23029.555978801836</v>
      </c>
      <c r="M19" s="130">
        <f>IF(SER_hh_fec!M19=0,0,11630*1000*SER_hh_fec!M19/SER_hh_num!M19)</f>
        <v>22535.167416537035</v>
      </c>
      <c r="N19" s="130">
        <f>IF(SER_hh_fec!N19=0,0,11630*1000*SER_hh_fec!N19/SER_hh_num!N19)</f>
        <v>22584.866346022984</v>
      </c>
      <c r="O19" s="130">
        <f>IF(SER_hh_fec!O19=0,0,11630*1000*SER_hh_fec!O19/SER_hh_num!O19)</f>
        <v>22639.631825197172</v>
      </c>
      <c r="P19" s="130">
        <f>IF(SER_hh_fec!P19=0,0,11630*1000*SER_hh_fec!P19/SER_hh_num!P19)</f>
        <v>23263.127878229599</v>
      </c>
      <c r="Q19" s="130">
        <f>IF(SER_hh_fec!Q19=0,0,11630*1000*SER_hh_fec!Q19/SER_hh_num!Q19)</f>
        <v>23081.220067871946</v>
      </c>
      <c r="R19" s="130">
        <f>IF(SER_hh_fec!R19=0,0,11630*1000*SER_hh_fec!R19/SER_hh_num!R19)</f>
        <v>22298.993633646714</v>
      </c>
      <c r="S19" s="130">
        <f>IF(SER_hh_fec!S19=0,0,11630*1000*SER_hh_fec!S19/SER_hh_num!S19)</f>
        <v>22311.807865709194</v>
      </c>
      <c r="T19" s="130">
        <f>IF(SER_hh_fec!T19=0,0,11630*1000*SER_hh_fec!T19/SER_hh_num!T19)</f>
        <v>22121.329223752382</v>
      </c>
      <c r="U19" s="130">
        <f>IF(SER_hh_fec!U19=0,0,11630*1000*SER_hh_fec!U19/SER_hh_num!U19)</f>
        <v>21130.63309730421</v>
      </c>
      <c r="V19" s="130">
        <f>IF(SER_hh_fec!V19=0,0,11630*1000*SER_hh_fec!V19/SER_hh_num!V19)</f>
        <v>19546.378381313611</v>
      </c>
      <c r="W19" s="130">
        <f>IF(SER_hh_fec!W19=0,0,11630*1000*SER_hh_fec!W19/SER_hh_num!W19)</f>
        <v>20115.947163336517</v>
      </c>
      <c r="X19" s="130">
        <f>IF(SER_hh_fec!X19=0,0,11630*1000*SER_hh_fec!X19/SER_hh_num!X19)</f>
        <v>20361.928995139941</v>
      </c>
      <c r="Y19" s="130">
        <f>IF(SER_hh_fec!Y19=0,0,11630*1000*SER_hh_fec!Y19/SER_hh_num!Y19)</f>
        <v>19729.00324639774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26573.170355217491</v>
      </c>
      <c r="C21" s="132">
        <f>IF(SER_hh_fec!C21=0,0,11630*1000*SER_hh_fec!C21/SER_hh_num!C21)</f>
        <v>26317.370208187833</v>
      </c>
      <c r="D21" s="132">
        <f>IF(SER_hh_fec!D21=0,0,11630*1000*SER_hh_fec!D21/SER_hh_num!D21)</f>
        <v>26810.945062661427</v>
      </c>
      <c r="E21" s="132">
        <f>IF(SER_hh_fec!E21=0,0,11630*1000*SER_hh_fec!E21/SER_hh_num!E21)</f>
        <v>26876.260296829048</v>
      </c>
      <c r="F21" s="132">
        <f>IF(SER_hh_fec!F21=0,0,11630*1000*SER_hh_fec!F21/SER_hh_num!F21)</f>
        <v>26619.124447983657</v>
      </c>
      <c r="G21" s="132">
        <f>IF(SER_hh_fec!G21=0,0,11630*1000*SER_hh_fec!G21/SER_hh_num!G21)</f>
        <v>25314.316258888121</v>
      </c>
      <c r="H21" s="132">
        <f>IF(SER_hh_fec!H21=0,0,11630*1000*SER_hh_fec!H21/SER_hh_num!H21)</f>
        <v>25768.617954426958</v>
      </c>
      <c r="I21" s="132">
        <f>IF(SER_hh_fec!I21=0,0,11630*1000*SER_hh_fec!I21/SER_hh_num!I21)</f>
        <v>25669.589110701392</v>
      </c>
      <c r="J21" s="132">
        <f>IF(SER_hh_fec!J21=0,0,11630*1000*SER_hh_fec!J21/SER_hh_num!J21)</f>
        <v>25808.296313750765</v>
      </c>
      <c r="K21" s="132">
        <f>IF(SER_hh_fec!K21=0,0,11630*1000*SER_hh_fec!K21/SER_hh_num!K21)</f>
        <v>27424.559795910027</v>
      </c>
      <c r="L21" s="132">
        <f>IF(SER_hh_fec!L21=0,0,11630*1000*SER_hh_fec!L21/SER_hh_num!L21)</f>
        <v>27450.252521887109</v>
      </c>
      <c r="M21" s="132">
        <f>IF(SER_hh_fec!M21=0,0,11630*1000*SER_hh_fec!M21/SER_hh_num!M21)</f>
        <v>19626.679642439911</v>
      </c>
      <c r="N21" s="132">
        <f>IF(SER_hh_fec!N21=0,0,11630*1000*SER_hh_fec!N21/SER_hh_num!N21)</f>
        <v>27927.170433589697</v>
      </c>
      <c r="O21" s="132">
        <f>IF(SER_hh_fec!O21=0,0,11630*1000*SER_hh_fec!O21/SER_hh_num!O21)</f>
        <v>26679.380444167346</v>
      </c>
      <c r="P21" s="132">
        <f>IF(SER_hh_fec!P21=0,0,11630*1000*SER_hh_fec!P21/SER_hh_num!P21)</f>
        <v>25026.896631386469</v>
      </c>
      <c r="Q21" s="132">
        <f>IF(SER_hh_fec!Q21=0,0,11630*1000*SER_hh_fec!Q21/SER_hh_num!Q21)</f>
        <v>25867.741215315637</v>
      </c>
      <c r="R21" s="132">
        <f>IF(SER_hh_fec!R21=0,0,11630*1000*SER_hh_fec!R21/SER_hh_num!R21)</f>
        <v>25791.220175422688</v>
      </c>
      <c r="S21" s="132">
        <f>IF(SER_hh_fec!S21=0,0,11630*1000*SER_hh_fec!S21/SER_hh_num!S21)</f>
        <v>26825.646161039422</v>
      </c>
      <c r="T21" s="132">
        <f>IF(SER_hh_fec!T21=0,0,11630*1000*SER_hh_fec!T21/SER_hh_num!T21)</f>
        <v>23310.513261324704</v>
      </c>
      <c r="U21" s="132">
        <f>IF(SER_hh_fec!U21=0,0,11630*1000*SER_hh_fec!U21/SER_hh_num!U21)</f>
        <v>23697.317786660602</v>
      </c>
      <c r="V21" s="132">
        <f>IF(SER_hh_fec!V21=0,0,11630*1000*SER_hh_fec!V21/SER_hh_num!V21)</f>
        <v>25331.774680035312</v>
      </c>
      <c r="W21" s="132">
        <f>IF(SER_hh_fec!W21=0,0,11630*1000*SER_hh_fec!W21/SER_hh_num!W21)</f>
        <v>17880.083171689199</v>
      </c>
      <c r="X21" s="132">
        <f>IF(SER_hh_fec!X21=0,0,11630*1000*SER_hh_fec!X21/SER_hh_num!X21)</f>
        <v>23577.096847421875</v>
      </c>
      <c r="Y21" s="132">
        <f>IF(SER_hh_fec!Y21=0,0,11630*1000*SER_hh_fec!Y21/SER_hh_num!Y21)</f>
        <v>22401.422765999705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28545.405808559528</v>
      </c>
      <c r="C22" s="132">
        <f>IF(SER_hh_fec!C22=0,0,11630*1000*SER_hh_fec!C22/SER_hh_num!C22)</f>
        <v>28580.87775293869</v>
      </c>
      <c r="D22" s="132">
        <f>IF(SER_hh_fec!D22=0,0,11630*1000*SER_hh_fec!D22/SER_hh_num!D22)</f>
        <v>28132.179680373152</v>
      </c>
      <c r="E22" s="132">
        <f>IF(SER_hh_fec!E22=0,0,11630*1000*SER_hh_fec!E22/SER_hh_num!E22)</f>
        <v>27833.374717530369</v>
      </c>
      <c r="F22" s="132">
        <f>IF(SER_hh_fec!F22=0,0,11630*1000*SER_hh_fec!F22/SER_hh_num!F22)</f>
        <v>28234.727551198372</v>
      </c>
      <c r="G22" s="132">
        <f>IF(SER_hh_fec!G22=0,0,11630*1000*SER_hh_fec!G22/SER_hh_num!G22)</f>
        <v>28176.390014101387</v>
      </c>
      <c r="H22" s="132">
        <f>IF(SER_hh_fec!H22=0,0,11630*1000*SER_hh_fec!H22/SER_hh_num!H22)</f>
        <v>27411.87814246722</v>
      </c>
      <c r="I22" s="132">
        <f>IF(SER_hh_fec!I22=0,0,11630*1000*SER_hh_fec!I22/SER_hh_num!I22)</f>
        <v>26595.22502015932</v>
      </c>
      <c r="J22" s="132">
        <f>IF(SER_hh_fec!J22=0,0,11630*1000*SER_hh_fec!J22/SER_hh_num!J22)</f>
        <v>27551.752781214753</v>
      </c>
      <c r="K22" s="132">
        <f>IF(SER_hh_fec!K22=0,0,11630*1000*SER_hh_fec!K22/SER_hh_num!K22)</f>
        <v>28006.062387976926</v>
      </c>
      <c r="L22" s="132">
        <f>IF(SER_hh_fec!L22=0,0,11630*1000*SER_hh_fec!L22/SER_hh_num!L22)</f>
        <v>27076.78187013456</v>
      </c>
      <c r="M22" s="132">
        <f>IF(SER_hh_fec!M22=0,0,11630*1000*SER_hh_fec!M22/SER_hh_num!M22)</f>
        <v>25627.506639107054</v>
      </c>
      <c r="N22" s="132">
        <f>IF(SER_hh_fec!N22=0,0,11630*1000*SER_hh_fec!N22/SER_hh_num!N22)</f>
        <v>26604.615178486969</v>
      </c>
      <c r="O22" s="132">
        <f>IF(SER_hh_fec!O22=0,0,11630*1000*SER_hh_fec!O22/SER_hh_num!O22)</f>
        <v>25409.31059317552</v>
      </c>
      <c r="P22" s="132">
        <f>IF(SER_hh_fec!P22=0,0,11630*1000*SER_hh_fec!P22/SER_hh_num!P22)</f>
        <v>28923.048775948217</v>
      </c>
      <c r="Q22" s="132">
        <f>IF(SER_hh_fec!Q22=0,0,11630*1000*SER_hh_fec!Q22/SER_hh_num!Q22)</f>
        <v>29131.745582809064</v>
      </c>
      <c r="R22" s="132">
        <f>IF(SER_hh_fec!R22=0,0,11630*1000*SER_hh_fec!R22/SER_hh_num!R22)</f>
        <v>23038.284967011154</v>
      </c>
      <c r="S22" s="132">
        <f>IF(SER_hh_fec!S22=0,0,11630*1000*SER_hh_fec!S22/SER_hh_num!S22)</f>
        <v>27770.676167646292</v>
      </c>
      <c r="T22" s="132">
        <f>IF(SER_hh_fec!T22=0,0,11630*1000*SER_hh_fec!T22/SER_hh_num!T22)</f>
        <v>25187.68790882569</v>
      </c>
      <c r="U22" s="132">
        <f>IF(SER_hh_fec!U22=0,0,11630*1000*SER_hh_fec!U22/SER_hh_num!U22)</f>
        <v>23732.305342067692</v>
      </c>
      <c r="V22" s="132">
        <f>IF(SER_hh_fec!V22=0,0,11630*1000*SER_hh_fec!V22/SER_hh_num!V22)</f>
        <v>25551.582558211961</v>
      </c>
      <c r="W22" s="132">
        <f>IF(SER_hh_fec!W22=0,0,11630*1000*SER_hh_fec!W22/SER_hh_num!W22)</f>
        <v>20822.011832989563</v>
      </c>
      <c r="X22" s="132">
        <f>IF(SER_hh_fec!X22=0,0,11630*1000*SER_hh_fec!X22/SER_hh_num!X22)</f>
        <v>25882.886394122117</v>
      </c>
      <c r="Y22" s="132">
        <f>IF(SER_hh_fec!Y22=0,0,11630*1000*SER_hh_fec!Y22/SER_hh_num!Y22)</f>
        <v>22013.525923188379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28082.280654476315</v>
      </c>
      <c r="C23" s="132">
        <f>IF(SER_hh_fec!C23=0,0,11630*1000*SER_hh_fec!C23/SER_hh_num!C23)</f>
        <v>27643.879443027807</v>
      </c>
      <c r="D23" s="132">
        <f>IF(SER_hh_fec!D23=0,0,11630*1000*SER_hh_fec!D23/SER_hh_num!D23)</f>
        <v>27125.537961891179</v>
      </c>
      <c r="E23" s="132">
        <f>IF(SER_hh_fec!E23=0,0,11630*1000*SER_hh_fec!E23/SER_hh_num!E23)</f>
        <v>27342.896688961249</v>
      </c>
      <c r="F23" s="132">
        <f>IF(SER_hh_fec!F23=0,0,11630*1000*SER_hh_fec!F23/SER_hh_num!F23)</f>
        <v>27450.017106125222</v>
      </c>
      <c r="G23" s="132">
        <f>IF(SER_hh_fec!G23=0,0,11630*1000*SER_hh_fec!G23/SER_hh_num!G23)</f>
        <v>26250.07716057463</v>
      </c>
      <c r="H23" s="132">
        <f>IF(SER_hh_fec!H23=0,0,11630*1000*SER_hh_fec!H23/SER_hh_num!H23)</f>
        <v>25494.137577482445</v>
      </c>
      <c r="I23" s="132">
        <f>IF(SER_hh_fec!I23=0,0,11630*1000*SER_hh_fec!I23/SER_hh_num!I23)</f>
        <v>25430.209224693004</v>
      </c>
      <c r="J23" s="132">
        <f>IF(SER_hh_fec!J23=0,0,11630*1000*SER_hh_fec!J23/SER_hh_num!J23)</f>
        <v>24778.640345727061</v>
      </c>
      <c r="K23" s="132">
        <f>IF(SER_hh_fec!K23=0,0,11630*1000*SER_hh_fec!K23/SER_hh_num!K23)</f>
        <v>26082.938854344764</v>
      </c>
      <c r="L23" s="132">
        <f>IF(SER_hh_fec!L23=0,0,11630*1000*SER_hh_fec!L23/SER_hh_num!L23)</f>
        <v>24774.585392271914</v>
      </c>
      <c r="M23" s="132">
        <f>IF(SER_hh_fec!M23=0,0,11630*1000*SER_hh_fec!M23/SER_hh_num!M23)</f>
        <v>26890.049053848736</v>
      </c>
      <c r="N23" s="132">
        <f>IF(SER_hh_fec!N23=0,0,11630*1000*SER_hh_fec!N23/SER_hh_num!N23)</f>
        <v>20601.676515336825</v>
      </c>
      <c r="O23" s="132">
        <f>IF(SER_hh_fec!O23=0,0,11630*1000*SER_hh_fec!O23/SER_hh_num!O23)</f>
        <v>22669.244340284491</v>
      </c>
      <c r="P23" s="132">
        <f>IF(SER_hh_fec!P23=0,0,11630*1000*SER_hh_fec!P23/SER_hh_num!P23)</f>
        <v>24013.029295260603</v>
      </c>
      <c r="Q23" s="132">
        <f>IF(SER_hh_fec!Q23=0,0,11630*1000*SER_hh_fec!Q23/SER_hh_num!Q23)</f>
        <v>23588.029611372396</v>
      </c>
      <c r="R23" s="132">
        <f>IF(SER_hh_fec!R23=0,0,11630*1000*SER_hh_fec!R23/SER_hh_num!R23)</f>
        <v>24852.722743558203</v>
      </c>
      <c r="S23" s="132">
        <f>IF(SER_hh_fec!S23=0,0,11630*1000*SER_hh_fec!S23/SER_hh_num!S23)</f>
        <v>23284.612389173228</v>
      </c>
      <c r="T23" s="132">
        <f>IF(SER_hh_fec!T23=0,0,11630*1000*SER_hh_fec!T23/SER_hh_num!T23)</f>
        <v>22999.739322921287</v>
      </c>
      <c r="U23" s="132">
        <f>IF(SER_hh_fec!U23=0,0,11630*1000*SER_hh_fec!U23/SER_hh_num!U23)</f>
        <v>22212.807400192567</v>
      </c>
      <c r="V23" s="132">
        <f>IF(SER_hh_fec!V23=0,0,11630*1000*SER_hh_fec!V23/SER_hh_num!V23)</f>
        <v>19472.462563089208</v>
      </c>
      <c r="W23" s="132">
        <f>IF(SER_hh_fec!W23=0,0,11630*1000*SER_hh_fec!W23/SER_hh_num!W23)</f>
        <v>23798.787785292861</v>
      </c>
      <c r="X23" s="132">
        <f>IF(SER_hh_fec!X23=0,0,11630*1000*SER_hh_fec!X23/SER_hh_num!X23)</f>
        <v>21598.415511038816</v>
      </c>
      <c r="Y23" s="132">
        <f>IF(SER_hh_fec!Y23=0,0,11630*1000*SER_hh_fec!Y23/SER_hh_num!Y23)</f>
        <v>20919.78465711551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33140.237757767922</v>
      </c>
      <c r="C24" s="132">
        <f>IF(SER_hh_fec!C24=0,0,11630*1000*SER_hh_fec!C24/SER_hh_num!C24)</f>
        <v>31654.617322177106</v>
      </c>
      <c r="D24" s="132">
        <f>IF(SER_hh_fec!D24=0,0,11630*1000*SER_hh_fec!D24/SER_hh_num!D24)</f>
        <v>30710.800243358797</v>
      </c>
      <c r="E24" s="132">
        <f>IF(SER_hh_fec!E24=0,0,11630*1000*SER_hh_fec!E24/SER_hh_num!E24)</f>
        <v>29694.959848948653</v>
      </c>
      <c r="F24" s="132">
        <f>IF(SER_hh_fec!F24=0,0,11630*1000*SER_hh_fec!F24/SER_hh_num!F24)</f>
        <v>29796.715018916751</v>
      </c>
      <c r="G24" s="132">
        <f>IF(SER_hh_fec!G24=0,0,11630*1000*SER_hh_fec!G24/SER_hh_num!G24)</f>
        <v>28000.9448877264</v>
      </c>
      <c r="H24" s="132">
        <f>IF(SER_hh_fec!H24=0,0,11630*1000*SER_hh_fec!H24/SER_hh_num!H24)</f>
        <v>25846.634528667993</v>
      </c>
      <c r="I24" s="132">
        <f>IF(SER_hh_fec!I24=0,0,11630*1000*SER_hh_fec!I24/SER_hh_num!I24)</f>
        <v>27360.821281698631</v>
      </c>
      <c r="J24" s="132">
        <f>IF(SER_hh_fec!J24=0,0,11630*1000*SER_hh_fec!J24/SER_hh_num!J24)</f>
        <v>25171.156094792219</v>
      </c>
      <c r="K24" s="132">
        <f>IF(SER_hh_fec!K24=0,0,11630*1000*SER_hh_fec!K24/SER_hh_num!K24)</f>
        <v>26529.483963033741</v>
      </c>
      <c r="L24" s="132">
        <f>IF(SER_hh_fec!L24=0,0,11630*1000*SER_hh_fec!L24/SER_hh_num!L24)</f>
        <v>28982.652959898929</v>
      </c>
      <c r="M24" s="132">
        <f>IF(SER_hh_fec!M24=0,0,11630*1000*SER_hh_fec!M24/SER_hh_num!M24)</f>
        <v>19853.234840435824</v>
      </c>
      <c r="N24" s="132">
        <f>IF(SER_hh_fec!N24=0,0,11630*1000*SER_hh_fec!N24/SER_hh_num!N24)</f>
        <v>21871.872799453398</v>
      </c>
      <c r="O24" s="132">
        <f>IF(SER_hh_fec!O24=0,0,11630*1000*SER_hh_fec!O24/SER_hh_num!O24)</f>
        <v>28090.221230655327</v>
      </c>
      <c r="P24" s="132">
        <f>IF(SER_hh_fec!P24=0,0,11630*1000*SER_hh_fec!P24/SER_hh_num!P24)</f>
        <v>24216.510093181842</v>
      </c>
      <c r="Q24" s="132">
        <f>IF(SER_hh_fec!Q24=0,0,11630*1000*SER_hh_fec!Q24/SER_hh_num!Q24)</f>
        <v>21215.558167488554</v>
      </c>
      <c r="R24" s="132">
        <f>IF(SER_hh_fec!R24=0,0,11630*1000*SER_hh_fec!R24/SER_hh_num!R24)</f>
        <v>23752.912081577004</v>
      </c>
      <c r="S24" s="132">
        <f>IF(SER_hh_fec!S24=0,0,11630*1000*SER_hh_fec!S24/SER_hh_num!S24)</f>
        <v>23522.262520891956</v>
      </c>
      <c r="T24" s="132">
        <f>IF(SER_hh_fec!T24=0,0,11630*1000*SER_hh_fec!T24/SER_hh_num!T24)</f>
        <v>21860.196921294038</v>
      </c>
      <c r="U24" s="132">
        <f>IF(SER_hh_fec!U24=0,0,11630*1000*SER_hh_fec!U24/SER_hh_num!U24)</f>
        <v>20913.215520151189</v>
      </c>
      <c r="V24" s="132">
        <f>IF(SER_hh_fec!V24=0,0,11630*1000*SER_hh_fec!V24/SER_hh_num!V24)</f>
        <v>19772.086033065723</v>
      </c>
      <c r="W24" s="132">
        <f>IF(SER_hh_fec!W24=0,0,11630*1000*SER_hh_fec!W24/SER_hh_num!W24)</f>
        <v>20097.720145663803</v>
      </c>
      <c r="X24" s="132">
        <f>IF(SER_hh_fec!X24=0,0,11630*1000*SER_hh_fec!X24/SER_hh_num!X24)</f>
        <v>21024.09686206028</v>
      </c>
      <c r="Y24" s="132">
        <f>IF(SER_hh_fec!Y24=0,0,11630*1000*SER_hh_fec!Y24/SER_hh_num!Y24)</f>
        <v>20301.6573355051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18600.980928789017</v>
      </c>
      <c r="C25" s="132">
        <f>IF(SER_hh_fec!C25=0,0,11630*1000*SER_hh_fec!C25/SER_hh_num!C25)</f>
        <v>18831.686319127788</v>
      </c>
      <c r="D25" s="132">
        <f>IF(SER_hh_fec!D25=0,0,11630*1000*SER_hh_fec!D25/SER_hh_num!D25)</f>
        <v>18282.848870281072</v>
      </c>
      <c r="E25" s="132">
        <f>IF(SER_hh_fec!E25=0,0,11630*1000*SER_hh_fec!E25/SER_hh_num!E25)</f>
        <v>18302.67628046951</v>
      </c>
      <c r="F25" s="132">
        <f>IF(SER_hh_fec!F25=0,0,11630*1000*SER_hh_fec!F25/SER_hh_num!F25)</f>
        <v>18574.504740272259</v>
      </c>
      <c r="G25" s="132">
        <f>IF(SER_hh_fec!G25=0,0,11630*1000*SER_hh_fec!G25/SER_hh_num!G25)</f>
        <v>19298.756428364941</v>
      </c>
      <c r="H25" s="132">
        <f>IF(SER_hh_fec!H25=0,0,11630*1000*SER_hh_fec!H25/SER_hh_num!H25)</f>
        <v>21046.319207538632</v>
      </c>
      <c r="I25" s="132">
        <f>IF(SER_hh_fec!I25=0,0,11630*1000*SER_hh_fec!I25/SER_hh_num!I25)</f>
        <v>13443.471918824172</v>
      </c>
      <c r="J25" s="132">
        <f>IF(SER_hh_fec!J25=0,0,11630*1000*SER_hh_fec!J25/SER_hh_num!J25)</f>
        <v>16658.802183337917</v>
      </c>
      <c r="K25" s="132">
        <f>IF(SER_hh_fec!K25=0,0,11630*1000*SER_hh_fec!K25/SER_hh_num!K25)</f>
        <v>19866.223980144066</v>
      </c>
      <c r="L25" s="132">
        <f>IF(SER_hh_fec!L25=0,0,11630*1000*SER_hh_fec!L25/SER_hh_num!L25)</f>
        <v>17719.18404115185</v>
      </c>
      <c r="M25" s="132">
        <f>IF(SER_hh_fec!M25=0,0,11630*1000*SER_hh_fec!M25/SER_hh_num!M25)</f>
        <v>16432.04802172619</v>
      </c>
      <c r="N25" s="132">
        <f>IF(SER_hh_fec!N25=0,0,11630*1000*SER_hh_fec!N25/SER_hh_num!N25)</f>
        <v>19163.309423702398</v>
      </c>
      <c r="O25" s="132">
        <f>IF(SER_hh_fec!O25=0,0,11630*1000*SER_hh_fec!O25/SER_hh_num!O25)</f>
        <v>19422.055265340819</v>
      </c>
      <c r="P25" s="132">
        <f>IF(SER_hh_fec!P25=0,0,11630*1000*SER_hh_fec!P25/SER_hh_num!P25)</f>
        <v>17452.767609406616</v>
      </c>
      <c r="Q25" s="132">
        <f>IF(SER_hh_fec!Q25=0,0,11630*1000*SER_hh_fec!Q25/SER_hh_num!Q25)</f>
        <v>18064.639672449408</v>
      </c>
      <c r="R25" s="132">
        <f>IF(SER_hh_fec!R25=0,0,11630*1000*SER_hh_fec!R25/SER_hh_num!R25)</f>
        <v>18743.61724138146</v>
      </c>
      <c r="S25" s="132">
        <f>IF(SER_hh_fec!S25=0,0,11630*1000*SER_hh_fec!S25/SER_hh_num!S25)</f>
        <v>17667.211109606593</v>
      </c>
      <c r="T25" s="132">
        <f>IF(SER_hh_fec!T25=0,0,11630*1000*SER_hh_fec!T25/SER_hh_num!T25)</f>
        <v>19450.323174236833</v>
      </c>
      <c r="U25" s="132">
        <f>IF(SER_hh_fec!U25=0,0,11630*1000*SER_hh_fec!U25/SER_hh_num!U25)</f>
        <v>17972.051824621703</v>
      </c>
      <c r="V25" s="132">
        <f>IF(SER_hh_fec!V25=0,0,11630*1000*SER_hh_fec!V25/SER_hh_num!V25)</f>
        <v>18025.570595667581</v>
      </c>
      <c r="W25" s="132">
        <f>IF(SER_hh_fec!W25=0,0,11630*1000*SER_hh_fec!W25/SER_hh_num!W25)</f>
        <v>16821.851075811341</v>
      </c>
      <c r="X25" s="132">
        <f>IF(SER_hh_fec!X25=0,0,11630*1000*SER_hh_fec!X25/SER_hh_num!X25)</f>
        <v>17837.018529697238</v>
      </c>
      <c r="Y25" s="132">
        <f>IF(SER_hh_fec!Y25=0,0,11630*1000*SER_hh_fec!Y25/SER_hh_num!Y25)</f>
        <v>17534.875531934547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22934.19518320799</v>
      </c>
      <c r="C26" s="65">
        <f>IF(SER_hh_fec!C26=0,0,11630*1000*SER_hh_fec!C26/SER_hh_num!C26)</f>
        <v>22199.945869343923</v>
      </c>
      <c r="D26" s="65">
        <f>IF(SER_hh_fec!D26=0,0,11630*1000*SER_hh_fec!D26/SER_hh_num!D26)</f>
        <v>22405.690010686798</v>
      </c>
      <c r="E26" s="65">
        <f>IF(SER_hh_fec!E26=0,0,11630*1000*SER_hh_fec!E26/SER_hh_num!E26)</f>
        <v>21355.086942741757</v>
      </c>
      <c r="F26" s="65">
        <f>IF(SER_hh_fec!F26=0,0,11630*1000*SER_hh_fec!F26/SER_hh_num!F26)</f>
        <v>22177.325623133125</v>
      </c>
      <c r="G26" s="65">
        <f>IF(SER_hh_fec!G26=0,0,11630*1000*SER_hh_fec!G26/SER_hh_num!G26)</f>
        <v>21888.927580452902</v>
      </c>
      <c r="H26" s="65">
        <f>IF(SER_hh_fec!H26=0,0,11630*1000*SER_hh_fec!H26/SER_hh_num!H26)</f>
        <v>21185.975900239147</v>
      </c>
      <c r="I26" s="65">
        <f>IF(SER_hh_fec!I26=0,0,11630*1000*SER_hh_fec!I26/SER_hh_num!I26)</f>
        <v>21601.556475238362</v>
      </c>
      <c r="J26" s="65">
        <f>IF(SER_hh_fec!J26=0,0,11630*1000*SER_hh_fec!J26/SER_hh_num!J26)</f>
        <v>21785.576993128758</v>
      </c>
      <c r="K26" s="65">
        <f>IF(SER_hh_fec!K26=0,0,11630*1000*SER_hh_fec!K26/SER_hh_num!K26)</f>
        <v>21471.70003071248</v>
      </c>
      <c r="L26" s="65">
        <f>IF(SER_hh_fec!L26=0,0,11630*1000*SER_hh_fec!L26/SER_hh_num!L26)</f>
        <v>21666.373759287202</v>
      </c>
      <c r="M26" s="65">
        <f>IF(SER_hh_fec!M26=0,0,11630*1000*SER_hh_fec!M26/SER_hh_num!M26)</f>
        <v>21205.713536636034</v>
      </c>
      <c r="N26" s="65">
        <f>IF(SER_hh_fec!N26=0,0,11630*1000*SER_hh_fec!N26/SER_hh_num!N26)</f>
        <v>22111.32201082553</v>
      </c>
      <c r="O26" s="65">
        <f>IF(SER_hh_fec!O26=0,0,11630*1000*SER_hh_fec!O26/SER_hh_num!O26)</f>
        <v>21814.314437142133</v>
      </c>
      <c r="P26" s="65">
        <f>IF(SER_hh_fec!P26=0,0,11630*1000*SER_hh_fec!P26/SER_hh_num!P26)</f>
        <v>21850.165149058681</v>
      </c>
      <c r="Q26" s="65">
        <f>IF(SER_hh_fec!Q26=0,0,11630*1000*SER_hh_fec!Q26/SER_hh_num!Q26)</f>
        <v>21574.500740311712</v>
      </c>
      <c r="R26" s="65">
        <f>IF(SER_hh_fec!R26=0,0,11630*1000*SER_hh_fec!R26/SER_hh_num!R26)</f>
        <v>21404.675021213112</v>
      </c>
      <c r="S26" s="65">
        <f>IF(SER_hh_fec!S26=0,0,11630*1000*SER_hh_fec!S26/SER_hh_num!S26)</f>
        <v>20937.239680815754</v>
      </c>
      <c r="T26" s="65">
        <f>IF(SER_hh_fec!T26=0,0,11630*1000*SER_hh_fec!T26/SER_hh_num!T26)</f>
        <v>21296.138475299238</v>
      </c>
      <c r="U26" s="65">
        <f>IF(SER_hh_fec!U26=0,0,11630*1000*SER_hh_fec!U26/SER_hh_num!U26)</f>
        <v>20369.160159663876</v>
      </c>
      <c r="V26" s="65">
        <f>IF(SER_hh_fec!V26=0,0,11630*1000*SER_hh_fec!V26/SER_hh_num!V26)</f>
        <v>18251.904773078058</v>
      </c>
      <c r="W26" s="65">
        <f>IF(SER_hh_fec!W26=0,0,11630*1000*SER_hh_fec!W26/SER_hh_num!W26)</f>
        <v>19102.472786776296</v>
      </c>
      <c r="X26" s="65">
        <f>IF(SER_hh_fec!X26=0,0,11630*1000*SER_hh_fec!X26/SER_hh_num!X26)</f>
        <v>18989.699530706916</v>
      </c>
      <c r="Y26" s="65">
        <f>IF(SER_hh_fec!Y26=0,0,11630*1000*SER_hh_fec!Y26/SER_hh_num!Y26)</f>
        <v>18900.978543593945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20.68161562976703</v>
      </c>
      <c r="H27" s="145">
        <f>IF(SER_hh_fec!H27=0,0,11630*1000*SER_hh_fec!H27/SER_hh_num!H19)</f>
        <v>20.926719743291493</v>
      </c>
      <c r="I27" s="145">
        <f>IF(SER_hh_fec!I27=0,0,11630*1000*SER_hh_fec!I27/SER_hh_num!I19)</f>
        <v>23.257564178120699</v>
      </c>
      <c r="J27" s="145">
        <f>IF(SER_hh_fec!J27=0,0,11630*1000*SER_hh_fec!J27/SER_hh_num!J19)</f>
        <v>27.723784358406494</v>
      </c>
      <c r="K27" s="145">
        <f>IF(SER_hh_fec!K27=0,0,11630*1000*SER_hh_fec!K27/SER_hh_num!K19)</f>
        <v>32.046287021782767</v>
      </c>
      <c r="L27" s="145">
        <f>IF(SER_hh_fec!L27=0,0,11630*1000*SER_hh_fec!L27/SER_hh_num!L19)</f>
        <v>36.641252401254157</v>
      </c>
      <c r="M27" s="145">
        <f>IF(SER_hh_fec!M27=0,0,11630*1000*SER_hh_fec!M27/SER_hh_num!M19)</f>
        <v>58.556589270883912</v>
      </c>
      <c r="N27" s="145">
        <f>IF(SER_hh_fec!N27=0,0,11630*1000*SER_hh_fec!N27/SER_hh_num!N19)</f>
        <v>93.642724564414081</v>
      </c>
      <c r="O27" s="145">
        <f>IF(SER_hh_fec!O27=0,0,11630*1000*SER_hh_fec!O27/SER_hh_num!O19)</f>
        <v>106.89358340969518</v>
      </c>
      <c r="P27" s="145">
        <f>IF(SER_hh_fec!P27=0,0,11630*1000*SER_hh_fec!P27/SER_hh_num!P19)</f>
        <v>114.30984789015749</v>
      </c>
      <c r="Q27" s="145">
        <f>IF(SER_hh_fec!Q27=0,0,11630*1000*SER_hh_fec!Q27/SER_hh_num!Q19)</f>
        <v>121.76957356844851</v>
      </c>
      <c r="R27" s="145">
        <f>IF(SER_hh_fec!R27=0,0,11630*1000*SER_hh_fec!R27/SER_hh_num!R19)</f>
        <v>126.26070806662099</v>
      </c>
      <c r="S27" s="145">
        <f>IF(SER_hh_fec!S27=0,0,11630*1000*SER_hh_fec!S27/SER_hh_num!S19)</f>
        <v>129.31740487410843</v>
      </c>
      <c r="T27" s="145">
        <f>IF(SER_hh_fec!T27=0,0,11630*1000*SER_hh_fec!T27/SER_hh_num!T19)</f>
        <v>131.4109547199694</v>
      </c>
      <c r="U27" s="145">
        <f>IF(SER_hh_fec!U27=0,0,11630*1000*SER_hh_fec!U27/SER_hh_num!U19)</f>
        <v>134.20880734483487</v>
      </c>
      <c r="V27" s="145">
        <f>IF(SER_hh_fec!V27=0,0,11630*1000*SER_hh_fec!V27/SER_hh_num!V19)</f>
        <v>134.86709811434079</v>
      </c>
      <c r="W27" s="145">
        <f>IF(SER_hh_fec!W27=0,0,11630*1000*SER_hh_fec!W27/SER_hh_num!W19)</f>
        <v>133.27694441151473</v>
      </c>
      <c r="X27" s="145">
        <f>IF(SER_hh_fec!X27=0,0,11630*1000*SER_hh_fec!X27/SER_hh_num!X19)</f>
        <v>129.18112974209475</v>
      </c>
      <c r="Y27" s="145">
        <f>IF(SER_hh_fec!Y27=0,0,11630*1000*SER_hh_fec!Y27/SER_hh_num!Y19)</f>
        <v>128.20904231126516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11825.062579315594</v>
      </c>
      <c r="H28" s="146">
        <f>IF(SER_hh_fec!H27=0,0,11630*1000*SER_hh_fec!H27/SER_hh_num!H27)</f>
        <v>11796.135961797661</v>
      </c>
      <c r="I28" s="146">
        <f>IF(SER_hh_fec!I27=0,0,11630*1000*SER_hh_fec!I27/SER_hh_num!I27)</f>
        <v>11055.742325975971</v>
      </c>
      <c r="J28" s="146">
        <f>IF(SER_hh_fec!J27=0,0,11630*1000*SER_hh_fec!J27/SER_hh_num!J27)</f>
        <v>11594.202460137727</v>
      </c>
      <c r="K28" s="146">
        <f>IF(SER_hh_fec!K27=0,0,11630*1000*SER_hh_fec!K27/SER_hh_num!K27)</f>
        <v>12127.536772001687</v>
      </c>
      <c r="L28" s="146">
        <f>IF(SER_hh_fec!L27=0,0,11630*1000*SER_hh_fec!L27/SER_hh_num!L27)</f>
        <v>8391.6371412562075</v>
      </c>
      <c r="M28" s="146">
        <f>IF(SER_hh_fec!M27=0,0,11630*1000*SER_hh_fec!M27/SER_hh_num!M27)</f>
        <v>12062.651826929769</v>
      </c>
      <c r="N28" s="146">
        <f>IF(SER_hh_fec!N27=0,0,11630*1000*SER_hh_fec!N27/SER_hh_num!N27)</f>
        <v>11383.306515327889</v>
      </c>
      <c r="O28" s="146">
        <f>IF(SER_hh_fec!O27=0,0,11630*1000*SER_hh_fec!O27/SER_hh_num!O27)</f>
        <v>11361.791714345274</v>
      </c>
      <c r="P28" s="146">
        <f>IF(SER_hh_fec!P27=0,0,11630*1000*SER_hh_fec!P27/SER_hh_num!P27)</f>
        <v>12904.470841318469</v>
      </c>
      <c r="Q28" s="146">
        <f>IF(SER_hh_fec!Q27=0,0,11630*1000*SER_hh_fec!Q27/SER_hh_num!Q27)</f>
        <v>12443.975061755118</v>
      </c>
      <c r="R28" s="146">
        <f>IF(SER_hh_fec!R27=0,0,11630*1000*SER_hh_fec!R27/SER_hh_num!R27)</f>
        <v>12471.387880633243</v>
      </c>
      <c r="S28" s="146">
        <f>IF(SER_hh_fec!S27=0,0,11630*1000*SER_hh_fec!S27/SER_hh_num!S27)</f>
        <v>12225.553051985647</v>
      </c>
      <c r="T28" s="146">
        <f>IF(SER_hh_fec!T27=0,0,11630*1000*SER_hh_fec!T27/SER_hh_num!T27)</f>
        <v>12437.703745834258</v>
      </c>
      <c r="U28" s="146">
        <f>IF(SER_hh_fec!U27=0,0,11630*1000*SER_hh_fec!U27/SER_hh_num!U27)</f>
        <v>12429.825426880003</v>
      </c>
      <c r="V28" s="146">
        <f>IF(SER_hh_fec!V27=0,0,11630*1000*SER_hh_fec!V27/SER_hh_num!V27)</f>
        <v>11623.034804389517</v>
      </c>
      <c r="W28" s="146">
        <f>IF(SER_hh_fec!W27=0,0,11630*1000*SER_hh_fec!W27/SER_hh_num!W27)</f>
        <v>12195.85348554868</v>
      </c>
      <c r="X28" s="146">
        <f>IF(SER_hh_fec!X27=0,0,11630*1000*SER_hh_fec!X27/SER_hh_num!X27)</f>
        <v>14726.568228512217</v>
      </c>
      <c r="Y28" s="146">
        <f>IF(SER_hh_fec!Y27=0,0,11630*1000*SER_hh_fec!Y27/SER_hh_num!Y27)</f>
        <v>14846.531671476949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21459.337726716061</v>
      </c>
      <c r="C29" s="130">
        <f>IF(SER_hh_fec!C29=0,0,11630*1000*SER_hh_fec!C29/SER_hh_num!C29)</f>
        <v>20917.678145532296</v>
      </c>
      <c r="D29" s="130">
        <f>IF(SER_hh_fec!D29=0,0,11630*1000*SER_hh_fec!D29/SER_hh_num!D29)</f>
        <v>21723.457784182563</v>
      </c>
      <c r="E29" s="130">
        <f>IF(SER_hh_fec!E29=0,0,11630*1000*SER_hh_fec!E29/SER_hh_num!E29)</f>
        <v>21591.915978992867</v>
      </c>
      <c r="F29" s="130">
        <f>IF(SER_hh_fec!F29=0,0,11630*1000*SER_hh_fec!F29/SER_hh_num!F29)</f>
        <v>22010.829862537503</v>
      </c>
      <c r="G29" s="130">
        <f>IF(SER_hh_fec!G29=0,0,11630*1000*SER_hh_fec!G29/SER_hh_num!G29)</f>
        <v>21010.9017166138</v>
      </c>
      <c r="H29" s="130">
        <f>IF(SER_hh_fec!H29=0,0,11630*1000*SER_hh_fec!H29/SER_hh_num!H29)</f>
        <v>20635.886765344578</v>
      </c>
      <c r="I29" s="130">
        <f>IF(SER_hh_fec!I29=0,0,11630*1000*SER_hh_fec!I29/SER_hh_num!I29)</f>
        <v>20881.489492032539</v>
      </c>
      <c r="J29" s="130">
        <f>IF(SER_hh_fec!J29=0,0,11630*1000*SER_hh_fec!J29/SER_hh_num!J29)</f>
        <v>21176.136884121865</v>
      </c>
      <c r="K29" s="130">
        <f>IF(SER_hh_fec!K29=0,0,11630*1000*SER_hh_fec!K29/SER_hh_num!K29)</f>
        <v>22147.859307070659</v>
      </c>
      <c r="L29" s="130">
        <f>IF(SER_hh_fec!L29=0,0,11630*1000*SER_hh_fec!L29/SER_hh_num!L29)</f>
        <v>22404.409136956729</v>
      </c>
      <c r="M29" s="130">
        <f>IF(SER_hh_fec!M29=0,0,11630*1000*SER_hh_fec!M29/SER_hh_num!M29)</f>
        <v>20885.925526004048</v>
      </c>
      <c r="N29" s="130">
        <f>IF(SER_hh_fec!N29=0,0,11630*1000*SER_hh_fec!N29/SER_hh_num!N29)</f>
        <v>22268.903636209194</v>
      </c>
      <c r="O29" s="130">
        <f>IF(SER_hh_fec!O29=0,0,11630*1000*SER_hh_fec!O29/SER_hh_num!O29)</f>
        <v>22291.391270836626</v>
      </c>
      <c r="P29" s="130">
        <f>IF(SER_hh_fec!P29=0,0,11630*1000*SER_hh_fec!P29/SER_hh_num!P29)</f>
        <v>22303.437466343974</v>
      </c>
      <c r="Q29" s="130">
        <f>IF(SER_hh_fec!Q29=0,0,11630*1000*SER_hh_fec!Q29/SER_hh_num!Q29)</f>
        <v>22664.296106558457</v>
      </c>
      <c r="R29" s="130">
        <f>IF(SER_hh_fec!R29=0,0,11630*1000*SER_hh_fec!R29/SER_hh_num!R29)</f>
        <v>22805.593498572427</v>
      </c>
      <c r="S29" s="130">
        <f>IF(SER_hh_fec!S29=0,0,11630*1000*SER_hh_fec!S29/SER_hh_num!S29)</f>
        <v>22681.749274755526</v>
      </c>
      <c r="T29" s="130">
        <f>IF(SER_hh_fec!T29=0,0,11630*1000*SER_hh_fec!T29/SER_hh_num!T29)</f>
        <v>22955.111116330463</v>
      </c>
      <c r="U29" s="130">
        <f>IF(SER_hh_fec!U29=0,0,11630*1000*SER_hh_fec!U29/SER_hh_num!U29)</f>
        <v>22598.538625409794</v>
      </c>
      <c r="V29" s="130">
        <f>IF(SER_hh_fec!V29=0,0,11630*1000*SER_hh_fec!V29/SER_hh_num!V29)</f>
        <v>20444.54925911488</v>
      </c>
      <c r="W29" s="130">
        <f>IF(SER_hh_fec!W29=0,0,11630*1000*SER_hh_fec!W29/SER_hh_num!W29)</f>
        <v>21304.187303267281</v>
      </c>
      <c r="X29" s="130">
        <f>IF(SER_hh_fec!X29=0,0,11630*1000*SER_hh_fec!X29/SER_hh_num!X29)</f>
        <v>21404.490814104873</v>
      </c>
      <c r="Y29" s="130">
        <f>IF(SER_hh_fec!Y29=0,0,11630*1000*SER_hh_fec!Y29/SER_hh_num!Y29)</f>
        <v>21457.91418386978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32569.10055341593</v>
      </c>
      <c r="C30" s="132">
        <f>IF(SER_hh_fec!C30=0,0,11630*1000*SER_hh_fec!C30/SER_hh_num!C30)</f>
        <v>11119.14553079595</v>
      </c>
      <c r="D30" s="132">
        <f>IF(SER_hh_fec!D30=0,0,11630*1000*SER_hh_fec!D30/SER_hh_num!D30)</f>
        <v>27058.309930894357</v>
      </c>
      <c r="E30" s="132">
        <f>IF(SER_hh_fec!E30=0,0,11630*1000*SER_hh_fec!E30/SER_hh_num!E30)</f>
        <v>26703.575538382003</v>
      </c>
      <c r="F30" s="132">
        <f>IF(SER_hh_fec!F30=0,0,11630*1000*SER_hh_fec!F30/SER_hh_num!F30)</f>
        <v>29317.164798683942</v>
      </c>
      <c r="G30" s="132">
        <f>IF(SER_hh_fec!G30=0,0,11630*1000*SER_hh_fec!G30/SER_hh_num!G30)</f>
        <v>24176.842108509205</v>
      </c>
      <c r="H30" s="132">
        <f>IF(SER_hh_fec!H30=0,0,11630*1000*SER_hh_fec!H30/SER_hh_num!H30)</f>
        <v>21525.980362560113</v>
      </c>
      <c r="I30" s="132">
        <f>IF(SER_hh_fec!I30=0,0,11630*1000*SER_hh_fec!I30/SER_hh_num!I30)</f>
        <v>24149.035750080722</v>
      </c>
      <c r="J30" s="132">
        <f>IF(SER_hh_fec!J30=0,0,11630*1000*SER_hh_fec!J30/SER_hh_num!J30)</f>
        <v>26613.26912475178</v>
      </c>
      <c r="K30" s="132">
        <f>IF(SER_hh_fec!K30=0,0,11630*1000*SER_hh_fec!K30/SER_hh_num!K30)</f>
        <v>26259.428258577114</v>
      </c>
      <c r="L30" s="132">
        <f>IF(SER_hh_fec!L30=0,0,11630*1000*SER_hh_fec!L30/SER_hh_num!L30)</f>
        <v>29573.753613189976</v>
      </c>
      <c r="M30" s="132">
        <f>IF(SER_hh_fec!M30=0,0,11630*1000*SER_hh_fec!M30/SER_hh_num!M30)</f>
        <v>21243.223352249275</v>
      </c>
      <c r="N30" s="132">
        <f>IF(SER_hh_fec!N30=0,0,11630*1000*SER_hh_fec!N30/SER_hh_num!N30)</f>
        <v>28384.740893568283</v>
      </c>
      <c r="O30" s="132">
        <f>IF(SER_hh_fec!O30=0,0,11630*1000*SER_hh_fec!O30/SER_hh_num!O30)</f>
        <v>25458.155094539616</v>
      </c>
      <c r="P30" s="132">
        <f>IF(SER_hh_fec!P30=0,0,11630*1000*SER_hh_fec!P30/SER_hh_num!P30)</f>
        <v>24356.172921988182</v>
      </c>
      <c r="Q30" s="132">
        <f>IF(SER_hh_fec!Q30=0,0,11630*1000*SER_hh_fec!Q30/SER_hh_num!Q30)</f>
        <v>28615.827075781697</v>
      </c>
      <c r="R30" s="132">
        <f>IF(SER_hh_fec!R30=0,0,11630*1000*SER_hh_fec!R30/SER_hh_num!R30)</f>
        <v>26456.264880856208</v>
      </c>
      <c r="S30" s="132">
        <f>IF(SER_hh_fec!S30=0,0,11630*1000*SER_hh_fec!S30/SER_hh_num!S30)</f>
        <v>28317.713254460406</v>
      </c>
      <c r="T30" s="132">
        <f>IF(SER_hh_fec!T30=0,0,11630*1000*SER_hh_fec!T30/SER_hh_num!T30)</f>
        <v>27336.993101255721</v>
      </c>
      <c r="U30" s="132">
        <f>IF(SER_hh_fec!U30=0,0,11630*1000*SER_hh_fec!U30/SER_hh_num!U30)</f>
        <v>29780.161570796387</v>
      </c>
      <c r="V30" s="132">
        <f>IF(SER_hh_fec!V30=0,0,11630*1000*SER_hh_fec!V30/SER_hh_num!V30)</f>
        <v>27291.17049676949</v>
      </c>
      <c r="W30" s="132">
        <f>IF(SER_hh_fec!W30=0,0,11630*1000*SER_hh_fec!W30/SER_hh_num!W30)</f>
        <v>20455.163244821269</v>
      </c>
      <c r="X30" s="132">
        <f>IF(SER_hh_fec!X30=0,0,11630*1000*SER_hh_fec!X30/SER_hh_num!X30)</f>
        <v>25397.178338381102</v>
      </c>
      <c r="Y30" s="132">
        <f>IF(SER_hh_fec!Y30=0,0,11630*1000*SER_hh_fec!Y30/SER_hh_num!Y30)</f>
        <v>27824.926316431534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24199.134717692228</v>
      </c>
      <c r="C31" s="132">
        <f>IF(SER_hh_fec!C31=0,0,11630*1000*SER_hh_fec!C31/SER_hh_num!C31)</f>
        <v>24215.311448676799</v>
      </c>
      <c r="D31" s="132">
        <f>IF(SER_hh_fec!D31=0,0,11630*1000*SER_hh_fec!D31/SER_hh_num!D31)</f>
        <v>24117.296490900259</v>
      </c>
      <c r="E31" s="132">
        <f>IF(SER_hh_fec!E31=0,0,11630*1000*SER_hh_fec!E31/SER_hh_num!E31)</f>
        <v>25076.151168315861</v>
      </c>
      <c r="F31" s="132">
        <f>IF(SER_hh_fec!F31=0,0,11630*1000*SER_hh_fec!F31/SER_hh_num!F31)</f>
        <v>27160.053114291095</v>
      </c>
      <c r="G31" s="132">
        <f>IF(SER_hh_fec!G31=0,0,11630*1000*SER_hh_fec!G31/SER_hh_num!G31)</f>
        <v>21083.246569963409</v>
      </c>
      <c r="H31" s="132">
        <f>IF(SER_hh_fec!H31=0,0,11630*1000*SER_hh_fec!H31/SER_hh_num!H31)</f>
        <v>22979.639165430508</v>
      </c>
      <c r="I31" s="132">
        <f>IF(SER_hh_fec!I31=0,0,11630*1000*SER_hh_fec!I31/SER_hh_num!I31)</f>
        <v>24002.698241834576</v>
      </c>
      <c r="J31" s="132">
        <f>IF(SER_hh_fec!J31=0,0,11630*1000*SER_hh_fec!J31/SER_hh_num!J31)</f>
        <v>22337.402864439682</v>
      </c>
      <c r="K31" s="132">
        <f>IF(SER_hh_fec!K31=0,0,11630*1000*SER_hh_fec!K31/SER_hh_num!K31)</f>
        <v>27930.448247473643</v>
      </c>
      <c r="L31" s="132">
        <f>IF(SER_hh_fec!L31=0,0,11630*1000*SER_hh_fec!L31/SER_hh_num!L31)</f>
        <v>25871.48852653796</v>
      </c>
      <c r="M31" s="132">
        <f>IF(SER_hh_fec!M31=0,0,11630*1000*SER_hh_fec!M31/SER_hh_num!M31)</f>
        <v>25843.022105415286</v>
      </c>
      <c r="N31" s="132">
        <f>IF(SER_hh_fec!N31=0,0,11630*1000*SER_hh_fec!N31/SER_hh_num!N31)</f>
        <v>24401.799043058079</v>
      </c>
      <c r="O31" s="132">
        <f>IF(SER_hh_fec!O31=0,0,11630*1000*SER_hh_fec!O31/SER_hh_num!O31)</f>
        <v>25772.381215066118</v>
      </c>
      <c r="P31" s="132">
        <f>IF(SER_hh_fec!P31=0,0,11630*1000*SER_hh_fec!P31/SER_hh_num!P31)</f>
        <v>27078.171087793726</v>
      </c>
      <c r="Q31" s="132">
        <f>IF(SER_hh_fec!Q31=0,0,11630*1000*SER_hh_fec!Q31/SER_hh_num!Q31)</f>
        <v>27700.43621359799</v>
      </c>
      <c r="R31" s="132">
        <f>IF(SER_hh_fec!R31=0,0,11630*1000*SER_hh_fec!R31/SER_hh_num!R31)</f>
        <v>26474.763409294119</v>
      </c>
      <c r="S31" s="132">
        <f>IF(SER_hh_fec!S31=0,0,11630*1000*SER_hh_fec!S31/SER_hh_num!S31)</f>
        <v>26998.903621254383</v>
      </c>
      <c r="T31" s="132">
        <f>IF(SER_hh_fec!T31=0,0,11630*1000*SER_hh_fec!T31/SER_hh_num!T31)</f>
        <v>27446.409276596212</v>
      </c>
      <c r="U31" s="132">
        <f>IF(SER_hh_fec!U31=0,0,11630*1000*SER_hh_fec!U31/SER_hh_num!U31)</f>
        <v>26010.452408948513</v>
      </c>
      <c r="V31" s="132">
        <f>IF(SER_hh_fec!V31=0,0,11630*1000*SER_hh_fec!V31/SER_hh_num!V31)</f>
        <v>22943.677433508328</v>
      </c>
      <c r="W31" s="132">
        <f>IF(SER_hh_fec!W31=0,0,11630*1000*SER_hh_fec!W31/SER_hh_num!W31)</f>
        <v>32139.34896689983</v>
      </c>
      <c r="X31" s="132">
        <f>IF(SER_hh_fec!X31=0,0,11630*1000*SER_hh_fec!X31/SER_hh_num!X31)</f>
        <v>26914.477540439166</v>
      </c>
      <c r="Y31" s="132">
        <f>IF(SER_hh_fec!Y31=0,0,11630*1000*SER_hh_fec!Y31/SER_hh_num!Y31)</f>
        <v>25582.76019105659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17105.566058049983</v>
      </c>
      <c r="C33" s="68">
        <f>IF(SER_hh_fec!C33=0,0,11630*1000*SER_hh_fec!C33/SER_hh_num!C33)</f>
        <v>20779.026168610431</v>
      </c>
      <c r="D33" s="68">
        <f>IF(SER_hh_fec!D33=0,0,11630*1000*SER_hh_fec!D33/SER_hh_num!D33)</f>
        <v>17966.401580649785</v>
      </c>
      <c r="E33" s="68">
        <f>IF(SER_hh_fec!E33=0,0,11630*1000*SER_hh_fec!E33/SER_hh_num!E33)</f>
        <v>16740.693631596583</v>
      </c>
      <c r="F33" s="68">
        <f>IF(SER_hh_fec!F33=0,0,11630*1000*SER_hh_fec!F33/SER_hh_num!F33)</f>
        <v>15622.459413636971</v>
      </c>
      <c r="G33" s="68">
        <f>IF(SER_hh_fec!G33=0,0,11630*1000*SER_hh_fec!G33/SER_hh_num!G33)</f>
        <v>19848.792948263934</v>
      </c>
      <c r="H33" s="68">
        <f>IF(SER_hh_fec!H33=0,0,11630*1000*SER_hh_fec!H33/SER_hh_num!H33)</f>
        <v>19500.805006856499</v>
      </c>
      <c r="I33" s="68">
        <f>IF(SER_hh_fec!I33=0,0,11630*1000*SER_hh_fec!I33/SER_hh_num!I33)</f>
        <v>18908.335299658782</v>
      </c>
      <c r="J33" s="68">
        <f>IF(SER_hh_fec!J33=0,0,11630*1000*SER_hh_fec!J33/SER_hh_num!J33)</f>
        <v>19180.678770216768</v>
      </c>
      <c r="K33" s="68">
        <f>IF(SER_hh_fec!K33=0,0,11630*1000*SER_hh_fec!K33/SER_hh_num!K33)</f>
        <v>18630.572135472292</v>
      </c>
      <c r="L33" s="68">
        <f>IF(SER_hh_fec!L33=0,0,11630*1000*SER_hh_fec!L33/SER_hh_num!L33)</f>
        <v>19030.850471567301</v>
      </c>
      <c r="M33" s="68">
        <f>IF(SER_hh_fec!M33=0,0,11630*1000*SER_hh_fec!M33/SER_hh_num!M33)</f>
        <v>18862.727870394669</v>
      </c>
      <c r="N33" s="68">
        <f>IF(SER_hh_fec!N33=0,0,11630*1000*SER_hh_fec!N33/SER_hh_num!N33)</f>
        <v>20276.677752788142</v>
      </c>
      <c r="O33" s="68">
        <f>IF(SER_hh_fec!O33=0,0,11630*1000*SER_hh_fec!O33/SER_hh_num!O33)</f>
        <v>20421.400822288299</v>
      </c>
      <c r="P33" s="68">
        <f>IF(SER_hh_fec!P33=0,0,11630*1000*SER_hh_fec!P33/SER_hh_num!P33)</f>
        <v>20062.805283167272</v>
      </c>
      <c r="Q33" s="68">
        <f>IF(SER_hh_fec!Q33=0,0,11630*1000*SER_hh_fec!Q33/SER_hh_num!Q33)</f>
        <v>19498.615506717986</v>
      </c>
      <c r="R33" s="68">
        <f>IF(SER_hh_fec!R33=0,0,11630*1000*SER_hh_fec!R33/SER_hh_num!R33)</f>
        <v>20620.020647707268</v>
      </c>
      <c r="S33" s="68">
        <f>IF(SER_hh_fec!S33=0,0,11630*1000*SER_hh_fec!S33/SER_hh_num!S33)</f>
        <v>19837.423509113516</v>
      </c>
      <c r="T33" s="68">
        <f>IF(SER_hh_fec!T33=0,0,11630*1000*SER_hh_fec!T33/SER_hh_num!T33)</f>
        <v>20294.308837546469</v>
      </c>
      <c r="U33" s="68">
        <f>IF(SER_hh_fec!U33=0,0,11630*1000*SER_hh_fec!U33/SER_hh_num!U33)</f>
        <v>19930.098859274207</v>
      </c>
      <c r="V33" s="68">
        <f>IF(SER_hh_fec!V33=0,0,11630*1000*SER_hh_fec!V33/SER_hh_num!V33)</f>
        <v>18340.156556556965</v>
      </c>
      <c r="W33" s="68">
        <f>IF(SER_hh_fec!W33=0,0,11630*1000*SER_hh_fec!W33/SER_hh_num!W33)</f>
        <v>16734.906956872012</v>
      </c>
      <c r="X33" s="68">
        <f>IF(SER_hh_fec!X33=0,0,11630*1000*SER_hh_fec!X33/SER_hh_num!X33)</f>
        <v>18740.511187950338</v>
      </c>
      <c r="Y33" s="68">
        <f>IF(SER_hh_fec!Y33=0,0,11630*1000*SER_hh_fec!Y33/SER_hh_num!Y33)</f>
        <v>19231.358850935168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126583.66244146404</v>
      </c>
      <c r="C3" s="125">
        <f>IF(SER_hh_tes!C3=0,0,11630*1000*SER_hh_tes!C3/SER_hh_num!C3)</f>
        <v>133306.55016577541</v>
      </c>
      <c r="D3" s="125">
        <f>IF(SER_hh_tes!D3=0,0,11630*1000*SER_hh_tes!D3/SER_hh_num!D3)</f>
        <v>125992.09136143552</v>
      </c>
      <c r="E3" s="125">
        <f>IF(SER_hh_tes!E3=0,0,11630*1000*SER_hh_tes!E3/SER_hh_num!E3)</f>
        <v>140629.26288631361</v>
      </c>
      <c r="F3" s="125">
        <f>IF(SER_hh_tes!F3=0,0,11630*1000*SER_hh_tes!F3/SER_hh_num!F3)</f>
        <v>138766.30601793918</v>
      </c>
      <c r="G3" s="125">
        <f>IF(SER_hh_tes!G3=0,0,11630*1000*SER_hh_tes!G3/SER_hh_num!G3)</f>
        <v>138359.89511523521</v>
      </c>
      <c r="H3" s="125">
        <f>IF(SER_hh_tes!H3=0,0,11630*1000*SER_hh_tes!H3/SER_hh_num!H3)</f>
        <v>134135.16871782055</v>
      </c>
      <c r="I3" s="125">
        <f>IF(SER_hh_tes!I3=0,0,11630*1000*SER_hh_tes!I3/SER_hh_num!I3)</f>
        <v>125800.07012675355</v>
      </c>
      <c r="J3" s="125">
        <f>IF(SER_hh_tes!J3=0,0,11630*1000*SER_hh_tes!J3/SER_hh_num!J3)</f>
        <v>126334.60082176406</v>
      </c>
      <c r="K3" s="125">
        <f>IF(SER_hh_tes!K3=0,0,11630*1000*SER_hh_tes!K3/SER_hh_num!K3)</f>
        <v>137092.17039489708</v>
      </c>
      <c r="L3" s="125">
        <f>IF(SER_hh_tes!L3=0,0,11630*1000*SER_hh_tes!L3/SER_hh_num!L3)</f>
        <v>145411.31218419917</v>
      </c>
      <c r="M3" s="125">
        <f>IF(SER_hh_tes!M3=0,0,11630*1000*SER_hh_tes!M3/SER_hh_num!M3)</f>
        <v>122645.45297406269</v>
      </c>
      <c r="N3" s="125">
        <f>IF(SER_hh_tes!N3=0,0,11630*1000*SER_hh_tes!N3/SER_hh_num!N3)</f>
        <v>133914.20081788229</v>
      </c>
      <c r="O3" s="125">
        <f>IF(SER_hh_tes!O3=0,0,11630*1000*SER_hh_tes!O3/SER_hh_num!O3)</f>
        <v>139196.05569851233</v>
      </c>
      <c r="P3" s="125">
        <f>IF(SER_hh_tes!P3=0,0,11630*1000*SER_hh_tes!P3/SER_hh_num!P3)</f>
        <v>126751.17376555281</v>
      </c>
      <c r="Q3" s="125">
        <f>IF(SER_hh_tes!Q3=0,0,11630*1000*SER_hh_tes!Q3/SER_hh_num!Q3)</f>
        <v>135472.4347667257</v>
      </c>
      <c r="R3" s="125">
        <f>IF(SER_hh_tes!R3=0,0,11630*1000*SER_hh_tes!R3/SER_hh_num!R3)</f>
        <v>132142.8936280591</v>
      </c>
      <c r="S3" s="125">
        <f>IF(SER_hh_tes!S3=0,0,11630*1000*SER_hh_tes!S3/SER_hh_num!S3)</f>
        <v>137403.08296287709</v>
      </c>
      <c r="T3" s="125">
        <f>IF(SER_hh_tes!T3=0,0,11630*1000*SER_hh_tes!T3/SER_hh_num!T3)</f>
        <v>137309.43077534507</v>
      </c>
      <c r="U3" s="125">
        <f>IF(SER_hh_tes!U3=0,0,11630*1000*SER_hh_tes!U3/SER_hh_num!U3)</f>
        <v>135276.87319583152</v>
      </c>
      <c r="V3" s="125">
        <f>IF(SER_hh_tes!V3=0,0,11630*1000*SER_hh_tes!V3/SER_hh_num!V3)</f>
        <v>128471.39517059347</v>
      </c>
      <c r="W3" s="125">
        <f>IF(SER_hh_tes!W3=0,0,11630*1000*SER_hh_tes!W3/SER_hh_num!W3)</f>
        <v>135248.23384816543</v>
      </c>
      <c r="X3" s="125">
        <f>IF(SER_hh_tes!X3=0,0,11630*1000*SER_hh_tes!X3/SER_hh_num!X3)</f>
        <v>134106.25716006756</v>
      </c>
      <c r="Y3" s="125">
        <f>IF(SER_hh_tes!Y3=0,0,11630*1000*SER_hh_tes!Y3/SER_hh_num!Y3)</f>
        <v>120238.21544306484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90632.769549133023</v>
      </c>
      <c r="C4" s="130">
        <f>IF(SER_hh_tes!C4=0,0,11630*1000*SER_hh_tes!C4/SER_hh_num!C4)</f>
        <v>96621.878470840194</v>
      </c>
      <c r="D4" s="130">
        <f>IF(SER_hh_tes!D4=0,0,11630*1000*SER_hh_tes!D4/SER_hh_num!D4)</f>
        <v>89062.715580583303</v>
      </c>
      <c r="E4" s="130">
        <f>IF(SER_hh_tes!E4=0,0,11630*1000*SER_hh_tes!E4/SER_hh_num!E4)</f>
        <v>97621.815850204322</v>
      </c>
      <c r="F4" s="130">
        <f>IF(SER_hh_tes!F4=0,0,11630*1000*SER_hh_tes!F4/SER_hh_num!F4)</f>
        <v>100546.87529050907</v>
      </c>
      <c r="G4" s="130">
        <f>IF(SER_hh_tes!G4=0,0,11630*1000*SER_hh_tes!G4/SER_hh_num!G4)</f>
        <v>98913.164497355916</v>
      </c>
      <c r="H4" s="130">
        <f>IF(SER_hh_tes!H4=0,0,11630*1000*SER_hh_tes!H4/SER_hh_num!H4)</f>
        <v>92330.172375380804</v>
      </c>
      <c r="I4" s="130">
        <f>IF(SER_hh_tes!I4=0,0,11630*1000*SER_hh_tes!I4/SER_hh_num!I4)</f>
        <v>86025.63668368572</v>
      </c>
      <c r="J4" s="130">
        <f>IF(SER_hh_tes!J4=0,0,11630*1000*SER_hh_tes!J4/SER_hh_num!J4)</f>
        <v>85293.371944860293</v>
      </c>
      <c r="K4" s="130">
        <f>IF(SER_hh_tes!K4=0,0,11630*1000*SER_hh_tes!K4/SER_hh_num!K4)</f>
        <v>93855.662236756121</v>
      </c>
      <c r="L4" s="130">
        <f>IF(SER_hh_tes!L4=0,0,11630*1000*SER_hh_tes!L4/SER_hh_num!L4)</f>
        <v>101801.30592194985</v>
      </c>
      <c r="M4" s="130">
        <f>IF(SER_hh_tes!M4=0,0,11630*1000*SER_hh_tes!M4/SER_hh_num!M4)</f>
        <v>79844.258210172164</v>
      </c>
      <c r="N4" s="130">
        <f>IF(SER_hh_tes!N4=0,0,11630*1000*SER_hh_tes!N4/SER_hh_num!N4)</f>
        <v>88951.367886819571</v>
      </c>
      <c r="O4" s="130">
        <f>IF(SER_hh_tes!O4=0,0,11630*1000*SER_hh_tes!O4/SER_hh_num!O4)</f>
        <v>93832.793438525507</v>
      </c>
      <c r="P4" s="130">
        <f>IF(SER_hh_tes!P4=0,0,11630*1000*SER_hh_tes!P4/SER_hh_num!P4)</f>
        <v>81596.332101464926</v>
      </c>
      <c r="Q4" s="130">
        <f>IF(SER_hh_tes!Q4=0,0,11630*1000*SER_hh_tes!Q4/SER_hh_num!Q4)</f>
        <v>86189.836997786784</v>
      </c>
      <c r="R4" s="130">
        <f>IF(SER_hh_tes!R4=0,0,11630*1000*SER_hh_tes!R4/SER_hh_num!R4)</f>
        <v>84685.531780202204</v>
      </c>
      <c r="S4" s="130">
        <f>IF(SER_hh_tes!S4=0,0,11630*1000*SER_hh_tes!S4/SER_hh_num!S4)</f>
        <v>88104.082987633112</v>
      </c>
      <c r="T4" s="130">
        <f>IF(SER_hh_tes!T4=0,0,11630*1000*SER_hh_tes!T4/SER_hh_num!T4)</f>
        <v>87298.674149261264</v>
      </c>
      <c r="U4" s="130">
        <f>IF(SER_hh_tes!U4=0,0,11630*1000*SER_hh_tes!U4/SER_hh_num!U4)</f>
        <v>85365.127329947121</v>
      </c>
      <c r="V4" s="130">
        <f>IF(SER_hh_tes!V4=0,0,11630*1000*SER_hh_tes!V4/SER_hh_num!V4)</f>
        <v>80550.28053755076</v>
      </c>
      <c r="W4" s="130">
        <f>IF(SER_hh_tes!W4=0,0,11630*1000*SER_hh_tes!W4/SER_hh_num!W4)</f>
        <v>88862.250098084114</v>
      </c>
      <c r="X4" s="130">
        <f>IF(SER_hh_tes!X4=0,0,11630*1000*SER_hh_tes!X4/SER_hh_num!X4)</f>
        <v>79544.065230249398</v>
      </c>
      <c r="Y4" s="130">
        <f>IF(SER_hh_tes!Y4=0,0,11630*1000*SER_hh_tes!Y4/SER_hh_num!Y4)</f>
        <v>67896.046805654521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92397.247653994185</v>
      </c>
      <c r="C5" s="132">
        <f>IF(SER_hh_tes!C5=0,0,11630*1000*SER_hh_tes!C5/SER_hh_num!C5)</f>
        <v>99548.740997699031</v>
      </c>
      <c r="D5" s="132">
        <f>IF(SER_hh_tes!D5=0,0,11630*1000*SER_hh_tes!D5/SER_hh_num!D5)</f>
        <v>78853.786582205998</v>
      </c>
      <c r="E5" s="132">
        <f>IF(SER_hh_tes!E5=0,0,11630*1000*SER_hh_tes!E5/SER_hh_num!E5)</f>
        <v>94502.881716507021</v>
      </c>
      <c r="F5" s="132">
        <f>IF(SER_hh_tes!F5=0,0,11630*1000*SER_hh_tes!F5/SER_hh_num!F5)</f>
        <v>95417.710871246265</v>
      </c>
      <c r="G5" s="132">
        <f>IF(SER_hh_tes!G5=0,0,11630*1000*SER_hh_tes!G5/SER_hh_num!G5)</f>
        <v>97787.472936050282</v>
      </c>
      <c r="H5" s="132">
        <f>IF(SER_hh_tes!H5=0,0,11630*1000*SER_hh_tes!H5/SER_hh_num!H5)</f>
        <v>93918.844326876861</v>
      </c>
      <c r="I5" s="132">
        <f>IF(SER_hh_tes!I5=0,0,11630*1000*SER_hh_tes!I5/SER_hh_num!I5)</f>
        <v>90847.784408246822</v>
      </c>
      <c r="J5" s="132">
        <f>IF(SER_hh_tes!J5=0,0,11630*1000*SER_hh_tes!J5/SER_hh_num!J5)</f>
        <v>87312.614155481628</v>
      </c>
      <c r="K5" s="132">
        <f>IF(SER_hh_tes!K5=0,0,11630*1000*SER_hh_tes!K5/SER_hh_num!K5)</f>
        <v>90276.223426052165</v>
      </c>
      <c r="L5" s="132">
        <f>IF(SER_hh_tes!L5=0,0,11630*1000*SER_hh_tes!L5/SER_hh_num!L5)</f>
        <v>123415.98921741541</v>
      </c>
      <c r="M5" s="132">
        <f>IF(SER_hh_tes!M5=0,0,11630*1000*SER_hh_tes!M5/SER_hh_num!M5)</f>
        <v>51361.763864295717</v>
      </c>
      <c r="N5" s="132">
        <f>IF(SER_hh_tes!N5=0,0,11630*1000*SER_hh_tes!N5/SER_hh_num!N5)</f>
        <v>75125.308122783652</v>
      </c>
      <c r="O5" s="132">
        <f>IF(SER_hh_tes!O5=0,0,11630*1000*SER_hh_tes!O5/SER_hh_num!O5)</f>
        <v>99542.5305184561</v>
      </c>
      <c r="P5" s="132">
        <f>IF(SER_hh_tes!P5=0,0,11630*1000*SER_hh_tes!P5/SER_hh_num!P5)</f>
        <v>77858.950448840289</v>
      </c>
      <c r="Q5" s="132">
        <f>IF(SER_hh_tes!Q5=0,0,11630*1000*SER_hh_tes!Q5/SER_hh_num!Q5)</f>
        <v>82869.444592149914</v>
      </c>
      <c r="R5" s="132">
        <f>IF(SER_hh_tes!R5=0,0,11630*1000*SER_hh_tes!R5/SER_hh_num!R5)</f>
        <v>88761.132780023574</v>
      </c>
      <c r="S5" s="132">
        <f>IF(SER_hh_tes!S5=0,0,11630*1000*SER_hh_tes!S5/SER_hh_num!S5)</f>
        <v>87891.754241625793</v>
      </c>
      <c r="T5" s="132">
        <f>IF(SER_hh_tes!T5=0,0,11630*1000*SER_hh_tes!T5/SER_hh_num!T5)</f>
        <v>82798.634975832378</v>
      </c>
      <c r="U5" s="132">
        <f>IF(SER_hh_tes!U5=0,0,11630*1000*SER_hh_tes!U5/SER_hh_num!U5)</f>
        <v>83405.432030413183</v>
      </c>
      <c r="V5" s="132">
        <f>IF(SER_hh_tes!V5=0,0,11630*1000*SER_hh_tes!V5/SER_hh_num!V5)</f>
        <v>75750.718083208238</v>
      </c>
      <c r="W5" s="132">
        <f>IF(SER_hh_tes!W5=0,0,11630*1000*SER_hh_tes!W5/SER_hh_num!W5)</f>
        <v>89219.687800845102</v>
      </c>
      <c r="X5" s="132">
        <f>IF(SER_hh_tes!X5=0,0,11630*1000*SER_hh_tes!X5/SER_hh_num!X5)</f>
        <v>78937.178703429177</v>
      </c>
      <c r="Y5" s="132">
        <f>IF(SER_hh_tes!Y5=0,0,11630*1000*SER_hh_tes!Y5/SER_hh_num!Y5)</f>
        <v>68335.093379825237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87920.871966200313</v>
      </c>
      <c r="C7" s="132">
        <f>IF(SER_hh_tes!C7=0,0,11630*1000*SER_hh_tes!C7/SER_hh_num!C7)</f>
        <v>97813.613107586541</v>
      </c>
      <c r="D7" s="132">
        <f>IF(SER_hh_tes!D7=0,0,11630*1000*SER_hh_tes!D7/SER_hh_num!D7)</f>
        <v>86702.817911943872</v>
      </c>
      <c r="E7" s="132">
        <f>IF(SER_hh_tes!E7=0,0,11630*1000*SER_hh_tes!E7/SER_hh_num!E7)</f>
        <v>94644.153822376917</v>
      </c>
      <c r="F7" s="132">
        <f>IF(SER_hh_tes!F7=0,0,11630*1000*SER_hh_tes!F7/SER_hh_num!F7)</f>
        <v>97942.562968230573</v>
      </c>
      <c r="G7" s="132">
        <f>IF(SER_hh_tes!G7=0,0,11630*1000*SER_hh_tes!G7/SER_hh_num!G7)</f>
        <v>96248.221162897229</v>
      </c>
      <c r="H7" s="132">
        <f>IF(SER_hh_tes!H7=0,0,11630*1000*SER_hh_tes!H7/SER_hh_num!H7)</f>
        <v>90209.735281316636</v>
      </c>
      <c r="I7" s="132">
        <f>IF(SER_hh_tes!I7=0,0,11630*1000*SER_hh_tes!I7/SER_hh_num!I7)</f>
        <v>78835.749947032731</v>
      </c>
      <c r="J7" s="132">
        <f>IF(SER_hh_tes!J7=0,0,11630*1000*SER_hh_tes!J7/SER_hh_num!J7)</f>
        <v>94979.706625122984</v>
      </c>
      <c r="K7" s="132">
        <f>IF(SER_hh_tes!K7=0,0,11630*1000*SER_hh_tes!K7/SER_hh_num!K7)</f>
        <v>94431.155777700667</v>
      </c>
      <c r="L7" s="132">
        <f>IF(SER_hh_tes!L7=0,0,11630*1000*SER_hh_tes!L7/SER_hh_num!L7)</f>
        <v>93237.819633089995</v>
      </c>
      <c r="M7" s="132">
        <f>IF(SER_hh_tes!M7=0,0,11630*1000*SER_hh_tes!M7/SER_hh_num!M7)</f>
        <v>80841.657667580454</v>
      </c>
      <c r="N7" s="132">
        <f>IF(SER_hh_tes!N7=0,0,11630*1000*SER_hh_tes!N7/SER_hh_num!N7)</f>
        <v>82944.249518839308</v>
      </c>
      <c r="O7" s="132">
        <f>IF(SER_hh_tes!O7=0,0,11630*1000*SER_hh_tes!O7/SER_hh_num!O7)</f>
        <v>86058.798229940425</v>
      </c>
      <c r="P7" s="132">
        <f>IF(SER_hh_tes!P7=0,0,11630*1000*SER_hh_tes!P7/SER_hh_num!P7)</f>
        <v>89370.447455513917</v>
      </c>
      <c r="Q7" s="132">
        <f>IF(SER_hh_tes!Q7=0,0,11630*1000*SER_hh_tes!Q7/SER_hh_num!Q7)</f>
        <v>90061.127466826409</v>
      </c>
      <c r="R7" s="132">
        <f>IF(SER_hh_tes!R7=0,0,11630*1000*SER_hh_tes!R7/SER_hh_num!R7)</f>
        <v>73490.864197092626</v>
      </c>
      <c r="S7" s="132">
        <f>IF(SER_hh_tes!S7=0,0,11630*1000*SER_hh_tes!S7/SER_hh_num!S7)</f>
        <v>89161.902963673871</v>
      </c>
      <c r="T7" s="132">
        <f>IF(SER_hh_tes!T7=0,0,11630*1000*SER_hh_tes!T7/SER_hh_num!T7)</f>
        <v>83503.773322792607</v>
      </c>
      <c r="U7" s="132">
        <f>IF(SER_hh_tes!U7=0,0,11630*1000*SER_hh_tes!U7/SER_hh_num!U7)</f>
        <v>81100.307386028449</v>
      </c>
      <c r="V7" s="132">
        <f>IF(SER_hh_tes!V7=0,0,11630*1000*SER_hh_tes!V7/SER_hh_num!V7)</f>
        <v>86217.169052414931</v>
      </c>
      <c r="W7" s="132">
        <f>IF(SER_hh_tes!W7=0,0,11630*1000*SER_hh_tes!W7/SER_hh_num!W7)</f>
        <v>76550.66451010044</v>
      </c>
      <c r="X7" s="132">
        <f>IF(SER_hh_tes!X7=0,0,11630*1000*SER_hh_tes!X7/SER_hh_num!X7)</f>
        <v>83922.150520482974</v>
      </c>
      <c r="Y7" s="132">
        <f>IF(SER_hh_tes!Y7=0,0,11630*1000*SER_hh_tes!Y7/SER_hh_num!Y7)</f>
        <v>66092.96568015634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68146.347328190008</v>
      </c>
      <c r="C8" s="132">
        <f>IF(SER_hh_tes!C8=0,0,11630*1000*SER_hh_tes!C8/SER_hh_num!C8)</f>
        <v>83866.958187157186</v>
      </c>
      <c r="D8" s="132">
        <f>IF(SER_hh_tes!D8=0,0,11630*1000*SER_hh_tes!D8/SER_hh_num!D8)</f>
        <v>71963.834936264248</v>
      </c>
      <c r="E8" s="132">
        <f>IF(SER_hh_tes!E8=0,0,11630*1000*SER_hh_tes!E8/SER_hh_num!E8)</f>
        <v>79091.107148679337</v>
      </c>
      <c r="F8" s="132">
        <f>IF(SER_hh_tes!F8=0,0,11630*1000*SER_hh_tes!F8/SER_hh_num!F8)</f>
        <v>74175.953443090242</v>
      </c>
      <c r="G8" s="132">
        <f>IF(SER_hh_tes!G8=0,0,11630*1000*SER_hh_tes!G8/SER_hh_num!G8)</f>
        <v>100672.94258172846</v>
      </c>
      <c r="H8" s="132">
        <f>IF(SER_hh_tes!H8=0,0,11630*1000*SER_hh_tes!H8/SER_hh_num!H8)</f>
        <v>90702.31571375858</v>
      </c>
      <c r="I8" s="132">
        <f>IF(SER_hh_tes!I8=0,0,11630*1000*SER_hh_tes!I8/SER_hh_num!I8)</f>
        <v>91347.475509461598</v>
      </c>
      <c r="J8" s="132">
        <f>IF(SER_hh_tes!J8=0,0,11630*1000*SER_hh_tes!J8/SER_hh_num!J8)</f>
        <v>95041.43303474423</v>
      </c>
      <c r="K8" s="132">
        <f>IF(SER_hh_tes!K8=0,0,11630*1000*SER_hh_tes!K8/SER_hh_num!K8)</f>
        <v>75051.471311582485</v>
      </c>
      <c r="L8" s="132">
        <f>IF(SER_hh_tes!L8=0,0,11630*1000*SER_hh_tes!L8/SER_hh_num!L8)</f>
        <v>64133.97966219738</v>
      </c>
      <c r="M8" s="132">
        <f>IF(SER_hh_tes!M8=0,0,11630*1000*SER_hh_tes!M8/SER_hh_num!M8)</f>
        <v>89959.354624240936</v>
      </c>
      <c r="N8" s="132">
        <f>IF(SER_hh_tes!N8=0,0,11630*1000*SER_hh_tes!N8/SER_hh_num!N8)</f>
        <v>83286.414506952467</v>
      </c>
      <c r="O8" s="132">
        <f>IF(SER_hh_tes!O8=0,0,11630*1000*SER_hh_tes!O8/SER_hh_num!O8)</f>
        <v>92213.947517414912</v>
      </c>
      <c r="P8" s="132">
        <f>IF(SER_hh_tes!P8=0,0,11630*1000*SER_hh_tes!P8/SER_hh_num!P8)</f>
        <v>81178.353867938291</v>
      </c>
      <c r="Q8" s="132">
        <f>IF(SER_hh_tes!Q8=0,0,11630*1000*SER_hh_tes!Q8/SER_hh_num!Q8)</f>
        <v>87819.517678985503</v>
      </c>
      <c r="R8" s="132">
        <f>IF(SER_hh_tes!R8=0,0,11630*1000*SER_hh_tes!R8/SER_hh_num!R8)</f>
        <v>88246.79534879842</v>
      </c>
      <c r="S8" s="132">
        <f>IF(SER_hh_tes!S8=0,0,11630*1000*SER_hh_tes!S8/SER_hh_num!S8)</f>
        <v>87448.380904891426</v>
      </c>
      <c r="T8" s="132">
        <f>IF(SER_hh_tes!T8=0,0,11630*1000*SER_hh_tes!T8/SER_hh_num!T8)</f>
        <v>87695.628180464701</v>
      </c>
      <c r="U8" s="132">
        <f>IF(SER_hh_tes!U8=0,0,11630*1000*SER_hh_tes!U8/SER_hh_num!U8)</f>
        <v>87555.555044139051</v>
      </c>
      <c r="V8" s="132">
        <f>IF(SER_hh_tes!V8=0,0,11630*1000*SER_hh_tes!V8/SER_hh_num!V8)</f>
        <v>82506.659255900828</v>
      </c>
      <c r="W8" s="132">
        <f>IF(SER_hh_tes!W8=0,0,11630*1000*SER_hh_tes!W8/SER_hh_num!W8)</f>
        <v>105376.12837121877</v>
      </c>
      <c r="X8" s="132">
        <f>IF(SER_hh_tes!X8=0,0,11630*1000*SER_hh_tes!X8/SER_hh_num!X8)</f>
        <v>59920.957925031151</v>
      </c>
      <c r="Y8" s="132">
        <f>IF(SER_hh_tes!Y8=0,0,11630*1000*SER_hh_tes!Y8/SER_hh_num!Y8)</f>
        <v>71295.352775207939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89778.594833491574</v>
      </c>
      <c r="C9" s="132">
        <f>IF(SER_hh_tes!C9=0,0,11630*1000*SER_hh_tes!C9/SER_hh_num!C9)</f>
        <v>95206.013797424879</v>
      </c>
      <c r="D9" s="132">
        <f>IF(SER_hh_tes!D9=0,0,11630*1000*SER_hh_tes!D9/SER_hh_num!D9)</f>
        <v>78736.924189734054</v>
      </c>
      <c r="E9" s="132">
        <f>IF(SER_hh_tes!E9=0,0,11630*1000*SER_hh_tes!E9/SER_hh_num!E9)</f>
        <v>99285.57670227754</v>
      </c>
      <c r="F9" s="132">
        <f>IF(SER_hh_tes!F9=0,0,11630*1000*SER_hh_tes!F9/SER_hh_num!F9)</f>
        <v>98616.921470111207</v>
      </c>
      <c r="G9" s="132">
        <f>IF(SER_hh_tes!G9=0,0,11630*1000*SER_hh_tes!G9/SER_hh_num!G9)</f>
        <v>100539.25050812817</v>
      </c>
      <c r="H9" s="132">
        <f>IF(SER_hh_tes!H9=0,0,11630*1000*SER_hh_tes!H9/SER_hh_num!H9)</f>
        <v>87308.956407122285</v>
      </c>
      <c r="I9" s="132">
        <f>IF(SER_hh_tes!I9=0,0,11630*1000*SER_hh_tes!I9/SER_hh_num!I9)</f>
        <v>88150.948740057283</v>
      </c>
      <c r="J9" s="132">
        <f>IF(SER_hh_tes!J9=0,0,11630*1000*SER_hh_tes!J9/SER_hh_num!J9)</f>
        <v>77971.115380577234</v>
      </c>
      <c r="K9" s="132">
        <f>IF(SER_hh_tes!K9=0,0,11630*1000*SER_hh_tes!K9/SER_hh_num!K9)</f>
        <v>93599.200101240713</v>
      </c>
      <c r="L9" s="132">
        <f>IF(SER_hh_tes!L9=0,0,11630*1000*SER_hh_tes!L9/SER_hh_num!L9)</f>
        <v>104875.48655840637</v>
      </c>
      <c r="M9" s="132">
        <f>IF(SER_hh_tes!M9=0,0,11630*1000*SER_hh_tes!M9/SER_hh_num!M9)</f>
        <v>74481.329549823073</v>
      </c>
      <c r="N9" s="132">
        <f>IF(SER_hh_tes!N9=0,0,11630*1000*SER_hh_tes!N9/SER_hh_num!N9)</f>
        <v>88937.287996785482</v>
      </c>
      <c r="O9" s="132">
        <f>IF(SER_hh_tes!O9=0,0,11630*1000*SER_hh_tes!O9/SER_hh_num!O9)</f>
        <v>95397.236015319635</v>
      </c>
      <c r="P9" s="132">
        <f>IF(SER_hh_tes!P9=0,0,11630*1000*SER_hh_tes!P9/SER_hh_num!P9)</f>
        <v>77749.933993523082</v>
      </c>
      <c r="Q9" s="132">
        <f>IF(SER_hh_tes!Q9=0,0,11630*1000*SER_hh_tes!Q9/SER_hh_num!Q9)</f>
        <v>83605.577091655563</v>
      </c>
      <c r="R9" s="132">
        <f>IF(SER_hh_tes!R9=0,0,11630*1000*SER_hh_tes!R9/SER_hh_num!R9)</f>
        <v>83779.750666150707</v>
      </c>
      <c r="S9" s="132">
        <f>IF(SER_hh_tes!S9=0,0,11630*1000*SER_hh_tes!S9/SER_hh_num!S9)</f>
        <v>85996.637400809792</v>
      </c>
      <c r="T9" s="132">
        <f>IF(SER_hh_tes!T9=0,0,11630*1000*SER_hh_tes!T9/SER_hh_num!T9)</f>
        <v>87909.481024392124</v>
      </c>
      <c r="U9" s="132">
        <f>IF(SER_hh_tes!U9=0,0,11630*1000*SER_hh_tes!U9/SER_hh_num!U9)</f>
        <v>85836.512229134358</v>
      </c>
      <c r="V9" s="132">
        <f>IF(SER_hh_tes!V9=0,0,11630*1000*SER_hh_tes!V9/SER_hh_num!V9)</f>
        <v>79390.053998359654</v>
      </c>
      <c r="W9" s="132">
        <f>IF(SER_hh_tes!W9=0,0,11630*1000*SER_hh_tes!W9/SER_hh_num!W9)</f>
        <v>87038.340124868511</v>
      </c>
      <c r="X9" s="132">
        <f>IF(SER_hh_tes!X9=0,0,11630*1000*SER_hh_tes!X9/SER_hh_num!X9)</f>
        <v>74006.335437653615</v>
      </c>
      <c r="Y9" s="132">
        <f>IF(SER_hh_tes!Y9=0,0,11630*1000*SER_hh_tes!Y9/SER_hh_num!Y9)</f>
        <v>67871.642604649751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85426.96004930175</v>
      </c>
      <c r="C10" s="132">
        <f>IF(SER_hh_tes!C10=0,0,11630*1000*SER_hh_tes!C10/SER_hh_num!C10)</f>
        <v>91293.577054554757</v>
      </c>
      <c r="D10" s="132">
        <f>IF(SER_hh_tes!D10=0,0,11630*1000*SER_hh_tes!D10/SER_hh_num!D10)</f>
        <v>93500.722635810773</v>
      </c>
      <c r="E10" s="132">
        <f>IF(SER_hh_tes!E10=0,0,11630*1000*SER_hh_tes!E10/SER_hh_num!E10)</f>
        <v>104726.89536536808</v>
      </c>
      <c r="F10" s="132">
        <f>IF(SER_hh_tes!F10=0,0,11630*1000*SER_hh_tes!F10/SER_hh_num!F10)</f>
        <v>119189.24385615584</v>
      </c>
      <c r="G10" s="132">
        <f>IF(SER_hh_tes!G10=0,0,11630*1000*SER_hh_tes!G10/SER_hh_num!G10)</f>
        <v>80597.01721261433</v>
      </c>
      <c r="H10" s="132">
        <f>IF(SER_hh_tes!H10=0,0,11630*1000*SER_hh_tes!H10/SER_hh_num!H10)</f>
        <v>59543.173622923896</v>
      </c>
      <c r="I10" s="132">
        <f>IF(SER_hh_tes!I10=0,0,11630*1000*SER_hh_tes!I10/SER_hh_num!I10)</f>
        <v>90310.788235737127</v>
      </c>
      <c r="J10" s="132">
        <f>IF(SER_hh_tes!J10=0,0,11630*1000*SER_hh_tes!J10/SER_hh_num!J10)</f>
        <v>87501.282517847038</v>
      </c>
      <c r="K10" s="132">
        <f>IF(SER_hh_tes!K10=0,0,11630*1000*SER_hh_tes!K10/SER_hh_num!K10)</f>
        <v>112521.79120243176</v>
      </c>
      <c r="L10" s="132">
        <f>IF(SER_hh_tes!L10=0,0,11630*1000*SER_hh_tes!L10/SER_hh_num!L10)</f>
        <v>99156.790360692219</v>
      </c>
      <c r="M10" s="132">
        <f>IF(SER_hh_tes!M10=0,0,11630*1000*SER_hh_tes!M10/SER_hh_num!M10)</f>
        <v>67330.342226785302</v>
      </c>
      <c r="N10" s="132">
        <f>IF(SER_hh_tes!N10=0,0,11630*1000*SER_hh_tes!N10/SER_hh_num!N10)</f>
        <v>81210.879850854835</v>
      </c>
      <c r="O10" s="132">
        <f>IF(SER_hh_tes!O10=0,0,11630*1000*SER_hh_tes!O10/SER_hh_num!O10)</f>
        <v>102849.22773448603</v>
      </c>
      <c r="P10" s="132">
        <f>IF(SER_hh_tes!P10=0,0,11630*1000*SER_hh_tes!P10/SER_hh_num!P10)</f>
        <v>85067.037401019697</v>
      </c>
      <c r="Q10" s="132">
        <f>IF(SER_hh_tes!Q10=0,0,11630*1000*SER_hh_tes!Q10/SER_hh_num!Q10)</f>
        <v>79505.229993153785</v>
      </c>
      <c r="R10" s="132">
        <f>IF(SER_hh_tes!R10=0,0,11630*1000*SER_hh_tes!R10/SER_hh_num!R10)</f>
        <v>86991.727591030853</v>
      </c>
      <c r="S10" s="132">
        <f>IF(SER_hh_tes!S10=0,0,11630*1000*SER_hh_tes!S10/SER_hh_num!S10)</f>
        <v>90018.269995378185</v>
      </c>
      <c r="T10" s="132">
        <f>IF(SER_hh_tes!T10=0,0,11630*1000*SER_hh_tes!T10/SER_hh_num!T10)</f>
        <v>82391.401914305432</v>
      </c>
      <c r="U10" s="132">
        <f>IF(SER_hh_tes!U10=0,0,11630*1000*SER_hh_tes!U10/SER_hh_num!U10)</f>
        <v>81268.889496199932</v>
      </c>
      <c r="V10" s="132">
        <f>IF(SER_hh_tes!V10=0,0,11630*1000*SER_hh_tes!V10/SER_hh_num!V10)</f>
        <v>77257.66008426786</v>
      </c>
      <c r="W10" s="132">
        <f>IF(SER_hh_tes!W10=0,0,11630*1000*SER_hh_tes!W10/SER_hh_num!W10)</f>
        <v>82400.957623877592</v>
      </c>
      <c r="X10" s="132">
        <f>IF(SER_hh_tes!X10=0,0,11630*1000*SER_hh_tes!X10/SER_hh_num!X10)</f>
        <v>82866.530599778664</v>
      </c>
      <c r="Y10" s="132">
        <f>IF(SER_hh_tes!Y10=0,0,11630*1000*SER_hh_tes!Y10/SER_hh_num!Y10)</f>
        <v>68634.359134915925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196809.80127850967</v>
      </c>
      <c r="E11" s="132">
        <f>IF(SER_hh_tes!E11=0,0,11630*1000*SER_hh_tes!E11/SER_hh_num!E11)</f>
        <v>175028.88756050431</v>
      </c>
      <c r="F11" s="132">
        <f>IF(SER_hh_tes!F11=0,0,11630*1000*SER_hh_tes!F11/SER_hh_num!F11)</f>
        <v>174558.70098073868</v>
      </c>
      <c r="G11" s="132">
        <f>IF(SER_hh_tes!G11=0,0,11630*1000*SER_hh_tes!G11/SER_hh_num!G11)</f>
        <v>61444.438014509891</v>
      </c>
      <c r="H11" s="132">
        <f>IF(SER_hh_tes!H11=0,0,11630*1000*SER_hh_tes!H11/SER_hh_num!H11)</f>
        <v>77942.375941743172</v>
      </c>
      <c r="I11" s="132">
        <f>IF(SER_hh_tes!I11=0,0,11630*1000*SER_hh_tes!I11/SER_hh_num!I11)</f>
        <v>88604.085940862409</v>
      </c>
      <c r="J11" s="132">
        <f>IF(SER_hh_tes!J11=0,0,11630*1000*SER_hh_tes!J11/SER_hh_num!J11)</f>
        <v>88813.469661383671</v>
      </c>
      <c r="K11" s="132">
        <f>IF(SER_hh_tes!K11=0,0,11630*1000*SER_hh_tes!K11/SER_hh_num!K11)</f>
        <v>88149.884147059798</v>
      </c>
      <c r="L11" s="132">
        <f>IF(SER_hh_tes!L11=0,0,11630*1000*SER_hh_tes!L11/SER_hh_num!L11)</f>
        <v>84867.468991862348</v>
      </c>
      <c r="M11" s="132">
        <f>IF(SER_hh_tes!M11=0,0,11630*1000*SER_hh_tes!M11/SER_hh_num!M11)</f>
        <v>92469.31165174178</v>
      </c>
      <c r="N11" s="132">
        <f>IF(SER_hh_tes!N11=0,0,11630*1000*SER_hh_tes!N11/SER_hh_num!N11)</f>
        <v>89853.736335500493</v>
      </c>
      <c r="O11" s="132">
        <f>IF(SER_hh_tes!O11=0,0,11630*1000*SER_hh_tes!O11/SER_hh_num!O11)</f>
        <v>88978.558348790495</v>
      </c>
      <c r="P11" s="132">
        <f>IF(SER_hh_tes!P11=0,0,11630*1000*SER_hh_tes!P11/SER_hh_num!P11)</f>
        <v>83789.134965899459</v>
      </c>
      <c r="Q11" s="132">
        <f>IF(SER_hh_tes!Q11=0,0,11630*1000*SER_hh_tes!Q11/SER_hh_num!Q11)</f>
        <v>84831.889467193556</v>
      </c>
      <c r="R11" s="132">
        <f>IF(SER_hh_tes!R11=0,0,11630*1000*SER_hh_tes!R11/SER_hh_num!R11)</f>
        <v>85099.36353580009</v>
      </c>
      <c r="S11" s="132">
        <f>IF(SER_hh_tes!S11=0,0,11630*1000*SER_hh_tes!S11/SER_hh_num!S11)</f>
        <v>86399.331159589477</v>
      </c>
      <c r="T11" s="132">
        <f>IF(SER_hh_tes!T11=0,0,11630*1000*SER_hh_tes!T11/SER_hh_num!T11)</f>
        <v>86257.530982038385</v>
      </c>
      <c r="U11" s="132">
        <f>IF(SER_hh_tes!U11=0,0,11630*1000*SER_hh_tes!U11/SER_hh_num!U11)</f>
        <v>85167.135532199929</v>
      </c>
      <c r="V11" s="132">
        <f>IF(SER_hh_tes!V11=0,0,11630*1000*SER_hh_tes!V11/SER_hh_num!V11)</f>
        <v>83253.519837808737</v>
      </c>
      <c r="W11" s="132">
        <f>IF(SER_hh_tes!W11=0,0,11630*1000*SER_hh_tes!W11/SER_hh_num!W11)</f>
        <v>78275.149922947428</v>
      </c>
      <c r="X11" s="132">
        <f>IF(SER_hh_tes!X11=0,0,11630*1000*SER_hh_tes!X11/SER_hh_num!X11)</f>
        <v>74543.217965721458</v>
      </c>
      <c r="Y11" s="132">
        <f>IF(SER_hh_tes!Y11=0,0,11630*1000*SER_hh_tes!Y11/SER_hh_num!Y11)</f>
        <v>71145.752206428981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85596.042827435522</v>
      </c>
      <c r="C12" s="132">
        <f>IF(SER_hh_tes!C12=0,0,11630*1000*SER_hh_tes!C12/SER_hh_num!C12)</f>
        <v>96139.170302686223</v>
      </c>
      <c r="D12" s="132">
        <f>IF(SER_hh_tes!D12=0,0,11630*1000*SER_hh_tes!D12/SER_hh_num!D12)</f>
        <v>96893.461809871733</v>
      </c>
      <c r="E12" s="132">
        <f>IF(SER_hh_tes!E12=0,0,11630*1000*SER_hh_tes!E12/SER_hh_num!E12)</f>
        <v>94545.803544673137</v>
      </c>
      <c r="F12" s="132">
        <f>IF(SER_hh_tes!F12=0,0,11630*1000*SER_hh_tes!F12/SER_hh_num!F12)</f>
        <v>96633.37676766298</v>
      </c>
      <c r="G12" s="132">
        <f>IF(SER_hh_tes!G12=0,0,11630*1000*SER_hh_tes!G12/SER_hh_num!G12)</f>
        <v>104898.99084610584</v>
      </c>
      <c r="H12" s="132">
        <f>IF(SER_hh_tes!H12=0,0,11630*1000*SER_hh_tes!H12/SER_hh_num!H12)</f>
        <v>107082.76433879191</v>
      </c>
      <c r="I12" s="132">
        <f>IF(SER_hh_tes!I12=0,0,11630*1000*SER_hh_tes!I12/SER_hh_num!I12)</f>
        <v>67512.140538512016</v>
      </c>
      <c r="J12" s="132">
        <f>IF(SER_hh_tes!J12=0,0,11630*1000*SER_hh_tes!J12/SER_hh_num!J12)</f>
        <v>85443.051881566716</v>
      </c>
      <c r="K12" s="132">
        <f>IF(SER_hh_tes!K12=0,0,11630*1000*SER_hh_tes!K12/SER_hh_num!K12)</f>
        <v>85527.500218335772</v>
      </c>
      <c r="L12" s="132">
        <f>IF(SER_hh_tes!L12=0,0,11630*1000*SER_hh_tes!L12/SER_hh_num!L12)</f>
        <v>99000.871368254404</v>
      </c>
      <c r="M12" s="132">
        <f>IF(SER_hh_tes!M12=0,0,11630*1000*SER_hh_tes!M12/SER_hh_num!M12)</f>
        <v>84098.820199203619</v>
      </c>
      <c r="N12" s="132">
        <f>IF(SER_hh_tes!N12=0,0,11630*1000*SER_hh_tes!N12/SER_hh_num!N12)</f>
        <v>85199.637855307563</v>
      </c>
      <c r="O12" s="132">
        <f>IF(SER_hh_tes!O12=0,0,11630*1000*SER_hh_tes!O12/SER_hh_num!O12)</f>
        <v>89801.484111476559</v>
      </c>
      <c r="P12" s="132">
        <f>IF(SER_hh_tes!P12=0,0,11630*1000*SER_hh_tes!P12/SER_hh_num!P12)</f>
        <v>81526.140644063024</v>
      </c>
      <c r="Q12" s="132">
        <f>IF(SER_hh_tes!Q12=0,0,11630*1000*SER_hh_tes!Q12/SER_hh_num!Q12)</f>
        <v>84044.016835177114</v>
      </c>
      <c r="R12" s="132">
        <f>IF(SER_hh_tes!R12=0,0,11630*1000*SER_hh_tes!R12/SER_hh_num!R12)</f>
        <v>87954.740095522386</v>
      </c>
      <c r="S12" s="132">
        <f>IF(SER_hh_tes!S12=0,0,11630*1000*SER_hh_tes!S12/SER_hh_num!S12)</f>
        <v>88832.003756597056</v>
      </c>
      <c r="T12" s="132">
        <f>IF(SER_hh_tes!T12=0,0,11630*1000*SER_hh_tes!T12/SER_hh_num!T12)</f>
        <v>84916.480169266128</v>
      </c>
      <c r="U12" s="132">
        <f>IF(SER_hh_tes!U12=0,0,11630*1000*SER_hh_tes!U12/SER_hh_num!U12)</f>
        <v>83038.985358357197</v>
      </c>
      <c r="V12" s="132">
        <f>IF(SER_hh_tes!V12=0,0,11630*1000*SER_hh_tes!V12/SER_hh_num!V12)</f>
        <v>81417.062237535865</v>
      </c>
      <c r="W12" s="132">
        <f>IF(SER_hh_tes!W12=0,0,11630*1000*SER_hh_tes!W12/SER_hh_num!W12)</f>
        <v>88372.276294991621</v>
      </c>
      <c r="X12" s="132">
        <f>IF(SER_hh_tes!X12=0,0,11630*1000*SER_hh_tes!X12/SER_hh_num!X12)</f>
        <v>77683.520585289327</v>
      </c>
      <c r="Y12" s="132">
        <f>IF(SER_hh_tes!Y12=0,0,11630*1000*SER_hh_tes!Y12/SER_hh_num!Y12)</f>
        <v>69930.902862091971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88797.414135930885</v>
      </c>
      <c r="C13" s="132">
        <f>IF(SER_hh_tes!C13=0,0,11630*1000*SER_hh_tes!C13/SER_hh_num!C13)</f>
        <v>90245.772182795103</v>
      </c>
      <c r="D13" s="132">
        <f>IF(SER_hh_tes!D13=0,0,11630*1000*SER_hh_tes!D13/SER_hh_num!D13)</f>
        <v>94423.497304538439</v>
      </c>
      <c r="E13" s="132">
        <f>IF(SER_hh_tes!E13=0,0,11630*1000*SER_hh_tes!E13/SER_hh_num!E13)</f>
        <v>95478.223974517037</v>
      </c>
      <c r="F13" s="132">
        <f>IF(SER_hh_tes!F13=0,0,11630*1000*SER_hh_tes!F13/SER_hh_num!F13)</f>
        <v>93934.981740215124</v>
      </c>
      <c r="G13" s="132">
        <f>IF(SER_hh_tes!G13=0,0,11630*1000*SER_hh_tes!G13/SER_hh_num!G13)</f>
        <v>97448.828865826348</v>
      </c>
      <c r="H13" s="132">
        <f>IF(SER_hh_tes!H13=0,0,11630*1000*SER_hh_tes!H13/SER_hh_num!H13)</f>
        <v>92399.802500557998</v>
      </c>
      <c r="I13" s="132">
        <f>IF(SER_hh_tes!I13=0,0,11630*1000*SER_hh_tes!I13/SER_hh_num!I13)</f>
        <v>85606.470789745305</v>
      </c>
      <c r="J13" s="132">
        <f>IF(SER_hh_tes!J13=0,0,11630*1000*SER_hh_tes!J13/SER_hh_num!J13)</f>
        <v>90129.103846926504</v>
      </c>
      <c r="K13" s="132">
        <f>IF(SER_hh_tes!K13=0,0,11630*1000*SER_hh_tes!K13/SER_hh_num!K13)</f>
        <v>86017.867158261244</v>
      </c>
      <c r="L13" s="132">
        <f>IF(SER_hh_tes!L13=0,0,11630*1000*SER_hh_tes!L13/SER_hh_num!L13)</f>
        <v>78538.883461886973</v>
      </c>
      <c r="M13" s="132">
        <f>IF(SER_hh_tes!M13=0,0,11630*1000*SER_hh_tes!M13/SER_hh_num!M13)</f>
        <v>91347.02826201664</v>
      </c>
      <c r="N13" s="132">
        <f>IF(SER_hh_tes!N13=0,0,11630*1000*SER_hh_tes!N13/SER_hh_num!N13)</f>
        <v>93653.754327764749</v>
      </c>
      <c r="O13" s="132">
        <f>IF(SER_hh_tes!O13=0,0,11630*1000*SER_hh_tes!O13/SER_hh_num!O13)</f>
        <v>96367.610182934048</v>
      </c>
      <c r="P13" s="132">
        <f>IF(SER_hh_tes!P13=0,0,11630*1000*SER_hh_tes!P13/SER_hh_num!P13)</f>
        <v>80228.239728576911</v>
      </c>
      <c r="Q13" s="132">
        <f>IF(SER_hh_tes!Q13=0,0,11630*1000*SER_hh_tes!Q13/SER_hh_num!Q13)</f>
        <v>83934.329421654198</v>
      </c>
      <c r="R13" s="132">
        <f>IF(SER_hh_tes!R13=0,0,11630*1000*SER_hh_tes!R13/SER_hh_num!R13)</f>
        <v>89905.585297414975</v>
      </c>
      <c r="S13" s="132">
        <f>IF(SER_hh_tes!S13=0,0,11630*1000*SER_hh_tes!S13/SER_hh_num!S13)</f>
        <v>86847.075982245704</v>
      </c>
      <c r="T13" s="132">
        <f>IF(SER_hh_tes!T13=0,0,11630*1000*SER_hh_tes!T13/SER_hh_num!T13)</f>
        <v>80893.66367866451</v>
      </c>
      <c r="U13" s="132">
        <f>IF(SER_hh_tes!U13=0,0,11630*1000*SER_hh_tes!U13/SER_hh_num!U13)</f>
        <v>82622.979239634413</v>
      </c>
      <c r="V13" s="132">
        <f>IF(SER_hh_tes!V13=0,0,11630*1000*SER_hh_tes!V13/SER_hh_num!V13)</f>
        <v>82043.313788614018</v>
      </c>
      <c r="W13" s="132">
        <f>IF(SER_hh_tes!W13=0,0,11630*1000*SER_hh_tes!W13/SER_hh_num!W13)</f>
        <v>102365.06346740721</v>
      </c>
      <c r="X13" s="132">
        <f>IF(SER_hh_tes!X13=0,0,11630*1000*SER_hh_tes!X13/SER_hh_num!X13)</f>
        <v>61510.230819630357</v>
      </c>
      <c r="Y13" s="132">
        <f>IF(SER_hh_tes!Y13=0,0,11630*1000*SER_hh_tes!Y13/SER_hh_num!Y13)</f>
        <v>71950.387724791188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92815.863504072127</v>
      </c>
      <c r="C14" s="65">
        <f>IF(SER_hh_tes!C14=0,0,11630*1000*SER_hh_tes!C14/SER_hh_num!C14)</f>
        <v>93828.717552798087</v>
      </c>
      <c r="D14" s="65">
        <f>IF(SER_hh_tes!D14=0,0,11630*1000*SER_hh_tes!D14/SER_hh_num!D14)</f>
        <v>92004.534013404045</v>
      </c>
      <c r="E14" s="65">
        <f>IF(SER_hh_tes!E14=0,0,11630*1000*SER_hh_tes!E14/SER_hh_num!E14)</f>
        <v>95509.175529020402</v>
      </c>
      <c r="F14" s="65">
        <f>IF(SER_hh_tes!F14=0,0,11630*1000*SER_hh_tes!F14/SER_hh_num!F14)</f>
        <v>101148.8996800337</v>
      </c>
      <c r="G14" s="65">
        <f>IF(SER_hh_tes!G14=0,0,11630*1000*SER_hh_tes!G14/SER_hh_num!G14)</f>
        <v>95036.258400726554</v>
      </c>
      <c r="H14" s="65">
        <f>IF(SER_hh_tes!H14=0,0,11630*1000*SER_hh_tes!H14/SER_hh_num!H14)</f>
        <v>92352.731781061331</v>
      </c>
      <c r="I14" s="65">
        <f>IF(SER_hh_tes!I14=0,0,11630*1000*SER_hh_tes!I14/SER_hh_num!I14)</f>
        <v>90437.699937563579</v>
      </c>
      <c r="J14" s="65">
        <f>IF(SER_hh_tes!J14=0,0,11630*1000*SER_hh_tes!J14/SER_hh_num!J14)</f>
        <v>83189.645883028687</v>
      </c>
      <c r="K14" s="65">
        <f>IF(SER_hh_tes!K14=0,0,11630*1000*SER_hh_tes!K14/SER_hh_num!K14)</f>
        <v>92308.282180592068</v>
      </c>
      <c r="L14" s="65">
        <f>IF(SER_hh_tes!L14=0,0,11630*1000*SER_hh_tes!L14/SER_hh_num!L14)</f>
        <v>103614.40165342082</v>
      </c>
      <c r="M14" s="65">
        <f>IF(SER_hh_tes!M14=0,0,11630*1000*SER_hh_tes!M14/SER_hh_num!M14)</f>
        <v>81474.467220919891</v>
      </c>
      <c r="N14" s="65">
        <f>IF(SER_hh_tes!N14=0,0,11630*1000*SER_hh_tes!N14/SER_hh_num!N14)</f>
        <v>90254.478373782782</v>
      </c>
      <c r="O14" s="65">
        <f>IF(SER_hh_tes!O14=0,0,11630*1000*SER_hh_tes!O14/SER_hh_num!O14)</f>
        <v>93012.530918238874</v>
      </c>
      <c r="P14" s="65">
        <f>IF(SER_hh_tes!P14=0,0,11630*1000*SER_hh_tes!P14/SER_hh_num!P14)</f>
        <v>79249.276672522203</v>
      </c>
      <c r="Q14" s="65">
        <f>IF(SER_hh_tes!Q14=0,0,11630*1000*SER_hh_tes!Q14/SER_hh_num!Q14)</f>
        <v>86047.038959060854</v>
      </c>
      <c r="R14" s="65">
        <f>IF(SER_hh_tes!R14=0,0,11630*1000*SER_hh_tes!R14/SER_hh_num!R14)</f>
        <v>86934.462405279337</v>
      </c>
      <c r="S14" s="65">
        <f>IF(SER_hh_tes!S14=0,0,11630*1000*SER_hh_tes!S14/SER_hh_num!S14)</f>
        <v>87595.801921129256</v>
      </c>
      <c r="T14" s="65">
        <f>IF(SER_hh_tes!T14=0,0,11630*1000*SER_hh_tes!T14/SER_hh_num!T14)</f>
        <v>88066.50882154284</v>
      </c>
      <c r="U14" s="65">
        <f>IF(SER_hh_tes!U14=0,0,11630*1000*SER_hh_tes!U14/SER_hh_num!U14)</f>
        <v>85549.14842146638</v>
      </c>
      <c r="V14" s="65">
        <f>IF(SER_hh_tes!V14=0,0,11630*1000*SER_hh_tes!V14/SER_hh_num!V14)</f>
        <v>75510.581555483237</v>
      </c>
      <c r="W14" s="65">
        <f>IF(SER_hh_tes!W14=0,0,11630*1000*SER_hh_tes!W14/SER_hh_num!W14)</f>
        <v>93439.719763801491</v>
      </c>
      <c r="X14" s="65">
        <f>IF(SER_hh_tes!X14=0,0,11630*1000*SER_hh_tes!X14/SER_hh_num!X14)</f>
        <v>87949.310426480195</v>
      </c>
      <c r="Y14" s="65">
        <f>IF(SER_hh_tes!Y14=0,0,11630*1000*SER_hh_tes!Y14/SER_hh_num!Y14)</f>
        <v>64586.616927945957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1483.0516876859856</v>
      </c>
      <c r="C15" s="134">
        <f>IF(SER_hh_tes!C15=0,0,11630*1000*SER_hh_tes!C15/SER_hh_num!C15)</f>
        <v>1556.4241998988812</v>
      </c>
      <c r="D15" s="134">
        <f>IF(SER_hh_tes!D15=0,0,11630*1000*SER_hh_tes!D15/SER_hh_num!D15)</f>
        <v>1314.4398720987183</v>
      </c>
      <c r="E15" s="134">
        <f>IF(SER_hh_tes!E15=0,0,11630*1000*SER_hh_tes!E15/SER_hh_num!E15)</f>
        <v>1499.9058931694749</v>
      </c>
      <c r="F15" s="134">
        <f>IF(SER_hh_tes!F15=0,0,11630*1000*SER_hh_tes!F15/SER_hh_num!F15)</f>
        <v>1502.7075190446731</v>
      </c>
      <c r="G15" s="134">
        <f>IF(SER_hh_tes!G15=0,0,11630*1000*SER_hh_tes!G15/SER_hh_num!G15)</f>
        <v>1494.238639449283</v>
      </c>
      <c r="H15" s="134">
        <f>IF(SER_hh_tes!H15=0,0,11630*1000*SER_hh_tes!H15/SER_hh_num!H15)</f>
        <v>1342.9624276142802</v>
      </c>
      <c r="I15" s="134">
        <f>IF(SER_hh_tes!I15=0,0,11630*1000*SER_hh_tes!I15/SER_hh_num!I15)</f>
        <v>1284.9515468616548</v>
      </c>
      <c r="J15" s="134">
        <f>IF(SER_hh_tes!J15=0,0,11630*1000*SER_hh_tes!J15/SER_hh_num!J15)</f>
        <v>1298.2149618274802</v>
      </c>
      <c r="K15" s="134">
        <f>IF(SER_hh_tes!K15=0,0,11630*1000*SER_hh_tes!K15/SER_hh_num!K15)</f>
        <v>1441.395075865182</v>
      </c>
      <c r="L15" s="134">
        <f>IF(SER_hh_tes!L15=0,0,11630*1000*SER_hh_tes!L15/SER_hh_num!L15)</f>
        <v>1532.7204677157795</v>
      </c>
      <c r="M15" s="134">
        <f>IF(SER_hh_tes!M15=0,0,11630*1000*SER_hh_tes!M15/SER_hh_num!M15)</f>
        <v>1151.5865041116592</v>
      </c>
      <c r="N15" s="134">
        <f>IF(SER_hh_tes!N15=0,0,11630*1000*SER_hh_tes!N15/SER_hh_num!N15)</f>
        <v>1294.6323609340388</v>
      </c>
      <c r="O15" s="134">
        <f>IF(SER_hh_tes!O15=0,0,11630*1000*SER_hh_tes!O15/SER_hh_num!O15)</f>
        <v>1364.955204833879</v>
      </c>
      <c r="P15" s="134">
        <f>IF(SER_hh_tes!P15=0,0,11630*1000*SER_hh_tes!P15/SER_hh_num!P15)</f>
        <v>1188.2603110691975</v>
      </c>
      <c r="Q15" s="134">
        <f>IF(SER_hh_tes!Q15=0,0,11630*1000*SER_hh_tes!Q15/SER_hh_num!Q15)</f>
        <v>1228.3983947745287</v>
      </c>
      <c r="R15" s="134">
        <f>IF(SER_hh_tes!R15=0,0,11630*1000*SER_hh_tes!R15/SER_hh_num!R15)</f>
        <v>1153.8463271250678</v>
      </c>
      <c r="S15" s="134">
        <f>IF(SER_hh_tes!S15=0,0,11630*1000*SER_hh_tes!S15/SER_hh_num!S15)</f>
        <v>1228.7101850661154</v>
      </c>
      <c r="T15" s="134">
        <f>IF(SER_hh_tes!T15=0,0,11630*1000*SER_hh_tes!T15/SER_hh_num!T15)</f>
        <v>1219.0526798384656</v>
      </c>
      <c r="U15" s="134">
        <f>IF(SER_hh_tes!U15=0,0,11630*1000*SER_hh_tes!U15/SER_hh_num!U15)</f>
        <v>1184.7602008284953</v>
      </c>
      <c r="V15" s="134">
        <f>IF(SER_hh_tes!V15=0,0,11630*1000*SER_hh_tes!V15/SER_hh_num!V15)</f>
        <v>1131.1093343226034</v>
      </c>
      <c r="W15" s="134">
        <f>IF(SER_hh_tes!W15=0,0,11630*1000*SER_hh_tes!W15/SER_hh_num!W15)</f>
        <v>1173.9025967219663</v>
      </c>
      <c r="X15" s="134">
        <f>IF(SER_hh_tes!X15=0,0,11630*1000*SER_hh_tes!X15/SER_hh_num!X15)</f>
        <v>1064.3850094749891</v>
      </c>
      <c r="Y15" s="134">
        <f>IF(SER_hh_tes!Y15=0,0,11630*1000*SER_hh_tes!Y15/SER_hh_num!Y15)</f>
        <v>932.03641762873929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23569.427243566599</v>
      </c>
      <c r="C16" s="130">
        <f>IF(SER_hh_tes!C16=0,0,11630*1000*SER_hh_tes!C16/SER_hh_num!C16)</f>
        <v>24798.880351167016</v>
      </c>
      <c r="D16" s="130">
        <f>IF(SER_hh_tes!D16=0,0,11630*1000*SER_hh_tes!D16/SER_hh_num!D16)</f>
        <v>23738.505713327922</v>
      </c>
      <c r="E16" s="130">
        <f>IF(SER_hh_tes!E16=0,0,11630*1000*SER_hh_tes!E16/SER_hh_num!E16)</f>
        <v>41495.859938297006</v>
      </c>
      <c r="F16" s="130">
        <f>IF(SER_hh_tes!F16=0,0,11630*1000*SER_hh_tes!F16/SER_hh_num!F16)</f>
        <v>24470.873243208185</v>
      </c>
      <c r="G16" s="130">
        <f>IF(SER_hh_tes!G16=0,0,11630*1000*SER_hh_tes!G16/SER_hh_num!G16)</f>
        <v>26629.974076714356</v>
      </c>
      <c r="H16" s="130">
        <f>IF(SER_hh_tes!H16=0,0,11630*1000*SER_hh_tes!H16/SER_hh_num!H16)</f>
        <v>30507.903016679138</v>
      </c>
      <c r="I16" s="130">
        <f>IF(SER_hh_tes!I16=0,0,11630*1000*SER_hh_tes!I16/SER_hh_num!I16)</f>
        <v>23855.078970375675</v>
      </c>
      <c r="J16" s="130">
        <f>IF(SER_hh_tes!J16=0,0,11630*1000*SER_hh_tes!J16/SER_hh_num!J16)</f>
        <v>24222.024500060637</v>
      </c>
      <c r="K16" s="130">
        <f>IF(SER_hh_tes!K16=0,0,11630*1000*SER_hh_tes!K16/SER_hh_num!K16)</f>
        <v>25878.236468181563</v>
      </c>
      <c r="L16" s="130">
        <f>IF(SER_hh_tes!L16=0,0,11630*1000*SER_hh_tes!L16/SER_hh_num!L16)</f>
        <v>25513.039882165667</v>
      </c>
      <c r="M16" s="130">
        <f>IF(SER_hh_tes!M16=0,0,11630*1000*SER_hh_tes!M16/SER_hh_num!M16)</f>
        <v>25101.087037874917</v>
      </c>
      <c r="N16" s="130">
        <f>IF(SER_hh_tes!N16=0,0,11630*1000*SER_hh_tes!N16/SER_hh_num!N16)</f>
        <v>26370.357989022159</v>
      </c>
      <c r="O16" s="130">
        <f>IF(SER_hh_tes!O16=0,0,11630*1000*SER_hh_tes!O16/SER_hh_num!O16)</f>
        <v>26232.851002811964</v>
      </c>
      <c r="P16" s="130">
        <f>IF(SER_hh_tes!P16=0,0,11630*1000*SER_hh_tes!P16/SER_hh_num!P16)</f>
        <v>24645.841735948503</v>
      </c>
      <c r="Q16" s="130">
        <f>IF(SER_hh_tes!Q16=0,0,11630*1000*SER_hh_tes!Q16/SER_hh_num!Q16)</f>
        <v>30855.053116508156</v>
      </c>
      <c r="R16" s="130">
        <f>IF(SER_hh_tes!R16=0,0,11630*1000*SER_hh_tes!R16/SER_hh_num!R16)</f>
        <v>27336.139206592459</v>
      </c>
      <c r="S16" s="130">
        <f>IF(SER_hh_tes!S16=0,0,11630*1000*SER_hh_tes!S16/SER_hh_num!S16)</f>
        <v>29784.302710354274</v>
      </c>
      <c r="T16" s="130">
        <f>IF(SER_hh_tes!T16=0,0,11630*1000*SER_hh_tes!T16/SER_hh_num!T16)</f>
        <v>29616.890993001027</v>
      </c>
      <c r="U16" s="130">
        <f>IF(SER_hh_tes!U16=0,0,11630*1000*SER_hh_tes!U16/SER_hh_num!U16)</f>
        <v>30159.29788570018</v>
      </c>
      <c r="V16" s="130">
        <f>IF(SER_hh_tes!V16=0,0,11630*1000*SER_hh_tes!V16/SER_hh_num!V16)</f>
        <v>30441.920083102828</v>
      </c>
      <c r="W16" s="130">
        <f>IF(SER_hh_tes!W16=0,0,11630*1000*SER_hh_tes!W16/SER_hh_num!W16)</f>
        <v>25742.171403165201</v>
      </c>
      <c r="X16" s="130">
        <f>IF(SER_hh_tes!X16=0,0,11630*1000*SER_hh_tes!X16/SER_hh_num!X16)</f>
        <v>37364.910280463751</v>
      </c>
      <c r="Y16" s="130">
        <f>IF(SER_hh_tes!Y16=0,0,11630*1000*SER_hh_tes!Y16/SER_hh_num!Y16)</f>
        <v>32768.982437970793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23569.427243566599</v>
      </c>
      <c r="C17" s="132">
        <f>IF(SER_hh_tes!C17=0,0,11630*1000*SER_hh_tes!C17/SER_hh_num!C17)</f>
        <v>24798.880351166928</v>
      </c>
      <c r="D17" s="132">
        <f>IF(SER_hh_tes!D17=0,0,11630*1000*SER_hh_tes!D17/SER_hh_num!D17)</f>
        <v>23738.505713322171</v>
      </c>
      <c r="E17" s="132">
        <f>IF(SER_hh_tes!E17=0,0,11630*1000*SER_hh_tes!E17/SER_hh_num!E17)</f>
        <v>47166.380855651434</v>
      </c>
      <c r="F17" s="132">
        <f>IF(SER_hh_tes!F17=0,0,11630*1000*SER_hh_tes!F17/SER_hh_num!F17)</f>
        <v>24470.87324321553</v>
      </c>
      <c r="G17" s="132">
        <f>IF(SER_hh_tes!G17=0,0,11630*1000*SER_hh_tes!G17/SER_hh_num!G17)</f>
        <v>23675.466905988644</v>
      </c>
      <c r="H17" s="132">
        <f>IF(SER_hh_tes!H17=0,0,11630*1000*SER_hh_tes!H17/SER_hh_num!H17)</f>
        <v>30507.90301670384</v>
      </c>
      <c r="I17" s="132">
        <f>IF(SER_hh_tes!I17=0,0,11630*1000*SER_hh_tes!I17/SER_hh_num!I17)</f>
        <v>23855.078970374347</v>
      </c>
      <c r="J17" s="132">
        <f>IF(SER_hh_tes!J17=0,0,11630*1000*SER_hh_tes!J17/SER_hh_num!J17)</f>
        <v>24222.024500055108</v>
      </c>
      <c r="K17" s="132">
        <f>IF(SER_hh_tes!K17=0,0,11630*1000*SER_hh_tes!K17/SER_hh_num!K17)</f>
        <v>25878.236468175219</v>
      </c>
      <c r="L17" s="132">
        <f>IF(SER_hh_tes!L17=0,0,11630*1000*SER_hh_tes!L17/SER_hh_num!L17)</f>
        <v>25513.039882159577</v>
      </c>
      <c r="M17" s="132">
        <f>IF(SER_hh_tes!M17=0,0,11630*1000*SER_hh_tes!M17/SER_hh_num!M17)</f>
        <v>25101.087037871563</v>
      </c>
      <c r="N17" s="132">
        <f>IF(SER_hh_tes!N17=0,0,11630*1000*SER_hh_tes!N17/SER_hh_num!N17)</f>
        <v>26370.357989021395</v>
      </c>
      <c r="O17" s="132">
        <f>IF(SER_hh_tes!O17=0,0,11630*1000*SER_hh_tes!O17/SER_hh_num!O17)</f>
        <v>26232.851002828702</v>
      </c>
      <c r="P17" s="132">
        <f>IF(SER_hh_tes!P17=0,0,11630*1000*SER_hh_tes!P17/SER_hh_num!P17)</f>
        <v>22986.383888277414</v>
      </c>
      <c r="Q17" s="132">
        <f>IF(SER_hh_tes!Q17=0,0,11630*1000*SER_hh_tes!Q17/SER_hh_num!Q17)</f>
        <v>30855.05311673422</v>
      </c>
      <c r="R17" s="132">
        <f>IF(SER_hh_tes!R17=0,0,11630*1000*SER_hh_tes!R17/SER_hh_num!R17)</f>
        <v>27336.139206738473</v>
      </c>
      <c r="S17" s="132">
        <f>IF(SER_hh_tes!S17=0,0,11630*1000*SER_hh_tes!S17/SER_hh_num!S17)</f>
        <v>29784.302710357071</v>
      </c>
      <c r="T17" s="132">
        <f>IF(SER_hh_tes!T17=0,0,11630*1000*SER_hh_tes!T17/SER_hh_num!T17)</f>
        <v>29616.890992961668</v>
      </c>
      <c r="U17" s="132">
        <f>IF(SER_hh_tes!U17=0,0,11630*1000*SER_hh_tes!U17/SER_hh_num!U17)</f>
        <v>30159.297885652679</v>
      </c>
      <c r="V17" s="132">
        <f>IF(SER_hh_tes!V17=0,0,11630*1000*SER_hh_tes!V17/SER_hh_num!V17)</f>
        <v>29282.584560164203</v>
      </c>
      <c r="W17" s="132">
        <f>IF(SER_hh_tes!W17=0,0,11630*1000*SER_hh_tes!W17/SER_hh_num!W17)</f>
        <v>23626.950616276798</v>
      </c>
      <c r="X17" s="132">
        <f>IF(SER_hh_tes!X17=0,0,11630*1000*SER_hh_tes!X17/SER_hh_num!X17)</f>
        <v>35151.982926681689</v>
      </c>
      <c r="Y17" s="132">
        <f>IF(SER_hh_tes!Y17=0,0,11630*1000*SER_hh_tes!Y17/SER_hh_num!Y17)</f>
        <v>32768.982438158338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23569.427243566595</v>
      </c>
      <c r="C18" s="132">
        <f>IF(SER_hh_tes!C18=0,0,11630*1000*SER_hh_tes!C18/SER_hh_num!C18)</f>
        <v>24798.880351167016</v>
      </c>
      <c r="D18" s="132">
        <f>IF(SER_hh_tes!D18=0,0,11630*1000*SER_hh_tes!D18/SER_hh_num!D18)</f>
        <v>23738.505713327941</v>
      </c>
      <c r="E18" s="132">
        <f>IF(SER_hh_tes!E18=0,0,11630*1000*SER_hh_tes!E18/SER_hh_num!E18)</f>
        <v>41471.020017595052</v>
      </c>
      <c r="F18" s="132">
        <f>IF(SER_hh_tes!F18=0,0,11630*1000*SER_hh_tes!F18/SER_hh_num!F18)</f>
        <v>24470.873243208152</v>
      </c>
      <c r="G18" s="132">
        <f>IF(SER_hh_tes!G18=0,0,11630*1000*SER_hh_tes!G18/SER_hh_num!G18)</f>
        <v>26644.030848130133</v>
      </c>
      <c r="H18" s="132">
        <f>IF(SER_hh_tes!H18=0,0,11630*1000*SER_hh_tes!H18/SER_hh_num!H18)</f>
        <v>30507.903016678985</v>
      </c>
      <c r="I18" s="132">
        <f>IF(SER_hh_tes!I18=0,0,11630*1000*SER_hh_tes!I18/SER_hh_num!I18)</f>
        <v>23855.078970375689</v>
      </c>
      <c r="J18" s="132">
        <f>IF(SER_hh_tes!J18=0,0,11630*1000*SER_hh_tes!J18/SER_hh_num!J18)</f>
        <v>24222.024500060677</v>
      </c>
      <c r="K18" s="132">
        <f>IF(SER_hh_tes!K18=0,0,11630*1000*SER_hh_tes!K18/SER_hh_num!K18)</f>
        <v>25878.236468181614</v>
      </c>
      <c r="L18" s="132">
        <f>IF(SER_hh_tes!L18=0,0,11630*1000*SER_hh_tes!L18/SER_hh_num!L18)</f>
        <v>25513.039882165722</v>
      </c>
      <c r="M18" s="132">
        <f>IF(SER_hh_tes!M18=0,0,11630*1000*SER_hh_tes!M18/SER_hh_num!M18)</f>
        <v>25101.087037874953</v>
      </c>
      <c r="N18" s="132">
        <f>IF(SER_hh_tes!N18=0,0,11630*1000*SER_hh_tes!N18/SER_hh_num!N18)</f>
        <v>26370.357989022177</v>
      </c>
      <c r="O18" s="132">
        <f>IF(SER_hh_tes!O18=0,0,11630*1000*SER_hh_tes!O18/SER_hh_num!O18)</f>
        <v>26232.851002811607</v>
      </c>
      <c r="P18" s="132">
        <f>IF(SER_hh_tes!P18=0,0,11630*1000*SER_hh_tes!P18/SER_hh_num!P18)</f>
        <v>24686.54830734944</v>
      </c>
      <c r="Q18" s="132">
        <f>IF(SER_hh_tes!Q18=0,0,11630*1000*SER_hh_tes!Q18/SER_hh_num!Q18)</f>
        <v>30855.053116501669</v>
      </c>
      <c r="R18" s="132">
        <f>IF(SER_hh_tes!R18=0,0,11630*1000*SER_hh_tes!R18/SER_hh_num!R18)</f>
        <v>27336.139206587919</v>
      </c>
      <c r="S18" s="132">
        <f>IF(SER_hh_tes!S18=0,0,11630*1000*SER_hh_tes!S18/SER_hh_num!S18)</f>
        <v>29784.302710354175</v>
      </c>
      <c r="T18" s="132">
        <f>IF(SER_hh_tes!T18=0,0,11630*1000*SER_hh_tes!T18/SER_hh_num!T18)</f>
        <v>29616.890993002544</v>
      </c>
      <c r="U18" s="132">
        <f>IF(SER_hh_tes!U18=0,0,11630*1000*SER_hh_tes!U18/SER_hh_num!U18)</f>
        <v>30159.297885702159</v>
      </c>
      <c r="V18" s="132">
        <f>IF(SER_hh_tes!V18=0,0,11630*1000*SER_hh_tes!V18/SER_hh_num!V18)</f>
        <v>30492.704390602994</v>
      </c>
      <c r="W18" s="132">
        <f>IF(SER_hh_tes!W18=0,0,11630*1000*SER_hh_tes!W18/SER_hh_num!W18)</f>
        <v>25837.766237110834</v>
      </c>
      <c r="X18" s="132">
        <f>IF(SER_hh_tes!X18=0,0,11630*1000*SER_hh_tes!X18/SER_hh_num!X18)</f>
        <v>37470.029612198523</v>
      </c>
      <c r="Y18" s="132">
        <f>IF(SER_hh_tes!Y18=0,0,11630*1000*SER_hh_tes!Y18/SER_hh_num!Y18)</f>
        <v>32768.982437961778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15265.688453381916</v>
      </c>
      <c r="C19" s="130">
        <f>IF(SER_hh_tes!C19=0,0,11630*1000*SER_hh_tes!C19/SER_hh_num!C19)</f>
        <v>15030.035684746706</v>
      </c>
      <c r="D19" s="130">
        <f>IF(SER_hh_tes!D19=0,0,11630*1000*SER_hh_tes!D19/SER_hh_num!D19)</f>
        <v>15046.807553748307</v>
      </c>
      <c r="E19" s="130">
        <f>IF(SER_hh_tes!E19=0,0,11630*1000*SER_hh_tes!E19/SER_hh_num!E19)</f>
        <v>14732.962532673473</v>
      </c>
      <c r="F19" s="130">
        <f>IF(SER_hh_tes!F19=0,0,11630*1000*SER_hh_tes!F19/SER_hh_num!F19)</f>
        <v>15158.628968269315</v>
      </c>
      <c r="G19" s="130">
        <f>IF(SER_hh_tes!G19=0,0,11630*1000*SER_hh_tes!G19/SER_hh_num!G19)</f>
        <v>15034.842439836117</v>
      </c>
      <c r="H19" s="130">
        <f>IF(SER_hh_tes!H19=0,0,11630*1000*SER_hh_tes!H19/SER_hh_num!H19)</f>
        <v>14784.828626895964</v>
      </c>
      <c r="I19" s="130">
        <f>IF(SER_hh_tes!I19=0,0,11630*1000*SER_hh_tes!I19/SER_hh_num!I19)</f>
        <v>14626.894825577132</v>
      </c>
      <c r="J19" s="130">
        <f>IF(SER_hh_tes!J19=0,0,11630*1000*SER_hh_tes!J19/SER_hh_num!J19)</f>
        <v>14951.866143327486</v>
      </c>
      <c r="K19" s="130">
        <f>IF(SER_hh_tes!K19=0,0,11630*1000*SER_hh_tes!K19/SER_hh_num!K19)</f>
        <v>15239.201547917788</v>
      </c>
      <c r="L19" s="130">
        <f>IF(SER_hh_tes!L19=0,0,11630*1000*SER_hh_tes!L19/SER_hh_num!L19)</f>
        <v>15176.896928395714</v>
      </c>
      <c r="M19" s="130">
        <f>IF(SER_hh_tes!M19=0,0,11630*1000*SER_hh_tes!M19/SER_hh_num!M19)</f>
        <v>15021.095221682883</v>
      </c>
      <c r="N19" s="130">
        <f>IF(SER_hh_tes!N19=0,0,11630*1000*SER_hh_tes!N19/SER_hh_num!N19)</f>
        <v>15285.701810727878</v>
      </c>
      <c r="O19" s="130">
        <f>IF(SER_hh_tes!O19=0,0,11630*1000*SER_hh_tes!O19/SER_hh_num!O19)</f>
        <v>15500.324872129942</v>
      </c>
      <c r="P19" s="130">
        <f>IF(SER_hh_tes!P19=0,0,11630*1000*SER_hh_tes!P19/SER_hh_num!P19)</f>
        <v>15957.778586402024</v>
      </c>
      <c r="Q19" s="130">
        <f>IF(SER_hh_tes!Q19=0,0,11630*1000*SER_hh_tes!Q19/SER_hh_num!Q19)</f>
        <v>15971.923046180442</v>
      </c>
      <c r="R19" s="130">
        <f>IF(SER_hh_tes!R19=0,0,11630*1000*SER_hh_tes!R19/SER_hh_num!R19)</f>
        <v>15746.512951729665</v>
      </c>
      <c r="S19" s="130">
        <f>IF(SER_hh_tes!S19=0,0,11630*1000*SER_hh_tes!S19/SER_hh_num!S19)</f>
        <v>15957.060139457653</v>
      </c>
      <c r="T19" s="130">
        <f>IF(SER_hh_tes!T19=0,0,11630*1000*SER_hh_tes!T19/SER_hh_num!T19)</f>
        <v>16196.113880145684</v>
      </c>
      <c r="U19" s="130">
        <f>IF(SER_hh_tes!U19=0,0,11630*1000*SER_hh_tes!U19/SER_hh_num!U19)</f>
        <v>15769.087452582935</v>
      </c>
      <c r="V19" s="130">
        <f>IF(SER_hh_tes!V19=0,0,11630*1000*SER_hh_tes!V19/SER_hh_num!V19)</f>
        <v>14820.677054382424</v>
      </c>
      <c r="W19" s="130">
        <f>IF(SER_hh_tes!W19=0,0,11630*1000*SER_hh_tes!W19/SER_hh_num!W19)</f>
        <v>15630.55191222883</v>
      </c>
      <c r="X19" s="130">
        <f>IF(SER_hh_tes!X19=0,0,11630*1000*SER_hh_tes!X19/SER_hh_num!X19)</f>
        <v>16079.497484388377</v>
      </c>
      <c r="Y19" s="130">
        <f>IF(SER_hh_tes!Y19=0,0,11630*1000*SER_hh_tes!Y19/SER_hh_num!Y19)</f>
        <v>15942.262199281591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14919.607902238546</v>
      </c>
      <c r="C21" s="132">
        <f>IF(SER_hh_tes!C21=0,0,11630*1000*SER_hh_tes!C21/SER_hh_num!C21)</f>
        <v>14848.135025767095</v>
      </c>
      <c r="D21" s="132">
        <f>IF(SER_hh_tes!D21=0,0,11630*1000*SER_hh_tes!D21/SER_hh_num!D21)</f>
        <v>15214.83278472759</v>
      </c>
      <c r="E21" s="132">
        <f>IF(SER_hh_tes!E21=0,0,11630*1000*SER_hh_tes!E21/SER_hh_num!E21)</f>
        <v>15326.582981898455</v>
      </c>
      <c r="F21" s="132">
        <f>IF(SER_hh_tes!F21=0,0,11630*1000*SER_hh_tes!F21/SER_hh_num!F21)</f>
        <v>15241.107960861311</v>
      </c>
      <c r="G21" s="132">
        <f>IF(SER_hh_tes!G21=0,0,11630*1000*SER_hh_tes!G21/SER_hh_num!G21)</f>
        <v>14551.40779130281</v>
      </c>
      <c r="H21" s="132">
        <f>IF(SER_hh_tes!H21=0,0,11630*1000*SER_hh_tes!H21/SER_hh_num!H21)</f>
        <v>14882.706907609081</v>
      </c>
      <c r="I21" s="132">
        <f>IF(SER_hh_tes!I21=0,0,11630*1000*SER_hh_tes!I21/SER_hh_num!I21)</f>
        <v>14898.924148133303</v>
      </c>
      <c r="J21" s="132">
        <f>IF(SER_hh_tes!J21=0,0,11630*1000*SER_hh_tes!J21/SER_hh_num!J21)</f>
        <v>15050.70123500481</v>
      </c>
      <c r="K21" s="132">
        <f>IF(SER_hh_tes!K21=0,0,11630*1000*SER_hh_tes!K21/SER_hh_num!K21)</f>
        <v>16050.407218877708</v>
      </c>
      <c r="L21" s="132">
        <f>IF(SER_hh_tes!L21=0,0,11630*1000*SER_hh_tes!L21/SER_hh_num!L21)</f>
        <v>16120.107685497507</v>
      </c>
      <c r="M21" s="132">
        <f>IF(SER_hh_tes!M21=0,0,11630*1000*SER_hh_tes!M21/SER_hh_num!M21)</f>
        <v>11563.295873989984</v>
      </c>
      <c r="N21" s="132">
        <f>IF(SER_hh_tes!N21=0,0,11630*1000*SER_hh_tes!N21/SER_hh_num!N21)</f>
        <v>16678.256896168383</v>
      </c>
      <c r="O21" s="132">
        <f>IF(SER_hh_tes!O21=0,0,11630*1000*SER_hh_tes!O21/SER_hh_num!O21)</f>
        <v>16158.336392571922</v>
      </c>
      <c r="P21" s="132">
        <f>IF(SER_hh_tes!P21=0,0,11630*1000*SER_hh_tes!P21/SER_hh_num!P21)</f>
        <v>15274.357749535084</v>
      </c>
      <c r="Q21" s="132">
        <f>IF(SER_hh_tes!Q21=0,0,11630*1000*SER_hh_tes!Q21/SER_hh_num!Q21)</f>
        <v>15968.2139875499</v>
      </c>
      <c r="R21" s="132">
        <f>IF(SER_hh_tes!R21=0,0,11630*1000*SER_hh_tes!R21/SER_hh_num!R21)</f>
        <v>16159.842281135203</v>
      </c>
      <c r="S21" s="132">
        <f>IF(SER_hh_tes!S21=0,0,11630*1000*SER_hh_tes!S21/SER_hh_num!S21)</f>
        <v>17129.66223099759</v>
      </c>
      <c r="T21" s="132">
        <f>IF(SER_hh_tes!T21=0,0,11630*1000*SER_hh_tes!T21/SER_hh_num!T21)</f>
        <v>15046.025492677294</v>
      </c>
      <c r="U21" s="132">
        <f>IF(SER_hh_tes!U21=0,0,11630*1000*SER_hh_tes!U21/SER_hh_num!U21)</f>
        <v>15468.674646909129</v>
      </c>
      <c r="V21" s="132">
        <f>IF(SER_hh_tes!V21=0,0,11630*1000*SER_hh_tes!V21/SER_hh_num!V21)</f>
        <v>16730.613817927984</v>
      </c>
      <c r="W21" s="132">
        <f>IF(SER_hh_tes!W21=0,0,11630*1000*SER_hh_tes!W21/SER_hh_num!W21)</f>
        <v>11964.267690421339</v>
      </c>
      <c r="X21" s="132">
        <f>IF(SER_hh_tes!X21=0,0,11630*1000*SER_hh_tes!X21/SER_hh_num!X21)</f>
        <v>16055.585004594201</v>
      </c>
      <c r="Y21" s="132">
        <f>IF(SER_hh_tes!Y21=0,0,11630*1000*SER_hh_tes!Y21/SER_hh_num!Y21)</f>
        <v>15814.812837786305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15103.596620340859</v>
      </c>
      <c r="C22" s="132">
        <f>IF(SER_hh_tes!C22=0,0,11630*1000*SER_hh_tes!C22/SER_hh_num!C22)</f>
        <v>15173.625499820382</v>
      </c>
      <c r="D22" s="132">
        <f>IF(SER_hh_tes!D22=0,0,11630*1000*SER_hh_tes!D22/SER_hh_num!D22)</f>
        <v>14987.878346726908</v>
      </c>
      <c r="E22" s="132">
        <f>IF(SER_hh_tes!E22=0,0,11630*1000*SER_hh_tes!E22/SER_hh_num!E22)</f>
        <v>14886.335089592774</v>
      </c>
      <c r="F22" s="132">
        <f>IF(SER_hh_tes!F22=0,0,11630*1000*SER_hh_tes!F22/SER_hh_num!F22)</f>
        <v>15157.96645749971</v>
      </c>
      <c r="G22" s="132">
        <f>IF(SER_hh_tes!G22=0,0,11630*1000*SER_hh_tes!G22/SER_hh_num!G22)</f>
        <v>15187.427575623884</v>
      </c>
      <c r="H22" s="132">
        <f>IF(SER_hh_tes!H22=0,0,11630*1000*SER_hh_tes!H22/SER_hh_num!H22)</f>
        <v>14836.2418233064</v>
      </c>
      <c r="I22" s="132">
        <f>IF(SER_hh_tes!I22=0,0,11630*1000*SER_hh_tes!I22/SER_hh_num!I22)</f>
        <v>14460.254004351893</v>
      </c>
      <c r="J22" s="132">
        <f>IF(SER_hh_tes!J22=0,0,11630*1000*SER_hh_tes!J22/SER_hh_num!J22)</f>
        <v>15062.376270822149</v>
      </c>
      <c r="K22" s="132">
        <f>IF(SER_hh_tes!K22=0,0,11630*1000*SER_hh_tes!K22/SER_hh_num!K22)</f>
        <v>15404.710745498867</v>
      </c>
      <c r="L22" s="132">
        <f>IF(SER_hh_tes!L22=0,0,11630*1000*SER_hh_tes!L22/SER_hh_num!L22)</f>
        <v>15005.83395092594</v>
      </c>
      <c r="M22" s="132">
        <f>IF(SER_hh_tes!M22=0,0,11630*1000*SER_hh_tes!M22/SER_hh_num!M22)</f>
        <v>14353.837360634174</v>
      </c>
      <c r="N22" s="132">
        <f>IF(SER_hh_tes!N22=0,0,11630*1000*SER_hh_tes!N22/SER_hh_num!N22)</f>
        <v>15177.59358052951</v>
      </c>
      <c r="O22" s="132">
        <f>IF(SER_hh_tes!O22=0,0,11630*1000*SER_hh_tes!O22/SER_hh_num!O22)</f>
        <v>14832.28171814511</v>
      </c>
      <c r="P22" s="132">
        <f>IF(SER_hh_tes!P22=0,0,11630*1000*SER_hh_tes!P22/SER_hh_num!P22)</f>
        <v>17128.174914215419</v>
      </c>
      <c r="Q22" s="132">
        <f>IF(SER_hh_tes!Q22=0,0,11630*1000*SER_hh_tes!Q22/SER_hh_num!Q22)</f>
        <v>17442.640851754273</v>
      </c>
      <c r="R22" s="132">
        <f>IF(SER_hh_tes!R22=0,0,11630*1000*SER_hh_tes!R22/SER_hh_num!R22)</f>
        <v>13859.716945093302</v>
      </c>
      <c r="S22" s="132">
        <f>IF(SER_hh_tes!S22=0,0,11630*1000*SER_hh_tes!S22/SER_hh_num!S22)</f>
        <v>16914.068204124811</v>
      </c>
      <c r="T22" s="132">
        <f>IF(SER_hh_tes!T22=0,0,11630*1000*SER_hh_tes!T22/SER_hh_num!T22)</f>
        <v>15536.249298218849</v>
      </c>
      <c r="U22" s="132">
        <f>IF(SER_hh_tes!U22=0,0,11630*1000*SER_hh_tes!U22/SER_hh_num!U22)</f>
        <v>14935.819624212672</v>
      </c>
      <c r="V22" s="132">
        <f>IF(SER_hh_tes!V22=0,0,11630*1000*SER_hh_tes!V22/SER_hh_num!V22)</f>
        <v>16515.84834859581</v>
      </c>
      <c r="W22" s="132">
        <f>IF(SER_hh_tes!W22=0,0,11630*1000*SER_hh_tes!W22/SER_hh_num!W22)</f>
        <v>13664.957976197342</v>
      </c>
      <c r="X22" s="132">
        <f>IF(SER_hh_tes!X22=0,0,11630*1000*SER_hh_tes!X22/SER_hh_num!X22)</f>
        <v>17442.240309632318</v>
      </c>
      <c r="Y22" s="132">
        <f>IF(SER_hh_tes!Y22=0,0,11630*1000*SER_hh_tes!Y22/SER_hh_num!Y22)</f>
        <v>15224.998294751464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15192.386017152967</v>
      </c>
      <c r="C23" s="132">
        <f>IF(SER_hh_tes!C23=0,0,11630*1000*SER_hh_tes!C23/SER_hh_num!C23)</f>
        <v>15072.091489462131</v>
      </c>
      <c r="D23" s="132">
        <f>IF(SER_hh_tes!D23=0,0,11630*1000*SER_hh_tes!D23/SER_hh_num!D23)</f>
        <v>14924.00271365703</v>
      </c>
      <c r="E23" s="132">
        <f>IF(SER_hh_tes!E23=0,0,11630*1000*SER_hh_tes!E23/SER_hh_num!E23)</f>
        <v>15181.910750086277</v>
      </c>
      <c r="F23" s="132">
        <f>IF(SER_hh_tes!F23=0,0,11630*1000*SER_hh_tes!F23/SER_hh_num!F23)</f>
        <v>15357.14227437569</v>
      </c>
      <c r="G23" s="132">
        <f>IF(SER_hh_tes!G23=0,0,11630*1000*SER_hh_tes!G23/SER_hh_num!G23)</f>
        <v>14798.151893812426</v>
      </c>
      <c r="H23" s="132">
        <f>IF(SER_hh_tes!H23=0,0,11630*1000*SER_hh_tes!H23/SER_hh_num!H23)</f>
        <v>14504.088599732984</v>
      </c>
      <c r="I23" s="132">
        <f>IF(SER_hh_tes!I23=0,0,11630*1000*SER_hh_tes!I23/SER_hh_num!I23)</f>
        <v>14653.136174318381</v>
      </c>
      <c r="J23" s="132">
        <f>IF(SER_hh_tes!J23=0,0,11630*1000*SER_hh_tes!J23/SER_hh_num!J23)</f>
        <v>14483.460652563797</v>
      </c>
      <c r="K23" s="132">
        <f>IF(SER_hh_tes!K23=0,0,11630*1000*SER_hh_tes!K23/SER_hh_num!K23)</f>
        <v>15525.491624501603</v>
      </c>
      <c r="L23" s="132">
        <f>IF(SER_hh_tes!L23=0,0,11630*1000*SER_hh_tes!L23/SER_hh_num!L23)</f>
        <v>14986.442563835915</v>
      </c>
      <c r="M23" s="132">
        <f>IF(SER_hh_tes!M23=0,0,11630*1000*SER_hh_tes!M23/SER_hh_num!M23)</f>
        <v>16575.575793103199</v>
      </c>
      <c r="N23" s="132">
        <f>IF(SER_hh_tes!N23=0,0,11630*1000*SER_hh_tes!N23/SER_hh_num!N23)</f>
        <v>12964.963443640041</v>
      </c>
      <c r="O23" s="132">
        <f>IF(SER_hh_tes!O23=0,0,11630*1000*SER_hh_tes!O23/SER_hh_num!O23)</f>
        <v>14577.133850105545</v>
      </c>
      <c r="P23" s="132">
        <f>IF(SER_hh_tes!P23=0,0,11630*1000*SER_hh_tes!P23/SER_hh_num!P23)</f>
        <v>15527.279183037297</v>
      </c>
      <c r="Q23" s="132">
        <f>IF(SER_hh_tes!Q23=0,0,11630*1000*SER_hh_tes!Q23/SER_hh_num!Q23)</f>
        <v>15426.599680235955</v>
      </c>
      <c r="R23" s="132">
        <f>IF(SER_hh_tes!R23=0,0,11630*1000*SER_hh_tes!R23/SER_hh_num!R23)</f>
        <v>16580.92936102597</v>
      </c>
      <c r="S23" s="132">
        <f>IF(SER_hh_tes!S23=0,0,11630*1000*SER_hh_tes!S23/SER_hh_num!S23)</f>
        <v>15826.630084501965</v>
      </c>
      <c r="T23" s="132">
        <f>IF(SER_hh_tes!T23=0,0,11630*1000*SER_hh_tes!T23/SER_hh_num!T23)</f>
        <v>15927.15367728925</v>
      </c>
      <c r="U23" s="132">
        <f>IF(SER_hh_tes!U23=0,0,11630*1000*SER_hh_tes!U23/SER_hh_num!U23)</f>
        <v>15696.523732101665</v>
      </c>
      <c r="V23" s="132">
        <f>IF(SER_hh_tes!V23=0,0,11630*1000*SER_hh_tes!V23/SER_hh_num!V23)</f>
        <v>14037.510656762806</v>
      </c>
      <c r="W23" s="132">
        <f>IF(SER_hh_tes!W23=0,0,11630*1000*SER_hh_tes!W23/SER_hh_num!W23)</f>
        <v>17463.912233556235</v>
      </c>
      <c r="X23" s="132">
        <f>IF(SER_hh_tes!X23=0,0,11630*1000*SER_hh_tes!X23/SER_hh_num!X23)</f>
        <v>16198.228819509588</v>
      </c>
      <c r="Y23" s="132">
        <f>IF(SER_hh_tes!Y23=0,0,11630*1000*SER_hh_tes!Y23/SER_hh_num!Y23)</f>
        <v>15972.08775540866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15305.067964297372</v>
      </c>
      <c r="C24" s="132">
        <f>IF(SER_hh_tes!C24=0,0,11630*1000*SER_hh_tes!C24/SER_hh_num!C24)</f>
        <v>14878.631715688249</v>
      </c>
      <c r="D24" s="132">
        <f>IF(SER_hh_tes!D24=0,0,11630*1000*SER_hh_tes!D24/SER_hh_num!D24)</f>
        <v>14809.430561816109</v>
      </c>
      <c r="E24" s="132">
        <f>IF(SER_hh_tes!E24=0,0,11630*1000*SER_hh_tes!E24/SER_hh_num!E24)</f>
        <v>14724.302425738088</v>
      </c>
      <c r="F24" s="132">
        <f>IF(SER_hh_tes!F24=0,0,11630*1000*SER_hh_tes!F24/SER_hh_num!F24)</f>
        <v>15211.520357815436</v>
      </c>
      <c r="G24" s="132">
        <f>IF(SER_hh_tes!G24=0,0,11630*1000*SER_hh_tes!G24/SER_hh_num!G24)</f>
        <v>14761.172034287978</v>
      </c>
      <c r="H24" s="132">
        <f>IF(SER_hh_tes!H24=0,0,11630*1000*SER_hh_tes!H24/SER_hh_num!H24)</f>
        <v>14081.588335386752</v>
      </c>
      <c r="I24" s="132">
        <f>IF(SER_hh_tes!I24=0,0,11630*1000*SER_hh_tes!I24/SER_hh_num!I24)</f>
        <v>15459.142633096328</v>
      </c>
      <c r="J24" s="132">
        <f>IF(SER_hh_tes!J24=0,0,11630*1000*SER_hh_tes!J24/SER_hh_num!J24)</f>
        <v>14654.501322742466</v>
      </c>
      <c r="K24" s="132">
        <f>IF(SER_hh_tes!K24=0,0,11630*1000*SER_hh_tes!K24/SER_hh_num!K24)</f>
        <v>15836.076008756387</v>
      </c>
      <c r="L24" s="132">
        <f>IF(SER_hh_tes!L24=0,0,11630*1000*SER_hh_tes!L24/SER_hh_num!L24)</f>
        <v>17641.204610945944</v>
      </c>
      <c r="M24" s="132">
        <f>IF(SER_hh_tes!M24=0,0,11630*1000*SER_hh_tes!M24/SER_hh_num!M24)</f>
        <v>12295.854675167118</v>
      </c>
      <c r="N24" s="132">
        <f>IF(SER_hh_tes!N24=0,0,11630*1000*SER_hh_tes!N24/SER_hh_num!N24)</f>
        <v>13843.950984791905</v>
      </c>
      <c r="O24" s="132">
        <f>IF(SER_hh_tes!O24=0,0,11630*1000*SER_hh_tes!O24/SER_hh_num!O24)</f>
        <v>18312.34274643115</v>
      </c>
      <c r="P24" s="132">
        <f>IF(SER_hh_tes!P24=0,0,11630*1000*SER_hh_tes!P24/SER_hh_num!P24)</f>
        <v>15831.114026348323</v>
      </c>
      <c r="Q24" s="132">
        <f>IF(SER_hh_tes!Q24=0,0,11630*1000*SER_hh_tes!Q24/SER_hh_num!Q24)</f>
        <v>13914.163680625825</v>
      </c>
      <c r="R24" s="132">
        <f>IF(SER_hh_tes!R24=0,0,11630*1000*SER_hh_tes!R24/SER_hh_num!R24)</f>
        <v>15750.786990341407</v>
      </c>
      <c r="S24" s="132">
        <f>IF(SER_hh_tes!S24=0,0,11630*1000*SER_hh_tes!S24/SER_hh_num!S24)</f>
        <v>16005.266344269554</v>
      </c>
      <c r="T24" s="132">
        <f>IF(SER_hh_tes!T24=0,0,11630*1000*SER_hh_tes!T24/SER_hh_num!T24)</f>
        <v>15345.230861192878</v>
      </c>
      <c r="U24" s="132">
        <f>IF(SER_hh_tes!U24=0,0,11630*1000*SER_hh_tes!U24/SER_hh_num!U24)</f>
        <v>15173.28984864734</v>
      </c>
      <c r="V24" s="132">
        <f>IF(SER_hh_tes!V24=0,0,11630*1000*SER_hh_tes!V24/SER_hh_num!V24)</f>
        <v>14809.389295285706</v>
      </c>
      <c r="W24" s="132">
        <f>IF(SER_hh_tes!W24=0,0,11630*1000*SER_hh_tes!W24/SER_hh_num!W24)</f>
        <v>15450.043466924721</v>
      </c>
      <c r="X24" s="132">
        <f>IF(SER_hh_tes!X24=0,0,11630*1000*SER_hh_tes!X24/SER_hh_num!X24)</f>
        <v>16502.512182349554</v>
      </c>
      <c r="Y24" s="132">
        <f>IF(SER_hh_tes!Y24=0,0,11630*1000*SER_hh_tes!Y24/SER_hh_num!Y24)</f>
        <v>16151.410976555599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15016.561121018822</v>
      </c>
      <c r="C25" s="132">
        <f>IF(SER_hh_tes!C25=0,0,11630*1000*SER_hh_tes!C25/SER_hh_num!C25)</f>
        <v>15249.00033474669</v>
      </c>
      <c r="D25" s="132">
        <f>IF(SER_hh_tes!D25=0,0,11630*1000*SER_hh_tes!D25/SER_hh_num!D25)</f>
        <v>14851.47556922854</v>
      </c>
      <c r="E25" s="132">
        <f>IF(SER_hh_tes!E25=0,0,11630*1000*SER_hh_tes!E25/SER_hh_num!E25)</f>
        <v>14918.910676480915</v>
      </c>
      <c r="F25" s="132">
        <f>IF(SER_hh_tes!F25=0,0,11630*1000*SER_hh_tes!F25/SER_hh_num!F25)</f>
        <v>15189.420730254231</v>
      </c>
      <c r="G25" s="132">
        <f>IF(SER_hh_tes!G25=0,0,11630*1000*SER_hh_tes!G25/SER_hh_num!G25)</f>
        <v>15813.040354712584</v>
      </c>
      <c r="H25" s="132">
        <f>IF(SER_hh_tes!H25=0,0,11630*1000*SER_hh_tes!H25/SER_hh_num!H25)</f>
        <v>17265.257404492189</v>
      </c>
      <c r="I25" s="132">
        <f>IF(SER_hh_tes!I25=0,0,11630*1000*SER_hh_tes!I25/SER_hh_num!I25)</f>
        <v>11042.551267201497</v>
      </c>
      <c r="J25" s="132">
        <f>IF(SER_hh_tes!J25=0,0,11630*1000*SER_hh_tes!J25/SER_hh_num!J25)</f>
        <v>13688.220448644986</v>
      </c>
      <c r="K25" s="132">
        <f>IF(SER_hh_tes!K25=0,0,11630*1000*SER_hh_tes!K25/SER_hh_num!K25)</f>
        <v>16364.683056536223</v>
      </c>
      <c r="L25" s="132">
        <f>IF(SER_hh_tes!L25=0,0,11630*1000*SER_hh_tes!L25/SER_hh_num!L25)</f>
        <v>14703.719525585842</v>
      </c>
      <c r="M25" s="132">
        <f>IF(SER_hh_tes!M25=0,0,11630*1000*SER_hh_tes!M25/SER_hh_num!M25)</f>
        <v>13748.991976571375</v>
      </c>
      <c r="N25" s="132">
        <f>IF(SER_hh_tes!N25=0,0,11630*1000*SER_hh_tes!N25/SER_hh_num!N25)</f>
        <v>16190.164345243378</v>
      </c>
      <c r="O25" s="132">
        <f>IF(SER_hh_tes!O25=0,0,11630*1000*SER_hh_tes!O25/SER_hh_num!O25)</f>
        <v>16546.092898884985</v>
      </c>
      <c r="P25" s="132">
        <f>IF(SER_hh_tes!P25=0,0,11630*1000*SER_hh_tes!P25/SER_hh_num!P25)</f>
        <v>14895.856996666043</v>
      </c>
      <c r="Q25" s="132">
        <f>IF(SER_hh_tes!Q25=0,0,11630*1000*SER_hh_tes!Q25/SER_hh_num!Q25)</f>
        <v>15477.759120545606</v>
      </c>
      <c r="R25" s="132">
        <f>IF(SER_hh_tes!R25=0,0,11630*1000*SER_hh_tes!R25/SER_hh_num!R25)</f>
        <v>16158.630921846214</v>
      </c>
      <c r="S25" s="132">
        <f>IF(SER_hh_tes!S25=0,0,11630*1000*SER_hh_tes!S25/SER_hh_num!S25)</f>
        <v>15335.997924588806</v>
      </c>
      <c r="T25" s="132">
        <f>IF(SER_hh_tes!T25=0,0,11630*1000*SER_hh_tes!T25/SER_hh_num!T25)</f>
        <v>16999.807334737885</v>
      </c>
      <c r="U25" s="132">
        <f>IF(SER_hh_tes!U25=0,0,11630*1000*SER_hh_tes!U25/SER_hh_num!U25)</f>
        <v>15775.34426710918</v>
      </c>
      <c r="V25" s="132">
        <f>IF(SER_hh_tes!V25=0,0,11630*1000*SER_hh_tes!V25/SER_hh_num!V25)</f>
        <v>15866.369832826027</v>
      </c>
      <c r="W25" s="132">
        <f>IF(SER_hh_tes!W25=0,0,11630*1000*SER_hh_tes!W25/SER_hh_num!W25)</f>
        <v>14824.244900601429</v>
      </c>
      <c r="X25" s="132">
        <f>IF(SER_hh_tes!X25=0,0,11630*1000*SER_hh_tes!X25/SER_hh_num!X25)</f>
        <v>15733.666668129015</v>
      </c>
      <c r="Y25" s="132">
        <f>IF(SER_hh_tes!Y25=0,0,11630*1000*SER_hh_tes!Y25/SER_hh_num!Y25)</f>
        <v>15472.127516957813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15397.364797439897</v>
      </c>
      <c r="C26" s="65">
        <f>IF(SER_hh_tes!C26=0,0,11630*1000*SER_hh_tes!C26/SER_hh_num!C26)</f>
        <v>14947.622921991422</v>
      </c>
      <c r="D26" s="65">
        <f>IF(SER_hh_tes!D26=0,0,11630*1000*SER_hh_tes!D26/SER_hh_num!D26)</f>
        <v>15131.25783879224</v>
      </c>
      <c r="E26" s="65">
        <f>IF(SER_hh_tes!E26=0,0,11630*1000*SER_hh_tes!E26/SER_hh_num!E26)</f>
        <v>14468.716545480516</v>
      </c>
      <c r="F26" s="65">
        <f>IF(SER_hh_tes!F26=0,0,11630*1000*SER_hh_tes!F26/SER_hh_num!F26)</f>
        <v>15084.441518276251</v>
      </c>
      <c r="G26" s="65">
        <f>IF(SER_hh_tes!G26=0,0,11630*1000*SER_hh_tes!G26/SER_hh_num!G26)</f>
        <v>14952.163149329994</v>
      </c>
      <c r="H26" s="65">
        <f>IF(SER_hh_tes!H26=0,0,11630*1000*SER_hh_tes!H26/SER_hh_num!H26)</f>
        <v>14539.7756608746</v>
      </c>
      <c r="I26" s="65">
        <f>IF(SER_hh_tes!I26=0,0,11630*1000*SER_hh_tes!I26/SER_hh_num!I26)</f>
        <v>14898.915064386003</v>
      </c>
      <c r="J26" s="65">
        <f>IF(SER_hh_tes!J26=0,0,11630*1000*SER_hh_tes!J26/SER_hh_num!J26)</f>
        <v>15094.525296036192</v>
      </c>
      <c r="K26" s="65">
        <f>IF(SER_hh_tes!K26=0,0,11630*1000*SER_hh_tes!K26/SER_hh_num!K26)</f>
        <v>14940.905129472476</v>
      </c>
      <c r="L26" s="65">
        <f>IF(SER_hh_tes!L26=0,0,11630*1000*SER_hh_tes!L26/SER_hh_num!L26)</f>
        <v>15154.986535498449</v>
      </c>
      <c r="M26" s="65">
        <f>IF(SER_hh_tes!M26=0,0,11630*1000*SER_hh_tes!M26/SER_hh_num!M26)</f>
        <v>14924.388351350957</v>
      </c>
      <c r="N26" s="65">
        <f>IF(SER_hh_tes!N26=0,0,11630*1000*SER_hh_tes!N26/SER_hh_num!N26)</f>
        <v>15668.209057558064</v>
      </c>
      <c r="O26" s="65">
        <f>IF(SER_hh_tes!O26=0,0,11630*1000*SER_hh_tes!O26/SER_hh_num!O26)</f>
        <v>15582.329583587087</v>
      </c>
      <c r="P26" s="65">
        <f>IF(SER_hh_tes!P26=0,0,11630*1000*SER_hh_tes!P26/SER_hh_num!P26)</f>
        <v>15701.194970663404</v>
      </c>
      <c r="Q26" s="65">
        <f>IF(SER_hh_tes!Q26=0,0,11630*1000*SER_hh_tes!Q26/SER_hh_num!Q26)</f>
        <v>15616.881761220113</v>
      </c>
      <c r="R26" s="65">
        <f>IF(SER_hh_tes!R26=0,0,11630*1000*SER_hh_tes!R26/SER_hh_num!R26)</f>
        <v>15692.32237992312</v>
      </c>
      <c r="S26" s="65">
        <f>IF(SER_hh_tes!S26=0,0,11630*1000*SER_hh_tes!S26/SER_hh_num!S26)</f>
        <v>15599.233920014749</v>
      </c>
      <c r="T26" s="65">
        <f>IF(SER_hh_tes!T26=0,0,11630*1000*SER_hh_tes!T26/SER_hh_num!T26)</f>
        <v>16158.031316599647</v>
      </c>
      <c r="U26" s="65">
        <f>IF(SER_hh_tes!U26=0,0,11630*1000*SER_hh_tes!U26/SER_hh_num!U26)</f>
        <v>15746.468914967416</v>
      </c>
      <c r="V26" s="65">
        <f>IF(SER_hh_tes!V26=0,0,11630*1000*SER_hh_tes!V26/SER_hh_num!V26)</f>
        <v>14381.961970984255</v>
      </c>
      <c r="W26" s="65">
        <f>IF(SER_hh_tes!W26=0,0,11630*1000*SER_hh_tes!W26/SER_hh_num!W26)</f>
        <v>15395.04435589171</v>
      </c>
      <c r="X26" s="65">
        <f>IF(SER_hh_tes!X26=0,0,11630*1000*SER_hh_tes!X26/SER_hh_num!X26)</f>
        <v>15630.860074981805</v>
      </c>
      <c r="Y26" s="65">
        <f>IF(SER_hh_tes!Y26=0,0,11630*1000*SER_hh_tes!Y26/SER_hh_num!Y26)</f>
        <v>15881.19701467173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20.68161562976703</v>
      </c>
      <c r="H27" s="145">
        <f>IF(SER_hh_tes!H27=0,0,11630*1000*SER_hh_tes!H27/SER_hh_num!H19)</f>
        <v>20.926719743291493</v>
      </c>
      <c r="I27" s="145">
        <f>IF(SER_hh_tes!I27=0,0,11630*1000*SER_hh_tes!I27/SER_hh_num!I19)</f>
        <v>23.257564178120699</v>
      </c>
      <c r="J27" s="145">
        <f>IF(SER_hh_tes!J27=0,0,11630*1000*SER_hh_tes!J27/SER_hh_num!J19)</f>
        <v>27.723784358406494</v>
      </c>
      <c r="K27" s="145">
        <f>IF(SER_hh_tes!K27=0,0,11630*1000*SER_hh_tes!K27/SER_hh_num!K19)</f>
        <v>32.046287021782767</v>
      </c>
      <c r="L27" s="145">
        <f>IF(SER_hh_tes!L27=0,0,11630*1000*SER_hh_tes!L27/SER_hh_num!L19)</f>
        <v>36.641252401254157</v>
      </c>
      <c r="M27" s="145">
        <f>IF(SER_hh_tes!M27=0,0,11630*1000*SER_hh_tes!M27/SER_hh_num!M19)</f>
        <v>58.556589270883912</v>
      </c>
      <c r="N27" s="145">
        <f>IF(SER_hh_tes!N27=0,0,11630*1000*SER_hh_tes!N27/SER_hh_num!N19)</f>
        <v>93.642724564414081</v>
      </c>
      <c r="O27" s="145">
        <f>IF(SER_hh_tes!O27=0,0,11630*1000*SER_hh_tes!O27/SER_hh_num!O19)</f>
        <v>106.89358340969518</v>
      </c>
      <c r="P27" s="145">
        <f>IF(SER_hh_tes!P27=0,0,11630*1000*SER_hh_tes!P27/SER_hh_num!P19)</f>
        <v>114.30984789015749</v>
      </c>
      <c r="Q27" s="145">
        <f>IF(SER_hh_tes!Q27=0,0,11630*1000*SER_hh_tes!Q27/SER_hh_num!Q19)</f>
        <v>121.76957356844851</v>
      </c>
      <c r="R27" s="145">
        <f>IF(SER_hh_tes!R27=0,0,11630*1000*SER_hh_tes!R27/SER_hh_num!R19)</f>
        <v>126.26070806662099</v>
      </c>
      <c r="S27" s="145">
        <f>IF(SER_hh_tes!S27=0,0,11630*1000*SER_hh_tes!S27/SER_hh_num!S19)</f>
        <v>129.31740487410843</v>
      </c>
      <c r="T27" s="145">
        <f>IF(SER_hh_tes!T27=0,0,11630*1000*SER_hh_tes!T27/SER_hh_num!T19)</f>
        <v>131.4109547199694</v>
      </c>
      <c r="U27" s="145">
        <f>IF(SER_hh_tes!U27=0,0,11630*1000*SER_hh_tes!U27/SER_hh_num!U19)</f>
        <v>134.20880734483487</v>
      </c>
      <c r="V27" s="145">
        <f>IF(SER_hh_tes!V27=0,0,11630*1000*SER_hh_tes!V27/SER_hh_num!V19)</f>
        <v>134.86709811434079</v>
      </c>
      <c r="W27" s="145">
        <f>IF(SER_hh_tes!W27=0,0,11630*1000*SER_hh_tes!W27/SER_hh_num!W19)</f>
        <v>133.27694441151473</v>
      </c>
      <c r="X27" s="145">
        <f>IF(SER_hh_tes!X27=0,0,11630*1000*SER_hh_tes!X27/SER_hh_num!X19)</f>
        <v>129.18112974209475</v>
      </c>
      <c r="Y27" s="145">
        <f>IF(SER_hh_tes!Y27=0,0,11630*1000*SER_hh_tes!Y27/SER_hh_num!Y19)</f>
        <v>128.20904231126516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11825.062579315594</v>
      </c>
      <c r="H28" s="146">
        <f>IF(SER_hh_tes!H27=0,0,11630*1000*SER_hh_tes!H27/SER_hh_num!H27)</f>
        <v>11796.135961797661</v>
      </c>
      <c r="I28" s="146">
        <f>IF(SER_hh_tes!I27=0,0,11630*1000*SER_hh_tes!I27/SER_hh_num!I27)</f>
        <v>11055.742325975971</v>
      </c>
      <c r="J28" s="146">
        <f>IF(SER_hh_tes!J27=0,0,11630*1000*SER_hh_tes!J27/SER_hh_num!J27)</f>
        <v>11594.202460137727</v>
      </c>
      <c r="K28" s="146">
        <f>IF(SER_hh_tes!K27=0,0,11630*1000*SER_hh_tes!K27/SER_hh_num!K27)</f>
        <v>12127.536772001687</v>
      </c>
      <c r="L28" s="146">
        <f>IF(SER_hh_tes!L27=0,0,11630*1000*SER_hh_tes!L27/SER_hh_num!L27)</f>
        <v>8391.6371412562075</v>
      </c>
      <c r="M28" s="146">
        <f>IF(SER_hh_tes!M27=0,0,11630*1000*SER_hh_tes!M27/SER_hh_num!M27)</f>
        <v>12062.651826929769</v>
      </c>
      <c r="N28" s="146">
        <f>IF(SER_hh_tes!N27=0,0,11630*1000*SER_hh_tes!N27/SER_hh_num!N27)</f>
        <v>11383.306515327889</v>
      </c>
      <c r="O28" s="146">
        <f>IF(SER_hh_tes!O27=0,0,11630*1000*SER_hh_tes!O27/SER_hh_num!O27)</f>
        <v>11361.791714345274</v>
      </c>
      <c r="P28" s="146">
        <f>IF(SER_hh_tes!P27=0,0,11630*1000*SER_hh_tes!P27/SER_hh_num!P27)</f>
        <v>12904.470841318469</v>
      </c>
      <c r="Q28" s="146">
        <f>IF(SER_hh_tes!Q27=0,0,11630*1000*SER_hh_tes!Q27/SER_hh_num!Q27)</f>
        <v>12443.975061755118</v>
      </c>
      <c r="R28" s="146">
        <f>IF(SER_hh_tes!R27=0,0,11630*1000*SER_hh_tes!R27/SER_hh_num!R27)</f>
        <v>12471.387880633243</v>
      </c>
      <c r="S28" s="146">
        <f>IF(SER_hh_tes!S27=0,0,11630*1000*SER_hh_tes!S27/SER_hh_num!S27)</f>
        <v>12225.553051985647</v>
      </c>
      <c r="T28" s="146">
        <f>IF(SER_hh_tes!T27=0,0,11630*1000*SER_hh_tes!T27/SER_hh_num!T27)</f>
        <v>12437.703745834258</v>
      </c>
      <c r="U28" s="146">
        <f>IF(SER_hh_tes!U27=0,0,11630*1000*SER_hh_tes!U27/SER_hh_num!U27)</f>
        <v>12429.825426880003</v>
      </c>
      <c r="V28" s="146">
        <f>IF(SER_hh_tes!V27=0,0,11630*1000*SER_hh_tes!V27/SER_hh_num!V27)</f>
        <v>11623.034804389517</v>
      </c>
      <c r="W28" s="146">
        <f>IF(SER_hh_tes!W27=0,0,11630*1000*SER_hh_tes!W27/SER_hh_num!W27)</f>
        <v>12195.85348554868</v>
      </c>
      <c r="X28" s="146">
        <f>IF(SER_hh_tes!X27=0,0,11630*1000*SER_hh_tes!X27/SER_hh_num!X27)</f>
        <v>14726.568228512217</v>
      </c>
      <c r="Y28" s="146">
        <f>IF(SER_hh_tes!Y27=0,0,11630*1000*SER_hh_tes!Y27/SER_hh_num!Y27)</f>
        <v>14846.531671476949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14019.554149628564</v>
      </c>
      <c r="C29" s="130">
        <f>IF(SER_hh_tes!C29=0,0,11630*1000*SER_hh_tes!C29/SER_hh_num!C29)</f>
        <v>14093.106259708396</v>
      </c>
      <c r="D29" s="130">
        <f>IF(SER_hh_tes!D29=0,0,11630*1000*SER_hh_tes!D29/SER_hh_num!D29)</f>
        <v>14139.970537496381</v>
      </c>
      <c r="E29" s="130">
        <f>IF(SER_hh_tes!E29=0,0,11630*1000*SER_hh_tes!E29/SER_hh_num!E29)</f>
        <v>13938.451740518556</v>
      </c>
      <c r="F29" s="130">
        <f>IF(SER_hh_tes!F29=0,0,11630*1000*SER_hh_tes!F29/SER_hh_num!F29)</f>
        <v>14190.97460876287</v>
      </c>
      <c r="G29" s="130">
        <f>IF(SER_hh_tes!G29=0,0,11630*1000*SER_hh_tes!G29/SER_hh_num!G29)</f>
        <v>14254.993759259354</v>
      </c>
      <c r="H29" s="130">
        <f>IF(SER_hh_tes!H29=0,0,11630*1000*SER_hh_tes!H29/SER_hh_num!H29)</f>
        <v>14219.476490145185</v>
      </c>
      <c r="I29" s="130">
        <f>IF(SER_hh_tes!I29=0,0,11630*1000*SER_hh_tes!I29/SER_hh_num!I29)</f>
        <v>14391.142137921903</v>
      </c>
      <c r="J29" s="130">
        <f>IF(SER_hh_tes!J29=0,0,11630*1000*SER_hh_tes!J29/SER_hh_num!J29)</f>
        <v>14593.357771882598</v>
      </c>
      <c r="K29" s="130">
        <f>IF(SER_hh_tes!K29=0,0,11630*1000*SER_hh_tes!K29/SER_hh_num!K29)</f>
        <v>15077.841407692049</v>
      </c>
      <c r="L29" s="130">
        <f>IF(SER_hh_tes!L29=0,0,11630*1000*SER_hh_tes!L29/SER_hh_num!L29)</f>
        <v>15319.088002377443</v>
      </c>
      <c r="M29" s="130">
        <f>IF(SER_hh_tes!M29=0,0,11630*1000*SER_hh_tes!M29/SER_hh_num!M29)</f>
        <v>14515.330657713874</v>
      </c>
      <c r="N29" s="130">
        <f>IF(SER_hh_tes!N29=0,0,11630*1000*SER_hh_tes!N29/SER_hh_num!N29)</f>
        <v>15583.968857682943</v>
      </c>
      <c r="O29" s="130">
        <f>IF(SER_hh_tes!O29=0,0,11630*1000*SER_hh_tes!O29/SER_hh_num!O29)</f>
        <v>15672.097139920232</v>
      </c>
      <c r="P29" s="130">
        <f>IF(SER_hh_tes!P29=0,0,11630*1000*SER_hh_tes!P29/SER_hh_num!P29)</f>
        <v>15654.910622480304</v>
      </c>
      <c r="Q29" s="130">
        <f>IF(SER_hh_tes!Q29=0,0,11630*1000*SER_hh_tes!Q29/SER_hh_num!Q29)</f>
        <v>15782.712579768318</v>
      </c>
      <c r="R29" s="130">
        <f>IF(SER_hh_tes!R29=0,0,11630*1000*SER_hh_tes!R29/SER_hh_num!R29)</f>
        <v>16079.782016657302</v>
      </c>
      <c r="S29" s="130">
        <f>IF(SER_hh_tes!S29=0,0,11630*1000*SER_hh_tes!S29/SER_hh_num!S29)</f>
        <v>15984.229754260026</v>
      </c>
      <c r="T29" s="130">
        <f>IF(SER_hh_tes!T29=0,0,11630*1000*SER_hh_tes!T29/SER_hh_num!T29)</f>
        <v>16335.31485950973</v>
      </c>
      <c r="U29" s="130">
        <f>IF(SER_hh_tes!U29=0,0,11630*1000*SER_hh_tes!U29/SER_hh_num!U29)</f>
        <v>16180.178694674831</v>
      </c>
      <c r="V29" s="130">
        <f>IF(SER_hh_tes!V29=0,0,11630*1000*SER_hh_tes!V29/SER_hh_num!V29)</f>
        <v>14811.244492037971</v>
      </c>
      <c r="W29" s="130">
        <f>IF(SER_hh_tes!W29=0,0,11630*1000*SER_hh_tes!W29/SER_hh_num!W29)</f>
        <v>15354.30319321776</v>
      </c>
      <c r="X29" s="130">
        <f>IF(SER_hh_tes!X29=0,0,11630*1000*SER_hh_tes!X29/SER_hh_num!X29)</f>
        <v>15887.87801526381</v>
      </c>
      <c r="Y29" s="130">
        <f>IF(SER_hh_tes!Y29=0,0,11630*1000*SER_hh_tes!Y29/SER_hh_num!Y29)</f>
        <v>16177.070504206964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18691.385628359782</v>
      </c>
      <c r="C30" s="132">
        <f>IF(SER_hh_tes!C30=0,0,11630*1000*SER_hh_tes!C30/SER_hh_num!C30)</f>
        <v>6391.8590411812702</v>
      </c>
      <c r="D30" s="132">
        <f>IF(SER_hh_tes!D30=0,0,11630*1000*SER_hh_tes!D30/SER_hh_num!D30)</f>
        <v>15617.866528494591</v>
      </c>
      <c r="E30" s="132">
        <f>IF(SER_hh_tes!E30=0,0,11630*1000*SER_hh_tes!E30/SER_hh_num!E30)</f>
        <v>15440.776545291204</v>
      </c>
      <c r="F30" s="132">
        <f>IF(SER_hh_tes!F30=0,0,11630*1000*SER_hh_tes!F30/SER_hh_num!F30)</f>
        <v>16967.600163003794</v>
      </c>
      <c r="G30" s="132">
        <f>IF(SER_hh_tes!G30=0,0,11630*1000*SER_hh_tes!G30/SER_hh_num!G30)</f>
        <v>14001.181264193854</v>
      </c>
      <c r="H30" s="132">
        <f>IF(SER_hh_tes!H30=0,0,11630*1000*SER_hh_tes!H30/SER_hh_num!H30)</f>
        <v>12472.249655251249</v>
      </c>
      <c r="I30" s="132">
        <f>IF(SER_hh_tes!I30=0,0,11630*1000*SER_hh_tes!I30/SER_hh_num!I30)</f>
        <v>14004.693048406263</v>
      </c>
      <c r="J30" s="132">
        <f>IF(SER_hh_tes!J30=0,0,11630*1000*SER_hh_tes!J30/SER_hh_num!J30)</f>
        <v>15455.167424705618</v>
      </c>
      <c r="K30" s="132">
        <f>IF(SER_hh_tes!K30=0,0,11630*1000*SER_hh_tes!K30/SER_hh_num!K30)</f>
        <v>15268.169455261383</v>
      </c>
      <c r="L30" s="132">
        <f>IF(SER_hh_tes!L30=0,0,11630*1000*SER_hh_tes!L30/SER_hh_num!L30)</f>
        <v>17210.838398038602</v>
      </c>
      <c r="M30" s="132">
        <f>IF(SER_hh_tes!M30=0,0,11630*1000*SER_hh_tes!M30/SER_hh_num!M30)</f>
        <v>12365.276747192755</v>
      </c>
      <c r="N30" s="132">
        <f>IF(SER_hh_tes!N30=0,0,11630*1000*SER_hh_tes!N30/SER_hh_num!N30)</f>
        <v>16528.146758751773</v>
      </c>
      <c r="O30" s="132">
        <f>IF(SER_hh_tes!O30=0,0,11630*1000*SER_hh_tes!O30/SER_hh_num!O30)</f>
        <v>14838.255445809362</v>
      </c>
      <c r="P30" s="132">
        <f>IF(SER_hh_tes!P30=0,0,11630*1000*SER_hh_tes!P30/SER_hh_num!P30)</f>
        <v>14219.307011212564</v>
      </c>
      <c r="Q30" s="132">
        <f>IF(SER_hh_tes!Q30=0,0,11630*1000*SER_hh_tes!Q30/SER_hh_num!Q30)</f>
        <v>16729.797722352439</v>
      </c>
      <c r="R30" s="132">
        <f>IF(SER_hh_tes!R30=0,0,11630*1000*SER_hh_tes!R30/SER_hh_num!R30)</f>
        <v>15486.799595918505</v>
      </c>
      <c r="S30" s="132">
        <f>IF(SER_hh_tes!S30=0,0,11630*1000*SER_hh_tes!S30/SER_hh_num!S30)</f>
        <v>16610.855947521381</v>
      </c>
      <c r="T30" s="132">
        <f>IF(SER_hh_tes!T30=0,0,11630*1000*SER_hh_tes!T30/SER_hh_num!T30)</f>
        <v>16069.325221683621</v>
      </c>
      <c r="U30" s="132">
        <f>IF(SER_hh_tes!U30=0,0,11630*1000*SER_hh_tes!U30/SER_hh_num!U30)</f>
        <v>17558.754069398445</v>
      </c>
      <c r="V30" s="132">
        <f>IF(SER_hh_tes!V30=0,0,11630*1000*SER_hh_tes!V30/SER_hh_num!V30)</f>
        <v>16117.201727597281</v>
      </c>
      <c r="W30" s="132">
        <f>IF(SER_hh_tes!W30=0,0,11630*1000*SER_hh_tes!W30/SER_hh_num!W30)</f>
        <v>12093.458441738183</v>
      </c>
      <c r="X30" s="132">
        <f>IF(SER_hh_tes!X30=0,0,11630*1000*SER_hh_tes!X30/SER_hh_num!X30)</f>
        <v>15025.143475901827</v>
      </c>
      <c r="Y30" s="132">
        <f>IF(SER_hh_tes!Y30=0,0,11630*1000*SER_hh_tes!Y30/SER_hh_num!Y30)</f>
        <v>16523.245165551321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14059.618580146069</v>
      </c>
      <c r="C31" s="132">
        <f>IF(SER_hh_tes!C31=0,0,11630*1000*SER_hh_tes!C31/SER_hh_num!C31)</f>
        <v>14084.38106535491</v>
      </c>
      <c r="D31" s="132">
        <f>IF(SER_hh_tes!D31=0,0,11630*1000*SER_hh_tes!D31/SER_hh_num!D31)</f>
        <v>14044.898566327811</v>
      </c>
      <c r="E31" s="132">
        <f>IF(SER_hh_tes!E31=0,0,11630*1000*SER_hh_tes!E31/SER_hh_num!E31)</f>
        <v>14618.38750485508</v>
      </c>
      <c r="F31" s="132">
        <f>IF(SER_hh_tes!F31=0,0,11630*1000*SER_hh_tes!F31/SER_hh_num!F31)</f>
        <v>15844.65701509316</v>
      </c>
      <c r="G31" s="132">
        <f>IF(SER_hh_tes!G31=0,0,11630*1000*SER_hh_tes!G31/SER_hh_num!G31)</f>
        <v>12305.919546037358</v>
      </c>
      <c r="H31" s="132">
        <f>IF(SER_hh_tes!H31=0,0,11630*1000*SER_hh_tes!H31/SER_hh_num!H31)</f>
        <v>13420.344972132076</v>
      </c>
      <c r="I31" s="132">
        <f>IF(SER_hh_tes!I31=0,0,11630*1000*SER_hh_tes!I31/SER_hh_num!I31)</f>
        <v>14049.403018226243</v>
      </c>
      <c r="J31" s="132">
        <f>IF(SER_hh_tes!J31=0,0,11630*1000*SER_hh_tes!J31/SER_hh_num!J31)</f>
        <v>13118.126204035912</v>
      </c>
      <c r="K31" s="132">
        <f>IF(SER_hh_tes!K31=0,0,11630*1000*SER_hh_tes!K31/SER_hh_num!K31)</f>
        <v>16463.888416210986</v>
      </c>
      <c r="L31" s="132">
        <f>IF(SER_hh_tes!L31=0,0,11630*1000*SER_hh_tes!L31/SER_hh_num!L31)</f>
        <v>15282.756483111481</v>
      </c>
      <c r="M31" s="132">
        <f>IF(SER_hh_tes!M31=0,0,11630*1000*SER_hh_tes!M31/SER_hh_num!M31)</f>
        <v>15274.197733009411</v>
      </c>
      <c r="N31" s="132">
        <f>IF(SER_hh_tes!N31=0,0,11630*1000*SER_hh_tes!N31/SER_hh_num!N31)</f>
        <v>14429.999305960086</v>
      </c>
      <c r="O31" s="132">
        <f>IF(SER_hh_tes!O31=0,0,11630*1000*SER_hh_tes!O31/SER_hh_num!O31)</f>
        <v>15253.907995771582</v>
      </c>
      <c r="P31" s="132">
        <f>IF(SER_hh_tes!P31=0,0,11630*1000*SER_hh_tes!P31/SER_hh_num!P31)</f>
        <v>16038.616036151137</v>
      </c>
      <c r="Q31" s="132">
        <f>IF(SER_hh_tes!Q31=0,0,11630*1000*SER_hh_tes!Q31/SER_hh_num!Q31)</f>
        <v>16419.877238839439</v>
      </c>
      <c r="R31" s="132">
        <f>IF(SER_hh_tes!R31=0,0,11630*1000*SER_hh_tes!R31/SER_hh_num!R31)</f>
        <v>15708.799607942899</v>
      </c>
      <c r="S31" s="132">
        <f>IF(SER_hh_tes!S31=0,0,11630*1000*SER_hh_tes!S31/SER_hh_num!S31)</f>
        <v>16052.036605992877</v>
      </c>
      <c r="T31" s="132">
        <f>IF(SER_hh_tes!T31=0,0,11630*1000*SER_hh_tes!T31/SER_hh_num!T31)</f>
        <v>16375.838173762524</v>
      </c>
      <c r="U31" s="132">
        <f>IF(SER_hh_tes!U31=0,0,11630*1000*SER_hh_tes!U31/SER_hh_num!U31)</f>
        <v>15623.365641113249</v>
      </c>
      <c r="V31" s="132">
        <f>IF(SER_hh_tes!V31=0,0,11630*1000*SER_hh_tes!V31/SER_hh_num!V31)</f>
        <v>13886.744625187017</v>
      </c>
      <c r="W31" s="132">
        <f>IF(SER_hh_tes!W31=0,0,11630*1000*SER_hh_tes!W31/SER_hh_num!W31)</f>
        <v>19556.325932234136</v>
      </c>
      <c r="X31" s="132">
        <f>IF(SER_hh_tes!X31=0,0,11630*1000*SER_hh_tes!X31/SER_hh_num!X31)</f>
        <v>16443.989586375039</v>
      </c>
      <c r="Y31" s="132">
        <f>IF(SER_hh_tes!Y31=0,0,11630*1000*SER_hh_tes!Y31/SER_hh_num!Y31)</f>
        <v>15684.010183811373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12989.640250521428</v>
      </c>
      <c r="C33" s="68">
        <f>IF(SER_hh_tes!C33=0,0,11630*1000*SER_hh_tes!C33/SER_hh_num!C33)</f>
        <v>15811.131600162909</v>
      </c>
      <c r="D33" s="68">
        <f>IF(SER_hh_tes!D33=0,0,11630*1000*SER_hh_tes!D33/SER_hh_num!D33)</f>
        <v>13678.990362365526</v>
      </c>
      <c r="E33" s="68">
        <f>IF(SER_hh_tes!E33=0,0,11630*1000*SER_hh_tes!E33/SER_hh_num!E33)</f>
        <v>12770.702252325198</v>
      </c>
      <c r="F33" s="68">
        <f>IF(SER_hh_tes!F33=0,0,11630*1000*SER_hh_tes!F33/SER_hh_num!F33)</f>
        <v>11957.689002504843</v>
      </c>
      <c r="G33" s="68">
        <f>IF(SER_hh_tes!G33=0,0,11630*1000*SER_hh_tes!G33/SER_hh_num!G33)</f>
        <v>15252.958022908006</v>
      </c>
      <c r="H33" s="68">
        <f>IF(SER_hh_tes!H33=0,0,11630*1000*SER_hh_tes!H33/SER_hh_num!H33)</f>
        <v>15034.000095826632</v>
      </c>
      <c r="I33" s="68">
        <f>IF(SER_hh_tes!I33=0,0,11630*1000*SER_hh_tes!I33/SER_hh_num!I33)</f>
        <v>14615.19124564188</v>
      </c>
      <c r="J33" s="68">
        <f>IF(SER_hh_tes!J33=0,0,11630*1000*SER_hh_tes!J33/SER_hh_num!J33)</f>
        <v>14859.937605037685</v>
      </c>
      <c r="K33" s="68">
        <f>IF(SER_hh_tes!K33=0,0,11630*1000*SER_hh_tes!K33/SER_hh_num!K33)</f>
        <v>14468.653191343068</v>
      </c>
      <c r="L33" s="68">
        <f>IF(SER_hh_tes!L33=0,0,11630*1000*SER_hh_tes!L33/SER_hh_num!L33)</f>
        <v>14810.908439961442</v>
      </c>
      <c r="M33" s="68">
        <f>IF(SER_hh_tes!M33=0,0,11630*1000*SER_hh_tes!M33/SER_hh_num!M33)</f>
        <v>14697.783042546103</v>
      </c>
      <c r="N33" s="68">
        <f>IF(SER_hh_tes!N33=0,0,11630*1000*SER_hh_tes!N33/SER_hh_num!N33)</f>
        <v>15825.711396906083</v>
      </c>
      <c r="O33" s="68">
        <f>IF(SER_hh_tes!O33=0,0,11630*1000*SER_hh_tes!O33/SER_hh_num!O33)</f>
        <v>15974.594946887009</v>
      </c>
      <c r="P33" s="68">
        <f>IF(SER_hh_tes!P33=0,0,11630*1000*SER_hh_tes!P33/SER_hh_num!P33)</f>
        <v>15736.280027190967</v>
      </c>
      <c r="Q33" s="68">
        <f>IF(SER_hh_tes!Q33=0,0,11630*1000*SER_hh_tes!Q33/SER_hh_num!Q33)</f>
        <v>15349.193568175524</v>
      </c>
      <c r="R33" s="68">
        <f>IF(SER_hh_tes!R33=0,0,11630*1000*SER_hh_tes!R33/SER_hh_num!R33)</f>
        <v>16338.52843341229</v>
      </c>
      <c r="S33" s="68">
        <f>IF(SER_hh_tes!S33=0,0,11630*1000*SER_hh_tes!S33/SER_hh_num!S33)</f>
        <v>15846.23932778312</v>
      </c>
      <c r="T33" s="68">
        <f>IF(SER_hh_tes!T33=0,0,11630*1000*SER_hh_tes!T33/SER_hh_num!T33)</f>
        <v>16362.451566375399</v>
      </c>
      <c r="U33" s="68">
        <f>IF(SER_hh_tes!U33=0,0,11630*1000*SER_hh_tes!U33/SER_hh_num!U33)</f>
        <v>16209.050894253494</v>
      </c>
      <c r="V33" s="68">
        <f>IF(SER_hh_tes!V33=0,0,11630*1000*SER_hh_tes!V33/SER_hh_num!V33)</f>
        <v>15056.190608713678</v>
      </c>
      <c r="W33" s="68">
        <f>IF(SER_hh_tes!W33=0,0,11630*1000*SER_hh_tes!W33/SER_hh_num!W33)</f>
        <v>13902.107456669437</v>
      </c>
      <c r="X33" s="68">
        <f>IF(SER_hh_tes!X33=0,0,11630*1000*SER_hh_tes!X33/SER_hh_num!X33)</f>
        <v>15744.751949836229</v>
      </c>
      <c r="Y33" s="68">
        <f>IF(SER_hh_tes!Y33=0,0,11630*1000*SER_hh_tes!Y33/SER_hh_num!Y33)</f>
        <v>16337.123245917785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29930.638359196968</v>
      </c>
      <c r="C3" s="125">
        <f>IF(SER_hh_emi!C3=0,0,1000000*SER_hh_emi!C3/SER_hh_num!C3)</f>
        <v>30610.601038688867</v>
      </c>
      <c r="D3" s="125">
        <f>IF(SER_hh_emi!D3=0,0,1000000*SER_hh_emi!D3/SER_hh_num!D3)</f>
        <v>27013.350502915579</v>
      </c>
      <c r="E3" s="125">
        <f>IF(SER_hh_emi!E3=0,0,1000000*SER_hh_emi!E3/SER_hh_num!E3)</f>
        <v>30299.145865679176</v>
      </c>
      <c r="F3" s="125">
        <f>IF(SER_hh_emi!F3=0,0,1000000*SER_hh_emi!F3/SER_hh_num!F3)</f>
        <v>30358.353550909604</v>
      </c>
      <c r="G3" s="125">
        <f>IF(SER_hh_emi!G3=0,0,1000000*SER_hh_emi!G3/SER_hh_num!G3)</f>
        <v>28343.897628608091</v>
      </c>
      <c r="H3" s="125">
        <f>IF(SER_hh_emi!H3=0,0,1000000*SER_hh_emi!H3/SER_hh_num!H3)</f>
        <v>25285.876377790355</v>
      </c>
      <c r="I3" s="125">
        <f>IF(SER_hh_emi!I3=0,0,1000000*SER_hh_emi!I3/SER_hh_num!I3)</f>
        <v>24136.844910797103</v>
      </c>
      <c r="J3" s="125">
        <f>IF(SER_hh_emi!J3=0,0,1000000*SER_hh_emi!J3/SER_hh_num!J3)</f>
        <v>24687.28055799516</v>
      </c>
      <c r="K3" s="125">
        <f>IF(SER_hh_emi!K3=0,0,1000000*SER_hh_emi!K3/SER_hh_num!K3)</f>
        <v>26801.672183226972</v>
      </c>
      <c r="L3" s="125">
        <f>IF(SER_hh_emi!L3=0,0,1000000*SER_hh_emi!L3/SER_hh_num!L3)</f>
        <v>27243.124026687074</v>
      </c>
      <c r="M3" s="125">
        <f>IF(SER_hh_emi!M3=0,0,1000000*SER_hh_emi!M3/SER_hh_num!M3)</f>
        <v>20578.924207514774</v>
      </c>
      <c r="N3" s="125">
        <f>IF(SER_hh_emi!N3=0,0,1000000*SER_hh_emi!N3/SER_hh_num!N3)</f>
        <v>22150.451032288471</v>
      </c>
      <c r="O3" s="125">
        <f>IF(SER_hh_emi!O3=0,0,1000000*SER_hh_emi!O3/SER_hh_num!O3)</f>
        <v>23083.297173319625</v>
      </c>
      <c r="P3" s="125">
        <f>IF(SER_hh_emi!P3=0,0,1000000*SER_hh_emi!P3/SER_hh_num!P3)</f>
        <v>21339.409552254871</v>
      </c>
      <c r="Q3" s="125">
        <f>IF(SER_hh_emi!Q3=0,0,1000000*SER_hh_emi!Q3/SER_hh_num!Q3)</f>
        <v>21936.389339287191</v>
      </c>
      <c r="R3" s="125">
        <f>IF(SER_hh_emi!R3=0,0,1000000*SER_hh_emi!R3/SER_hh_num!R3)</f>
        <v>19817.785228820296</v>
      </c>
      <c r="S3" s="125">
        <f>IF(SER_hh_emi!S3=0,0,1000000*SER_hh_emi!S3/SER_hh_num!S3)</f>
        <v>21087.813320814988</v>
      </c>
      <c r="T3" s="125">
        <f>IF(SER_hh_emi!T3=0,0,1000000*SER_hh_emi!T3/SER_hh_num!T3)</f>
        <v>20462.945121388093</v>
      </c>
      <c r="U3" s="125">
        <f>IF(SER_hh_emi!U3=0,0,1000000*SER_hh_emi!U3/SER_hh_num!U3)</f>
        <v>19721.061148609544</v>
      </c>
      <c r="V3" s="125">
        <f>IF(SER_hh_emi!V3=0,0,1000000*SER_hh_emi!V3/SER_hh_num!V3)</f>
        <v>18859.860040139338</v>
      </c>
      <c r="W3" s="125">
        <f>IF(SER_hh_emi!W3=0,0,1000000*SER_hh_emi!W3/SER_hh_num!W3)</f>
        <v>19076.406718753773</v>
      </c>
      <c r="X3" s="125">
        <f>IF(SER_hh_emi!X3=0,0,1000000*SER_hh_emi!X3/SER_hh_num!X3)</f>
        <v>17850.860674672462</v>
      </c>
      <c r="Y3" s="125">
        <f>IF(SER_hh_emi!Y3=0,0,1000000*SER_hh_emi!Y3/SER_hh_num!Y3)</f>
        <v>15358.552894782864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24721.538812492821</v>
      </c>
      <c r="C4" s="130">
        <f>IF(SER_hh_emi!C4=0,0,1000000*SER_hh_emi!C4/SER_hh_num!C4)</f>
        <v>25987.278529510037</v>
      </c>
      <c r="D4" s="130">
        <f>IF(SER_hh_emi!D4=0,0,1000000*SER_hh_emi!D4/SER_hh_num!D4)</f>
        <v>21715.309009471093</v>
      </c>
      <c r="E4" s="130">
        <f>IF(SER_hh_emi!E4=0,0,1000000*SER_hh_emi!E4/SER_hh_num!E4)</f>
        <v>24842.796721971667</v>
      </c>
      <c r="F4" s="130">
        <f>IF(SER_hh_emi!F4=0,0,1000000*SER_hh_emi!F4/SER_hh_num!F4)</f>
        <v>24820.452245497141</v>
      </c>
      <c r="G4" s="130">
        <f>IF(SER_hh_emi!G4=0,0,1000000*SER_hh_emi!G4/SER_hh_num!G4)</f>
        <v>23841.622711795833</v>
      </c>
      <c r="H4" s="130">
        <f>IF(SER_hh_emi!H4=0,0,1000000*SER_hh_emi!H4/SER_hh_num!H4)</f>
        <v>21167.075198268882</v>
      </c>
      <c r="I4" s="130">
        <f>IF(SER_hh_emi!I4=0,0,1000000*SER_hh_emi!I4/SER_hh_num!I4)</f>
        <v>20047.698230809347</v>
      </c>
      <c r="J4" s="130">
        <f>IF(SER_hh_emi!J4=0,0,1000000*SER_hh_emi!J4/SER_hh_num!J4)</f>
        <v>20545.265698217834</v>
      </c>
      <c r="K4" s="130">
        <f>IF(SER_hh_emi!K4=0,0,1000000*SER_hh_emi!K4/SER_hh_num!K4)</f>
        <v>22270.868102773569</v>
      </c>
      <c r="L4" s="130">
        <f>IF(SER_hh_emi!L4=0,0,1000000*SER_hh_emi!L4/SER_hh_num!L4)</f>
        <v>22853.31511167821</v>
      </c>
      <c r="M4" s="130">
        <f>IF(SER_hh_emi!M4=0,0,1000000*SER_hh_emi!M4/SER_hh_num!M4)</f>
        <v>16698.604785944812</v>
      </c>
      <c r="N4" s="130">
        <f>IF(SER_hh_emi!N4=0,0,1000000*SER_hh_emi!N4/SER_hh_num!N4)</f>
        <v>18325.067681721084</v>
      </c>
      <c r="O4" s="130">
        <f>IF(SER_hh_emi!O4=0,0,1000000*SER_hh_emi!O4/SER_hh_num!O4)</f>
        <v>19250.92581737334</v>
      </c>
      <c r="P4" s="130">
        <f>IF(SER_hh_emi!P4=0,0,1000000*SER_hh_emi!P4/SER_hh_num!P4)</f>
        <v>17272.962836140403</v>
      </c>
      <c r="Q4" s="130">
        <f>IF(SER_hh_emi!Q4=0,0,1000000*SER_hh_emi!Q4/SER_hh_num!Q4)</f>
        <v>17640.45861928775</v>
      </c>
      <c r="R4" s="130">
        <f>IF(SER_hh_emi!R4=0,0,1000000*SER_hh_emi!R4/SER_hh_num!R4)</f>
        <v>15920.668824373055</v>
      </c>
      <c r="S4" s="130">
        <f>IF(SER_hh_emi!S4=0,0,1000000*SER_hh_emi!S4/SER_hh_num!S4)</f>
        <v>17024.807375392593</v>
      </c>
      <c r="T4" s="130">
        <f>IF(SER_hh_emi!T4=0,0,1000000*SER_hh_emi!T4/SER_hh_num!T4)</f>
        <v>16610.044269964408</v>
      </c>
      <c r="U4" s="130">
        <f>IF(SER_hh_emi!U4=0,0,1000000*SER_hh_emi!U4/SER_hh_num!U4)</f>
        <v>15976.243562507221</v>
      </c>
      <c r="V4" s="130">
        <f>IF(SER_hh_emi!V4=0,0,1000000*SER_hh_emi!V4/SER_hh_num!V4)</f>
        <v>15397.019335812607</v>
      </c>
      <c r="W4" s="130">
        <f>IF(SER_hh_emi!W4=0,0,1000000*SER_hh_emi!W4/SER_hh_num!W4)</f>
        <v>15457.304174417572</v>
      </c>
      <c r="X4" s="130">
        <f>IF(SER_hh_emi!X4=0,0,1000000*SER_hh_emi!X4/SER_hh_num!X4)</f>
        <v>14357.90679866971</v>
      </c>
      <c r="Y4" s="130">
        <f>IF(SER_hh_emi!Y4=0,0,1000000*SER_hh_emi!Y4/SER_hh_num!Y4)</f>
        <v>12131.804886732809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59496.846964617442</v>
      </c>
      <c r="C5" s="132">
        <f>IF(SER_hh_emi!C5=0,0,1000000*SER_hh_emi!C5/SER_hh_num!C5)</f>
        <v>63641.265803700611</v>
      </c>
      <c r="D5" s="132">
        <f>IF(SER_hh_emi!D5=0,0,1000000*SER_hh_emi!D5/SER_hh_num!D5)</f>
        <v>50856.698275856288</v>
      </c>
      <c r="E5" s="132">
        <f>IF(SER_hh_emi!E5=0,0,1000000*SER_hh_emi!E5/SER_hh_num!E5)</f>
        <v>60802.996343734405</v>
      </c>
      <c r="F5" s="132">
        <f>IF(SER_hh_emi!F5=0,0,1000000*SER_hh_emi!F5/SER_hh_num!F5)</f>
        <v>60786.569262523641</v>
      </c>
      <c r="G5" s="132">
        <f>IF(SER_hh_emi!G5=0,0,1000000*SER_hh_emi!G5/SER_hh_num!G5)</f>
        <v>61631.369187539261</v>
      </c>
      <c r="H5" s="132">
        <f>IF(SER_hh_emi!H5=0,0,1000000*SER_hh_emi!H5/SER_hh_num!H5)</f>
        <v>57761.227078447992</v>
      </c>
      <c r="I5" s="132">
        <f>IF(SER_hh_emi!I5=0,0,1000000*SER_hh_emi!I5/SER_hh_num!I5)</f>
        <v>54634.485702190577</v>
      </c>
      <c r="J5" s="132">
        <f>IF(SER_hh_emi!J5=0,0,1000000*SER_hh_emi!J5/SER_hh_num!J5)</f>
        <v>51325.101364763177</v>
      </c>
      <c r="K5" s="132">
        <f>IF(SER_hh_emi!K5=0,0,1000000*SER_hh_emi!K5/SER_hh_num!K5)</f>
        <v>52480.369449169382</v>
      </c>
      <c r="L5" s="132">
        <f>IF(SER_hh_emi!L5=0,0,1000000*SER_hh_emi!L5/SER_hh_num!L5)</f>
        <v>70300.620693803663</v>
      </c>
      <c r="M5" s="132">
        <f>IF(SER_hh_emi!M5=0,0,1000000*SER_hh_emi!M5/SER_hh_num!M5)</f>
        <v>28498.666802827182</v>
      </c>
      <c r="N5" s="132">
        <f>IF(SER_hh_emi!N5=0,0,1000000*SER_hh_emi!N5/SER_hh_num!N5)</f>
        <v>40909.655912374168</v>
      </c>
      <c r="O5" s="132">
        <f>IF(SER_hh_emi!O5=0,0,1000000*SER_hh_emi!O5/SER_hh_num!O5)</f>
        <v>52019.096401621267</v>
      </c>
      <c r="P5" s="132">
        <f>IF(SER_hh_emi!P5=0,0,1000000*SER_hh_emi!P5/SER_hh_num!P5)</f>
        <v>40719.956784024682</v>
      </c>
      <c r="Q5" s="132">
        <f>IF(SER_hh_emi!Q5=0,0,1000000*SER_hh_emi!Q5/SER_hh_num!Q5)</f>
        <v>43319.335706938793</v>
      </c>
      <c r="R5" s="132">
        <f>IF(SER_hh_emi!R5=0,0,1000000*SER_hh_emi!R5/SER_hh_num!R5)</f>
        <v>46368.471494849851</v>
      </c>
      <c r="S5" s="132">
        <f>IF(SER_hh_emi!S5=0,0,1000000*SER_hh_emi!S5/SER_hh_num!S5)</f>
        <v>45968.261418434646</v>
      </c>
      <c r="T5" s="132">
        <f>IF(SER_hh_emi!T5=0,0,1000000*SER_hh_emi!T5/SER_hh_num!T5)</f>
        <v>42848.696205556509</v>
      </c>
      <c r="U5" s="132">
        <f>IF(SER_hh_emi!U5=0,0,1000000*SER_hh_emi!U5/SER_hh_num!U5)</f>
        <v>42487.930370160946</v>
      </c>
      <c r="V5" s="132">
        <f>IF(SER_hh_emi!V5=0,0,1000000*SER_hh_emi!V5/SER_hh_num!V5)</f>
        <v>37161.267218093111</v>
      </c>
      <c r="W5" s="132">
        <f>IF(SER_hh_emi!W5=0,0,1000000*SER_hh_emi!W5/SER_hh_num!W5)</f>
        <v>41872.434737927062</v>
      </c>
      <c r="X5" s="132">
        <f>IF(SER_hh_emi!X5=0,0,1000000*SER_hh_emi!X5/SER_hh_num!X5)</f>
        <v>35978.953782044635</v>
      </c>
      <c r="Y5" s="132">
        <f>IF(SER_hh_emi!Y5=0,0,1000000*SER_hh_emi!Y5/SER_hh_num!Y5)</f>
        <v>30282.829413506428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50297.070404293685</v>
      </c>
      <c r="C7" s="132">
        <f>IF(SER_hh_emi!C7=0,0,1000000*SER_hh_emi!C7/SER_hh_num!C7)</f>
        <v>55575.86397631366</v>
      </c>
      <c r="D7" s="132">
        <f>IF(SER_hh_emi!D7=0,0,1000000*SER_hh_emi!D7/SER_hh_num!D7)</f>
        <v>49075.66582087773</v>
      </c>
      <c r="E7" s="132">
        <f>IF(SER_hh_emi!E7=0,0,1000000*SER_hh_emi!E7/SER_hh_num!E7)</f>
        <v>53314.080038456894</v>
      </c>
      <c r="F7" s="132">
        <f>IF(SER_hh_emi!F7=0,0,1000000*SER_hh_emi!F7/SER_hh_num!F7)</f>
        <v>54822.502509758975</v>
      </c>
      <c r="G7" s="132">
        <f>IF(SER_hh_emi!G7=0,0,1000000*SER_hh_emi!G7/SER_hh_num!G7)</f>
        <v>53381.180054886085</v>
      </c>
      <c r="H7" s="132">
        <f>IF(SER_hh_emi!H7=0,0,1000000*SER_hh_emi!H7/SER_hh_num!H7)</f>
        <v>49326.905864897381</v>
      </c>
      <c r="I7" s="132">
        <f>IF(SER_hh_emi!I7=0,0,1000000*SER_hh_emi!I7/SER_hh_num!I7)</f>
        <v>42419.867558611528</v>
      </c>
      <c r="J7" s="132">
        <f>IF(SER_hh_emi!J7=0,0,1000000*SER_hh_emi!J7/SER_hh_num!J7)</f>
        <v>50308.445702674282</v>
      </c>
      <c r="K7" s="132">
        <f>IF(SER_hh_emi!K7=0,0,1000000*SER_hh_emi!K7/SER_hh_num!K7)</f>
        <v>49246.679612659282</v>
      </c>
      <c r="L7" s="132">
        <f>IF(SER_hh_emi!L7=0,0,1000000*SER_hh_emi!L7/SER_hh_num!L7)</f>
        <v>47949.593764693054</v>
      </c>
      <c r="M7" s="132">
        <f>IF(SER_hh_emi!M7=0,0,1000000*SER_hh_emi!M7/SER_hh_num!M7)</f>
        <v>40697.996949883061</v>
      </c>
      <c r="N7" s="132">
        <f>IF(SER_hh_emi!N7=0,0,1000000*SER_hh_emi!N7/SER_hh_num!N7)</f>
        <v>40670.349848916936</v>
      </c>
      <c r="O7" s="132">
        <f>IF(SER_hh_emi!O7=0,0,1000000*SER_hh_emi!O7/SER_hh_num!O7)</f>
        <v>40822.166247881411</v>
      </c>
      <c r="P7" s="132">
        <f>IF(SER_hh_emi!P7=0,0,1000000*SER_hh_emi!P7/SER_hh_num!P7)</f>
        <v>41933.64574313206</v>
      </c>
      <c r="Q7" s="132">
        <f>IF(SER_hh_emi!Q7=0,0,1000000*SER_hh_emi!Q7/SER_hh_num!Q7)</f>
        <v>42004.778436057888</v>
      </c>
      <c r="R7" s="132">
        <f>IF(SER_hh_emi!R7=0,0,1000000*SER_hh_emi!R7/SER_hh_num!R7)</f>
        <v>33944.413752053246</v>
      </c>
      <c r="S7" s="132">
        <f>IF(SER_hh_emi!S7=0,0,1000000*SER_hh_emi!S7/SER_hh_num!S7)</f>
        <v>40591.490657830254</v>
      </c>
      <c r="T7" s="132">
        <f>IF(SER_hh_emi!T7=0,0,1000000*SER_hh_emi!T7/SER_hh_num!T7)</f>
        <v>37334.281252804154</v>
      </c>
      <c r="U7" s="132">
        <f>IF(SER_hh_emi!U7=0,0,1000000*SER_hh_emi!U7/SER_hh_num!U7)</f>
        <v>35377.076240290218</v>
      </c>
      <c r="V7" s="132">
        <f>IF(SER_hh_emi!V7=0,0,1000000*SER_hh_emi!V7/SER_hh_num!V7)</f>
        <v>36994.948090540813</v>
      </c>
      <c r="W7" s="132">
        <f>IF(SER_hh_emi!W7=0,0,1000000*SER_hh_emi!W7/SER_hh_num!W7)</f>
        <v>31879.923690342996</v>
      </c>
      <c r="X7" s="132">
        <f>IF(SER_hh_emi!X7=0,0,1000000*SER_hh_emi!X7/SER_hh_num!X7)</f>
        <v>33932.022432755177</v>
      </c>
      <c r="Y7" s="132">
        <f>IF(SER_hh_emi!Y7=0,0,1000000*SER_hh_emi!Y7/SER_hh_num!Y7)</f>
        <v>26159.024408250029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13259.72582725332</v>
      </c>
      <c r="C8" s="132">
        <f>IF(SER_hh_emi!C8=0,0,1000000*SER_hh_emi!C8/SER_hh_num!C8)</f>
        <v>14985.230693153768</v>
      </c>
      <c r="D8" s="132">
        <f>IF(SER_hh_emi!D8=0,0,1000000*SER_hh_emi!D8/SER_hh_num!D8)</f>
        <v>11724.235839970268</v>
      </c>
      <c r="E8" s="132">
        <f>IF(SER_hh_emi!E8=0,0,1000000*SER_hh_emi!E8/SER_hh_num!E8)</f>
        <v>12208.625464531166</v>
      </c>
      <c r="F8" s="132">
        <f>IF(SER_hh_emi!F8=0,0,1000000*SER_hh_emi!F8/SER_hh_num!F8)</f>
        <v>10950.268096187248</v>
      </c>
      <c r="G8" s="132">
        <f>IF(SER_hh_emi!G8=0,0,1000000*SER_hh_emi!G8/SER_hh_num!G8)</f>
        <v>14354.416172591211</v>
      </c>
      <c r="H8" s="132">
        <f>IF(SER_hh_emi!H8=0,0,1000000*SER_hh_emi!H8/SER_hh_num!H8)</f>
        <v>12522.101881121358</v>
      </c>
      <c r="I8" s="132">
        <f>IF(SER_hh_emi!I8=0,0,1000000*SER_hh_emi!I8/SER_hh_num!I8)</f>
        <v>12317.122184505932</v>
      </c>
      <c r="J8" s="132">
        <f>IF(SER_hh_emi!J8=0,0,1000000*SER_hh_emi!J8/SER_hh_num!J8)</f>
        <v>12613.09223288326</v>
      </c>
      <c r="K8" s="132">
        <f>IF(SER_hh_emi!K8=0,0,1000000*SER_hh_emi!K8/SER_hh_num!K8)</f>
        <v>9720.8993968072355</v>
      </c>
      <c r="L8" s="132">
        <f>IF(SER_hh_emi!L8=0,0,1000000*SER_hh_emi!L8/SER_hh_num!L8)</f>
        <v>7964.5367048199478</v>
      </c>
      <c r="M8" s="132">
        <f>IF(SER_hh_emi!M8=0,0,1000000*SER_hh_emi!M8/SER_hh_num!M8)</f>
        <v>10518.942939436925</v>
      </c>
      <c r="N8" s="132">
        <f>IF(SER_hh_emi!N8=0,0,1000000*SER_hh_emi!N8/SER_hh_num!N8)</f>
        <v>9314.2094247846089</v>
      </c>
      <c r="O8" s="132">
        <f>IF(SER_hh_emi!O8=0,0,1000000*SER_hh_emi!O8/SER_hh_num!O8)</f>
        <v>9843.738117206336</v>
      </c>
      <c r="P8" s="132">
        <f>IF(SER_hh_emi!P8=0,0,1000000*SER_hh_emi!P8/SER_hh_num!P8)</f>
        <v>8297.1952706174561</v>
      </c>
      <c r="Q8" s="132">
        <f>IF(SER_hh_emi!Q8=0,0,1000000*SER_hh_emi!Q8/SER_hh_num!Q8)</f>
        <v>8650.5123204748161</v>
      </c>
      <c r="R8" s="132">
        <f>IF(SER_hh_emi!R8=0,0,1000000*SER_hh_emi!R8/SER_hh_num!R8)</f>
        <v>8423.7838247644777</v>
      </c>
      <c r="S8" s="132">
        <f>IF(SER_hh_emi!S8=0,0,1000000*SER_hh_emi!S8/SER_hh_num!S8)</f>
        <v>8132.2928630467695</v>
      </c>
      <c r="T8" s="132">
        <f>IF(SER_hh_emi!T8=0,0,1000000*SER_hh_emi!T8/SER_hh_num!T8)</f>
        <v>7989.7289061497822</v>
      </c>
      <c r="U8" s="132">
        <f>IF(SER_hh_emi!U8=0,0,1000000*SER_hh_emi!U8/SER_hh_num!U8)</f>
        <v>7814.6482073019397</v>
      </c>
      <c r="V8" s="132">
        <f>IF(SER_hh_emi!V8=0,0,1000000*SER_hh_emi!V8/SER_hh_num!V8)</f>
        <v>7255.195650265513</v>
      </c>
      <c r="W8" s="132">
        <f>IF(SER_hh_emi!W8=0,0,1000000*SER_hh_emi!W8/SER_hh_num!W8)</f>
        <v>9160.029007324827</v>
      </c>
      <c r="X8" s="132">
        <f>IF(SER_hh_emi!X8=0,0,1000000*SER_hh_emi!X8/SER_hh_num!X8)</f>
        <v>5139.0398713365357</v>
      </c>
      <c r="Y8" s="132">
        <f>IF(SER_hh_emi!Y8=0,0,1000000*SER_hh_emi!Y8/SER_hh_num!Y8)</f>
        <v>6011.4983218610405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35514.244516754115</v>
      </c>
      <c r="C9" s="132">
        <f>IF(SER_hh_emi!C9=0,0,1000000*SER_hh_emi!C9/SER_hh_num!C9)</f>
        <v>37481.483118482342</v>
      </c>
      <c r="D9" s="132">
        <f>IF(SER_hh_emi!D9=0,0,1000000*SER_hh_emi!D9/SER_hh_num!D9)</f>
        <v>30515.384846943911</v>
      </c>
      <c r="E9" s="132">
        <f>IF(SER_hh_emi!E9=0,0,1000000*SER_hh_emi!E9/SER_hh_num!E9)</f>
        <v>38007.129930332674</v>
      </c>
      <c r="F9" s="132">
        <f>IF(SER_hh_emi!F9=0,0,1000000*SER_hh_emi!F9/SER_hh_num!F9)</f>
        <v>37276.156565994635</v>
      </c>
      <c r="G9" s="132">
        <f>IF(SER_hh_emi!G9=0,0,1000000*SER_hh_emi!G9/SER_hh_num!G9)</f>
        <v>37749.456387252489</v>
      </c>
      <c r="H9" s="132">
        <f>IF(SER_hh_emi!H9=0,0,1000000*SER_hh_emi!H9/SER_hh_num!H9)</f>
        <v>32399.776741802896</v>
      </c>
      <c r="I9" s="132">
        <f>IF(SER_hh_emi!I9=0,0,1000000*SER_hh_emi!I9/SER_hh_num!I9)</f>
        <v>32304.605118250514</v>
      </c>
      <c r="J9" s="132">
        <f>IF(SER_hh_emi!J9=0,0,1000000*SER_hh_emi!J9/SER_hh_num!J9)</f>
        <v>28220.61765565558</v>
      </c>
      <c r="K9" s="132">
        <f>IF(SER_hh_emi!K9=0,0,1000000*SER_hh_emi!K9/SER_hh_num!K9)</f>
        <v>33497.344110271959</v>
      </c>
      <c r="L9" s="132">
        <f>IF(SER_hh_emi!L9=0,0,1000000*SER_hh_emi!L9/SER_hh_num!L9)</f>
        <v>37036.892645048116</v>
      </c>
      <c r="M9" s="132">
        <f>IF(SER_hh_emi!M9=0,0,1000000*SER_hh_emi!M9/SER_hh_num!M9)</f>
        <v>25941.593354959536</v>
      </c>
      <c r="N9" s="132">
        <f>IF(SER_hh_emi!N9=0,0,1000000*SER_hh_emi!N9/SER_hh_num!N9)</f>
        <v>30376.892284739672</v>
      </c>
      <c r="O9" s="132">
        <f>IF(SER_hh_emi!O9=0,0,1000000*SER_hh_emi!O9/SER_hh_num!O9)</f>
        <v>31977.113136019394</v>
      </c>
      <c r="P9" s="132">
        <f>IF(SER_hh_emi!P9=0,0,1000000*SER_hh_emi!P9/SER_hh_num!P9)</f>
        <v>25655.248476108456</v>
      </c>
      <c r="Q9" s="132">
        <f>IF(SER_hh_emi!Q9=0,0,1000000*SER_hh_emi!Q9/SER_hh_num!Q9)</f>
        <v>27234.684254921336</v>
      </c>
      <c r="R9" s="132">
        <f>IF(SER_hh_emi!R9=0,0,1000000*SER_hh_emi!R9/SER_hh_num!R9)</f>
        <v>26590.982068643432</v>
      </c>
      <c r="S9" s="132">
        <f>IF(SER_hh_emi!S9=0,0,1000000*SER_hh_emi!S9/SER_hh_num!S9)</f>
        <v>26419.522196624021</v>
      </c>
      <c r="T9" s="132">
        <f>IF(SER_hh_emi!T9=0,0,1000000*SER_hh_emi!T9/SER_hh_num!T9)</f>
        <v>26161.084682506342</v>
      </c>
      <c r="U9" s="132">
        <f>IF(SER_hh_emi!U9=0,0,1000000*SER_hh_emi!U9/SER_hh_num!U9)</f>
        <v>24778.628073419415</v>
      </c>
      <c r="V9" s="132">
        <f>IF(SER_hh_emi!V9=0,0,1000000*SER_hh_emi!V9/SER_hh_num!V9)</f>
        <v>22252.170140250582</v>
      </c>
      <c r="W9" s="132">
        <f>IF(SER_hh_emi!W9=0,0,1000000*SER_hh_emi!W9/SER_hh_num!W9)</f>
        <v>23756.184371883432</v>
      </c>
      <c r="X9" s="132">
        <f>IF(SER_hh_emi!X9=0,0,1000000*SER_hh_emi!X9/SER_hh_num!X9)</f>
        <v>19699.684275720843</v>
      </c>
      <c r="Y9" s="132">
        <f>IF(SER_hh_emi!Y9=0,0,1000000*SER_hh_emi!Y9/SER_hh_num!Y9)</f>
        <v>17459.562729520338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39565.639256908973</v>
      </c>
      <c r="C10" s="132">
        <f>IF(SER_hh_emi!C10=0,0,1000000*SER_hh_emi!C10/SER_hh_num!C10)</f>
        <v>40128.614405676773</v>
      </c>
      <c r="D10" s="132">
        <f>IF(SER_hh_emi!D10=0,0,1000000*SER_hh_emi!D10/SER_hh_num!D10)</f>
        <v>39042.474039695335</v>
      </c>
      <c r="E10" s="132">
        <f>IF(SER_hh_emi!E10=0,0,1000000*SER_hh_emi!E10/SER_hh_num!E10)</f>
        <v>42254.44300133278</v>
      </c>
      <c r="F10" s="132">
        <f>IF(SER_hh_emi!F10=0,0,1000000*SER_hh_emi!F10/SER_hh_num!F10)</f>
        <v>47012.988968231824</v>
      </c>
      <c r="G10" s="132">
        <f>IF(SER_hh_emi!G10=0,0,1000000*SER_hh_emi!G10/SER_hh_num!G10)</f>
        <v>13753.035486546438</v>
      </c>
      <c r="H10" s="132">
        <f>IF(SER_hh_emi!H10=0,0,1000000*SER_hh_emi!H10/SER_hh_num!H10)</f>
        <v>11968.227984195202</v>
      </c>
      <c r="I10" s="132">
        <f>IF(SER_hh_emi!I10=0,0,1000000*SER_hh_emi!I10/SER_hh_num!I10)</f>
        <v>20008.556085412001</v>
      </c>
      <c r="J10" s="132">
        <f>IF(SER_hh_emi!J10=0,0,1000000*SER_hh_emi!J10/SER_hh_num!J10)</f>
        <v>20069.607315688841</v>
      </c>
      <c r="K10" s="132">
        <f>IF(SER_hh_emi!K10=0,0,1000000*SER_hh_emi!K10/SER_hh_num!K10)</f>
        <v>27142.381915760678</v>
      </c>
      <c r="L10" s="132">
        <f>IF(SER_hh_emi!L10=0,0,1000000*SER_hh_emi!L10/SER_hh_num!L10)</f>
        <v>23739.214628923492</v>
      </c>
      <c r="M10" s="132">
        <f>IF(SER_hh_emi!M10=0,0,1000000*SER_hh_emi!M10/SER_hh_num!M10)</f>
        <v>13194.016445715799</v>
      </c>
      <c r="N10" s="132">
        <f>IF(SER_hh_emi!N10=0,0,1000000*SER_hh_emi!N10/SER_hh_num!N10)</f>
        <v>13358.185004691266</v>
      </c>
      <c r="O10" s="132">
        <f>IF(SER_hh_emi!O10=0,0,1000000*SER_hh_emi!O10/SER_hh_num!O10)</f>
        <v>15141.415547347042</v>
      </c>
      <c r="P10" s="132">
        <f>IF(SER_hh_emi!P10=0,0,1000000*SER_hh_emi!P10/SER_hh_num!P10)</f>
        <v>11795.049150162144</v>
      </c>
      <c r="Q10" s="132">
        <f>IF(SER_hh_emi!Q10=0,0,1000000*SER_hh_emi!Q10/SER_hh_num!Q10)</f>
        <v>8477.8489796560443</v>
      </c>
      <c r="R10" s="132">
        <f>IF(SER_hh_emi!R10=0,0,1000000*SER_hh_emi!R10/SER_hh_num!R10)</f>
        <v>9821.5529557176869</v>
      </c>
      <c r="S10" s="132">
        <f>IF(SER_hh_emi!S10=0,0,1000000*SER_hh_emi!S10/SER_hh_num!S10)</f>
        <v>10747.571531634274</v>
      </c>
      <c r="T10" s="132">
        <f>IF(SER_hh_emi!T10=0,0,1000000*SER_hh_emi!T10/SER_hh_num!T10)</f>
        <v>8626.0994265443151</v>
      </c>
      <c r="U10" s="132">
        <f>IF(SER_hh_emi!U10=0,0,1000000*SER_hh_emi!U10/SER_hh_num!U10)</f>
        <v>8455.5921472610753</v>
      </c>
      <c r="V10" s="132">
        <f>IF(SER_hh_emi!V10=0,0,1000000*SER_hh_emi!V10/SER_hh_num!V10)</f>
        <v>10056.239061280856</v>
      </c>
      <c r="W10" s="132">
        <f>IF(SER_hh_emi!W10=0,0,1000000*SER_hh_emi!W10/SER_hh_num!W10)</f>
        <v>10374.136428169839</v>
      </c>
      <c r="X10" s="132">
        <f>IF(SER_hh_emi!X10=0,0,1000000*SER_hh_emi!X10/SER_hh_num!X10)</f>
        <v>15071.728728383365</v>
      </c>
      <c r="Y10" s="132">
        <f>IF(SER_hh_emi!Y10=0,0,1000000*SER_hh_emi!Y10/SER_hh_num!Y10)</f>
        <v>11030.791275903692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12.02169489776089</v>
      </c>
      <c r="C16" s="130">
        <f>IF(SER_hh_emi!C16=0,0,1000000*SER_hh_emi!C16/SER_hh_num!C16)</f>
        <v>14.006663589667895</v>
      </c>
      <c r="D16" s="130">
        <f>IF(SER_hh_emi!D16=0,0,1000000*SER_hh_emi!D16/SER_hh_num!D16)</f>
        <v>14.19921151351018</v>
      </c>
      <c r="E16" s="130">
        <f>IF(SER_hh_emi!E16=0,0,1000000*SER_hh_emi!E16/SER_hh_num!E16)</f>
        <v>35.305808378912559</v>
      </c>
      <c r="F16" s="130">
        <f>IF(SER_hh_emi!F16=0,0,1000000*SER_hh_emi!F16/SER_hh_num!F16)</f>
        <v>18.53018053066555</v>
      </c>
      <c r="G16" s="130">
        <f>IF(SER_hh_emi!G16=0,0,1000000*SER_hh_emi!G16/SER_hh_num!G16)</f>
        <v>18.874272981520804</v>
      </c>
      <c r="H16" s="130">
        <f>IF(SER_hh_emi!H16=0,0,1000000*SER_hh_emi!H16/SER_hh_num!H16)</f>
        <v>30.256950705135015</v>
      </c>
      <c r="I16" s="130">
        <f>IF(SER_hh_emi!I16=0,0,1000000*SER_hh_emi!I16/SER_hh_num!I16)</f>
        <v>25.209787058048096</v>
      </c>
      <c r="J16" s="130">
        <f>IF(SER_hh_emi!J16=0,0,1000000*SER_hh_emi!J16/SER_hh_num!J16)</f>
        <v>29.387560985702276</v>
      </c>
      <c r="K16" s="130">
        <f>IF(SER_hh_emi!K16=0,0,1000000*SER_hh_emi!K16/SER_hh_num!K16)</f>
        <v>32.199174489128488</v>
      </c>
      <c r="L16" s="130">
        <f>IF(SER_hh_emi!L16=0,0,1000000*SER_hh_emi!L16/SER_hh_num!L16)</f>
        <v>35.355070943281511</v>
      </c>
      <c r="M16" s="130">
        <f>IF(SER_hh_emi!M16=0,0,1000000*SER_hh_emi!M16/SER_hh_num!M16)</f>
        <v>45.387996388972297</v>
      </c>
      <c r="N16" s="130">
        <f>IF(SER_hh_emi!N16=0,0,1000000*SER_hh_emi!N16/SER_hh_num!N16)</f>
        <v>67.249018252676095</v>
      </c>
      <c r="O16" s="130">
        <f>IF(SER_hh_emi!O16=0,0,1000000*SER_hh_emi!O16/SER_hh_num!O16)</f>
        <v>80.511152123065699</v>
      </c>
      <c r="P16" s="130">
        <f>IF(SER_hh_emi!P16=0,0,1000000*SER_hh_emi!P16/SER_hh_num!P16)</f>
        <v>79.924148063380244</v>
      </c>
      <c r="Q16" s="130">
        <f>IF(SER_hh_emi!Q16=0,0,1000000*SER_hh_emi!Q16/SER_hh_num!Q16)</f>
        <v>123.22630454344872</v>
      </c>
      <c r="R16" s="130">
        <f>IF(SER_hh_emi!R16=0,0,1000000*SER_hh_emi!R16/SER_hh_num!R16)</f>
        <v>116.56931360710777</v>
      </c>
      <c r="S16" s="130">
        <f>IF(SER_hh_emi!S16=0,0,1000000*SER_hh_emi!S16/SER_hh_num!S16)</f>
        <v>141.78597673188884</v>
      </c>
      <c r="T16" s="130">
        <f>IF(SER_hh_emi!T16=0,0,1000000*SER_hh_emi!T16/SER_hh_num!T16)</f>
        <v>150.08030310332074</v>
      </c>
      <c r="U16" s="130">
        <f>IF(SER_hh_emi!U16=0,0,1000000*SER_hh_emi!U16/SER_hh_num!U16)</f>
        <v>162.1613915129754</v>
      </c>
      <c r="V16" s="130">
        <f>IF(SER_hh_emi!V16=0,0,1000000*SER_hh_emi!V16/SER_hh_num!V16)</f>
        <v>161.53655437752249</v>
      </c>
      <c r="W16" s="130">
        <f>IF(SER_hh_emi!W16=0,0,1000000*SER_hh_emi!W16/SER_hh_num!W16)</f>
        <v>131.90177301020506</v>
      </c>
      <c r="X16" s="130">
        <f>IF(SER_hh_emi!X16=0,0,1000000*SER_hh_emi!X16/SER_hh_num!X16)</f>
        <v>201.14624537069281</v>
      </c>
      <c r="Y16" s="130">
        <f>IF(SER_hh_emi!Y16=0,0,1000000*SER_hh_emi!Y16/SER_hh_num!Y16)</f>
        <v>184.61702047561758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4305.0849298920639</v>
      </c>
      <c r="C17" s="132">
        <f>IF(SER_hh_emi!C17=0,0,1000000*SER_hh_emi!C17/SER_hh_num!C17)</f>
        <v>4434.4440970261139</v>
      </c>
      <c r="D17" s="132">
        <f>IF(SER_hh_emi!D17=0,0,1000000*SER_hh_emi!D17/SER_hh_num!D17)</f>
        <v>4158.7120037269415</v>
      </c>
      <c r="E17" s="132">
        <f>IF(SER_hh_emi!E17=0,0,1000000*SER_hh_emi!E17/SER_hh_num!E17)</f>
        <v>8095.0064539192363</v>
      </c>
      <c r="F17" s="132">
        <f>IF(SER_hh_emi!F17=0,0,1000000*SER_hh_emi!F17/SER_hh_num!F17)</f>
        <v>4152.6103120967837</v>
      </c>
      <c r="G17" s="132">
        <f>IF(SER_hh_emi!G17=0,0,1000000*SER_hh_emi!G17/SER_hh_num!G17)</f>
        <v>3985.9427566844333</v>
      </c>
      <c r="H17" s="132">
        <f>IF(SER_hh_emi!H17=0,0,1000000*SER_hh_emi!H17/SER_hh_num!H17)</f>
        <v>5005.2034497932227</v>
      </c>
      <c r="I17" s="132">
        <f>IF(SER_hh_emi!I17=0,0,1000000*SER_hh_emi!I17/SER_hh_num!I17)</f>
        <v>3859.7245258765593</v>
      </c>
      <c r="J17" s="132">
        <f>IF(SER_hh_emi!J17=0,0,1000000*SER_hh_emi!J17/SER_hh_num!J17)</f>
        <v>3854.9259544592628</v>
      </c>
      <c r="K17" s="132">
        <f>IF(SER_hh_emi!K17=0,0,1000000*SER_hh_emi!K17/SER_hh_num!K17)</f>
        <v>4094.3889122197083</v>
      </c>
      <c r="L17" s="132">
        <f>IF(SER_hh_emi!L17=0,0,1000000*SER_hh_emi!L17/SER_hh_num!L17)</f>
        <v>3988.4758204375262</v>
      </c>
      <c r="M17" s="132">
        <f>IF(SER_hh_emi!M17=0,0,1000000*SER_hh_emi!M17/SER_hh_num!M17)</f>
        <v>3846.5900308421674</v>
      </c>
      <c r="N17" s="132">
        <f>IF(SER_hh_emi!N17=0,0,1000000*SER_hh_emi!N17/SER_hh_num!N17)</f>
        <v>3951.5733325945243</v>
      </c>
      <c r="O17" s="132">
        <f>IF(SER_hh_emi!O17=0,0,1000000*SER_hh_emi!O17/SER_hh_num!O17)</f>
        <v>3873.093202946477</v>
      </c>
      <c r="P17" s="132">
        <f>IF(SER_hh_emi!P17=0,0,1000000*SER_hh_emi!P17/SER_hh_num!P17)</f>
        <v>3338.1389806482807</v>
      </c>
      <c r="Q17" s="132">
        <f>IF(SER_hh_emi!Q17=0,0,1000000*SER_hh_emi!Q17/SER_hh_num!Q17)</f>
        <v>4419.7144410948558</v>
      </c>
      <c r="R17" s="132">
        <f>IF(SER_hh_emi!R17=0,0,1000000*SER_hh_emi!R17/SER_hh_num!R17)</f>
        <v>3865.2751105053062</v>
      </c>
      <c r="S17" s="132">
        <f>IF(SER_hh_emi!S17=0,0,1000000*SER_hh_emi!S17/SER_hh_num!S17)</f>
        <v>4131.122472288569</v>
      </c>
      <c r="T17" s="132">
        <f>IF(SER_hh_emi!T17=0,0,1000000*SER_hh_emi!T17/SER_hh_num!T17)</f>
        <v>4047.1404168418671</v>
      </c>
      <c r="U17" s="132">
        <f>IF(SER_hh_emi!U17=0,0,1000000*SER_hh_emi!U17/SER_hh_num!U17)</f>
        <v>4050.7107282026532</v>
      </c>
      <c r="V17" s="132">
        <f>IF(SER_hh_emi!V17=0,0,1000000*SER_hh_emi!V17/SER_hh_num!V17)</f>
        <v>3849.1927411311153</v>
      </c>
      <c r="W17" s="132">
        <f>IF(SER_hh_emi!W17=0,0,1000000*SER_hh_emi!W17/SER_hh_num!W17)</f>
        <v>3050.4838823457694</v>
      </c>
      <c r="X17" s="132">
        <f>IF(SER_hh_emi!X17=0,0,1000000*SER_hh_emi!X17/SER_hh_num!X17)</f>
        <v>4435.5912436936997</v>
      </c>
      <c r="Y17" s="132">
        <f>IF(SER_hh_emi!Y17=0,0,1000000*SER_hh_emi!Y17/SER_hh_num!Y17)</f>
        <v>4026.3924924534717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2591.947562697007</v>
      </c>
      <c r="C19" s="130">
        <f>IF(SER_hh_emi!C19=0,0,1000000*SER_hh_emi!C19/SER_hh_num!C19)</f>
        <v>2566.7561547078944</v>
      </c>
      <c r="D19" s="130">
        <f>IF(SER_hh_emi!D19=0,0,1000000*SER_hh_emi!D19/SER_hh_num!D19)</f>
        <v>2525.8808534054988</v>
      </c>
      <c r="E19" s="130">
        <f>IF(SER_hh_emi!E19=0,0,1000000*SER_hh_emi!E19/SER_hh_num!E19)</f>
        <v>2515.6359444022164</v>
      </c>
      <c r="F19" s="130">
        <f>IF(SER_hh_emi!F19=0,0,1000000*SER_hh_emi!F19/SER_hh_num!F19)</f>
        <v>2483.8111950222506</v>
      </c>
      <c r="G19" s="130">
        <f>IF(SER_hh_emi!G19=0,0,1000000*SER_hh_emi!G19/SER_hh_num!G19)</f>
        <v>2338.617883504915</v>
      </c>
      <c r="H19" s="130">
        <f>IF(SER_hh_emi!H19=0,0,1000000*SER_hh_emi!H19/SER_hh_num!H19)</f>
        <v>2211.0671951292411</v>
      </c>
      <c r="I19" s="130">
        <f>IF(SER_hh_emi!I19=0,0,1000000*SER_hh_emi!I19/SER_hh_num!I19)</f>
        <v>2121.4912771108234</v>
      </c>
      <c r="J19" s="130">
        <f>IF(SER_hh_emi!J19=0,0,1000000*SER_hh_emi!J19/SER_hh_num!J19)</f>
        <v>2096.7017145525488</v>
      </c>
      <c r="K19" s="130">
        <f>IF(SER_hh_emi!K19=0,0,1000000*SER_hh_emi!K19/SER_hh_num!K19)</f>
        <v>2156.9421006105727</v>
      </c>
      <c r="L19" s="130">
        <f>IF(SER_hh_emi!L19=0,0,1000000*SER_hh_emi!L19/SER_hh_num!L19)</f>
        <v>2021.8315433202765</v>
      </c>
      <c r="M19" s="130">
        <f>IF(SER_hh_emi!M19=0,0,1000000*SER_hh_emi!M19/SER_hh_num!M19)</f>
        <v>1929.1808074339181</v>
      </c>
      <c r="N19" s="130">
        <f>IF(SER_hh_emi!N19=0,0,1000000*SER_hh_emi!N19/SER_hh_num!N19)</f>
        <v>1823.8392215315794</v>
      </c>
      <c r="O19" s="130">
        <f>IF(SER_hh_emi!O19=0,0,1000000*SER_hh_emi!O19/SER_hh_num!O19)</f>
        <v>1881.9776335640142</v>
      </c>
      <c r="P19" s="130">
        <f>IF(SER_hh_emi!P19=0,0,1000000*SER_hh_emi!P19/SER_hh_num!P19)</f>
        <v>2064.1545114446249</v>
      </c>
      <c r="Q19" s="130">
        <f>IF(SER_hh_emi!Q19=0,0,1000000*SER_hh_emi!Q19/SER_hh_num!Q19)</f>
        <v>2054.4378760044806</v>
      </c>
      <c r="R19" s="130">
        <f>IF(SER_hh_emi!R19=0,0,1000000*SER_hh_emi!R19/SER_hh_num!R19)</f>
        <v>1782.7425073335432</v>
      </c>
      <c r="S19" s="130">
        <f>IF(SER_hh_emi!S19=0,0,1000000*SER_hh_emi!S19/SER_hh_num!S19)</f>
        <v>1844.2548629642174</v>
      </c>
      <c r="T19" s="130">
        <f>IF(SER_hh_emi!T19=0,0,1000000*SER_hh_emi!T19/SER_hh_num!T19)</f>
        <v>1652.7408641359798</v>
      </c>
      <c r="U19" s="130">
        <f>IF(SER_hh_emi!U19=0,0,1000000*SER_hh_emi!U19/SER_hh_num!U19)</f>
        <v>1548.8474692782497</v>
      </c>
      <c r="V19" s="130">
        <f>IF(SER_hh_emi!V19=0,0,1000000*SER_hh_emi!V19/SER_hh_num!V19)</f>
        <v>1529.7798425744375</v>
      </c>
      <c r="W19" s="130">
        <f>IF(SER_hh_emi!W19=0,0,1000000*SER_hh_emi!W19/SER_hh_num!W19)</f>
        <v>1452.7503809834761</v>
      </c>
      <c r="X19" s="130">
        <f>IF(SER_hh_emi!X19=0,0,1000000*SER_hh_emi!X19/SER_hh_num!X19)</f>
        <v>1565.9415978835016</v>
      </c>
      <c r="Y19" s="130">
        <f>IF(SER_hh_emi!Y19=0,0,1000000*SER_hh_emi!Y19/SER_hh_num!Y19)</f>
        <v>1413.2540017619626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6036.3613778912068</v>
      </c>
      <c r="C21" s="132">
        <f>IF(SER_hh_emi!C21=0,0,1000000*SER_hh_emi!C21/SER_hh_num!C21)</f>
        <v>5978.2538164919488</v>
      </c>
      <c r="D21" s="132">
        <f>IF(SER_hh_emi!D21=0,0,1000000*SER_hh_emi!D21/SER_hh_num!D21)</f>
        <v>6090.3742804341709</v>
      </c>
      <c r="E21" s="132">
        <f>IF(SER_hh_emi!E21=0,0,1000000*SER_hh_emi!E21/SER_hh_num!E21)</f>
        <v>6105.2112890276885</v>
      </c>
      <c r="F21" s="132">
        <f>IF(SER_hh_emi!F21=0,0,1000000*SER_hh_emi!F21/SER_hh_num!F21)</f>
        <v>6046.8003096039683</v>
      </c>
      <c r="G21" s="132">
        <f>IF(SER_hh_emi!G21=0,0,1000000*SER_hh_emi!G21/SER_hh_num!G21)</f>
        <v>5750.4000813690245</v>
      </c>
      <c r="H21" s="132">
        <f>IF(SER_hh_emi!H21=0,0,1000000*SER_hh_emi!H21/SER_hh_num!H21)</f>
        <v>5853.5992545276285</v>
      </c>
      <c r="I21" s="132">
        <f>IF(SER_hh_emi!I21=0,0,1000000*SER_hh_emi!I21/SER_hh_num!I21)</f>
        <v>5831.103862386929</v>
      </c>
      <c r="J21" s="132">
        <f>IF(SER_hh_emi!J21=0,0,1000000*SER_hh_emi!J21/SER_hh_num!J21)</f>
        <v>5862.6125906316256</v>
      </c>
      <c r="K21" s="132">
        <f>IF(SER_hh_emi!K21=0,0,1000000*SER_hh_emi!K21/SER_hh_num!K21)</f>
        <v>6229.7630032389225</v>
      </c>
      <c r="L21" s="132">
        <f>IF(SER_hh_emi!L21=0,0,1000000*SER_hh_emi!L21/SER_hh_num!L21)</f>
        <v>6235.599362871877</v>
      </c>
      <c r="M21" s="132">
        <f>IF(SER_hh_emi!M21=0,0,1000000*SER_hh_emi!M21/SER_hh_num!M21)</f>
        <v>4458.3965475766508</v>
      </c>
      <c r="N21" s="132">
        <f>IF(SER_hh_emi!N21=0,0,1000000*SER_hh_emi!N21/SER_hh_num!N21)</f>
        <v>6343.936035694237</v>
      </c>
      <c r="O21" s="132">
        <f>IF(SER_hh_emi!O21=0,0,1000000*SER_hh_emi!O21/SER_hh_num!O21)</f>
        <v>6060.4880616970559</v>
      </c>
      <c r="P21" s="132">
        <f>IF(SER_hh_emi!P21=0,0,1000000*SER_hh_emi!P21/SER_hh_num!P21)</f>
        <v>5685.109838785751</v>
      </c>
      <c r="Q21" s="132">
        <f>IF(SER_hh_emi!Q21=0,0,1000000*SER_hh_emi!Q21/SER_hh_num!Q21)</f>
        <v>5876.1160944711019</v>
      </c>
      <c r="R21" s="132">
        <f>IF(SER_hh_emi!R21=0,0,1000000*SER_hh_emi!R21/SER_hh_num!R21)</f>
        <v>5858.7335750490192</v>
      </c>
      <c r="S21" s="132">
        <f>IF(SER_hh_emi!S21=0,0,1000000*SER_hh_emi!S21/SER_hh_num!S21)</f>
        <v>6093.7137819417139</v>
      </c>
      <c r="T21" s="132">
        <f>IF(SER_hh_emi!T21=0,0,1000000*SER_hh_emi!T21/SER_hh_num!T21)</f>
        <v>5295.2161924425218</v>
      </c>
      <c r="U21" s="132">
        <f>IF(SER_hh_emi!U21=0,0,1000000*SER_hh_emi!U21/SER_hh_num!U21)</f>
        <v>5383.0827084178218</v>
      </c>
      <c r="V21" s="132">
        <f>IF(SER_hh_emi!V21=0,0,1000000*SER_hh_emi!V21/SER_hh_num!V21)</f>
        <v>5754.3659363168217</v>
      </c>
      <c r="W21" s="132">
        <f>IF(SER_hh_emi!W21=0,0,1000000*SER_hh_emi!W21/SER_hh_num!W21)</f>
        <v>4061.6396932809184</v>
      </c>
      <c r="X21" s="132">
        <f>IF(SER_hh_emi!X21=0,0,1000000*SER_hh_emi!X21/SER_hh_num!X21)</f>
        <v>5355.7733198603537</v>
      </c>
      <c r="Y21" s="132">
        <f>IF(SER_hh_emi!Y21=0,0,1000000*SER_hh_emi!Y21/SER_hh_num!Y21)</f>
        <v>5088.7071955244928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7606.1797527009603</v>
      </c>
      <c r="C22" s="132">
        <f>IF(SER_hh_emi!C22=0,0,1000000*SER_hh_emi!C22/SER_hh_num!C22)</f>
        <v>7616.1651549313901</v>
      </c>
      <c r="D22" s="132">
        <f>IF(SER_hh_emi!D22=0,0,1000000*SER_hh_emi!D22/SER_hh_num!D22)</f>
        <v>7490.0248625563781</v>
      </c>
      <c r="E22" s="132">
        <f>IF(SER_hh_emi!E22=0,0,1000000*SER_hh_emi!E22/SER_hh_num!E22)</f>
        <v>7410.289794192804</v>
      </c>
      <c r="F22" s="132">
        <f>IF(SER_hh_emi!F22=0,0,1000000*SER_hh_emi!F22/SER_hh_num!F22)</f>
        <v>7517.3677000528223</v>
      </c>
      <c r="G22" s="132">
        <f>IF(SER_hh_emi!G22=0,0,1000000*SER_hh_emi!G22/SER_hh_num!G22)</f>
        <v>7498.7871287269199</v>
      </c>
      <c r="H22" s="132">
        <f>IF(SER_hh_emi!H22=0,0,1000000*SER_hh_emi!H22/SER_hh_num!H22)</f>
        <v>7288.7896552004795</v>
      </c>
      <c r="I22" s="132">
        <f>IF(SER_hh_emi!I22=0,0,1000000*SER_hh_emi!I22/SER_hh_num!I22)</f>
        <v>7061.6387318673305</v>
      </c>
      <c r="J22" s="132">
        <f>IF(SER_hh_emi!J22=0,0,1000000*SER_hh_emi!J22/SER_hh_num!J22)</f>
        <v>7319.8672673428919</v>
      </c>
      <c r="K22" s="132">
        <f>IF(SER_hh_emi!K22=0,0,1000000*SER_hh_emi!K22/SER_hh_num!K22)</f>
        <v>7441.0979606545061</v>
      </c>
      <c r="L22" s="132">
        <f>IF(SER_hh_emi!L22=0,0,1000000*SER_hh_emi!L22/SER_hh_num!L22)</f>
        <v>7191.3400865399508</v>
      </c>
      <c r="M22" s="132">
        <f>IF(SER_hh_emi!M22=0,0,1000000*SER_hh_emi!M22/SER_hh_num!M22)</f>
        <v>6793.7587729290508</v>
      </c>
      <c r="N22" s="132">
        <f>IF(SER_hh_emi!N22=0,0,1000000*SER_hh_emi!N22/SER_hh_num!N22)</f>
        <v>7059.0148277255767</v>
      </c>
      <c r="O22" s="132">
        <f>IF(SER_hh_emi!O22=0,0,1000000*SER_hh_emi!O22/SER_hh_num!O22)</f>
        <v>6742.4393366284276</v>
      </c>
      <c r="P22" s="132">
        <f>IF(SER_hh_emi!P22=0,0,1000000*SER_hh_emi!P22/SER_hh_num!P22)</f>
        <v>7679.5143108745433</v>
      </c>
      <c r="Q22" s="132">
        <f>IF(SER_hh_emi!Q22=0,0,1000000*SER_hh_emi!Q22/SER_hh_num!Q22)</f>
        <v>7736.2070022830931</v>
      </c>
      <c r="R22" s="132">
        <f>IF(SER_hh_emi!R22=0,0,1000000*SER_hh_emi!R22/SER_hh_num!R22)</f>
        <v>6083.322122338247</v>
      </c>
      <c r="S22" s="132">
        <f>IF(SER_hh_emi!S22=0,0,1000000*SER_hh_emi!S22/SER_hh_num!S22)</f>
        <v>7302.2585289300623</v>
      </c>
      <c r="T22" s="132">
        <f>IF(SER_hh_emi!T22=0,0,1000000*SER_hh_emi!T22/SER_hh_num!T22)</f>
        <v>6599.6351205403171</v>
      </c>
      <c r="U22" s="132">
        <f>IF(SER_hh_emi!U22=0,0,1000000*SER_hh_emi!U22/SER_hh_num!U22)</f>
        <v>6192.1107254294884</v>
      </c>
      <c r="V22" s="132">
        <f>IF(SER_hh_emi!V22=0,0,1000000*SER_hh_emi!V22/SER_hh_num!V22)</f>
        <v>6724.9035869322406</v>
      </c>
      <c r="W22" s="132">
        <f>IF(SER_hh_emi!W22=0,0,1000000*SER_hh_emi!W22/SER_hh_num!W22)</f>
        <v>5428.5741293333085</v>
      </c>
      <c r="X22" s="132">
        <f>IF(SER_hh_emi!X22=0,0,1000000*SER_hh_emi!X22/SER_hh_num!X22)</f>
        <v>6723.4462103964352</v>
      </c>
      <c r="Y22" s="132">
        <f>IF(SER_hh_emi!Y22=0,0,1000000*SER_hh_emi!Y22/SER_hh_num!Y22)</f>
        <v>5715.1093115398953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5592.7458016603377</v>
      </c>
      <c r="C23" s="132">
        <f>IF(SER_hh_emi!C23=0,0,1000000*SER_hh_emi!C23/SER_hh_num!C23)</f>
        <v>5506.6528106261876</v>
      </c>
      <c r="D23" s="132">
        <f>IF(SER_hh_emi!D23=0,0,1000000*SER_hh_emi!D23/SER_hh_num!D23)</f>
        <v>5388.5421153008128</v>
      </c>
      <c r="E23" s="132">
        <f>IF(SER_hh_emi!E23=0,0,1000000*SER_hh_emi!E23/SER_hh_num!E23)</f>
        <v>5453.7367020527199</v>
      </c>
      <c r="F23" s="132">
        <f>IF(SER_hh_emi!F23=0,0,1000000*SER_hh_emi!F23/SER_hh_num!F23)</f>
        <v>5477.8831098896344</v>
      </c>
      <c r="G23" s="132">
        <f>IF(SER_hh_emi!G23=0,0,1000000*SER_hh_emi!G23/SER_hh_num!G23)</f>
        <v>5272.3272797067239</v>
      </c>
      <c r="H23" s="132">
        <f>IF(SER_hh_emi!H23=0,0,1000000*SER_hh_emi!H23/SER_hh_num!H23)</f>
        <v>5110.5645826696737</v>
      </c>
      <c r="I23" s="132">
        <f>IF(SER_hh_emi!I23=0,0,1000000*SER_hh_emi!I23/SER_hh_num!I23)</f>
        <v>5098.9882247487412</v>
      </c>
      <c r="J23" s="132">
        <f>IF(SER_hh_emi!J23=0,0,1000000*SER_hh_emi!J23/SER_hh_num!J23)</f>
        <v>4967.0376391859945</v>
      </c>
      <c r="K23" s="132">
        <f>IF(SER_hh_emi!K23=0,0,1000000*SER_hh_emi!K23/SER_hh_num!K23)</f>
        <v>5236.0049606753528</v>
      </c>
      <c r="L23" s="132">
        <f>IF(SER_hh_emi!L23=0,0,1000000*SER_hh_emi!L23/SER_hh_num!L23)</f>
        <v>4974.9195945441525</v>
      </c>
      <c r="M23" s="132">
        <f>IF(SER_hh_emi!M23=0,0,1000000*SER_hh_emi!M23/SER_hh_num!M23)</f>
        <v>5402.6943949528049</v>
      </c>
      <c r="N23" s="132">
        <f>IF(SER_hh_emi!N23=0,0,1000000*SER_hh_emi!N23/SER_hh_num!N23)</f>
        <v>4131.6674631569467</v>
      </c>
      <c r="O23" s="132">
        <f>IF(SER_hh_emi!O23=0,0,1000000*SER_hh_emi!O23/SER_hh_num!O23)</f>
        <v>4542.9633850883283</v>
      </c>
      <c r="P23" s="132">
        <f>IF(SER_hh_emi!P23=0,0,1000000*SER_hh_emi!P23/SER_hh_num!P23)</f>
        <v>4791.3636611401207</v>
      </c>
      <c r="Q23" s="132">
        <f>IF(SER_hh_emi!Q23=0,0,1000000*SER_hh_emi!Q23/SER_hh_num!Q23)</f>
        <v>4707.3529616052901</v>
      </c>
      <c r="R23" s="132">
        <f>IF(SER_hh_emi!R23=0,0,1000000*SER_hh_emi!R23/SER_hh_num!R23)</f>
        <v>4948.8557826737942</v>
      </c>
      <c r="S23" s="132">
        <f>IF(SER_hh_emi!S23=0,0,1000000*SER_hh_emi!S23/SER_hh_num!S23)</f>
        <v>4616.3579570657694</v>
      </c>
      <c r="T23" s="132">
        <f>IF(SER_hh_emi!T23=0,0,1000000*SER_hh_emi!T23/SER_hh_num!T23)</f>
        <v>4553.3156609032212</v>
      </c>
      <c r="U23" s="132">
        <f>IF(SER_hh_emi!U23=0,0,1000000*SER_hh_emi!U23/SER_hh_num!U23)</f>
        <v>4385.4617929529486</v>
      </c>
      <c r="V23" s="132">
        <f>IF(SER_hh_emi!V23=0,0,1000000*SER_hh_emi!V23/SER_hh_num!V23)</f>
        <v>3820.466298208109</v>
      </c>
      <c r="W23" s="132">
        <f>IF(SER_hh_emi!W23=0,0,1000000*SER_hh_emi!W23/SER_hh_num!W23)</f>
        <v>4657.7560458909784</v>
      </c>
      <c r="X23" s="132">
        <f>IF(SER_hh_emi!X23=0,0,1000000*SER_hh_emi!X23/SER_hh_num!X23)</f>
        <v>4201.6203342518847</v>
      </c>
      <c r="Y23" s="132">
        <f>IF(SER_hh_emi!Y23=0,0,1000000*SER_hh_emi!Y23/SER_hh_num!Y23)</f>
        <v>4012.2086965642466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7045.5049163328003</v>
      </c>
      <c r="C24" s="132">
        <f>IF(SER_hh_emi!C24=0,0,1000000*SER_hh_emi!C24/SER_hh_num!C24)</f>
        <v>6626.1121375153416</v>
      </c>
      <c r="D24" s="132">
        <f>IF(SER_hh_emi!D24=0,0,1000000*SER_hh_emi!D24/SER_hh_num!D24)</f>
        <v>6330.8779876987956</v>
      </c>
      <c r="E24" s="132">
        <f>IF(SER_hh_emi!E24=0,0,1000000*SER_hh_emi!E24/SER_hh_num!E24)</f>
        <v>6015.0894703382746</v>
      </c>
      <c r="F24" s="132">
        <f>IF(SER_hh_emi!F24=0,0,1000000*SER_hh_emi!F24/SER_hh_num!F24)</f>
        <v>5931.8506954481327</v>
      </c>
      <c r="G24" s="132">
        <f>IF(SER_hh_emi!G24=0,0,1000000*SER_hh_emi!G24/SER_hh_num!G24)</f>
        <v>2425.6144117836852</v>
      </c>
      <c r="H24" s="132">
        <f>IF(SER_hh_emi!H24=0,0,1000000*SER_hh_emi!H24/SER_hh_num!H24)</f>
        <v>2637.3718123862004</v>
      </c>
      <c r="I24" s="132">
        <f>IF(SER_hh_emi!I24=0,0,1000000*SER_hh_emi!I24/SER_hh_num!I24)</f>
        <v>3134.7419836274789</v>
      </c>
      <c r="J24" s="132">
        <f>IF(SER_hh_emi!J24=0,0,1000000*SER_hh_emi!J24/SER_hh_num!J24)</f>
        <v>3054.3175446251525</v>
      </c>
      <c r="K24" s="132">
        <f>IF(SER_hh_emi!K24=0,0,1000000*SER_hh_emi!K24/SER_hh_num!K24)</f>
        <v>3434.8404273693245</v>
      </c>
      <c r="L24" s="132">
        <f>IF(SER_hh_emi!L24=0,0,1000000*SER_hh_emi!L24/SER_hh_num!L24)</f>
        <v>3766.2795954854473</v>
      </c>
      <c r="M24" s="132">
        <f>IF(SER_hh_emi!M24=0,0,1000000*SER_hh_emi!M24/SER_hh_num!M24)</f>
        <v>2136.8397408418991</v>
      </c>
      <c r="N24" s="132">
        <f>IF(SER_hh_emi!N24=0,0,1000000*SER_hh_emi!N24/SER_hh_num!N24)</f>
        <v>2005.4599930958468</v>
      </c>
      <c r="O24" s="132">
        <f>IF(SER_hh_emi!O24=0,0,1000000*SER_hh_emi!O24/SER_hh_num!O24)</f>
        <v>2331.7313182942871</v>
      </c>
      <c r="P24" s="132">
        <f>IF(SER_hh_emi!P24=0,0,1000000*SER_hh_emi!P24/SER_hh_num!P24)</f>
        <v>1894.0024243408529</v>
      </c>
      <c r="Q24" s="132">
        <f>IF(SER_hh_emi!Q24=0,0,1000000*SER_hh_emi!Q24/SER_hh_num!Q24)</f>
        <v>1276.520628987663</v>
      </c>
      <c r="R24" s="132">
        <f>IF(SER_hh_emi!R24=0,0,1000000*SER_hh_emi!R24/SER_hh_num!R24)</f>
        <v>1513.9361380429036</v>
      </c>
      <c r="S24" s="132">
        <f>IF(SER_hh_emi!S24=0,0,1000000*SER_hh_emi!S24/SER_hh_num!S24)</f>
        <v>1586.3012556890328</v>
      </c>
      <c r="T24" s="132">
        <f>IF(SER_hh_emi!T24=0,0,1000000*SER_hh_emi!T24/SER_hh_num!T24)</f>
        <v>1293.3548032808499</v>
      </c>
      <c r="U24" s="132">
        <f>IF(SER_hh_emi!U24=0,0,1000000*SER_hh_emi!U24/SER_hh_num!U24)</f>
        <v>1230.096290280391</v>
      </c>
      <c r="V24" s="132">
        <f>IF(SER_hh_emi!V24=0,0,1000000*SER_hh_emi!V24/SER_hh_num!V24)</f>
        <v>1455.6651991610561</v>
      </c>
      <c r="W24" s="132">
        <f>IF(SER_hh_emi!W24=0,0,1000000*SER_hh_emi!W24/SER_hh_num!W24)</f>
        <v>1432.0066332190102</v>
      </c>
      <c r="X24" s="132">
        <f>IF(SER_hh_emi!X24=0,0,1000000*SER_hh_emi!X24/SER_hh_num!X24)</f>
        <v>2169.5618748153174</v>
      </c>
      <c r="Y24" s="132">
        <f>IF(SER_hh_emi!Y24=0,0,1000000*SER_hh_emi!Y24/SER_hh_num!Y24)</f>
        <v>1856.3588909118184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2613.7521383831772</v>
      </c>
      <c r="C29" s="130">
        <f>IF(SER_hh_emi!C29=0,0,1000000*SER_hh_emi!C29/SER_hh_num!C29)</f>
        <v>2052.295524419807</v>
      </c>
      <c r="D29" s="130">
        <f>IF(SER_hh_emi!D29=0,0,1000000*SER_hh_emi!D29/SER_hh_num!D29)</f>
        <v>2767.5293972983354</v>
      </c>
      <c r="E29" s="130">
        <f>IF(SER_hh_emi!E29=0,0,1000000*SER_hh_emi!E29/SER_hh_num!E29)</f>
        <v>2928.5157119801979</v>
      </c>
      <c r="F29" s="130">
        <f>IF(SER_hh_emi!F29=0,0,1000000*SER_hh_emi!F29/SER_hh_num!F29)</f>
        <v>3047.3735745012318</v>
      </c>
      <c r="G29" s="130">
        <f>IF(SER_hh_emi!G29=0,0,1000000*SER_hh_emi!G29/SER_hh_num!G29)</f>
        <v>2156.4582280305367</v>
      </c>
      <c r="H29" s="130">
        <f>IF(SER_hh_emi!H29=0,0,1000000*SER_hh_emi!H29/SER_hh_num!H29)</f>
        <v>1895.0385892617669</v>
      </c>
      <c r="I29" s="130">
        <f>IF(SER_hh_emi!I29=0,0,1000000*SER_hh_emi!I29/SER_hh_num!I29)</f>
        <v>1956.2881604922575</v>
      </c>
      <c r="J29" s="130">
        <f>IF(SER_hh_emi!J29=0,0,1000000*SER_hh_emi!J29/SER_hh_num!J29)</f>
        <v>2031.3655271426151</v>
      </c>
      <c r="K29" s="130">
        <f>IF(SER_hh_emi!K29=0,0,1000000*SER_hh_emi!K29/SER_hh_num!K29)</f>
        <v>2357.7868460185487</v>
      </c>
      <c r="L29" s="130">
        <f>IF(SER_hh_emi!L29=0,0,1000000*SER_hh_emi!L29/SER_hh_num!L29)</f>
        <v>2349.8044233975384</v>
      </c>
      <c r="M29" s="130">
        <f>IF(SER_hh_emi!M29=0,0,1000000*SER_hh_emi!M29/SER_hh_num!M29)</f>
        <v>1927.1531476372634</v>
      </c>
      <c r="N29" s="130">
        <f>IF(SER_hh_emi!N29=0,0,1000000*SER_hh_emi!N29/SER_hh_num!N29)</f>
        <v>1965.6041040034022</v>
      </c>
      <c r="O29" s="130">
        <f>IF(SER_hh_emi!O29=0,0,1000000*SER_hh_emi!O29/SER_hh_num!O29)</f>
        <v>1906.8406637447167</v>
      </c>
      <c r="P29" s="130">
        <f>IF(SER_hh_emi!P29=0,0,1000000*SER_hh_emi!P29/SER_hh_num!P29)</f>
        <v>1958.3762772074028</v>
      </c>
      <c r="Q29" s="130">
        <f>IF(SER_hh_emi!Q29=0,0,1000000*SER_hh_emi!Q29/SER_hh_num!Q29)</f>
        <v>2171.4911495268789</v>
      </c>
      <c r="R29" s="130">
        <f>IF(SER_hh_emi!R29=0,0,1000000*SER_hh_emi!R29/SER_hh_num!R29)</f>
        <v>2047.7184442966013</v>
      </c>
      <c r="S29" s="130">
        <f>IF(SER_hh_emi!S29=0,0,1000000*SER_hh_emi!S29/SER_hh_num!S29)</f>
        <v>2136.1209835879267</v>
      </c>
      <c r="T29" s="130">
        <f>IF(SER_hh_emi!T29=0,0,1000000*SER_hh_emi!T29/SER_hh_num!T29)</f>
        <v>2111.5854361014403</v>
      </c>
      <c r="U29" s="130">
        <f>IF(SER_hh_emi!U29=0,0,1000000*SER_hh_emi!U29/SER_hh_num!U29)</f>
        <v>2099.3889325658929</v>
      </c>
      <c r="V29" s="130">
        <f>IF(SER_hh_emi!V29=0,0,1000000*SER_hh_emi!V29/SER_hh_num!V29)</f>
        <v>1836.0113581239684</v>
      </c>
      <c r="W29" s="130">
        <f>IF(SER_hh_emi!W29=0,0,1000000*SER_hh_emi!W29/SER_hh_num!W29)</f>
        <v>2087.4374462230039</v>
      </c>
      <c r="X29" s="130">
        <f>IF(SER_hh_emi!X29=0,0,1000000*SER_hh_emi!X29/SER_hh_num!X29)</f>
        <v>1805.3777698157712</v>
      </c>
      <c r="Y29" s="130">
        <f>IF(SER_hh_emi!Y29=0,0,1000000*SER_hh_emi!Y29/SER_hh_num!Y29)</f>
        <v>1699.5606632935371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7398.3968817139639</v>
      </c>
      <c r="C30" s="132">
        <f>IF(SER_hh_emi!C30=0,0,1000000*SER_hh_emi!C30/SER_hh_num!C30)</f>
        <v>2525.8250987756082</v>
      </c>
      <c r="D30" s="132">
        <f>IF(SER_hh_emi!D30=0,0,1000000*SER_hh_emi!D30/SER_hh_num!D30)</f>
        <v>6146.565683901963</v>
      </c>
      <c r="E30" s="132">
        <f>IF(SER_hh_emi!E30=0,0,1000000*SER_hh_emi!E30/SER_hh_num!E30)</f>
        <v>6065.9842192988563</v>
      </c>
      <c r="F30" s="132">
        <f>IF(SER_hh_emi!F30=0,0,1000000*SER_hh_emi!F30/SER_hh_num!F30)</f>
        <v>6659.6871556690448</v>
      </c>
      <c r="G30" s="132">
        <f>IF(SER_hh_emi!G30=0,0,1000000*SER_hh_emi!G30/SER_hh_num!G30)</f>
        <v>5492.0114533689512</v>
      </c>
      <c r="H30" s="132">
        <f>IF(SER_hh_emi!H30=0,0,1000000*SER_hh_emi!H30/SER_hh_num!H30)</f>
        <v>4889.8416991591557</v>
      </c>
      <c r="I30" s="132">
        <f>IF(SER_hh_emi!I30=0,0,1000000*SER_hh_emi!I30/SER_hh_num!I30)</f>
        <v>5485.6949609883377</v>
      </c>
      <c r="J30" s="132">
        <f>IF(SER_hh_emi!J30=0,0,1000000*SER_hh_emi!J30/SER_hh_num!J30)</f>
        <v>6045.4702143786144</v>
      </c>
      <c r="K30" s="132">
        <f>IF(SER_hh_emi!K30=0,0,1000000*SER_hh_emi!K30/SER_hh_num!K30)</f>
        <v>5965.0917232183774</v>
      </c>
      <c r="L30" s="132">
        <f>IF(SER_hh_emi!L30=0,0,1000000*SER_hh_emi!L30/SER_hh_num!L30)</f>
        <v>6717.9738707722354</v>
      </c>
      <c r="M30" s="132">
        <f>IF(SER_hh_emi!M30=0,0,1000000*SER_hh_emi!M30/SER_hh_num!M30)</f>
        <v>4825.6106166969457</v>
      </c>
      <c r="N30" s="132">
        <f>IF(SER_hh_emi!N30=0,0,1000000*SER_hh_emi!N30/SER_hh_num!N30)</f>
        <v>6447.8777413829721</v>
      </c>
      <c r="O30" s="132">
        <f>IF(SER_hh_emi!O30=0,0,1000000*SER_hh_emi!O30/SER_hh_num!O30)</f>
        <v>5783.0745112756204</v>
      </c>
      <c r="P30" s="132">
        <f>IF(SER_hh_emi!P30=0,0,1000000*SER_hh_emi!P30/SER_hh_num!P30)</f>
        <v>5532.7482409588365</v>
      </c>
      <c r="Q30" s="132">
        <f>IF(SER_hh_emi!Q30=0,0,1000000*SER_hh_emi!Q30/SER_hh_num!Q30)</f>
        <v>6500.3712785345715</v>
      </c>
      <c r="R30" s="132">
        <f>IF(SER_hh_emi!R30=0,0,1000000*SER_hh_emi!R30/SER_hh_num!R30)</f>
        <v>6009.8051303352968</v>
      </c>
      <c r="S30" s="132">
        <f>IF(SER_hh_emi!S30=0,0,1000000*SER_hh_emi!S30/SER_hh_num!S30)</f>
        <v>6432.6517428832267</v>
      </c>
      <c r="T30" s="132">
        <f>IF(SER_hh_emi!T30=0,0,1000000*SER_hh_emi!T30/SER_hh_num!T30)</f>
        <v>6209.8713528812505</v>
      </c>
      <c r="U30" s="132">
        <f>IF(SER_hh_emi!U30=0,0,1000000*SER_hh_emi!U30/SER_hh_num!U30)</f>
        <v>6764.861502422109</v>
      </c>
      <c r="V30" s="132">
        <f>IF(SER_hh_emi!V30=0,0,1000000*SER_hh_emi!V30/SER_hh_num!V30)</f>
        <v>6199.4622900461591</v>
      </c>
      <c r="W30" s="132">
        <f>IF(SER_hh_emi!W30=0,0,1000000*SER_hh_emi!W30/SER_hh_num!W30)</f>
        <v>4646.5948826936001</v>
      </c>
      <c r="X30" s="132">
        <f>IF(SER_hh_emi!X30=0,0,1000000*SER_hh_emi!X30/SER_hh_num!X30)</f>
        <v>5769.2230313466525</v>
      </c>
      <c r="Y30" s="132">
        <f>IF(SER_hh_emi!Y30=0,0,1000000*SER_hh_emi!Y30/SER_hh_num!Y30)</f>
        <v>6320.7102620405885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4819.3952179810931</v>
      </c>
      <c r="C31" s="132">
        <f>IF(SER_hh_emi!C31=0,0,1000000*SER_hh_emi!C31/SER_hh_num!C31)</f>
        <v>4823.683055189862</v>
      </c>
      <c r="D31" s="132">
        <f>IF(SER_hh_emi!D31=0,0,1000000*SER_hh_emi!D31/SER_hh_num!D31)</f>
        <v>4790.948958541946</v>
      </c>
      <c r="E31" s="132">
        <f>IF(SER_hh_emi!E31=0,0,1000000*SER_hh_emi!E31/SER_hh_num!E31)</f>
        <v>5001.6180629493438</v>
      </c>
      <c r="F31" s="132">
        <f>IF(SER_hh_emi!F31=0,0,1000000*SER_hh_emi!F31/SER_hh_num!F31)</f>
        <v>5420.0183425489286</v>
      </c>
      <c r="G31" s="132">
        <f>IF(SER_hh_emi!G31=0,0,1000000*SER_hh_emi!G31/SER_hh_num!G31)</f>
        <v>4234.5694969061187</v>
      </c>
      <c r="H31" s="132">
        <f>IF(SER_hh_emi!H31=0,0,1000000*SER_hh_emi!H31/SER_hh_num!H31)</f>
        <v>4606.507267973062</v>
      </c>
      <c r="I31" s="132">
        <f>IF(SER_hh_emi!I31=0,0,1000000*SER_hh_emi!I31/SER_hh_num!I31)</f>
        <v>4812.7592901780117</v>
      </c>
      <c r="J31" s="132">
        <f>IF(SER_hh_emi!J31=0,0,1000000*SER_hh_emi!J31/SER_hh_num!J31)</f>
        <v>4477.6759031681813</v>
      </c>
      <c r="K31" s="132">
        <f>IF(SER_hh_emi!K31=0,0,1000000*SER_hh_emi!K31/SER_hh_num!K31)</f>
        <v>5606.8821996758106</v>
      </c>
      <c r="L31" s="132">
        <f>IF(SER_hh_emi!L31=0,0,1000000*SER_hh_emi!L31/SER_hh_num!L31)</f>
        <v>5195.1858395517993</v>
      </c>
      <c r="M31" s="132">
        <f>IF(SER_hh_emi!M31=0,0,1000000*SER_hh_emi!M31/SER_hh_num!M31)</f>
        <v>5192.3278532504091</v>
      </c>
      <c r="N31" s="132">
        <f>IF(SER_hh_emi!N31=0,0,1000000*SER_hh_emi!N31/SER_hh_num!N31)</f>
        <v>4893.7822644502894</v>
      </c>
      <c r="O31" s="132">
        <f>IF(SER_hh_emi!O31=0,0,1000000*SER_hh_emi!O31/SER_hh_num!O31)</f>
        <v>5164.8384237722785</v>
      </c>
      <c r="P31" s="132">
        <f>IF(SER_hh_emi!P31=0,0,1000000*SER_hh_emi!P31/SER_hh_num!P31)</f>
        <v>5402.9570099178072</v>
      </c>
      <c r="Q31" s="132">
        <f>IF(SER_hh_emi!Q31=0,0,1000000*SER_hh_emi!Q31/SER_hh_num!Q31)</f>
        <v>5528.0467506693212</v>
      </c>
      <c r="R31" s="132">
        <f>IF(SER_hh_emi!R31=0,0,1000000*SER_hh_emi!R31/SER_hh_num!R31)</f>
        <v>5271.8483743181005</v>
      </c>
      <c r="S31" s="132">
        <f>IF(SER_hh_emi!S31=0,0,1000000*SER_hh_emi!S31/SER_hh_num!S31)</f>
        <v>5352.7454733144887</v>
      </c>
      <c r="T31" s="132">
        <f>IF(SER_hh_emi!T31=0,0,1000000*SER_hh_emi!T31/SER_hh_num!T31)</f>
        <v>5433.6339834138507</v>
      </c>
      <c r="U31" s="132">
        <f>IF(SER_hh_emi!U31=0,0,1000000*SER_hh_emi!U31/SER_hh_num!U31)</f>
        <v>5135.2286634365628</v>
      </c>
      <c r="V31" s="132">
        <f>IF(SER_hh_emi!V31=0,0,1000000*SER_hh_emi!V31/SER_hh_num!V31)</f>
        <v>4501.5131551892619</v>
      </c>
      <c r="W31" s="132">
        <f>IF(SER_hh_emi!W31=0,0,1000000*SER_hh_emi!W31/SER_hh_num!W31)</f>
        <v>6290.1206696791205</v>
      </c>
      <c r="X31" s="132">
        <f>IF(SER_hh_emi!X31=0,0,1000000*SER_hh_emi!X31/SER_hh_num!X31)</f>
        <v>5235.7737104315884</v>
      </c>
      <c r="Y31" s="132">
        <f>IF(SER_hh_emi!Y31=0,0,1000000*SER_hh_emi!Y31/SER_hh_num!Y31)</f>
        <v>4906.5214868625544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231.11424061194222</v>
      </c>
      <c r="C3" s="125">
        <f>IF(SER_hh_fech!C3=0,0,SER_hh_fech!C3/SER_summary!C$26)</f>
        <v>240.21583049083731</v>
      </c>
      <c r="D3" s="125">
        <f>IF(SER_hh_fech!D3=0,0,SER_hh_fech!D3/SER_summary!D$26)</f>
        <v>221.91309954996774</v>
      </c>
      <c r="E3" s="125">
        <f>IF(SER_hh_fech!E3=0,0,SER_hh_fech!E3/SER_summary!E$26)</f>
        <v>241.33453399693178</v>
      </c>
      <c r="F3" s="125">
        <f>IF(SER_hh_fech!F3=0,0,SER_hh_fech!F3/SER_summary!F$26)</f>
        <v>242.42125708536304</v>
      </c>
      <c r="G3" s="125">
        <f>IF(SER_hh_fech!G3=0,0,SER_hh_fech!G3/SER_summary!G$26)</f>
        <v>235.99728357359217</v>
      </c>
      <c r="H3" s="125">
        <f>IF(SER_hh_fech!H3=0,0,SER_hh_fech!H3/SER_summary!H$26)</f>
        <v>220.53494965720415</v>
      </c>
      <c r="I3" s="125">
        <f>IF(SER_hh_fech!I3=0,0,SER_hh_fech!I3/SER_summary!I$26)</f>
        <v>207.80582947680108</v>
      </c>
      <c r="J3" s="125">
        <f>IF(SER_hh_fech!J3=0,0,SER_hh_fech!J3/SER_summary!J$26)</f>
        <v>206.37543890824185</v>
      </c>
      <c r="K3" s="125">
        <f>IF(SER_hh_fech!K3=0,0,SER_hh_fech!K3/SER_summary!K$26)</f>
        <v>222.06238838824962</v>
      </c>
      <c r="L3" s="125">
        <f>IF(SER_hh_fech!L3=0,0,SER_hh_fech!L3/SER_summary!L$26)</f>
        <v>232.42956131971394</v>
      </c>
      <c r="M3" s="125">
        <f>IF(SER_hh_fech!M3=0,0,SER_hh_fech!M3/SER_summary!M$26)</f>
        <v>186.62131857598612</v>
      </c>
      <c r="N3" s="125">
        <f>IF(SER_hh_fech!N3=0,0,SER_hh_fech!N3/SER_summary!N$26)</f>
        <v>201.26928854448408</v>
      </c>
      <c r="O3" s="125">
        <f>IF(SER_hh_fech!O3=0,0,SER_hh_fech!O3/SER_summary!O$26)</f>
        <v>206.88215953915699</v>
      </c>
      <c r="P3" s="125">
        <f>IF(SER_hh_fech!P3=0,0,SER_hh_fech!P3/SER_summary!P$26)</f>
        <v>187.15367405882921</v>
      </c>
      <c r="Q3" s="125">
        <f>IF(SER_hh_fech!Q3=0,0,SER_hh_fech!Q3/SER_summary!Q$26)</f>
        <v>194.12794661772287</v>
      </c>
      <c r="R3" s="125">
        <f>IF(SER_hh_fech!R3=0,0,SER_hh_fech!R3/SER_summary!R$26)</f>
        <v>186.56373235018773</v>
      </c>
      <c r="S3" s="125">
        <f>IF(SER_hh_fech!S3=0,0,SER_hh_fech!S3/SER_summary!S$26)</f>
        <v>191.27593609387745</v>
      </c>
      <c r="T3" s="125">
        <f>IF(SER_hh_fech!T3=0,0,SER_hh_fech!T3/SER_summary!T$26)</f>
        <v>187.87609197074477</v>
      </c>
      <c r="U3" s="125">
        <f>IF(SER_hh_fech!U3=0,0,SER_hh_fech!U3/SER_summary!U$26)</f>
        <v>180.89526341592082</v>
      </c>
      <c r="V3" s="125">
        <f>IF(SER_hh_fech!V3=0,0,SER_hh_fech!V3/SER_summary!V$26)</f>
        <v>168.12292883701423</v>
      </c>
      <c r="W3" s="125">
        <f>IF(SER_hh_fech!W3=0,0,SER_hh_fech!W3/SER_summary!W$26)</f>
        <v>177.22447281775521</v>
      </c>
      <c r="X3" s="125">
        <f>IF(SER_hh_fech!X3=0,0,SER_hh_fech!X3/SER_summary!X$26)</f>
        <v>168.21365043520757</v>
      </c>
      <c r="Y3" s="125">
        <f>IF(SER_hh_fech!Y3=0,0,SER_hh_fech!Y3/SER_summary!Y$26)</f>
        <v>147.85575039670684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175.6977547718754</v>
      </c>
      <c r="C4" s="130">
        <f>IF(SER_hh_fech!C4=0,0,SER_hh_fech!C4/SER_summary!C$26)</f>
        <v>185.57411644950196</v>
      </c>
      <c r="D4" s="130">
        <f>IF(SER_hh_fech!D4=0,0,SER_hh_fech!D4/SER_summary!D$26)</f>
        <v>166.57932695071958</v>
      </c>
      <c r="E4" s="130">
        <f>IF(SER_hh_fech!E4=0,0,SER_hh_fech!E4/SER_summary!E$26)</f>
        <v>183.42673002975258</v>
      </c>
      <c r="F4" s="130">
        <f>IF(SER_hh_fech!F4=0,0,SER_hh_fech!F4/SER_summary!F$26)</f>
        <v>186.66017085964015</v>
      </c>
      <c r="G4" s="130">
        <f>IF(SER_hh_fech!G4=0,0,SER_hh_fech!G4/SER_summary!G$26)</f>
        <v>181.37527007663292</v>
      </c>
      <c r="H4" s="130">
        <f>IF(SER_hh_fech!H4=0,0,SER_hh_fech!H4/SER_summary!H$26)</f>
        <v>166.02266312045518</v>
      </c>
      <c r="I4" s="130">
        <f>IF(SER_hh_fech!I4=0,0,SER_hh_fech!I4/SER_summary!I$26)</f>
        <v>154.57348671169021</v>
      </c>
      <c r="J4" s="130">
        <f>IF(SER_hh_fech!J4=0,0,SER_hh_fech!J4/SER_summary!J$26)</f>
        <v>152.4324383272579</v>
      </c>
      <c r="K4" s="130">
        <f>IF(SER_hh_fech!K4=0,0,SER_hh_fech!K4/SER_summary!K$26)</f>
        <v>166.24243025356427</v>
      </c>
      <c r="L4" s="130">
        <f>IF(SER_hh_fech!L4=0,0,SER_hh_fech!L4/SER_summary!L$26)</f>
        <v>176.75401646545535</v>
      </c>
      <c r="M4" s="130">
        <f>IF(SER_hh_fech!M4=0,0,SER_hh_fech!M4/SER_summary!M$26)</f>
        <v>133.29300379735312</v>
      </c>
      <c r="N4" s="130">
        <f>IF(SER_hh_fech!N4=0,0,SER_hh_fech!N4/SER_summary!N$26)</f>
        <v>146.17519886366216</v>
      </c>
      <c r="O4" s="130">
        <f>IF(SER_hh_fech!O4=0,0,SER_hh_fech!O4/SER_summary!O$26)</f>
        <v>151.82173325481006</v>
      </c>
      <c r="P4" s="130">
        <f>IF(SER_hh_fech!P4=0,0,SER_hh_fech!P4/SER_summary!P$26)</f>
        <v>131.79498873784971</v>
      </c>
      <c r="Q4" s="130">
        <f>IF(SER_hh_fech!Q4=0,0,SER_hh_fech!Q4/SER_summary!Q$26)</f>
        <v>137.38004828183867</v>
      </c>
      <c r="R4" s="130">
        <f>IF(SER_hh_fech!R4=0,0,SER_hh_fech!R4/SER_summary!R$26)</f>
        <v>131.35445508961968</v>
      </c>
      <c r="S4" s="130">
        <f>IF(SER_hh_fech!S4=0,0,SER_hh_fech!S4/SER_summary!S$26)</f>
        <v>135.79607270247104</v>
      </c>
      <c r="T4" s="130">
        <f>IF(SER_hh_fech!T4=0,0,SER_hh_fech!T4/SER_summary!T$26)</f>
        <v>132.40750305696562</v>
      </c>
      <c r="U4" s="130">
        <f>IF(SER_hh_fech!U4=0,0,SER_hh_fech!U4/SER_summary!U$26)</f>
        <v>126.88220166393437</v>
      </c>
      <c r="V4" s="130">
        <f>IF(SER_hh_fech!V4=0,0,SER_hh_fech!V4/SER_summary!V$26)</f>
        <v>118.28336030299793</v>
      </c>
      <c r="W4" s="130">
        <f>IF(SER_hh_fech!W4=0,0,SER_hh_fech!W4/SER_summary!W$26)</f>
        <v>126.74174058940635</v>
      </c>
      <c r="X4" s="130">
        <f>IF(SER_hh_fech!X4=0,0,SER_hh_fech!X4/SER_summary!X$26)</f>
        <v>115.33483223836612</v>
      </c>
      <c r="Y4" s="130">
        <f>IF(SER_hh_fech!Y4=0,0,SER_hh_fech!Y4/SER_summary!Y$26)</f>
        <v>96.344809225020271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186.66893749983572</v>
      </c>
      <c r="C5" s="132">
        <f>IF(SER_hh_fech!C5=0,0,SER_hh_fech!C5/SER_summary!C$26)</f>
        <v>201.11700492502189</v>
      </c>
      <c r="D5" s="132">
        <f>IF(SER_hh_fech!D5=0,0,SER_hh_fech!D5/SER_summary!D$26)</f>
        <v>159.30726220612581</v>
      </c>
      <c r="E5" s="132">
        <f>IF(SER_hh_fech!E5=0,0,SER_hh_fech!E5/SER_summary!E$26)</f>
        <v>190.92292214973176</v>
      </c>
      <c r="F5" s="132">
        <f>IF(SER_hh_fech!F5=0,0,SER_hh_fech!F5/SER_summary!F$26)</f>
        <v>190.84410338434458</v>
      </c>
      <c r="G5" s="132">
        <f>IF(SER_hh_fech!G5=0,0,SER_hh_fech!G5/SER_summary!G$26)</f>
        <v>190.86778418757828</v>
      </c>
      <c r="H5" s="132">
        <f>IF(SER_hh_fech!H5=0,0,SER_hh_fech!H5/SER_summary!H$26)</f>
        <v>179.15900981980641</v>
      </c>
      <c r="I5" s="132">
        <f>IF(SER_hh_fech!I5=0,0,SER_hh_fech!I5/SER_summary!I$26)</f>
        <v>170.11554300200407</v>
      </c>
      <c r="J5" s="132">
        <f>IF(SER_hh_fech!J5=0,0,SER_hh_fech!J5/SER_summary!J$26)</f>
        <v>161.30251835576581</v>
      </c>
      <c r="K5" s="132">
        <f>IF(SER_hh_fech!K5=0,0,SER_hh_fech!K5/SER_summary!K$26)</f>
        <v>165.03389415596297</v>
      </c>
      <c r="L5" s="132">
        <f>IF(SER_hh_fech!L5=0,0,SER_hh_fech!L5/SER_summary!L$26)</f>
        <v>222.9697799382688</v>
      </c>
      <c r="M5" s="132">
        <f>IF(SER_hh_fech!M5=0,0,SER_hh_fech!M5/SER_summary!M$26)</f>
        <v>91.395150996674175</v>
      </c>
      <c r="N5" s="132">
        <f>IF(SER_hh_fech!N5=0,0,SER_hh_fech!N5/SER_summary!N$26)</f>
        <v>131.18061430464437</v>
      </c>
      <c r="O5" s="132">
        <f>IF(SER_hh_fech!O5=0,0,SER_hh_fech!O5/SER_summary!O$26)</f>
        <v>166.62968034375473</v>
      </c>
      <c r="P5" s="132">
        <f>IF(SER_hh_fech!P5=0,0,SER_hh_fech!P5/SER_summary!P$26)</f>
        <v>130.33244483997942</v>
      </c>
      <c r="Q5" s="132">
        <f>IF(SER_hh_fech!Q5=0,0,SER_hh_fech!Q5/SER_summary!Q$26)</f>
        <v>138.71979077502422</v>
      </c>
      <c r="R5" s="132">
        <f>IF(SER_hh_fech!R5=0,0,SER_hh_fech!R5/SER_summary!R$26)</f>
        <v>148.58221662759161</v>
      </c>
      <c r="S5" s="132">
        <f>IF(SER_hh_fech!S5=0,0,SER_hh_fech!S5/SER_summary!S$26)</f>
        <v>147.091368778413</v>
      </c>
      <c r="T5" s="132">
        <f>IF(SER_hh_fech!T5=0,0,SER_hh_fech!T5/SER_summary!T$26)</f>
        <v>138.44647433697637</v>
      </c>
      <c r="U5" s="132">
        <f>IF(SER_hh_fech!U5=0,0,SER_hh_fech!U5/SER_summary!U$26)</f>
        <v>137.51492469159004</v>
      </c>
      <c r="V5" s="132">
        <f>IF(SER_hh_fech!V5=0,0,SER_hh_fech!V5/SER_summary!V$26)</f>
        <v>120.50203915050191</v>
      </c>
      <c r="W5" s="132">
        <f>IF(SER_hh_fech!W5=0,0,SER_hh_fech!W5/SER_summary!W$26)</f>
        <v>135.36394142081505</v>
      </c>
      <c r="X5" s="132">
        <f>IF(SER_hh_fech!X5=0,0,SER_hh_fech!X5/SER_summary!X$26)</f>
        <v>115.60391556498577</v>
      </c>
      <c r="Y5" s="132">
        <f>IF(SER_hh_fech!Y5=0,0,SER_hh_fech!Y5/SER_summary!Y$26)</f>
        <v>98.240361240218192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209.73447210801274</v>
      </c>
      <c r="C7" s="132">
        <f>IF(SER_hh_fech!C7=0,0,SER_hh_fech!C7/SER_summary!C$26)</f>
        <v>231.73035277362101</v>
      </c>
      <c r="D7" s="132">
        <f>IF(SER_hh_fech!D7=0,0,SER_hh_fech!D7/SER_summary!D$26)</f>
        <v>204.80653701145445</v>
      </c>
      <c r="E7" s="132">
        <f>IF(SER_hh_fech!E7=0,0,SER_hh_fech!E7/SER_summary!E$26)</f>
        <v>222.50003540777217</v>
      </c>
      <c r="F7" s="132">
        <f>IF(SER_hh_fech!F7=0,0,SER_hh_fech!F7/SER_summary!F$26)</f>
        <v>228.78848078505183</v>
      </c>
      <c r="G7" s="132">
        <f>IF(SER_hh_fech!G7=0,0,SER_hh_fech!G7/SER_summary!G$26)</f>
        <v>222.86403310883628</v>
      </c>
      <c r="H7" s="132">
        <f>IF(SER_hh_fech!H7=0,0,SER_hh_fech!H7/SER_summary!H$26)</f>
        <v>206.12218621217062</v>
      </c>
      <c r="I7" s="132">
        <f>IF(SER_hh_fech!I7=0,0,SER_hh_fech!I7/SER_summary!I$26)</f>
        <v>177.51087812199106</v>
      </c>
      <c r="J7" s="132">
        <f>IF(SER_hh_fech!J7=0,0,SER_hh_fech!J7/SER_summary!J$26)</f>
        <v>210.39936141270678</v>
      </c>
      <c r="K7" s="132">
        <f>IF(SER_hh_fech!K7=0,0,SER_hh_fech!K7/SER_summary!K$26)</f>
        <v>205.94415694588264</v>
      </c>
      <c r="L7" s="132">
        <f>IF(SER_hh_fech!L7=0,0,SER_hh_fech!L7/SER_summary!L$26)</f>
        <v>200.59940544294818</v>
      </c>
      <c r="M7" s="132">
        <f>IF(SER_hh_fech!M7=0,0,SER_hh_fech!M7/SER_summary!M$26)</f>
        <v>170.5794689069719</v>
      </c>
      <c r="N7" s="132">
        <f>IF(SER_hh_fech!N7=0,0,SER_hh_fech!N7/SER_summary!N$26)</f>
        <v>170.31319105371202</v>
      </c>
      <c r="O7" s="132">
        <f>IF(SER_hh_fech!O7=0,0,SER_hh_fech!O7/SER_summary!O$26)</f>
        <v>170.93436061266999</v>
      </c>
      <c r="P7" s="132">
        <f>IF(SER_hh_fech!P7=0,0,SER_hh_fech!P7/SER_summary!P$26)</f>
        <v>175.48113245542862</v>
      </c>
      <c r="Q7" s="132">
        <f>IF(SER_hh_fech!Q7=0,0,SER_hh_fech!Q7/SER_summary!Q$26)</f>
        <v>175.74970931424932</v>
      </c>
      <c r="R7" s="132">
        <f>IF(SER_hh_fech!R7=0,0,SER_hh_fech!R7/SER_summary!R$26)</f>
        <v>142.83516315065134</v>
      </c>
      <c r="S7" s="132">
        <f>IF(SER_hh_fech!S7=0,0,SER_hh_fech!S7/SER_summary!S$26)</f>
        <v>171.52275373353422</v>
      </c>
      <c r="T7" s="132">
        <f>IF(SER_hh_fech!T7=0,0,SER_hh_fech!T7/SER_summary!T$26)</f>
        <v>158.31922814594841</v>
      </c>
      <c r="U7" s="132">
        <f>IF(SER_hh_fech!U7=0,0,SER_hh_fech!U7/SER_summary!U$26)</f>
        <v>150.65399123224961</v>
      </c>
      <c r="V7" s="132">
        <f>IF(SER_hh_fech!V7=0,0,SER_hh_fech!V7/SER_summary!V$26)</f>
        <v>156.18224247508195</v>
      </c>
      <c r="W7" s="132">
        <f>IF(SER_hh_fech!W7=0,0,SER_hh_fech!W7/SER_summary!W$26)</f>
        <v>135.86627855170607</v>
      </c>
      <c r="X7" s="132">
        <f>IF(SER_hh_fech!X7=0,0,SER_hh_fech!X7/SER_summary!X$26)</f>
        <v>145.1402969823815</v>
      </c>
      <c r="Y7" s="132">
        <f>IF(SER_hh_fech!Y7=0,0,SER_hh_fech!Y7/SER_summary!Y$26)</f>
        <v>111.95515655581283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73.977445324856959</v>
      </c>
      <c r="C8" s="132">
        <f>IF(SER_hh_fech!C8=0,0,SER_hh_fech!C8/SER_summary!C$26)</f>
        <v>83.585745169133261</v>
      </c>
      <c r="D8" s="132">
        <f>IF(SER_hh_fech!D8=0,0,SER_hh_fech!D8/SER_summary!D$26)</f>
        <v>65.57663310746382</v>
      </c>
      <c r="E8" s="132">
        <f>IF(SER_hh_fech!E8=0,0,SER_hh_fech!E8/SER_summary!E$26)</f>
        <v>68.010288282456528</v>
      </c>
      <c r="F8" s="132">
        <f>IF(SER_hh_fech!F8=0,0,SER_hh_fech!F8/SER_summary!F$26)</f>
        <v>60.969425298682431</v>
      </c>
      <c r="G8" s="132">
        <f>IF(SER_hh_fech!G8=0,0,SER_hh_fech!G8/SER_summary!G$26)</f>
        <v>79.40927794318894</v>
      </c>
      <c r="H8" s="132">
        <f>IF(SER_hh_fech!H8=0,0,SER_hh_fech!H8/SER_summary!H$26)</f>
        <v>69.407462598626509</v>
      </c>
      <c r="I8" s="132">
        <f>IF(SER_hh_fech!I8=0,0,SER_hh_fech!I8/SER_summary!I$26)</f>
        <v>68.254716075675361</v>
      </c>
      <c r="J8" s="132">
        <f>IF(SER_hh_fech!J8=0,0,SER_hh_fech!J8/SER_summary!J$26)</f>
        <v>69.913184295972357</v>
      </c>
      <c r="K8" s="132">
        <f>IF(SER_hh_fech!K8=0,0,SER_hh_fech!K8/SER_summary!K$26)</f>
        <v>53.804724632706439</v>
      </c>
      <c r="L8" s="132">
        <f>IF(SER_hh_fech!L8=0,0,SER_hh_fech!L8/SER_summary!L$26)</f>
        <v>44.069521784575102</v>
      </c>
      <c r="M8" s="132">
        <f>IF(SER_hh_fech!M8=0,0,SER_hh_fech!M8/SER_summary!M$26)</f>
        <v>58.171569582502642</v>
      </c>
      <c r="N8" s="132">
        <f>IF(SER_hh_fech!N8=0,0,SER_hh_fech!N8/SER_summary!N$26)</f>
        <v>51.603682284218308</v>
      </c>
      <c r="O8" s="132">
        <f>IF(SER_hh_fech!O8=0,0,SER_hh_fech!O8/SER_summary!O$26)</f>
        <v>54.577714951723898</v>
      </c>
      <c r="P8" s="132">
        <f>IF(SER_hh_fech!P8=0,0,SER_hh_fech!P8/SER_summary!P$26)</f>
        <v>46.203685351105399</v>
      </c>
      <c r="Q8" s="132">
        <f>IF(SER_hh_fech!Q8=0,0,SER_hh_fech!Q8/SER_summary!Q$26)</f>
        <v>48.163076511054633</v>
      </c>
      <c r="R8" s="132">
        <f>IF(SER_hh_fech!R8=0,0,SER_hh_fech!R8/SER_summary!R$26)</f>
        <v>47.003898598473597</v>
      </c>
      <c r="S8" s="132">
        <f>IF(SER_hh_fech!S8=0,0,SER_hh_fech!S8/SER_summary!S$26)</f>
        <v>45.576401934259962</v>
      </c>
      <c r="T8" s="132">
        <f>IF(SER_hh_fech!T8=0,0,SER_hh_fech!T8/SER_summary!T$26)</f>
        <v>44.841970552021863</v>
      </c>
      <c r="U8" s="132">
        <f>IF(SER_hh_fech!U8=0,0,SER_hh_fech!U8/SER_summary!U$26)</f>
        <v>43.979981464106991</v>
      </c>
      <c r="V8" s="132">
        <f>IF(SER_hh_fech!V8=0,0,SER_hh_fech!V8/SER_summary!V$26)</f>
        <v>41.087633073581429</v>
      </c>
      <c r="W8" s="132">
        <f>IF(SER_hh_fech!W8=0,0,SER_hh_fech!W8/SER_summary!W$26)</f>
        <v>52.003483676738753</v>
      </c>
      <c r="X8" s="132">
        <f>IF(SER_hh_fech!X8=0,0,SER_hh_fech!X8/SER_summary!X$26)</f>
        <v>29.352463954093146</v>
      </c>
      <c r="Y8" s="132">
        <f>IF(SER_hh_fech!Y8=0,0,SER_hh_fech!Y8/SER_summary!Y$26)</f>
        <v>34.826827557498305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198.13781342234583</v>
      </c>
      <c r="C9" s="132">
        <f>IF(SER_hh_fech!C9=0,0,SER_hh_fech!C9/SER_summary!C$26)</f>
        <v>209.06703144276298</v>
      </c>
      <c r="D9" s="132">
        <f>IF(SER_hh_fech!D9=0,0,SER_hh_fech!D9/SER_summary!D$26)</f>
        <v>170.68030902440262</v>
      </c>
      <c r="E9" s="132">
        <f>IF(SER_hh_fech!E9=0,0,SER_hh_fech!E9/SER_summary!E$26)</f>
        <v>211.72537980302198</v>
      </c>
      <c r="F9" s="132">
        <f>IF(SER_hh_fech!F9=0,0,SER_hh_fech!F9/SER_summary!F$26)</f>
        <v>207.54796350271366</v>
      </c>
      <c r="G9" s="132">
        <f>IF(SER_hh_fech!G9=0,0,SER_hh_fech!G9/SER_summary!G$26)</f>
        <v>208.83169600331399</v>
      </c>
      <c r="H9" s="132">
        <f>IF(SER_hh_fech!H9=0,0,SER_hh_fech!H9/SER_summary!H$26)</f>
        <v>179.58536943393358</v>
      </c>
      <c r="I9" s="132">
        <f>IF(SER_hh_fech!I9=0,0,SER_hh_fech!I9/SER_summary!I$26)</f>
        <v>179.01435231816231</v>
      </c>
      <c r="J9" s="132">
        <f>IF(SER_hh_fech!J9=0,0,SER_hh_fech!J9/SER_summary!J$26)</f>
        <v>156.42423021075527</v>
      </c>
      <c r="K9" s="132">
        <f>IF(SER_hh_fech!K9=0,0,SER_hh_fech!K9/SER_summary!K$26)</f>
        <v>185.4062368315582</v>
      </c>
      <c r="L9" s="132">
        <f>IF(SER_hh_fech!L9=0,0,SER_hh_fech!L9/SER_summary!L$26)</f>
        <v>204.93321931282583</v>
      </c>
      <c r="M9" s="132">
        <f>IF(SER_hh_fech!M9=0,0,SER_hh_fech!M9/SER_summary!M$26)</f>
        <v>143.46148768155561</v>
      </c>
      <c r="N9" s="132">
        <f>IF(SER_hh_fech!N9=0,0,SER_hh_fech!N9/SER_summary!N$26)</f>
        <v>168.29764360595516</v>
      </c>
      <c r="O9" s="132">
        <f>IF(SER_hh_fech!O9=0,0,SER_hh_fech!O9/SER_summary!O$26)</f>
        <v>177.29420926650909</v>
      </c>
      <c r="P9" s="132">
        <f>IF(SER_hh_fech!P9=0,0,SER_hh_fech!P9/SER_summary!P$26)</f>
        <v>142.86358094912347</v>
      </c>
      <c r="Q9" s="132">
        <f>IF(SER_hh_fech!Q9=0,0,SER_hh_fech!Q9/SER_summary!Q$26)</f>
        <v>151.63335221424126</v>
      </c>
      <c r="R9" s="132">
        <f>IF(SER_hh_fech!R9=0,0,SER_hh_fech!R9/SER_summary!R$26)</f>
        <v>148.37510681529051</v>
      </c>
      <c r="S9" s="132">
        <f>IF(SER_hh_fech!S9=0,0,SER_hh_fech!S9/SER_summary!S$26)</f>
        <v>148.06485487210057</v>
      </c>
      <c r="T9" s="132">
        <f>IF(SER_hh_fech!T9=0,0,SER_hh_fech!T9/SER_summary!T$26)</f>
        <v>146.82783392549658</v>
      </c>
      <c r="U9" s="132">
        <f>IF(SER_hh_fech!U9=0,0,SER_hh_fech!U9/SER_summary!U$26)</f>
        <v>139.45139620702588</v>
      </c>
      <c r="V9" s="132">
        <f>IF(SER_hh_fech!V9=0,0,SER_hh_fech!V9/SER_summary!V$26)</f>
        <v>126.0185177473555</v>
      </c>
      <c r="W9" s="132">
        <f>IF(SER_hh_fech!W9=0,0,SER_hh_fech!W9/SER_summary!W$26)</f>
        <v>134.86904301470486</v>
      </c>
      <c r="X9" s="132">
        <f>IF(SER_hh_fech!X9=0,0,SER_hh_fech!X9/SER_summary!X$26)</f>
        <v>112.51795804022969</v>
      </c>
      <c r="Y9" s="132">
        <f>IF(SER_hh_fech!Y9=0,0,SER_hh_fech!Y9/SER_summary!Y$26)</f>
        <v>101.14968812335718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206.78506801823835</v>
      </c>
      <c r="C10" s="132">
        <f>IF(SER_hh_fech!C10=0,0,SER_hh_fech!C10/SER_summary!C$26)</f>
        <v>213.00507016257686</v>
      </c>
      <c r="D10" s="132">
        <f>IF(SER_hh_fech!D10=0,0,SER_hh_fech!D10/SER_summary!D$26)</f>
        <v>210.43695564104311</v>
      </c>
      <c r="E10" s="132">
        <f>IF(SER_hh_fech!E10=0,0,SER_hh_fech!E10/SER_summary!E$26)</f>
        <v>231.77709890207211</v>
      </c>
      <c r="F10" s="132">
        <f>IF(SER_hh_fech!F10=0,0,SER_hh_fech!F10/SER_summary!F$26)</f>
        <v>262.3937763918031</v>
      </c>
      <c r="G10" s="132">
        <f>IF(SER_hh_fech!G10=0,0,SER_hh_fech!G10/SER_summary!G$26)</f>
        <v>176.40341021635967</v>
      </c>
      <c r="H10" s="132">
        <f>IF(SER_hh_fech!H10=0,0,SER_hh_fech!H10/SER_summary!H$26)</f>
        <v>130.32267502505834</v>
      </c>
      <c r="I10" s="132">
        <f>IF(SER_hh_fech!I10=0,0,SER_hh_fech!I10/SER_summary!I$26)</f>
        <v>194.0441563247183</v>
      </c>
      <c r="J10" s="132">
        <f>IF(SER_hh_fech!J10=0,0,SER_hh_fech!J10/SER_summary!J$26)</f>
        <v>183.77453887398468</v>
      </c>
      <c r="K10" s="132">
        <f>IF(SER_hh_fech!K10=0,0,SER_hh_fech!K10/SER_summary!K$26)</f>
        <v>232.93121082134229</v>
      </c>
      <c r="L10" s="132">
        <f>IF(SER_hh_fech!L10=0,0,SER_hh_fech!L10/SER_summary!L$26)</f>
        <v>202.97820927561918</v>
      </c>
      <c r="M10" s="132">
        <f>IF(SER_hh_fech!M10=0,0,SER_hh_fech!M10/SER_summary!M$26)</f>
        <v>136.20524739240707</v>
      </c>
      <c r="N10" s="132">
        <f>IF(SER_hh_fech!N10=0,0,SER_hh_fech!N10/SER_summary!N$26)</f>
        <v>161.87393097954546</v>
      </c>
      <c r="O10" s="132">
        <f>IF(SER_hh_fech!O10=0,0,SER_hh_fech!O10/SER_summary!O$26)</f>
        <v>202.67520586920114</v>
      </c>
      <c r="P10" s="132">
        <f>IF(SER_hh_fech!P10=0,0,SER_hh_fech!P10/SER_summary!P$26)</f>
        <v>167.56691375049533</v>
      </c>
      <c r="Q10" s="132">
        <f>IF(SER_hh_fech!Q10=0,0,SER_hh_fech!Q10/SER_summary!Q$26)</f>
        <v>156.5560269225426</v>
      </c>
      <c r="R10" s="132">
        <f>IF(SER_hh_fech!R10=0,0,SER_hh_fech!R10/SER_summary!R$26)</f>
        <v>171.21702971588161</v>
      </c>
      <c r="S10" s="132">
        <f>IF(SER_hh_fech!S10=0,0,SER_hh_fech!S10/SER_summary!S$26)</f>
        <v>177.07663459433695</v>
      </c>
      <c r="T10" s="132">
        <f>IF(SER_hh_fech!T10=0,0,SER_hh_fech!T10/SER_summary!T$26)</f>
        <v>161.99751018615368</v>
      </c>
      <c r="U10" s="132">
        <f>IF(SER_hh_fech!U10=0,0,SER_hh_fech!U10/SER_summary!U$26)</f>
        <v>159.72879731576953</v>
      </c>
      <c r="V10" s="132">
        <f>IF(SER_hh_fech!V10=0,0,SER_hh_fech!V10/SER_summary!V$26)</f>
        <v>151.76934916331228</v>
      </c>
      <c r="W10" s="132">
        <f>IF(SER_hh_fech!W10=0,0,SER_hh_fech!W10/SER_summary!W$26)</f>
        <v>161.77492621557212</v>
      </c>
      <c r="X10" s="132">
        <f>IF(SER_hh_fech!X10=0,0,SER_hh_fech!X10/SER_summary!X$26)</f>
        <v>162.28032455283</v>
      </c>
      <c r="Y10" s="132">
        <f>IF(SER_hh_fech!Y10=0,0,SER_hh_fech!Y10/SER_summary!Y$26)</f>
        <v>134.03978060925607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267.33226998629942</v>
      </c>
      <c r="E11" s="132">
        <f>IF(SER_hh_fech!E11=0,0,SER_hh_fech!E11/SER_summary!E$26)</f>
        <v>237.58305452638859</v>
      </c>
      <c r="F11" s="132">
        <f>IF(SER_hh_fech!F11=0,0,SER_hh_fech!F11/SER_summary!F$26)</f>
        <v>236.91471682195001</v>
      </c>
      <c r="G11" s="132">
        <f>IF(SER_hh_fech!G11=0,0,SER_hh_fech!G11/SER_summary!G$26)</f>
        <v>83.393485092577464</v>
      </c>
      <c r="H11" s="132">
        <f>IF(SER_hh_fech!H11=0,0,SER_hh_fech!H11/SER_summary!H$26)</f>
        <v>105.78478013978908</v>
      </c>
      <c r="I11" s="132">
        <f>IF(SER_hh_fech!I11=0,0,SER_hh_fech!I11/SER_summary!I$26)</f>
        <v>120.25504274782158</v>
      </c>
      <c r="J11" s="132">
        <f>IF(SER_hh_fech!J11=0,0,SER_hh_fech!J11/SER_summary!J$26)</f>
        <v>120.53922206071228</v>
      </c>
      <c r="K11" s="132">
        <f>IF(SER_hh_fech!K11=0,0,SER_hh_fech!K11/SER_summary!K$26)</f>
        <v>119.60711158518758</v>
      </c>
      <c r="L11" s="132">
        <f>IF(SER_hh_fech!L11=0,0,SER_hh_fech!L11/SER_summary!L$26)</f>
        <v>114.96270215572569</v>
      </c>
      <c r="M11" s="132">
        <f>IF(SER_hh_fech!M11=0,0,SER_hh_fech!M11/SER_summary!M$26)</f>
        <v>124.55258109551264</v>
      </c>
      <c r="N11" s="132">
        <f>IF(SER_hh_fech!N11=0,0,SER_hh_fech!N11/SER_summary!N$26)</f>
        <v>120.86204063166281</v>
      </c>
      <c r="O11" s="132">
        <f>IF(SER_hh_fech!O11=0,0,SER_hh_fech!O11/SER_summary!O$26)</f>
        <v>119.62211552085205</v>
      </c>
      <c r="P11" s="132">
        <f>IF(SER_hh_fech!P11=0,0,SER_hh_fech!P11/SER_summary!P$26)</f>
        <v>111.94668599062129</v>
      </c>
      <c r="Q11" s="132">
        <f>IF(SER_hh_fech!Q11=0,0,SER_hh_fech!Q11/SER_summary!Q$26)</f>
        <v>112.28189597635215</v>
      </c>
      <c r="R11" s="132">
        <f>IF(SER_hh_fech!R11=0,0,SER_hh_fech!R11/SER_summary!R$26)</f>
        <v>111.25913826959912</v>
      </c>
      <c r="S11" s="132">
        <f>IF(SER_hh_fech!S11=0,0,SER_hh_fech!S11/SER_summary!S$26)</f>
        <v>111.28339747923542</v>
      </c>
      <c r="T11" s="132">
        <f>IF(SER_hh_fech!T11=0,0,SER_hh_fech!T11/SER_summary!T$26)</f>
        <v>109.0127819340718</v>
      </c>
      <c r="U11" s="132">
        <f>IF(SER_hh_fech!U11=0,0,SER_hh_fech!U11/SER_summary!U$26)</f>
        <v>107.32011319212945</v>
      </c>
      <c r="V11" s="132">
        <f>IF(SER_hh_fech!V11=0,0,SER_hh_fech!V11/SER_summary!V$26)</f>
        <v>104.78950051044639</v>
      </c>
      <c r="W11" s="132">
        <f>IF(SER_hh_fech!W11=0,0,SER_hh_fech!W11/SER_summary!W$26)</f>
        <v>98.337321123085488</v>
      </c>
      <c r="X11" s="132">
        <f>IF(SER_hh_fech!X11=0,0,SER_hh_fech!X11/SER_summary!X$26)</f>
        <v>93.465679156445248</v>
      </c>
      <c r="Y11" s="132">
        <f>IF(SER_hh_fech!Y11=0,0,SER_hh_fech!Y11/SER_summary!Y$26)</f>
        <v>89.005288641698016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119.260195688306</v>
      </c>
      <c r="C12" s="132">
        <f>IF(SER_hh_fech!C12=0,0,SER_hh_fech!C12/SER_summary!C$26)</f>
        <v>133.25195205298135</v>
      </c>
      <c r="D12" s="132">
        <f>IF(SER_hh_fech!D12=0,0,SER_hh_fech!D12/SER_summary!D$26)</f>
        <v>133.82839535713831</v>
      </c>
      <c r="E12" s="132">
        <f>IF(SER_hh_fech!E12=0,0,SER_hh_fech!E12/SER_summary!E$26)</f>
        <v>130.28890281016444</v>
      </c>
      <c r="F12" s="132">
        <f>IF(SER_hh_fech!F12=0,0,SER_hh_fech!F12/SER_summary!F$26)</f>
        <v>132.8307929212063</v>
      </c>
      <c r="G12" s="132">
        <f>IF(SER_hh_fech!G12=0,0,SER_hh_fech!G12/SER_summary!G$26)</f>
        <v>143.92952483764412</v>
      </c>
      <c r="H12" s="132">
        <f>IF(SER_hh_fech!H12=0,0,SER_hh_fech!H12/SER_summary!H$26)</f>
        <v>146.75973726374116</v>
      </c>
      <c r="I12" s="132">
        <f>IF(SER_hh_fech!I12=0,0,SER_hh_fech!I12/SER_summary!I$26)</f>
        <v>92.408858355023625</v>
      </c>
      <c r="J12" s="132">
        <f>IF(SER_hh_fech!J12=0,0,SER_hh_fech!J12/SER_summary!J$26)</f>
        <v>116.9201040218383</v>
      </c>
      <c r="K12" s="132">
        <f>IF(SER_hh_fech!K12=0,0,SER_hh_fech!K12/SER_summary!K$26)</f>
        <v>116.93533301768173</v>
      </c>
      <c r="L12" s="132">
        <f>IF(SER_hh_fech!L12=0,0,SER_hh_fech!L12/SER_summary!L$26)</f>
        <v>134.7959301907982</v>
      </c>
      <c r="M12" s="132">
        <f>IF(SER_hh_fech!M12=0,0,SER_hh_fech!M12/SER_summary!M$26)</f>
        <v>113.6193177159529</v>
      </c>
      <c r="N12" s="132">
        <f>IF(SER_hh_fech!N12=0,0,SER_hh_fech!N12/SER_summary!N$26)</f>
        <v>114.12352605912714</v>
      </c>
      <c r="O12" s="132">
        <f>IF(SER_hh_fech!O12=0,0,SER_hh_fech!O12/SER_summary!O$26)</f>
        <v>119.20211260448144</v>
      </c>
      <c r="P12" s="132">
        <f>IF(SER_hh_fech!P12=0,0,SER_hh_fech!P12/SER_summary!P$26)</f>
        <v>107.82250648123299</v>
      </c>
      <c r="Q12" s="132">
        <f>IF(SER_hh_fech!Q12=0,0,SER_hh_fech!Q12/SER_summary!Q$26)</f>
        <v>110.51877373565351</v>
      </c>
      <c r="R12" s="132">
        <f>IF(SER_hh_fech!R12=0,0,SER_hh_fech!R12/SER_summary!R$26)</f>
        <v>114.83816174153596</v>
      </c>
      <c r="S12" s="132">
        <f>IF(SER_hh_fech!S12=0,0,SER_hh_fech!S12/SER_summary!S$26)</f>
        <v>115.10727674804565</v>
      </c>
      <c r="T12" s="132">
        <f>IF(SER_hh_fech!T12=0,0,SER_hh_fech!T12/SER_summary!T$26)</f>
        <v>109.44181352579463</v>
      </c>
      <c r="U12" s="132">
        <f>IF(SER_hh_fech!U12=0,0,SER_hh_fech!U12/SER_summary!U$26)</f>
        <v>106.57003792264672</v>
      </c>
      <c r="V12" s="132">
        <f>IF(SER_hh_fech!V12=0,0,SER_hh_fech!V12/SER_summary!V$26)</f>
        <v>104.05833929835704</v>
      </c>
      <c r="W12" s="132">
        <f>IF(SER_hh_fech!W12=0,0,SER_hh_fech!W12/SER_summary!W$26)</f>
        <v>112.57304452006076</v>
      </c>
      <c r="X12" s="132">
        <f>IF(SER_hh_fech!X12=0,0,SER_hh_fech!X12/SER_summary!X$26)</f>
        <v>98.642968857586752</v>
      </c>
      <c r="Y12" s="132">
        <f>IF(SER_hh_fech!Y12=0,0,SER_hh_fech!Y12/SER_summary!Y$26)</f>
        <v>88.45675701799216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63.28408640688594</v>
      </c>
      <c r="C13" s="132">
        <f>IF(SER_hh_fech!C13=0,0,SER_hh_fech!C13/SER_summary!C$26)</f>
        <v>63.194287449242069</v>
      </c>
      <c r="D13" s="132">
        <f>IF(SER_hh_fech!D13=0,0,SER_hh_fech!D13/SER_summary!D$26)</f>
        <v>64.202556584726722</v>
      </c>
      <c r="E13" s="132">
        <f>IF(SER_hh_fech!E13=0,0,SER_hh_fech!E13/SER_summary!E$26)</f>
        <v>63.129877831848184</v>
      </c>
      <c r="F13" s="132">
        <f>IF(SER_hh_fech!F13=0,0,SER_hh_fech!F13/SER_summary!F$26)</f>
        <v>60.02785528200554</v>
      </c>
      <c r="G13" s="132">
        <f>IF(SER_hh_fech!G13=0,0,SER_hh_fech!G13/SER_summary!G$26)</f>
        <v>59.838165810255617</v>
      </c>
      <c r="H13" s="132">
        <f>IF(SER_hh_fech!H13=0,0,SER_hh_fech!H13/SER_summary!H$26)</f>
        <v>54.424572566765939</v>
      </c>
      <c r="I13" s="132">
        <f>IF(SER_hh_fech!I13=0,0,SER_hh_fech!I13/SER_summary!I$26)</f>
        <v>48.56886675348116</v>
      </c>
      <c r="J13" s="132">
        <f>IF(SER_hh_fech!J13=0,0,SER_hh_fech!J13/SER_summary!J$26)</f>
        <v>49.436421657788792</v>
      </c>
      <c r="K13" s="132">
        <f>IF(SER_hh_fech!K13=0,0,SER_hh_fech!K13/SER_summary!K$26)</f>
        <v>45.276996443613626</v>
      </c>
      <c r="L13" s="132">
        <f>IF(SER_hh_fech!L13=0,0,SER_hh_fech!L13/SER_summary!L$26)</f>
        <v>39.353380561967469</v>
      </c>
      <c r="M13" s="132">
        <f>IF(SER_hh_fech!M13=0,0,SER_hh_fech!M13/SER_summary!M$26)</f>
        <v>43.013049352729091</v>
      </c>
      <c r="N13" s="132">
        <f>IF(SER_hh_fech!N13=0,0,SER_hh_fech!N13/SER_summary!N$26)</f>
        <v>42.395343288998653</v>
      </c>
      <c r="O13" s="132">
        <f>IF(SER_hh_fech!O13=0,0,SER_hh_fech!O13/SER_summary!O$26)</f>
        <v>42.323925378704224</v>
      </c>
      <c r="P13" s="132">
        <f>IF(SER_hh_fech!P13=0,0,SER_hh_fech!P13/SER_summary!P$26)</f>
        <v>34.698025622127545</v>
      </c>
      <c r="Q13" s="132">
        <f>IF(SER_hh_fech!Q13=0,0,SER_hh_fech!Q13/SER_summary!Q$26)</f>
        <v>35.571221627729884</v>
      </c>
      <c r="R13" s="132">
        <f>IF(SER_hh_fech!R13=0,0,SER_hh_fech!R13/SER_summary!R$26)</f>
        <v>37.119058505204293</v>
      </c>
      <c r="S13" s="132">
        <f>IF(SER_hh_fech!S13=0,0,SER_hh_fech!S13/SER_summary!S$26)</f>
        <v>34.940867040694151</v>
      </c>
      <c r="T13" s="132">
        <f>IF(SER_hh_fech!T13=0,0,SER_hh_fech!T13/SER_summary!T$26)</f>
        <v>31.603157432991441</v>
      </c>
      <c r="U13" s="132">
        <f>IF(SER_hh_fech!U13=0,0,SER_hh_fech!U13/SER_summary!U$26)</f>
        <v>31.28321743635717</v>
      </c>
      <c r="V13" s="132">
        <f>IF(SER_hh_fech!V13=0,0,SER_hh_fech!V13/SER_summary!V$26)</f>
        <v>30.394969279614383</v>
      </c>
      <c r="W13" s="132">
        <f>IF(SER_hh_fech!W13=0,0,SER_hh_fech!W13/SER_summary!W$26)</f>
        <v>37.092673932614098</v>
      </c>
      <c r="X13" s="132">
        <f>IF(SER_hh_fech!X13=0,0,SER_hh_fech!X13/SER_summary!X$26)</f>
        <v>21.889979907309829</v>
      </c>
      <c r="Y13" s="132">
        <f>IF(SER_hh_fech!Y13=0,0,SER_hh_fech!Y13/SER_summary!Y$26)</f>
        <v>25.154496280066279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146.2767736010988</v>
      </c>
      <c r="C14" s="65">
        <f>IF(SER_hh_fech!C14=0,0,SER_hh_fech!C14/SER_summary!C$26)</f>
        <v>147.00407785659539</v>
      </c>
      <c r="D14" s="65">
        <f>IF(SER_hh_fech!D14=0,0,SER_hh_fech!D14/SER_summary!D$26)</f>
        <v>143.38144255474177</v>
      </c>
      <c r="E14" s="65">
        <f>IF(SER_hh_fech!E14=0,0,SER_hh_fech!E14/SER_summary!E$26)</f>
        <v>148.14164608285242</v>
      </c>
      <c r="F14" s="65">
        <f>IF(SER_hh_fech!F14=0,0,SER_hh_fech!F14/SER_summary!F$26)</f>
        <v>155.92707385557409</v>
      </c>
      <c r="G14" s="65">
        <f>IF(SER_hh_fech!G14=0,0,SER_hh_fech!G14/SER_summary!G$26)</f>
        <v>145.55058796785116</v>
      </c>
      <c r="H14" s="65">
        <f>IF(SER_hh_fech!H14=0,0,SER_hh_fech!H14/SER_summary!H$26)</f>
        <v>140.32440862511655</v>
      </c>
      <c r="I14" s="65">
        <f>IF(SER_hh_fech!I14=0,0,SER_hh_fech!I14/SER_summary!I$26)</f>
        <v>136.31417982410426</v>
      </c>
      <c r="J14" s="65">
        <f>IF(SER_hh_fech!J14=0,0,SER_hh_fech!J14/SER_summary!J$26)</f>
        <v>124.57974887033556</v>
      </c>
      <c r="K14" s="65">
        <f>IF(SER_hh_fech!K14=0,0,SER_hh_fech!K14/SER_summary!K$26)</f>
        <v>137.35394272944984</v>
      </c>
      <c r="L14" s="65">
        <f>IF(SER_hh_fech!L14=0,0,SER_hh_fech!L14/SER_summary!L$26)</f>
        <v>153.0957329931515</v>
      </c>
      <c r="M14" s="65">
        <f>IF(SER_hh_fech!M14=0,0,SER_hh_fech!M14/SER_summary!M$26)</f>
        <v>119.54456214383733</v>
      </c>
      <c r="N14" s="65">
        <f>IF(SER_hh_fech!N14=0,0,SER_hh_fech!N14/SER_summary!N$26)</f>
        <v>131.51455251000723</v>
      </c>
      <c r="O14" s="65">
        <f>IF(SER_hh_fech!O14=0,0,SER_hh_fech!O14/SER_summary!O$26)</f>
        <v>134.72547209772796</v>
      </c>
      <c r="P14" s="65">
        <f>IF(SER_hh_fech!P14=0,0,SER_hh_fech!P14/SER_summary!P$26)</f>
        <v>114.67073456610137</v>
      </c>
      <c r="Q14" s="65">
        <f>IF(SER_hh_fech!Q14=0,0,SER_hh_fech!Q14/SER_summary!Q$26)</f>
        <v>124.22259979452085</v>
      </c>
      <c r="R14" s="65">
        <f>IF(SER_hh_fech!R14=0,0,SER_hh_fech!R14/SER_summary!R$26)</f>
        <v>124.98592737143198</v>
      </c>
      <c r="S14" s="65">
        <f>IF(SER_hh_fech!S14=0,0,SER_hh_fech!S14/SER_summary!S$26)</f>
        <v>125.17977015035008</v>
      </c>
      <c r="T14" s="65">
        <f>IF(SER_hh_fech!T14=0,0,SER_hh_fech!T14/SER_summary!T$26)</f>
        <v>124.98598221898236</v>
      </c>
      <c r="U14" s="65">
        <f>IF(SER_hh_fech!U14=0,0,SER_hh_fech!U14/SER_summary!U$26)</f>
        <v>120.37561332510138</v>
      </c>
      <c r="V14" s="65">
        <f>IF(SER_hh_fech!V14=0,0,SER_hh_fech!V14/SER_summary!V$26)</f>
        <v>104.96148686677701</v>
      </c>
      <c r="W14" s="65">
        <f>IF(SER_hh_fech!W14=0,0,SER_hh_fech!W14/SER_summary!W$26)</f>
        <v>128.13227369723685</v>
      </c>
      <c r="X14" s="65">
        <f>IF(SER_hh_fech!X14=0,0,SER_hh_fech!X14/SER_summary!X$26)</f>
        <v>118.43684030931729</v>
      </c>
      <c r="Y14" s="65">
        <f>IF(SER_hh_fech!Y14=0,0,SER_hh_fech!Y14/SER_summary!Y$26)</f>
        <v>85.41397286447669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1.6478352085399839</v>
      </c>
      <c r="C15" s="134">
        <f>IF(SER_hh_fech!C15=0,0,SER_hh_fech!C15/SER_summary!C$26)</f>
        <v>1.7293602221098681</v>
      </c>
      <c r="D15" s="134">
        <f>IF(SER_hh_fech!D15=0,0,SER_hh_fech!D15/SER_summary!D$26)</f>
        <v>1.4604887467763537</v>
      </c>
      <c r="E15" s="134">
        <f>IF(SER_hh_fech!E15=0,0,SER_hh_fech!E15/SER_summary!E$26)</f>
        <v>1.6665621035216387</v>
      </c>
      <c r="F15" s="134">
        <f>IF(SER_hh_fech!F15=0,0,SER_hh_fech!F15/SER_summary!F$26)</f>
        <v>1.6696750211607481</v>
      </c>
      <c r="G15" s="134">
        <f>IF(SER_hh_fech!G15=0,0,SER_hh_fech!G15/SER_summary!G$26)</f>
        <v>1.6602651549436478</v>
      </c>
      <c r="H15" s="134">
        <f>IF(SER_hh_fech!H15=0,0,SER_hh_fech!H15/SER_summary!H$26)</f>
        <v>1.492180475126978</v>
      </c>
      <c r="I15" s="134">
        <f>IF(SER_hh_fech!I15=0,0,SER_hh_fech!I15/SER_summary!I$26)</f>
        <v>1.4277239409573943</v>
      </c>
      <c r="J15" s="134">
        <f>IF(SER_hh_fech!J15=0,0,SER_hh_fech!J15/SER_summary!J$26)</f>
        <v>1.4424610686972004</v>
      </c>
      <c r="K15" s="134">
        <f>IF(SER_hh_fech!K15=0,0,SER_hh_fech!K15/SER_summary!K$26)</f>
        <v>1.6015500842946468</v>
      </c>
      <c r="L15" s="134">
        <f>IF(SER_hh_fech!L15=0,0,SER_hh_fech!L15/SER_summary!L$26)</f>
        <v>1.7030227419064217</v>
      </c>
      <c r="M15" s="134">
        <f>IF(SER_hh_fech!M15=0,0,SER_hh_fech!M15/SER_summary!M$26)</f>
        <v>1.2795405601240657</v>
      </c>
      <c r="N15" s="134">
        <f>IF(SER_hh_fech!N15=0,0,SER_hh_fech!N15/SER_summary!N$26)</f>
        <v>1.4384804010378212</v>
      </c>
      <c r="O15" s="134">
        <f>IF(SER_hh_fech!O15=0,0,SER_hh_fech!O15/SER_summary!O$26)</f>
        <v>1.5166168942598655</v>
      </c>
      <c r="P15" s="134">
        <f>IF(SER_hh_fech!P15=0,0,SER_hh_fech!P15/SER_summary!P$26)</f>
        <v>1.3202892345213306</v>
      </c>
      <c r="Q15" s="134">
        <f>IF(SER_hh_fech!Q15=0,0,SER_hh_fech!Q15/SER_summary!Q$26)</f>
        <v>1.3648871053050318</v>
      </c>
      <c r="R15" s="134">
        <f>IF(SER_hh_fech!R15=0,0,SER_hh_fech!R15/SER_summary!R$26)</f>
        <v>1.2820514745834088</v>
      </c>
      <c r="S15" s="134">
        <f>IF(SER_hh_fech!S15=0,0,SER_hh_fech!S15/SER_summary!S$26)</f>
        <v>1.3652335389623504</v>
      </c>
      <c r="T15" s="134">
        <f>IF(SER_hh_fech!T15=0,0,SER_hh_fech!T15/SER_summary!T$26)</f>
        <v>1.3545029775982946</v>
      </c>
      <c r="U15" s="134">
        <f>IF(SER_hh_fech!U15=0,0,SER_hh_fech!U15/SER_summary!U$26)</f>
        <v>1.3164002231427727</v>
      </c>
      <c r="V15" s="134">
        <f>IF(SER_hh_fech!V15=0,0,SER_hh_fech!V15/SER_summary!V$26)</f>
        <v>1.2567881492473372</v>
      </c>
      <c r="W15" s="134">
        <f>IF(SER_hh_fech!W15=0,0,SER_hh_fech!W15/SER_summary!W$26)</f>
        <v>1.3043362185799625</v>
      </c>
      <c r="X15" s="134">
        <f>IF(SER_hh_fech!X15=0,0,SER_hh_fech!X15/SER_summary!X$26)</f>
        <v>1.1826500105277657</v>
      </c>
      <c r="Y15" s="134">
        <f>IF(SER_hh_fech!Y15=0,0,SER_hh_fech!Y15/SER_summary!Y$26)</f>
        <v>1.035596019587488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14.496297926292351</v>
      </c>
      <c r="C16" s="130">
        <f>IF(SER_hh_fech!C16=0,0,SER_hh_fech!C16/SER_summary!C$26)</f>
        <v>14.599219334877258</v>
      </c>
      <c r="D16" s="130">
        <f>IF(SER_hh_fech!D16=0,0,SER_hh_fech!D16/SER_summary!D$26)</f>
        <v>13.365111220498585</v>
      </c>
      <c r="E16" s="130">
        <f>IF(SER_hh_fech!E16=0,0,SER_hh_fech!E16/SER_summary!E$26)</f>
        <v>22.361452053694897</v>
      </c>
      <c r="F16" s="130">
        <f>IF(SER_hh_fech!F16=0,0,SER_hh_fech!F16/SER_summary!F$26)</f>
        <v>12.594767803501698</v>
      </c>
      <c r="G16" s="130">
        <f>IF(SER_hh_fech!G16=0,0,SER_hh_fech!G16/SER_summary!G$26)</f>
        <v>13.051946088357715</v>
      </c>
      <c r="H16" s="130">
        <f>IF(SER_hh_fech!H16=0,0,SER_hh_fech!H16/SER_summary!H$26)</f>
        <v>14.133436353835025</v>
      </c>
      <c r="I16" s="130">
        <f>IF(SER_hh_fech!I16=0,0,SER_hh_fech!I16/SER_summary!I$26)</f>
        <v>10.452184158245082</v>
      </c>
      <c r="J16" s="130">
        <f>IF(SER_hh_fech!J16=0,0,SER_hh_fech!J16/SER_summary!J$26)</f>
        <v>10.040467276734544</v>
      </c>
      <c r="K16" s="130">
        <f>IF(SER_hh_fech!K16=0,0,SER_hh_fech!K16/SER_summary!K$26)</f>
        <v>10.507889007781854</v>
      </c>
      <c r="L16" s="130">
        <f>IF(SER_hh_fech!L16=0,0,SER_hh_fech!L16/SER_summary!L$26)</f>
        <v>10.103570291314462</v>
      </c>
      <c r="M16" s="130">
        <f>IF(SER_hh_fech!M16=0,0,SER_hh_fech!M16/SER_summary!M$26)</f>
        <v>9.617973037111005</v>
      </c>
      <c r="N16" s="130">
        <f>IF(SER_hh_fech!N16=0,0,SER_hh_fech!N16/SER_summary!N$26)</f>
        <v>9.8358028960378423</v>
      </c>
      <c r="O16" s="130">
        <f>IF(SER_hh_fech!O16=0,0,SER_hh_fech!O16/SER_summary!O$26)</f>
        <v>9.4962608572027705</v>
      </c>
      <c r="P16" s="130">
        <f>IF(SER_hh_fech!P16=0,0,SER_hh_fech!P16/SER_summary!P$26)</f>
        <v>8.6067804321686197</v>
      </c>
      <c r="Q16" s="130">
        <f>IF(SER_hh_fech!Q16=0,0,SER_hh_fech!Q16/SER_summary!Q$26)</f>
        <v>10.420374974339541</v>
      </c>
      <c r="R16" s="130">
        <f>IF(SER_hh_fech!R16=0,0,SER_hh_fech!R16/SER_summary!R$26)</f>
        <v>8.9069321645156343</v>
      </c>
      <c r="S16" s="130">
        <f>IF(SER_hh_fech!S16=0,0,SER_hh_fech!S16/SER_summary!S$26)</f>
        <v>9.4152470088905709</v>
      </c>
      <c r="T16" s="130">
        <f>IF(SER_hh_fech!T16=0,0,SER_hh_fech!T16/SER_summary!T$26)</f>
        <v>9.1220400643892496</v>
      </c>
      <c r="U16" s="130">
        <f>IF(SER_hh_fech!U16=0,0,SER_hh_fech!U16/SER_summary!U$26)</f>
        <v>9.1088203617023371</v>
      </c>
      <c r="V16" s="130">
        <f>IF(SER_hh_fech!V16=0,0,SER_hh_fech!V16/SER_summary!V$26)</f>
        <v>8.9968322993011789</v>
      </c>
      <c r="W16" s="130">
        <f>IF(SER_hh_fech!W16=0,0,SER_hh_fech!W16/SER_summary!W$26)</f>
        <v>7.4552566700332106</v>
      </c>
      <c r="X16" s="130">
        <f>IF(SER_hh_fech!X16=0,0,SER_hh_fech!X16/SER_summary!X$26)</f>
        <v>10.702186183069617</v>
      </c>
      <c r="Y16" s="130">
        <f>IF(SER_hh_fech!Y16=0,0,SER_hh_fech!Y16/SER_summary!Y$26)</f>
        <v>9.3135437232004268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24.018534709471218</v>
      </c>
      <c r="C17" s="132">
        <f>IF(SER_hh_fech!C17=0,0,SER_hh_fech!C17/SER_summary!C$26)</f>
        <v>24.734775316480917</v>
      </c>
      <c r="D17" s="132">
        <f>IF(SER_hh_fech!D17=0,0,SER_hh_fech!D17/SER_summary!D$26)</f>
        <v>23.260734003513438</v>
      </c>
      <c r="E17" s="132">
        <f>IF(SER_hh_fech!E17=0,0,SER_hh_fech!E17/SER_summary!E$26)</f>
        <v>45.094652479826507</v>
      </c>
      <c r="F17" s="132">
        <f>IF(SER_hh_fech!F17=0,0,SER_hh_fech!F17/SER_summary!F$26)</f>
        <v>23.121101875677205</v>
      </c>
      <c r="G17" s="132">
        <f>IF(SER_hh_fech!G17=0,0,SER_hh_fech!G17/SER_summary!G$26)</f>
        <v>22.050415177147372</v>
      </c>
      <c r="H17" s="132">
        <f>IF(SER_hh_fech!H17=0,0,SER_hh_fech!H17/SER_summary!H$26)</f>
        <v>27.742824210988598</v>
      </c>
      <c r="I17" s="132">
        <f>IF(SER_hh_fech!I17=0,0,SER_hh_fech!I17/SER_summary!I$26)</f>
        <v>21.388470269087669</v>
      </c>
      <c r="J17" s="132">
        <f>IF(SER_hh_fech!J17=0,0,SER_hh_fech!J17/SER_summary!J$26)</f>
        <v>21.367492104656531</v>
      </c>
      <c r="K17" s="132">
        <f>IF(SER_hh_fech!K17=0,0,SER_hh_fech!K17/SER_summary!K$26)</f>
        <v>22.662251605396012</v>
      </c>
      <c r="L17" s="132">
        <f>IF(SER_hh_fech!L17=0,0,SER_hh_fech!L17/SER_summary!L$26)</f>
        <v>22.069108169173319</v>
      </c>
      <c r="M17" s="132">
        <f>IF(SER_hh_fech!M17=0,0,SER_hh_fech!M17/SER_summary!M$26)</f>
        <v>21.272306630315651</v>
      </c>
      <c r="N17" s="132">
        <f>IF(SER_hh_fech!N17=0,0,SER_hh_fech!N17/SER_summary!N$26)</f>
        <v>21.892972927513185</v>
      </c>
      <c r="O17" s="132">
        <f>IF(SER_hh_fech!O17=0,0,SER_hh_fech!O17/SER_summary!O$26)</f>
        <v>21.474014677654111</v>
      </c>
      <c r="P17" s="132">
        <f>IF(SER_hh_fech!P17=0,0,SER_hh_fech!P17/SER_summary!P$26)</f>
        <v>18.588730057531254</v>
      </c>
      <c r="Q17" s="132">
        <f>IF(SER_hh_fech!Q17=0,0,SER_hh_fech!Q17/SER_summary!Q$26)</f>
        <v>24.607449466273991</v>
      </c>
      <c r="R17" s="132">
        <f>IF(SER_hh_fech!R17=0,0,SER_hh_fech!R17/SER_summary!R$26)</f>
        <v>21.567861085807827</v>
      </c>
      <c r="S17" s="132">
        <f>IF(SER_hh_fech!S17=0,0,SER_hh_fech!S17/SER_summary!S$26)</f>
        <v>23.152350930723575</v>
      </c>
      <c r="T17" s="132">
        <f>IF(SER_hh_fech!T17=0,0,SER_hh_fech!T17/SER_summary!T$26)</f>
        <v>22.714381617157493</v>
      </c>
      <c r="U17" s="132">
        <f>IF(SER_hh_fech!U17=0,0,SER_hh_fech!U17/SER_summary!U$26)</f>
        <v>22.796954900202685</v>
      </c>
      <c r="V17" s="132">
        <f>IF(SER_hh_fech!V17=0,0,SER_hh_fech!V17/SER_summary!V$26)</f>
        <v>21.798753142005278</v>
      </c>
      <c r="W17" s="132">
        <f>IF(SER_hh_fech!W17=0,0,SER_hh_fech!W17/SER_summary!W$26)</f>
        <v>17.318262710180235</v>
      </c>
      <c r="X17" s="132">
        <f>IF(SER_hh_fech!X17=0,0,SER_hh_fech!X17/SER_summary!X$26)</f>
        <v>25.334602446225027</v>
      </c>
      <c r="Y17" s="132">
        <f>IF(SER_hh_fech!Y17=0,0,SER_hh_fech!Y17/SER_summary!Y$26)</f>
        <v>23.326377136885149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14.469633183872885</v>
      </c>
      <c r="C18" s="132">
        <f>IF(SER_hh_fech!C18=0,0,SER_hh_fech!C18/SER_summary!C$26)</f>
        <v>14.567103661922648</v>
      </c>
      <c r="D18" s="132">
        <f>IF(SER_hh_fech!D18=0,0,SER_hh_fech!D18/SER_summary!D$26)</f>
        <v>13.331208552561856</v>
      </c>
      <c r="E18" s="132">
        <f>IF(SER_hh_fech!E18=0,0,SER_hh_fech!E18/SER_summary!E$26)</f>
        <v>22.261868452096923</v>
      </c>
      <c r="F18" s="132">
        <f>IF(SER_hh_fech!F18=0,0,SER_hh_fech!F18/SER_summary!F$26)</f>
        <v>12.547585633713998</v>
      </c>
      <c r="G18" s="132">
        <f>IF(SER_hh_fech!G18=0,0,SER_hh_fech!G18/SER_summary!G$26)</f>
        <v>13.009133728879847</v>
      </c>
      <c r="H18" s="132">
        <f>IF(SER_hh_fech!H18=0,0,SER_hh_fech!H18/SER_summary!H$26)</f>
        <v>14.050665900404733</v>
      </c>
      <c r="I18" s="132">
        <f>IF(SER_hh_fech!I18=0,0,SER_hh_fech!I18/SER_summary!I$26)</f>
        <v>10.380284201447633</v>
      </c>
      <c r="J18" s="132">
        <f>IF(SER_hh_fech!J18=0,0,SER_hh_fech!J18/SER_summary!J$26)</f>
        <v>9.9534537380689798</v>
      </c>
      <c r="K18" s="132">
        <f>IF(SER_hh_fech!K18=0,0,SER_hh_fech!K18/SER_summary!K$26)</f>
        <v>10.411546771856814</v>
      </c>
      <c r="L18" s="132">
        <f>IF(SER_hh_fech!L18=0,0,SER_hh_fech!L18/SER_summary!L$26)</f>
        <v>9.996555487731662</v>
      </c>
      <c r="M18" s="132">
        <f>IF(SER_hh_fech!M18=0,0,SER_hh_fech!M18/SER_summary!M$26)</f>
        <v>9.4788152532705734</v>
      </c>
      <c r="N18" s="132">
        <f>IF(SER_hh_fech!N18=0,0,SER_hh_fech!N18/SER_summary!N$26)</f>
        <v>9.6270580071189347</v>
      </c>
      <c r="O18" s="132">
        <f>IF(SER_hh_fech!O18=0,0,SER_hh_fech!O18/SER_summary!O$26)</f>
        <v>9.2419900867861831</v>
      </c>
      <c r="P18" s="132">
        <f>IF(SER_hh_fech!P18=0,0,SER_hh_fech!P18/SER_summary!P$26)</f>
        <v>8.3619227844039532</v>
      </c>
      <c r="Q18" s="132">
        <f>IF(SER_hh_fech!Q18=0,0,SER_hh_fech!Q18/SER_summary!Q$26)</f>
        <v>10.013479690013925</v>
      </c>
      <c r="R18" s="132">
        <f>IF(SER_hh_fech!R18=0,0,SER_hh_fech!R18/SER_summary!R$26)</f>
        <v>8.5132294111001503</v>
      </c>
      <c r="S18" s="132">
        <f>IF(SER_hh_fech!S18=0,0,SER_hh_fech!S18/SER_summary!S$26)</f>
        <v>8.9270132639573152</v>
      </c>
      <c r="T18" s="132">
        <f>IF(SER_hh_fech!T18=0,0,SER_hh_fech!T18/SER_summary!T$26)</f>
        <v>8.5985832326786529</v>
      </c>
      <c r="U18" s="132">
        <f>IF(SER_hh_fech!U18=0,0,SER_hh_fech!U18/SER_summary!U$26)</f>
        <v>8.5379938781505924</v>
      </c>
      <c r="V18" s="132">
        <f>IF(SER_hh_fech!V18=0,0,SER_hh_fech!V18/SER_summary!V$26)</f>
        <v>8.4360484090424883</v>
      </c>
      <c r="W18" s="132">
        <f>IF(SER_hh_fech!W18=0,0,SER_hh_fech!W18/SER_summary!W$26)</f>
        <v>7.0095100933840708</v>
      </c>
      <c r="X18" s="132">
        <f>IF(SER_hh_fech!X18=0,0,SER_hh_fech!X18/SER_summary!X$26)</f>
        <v>10.007111481851297</v>
      </c>
      <c r="Y18" s="132">
        <f>IF(SER_hh_fech!Y18=0,0,SER_hh_fech!Y18/SER_summary!Y$26)</f>
        <v>8.6401551891422983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27.473091188299914</v>
      </c>
      <c r="C19" s="130">
        <f>IF(SER_hh_fech!C19=0,0,SER_hh_fech!C19/SER_summary!C$26)</f>
        <v>26.948340747246156</v>
      </c>
      <c r="D19" s="130">
        <f>IF(SER_hh_fech!D19=0,0,SER_hh_fech!D19/SER_summary!D$26)</f>
        <v>26.83740633411664</v>
      </c>
      <c r="E19" s="130">
        <f>IF(SER_hh_fech!E19=0,0,SER_hh_fech!E19/SER_summary!E$26)</f>
        <v>26.191328546728371</v>
      </c>
      <c r="F19" s="130">
        <f>IF(SER_hh_fech!F19=0,0,SER_hh_fech!F19/SER_summary!F$26)</f>
        <v>26.739450164928897</v>
      </c>
      <c r="G19" s="130">
        <f>IF(SER_hh_fech!G19=0,0,SER_hh_fech!G19/SER_summary!G$26)</f>
        <v>26.298445949959</v>
      </c>
      <c r="H19" s="130">
        <f>IF(SER_hh_fech!H19=0,0,SER_hh_fech!H19/SER_summary!H$26)</f>
        <v>25.653330404976405</v>
      </c>
      <c r="I19" s="130">
        <f>IF(SER_hh_fech!I19=0,0,SER_hh_fech!I19/SER_summary!I$26)</f>
        <v>25.317735994463369</v>
      </c>
      <c r="J19" s="130">
        <f>IF(SER_hh_fech!J19=0,0,SER_hh_fech!J19/SER_summary!J$26)</f>
        <v>25.648657605360906</v>
      </c>
      <c r="K19" s="130">
        <f>IF(SER_hh_fech!K19=0,0,SER_hh_fech!K19/SER_summary!K$26)</f>
        <v>25.965261204458329</v>
      </c>
      <c r="L19" s="130">
        <f>IF(SER_hh_fech!L19=0,0,SER_hh_fech!L19/SER_summary!L$26)</f>
        <v>25.588395532002039</v>
      </c>
      <c r="M19" s="130">
        <f>IF(SER_hh_fech!M19=0,0,SER_hh_fech!M19/SER_summary!M$26)</f>
        <v>25.039074907263373</v>
      </c>
      <c r="N19" s="130">
        <f>IF(SER_hh_fech!N19=0,0,SER_hh_fech!N19/SER_summary!N$26)</f>
        <v>25.094295940025539</v>
      </c>
      <c r="O19" s="130">
        <f>IF(SER_hh_fech!O19=0,0,SER_hh_fech!O19/SER_summary!O$26)</f>
        <v>25.155146472441302</v>
      </c>
      <c r="P19" s="130">
        <f>IF(SER_hh_fech!P19=0,0,SER_hh_fech!P19/SER_summary!P$26)</f>
        <v>25.847919864699556</v>
      </c>
      <c r="Q19" s="130">
        <f>IF(SER_hh_fech!Q19=0,0,SER_hh_fech!Q19/SER_summary!Q$26)</f>
        <v>25.64580007541327</v>
      </c>
      <c r="R19" s="130">
        <f>IF(SER_hh_fech!R19=0,0,SER_hh_fech!R19/SER_summary!R$26)</f>
        <v>24.776659592940796</v>
      </c>
      <c r="S19" s="130">
        <f>IF(SER_hh_fech!S19=0,0,SER_hh_fech!S19/SER_summary!S$26)</f>
        <v>24.790897628565769</v>
      </c>
      <c r="T19" s="130">
        <f>IF(SER_hh_fech!T19=0,0,SER_hh_fech!T19/SER_summary!T$26)</f>
        <v>24.579254693058196</v>
      </c>
      <c r="U19" s="130">
        <f>IF(SER_hh_fech!U19=0,0,SER_hh_fech!U19/SER_summary!U$26)</f>
        <v>23.478481219226904</v>
      </c>
      <c r="V19" s="130">
        <f>IF(SER_hh_fech!V19=0,0,SER_hh_fech!V19/SER_summary!V$26)</f>
        <v>21.718198201459568</v>
      </c>
      <c r="W19" s="130">
        <f>IF(SER_hh_fech!W19=0,0,SER_hh_fech!W19/SER_summary!W$26)</f>
        <v>22.351052403707243</v>
      </c>
      <c r="X19" s="130">
        <f>IF(SER_hh_fech!X19=0,0,SER_hh_fech!X19/SER_summary!X$26)</f>
        <v>22.624365550155488</v>
      </c>
      <c r="Y19" s="130">
        <f>IF(SER_hh_fech!Y19=0,0,SER_hh_fech!Y19/SER_summary!Y$26)</f>
        <v>21.921114718219712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29.525744839130542</v>
      </c>
      <c r="C21" s="132">
        <f>IF(SER_hh_fech!C21=0,0,SER_hh_fech!C21/SER_summary!C$26)</f>
        <v>29.241522453542036</v>
      </c>
      <c r="D21" s="132">
        <f>IF(SER_hh_fech!D21=0,0,SER_hh_fech!D21/SER_summary!D$26)</f>
        <v>29.789938958512696</v>
      </c>
      <c r="E21" s="132">
        <f>IF(SER_hh_fech!E21=0,0,SER_hh_fech!E21/SER_summary!E$26)</f>
        <v>29.862511440921164</v>
      </c>
      <c r="F21" s="132">
        <f>IF(SER_hh_fech!F21=0,0,SER_hh_fech!F21/SER_summary!F$26)</f>
        <v>29.576804942204067</v>
      </c>
      <c r="G21" s="132">
        <f>IF(SER_hh_fech!G21=0,0,SER_hh_fech!G21/SER_summary!G$26)</f>
        <v>28.127018065431244</v>
      </c>
      <c r="H21" s="132">
        <f>IF(SER_hh_fech!H21=0,0,SER_hh_fech!H21/SER_summary!H$26)</f>
        <v>28.631797727141066</v>
      </c>
      <c r="I21" s="132">
        <f>IF(SER_hh_fech!I21=0,0,SER_hh_fech!I21/SER_summary!I$26)</f>
        <v>28.521765678557102</v>
      </c>
      <c r="J21" s="132">
        <f>IF(SER_hh_fech!J21=0,0,SER_hh_fech!J21/SER_summary!J$26)</f>
        <v>28.675884793056404</v>
      </c>
      <c r="K21" s="132">
        <f>IF(SER_hh_fech!K21=0,0,SER_hh_fech!K21/SER_summary!K$26)</f>
        <v>30.471733106566699</v>
      </c>
      <c r="L21" s="132">
        <f>IF(SER_hh_fech!L21=0,0,SER_hh_fech!L21/SER_summary!L$26)</f>
        <v>30.500280579874566</v>
      </c>
      <c r="M21" s="132">
        <f>IF(SER_hh_fech!M21=0,0,SER_hh_fech!M21/SER_summary!M$26)</f>
        <v>21.807421824933233</v>
      </c>
      <c r="N21" s="132">
        <f>IF(SER_hh_fech!N21=0,0,SER_hh_fech!N21/SER_summary!N$26)</f>
        <v>31.030189370655222</v>
      </c>
      <c r="O21" s="132">
        <f>IF(SER_hh_fech!O21=0,0,SER_hh_fech!O21/SER_summary!O$26)</f>
        <v>29.643756049074828</v>
      </c>
      <c r="P21" s="132">
        <f>IF(SER_hh_fech!P21=0,0,SER_hh_fech!P21/SER_summary!P$26)</f>
        <v>27.807662923762745</v>
      </c>
      <c r="Q21" s="132">
        <f>IF(SER_hh_fech!Q21=0,0,SER_hh_fech!Q21/SER_summary!Q$26)</f>
        <v>28.741934683684036</v>
      </c>
      <c r="R21" s="132">
        <f>IF(SER_hh_fech!R21=0,0,SER_hh_fech!R21/SER_summary!R$26)</f>
        <v>28.656911306025211</v>
      </c>
      <c r="S21" s="132">
        <f>IF(SER_hh_fech!S21=0,0,SER_hh_fech!S21/SER_summary!S$26)</f>
        <v>29.806273512266024</v>
      </c>
      <c r="T21" s="132">
        <f>IF(SER_hh_fech!T21=0,0,SER_hh_fech!T21/SER_summary!T$26)</f>
        <v>25.900570290360776</v>
      </c>
      <c r="U21" s="132">
        <f>IF(SER_hh_fech!U21=0,0,SER_hh_fech!U21/SER_summary!U$26)</f>
        <v>26.33035309628956</v>
      </c>
      <c r="V21" s="132">
        <f>IF(SER_hh_fech!V21=0,0,SER_hh_fech!V21/SER_summary!V$26)</f>
        <v>28.146416311150347</v>
      </c>
      <c r="W21" s="132">
        <f>IF(SER_hh_fech!W21=0,0,SER_hh_fech!W21/SER_summary!W$26)</f>
        <v>19.866759079654667</v>
      </c>
      <c r="X21" s="132">
        <f>IF(SER_hh_fech!X21=0,0,SER_hh_fech!X21/SER_summary!X$26)</f>
        <v>26.196774274913196</v>
      </c>
      <c r="Y21" s="132">
        <f>IF(SER_hh_fech!Y21=0,0,SER_hh_fech!Y21/SER_summary!Y$26)</f>
        <v>24.890469739999673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31.71711756506614</v>
      </c>
      <c r="C22" s="132">
        <f>IF(SER_hh_fech!C22=0,0,SER_hh_fech!C22/SER_summary!C$26)</f>
        <v>31.756530836598543</v>
      </c>
      <c r="D22" s="132">
        <f>IF(SER_hh_fech!D22=0,0,SER_hh_fech!D22/SER_summary!D$26)</f>
        <v>31.257977422636834</v>
      </c>
      <c r="E22" s="132">
        <f>IF(SER_hh_fech!E22=0,0,SER_hh_fech!E22/SER_summary!E$26)</f>
        <v>30.925971908367078</v>
      </c>
      <c r="F22" s="132">
        <f>IF(SER_hh_fech!F22=0,0,SER_hh_fech!F22/SER_summary!F$26)</f>
        <v>31.371919501331529</v>
      </c>
      <c r="G22" s="132">
        <f>IF(SER_hh_fech!G22=0,0,SER_hh_fech!G22/SER_summary!G$26)</f>
        <v>31.307100015668208</v>
      </c>
      <c r="H22" s="132">
        <f>IF(SER_hh_fech!H22=0,0,SER_hh_fech!H22/SER_summary!H$26)</f>
        <v>30.457642380519133</v>
      </c>
      <c r="I22" s="132">
        <f>IF(SER_hh_fech!I22=0,0,SER_hh_fech!I22/SER_summary!I$26)</f>
        <v>29.550250022399243</v>
      </c>
      <c r="J22" s="132">
        <f>IF(SER_hh_fech!J22=0,0,SER_hh_fech!J22/SER_summary!J$26)</f>
        <v>30.613058645794169</v>
      </c>
      <c r="K22" s="132">
        <f>IF(SER_hh_fech!K22=0,0,SER_hh_fech!K22/SER_summary!K$26)</f>
        <v>31.117847097752144</v>
      </c>
      <c r="L22" s="132">
        <f>IF(SER_hh_fech!L22=0,0,SER_hh_fech!L22/SER_summary!L$26)</f>
        <v>30.085313189038402</v>
      </c>
      <c r="M22" s="132">
        <f>IF(SER_hh_fech!M22=0,0,SER_hh_fech!M22/SER_summary!M$26)</f>
        <v>28.475007376785616</v>
      </c>
      <c r="N22" s="132">
        <f>IF(SER_hh_fech!N22=0,0,SER_hh_fech!N22/SER_summary!N$26)</f>
        <v>29.560683531652192</v>
      </c>
      <c r="O22" s="132">
        <f>IF(SER_hh_fech!O22=0,0,SER_hh_fech!O22/SER_summary!O$26)</f>
        <v>28.232567325750576</v>
      </c>
      <c r="P22" s="132">
        <f>IF(SER_hh_fech!P22=0,0,SER_hh_fech!P22/SER_summary!P$26)</f>
        <v>32.136720862164687</v>
      </c>
      <c r="Q22" s="132">
        <f>IF(SER_hh_fech!Q22=0,0,SER_hh_fech!Q22/SER_summary!Q$26)</f>
        <v>32.368606203121182</v>
      </c>
      <c r="R22" s="132">
        <f>IF(SER_hh_fech!R22=0,0,SER_hh_fech!R22/SER_summary!R$26)</f>
        <v>25.598094407790175</v>
      </c>
      <c r="S22" s="132">
        <f>IF(SER_hh_fech!S22=0,0,SER_hh_fech!S22/SER_summary!S$26)</f>
        <v>30.856306852940325</v>
      </c>
      <c r="T22" s="132">
        <f>IF(SER_hh_fech!T22=0,0,SER_hh_fech!T22/SER_summary!T$26)</f>
        <v>27.986319898695204</v>
      </c>
      <c r="U22" s="132">
        <f>IF(SER_hh_fech!U22=0,0,SER_hh_fech!U22/SER_summary!U$26)</f>
        <v>26.369228157852994</v>
      </c>
      <c r="V22" s="132">
        <f>IF(SER_hh_fech!V22=0,0,SER_hh_fech!V22/SER_summary!V$26)</f>
        <v>28.39064728690218</v>
      </c>
      <c r="W22" s="132">
        <f>IF(SER_hh_fech!W22=0,0,SER_hh_fech!W22/SER_summary!W$26)</f>
        <v>23.135568703321738</v>
      </c>
      <c r="X22" s="132">
        <f>IF(SER_hh_fech!X22=0,0,SER_hh_fech!X22/SER_summary!X$26)</f>
        <v>28.758762660135687</v>
      </c>
      <c r="Y22" s="132">
        <f>IF(SER_hh_fech!Y22=0,0,SER_hh_fech!Y22/SER_summary!Y$26)</f>
        <v>24.459473247987088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31.202534060529235</v>
      </c>
      <c r="C23" s="132">
        <f>IF(SER_hh_fech!C23=0,0,SER_hh_fech!C23/SER_summary!C$26)</f>
        <v>30.715421603364231</v>
      </c>
      <c r="D23" s="132">
        <f>IF(SER_hh_fech!D23=0,0,SER_hh_fech!D23/SER_summary!D$26)</f>
        <v>30.139486624323531</v>
      </c>
      <c r="E23" s="132">
        <f>IF(SER_hh_fech!E23=0,0,SER_hh_fech!E23/SER_summary!E$26)</f>
        <v>30.380996321068054</v>
      </c>
      <c r="F23" s="132">
        <f>IF(SER_hh_fech!F23=0,0,SER_hh_fech!F23/SER_summary!F$26)</f>
        <v>30.500019006805807</v>
      </c>
      <c r="G23" s="132">
        <f>IF(SER_hh_fech!G23=0,0,SER_hh_fech!G23/SER_summary!G$26)</f>
        <v>29.16675240063848</v>
      </c>
      <c r="H23" s="132">
        <f>IF(SER_hh_fech!H23=0,0,SER_hh_fech!H23/SER_summary!H$26)</f>
        <v>28.326819530536049</v>
      </c>
      <c r="I23" s="132">
        <f>IF(SER_hh_fech!I23=0,0,SER_hh_fech!I23/SER_summary!I$26)</f>
        <v>28.255788027436672</v>
      </c>
      <c r="J23" s="132">
        <f>IF(SER_hh_fech!J23=0,0,SER_hh_fech!J23/SER_summary!J$26)</f>
        <v>27.531822606363402</v>
      </c>
      <c r="K23" s="132">
        <f>IF(SER_hh_fech!K23=0,0,SER_hh_fech!K23/SER_summary!K$26)</f>
        <v>28.981043171494186</v>
      </c>
      <c r="L23" s="132">
        <f>IF(SER_hh_fech!L23=0,0,SER_hh_fech!L23/SER_summary!L$26)</f>
        <v>27.52731710252435</v>
      </c>
      <c r="M23" s="132">
        <f>IF(SER_hh_fech!M23=0,0,SER_hh_fech!M23/SER_summary!M$26)</f>
        <v>29.87783228205415</v>
      </c>
      <c r="N23" s="132">
        <f>IF(SER_hh_fech!N23=0,0,SER_hh_fech!N23/SER_summary!N$26)</f>
        <v>22.890751683707585</v>
      </c>
      <c r="O23" s="132">
        <f>IF(SER_hh_fech!O23=0,0,SER_hh_fech!O23/SER_summary!O$26)</f>
        <v>25.18804926698277</v>
      </c>
      <c r="P23" s="132">
        <f>IF(SER_hh_fech!P23=0,0,SER_hh_fech!P23/SER_summary!P$26)</f>
        <v>26.681143661400672</v>
      </c>
      <c r="Q23" s="132">
        <f>IF(SER_hh_fech!Q23=0,0,SER_hh_fech!Q23/SER_summary!Q$26)</f>
        <v>26.208921790413772</v>
      </c>
      <c r="R23" s="132">
        <f>IF(SER_hh_fech!R23=0,0,SER_hh_fech!R23/SER_summary!R$26)</f>
        <v>27.614136381731338</v>
      </c>
      <c r="S23" s="132">
        <f>IF(SER_hh_fech!S23=0,0,SER_hh_fech!S23/SER_summary!S$26)</f>
        <v>25.871791543525809</v>
      </c>
      <c r="T23" s="132">
        <f>IF(SER_hh_fech!T23=0,0,SER_hh_fech!T23/SER_summary!T$26)</f>
        <v>25.55526591435698</v>
      </c>
      <c r="U23" s="132">
        <f>IF(SER_hh_fech!U23=0,0,SER_hh_fech!U23/SER_summary!U$26)</f>
        <v>24.680897111325077</v>
      </c>
      <c r="V23" s="132">
        <f>IF(SER_hh_fech!V23=0,0,SER_hh_fech!V23/SER_summary!V$26)</f>
        <v>21.636069514543564</v>
      </c>
      <c r="W23" s="132">
        <f>IF(SER_hh_fech!W23=0,0,SER_hh_fech!W23/SER_summary!W$26)</f>
        <v>26.443097539214289</v>
      </c>
      <c r="X23" s="132">
        <f>IF(SER_hh_fech!X23=0,0,SER_hh_fech!X23/SER_summary!X$26)</f>
        <v>23.998239456709797</v>
      </c>
      <c r="Y23" s="132">
        <f>IF(SER_hh_fech!Y23=0,0,SER_hh_fech!Y23/SER_summary!Y$26)</f>
        <v>23.244205174572787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36.82248639751991</v>
      </c>
      <c r="C24" s="132">
        <f>IF(SER_hh_fech!C24=0,0,SER_hh_fech!C24/SER_summary!C$26)</f>
        <v>35.171797024641229</v>
      </c>
      <c r="D24" s="132">
        <f>IF(SER_hh_fech!D24=0,0,SER_hh_fech!D24/SER_summary!D$26)</f>
        <v>34.123111381509773</v>
      </c>
      <c r="E24" s="132">
        <f>IF(SER_hh_fech!E24=0,0,SER_hh_fech!E24/SER_summary!E$26)</f>
        <v>32.994399832165172</v>
      </c>
      <c r="F24" s="132">
        <f>IF(SER_hh_fech!F24=0,0,SER_hh_fech!F24/SER_summary!F$26)</f>
        <v>33.107461132129728</v>
      </c>
      <c r="G24" s="132">
        <f>IF(SER_hh_fech!G24=0,0,SER_hh_fech!G24/SER_summary!G$26)</f>
        <v>31.112160986362667</v>
      </c>
      <c r="H24" s="132">
        <f>IF(SER_hh_fech!H24=0,0,SER_hh_fech!H24/SER_summary!H$26)</f>
        <v>28.718482809631105</v>
      </c>
      <c r="I24" s="132">
        <f>IF(SER_hh_fech!I24=0,0,SER_hh_fech!I24/SER_summary!I$26)</f>
        <v>30.400912535220701</v>
      </c>
      <c r="J24" s="132">
        <f>IF(SER_hh_fech!J24=0,0,SER_hh_fech!J24/SER_summary!J$26)</f>
        <v>27.9679512164358</v>
      </c>
      <c r="K24" s="132">
        <f>IF(SER_hh_fech!K24=0,0,SER_hh_fech!K24/SER_summary!K$26)</f>
        <v>29.477204403370827</v>
      </c>
      <c r="L24" s="132">
        <f>IF(SER_hh_fech!L24=0,0,SER_hh_fech!L24/SER_summary!L$26)</f>
        <v>32.202947733221031</v>
      </c>
      <c r="M24" s="132">
        <f>IF(SER_hh_fech!M24=0,0,SER_hh_fech!M24/SER_summary!M$26)</f>
        <v>22.05914982270647</v>
      </c>
      <c r="N24" s="132">
        <f>IF(SER_hh_fech!N24=0,0,SER_hh_fech!N24/SER_summary!N$26)</f>
        <v>24.302080888281555</v>
      </c>
      <c r="O24" s="132">
        <f>IF(SER_hh_fech!O24=0,0,SER_hh_fech!O24/SER_summary!O$26)</f>
        <v>31.211356922950362</v>
      </c>
      <c r="P24" s="132">
        <f>IF(SER_hh_fech!P24=0,0,SER_hh_fech!P24/SER_summary!P$26)</f>
        <v>26.907233436868712</v>
      </c>
      <c r="Q24" s="132">
        <f>IF(SER_hh_fech!Q24=0,0,SER_hh_fech!Q24/SER_summary!Q$26)</f>
        <v>23.572842408320614</v>
      </c>
      <c r="R24" s="132">
        <f>IF(SER_hh_fech!R24=0,0,SER_hh_fech!R24/SER_summary!R$26)</f>
        <v>26.392124535085564</v>
      </c>
      <c r="S24" s="132">
        <f>IF(SER_hh_fech!S24=0,0,SER_hh_fech!S24/SER_summary!S$26)</f>
        <v>26.135847245435507</v>
      </c>
      <c r="T24" s="132">
        <f>IF(SER_hh_fech!T24=0,0,SER_hh_fech!T24/SER_summary!T$26)</f>
        <v>24.289107690326702</v>
      </c>
      <c r="U24" s="132">
        <f>IF(SER_hh_fech!U24=0,0,SER_hh_fech!U24/SER_summary!U$26)</f>
        <v>23.236906133501325</v>
      </c>
      <c r="V24" s="132">
        <f>IF(SER_hh_fech!V24=0,0,SER_hh_fech!V24/SER_summary!V$26)</f>
        <v>21.968984481184137</v>
      </c>
      <c r="W24" s="132">
        <f>IF(SER_hh_fech!W24=0,0,SER_hh_fech!W24/SER_summary!W$26)</f>
        <v>22.330800161848671</v>
      </c>
      <c r="X24" s="132">
        <f>IF(SER_hh_fech!X24=0,0,SER_hh_fech!X24/SER_summary!X$26)</f>
        <v>23.360107624511421</v>
      </c>
      <c r="Y24" s="132">
        <f>IF(SER_hh_fech!Y24=0,0,SER_hh_fech!Y24/SER_summary!Y$26)</f>
        <v>22.557397039450112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20.667756587543348</v>
      </c>
      <c r="C25" s="132">
        <f>IF(SER_hh_fech!C25=0,0,SER_hh_fech!C25/SER_summary!C$26)</f>
        <v>20.924095910141986</v>
      </c>
      <c r="D25" s="132">
        <f>IF(SER_hh_fech!D25=0,0,SER_hh_fech!D25/SER_summary!D$26)</f>
        <v>20.314276522534524</v>
      </c>
      <c r="E25" s="132">
        <f>IF(SER_hh_fech!E25=0,0,SER_hh_fech!E25/SER_summary!E$26)</f>
        <v>20.336306978299454</v>
      </c>
      <c r="F25" s="132">
        <f>IF(SER_hh_fech!F25=0,0,SER_hh_fech!F25/SER_summary!F$26)</f>
        <v>20.638338600302514</v>
      </c>
      <c r="G25" s="132">
        <f>IF(SER_hh_fech!G25=0,0,SER_hh_fech!G25/SER_summary!G$26)</f>
        <v>21.443062698183269</v>
      </c>
      <c r="H25" s="132">
        <f>IF(SER_hh_fech!H25=0,0,SER_hh_fech!H25/SER_summary!H$26)</f>
        <v>23.384799119487369</v>
      </c>
      <c r="I25" s="132">
        <f>IF(SER_hh_fech!I25=0,0,SER_hh_fech!I25/SER_summary!I$26)</f>
        <v>14.937191020915748</v>
      </c>
      <c r="J25" s="132">
        <f>IF(SER_hh_fech!J25=0,0,SER_hh_fech!J25/SER_summary!J$26)</f>
        <v>18.509780203708797</v>
      </c>
      <c r="K25" s="132">
        <f>IF(SER_hh_fech!K25=0,0,SER_hh_fech!K25/SER_summary!K$26)</f>
        <v>22.073582200160075</v>
      </c>
      <c r="L25" s="132">
        <f>IF(SER_hh_fech!L25=0,0,SER_hh_fech!L25/SER_summary!L$26)</f>
        <v>19.687982267946499</v>
      </c>
      <c r="M25" s="132">
        <f>IF(SER_hh_fech!M25=0,0,SER_hh_fech!M25/SER_summary!M$26)</f>
        <v>18.257831135251323</v>
      </c>
      <c r="N25" s="132">
        <f>IF(SER_hh_fech!N25=0,0,SER_hh_fech!N25/SER_summary!N$26)</f>
        <v>21.292566026336001</v>
      </c>
      <c r="O25" s="132">
        <f>IF(SER_hh_fech!O25=0,0,SER_hh_fech!O25/SER_summary!O$26)</f>
        <v>21.580061405934245</v>
      </c>
      <c r="P25" s="132">
        <f>IF(SER_hh_fech!P25=0,0,SER_hh_fech!P25/SER_summary!P$26)</f>
        <v>19.391964010451794</v>
      </c>
      <c r="Q25" s="132">
        <f>IF(SER_hh_fech!Q25=0,0,SER_hh_fech!Q25/SER_summary!Q$26)</f>
        <v>20.071821858277119</v>
      </c>
      <c r="R25" s="132">
        <f>IF(SER_hh_fech!R25=0,0,SER_hh_fech!R25/SER_summary!R$26)</f>
        <v>20.826241379312737</v>
      </c>
      <c r="S25" s="132">
        <f>IF(SER_hh_fech!S25=0,0,SER_hh_fech!S25/SER_summary!S$26)</f>
        <v>19.630234566229547</v>
      </c>
      <c r="T25" s="132">
        <f>IF(SER_hh_fech!T25=0,0,SER_hh_fech!T25/SER_summary!T$26)</f>
        <v>21.611470193596475</v>
      </c>
      <c r="U25" s="132">
        <f>IF(SER_hh_fech!U25=0,0,SER_hh_fech!U25/SER_summary!U$26)</f>
        <v>19.968946471801896</v>
      </c>
      <c r="V25" s="132">
        <f>IF(SER_hh_fech!V25=0,0,SER_hh_fech!V25/SER_summary!V$26)</f>
        <v>20.028411772963977</v>
      </c>
      <c r="W25" s="132">
        <f>IF(SER_hh_fech!W25=0,0,SER_hh_fech!W25/SER_summary!W$26)</f>
        <v>18.690945639790378</v>
      </c>
      <c r="X25" s="132">
        <f>IF(SER_hh_fech!X25=0,0,SER_hh_fech!X25/SER_summary!X$26)</f>
        <v>19.818909477441377</v>
      </c>
      <c r="Y25" s="132">
        <f>IF(SER_hh_fech!Y25=0,0,SER_hh_fech!Y25/SER_summary!Y$26)</f>
        <v>19.483195035482829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25.482439092453319</v>
      </c>
      <c r="C26" s="65">
        <f>IF(SER_hh_fech!C26=0,0,SER_hh_fech!C26/SER_summary!C$26)</f>
        <v>24.666606521493247</v>
      </c>
      <c r="D26" s="65">
        <f>IF(SER_hh_fech!D26=0,0,SER_hh_fech!D26/SER_summary!D$26)</f>
        <v>24.89521112298533</v>
      </c>
      <c r="E26" s="65">
        <f>IF(SER_hh_fech!E26=0,0,SER_hh_fech!E26/SER_summary!E$26)</f>
        <v>23.727874380824176</v>
      </c>
      <c r="F26" s="65">
        <f>IF(SER_hh_fech!F26=0,0,SER_hh_fech!F26/SER_summary!F$26)</f>
        <v>24.641472914592363</v>
      </c>
      <c r="G26" s="65">
        <f>IF(SER_hh_fech!G26=0,0,SER_hh_fech!G26/SER_summary!G$26)</f>
        <v>24.321030644947669</v>
      </c>
      <c r="H26" s="65">
        <f>IF(SER_hh_fech!H26=0,0,SER_hh_fech!H26/SER_summary!H$26)</f>
        <v>23.539973222487941</v>
      </c>
      <c r="I26" s="65">
        <f>IF(SER_hh_fech!I26=0,0,SER_hh_fech!I26/SER_summary!I$26)</f>
        <v>24.001729416931514</v>
      </c>
      <c r="J26" s="65">
        <f>IF(SER_hh_fech!J26=0,0,SER_hh_fech!J26/SER_summary!J$26)</f>
        <v>24.206196659031953</v>
      </c>
      <c r="K26" s="65">
        <f>IF(SER_hh_fech!K26=0,0,SER_hh_fech!K26/SER_summary!K$26)</f>
        <v>23.857444478569427</v>
      </c>
      <c r="L26" s="65">
        <f>IF(SER_hh_fech!L26=0,0,SER_hh_fech!L26/SER_summary!L$26)</f>
        <v>24.073748621430223</v>
      </c>
      <c r="M26" s="65">
        <f>IF(SER_hh_fech!M26=0,0,SER_hh_fech!M26/SER_summary!M$26)</f>
        <v>23.561903929595594</v>
      </c>
      <c r="N26" s="65">
        <f>IF(SER_hh_fech!N26=0,0,SER_hh_fech!N26/SER_summary!N$26)</f>
        <v>24.568135567583926</v>
      </c>
      <c r="O26" s="65">
        <f>IF(SER_hh_fech!O26=0,0,SER_hh_fech!O26/SER_summary!O$26)</f>
        <v>24.238127152380148</v>
      </c>
      <c r="P26" s="65">
        <f>IF(SER_hh_fech!P26=0,0,SER_hh_fech!P26/SER_summary!P$26)</f>
        <v>24.277961276731869</v>
      </c>
      <c r="Q26" s="65">
        <f>IF(SER_hh_fech!Q26=0,0,SER_hh_fech!Q26/SER_summary!Q$26)</f>
        <v>23.971667489235234</v>
      </c>
      <c r="R26" s="65">
        <f>IF(SER_hh_fech!R26=0,0,SER_hh_fech!R26/SER_summary!R$26)</f>
        <v>23.782972245792351</v>
      </c>
      <c r="S26" s="65">
        <f>IF(SER_hh_fech!S26=0,0,SER_hh_fech!S26/SER_summary!S$26)</f>
        <v>23.263599645350837</v>
      </c>
      <c r="T26" s="65">
        <f>IF(SER_hh_fech!T26=0,0,SER_hh_fech!T26/SER_summary!T$26)</f>
        <v>23.662376083665816</v>
      </c>
      <c r="U26" s="65">
        <f>IF(SER_hh_fech!U26=0,0,SER_hh_fech!U26/SER_summary!U$26)</f>
        <v>22.63240017740431</v>
      </c>
      <c r="V26" s="65">
        <f>IF(SER_hh_fech!V26=0,0,SER_hh_fech!V26/SER_summary!V$26)</f>
        <v>20.279894192308955</v>
      </c>
      <c r="W26" s="65">
        <f>IF(SER_hh_fech!W26=0,0,SER_hh_fech!W26/SER_summary!W$26)</f>
        <v>21.224969763084772</v>
      </c>
      <c r="X26" s="65">
        <f>IF(SER_hh_fech!X26=0,0,SER_hh_fech!X26/SER_summary!X$26)</f>
        <v>21.099666145229907</v>
      </c>
      <c r="Y26" s="65">
        <f>IF(SER_hh_fech!Y26=0,0,SER_hh_fech!Y26/SER_summary!Y$26)</f>
        <v>21.001087270659937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2.2979572921963367E-2</v>
      </c>
      <c r="H27" s="145">
        <f>IF(SER_hh_fech!H27=0,0,SER_hh_fech!H27/SER_summary!H$26)</f>
        <v>2.3251910825879435E-2</v>
      </c>
      <c r="I27" s="145">
        <f>IF(SER_hh_fech!I27=0,0,SER_hh_fech!I27/SER_summary!I$26)</f>
        <v>2.5841737975689665E-2</v>
      </c>
      <c r="J27" s="145">
        <f>IF(SER_hh_fech!J27=0,0,SER_hh_fech!J27/SER_summary!J$26)</f>
        <v>3.0804204842673884E-2</v>
      </c>
      <c r="K27" s="145">
        <f>IF(SER_hh_fech!K27=0,0,SER_hh_fech!K27/SER_summary!K$26)</f>
        <v>3.5606985579758638E-2</v>
      </c>
      <c r="L27" s="145">
        <f>IF(SER_hh_fech!L27=0,0,SER_hh_fech!L27/SER_summary!L$26)</f>
        <v>4.0712502668060174E-2</v>
      </c>
      <c r="M27" s="145">
        <f>IF(SER_hh_fech!M27=0,0,SER_hh_fech!M27/SER_summary!M$26)</f>
        <v>6.5062876967648786E-2</v>
      </c>
      <c r="N27" s="145">
        <f>IF(SER_hh_fech!N27=0,0,SER_hh_fech!N27/SER_summary!N$26)</f>
        <v>0.10404747173823788</v>
      </c>
      <c r="O27" s="145">
        <f>IF(SER_hh_fech!O27=0,0,SER_hh_fech!O27/SER_summary!O$26)</f>
        <v>0.11877064823299464</v>
      </c>
      <c r="P27" s="145">
        <f>IF(SER_hh_fech!P27=0,0,SER_hh_fech!P27/SER_summary!P$26)</f>
        <v>0.12701094210017499</v>
      </c>
      <c r="Q27" s="145">
        <f>IF(SER_hh_fech!Q27=0,0,SER_hh_fech!Q27/SER_summary!Q$26)</f>
        <v>0.13529952618716498</v>
      </c>
      <c r="R27" s="145">
        <f>IF(SER_hh_fech!R27=0,0,SER_hh_fech!R27/SER_summary!R$26)</f>
        <v>0.14028967562957889</v>
      </c>
      <c r="S27" s="145">
        <f>IF(SER_hh_fech!S27=0,0,SER_hh_fech!S27/SER_summary!S$26)</f>
        <v>0.14368600541567603</v>
      </c>
      <c r="T27" s="145">
        <f>IF(SER_hh_fech!T27=0,0,SER_hh_fech!T27/SER_summary!T$26)</f>
        <v>0.14601217191107707</v>
      </c>
      <c r="U27" s="145">
        <f>IF(SER_hh_fech!U27=0,0,SER_hh_fech!U27/SER_summary!U$26)</f>
        <v>0.14912089704981654</v>
      </c>
      <c r="V27" s="145">
        <f>IF(SER_hh_fech!V27=0,0,SER_hh_fech!V27/SER_summary!V$26)</f>
        <v>0.14985233123815644</v>
      </c>
      <c r="W27" s="145">
        <f>IF(SER_hh_fech!W27=0,0,SER_hh_fech!W27/SER_summary!W$26)</f>
        <v>0.14808549379057193</v>
      </c>
      <c r="X27" s="145">
        <f>IF(SER_hh_fech!X27=0,0,SER_hh_fech!X27/SER_summary!X$26)</f>
        <v>0.14353458860232751</v>
      </c>
      <c r="Y27" s="145">
        <f>IF(SER_hh_fech!Y27=0,0,SER_hh_fech!Y27/SER_summary!Y$26)</f>
        <v>0.14245449145696129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13.138958421461771</v>
      </c>
      <c r="H28" s="146">
        <f>IF(SER_hh_fech!H28=0,0,SER_hh_fech!H28/SER_summary!H$26)</f>
        <v>13.106817735330734</v>
      </c>
      <c r="I28" s="146">
        <f>IF(SER_hh_fech!I28=0,0,SER_hh_fech!I28/SER_summary!I$26)</f>
        <v>12.2841581399733</v>
      </c>
      <c r="J28" s="146">
        <f>IF(SER_hh_fech!J28=0,0,SER_hh_fech!J28/SER_summary!J$26)</f>
        <v>12.882447177930807</v>
      </c>
      <c r="K28" s="146">
        <f>IF(SER_hh_fech!K28=0,0,SER_hh_fech!K28/SER_summary!K$26)</f>
        <v>13.475040857779655</v>
      </c>
      <c r="L28" s="146">
        <f>IF(SER_hh_fech!L28=0,0,SER_hh_fech!L28/SER_summary!L$26)</f>
        <v>9.3240412680624534</v>
      </c>
      <c r="M28" s="146">
        <f>IF(SER_hh_fech!M28=0,0,SER_hh_fech!M28/SER_summary!M$26)</f>
        <v>13.402946474366409</v>
      </c>
      <c r="N28" s="146">
        <f>IF(SER_hh_fech!N28=0,0,SER_hh_fech!N28/SER_summary!N$26)</f>
        <v>12.648118350364323</v>
      </c>
      <c r="O28" s="146">
        <f>IF(SER_hh_fech!O28=0,0,SER_hh_fech!O28/SER_summary!O$26)</f>
        <v>12.624213015939194</v>
      </c>
      <c r="P28" s="146">
        <f>IF(SER_hh_fech!P28=0,0,SER_hh_fech!P28/SER_summary!P$26)</f>
        <v>14.338300934798299</v>
      </c>
      <c r="Q28" s="146">
        <f>IF(SER_hh_fech!Q28=0,0,SER_hh_fech!Q28/SER_summary!Q$26)</f>
        <v>13.826638957505685</v>
      </c>
      <c r="R28" s="146">
        <f>IF(SER_hh_fech!R28=0,0,SER_hh_fech!R28/SER_summary!R$26)</f>
        <v>13.85709764514805</v>
      </c>
      <c r="S28" s="146">
        <f>IF(SER_hh_fech!S28=0,0,SER_hh_fech!S28/SER_summary!S$26)</f>
        <v>13.583947835539607</v>
      </c>
      <c r="T28" s="146">
        <f>IF(SER_hh_fech!T28=0,0,SER_hh_fech!T28/SER_summary!T$26)</f>
        <v>13.819670828704728</v>
      </c>
      <c r="U28" s="146">
        <f>IF(SER_hh_fech!U28=0,0,SER_hh_fech!U28/SER_summary!U$26)</f>
        <v>13.810917140977782</v>
      </c>
      <c r="V28" s="146">
        <f>IF(SER_hh_fech!V28=0,0,SER_hh_fech!V28/SER_summary!V$26)</f>
        <v>12.914483115988352</v>
      </c>
      <c r="W28" s="146">
        <f>IF(SER_hh_fech!W28=0,0,SER_hh_fech!W28/SER_summary!W$26)</f>
        <v>13.55094831727631</v>
      </c>
      <c r="X28" s="146">
        <f>IF(SER_hh_fech!X28=0,0,SER_hh_fech!X28/SER_summary!X$26)</f>
        <v>16.362853587235797</v>
      </c>
      <c r="Y28" s="146">
        <f>IF(SER_hh_fech!Y28=0,0,SER_hh_fech!Y28/SER_summary!Y$26)</f>
        <v>16.496146301641055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23.843708585240066</v>
      </c>
      <c r="C29" s="130">
        <f>IF(SER_hh_fech!C29=0,0,SER_hh_fech!C29/SER_summary!C$26)</f>
        <v>23.241864606146997</v>
      </c>
      <c r="D29" s="130">
        <f>IF(SER_hh_fech!D29=0,0,SER_hh_fech!D29/SER_summary!D$26)</f>
        <v>24.137175315758402</v>
      </c>
      <c r="E29" s="130">
        <f>IF(SER_hh_fech!E29=0,0,SER_hh_fech!E29/SER_summary!E$26)</f>
        <v>23.99101775443652</v>
      </c>
      <c r="F29" s="130">
        <f>IF(SER_hh_fech!F29=0,0,SER_hh_fech!F29/SER_summary!F$26)</f>
        <v>24.456477625041671</v>
      </c>
      <c r="G29" s="130">
        <f>IF(SER_hh_fech!G29=0,0,SER_hh_fech!G29/SER_summary!G$26)</f>
        <v>23.345446351793111</v>
      </c>
      <c r="H29" s="130">
        <f>IF(SER_hh_fech!H29=0,0,SER_hh_fech!H29/SER_summary!H$26)</f>
        <v>22.928763072605086</v>
      </c>
      <c r="I29" s="130">
        <f>IF(SER_hh_fech!I29=0,0,SER_hh_fech!I29/SER_summary!I$26)</f>
        <v>23.201654991147265</v>
      </c>
      <c r="J29" s="130">
        <f>IF(SER_hh_fech!J29=0,0,SER_hh_fech!J29/SER_summary!J$26)</f>
        <v>23.529040982357628</v>
      </c>
      <c r="K29" s="130">
        <f>IF(SER_hh_fech!K29=0,0,SER_hh_fech!K29/SER_summary!K$26)</f>
        <v>24.608732563411845</v>
      </c>
      <c r="L29" s="130">
        <f>IF(SER_hh_fech!L29=0,0,SER_hh_fech!L29/SER_summary!L$26)</f>
        <v>24.89378792995192</v>
      </c>
      <c r="M29" s="130">
        <f>IF(SER_hh_fech!M29=0,0,SER_hh_fech!M29/SER_summary!M$26)</f>
        <v>23.206583917782275</v>
      </c>
      <c r="N29" s="130">
        <f>IF(SER_hh_fech!N29=0,0,SER_hh_fech!N29/SER_summary!N$26)</f>
        <v>24.743226262454662</v>
      </c>
      <c r="O29" s="130">
        <f>IF(SER_hh_fech!O29=0,0,SER_hh_fech!O29/SER_summary!O$26)</f>
        <v>24.768212523151806</v>
      </c>
      <c r="P29" s="130">
        <f>IF(SER_hh_fech!P29=0,0,SER_hh_fech!P29/SER_summary!P$26)</f>
        <v>24.781597184826637</v>
      </c>
      <c r="Q29" s="130">
        <f>IF(SER_hh_fech!Q29=0,0,SER_hh_fech!Q29/SER_summary!Q$26)</f>
        <v>25.182551229509393</v>
      </c>
      <c r="R29" s="130">
        <f>IF(SER_hh_fech!R29=0,0,SER_hh_fech!R29/SER_summary!R$26)</f>
        <v>25.339548331747146</v>
      </c>
      <c r="S29" s="130">
        <f>IF(SER_hh_fech!S29=0,0,SER_hh_fech!S29/SER_summary!S$26)</f>
        <v>25.201943638617252</v>
      </c>
      <c r="T29" s="130">
        <f>IF(SER_hh_fech!T29=0,0,SER_hh_fech!T29/SER_summary!T$26)</f>
        <v>25.505679018144953</v>
      </c>
      <c r="U29" s="130">
        <f>IF(SER_hh_fech!U29=0,0,SER_hh_fech!U29/SER_summary!U$26)</f>
        <v>25.10948736156644</v>
      </c>
      <c r="V29" s="130">
        <f>IF(SER_hh_fech!V29=0,0,SER_hh_fech!V29/SER_summary!V$26)</f>
        <v>22.716165843460978</v>
      </c>
      <c r="W29" s="130">
        <f>IF(SER_hh_fech!W29=0,0,SER_hh_fech!W29/SER_summary!W$26)</f>
        <v>23.671319225852535</v>
      </c>
      <c r="X29" s="130">
        <f>IF(SER_hh_fech!X29=0,0,SER_hh_fech!X29/SER_summary!X$26)</f>
        <v>23.782767571227637</v>
      </c>
      <c r="Y29" s="130">
        <f>IF(SER_hh_fech!Y29=0,0,SER_hh_fech!Y29/SER_summary!Y$26)</f>
        <v>23.842126870966421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36.187889503795475</v>
      </c>
      <c r="C30" s="132">
        <f>IF(SER_hh_fech!C30=0,0,SER_hh_fech!C30/SER_summary!C$26)</f>
        <v>12.354606145328832</v>
      </c>
      <c r="D30" s="132">
        <f>IF(SER_hh_fech!D30=0,0,SER_hh_fech!D30/SER_summary!D$26)</f>
        <v>30.06478881210484</v>
      </c>
      <c r="E30" s="132">
        <f>IF(SER_hh_fech!E30=0,0,SER_hh_fech!E30/SER_summary!E$26)</f>
        <v>29.670639487091115</v>
      </c>
      <c r="F30" s="132">
        <f>IF(SER_hh_fech!F30=0,0,SER_hh_fech!F30/SER_summary!F$26)</f>
        <v>32.574627554093276</v>
      </c>
      <c r="G30" s="132">
        <f>IF(SER_hh_fech!G30=0,0,SER_hh_fech!G30/SER_summary!G$26)</f>
        <v>26.863157898343562</v>
      </c>
      <c r="H30" s="132">
        <f>IF(SER_hh_fech!H30=0,0,SER_hh_fech!H30/SER_summary!H$26)</f>
        <v>23.917755958400125</v>
      </c>
      <c r="I30" s="132">
        <f>IF(SER_hh_fech!I30=0,0,SER_hh_fech!I30/SER_summary!I$26)</f>
        <v>26.832261944534135</v>
      </c>
      <c r="J30" s="132">
        <f>IF(SER_hh_fech!J30=0,0,SER_hh_fech!J30/SER_summary!J$26)</f>
        <v>29.570299027501978</v>
      </c>
      <c r="K30" s="132">
        <f>IF(SER_hh_fech!K30=0,0,SER_hh_fech!K30/SER_summary!K$26)</f>
        <v>29.177142509530132</v>
      </c>
      <c r="L30" s="132">
        <f>IF(SER_hh_fech!L30=0,0,SER_hh_fech!L30/SER_summary!L$26)</f>
        <v>32.859726236877748</v>
      </c>
      <c r="M30" s="132">
        <f>IF(SER_hh_fech!M30=0,0,SER_hh_fech!M30/SER_summary!M$26)</f>
        <v>23.603581502499196</v>
      </c>
      <c r="N30" s="132">
        <f>IF(SER_hh_fech!N30=0,0,SER_hh_fech!N30/SER_summary!N$26)</f>
        <v>31.538600992853652</v>
      </c>
      <c r="O30" s="132">
        <f>IF(SER_hh_fech!O30=0,0,SER_hh_fech!O30/SER_summary!O$26)</f>
        <v>28.286838993932907</v>
      </c>
      <c r="P30" s="132">
        <f>IF(SER_hh_fech!P30=0,0,SER_hh_fech!P30/SER_summary!P$26)</f>
        <v>27.062414357764645</v>
      </c>
      <c r="Q30" s="132">
        <f>IF(SER_hh_fech!Q30=0,0,SER_hh_fech!Q30/SER_summary!Q$26)</f>
        <v>31.795363417535214</v>
      </c>
      <c r="R30" s="132">
        <f>IF(SER_hh_fech!R30=0,0,SER_hh_fech!R30/SER_summary!R$26)</f>
        <v>29.395849867618011</v>
      </c>
      <c r="S30" s="132">
        <f>IF(SER_hh_fech!S30=0,0,SER_hh_fech!S30/SER_summary!S$26)</f>
        <v>31.464125838289341</v>
      </c>
      <c r="T30" s="132">
        <f>IF(SER_hh_fech!T30=0,0,SER_hh_fech!T30/SER_summary!T$26)</f>
        <v>30.374436779173017</v>
      </c>
      <c r="U30" s="132">
        <f>IF(SER_hh_fech!U30=0,0,SER_hh_fech!U30/SER_summary!U$26)</f>
        <v>33.089068411995989</v>
      </c>
      <c r="V30" s="132">
        <f>IF(SER_hh_fech!V30=0,0,SER_hh_fech!V30/SER_summary!V$26)</f>
        <v>30.323522774188323</v>
      </c>
      <c r="W30" s="132">
        <f>IF(SER_hh_fech!W30=0,0,SER_hh_fech!W30/SER_summary!W$26)</f>
        <v>22.727959160912523</v>
      </c>
      <c r="X30" s="132">
        <f>IF(SER_hh_fech!X30=0,0,SER_hh_fech!X30/SER_summary!X$26)</f>
        <v>28.219087042645668</v>
      </c>
      <c r="Y30" s="132">
        <f>IF(SER_hh_fech!Y30=0,0,SER_hh_fech!Y30/SER_summary!Y$26)</f>
        <v>30.916584796035039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26.887927464102471</v>
      </c>
      <c r="C31" s="132">
        <f>IF(SER_hh_fech!C31=0,0,SER_hh_fech!C31/SER_summary!C$26)</f>
        <v>26.905901609640889</v>
      </c>
      <c r="D31" s="132">
        <f>IF(SER_hh_fech!D31=0,0,SER_hh_fech!D31/SER_summary!D$26)</f>
        <v>26.796996101000286</v>
      </c>
      <c r="E31" s="132">
        <f>IF(SER_hh_fech!E31=0,0,SER_hh_fech!E31/SER_summary!E$26)</f>
        <v>27.862390187017624</v>
      </c>
      <c r="F31" s="132">
        <f>IF(SER_hh_fech!F31=0,0,SER_hh_fech!F31/SER_summary!F$26)</f>
        <v>30.177836793656777</v>
      </c>
      <c r="G31" s="132">
        <f>IF(SER_hh_fech!G31=0,0,SER_hh_fech!G31/SER_summary!G$26)</f>
        <v>23.425829522181566</v>
      </c>
      <c r="H31" s="132">
        <f>IF(SER_hh_fech!H31=0,0,SER_hh_fech!H31/SER_summary!H$26)</f>
        <v>25.532932406033897</v>
      </c>
      <c r="I31" s="132">
        <f>IF(SER_hh_fech!I31=0,0,SER_hh_fech!I31/SER_summary!I$26)</f>
        <v>26.66966471314953</v>
      </c>
      <c r="J31" s="132">
        <f>IF(SER_hh_fech!J31=0,0,SER_hh_fech!J31/SER_summary!J$26)</f>
        <v>24.819336516044093</v>
      </c>
      <c r="K31" s="132">
        <f>IF(SER_hh_fech!K31=0,0,SER_hh_fech!K31/SER_summary!K$26)</f>
        <v>31.033831386081829</v>
      </c>
      <c r="L31" s="132">
        <f>IF(SER_hh_fech!L31=0,0,SER_hh_fech!L31/SER_summary!L$26)</f>
        <v>28.746098362819957</v>
      </c>
      <c r="M31" s="132">
        <f>IF(SER_hh_fech!M31=0,0,SER_hh_fech!M31/SER_summary!M$26)</f>
        <v>28.714469006016984</v>
      </c>
      <c r="N31" s="132">
        <f>IF(SER_hh_fech!N31=0,0,SER_hh_fech!N31/SER_summary!N$26)</f>
        <v>27.113110047842312</v>
      </c>
      <c r="O31" s="132">
        <f>IF(SER_hh_fech!O31=0,0,SER_hh_fech!O31/SER_summary!O$26)</f>
        <v>28.635979127851243</v>
      </c>
      <c r="P31" s="132">
        <f>IF(SER_hh_fech!P31=0,0,SER_hh_fech!P31/SER_summary!P$26)</f>
        <v>30.086856764215252</v>
      </c>
      <c r="Q31" s="132">
        <f>IF(SER_hh_fech!Q31=0,0,SER_hh_fech!Q31/SER_summary!Q$26)</f>
        <v>30.778262459553318</v>
      </c>
      <c r="R31" s="132">
        <f>IF(SER_hh_fech!R31=0,0,SER_hh_fech!R31/SER_summary!R$26)</f>
        <v>29.416403788104581</v>
      </c>
      <c r="S31" s="132">
        <f>IF(SER_hh_fech!S31=0,0,SER_hh_fech!S31/SER_summary!S$26)</f>
        <v>29.998781801393758</v>
      </c>
      <c r="T31" s="132">
        <f>IF(SER_hh_fech!T31=0,0,SER_hh_fech!T31/SER_summary!T$26)</f>
        <v>30.496010307329119</v>
      </c>
      <c r="U31" s="132">
        <f>IF(SER_hh_fech!U31=0,0,SER_hh_fech!U31/SER_summary!U$26)</f>
        <v>28.900502676609463</v>
      </c>
      <c r="V31" s="132">
        <f>IF(SER_hh_fech!V31=0,0,SER_hh_fech!V31/SER_summary!V$26)</f>
        <v>25.492974926120365</v>
      </c>
      <c r="W31" s="132">
        <f>IF(SER_hh_fech!W31=0,0,SER_hh_fech!W31/SER_summary!W$26)</f>
        <v>35.710387740999813</v>
      </c>
      <c r="X31" s="132">
        <f>IF(SER_hh_fech!X31=0,0,SER_hh_fech!X31/SER_summary!X$26)</f>
        <v>29.904975044932407</v>
      </c>
      <c r="Y31" s="132">
        <f>IF(SER_hh_fech!Y31=0,0,SER_hh_fech!Y31/SER_summary!Y$26)</f>
        <v>28.425289101173988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19.006184508944422</v>
      </c>
      <c r="C33" s="68">
        <f>IF(SER_hh_fech!C33=0,0,SER_hh_fech!C33/SER_summary!C$26)</f>
        <v>23.087806854011589</v>
      </c>
      <c r="D33" s="68">
        <f>IF(SER_hh_fech!D33=0,0,SER_hh_fech!D33/SER_summary!D$26)</f>
        <v>19.962668422944205</v>
      </c>
      <c r="E33" s="68">
        <f>IF(SER_hh_fech!E33=0,0,SER_hh_fech!E33/SER_summary!E$26)</f>
        <v>18.600770701773982</v>
      </c>
      <c r="F33" s="68">
        <f>IF(SER_hh_fech!F33=0,0,SER_hh_fech!F33/SER_summary!F$26)</f>
        <v>17.358288237374413</v>
      </c>
      <c r="G33" s="68">
        <f>IF(SER_hh_fech!G33=0,0,SER_hh_fech!G33/SER_summary!G$26)</f>
        <v>22.054214386959927</v>
      </c>
      <c r="H33" s="68">
        <f>IF(SER_hh_fech!H33=0,0,SER_hh_fech!H33/SER_summary!H$26)</f>
        <v>21.667561118729445</v>
      </c>
      <c r="I33" s="68">
        <f>IF(SER_hh_fech!I33=0,0,SER_hh_fech!I33/SER_summary!I$26)</f>
        <v>21.009261444065313</v>
      </c>
      <c r="J33" s="68">
        <f>IF(SER_hh_fech!J33=0,0,SER_hh_fech!J33/SER_summary!J$26)</f>
        <v>21.311865300240854</v>
      </c>
      <c r="K33" s="68">
        <f>IF(SER_hh_fech!K33=0,0,SER_hh_fech!K33/SER_summary!K$26)</f>
        <v>20.700635706080327</v>
      </c>
      <c r="L33" s="68">
        <f>IF(SER_hh_fech!L33=0,0,SER_hh_fech!L33/SER_summary!L$26)</f>
        <v>21.145389412852555</v>
      </c>
      <c r="M33" s="68">
        <f>IF(SER_hh_fech!M33=0,0,SER_hh_fech!M33/SER_summary!M$26)</f>
        <v>20.958586522660742</v>
      </c>
      <c r="N33" s="68">
        <f>IF(SER_hh_fech!N33=0,0,SER_hh_fech!N33/SER_summary!N$26)</f>
        <v>22.529641947542384</v>
      </c>
      <c r="O33" s="68">
        <f>IF(SER_hh_fech!O33=0,0,SER_hh_fech!O33/SER_summary!O$26)</f>
        <v>22.69044535809811</v>
      </c>
      <c r="P33" s="68">
        <f>IF(SER_hh_fech!P33=0,0,SER_hh_fech!P33/SER_summary!P$26)</f>
        <v>22.292005870185857</v>
      </c>
      <c r="Q33" s="68">
        <f>IF(SER_hh_fech!Q33=0,0,SER_hh_fech!Q33/SER_summary!Q$26)</f>
        <v>21.665128340797761</v>
      </c>
      <c r="R33" s="68">
        <f>IF(SER_hh_fech!R33=0,0,SER_hh_fech!R33/SER_summary!R$26)</f>
        <v>22.911134053008077</v>
      </c>
      <c r="S33" s="68">
        <f>IF(SER_hh_fech!S33=0,0,SER_hh_fech!S33/SER_summary!S$26)</f>
        <v>22.041581676792795</v>
      </c>
      <c r="T33" s="68">
        <f>IF(SER_hh_fech!T33=0,0,SER_hh_fech!T33/SER_summary!T$26)</f>
        <v>22.549232041718291</v>
      </c>
      <c r="U33" s="68">
        <f>IF(SER_hh_fech!U33=0,0,SER_hh_fech!U33/SER_summary!U$26)</f>
        <v>22.144554288082453</v>
      </c>
      <c r="V33" s="68">
        <f>IF(SER_hh_fech!V33=0,0,SER_hh_fech!V33/SER_summary!V$26)</f>
        <v>20.377951729507739</v>
      </c>
      <c r="W33" s="68">
        <f>IF(SER_hh_fech!W33=0,0,SER_hh_fech!W33/SER_summary!W$26)</f>
        <v>18.594341063191123</v>
      </c>
      <c r="X33" s="68">
        <f>IF(SER_hh_fech!X33=0,0,SER_hh_fech!X33/SER_summary!X$26)</f>
        <v>20.822790208833709</v>
      </c>
      <c r="Y33" s="68">
        <f>IF(SER_hh_fech!Y33=0,0,SER_hh_fech!Y33/SER_summary!Y$26)</f>
        <v>21.368176501039077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140.6485138238489</v>
      </c>
      <c r="C3" s="125">
        <f>IF(SER_hh_tesh!C3=0,0,SER_hh_tesh!C3/SER_summary!C$26)</f>
        <v>148.11838907308379</v>
      </c>
      <c r="D3" s="125">
        <f>IF(SER_hh_tesh!D3=0,0,SER_hh_tesh!D3/SER_summary!D$26)</f>
        <v>139.99121262381726</v>
      </c>
      <c r="E3" s="125">
        <f>IF(SER_hh_tesh!E3=0,0,SER_hh_tesh!E3/SER_summary!E$26)</f>
        <v>156.25473654034846</v>
      </c>
      <c r="F3" s="125">
        <f>IF(SER_hh_tesh!F3=0,0,SER_hh_tesh!F3/SER_summary!F$26)</f>
        <v>154.18478446437689</v>
      </c>
      <c r="G3" s="125">
        <f>IF(SER_hh_tesh!G3=0,0,SER_hh_tesh!G3/SER_summary!G$26)</f>
        <v>153.73321679470578</v>
      </c>
      <c r="H3" s="125">
        <f>IF(SER_hh_tesh!H3=0,0,SER_hh_tesh!H3/SER_summary!H$26)</f>
        <v>149.03907635313394</v>
      </c>
      <c r="I3" s="125">
        <f>IF(SER_hh_tesh!I3=0,0,SER_hh_tesh!I3/SER_summary!I$26)</f>
        <v>139.77785569639283</v>
      </c>
      <c r="J3" s="125">
        <f>IF(SER_hh_tesh!J3=0,0,SER_hh_tesh!J3/SER_summary!J$26)</f>
        <v>140.37177869084897</v>
      </c>
      <c r="K3" s="125">
        <f>IF(SER_hh_tesh!K3=0,0,SER_hh_tesh!K3/SER_summary!K$26)</f>
        <v>152.32463377210789</v>
      </c>
      <c r="L3" s="125">
        <f>IF(SER_hh_tesh!L3=0,0,SER_hh_tesh!L3/SER_summary!L$26)</f>
        <v>161.56812464911019</v>
      </c>
      <c r="M3" s="125">
        <f>IF(SER_hh_tesh!M3=0,0,SER_hh_tesh!M3/SER_summary!M$26)</f>
        <v>136.27272552673631</v>
      </c>
      <c r="N3" s="125">
        <f>IF(SER_hh_tesh!N3=0,0,SER_hh_tesh!N3/SER_summary!N$26)</f>
        <v>148.79355646431367</v>
      </c>
      <c r="O3" s="125">
        <f>IF(SER_hh_tesh!O3=0,0,SER_hh_tesh!O3/SER_summary!O$26)</f>
        <v>154.66228410945814</v>
      </c>
      <c r="P3" s="125">
        <f>IF(SER_hh_tesh!P3=0,0,SER_hh_tesh!P3/SER_summary!P$26)</f>
        <v>140.8346375172809</v>
      </c>
      <c r="Q3" s="125">
        <f>IF(SER_hh_tesh!Q3=0,0,SER_hh_tesh!Q3/SER_summary!Q$26)</f>
        <v>150.52492751858409</v>
      </c>
      <c r="R3" s="125">
        <f>IF(SER_hh_tesh!R3=0,0,SER_hh_tesh!R3/SER_summary!R$26)</f>
        <v>146.82543736451012</v>
      </c>
      <c r="S3" s="125">
        <f>IF(SER_hh_tesh!S3=0,0,SER_hh_tesh!S3/SER_summary!S$26)</f>
        <v>152.67009218097454</v>
      </c>
      <c r="T3" s="125">
        <f>IF(SER_hh_tesh!T3=0,0,SER_hh_tesh!T3/SER_summary!T$26)</f>
        <v>152.56603419482781</v>
      </c>
      <c r="U3" s="125">
        <f>IF(SER_hh_tesh!U3=0,0,SER_hh_tesh!U3/SER_summary!U$26)</f>
        <v>150.30763688425725</v>
      </c>
      <c r="V3" s="125">
        <f>IF(SER_hh_tesh!V3=0,0,SER_hh_tesh!V3/SER_summary!V$26)</f>
        <v>142.74599463399275</v>
      </c>
      <c r="W3" s="125">
        <f>IF(SER_hh_tesh!W3=0,0,SER_hh_tesh!W3/SER_summary!W$26)</f>
        <v>150.27581538685047</v>
      </c>
      <c r="X3" s="125">
        <f>IF(SER_hh_tesh!X3=0,0,SER_hh_tesh!X3/SER_summary!X$26)</f>
        <v>149.00695240007508</v>
      </c>
      <c r="Y3" s="125">
        <f>IF(SER_hh_tesh!Y3=0,0,SER_hh_tesh!Y3/SER_summary!Y$26)</f>
        <v>133.59801715896094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100.70307727681445</v>
      </c>
      <c r="C4" s="130">
        <f>IF(SER_hh_tesh!C4=0,0,SER_hh_tesh!C4/SER_summary!C$26)</f>
        <v>107.35764274537799</v>
      </c>
      <c r="D4" s="130">
        <f>IF(SER_hh_tesh!D4=0,0,SER_hh_tesh!D4/SER_summary!D$26)</f>
        <v>98.958572867314786</v>
      </c>
      <c r="E4" s="130">
        <f>IF(SER_hh_tesh!E4=0,0,SER_hh_tesh!E4/SER_summary!E$26)</f>
        <v>108.4686842780048</v>
      </c>
      <c r="F4" s="130">
        <f>IF(SER_hh_tesh!F4=0,0,SER_hh_tesh!F4/SER_summary!F$26)</f>
        <v>111.71875032278787</v>
      </c>
      <c r="G4" s="130">
        <f>IF(SER_hh_tesh!G4=0,0,SER_hh_tesh!G4/SER_summary!G$26)</f>
        <v>109.90351610817324</v>
      </c>
      <c r="H4" s="130">
        <f>IF(SER_hh_tesh!H4=0,0,SER_hh_tesh!H4/SER_summary!H$26)</f>
        <v>102.58908041708978</v>
      </c>
      <c r="I4" s="130">
        <f>IF(SER_hh_tesh!I4=0,0,SER_hh_tesh!I4/SER_summary!I$26)</f>
        <v>95.584040759650804</v>
      </c>
      <c r="J4" s="130">
        <f>IF(SER_hh_tesh!J4=0,0,SER_hh_tesh!J4/SER_summary!J$26)</f>
        <v>94.770413272066989</v>
      </c>
      <c r="K4" s="130">
        <f>IF(SER_hh_tesh!K4=0,0,SER_hh_tesh!K4/SER_summary!K$26)</f>
        <v>104.28406915195126</v>
      </c>
      <c r="L4" s="130">
        <f>IF(SER_hh_tesh!L4=0,0,SER_hh_tesh!L4/SER_summary!L$26)</f>
        <v>113.11256213549984</v>
      </c>
      <c r="M4" s="130">
        <f>IF(SER_hh_tesh!M4=0,0,SER_hh_tesh!M4/SER_summary!M$26)</f>
        <v>88.715842455746852</v>
      </c>
      <c r="N4" s="130">
        <f>IF(SER_hh_tesh!N4=0,0,SER_hh_tesh!N4/SER_summary!N$26)</f>
        <v>98.834853207577311</v>
      </c>
      <c r="O4" s="130">
        <f>IF(SER_hh_tesh!O4=0,0,SER_hh_tesh!O4/SER_summary!O$26)</f>
        <v>104.25865937613945</v>
      </c>
      <c r="P4" s="130">
        <f>IF(SER_hh_tesh!P4=0,0,SER_hh_tesh!P4/SER_summary!P$26)</f>
        <v>90.662591223849915</v>
      </c>
      <c r="Q4" s="130">
        <f>IF(SER_hh_tesh!Q4=0,0,SER_hh_tesh!Q4/SER_summary!Q$26)</f>
        <v>95.766485553096416</v>
      </c>
      <c r="R4" s="130">
        <f>IF(SER_hh_tesh!R4=0,0,SER_hh_tesh!R4/SER_summary!R$26)</f>
        <v>94.095035311335792</v>
      </c>
      <c r="S4" s="130">
        <f>IF(SER_hh_tesh!S4=0,0,SER_hh_tesh!S4/SER_summary!S$26)</f>
        <v>97.893425541814565</v>
      </c>
      <c r="T4" s="130">
        <f>IF(SER_hh_tesh!T4=0,0,SER_hh_tesh!T4/SER_summary!T$26)</f>
        <v>96.998526832512496</v>
      </c>
      <c r="U4" s="130">
        <f>IF(SER_hh_tesh!U4=0,0,SER_hh_tesh!U4/SER_summary!U$26)</f>
        <v>94.850141477719035</v>
      </c>
      <c r="V4" s="130">
        <f>IF(SER_hh_tesh!V4=0,0,SER_hh_tesh!V4/SER_summary!V$26)</f>
        <v>89.500311708389731</v>
      </c>
      <c r="W4" s="130">
        <f>IF(SER_hh_tesh!W4=0,0,SER_hh_tesh!W4/SER_summary!W$26)</f>
        <v>98.73583344231568</v>
      </c>
      <c r="X4" s="130">
        <f>IF(SER_hh_tesh!X4=0,0,SER_hh_tesh!X4/SER_summary!X$26)</f>
        <v>88.382294700277114</v>
      </c>
      <c r="Y4" s="130">
        <f>IF(SER_hh_tesh!Y4=0,0,SER_hh_tesh!Y4/SER_summary!Y$26)</f>
        <v>75.440052006282798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102.66360850443797</v>
      </c>
      <c r="C5" s="132">
        <f>IF(SER_hh_tesh!C5=0,0,SER_hh_tesh!C5/SER_summary!C$26)</f>
        <v>110.6097122196656</v>
      </c>
      <c r="D5" s="132">
        <f>IF(SER_hh_tesh!D5=0,0,SER_hh_tesh!D5/SER_summary!D$26)</f>
        <v>87.615318424673333</v>
      </c>
      <c r="E5" s="132">
        <f>IF(SER_hh_tesh!E5=0,0,SER_hh_tesh!E5/SER_summary!E$26)</f>
        <v>105.00320190723002</v>
      </c>
      <c r="F5" s="132">
        <f>IF(SER_hh_tesh!F5=0,0,SER_hh_tesh!F5/SER_summary!F$26)</f>
        <v>106.0196787458292</v>
      </c>
      <c r="G5" s="132">
        <f>IF(SER_hh_tesh!G5=0,0,SER_hh_tesh!G5/SER_summary!G$26)</f>
        <v>108.65274770672254</v>
      </c>
      <c r="H5" s="132">
        <f>IF(SER_hh_tesh!H5=0,0,SER_hh_tesh!H5/SER_summary!H$26)</f>
        <v>104.35427147430762</v>
      </c>
      <c r="I5" s="132">
        <f>IF(SER_hh_tesh!I5=0,0,SER_hh_tesh!I5/SER_summary!I$26)</f>
        <v>100.94198267582981</v>
      </c>
      <c r="J5" s="132">
        <f>IF(SER_hh_tesh!J5=0,0,SER_hh_tesh!J5/SER_summary!J$26)</f>
        <v>97.014015728312913</v>
      </c>
      <c r="K5" s="132">
        <f>IF(SER_hh_tesh!K5=0,0,SER_hh_tesh!K5/SER_summary!K$26)</f>
        <v>100.30691491783575</v>
      </c>
      <c r="L5" s="132">
        <f>IF(SER_hh_tesh!L5=0,0,SER_hh_tesh!L5/SER_summary!L$26)</f>
        <v>137.12887690823933</v>
      </c>
      <c r="M5" s="132">
        <f>IF(SER_hh_tesh!M5=0,0,SER_hh_tesh!M5/SER_summary!M$26)</f>
        <v>57.068626515884134</v>
      </c>
      <c r="N5" s="132">
        <f>IF(SER_hh_tesh!N5=0,0,SER_hh_tesh!N5/SER_summary!N$26)</f>
        <v>83.472564580870738</v>
      </c>
      <c r="O5" s="132">
        <f>IF(SER_hh_tesh!O5=0,0,SER_hh_tesh!O5/SER_summary!O$26)</f>
        <v>110.60281168717344</v>
      </c>
      <c r="P5" s="132">
        <f>IF(SER_hh_tesh!P5=0,0,SER_hh_tesh!P5/SER_summary!P$26)</f>
        <v>86.509944943155872</v>
      </c>
      <c r="Q5" s="132">
        <f>IF(SER_hh_tesh!Q5=0,0,SER_hh_tesh!Q5/SER_summary!Q$26)</f>
        <v>92.077160657944333</v>
      </c>
      <c r="R5" s="132">
        <f>IF(SER_hh_tesh!R5=0,0,SER_hh_tesh!R5/SER_summary!R$26)</f>
        <v>98.623480866692873</v>
      </c>
      <c r="S5" s="132">
        <f>IF(SER_hh_tesh!S5=0,0,SER_hh_tesh!S5/SER_summary!S$26)</f>
        <v>97.657504712917543</v>
      </c>
      <c r="T5" s="132">
        <f>IF(SER_hh_tesh!T5=0,0,SER_hh_tesh!T5/SER_summary!T$26)</f>
        <v>91.998483306480395</v>
      </c>
      <c r="U5" s="132">
        <f>IF(SER_hh_tesh!U5=0,0,SER_hh_tesh!U5/SER_summary!U$26)</f>
        <v>92.672702256014659</v>
      </c>
      <c r="V5" s="132">
        <f>IF(SER_hh_tesh!V5=0,0,SER_hh_tesh!V5/SER_summary!V$26)</f>
        <v>84.167464536898038</v>
      </c>
      <c r="W5" s="132">
        <f>IF(SER_hh_tesh!W5=0,0,SER_hh_tesh!W5/SER_summary!W$26)</f>
        <v>99.132986445383452</v>
      </c>
      <c r="X5" s="132">
        <f>IF(SER_hh_tesh!X5=0,0,SER_hh_tesh!X5/SER_summary!X$26)</f>
        <v>87.707976337143535</v>
      </c>
      <c r="Y5" s="132">
        <f>IF(SER_hh_tesh!Y5=0,0,SER_hh_tesh!Y5/SER_summary!Y$26)</f>
        <v>75.927881533139157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97.689857740222564</v>
      </c>
      <c r="C7" s="132">
        <f>IF(SER_hh_tesh!C7=0,0,SER_hh_tesh!C7/SER_summary!C$26)</f>
        <v>108.68179234176283</v>
      </c>
      <c r="D7" s="132">
        <f>IF(SER_hh_tesh!D7=0,0,SER_hh_tesh!D7/SER_summary!D$26)</f>
        <v>96.336464346604302</v>
      </c>
      <c r="E7" s="132">
        <f>IF(SER_hh_tesh!E7=0,0,SER_hh_tesh!E7/SER_summary!E$26)</f>
        <v>105.16017091375213</v>
      </c>
      <c r="F7" s="132">
        <f>IF(SER_hh_tesh!F7=0,0,SER_hh_tesh!F7/SER_summary!F$26)</f>
        <v>108.82506996470065</v>
      </c>
      <c r="G7" s="132">
        <f>IF(SER_hh_tesh!G7=0,0,SER_hh_tesh!G7/SER_summary!G$26)</f>
        <v>106.9424679587747</v>
      </c>
      <c r="H7" s="132">
        <f>IF(SER_hh_tesh!H7=0,0,SER_hh_tesh!H7/SER_summary!H$26)</f>
        <v>100.23303920146293</v>
      </c>
      <c r="I7" s="132">
        <f>IF(SER_hh_tesh!I7=0,0,SER_hh_tesh!I7/SER_summary!I$26)</f>
        <v>87.59527771892526</v>
      </c>
      <c r="J7" s="132">
        <f>IF(SER_hh_tesh!J7=0,0,SER_hh_tesh!J7/SER_summary!J$26)</f>
        <v>105.53300736124775</v>
      </c>
      <c r="K7" s="132">
        <f>IF(SER_hh_tesh!K7=0,0,SER_hh_tesh!K7/SER_summary!K$26)</f>
        <v>104.92350641966742</v>
      </c>
      <c r="L7" s="132">
        <f>IF(SER_hh_tesh!L7=0,0,SER_hh_tesh!L7/SER_summary!L$26)</f>
        <v>103.5975773701</v>
      </c>
      <c r="M7" s="132">
        <f>IF(SER_hh_tesh!M7=0,0,SER_hh_tesh!M7/SER_summary!M$26)</f>
        <v>89.824064075089396</v>
      </c>
      <c r="N7" s="132">
        <f>IF(SER_hh_tesh!N7=0,0,SER_hh_tesh!N7/SER_summary!N$26)</f>
        <v>92.160277243154795</v>
      </c>
      <c r="O7" s="132">
        <f>IF(SER_hh_tesh!O7=0,0,SER_hh_tesh!O7/SER_summary!O$26)</f>
        <v>95.620886922156032</v>
      </c>
      <c r="P7" s="132">
        <f>IF(SER_hh_tesh!P7=0,0,SER_hh_tesh!P7/SER_summary!P$26)</f>
        <v>99.300497172793243</v>
      </c>
      <c r="Q7" s="132">
        <f>IF(SER_hh_tesh!Q7=0,0,SER_hh_tesh!Q7/SER_summary!Q$26)</f>
        <v>100.06791940758488</v>
      </c>
      <c r="R7" s="132">
        <f>IF(SER_hh_tesh!R7=0,0,SER_hh_tesh!R7/SER_summary!R$26)</f>
        <v>81.656515774547373</v>
      </c>
      <c r="S7" s="132">
        <f>IF(SER_hh_tesh!S7=0,0,SER_hh_tesh!S7/SER_summary!S$26)</f>
        <v>99.068781070748742</v>
      </c>
      <c r="T7" s="132">
        <f>IF(SER_hh_tesh!T7=0,0,SER_hh_tesh!T7/SER_summary!T$26)</f>
        <v>92.781970358658427</v>
      </c>
      <c r="U7" s="132">
        <f>IF(SER_hh_tesh!U7=0,0,SER_hh_tesh!U7/SER_summary!U$26)</f>
        <v>90.111452651142727</v>
      </c>
      <c r="V7" s="132">
        <f>IF(SER_hh_tesh!V7=0,0,SER_hh_tesh!V7/SER_summary!V$26)</f>
        <v>95.79685450268326</v>
      </c>
      <c r="W7" s="132">
        <f>IF(SER_hh_tesh!W7=0,0,SER_hh_tesh!W7/SER_summary!W$26)</f>
        <v>85.056293900111598</v>
      </c>
      <c r="X7" s="132">
        <f>IF(SER_hh_tesh!X7=0,0,SER_hh_tesh!X7/SER_summary!X$26)</f>
        <v>93.246833911647755</v>
      </c>
      <c r="Y7" s="132">
        <f>IF(SER_hh_tesh!Y7=0,0,SER_hh_tesh!Y7/SER_summary!Y$26)</f>
        <v>73.436628533507047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75.718163697988885</v>
      </c>
      <c r="C8" s="132">
        <f>IF(SER_hh_tesh!C8=0,0,SER_hh_tesh!C8/SER_summary!C$26)</f>
        <v>93.185509096841315</v>
      </c>
      <c r="D8" s="132">
        <f>IF(SER_hh_tesh!D8=0,0,SER_hh_tesh!D8/SER_summary!D$26)</f>
        <v>79.959816595849162</v>
      </c>
      <c r="E8" s="132">
        <f>IF(SER_hh_tesh!E8=0,0,SER_hh_tesh!E8/SER_summary!E$26)</f>
        <v>87.87900794297704</v>
      </c>
      <c r="F8" s="132">
        <f>IF(SER_hh_tesh!F8=0,0,SER_hh_tesh!F8/SER_summary!F$26)</f>
        <v>82.417726047878062</v>
      </c>
      <c r="G8" s="132">
        <f>IF(SER_hh_tesh!G8=0,0,SER_hh_tesh!G8/SER_summary!G$26)</f>
        <v>111.8588250908094</v>
      </c>
      <c r="H8" s="132">
        <f>IF(SER_hh_tesh!H8=0,0,SER_hh_tesh!H8/SER_summary!H$26)</f>
        <v>100.78035079306508</v>
      </c>
      <c r="I8" s="132">
        <f>IF(SER_hh_tesh!I8=0,0,SER_hh_tesh!I8/SER_summary!I$26)</f>
        <v>101.49719501051288</v>
      </c>
      <c r="J8" s="132">
        <f>IF(SER_hh_tesh!J8=0,0,SER_hh_tesh!J8/SER_summary!J$26)</f>
        <v>105.60159226082692</v>
      </c>
      <c r="K8" s="132">
        <f>IF(SER_hh_tesh!K8=0,0,SER_hh_tesh!K8/SER_summary!K$26)</f>
        <v>83.390523679536102</v>
      </c>
      <c r="L8" s="132">
        <f>IF(SER_hh_tesh!L8=0,0,SER_hh_tesh!L8/SER_summary!L$26)</f>
        <v>71.259977402441535</v>
      </c>
      <c r="M8" s="132">
        <f>IF(SER_hh_tesh!M8=0,0,SER_hh_tesh!M8/SER_summary!M$26)</f>
        <v>99.954838471378821</v>
      </c>
      <c r="N8" s="132">
        <f>IF(SER_hh_tesh!N8=0,0,SER_hh_tesh!N8/SER_summary!N$26)</f>
        <v>92.540460563280533</v>
      </c>
      <c r="O8" s="132">
        <f>IF(SER_hh_tesh!O8=0,0,SER_hh_tesh!O8/SER_summary!O$26)</f>
        <v>102.45994168601656</v>
      </c>
      <c r="P8" s="132">
        <f>IF(SER_hh_tesh!P8=0,0,SER_hh_tesh!P8/SER_summary!P$26)</f>
        <v>90.198170964375876</v>
      </c>
      <c r="Q8" s="132">
        <f>IF(SER_hh_tesh!Q8=0,0,SER_hh_tesh!Q8/SER_summary!Q$26)</f>
        <v>97.577241865539435</v>
      </c>
      <c r="R8" s="132">
        <f>IF(SER_hh_tesh!R8=0,0,SER_hh_tesh!R8/SER_summary!R$26)</f>
        <v>98.051994831998257</v>
      </c>
      <c r="S8" s="132">
        <f>IF(SER_hh_tesh!S8=0,0,SER_hh_tesh!S8/SER_summary!S$26)</f>
        <v>97.164867672101579</v>
      </c>
      <c r="T8" s="132">
        <f>IF(SER_hh_tesh!T8=0,0,SER_hh_tesh!T8/SER_summary!T$26)</f>
        <v>97.439586867182982</v>
      </c>
      <c r="U8" s="132">
        <f>IF(SER_hh_tesh!U8=0,0,SER_hh_tesh!U8/SER_summary!U$26)</f>
        <v>97.283950049043398</v>
      </c>
      <c r="V8" s="132">
        <f>IF(SER_hh_tesh!V8=0,0,SER_hh_tesh!V8/SER_summary!V$26)</f>
        <v>91.674065839889806</v>
      </c>
      <c r="W8" s="132">
        <f>IF(SER_hh_tesh!W8=0,0,SER_hh_tesh!W8/SER_summary!W$26)</f>
        <v>117.08458707913196</v>
      </c>
      <c r="X8" s="132">
        <f>IF(SER_hh_tesh!X8=0,0,SER_hh_tesh!X8/SER_summary!X$26)</f>
        <v>66.578842138923505</v>
      </c>
      <c r="Y8" s="132">
        <f>IF(SER_hh_tesh!Y8=0,0,SER_hh_tesh!Y8/SER_summary!Y$26)</f>
        <v>79.217058639119927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99.753994259435075</v>
      </c>
      <c r="C9" s="132">
        <f>IF(SER_hh_tesh!C9=0,0,SER_hh_tesh!C9/SER_summary!C$26)</f>
        <v>105.78445977491653</v>
      </c>
      <c r="D9" s="132">
        <f>IF(SER_hh_tesh!D9=0,0,SER_hh_tesh!D9/SER_summary!D$26)</f>
        <v>87.485471321926724</v>
      </c>
      <c r="E9" s="132">
        <f>IF(SER_hh_tesh!E9=0,0,SER_hh_tesh!E9/SER_summary!E$26)</f>
        <v>110.31730744697505</v>
      </c>
      <c r="F9" s="132">
        <f>IF(SER_hh_tesh!F9=0,0,SER_hh_tesh!F9/SER_summary!F$26)</f>
        <v>109.57435718901246</v>
      </c>
      <c r="G9" s="132">
        <f>IF(SER_hh_tesh!G9=0,0,SER_hh_tesh!G9/SER_summary!G$26)</f>
        <v>111.71027834236463</v>
      </c>
      <c r="H9" s="132">
        <f>IF(SER_hh_tesh!H9=0,0,SER_hh_tesh!H9/SER_summary!H$26)</f>
        <v>97.009951563469201</v>
      </c>
      <c r="I9" s="132">
        <f>IF(SER_hh_tesh!I9=0,0,SER_hh_tesh!I9/SER_summary!I$26)</f>
        <v>97.945498600063644</v>
      </c>
      <c r="J9" s="132">
        <f>IF(SER_hh_tesh!J9=0,0,SER_hh_tesh!J9/SER_summary!J$26)</f>
        <v>86.634572645085811</v>
      </c>
      <c r="K9" s="132">
        <f>IF(SER_hh_tesh!K9=0,0,SER_hh_tesh!K9/SER_summary!K$26)</f>
        <v>103.99911122360081</v>
      </c>
      <c r="L9" s="132">
        <f>IF(SER_hh_tesh!L9=0,0,SER_hh_tesh!L9/SER_summary!L$26)</f>
        <v>116.5283183982293</v>
      </c>
      <c r="M9" s="132">
        <f>IF(SER_hh_tesh!M9=0,0,SER_hh_tesh!M9/SER_summary!M$26)</f>
        <v>82.757032833136748</v>
      </c>
      <c r="N9" s="132">
        <f>IF(SER_hh_tesh!N9=0,0,SER_hh_tesh!N9/SER_summary!N$26)</f>
        <v>98.819208885317209</v>
      </c>
      <c r="O9" s="132">
        <f>IF(SER_hh_tesh!O9=0,0,SER_hh_tesh!O9/SER_summary!O$26)</f>
        <v>105.99692890591071</v>
      </c>
      <c r="P9" s="132">
        <f>IF(SER_hh_tesh!P9=0,0,SER_hh_tesh!P9/SER_summary!P$26)</f>
        <v>86.388815548358977</v>
      </c>
      <c r="Q9" s="132">
        <f>IF(SER_hh_tesh!Q9=0,0,SER_hh_tesh!Q9/SER_summary!Q$26)</f>
        <v>92.895085657395057</v>
      </c>
      <c r="R9" s="132">
        <f>IF(SER_hh_tesh!R9=0,0,SER_hh_tesh!R9/SER_summary!R$26)</f>
        <v>93.088611851278571</v>
      </c>
      <c r="S9" s="132">
        <f>IF(SER_hh_tesh!S9=0,0,SER_hh_tesh!S9/SER_summary!S$26)</f>
        <v>95.551819334233102</v>
      </c>
      <c r="T9" s="132">
        <f>IF(SER_hh_tesh!T9=0,0,SER_hh_tesh!T9/SER_summary!T$26)</f>
        <v>97.677201138213448</v>
      </c>
      <c r="U9" s="132">
        <f>IF(SER_hh_tesh!U9=0,0,SER_hh_tesh!U9/SER_summary!U$26)</f>
        <v>95.373902476815971</v>
      </c>
      <c r="V9" s="132">
        <f>IF(SER_hh_tesh!V9=0,0,SER_hh_tesh!V9/SER_summary!V$26)</f>
        <v>88.2111711092885</v>
      </c>
      <c r="W9" s="132">
        <f>IF(SER_hh_tesh!W9=0,0,SER_hh_tesh!W9/SER_summary!W$26)</f>
        <v>96.709266805409456</v>
      </c>
      <c r="X9" s="132">
        <f>IF(SER_hh_tesh!X9=0,0,SER_hh_tesh!X9/SER_summary!X$26)</f>
        <v>82.229261597392906</v>
      </c>
      <c r="Y9" s="132">
        <f>IF(SER_hh_tesh!Y9=0,0,SER_hh_tesh!Y9/SER_summary!Y$26)</f>
        <v>75.412936227388613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94.91884449922415</v>
      </c>
      <c r="C10" s="132">
        <f>IF(SER_hh_tesh!C10=0,0,SER_hh_tesh!C10/SER_summary!C$26)</f>
        <v>101.43730783839418</v>
      </c>
      <c r="D10" s="132">
        <f>IF(SER_hh_tesh!D10=0,0,SER_hh_tesh!D10/SER_summary!D$26)</f>
        <v>103.88969181756752</v>
      </c>
      <c r="E10" s="132">
        <f>IF(SER_hh_tesh!E10=0,0,SER_hh_tesh!E10/SER_summary!E$26)</f>
        <v>116.3632170726312</v>
      </c>
      <c r="F10" s="132">
        <f>IF(SER_hh_tesh!F10=0,0,SER_hh_tesh!F10/SER_summary!F$26)</f>
        <v>132.43249317350651</v>
      </c>
      <c r="G10" s="132">
        <f>IF(SER_hh_tesh!G10=0,0,SER_hh_tesh!G10/SER_summary!G$26)</f>
        <v>89.552241347349252</v>
      </c>
      <c r="H10" s="132">
        <f>IF(SER_hh_tesh!H10=0,0,SER_hh_tesh!H10/SER_summary!H$26)</f>
        <v>66.159081803248768</v>
      </c>
      <c r="I10" s="132">
        <f>IF(SER_hh_tesh!I10=0,0,SER_hh_tesh!I10/SER_summary!I$26)</f>
        <v>100.34532026193014</v>
      </c>
      <c r="J10" s="132">
        <f>IF(SER_hh_tesh!J10=0,0,SER_hh_tesh!J10/SER_summary!J$26)</f>
        <v>97.223647242052266</v>
      </c>
      <c r="K10" s="132">
        <f>IF(SER_hh_tesh!K10=0,0,SER_hh_tesh!K10/SER_summary!K$26)</f>
        <v>125.02421244714643</v>
      </c>
      <c r="L10" s="132">
        <f>IF(SER_hh_tesh!L10=0,0,SER_hh_tesh!L10/SER_summary!L$26)</f>
        <v>110.17421151188024</v>
      </c>
      <c r="M10" s="132">
        <f>IF(SER_hh_tesh!M10=0,0,SER_hh_tesh!M10/SER_summary!M$26)</f>
        <v>74.811491363094774</v>
      </c>
      <c r="N10" s="132">
        <f>IF(SER_hh_tesh!N10=0,0,SER_hh_tesh!N10/SER_summary!N$26)</f>
        <v>90.23431094539427</v>
      </c>
      <c r="O10" s="132">
        <f>IF(SER_hh_tesh!O10=0,0,SER_hh_tesh!O10/SER_summary!O$26)</f>
        <v>114.27691970498448</v>
      </c>
      <c r="P10" s="132">
        <f>IF(SER_hh_tesh!P10=0,0,SER_hh_tesh!P10/SER_summary!P$26)</f>
        <v>94.518930445577439</v>
      </c>
      <c r="Q10" s="132">
        <f>IF(SER_hh_tesh!Q10=0,0,SER_hh_tesh!Q10/SER_summary!Q$26)</f>
        <v>88.339144436837529</v>
      </c>
      <c r="R10" s="132">
        <f>IF(SER_hh_tesh!R10=0,0,SER_hh_tesh!R10/SER_summary!R$26)</f>
        <v>96.657475101145408</v>
      </c>
      <c r="S10" s="132">
        <f>IF(SER_hh_tesh!S10=0,0,SER_hh_tesh!S10/SER_summary!S$26)</f>
        <v>100.02029999486464</v>
      </c>
      <c r="T10" s="132">
        <f>IF(SER_hh_tesh!T10=0,0,SER_hh_tesh!T10/SER_summary!T$26)</f>
        <v>91.546002127006005</v>
      </c>
      <c r="U10" s="132">
        <f>IF(SER_hh_tesh!U10=0,0,SER_hh_tesh!U10/SER_summary!U$26)</f>
        <v>90.29876610688882</v>
      </c>
      <c r="V10" s="132">
        <f>IF(SER_hh_tesh!V10=0,0,SER_hh_tesh!V10/SER_summary!V$26)</f>
        <v>85.841844538075406</v>
      </c>
      <c r="W10" s="132">
        <f>IF(SER_hh_tesh!W10=0,0,SER_hh_tesh!W10/SER_summary!W$26)</f>
        <v>91.556619582086213</v>
      </c>
      <c r="X10" s="132">
        <f>IF(SER_hh_tesh!X10=0,0,SER_hh_tesh!X10/SER_summary!X$26)</f>
        <v>92.073922888642954</v>
      </c>
      <c r="Y10" s="132">
        <f>IF(SER_hh_tesh!Y10=0,0,SER_hh_tesh!Y10/SER_summary!Y$26)</f>
        <v>76.26039903879547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218.67755697612185</v>
      </c>
      <c r="E11" s="132">
        <f>IF(SER_hh_tesh!E11=0,0,SER_hh_tesh!E11/SER_summary!E$26)</f>
        <v>194.47654173389367</v>
      </c>
      <c r="F11" s="132">
        <f>IF(SER_hh_tesh!F11=0,0,SER_hh_tesh!F11/SER_summary!F$26)</f>
        <v>193.95411220082079</v>
      </c>
      <c r="G11" s="132">
        <f>IF(SER_hh_tesh!G11=0,0,SER_hh_tesh!G11/SER_summary!G$26)</f>
        <v>68.271597793899886</v>
      </c>
      <c r="H11" s="132">
        <f>IF(SER_hh_tesh!H11=0,0,SER_hh_tesh!H11/SER_summary!H$26)</f>
        <v>86.60263993527019</v>
      </c>
      <c r="I11" s="132">
        <f>IF(SER_hh_tesh!I11=0,0,SER_hh_tesh!I11/SER_summary!I$26)</f>
        <v>98.448984378736014</v>
      </c>
      <c r="J11" s="132">
        <f>IF(SER_hh_tesh!J11=0,0,SER_hh_tesh!J11/SER_summary!J$26)</f>
        <v>98.681632957092972</v>
      </c>
      <c r="K11" s="132">
        <f>IF(SER_hh_tesh!K11=0,0,SER_hh_tesh!K11/SER_summary!K$26)</f>
        <v>97.944315718955338</v>
      </c>
      <c r="L11" s="132">
        <f>IF(SER_hh_tesh!L11=0,0,SER_hh_tesh!L11/SER_summary!L$26)</f>
        <v>94.297187768735938</v>
      </c>
      <c r="M11" s="132">
        <f>IF(SER_hh_tesh!M11=0,0,SER_hh_tesh!M11/SER_summary!M$26)</f>
        <v>102.74367961304642</v>
      </c>
      <c r="N11" s="132">
        <f>IF(SER_hh_tesh!N11=0,0,SER_hh_tesh!N11/SER_summary!N$26)</f>
        <v>99.837484817222787</v>
      </c>
      <c r="O11" s="132">
        <f>IF(SER_hh_tesh!O11=0,0,SER_hh_tesh!O11/SER_summary!O$26)</f>
        <v>98.865064831989443</v>
      </c>
      <c r="P11" s="132">
        <f>IF(SER_hh_tesh!P11=0,0,SER_hh_tesh!P11/SER_summary!P$26)</f>
        <v>93.099038850999392</v>
      </c>
      <c r="Q11" s="132">
        <f>IF(SER_hh_tesh!Q11=0,0,SER_hh_tesh!Q11/SER_summary!Q$26)</f>
        <v>94.25765496354839</v>
      </c>
      <c r="R11" s="132">
        <f>IF(SER_hh_tesh!R11=0,0,SER_hh_tesh!R11/SER_summary!R$26)</f>
        <v>94.554848373111227</v>
      </c>
      <c r="S11" s="132">
        <f>IF(SER_hh_tesh!S11=0,0,SER_hh_tesh!S11/SER_summary!S$26)</f>
        <v>95.999256843988306</v>
      </c>
      <c r="T11" s="132">
        <f>IF(SER_hh_tesh!T11=0,0,SER_hh_tesh!T11/SER_summary!T$26)</f>
        <v>95.841701091153737</v>
      </c>
      <c r="U11" s="132">
        <f>IF(SER_hh_tesh!U11=0,0,SER_hh_tesh!U11/SER_summary!U$26)</f>
        <v>94.630150591333262</v>
      </c>
      <c r="V11" s="132">
        <f>IF(SER_hh_tesh!V11=0,0,SER_hh_tesh!V11/SER_summary!V$26)</f>
        <v>92.503910930898599</v>
      </c>
      <c r="W11" s="132">
        <f>IF(SER_hh_tesh!W11=0,0,SER_hh_tesh!W11/SER_summary!W$26)</f>
        <v>86.972388803274924</v>
      </c>
      <c r="X11" s="132">
        <f>IF(SER_hh_tesh!X11=0,0,SER_hh_tesh!X11/SER_summary!X$26)</f>
        <v>82.825797739690515</v>
      </c>
      <c r="Y11" s="132">
        <f>IF(SER_hh_tesh!Y11=0,0,SER_hh_tesh!Y11/SER_summary!Y$26)</f>
        <v>79.050835784921091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95.106714252706126</v>
      </c>
      <c r="C12" s="132">
        <f>IF(SER_hh_tesh!C12=0,0,SER_hh_tesh!C12/SER_summary!C$26)</f>
        <v>106.82130033631803</v>
      </c>
      <c r="D12" s="132">
        <f>IF(SER_hh_tesh!D12=0,0,SER_hh_tesh!D12/SER_summary!D$26)</f>
        <v>107.65940201096859</v>
      </c>
      <c r="E12" s="132">
        <f>IF(SER_hh_tesh!E12=0,0,SER_hh_tesh!E12/SER_summary!E$26)</f>
        <v>105.0508928274146</v>
      </c>
      <c r="F12" s="132">
        <f>IF(SER_hh_tesh!F12=0,0,SER_hh_tesh!F12/SER_summary!F$26)</f>
        <v>107.37041863073665</v>
      </c>
      <c r="G12" s="132">
        <f>IF(SER_hh_tesh!G12=0,0,SER_hh_tesh!G12/SER_summary!G$26)</f>
        <v>116.55443427345092</v>
      </c>
      <c r="H12" s="132">
        <f>IF(SER_hh_tesh!H12=0,0,SER_hh_tesh!H12/SER_summary!H$26)</f>
        <v>118.98084926532434</v>
      </c>
      <c r="I12" s="132">
        <f>IF(SER_hh_tesh!I12=0,0,SER_hh_tesh!I12/SER_summary!I$26)</f>
        <v>75.013489487235574</v>
      </c>
      <c r="J12" s="132">
        <f>IF(SER_hh_tesh!J12=0,0,SER_hh_tesh!J12/SER_summary!J$26)</f>
        <v>94.936724312851908</v>
      </c>
      <c r="K12" s="132">
        <f>IF(SER_hh_tesh!K12=0,0,SER_hh_tesh!K12/SER_summary!K$26)</f>
        <v>95.030555798150871</v>
      </c>
      <c r="L12" s="132">
        <f>IF(SER_hh_tesh!L12=0,0,SER_hh_tesh!L12/SER_summary!L$26)</f>
        <v>110.00096818694934</v>
      </c>
      <c r="M12" s="132">
        <f>IF(SER_hh_tesh!M12=0,0,SER_hh_tesh!M12/SER_summary!M$26)</f>
        <v>93.443133554670695</v>
      </c>
      <c r="N12" s="132">
        <f>IF(SER_hh_tesh!N12=0,0,SER_hh_tesh!N12/SER_summary!N$26)</f>
        <v>94.666264283675076</v>
      </c>
      <c r="O12" s="132">
        <f>IF(SER_hh_tesh!O12=0,0,SER_hh_tesh!O12/SER_summary!O$26)</f>
        <v>99.779426790529513</v>
      </c>
      <c r="P12" s="132">
        <f>IF(SER_hh_tesh!P12=0,0,SER_hh_tesh!P12/SER_summary!P$26)</f>
        <v>90.584600715625584</v>
      </c>
      <c r="Q12" s="132">
        <f>IF(SER_hh_tesh!Q12=0,0,SER_hh_tesh!Q12/SER_summary!Q$26)</f>
        <v>93.382240927974564</v>
      </c>
      <c r="R12" s="132">
        <f>IF(SER_hh_tesh!R12=0,0,SER_hh_tesh!R12/SER_summary!R$26)</f>
        <v>97.727488995024885</v>
      </c>
      <c r="S12" s="132">
        <f>IF(SER_hh_tesh!S12=0,0,SER_hh_tesh!S12/SER_summary!S$26)</f>
        <v>98.702226396218947</v>
      </c>
      <c r="T12" s="132">
        <f>IF(SER_hh_tesh!T12=0,0,SER_hh_tesh!T12/SER_summary!T$26)</f>
        <v>94.351644632517889</v>
      </c>
      <c r="U12" s="132">
        <f>IF(SER_hh_tesh!U12=0,0,SER_hh_tesh!U12/SER_summary!U$26)</f>
        <v>92.265539287063561</v>
      </c>
      <c r="V12" s="132">
        <f>IF(SER_hh_tesh!V12=0,0,SER_hh_tesh!V12/SER_summary!V$26)</f>
        <v>90.463402486150954</v>
      </c>
      <c r="W12" s="132">
        <f>IF(SER_hh_tesh!W12=0,0,SER_hh_tesh!W12/SER_summary!W$26)</f>
        <v>98.191418105546248</v>
      </c>
      <c r="X12" s="132">
        <f>IF(SER_hh_tesh!X12=0,0,SER_hh_tesh!X12/SER_summary!X$26)</f>
        <v>86.315022872543693</v>
      </c>
      <c r="Y12" s="132">
        <f>IF(SER_hh_tesh!Y12=0,0,SER_hh_tesh!Y12/SER_summary!Y$26)</f>
        <v>77.701003180102191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98.663793484367645</v>
      </c>
      <c r="C13" s="132">
        <f>IF(SER_hh_tesh!C13=0,0,SER_hh_tesh!C13/SER_summary!C$26)</f>
        <v>100.27308020310566</v>
      </c>
      <c r="D13" s="132">
        <f>IF(SER_hh_tesh!D13=0,0,SER_hh_tesh!D13/SER_summary!D$26)</f>
        <v>104.91499700504271</v>
      </c>
      <c r="E13" s="132">
        <f>IF(SER_hh_tesh!E13=0,0,SER_hh_tesh!E13/SER_summary!E$26)</f>
        <v>106.08691552724115</v>
      </c>
      <c r="F13" s="132">
        <f>IF(SER_hh_tesh!F13=0,0,SER_hh_tesh!F13/SER_summary!F$26)</f>
        <v>104.37220193357237</v>
      </c>
      <c r="G13" s="132">
        <f>IF(SER_hh_tesh!G13=0,0,SER_hh_tesh!G13/SER_summary!G$26)</f>
        <v>108.27647651758483</v>
      </c>
      <c r="H13" s="132">
        <f>IF(SER_hh_tesh!H13=0,0,SER_hh_tesh!H13/SER_summary!H$26)</f>
        <v>102.66644722284222</v>
      </c>
      <c r="I13" s="132">
        <f>IF(SER_hh_tesh!I13=0,0,SER_hh_tesh!I13/SER_summary!I$26)</f>
        <v>95.118300877494789</v>
      </c>
      <c r="J13" s="132">
        <f>IF(SER_hh_tesh!J13=0,0,SER_hh_tesh!J13/SER_summary!J$26)</f>
        <v>100.14344871880722</v>
      </c>
      <c r="K13" s="132">
        <f>IF(SER_hh_tesh!K13=0,0,SER_hh_tesh!K13/SER_summary!K$26)</f>
        <v>95.575407953623611</v>
      </c>
      <c r="L13" s="132">
        <f>IF(SER_hh_tesh!L13=0,0,SER_hh_tesh!L13/SER_summary!L$26)</f>
        <v>87.265426068763304</v>
      </c>
      <c r="M13" s="132">
        <f>IF(SER_hh_tesh!M13=0,0,SER_hh_tesh!M13/SER_summary!M$26)</f>
        <v>101.49669806890738</v>
      </c>
      <c r="N13" s="132">
        <f>IF(SER_hh_tesh!N13=0,0,SER_hh_tesh!N13/SER_summary!N$26)</f>
        <v>104.05972703084973</v>
      </c>
      <c r="O13" s="132">
        <f>IF(SER_hh_tesh!O13=0,0,SER_hh_tesh!O13/SER_summary!O$26)</f>
        <v>107.07512242548228</v>
      </c>
      <c r="P13" s="132">
        <f>IF(SER_hh_tesh!P13=0,0,SER_hh_tesh!P13/SER_summary!P$26)</f>
        <v>89.142488587307682</v>
      </c>
      <c r="Q13" s="132">
        <f>IF(SER_hh_tesh!Q13=0,0,SER_hh_tesh!Q13/SER_summary!Q$26)</f>
        <v>93.260366024060204</v>
      </c>
      <c r="R13" s="132">
        <f>IF(SER_hh_tesh!R13=0,0,SER_hh_tesh!R13/SER_summary!R$26)</f>
        <v>99.895094774905544</v>
      </c>
      <c r="S13" s="132">
        <f>IF(SER_hh_tesh!S13=0,0,SER_hh_tesh!S13/SER_summary!S$26)</f>
        <v>96.496751091384112</v>
      </c>
      <c r="T13" s="132">
        <f>IF(SER_hh_tesh!T13=0,0,SER_hh_tesh!T13/SER_summary!T$26)</f>
        <v>89.881848531849428</v>
      </c>
      <c r="U13" s="132">
        <f>IF(SER_hh_tesh!U13=0,0,SER_hh_tesh!U13/SER_summary!U$26)</f>
        <v>91.803310266260468</v>
      </c>
      <c r="V13" s="132">
        <f>IF(SER_hh_tesh!V13=0,0,SER_hh_tesh!V13/SER_summary!V$26)</f>
        <v>91.159237542904464</v>
      </c>
      <c r="W13" s="132">
        <f>IF(SER_hh_tesh!W13=0,0,SER_hh_tesh!W13/SER_summary!W$26)</f>
        <v>113.73895940823023</v>
      </c>
      <c r="X13" s="132">
        <f>IF(SER_hh_tesh!X13=0,0,SER_hh_tesh!X13/SER_summary!X$26)</f>
        <v>68.344700910700396</v>
      </c>
      <c r="Y13" s="132">
        <f>IF(SER_hh_tesh!Y13=0,0,SER_hh_tesh!Y13/SER_summary!Y$26)</f>
        <v>79.944875249767989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103.12873722674679</v>
      </c>
      <c r="C14" s="65">
        <f>IF(SER_hh_tesh!C14=0,0,SER_hh_tesh!C14/SER_summary!C$26)</f>
        <v>104.2541306142201</v>
      </c>
      <c r="D14" s="65">
        <f>IF(SER_hh_tesh!D14=0,0,SER_hh_tesh!D14/SER_summary!D$26)</f>
        <v>102.22726001489339</v>
      </c>
      <c r="E14" s="65">
        <f>IF(SER_hh_tesh!E14=0,0,SER_hh_tesh!E14/SER_summary!E$26)</f>
        <v>106.12130614335601</v>
      </c>
      <c r="F14" s="65">
        <f>IF(SER_hh_tesh!F14=0,0,SER_hh_tesh!F14/SER_summary!F$26)</f>
        <v>112.38766631114858</v>
      </c>
      <c r="G14" s="65">
        <f>IF(SER_hh_tesh!G14=0,0,SER_hh_tesh!G14/SER_summary!G$26)</f>
        <v>105.59584266747395</v>
      </c>
      <c r="H14" s="65">
        <f>IF(SER_hh_tesh!H14=0,0,SER_hh_tesh!H14/SER_summary!H$26)</f>
        <v>102.61414642340148</v>
      </c>
      <c r="I14" s="65">
        <f>IF(SER_hh_tesh!I14=0,0,SER_hh_tesh!I14/SER_summary!I$26)</f>
        <v>100.48633326395954</v>
      </c>
      <c r="J14" s="65">
        <f>IF(SER_hh_tesh!J14=0,0,SER_hh_tesh!J14/SER_summary!J$26)</f>
        <v>92.432939870031873</v>
      </c>
      <c r="K14" s="65">
        <f>IF(SER_hh_tesh!K14=0,0,SER_hh_tesh!K14/SER_summary!K$26)</f>
        <v>102.56475797843565</v>
      </c>
      <c r="L14" s="65">
        <f>IF(SER_hh_tesh!L14=0,0,SER_hh_tesh!L14/SER_summary!L$26)</f>
        <v>115.12711294824535</v>
      </c>
      <c r="M14" s="65">
        <f>IF(SER_hh_tesh!M14=0,0,SER_hh_tesh!M14/SER_summary!M$26)</f>
        <v>90.5271858010221</v>
      </c>
      <c r="N14" s="65">
        <f>IF(SER_hh_tesh!N14=0,0,SER_hh_tesh!N14/SER_summary!N$26)</f>
        <v>100.28275374864755</v>
      </c>
      <c r="O14" s="65">
        <f>IF(SER_hh_tesh!O14=0,0,SER_hh_tesh!O14/SER_summary!O$26)</f>
        <v>103.34725657582096</v>
      </c>
      <c r="P14" s="65">
        <f>IF(SER_hh_tesh!P14=0,0,SER_hh_tesh!P14/SER_summary!P$26)</f>
        <v>88.054751858358003</v>
      </c>
      <c r="Q14" s="65">
        <f>IF(SER_hh_tesh!Q14=0,0,SER_hh_tesh!Q14/SER_summary!Q$26)</f>
        <v>95.607821065623156</v>
      </c>
      <c r="R14" s="65">
        <f>IF(SER_hh_tesh!R14=0,0,SER_hh_tesh!R14/SER_summary!R$26)</f>
        <v>96.593847116977059</v>
      </c>
      <c r="S14" s="65">
        <f>IF(SER_hh_tesh!S14=0,0,SER_hh_tesh!S14/SER_summary!S$26)</f>
        <v>97.328668801254722</v>
      </c>
      <c r="T14" s="65">
        <f>IF(SER_hh_tesh!T14=0,0,SER_hh_tesh!T14/SER_summary!T$26)</f>
        <v>97.851676468380916</v>
      </c>
      <c r="U14" s="65">
        <f>IF(SER_hh_tesh!U14=0,0,SER_hh_tesh!U14/SER_summary!U$26)</f>
        <v>95.054609357184873</v>
      </c>
      <c r="V14" s="65">
        <f>IF(SER_hh_tesh!V14=0,0,SER_hh_tesh!V14/SER_summary!V$26)</f>
        <v>83.900646172759153</v>
      </c>
      <c r="W14" s="65">
        <f>IF(SER_hh_tesh!W14=0,0,SER_hh_tesh!W14/SER_summary!W$26)</f>
        <v>103.82191084866832</v>
      </c>
      <c r="X14" s="65">
        <f>IF(SER_hh_tesh!X14=0,0,SER_hh_tesh!X14/SER_summary!X$26)</f>
        <v>97.721456029422441</v>
      </c>
      <c r="Y14" s="65">
        <f>IF(SER_hh_tesh!Y14=0,0,SER_hh_tesh!Y14/SER_summary!Y$26)</f>
        <v>71.762907697717736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1.6478352085399839</v>
      </c>
      <c r="C15" s="134">
        <f>IF(SER_hh_tesh!C15=0,0,SER_hh_tesh!C15/SER_summary!C$26)</f>
        <v>1.7293602221098681</v>
      </c>
      <c r="D15" s="134">
        <f>IF(SER_hh_tesh!D15=0,0,SER_hh_tesh!D15/SER_summary!D$26)</f>
        <v>1.4604887467763537</v>
      </c>
      <c r="E15" s="134">
        <f>IF(SER_hh_tesh!E15=0,0,SER_hh_tesh!E15/SER_summary!E$26)</f>
        <v>1.6665621035216387</v>
      </c>
      <c r="F15" s="134">
        <f>IF(SER_hh_tesh!F15=0,0,SER_hh_tesh!F15/SER_summary!F$26)</f>
        <v>1.6696750211607481</v>
      </c>
      <c r="G15" s="134">
        <f>IF(SER_hh_tesh!G15=0,0,SER_hh_tesh!G15/SER_summary!G$26)</f>
        <v>1.6602651549436478</v>
      </c>
      <c r="H15" s="134">
        <f>IF(SER_hh_tesh!H15=0,0,SER_hh_tesh!H15/SER_summary!H$26)</f>
        <v>1.492180475126978</v>
      </c>
      <c r="I15" s="134">
        <f>IF(SER_hh_tesh!I15=0,0,SER_hh_tesh!I15/SER_summary!I$26)</f>
        <v>1.4277239409573943</v>
      </c>
      <c r="J15" s="134">
        <f>IF(SER_hh_tesh!J15=0,0,SER_hh_tesh!J15/SER_summary!J$26)</f>
        <v>1.4424610686972004</v>
      </c>
      <c r="K15" s="134">
        <f>IF(SER_hh_tesh!K15=0,0,SER_hh_tesh!K15/SER_summary!K$26)</f>
        <v>1.6015500842946468</v>
      </c>
      <c r="L15" s="134">
        <f>IF(SER_hh_tesh!L15=0,0,SER_hh_tesh!L15/SER_summary!L$26)</f>
        <v>1.7030227419064217</v>
      </c>
      <c r="M15" s="134">
        <f>IF(SER_hh_tesh!M15=0,0,SER_hh_tesh!M15/SER_summary!M$26)</f>
        <v>1.2795405601240657</v>
      </c>
      <c r="N15" s="134">
        <f>IF(SER_hh_tesh!N15=0,0,SER_hh_tesh!N15/SER_summary!N$26)</f>
        <v>1.4384804010378212</v>
      </c>
      <c r="O15" s="134">
        <f>IF(SER_hh_tesh!O15=0,0,SER_hh_tesh!O15/SER_summary!O$26)</f>
        <v>1.5166168942598655</v>
      </c>
      <c r="P15" s="134">
        <f>IF(SER_hh_tesh!P15=0,0,SER_hh_tesh!P15/SER_summary!P$26)</f>
        <v>1.3202892345213306</v>
      </c>
      <c r="Q15" s="134">
        <f>IF(SER_hh_tesh!Q15=0,0,SER_hh_tesh!Q15/SER_summary!Q$26)</f>
        <v>1.3648871053050318</v>
      </c>
      <c r="R15" s="134">
        <f>IF(SER_hh_tesh!R15=0,0,SER_hh_tesh!R15/SER_summary!R$26)</f>
        <v>1.2820514745834088</v>
      </c>
      <c r="S15" s="134">
        <f>IF(SER_hh_tesh!S15=0,0,SER_hh_tesh!S15/SER_summary!S$26)</f>
        <v>1.3652335389623504</v>
      </c>
      <c r="T15" s="134">
        <f>IF(SER_hh_tesh!T15=0,0,SER_hh_tesh!T15/SER_summary!T$26)</f>
        <v>1.3545029775982946</v>
      </c>
      <c r="U15" s="134">
        <f>IF(SER_hh_tesh!U15=0,0,SER_hh_tesh!U15/SER_summary!U$26)</f>
        <v>1.3164002231427727</v>
      </c>
      <c r="V15" s="134">
        <f>IF(SER_hh_tesh!V15=0,0,SER_hh_tesh!V15/SER_summary!V$26)</f>
        <v>1.2567881492473372</v>
      </c>
      <c r="W15" s="134">
        <f>IF(SER_hh_tesh!W15=0,0,SER_hh_tesh!W15/SER_summary!W$26)</f>
        <v>1.3043362185799625</v>
      </c>
      <c r="X15" s="134">
        <f>IF(SER_hh_tesh!X15=0,0,SER_hh_tesh!X15/SER_summary!X$26)</f>
        <v>1.1826500105277657</v>
      </c>
      <c r="Y15" s="134">
        <f>IF(SER_hh_tesh!Y15=0,0,SER_hh_tesh!Y15/SER_summary!Y$26)</f>
        <v>1.035596019587488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26.188252492851774</v>
      </c>
      <c r="C16" s="130">
        <f>IF(SER_hh_tesh!C16=0,0,SER_hh_tesh!C16/SER_summary!C$26)</f>
        <v>27.554311501296684</v>
      </c>
      <c r="D16" s="130">
        <f>IF(SER_hh_tesh!D16=0,0,SER_hh_tesh!D16/SER_summary!D$26)</f>
        <v>26.376117459253248</v>
      </c>
      <c r="E16" s="130">
        <f>IF(SER_hh_tesh!E16=0,0,SER_hh_tesh!E16/SER_summary!E$26)</f>
        <v>46.106511042552228</v>
      </c>
      <c r="F16" s="130">
        <f>IF(SER_hh_tesh!F16=0,0,SER_hh_tesh!F16/SER_summary!F$26)</f>
        <v>27.189859159120211</v>
      </c>
      <c r="G16" s="130">
        <f>IF(SER_hh_tesh!G16=0,0,SER_hh_tesh!G16/SER_summary!G$26)</f>
        <v>29.588860085238174</v>
      </c>
      <c r="H16" s="130">
        <f>IF(SER_hh_tesh!H16=0,0,SER_hh_tesh!H16/SER_summary!H$26)</f>
        <v>33.897670018532374</v>
      </c>
      <c r="I16" s="130">
        <f>IF(SER_hh_tesh!I16=0,0,SER_hh_tesh!I16/SER_summary!I$26)</f>
        <v>26.505643300417415</v>
      </c>
      <c r="J16" s="130">
        <f>IF(SER_hh_tesh!J16=0,0,SER_hh_tesh!J16/SER_summary!J$26)</f>
        <v>26.91336055562293</v>
      </c>
      <c r="K16" s="130">
        <f>IF(SER_hh_tesh!K16=0,0,SER_hh_tesh!K16/SER_summary!K$26)</f>
        <v>28.753596075757297</v>
      </c>
      <c r="L16" s="130">
        <f>IF(SER_hh_tesh!L16=0,0,SER_hh_tesh!L16/SER_summary!L$26)</f>
        <v>28.347822091295185</v>
      </c>
      <c r="M16" s="130">
        <f>IF(SER_hh_tesh!M16=0,0,SER_hh_tesh!M16/SER_summary!M$26)</f>
        <v>27.890096708749908</v>
      </c>
      <c r="N16" s="130">
        <f>IF(SER_hh_tesh!N16=0,0,SER_hh_tesh!N16/SER_summary!N$26)</f>
        <v>29.300397765580179</v>
      </c>
      <c r="O16" s="130">
        <f>IF(SER_hh_tesh!O16=0,0,SER_hh_tesh!O16/SER_summary!O$26)</f>
        <v>29.147612225346627</v>
      </c>
      <c r="P16" s="130">
        <f>IF(SER_hh_tesh!P16=0,0,SER_hh_tesh!P16/SER_summary!P$26)</f>
        <v>27.384268595498337</v>
      </c>
      <c r="Q16" s="130">
        <f>IF(SER_hh_tesh!Q16=0,0,SER_hh_tesh!Q16/SER_summary!Q$26)</f>
        <v>34.283392351675722</v>
      </c>
      <c r="R16" s="130">
        <f>IF(SER_hh_tesh!R16=0,0,SER_hh_tesh!R16/SER_summary!R$26)</f>
        <v>30.373488007324958</v>
      </c>
      <c r="S16" s="130">
        <f>IF(SER_hh_tesh!S16=0,0,SER_hh_tesh!S16/SER_summary!S$26)</f>
        <v>33.093669678171416</v>
      </c>
      <c r="T16" s="130">
        <f>IF(SER_hh_tesh!T16=0,0,SER_hh_tesh!T16/SER_summary!T$26)</f>
        <v>32.907656658890019</v>
      </c>
      <c r="U16" s="130">
        <f>IF(SER_hh_tesh!U16=0,0,SER_hh_tesh!U16/SER_summary!U$26)</f>
        <v>33.510330984111313</v>
      </c>
      <c r="V16" s="130">
        <f>IF(SER_hh_tesh!V16=0,0,SER_hh_tesh!V16/SER_summary!V$26)</f>
        <v>33.824355647892034</v>
      </c>
      <c r="W16" s="130">
        <f>IF(SER_hh_tesh!W16=0,0,SER_hh_tesh!W16/SER_summary!W$26)</f>
        <v>28.602412670183558</v>
      </c>
      <c r="X16" s="130">
        <f>IF(SER_hh_tesh!X16=0,0,SER_hh_tesh!X16/SER_summary!X$26)</f>
        <v>41.516566978293056</v>
      </c>
      <c r="Y16" s="130">
        <f>IF(SER_hh_tesh!Y16=0,0,SER_hh_tesh!Y16/SER_summary!Y$26)</f>
        <v>36.409980486634218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26.188252492851774</v>
      </c>
      <c r="C17" s="132">
        <f>IF(SER_hh_tesh!C17=0,0,SER_hh_tesh!C17/SER_summary!C$26)</f>
        <v>27.554311501296588</v>
      </c>
      <c r="D17" s="132">
        <f>IF(SER_hh_tesh!D17=0,0,SER_hh_tesh!D17/SER_summary!D$26)</f>
        <v>26.376117459246856</v>
      </c>
      <c r="E17" s="132">
        <f>IF(SER_hh_tesh!E17=0,0,SER_hh_tesh!E17/SER_summary!E$26)</f>
        <v>52.407089839612702</v>
      </c>
      <c r="F17" s="132">
        <f>IF(SER_hh_tesh!F17=0,0,SER_hh_tesh!F17/SER_summary!F$26)</f>
        <v>27.189859159128371</v>
      </c>
      <c r="G17" s="132">
        <f>IF(SER_hh_tesh!G17=0,0,SER_hh_tesh!G17/SER_summary!G$26)</f>
        <v>26.306074339987383</v>
      </c>
      <c r="H17" s="132">
        <f>IF(SER_hh_tesh!H17=0,0,SER_hh_tesh!H17/SER_summary!H$26)</f>
        <v>33.897670018559822</v>
      </c>
      <c r="I17" s="132">
        <f>IF(SER_hh_tesh!I17=0,0,SER_hh_tesh!I17/SER_summary!I$26)</f>
        <v>26.50564330041594</v>
      </c>
      <c r="J17" s="132">
        <f>IF(SER_hh_tesh!J17=0,0,SER_hh_tesh!J17/SER_summary!J$26)</f>
        <v>26.913360555616787</v>
      </c>
      <c r="K17" s="132">
        <f>IF(SER_hh_tesh!K17=0,0,SER_hh_tesh!K17/SER_summary!K$26)</f>
        <v>28.753596075750245</v>
      </c>
      <c r="L17" s="132">
        <f>IF(SER_hh_tesh!L17=0,0,SER_hh_tesh!L17/SER_summary!L$26)</f>
        <v>28.347822091288418</v>
      </c>
      <c r="M17" s="132">
        <f>IF(SER_hh_tesh!M17=0,0,SER_hh_tesh!M17/SER_summary!M$26)</f>
        <v>27.890096708746182</v>
      </c>
      <c r="N17" s="132">
        <f>IF(SER_hh_tesh!N17=0,0,SER_hh_tesh!N17/SER_summary!N$26)</f>
        <v>29.30039776557933</v>
      </c>
      <c r="O17" s="132">
        <f>IF(SER_hh_tesh!O17=0,0,SER_hh_tesh!O17/SER_summary!O$26)</f>
        <v>29.147612225365226</v>
      </c>
      <c r="P17" s="132">
        <f>IF(SER_hh_tesh!P17=0,0,SER_hh_tesh!P17/SER_summary!P$26)</f>
        <v>25.540426542530462</v>
      </c>
      <c r="Q17" s="132">
        <f>IF(SER_hh_tesh!Q17=0,0,SER_hh_tesh!Q17/SER_summary!Q$26)</f>
        <v>34.283392351926906</v>
      </c>
      <c r="R17" s="132">
        <f>IF(SER_hh_tesh!R17=0,0,SER_hh_tesh!R17/SER_summary!R$26)</f>
        <v>30.373488007487197</v>
      </c>
      <c r="S17" s="132">
        <f>IF(SER_hh_tesh!S17=0,0,SER_hh_tesh!S17/SER_summary!S$26)</f>
        <v>33.093669678174521</v>
      </c>
      <c r="T17" s="132">
        <f>IF(SER_hh_tesh!T17=0,0,SER_hh_tesh!T17/SER_summary!T$26)</f>
        <v>32.907656658846292</v>
      </c>
      <c r="U17" s="132">
        <f>IF(SER_hh_tesh!U17=0,0,SER_hh_tesh!U17/SER_summary!U$26)</f>
        <v>33.510330984058534</v>
      </c>
      <c r="V17" s="132">
        <f>IF(SER_hh_tesh!V17=0,0,SER_hh_tesh!V17/SER_summary!V$26)</f>
        <v>32.536205066849114</v>
      </c>
      <c r="W17" s="132">
        <f>IF(SER_hh_tesh!W17=0,0,SER_hh_tesh!W17/SER_summary!W$26)</f>
        <v>26.252167351418663</v>
      </c>
      <c r="X17" s="132">
        <f>IF(SER_hh_tesh!X17=0,0,SER_hh_tesh!X17/SER_summary!X$26)</f>
        <v>39.057758807424101</v>
      </c>
      <c r="Y17" s="132">
        <f>IF(SER_hh_tesh!Y17=0,0,SER_hh_tesh!Y17/SER_summary!Y$26)</f>
        <v>36.409980486842599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26.18825249285177</v>
      </c>
      <c r="C18" s="132">
        <f>IF(SER_hh_tesh!C18=0,0,SER_hh_tesh!C18/SER_summary!C$26)</f>
        <v>27.554311501296684</v>
      </c>
      <c r="D18" s="132">
        <f>IF(SER_hh_tesh!D18=0,0,SER_hh_tesh!D18/SER_summary!D$26)</f>
        <v>26.376117459253269</v>
      </c>
      <c r="E18" s="132">
        <f>IF(SER_hh_tesh!E18=0,0,SER_hh_tesh!E18/SER_summary!E$26)</f>
        <v>46.078911130661169</v>
      </c>
      <c r="F18" s="132">
        <f>IF(SER_hh_tesh!F18=0,0,SER_hh_tesh!F18/SER_summary!F$26)</f>
        <v>27.189859159120171</v>
      </c>
      <c r="G18" s="132">
        <f>IF(SER_hh_tesh!G18=0,0,SER_hh_tesh!G18/SER_summary!G$26)</f>
        <v>29.604478720144591</v>
      </c>
      <c r="H18" s="132">
        <f>IF(SER_hh_tesh!H18=0,0,SER_hh_tesh!H18/SER_summary!H$26)</f>
        <v>33.897670018532203</v>
      </c>
      <c r="I18" s="132">
        <f>IF(SER_hh_tesh!I18=0,0,SER_hh_tesh!I18/SER_summary!I$26)</f>
        <v>26.505643300417432</v>
      </c>
      <c r="J18" s="132">
        <f>IF(SER_hh_tesh!J18=0,0,SER_hh_tesh!J18/SER_summary!J$26)</f>
        <v>26.913360555622976</v>
      </c>
      <c r="K18" s="132">
        <f>IF(SER_hh_tesh!K18=0,0,SER_hh_tesh!K18/SER_summary!K$26)</f>
        <v>28.753596075757354</v>
      </c>
      <c r="L18" s="132">
        <f>IF(SER_hh_tesh!L18=0,0,SER_hh_tesh!L18/SER_summary!L$26)</f>
        <v>28.347822091295246</v>
      </c>
      <c r="M18" s="132">
        <f>IF(SER_hh_tesh!M18=0,0,SER_hh_tesh!M18/SER_summary!M$26)</f>
        <v>27.890096708749947</v>
      </c>
      <c r="N18" s="132">
        <f>IF(SER_hh_tesh!N18=0,0,SER_hh_tesh!N18/SER_summary!N$26)</f>
        <v>29.3003977655802</v>
      </c>
      <c r="O18" s="132">
        <f>IF(SER_hh_tesh!O18=0,0,SER_hh_tesh!O18/SER_summary!O$26)</f>
        <v>29.147612225346229</v>
      </c>
      <c r="P18" s="132">
        <f>IF(SER_hh_tesh!P18=0,0,SER_hh_tesh!P18/SER_summary!P$26)</f>
        <v>27.429498119277156</v>
      </c>
      <c r="Q18" s="132">
        <f>IF(SER_hh_tesh!Q18=0,0,SER_hh_tesh!Q18/SER_summary!Q$26)</f>
        <v>34.283392351668518</v>
      </c>
      <c r="R18" s="132">
        <f>IF(SER_hh_tesh!R18=0,0,SER_hh_tesh!R18/SER_summary!R$26)</f>
        <v>30.373488007319914</v>
      </c>
      <c r="S18" s="132">
        <f>IF(SER_hh_tesh!S18=0,0,SER_hh_tesh!S18/SER_summary!S$26)</f>
        <v>33.093669678171302</v>
      </c>
      <c r="T18" s="132">
        <f>IF(SER_hh_tesh!T18=0,0,SER_hh_tesh!T18/SER_summary!T$26)</f>
        <v>32.90765665889171</v>
      </c>
      <c r="U18" s="132">
        <f>IF(SER_hh_tesh!U18=0,0,SER_hh_tesh!U18/SER_summary!U$26)</f>
        <v>33.510330984113516</v>
      </c>
      <c r="V18" s="132">
        <f>IF(SER_hh_tesh!V18=0,0,SER_hh_tesh!V18/SER_summary!V$26)</f>
        <v>33.880782656225549</v>
      </c>
      <c r="W18" s="132">
        <f>IF(SER_hh_tesh!W18=0,0,SER_hh_tesh!W18/SER_summary!W$26)</f>
        <v>28.70862915234537</v>
      </c>
      <c r="X18" s="132">
        <f>IF(SER_hh_tesh!X18=0,0,SER_hh_tesh!X18/SER_summary!X$26)</f>
        <v>41.633366235776137</v>
      </c>
      <c r="Y18" s="132">
        <f>IF(SER_hh_tesh!Y18=0,0,SER_hh_tesh!Y18/SER_summary!Y$26)</f>
        <v>36.4099804866242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16.961876059313237</v>
      </c>
      <c r="C19" s="130">
        <f>IF(SER_hh_tesh!C19=0,0,SER_hh_tesh!C19/SER_summary!C$26)</f>
        <v>16.700039649718562</v>
      </c>
      <c r="D19" s="130">
        <f>IF(SER_hh_tesh!D19=0,0,SER_hh_tesh!D19/SER_summary!D$26)</f>
        <v>16.71867505972034</v>
      </c>
      <c r="E19" s="130">
        <f>IF(SER_hh_tesh!E19=0,0,SER_hh_tesh!E19/SER_summary!E$26)</f>
        <v>16.369958369637192</v>
      </c>
      <c r="F19" s="130">
        <f>IF(SER_hh_tesh!F19=0,0,SER_hh_tesh!F19/SER_summary!F$26)</f>
        <v>16.842921075854797</v>
      </c>
      <c r="G19" s="130">
        <f>IF(SER_hh_tesh!G19=0,0,SER_hh_tesh!G19/SER_summary!G$26)</f>
        <v>16.705380488706798</v>
      </c>
      <c r="H19" s="130">
        <f>IF(SER_hh_tesh!H19=0,0,SER_hh_tesh!H19/SER_summary!H$26)</f>
        <v>16.427587363217736</v>
      </c>
      <c r="I19" s="130">
        <f>IF(SER_hh_tesh!I19=0,0,SER_hh_tesh!I19/SER_summary!I$26)</f>
        <v>16.252105361752371</v>
      </c>
      <c r="J19" s="130">
        <f>IF(SER_hh_tesh!J19=0,0,SER_hh_tesh!J19/SER_summary!J$26)</f>
        <v>16.613184603697206</v>
      </c>
      <c r="K19" s="130">
        <f>IF(SER_hh_tesh!K19=0,0,SER_hh_tesh!K19/SER_summary!K$26)</f>
        <v>16.932446164353099</v>
      </c>
      <c r="L19" s="130">
        <f>IF(SER_hh_tesh!L19=0,0,SER_hh_tesh!L19/SER_summary!L$26)</f>
        <v>16.863218809328572</v>
      </c>
      <c r="M19" s="130">
        <f>IF(SER_hh_tesh!M19=0,0,SER_hh_tesh!M19/SER_summary!M$26)</f>
        <v>16.690105801869869</v>
      </c>
      <c r="N19" s="130">
        <f>IF(SER_hh_tesh!N19=0,0,SER_hh_tesh!N19/SER_summary!N$26)</f>
        <v>16.984113123030976</v>
      </c>
      <c r="O19" s="130">
        <f>IF(SER_hh_tesh!O19=0,0,SER_hh_tesh!O19/SER_summary!O$26)</f>
        <v>17.222583191255492</v>
      </c>
      <c r="P19" s="130">
        <f>IF(SER_hh_tesh!P19=0,0,SER_hh_tesh!P19/SER_summary!P$26)</f>
        <v>17.730865096002248</v>
      </c>
      <c r="Q19" s="130">
        <f>IF(SER_hh_tesh!Q19=0,0,SER_hh_tesh!Q19/SER_summary!Q$26)</f>
        <v>17.746581162422711</v>
      </c>
      <c r="R19" s="130">
        <f>IF(SER_hh_tesh!R19=0,0,SER_hh_tesh!R19/SER_summary!R$26)</f>
        <v>17.496125501921853</v>
      </c>
      <c r="S19" s="130">
        <f>IF(SER_hh_tesh!S19=0,0,SER_hh_tesh!S19/SER_summary!S$26)</f>
        <v>17.730066821619616</v>
      </c>
      <c r="T19" s="130">
        <f>IF(SER_hh_tesh!T19=0,0,SER_hh_tesh!T19/SER_summary!T$26)</f>
        <v>17.995682089050757</v>
      </c>
      <c r="U19" s="130">
        <f>IF(SER_hh_tesh!U19=0,0,SER_hh_tesh!U19/SER_summary!U$26)</f>
        <v>17.521208280647709</v>
      </c>
      <c r="V19" s="130">
        <f>IF(SER_hh_tesh!V19=0,0,SER_hh_tesh!V19/SER_summary!V$26)</f>
        <v>16.467418949313803</v>
      </c>
      <c r="W19" s="130">
        <f>IF(SER_hh_tesh!W19=0,0,SER_hh_tesh!W19/SER_summary!W$26)</f>
        <v>17.367279902476476</v>
      </c>
      <c r="X19" s="130">
        <f>IF(SER_hh_tesh!X19=0,0,SER_hh_tesh!X19/SER_summary!X$26)</f>
        <v>17.866108315987088</v>
      </c>
      <c r="Y19" s="130">
        <f>IF(SER_hh_tesh!Y19=0,0,SER_hh_tesh!Y19/SER_summary!Y$26)</f>
        <v>17.713624665868434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16.57734211359838</v>
      </c>
      <c r="C21" s="132">
        <f>IF(SER_hh_tesh!C21=0,0,SER_hh_tesh!C21/SER_summary!C$26)</f>
        <v>16.497927806407883</v>
      </c>
      <c r="D21" s="132">
        <f>IF(SER_hh_tesh!D21=0,0,SER_hh_tesh!D21/SER_summary!D$26)</f>
        <v>16.905369760808433</v>
      </c>
      <c r="E21" s="132">
        <f>IF(SER_hh_tesh!E21=0,0,SER_hh_tesh!E21/SER_summary!E$26)</f>
        <v>17.02953664655384</v>
      </c>
      <c r="F21" s="132">
        <f>IF(SER_hh_tesh!F21=0,0,SER_hh_tesh!F21/SER_summary!F$26)</f>
        <v>16.934564400957015</v>
      </c>
      <c r="G21" s="132">
        <f>IF(SER_hh_tesh!G21=0,0,SER_hh_tesh!G21/SER_summary!G$26)</f>
        <v>16.168230879225344</v>
      </c>
      <c r="H21" s="132">
        <f>IF(SER_hh_tesh!H21=0,0,SER_hh_tesh!H21/SER_summary!H$26)</f>
        <v>16.536341008454535</v>
      </c>
      <c r="I21" s="132">
        <f>IF(SER_hh_tesh!I21=0,0,SER_hh_tesh!I21/SER_summary!I$26)</f>
        <v>16.554360164592559</v>
      </c>
      <c r="J21" s="132">
        <f>IF(SER_hh_tesh!J21=0,0,SER_hh_tesh!J21/SER_summary!J$26)</f>
        <v>16.723001372227568</v>
      </c>
      <c r="K21" s="132">
        <f>IF(SER_hh_tesh!K21=0,0,SER_hh_tesh!K21/SER_summary!K$26)</f>
        <v>17.833785798753013</v>
      </c>
      <c r="L21" s="132">
        <f>IF(SER_hh_tesh!L21=0,0,SER_hh_tesh!L21/SER_summary!L$26)</f>
        <v>17.911230761663898</v>
      </c>
      <c r="M21" s="132">
        <f>IF(SER_hh_tesh!M21=0,0,SER_hh_tesh!M21/SER_summary!M$26)</f>
        <v>12.848106526655538</v>
      </c>
      <c r="N21" s="132">
        <f>IF(SER_hh_tesh!N21=0,0,SER_hh_tesh!N21/SER_summary!N$26)</f>
        <v>18.531396551298204</v>
      </c>
      <c r="O21" s="132">
        <f>IF(SER_hh_tesh!O21=0,0,SER_hh_tesh!O21/SER_summary!O$26)</f>
        <v>17.953707102857692</v>
      </c>
      <c r="P21" s="132">
        <f>IF(SER_hh_tesh!P21=0,0,SER_hh_tesh!P21/SER_summary!P$26)</f>
        <v>16.971508610594537</v>
      </c>
      <c r="Q21" s="132">
        <f>IF(SER_hh_tesh!Q21=0,0,SER_hh_tesh!Q21/SER_summary!Q$26)</f>
        <v>17.742459986166551</v>
      </c>
      <c r="R21" s="132">
        <f>IF(SER_hh_tesh!R21=0,0,SER_hh_tesh!R21/SER_summary!R$26)</f>
        <v>17.955380312372451</v>
      </c>
      <c r="S21" s="132">
        <f>IF(SER_hh_tesh!S21=0,0,SER_hh_tesh!S21/SER_summary!S$26)</f>
        <v>19.032958034441766</v>
      </c>
      <c r="T21" s="132">
        <f>IF(SER_hh_tesh!T21=0,0,SER_hh_tesh!T21/SER_summary!T$26)</f>
        <v>16.717806102974766</v>
      </c>
      <c r="U21" s="132">
        <f>IF(SER_hh_tesh!U21=0,0,SER_hh_tesh!U21/SER_summary!U$26)</f>
        <v>17.187416274343477</v>
      </c>
      <c r="V21" s="132">
        <f>IF(SER_hh_tesh!V21=0,0,SER_hh_tesh!V21/SER_summary!V$26)</f>
        <v>18.58957090880887</v>
      </c>
      <c r="W21" s="132">
        <f>IF(SER_hh_tesh!W21=0,0,SER_hh_tesh!W21/SER_summary!W$26)</f>
        <v>13.29363076713482</v>
      </c>
      <c r="X21" s="132">
        <f>IF(SER_hh_tesh!X21=0,0,SER_hh_tesh!X21/SER_summary!X$26)</f>
        <v>17.839538893993556</v>
      </c>
      <c r="Y21" s="132">
        <f>IF(SER_hh_tesh!Y21=0,0,SER_hh_tesh!Y21/SER_summary!Y$26)</f>
        <v>17.572014264207006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16.781774022600953</v>
      </c>
      <c r="C22" s="132">
        <f>IF(SER_hh_tesh!C22=0,0,SER_hh_tesh!C22/SER_summary!C$26)</f>
        <v>16.859583888689315</v>
      </c>
      <c r="D22" s="132">
        <f>IF(SER_hh_tesh!D22=0,0,SER_hh_tesh!D22/SER_summary!D$26)</f>
        <v>16.653198163029899</v>
      </c>
      <c r="E22" s="132">
        <f>IF(SER_hh_tesh!E22=0,0,SER_hh_tesh!E22/SER_summary!E$26)</f>
        <v>16.540372321769748</v>
      </c>
      <c r="F22" s="132">
        <f>IF(SER_hh_tesh!F22=0,0,SER_hh_tesh!F22/SER_summary!F$26)</f>
        <v>16.842184952777458</v>
      </c>
      <c r="G22" s="132">
        <f>IF(SER_hh_tesh!G22=0,0,SER_hh_tesh!G22/SER_summary!G$26)</f>
        <v>16.874919528470983</v>
      </c>
      <c r="H22" s="132">
        <f>IF(SER_hh_tesh!H22=0,0,SER_hh_tesh!H22/SER_summary!H$26)</f>
        <v>16.484713137007112</v>
      </c>
      <c r="I22" s="132">
        <f>IF(SER_hh_tesh!I22=0,0,SER_hh_tesh!I22/SER_summary!I$26)</f>
        <v>16.066948893724327</v>
      </c>
      <c r="J22" s="132">
        <f>IF(SER_hh_tesh!J22=0,0,SER_hh_tesh!J22/SER_summary!J$26)</f>
        <v>16.735973634246832</v>
      </c>
      <c r="K22" s="132">
        <f>IF(SER_hh_tesh!K22=0,0,SER_hh_tesh!K22/SER_summary!K$26)</f>
        <v>17.11634527277652</v>
      </c>
      <c r="L22" s="132">
        <f>IF(SER_hh_tesh!L22=0,0,SER_hh_tesh!L22/SER_summary!L$26)</f>
        <v>16.673148834362156</v>
      </c>
      <c r="M22" s="132">
        <f>IF(SER_hh_tesh!M22=0,0,SER_hh_tesh!M22/SER_summary!M$26)</f>
        <v>15.948708178482415</v>
      </c>
      <c r="N22" s="132">
        <f>IF(SER_hh_tesh!N22=0,0,SER_hh_tesh!N22/SER_summary!N$26)</f>
        <v>16.863992867255014</v>
      </c>
      <c r="O22" s="132">
        <f>IF(SER_hh_tesh!O22=0,0,SER_hh_tesh!O22/SER_summary!O$26)</f>
        <v>16.480313020161233</v>
      </c>
      <c r="P22" s="132">
        <f>IF(SER_hh_tesh!P22=0,0,SER_hh_tesh!P22/SER_summary!P$26)</f>
        <v>19.031305460239356</v>
      </c>
      <c r="Q22" s="132">
        <f>IF(SER_hh_tesh!Q22=0,0,SER_hh_tesh!Q22/SER_summary!Q$26)</f>
        <v>19.380712057504745</v>
      </c>
      <c r="R22" s="132">
        <f>IF(SER_hh_tesh!R22=0,0,SER_hh_tesh!R22/SER_summary!R$26)</f>
        <v>15.399685494548114</v>
      </c>
      <c r="S22" s="132">
        <f>IF(SER_hh_tesh!S22=0,0,SER_hh_tesh!S22/SER_summary!S$26)</f>
        <v>18.793409115694235</v>
      </c>
      <c r="T22" s="132">
        <f>IF(SER_hh_tesh!T22=0,0,SER_hh_tesh!T22/SER_summary!T$26)</f>
        <v>17.262499220243161</v>
      </c>
      <c r="U22" s="132">
        <f>IF(SER_hh_tesh!U22=0,0,SER_hh_tesh!U22/SER_summary!U$26)</f>
        <v>16.595355138014082</v>
      </c>
      <c r="V22" s="132">
        <f>IF(SER_hh_tesh!V22=0,0,SER_hh_tesh!V22/SER_summary!V$26)</f>
        <v>18.350942609550899</v>
      </c>
      <c r="W22" s="132">
        <f>IF(SER_hh_tesh!W22=0,0,SER_hh_tesh!W22/SER_summary!W$26)</f>
        <v>15.183286640219269</v>
      </c>
      <c r="X22" s="132">
        <f>IF(SER_hh_tesh!X22=0,0,SER_hh_tesh!X22/SER_summary!X$26)</f>
        <v>19.380267010702575</v>
      </c>
      <c r="Y22" s="132">
        <f>IF(SER_hh_tesh!Y22=0,0,SER_hh_tesh!Y22/SER_summary!Y$26)</f>
        <v>16.916664771946071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16.880428907947739</v>
      </c>
      <c r="C23" s="132">
        <f>IF(SER_hh_tesh!C23=0,0,SER_hh_tesh!C23/SER_summary!C$26)</f>
        <v>16.74676832162459</v>
      </c>
      <c r="D23" s="132">
        <f>IF(SER_hh_tesh!D23=0,0,SER_hh_tesh!D23/SER_summary!D$26)</f>
        <v>16.582225237396699</v>
      </c>
      <c r="E23" s="132">
        <f>IF(SER_hh_tesh!E23=0,0,SER_hh_tesh!E23/SER_summary!E$26)</f>
        <v>16.868789722318088</v>
      </c>
      <c r="F23" s="132">
        <f>IF(SER_hh_tesh!F23=0,0,SER_hh_tesh!F23/SER_summary!F$26)</f>
        <v>17.06349141597299</v>
      </c>
      <c r="G23" s="132">
        <f>IF(SER_hh_tesh!G23=0,0,SER_hh_tesh!G23/SER_summary!G$26)</f>
        <v>16.442390993124917</v>
      </c>
      <c r="H23" s="132">
        <f>IF(SER_hh_tesh!H23=0,0,SER_hh_tesh!H23/SER_summary!H$26)</f>
        <v>16.115653999703316</v>
      </c>
      <c r="I23" s="132">
        <f>IF(SER_hh_tesh!I23=0,0,SER_hh_tesh!I23/SER_summary!I$26)</f>
        <v>16.28126241590931</v>
      </c>
      <c r="J23" s="132">
        <f>IF(SER_hh_tesh!J23=0,0,SER_hh_tesh!J23/SER_summary!J$26)</f>
        <v>16.092734058404218</v>
      </c>
      <c r="K23" s="132">
        <f>IF(SER_hh_tesh!K23=0,0,SER_hh_tesh!K23/SER_summary!K$26)</f>
        <v>17.250546249446227</v>
      </c>
      <c r="L23" s="132">
        <f>IF(SER_hh_tesh!L23=0,0,SER_hh_tesh!L23/SER_summary!L$26)</f>
        <v>16.651602848706574</v>
      </c>
      <c r="M23" s="132">
        <f>IF(SER_hh_tesh!M23=0,0,SER_hh_tesh!M23/SER_summary!M$26)</f>
        <v>18.417306436781331</v>
      </c>
      <c r="N23" s="132">
        <f>IF(SER_hh_tesh!N23=0,0,SER_hh_tesh!N23/SER_summary!N$26)</f>
        <v>14.405514937377825</v>
      </c>
      <c r="O23" s="132">
        <f>IF(SER_hh_tesh!O23=0,0,SER_hh_tesh!O23/SER_summary!O$26)</f>
        <v>16.196815389006161</v>
      </c>
      <c r="P23" s="132">
        <f>IF(SER_hh_tesh!P23=0,0,SER_hh_tesh!P23/SER_summary!P$26)</f>
        <v>17.252532425596996</v>
      </c>
      <c r="Q23" s="132">
        <f>IF(SER_hh_tesh!Q23=0,0,SER_hh_tesh!Q23/SER_summary!Q$26)</f>
        <v>17.14066631137328</v>
      </c>
      <c r="R23" s="132">
        <f>IF(SER_hh_tesh!R23=0,0,SER_hh_tesh!R23/SER_summary!R$26)</f>
        <v>18.423254845584413</v>
      </c>
      <c r="S23" s="132">
        <f>IF(SER_hh_tesh!S23=0,0,SER_hh_tesh!S23/SER_summary!S$26)</f>
        <v>17.585144538335516</v>
      </c>
      <c r="T23" s="132">
        <f>IF(SER_hh_tesh!T23=0,0,SER_hh_tesh!T23/SER_summary!T$26)</f>
        <v>17.696837419210272</v>
      </c>
      <c r="U23" s="132">
        <f>IF(SER_hh_tesh!U23=0,0,SER_hh_tesh!U23/SER_summary!U$26)</f>
        <v>17.440581924557407</v>
      </c>
      <c r="V23" s="132">
        <f>IF(SER_hh_tesh!V23=0,0,SER_hh_tesh!V23/SER_summary!V$26)</f>
        <v>15.597234063069784</v>
      </c>
      <c r="W23" s="132">
        <f>IF(SER_hh_tesh!W23=0,0,SER_hh_tesh!W23/SER_summary!W$26)</f>
        <v>19.404346926173595</v>
      </c>
      <c r="X23" s="132">
        <f>IF(SER_hh_tesh!X23=0,0,SER_hh_tesh!X23/SER_summary!X$26)</f>
        <v>17.998032021677322</v>
      </c>
      <c r="Y23" s="132">
        <f>IF(SER_hh_tesh!Y23=0,0,SER_hh_tesh!Y23/SER_summary!Y$26)</f>
        <v>17.74676417267629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17.00563107144152</v>
      </c>
      <c r="C24" s="132">
        <f>IF(SER_hh_tesh!C24=0,0,SER_hh_tesh!C24/SER_summary!C$26)</f>
        <v>16.531813017431386</v>
      </c>
      <c r="D24" s="132">
        <f>IF(SER_hh_tesh!D24=0,0,SER_hh_tesh!D24/SER_summary!D$26)</f>
        <v>16.454922846462342</v>
      </c>
      <c r="E24" s="132">
        <f>IF(SER_hh_tesh!E24=0,0,SER_hh_tesh!E24/SER_summary!E$26)</f>
        <v>16.360336028597875</v>
      </c>
      <c r="F24" s="132">
        <f>IF(SER_hh_tesh!F24=0,0,SER_hh_tesh!F24/SER_summary!F$26)</f>
        <v>16.901689286461597</v>
      </c>
      <c r="G24" s="132">
        <f>IF(SER_hh_tesh!G24=0,0,SER_hh_tesh!G24/SER_summary!G$26)</f>
        <v>16.401302260319977</v>
      </c>
      <c r="H24" s="132">
        <f>IF(SER_hh_tesh!H24=0,0,SER_hh_tesh!H24/SER_summary!H$26)</f>
        <v>15.646209261540836</v>
      </c>
      <c r="I24" s="132">
        <f>IF(SER_hh_tesh!I24=0,0,SER_hh_tesh!I24/SER_summary!I$26)</f>
        <v>17.176825147884809</v>
      </c>
      <c r="J24" s="132">
        <f>IF(SER_hh_tesh!J24=0,0,SER_hh_tesh!J24/SER_summary!J$26)</f>
        <v>16.282779247491629</v>
      </c>
      <c r="K24" s="132">
        <f>IF(SER_hh_tesh!K24=0,0,SER_hh_tesh!K24/SER_summary!K$26)</f>
        <v>17.595640009729319</v>
      </c>
      <c r="L24" s="132">
        <f>IF(SER_hh_tesh!L24=0,0,SER_hh_tesh!L24/SER_summary!L$26)</f>
        <v>19.601338456606605</v>
      </c>
      <c r="M24" s="132">
        <f>IF(SER_hh_tesh!M24=0,0,SER_hh_tesh!M24/SER_summary!M$26)</f>
        <v>13.662060750185686</v>
      </c>
      <c r="N24" s="132">
        <f>IF(SER_hh_tesh!N24=0,0,SER_hh_tesh!N24/SER_summary!N$26)</f>
        <v>15.382167760879897</v>
      </c>
      <c r="O24" s="132">
        <f>IF(SER_hh_tesh!O24=0,0,SER_hh_tesh!O24/SER_summary!O$26)</f>
        <v>20.347047496034612</v>
      </c>
      <c r="P24" s="132">
        <f>IF(SER_hh_tesh!P24=0,0,SER_hh_tesh!P24/SER_summary!P$26)</f>
        <v>17.59012669594258</v>
      </c>
      <c r="Q24" s="132">
        <f>IF(SER_hh_tesh!Q24=0,0,SER_hh_tesh!Q24/SER_summary!Q$26)</f>
        <v>15.460181867362026</v>
      </c>
      <c r="R24" s="132">
        <f>IF(SER_hh_tesh!R24=0,0,SER_hh_tesh!R24/SER_summary!R$26)</f>
        <v>17.500874433712678</v>
      </c>
      <c r="S24" s="132">
        <f>IF(SER_hh_tesh!S24=0,0,SER_hh_tesh!S24/SER_summary!S$26)</f>
        <v>17.783629271410614</v>
      </c>
      <c r="T24" s="132">
        <f>IF(SER_hh_tesh!T24=0,0,SER_hh_tesh!T24/SER_summary!T$26)</f>
        <v>17.050256512436526</v>
      </c>
      <c r="U24" s="132">
        <f>IF(SER_hh_tesh!U24=0,0,SER_hh_tesh!U24/SER_summary!U$26)</f>
        <v>16.859210942941491</v>
      </c>
      <c r="V24" s="132">
        <f>IF(SER_hh_tesh!V24=0,0,SER_hh_tesh!V24/SER_summary!V$26)</f>
        <v>16.454876994761896</v>
      </c>
      <c r="W24" s="132">
        <f>IF(SER_hh_tesh!W24=0,0,SER_hh_tesh!W24/SER_summary!W$26)</f>
        <v>17.166714963249689</v>
      </c>
      <c r="X24" s="132">
        <f>IF(SER_hh_tesh!X24=0,0,SER_hh_tesh!X24/SER_summary!X$26)</f>
        <v>18.336124647055058</v>
      </c>
      <c r="Y24" s="132">
        <f>IF(SER_hh_tesh!Y24=0,0,SER_hh_tesh!Y24/SER_summary!Y$26)</f>
        <v>17.946012196172887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16.685067912243134</v>
      </c>
      <c r="C25" s="132">
        <f>IF(SER_hh_tesh!C25=0,0,SER_hh_tesh!C25/SER_summary!C$26)</f>
        <v>16.9433337052741</v>
      </c>
      <c r="D25" s="132">
        <f>IF(SER_hh_tesh!D25=0,0,SER_hh_tesh!D25/SER_summary!D$26)</f>
        <v>16.501639521365043</v>
      </c>
      <c r="E25" s="132">
        <f>IF(SER_hh_tesh!E25=0,0,SER_hh_tesh!E25/SER_summary!E$26)</f>
        <v>16.576567418312127</v>
      </c>
      <c r="F25" s="132">
        <f>IF(SER_hh_tesh!F25=0,0,SER_hh_tesh!F25/SER_summary!F$26)</f>
        <v>16.877134144726924</v>
      </c>
      <c r="G25" s="132">
        <f>IF(SER_hh_tesh!G25=0,0,SER_hh_tesh!G25/SER_summary!G$26)</f>
        <v>17.570044838569537</v>
      </c>
      <c r="H25" s="132">
        <f>IF(SER_hh_tesh!H25=0,0,SER_hh_tesh!H25/SER_summary!H$26)</f>
        <v>19.183619338324654</v>
      </c>
      <c r="I25" s="132">
        <f>IF(SER_hh_tesh!I25=0,0,SER_hh_tesh!I25/SER_summary!I$26)</f>
        <v>12.269501408001664</v>
      </c>
      <c r="J25" s="132">
        <f>IF(SER_hh_tesh!J25=0,0,SER_hh_tesh!J25/SER_summary!J$26)</f>
        <v>15.209133831827762</v>
      </c>
      <c r="K25" s="132">
        <f>IF(SER_hh_tesh!K25=0,0,SER_hh_tesh!K25/SER_summary!K$26)</f>
        <v>18.182981173929139</v>
      </c>
      <c r="L25" s="132">
        <f>IF(SER_hh_tesh!L25=0,0,SER_hh_tesh!L25/SER_summary!L$26)</f>
        <v>16.337466139539824</v>
      </c>
      <c r="M25" s="132">
        <f>IF(SER_hh_tesh!M25=0,0,SER_hh_tesh!M25/SER_summary!M$26)</f>
        <v>15.276657751745972</v>
      </c>
      <c r="N25" s="132">
        <f>IF(SER_hh_tesh!N25=0,0,SER_hh_tesh!N25/SER_summary!N$26)</f>
        <v>17.989071494714867</v>
      </c>
      <c r="O25" s="132">
        <f>IF(SER_hh_tesh!O25=0,0,SER_hh_tesh!O25/SER_summary!O$26)</f>
        <v>18.38454766542776</v>
      </c>
      <c r="P25" s="132">
        <f>IF(SER_hh_tesh!P25=0,0,SER_hh_tesh!P25/SER_summary!P$26)</f>
        <v>16.550952218517825</v>
      </c>
      <c r="Q25" s="132">
        <f>IF(SER_hh_tesh!Q25=0,0,SER_hh_tesh!Q25/SER_summary!Q$26)</f>
        <v>17.197510133939559</v>
      </c>
      <c r="R25" s="132">
        <f>IF(SER_hh_tesh!R25=0,0,SER_hh_tesh!R25/SER_summary!R$26)</f>
        <v>17.954034357606908</v>
      </c>
      <c r="S25" s="132">
        <f>IF(SER_hh_tesh!S25=0,0,SER_hh_tesh!S25/SER_summary!S$26)</f>
        <v>17.039997693987562</v>
      </c>
      <c r="T25" s="132">
        <f>IF(SER_hh_tesh!T25=0,0,SER_hh_tesh!T25/SER_summary!T$26)</f>
        <v>18.888674816375424</v>
      </c>
      <c r="U25" s="132">
        <f>IF(SER_hh_tesh!U25=0,0,SER_hh_tesh!U25/SER_summary!U$26)</f>
        <v>17.528160296787981</v>
      </c>
      <c r="V25" s="132">
        <f>IF(SER_hh_tesh!V25=0,0,SER_hh_tesh!V25/SER_summary!V$26)</f>
        <v>17.629299814251141</v>
      </c>
      <c r="W25" s="132">
        <f>IF(SER_hh_tesh!W25=0,0,SER_hh_tesh!W25/SER_summary!W$26)</f>
        <v>16.471383222890477</v>
      </c>
      <c r="X25" s="132">
        <f>IF(SER_hh_tesh!X25=0,0,SER_hh_tesh!X25/SER_summary!X$26)</f>
        <v>17.481851853476684</v>
      </c>
      <c r="Y25" s="132">
        <f>IF(SER_hh_tesh!Y25=0,0,SER_hh_tesh!Y25/SER_summary!Y$26)</f>
        <v>17.191252796619793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17.108183108266552</v>
      </c>
      <c r="C26" s="65">
        <f>IF(SER_hh_tesh!C26=0,0,SER_hh_tesh!C26/SER_summary!C$26)</f>
        <v>16.608469913323802</v>
      </c>
      <c r="D26" s="65">
        <f>IF(SER_hh_tesh!D26=0,0,SER_hh_tesh!D26/SER_summary!D$26)</f>
        <v>16.812508709769155</v>
      </c>
      <c r="E26" s="65">
        <f>IF(SER_hh_tesh!E26=0,0,SER_hh_tesh!E26/SER_summary!E$26)</f>
        <v>16.076351717200573</v>
      </c>
      <c r="F26" s="65">
        <f>IF(SER_hh_tesh!F26=0,0,SER_hh_tesh!F26/SER_summary!F$26)</f>
        <v>16.760490575862505</v>
      </c>
      <c r="G26" s="65">
        <f>IF(SER_hh_tesh!G26=0,0,SER_hh_tesh!G26/SER_summary!G$26)</f>
        <v>16.613514610366661</v>
      </c>
      <c r="H26" s="65">
        <f>IF(SER_hh_tesh!H26=0,0,SER_hh_tesh!H26/SER_summary!H$26)</f>
        <v>16.155306289860668</v>
      </c>
      <c r="I26" s="65">
        <f>IF(SER_hh_tesh!I26=0,0,SER_hh_tesh!I26/SER_summary!I$26)</f>
        <v>16.554350071540004</v>
      </c>
      <c r="J26" s="65">
        <f>IF(SER_hh_tesh!J26=0,0,SER_hh_tesh!J26/SER_summary!J$26)</f>
        <v>16.771694773373547</v>
      </c>
      <c r="K26" s="65">
        <f>IF(SER_hh_tesh!K26=0,0,SER_hh_tesh!K26/SER_summary!K$26)</f>
        <v>16.601005699413864</v>
      </c>
      <c r="L26" s="65">
        <f>IF(SER_hh_tesh!L26=0,0,SER_hh_tesh!L26/SER_summary!L$26)</f>
        <v>16.838873928331608</v>
      </c>
      <c r="M26" s="65">
        <f>IF(SER_hh_tesh!M26=0,0,SER_hh_tesh!M26/SER_summary!M$26)</f>
        <v>16.582653723723286</v>
      </c>
      <c r="N26" s="65">
        <f>IF(SER_hh_tesh!N26=0,0,SER_hh_tesh!N26/SER_summary!N$26)</f>
        <v>17.409121175064517</v>
      </c>
      <c r="O26" s="65">
        <f>IF(SER_hh_tesh!O26=0,0,SER_hh_tesh!O26/SER_summary!O$26)</f>
        <v>17.313699537318985</v>
      </c>
      <c r="P26" s="65">
        <f>IF(SER_hh_tesh!P26=0,0,SER_hh_tesh!P26/SER_summary!P$26)</f>
        <v>17.445772189626005</v>
      </c>
      <c r="Q26" s="65">
        <f>IF(SER_hh_tesh!Q26=0,0,SER_hh_tesh!Q26/SER_summary!Q$26)</f>
        <v>17.352090845800124</v>
      </c>
      <c r="R26" s="65">
        <f>IF(SER_hh_tesh!R26=0,0,SER_hh_tesh!R26/SER_summary!R$26)</f>
        <v>17.435913755470136</v>
      </c>
      <c r="S26" s="65">
        <f>IF(SER_hh_tesh!S26=0,0,SER_hh_tesh!S26/SER_summary!S$26)</f>
        <v>17.332482133349721</v>
      </c>
      <c r="T26" s="65">
        <f>IF(SER_hh_tesh!T26=0,0,SER_hh_tesh!T26/SER_summary!T$26)</f>
        <v>17.953368129555159</v>
      </c>
      <c r="U26" s="65">
        <f>IF(SER_hh_tesh!U26=0,0,SER_hh_tesh!U26/SER_summary!U$26)</f>
        <v>17.49607657218602</v>
      </c>
      <c r="V26" s="65">
        <f>IF(SER_hh_tesh!V26=0,0,SER_hh_tesh!V26/SER_summary!V$26)</f>
        <v>15.979957745538062</v>
      </c>
      <c r="W26" s="65">
        <f>IF(SER_hh_tesh!W26=0,0,SER_hh_tesh!W26/SER_summary!W$26)</f>
        <v>17.105604839879678</v>
      </c>
      <c r="X26" s="65">
        <f>IF(SER_hh_tesh!X26=0,0,SER_hh_tesh!X26/SER_summary!X$26)</f>
        <v>17.367622305535338</v>
      </c>
      <c r="Y26" s="65">
        <f>IF(SER_hh_tesh!Y26=0,0,SER_hh_tesh!Y26/SER_summary!Y$26)</f>
        <v>17.645774460746367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2.2979572921963367E-2</v>
      </c>
      <c r="H27" s="145">
        <f>IF(SER_hh_tesh!H27=0,0,SER_hh_tesh!H27/SER_summary!H$26)</f>
        <v>2.3251910825879435E-2</v>
      </c>
      <c r="I27" s="145">
        <f>IF(SER_hh_tesh!I27=0,0,SER_hh_tesh!I27/SER_summary!I$26)</f>
        <v>2.5841737975689665E-2</v>
      </c>
      <c r="J27" s="145">
        <f>IF(SER_hh_tesh!J27=0,0,SER_hh_tesh!J27/SER_summary!J$26)</f>
        <v>3.0804204842673884E-2</v>
      </c>
      <c r="K27" s="145">
        <f>IF(SER_hh_tesh!K27=0,0,SER_hh_tesh!K27/SER_summary!K$26)</f>
        <v>3.5606985579758638E-2</v>
      </c>
      <c r="L27" s="145">
        <f>IF(SER_hh_tesh!L27=0,0,SER_hh_tesh!L27/SER_summary!L$26)</f>
        <v>4.0712502668060174E-2</v>
      </c>
      <c r="M27" s="145">
        <f>IF(SER_hh_tesh!M27=0,0,SER_hh_tesh!M27/SER_summary!M$26)</f>
        <v>6.5062876967648786E-2</v>
      </c>
      <c r="N27" s="145">
        <f>IF(SER_hh_tesh!N27=0,0,SER_hh_tesh!N27/SER_summary!N$26)</f>
        <v>0.10404747173823788</v>
      </c>
      <c r="O27" s="145">
        <f>IF(SER_hh_tesh!O27=0,0,SER_hh_tesh!O27/SER_summary!O$26)</f>
        <v>0.11877064823299464</v>
      </c>
      <c r="P27" s="145">
        <f>IF(SER_hh_tesh!P27=0,0,SER_hh_tesh!P27/SER_summary!P$26)</f>
        <v>0.12701094210017499</v>
      </c>
      <c r="Q27" s="145">
        <f>IF(SER_hh_tesh!Q27=0,0,SER_hh_tesh!Q27/SER_summary!Q$26)</f>
        <v>0.13529952618716498</v>
      </c>
      <c r="R27" s="145">
        <f>IF(SER_hh_tesh!R27=0,0,SER_hh_tesh!R27/SER_summary!R$26)</f>
        <v>0.14028967562957889</v>
      </c>
      <c r="S27" s="145">
        <f>IF(SER_hh_tesh!S27=0,0,SER_hh_tesh!S27/SER_summary!S$26)</f>
        <v>0.14368600541567603</v>
      </c>
      <c r="T27" s="145">
        <f>IF(SER_hh_tesh!T27=0,0,SER_hh_tesh!T27/SER_summary!T$26)</f>
        <v>0.14601217191107707</v>
      </c>
      <c r="U27" s="145">
        <f>IF(SER_hh_tesh!U27=0,0,SER_hh_tesh!U27/SER_summary!U$26)</f>
        <v>0.14912089704981654</v>
      </c>
      <c r="V27" s="145">
        <f>IF(SER_hh_tesh!V27=0,0,SER_hh_tesh!V27/SER_summary!V$26)</f>
        <v>0.14985233123815644</v>
      </c>
      <c r="W27" s="145">
        <f>IF(SER_hh_tesh!W27=0,0,SER_hh_tesh!W27/SER_summary!W$26)</f>
        <v>0.14808549379057193</v>
      </c>
      <c r="X27" s="145">
        <f>IF(SER_hh_tesh!X27=0,0,SER_hh_tesh!X27/SER_summary!X$26)</f>
        <v>0.14353458860232751</v>
      </c>
      <c r="Y27" s="145">
        <f>IF(SER_hh_tesh!Y27=0,0,SER_hh_tesh!Y27/SER_summary!Y$26)</f>
        <v>0.14245449145696129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13.138958421461771</v>
      </c>
      <c r="H28" s="146">
        <f>IF(SER_hh_tesh!H28=0,0,SER_hh_tesh!H28/SER_summary!H$26)</f>
        <v>13.106817735330734</v>
      </c>
      <c r="I28" s="146">
        <f>IF(SER_hh_tesh!I28=0,0,SER_hh_tesh!I28/SER_summary!I$26)</f>
        <v>12.2841581399733</v>
      </c>
      <c r="J28" s="146">
        <f>IF(SER_hh_tesh!J28=0,0,SER_hh_tesh!J28/SER_summary!J$26)</f>
        <v>12.882447177930807</v>
      </c>
      <c r="K28" s="146">
        <f>IF(SER_hh_tesh!K28=0,0,SER_hh_tesh!K28/SER_summary!K$26)</f>
        <v>13.475040857779655</v>
      </c>
      <c r="L28" s="146">
        <f>IF(SER_hh_tesh!L28=0,0,SER_hh_tesh!L28/SER_summary!L$26)</f>
        <v>9.3240412680624534</v>
      </c>
      <c r="M28" s="146">
        <f>IF(SER_hh_tesh!M28=0,0,SER_hh_tesh!M28/SER_summary!M$26)</f>
        <v>13.402946474366409</v>
      </c>
      <c r="N28" s="146">
        <f>IF(SER_hh_tesh!N28=0,0,SER_hh_tesh!N28/SER_summary!N$26)</f>
        <v>12.648118350364323</v>
      </c>
      <c r="O28" s="146">
        <f>IF(SER_hh_tesh!O28=0,0,SER_hh_tesh!O28/SER_summary!O$26)</f>
        <v>12.624213015939194</v>
      </c>
      <c r="P28" s="146">
        <f>IF(SER_hh_tesh!P28=0,0,SER_hh_tesh!P28/SER_summary!P$26)</f>
        <v>14.338300934798299</v>
      </c>
      <c r="Q28" s="146">
        <f>IF(SER_hh_tesh!Q28=0,0,SER_hh_tesh!Q28/SER_summary!Q$26)</f>
        <v>13.826638957505685</v>
      </c>
      <c r="R28" s="146">
        <f>IF(SER_hh_tesh!R28=0,0,SER_hh_tesh!R28/SER_summary!R$26)</f>
        <v>13.85709764514805</v>
      </c>
      <c r="S28" s="146">
        <f>IF(SER_hh_tesh!S28=0,0,SER_hh_tesh!S28/SER_summary!S$26)</f>
        <v>13.583947835539607</v>
      </c>
      <c r="T28" s="146">
        <f>IF(SER_hh_tesh!T28=0,0,SER_hh_tesh!T28/SER_summary!T$26)</f>
        <v>13.819670828704728</v>
      </c>
      <c r="U28" s="146">
        <f>IF(SER_hh_tesh!U28=0,0,SER_hh_tesh!U28/SER_summary!U$26)</f>
        <v>13.810917140977782</v>
      </c>
      <c r="V28" s="146">
        <f>IF(SER_hh_tesh!V28=0,0,SER_hh_tesh!V28/SER_summary!V$26)</f>
        <v>12.914483115988352</v>
      </c>
      <c r="W28" s="146">
        <f>IF(SER_hh_tesh!W28=0,0,SER_hh_tesh!W28/SER_summary!W$26)</f>
        <v>13.55094831727631</v>
      </c>
      <c r="X28" s="146">
        <f>IF(SER_hh_tesh!X28=0,0,SER_hh_tesh!X28/SER_summary!X$26)</f>
        <v>16.362853587235797</v>
      </c>
      <c r="Y28" s="146">
        <f>IF(SER_hh_tesh!Y28=0,0,SER_hh_tesh!Y28/SER_summary!Y$26)</f>
        <v>16.496146301641055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15.57728238847618</v>
      </c>
      <c r="C29" s="130">
        <f>IF(SER_hh_tesh!C29=0,0,SER_hh_tesh!C29/SER_summary!C$26)</f>
        <v>15.659006955231552</v>
      </c>
      <c r="D29" s="130">
        <f>IF(SER_hh_tesh!D29=0,0,SER_hh_tesh!D29/SER_summary!D$26)</f>
        <v>15.71107837499598</v>
      </c>
      <c r="E29" s="130">
        <f>IF(SER_hh_tesh!E29=0,0,SER_hh_tesh!E29/SER_summary!E$26)</f>
        <v>15.487168600576174</v>
      </c>
      <c r="F29" s="130">
        <f>IF(SER_hh_tesh!F29=0,0,SER_hh_tesh!F29/SER_summary!F$26)</f>
        <v>15.76774956529208</v>
      </c>
      <c r="G29" s="130">
        <f>IF(SER_hh_tesh!G29=0,0,SER_hh_tesh!G29/SER_summary!G$26)</f>
        <v>15.838881954732615</v>
      </c>
      <c r="H29" s="130">
        <f>IF(SER_hh_tesh!H29=0,0,SER_hh_tesh!H29/SER_summary!H$26)</f>
        <v>15.79941832238354</v>
      </c>
      <c r="I29" s="130">
        <f>IF(SER_hh_tesh!I29=0,0,SER_hh_tesh!I29/SER_summary!I$26)</f>
        <v>15.990157931024337</v>
      </c>
      <c r="J29" s="130">
        <f>IF(SER_hh_tesh!J29=0,0,SER_hh_tesh!J29/SER_summary!J$26)</f>
        <v>16.214841968758442</v>
      </c>
      <c r="K29" s="130">
        <f>IF(SER_hh_tesh!K29=0,0,SER_hh_tesh!K29/SER_summary!K$26)</f>
        <v>16.753157119657835</v>
      </c>
      <c r="L29" s="130">
        <f>IF(SER_hh_tesh!L29=0,0,SER_hh_tesh!L29/SER_summary!L$26)</f>
        <v>17.021208891530492</v>
      </c>
      <c r="M29" s="130">
        <f>IF(SER_hh_tesh!M29=0,0,SER_hh_tesh!M29/SER_summary!M$26)</f>
        <v>16.128145175237638</v>
      </c>
      <c r="N29" s="130">
        <f>IF(SER_hh_tesh!N29=0,0,SER_hh_tesh!N29/SER_summary!N$26)</f>
        <v>17.31552095298105</v>
      </c>
      <c r="O29" s="130">
        <f>IF(SER_hh_tesh!O29=0,0,SER_hh_tesh!O29/SER_summary!O$26)</f>
        <v>17.413441266578037</v>
      </c>
      <c r="P29" s="130">
        <f>IF(SER_hh_tesh!P29=0,0,SER_hh_tesh!P29/SER_summary!P$26)</f>
        <v>17.394345136089225</v>
      </c>
      <c r="Q29" s="130">
        <f>IF(SER_hh_tesh!Q29=0,0,SER_hh_tesh!Q29/SER_summary!Q$26)</f>
        <v>17.536347310853685</v>
      </c>
      <c r="R29" s="130">
        <f>IF(SER_hh_tesh!R29=0,0,SER_hh_tesh!R29/SER_summary!R$26)</f>
        <v>17.866424462952558</v>
      </c>
      <c r="S29" s="130">
        <f>IF(SER_hh_tesh!S29=0,0,SER_hh_tesh!S29/SER_summary!S$26)</f>
        <v>17.760255282511139</v>
      </c>
      <c r="T29" s="130">
        <f>IF(SER_hh_tesh!T29=0,0,SER_hh_tesh!T29/SER_summary!T$26)</f>
        <v>18.150349843899697</v>
      </c>
      <c r="U29" s="130">
        <f>IF(SER_hh_tesh!U29=0,0,SER_hh_tesh!U29/SER_summary!U$26)</f>
        <v>17.977976327416481</v>
      </c>
      <c r="V29" s="130">
        <f>IF(SER_hh_tesh!V29=0,0,SER_hh_tesh!V29/SER_summary!V$26)</f>
        <v>16.456938324486636</v>
      </c>
      <c r="W29" s="130">
        <f>IF(SER_hh_tesh!W29=0,0,SER_hh_tesh!W29/SER_summary!W$26)</f>
        <v>17.060336881353066</v>
      </c>
      <c r="X29" s="130">
        <f>IF(SER_hh_tesh!X29=0,0,SER_hh_tesh!X29/SER_summary!X$26)</f>
        <v>17.653197794737565</v>
      </c>
      <c r="Y29" s="130">
        <f>IF(SER_hh_tesh!Y29=0,0,SER_hh_tesh!Y29/SER_summary!Y$26)</f>
        <v>17.974522782452183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20.768206253733087</v>
      </c>
      <c r="C30" s="132">
        <f>IF(SER_hh_tesh!C30=0,0,SER_hh_tesh!C30/SER_summary!C$26)</f>
        <v>7.1020656013125221</v>
      </c>
      <c r="D30" s="132">
        <f>IF(SER_hh_tesh!D30=0,0,SER_hh_tesh!D30/SER_summary!D$26)</f>
        <v>17.353185031660658</v>
      </c>
      <c r="E30" s="132">
        <f>IF(SER_hh_tesh!E30=0,0,SER_hh_tesh!E30/SER_summary!E$26)</f>
        <v>17.156418383656895</v>
      </c>
      <c r="F30" s="132">
        <f>IF(SER_hh_tesh!F30=0,0,SER_hh_tesh!F30/SER_summary!F$26)</f>
        <v>18.852889070004217</v>
      </c>
      <c r="G30" s="132">
        <f>IF(SER_hh_tesh!G30=0,0,SER_hh_tesh!G30/SER_summary!G$26)</f>
        <v>15.556868071326505</v>
      </c>
      <c r="H30" s="132">
        <f>IF(SER_hh_tesh!H30=0,0,SER_hh_tesh!H30/SER_summary!H$26)</f>
        <v>13.858055172501388</v>
      </c>
      <c r="I30" s="132">
        <f>IF(SER_hh_tesh!I30=0,0,SER_hh_tesh!I30/SER_summary!I$26)</f>
        <v>15.560770053784736</v>
      </c>
      <c r="J30" s="132">
        <f>IF(SER_hh_tesh!J30=0,0,SER_hh_tesh!J30/SER_summary!J$26)</f>
        <v>17.172408249672909</v>
      </c>
      <c r="K30" s="132">
        <f>IF(SER_hh_tesh!K30=0,0,SER_hh_tesh!K30/SER_summary!K$26)</f>
        <v>16.964632728068207</v>
      </c>
      <c r="L30" s="132">
        <f>IF(SER_hh_tesh!L30=0,0,SER_hh_tesh!L30/SER_summary!L$26)</f>
        <v>19.123153775598446</v>
      </c>
      <c r="M30" s="132">
        <f>IF(SER_hh_tesh!M30=0,0,SER_hh_tesh!M30/SER_summary!M$26)</f>
        <v>13.739196385769727</v>
      </c>
      <c r="N30" s="132">
        <f>IF(SER_hh_tesh!N30=0,0,SER_hh_tesh!N30/SER_summary!N$26)</f>
        <v>18.364607509724195</v>
      </c>
      <c r="O30" s="132">
        <f>IF(SER_hh_tesh!O30=0,0,SER_hh_tesh!O30/SER_summary!O$26)</f>
        <v>16.486950495343734</v>
      </c>
      <c r="P30" s="132">
        <f>IF(SER_hh_tesh!P30=0,0,SER_hh_tesh!P30/SER_summary!P$26)</f>
        <v>15.799230012458406</v>
      </c>
      <c r="Q30" s="132">
        <f>IF(SER_hh_tesh!Q30=0,0,SER_hh_tesh!Q30/SER_summary!Q$26)</f>
        <v>18.588664135947152</v>
      </c>
      <c r="R30" s="132">
        <f>IF(SER_hh_tesh!R30=0,0,SER_hh_tesh!R30/SER_summary!R$26)</f>
        <v>17.20755510657612</v>
      </c>
      <c r="S30" s="132">
        <f>IF(SER_hh_tesh!S30=0,0,SER_hh_tesh!S30/SER_summary!S$26)</f>
        <v>18.456506608357088</v>
      </c>
      <c r="T30" s="132">
        <f>IF(SER_hh_tesh!T30=0,0,SER_hh_tesh!T30/SER_summary!T$26)</f>
        <v>17.854805801870686</v>
      </c>
      <c r="U30" s="132">
        <f>IF(SER_hh_tesh!U30=0,0,SER_hh_tesh!U30/SER_summary!U$26)</f>
        <v>19.509726743776053</v>
      </c>
      <c r="V30" s="132">
        <f>IF(SER_hh_tesh!V30=0,0,SER_hh_tesh!V30/SER_summary!V$26)</f>
        <v>17.908001919552536</v>
      </c>
      <c r="W30" s="132">
        <f>IF(SER_hh_tesh!W30=0,0,SER_hh_tesh!W30/SER_summary!W$26)</f>
        <v>13.437176046375759</v>
      </c>
      <c r="X30" s="132">
        <f>IF(SER_hh_tesh!X30=0,0,SER_hh_tesh!X30/SER_summary!X$26)</f>
        <v>16.694603862113141</v>
      </c>
      <c r="Y30" s="132">
        <f>IF(SER_hh_tesh!Y30=0,0,SER_hh_tesh!Y30/SER_summary!Y$26)</f>
        <v>18.359161295057024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15.621798422384519</v>
      </c>
      <c r="C31" s="132">
        <f>IF(SER_hh_tesh!C31=0,0,SER_hh_tesh!C31/SER_summary!C$26)</f>
        <v>15.649312294838788</v>
      </c>
      <c r="D31" s="132">
        <f>IF(SER_hh_tesh!D31=0,0,SER_hh_tesh!D31/SER_summary!D$26)</f>
        <v>15.605442851475345</v>
      </c>
      <c r="E31" s="132">
        <f>IF(SER_hh_tesh!E31=0,0,SER_hh_tesh!E31/SER_summary!E$26)</f>
        <v>16.242652783172311</v>
      </c>
      <c r="F31" s="132">
        <f>IF(SER_hh_tesh!F31=0,0,SER_hh_tesh!F31/SER_summary!F$26)</f>
        <v>17.605174461214624</v>
      </c>
      <c r="G31" s="132">
        <f>IF(SER_hh_tesh!G31=0,0,SER_hh_tesh!G31/SER_summary!G$26)</f>
        <v>13.673243940041509</v>
      </c>
      <c r="H31" s="132">
        <f>IF(SER_hh_tesh!H31=0,0,SER_hh_tesh!H31/SER_summary!H$26)</f>
        <v>14.911494413480085</v>
      </c>
      <c r="I31" s="132">
        <f>IF(SER_hh_tesh!I31=0,0,SER_hh_tesh!I31/SER_summary!I$26)</f>
        <v>15.61044779802916</v>
      </c>
      <c r="J31" s="132">
        <f>IF(SER_hh_tesh!J31=0,0,SER_hh_tesh!J31/SER_summary!J$26)</f>
        <v>14.575695782262125</v>
      </c>
      <c r="K31" s="132">
        <f>IF(SER_hh_tesh!K31=0,0,SER_hh_tesh!K31/SER_summary!K$26)</f>
        <v>18.293209351345542</v>
      </c>
      <c r="L31" s="132">
        <f>IF(SER_hh_tesh!L31=0,0,SER_hh_tesh!L31/SER_summary!L$26)</f>
        <v>16.980840536790534</v>
      </c>
      <c r="M31" s="132">
        <f>IF(SER_hh_tesh!M31=0,0,SER_hh_tesh!M31/SER_summary!M$26)</f>
        <v>16.971330814454902</v>
      </c>
      <c r="N31" s="132">
        <f>IF(SER_hh_tesh!N31=0,0,SER_hh_tesh!N31/SER_summary!N$26)</f>
        <v>16.033332562177876</v>
      </c>
      <c r="O31" s="132">
        <f>IF(SER_hh_tesh!O31=0,0,SER_hh_tesh!O31/SER_summary!O$26)</f>
        <v>16.948786661968423</v>
      </c>
      <c r="P31" s="132">
        <f>IF(SER_hh_tesh!P31=0,0,SER_hh_tesh!P31/SER_summary!P$26)</f>
        <v>17.820684484612375</v>
      </c>
      <c r="Q31" s="132">
        <f>IF(SER_hh_tesh!Q31=0,0,SER_hh_tesh!Q31/SER_summary!Q$26)</f>
        <v>18.24430804315493</v>
      </c>
      <c r="R31" s="132">
        <f>IF(SER_hh_tesh!R31=0,0,SER_hh_tesh!R31/SER_summary!R$26)</f>
        <v>17.454221786603224</v>
      </c>
      <c r="S31" s="132">
        <f>IF(SER_hh_tesh!S31=0,0,SER_hh_tesh!S31/SER_summary!S$26)</f>
        <v>17.835596228880974</v>
      </c>
      <c r="T31" s="132">
        <f>IF(SER_hh_tesh!T31=0,0,SER_hh_tesh!T31/SER_summary!T$26)</f>
        <v>18.195375748625022</v>
      </c>
      <c r="U31" s="132">
        <f>IF(SER_hh_tesh!U31=0,0,SER_hh_tesh!U31/SER_summary!U$26)</f>
        <v>17.359295156792502</v>
      </c>
      <c r="V31" s="132">
        <f>IF(SER_hh_tesh!V31=0,0,SER_hh_tesh!V31/SER_summary!V$26)</f>
        <v>15.429716250207797</v>
      </c>
      <c r="W31" s="132">
        <f>IF(SER_hh_tesh!W31=0,0,SER_hh_tesh!W31/SER_summary!W$26)</f>
        <v>21.729251035815707</v>
      </c>
      <c r="X31" s="132">
        <f>IF(SER_hh_tesh!X31=0,0,SER_hh_tesh!X31/SER_summary!X$26)</f>
        <v>18.27109954041671</v>
      </c>
      <c r="Y31" s="132">
        <f>IF(SER_hh_tesh!Y31=0,0,SER_hh_tesh!Y31/SER_summary!Y$26)</f>
        <v>17.426677982012638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14.432933611690475</v>
      </c>
      <c r="C33" s="68">
        <f>IF(SER_hh_tesh!C33=0,0,SER_hh_tesh!C33/SER_summary!C$26)</f>
        <v>17.567924000181009</v>
      </c>
      <c r="D33" s="68">
        <f>IF(SER_hh_tesh!D33=0,0,SER_hh_tesh!D33/SER_summary!D$26)</f>
        <v>15.19887818040614</v>
      </c>
      <c r="E33" s="68">
        <f>IF(SER_hh_tesh!E33=0,0,SER_hh_tesh!E33/SER_summary!E$26)</f>
        <v>14.189669169250219</v>
      </c>
      <c r="F33" s="68">
        <f>IF(SER_hh_tesh!F33=0,0,SER_hh_tesh!F33/SER_summary!F$26)</f>
        <v>13.286321113894273</v>
      </c>
      <c r="G33" s="68">
        <f>IF(SER_hh_tesh!G33=0,0,SER_hh_tesh!G33/SER_summary!G$26)</f>
        <v>16.94773113656445</v>
      </c>
      <c r="H33" s="68">
        <f>IF(SER_hh_tesh!H33=0,0,SER_hh_tesh!H33/SER_summary!H$26)</f>
        <v>16.704444550918481</v>
      </c>
      <c r="I33" s="68">
        <f>IF(SER_hh_tesh!I33=0,0,SER_hh_tesh!I33/SER_summary!I$26)</f>
        <v>16.239101384046531</v>
      </c>
      <c r="J33" s="68">
        <f>IF(SER_hh_tesh!J33=0,0,SER_hh_tesh!J33/SER_summary!J$26)</f>
        <v>16.511041783375205</v>
      </c>
      <c r="K33" s="68">
        <f>IF(SER_hh_tesh!K33=0,0,SER_hh_tesh!K33/SER_summary!K$26)</f>
        <v>16.076281323714522</v>
      </c>
      <c r="L33" s="68">
        <f>IF(SER_hh_tesh!L33=0,0,SER_hh_tesh!L33/SER_summary!L$26)</f>
        <v>16.45656493329049</v>
      </c>
      <c r="M33" s="68">
        <f>IF(SER_hh_tesh!M33=0,0,SER_hh_tesh!M33/SER_summary!M$26)</f>
        <v>16.330870047273446</v>
      </c>
      <c r="N33" s="68">
        <f>IF(SER_hh_tesh!N33=0,0,SER_hh_tesh!N33/SER_summary!N$26)</f>
        <v>17.584123774340096</v>
      </c>
      <c r="O33" s="68">
        <f>IF(SER_hh_tesh!O33=0,0,SER_hh_tesh!O33/SER_summary!O$26)</f>
        <v>17.749549940985567</v>
      </c>
      <c r="P33" s="68">
        <f>IF(SER_hh_tesh!P33=0,0,SER_hh_tesh!P33/SER_summary!P$26)</f>
        <v>17.48475558576774</v>
      </c>
      <c r="Q33" s="68">
        <f>IF(SER_hh_tesh!Q33=0,0,SER_hh_tesh!Q33/SER_summary!Q$26)</f>
        <v>17.054659520195024</v>
      </c>
      <c r="R33" s="68">
        <f>IF(SER_hh_tesh!R33=0,0,SER_hh_tesh!R33/SER_summary!R$26)</f>
        <v>18.153920481569212</v>
      </c>
      <c r="S33" s="68">
        <f>IF(SER_hh_tesh!S33=0,0,SER_hh_tesh!S33/SER_summary!S$26)</f>
        <v>17.606932586425689</v>
      </c>
      <c r="T33" s="68">
        <f>IF(SER_hh_tesh!T33=0,0,SER_hh_tesh!T33/SER_summary!T$26)</f>
        <v>18.180501740417107</v>
      </c>
      <c r="U33" s="68">
        <f>IF(SER_hh_tesh!U33=0,0,SER_hh_tesh!U33/SER_summary!U$26)</f>
        <v>18.010056549170553</v>
      </c>
      <c r="V33" s="68">
        <f>IF(SER_hh_tesh!V33=0,0,SER_hh_tesh!V33/SER_summary!V$26)</f>
        <v>16.72910067634853</v>
      </c>
      <c r="W33" s="68">
        <f>IF(SER_hh_tesh!W33=0,0,SER_hh_tesh!W33/SER_summary!W$26)</f>
        <v>15.446786062966041</v>
      </c>
      <c r="X33" s="68">
        <f>IF(SER_hh_tesh!X33=0,0,SER_hh_tesh!X33/SER_summary!X$26)</f>
        <v>17.494168833151367</v>
      </c>
      <c r="Y33" s="68">
        <f>IF(SER_hh_tesh!Y33=0,0,SER_hh_tesh!Y33/SER_summary!Y$26)</f>
        <v>18.152359162130871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33.256264843552181</v>
      </c>
      <c r="C3" s="125">
        <f>IF(SER_hh_emih!C3=0,0,SER_hh_emih!C3/SER_summary!C$26)</f>
        <v>34.01177893187652</v>
      </c>
      <c r="D3" s="125">
        <f>IF(SER_hh_emih!D3=0,0,SER_hh_emih!D3/SER_summary!D$26)</f>
        <v>30.014833892128422</v>
      </c>
      <c r="E3" s="125">
        <f>IF(SER_hh_emih!E3=0,0,SER_hh_emih!E3/SER_summary!E$26)</f>
        <v>33.66571762853242</v>
      </c>
      <c r="F3" s="125">
        <f>IF(SER_hh_emih!F3=0,0,SER_hh_emih!F3/SER_summary!F$26)</f>
        <v>33.731503945455117</v>
      </c>
      <c r="G3" s="125">
        <f>IF(SER_hh_emih!G3=0,0,SER_hh_emih!G3/SER_summary!G$26)</f>
        <v>31.493219587342324</v>
      </c>
      <c r="H3" s="125">
        <f>IF(SER_hh_emih!H3=0,0,SER_hh_emih!H3/SER_summary!H$26)</f>
        <v>28.095418197544838</v>
      </c>
      <c r="I3" s="125">
        <f>IF(SER_hh_emih!I3=0,0,SER_hh_emih!I3/SER_summary!I$26)</f>
        <v>26.818716567552336</v>
      </c>
      <c r="J3" s="125">
        <f>IF(SER_hh_emih!J3=0,0,SER_hh_emih!J3/SER_summary!J$26)</f>
        <v>27.430311731105732</v>
      </c>
      <c r="K3" s="125">
        <f>IF(SER_hh_emih!K3=0,0,SER_hh_emih!K3/SER_summary!K$26)</f>
        <v>29.779635759141083</v>
      </c>
      <c r="L3" s="125">
        <f>IF(SER_hh_emih!L3=0,0,SER_hh_emih!L3/SER_summary!L$26)</f>
        <v>30.270137807430082</v>
      </c>
      <c r="M3" s="125">
        <f>IF(SER_hh_emih!M3=0,0,SER_hh_emih!M3/SER_summary!M$26)</f>
        <v>22.865471341683083</v>
      </c>
      <c r="N3" s="125">
        <f>IF(SER_hh_emih!N3=0,0,SER_hh_emih!N3/SER_summary!N$26)</f>
        <v>24.611612258098305</v>
      </c>
      <c r="O3" s="125">
        <f>IF(SER_hh_emih!O3=0,0,SER_hh_emih!O3/SER_summary!O$26)</f>
        <v>25.648107970355138</v>
      </c>
      <c r="P3" s="125">
        <f>IF(SER_hh_emih!P3=0,0,SER_hh_emih!P3/SER_summary!P$26)</f>
        <v>23.710455058060969</v>
      </c>
      <c r="Q3" s="125">
        <f>IF(SER_hh_emih!Q3=0,0,SER_hh_emih!Q3/SER_summary!Q$26)</f>
        <v>24.373765932541321</v>
      </c>
      <c r="R3" s="125">
        <f>IF(SER_hh_emih!R3=0,0,SER_hh_emih!R3/SER_summary!R$26)</f>
        <v>22.019761365355887</v>
      </c>
      <c r="S3" s="125">
        <f>IF(SER_hh_emih!S3=0,0,SER_hh_emih!S3/SER_summary!S$26)</f>
        <v>23.43090368979443</v>
      </c>
      <c r="T3" s="125">
        <f>IF(SER_hh_emih!T3=0,0,SER_hh_emih!T3/SER_summary!T$26)</f>
        <v>22.736605690431208</v>
      </c>
      <c r="U3" s="125">
        <f>IF(SER_hh_emih!U3=0,0,SER_hh_emih!U3/SER_summary!U$26)</f>
        <v>21.912290165121718</v>
      </c>
      <c r="V3" s="125">
        <f>IF(SER_hh_emih!V3=0,0,SER_hh_emih!V3/SER_summary!V$26)</f>
        <v>20.955400044599266</v>
      </c>
      <c r="W3" s="125">
        <f>IF(SER_hh_emih!W3=0,0,SER_hh_emih!W3/SER_summary!W$26)</f>
        <v>21.196007465281969</v>
      </c>
      <c r="X3" s="125">
        <f>IF(SER_hh_emih!X3=0,0,SER_hh_emih!X3/SER_summary!X$26)</f>
        <v>19.834289638524957</v>
      </c>
      <c r="Y3" s="125">
        <f>IF(SER_hh_emih!Y3=0,0,SER_hh_emih!Y3/SER_summary!Y$26)</f>
        <v>17.065058771980961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27.468376458325352</v>
      </c>
      <c r="C4" s="130">
        <f>IF(SER_hh_emih!C4=0,0,SER_hh_emih!C4/SER_summary!C$26)</f>
        <v>28.874753921677819</v>
      </c>
      <c r="D4" s="130">
        <f>IF(SER_hh_emih!D4=0,0,SER_hh_emih!D4/SER_summary!D$26)</f>
        <v>24.12812112163455</v>
      </c>
      <c r="E4" s="130">
        <f>IF(SER_hh_emih!E4=0,0,SER_hh_emih!E4/SER_summary!E$26)</f>
        <v>27.603107468857406</v>
      </c>
      <c r="F4" s="130">
        <f>IF(SER_hh_emih!F4=0,0,SER_hh_emih!F4/SER_summary!F$26)</f>
        <v>27.578280272774606</v>
      </c>
      <c r="G4" s="130">
        <f>IF(SER_hh_emih!G4=0,0,SER_hh_emih!G4/SER_summary!G$26)</f>
        <v>26.490691901995369</v>
      </c>
      <c r="H4" s="130">
        <f>IF(SER_hh_emih!H4=0,0,SER_hh_emih!H4/SER_summary!H$26)</f>
        <v>23.51897244252098</v>
      </c>
      <c r="I4" s="130">
        <f>IF(SER_hh_emih!I4=0,0,SER_hh_emih!I4/SER_summary!I$26)</f>
        <v>22.27522025645483</v>
      </c>
      <c r="J4" s="130">
        <f>IF(SER_hh_emih!J4=0,0,SER_hh_emih!J4/SER_summary!J$26)</f>
        <v>22.828072998019817</v>
      </c>
      <c r="K4" s="130">
        <f>IF(SER_hh_emih!K4=0,0,SER_hh_emih!K4/SER_summary!K$26)</f>
        <v>24.745409003081747</v>
      </c>
      <c r="L4" s="130">
        <f>IF(SER_hh_emih!L4=0,0,SER_hh_emih!L4/SER_summary!L$26)</f>
        <v>25.392572346309123</v>
      </c>
      <c r="M4" s="130">
        <f>IF(SER_hh_emih!M4=0,0,SER_hh_emih!M4/SER_summary!M$26)</f>
        <v>18.554005317716456</v>
      </c>
      <c r="N4" s="130">
        <f>IF(SER_hh_emih!N4=0,0,SER_hh_emih!N4/SER_summary!N$26)</f>
        <v>20.361186313023431</v>
      </c>
      <c r="O4" s="130">
        <f>IF(SER_hh_emih!O4=0,0,SER_hh_emih!O4/SER_summary!O$26)</f>
        <v>21.389917574859265</v>
      </c>
      <c r="P4" s="130">
        <f>IF(SER_hh_emih!P4=0,0,SER_hh_emih!P4/SER_summary!P$26)</f>
        <v>19.192180929044891</v>
      </c>
      <c r="Q4" s="130">
        <f>IF(SER_hh_emih!Q4=0,0,SER_hh_emih!Q4/SER_summary!Q$26)</f>
        <v>19.600509576986386</v>
      </c>
      <c r="R4" s="130">
        <f>IF(SER_hh_emih!R4=0,0,SER_hh_emih!R4/SER_summary!R$26)</f>
        <v>17.689632027081174</v>
      </c>
      <c r="S4" s="130">
        <f>IF(SER_hh_emih!S4=0,0,SER_hh_emih!S4/SER_summary!S$26)</f>
        <v>18.916452639325104</v>
      </c>
      <c r="T4" s="130">
        <f>IF(SER_hh_emih!T4=0,0,SER_hh_emih!T4/SER_summary!T$26)</f>
        <v>18.455604744404894</v>
      </c>
      <c r="U4" s="130">
        <f>IF(SER_hh_emih!U4=0,0,SER_hh_emih!U4/SER_summary!U$26)</f>
        <v>17.751381736119136</v>
      </c>
      <c r="V4" s="130">
        <f>IF(SER_hh_emih!V4=0,0,SER_hh_emih!V4/SER_summary!V$26)</f>
        <v>17.107799262014009</v>
      </c>
      <c r="W4" s="130">
        <f>IF(SER_hh_emih!W4=0,0,SER_hh_emih!W4/SER_summary!W$26)</f>
        <v>17.174782416019525</v>
      </c>
      <c r="X4" s="130">
        <f>IF(SER_hh_emih!X4=0,0,SER_hh_emih!X4/SER_summary!X$26)</f>
        <v>15.953229776299677</v>
      </c>
      <c r="Y4" s="130">
        <f>IF(SER_hh_emih!Y4=0,0,SER_hh_emih!Y4/SER_summary!Y$26)</f>
        <v>13.479783207480899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66.107607738463813</v>
      </c>
      <c r="C5" s="132">
        <f>IF(SER_hh_emih!C5=0,0,SER_hh_emih!C5/SER_summary!C$26)</f>
        <v>70.712517559667347</v>
      </c>
      <c r="D5" s="132">
        <f>IF(SER_hh_emih!D5=0,0,SER_hh_emih!D5/SER_summary!D$26)</f>
        <v>56.507442528729207</v>
      </c>
      <c r="E5" s="132">
        <f>IF(SER_hh_emih!E5=0,0,SER_hh_emih!E5/SER_summary!E$26)</f>
        <v>67.558884826371568</v>
      </c>
      <c r="F5" s="132">
        <f>IF(SER_hh_emih!F5=0,0,SER_hh_emih!F5/SER_summary!F$26)</f>
        <v>67.54063251391517</v>
      </c>
      <c r="G5" s="132">
        <f>IF(SER_hh_emih!G5=0,0,SER_hh_emih!G5/SER_summary!G$26)</f>
        <v>68.479299097265852</v>
      </c>
      <c r="H5" s="132">
        <f>IF(SER_hh_emih!H5=0,0,SER_hh_emih!H5/SER_summary!H$26)</f>
        <v>64.179141198275545</v>
      </c>
      <c r="I5" s="132">
        <f>IF(SER_hh_emih!I5=0,0,SER_hh_emih!I5/SER_summary!I$26)</f>
        <v>60.704984113545088</v>
      </c>
      <c r="J5" s="132">
        <f>IF(SER_hh_emih!J5=0,0,SER_hh_emih!J5/SER_summary!J$26)</f>
        <v>57.027890405292418</v>
      </c>
      <c r="K5" s="132">
        <f>IF(SER_hh_emih!K5=0,0,SER_hh_emih!K5/SER_summary!K$26)</f>
        <v>58.311521610188208</v>
      </c>
      <c r="L5" s="132">
        <f>IF(SER_hh_emih!L5=0,0,SER_hh_emih!L5/SER_summary!L$26)</f>
        <v>78.111800770892955</v>
      </c>
      <c r="M5" s="132">
        <f>IF(SER_hh_emih!M5=0,0,SER_hh_emih!M5/SER_summary!M$26)</f>
        <v>31.665185336474647</v>
      </c>
      <c r="N5" s="132">
        <f>IF(SER_hh_emih!N5=0,0,SER_hh_emih!N5/SER_summary!N$26)</f>
        <v>45.455173235971301</v>
      </c>
      <c r="O5" s="132">
        <f>IF(SER_hh_emih!O5=0,0,SER_hh_emih!O5/SER_summary!O$26)</f>
        <v>57.798996001801406</v>
      </c>
      <c r="P5" s="132">
        <f>IF(SER_hh_emih!P5=0,0,SER_hh_emih!P5/SER_summary!P$26)</f>
        <v>45.244396426694088</v>
      </c>
      <c r="Q5" s="132">
        <f>IF(SER_hh_emih!Q5=0,0,SER_hh_emih!Q5/SER_summary!Q$26)</f>
        <v>48.132595229931987</v>
      </c>
      <c r="R5" s="132">
        <f>IF(SER_hh_emih!R5=0,0,SER_hh_emih!R5/SER_summary!R$26)</f>
        <v>51.520523883166511</v>
      </c>
      <c r="S5" s="132">
        <f>IF(SER_hh_emih!S5=0,0,SER_hh_emih!S5/SER_summary!S$26)</f>
        <v>51.075846020482942</v>
      </c>
      <c r="T5" s="132">
        <f>IF(SER_hh_emih!T5=0,0,SER_hh_emih!T5/SER_summary!T$26)</f>
        <v>47.60966245061833</v>
      </c>
      <c r="U5" s="132">
        <f>IF(SER_hh_emih!U5=0,0,SER_hh_emih!U5/SER_summary!U$26)</f>
        <v>47.208811522401056</v>
      </c>
      <c r="V5" s="132">
        <f>IF(SER_hh_emih!V5=0,0,SER_hh_emih!V5/SER_summary!V$26)</f>
        <v>41.290296908992346</v>
      </c>
      <c r="W5" s="132">
        <f>IF(SER_hh_emih!W5=0,0,SER_hh_emih!W5/SER_summary!W$26)</f>
        <v>46.524927486585625</v>
      </c>
      <c r="X5" s="132">
        <f>IF(SER_hh_emih!X5=0,0,SER_hh_emih!X5/SER_summary!X$26)</f>
        <v>39.976615313382929</v>
      </c>
      <c r="Y5" s="132">
        <f>IF(SER_hh_emih!Y5=0,0,SER_hh_emih!Y5/SER_summary!Y$26)</f>
        <v>33.647588237229364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55.885633782548531</v>
      </c>
      <c r="C7" s="132">
        <f>IF(SER_hh_emih!C7=0,0,SER_hh_emih!C7/SER_summary!C$26)</f>
        <v>61.750959973681844</v>
      </c>
      <c r="D7" s="132">
        <f>IF(SER_hh_emih!D7=0,0,SER_hh_emih!D7/SER_summary!D$26)</f>
        <v>54.528517578753032</v>
      </c>
      <c r="E7" s="132">
        <f>IF(SER_hh_emih!E7=0,0,SER_hh_emih!E7/SER_summary!E$26)</f>
        <v>59.237866709396549</v>
      </c>
      <c r="F7" s="132">
        <f>IF(SER_hh_emih!F7=0,0,SER_hh_emih!F7/SER_summary!F$26)</f>
        <v>60.91389167750998</v>
      </c>
      <c r="G7" s="132">
        <f>IF(SER_hh_emih!G7=0,0,SER_hh_emih!G7/SER_summary!G$26)</f>
        <v>59.312422283206757</v>
      </c>
      <c r="H7" s="132">
        <f>IF(SER_hh_emih!H7=0,0,SER_hh_emih!H7/SER_summary!H$26)</f>
        <v>54.807673183219315</v>
      </c>
      <c r="I7" s="132">
        <f>IF(SER_hh_emih!I7=0,0,SER_hh_emih!I7/SER_summary!I$26)</f>
        <v>47.133186176235029</v>
      </c>
      <c r="J7" s="132">
        <f>IF(SER_hh_emih!J7=0,0,SER_hh_emih!J7/SER_summary!J$26)</f>
        <v>55.898273002971422</v>
      </c>
      <c r="K7" s="132">
        <f>IF(SER_hh_emih!K7=0,0,SER_hh_emih!K7/SER_summary!K$26)</f>
        <v>54.718532902954763</v>
      </c>
      <c r="L7" s="132">
        <f>IF(SER_hh_emih!L7=0,0,SER_hh_emih!L7/SER_summary!L$26)</f>
        <v>53.277326405214502</v>
      </c>
      <c r="M7" s="132">
        <f>IF(SER_hh_emih!M7=0,0,SER_hh_emih!M7/SER_summary!M$26)</f>
        <v>45.219996610981177</v>
      </c>
      <c r="N7" s="132">
        <f>IF(SER_hh_emih!N7=0,0,SER_hh_emih!N7/SER_summary!N$26)</f>
        <v>45.189277609907712</v>
      </c>
      <c r="O7" s="132">
        <f>IF(SER_hh_emih!O7=0,0,SER_hh_emih!O7/SER_summary!O$26)</f>
        <v>45.357962497646014</v>
      </c>
      <c r="P7" s="132">
        <f>IF(SER_hh_emih!P7=0,0,SER_hh_emih!P7/SER_summary!P$26)</f>
        <v>46.592939714591175</v>
      </c>
      <c r="Q7" s="132">
        <f>IF(SER_hh_emih!Q7=0,0,SER_hh_emih!Q7/SER_summary!Q$26)</f>
        <v>46.671976040064315</v>
      </c>
      <c r="R7" s="132">
        <f>IF(SER_hh_emih!R7=0,0,SER_hh_emih!R7/SER_summary!R$26)</f>
        <v>37.716015280059167</v>
      </c>
      <c r="S7" s="132">
        <f>IF(SER_hh_emih!S7=0,0,SER_hh_emih!S7/SER_summary!S$26)</f>
        <v>45.101656286478061</v>
      </c>
      <c r="T7" s="132">
        <f>IF(SER_hh_emih!T7=0,0,SER_hh_emih!T7/SER_summary!T$26)</f>
        <v>41.482534725337942</v>
      </c>
      <c r="U7" s="132">
        <f>IF(SER_hh_emih!U7=0,0,SER_hh_emih!U7/SER_summary!U$26)</f>
        <v>39.30786248921136</v>
      </c>
      <c r="V7" s="132">
        <f>IF(SER_hh_emih!V7=0,0,SER_hh_emih!V7/SER_summary!V$26)</f>
        <v>41.105497878378678</v>
      </c>
      <c r="W7" s="132">
        <f>IF(SER_hh_emih!W7=0,0,SER_hh_emih!W7/SER_summary!W$26)</f>
        <v>35.42213743371444</v>
      </c>
      <c r="X7" s="132">
        <f>IF(SER_hh_emih!X7=0,0,SER_hh_emih!X7/SER_summary!X$26)</f>
        <v>37.702247147505751</v>
      </c>
      <c r="Y7" s="132">
        <f>IF(SER_hh_emih!Y7=0,0,SER_hh_emih!Y7/SER_summary!Y$26)</f>
        <v>29.065582675833365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14.733028696948132</v>
      </c>
      <c r="C8" s="132">
        <f>IF(SER_hh_emih!C8=0,0,SER_hh_emih!C8/SER_summary!C$26)</f>
        <v>16.65025632572641</v>
      </c>
      <c r="D8" s="132">
        <f>IF(SER_hh_emih!D8=0,0,SER_hh_emih!D8/SER_summary!D$26)</f>
        <v>13.026928711078076</v>
      </c>
      <c r="E8" s="132">
        <f>IF(SER_hh_emih!E8=0,0,SER_hh_emih!E8/SER_summary!E$26)</f>
        <v>13.565139405034628</v>
      </c>
      <c r="F8" s="132">
        <f>IF(SER_hh_emih!F8=0,0,SER_hh_emih!F8/SER_summary!F$26)</f>
        <v>12.166964551319166</v>
      </c>
      <c r="G8" s="132">
        <f>IF(SER_hh_emih!G8=0,0,SER_hh_emih!G8/SER_summary!G$26)</f>
        <v>15.949351302879123</v>
      </c>
      <c r="H8" s="132">
        <f>IF(SER_hh_emih!H8=0,0,SER_hh_emih!H8/SER_summary!H$26)</f>
        <v>13.913446534579286</v>
      </c>
      <c r="I8" s="132">
        <f>IF(SER_hh_emih!I8=0,0,SER_hh_emih!I8/SER_summary!I$26)</f>
        <v>13.685691316117701</v>
      </c>
      <c r="J8" s="132">
        <f>IF(SER_hh_emih!J8=0,0,SER_hh_emih!J8/SER_summary!J$26)</f>
        <v>14.014546925425845</v>
      </c>
      <c r="K8" s="132">
        <f>IF(SER_hh_emih!K8=0,0,SER_hh_emih!K8/SER_summary!K$26)</f>
        <v>10.800999329785819</v>
      </c>
      <c r="L8" s="132">
        <f>IF(SER_hh_emih!L8=0,0,SER_hh_emih!L8/SER_summary!L$26)</f>
        <v>8.8494852275777198</v>
      </c>
      <c r="M8" s="132">
        <f>IF(SER_hh_emih!M8=0,0,SER_hh_emih!M8/SER_summary!M$26)</f>
        <v>11.687714377152139</v>
      </c>
      <c r="N8" s="132">
        <f>IF(SER_hh_emih!N8=0,0,SER_hh_emih!N8/SER_summary!N$26)</f>
        <v>10.349121583094011</v>
      </c>
      <c r="O8" s="132">
        <f>IF(SER_hh_emih!O8=0,0,SER_hh_emih!O8/SER_summary!O$26)</f>
        <v>10.937486796895929</v>
      </c>
      <c r="P8" s="132">
        <f>IF(SER_hh_emih!P8=0,0,SER_hh_emih!P8/SER_summary!P$26)</f>
        <v>9.219105856241617</v>
      </c>
      <c r="Q8" s="132">
        <f>IF(SER_hh_emih!Q8=0,0,SER_hh_emih!Q8/SER_summary!Q$26)</f>
        <v>9.6116803560831272</v>
      </c>
      <c r="R8" s="132">
        <f>IF(SER_hh_emih!R8=0,0,SER_hh_emih!R8/SER_summary!R$26)</f>
        <v>9.3597598052938658</v>
      </c>
      <c r="S8" s="132">
        <f>IF(SER_hh_emih!S8=0,0,SER_hh_emih!S8/SER_summary!S$26)</f>
        <v>9.0358809589408544</v>
      </c>
      <c r="T8" s="132">
        <f>IF(SER_hh_emih!T8=0,0,SER_hh_emih!T8/SER_summary!T$26)</f>
        <v>8.8774765623886438</v>
      </c>
      <c r="U8" s="132">
        <f>IF(SER_hh_emih!U8=0,0,SER_hh_emih!U8/SER_summary!U$26)</f>
        <v>8.682942452557711</v>
      </c>
      <c r="V8" s="132">
        <f>IF(SER_hh_emih!V8=0,0,SER_hh_emih!V8/SER_summary!V$26)</f>
        <v>8.0613285002950139</v>
      </c>
      <c r="W8" s="132">
        <f>IF(SER_hh_emih!W8=0,0,SER_hh_emih!W8/SER_summary!W$26)</f>
        <v>10.177810008138696</v>
      </c>
      <c r="X8" s="132">
        <f>IF(SER_hh_emih!X8=0,0,SER_hh_emih!X8/SER_summary!X$26)</f>
        <v>5.7100443014850395</v>
      </c>
      <c r="Y8" s="132">
        <f>IF(SER_hh_emih!Y8=0,0,SER_hh_emih!Y8/SER_summary!Y$26)</f>
        <v>6.6794425798456007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39.460271685282343</v>
      </c>
      <c r="C9" s="132">
        <f>IF(SER_hh_emih!C9=0,0,SER_hh_emih!C9/SER_summary!C$26)</f>
        <v>41.646092353869271</v>
      </c>
      <c r="D9" s="132">
        <f>IF(SER_hh_emih!D9=0,0,SER_hh_emih!D9/SER_summary!D$26)</f>
        <v>33.90598316327101</v>
      </c>
      <c r="E9" s="132">
        <f>IF(SER_hh_emih!E9=0,0,SER_hh_emih!E9/SER_summary!E$26)</f>
        <v>42.230144367036303</v>
      </c>
      <c r="F9" s="132">
        <f>IF(SER_hh_emih!F9=0,0,SER_hh_emih!F9/SER_summary!F$26)</f>
        <v>41.417951739994045</v>
      </c>
      <c r="G9" s="132">
        <f>IF(SER_hh_emih!G9=0,0,SER_hh_emih!G9/SER_summary!G$26)</f>
        <v>41.943840430280545</v>
      </c>
      <c r="H9" s="132">
        <f>IF(SER_hh_emih!H9=0,0,SER_hh_emih!H9/SER_summary!H$26)</f>
        <v>35.999751935336555</v>
      </c>
      <c r="I9" s="132">
        <f>IF(SER_hh_emih!I9=0,0,SER_hh_emih!I9/SER_summary!I$26)</f>
        <v>35.894005686945015</v>
      </c>
      <c r="J9" s="132">
        <f>IF(SER_hh_emih!J9=0,0,SER_hh_emih!J9/SER_summary!J$26)</f>
        <v>31.356241839617311</v>
      </c>
      <c r="K9" s="132">
        <f>IF(SER_hh_emih!K9=0,0,SER_hh_emih!K9/SER_summary!K$26)</f>
        <v>37.219271233635517</v>
      </c>
      <c r="L9" s="132">
        <f>IF(SER_hh_emih!L9=0,0,SER_hh_emih!L9/SER_summary!L$26)</f>
        <v>41.152102938942349</v>
      </c>
      <c r="M9" s="132">
        <f>IF(SER_hh_emih!M9=0,0,SER_hh_emih!M9/SER_summary!M$26)</f>
        <v>28.823992616621705</v>
      </c>
      <c r="N9" s="132">
        <f>IF(SER_hh_emih!N9=0,0,SER_hh_emih!N9/SER_summary!N$26)</f>
        <v>33.752102538599637</v>
      </c>
      <c r="O9" s="132">
        <f>IF(SER_hh_emih!O9=0,0,SER_hh_emih!O9/SER_summary!O$26)</f>
        <v>35.530125706688217</v>
      </c>
      <c r="P9" s="132">
        <f>IF(SER_hh_emih!P9=0,0,SER_hh_emih!P9/SER_summary!P$26)</f>
        <v>28.505831640120508</v>
      </c>
      <c r="Q9" s="132">
        <f>IF(SER_hh_emih!Q9=0,0,SER_hh_emih!Q9/SER_summary!Q$26)</f>
        <v>30.260760283245926</v>
      </c>
      <c r="R9" s="132">
        <f>IF(SER_hh_emih!R9=0,0,SER_hh_emih!R9/SER_summary!R$26)</f>
        <v>29.545535631826041</v>
      </c>
      <c r="S9" s="132">
        <f>IF(SER_hh_emih!S9=0,0,SER_hh_emih!S9/SER_summary!S$26)</f>
        <v>29.355024662915579</v>
      </c>
      <c r="T9" s="132">
        <f>IF(SER_hh_emih!T9=0,0,SER_hh_emih!T9/SER_summary!T$26)</f>
        <v>29.067871869451483</v>
      </c>
      <c r="U9" s="132">
        <f>IF(SER_hh_emih!U9=0,0,SER_hh_emih!U9/SER_summary!U$26)</f>
        <v>27.53180897046602</v>
      </c>
      <c r="V9" s="132">
        <f>IF(SER_hh_emih!V9=0,0,SER_hh_emih!V9/SER_summary!V$26)</f>
        <v>24.724633489167314</v>
      </c>
      <c r="W9" s="132">
        <f>IF(SER_hh_emih!W9=0,0,SER_hh_emih!W9/SER_summary!W$26)</f>
        <v>26.395760413203813</v>
      </c>
      <c r="X9" s="132">
        <f>IF(SER_hh_emih!X9=0,0,SER_hh_emih!X9/SER_summary!X$26)</f>
        <v>21.888538084134272</v>
      </c>
      <c r="Y9" s="132">
        <f>IF(SER_hh_emih!Y9=0,0,SER_hh_emih!Y9/SER_summary!Y$26)</f>
        <v>19.399514143911485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43.961821396565519</v>
      </c>
      <c r="C10" s="132">
        <f>IF(SER_hh_emih!C10=0,0,SER_hh_emih!C10/SER_summary!C$26)</f>
        <v>44.587349339640859</v>
      </c>
      <c r="D10" s="132">
        <f>IF(SER_hh_emih!D10=0,0,SER_hh_emih!D10/SER_summary!D$26)</f>
        <v>43.380526710772592</v>
      </c>
      <c r="E10" s="132">
        <f>IF(SER_hh_emih!E10=0,0,SER_hh_emih!E10/SER_summary!E$26)</f>
        <v>46.949381112591979</v>
      </c>
      <c r="F10" s="132">
        <f>IF(SER_hh_emih!F10=0,0,SER_hh_emih!F10/SER_summary!F$26)</f>
        <v>52.236654409146475</v>
      </c>
      <c r="G10" s="132">
        <f>IF(SER_hh_emih!G10=0,0,SER_hh_emih!G10/SER_summary!G$26)</f>
        <v>15.281150540607154</v>
      </c>
      <c r="H10" s="132">
        <f>IF(SER_hh_emih!H10=0,0,SER_hh_emih!H10/SER_summary!H$26)</f>
        <v>13.298031093550225</v>
      </c>
      <c r="I10" s="132">
        <f>IF(SER_hh_emih!I10=0,0,SER_hh_emih!I10/SER_summary!I$26)</f>
        <v>22.231728983791111</v>
      </c>
      <c r="J10" s="132">
        <f>IF(SER_hh_emih!J10=0,0,SER_hh_emih!J10/SER_summary!J$26)</f>
        <v>22.299563684098711</v>
      </c>
      <c r="K10" s="132">
        <f>IF(SER_hh_emih!K10=0,0,SER_hh_emih!K10/SER_summary!K$26)</f>
        <v>30.158202128622978</v>
      </c>
      <c r="L10" s="132">
        <f>IF(SER_hh_emih!L10=0,0,SER_hh_emih!L10/SER_summary!L$26)</f>
        <v>26.376905143248322</v>
      </c>
      <c r="M10" s="132">
        <f>IF(SER_hh_emih!M10=0,0,SER_hh_emih!M10/SER_summary!M$26)</f>
        <v>14.660018273017554</v>
      </c>
      <c r="N10" s="132">
        <f>IF(SER_hh_emih!N10=0,0,SER_hh_emih!N10/SER_summary!N$26)</f>
        <v>14.842427782990297</v>
      </c>
      <c r="O10" s="132">
        <f>IF(SER_hh_emih!O10=0,0,SER_hh_emih!O10/SER_summary!O$26)</f>
        <v>16.823795052607824</v>
      </c>
      <c r="P10" s="132">
        <f>IF(SER_hh_emih!P10=0,0,SER_hh_emih!P10/SER_summary!P$26)</f>
        <v>13.105610166846827</v>
      </c>
      <c r="Q10" s="132">
        <f>IF(SER_hh_emih!Q10=0,0,SER_hh_emih!Q10/SER_summary!Q$26)</f>
        <v>9.4198321996178258</v>
      </c>
      <c r="R10" s="132">
        <f>IF(SER_hh_emih!R10=0,0,SER_hh_emih!R10/SER_summary!R$26)</f>
        <v>10.912836617464098</v>
      </c>
      <c r="S10" s="132">
        <f>IF(SER_hh_emih!S10=0,0,SER_hh_emih!S10/SER_summary!S$26)</f>
        <v>11.941746146260304</v>
      </c>
      <c r="T10" s="132">
        <f>IF(SER_hh_emih!T10=0,0,SER_hh_emih!T10/SER_summary!T$26)</f>
        <v>9.5845549183825707</v>
      </c>
      <c r="U10" s="132">
        <f>IF(SER_hh_emih!U10=0,0,SER_hh_emih!U10/SER_summary!U$26)</f>
        <v>9.3951023858456413</v>
      </c>
      <c r="V10" s="132">
        <f>IF(SER_hh_emih!V10=0,0,SER_hh_emih!V10/SER_summary!V$26)</f>
        <v>11.173598956978729</v>
      </c>
      <c r="W10" s="132">
        <f>IF(SER_hh_emih!W10=0,0,SER_hh_emih!W10/SER_summary!W$26)</f>
        <v>11.526818253522043</v>
      </c>
      <c r="X10" s="132">
        <f>IF(SER_hh_emih!X10=0,0,SER_hh_emih!X10/SER_summary!X$26)</f>
        <v>16.746365253759294</v>
      </c>
      <c r="Y10" s="132">
        <f>IF(SER_hh_emih!Y10=0,0,SER_hh_emih!Y10/SER_summary!Y$26)</f>
        <v>12.256434751004102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1.3357438775289875E-2</v>
      </c>
      <c r="C16" s="130">
        <f>IF(SER_hh_emih!C16=0,0,SER_hh_emih!C16/SER_summary!C$26)</f>
        <v>1.5562959544075439E-2</v>
      </c>
      <c r="D16" s="130">
        <f>IF(SER_hh_emih!D16=0,0,SER_hh_emih!D16/SER_summary!D$26)</f>
        <v>1.5776901681677977E-2</v>
      </c>
      <c r="E16" s="130">
        <f>IF(SER_hh_emih!E16=0,0,SER_hh_emih!E16/SER_summary!E$26)</f>
        <v>3.922867597656951E-2</v>
      </c>
      <c r="F16" s="130">
        <f>IF(SER_hh_emih!F16=0,0,SER_hh_emih!F16/SER_summary!F$26)</f>
        <v>2.0589089478517279E-2</v>
      </c>
      <c r="G16" s="130">
        <f>IF(SER_hh_emih!G16=0,0,SER_hh_emih!G16/SER_summary!G$26)</f>
        <v>2.0971414423912003E-2</v>
      </c>
      <c r="H16" s="130">
        <f>IF(SER_hh_emih!H16=0,0,SER_hh_emih!H16/SER_summary!H$26)</f>
        <v>3.3618834116816682E-2</v>
      </c>
      <c r="I16" s="130">
        <f>IF(SER_hh_emih!I16=0,0,SER_hh_emih!I16/SER_summary!I$26)</f>
        <v>2.8010874508942331E-2</v>
      </c>
      <c r="J16" s="130">
        <f>IF(SER_hh_emih!J16=0,0,SER_hh_emih!J16/SER_summary!J$26)</f>
        <v>3.2652845539669198E-2</v>
      </c>
      <c r="K16" s="130">
        <f>IF(SER_hh_emih!K16=0,0,SER_hh_emih!K16/SER_summary!K$26)</f>
        <v>3.5776860543476105E-2</v>
      </c>
      <c r="L16" s="130">
        <f>IF(SER_hh_emih!L16=0,0,SER_hh_emih!L16/SER_summary!L$26)</f>
        <v>3.9283412159201676E-2</v>
      </c>
      <c r="M16" s="130">
        <f>IF(SER_hh_emih!M16=0,0,SER_hh_emih!M16/SER_summary!M$26)</f>
        <v>5.0431107098858105E-2</v>
      </c>
      <c r="N16" s="130">
        <f>IF(SER_hh_emih!N16=0,0,SER_hh_emih!N16/SER_summary!N$26)</f>
        <v>7.472113139186233E-2</v>
      </c>
      <c r="O16" s="130">
        <f>IF(SER_hh_emih!O16=0,0,SER_hh_emih!O16/SER_summary!O$26)</f>
        <v>8.945683569229522E-2</v>
      </c>
      <c r="P16" s="130">
        <f>IF(SER_hh_emih!P16=0,0,SER_hh_emih!P16/SER_summary!P$26)</f>
        <v>8.8804608959311387E-2</v>
      </c>
      <c r="Q16" s="130">
        <f>IF(SER_hh_emih!Q16=0,0,SER_hh_emih!Q16/SER_summary!Q$26)</f>
        <v>0.13691811615938745</v>
      </c>
      <c r="R16" s="130">
        <f>IF(SER_hh_emih!R16=0,0,SER_hh_emih!R16/SER_summary!R$26)</f>
        <v>0.1295214595634531</v>
      </c>
      <c r="S16" s="130">
        <f>IF(SER_hh_emih!S16=0,0,SER_hh_emih!S16/SER_summary!S$26)</f>
        <v>0.15753997414654317</v>
      </c>
      <c r="T16" s="130">
        <f>IF(SER_hh_emih!T16=0,0,SER_hh_emih!T16/SER_summary!T$26)</f>
        <v>0.16675589233702301</v>
      </c>
      <c r="U16" s="130">
        <f>IF(SER_hh_emih!U16=0,0,SER_hh_emih!U16/SER_summary!U$26)</f>
        <v>0.18017932390330602</v>
      </c>
      <c r="V16" s="130">
        <f>IF(SER_hh_emih!V16=0,0,SER_hh_emih!V16/SER_summary!V$26)</f>
        <v>0.17948506041946943</v>
      </c>
      <c r="W16" s="130">
        <f>IF(SER_hh_emih!W16=0,0,SER_hh_emih!W16/SER_summary!W$26)</f>
        <v>0.14655752556689453</v>
      </c>
      <c r="X16" s="130">
        <f>IF(SER_hh_emih!X16=0,0,SER_hh_emih!X16/SER_summary!X$26)</f>
        <v>0.22349582818965869</v>
      </c>
      <c r="Y16" s="130">
        <f>IF(SER_hh_emih!Y16=0,0,SER_hh_emih!Y16/SER_summary!Y$26)</f>
        <v>0.2051300227506862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4.78342769988007</v>
      </c>
      <c r="C17" s="132">
        <f>IF(SER_hh_emih!C17=0,0,SER_hh_emih!C17/SER_summary!C$26)</f>
        <v>4.9271601078067935</v>
      </c>
      <c r="D17" s="132">
        <f>IF(SER_hh_emih!D17=0,0,SER_hh_emih!D17/SER_summary!D$26)</f>
        <v>4.6207911152521568</v>
      </c>
      <c r="E17" s="132">
        <f>IF(SER_hh_emih!E17=0,0,SER_hh_emih!E17/SER_summary!E$26)</f>
        <v>8.9944516154658185</v>
      </c>
      <c r="F17" s="132">
        <f>IF(SER_hh_emih!F17=0,0,SER_hh_emih!F17/SER_summary!F$26)</f>
        <v>4.614011457885316</v>
      </c>
      <c r="G17" s="132">
        <f>IF(SER_hh_emih!G17=0,0,SER_hh_emih!G17/SER_summary!G$26)</f>
        <v>4.4288252852049261</v>
      </c>
      <c r="H17" s="132">
        <f>IF(SER_hh_emih!H17=0,0,SER_hh_emih!H17/SER_summary!H$26)</f>
        <v>5.561337166436914</v>
      </c>
      <c r="I17" s="132">
        <f>IF(SER_hh_emih!I17=0,0,SER_hh_emih!I17/SER_summary!I$26)</f>
        <v>4.2885828065295106</v>
      </c>
      <c r="J17" s="132">
        <f>IF(SER_hh_emih!J17=0,0,SER_hh_emih!J17/SER_summary!J$26)</f>
        <v>4.2832510605102918</v>
      </c>
      <c r="K17" s="132">
        <f>IF(SER_hh_emih!K17=0,0,SER_hh_emih!K17/SER_summary!K$26)</f>
        <v>4.5493210135774547</v>
      </c>
      <c r="L17" s="132">
        <f>IF(SER_hh_emih!L17=0,0,SER_hh_emih!L17/SER_summary!L$26)</f>
        <v>4.4316398004861401</v>
      </c>
      <c r="M17" s="132">
        <f>IF(SER_hh_emih!M17=0,0,SER_hh_emih!M17/SER_summary!M$26)</f>
        <v>4.2739889231579635</v>
      </c>
      <c r="N17" s="132">
        <f>IF(SER_hh_emih!N17=0,0,SER_hh_emih!N17/SER_summary!N$26)</f>
        <v>4.3906370362161384</v>
      </c>
      <c r="O17" s="132">
        <f>IF(SER_hh_emih!O17=0,0,SER_hh_emih!O17/SER_summary!O$26)</f>
        <v>4.3034368921627522</v>
      </c>
      <c r="P17" s="132">
        <f>IF(SER_hh_emih!P17=0,0,SER_hh_emih!P17/SER_summary!P$26)</f>
        <v>3.7090433118314232</v>
      </c>
      <c r="Q17" s="132">
        <f>IF(SER_hh_emih!Q17=0,0,SER_hh_emih!Q17/SER_summary!Q$26)</f>
        <v>4.9107938234387278</v>
      </c>
      <c r="R17" s="132">
        <f>IF(SER_hh_emih!R17=0,0,SER_hh_emih!R17/SER_summary!R$26)</f>
        <v>4.2947501227836744</v>
      </c>
      <c r="S17" s="132">
        <f>IF(SER_hh_emih!S17=0,0,SER_hh_emih!S17/SER_summary!S$26)</f>
        <v>4.5901360803206321</v>
      </c>
      <c r="T17" s="132">
        <f>IF(SER_hh_emih!T17=0,0,SER_hh_emih!T17/SER_summary!T$26)</f>
        <v>4.4968226853798514</v>
      </c>
      <c r="U17" s="132">
        <f>IF(SER_hh_emih!U17=0,0,SER_hh_emih!U17/SER_summary!U$26)</f>
        <v>4.5007896980029489</v>
      </c>
      <c r="V17" s="132">
        <f>IF(SER_hh_emih!V17=0,0,SER_hh_emih!V17/SER_summary!V$26)</f>
        <v>4.2768808234790168</v>
      </c>
      <c r="W17" s="132">
        <f>IF(SER_hh_emih!W17=0,0,SER_hh_emih!W17/SER_summary!W$26)</f>
        <v>3.389426535939744</v>
      </c>
      <c r="X17" s="132">
        <f>IF(SER_hh_emih!X17=0,0,SER_hh_emih!X17/SER_summary!X$26)</f>
        <v>4.9284347152152215</v>
      </c>
      <c r="Y17" s="132">
        <f>IF(SER_hh_emih!Y17=0,0,SER_hh_emih!Y17/SER_summary!Y$26)</f>
        <v>4.4737694360594134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2.8799417363300073</v>
      </c>
      <c r="C19" s="130">
        <f>IF(SER_hh_emih!C19=0,0,SER_hh_emih!C19/SER_summary!C$26)</f>
        <v>2.8519512830087717</v>
      </c>
      <c r="D19" s="130">
        <f>IF(SER_hh_emih!D19=0,0,SER_hh_emih!D19/SER_summary!D$26)</f>
        <v>2.8065342815616652</v>
      </c>
      <c r="E19" s="130">
        <f>IF(SER_hh_emih!E19=0,0,SER_hh_emih!E19/SER_summary!E$26)</f>
        <v>2.7951510493357961</v>
      </c>
      <c r="F19" s="130">
        <f>IF(SER_hh_emih!F19=0,0,SER_hh_emih!F19/SER_summary!F$26)</f>
        <v>2.7597902166913899</v>
      </c>
      <c r="G19" s="130">
        <f>IF(SER_hh_emih!G19=0,0,SER_hh_emih!G19/SER_summary!G$26)</f>
        <v>2.5984643150054612</v>
      </c>
      <c r="H19" s="130">
        <f>IF(SER_hh_emih!H19=0,0,SER_hh_emih!H19/SER_summary!H$26)</f>
        <v>2.456741327921379</v>
      </c>
      <c r="I19" s="130">
        <f>IF(SER_hh_emih!I19=0,0,SER_hh_emih!I19/SER_summary!I$26)</f>
        <v>2.357212530123137</v>
      </c>
      <c r="J19" s="130">
        <f>IF(SER_hh_emih!J19=0,0,SER_hh_emih!J19/SER_summary!J$26)</f>
        <v>2.3296685717250543</v>
      </c>
      <c r="K19" s="130">
        <f>IF(SER_hh_emih!K19=0,0,SER_hh_emih!K19/SER_summary!K$26)</f>
        <v>2.3966023340117477</v>
      </c>
      <c r="L19" s="130">
        <f>IF(SER_hh_emih!L19=0,0,SER_hh_emih!L19/SER_summary!L$26)</f>
        <v>2.2464794925780849</v>
      </c>
      <c r="M19" s="130">
        <f>IF(SER_hh_emih!M19=0,0,SER_hh_emih!M19/SER_summary!M$26)</f>
        <v>2.143534230482131</v>
      </c>
      <c r="N19" s="130">
        <f>IF(SER_hh_emih!N19=0,0,SER_hh_emih!N19/SER_summary!N$26)</f>
        <v>2.0264880239239775</v>
      </c>
      <c r="O19" s="130">
        <f>IF(SER_hh_emih!O19=0,0,SER_hh_emih!O19/SER_summary!O$26)</f>
        <v>2.0910862595155715</v>
      </c>
      <c r="P19" s="130">
        <f>IF(SER_hh_emih!P19=0,0,SER_hh_emih!P19/SER_summary!P$26)</f>
        <v>2.29350501271625</v>
      </c>
      <c r="Q19" s="130">
        <f>IF(SER_hh_emih!Q19=0,0,SER_hh_emih!Q19/SER_summary!Q$26)</f>
        <v>2.2827087511160893</v>
      </c>
      <c r="R19" s="130">
        <f>IF(SER_hh_emih!R19=0,0,SER_hh_emih!R19/SER_summary!R$26)</f>
        <v>1.9808250081483816</v>
      </c>
      <c r="S19" s="130">
        <f>IF(SER_hh_emih!S19=0,0,SER_hh_emih!S19/SER_summary!S$26)</f>
        <v>2.0491720699602416</v>
      </c>
      <c r="T19" s="130">
        <f>IF(SER_hh_emih!T19=0,0,SER_hh_emih!T19/SER_summary!T$26)</f>
        <v>1.8363787379288661</v>
      </c>
      <c r="U19" s="130">
        <f>IF(SER_hh_emih!U19=0,0,SER_hh_emih!U19/SER_summary!U$26)</f>
        <v>1.7209416325313889</v>
      </c>
      <c r="V19" s="130">
        <f>IF(SER_hh_emih!V19=0,0,SER_hh_emih!V19/SER_summary!V$26)</f>
        <v>1.6997553806382639</v>
      </c>
      <c r="W19" s="130">
        <f>IF(SER_hh_emih!W19=0,0,SER_hh_emih!W19/SER_summary!W$26)</f>
        <v>1.61416708998164</v>
      </c>
      <c r="X19" s="130">
        <f>IF(SER_hh_emih!X19=0,0,SER_hh_emih!X19/SER_summary!X$26)</f>
        <v>1.7399351087594461</v>
      </c>
      <c r="Y19" s="130">
        <f>IF(SER_hh_emih!Y19=0,0,SER_hh_emih!Y19/SER_summary!Y$26)</f>
        <v>1.5702822241799586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6.7070681976568958</v>
      </c>
      <c r="C21" s="132">
        <f>IF(SER_hh_emih!C21=0,0,SER_hh_emih!C21/SER_summary!C$26)</f>
        <v>6.6425042405466099</v>
      </c>
      <c r="D21" s="132">
        <f>IF(SER_hh_emih!D21=0,0,SER_hh_emih!D21/SER_summary!D$26)</f>
        <v>6.7670825338157456</v>
      </c>
      <c r="E21" s="132">
        <f>IF(SER_hh_emih!E21=0,0,SER_hh_emih!E21/SER_summary!E$26)</f>
        <v>6.7835680989196536</v>
      </c>
      <c r="F21" s="132">
        <f>IF(SER_hh_emih!F21=0,0,SER_hh_emih!F21/SER_summary!F$26)</f>
        <v>6.7186670106710764</v>
      </c>
      <c r="G21" s="132">
        <f>IF(SER_hh_emih!G21=0,0,SER_hh_emih!G21/SER_summary!G$26)</f>
        <v>6.389333423743361</v>
      </c>
      <c r="H21" s="132">
        <f>IF(SER_hh_emih!H21=0,0,SER_hh_emih!H21/SER_summary!H$26)</f>
        <v>6.5039991716973651</v>
      </c>
      <c r="I21" s="132">
        <f>IF(SER_hh_emih!I21=0,0,SER_hh_emih!I21/SER_summary!I$26)</f>
        <v>6.479004291541032</v>
      </c>
      <c r="J21" s="132">
        <f>IF(SER_hh_emih!J21=0,0,SER_hh_emih!J21/SER_summary!J$26)</f>
        <v>6.514013989590695</v>
      </c>
      <c r="K21" s="132">
        <f>IF(SER_hh_emih!K21=0,0,SER_hh_emih!K21/SER_summary!K$26)</f>
        <v>6.9219588924876927</v>
      </c>
      <c r="L21" s="132">
        <f>IF(SER_hh_emih!L21=0,0,SER_hh_emih!L21/SER_summary!L$26)</f>
        <v>6.9284437365243079</v>
      </c>
      <c r="M21" s="132">
        <f>IF(SER_hh_emih!M21=0,0,SER_hh_emih!M21/SER_summary!M$26)</f>
        <v>4.9537739417518338</v>
      </c>
      <c r="N21" s="132">
        <f>IF(SER_hh_emih!N21=0,0,SER_hh_emih!N21/SER_summary!N$26)</f>
        <v>7.0488178174380423</v>
      </c>
      <c r="O21" s="132">
        <f>IF(SER_hh_emih!O21=0,0,SER_hh_emih!O21/SER_summary!O$26)</f>
        <v>6.7338756241078395</v>
      </c>
      <c r="P21" s="132">
        <f>IF(SER_hh_emih!P21=0,0,SER_hh_emih!P21/SER_summary!P$26)</f>
        <v>6.316788709761946</v>
      </c>
      <c r="Q21" s="132">
        <f>IF(SER_hh_emih!Q21=0,0,SER_hh_emih!Q21/SER_summary!Q$26)</f>
        <v>6.5290178827456682</v>
      </c>
      <c r="R21" s="132">
        <f>IF(SER_hh_emih!R21=0,0,SER_hh_emih!R21/SER_summary!R$26)</f>
        <v>6.5097039722766885</v>
      </c>
      <c r="S21" s="132">
        <f>IF(SER_hh_emih!S21=0,0,SER_hh_emih!S21/SER_summary!S$26)</f>
        <v>6.7707930910463485</v>
      </c>
      <c r="T21" s="132">
        <f>IF(SER_hh_emih!T21=0,0,SER_hh_emih!T21/SER_summary!T$26)</f>
        <v>5.8835735471583561</v>
      </c>
      <c r="U21" s="132">
        <f>IF(SER_hh_emih!U21=0,0,SER_hh_emih!U21/SER_summary!U$26)</f>
        <v>5.9812030093531359</v>
      </c>
      <c r="V21" s="132">
        <f>IF(SER_hh_emih!V21=0,0,SER_hh_emih!V21/SER_summary!V$26)</f>
        <v>6.3937399292409127</v>
      </c>
      <c r="W21" s="132">
        <f>IF(SER_hh_emih!W21=0,0,SER_hh_emih!W21/SER_summary!W$26)</f>
        <v>4.5129329925343535</v>
      </c>
      <c r="X21" s="132">
        <f>IF(SER_hh_emih!X21=0,0,SER_hh_emih!X21/SER_summary!X$26)</f>
        <v>5.9508592442892816</v>
      </c>
      <c r="Y21" s="132">
        <f>IF(SER_hh_emih!Y21=0,0,SER_hh_emih!Y21/SER_summary!Y$26)</f>
        <v>5.6541191061383254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8.4513108363343985</v>
      </c>
      <c r="C22" s="132">
        <f>IF(SER_hh_emih!C22=0,0,SER_hh_emih!C22/SER_summary!C$26)</f>
        <v>8.4624057277015439</v>
      </c>
      <c r="D22" s="132">
        <f>IF(SER_hh_emih!D22=0,0,SER_hh_emih!D22/SER_summary!D$26)</f>
        <v>8.3222498472848638</v>
      </c>
      <c r="E22" s="132">
        <f>IF(SER_hh_emih!E22=0,0,SER_hh_emih!E22/SER_summary!E$26)</f>
        <v>8.2336553268808927</v>
      </c>
      <c r="F22" s="132">
        <f>IF(SER_hh_emih!F22=0,0,SER_hh_emih!F22/SER_summary!F$26)</f>
        <v>8.3526307778364703</v>
      </c>
      <c r="G22" s="132">
        <f>IF(SER_hh_emih!G22=0,0,SER_hh_emih!G22/SER_summary!G$26)</f>
        <v>8.3319856985854663</v>
      </c>
      <c r="H22" s="132">
        <f>IF(SER_hh_emih!H22=0,0,SER_hh_emih!H22/SER_summary!H$26)</f>
        <v>8.0986551724449765</v>
      </c>
      <c r="I22" s="132">
        <f>IF(SER_hh_emih!I22=0,0,SER_hh_emih!I22/SER_summary!I$26)</f>
        <v>7.8462652576303675</v>
      </c>
      <c r="J22" s="132">
        <f>IF(SER_hh_emih!J22=0,0,SER_hh_emih!J22/SER_summary!J$26)</f>
        <v>8.1331858526032139</v>
      </c>
      <c r="K22" s="132">
        <f>IF(SER_hh_emih!K22=0,0,SER_hh_emih!K22/SER_summary!K$26)</f>
        <v>8.2678866229494528</v>
      </c>
      <c r="L22" s="132">
        <f>IF(SER_hh_emih!L22=0,0,SER_hh_emih!L22/SER_summary!L$26)</f>
        <v>7.9903778739332783</v>
      </c>
      <c r="M22" s="132">
        <f>IF(SER_hh_emih!M22=0,0,SER_hh_emih!M22/SER_summary!M$26)</f>
        <v>7.5486208588100565</v>
      </c>
      <c r="N22" s="132">
        <f>IF(SER_hh_emih!N22=0,0,SER_hh_emih!N22/SER_summary!N$26)</f>
        <v>7.8433498085839748</v>
      </c>
      <c r="O22" s="132">
        <f>IF(SER_hh_emih!O22=0,0,SER_hh_emih!O22/SER_summary!O$26)</f>
        <v>7.4915992629204746</v>
      </c>
      <c r="P22" s="132">
        <f>IF(SER_hh_emih!P22=0,0,SER_hh_emih!P22/SER_summary!P$26)</f>
        <v>8.532793678749492</v>
      </c>
      <c r="Q22" s="132">
        <f>IF(SER_hh_emih!Q22=0,0,SER_hh_emih!Q22/SER_summary!Q$26)</f>
        <v>8.5957855580923237</v>
      </c>
      <c r="R22" s="132">
        <f>IF(SER_hh_emih!R22=0,0,SER_hh_emih!R22/SER_summary!R$26)</f>
        <v>6.759246802598053</v>
      </c>
      <c r="S22" s="132">
        <f>IF(SER_hh_emih!S22=0,0,SER_hh_emih!S22/SER_summary!S$26)</f>
        <v>8.1136205877000691</v>
      </c>
      <c r="T22" s="132">
        <f>IF(SER_hh_emih!T22=0,0,SER_hh_emih!T22/SER_summary!T$26)</f>
        <v>7.3329279117114616</v>
      </c>
      <c r="U22" s="132">
        <f>IF(SER_hh_emih!U22=0,0,SER_hh_emih!U22/SER_summary!U$26)</f>
        <v>6.8801230282549879</v>
      </c>
      <c r="V22" s="132">
        <f>IF(SER_hh_emih!V22=0,0,SER_hh_emih!V22/SER_summary!V$26)</f>
        <v>7.4721150965913781</v>
      </c>
      <c r="W22" s="132">
        <f>IF(SER_hh_emih!W22=0,0,SER_hh_emih!W22/SER_summary!W$26)</f>
        <v>6.0317490325925647</v>
      </c>
      <c r="X22" s="132">
        <f>IF(SER_hh_emih!X22=0,0,SER_hh_emih!X22/SER_summary!X$26)</f>
        <v>7.4704957893293722</v>
      </c>
      <c r="Y22" s="132">
        <f>IF(SER_hh_emih!Y22=0,0,SER_hh_emih!Y22/SER_summary!Y$26)</f>
        <v>6.3501214572665505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6.2141620018448194</v>
      </c>
      <c r="C23" s="132">
        <f>IF(SER_hh_emih!C23=0,0,SER_hh_emih!C23/SER_summary!C$26)</f>
        <v>6.1185031229179865</v>
      </c>
      <c r="D23" s="132">
        <f>IF(SER_hh_emih!D23=0,0,SER_hh_emih!D23/SER_summary!D$26)</f>
        <v>5.9872690170009033</v>
      </c>
      <c r="E23" s="132">
        <f>IF(SER_hh_emih!E23=0,0,SER_hh_emih!E23/SER_summary!E$26)</f>
        <v>6.0597074467252448</v>
      </c>
      <c r="F23" s="132">
        <f>IF(SER_hh_emih!F23=0,0,SER_hh_emih!F23/SER_summary!F$26)</f>
        <v>6.0865367887662609</v>
      </c>
      <c r="G23" s="132">
        <f>IF(SER_hh_emih!G23=0,0,SER_hh_emih!G23/SER_summary!G$26)</f>
        <v>5.8581414218963594</v>
      </c>
      <c r="H23" s="132">
        <f>IF(SER_hh_emih!H23=0,0,SER_hh_emih!H23/SER_summary!H$26)</f>
        <v>5.6784050918551934</v>
      </c>
      <c r="I23" s="132">
        <f>IF(SER_hh_emih!I23=0,0,SER_hh_emih!I23/SER_summary!I$26)</f>
        <v>5.6655424719430458</v>
      </c>
      <c r="J23" s="132">
        <f>IF(SER_hh_emih!J23=0,0,SER_hh_emih!J23/SER_summary!J$26)</f>
        <v>5.5189307102066607</v>
      </c>
      <c r="K23" s="132">
        <f>IF(SER_hh_emih!K23=0,0,SER_hh_emih!K23/SER_summary!K$26)</f>
        <v>5.8177832896392818</v>
      </c>
      <c r="L23" s="132">
        <f>IF(SER_hh_emih!L23=0,0,SER_hh_emih!L23/SER_summary!L$26)</f>
        <v>5.5276884383823912</v>
      </c>
      <c r="M23" s="132">
        <f>IF(SER_hh_emih!M23=0,0,SER_hh_emih!M23/SER_summary!M$26)</f>
        <v>6.0029937721697832</v>
      </c>
      <c r="N23" s="132">
        <f>IF(SER_hh_emih!N23=0,0,SER_hh_emih!N23/SER_summary!N$26)</f>
        <v>4.5907416257299412</v>
      </c>
      <c r="O23" s="132">
        <f>IF(SER_hh_emih!O23=0,0,SER_hh_emih!O23/SER_summary!O$26)</f>
        <v>5.0477370945425868</v>
      </c>
      <c r="P23" s="132">
        <f>IF(SER_hh_emih!P23=0,0,SER_hh_emih!P23/SER_summary!P$26)</f>
        <v>5.3237374012668006</v>
      </c>
      <c r="Q23" s="132">
        <f>IF(SER_hh_emih!Q23=0,0,SER_hh_emih!Q23/SER_summary!Q$26)</f>
        <v>5.2303921795614325</v>
      </c>
      <c r="R23" s="132">
        <f>IF(SER_hh_emih!R23=0,0,SER_hh_emih!R23/SER_summary!R$26)</f>
        <v>5.4987286474153274</v>
      </c>
      <c r="S23" s="132">
        <f>IF(SER_hh_emih!S23=0,0,SER_hh_emih!S23/SER_summary!S$26)</f>
        <v>5.1292866189619657</v>
      </c>
      <c r="T23" s="132">
        <f>IF(SER_hh_emih!T23=0,0,SER_hh_emih!T23/SER_summary!T$26)</f>
        <v>5.0592396232257997</v>
      </c>
      <c r="U23" s="132">
        <f>IF(SER_hh_emih!U23=0,0,SER_hh_emih!U23/SER_summary!U$26)</f>
        <v>4.8727353255032773</v>
      </c>
      <c r="V23" s="132">
        <f>IF(SER_hh_emih!V23=0,0,SER_hh_emih!V23/SER_summary!V$26)</f>
        <v>4.2449625535645659</v>
      </c>
      <c r="W23" s="132">
        <f>IF(SER_hh_emih!W23=0,0,SER_hh_emih!W23/SER_summary!W$26)</f>
        <v>5.1752844954344202</v>
      </c>
      <c r="X23" s="132">
        <f>IF(SER_hh_emih!X23=0,0,SER_hh_emih!X23/SER_summary!X$26)</f>
        <v>4.6684670380576501</v>
      </c>
      <c r="Y23" s="132">
        <f>IF(SER_hh_emih!Y23=0,0,SER_hh_emih!Y23/SER_summary!Y$26)</f>
        <v>4.4580096628491628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7.8283387959253323</v>
      </c>
      <c r="C24" s="132">
        <f>IF(SER_hh_emih!C24=0,0,SER_hh_emih!C24/SER_summary!C$26)</f>
        <v>7.3623468194614903</v>
      </c>
      <c r="D24" s="132">
        <f>IF(SER_hh_emih!D24=0,0,SER_hh_emih!D24/SER_summary!D$26)</f>
        <v>7.0343088752208836</v>
      </c>
      <c r="E24" s="132">
        <f>IF(SER_hh_emih!E24=0,0,SER_hh_emih!E24/SER_summary!E$26)</f>
        <v>6.6834327448203048</v>
      </c>
      <c r="F24" s="132">
        <f>IF(SER_hh_emih!F24=0,0,SER_hh_emih!F24/SER_summary!F$26)</f>
        <v>6.5909452171645926</v>
      </c>
      <c r="G24" s="132">
        <f>IF(SER_hh_emih!G24=0,0,SER_hh_emih!G24/SER_summary!G$26)</f>
        <v>2.6951271242040948</v>
      </c>
      <c r="H24" s="132">
        <f>IF(SER_hh_emih!H24=0,0,SER_hh_emih!H24/SER_summary!H$26)</f>
        <v>2.9304131248735561</v>
      </c>
      <c r="I24" s="132">
        <f>IF(SER_hh_emih!I24=0,0,SER_hh_emih!I24/SER_summary!I$26)</f>
        <v>3.4830466484749767</v>
      </c>
      <c r="J24" s="132">
        <f>IF(SER_hh_emih!J24=0,0,SER_hh_emih!J24/SER_summary!J$26)</f>
        <v>3.3936861606946138</v>
      </c>
      <c r="K24" s="132">
        <f>IF(SER_hh_emih!K24=0,0,SER_hh_emih!K24/SER_summary!K$26)</f>
        <v>3.8164893637436945</v>
      </c>
      <c r="L24" s="132">
        <f>IF(SER_hh_emih!L24=0,0,SER_hh_emih!L24/SER_summary!L$26)</f>
        <v>4.1847551060949417</v>
      </c>
      <c r="M24" s="132">
        <f>IF(SER_hh_emih!M24=0,0,SER_hh_emih!M24/SER_summary!M$26)</f>
        <v>2.3742663787132212</v>
      </c>
      <c r="N24" s="132">
        <f>IF(SER_hh_emih!N24=0,0,SER_hh_emih!N24/SER_summary!N$26)</f>
        <v>2.2282888812176078</v>
      </c>
      <c r="O24" s="132">
        <f>IF(SER_hh_emih!O24=0,0,SER_hh_emih!O24/SER_summary!O$26)</f>
        <v>2.5908125758825413</v>
      </c>
      <c r="P24" s="132">
        <f>IF(SER_hh_emih!P24=0,0,SER_hh_emih!P24/SER_summary!P$26)</f>
        <v>2.1044471381565031</v>
      </c>
      <c r="Q24" s="132">
        <f>IF(SER_hh_emih!Q24=0,0,SER_hh_emih!Q24/SER_summary!Q$26)</f>
        <v>1.4183562544307364</v>
      </c>
      <c r="R24" s="132">
        <f>IF(SER_hh_emih!R24=0,0,SER_hh_emih!R24/SER_summary!R$26)</f>
        <v>1.6821512644921153</v>
      </c>
      <c r="S24" s="132">
        <f>IF(SER_hh_emih!S24=0,0,SER_hh_emih!S24/SER_summary!S$26)</f>
        <v>1.762556950765592</v>
      </c>
      <c r="T24" s="132">
        <f>IF(SER_hh_emih!T24=0,0,SER_hh_emih!T24/SER_summary!T$26)</f>
        <v>1.4370608925342772</v>
      </c>
      <c r="U24" s="132">
        <f>IF(SER_hh_emih!U24=0,0,SER_hh_emih!U24/SER_summary!U$26)</f>
        <v>1.3667736558671013</v>
      </c>
      <c r="V24" s="132">
        <f>IF(SER_hh_emih!V24=0,0,SER_hh_emih!V24/SER_summary!V$26)</f>
        <v>1.6174057768456178</v>
      </c>
      <c r="W24" s="132">
        <f>IF(SER_hh_emih!W24=0,0,SER_hh_emih!W24/SER_summary!W$26)</f>
        <v>1.5911184813544557</v>
      </c>
      <c r="X24" s="132">
        <f>IF(SER_hh_emih!X24=0,0,SER_hh_emih!X24/SER_summary!X$26)</f>
        <v>2.4106243053503529</v>
      </c>
      <c r="Y24" s="132">
        <f>IF(SER_hh_emih!Y24=0,0,SER_hh_emih!Y24/SER_summary!Y$26)</f>
        <v>2.0626209899020207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2.9041690426479745</v>
      </c>
      <c r="C29" s="130">
        <f>IF(SER_hh_emih!C29=0,0,SER_hh_emih!C29/SER_summary!C$26)</f>
        <v>2.2803283604664522</v>
      </c>
      <c r="D29" s="130">
        <f>IF(SER_hh_emih!D29=0,0,SER_hh_emih!D29/SER_summary!D$26)</f>
        <v>3.0750326636648171</v>
      </c>
      <c r="E29" s="130">
        <f>IF(SER_hh_emih!E29=0,0,SER_hh_emih!E29/SER_summary!E$26)</f>
        <v>3.2539063466446643</v>
      </c>
      <c r="F29" s="130">
        <f>IF(SER_hh_emih!F29=0,0,SER_hh_emih!F29/SER_summary!F$26)</f>
        <v>3.3859706383347024</v>
      </c>
      <c r="G29" s="130">
        <f>IF(SER_hh_emih!G29=0,0,SER_hh_emih!G29/SER_summary!G$26)</f>
        <v>2.3960646978117075</v>
      </c>
      <c r="H29" s="130">
        <f>IF(SER_hh_emih!H29=0,0,SER_hh_emih!H29/SER_summary!H$26)</f>
        <v>2.1055984325130743</v>
      </c>
      <c r="I29" s="130">
        <f>IF(SER_hh_emih!I29=0,0,SER_hh_emih!I29/SER_summary!I$26)</f>
        <v>2.1736535116580638</v>
      </c>
      <c r="J29" s="130">
        <f>IF(SER_hh_emih!J29=0,0,SER_hh_emih!J29/SER_summary!J$26)</f>
        <v>2.2570728079362388</v>
      </c>
      <c r="K29" s="130">
        <f>IF(SER_hh_emih!K29=0,0,SER_hh_emih!K29/SER_summary!K$26)</f>
        <v>2.6197631622428323</v>
      </c>
      <c r="L29" s="130">
        <f>IF(SER_hh_emih!L29=0,0,SER_hh_emih!L29/SER_summary!L$26)</f>
        <v>2.6108938037750424</v>
      </c>
      <c r="M29" s="130">
        <f>IF(SER_hh_emih!M29=0,0,SER_hh_emih!M29/SER_summary!M$26)</f>
        <v>2.1412812751525148</v>
      </c>
      <c r="N29" s="130">
        <f>IF(SER_hh_emih!N29=0,0,SER_hh_emih!N29/SER_summary!N$26)</f>
        <v>2.1840045600037805</v>
      </c>
      <c r="O29" s="130">
        <f>IF(SER_hh_emih!O29=0,0,SER_hh_emih!O29/SER_summary!O$26)</f>
        <v>2.118711848605241</v>
      </c>
      <c r="P29" s="130">
        <f>IF(SER_hh_emih!P29=0,0,SER_hh_emih!P29/SER_summary!P$26)</f>
        <v>2.1759736413415589</v>
      </c>
      <c r="Q29" s="130">
        <f>IF(SER_hh_emih!Q29=0,0,SER_hh_emih!Q29/SER_summary!Q$26)</f>
        <v>2.4127679439187539</v>
      </c>
      <c r="R29" s="130">
        <f>IF(SER_hh_emih!R29=0,0,SER_hh_emih!R29/SER_summary!R$26)</f>
        <v>2.275242715885113</v>
      </c>
      <c r="S29" s="130">
        <f>IF(SER_hh_emih!S29=0,0,SER_hh_emih!S29/SER_summary!S$26)</f>
        <v>2.373467759542141</v>
      </c>
      <c r="T29" s="130">
        <f>IF(SER_hh_emih!T29=0,0,SER_hh_emih!T29/SER_summary!T$26)</f>
        <v>2.3462060401127109</v>
      </c>
      <c r="U29" s="130">
        <f>IF(SER_hh_emih!U29=0,0,SER_hh_emih!U29/SER_summary!U$26)</f>
        <v>2.3326543695176589</v>
      </c>
      <c r="V29" s="130">
        <f>IF(SER_hh_emih!V29=0,0,SER_hh_emih!V29/SER_summary!V$26)</f>
        <v>2.0400126201377429</v>
      </c>
      <c r="W29" s="130">
        <f>IF(SER_hh_emih!W29=0,0,SER_hh_emih!W29/SER_summary!W$26)</f>
        <v>2.3193749402477821</v>
      </c>
      <c r="X29" s="130">
        <f>IF(SER_hh_emih!X29=0,0,SER_hh_emih!X29/SER_summary!X$26)</f>
        <v>2.0059752997953013</v>
      </c>
      <c r="Y29" s="130">
        <f>IF(SER_hh_emih!Y29=0,0,SER_hh_emih!Y29/SER_summary!Y$26)</f>
        <v>1.8884007369928191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8.2204409796821807</v>
      </c>
      <c r="C30" s="132">
        <f>IF(SER_hh_emih!C30=0,0,SER_hh_emih!C30/SER_summary!C$26)</f>
        <v>2.8064723319728979</v>
      </c>
      <c r="D30" s="132">
        <f>IF(SER_hh_emih!D30=0,0,SER_hh_emih!D30/SER_summary!D$26)</f>
        <v>6.8295174265577367</v>
      </c>
      <c r="E30" s="132">
        <f>IF(SER_hh_emih!E30=0,0,SER_hh_emih!E30/SER_summary!E$26)</f>
        <v>6.7399824658876177</v>
      </c>
      <c r="F30" s="132">
        <f>IF(SER_hh_emih!F30=0,0,SER_hh_emih!F30/SER_summary!F$26)</f>
        <v>7.3996523951878288</v>
      </c>
      <c r="G30" s="132">
        <f>IF(SER_hh_emih!G30=0,0,SER_hh_emih!G30/SER_summary!G$26)</f>
        <v>6.1022349481877232</v>
      </c>
      <c r="H30" s="132">
        <f>IF(SER_hh_emih!H30=0,0,SER_hh_emih!H30/SER_summary!H$26)</f>
        <v>5.433157443510173</v>
      </c>
      <c r="I30" s="132">
        <f>IF(SER_hh_emih!I30=0,0,SER_hh_emih!I30/SER_summary!I$26)</f>
        <v>6.0952166233203755</v>
      </c>
      <c r="J30" s="132">
        <f>IF(SER_hh_emih!J30=0,0,SER_hh_emih!J30/SER_summary!J$26)</f>
        <v>6.7171891270873489</v>
      </c>
      <c r="K30" s="132">
        <f>IF(SER_hh_emih!K30=0,0,SER_hh_emih!K30/SER_summary!K$26)</f>
        <v>6.6278796924648642</v>
      </c>
      <c r="L30" s="132">
        <f>IF(SER_hh_emih!L30=0,0,SER_hh_emih!L30/SER_summary!L$26)</f>
        <v>7.4644154119691501</v>
      </c>
      <c r="M30" s="132">
        <f>IF(SER_hh_emih!M30=0,0,SER_hh_emih!M30/SER_summary!M$26)</f>
        <v>5.3617895741077177</v>
      </c>
      <c r="N30" s="132">
        <f>IF(SER_hh_emih!N30=0,0,SER_hh_emih!N30/SER_summary!N$26)</f>
        <v>7.1643086015366366</v>
      </c>
      <c r="O30" s="132">
        <f>IF(SER_hh_emih!O30=0,0,SER_hh_emih!O30/SER_summary!O$26)</f>
        <v>6.4256383458618007</v>
      </c>
      <c r="P30" s="132">
        <f>IF(SER_hh_emih!P30=0,0,SER_hh_emih!P30/SER_summary!P$26)</f>
        <v>6.1474980455098187</v>
      </c>
      <c r="Q30" s="132">
        <f>IF(SER_hh_emih!Q30=0,0,SER_hh_emih!Q30/SER_summary!Q$26)</f>
        <v>7.2226347539273004</v>
      </c>
      <c r="R30" s="132">
        <f>IF(SER_hh_emih!R30=0,0,SER_hh_emih!R30/SER_summary!R$26)</f>
        <v>6.6775612559281088</v>
      </c>
      <c r="S30" s="132">
        <f>IF(SER_hh_emih!S30=0,0,SER_hh_emih!S30/SER_summary!S$26)</f>
        <v>7.1473908254258074</v>
      </c>
      <c r="T30" s="132">
        <f>IF(SER_hh_emih!T30=0,0,SER_hh_emih!T30/SER_summary!T$26)</f>
        <v>6.8998570587569432</v>
      </c>
      <c r="U30" s="132">
        <f>IF(SER_hh_emih!U30=0,0,SER_hh_emih!U30/SER_summary!U$26)</f>
        <v>7.5165127804690108</v>
      </c>
      <c r="V30" s="132">
        <f>IF(SER_hh_emih!V30=0,0,SER_hh_emih!V30/SER_summary!V$26)</f>
        <v>6.8882914333846212</v>
      </c>
      <c r="W30" s="132">
        <f>IF(SER_hh_emih!W30=0,0,SER_hh_emih!W30/SER_summary!W$26)</f>
        <v>5.1628832029928891</v>
      </c>
      <c r="X30" s="132">
        <f>IF(SER_hh_emih!X30=0,0,SER_hh_emih!X30/SER_summary!X$26)</f>
        <v>6.4102478126073921</v>
      </c>
      <c r="Y30" s="132">
        <f>IF(SER_hh_emih!Y30=0,0,SER_hh_emih!Y30/SER_summary!Y$26)</f>
        <v>7.0230114022673202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5.3548835755345472</v>
      </c>
      <c r="C31" s="132">
        <f>IF(SER_hh_emih!C31=0,0,SER_hh_emih!C31/SER_summary!C$26)</f>
        <v>5.3596478390998463</v>
      </c>
      <c r="D31" s="132">
        <f>IF(SER_hh_emih!D31=0,0,SER_hh_emih!D31/SER_summary!D$26)</f>
        <v>5.3232766206021624</v>
      </c>
      <c r="E31" s="132">
        <f>IF(SER_hh_emih!E31=0,0,SER_hh_emih!E31/SER_summary!E$26)</f>
        <v>5.5573534032770482</v>
      </c>
      <c r="F31" s="132">
        <f>IF(SER_hh_emih!F31=0,0,SER_hh_emih!F31/SER_summary!F$26)</f>
        <v>6.0222426028321436</v>
      </c>
      <c r="G31" s="132">
        <f>IF(SER_hh_emih!G31=0,0,SER_hh_emih!G31/SER_summary!G$26)</f>
        <v>4.7050772187845764</v>
      </c>
      <c r="H31" s="132">
        <f>IF(SER_hh_emih!H31=0,0,SER_hh_emih!H31/SER_summary!H$26)</f>
        <v>5.1183414088589574</v>
      </c>
      <c r="I31" s="132">
        <f>IF(SER_hh_emih!I31=0,0,SER_hh_emih!I31/SER_summary!I$26)</f>
        <v>5.3475103224200131</v>
      </c>
      <c r="J31" s="132">
        <f>IF(SER_hh_emih!J31=0,0,SER_hh_emih!J31/SER_summary!J$26)</f>
        <v>4.9751954479646461</v>
      </c>
      <c r="K31" s="132">
        <f>IF(SER_hh_emih!K31=0,0,SER_hh_emih!K31/SER_summary!K$26)</f>
        <v>6.2298691107509017</v>
      </c>
      <c r="L31" s="132">
        <f>IF(SER_hh_emih!L31=0,0,SER_hh_emih!L31/SER_summary!L$26)</f>
        <v>5.7724287106131102</v>
      </c>
      <c r="M31" s="132">
        <f>IF(SER_hh_emih!M31=0,0,SER_hh_emih!M31/SER_summary!M$26)</f>
        <v>5.7692531702782324</v>
      </c>
      <c r="N31" s="132">
        <f>IF(SER_hh_emih!N31=0,0,SER_hh_emih!N31/SER_summary!N$26)</f>
        <v>5.437535849389211</v>
      </c>
      <c r="O31" s="132">
        <f>IF(SER_hh_emih!O31=0,0,SER_hh_emih!O31/SER_summary!O$26)</f>
        <v>5.7387093597469763</v>
      </c>
      <c r="P31" s="132">
        <f>IF(SER_hh_emih!P31=0,0,SER_hh_emih!P31/SER_summary!P$26)</f>
        <v>6.0032855665753413</v>
      </c>
      <c r="Q31" s="132">
        <f>IF(SER_hh_emih!Q31=0,0,SER_hh_emih!Q31/SER_summary!Q$26)</f>
        <v>6.1422741674103563</v>
      </c>
      <c r="R31" s="132">
        <f>IF(SER_hh_emih!R31=0,0,SER_hh_emih!R31/SER_summary!R$26)</f>
        <v>5.8576093047978901</v>
      </c>
      <c r="S31" s="132">
        <f>IF(SER_hh_emih!S31=0,0,SER_hh_emih!S31/SER_summary!S$26)</f>
        <v>5.9474949703494318</v>
      </c>
      <c r="T31" s="132">
        <f>IF(SER_hh_emih!T31=0,0,SER_hh_emih!T31/SER_summary!T$26)</f>
        <v>6.0373710926820552</v>
      </c>
      <c r="U31" s="132">
        <f>IF(SER_hh_emih!U31=0,0,SER_hh_emih!U31/SER_summary!U$26)</f>
        <v>5.7058096260406259</v>
      </c>
      <c r="V31" s="132">
        <f>IF(SER_hh_emih!V31=0,0,SER_hh_emih!V31/SER_summary!V$26)</f>
        <v>5.0016812835436246</v>
      </c>
      <c r="W31" s="132">
        <f>IF(SER_hh_emih!W31=0,0,SER_hh_emih!W31/SER_summary!W$26)</f>
        <v>6.9890229663101335</v>
      </c>
      <c r="X31" s="132">
        <f>IF(SER_hh_emih!X31=0,0,SER_hh_emih!X31/SER_summary!X$26)</f>
        <v>5.8175263449239871</v>
      </c>
      <c r="Y31" s="132">
        <f>IF(SER_hh_emih!Y31=0,0,SER_hh_emih!Y31/SER_summary!Y$26)</f>
        <v>5.4516905409583938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17416.435608454813</v>
      </c>
      <c r="D3" s="124">
        <f t="shared" si="0"/>
        <v>17470.992925208</v>
      </c>
      <c r="E3" s="124">
        <f t="shared" si="0"/>
        <v>17526.069835454666</v>
      </c>
      <c r="F3" s="124">
        <f t="shared" si="0"/>
        <v>17580.62715220797</v>
      </c>
      <c r="G3" s="124">
        <f t="shared" si="0"/>
        <v>17635.704062454035</v>
      </c>
      <c r="H3" s="124">
        <f t="shared" si="0"/>
        <v>18855.690751352195</v>
      </c>
      <c r="I3" s="124">
        <f t="shared" si="0"/>
        <v>22378.881028806427</v>
      </c>
      <c r="J3" s="124">
        <f t="shared" si="0"/>
        <v>18988.187092038832</v>
      </c>
      <c r="K3" s="124">
        <f t="shared" si="0"/>
        <v>10965.374898769904</v>
      </c>
      <c r="L3" s="124">
        <f t="shared" si="0"/>
        <v>16713.26982518689</v>
      </c>
      <c r="M3" s="124">
        <f t="shared" si="0"/>
        <v>18236.727339865072</v>
      </c>
      <c r="N3" s="124">
        <f t="shared" si="0"/>
        <v>12434.455715811595</v>
      </c>
      <c r="O3" s="124">
        <f t="shared" si="0"/>
        <v>11126.700770485999</v>
      </c>
      <c r="P3" s="124">
        <f t="shared" si="0"/>
        <v>17800.993102114597</v>
      </c>
      <c r="Q3" s="124">
        <f t="shared" si="0"/>
        <v>4414.9859090840582</v>
      </c>
      <c r="R3" s="124">
        <f t="shared" si="0"/>
        <v>15091.92301664586</v>
      </c>
      <c r="S3" s="124">
        <f t="shared" si="0"/>
        <v>15989.435937045397</v>
      </c>
      <c r="T3" s="124">
        <f t="shared" si="0"/>
        <v>17758.903715530974</v>
      </c>
      <c r="U3" s="124">
        <f t="shared" si="0"/>
        <v>17609.2561959796</v>
      </c>
      <c r="V3" s="124">
        <f t="shared" si="0"/>
        <v>16884.674321653678</v>
      </c>
      <c r="W3" s="124">
        <f t="shared" si="0"/>
        <v>16512.994317822166</v>
      </c>
      <c r="X3" s="124">
        <f t="shared" si="0"/>
        <v>16291.566417486411</v>
      </c>
      <c r="Y3" s="124">
        <f t="shared" si="0"/>
        <v>16224.966931518989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17416.435608454813</v>
      </c>
      <c r="D4" s="139">
        <f t="shared" si="1"/>
        <v>17470.992925208</v>
      </c>
      <c r="E4" s="139">
        <f t="shared" si="1"/>
        <v>17526.069835454666</v>
      </c>
      <c r="F4" s="139">
        <f t="shared" si="1"/>
        <v>17580.62715220797</v>
      </c>
      <c r="G4" s="139">
        <f t="shared" si="1"/>
        <v>17635.704062454035</v>
      </c>
      <c r="H4" s="139">
        <f t="shared" si="1"/>
        <v>18855.690751352195</v>
      </c>
      <c r="I4" s="139">
        <f t="shared" si="1"/>
        <v>22378.881028806427</v>
      </c>
      <c r="J4" s="139">
        <f t="shared" si="1"/>
        <v>18988.187092038832</v>
      </c>
      <c r="K4" s="139">
        <f t="shared" si="1"/>
        <v>10965.374898769904</v>
      </c>
      <c r="L4" s="139">
        <f t="shared" si="1"/>
        <v>16713.26982518689</v>
      </c>
      <c r="M4" s="139">
        <f t="shared" si="1"/>
        <v>18236.727339865072</v>
      </c>
      <c r="N4" s="139">
        <f t="shared" si="1"/>
        <v>12434.455715811595</v>
      </c>
      <c r="O4" s="139">
        <f t="shared" si="1"/>
        <v>11126.700770485999</v>
      </c>
      <c r="P4" s="139">
        <f t="shared" si="1"/>
        <v>17800.993102114597</v>
      </c>
      <c r="Q4" s="139">
        <f t="shared" si="1"/>
        <v>4414.9859090840582</v>
      </c>
      <c r="R4" s="139">
        <f t="shared" ref="R4:W4" si="2">SUM(R5:R14)</f>
        <v>15091.92301664586</v>
      </c>
      <c r="S4" s="139">
        <f t="shared" si="2"/>
        <v>15989.435937045397</v>
      </c>
      <c r="T4" s="139">
        <f t="shared" si="2"/>
        <v>17758.903715530974</v>
      </c>
      <c r="U4" s="139">
        <f t="shared" si="2"/>
        <v>17609.2561959796</v>
      </c>
      <c r="V4" s="139">
        <f t="shared" si="2"/>
        <v>16884.674321653678</v>
      </c>
      <c r="W4" s="139">
        <f t="shared" si="2"/>
        <v>16512.994317822166</v>
      </c>
      <c r="X4" s="139">
        <f t="shared" ref="X4:Y4" si="3">SUM(X5:X14)</f>
        <v>16291.566417486411</v>
      </c>
      <c r="Y4" s="139">
        <f t="shared" si="3"/>
        <v>16224.966931518989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177.14604319813063</v>
      </c>
      <c r="G5" s="140">
        <v>411.7041440823761</v>
      </c>
      <c r="H5" s="140">
        <v>416.85613547442972</v>
      </c>
      <c r="I5" s="140">
        <v>292.56487339212788</v>
      </c>
      <c r="J5" s="140">
        <v>120.750043016877</v>
      </c>
      <c r="K5" s="140">
        <v>0</v>
      </c>
      <c r="L5" s="140">
        <v>0</v>
      </c>
      <c r="M5" s="140">
        <v>0</v>
      </c>
      <c r="N5" s="140">
        <v>0</v>
      </c>
      <c r="O5" s="140">
        <v>23.522278220599581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55.548016772232678</v>
      </c>
      <c r="V5" s="140">
        <v>128.13955140798987</v>
      </c>
      <c r="W5" s="140">
        <v>167.84718403878128</v>
      </c>
      <c r="X5" s="140">
        <v>128.20510141122185</v>
      </c>
      <c r="Y5" s="140">
        <v>72.546192268595263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3530.2865454004504</v>
      </c>
      <c r="D7" s="140">
        <v>1128.1786759810423</v>
      </c>
      <c r="E7" s="140">
        <v>1735.4177480631288</v>
      </c>
      <c r="F7" s="140">
        <v>2077.8985067821636</v>
      </c>
      <c r="G7" s="140">
        <v>2549.3350569951831</v>
      </c>
      <c r="H7" s="140">
        <v>4190.5383150697226</v>
      </c>
      <c r="I7" s="140">
        <v>4292.7383484758375</v>
      </c>
      <c r="J7" s="140">
        <v>4417.0221513890147</v>
      </c>
      <c r="K7" s="140">
        <v>2159.8291407508382</v>
      </c>
      <c r="L7" s="140">
        <v>1457.052923796643</v>
      </c>
      <c r="M7" s="140">
        <v>2412.9322325548942</v>
      </c>
      <c r="N7" s="140">
        <v>2300.8380708601885</v>
      </c>
      <c r="O7" s="140">
        <v>2913.061401757473</v>
      </c>
      <c r="P7" s="140">
        <v>4198.8308160864126</v>
      </c>
      <c r="Q7" s="140">
        <v>287.056234202008</v>
      </c>
      <c r="R7" s="140">
        <v>0</v>
      </c>
      <c r="S7" s="140">
        <v>906.47480623791239</v>
      </c>
      <c r="T7" s="140">
        <v>1761.4945905070133</v>
      </c>
      <c r="U7" s="140">
        <v>2813.2643473778526</v>
      </c>
      <c r="V7" s="140">
        <v>3817.6925650138096</v>
      </c>
      <c r="W7" s="140">
        <v>2576.309161791879</v>
      </c>
      <c r="X7" s="140">
        <v>4314.943511990321</v>
      </c>
      <c r="Y7" s="140">
        <v>3875.3227476200059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5.8273708127954995</v>
      </c>
      <c r="D8" s="140">
        <v>16.186757060030438</v>
      </c>
      <c r="E8" s="140">
        <v>28.217272164068916</v>
      </c>
      <c r="F8" s="140">
        <v>44.077510622862953</v>
      </c>
      <c r="G8" s="140">
        <v>67.54210032741824</v>
      </c>
      <c r="H8" s="140">
        <v>76.011417811849924</v>
      </c>
      <c r="I8" s="140">
        <v>67.629154983852573</v>
      </c>
      <c r="J8" s="140">
        <v>41.259304376063838</v>
      </c>
      <c r="K8" s="140">
        <v>43.770285844072433</v>
      </c>
      <c r="L8" s="140">
        <v>131.97557500730818</v>
      </c>
      <c r="M8" s="140">
        <v>284.85350235159643</v>
      </c>
      <c r="N8" s="140">
        <v>187.39699684194215</v>
      </c>
      <c r="O8" s="140">
        <v>226.96086592123891</v>
      </c>
      <c r="P8" s="140">
        <v>605.81153132028419</v>
      </c>
      <c r="Q8" s="140">
        <v>153.43442660659426</v>
      </c>
      <c r="R8" s="140">
        <v>298.89578625395279</v>
      </c>
      <c r="S8" s="140">
        <v>199.55010180676092</v>
      </c>
      <c r="T8" s="140">
        <v>174.73947905975893</v>
      </c>
      <c r="U8" s="140">
        <v>151.19504087920743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2415.4433843816828</v>
      </c>
      <c r="D9" s="140">
        <v>6191.515749183809</v>
      </c>
      <c r="E9" s="140">
        <v>8749.5747583750217</v>
      </c>
      <c r="F9" s="140">
        <v>7317.7164364232358</v>
      </c>
      <c r="G9" s="140">
        <v>7377.7530094349731</v>
      </c>
      <c r="H9" s="140">
        <v>5104.5107552783502</v>
      </c>
      <c r="I9" s="140">
        <v>7584.3923225804092</v>
      </c>
      <c r="J9" s="140">
        <v>6823.5725146177429</v>
      </c>
      <c r="K9" s="140">
        <v>4427.6751344670365</v>
      </c>
      <c r="L9" s="140">
        <v>7042.9551302425361</v>
      </c>
      <c r="M9" s="140">
        <v>6341.4252645134729</v>
      </c>
      <c r="N9" s="140">
        <v>4659.1037628738031</v>
      </c>
      <c r="O9" s="140">
        <v>3690.1148948570994</v>
      </c>
      <c r="P9" s="140">
        <v>7401.2193513635139</v>
      </c>
      <c r="Q9" s="140">
        <v>1621.8622807150589</v>
      </c>
      <c r="R9" s="140">
        <v>7511.1139032807623</v>
      </c>
      <c r="S9" s="140">
        <v>8399.0596769078602</v>
      </c>
      <c r="T9" s="140">
        <v>9844.8801680183606</v>
      </c>
      <c r="U9" s="140">
        <v>8684.4724591687118</v>
      </c>
      <c r="V9" s="140">
        <v>6489.9792419210189</v>
      </c>
      <c r="W9" s="140">
        <v>7464.0673206545198</v>
      </c>
      <c r="X9" s="140">
        <v>4591.098148449968</v>
      </c>
      <c r="Y9" s="140">
        <v>5268.7230856955412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807.93441277279805</v>
      </c>
      <c r="D10" s="140">
        <v>1061.4843864648974</v>
      </c>
      <c r="E10" s="140">
        <v>537.88016625613875</v>
      </c>
      <c r="F10" s="140">
        <v>0</v>
      </c>
      <c r="G10" s="140">
        <v>0</v>
      </c>
      <c r="H10" s="140">
        <v>0</v>
      </c>
      <c r="I10" s="140">
        <v>576.35816817632622</v>
      </c>
      <c r="J10" s="140">
        <v>854.21125357556048</v>
      </c>
      <c r="K10" s="140">
        <v>274.50790669145516</v>
      </c>
      <c r="L10" s="140">
        <v>103.50565887425034</v>
      </c>
      <c r="M10" s="140">
        <v>99.60482004427314</v>
      </c>
      <c r="N10" s="140">
        <v>382.17734888737107</v>
      </c>
      <c r="O10" s="140">
        <v>565.46161151739841</v>
      </c>
      <c r="P10" s="140">
        <v>863.42401614236053</v>
      </c>
      <c r="Q10" s="140">
        <v>138.83787763778633</v>
      </c>
      <c r="R10" s="140">
        <v>439.88377798721734</v>
      </c>
      <c r="S10" s="140">
        <v>395.08861846693929</v>
      </c>
      <c r="T10" s="140">
        <v>361.32318236494899</v>
      </c>
      <c r="U10" s="140">
        <v>421.73717864122682</v>
      </c>
      <c r="V10" s="140">
        <v>719.83159299197075</v>
      </c>
      <c r="W10" s="140">
        <v>991.95975698640495</v>
      </c>
      <c r="X10" s="140">
        <v>1326.5171425314827</v>
      </c>
      <c r="Y10" s="140">
        <v>998.05930325222619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405.82290427586122</v>
      </c>
      <c r="E11" s="140">
        <v>55.45814242889923</v>
      </c>
      <c r="F11" s="140">
        <v>5.4813114033286983</v>
      </c>
      <c r="G11" s="140">
        <v>0</v>
      </c>
      <c r="H11" s="140">
        <v>0</v>
      </c>
      <c r="I11" s="140">
        <v>0</v>
      </c>
      <c r="J11" s="140">
        <v>0</v>
      </c>
      <c r="K11" s="140">
        <v>1.3127184046777485</v>
      </c>
      <c r="L11" s="140">
        <v>11.056340168239519</v>
      </c>
      <c r="M11" s="140">
        <v>38.626167226769311</v>
      </c>
      <c r="N11" s="140">
        <v>6.6701607520119213</v>
      </c>
      <c r="O11" s="140">
        <v>2.3112756721111305</v>
      </c>
      <c r="P11" s="140">
        <v>58.136258591999983</v>
      </c>
      <c r="Q11" s="140">
        <v>19.157320749119879</v>
      </c>
      <c r="R11" s="140">
        <v>56.900593149412792</v>
      </c>
      <c r="S11" s="140">
        <v>59.104018799274805</v>
      </c>
      <c r="T11" s="140">
        <v>79.259419168443685</v>
      </c>
      <c r="U11" s="140">
        <v>18.0771937512798</v>
      </c>
      <c r="V11" s="140">
        <v>14.05683186391945</v>
      </c>
      <c r="W11" s="140">
        <v>28.485349998292822</v>
      </c>
      <c r="X11" s="140">
        <v>26.31290369443305</v>
      </c>
      <c r="Y11" s="140">
        <v>30.193786281121326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4172.6886196579326</v>
      </c>
      <c r="D12" s="140">
        <v>2877.1094647821183</v>
      </c>
      <c r="E12" s="140">
        <v>1618.1968101994216</v>
      </c>
      <c r="F12" s="140">
        <v>1688.5491212833863</v>
      </c>
      <c r="G12" s="140">
        <v>780.51346555789917</v>
      </c>
      <c r="H12" s="140">
        <v>0</v>
      </c>
      <c r="I12" s="140">
        <v>0</v>
      </c>
      <c r="J12" s="140">
        <v>0</v>
      </c>
      <c r="K12" s="140">
        <v>0</v>
      </c>
      <c r="L12" s="140">
        <v>826.32612094057572</v>
      </c>
      <c r="M12" s="140">
        <v>1483.1313696878212</v>
      </c>
      <c r="N12" s="140">
        <v>984.25633904804442</v>
      </c>
      <c r="O12" s="140">
        <v>1070.9517422601589</v>
      </c>
      <c r="P12" s="140">
        <v>2116.8585388853803</v>
      </c>
      <c r="Q12" s="140">
        <v>727.65817075997882</v>
      </c>
      <c r="R12" s="140">
        <v>2106.4398924378106</v>
      </c>
      <c r="S12" s="140">
        <v>1819.6216876923904</v>
      </c>
      <c r="T12" s="140">
        <v>1406.5371177159116</v>
      </c>
      <c r="U12" s="140">
        <v>1248.7733746396591</v>
      </c>
      <c r="V12" s="140">
        <v>1381.0109295283569</v>
      </c>
      <c r="W12" s="140">
        <v>1269.0249643347738</v>
      </c>
      <c r="X12" s="140">
        <v>1194.9001788820312</v>
      </c>
      <c r="Y12" s="140">
        <v>1439.1958702601958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348.22604771972073</v>
      </c>
      <c r="D13" s="140">
        <v>507.39490024973833</v>
      </c>
      <c r="E13" s="140">
        <v>461.14066346287194</v>
      </c>
      <c r="F13" s="140">
        <v>571.90469182526965</v>
      </c>
      <c r="G13" s="140">
        <v>708.53106149452401</v>
      </c>
      <c r="H13" s="140">
        <v>908.69227669207226</v>
      </c>
      <c r="I13" s="140">
        <v>887.38858852374779</v>
      </c>
      <c r="J13" s="140">
        <v>808.00137138954096</v>
      </c>
      <c r="K13" s="140">
        <v>704.72278560905158</v>
      </c>
      <c r="L13" s="140">
        <v>1530.7302255256004</v>
      </c>
      <c r="M13" s="140">
        <v>2596.3913299966334</v>
      </c>
      <c r="N13" s="140">
        <v>1181.5332122718821</v>
      </c>
      <c r="O13" s="140">
        <v>774.86617324587201</v>
      </c>
      <c r="P13" s="140">
        <v>929.98728002120754</v>
      </c>
      <c r="Q13" s="140">
        <v>275.01682282326277</v>
      </c>
      <c r="R13" s="140">
        <v>808.73350548134749</v>
      </c>
      <c r="S13" s="140">
        <v>620.05091835351027</v>
      </c>
      <c r="T13" s="140">
        <v>810.43277598885777</v>
      </c>
      <c r="U13" s="140">
        <v>925.48957246792565</v>
      </c>
      <c r="V13" s="140">
        <v>336.55094665230706</v>
      </c>
      <c r="W13" s="140">
        <v>268.74451994411737</v>
      </c>
      <c r="X13" s="140">
        <v>0</v>
      </c>
      <c r="Y13" s="140">
        <v>0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6136.0292277094341</v>
      </c>
      <c r="D14" s="141">
        <v>5283.3000872105022</v>
      </c>
      <c r="E14" s="141">
        <v>4340.1842745051163</v>
      </c>
      <c r="F14" s="141">
        <v>5697.8535306695903</v>
      </c>
      <c r="G14" s="141">
        <v>5740.3252245616623</v>
      </c>
      <c r="H14" s="141">
        <v>8159.0818510257695</v>
      </c>
      <c r="I14" s="141">
        <v>8677.8095726741267</v>
      </c>
      <c r="J14" s="141">
        <v>5923.3704536740324</v>
      </c>
      <c r="K14" s="141">
        <v>3353.5569270027709</v>
      </c>
      <c r="L14" s="141">
        <v>5609.6678506317357</v>
      </c>
      <c r="M14" s="141">
        <v>4979.7626534896126</v>
      </c>
      <c r="N14" s="141">
        <v>2732.4798242763522</v>
      </c>
      <c r="O14" s="141">
        <v>1859.4505270340471</v>
      </c>
      <c r="P14" s="141">
        <v>1626.7253097034384</v>
      </c>
      <c r="Q14" s="141">
        <v>1191.9627755902495</v>
      </c>
      <c r="R14" s="141">
        <v>3869.9555580553588</v>
      </c>
      <c r="S14" s="141">
        <v>3590.4861087807471</v>
      </c>
      <c r="T14" s="141">
        <v>3320.2369827076777</v>
      </c>
      <c r="U14" s="141">
        <v>3290.6990122815023</v>
      </c>
      <c r="V14" s="141">
        <v>3997.4126622743079</v>
      </c>
      <c r="W14" s="141">
        <v>3746.5560600733947</v>
      </c>
      <c r="X14" s="141">
        <v>4709.589430526953</v>
      </c>
      <c r="Y14" s="141">
        <v>4540.9259461413048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10932.180333025659</v>
      </c>
      <c r="D15" s="143">
        <f t="shared" si="4"/>
        <v>11680.29793774776</v>
      </c>
      <c r="E15" s="143">
        <f t="shared" si="4"/>
        <v>12724.744897486678</v>
      </c>
      <c r="F15" s="143">
        <f t="shared" si="4"/>
        <v>11310.868929713108</v>
      </c>
      <c r="G15" s="143">
        <f t="shared" si="4"/>
        <v>11186.847776397848</v>
      </c>
      <c r="H15" s="143">
        <f t="shared" si="4"/>
        <v>9787.9166236343517</v>
      </c>
      <c r="I15" s="143">
        <f t="shared" si="4"/>
        <v>12813.682867608553</v>
      </c>
      <c r="J15" s="143">
        <f t="shared" si="4"/>
        <v>12256.815266975258</v>
      </c>
      <c r="K15" s="143">
        <f t="shared" si="4"/>
        <v>6907.0951861580807</v>
      </c>
      <c r="L15" s="143">
        <f t="shared" si="4"/>
        <v>9572.871749029553</v>
      </c>
      <c r="M15" s="143">
        <f t="shared" si="4"/>
        <v>10660.573356378827</v>
      </c>
      <c r="N15" s="143">
        <f t="shared" si="4"/>
        <v>8520.4426792633603</v>
      </c>
      <c r="O15" s="143">
        <f t="shared" si="4"/>
        <v>8492.3840702060807</v>
      </c>
      <c r="P15" s="143">
        <f t="shared" si="4"/>
        <v>15244.280512389952</v>
      </c>
      <c r="Q15" s="143">
        <f t="shared" si="4"/>
        <v>2948.0063106705461</v>
      </c>
      <c r="R15" s="143">
        <f t="shared" ref="R15:W15" si="5">SUM(R5:R12)</f>
        <v>10413.233953109155</v>
      </c>
      <c r="S15" s="143">
        <f t="shared" si="5"/>
        <v>11778.898909911139</v>
      </c>
      <c r="T15" s="143">
        <f t="shared" si="5"/>
        <v>13628.233956834438</v>
      </c>
      <c r="U15" s="143">
        <f t="shared" si="5"/>
        <v>13393.06761123017</v>
      </c>
      <c r="V15" s="143">
        <f t="shared" si="5"/>
        <v>12550.710712727065</v>
      </c>
      <c r="W15" s="143">
        <f t="shared" si="5"/>
        <v>12497.693737804653</v>
      </c>
      <c r="X15" s="143">
        <f t="shared" ref="X15:Y15" si="6">SUM(X5:X12)</f>
        <v>11581.976986959458</v>
      </c>
      <c r="Y15" s="143">
        <f t="shared" si="6"/>
        <v>11684.040985377686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17416.435608454816</v>
      </c>
      <c r="D16" s="139">
        <f t="shared" si="7"/>
        <v>17470.992925208</v>
      </c>
      <c r="E16" s="139">
        <f t="shared" si="7"/>
        <v>17526.069835454669</v>
      </c>
      <c r="F16" s="139">
        <f t="shared" si="7"/>
        <v>17580.62715220797</v>
      </c>
      <c r="G16" s="139">
        <f t="shared" si="7"/>
        <v>17635.704062454035</v>
      </c>
      <c r="H16" s="139">
        <f t="shared" si="7"/>
        <v>18855.690751352191</v>
      </c>
      <c r="I16" s="139">
        <f t="shared" si="7"/>
        <v>22378.881028806427</v>
      </c>
      <c r="J16" s="139">
        <f t="shared" si="7"/>
        <v>18988.187092038832</v>
      </c>
      <c r="K16" s="139">
        <f t="shared" si="7"/>
        <v>10965.374898769902</v>
      </c>
      <c r="L16" s="139">
        <f t="shared" si="7"/>
        <v>16713.269825186886</v>
      </c>
      <c r="M16" s="139">
        <f t="shared" si="7"/>
        <v>18236.727339865076</v>
      </c>
      <c r="N16" s="139">
        <f t="shared" si="7"/>
        <v>12434.455715811595</v>
      </c>
      <c r="O16" s="139">
        <f t="shared" si="7"/>
        <v>11126.700770486003</v>
      </c>
      <c r="P16" s="139">
        <f t="shared" si="7"/>
        <v>17800.9931021146</v>
      </c>
      <c r="Q16" s="139">
        <f t="shared" si="7"/>
        <v>4414.9859090840582</v>
      </c>
      <c r="R16" s="139">
        <f t="shared" ref="R16:W16" si="8">SUM(R17:R18)</f>
        <v>15091.92301664586</v>
      </c>
      <c r="S16" s="139">
        <f t="shared" si="8"/>
        <v>15989.435937045395</v>
      </c>
      <c r="T16" s="139">
        <f t="shared" si="8"/>
        <v>17758.903715530967</v>
      </c>
      <c r="U16" s="139">
        <f t="shared" si="8"/>
        <v>17609.256195979597</v>
      </c>
      <c r="V16" s="139">
        <f t="shared" si="8"/>
        <v>16884.674321653678</v>
      </c>
      <c r="W16" s="139">
        <f t="shared" si="8"/>
        <v>16512.994317822162</v>
      </c>
      <c r="X16" s="139">
        <f t="shared" ref="X16:Y16" si="9">SUM(X17:X18)</f>
        <v>16291.566417486411</v>
      </c>
      <c r="Y16" s="139">
        <f t="shared" si="9"/>
        <v>16224.966931518989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80.475247558055884</v>
      </c>
      <c r="D17" s="140">
        <v>75.8251681870737</v>
      </c>
      <c r="E17" s="140">
        <v>152.09377562878137</v>
      </c>
      <c r="F17" s="140">
        <v>71.946605446627316</v>
      </c>
      <c r="G17" s="140">
        <v>93.549403905618348</v>
      </c>
      <c r="H17" s="140">
        <v>200.05281444348407</v>
      </c>
      <c r="I17" s="140">
        <v>163.9986555199728</v>
      </c>
      <c r="J17" s="140">
        <v>213.571715844187</v>
      </c>
      <c r="K17" s="140">
        <v>95.909821828630456</v>
      </c>
      <c r="L17" s="140">
        <v>248.72158470701993</v>
      </c>
      <c r="M17" s="140">
        <v>490.75214080351623</v>
      </c>
      <c r="N17" s="140">
        <v>607.68112706630689</v>
      </c>
      <c r="O17" s="140">
        <v>429.19699149777546</v>
      </c>
      <c r="P17" s="140">
        <v>591.45443125199279</v>
      </c>
      <c r="Q17" s="140">
        <v>175.0906289994671</v>
      </c>
      <c r="R17" s="140">
        <v>470.66529457907808</v>
      </c>
      <c r="S17" s="140">
        <v>753.21726211841701</v>
      </c>
      <c r="T17" s="140">
        <v>773.58120321182764</v>
      </c>
      <c r="U17" s="140">
        <v>904.57339090061214</v>
      </c>
      <c r="V17" s="140">
        <v>806.02817892612416</v>
      </c>
      <c r="W17" s="140">
        <v>784.14326994437863</v>
      </c>
      <c r="X17" s="140">
        <v>924.05003911818335</v>
      </c>
      <c r="Y17" s="140">
        <v>703.33028568060479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17335.960360896759</v>
      </c>
      <c r="D18" s="140">
        <v>17395.167757020925</v>
      </c>
      <c r="E18" s="140">
        <v>17373.976059825887</v>
      </c>
      <c r="F18" s="140">
        <v>17508.680546761341</v>
      </c>
      <c r="G18" s="140">
        <v>17542.154658548418</v>
      </c>
      <c r="H18" s="140">
        <v>18655.637936908708</v>
      </c>
      <c r="I18" s="140">
        <v>22214.882373286455</v>
      </c>
      <c r="J18" s="140">
        <v>18774.615376194644</v>
      </c>
      <c r="K18" s="140">
        <v>10869.465076941271</v>
      </c>
      <c r="L18" s="140">
        <v>16464.548240479868</v>
      </c>
      <c r="M18" s="140">
        <v>17745.975199061559</v>
      </c>
      <c r="N18" s="140">
        <v>11826.774588745287</v>
      </c>
      <c r="O18" s="140">
        <v>10697.503778988226</v>
      </c>
      <c r="P18" s="140">
        <v>17209.538670862607</v>
      </c>
      <c r="Q18" s="140">
        <v>4239.8952800845909</v>
      </c>
      <c r="R18" s="140">
        <v>14621.257722066783</v>
      </c>
      <c r="S18" s="140">
        <v>15236.218674926979</v>
      </c>
      <c r="T18" s="140">
        <v>16985.322512319141</v>
      </c>
      <c r="U18" s="140">
        <v>16704.682805078985</v>
      </c>
      <c r="V18" s="140">
        <v>16078.646142727554</v>
      </c>
      <c r="W18" s="140">
        <v>15728.851047877784</v>
      </c>
      <c r="X18" s="140">
        <v>15367.516378368227</v>
      </c>
      <c r="Y18" s="140">
        <v>15521.636645838385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17416.43560845482</v>
      </c>
      <c r="D19" s="139">
        <f t="shared" si="10"/>
        <v>17470.992925208</v>
      </c>
      <c r="E19" s="139">
        <f t="shared" si="10"/>
        <v>17526.069835454669</v>
      </c>
      <c r="F19" s="139">
        <f t="shared" si="10"/>
        <v>17580.62715220797</v>
      </c>
      <c r="G19" s="139">
        <f t="shared" si="10"/>
        <v>17635.704062454031</v>
      </c>
      <c r="H19" s="139">
        <f t="shared" si="10"/>
        <v>18855.690751352195</v>
      </c>
      <c r="I19" s="139">
        <f t="shared" si="10"/>
        <v>22378.881028806427</v>
      </c>
      <c r="J19" s="139">
        <f t="shared" si="10"/>
        <v>18988.187092038836</v>
      </c>
      <c r="K19" s="139">
        <f t="shared" si="10"/>
        <v>10965.3748987699</v>
      </c>
      <c r="L19" s="139">
        <f t="shared" si="10"/>
        <v>16713.269825186886</v>
      </c>
      <c r="M19" s="139">
        <f t="shared" si="10"/>
        <v>18236.727339865072</v>
      </c>
      <c r="N19" s="139">
        <f t="shared" si="10"/>
        <v>12434.455715811593</v>
      </c>
      <c r="O19" s="139">
        <f t="shared" si="10"/>
        <v>11126.700770486001</v>
      </c>
      <c r="P19" s="139">
        <f t="shared" si="10"/>
        <v>17800.993102114597</v>
      </c>
      <c r="Q19" s="139">
        <f t="shared" si="10"/>
        <v>4414.9859090840582</v>
      </c>
      <c r="R19" s="139">
        <f t="shared" ref="R19:W19" si="11">SUM(R20:R26)</f>
        <v>15091.923016645862</v>
      </c>
      <c r="S19" s="139">
        <f t="shared" si="11"/>
        <v>15989.435937045395</v>
      </c>
      <c r="T19" s="139">
        <f t="shared" si="11"/>
        <v>17758.903715530971</v>
      </c>
      <c r="U19" s="139">
        <f t="shared" si="11"/>
        <v>17609.256195979597</v>
      </c>
      <c r="V19" s="139">
        <f t="shared" si="11"/>
        <v>16884.674321653682</v>
      </c>
      <c r="W19" s="139">
        <f t="shared" si="11"/>
        <v>16512.994317822162</v>
      </c>
      <c r="X19" s="139">
        <f t="shared" ref="X19:Y19" si="12">SUM(X20:X26)</f>
        <v>16291.566417486412</v>
      </c>
      <c r="Y19" s="139">
        <f t="shared" si="12"/>
        <v>16224.966931518989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653.89100298029075</v>
      </c>
      <c r="D21" s="140">
        <v>826.39920481814954</v>
      </c>
      <c r="E21" s="140">
        <v>698.97639586853052</v>
      </c>
      <c r="F21" s="140">
        <v>528.75102692006067</v>
      </c>
      <c r="G21" s="140">
        <v>474.28116912279307</v>
      </c>
      <c r="H21" s="140">
        <v>586.29586220856697</v>
      </c>
      <c r="I21" s="140">
        <v>612.51929902472</v>
      </c>
      <c r="J21" s="140">
        <v>473.13871026251093</v>
      </c>
      <c r="K21" s="140">
        <v>119.08073474700116</v>
      </c>
      <c r="L21" s="140">
        <v>72.845107494833911</v>
      </c>
      <c r="M21" s="140">
        <v>0</v>
      </c>
      <c r="N21" s="140">
        <v>353.19568693114928</v>
      </c>
      <c r="O21" s="140">
        <v>241.58536676266309</v>
      </c>
      <c r="P21" s="140">
        <v>307.39319364255419</v>
      </c>
      <c r="Q21" s="140">
        <v>90.99505902176918</v>
      </c>
      <c r="R21" s="140">
        <v>228.84057818771549</v>
      </c>
      <c r="S21" s="140">
        <v>206.50225045575075</v>
      </c>
      <c r="T21" s="140">
        <v>0</v>
      </c>
      <c r="U21" s="140">
        <v>0</v>
      </c>
      <c r="V21" s="140">
        <v>0</v>
      </c>
      <c r="W21" s="140">
        <v>0</v>
      </c>
      <c r="X21" s="140">
        <v>39.618657636679821</v>
      </c>
      <c r="Y21" s="140">
        <v>200.07319981007868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2995.0541614227027</v>
      </c>
      <c r="D22" s="140">
        <v>2846.3250189068194</v>
      </c>
      <c r="E22" s="140">
        <v>2883.896724344741</v>
      </c>
      <c r="F22" s="140">
        <v>2466.7060198163344</v>
      </c>
      <c r="G22" s="140">
        <v>2321.4021341239254</v>
      </c>
      <c r="H22" s="140">
        <v>2078.0671033393915</v>
      </c>
      <c r="I22" s="140">
        <v>2124.6808608029755</v>
      </c>
      <c r="J22" s="140">
        <v>2151.7804726764307</v>
      </c>
      <c r="K22" s="140">
        <v>1268.5199711486964</v>
      </c>
      <c r="L22" s="140">
        <v>1869.1602272135156</v>
      </c>
      <c r="M22" s="140">
        <v>2347.4260303762017</v>
      </c>
      <c r="N22" s="140">
        <v>2619.5338964069233</v>
      </c>
      <c r="O22" s="140">
        <v>2644.5530399056547</v>
      </c>
      <c r="P22" s="140">
        <v>4458.8446036625473</v>
      </c>
      <c r="Q22" s="140">
        <v>603.48569041006067</v>
      </c>
      <c r="R22" s="140">
        <v>0</v>
      </c>
      <c r="S22" s="140">
        <v>813.21313120776279</v>
      </c>
      <c r="T22" s="140">
        <v>682.45975923795731</v>
      </c>
      <c r="U22" s="140">
        <v>1452.6851519082743</v>
      </c>
      <c r="V22" s="140">
        <v>2115.509145146154</v>
      </c>
      <c r="W22" s="140">
        <v>630.99636931875762</v>
      </c>
      <c r="X22" s="140">
        <v>1766.3491603359571</v>
      </c>
      <c r="Y22" s="140">
        <v>1864.5333957823045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2916.515907245333</v>
      </c>
      <c r="D23" s="140">
        <v>3184.0401499438908</v>
      </c>
      <c r="E23" s="140">
        <v>2986.0512637809024</v>
      </c>
      <c r="F23" s="140">
        <v>2069.2486536441647</v>
      </c>
      <c r="G23" s="140">
        <v>1767.2021296058415</v>
      </c>
      <c r="H23" s="140">
        <v>2038.4482293190408</v>
      </c>
      <c r="I23" s="140">
        <v>3172.6015414997291</v>
      </c>
      <c r="J23" s="140">
        <v>3239.0631416722481</v>
      </c>
      <c r="K23" s="140">
        <v>2828.8813953870194</v>
      </c>
      <c r="L23" s="140">
        <v>2850.316897468178</v>
      </c>
      <c r="M23" s="140">
        <v>3279.5890002163869</v>
      </c>
      <c r="N23" s="140">
        <v>2042.7909162849439</v>
      </c>
      <c r="O23" s="140">
        <v>1885.0128636108975</v>
      </c>
      <c r="P23" s="140">
        <v>1411.8530438938096</v>
      </c>
      <c r="Q23" s="140">
        <v>757.93763678489506</v>
      </c>
      <c r="R23" s="140">
        <v>3348.8331645743865</v>
      </c>
      <c r="S23" s="140">
        <v>2506.9180246673668</v>
      </c>
      <c r="T23" s="140">
        <v>2662.6885162284257</v>
      </c>
      <c r="U23" s="140">
        <v>3153.893225855787</v>
      </c>
      <c r="V23" s="140">
        <v>3252.4828233143071</v>
      </c>
      <c r="W23" s="140">
        <v>2691.3496566184162</v>
      </c>
      <c r="X23" s="140">
        <v>3854.8609163190918</v>
      </c>
      <c r="Y23" s="140">
        <v>3059.4934529281868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125.53165859619689</v>
      </c>
      <c r="D24" s="140">
        <v>177.64758759070563</v>
      </c>
      <c r="E24" s="140">
        <v>193.20270818360726</v>
      </c>
      <c r="F24" s="140">
        <v>204.12103645750375</v>
      </c>
      <c r="G24" s="140">
        <v>237.35136360107515</v>
      </c>
      <c r="H24" s="140">
        <v>267.41483998909985</v>
      </c>
      <c r="I24" s="140">
        <v>359.63485533875877</v>
      </c>
      <c r="J24" s="140">
        <v>273.56368057919758</v>
      </c>
      <c r="K24" s="140">
        <v>121.27851179309194</v>
      </c>
      <c r="L24" s="140">
        <v>63.786030829785958</v>
      </c>
      <c r="M24" s="140">
        <v>0</v>
      </c>
      <c r="N24" s="140">
        <v>21.085906020368792</v>
      </c>
      <c r="O24" s="140">
        <v>83.379816507133697</v>
      </c>
      <c r="P24" s="140">
        <v>0</v>
      </c>
      <c r="Q24" s="140">
        <v>0</v>
      </c>
      <c r="R24" s="140">
        <v>75.127898792537124</v>
      </c>
      <c r="S24" s="140">
        <v>195.27422094774741</v>
      </c>
      <c r="T24" s="140">
        <v>279.65374956735218</v>
      </c>
      <c r="U24" s="140">
        <v>348.30932026847512</v>
      </c>
      <c r="V24" s="140">
        <v>415.67781236058011</v>
      </c>
      <c r="W24" s="140">
        <v>412.26015076298404</v>
      </c>
      <c r="X24" s="140">
        <v>395.09834015419574</v>
      </c>
      <c r="Y24" s="140">
        <v>266.8854828679236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1358.4394007174672</v>
      </c>
      <c r="D25" s="140">
        <v>1364.2429332893885</v>
      </c>
      <c r="E25" s="140">
        <v>1453.916233515688</v>
      </c>
      <c r="F25" s="140">
        <v>1279.1380852829668</v>
      </c>
      <c r="G25" s="140">
        <v>510.19501232684894</v>
      </c>
      <c r="H25" s="140">
        <v>0</v>
      </c>
      <c r="I25" s="140">
        <v>0</v>
      </c>
      <c r="J25" s="140">
        <v>0</v>
      </c>
      <c r="K25" s="140">
        <v>192.58483313391994</v>
      </c>
      <c r="L25" s="140">
        <v>1029.0118283428637</v>
      </c>
      <c r="M25" s="140">
        <v>1202.7421673792203</v>
      </c>
      <c r="N25" s="140">
        <v>1062.7471434360589</v>
      </c>
      <c r="O25" s="140">
        <v>810.42752017908469</v>
      </c>
      <c r="P25" s="140">
        <v>567.70169205623813</v>
      </c>
      <c r="Q25" s="140">
        <v>308.29974481878014</v>
      </c>
      <c r="R25" s="140">
        <v>1209.6403425474678</v>
      </c>
      <c r="S25" s="140">
        <v>1198.5835925516035</v>
      </c>
      <c r="T25" s="140">
        <v>1405.3803071265845</v>
      </c>
      <c r="U25" s="140">
        <v>690.49617572653005</v>
      </c>
      <c r="V25" s="140">
        <v>337.07995003783094</v>
      </c>
      <c r="W25" s="140">
        <v>29.632662874976184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9367.0034774928281</v>
      </c>
      <c r="D26" s="141">
        <v>9072.3380306590461</v>
      </c>
      <c r="E26" s="141">
        <v>9310.0265097611991</v>
      </c>
      <c r="F26" s="141">
        <v>11032.66233008694</v>
      </c>
      <c r="G26" s="141">
        <v>12325.272253673549</v>
      </c>
      <c r="H26" s="141">
        <v>13885.464716496093</v>
      </c>
      <c r="I26" s="141">
        <v>16109.444472140243</v>
      </c>
      <c r="J26" s="141">
        <v>12850.641086848447</v>
      </c>
      <c r="K26" s="141">
        <v>6435.0294525601721</v>
      </c>
      <c r="L26" s="141">
        <v>10828.14973383771</v>
      </c>
      <c r="M26" s="141">
        <v>11406.970141893264</v>
      </c>
      <c r="N26" s="141">
        <v>6335.1021667321493</v>
      </c>
      <c r="O26" s="141">
        <v>5461.7421635205665</v>
      </c>
      <c r="P26" s="141">
        <v>11055.200568859449</v>
      </c>
      <c r="Q26" s="141">
        <v>2654.2677780485537</v>
      </c>
      <c r="R26" s="141">
        <v>10229.481032543756</v>
      </c>
      <c r="S26" s="141">
        <v>11068.944717215163</v>
      </c>
      <c r="T26" s="141">
        <v>12728.72138337065</v>
      </c>
      <c r="U26" s="141">
        <v>11963.872322220532</v>
      </c>
      <c r="V26" s="141">
        <v>10763.92459079481</v>
      </c>
      <c r="W26" s="141">
        <v>12748.755478247029</v>
      </c>
      <c r="X26" s="141">
        <v>10235.639343040488</v>
      </c>
      <c r="Y26" s="141">
        <v>10833.981400130497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1610.9732235725614</v>
      </c>
      <c r="H27" s="150">
        <v>48.041615889609837</v>
      </c>
      <c r="I27" s="150">
        <v>349.02728942580035</v>
      </c>
      <c r="J27" s="150">
        <v>314.40641625241284</v>
      </c>
      <c r="K27" s="150">
        <v>260.37291518256779</v>
      </c>
      <c r="L27" s="150">
        <v>1721.4871522918468</v>
      </c>
      <c r="M27" s="150">
        <v>575.02096926377965</v>
      </c>
      <c r="N27" s="150">
        <v>3264.7380471170763</v>
      </c>
      <c r="O27" s="150">
        <v>1244.0686994028456</v>
      </c>
      <c r="P27" s="150">
        <v>3.3887348452485169E-12</v>
      </c>
      <c r="Q27" s="150">
        <v>876.33016024814458</v>
      </c>
      <c r="R27" s="150">
        <v>605.22019775582373</v>
      </c>
      <c r="S27" s="150">
        <v>826.44159729036937</v>
      </c>
      <c r="T27" s="150">
        <v>508.21165086946627</v>
      </c>
      <c r="U27" s="150">
        <v>909.31677491862638</v>
      </c>
      <c r="V27" s="150">
        <v>1645.0667251152197</v>
      </c>
      <c r="W27" s="150">
        <v>240.2446402686912</v>
      </c>
      <c r="X27" s="150">
        <v>0</v>
      </c>
      <c r="Y27" s="150">
        <v>99.826351153533807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17416.435608454816</v>
      </c>
      <c r="D29" s="139">
        <f t="shared" si="13"/>
        <v>17470.992925207996</v>
      </c>
      <c r="E29" s="139">
        <f t="shared" si="13"/>
        <v>17526.069835454666</v>
      </c>
      <c r="F29" s="139">
        <f t="shared" si="13"/>
        <v>17580.627152207966</v>
      </c>
      <c r="G29" s="139">
        <f t="shared" si="13"/>
        <v>17635.704062454035</v>
      </c>
      <c r="H29" s="139">
        <f t="shared" si="13"/>
        <v>18855.690751352191</v>
      </c>
      <c r="I29" s="139">
        <f t="shared" si="13"/>
        <v>22378.881028806423</v>
      </c>
      <c r="J29" s="139">
        <f t="shared" si="13"/>
        <v>18988.187092038836</v>
      </c>
      <c r="K29" s="139">
        <f t="shared" si="13"/>
        <v>10965.374898769902</v>
      </c>
      <c r="L29" s="139">
        <f t="shared" si="13"/>
        <v>16713.26982518689</v>
      </c>
      <c r="M29" s="139">
        <f t="shared" si="13"/>
        <v>18236.727339865072</v>
      </c>
      <c r="N29" s="139">
        <f t="shared" si="13"/>
        <v>12434.455715811597</v>
      </c>
      <c r="O29" s="139">
        <f t="shared" si="13"/>
        <v>11126.700770486001</v>
      </c>
      <c r="P29" s="139">
        <f t="shared" si="13"/>
        <v>17800.993102114604</v>
      </c>
      <c r="Q29" s="139">
        <f t="shared" si="13"/>
        <v>4414.9859090840582</v>
      </c>
      <c r="R29" s="139">
        <f t="shared" ref="R29:W29" si="14">SUM(R30:R33)</f>
        <v>15091.923016645862</v>
      </c>
      <c r="S29" s="139">
        <f t="shared" si="14"/>
        <v>15989.435937045397</v>
      </c>
      <c r="T29" s="139">
        <f t="shared" si="14"/>
        <v>17758.903715530971</v>
      </c>
      <c r="U29" s="139">
        <f t="shared" si="14"/>
        <v>17609.2561959796</v>
      </c>
      <c r="V29" s="139">
        <f t="shared" si="14"/>
        <v>16884.674321653678</v>
      </c>
      <c r="W29" s="139">
        <f t="shared" si="14"/>
        <v>16512.994317822162</v>
      </c>
      <c r="X29" s="139">
        <f t="shared" ref="X29:Y29" si="15">SUM(X30:X33)</f>
        <v>16291.566417486412</v>
      </c>
      <c r="Y29" s="139">
        <f t="shared" si="15"/>
        <v>16224.966931518993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2629.9368203088425</v>
      </c>
      <c r="D30" s="140">
        <v>10163.080241592079</v>
      </c>
      <c r="E30" s="140">
        <v>6714.9342805723227</v>
      </c>
      <c r="F30" s="140">
        <v>2869.9073609513616</v>
      </c>
      <c r="G30" s="140">
        <v>799.64812550859222</v>
      </c>
      <c r="H30" s="140">
        <v>0</v>
      </c>
      <c r="I30" s="140">
        <v>1979.790758009842</v>
      </c>
      <c r="J30" s="140">
        <v>3609.8860827738399</v>
      </c>
      <c r="K30" s="140">
        <v>1377.343848043384</v>
      </c>
      <c r="L30" s="140">
        <v>1685.358655361169</v>
      </c>
      <c r="M30" s="140">
        <v>0</v>
      </c>
      <c r="N30" s="140">
        <v>371.28620031270208</v>
      </c>
      <c r="O30" s="140">
        <v>984.62341522428562</v>
      </c>
      <c r="P30" s="140">
        <v>3262.429341030082</v>
      </c>
      <c r="Q30" s="140">
        <v>764.30261370064898</v>
      </c>
      <c r="R30" s="140">
        <v>1344.3027353695238</v>
      </c>
      <c r="S30" s="140">
        <v>1594.8879491068942</v>
      </c>
      <c r="T30" s="140">
        <v>1136.7590404698585</v>
      </c>
      <c r="U30" s="140">
        <v>1136.8259977748028</v>
      </c>
      <c r="V30" s="140">
        <v>138.49036783913246</v>
      </c>
      <c r="W30" s="140">
        <v>0</v>
      </c>
      <c r="X30" s="140">
        <v>0</v>
      </c>
      <c r="Y30" s="140">
        <v>906.51974619458292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5398.5679304410078</v>
      </c>
      <c r="D31" s="140">
        <v>5692.1005350261039</v>
      </c>
      <c r="E31" s="140">
        <v>3895.9791324553021</v>
      </c>
      <c r="F31" s="140">
        <v>1544.7650782651692</v>
      </c>
      <c r="G31" s="140">
        <v>0</v>
      </c>
      <c r="H31" s="140">
        <v>0</v>
      </c>
      <c r="I31" s="140">
        <v>4880.2046233332167</v>
      </c>
      <c r="J31" s="140">
        <v>6833.8760778278056</v>
      </c>
      <c r="K31" s="140">
        <v>5468.6205880439375</v>
      </c>
      <c r="L31" s="140">
        <v>5527.1391120246963</v>
      </c>
      <c r="M31" s="140">
        <v>4392.4387265370742</v>
      </c>
      <c r="N31" s="140">
        <v>1975.065883431929</v>
      </c>
      <c r="O31" s="140">
        <v>3383.2505523024201</v>
      </c>
      <c r="P31" s="140">
        <v>5107.6371169155373</v>
      </c>
      <c r="Q31" s="140">
        <v>1240.2527497834424</v>
      </c>
      <c r="R31" s="140">
        <v>2555.1186660942626</v>
      </c>
      <c r="S31" s="140">
        <v>3274.117886291911</v>
      </c>
      <c r="T31" s="140">
        <v>4405.8278888668628</v>
      </c>
      <c r="U31" s="140">
        <v>6935.1509001787108</v>
      </c>
      <c r="V31" s="140">
        <v>7215.17936293615</v>
      </c>
      <c r="W31" s="140">
        <v>3849.6753115815841</v>
      </c>
      <c r="X31" s="140">
        <v>3345.1355341062103</v>
      </c>
      <c r="Y31" s="140">
        <v>2653.3057408500053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9387.9308577049651</v>
      </c>
      <c r="D33" s="152">
        <v>1615.8121485898139</v>
      </c>
      <c r="E33" s="152">
        <v>6915.1564224270414</v>
      </c>
      <c r="F33" s="152">
        <v>13165.954712991435</v>
      </c>
      <c r="G33" s="152">
        <v>16836.055936945442</v>
      </c>
      <c r="H33" s="152">
        <v>18855.690751352191</v>
      </c>
      <c r="I33" s="152">
        <v>15518.885647463365</v>
      </c>
      <c r="J33" s="152">
        <v>8544.42493143719</v>
      </c>
      <c r="K33" s="152">
        <v>4119.4104626825801</v>
      </c>
      <c r="L33" s="152">
        <v>9500.7720578010249</v>
      </c>
      <c r="M33" s="152">
        <v>13844.288613327999</v>
      </c>
      <c r="N33" s="152">
        <v>10088.103632066965</v>
      </c>
      <c r="O33" s="152">
        <v>6758.8268029592946</v>
      </c>
      <c r="P33" s="152">
        <v>9430.9266441689851</v>
      </c>
      <c r="Q33" s="152">
        <v>2410.4305455999674</v>
      </c>
      <c r="R33" s="152">
        <v>11192.501615182075</v>
      </c>
      <c r="S33" s="152">
        <v>11120.430101646591</v>
      </c>
      <c r="T33" s="152">
        <v>12216.316786194249</v>
      </c>
      <c r="U33" s="152">
        <v>9537.2792980260856</v>
      </c>
      <c r="V33" s="152">
        <v>9531.0045908783941</v>
      </c>
      <c r="W33" s="152">
        <v>12663.319006240577</v>
      </c>
      <c r="X33" s="152">
        <v>12946.430883380202</v>
      </c>
      <c r="Y33" s="152">
        <v>12665.141444474404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293.86837845737165</v>
      </c>
      <c r="D3" s="125">
        <f t="shared" si="0"/>
        <v>285.63649163652474</v>
      </c>
      <c r="E3" s="125">
        <f t="shared" si="0"/>
        <v>319.98323052013382</v>
      </c>
      <c r="F3" s="125">
        <f t="shared" si="0"/>
        <v>296.13365079795574</v>
      </c>
      <c r="G3" s="125">
        <f t="shared" si="0"/>
        <v>294.09104716085886</v>
      </c>
      <c r="H3" s="125">
        <f t="shared" si="0"/>
        <v>287.16002150355536</v>
      </c>
      <c r="I3" s="125">
        <f t="shared" si="0"/>
        <v>327.23548282755428</v>
      </c>
      <c r="J3" s="125">
        <f t="shared" si="0"/>
        <v>273.76322934573824</v>
      </c>
      <c r="K3" s="125">
        <f t="shared" si="0"/>
        <v>166.13697330898199</v>
      </c>
      <c r="L3" s="125">
        <f t="shared" si="0"/>
        <v>245.93170749629445</v>
      </c>
      <c r="M3" s="125">
        <f t="shared" si="0"/>
        <v>208.98797646917649</v>
      </c>
      <c r="N3" s="125">
        <f t="shared" si="0"/>
        <v>152.95750853110488</v>
      </c>
      <c r="O3" s="125">
        <f t="shared" si="0"/>
        <v>139.38772177437829</v>
      </c>
      <c r="P3" s="125">
        <f t="shared" si="0"/>
        <v>197.5581683661174</v>
      </c>
      <c r="Q3" s="125">
        <f t="shared" si="0"/>
        <v>45.876363491194823</v>
      </c>
      <c r="R3" s="125">
        <f t="shared" ref="R3:W3" si="1">SUM(R4,R16,R19,R29)</f>
        <v>148.94246445613609</v>
      </c>
      <c r="S3" s="125">
        <f t="shared" si="1"/>
        <v>154.88700708179857</v>
      </c>
      <c r="T3" s="125">
        <f t="shared" si="1"/>
        <v>164.6785367117682</v>
      </c>
      <c r="U3" s="125">
        <f t="shared" si="1"/>
        <v>152.56474294875753</v>
      </c>
      <c r="V3" s="125">
        <f t="shared" si="1"/>
        <v>132.00093964357541</v>
      </c>
      <c r="W3" s="125">
        <f t="shared" si="1"/>
        <v>119.12195900032938</v>
      </c>
      <c r="X3" s="125">
        <f t="shared" ref="X3:Y3" si="2">SUM(X4,X16,X19,X29)</f>
        <v>119.54238718298041</v>
      </c>
      <c r="Y3" s="125">
        <f t="shared" si="2"/>
        <v>106.3574909651805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213.09386832743112</v>
      </c>
      <c r="D4" s="130">
        <f t="shared" si="3"/>
        <v>198.7514097447837</v>
      </c>
      <c r="E4" s="130">
        <f t="shared" si="3"/>
        <v>228.24936185446049</v>
      </c>
      <c r="F4" s="130">
        <f t="shared" si="3"/>
        <v>220.17772850706243</v>
      </c>
      <c r="G4" s="130">
        <f t="shared" si="3"/>
        <v>216.81413444421952</v>
      </c>
      <c r="H4" s="130">
        <f t="shared" si="3"/>
        <v>204.32750505093787</v>
      </c>
      <c r="I4" s="130">
        <f t="shared" si="3"/>
        <v>231.96830743567295</v>
      </c>
      <c r="J4" s="130">
        <f t="shared" si="3"/>
        <v>190.97561033435292</v>
      </c>
      <c r="K4" s="130">
        <f t="shared" si="3"/>
        <v>115.74083162727675</v>
      </c>
      <c r="L4" s="130">
        <f t="shared" si="3"/>
        <v>173.84043712069206</v>
      </c>
      <c r="M4" s="130">
        <f t="shared" si="3"/>
        <v>134.00312701734802</v>
      </c>
      <c r="N4" s="130">
        <f t="shared" si="3"/>
        <v>102.05341129444281</v>
      </c>
      <c r="O4" s="130">
        <f t="shared" si="3"/>
        <v>92.999866132687217</v>
      </c>
      <c r="P4" s="130">
        <f t="shared" si="3"/>
        <v>123.42428257394577</v>
      </c>
      <c r="Q4" s="130">
        <f t="shared" si="3"/>
        <v>27.627679198815006</v>
      </c>
      <c r="R4" s="130">
        <f t="shared" ref="R4:W4" si="4">SUM(R5:R15)</f>
        <v>90.338023439738663</v>
      </c>
      <c r="S4" s="130">
        <f t="shared" si="4"/>
        <v>93.427162225765869</v>
      </c>
      <c r="T4" s="130">
        <f t="shared" si="4"/>
        <v>96.628799184551696</v>
      </c>
      <c r="U4" s="130">
        <f t="shared" si="4"/>
        <v>85.953039397894912</v>
      </c>
      <c r="V4" s="130">
        <f t="shared" si="4"/>
        <v>74.244425989352905</v>
      </c>
      <c r="W4" s="130">
        <f t="shared" si="4"/>
        <v>63.855864017097851</v>
      </c>
      <c r="X4" s="130">
        <f t="shared" ref="X4:Y4" si="5">SUM(X5:X15)</f>
        <v>61.81837102989541</v>
      </c>
      <c r="Y4" s="130">
        <f t="shared" si="5"/>
        <v>49.87396634995342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2.1334428842327893</v>
      </c>
      <c r="G5" s="132">
        <v>4.954589849201362</v>
      </c>
      <c r="H5" s="132">
        <v>4.6912926618077497</v>
      </c>
      <c r="I5" s="132">
        <v>3.0944310596426194</v>
      </c>
      <c r="J5" s="132">
        <v>1.1894060806132665</v>
      </c>
      <c r="K5" s="132">
        <v>0</v>
      </c>
      <c r="L5" s="132">
        <v>0</v>
      </c>
      <c r="M5" s="132">
        <v>0</v>
      </c>
      <c r="N5" s="132">
        <v>0</v>
      </c>
      <c r="O5" s="132">
        <v>0.21778250417291747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0.28029849049369499</v>
      </c>
      <c r="V5" s="132">
        <v>0.53828894997794707</v>
      </c>
      <c r="W5" s="132">
        <v>0.69463305056396696</v>
      </c>
      <c r="X5" s="132">
        <v>0.47627289125088784</v>
      </c>
      <c r="Y5" s="132">
        <v>0.2344836811130174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56.735485326978413</v>
      </c>
      <c r="D7" s="132">
        <v>15.763151305950688</v>
      </c>
      <c r="E7" s="132">
        <v>25.915992946419973</v>
      </c>
      <c r="F7" s="132">
        <v>31.400376033283415</v>
      </c>
      <c r="G7" s="132">
        <v>36.955282005054308</v>
      </c>
      <c r="H7" s="132">
        <v>55.503549047742936</v>
      </c>
      <c r="I7" s="132">
        <v>48.344723350545209</v>
      </c>
      <c r="J7" s="132">
        <v>58.162943662702908</v>
      </c>
      <c r="K7" s="132">
        <v>27.32274785324126</v>
      </c>
      <c r="L7" s="132">
        <v>17.522869569822198</v>
      </c>
      <c r="M7" s="132">
        <v>23.955436964704294</v>
      </c>
      <c r="N7" s="132">
        <v>21.995471837409912</v>
      </c>
      <c r="O7" s="132">
        <v>26.72197538871011</v>
      </c>
      <c r="P7" s="132">
        <v>36.730300353403905</v>
      </c>
      <c r="Q7" s="132">
        <v>2.3261921999272226</v>
      </c>
      <c r="R7" s="132">
        <v>0</v>
      </c>
      <c r="S7" s="132">
        <v>6.3635879118084011</v>
      </c>
      <c r="T7" s="132">
        <v>10.811081661208155</v>
      </c>
      <c r="U7" s="132">
        <v>15.550403190438603</v>
      </c>
      <c r="V7" s="132">
        <v>20.545864759591172</v>
      </c>
      <c r="W7" s="132">
        <v>10.144233251487403</v>
      </c>
      <c r="X7" s="132">
        <v>18.837077974346002</v>
      </c>
      <c r="Y7" s="132">
        <v>13.456320256081149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3.3429220351127581E-2</v>
      </c>
      <c r="D8" s="132">
        <v>7.5249726874116046E-2</v>
      </c>
      <c r="E8" s="132">
        <v>0.13617747812877079</v>
      </c>
      <c r="F8" s="132">
        <v>0.1885087625405884</v>
      </c>
      <c r="G8" s="132">
        <v>0.37032326625359119</v>
      </c>
      <c r="H8" s="132">
        <v>0.35448550864630562</v>
      </c>
      <c r="I8" s="132">
        <v>0.29948495875463538</v>
      </c>
      <c r="J8" s="132">
        <v>0.17882143984205517</v>
      </c>
      <c r="K8" s="132">
        <v>0.14051118769894225</v>
      </c>
      <c r="L8" s="132">
        <v>0.33989240047362929</v>
      </c>
      <c r="M8" s="132">
        <v>0.95758822086685491</v>
      </c>
      <c r="N8" s="132">
        <v>0.53343868137529371</v>
      </c>
      <c r="O8" s="132">
        <v>0.64663661650283999</v>
      </c>
      <c r="P8" s="132">
        <v>1.3832600320253317</v>
      </c>
      <c r="Q8" s="132">
        <v>0.34388595099869307</v>
      </c>
      <c r="R8" s="132">
        <v>0.61284722930210178</v>
      </c>
      <c r="S8" s="132">
        <v>0.37176941509515932</v>
      </c>
      <c r="T8" s="132">
        <v>0.29985035707417185</v>
      </c>
      <c r="U8" s="132">
        <v>0.2365834037143022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35.298083324128058</v>
      </c>
      <c r="D9" s="132">
        <v>73.401046597978194</v>
      </c>
      <c r="E9" s="132">
        <v>128.11730325816126</v>
      </c>
      <c r="F9" s="132">
        <v>104.09715513385325</v>
      </c>
      <c r="G9" s="132">
        <v>104.45416807718908</v>
      </c>
      <c r="H9" s="132">
        <v>61.125150367581632</v>
      </c>
      <c r="I9" s="132">
        <v>89.158735053661516</v>
      </c>
      <c r="J9" s="132">
        <v>68.774125427919969</v>
      </c>
      <c r="K9" s="132">
        <v>51.694653023032238</v>
      </c>
      <c r="L9" s="132">
        <v>88.659643666550053</v>
      </c>
      <c r="M9" s="132">
        <v>53.808539307245496</v>
      </c>
      <c r="N9" s="132">
        <v>44.048161642159208</v>
      </c>
      <c r="O9" s="132">
        <v>34.31634844024552</v>
      </c>
      <c r="P9" s="132">
        <v>51.048669237128301</v>
      </c>
      <c r="Q9" s="132">
        <v>10.969946518795682</v>
      </c>
      <c r="R9" s="132">
        <v>47.409276121403614</v>
      </c>
      <c r="S9" s="132">
        <v>50.615518971605766</v>
      </c>
      <c r="T9" s="132">
        <v>56.18487437912875</v>
      </c>
      <c r="U9" s="132">
        <v>44.404852333914945</v>
      </c>
      <c r="V9" s="132">
        <v>27.767601055997417</v>
      </c>
      <c r="W9" s="132">
        <v>28.675765905034435</v>
      </c>
      <c r="X9" s="132">
        <v>15.019316634164054</v>
      </c>
      <c r="Y9" s="132">
        <v>15.866068289665703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11.177609082730866</v>
      </c>
      <c r="D10" s="132">
        <v>14.874150385425795</v>
      </c>
      <c r="E10" s="132">
        <v>8.334124136668958</v>
      </c>
      <c r="F10" s="132">
        <v>0</v>
      </c>
      <c r="G10" s="132">
        <v>0</v>
      </c>
      <c r="H10" s="132">
        <v>0</v>
      </c>
      <c r="I10" s="132">
        <v>7.1880993984489416</v>
      </c>
      <c r="J10" s="132">
        <v>10.12440683043623</v>
      </c>
      <c r="K10" s="132">
        <v>4.0833764507901975</v>
      </c>
      <c r="L10" s="132">
        <v>1.320128904094384</v>
      </c>
      <c r="M10" s="132">
        <v>0.83697401271015393</v>
      </c>
      <c r="N10" s="132">
        <v>3.7518401942803963</v>
      </c>
      <c r="O10" s="132">
        <v>6.7893259916803324</v>
      </c>
      <c r="P10" s="132">
        <v>8.2774002445778301</v>
      </c>
      <c r="Q10" s="132">
        <v>1.1865952920643743</v>
      </c>
      <c r="R10" s="132">
        <v>3.9132410852668182</v>
      </c>
      <c r="S10" s="132">
        <v>3.4350902647854822</v>
      </c>
      <c r="T10" s="132">
        <v>2.6911868565967803</v>
      </c>
      <c r="U10" s="132">
        <v>2.8680364181780611</v>
      </c>
      <c r="V10" s="132">
        <v>4.2593650331837214</v>
      </c>
      <c r="W10" s="132">
        <v>5.1837206541350964</v>
      </c>
      <c r="X10" s="132">
        <v>6.99133899150132</v>
      </c>
      <c r="Y10" s="132">
        <v>4.3572213207610151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8.2521388801673563</v>
      </c>
      <c r="E11" s="132">
        <v>0.98448880071292266</v>
      </c>
      <c r="F11" s="132">
        <v>9.5084196590703621E-2</v>
      </c>
      <c r="G11" s="132">
        <v>0</v>
      </c>
      <c r="H11" s="132">
        <v>0</v>
      </c>
      <c r="I11" s="132">
        <v>0</v>
      </c>
      <c r="J11" s="132">
        <v>0</v>
      </c>
      <c r="K11" s="132">
        <v>1.008399285262546E-2</v>
      </c>
      <c r="L11" s="132">
        <v>7.9147950580155599E-2</v>
      </c>
      <c r="M11" s="132">
        <v>0.29143395202040157</v>
      </c>
      <c r="N11" s="132">
        <v>4.6996914320310883E-2</v>
      </c>
      <c r="O11" s="132">
        <v>1.54300876011166E-2</v>
      </c>
      <c r="P11" s="132">
        <v>0.35113608768558274</v>
      </c>
      <c r="Q11" s="132">
        <v>0.11145751038228892</v>
      </c>
      <c r="R11" s="132">
        <v>0.31651666562841496</v>
      </c>
      <c r="S11" s="132">
        <v>0.31649772847968094</v>
      </c>
      <c r="T11" s="132">
        <v>0.40058797095229426</v>
      </c>
      <c r="U11" s="132">
        <v>8.3054043840159172E-2</v>
      </c>
      <c r="V11" s="132">
        <v>5.7227657326418241E-2</v>
      </c>
      <c r="W11" s="132">
        <v>8.9347081335837145E-2</v>
      </c>
      <c r="X11" s="132">
        <v>7.8696801466915295E-2</v>
      </c>
      <c r="Y11" s="132">
        <v>8.6358871190295672E-2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41.466345422529052</v>
      </c>
      <c r="D12" s="132">
        <v>28.434899221787141</v>
      </c>
      <c r="E12" s="132">
        <v>15.374380616764594</v>
      </c>
      <c r="F12" s="132">
        <v>16.131183783539289</v>
      </c>
      <c r="G12" s="132">
        <v>7.9473932525978919</v>
      </c>
      <c r="H12" s="132">
        <v>0</v>
      </c>
      <c r="I12" s="132">
        <v>0</v>
      </c>
      <c r="J12" s="132">
        <v>0</v>
      </c>
      <c r="K12" s="132">
        <v>0</v>
      </c>
      <c r="L12" s="132">
        <v>7.0089592511345309</v>
      </c>
      <c r="M12" s="132">
        <v>10.365629970494144</v>
      </c>
      <c r="N12" s="132">
        <v>6.7209536667538332</v>
      </c>
      <c r="O12" s="132">
        <v>7.3961349445479501</v>
      </c>
      <c r="P12" s="132">
        <v>12.71503858297249</v>
      </c>
      <c r="Q12" s="132">
        <v>4.271325632986807</v>
      </c>
      <c r="R12" s="132">
        <v>12.289201523319887</v>
      </c>
      <c r="S12" s="132">
        <v>10.105898125592251</v>
      </c>
      <c r="T12" s="132">
        <v>6.9643667743540325</v>
      </c>
      <c r="U12" s="132">
        <v>5.5717588755111551</v>
      </c>
      <c r="V12" s="132">
        <v>5.4914360098514425</v>
      </c>
      <c r="W12" s="132">
        <v>4.4885557914913434</v>
      </c>
      <c r="X12" s="132">
        <v>3.7144389252257417</v>
      </c>
      <c r="Y12" s="132">
        <v>4.0310564942631579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1.5425479586723092</v>
      </c>
      <c r="D13" s="132">
        <v>2.2091004451844043</v>
      </c>
      <c r="E13" s="132">
        <v>1.9078238084697778</v>
      </c>
      <c r="F13" s="132">
        <v>2.1895126877316136</v>
      </c>
      <c r="G13" s="132">
        <v>2.6472736363557696</v>
      </c>
      <c r="H13" s="132">
        <v>3.0287720262156275</v>
      </c>
      <c r="I13" s="132">
        <v>2.5760424367035708</v>
      </c>
      <c r="J13" s="132">
        <v>2.3177532833670855</v>
      </c>
      <c r="K13" s="132">
        <v>1.8053566408449482</v>
      </c>
      <c r="L13" s="132">
        <v>3.351077172579322</v>
      </c>
      <c r="M13" s="132">
        <v>6.1322091055514951</v>
      </c>
      <c r="N13" s="132">
        <v>2.6124889028500622</v>
      </c>
      <c r="O13" s="132">
        <v>1.5908136923405365</v>
      </c>
      <c r="P13" s="132">
        <v>1.4305459670102514</v>
      </c>
      <c r="Q13" s="132">
        <v>0.40209331236249263</v>
      </c>
      <c r="R13" s="132">
        <v>1.1487976275290221</v>
      </c>
      <c r="S13" s="132">
        <v>0.77907552627332766</v>
      </c>
      <c r="T13" s="132">
        <v>0.87156038156962889</v>
      </c>
      <c r="U13" s="132">
        <v>0.93021473536834209</v>
      </c>
      <c r="V13" s="132">
        <v>0.30270485739050434</v>
      </c>
      <c r="W13" s="132">
        <v>0.24512097601909588</v>
      </c>
      <c r="X13" s="132">
        <v>0</v>
      </c>
      <c r="Y13" s="132">
        <v>0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65.652250381462508</v>
      </c>
      <c r="D14" s="65">
        <v>54.569779862801724</v>
      </c>
      <c r="E14" s="65">
        <v>45.75175093311686</v>
      </c>
      <c r="F14" s="65">
        <v>62.461745183424895</v>
      </c>
      <c r="G14" s="65">
        <v>57.97200163013833</v>
      </c>
      <c r="H14" s="65">
        <v>78.42296957535072</v>
      </c>
      <c r="I14" s="65">
        <v>79.865627403877141</v>
      </c>
      <c r="J14" s="65">
        <v>48.90592964103957</v>
      </c>
      <c r="K14" s="65">
        <v>29.871081491242396</v>
      </c>
      <c r="L14" s="65">
        <v>54.445058305524753</v>
      </c>
      <c r="M14" s="65">
        <v>36.814005965529198</v>
      </c>
      <c r="N14" s="65">
        <v>21.609657210781997</v>
      </c>
      <c r="O14" s="65">
        <v>14.585203200371032</v>
      </c>
      <c r="P14" s="65">
        <v>10.402998249798134</v>
      </c>
      <c r="Q14" s="65">
        <v>7.8330720476256621</v>
      </c>
      <c r="R14" s="65">
        <v>23.993816927783609</v>
      </c>
      <c r="S14" s="65">
        <v>20.680942537495905</v>
      </c>
      <c r="T14" s="65">
        <v>17.537018429459575</v>
      </c>
      <c r="U14" s="65">
        <v>15.256164923357096</v>
      </c>
      <c r="V14" s="65">
        <v>14.659020142015885</v>
      </c>
      <c r="W14" s="65">
        <v>13.809461737017017</v>
      </c>
      <c r="X14" s="65">
        <v>16.250890879182574</v>
      </c>
      <c r="Y14" s="65">
        <v>11.451291806416721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1.188117610578767</v>
      </c>
      <c r="D15" s="134">
        <v>1.1718933186142446</v>
      </c>
      <c r="E15" s="134">
        <v>1.7273198760174133</v>
      </c>
      <c r="F15" s="134">
        <v>1.4807198418658616</v>
      </c>
      <c r="G15" s="134">
        <v>1.5131027274291777</v>
      </c>
      <c r="H15" s="134">
        <v>1.2012858635928838</v>
      </c>
      <c r="I15" s="134">
        <v>1.4411637740393222</v>
      </c>
      <c r="J15" s="134">
        <v>1.3222239684318167</v>
      </c>
      <c r="K15" s="134">
        <v>0.81302098757413088</v>
      </c>
      <c r="L15" s="134">
        <v>1.1136598999330272</v>
      </c>
      <c r="M15" s="134">
        <v>0.84130951822598909</v>
      </c>
      <c r="N15" s="134">
        <v>0.73440224451181246</v>
      </c>
      <c r="O15" s="134">
        <v>0.72021526651487211</v>
      </c>
      <c r="P15" s="134">
        <v>1.0849338193439539</v>
      </c>
      <c r="Q15" s="134">
        <v>0.18311073367178279</v>
      </c>
      <c r="R15" s="134">
        <v>0.65432625950519374</v>
      </c>
      <c r="S15" s="134">
        <v>0.7587817446298889</v>
      </c>
      <c r="T15" s="134">
        <v>0.86827237420831072</v>
      </c>
      <c r="U15" s="134">
        <v>0.77167298307855869</v>
      </c>
      <c r="V15" s="134">
        <v>0.62291752401840761</v>
      </c>
      <c r="W15" s="134">
        <v>0.52502557001365724</v>
      </c>
      <c r="X15" s="134">
        <v>0.45033793275791034</v>
      </c>
      <c r="Y15" s="134">
        <v>0.39116563046235314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16.031191198928717</v>
      </c>
      <c r="D16" s="130">
        <f t="shared" si="6"/>
        <v>14.646863632799311</v>
      </c>
      <c r="E16" s="130">
        <f t="shared" si="6"/>
        <v>24.609558573399479</v>
      </c>
      <c r="F16" s="130">
        <f t="shared" si="6"/>
        <v>13.771900630732707</v>
      </c>
      <c r="G16" s="130">
        <f t="shared" si="6"/>
        <v>14.327029571919269</v>
      </c>
      <c r="H16" s="130">
        <f t="shared" si="6"/>
        <v>16.82712568184213</v>
      </c>
      <c r="I16" s="130">
        <f t="shared" si="6"/>
        <v>14.812397036126931</v>
      </c>
      <c r="J16" s="130">
        <f t="shared" si="6"/>
        <v>12.200238260256009</v>
      </c>
      <c r="K16" s="130">
        <f t="shared" si="6"/>
        <v>7.1168163600661982</v>
      </c>
      <c r="L16" s="130">
        <f t="shared" si="6"/>
        <v>10.235409748040677</v>
      </c>
      <c r="M16" s="130">
        <f t="shared" si="6"/>
        <v>10.55957337882359</v>
      </c>
      <c r="N16" s="130">
        <f t="shared" si="6"/>
        <v>7.3287112739708826</v>
      </c>
      <c r="O16" s="130">
        <f t="shared" si="6"/>
        <v>5.9934969263373112</v>
      </c>
      <c r="P16" s="130">
        <f t="shared" si="6"/>
        <v>8.2995525454478258</v>
      </c>
      <c r="Q16" s="130">
        <f t="shared" si="6"/>
        <v>2.4456282829254481</v>
      </c>
      <c r="R16" s="130">
        <f t="shared" ref="R16:W16" si="7">SUM(R17:R18)</f>
        <v>6.8606206491828807</v>
      </c>
      <c r="S16" s="130">
        <f t="shared" si="7"/>
        <v>7.7088683163253808</v>
      </c>
      <c r="T16" s="130">
        <f t="shared" si="7"/>
        <v>8.0306354080046738</v>
      </c>
      <c r="U16" s="130">
        <f t="shared" si="7"/>
        <v>7.7675507773422225</v>
      </c>
      <c r="V16" s="130">
        <f t="shared" si="7"/>
        <v>6.9996889393732875</v>
      </c>
      <c r="W16" s="130">
        <f t="shared" si="7"/>
        <v>5.105507917214779</v>
      </c>
      <c r="X16" s="130">
        <f t="shared" ref="X16:Y16" si="8">SUM(X17:X18)</f>
        <v>7.4625201888420474</v>
      </c>
      <c r="Y16" s="130">
        <f t="shared" si="8"/>
        <v>6.4535326906467372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0.14489131762964372</v>
      </c>
      <c r="D17" s="132">
        <v>0.12758510792638048</v>
      </c>
      <c r="E17" s="132">
        <v>0.49670460128674632</v>
      </c>
      <c r="F17" s="132">
        <v>0.11888543189440201</v>
      </c>
      <c r="G17" s="132">
        <v>0.1458088972004459</v>
      </c>
      <c r="H17" s="132">
        <v>0.39165072964676784</v>
      </c>
      <c r="I17" s="132">
        <v>0.24439308149178543</v>
      </c>
      <c r="J17" s="132">
        <v>0.31421706166534707</v>
      </c>
      <c r="K17" s="132">
        <v>0.14609742715608487</v>
      </c>
      <c r="L17" s="132">
        <v>0.36254397308682756</v>
      </c>
      <c r="M17" s="132">
        <v>0.68149560740727799</v>
      </c>
      <c r="N17" s="132">
        <v>0.85316177119388825</v>
      </c>
      <c r="O17" s="132">
        <v>0.57330367453527364</v>
      </c>
      <c r="P17" s="132">
        <v>0.6622036365819951</v>
      </c>
      <c r="Q17" s="132">
        <v>0.2499747239409717</v>
      </c>
      <c r="R17" s="132">
        <v>0.5656679809085714</v>
      </c>
      <c r="S17" s="132">
        <v>0.93131281752741379</v>
      </c>
      <c r="T17" s="132">
        <v>0.89339824862237327</v>
      </c>
      <c r="U17" s="132">
        <v>0.99682432559225498</v>
      </c>
      <c r="V17" s="132">
        <v>0.80311071872139428</v>
      </c>
      <c r="W17" s="132">
        <v>0.55524958414896808</v>
      </c>
      <c r="X17" s="132">
        <v>0.97998231661910118</v>
      </c>
      <c r="Y17" s="132">
        <v>0.70017596460317255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15.886299881299074</v>
      </c>
      <c r="D18" s="132">
        <v>14.519278524872931</v>
      </c>
      <c r="E18" s="132">
        <v>24.112853972112731</v>
      </c>
      <c r="F18" s="132">
        <v>13.653015198838306</v>
      </c>
      <c r="G18" s="132">
        <v>14.181220674718823</v>
      </c>
      <c r="H18" s="132">
        <v>16.435474952195364</v>
      </c>
      <c r="I18" s="132">
        <v>14.568003954635145</v>
      </c>
      <c r="J18" s="132">
        <v>11.886021198590662</v>
      </c>
      <c r="K18" s="132">
        <v>6.9707189329101134</v>
      </c>
      <c r="L18" s="132">
        <v>9.8728657749538495</v>
      </c>
      <c r="M18" s="132">
        <v>9.8780777714163115</v>
      </c>
      <c r="N18" s="132">
        <v>6.4755495027769943</v>
      </c>
      <c r="O18" s="132">
        <v>5.4201932518020373</v>
      </c>
      <c r="P18" s="132">
        <v>7.6373489088658308</v>
      </c>
      <c r="Q18" s="132">
        <v>2.1956535589844766</v>
      </c>
      <c r="R18" s="132">
        <v>6.2949526682743091</v>
      </c>
      <c r="S18" s="132">
        <v>6.7775554987979669</v>
      </c>
      <c r="T18" s="132">
        <v>7.137237159382301</v>
      </c>
      <c r="U18" s="132">
        <v>6.7707264517499679</v>
      </c>
      <c r="V18" s="132">
        <v>6.1965782206518929</v>
      </c>
      <c r="W18" s="132">
        <v>4.5502583330658108</v>
      </c>
      <c r="X18" s="132">
        <v>6.4825378722229461</v>
      </c>
      <c r="Y18" s="132">
        <v>5.753356726043565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34.594290892038465</v>
      </c>
      <c r="D19" s="130">
        <f t="shared" si="9"/>
        <v>34.58497455300612</v>
      </c>
      <c r="E19" s="130">
        <f t="shared" si="9"/>
        <v>33.656970189918511</v>
      </c>
      <c r="F19" s="130">
        <f t="shared" si="9"/>
        <v>33.957728070233884</v>
      </c>
      <c r="G19" s="130">
        <f t="shared" si="9"/>
        <v>32.868328678380252</v>
      </c>
      <c r="H19" s="130">
        <f t="shared" si="9"/>
        <v>34.674166357026571</v>
      </c>
      <c r="I19" s="130">
        <f t="shared" si="9"/>
        <v>41.360151832804206</v>
      </c>
      <c r="J19" s="130">
        <f t="shared" si="9"/>
        <v>35.345897964647136</v>
      </c>
      <c r="K19" s="130">
        <f t="shared" si="9"/>
        <v>20.552416768169206</v>
      </c>
      <c r="L19" s="130">
        <f t="shared" si="9"/>
        <v>29.892684368659822</v>
      </c>
      <c r="M19" s="130">
        <f t="shared" si="9"/>
        <v>32.439142279660217</v>
      </c>
      <c r="N19" s="130">
        <f t="shared" si="9"/>
        <v>21.14982294515552</v>
      </c>
      <c r="O19" s="130">
        <f t="shared" si="9"/>
        <v>19.072241770129956</v>
      </c>
      <c r="P19" s="130">
        <f t="shared" si="9"/>
        <v>31.198833034648391</v>
      </c>
      <c r="Q19" s="130">
        <f t="shared" si="9"/>
        <v>7.0472705835716178</v>
      </c>
      <c r="R19" s="130">
        <f t="shared" ref="R19:W19" si="10">SUM(R20:R27)</f>
        <v>23.723754992850068</v>
      </c>
      <c r="S19" s="130">
        <f t="shared" si="10"/>
        <v>24.220622381569207</v>
      </c>
      <c r="T19" s="130">
        <f t="shared" si="10"/>
        <v>26.921694329284673</v>
      </c>
      <c r="U19" s="130">
        <f t="shared" si="10"/>
        <v>25.451056755910454</v>
      </c>
      <c r="V19" s="130">
        <f t="shared" si="10"/>
        <v>22.406548142430776</v>
      </c>
      <c r="W19" s="130">
        <f t="shared" si="10"/>
        <v>22.543191805120298</v>
      </c>
      <c r="X19" s="130">
        <f t="shared" ref="X19:Y19" si="11">SUM(X20:X27)</f>
        <v>22.889309597832948</v>
      </c>
      <c r="Y19" s="130">
        <f t="shared" si="11"/>
        <v>22.249909138642703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1.4279982832194218</v>
      </c>
      <c r="D21" s="132">
        <v>1.8383660620275475</v>
      </c>
      <c r="E21" s="132">
        <v>1.5558912263569025</v>
      </c>
      <c r="F21" s="132">
        <v>1.1622284520496398</v>
      </c>
      <c r="G21" s="132">
        <v>0.97482890762660335</v>
      </c>
      <c r="H21" s="132">
        <v>1.2377399163660385</v>
      </c>
      <c r="I21" s="132">
        <v>1.281550628931055</v>
      </c>
      <c r="J21" s="132">
        <v>0.98937286948781133</v>
      </c>
      <c r="K21" s="132">
        <v>0.26029749657380524</v>
      </c>
      <c r="L21" s="132">
        <v>0.15160360522999661</v>
      </c>
      <c r="M21" s="132">
        <v>0</v>
      </c>
      <c r="N21" s="132">
        <v>0.73431565116604025</v>
      </c>
      <c r="O21" s="132">
        <v>0.47230533887192661</v>
      </c>
      <c r="P21" s="132">
        <v>0.54363385941650366</v>
      </c>
      <c r="Q21" s="132">
        <v>0.1591770775221337</v>
      </c>
      <c r="R21" s="132">
        <v>0.3941973936090164</v>
      </c>
      <c r="S21" s="132">
        <v>0.36325273477163805</v>
      </c>
      <c r="T21" s="132">
        <v>0</v>
      </c>
      <c r="U21" s="132">
        <v>0</v>
      </c>
      <c r="V21" s="132">
        <v>0</v>
      </c>
      <c r="W21" s="132">
        <v>0</v>
      </c>
      <c r="X21" s="132">
        <v>5.8989021012462624E-2</v>
      </c>
      <c r="Y21" s="132">
        <v>0.29353163649822345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7.0899050612176975</v>
      </c>
      <c r="D22" s="132">
        <v>6.6131298718808216</v>
      </c>
      <c r="E22" s="132">
        <v>6.6075750518559966</v>
      </c>
      <c r="F22" s="132">
        <v>5.711992251443883</v>
      </c>
      <c r="G22" s="132">
        <v>5.2597443839556695</v>
      </c>
      <c r="H22" s="132">
        <v>4.6307473588594519</v>
      </c>
      <c r="I22" s="132">
        <v>4.5667904617937269</v>
      </c>
      <c r="J22" s="132">
        <v>4.7579519046290883</v>
      </c>
      <c r="K22" s="132">
        <v>2.828473209659697</v>
      </c>
      <c r="L22" s="132">
        <v>3.9789370363230536</v>
      </c>
      <c r="M22" s="132">
        <v>4.6991081093508464</v>
      </c>
      <c r="N22" s="132">
        <v>5.2478123304487365</v>
      </c>
      <c r="O22" s="132">
        <v>4.9772439588274615</v>
      </c>
      <c r="P22" s="132">
        <v>9.2321407528845825</v>
      </c>
      <c r="Q22" s="132">
        <v>1.1187581197307757</v>
      </c>
      <c r="R22" s="132">
        <v>0</v>
      </c>
      <c r="S22" s="132">
        <v>1.4743449957722847</v>
      </c>
      <c r="T22" s="132">
        <v>1.1021052147021446</v>
      </c>
      <c r="U22" s="132">
        <v>2.1944395328566526</v>
      </c>
      <c r="V22" s="132">
        <v>3.4011000514986773</v>
      </c>
      <c r="W22" s="132">
        <v>0.82889835825035341</v>
      </c>
      <c r="X22" s="132">
        <v>2.9537678382008421</v>
      </c>
      <c r="Y22" s="132">
        <v>2.7203200401184624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6.3314813192564161</v>
      </c>
      <c r="D23" s="132">
        <v>6.7683716020591529</v>
      </c>
      <c r="E23" s="132">
        <v>6.3819543820903029</v>
      </c>
      <c r="F23" s="132">
        <v>4.4202453829534392</v>
      </c>
      <c r="G23" s="132">
        <v>3.521356273110289</v>
      </c>
      <c r="H23" s="132">
        <v>4.0097645499511643</v>
      </c>
      <c r="I23" s="132">
        <v>6.2135859401501179</v>
      </c>
      <c r="J23" s="132">
        <v>6.1809292042198285</v>
      </c>
      <c r="K23" s="132">
        <v>5.6842094205991147</v>
      </c>
      <c r="L23" s="132">
        <v>5.4170687070403716</v>
      </c>
      <c r="M23" s="132">
        <v>6.7437071328329425</v>
      </c>
      <c r="N23" s="132">
        <v>3.1635297525369119</v>
      </c>
      <c r="O23" s="132">
        <v>3.1332944116845187</v>
      </c>
      <c r="P23" s="132">
        <v>2.4383333520075414</v>
      </c>
      <c r="Q23" s="132">
        <v>1.2155948158711802</v>
      </c>
      <c r="R23" s="132">
        <v>5.7362669267232596</v>
      </c>
      <c r="S23" s="132">
        <v>4.0236723141275688</v>
      </c>
      <c r="T23" s="132">
        <v>4.2208283229089227</v>
      </c>
      <c r="U23" s="132">
        <v>4.8018408432829842</v>
      </c>
      <c r="V23" s="132">
        <v>4.3340335804912167</v>
      </c>
      <c r="W23" s="132">
        <v>4.3557490372717931</v>
      </c>
      <c r="X23" s="132">
        <v>5.8399482058226102</v>
      </c>
      <c r="Y23" s="132">
        <v>4.5687791746022075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0.27377210649869682</v>
      </c>
      <c r="D24" s="132">
        <v>0.37696001258659195</v>
      </c>
      <c r="E24" s="132">
        <v>0.39844963858508031</v>
      </c>
      <c r="F24" s="132">
        <v>0.42512681251008938</v>
      </c>
      <c r="G24" s="132">
        <v>0.46522672104877077</v>
      </c>
      <c r="H24" s="132">
        <v>0.4927060400990762</v>
      </c>
      <c r="I24" s="132">
        <v>0.71009715658582084</v>
      </c>
      <c r="J24" s="132">
        <v>0.50096664759881138</v>
      </c>
      <c r="K24" s="132">
        <v>0.23355630715911019</v>
      </c>
      <c r="L24" s="132">
        <v>0.13049506776449732</v>
      </c>
      <c r="M24" s="132">
        <v>0</v>
      </c>
      <c r="N24" s="132">
        <v>3.139998438349733E-2</v>
      </c>
      <c r="O24" s="132">
        <v>0.16488240413659386</v>
      </c>
      <c r="P24" s="132">
        <v>0</v>
      </c>
      <c r="Q24" s="132">
        <v>0</v>
      </c>
      <c r="R24" s="132">
        <v>0.12601831231743318</v>
      </c>
      <c r="S24" s="132">
        <v>0.32449079021892302</v>
      </c>
      <c r="T24" s="132">
        <v>0.43443668952794068</v>
      </c>
      <c r="U24" s="132">
        <v>0.51984413147271435</v>
      </c>
      <c r="V24" s="132">
        <v>0.58909502121524759</v>
      </c>
      <c r="W24" s="132">
        <v>0.59768522298372673</v>
      </c>
      <c r="X24" s="132">
        <v>0.60934008527592443</v>
      </c>
      <c r="Y24" s="132">
        <v>0.3973084256940782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2.1311948347806773</v>
      </c>
      <c r="D25" s="132">
        <v>2.0748124792604523</v>
      </c>
      <c r="E25" s="132">
        <v>2.2102732387602146</v>
      </c>
      <c r="F25" s="132">
        <v>1.9695514624591417</v>
      </c>
      <c r="G25" s="132">
        <v>0.78760664719020634</v>
      </c>
      <c r="H25" s="132">
        <v>0</v>
      </c>
      <c r="I25" s="132">
        <v>0</v>
      </c>
      <c r="J25" s="132">
        <v>0</v>
      </c>
      <c r="K25" s="132">
        <v>0.30943641661958748</v>
      </c>
      <c r="L25" s="132">
        <v>1.4691756966662568</v>
      </c>
      <c r="M25" s="132">
        <v>1.595470236879293</v>
      </c>
      <c r="N25" s="132">
        <v>1.6127724087068578</v>
      </c>
      <c r="O25" s="132">
        <v>1.2513930546751182</v>
      </c>
      <c r="P25" s="132">
        <v>0.78689460356655661</v>
      </c>
      <c r="Q25" s="132">
        <v>0.43463881177538033</v>
      </c>
      <c r="R25" s="132">
        <v>1.7580344553275833</v>
      </c>
      <c r="S25" s="132">
        <v>1.6361902182700507</v>
      </c>
      <c r="T25" s="132">
        <v>2.0918373261633652</v>
      </c>
      <c r="U25" s="132">
        <v>0.94346046496991021</v>
      </c>
      <c r="V25" s="132">
        <v>0.43660321194744922</v>
      </c>
      <c r="W25" s="132">
        <v>3.6714191146967126E-2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17.339939287065555</v>
      </c>
      <c r="D26" s="65">
        <v>16.913334525191559</v>
      </c>
      <c r="E26" s="65">
        <v>16.502826652270013</v>
      </c>
      <c r="F26" s="65">
        <v>20.26858370881769</v>
      </c>
      <c r="G26" s="65">
        <v>20.223113397732508</v>
      </c>
      <c r="H26" s="65">
        <v>24.254804153137069</v>
      </c>
      <c r="I26" s="65">
        <v>28.257437600245407</v>
      </c>
      <c r="J26" s="65">
        <v>22.60589086766452</v>
      </c>
      <c r="K26" s="65">
        <v>10.968405446829667</v>
      </c>
      <c r="L26" s="65">
        <v>17.517800258099793</v>
      </c>
      <c r="M26" s="65">
        <v>18.811417758273393</v>
      </c>
      <c r="N26" s="65">
        <v>7.2060396693370361</v>
      </c>
      <c r="O26" s="65">
        <v>7.8815652581686884</v>
      </c>
      <c r="P26" s="65">
        <v>18.197830466773205</v>
      </c>
      <c r="Q26" s="65">
        <v>3.2059997659449575</v>
      </c>
      <c r="R26" s="65">
        <v>15.080177020991846</v>
      </c>
      <c r="S26" s="65">
        <v>15.566271735647277</v>
      </c>
      <c r="T26" s="65">
        <v>18.552902832259566</v>
      </c>
      <c r="U26" s="65">
        <v>16.068456676991307</v>
      </c>
      <c r="V26" s="65">
        <v>12.089849001337656</v>
      </c>
      <c r="W26" s="65">
        <v>16.485417818827393</v>
      </c>
      <c r="X26" s="65">
        <v>13.427264447521111</v>
      </c>
      <c r="Y26" s="65">
        <v>14.150593516915391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1.6364523477162078</v>
      </c>
      <c r="H27" s="147">
        <v>4.8404338613770852E-2</v>
      </c>
      <c r="I27" s="147">
        <v>0.33069004509808203</v>
      </c>
      <c r="J27" s="147">
        <v>0.3107864710470789</v>
      </c>
      <c r="K27" s="147">
        <v>0.2680384707282234</v>
      </c>
      <c r="L27" s="147">
        <v>1.2276039975358513</v>
      </c>
      <c r="M27" s="147">
        <v>0.58943904232373801</v>
      </c>
      <c r="N27" s="147">
        <v>3.1539531485764414</v>
      </c>
      <c r="O27" s="147">
        <v>1.1915573437656521</v>
      </c>
      <c r="P27" s="147">
        <v>3.9450372113668605E-15</v>
      </c>
      <c r="Q27" s="147">
        <v>0.9131019927271905</v>
      </c>
      <c r="R27" s="147">
        <v>0.62906088388093306</v>
      </c>
      <c r="S27" s="147">
        <v>0.83239959276146458</v>
      </c>
      <c r="T27" s="147">
        <v>0.51958394372273142</v>
      </c>
      <c r="U27" s="147">
        <v>0.92301510633688555</v>
      </c>
      <c r="V27" s="147">
        <v>1.5558672759405272</v>
      </c>
      <c r="W27" s="147">
        <v>0.23872717664006621</v>
      </c>
      <c r="X27" s="147">
        <v>0</v>
      </c>
      <c r="Y27" s="147">
        <v>0.11937634481434316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30.149028038973334</v>
      </c>
      <c r="D29" s="130">
        <f t="shared" si="12"/>
        <v>37.653243705935608</v>
      </c>
      <c r="E29" s="130">
        <f t="shared" si="12"/>
        <v>33.467339902355327</v>
      </c>
      <c r="F29" s="130">
        <f t="shared" si="12"/>
        <v>28.226293589926712</v>
      </c>
      <c r="G29" s="130">
        <f t="shared" si="12"/>
        <v>30.081554466339792</v>
      </c>
      <c r="H29" s="130">
        <f t="shared" si="12"/>
        <v>31.33122441374881</v>
      </c>
      <c r="I29" s="130">
        <f t="shared" si="12"/>
        <v>39.094626522950222</v>
      </c>
      <c r="J29" s="130">
        <f t="shared" si="12"/>
        <v>35.241482786482131</v>
      </c>
      <c r="K29" s="130">
        <f t="shared" si="12"/>
        <v>22.726908553469855</v>
      </c>
      <c r="L29" s="130">
        <f t="shared" si="12"/>
        <v>31.96317625890191</v>
      </c>
      <c r="M29" s="130">
        <f t="shared" si="12"/>
        <v>31.986133793344663</v>
      </c>
      <c r="N29" s="130">
        <f t="shared" si="12"/>
        <v>22.425563017535673</v>
      </c>
      <c r="O29" s="130">
        <f t="shared" si="12"/>
        <v>21.322116945223808</v>
      </c>
      <c r="P29" s="130">
        <f t="shared" si="12"/>
        <v>34.635500212075385</v>
      </c>
      <c r="Q29" s="130">
        <f t="shared" si="12"/>
        <v>8.755785425882749</v>
      </c>
      <c r="R29" s="130">
        <f t="shared" ref="R29:W29" si="13">SUM(R30:R33)</f>
        <v>28.020065374364485</v>
      </c>
      <c r="S29" s="130">
        <f t="shared" si="13"/>
        <v>29.530354158138117</v>
      </c>
      <c r="T29" s="130">
        <f t="shared" si="13"/>
        <v>33.097407789927161</v>
      </c>
      <c r="U29" s="130">
        <f t="shared" si="13"/>
        <v>33.393096017609935</v>
      </c>
      <c r="V29" s="130">
        <f t="shared" si="13"/>
        <v>28.350276572418444</v>
      </c>
      <c r="W29" s="130">
        <f t="shared" si="13"/>
        <v>27.617395260896465</v>
      </c>
      <c r="X29" s="130">
        <f t="shared" ref="X29:Y29" si="14">SUM(X30:X33)</f>
        <v>27.372186366410013</v>
      </c>
      <c r="Y29" s="130">
        <f t="shared" si="14"/>
        <v>27.780082785937637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2.4913735104740398</v>
      </c>
      <c r="D30" s="132">
        <v>23.505001206961978</v>
      </c>
      <c r="E30" s="132">
        <v>15.341621159640056</v>
      </c>
      <c r="F30" s="132">
        <v>7.1993960410353521</v>
      </c>
      <c r="G30" s="132">
        <v>1.6539372904658955</v>
      </c>
      <c r="H30" s="132">
        <v>0</v>
      </c>
      <c r="I30" s="132">
        <v>4.0892573307151308</v>
      </c>
      <c r="J30" s="132">
        <v>8.2218050942592242</v>
      </c>
      <c r="K30" s="132">
        <v>3.0965488023955503</v>
      </c>
      <c r="L30" s="132">
        <v>4.2676791839741801</v>
      </c>
      <c r="M30" s="132">
        <v>0</v>
      </c>
      <c r="N30" s="132">
        <v>0.90201749362404571</v>
      </c>
      <c r="O30" s="132">
        <v>2.1470691268427831</v>
      </c>
      <c r="P30" s="132">
        <v>6.8134083302254504</v>
      </c>
      <c r="Q30" s="132">
        <v>1.8736666520428964</v>
      </c>
      <c r="R30" s="132">
        <v>3.0321932042883635</v>
      </c>
      <c r="S30" s="132">
        <v>3.8258318445255739</v>
      </c>
      <c r="T30" s="132">
        <v>2.6136779656710356</v>
      </c>
      <c r="U30" s="132">
        <v>2.8323194993958478</v>
      </c>
      <c r="V30" s="132">
        <v>0.31485117980225658</v>
      </c>
      <c r="W30" s="132">
        <v>0</v>
      </c>
      <c r="X30" s="132">
        <v>0</v>
      </c>
      <c r="Y30" s="132">
        <v>2.1053863711301815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11.129584985485693</v>
      </c>
      <c r="D31" s="132">
        <v>11.690553149645527</v>
      </c>
      <c r="E31" s="132">
        <v>8.320350241511262</v>
      </c>
      <c r="F31" s="132">
        <v>3.5723403055813532</v>
      </c>
      <c r="G31" s="132">
        <v>0</v>
      </c>
      <c r="H31" s="132">
        <v>0</v>
      </c>
      <c r="I31" s="132">
        <v>9.9781886658679966</v>
      </c>
      <c r="J31" s="132">
        <v>13.034013488539905</v>
      </c>
      <c r="K31" s="132">
        <v>13.077755964507519</v>
      </c>
      <c r="L31" s="132">
        <v>12.257705108796804</v>
      </c>
      <c r="M31" s="132">
        <v>9.7287172876071342</v>
      </c>
      <c r="N31" s="132">
        <v>4.1310746660472075</v>
      </c>
      <c r="O31" s="132">
        <v>7.4786823285390573</v>
      </c>
      <c r="P31" s="132">
        <v>11.863229007363985</v>
      </c>
      <c r="Q31" s="132">
        <v>2.9410489548432248</v>
      </c>
      <c r="R31" s="132">
        <v>5.7551393744422805</v>
      </c>
      <c r="S31" s="132">
        <v>7.4604040441744113</v>
      </c>
      <c r="T31" s="132">
        <v>10.1304992409181</v>
      </c>
      <c r="U31" s="132">
        <v>15.064487393059432</v>
      </c>
      <c r="V31" s="132">
        <v>13.834477029796666</v>
      </c>
      <c r="W31" s="132">
        <v>10.3606719411094</v>
      </c>
      <c r="X31" s="132">
        <v>7.5650259248370864</v>
      </c>
      <c r="Y31" s="132">
        <v>5.7227559707532301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16.528069543013601</v>
      </c>
      <c r="D33" s="68">
        <v>2.4576893493281062</v>
      </c>
      <c r="E33" s="68">
        <v>9.8053685012040077</v>
      </c>
      <c r="F33" s="68">
        <v>17.454557243310006</v>
      </c>
      <c r="G33" s="68">
        <v>28.427617175873898</v>
      </c>
      <c r="H33" s="68">
        <v>31.33122441374881</v>
      </c>
      <c r="I33" s="68">
        <v>25.02718052636709</v>
      </c>
      <c r="J33" s="68">
        <v>13.985664203682999</v>
      </c>
      <c r="K33" s="68">
        <v>6.5526037865667863</v>
      </c>
      <c r="L33" s="68">
        <v>15.437791966130925</v>
      </c>
      <c r="M33" s="68">
        <v>22.257416505737531</v>
      </c>
      <c r="N33" s="68">
        <v>17.392470857864421</v>
      </c>
      <c r="O33" s="68">
        <v>11.696365489841968</v>
      </c>
      <c r="P33" s="68">
        <v>15.958862874485947</v>
      </c>
      <c r="Q33" s="68">
        <v>3.9410698189966284</v>
      </c>
      <c r="R33" s="68">
        <v>19.23273279563384</v>
      </c>
      <c r="S33" s="68">
        <v>18.244118269438133</v>
      </c>
      <c r="T33" s="68">
        <v>20.353230583338021</v>
      </c>
      <c r="U33" s="68">
        <v>15.496289125154654</v>
      </c>
      <c r="V33" s="68">
        <v>14.200948362819524</v>
      </c>
      <c r="W33" s="68">
        <v>17.256723319787064</v>
      </c>
      <c r="X33" s="68">
        <v>19.807160441572925</v>
      </c>
      <c r="Y33" s="68">
        <v>19.951940444054223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222.40623605237835</v>
      </c>
      <c r="D3" s="125">
        <f t="shared" si="0"/>
        <v>214.15081739247015</v>
      </c>
      <c r="E3" s="125">
        <f t="shared" si="0"/>
        <v>248.70698090851369</v>
      </c>
      <c r="F3" s="125">
        <f t="shared" si="0"/>
        <v>222.43560871073137</v>
      </c>
      <c r="G3" s="125">
        <f t="shared" si="0"/>
        <v>225.4856555990541</v>
      </c>
      <c r="H3" s="125">
        <f t="shared" si="0"/>
        <v>231.22858036642606</v>
      </c>
      <c r="I3" s="125">
        <f t="shared" si="0"/>
        <v>252.420323908515</v>
      </c>
      <c r="J3" s="125">
        <f t="shared" si="0"/>
        <v>207.81085415039129</v>
      </c>
      <c r="K3" s="125">
        <f t="shared" si="0"/>
        <v>127.83472080725333</v>
      </c>
      <c r="L3" s="125">
        <f t="shared" si="0"/>
        <v>198.6223257237319</v>
      </c>
      <c r="M3" s="125">
        <f t="shared" si="0"/>
        <v>185.31183683982511</v>
      </c>
      <c r="N3" s="125">
        <f t="shared" si="0"/>
        <v>132.0413505630018</v>
      </c>
      <c r="O3" s="125">
        <f t="shared" si="0"/>
        <v>118.49859786062532</v>
      </c>
      <c r="P3" s="125">
        <f t="shared" si="0"/>
        <v>171.19363689908164</v>
      </c>
      <c r="Q3" s="125">
        <f t="shared" si="0"/>
        <v>43.751989857923043</v>
      </c>
      <c r="R3" s="125">
        <f t="shared" ref="R3:W3" si="1">SUM(R4,R16,R19,R29)</f>
        <v>142.42898264600493</v>
      </c>
      <c r="S3" s="125">
        <f t="shared" si="1"/>
        <v>148.45064778126164</v>
      </c>
      <c r="T3" s="125">
        <f t="shared" si="1"/>
        <v>158.95738382683155</v>
      </c>
      <c r="U3" s="125">
        <f t="shared" si="1"/>
        <v>147.7090487928798</v>
      </c>
      <c r="V3" s="125">
        <f t="shared" si="1"/>
        <v>127.45545448521727</v>
      </c>
      <c r="W3" s="125">
        <f t="shared" si="1"/>
        <v>113.84888087804821</v>
      </c>
      <c r="X3" s="125">
        <f t="shared" ref="X3:Y3" si="2">SUM(X4,X16,X19,X29)</f>
        <v>120.34527000045564</v>
      </c>
      <c r="Y3" s="125">
        <f t="shared" si="2"/>
        <v>108.3728187884391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142.34284135925287</v>
      </c>
      <c r="D4" s="130">
        <f t="shared" si="3"/>
        <v>134.11265486091762</v>
      </c>
      <c r="E4" s="130">
        <f t="shared" si="3"/>
        <v>144.20658578543137</v>
      </c>
      <c r="F4" s="130">
        <f t="shared" si="3"/>
        <v>144.19915060872145</v>
      </c>
      <c r="G4" s="130">
        <f t="shared" si="3"/>
        <v>141.36510980769631</v>
      </c>
      <c r="H4" s="130">
        <f t="shared" si="3"/>
        <v>136.85751137560513</v>
      </c>
      <c r="I4" s="130">
        <f t="shared" si="3"/>
        <v>153.79857059424441</v>
      </c>
      <c r="J4" s="130">
        <f t="shared" si="3"/>
        <v>124.10904769540399</v>
      </c>
      <c r="K4" s="130">
        <f t="shared" si="3"/>
        <v>77.176743434943972</v>
      </c>
      <c r="L4" s="130">
        <f t="shared" si="3"/>
        <v>123.18931266162696</v>
      </c>
      <c r="M4" s="130">
        <f t="shared" si="3"/>
        <v>104.9632932269479</v>
      </c>
      <c r="N4" s="130">
        <f t="shared" si="3"/>
        <v>75.65182998048931</v>
      </c>
      <c r="O4" s="130">
        <f t="shared" si="3"/>
        <v>68.646591561158743</v>
      </c>
      <c r="P4" s="130">
        <f t="shared" si="3"/>
        <v>93.613524424963956</v>
      </c>
      <c r="Q4" s="130">
        <f t="shared" si="3"/>
        <v>22.881066912050436</v>
      </c>
      <c r="R4" s="130">
        <f t="shared" ref="R4:W4" si="4">SUM(R5:R15)</f>
        <v>75.264478142404826</v>
      </c>
      <c r="S4" s="130">
        <f t="shared" si="4"/>
        <v>76.601495599113122</v>
      </c>
      <c r="T4" s="130">
        <f t="shared" si="4"/>
        <v>79.647895912307987</v>
      </c>
      <c r="U4" s="130">
        <f t="shared" si="4"/>
        <v>71.257806220630215</v>
      </c>
      <c r="V4" s="130">
        <f t="shared" si="4"/>
        <v>59.15763189142762</v>
      </c>
      <c r="W4" s="130">
        <f t="shared" si="4"/>
        <v>51.832899742487648</v>
      </c>
      <c r="X4" s="130">
        <f t="shared" ref="X4:Y4" si="5">SUM(X5:X15)</f>
        <v>48.45167634376967</v>
      </c>
      <c r="Y4" s="130">
        <f t="shared" si="5"/>
        <v>39.803398477970497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1.3845102310338044</v>
      </c>
      <c r="G5" s="132">
        <v>3.2500822058335057</v>
      </c>
      <c r="H5" s="132">
        <v>3.1102108310567371</v>
      </c>
      <c r="I5" s="132">
        <v>2.0731311394801684</v>
      </c>
      <c r="J5" s="132">
        <v>0.80510728349597049</v>
      </c>
      <c r="K5" s="132">
        <v>0</v>
      </c>
      <c r="L5" s="132">
        <v>0</v>
      </c>
      <c r="M5" s="132">
        <v>0</v>
      </c>
      <c r="N5" s="132">
        <v>0</v>
      </c>
      <c r="O5" s="132">
        <v>0.15409534580382964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0.21394727266045149</v>
      </c>
      <c r="V5" s="132">
        <v>0.41614626867870047</v>
      </c>
      <c r="W5" s="132">
        <v>0.54230133228548982</v>
      </c>
      <c r="X5" s="132">
        <v>0.3745279358213745</v>
      </c>
      <c r="Y5" s="132">
        <v>0.18559025327844442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29.398447802683187</v>
      </c>
      <c r="D7" s="132">
        <v>8.2334955723861185</v>
      </c>
      <c r="E7" s="132">
        <v>13.650095881806573</v>
      </c>
      <c r="F7" s="132">
        <v>16.67553327263008</v>
      </c>
      <c r="G7" s="132">
        <v>19.793710472110874</v>
      </c>
      <c r="H7" s="132">
        <v>29.990152321925354</v>
      </c>
      <c r="I7" s="132">
        <v>26.360477240228231</v>
      </c>
      <c r="J7" s="132">
        <v>32.025922810772819</v>
      </c>
      <c r="K7" s="132">
        <v>15.207785961113409</v>
      </c>
      <c r="L7" s="132">
        <v>9.8692767958092542</v>
      </c>
      <c r="M7" s="132">
        <v>13.779387589662873</v>
      </c>
      <c r="N7" s="132">
        <v>13.064596091718624</v>
      </c>
      <c r="O7" s="132">
        <v>16.573376920043355</v>
      </c>
      <c r="P7" s="132">
        <v>23.891758836456717</v>
      </c>
      <c r="Q7" s="132">
        <v>1.5692934399637821</v>
      </c>
      <c r="R7" s="132">
        <v>0</v>
      </c>
      <c r="S7" s="132">
        <v>4.3791201385837049</v>
      </c>
      <c r="T7" s="132">
        <v>7.4552191894939766</v>
      </c>
      <c r="U7" s="132">
        <v>10.729963335445641</v>
      </c>
      <c r="V7" s="132">
        <v>14.201755631070409</v>
      </c>
      <c r="W7" s="132">
        <v>7.028905207793982</v>
      </c>
      <c r="X7" s="132">
        <v>13.073150487564689</v>
      </c>
      <c r="Y7" s="132">
        <v>9.3484571655661171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4.1641096116438368E-2</v>
      </c>
      <c r="D8" s="132">
        <v>9.8308565313079702E-2</v>
      </c>
      <c r="E8" s="132">
        <v>0.18630014809395259</v>
      </c>
      <c r="F8" s="132">
        <v>0.26955196735369097</v>
      </c>
      <c r="G8" s="132">
        <v>0.55273807325934499</v>
      </c>
      <c r="H8" s="132">
        <v>0.55157968614937936</v>
      </c>
      <c r="I8" s="132">
        <v>0.48526383834874809</v>
      </c>
      <c r="J8" s="132">
        <v>0.30152485721233618</v>
      </c>
      <c r="K8" s="132">
        <v>0.24646766365134129</v>
      </c>
      <c r="L8" s="132">
        <v>0.62002476139365681</v>
      </c>
      <c r="M8" s="132">
        <v>1.830174769512062</v>
      </c>
      <c r="N8" s="132">
        <v>1.0777072243549199</v>
      </c>
      <c r="O8" s="132">
        <v>1.3924253870593339</v>
      </c>
      <c r="P8" s="132">
        <v>3.1770434344215999</v>
      </c>
      <c r="Q8" s="132">
        <v>0.82846624252590273</v>
      </c>
      <c r="R8" s="132">
        <v>1.5422699468947436</v>
      </c>
      <c r="S8" s="132">
        <v>0.96165500656226455</v>
      </c>
      <c r="T8" s="132">
        <v>0.78896207555658404</v>
      </c>
      <c r="U8" s="132">
        <v>0.6297339566129142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19.577814743071087</v>
      </c>
      <c r="D9" s="132">
        <v>41.051791173793383</v>
      </c>
      <c r="E9" s="132">
        <v>72.28517145801564</v>
      </c>
      <c r="F9" s="132">
        <v>59.244071327785008</v>
      </c>
      <c r="G9" s="132">
        <v>59.987633251478201</v>
      </c>
      <c r="H9" s="132">
        <v>35.433954770904613</v>
      </c>
      <c r="I9" s="132">
        <v>52.19236519410871</v>
      </c>
      <c r="J9" s="132">
        <v>40.690263000772724</v>
      </c>
      <c r="K9" s="132">
        <v>30.95069297033886</v>
      </c>
      <c r="L9" s="132">
        <v>53.78603719154723</v>
      </c>
      <c r="M9" s="132">
        <v>33.433225355382916</v>
      </c>
      <c r="N9" s="132">
        <v>28.392877035073127</v>
      </c>
      <c r="O9" s="132">
        <v>23.253585832440088</v>
      </c>
      <c r="P9" s="132">
        <v>36.577861966216695</v>
      </c>
      <c r="Q9" s="132">
        <v>8.2200096475759619</v>
      </c>
      <c r="R9" s="132">
        <v>36.312840648477533</v>
      </c>
      <c r="S9" s="132">
        <v>39.411449699080613</v>
      </c>
      <c r="T9" s="132">
        <v>44.326548209661198</v>
      </c>
      <c r="U9" s="132">
        <v>35.430001087401578</v>
      </c>
      <c r="V9" s="132">
        <v>22.380593585151601</v>
      </c>
      <c r="W9" s="132">
        <v>23.285565275908098</v>
      </c>
      <c r="X9" s="132">
        <v>12.253132391339721</v>
      </c>
      <c r="Y9" s="132">
        <v>12.985039962117501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6.2812328470236363</v>
      </c>
      <c r="D10" s="132">
        <v>8.3627179263266136</v>
      </c>
      <c r="E10" s="132">
        <v>4.6880963052963738</v>
      </c>
      <c r="F10" s="132">
        <v>0</v>
      </c>
      <c r="G10" s="132">
        <v>0</v>
      </c>
      <c r="H10" s="132">
        <v>0</v>
      </c>
      <c r="I10" s="132">
        <v>4.0518265868535925</v>
      </c>
      <c r="J10" s="132">
        <v>5.7099634066502762</v>
      </c>
      <c r="K10" s="132">
        <v>2.3041424991730888</v>
      </c>
      <c r="L10" s="132">
        <v>0.74529942556993567</v>
      </c>
      <c r="M10" s="132">
        <v>0.47275112287314286</v>
      </c>
      <c r="N10" s="132">
        <v>2.1200375971551888</v>
      </c>
      <c r="O10" s="132">
        <v>3.837706549999603</v>
      </c>
      <c r="P10" s="132">
        <v>4.6802044581403601</v>
      </c>
      <c r="Q10" s="132">
        <v>0.67115605035716897</v>
      </c>
      <c r="R10" s="132">
        <v>2.2145327352672228</v>
      </c>
      <c r="S10" s="132">
        <v>1.945074820174681</v>
      </c>
      <c r="T10" s="132">
        <v>1.5247432305195376</v>
      </c>
      <c r="U10" s="132">
        <v>1.625820783922427</v>
      </c>
      <c r="V10" s="132">
        <v>2.4156278084874936</v>
      </c>
      <c r="W10" s="132">
        <v>2.9409325208037953</v>
      </c>
      <c r="X10" s="132">
        <v>4.0046099825940038</v>
      </c>
      <c r="Y10" s="132">
        <v>2.518201106686901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6.7502421994738979</v>
      </c>
      <c r="E11" s="132">
        <v>0.81002260621380218</v>
      </c>
      <c r="F11" s="132">
        <v>7.8688921080078245E-2</v>
      </c>
      <c r="G11" s="132">
        <v>0</v>
      </c>
      <c r="H11" s="132">
        <v>0</v>
      </c>
      <c r="I11" s="132">
        <v>0</v>
      </c>
      <c r="J11" s="132">
        <v>0</v>
      </c>
      <c r="K11" s="132">
        <v>8.5866543138779835E-3</v>
      </c>
      <c r="L11" s="132">
        <v>6.7774896271829643E-2</v>
      </c>
      <c r="M11" s="132">
        <v>0.25096854673274849</v>
      </c>
      <c r="N11" s="132">
        <v>4.0702364720764918E-2</v>
      </c>
      <c r="O11" s="132">
        <v>1.3440004875685379E-2</v>
      </c>
      <c r="P11" s="132">
        <v>0.30757084903647974</v>
      </c>
      <c r="Q11" s="132">
        <v>9.8137276271397608E-2</v>
      </c>
      <c r="R11" s="132">
        <v>0.27994907082260539</v>
      </c>
      <c r="S11" s="132">
        <v>0.2810917857299251</v>
      </c>
      <c r="T11" s="132">
        <v>0.35714219467855313</v>
      </c>
      <c r="U11" s="132">
        <v>7.4314400180532397E-2</v>
      </c>
      <c r="V11" s="132">
        <v>5.1383351506848834E-2</v>
      </c>
      <c r="W11" s="132">
        <v>8.0481967477099292E-2</v>
      </c>
      <c r="X11" s="132">
        <v>7.1101079073649931E-2</v>
      </c>
      <c r="Y11" s="132">
        <v>7.8247342538882589E-2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34.159772007486332</v>
      </c>
      <c r="D12" s="132">
        <v>23.47777632171481</v>
      </c>
      <c r="E12" s="132">
        <v>12.723695203759961</v>
      </c>
      <c r="F12" s="132">
        <v>13.381151662652664</v>
      </c>
      <c r="G12" s="132">
        <v>6.6082360719126543</v>
      </c>
      <c r="H12" s="132">
        <v>0</v>
      </c>
      <c r="I12" s="132">
        <v>0</v>
      </c>
      <c r="J12" s="132">
        <v>0</v>
      </c>
      <c r="K12" s="132">
        <v>0</v>
      </c>
      <c r="L12" s="132">
        <v>5.9047314523026726</v>
      </c>
      <c r="M12" s="132">
        <v>8.7673289478973011</v>
      </c>
      <c r="N12" s="132">
        <v>5.7151206278513742</v>
      </c>
      <c r="O12" s="132">
        <v>6.3331908226084721</v>
      </c>
      <c r="P12" s="132">
        <v>10.975722032468164</v>
      </c>
      <c r="Q12" s="132">
        <v>3.714945470441434</v>
      </c>
      <c r="R12" s="132">
        <v>10.749935232155911</v>
      </c>
      <c r="S12" s="132">
        <v>8.8893121394980295</v>
      </c>
      <c r="T12" s="132">
        <v>6.1587115429859294</v>
      </c>
      <c r="U12" s="132">
        <v>4.9522780457564464</v>
      </c>
      <c r="V12" s="132">
        <v>4.9043154139813163</v>
      </c>
      <c r="W12" s="132">
        <v>4.0263004525880728</v>
      </c>
      <c r="X12" s="132">
        <v>3.3496411746907513</v>
      </c>
      <c r="Y12" s="132">
        <v>3.653658470159391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2.6760532504612984</v>
      </c>
      <c r="D13" s="132">
        <v>4.036624656568188</v>
      </c>
      <c r="E13" s="132">
        <v>3.6654471909294819</v>
      </c>
      <c r="F13" s="132">
        <v>4.4138869846756501</v>
      </c>
      <c r="G13" s="132">
        <v>5.5911708936956384</v>
      </c>
      <c r="H13" s="132">
        <v>6.6922289942765136</v>
      </c>
      <c r="I13" s="132">
        <v>5.9471466101981001</v>
      </c>
      <c r="J13" s="132">
        <v>5.5861111918501702</v>
      </c>
      <c r="K13" s="132">
        <v>4.540069426610887</v>
      </c>
      <c r="L13" s="132">
        <v>8.7890112134408938</v>
      </c>
      <c r="M13" s="132">
        <v>16.892770769273568</v>
      </c>
      <c r="N13" s="132">
        <v>7.6231922921228863</v>
      </c>
      <c r="O13" s="132">
        <v>4.9551564043222793</v>
      </c>
      <c r="P13" s="132">
        <v>4.7573337023450053</v>
      </c>
      <c r="Q13" s="132">
        <v>1.4030550227380596</v>
      </c>
      <c r="R13" s="132">
        <v>4.1973307455815503</v>
      </c>
      <c r="S13" s="132">
        <v>2.9293839000692827</v>
      </c>
      <c r="T13" s="132">
        <v>3.3349445803596689</v>
      </c>
      <c r="U13" s="132">
        <v>3.6008872753947232</v>
      </c>
      <c r="V13" s="132">
        <v>1.1842043711735786</v>
      </c>
      <c r="W13" s="132">
        <v>0.9689993840368325</v>
      </c>
      <c r="X13" s="132">
        <v>0</v>
      </c>
      <c r="Y13" s="132">
        <v>0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49.019762001832127</v>
      </c>
      <c r="D14" s="65">
        <v>40.929805126727267</v>
      </c>
      <c r="E14" s="65">
        <v>34.470437115298168</v>
      </c>
      <c r="F14" s="65">
        <v>47.271036399644622</v>
      </c>
      <c r="G14" s="65">
        <v>44.068436111976915</v>
      </c>
      <c r="H14" s="65">
        <v>59.878098907699638</v>
      </c>
      <c r="I14" s="65">
        <v>61.247196210987546</v>
      </c>
      <c r="J14" s="65">
        <v>37.667931176217891</v>
      </c>
      <c r="K14" s="65">
        <v>23.105977272168371</v>
      </c>
      <c r="L14" s="65">
        <v>42.293497025358448</v>
      </c>
      <c r="M14" s="65">
        <v>28.695376607387303</v>
      </c>
      <c r="N14" s="65">
        <v>16.883194502980601</v>
      </c>
      <c r="O14" s="65">
        <v>11.413399027491225</v>
      </c>
      <c r="P14" s="65">
        <v>8.1610953265349586</v>
      </c>
      <c r="Q14" s="65">
        <v>6.1928930285049457</v>
      </c>
      <c r="R14" s="65">
        <v>19.31329350370007</v>
      </c>
      <c r="S14" s="65">
        <v>17.045626364784724</v>
      </c>
      <c r="T14" s="65">
        <v>14.833352514844226</v>
      </c>
      <c r="U14" s="65">
        <v>13.229187080176935</v>
      </c>
      <c r="V14" s="65">
        <v>12.980687937359269</v>
      </c>
      <c r="W14" s="65">
        <v>12.43438803158061</v>
      </c>
      <c r="X14" s="65">
        <v>14.875175359927566</v>
      </c>
      <c r="Y14" s="65">
        <v>10.643038547160904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1.188117610578767</v>
      </c>
      <c r="D15" s="134">
        <v>1.1718933186142446</v>
      </c>
      <c r="E15" s="134">
        <v>1.7273198760174133</v>
      </c>
      <c r="F15" s="134">
        <v>1.4807198418658616</v>
      </c>
      <c r="G15" s="134">
        <v>1.5131027274291777</v>
      </c>
      <c r="H15" s="134">
        <v>1.2012858635928838</v>
      </c>
      <c r="I15" s="134">
        <v>1.4411637740393222</v>
      </c>
      <c r="J15" s="134">
        <v>1.3222239684318167</v>
      </c>
      <c r="K15" s="134">
        <v>0.81302098757413088</v>
      </c>
      <c r="L15" s="134">
        <v>1.1136598999330272</v>
      </c>
      <c r="M15" s="134">
        <v>0.84130951822598909</v>
      </c>
      <c r="N15" s="134">
        <v>0.73440224451181246</v>
      </c>
      <c r="O15" s="134">
        <v>0.72021526651487211</v>
      </c>
      <c r="P15" s="134">
        <v>1.0849338193439539</v>
      </c>
      <c r="Q15" s="134">
        <v>0.18311073367178279</v>
      </c>
      <c r="R15" s="134">
        <v>0.65432625950519374</v>
      </c>
      <c r="S15" s="134">
        <v>0.7587817446298889</v>
      </c>
      <c r="T15" s="134">
        <v>0.86827237420831072</v>
      </c>
      <c r="U15" s="134">
        <v>0.77167298307855869</v>
      </c>
      <c r="V15" s="134">
        <v>0.62291752401840761</v>
      </c>
      <c r="W15" s="134">
        <v>0.52502557001365724</v>
      </c>
      <c r="X15" s="134">
        <v>0.45033793275791034</v>
      </c>
      <c r="Y15" s="134">
        <v>0.39116563046235314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36.858260350921626</v>
      </c>
      <c r="D16" s="130">
        <f t="shared" si="6"/>
        <v>35.102345957537054</v>
      </c>
      <c r="E16" s="130">
        <f t="shared" si="6"/>
        <v>61.037578999107403</v>
      </c>
      <c r="F16" s="130">
        <f t="shared" si="6"/>
        <v>35.730724398833509</v>
      </c>
      <c r="G16" s="130">
        <f t="shared" si="6"/>
        <v>38.580745950990142</v>
      </c>
      <c r="H16" s="130">
        <f t="shared" si="6"/>
        <v>46.685837118790396</v>
      </c>
      <c r="I16" s="130">
        <f t="shared" si="6"/>
        <v>42.771266260640203</v>
      </c>
      <c r="J16" s="130">
        <f t="shared" si="6"/>
        <v>36.310026479348871</v>
      </c>
      <c r="K16" s="130">
        <f t="shared" si="6"/>
        <v>22.002952496254839</v>
      </c>
      <c r="L16" s="130">
        <f t="shared" si="6"/>
        <v>32.46936757117502</v>
      </c>
      <c r="M16" s="130">
        <f t="shared" si="6"/>
        <v>34.180924760149871</v>
      </c>
      <c r="N16" s="130">
        <f t="shared" si="6"/>
        <v>23.931912286498726</v>
      </c>
      <c r="O16" s="130">
        <f t="shared" si="6"/>
        <v>20.758439902548673</v>
      </c>
      <c r="P16" s="130">
        <f t="shared" si="6"/>
        <v>30.367546116197783</v>
      </c>
      <c r="Q16" s="130">
        <f t="shared" si="6"/>
        <v>9.1084490145153101</v>
      </c>
      <c r="R16" s="130">
        <f t="shared" ref="R16:W16" si="7">SUM(R17:R18)</f>
        <v>26.672060030061246</v>
      </c>
      <c r="S16" s="130">
        <f t="shared" si="7"/>
        <v>29.643183477339402</v>
      </c>
      <c r="T16" s="130">
        <f t="shared" si="7"/>
        <v>31.400135489648061</v>
      </c>
      <c r="U16" s="130">
        <f t="shared" si="7"/>
        <v>30.23835810129831</v>
      </c>
      <c r="V16" s="130">
        <f t="shared" si="7"/>
        <v>27.697517646781321</v>
      </c>
      <c r="W16" s="130">
        <f t="shared" si="7"/>
        <v>20.421641949882414</v>
      </c>
      <c r="X16" s="130">
        <f t="shared" ref="X16:Y16" si="8">SUM(X17:X18)</f>
        <v>29.543431359976815</v>
      </c>
      <c r="Y16" s="130">
        <f t="shared" si="8"/>
        <v>26.05362065693101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0.17034743967314361</v>
      </c>
      <c r="D17" s="132">
        <v>0.15241007690318945</v>
      </c>
      <c r="E17" s="132">
        <v>0.60258296571999004</v>
      </c>
      <c r="F17" s="132">
        <v>0.14638554850022523</v>
      </c>
      <c r="G17" s="132">
        <v>0.1821451239870911</v>
      </c>
      <c r="H17" s="132">
        <v>0.49615518695541783</v>
      </c>
      <c r="I17" s="132">
        <v>0.31386038170232655</v>
      </c>
      <c r="J17" s="132">
        <v>0.40897957089885978</v>
      </c>
      <c r="K17" s="132">
        <v>0.19269631376944663</v>
      </c>
      <c r="L17" s="132">
        <v>0.48450234489919586</v>
      </c>
      <c r="M17" s="132">
        <v>0.92457193324152009</v>
      </c>
      <c r="N17" s="132">
        <v>1.1772045728931524</v>
      </c>
      <c r="O17" s="132">
        <v>0.80567669477918913</v>
      </c>
      <c r="P17" s="132">
        <v>0.94733191659318206</v>
      </c>
      <c r="Q17" s="132">
        <v>0.36237257708204246</v>
      </c>
      <c r="R17" s="132">
        <v>0.83341488366810879</v>
      </c>
      <c r="S17" s="132">
        <v>1.3995889816123583</v>
      </c>
      <c r="T17" s="132">
        <v>1.3706888169472513</v>
      </c>
      <c r="U17" s="132">
        <v>1.5580221402199328</v>
      </c>
      <c r="V17" s="132">
        <v>1.2761490612304938</v>
      </c>
      <c r="W17" s="132">
        <v>0.89341716881255262</v>
      </c>
      <c r="X17" s="132">
        <v>1.5843929631329721</v>
      </c>
      <c r="Y17" s="132">
        <v>1.1328928659368125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36.687912911248482</v>
      </c>
      <c r="D18" s="132">
        <v>34.949935880633866</v>
      </c>
      <c r="E18" s="132">
        <v>60.434996033387414</v>
      </c>
      <c r="F18" s="132">
        <v>35.584338850333282</v>
      </c>
      <c r="G18" s="132">
        <v>38.398600827003051</v>
      </c>
      <c r="H18" s="132">
        <v>46.189681931834976</v>
      </c>
      <c r="I18" s="132">
        <v>42.457405878937877</v>
      </c>
      <c r="J18" s="132">
        <v>35.901046908450013</v>
      </c>
      <c r="K18" s="132">
        <v>21.810256182485393</v>
      </c>
      <c r="L18" s="132">
        <v>31.984865226275826</v>
      </c>
      <c r="M18" s="132">
        <v>33.256352826908348</v>
      </c>
      <c r="N18" s="132">
        <v>22.754707713605573</v>
      </c>
      <c r="O18" s="132">
        <v>19.952763207769483</v>
      </c>
      <c r="P18" s="132">
        <v>29.420214199604601</v>
      </c>
      <c r="Q18" s="132">
        <v>8.7460764374332669</v>
      </c>
      <c r="R18" s="132">
        <v>25.838645146393137</v>
      </c>
      <c r="S18" s="132">
        <v>28.243594495727045</v>
      </c>
      <c r="T18" s="132">
        <v>30.029446672700811</v>
      </c>
      <c r="U18" s="132">
        <v>28.680335961078377</v>
      </c>
      <c r="V18" s="132">
        <v>26.421368585550827</v>
      </c>
      <c r="W18" s="132">
        <v>19.528224781069863</v>
      </c>
      <c r="X18" s="132">
        <v>27.959038396843841</v>
      </c>
      <c r="Y18" s="132">
        <v>24.920727790994196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22.458833084545581</v>
      </c>
      <c r="D19" s="130">
        <f t="shared" si="9"/>
        <v>22.513350178202867</v>
      </c>
      <c r="E19" s="130">
        <f t="shared" si="9"/>
        <v>22.057129442051984</v>
      </c>
      <c r="F19" s="130">
        <f t="shared" si="9"/>
        <v>22.677177785850215</v>
      </c>
      <c r="G19" s="130">
        <f t="shared" si="9"/>
        <v>22.496319803361757</v>
      </c>
      <c r="H19" s="130">
        <f t="shared" si="9"/>
        <v>23.310644033448714</v>
      </c>
      <c r="I19" s="130">
        <f t="shared" si="9"/>
        <v>28.068732531915629</v>
      </c>
      <c r="J19" s="130">
        <f t="shared" si="9"/>
        <v>23.968850999098763</v>
      </c>
      <c r="K19" s="130">
        <f t="shared" si="9"/>
        <v>13.980338740234922</v>
      </c>
      <c r="L19" s="130">
        <f t="shared" si="9"/>
        <v>21.107117407134037</v>
      </c>
      <c r="M19" s="130">
        <f t="shared" si="9"/>
        <v>22.902672330256024</v>
      </c>
      <c r="N19" s="130">
        <f t="shared" si="9"/>
        <v>15.751822504217738</v>
      </c>
      <c r="O19" s="130">
        <f t="shared" si="9"/>
        <v>14.116145339486618</v>
      </c>
      <c r="P19" s="130">
        <f t="shared" si="9"/>
        <v>23.419220049988997</v>
      </c>
      <c r="Q19" s="130">
        <f t="shared" si="9"/>
        <v>5.7306948213391351</v>
      </c>
      <c r="R19" s="130">
        <f t="shared" ref="R19:W19" si="10">SUM(R20:R27)</f>
        <v>19.527199414229543</v>
      </c>
      <c r="S19" s="130">
        <f t="shared" si="10"/>
        <v>20.257068364592275</v>
      </c>
      <c r="T19" s="130">
        <f t="shared" si="10"/>
        <v>22.947618376454628</v>
      </c>
      <c r="U19" s="130">
        <f t="shared" si="10"/>
        <v>21.887700297363246</v>
      </c>
      <c r="V19" s="130">
        <f t="shared" si="10"/>
        <v>19.454298734919213</v>
      </c>
      <c r="W19" s="130">
        <f t="shared" si="10"/>
        <v>19.98364901290039</v>
      </c>
      <c r="X19" s="130">
        <f t="shared" ref="X19:Y19" si="11">SUM(X20:X27)</f>
        <v>20.093436864002708</v>
      </c>
      <c r="Y19" s="130">
        <f t="shared" si="11"/>
        <v>19.85843946614273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0.8332028537064684</v>
      </c>
      <c r="D21" s="132">
        <v>1.076712033363745</v>
      </c>
      <c r="E21" s="132">
        <v>0.91519229201406427</v>
      </c>
      <c r="F21" s="132">
        <v>0.68661461106267441</v>
      </c>
      <c r="G21" s="132">
        <v>0.57867876132381146</v>
      </c>
      <c r="H21" s="132">
        <v>0.73858576760285088</v>
      </c>
      <c r="I21" s="132">
        <v>0.76910346060232881</v>
      </c>
      <c r="J21" s="132">
        <v>0.59768590517637366</v>
      </c>
      <c r="K21" s="132">
        <v>0.15847972841772562</v>
      </c>
      <c r="L21" s="132">
        <v>9.314455069436102E-2</v>
      </c>
      <c r="M21" s="132">
        <v>0</v>
      </c>
      <c r="N21" s="132">
        <v>0.47318127711571717</v>
      </c>
      <c r="O21" s="132">
        <v>0.31723408272553216</v>
      </c>
      <c r="P21" s="132">
        <v>0.383131792967703</v>
      </c>
      <c r="Q21" s="132">
        <v>0.11692398422838562</v>
      </c>
      <c r="R21" s="132">
        <v>0.29717808650184946</v>
      </c>
      <c r="S21" s="132">
        <v>0.28038682747581339</v>
      </c>
      <c r="T21" s="132">
        <v>0</v>
      </c>
      <c r="U21" s="132">
        <v>0</v>
      </c>
      <c r="V21" s="132">
        <v>0</v>
      </c>
      <c r="W21" s="132">
        <v>0</v>
      </c>
      <c r="X21" s="132">
        <v>4.8528714801430284E-2</v>
      </c>
      <c r="Y21" s="132">
        <v>0.24199415018492268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3.899962799011742</v>
      </c>
      <c r="D22" s="132">
        <v>3.6528946194411098</v>
      </c>
      <c r="E22" s="132">
        <v>3.6671164434217633</v>
      </c>
      <c r="F22" s="132">
        <v>3.1852752725858284</v>
      </c>
      <c r="G22" s="132">
        <v>2.9486197874009608</v>
      </c>
      <c r="H22" s="132">
        <v>2.6109039938249219</v>
      </c>
      <c r="I22" s="132">
        <v>2.5910238362624152</v>
      </c>
      <c r="J22" s="132">
        <v>2.7190893063955812</v>
      </c>
      <c r="K22" s="132">
        <v>1.6303243233011473</v>
      </c>
      <c r="L22" s="132">
        <v>2.3163863753635674</v>
      </c>
      <c r="M22" s="132">
        <v>2.790866258923959</v>
      </c>
      <c r="N22" s="132">
        <v>3.2184086044085523</v>
      </c>
      <c r="O22" s="132">
        <v>3.1934300477830968</v>
      </c>
      <c r="P22" s="132">
        <v>6.2404428639888616</v>
      </c>
      <c r="Q22" s="132">
        <v>0.79081349432140391</v>
      </c>
      <c r="R22" s="132">
        <v>0</v>
      </c>
      <c r="S22" s="132">
        <v>1.0992791546929896</v>
      </c>
      <c r="T22" s="132">
        <v>0.8401898533025598</v>
      </c>
      <c r="U22" s="132">
        <v>1.7042261047774823</v>
      </c>
      <c r="V22" s="132">
        <v>2.6795153108004812</v>
      </c>
      <c r="W22" s="132">
        <v>0.65875734207153402</v>
      </c>
      <c r="X22" s="132">
        <v>2.3576846630777211</v>
      </c>
      <c r="Y22" s="132">
        <v>2.1761100506675723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3.7722766221599424</v>
      </c>
      <c r="D23" s="132">
        <v>4.0689105316275551</v>
      </c>
      <c r="E23" s="132">
        <v>3.8724233046741188</v>
      </c>
      <c r="F23" s="132">
        <v>2.7070994095425163</v>
      </c>
      <c r="G23" s="132">
        <v>2.1772863882082674</v>
      </c>
      <c r="H23" s="132">
        <v>2.5036351262557011</v>
      </c>
      <c r="I23" s="132">
        <v>3.9189133033970855</v>
      </c>
      <c r="J23" s="132">
        <v>3.9399388907835671</v>
      </c>
      <c r="K23" s="132">
        <v>3.6648066888612045</v>
      </c>
      <c r="L23" s="132">
        <v>3.5353723517437246</v>
      </c>
      <c r="M23" s="132">
        <v>4.4833891907805734</v>
      </c>
      <c r="N23" s="132">
        <v>2.1589288669460216</v>
      </c>
      <c r="O23" s="132">
        <v>2.2130479827045879</v>
      </c>
      <c r="P23" s="132">
        <v>1.7898361170637207</v>
      </c>
      <c r="Q23" s="132">
        <v>0.92181948651144607</v>
      </c>
      <c r="R23" s="132">
        <v>4.4351324150626983</v>
      </c>
      <c r="S23" s="132">
        <v>3.1618705382069381</v>
      </c>
      <c r="T23" s="132">
        <v>3.3617028034563043</v>
      </c>
      <c r="U23" s="132">
        <v>3.8668204964486814</v>
      </c>
      <c r="V23" s="132">
        <v>3.5211944701880054</v>
      </c>
      <c r="W23" s="132">
        <v>3.5595153619612012</v>
      </c>
      <c r="X23" s="132">
        <v>4.7879353860280558</v>
      </c>
      <c r="Y23" s="132">
        <v>3.7528809576516822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0.16028084741257639</v>
      </c>
      <c r="D24" s="132">
        <v>0.22527838053872817</v>
      </c>
      <c r="E24" s="132">
        <v>0.24301436481730482</v>
      </c>
      <c r="F24" s="132">
        <v>0.26454990082986435</v>
      </c>
      <c r="G24" s="132">
        <v>0.29530782888868107</v>
      </c>
      <c r="H24" s="132">
        <v>0.31893587733638695</v>
      </c>
      <c r="I24" s="132">
        <v>0.46861197382995184</v>
      </c>
      <c r="J24" s="132">
        <v>0.33692792091447771</v>
      </c>
      <c r="K24" s="132">
        <v>0.16002054560220577</v>
      </c>
      <c r="L24" s="132">
        <v>9.1040469441721644E-2</v>
      </c>
      <c r="M24" s="132">
        <v>0</v>
      </c>
      <c r="N24" s="132">
        <v>2.2579816584930617E-2</v>
      </c>
      <c r="O24" s="132">
        <v>0.11990887117231229</v>
      </c>
      <c r="P24" s="132">
        <v>0</v>
      </c>
      <c r="Q24" s="132">
        <v>0</v>
      </c>
      <c r="R24" s="132">
        <v>9.516516209648436E-2</v>
      </c>
      <c r="S24" s="132">
        <v>0.24962560091592195</v>
      </c>
      <c r="T24" s="132">
        <v>0.34039043590156676</v>
      </c>
      <c r="U24" s="132">
        <v>0.41414582113591897</v>
      </c>
      <c r="V24" s="132">
        <v>0.47581499567910684</v>
      </c>
      <c r="W24" s="132">
        <v>0.48805017352278485</v>
      </c>
      <c r="X24" s="132">
        <v>0.50193237603913232</v>
      </c>
      <c r="Y24" s="132">
        <v>0.32995762997844574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1.7776614275230578</v>
      </c>
      <c r="D25" s="132">
        <v>1.7349146190665574</v>
      </c>
      <c r="E25" s="132">
        <v>1.8528693838157628</v>
      </c>
      <c r="F25" s="132">
        <v>1.6552626182125869</v>
      </c>
      <c r="G25" s="132">
        <v>0.66364121576452217</v>
      </c>
      <c r="H25" s="132">
        <v>0</v>
      </c>
      <c r="I25" s="132">
        <v>0</v>
      </c>
      <c r="J25" s="132">
        <v>0</v>
      </c>
      <c r="K25" s="132">
        <v>0.26364415150720122</v>
      </c>
      <c r="L25" s="132">
        <v>1.2556796385140974</v>
      </c>
      <c r="M25" s="132">
        <v>1.3695178838843971</v>
      </c>
      <c r="N25" s="132">
        <v>1.3924335711560081</v>
      </c>
      <c r="O25" s="132">
        <v>1.088619996891645</v>
      </c>
      <c r="P25" s="132">
        <v>0.69054625961096361</v>
      </c>
      <c r="Q25" s="132">
        <v>0.38455087299323432</v>
      </c>
      <c r="R25" s="132">
        <v>1.5651383513944477</v>
      </c>
      <c r="S25" s="132">
        <v>1.4654460445637838</v>
      </c>
      <c r="T25" s="132">
        <v>1.8843843496361461</v>
      </c>
      <c r="U25" s="132">
        <v>0.85457503380058497</v>
      </c>
      <c r="V25" s="132">
        <v>0.39752322116376509</v>
      </c>
      <c r="W25" s="132">
        <v>3.3586992914296107E-2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12.015448534731794</v>
      </c>
      <c r="D26" s="65">
        <v>11.754639994165171</v>
      </c>
      <c r="E26" s="65">
        <v>11.506513653308971</v>
      </c>
      <c r="F26" s="65">
        <v>14.178375973616745</v>
      </c>
      <c r="G26" s="65">
        <v>14.196333474059305</v>
      </c>
      <c r="H26" s="65">
        <v>17.090178929815082</v>
      </c>
      <c r="I26" s="65">
        <v>19.990389912725767</v>
      </c>
      <c r="J26" s="65">
        <v>16.064422504781682</v>
      </c>
      <c r="K26" s="65">
        <v>7.8350248318172149</v>
      </c>
      <c r="L26" s="65">
        <v>12.587890023840714</v>
      </c>
      <c r="M26" s="65">
        <v>13.669459954343353</v>
      </c>
      <c r="N26" s="65">
        <v>5.332337219430066</v>
      </c>
      <c r="O26" s="65">
        <v>5.9923470144437898</v>
      </c>
      <c r="P26" s="65">
        <v>14.315263016357743</v>
      </c>
      <c r="Q26" s="65">
        <v>2.6034849905574751</v>
      </c>
      <c r="R26" s="65">
        <v>12.50552451529313</v>
      </c>
      <c r="S26" s="65">
        <v>13.168060605975363</v>
      </c>
      <c r="T26" s="65">
        <v>16.001366990435319</v>
      </c>
      <c r="U26" s="65">
        <v>14.124917734863692</v>
      </c>
      <c r="V26" s="65">
        <v>10.824383461147326</v>
      </c>
      <c r="W26" s="65">
        <v>15.005011965790507</v>
      </c>
      <c r="X26" s="65">
        <v>12.397355724056368</v>
      </c>
      <c r="Y26" s="65">
        <v>13.238120332845767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1.6364523477162078</v>
      </c>
      <c r="H27" s="147">
        <v>4.8404338613770852E-2</v>
      </c>
      <c r="I27" s="147">
        <v>0.33069004509808203</v>
      </c>
      <c r="J27" s="147">
        <v>0.3107864710470789</v>
      </c>
      <c r="K27" s="147">
        <v>0.2680384707282234</v>
      </c>
      <c r="L27" s="147">
        <v>1.2276039975358513</v>
      </c>
      <c r="M27" s="147">
        <v>0.58943904232373801</v>
      </c>
      <c r="N27" s="147">
        <v>3.1539531485764414</v>
      </c>
      <c r="O27" s="147">
        <v>1.1915573437656521</v>
      </c>
      <c r="P27" s="147">
        <v>3.9450372113668605E-15</v>
      </c>
      <c r="Q27" s="147">
        <v>0.9131019927271905</v>
      </c>
      <c r="R27" s="147">
        <v>0.62906088388093306</v>
      </c>
      <c r="S27" s="147">
        <v>0.83239959276146458</v>
      </c>
      <c r="T27" s="147">
        <v>0.51958394372273142</v>
      </c>
      <c r="U27" s="147">
        <v>0.92301510633688555</v>
      </c>
      <c r="V27" s="147">
        <v>1.5558672759405272</v>
      </c>
      <c r="W27" s="147">
        <v>0.23872717664006621</v>
      </c>
      <c r="X27" s="147">
        <v>0</v>
      </c>
      <c r="Y27" s="147">
        <v>0.11937634481434316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20.746301257658267</v>
      </c>
      <c r="D29" s="130">
        <f t="shared" si="12"/>
        <v>22.422466395812616</v>
      </c>
      <c r="E29" s="130">
        <f t="shared" si="12"/>
        <v>21.405686681922944</v>
      </c>
      <c r="F29" s="130">
        <f t="shared" si="12"/>
        <v>19.828555917326206</v>
      </c>
      <c r="G29" s="130">
        <f t="shared" si="12"/>
        <v>23.043480037005882</v>
      </c>
      <c r="H29" s="130">
        <f t="shared" si="12"/>
        <v>24.37458783858181</v>
      </c>
      <c r="I29" s="130">
        <f t="shared" si="12"/>
        <v>27.781754521714763</v>
      </c>
      <c r="J29" s="130">
        <f t="shared" si="12"/>
        <v>23.422928976539687</v>
      </c>
      <c r="K29" s="130">
        <f t="shared" si="12"/>
        <v>14.6746861358196</v>
      </c>
      <c r="L29" s="130">
        <f t="shared" si="12"/>
        <v>21.856528083795883</v>
      </c>
      <c r="M29" s="130">
        <f t="shared" si="12"/>
        <v>23.26494652247133</v>
      </c>
      <c r="N29" s="130">
        <f t="shared" si="12"/>
        <v>16.705785791796007</v>
      </c>
      <c r="O29" s="130">
        <f t="shared" si="12"/>
        <v>14.977421057431282</v>
      </c>
      <c r="P29" s="130">
        <f t="shared" si="12"/>
        <v>23.7933463079309</v>
      </c>
      <c r="Q29" s="130">
        <f t="shared" si="12"/>
        <v>6.0317791100181619</v>
      </c>
      <c r="R29" s="130">
        <f t="shared" ref="R29:W29" si="13">SUM(R30:R33)</f>
        <v>20.965245059309314</v>
      </c>
      <c r="S29" s="130">
        <f t="shared" si="13"/>
        <v>21.948900340216841</v>
      </c>
      <c r="T29" s="130">
        <f t="shared" si="13"/>
        <v>24.961734048420869</v>
      </c>
      <c r="U29" s="130">
        <f t="shared" si="13"/>
        <v>24.325184173588053</v>
      </c>
      <c r="V29" s="130">
        <f t="shared" si="13"/>
        <v>21.146006212089127</v>
      </c>
      <c r="W29" s="130">
        <f t="shared" si="13"/>
        <v>21.610690172777765</v>
      </c>
      <c r="X29" s="130">
        <f t="shared" ref="X29:Y29" si="14">SUM(X30:X33)</f>
        <v>22.25672543270645</v>
      </c>
      <c r="Y29" s="130">
        <f t="shared" si="14"/>
        <v>22.657360187394879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1.4454157732267063</v>
      </c>
      <c r="D30" s="132">
        <v>13.647947612344423</v>
      </c>
      <c r="E30" s="132">
        <v>8.9152020414989668</v>
      </c>
      <c r="F30" s="132">
        <v>4.1870542223116187</v>
      </c>
      <c r="G30" s="132">
        <v>0.96268429516927212</v>
      </c>
      <c r="H30" s="132">
        <v>0</v>
      </c>
      <c r="I30" s="132">
        <v>2.3840379936370928</v>
      </c>
      <c r="J30" s="132">
        <v>4.7971963708842997</v>
      </c>
      <c r="K30" s="132">
        <v>1.8082131788553868</v>
      </c>
      <c r="L30" s="132">
        <v>2.4941045107615403</v>
      </c>
      <c r="M30" s="132">
        <v>0</v>
      </c>
      <c r="N30" s="132">
        <v>0.52765888291209351</v>
      </c>
      <c r="O30" s="132">
        <v>1.2562419392109343</v>
      </c>
      <c r="P30" s="132">
        <v>3.9887776786323808</v>
      </c>
      <c r="Q30" s="132">
        <v>1.0994521174442942</v>
      </c>
      <c r="R30" s="132">
        <v>1.790107227765513</v>
      </c>
      <c r="S30" s="132">
        <v>2.2779410124722639</v>
      </c>
      <c r="T30" s="132">
        <v>1.5706750404126539</v>
      </c>
      <c r="U30" s="132">
        <v>1.7163583933470561</v>
      </c>
      <c r="V30" s="132">
        <v>0.19192409250150028</v>
      </c>
      <c r="W30" s="132">
        <v>0</v>
      </c>
      <c r="X30" s="132">
        <v>0</v>
      </c>
      <c r="Y30" s="132">
        <v>1.2879319014433743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6.5378751452739117</v>
      </c>
      <c r="D31" s="132">
        <v>6.8740304938763463</v>
      </c>
      <c r="E31" s="132">
        <v>4.8970707368065982</v>
      </c>
      <c r="F31" s="132">
        <v>2.1045806392093849</v>
      </c>
      <c r="G31" s="132">
        <v>0</v>
      </c>
      <c r="H31" s="132">
        <v>0</v>
      </c>
      <c r="I31" s="132">
        <v>5.895439515444485</v>
      </c>
      <c r="J31" s="132">
        <v>7.7083103053901203</v>
      </c>
      <c r="K31" s="132">
        <v>7.7415957998408871</v>
      </c>
      <c r="L31" s="132">
        <v>7.2631058553185248</v>
      </c>
      <c r="M31" s="132">
        <v>5.7687856955507568</v>
      </c>
      <c r="N31" s="132">
        <v>2.4505760384478235</v>
      </c>
      <c r="O31" s="132">
        <v>4.4374714231697778</v>
      </c>
      <c r="P31" s="132">
        <v>7.0438031444713989</v>
      </c>
      <c r="Q31" s="132">
        <v>1.7510574287684599</v>
      </c>
      <c r="R31" s="132">
        <v>3.4512336285631231</v>
      </c>
      <c r="S31" s="132">
        <v>4.5190249495351518</v>
      </c>
      <c r="T31" s="132">
        <v>6.203708042092301</v>
      </c>
      <c r="U31" s="132">
        <v>9.3164572906094278</v>
      </c>
      <c r="V31" s="132">
        <v>8.6152496335351572</v>
      </c>
      <c r="W31" s="132">
        <v>6.473388231002966</v>
      </c>
      <c r="X31" s="132">
        <v>4.7297827934527605</v>
      </c>
      <c r="Y31" s="132">
        <v>3.5782007102542224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12.763010339157647</v>
      </c>
      <c r="D33" s="68">
        <v>1.9004882895918485</v>
      </c>
      <c r="E33" s="68">
        <v>7.5934139036173791</v>
      </c>
      <c r="F33" s="68">
        <v>13.5369210558052</v>
      </c>
      <c r="G33" s="68">
        <v>22.08079574183661</v>
      </c>
      <c r="H33" s="68">
        <v>24.37458783858181</v>
      </c>
      <c r="I33" s="68">
        <v>19.502277012633186</v>
      </c>
      <c r="J33" s="68">
        <v>10.917422300265265</v>
      </c>
      <c r="K33" s="68">
        <v>5.1248771571233274</v>
      </c>
      <c r="L33" s="68">
        <v>12.099317717715818</v>
      </c>
      <c r="M33" s="68">
        <v>17.496160826920573</v>
      </c>
      <c r="N33" s="68">
        <v>13.72755087043609</v>
      </c>
      <c r="O33" s="68">
        <v>9.2837076950505697</v>
      </c>
      <c r="P33" s="68">
        <v>12.76076548482712</v>
      </c>
      <c r="Q33" s="68">
        <v>3.1812695638054076</v>
      </c>
      <c r="R33" s="68">
        <v>15.723904202980679</v>
      </c>
      <c r="S33" s="68">
        <v>15.151934378209425</v>
      </c>
      <c r="T33" s="68">
        <v>17.187350965915915</v>
      </c>
      <c r="U33" s="68">
        <v>13.292368489631569</v>
      </c>
      <c r="V33" s="68">
        <v>12.338832486052468</v>
      </c>
      <c r="W33" s="68">
        <v>15.137301941774798</v>
      </c>
      <c r="X33" s="68">
        <v>17.52694263925369</v>
      </c>
      <c r="Y33" s="68">
        <v>17.791227575697281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0.75682261977241094</v>
      </c>
      <c r="D3" s="126">
        <f>IF(SER_hh_tes_in!D3=0,"",SER_hh_tes_in!D3/SER_hh_fec_in!D3)</f>
        <v>0.74973199735620333</v>
      </c>
      <c r="E3" s="126">
        <f>IF(SER_hh_tes_in!E3=0,"",SER_hh_tes_in!E3/SER_hh_fec_in!E3)</f>
        <v>0.77725004683601595</v>
      </c>
      <c r="F3" s="126">
        <f>IF(SER_hh_tes_in!F3=0,"",SER_hh_tes_in!F3/SER_hh_fec_in!F3)</f>
        <v>0.75113249747659849</v>
      </c>
      <c r="G3" s="126">
        <f>IF(SER_hh_tes_in!G3=0,"",SER_hh_tes_in!G3/SER_hh_fec_in!G3)</f>
        <v>0.76672057097923252</v>
      </c>
      <c r="H3" s="126">
        <f>IF(SER_hh_tes_in!H3=0,"",SER_hh_tes_in!H3/SER_hh_fec_in!H3)</f>
        <v>0.80522552949998016</v>
      </c>
      <c r="I3" s="126">
        <f>IF(SER_hh_tes_in!I3=0,"",SER_hh_tes_in!I3/SER_hh_fec_in!I3)</f>
        <v>0.77137210710592419</v>
      </c>
      <c r="J3" s="126">
        <f>IF(SER_hh_tes_in!J3=0,"",SER_hh_tes_in!J3/SER_hh_fec_in!J3)</f>
        <v>0.75908972379904593</v>
      </c>
      <c r="K3" s="126">
        <f>IF(SER_hh_tes_in!K3=0,"",SER_hh_tes_in!K3/SER_hh_fec_in!K3)</f>
        <v>0.76945377215646016</v>
      </c>
      <c r="L3" s="126">
        <f>IF(SER_hh_tes_in!L3=0,"",SER_hh_tes_in!L3/SER_hh_fec_in!L3)</f>
        <v>0.80763203633156833</v>
      </c>
      <c r="M3" s="126">
        <f>IF(SER_hh_tes_in!M3=0,"",SER_hh_tes_in!M3/SER_hh_fec_in!M3)</f>
        <v>0.88671051785200017</v>
      </c>
      <c r="N3" s="126">
        <f>IF(SER_hh_tes_in!N3=0,"",SER_hh_tes_in!N3/SER_hh_fec_in!N3)</f>
        <v>0.86325510810834338</v>
      </c>
      <c r="O3" s="126">
        <f>IF(SER_hh_tes_in!O3=0,"",SER_hh_tes_in!O3/SER_hh_fec_in!O3)</f>
        <v>0.85013655688005707</v>
      </c>
      <c r="P3" s="126">
        <f>IF(SER_hh_tes_in!P3=0,"",SER_hh_tes_in!P3/SER_hh_fec_in!P3)</f>
        <v>0.86654800616405459</v>
      </c>
      <c r="Q3" s="126">
        <f>IF(SER_hh_tes_in!Q3=0,"",SER_hh_tes_in!Q3/SER_hh_fec_in!Q3)</f>
        <v>0.95369350420114452</v>
      </c>
      <c r="R3" s="126">
        <f>IF(SER_hh_tes_in!R3=0,"",SER_hh_tes_in!R3/SER_hh_fec_in!R3)</f>
        <v>0.95626847028538731</v>
      </c>
      <c r="S3" s="126">
        <f>IF(SER_hh_tes_in!S3=0,"",SER_hh_tes_in!S3/SER_hh_fec_in!S3)</f>
        <v>0.9584448081100968</v>
      </c>
      <c r="T3" s="126">
        <f>IF(SER_hh_tes_in!T3=0,"",SER_hh_tes_in!T3/SER_hh_fec_in!T3)</f>
        <v>0.9652586609088577</v>
      </c>
      <c r="U3" s="126">
        <f>IF(SER_hh_tes_in!U3=0,"",SER_hh_tes_in!U3/SER_hh_fec_in!U3)</f>
        <v>0.9681728945887017</v>
      </c>
      <c r="V3" s="126">
        <f>IF(SER_hh_tes_in!V3=0,"",SER_hh_tes_in!V3/SER_hh_fec_in!V3)</f>
        <v>0.96556475150380217</v>
      </c>
      <c r="W3" s="126">
        <f>IF(SER_hh_tes_in!W3=0,"",SER_hh_tes_in!W3/SER_hh_fec_in!W3)</f>
        <v>0.95573378605814741</v>
      </c>
      <c r="X3" s="126">
        <f>IF(SER_hh_tes_in!X3=0,"",SER_hh_tes_in!X3/SER_hh_fec_in!X3)</f>
        <v>1.0067163023626615</v>
      </c>
      <c r="Y3" s="126">
        <f>IF(SER_hh_tes_in!Y3=0,"",SER_hh_tes_in!Y3/SER_hh_fec_in!Y3)</f>
        <v>1.0189486213426977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0.66798187332417669</v>
      </c>
      <c r="D4" s="135">
        <f>IF(SER_hh_tes_in!D4=0,"",SER_hh_tes_in!D4/SER_hh_fec_in!D4)</f>
        <v>0.67477586716557847</v>
      </c>
      <c r="E4" s="135">
        <f>IF(SER_hh_tes_in!E4=0,"",SER_hh_tes_in!E4/SER_hh_fec_in!E4)</f>
        <v>0.63179403707328818</v>
      </c>
      <c r="F4" s="135">
        <f>IF(SER_hh_tes_in!F4=0,"",SER_hh_tes_in!F4/SER_hh_fec_in!F4)</f>
        <v>0.65492160168277924</v>
      </c>
      <c r="G4" s="135">
        <f>IF(SER_hh_tes_in!G4=0,"",SER_hh_tes_in!G4/SER_hh_fec_in!G4)</f>
        <v>0.65201058118314592</v>
      </c>
      <c r="H4" s="135">
        <f>IF(SER_hh_tes_in!H4=0,"",SER_hh_tes_in!H4/SER_hh_fec_in!H4)</f>
        <v>0.66979485381318193</v>
      </c>
      <c r="I4" s="135">
        <f>IF(SER_hh_tes_in!I4=0,"",SER_hh_tes_in!I4/SER_hh_fec_in!I4)</f>
        <v>0.66301544505985688</v>
      </c>
      <c r="J4" s="135">
        <f>IF(SER_hh_tes_in!J4=0,"",SER_hh_tes_in!J4/SER_hh_fec_in!J4)</f>
        <v>0.64986857472594817</v>
      </c>
      <c r="K4" s="135">
        <f>IF(SER_hh_tes_in!K4=0,"",SER_hh_tes_in!K4/SER_hh_fec_in!K4)</f>
        <v>0.66680653966163195</v>
      </c>
      <c r="L4" s="135">
        <f>IF(SER_hh_tes_in!L4=0,"",SER_hh_tes_in!L4/SER_hh_fec_in!L4)</f>
        <v>0.70863439313662335</v>
      </c>
      <c r="M4" s="135">
        <f>IF(SER_hh_tes_in!M4=0,"",SER_hh_tes_in!M4/SER_hh_fec_in!M4)</f>
        <v>0.78328987959631247</v>
      </c>
      <c r="N4" s="135">
        <f>IF(SER_hh_tes_in!N4=0,"",SER_hh_tes_in!N4/SER_hh_fec_in!N4)</f>
        <v>0.74129643508162513</v>
      </c>
      <c r="O4" s="135">
        <f>IF(SER_hh_tes_in!O4=0,"",SER_hh_tes_in!O4/SER_hh_fec_in!O4)</f>
        <v>0.73813645562905938</v>
      </c>
      <c r="P4" s="135">
        <f>IF(SER_hh_tes_in!P4=0,"",SER_hh_tes_in!P4/SER_hh_fec_in!P4)</f>
        <v>0.75846926125641734</v>
      </c>
      <c r="Q4" s="135">
        <f>IF(SER_hh_tes_in!Q4=0,"",SER_hh_tes_in!Q4/SER_hh_fec_in!Q4)</f>
        <v>0.8281935933667508</v>
      </c>
      <c r="R4" s="135">
        <f>IF(SER_hh_tes_in!R4=0,"",SER_hh_tes_in!R4/SER_hh_fec_in!R4)</f>
        <v>0.83314284812320616</v>
      </c>
      <c r="S4" s="135">
        <f>IF(SER_hh_tes_in!S4=0,"",SER_hh_tes_in!S4/SER_hh_fec_in!S4)</f>
        <v>0.81990605059807253</v>
      </c>
      <c r="T4" s="135">
        <f>IF(SER_hh_tes_in!T4=0,"",SER_hh_tes_in!T4/SER_hh_fec_in!T4)</f>
        <v>0.82426664291034168</v>
      </c>
      <c r="U4" s="135">
        <f>IF(SER_hh_tes_in!U4=0,"",SER_hh_tes_in!U4/SER_hh_fec_in!U4)</f>
        <v>0.82903183784767243</v>
      </c>
      <c r="V4" s="135">
        <f>IF(SER_hh_tes_in!V4=0,"",SER_hh_tes_in!V4/SER_hh_fec_in!V4)</f>
        <v>0.79679559917280762</v>
      </c>
      <c r="W4" s="135">
        <f>IF(SER_hh_tes_in!W4=0,"",SER_hh_tes_in!W4/SER_hh_fec_in!W4)</f>
        <v>0.81171714673861484</v>
      </c>
      <c r="X4" s="135">
        <f>IF(SER_hh_tes_in!X4=0,"",SER_hh_tes_in!X4/SER_hh_fec_in!X4)</f>
        <v>0.78377471836549051</v>
      </c>
      <c r="Y4" s="135">
        <f>IF(SER_hh_tes_in!Y4=0,"",SER_hh_tes_in!Y4/SER_hh_fec_in!Y4)</f>
        <v>0.79807966742969239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>
        <f>IF(SER_hh_tes_in!F5=0,"",SER_hh_tes_in!F5/SER_hh_fec_in!F5)</f>
        <v>0.64895584562681663</v>
      </c>
      <c r="G5" s="136">
        <f>IF(SER_hh_tes_in!G5=0,"",SER_hh_tes_in!G5/SER_hh_fec_in!G5)</f>
        <v>0.65597401697284619</v>
      </c>
      <c r="H5" s="136">
        <f>IF(SER_hh_tes_in!H5=0,"",SER_hh_tes_in!H5/SER_hh_fec_in!H5)</f>
        <v>0.66297522991418822</v>
      </c>
      <c r="I5" s="136">
        <f>IF(SER_hh_tes_in!I5=0,"",SER_hh_tes_in!I5/SER_hh_fec_in!I5)</f>
        <v>0.66995551024478062</v>
      </c>
      <c r="J5" s="136">
        <f>IF(SER_hh_tes_in!J5=0,"",SER_hh_tes_in!J5/SER_hh_fec_in!J5)</f>
        <v>0.67689857704515122</v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>
        <f>IF(SER_hh_tes_in!O5=0,"",SER_hh_tes_in!O5/SER_hh_fec_in!O5)</f>
        <v>0.70756531333425765</v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>
        <f>IF(SER_hh_tes_in!U5=0,"",SER_hh_tes_in!U5/SER_hh_fec_in!U5)</f>
        <v>0.76328371331441047</v>
      </c>
      <c r="V5" s="136">
        <f>IF(SER_hh_tes_in!V5=0,"",SER_hh_tes_in!V5/SER_hh_fec_in!V5)</f>
        <v>0.77309086262266646</v>
      </c>
      <c r="W5" s="136">
        <f>IF(SER_hh_tes_in!W5=0,"",SER_hh_tes_in!W5/SER_hh_fec_in!W5)</f>
        <v>0.78070188547060893</v>
      </c>
      <c r="X5" s="136">
        <f>IF(SER_hh_tes_in!X5=0,"",SER_hh_tes_in!X5/SER_hh_fec_in!X5)</f>
        <v>0.78637256644549014</v>
      </c>
      <c r="Y5" s="136">
        <f>IF(SER_hh_tes_in!Y5=0,"",SER_hh_tes_in!Y5/SER_hh_fec_in!Y5)</f>
        <v>0.7914847310376063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0.51816685154368225</v>
      </c>
      <c r="D7" s="136">
        <f>IF(SER_hh_tes_in!D7=0,"",SER_hh_tes_in!D7/SER_hh_fec_in!D7)</f>
        <v>0.522325480012231</v>
      </c>
      <c r="E7" s="136">
        <f>IF(SER_hh_tes_in!E7=0,"",SER_hh_tes_in!E7/SER_hh_fec_in!E7)</f>
        <v>0.52670549455803095</v>
      </c>
      <c r="F7" s="136">
        <f>IF(SER_hh_tes_in!F7=0,"",SER_hh_tes_in!F7/SER_hh_fec_in!F7)</f>
        <v>0.5310615788471621</v>
      </c>
      <c r="G7" s="136">
        <f>IF(SER_hh_tes_in!G7=0,"",SER_hh_tes_in!G7/SER_hh_fec_in!G7)</f>
        <v>0.5356124861773135</v>
      </c>
      <c r="H7" s="136">
        <f>IF(SER_hh_tes_in!H7=0,"",SER_hh_tes_in!H7/SER_hh_fec_in!H7)</f>
        <v>0.54032855261432888</v>
      </c>
      <c r="I7" s="136">
        <f>IF(SER_hh_tes_in!I7=0,"",SER_hh_tes_in!I7/SER_hh_fec_in!I7)</f>
        <v>0.54526069058436244</v>
      </c>
      <c r="J7" s="136">
        <f>IF(SER_hh_tes_in!J7=0,"",SER_hh_tes_in!J7/SER_hh_fec_in!J7)</f>
        <v>0.55062417398432839</v>
      </c>
      <c r="K7" s="136">
        <f>IF(SER_hh_tes_in!K7=0,"",SER_hh_tes_in!K7/SER_hh_fec_in!K7)</f>
        <v>0.55659796894510849</v>
      </c>
      <c r="L7" s="136">
        <f>IF(SER_hh_tes_in!L7=0,"",SER_hh_tes_in!L7/SER_hh_fec_in!L7)</f>
        <v>0.56322263636579684</v>
      </c>
      <c r="M7" s="136">
        <f>IF(SER_hh_tes_in!M7=0,"",SER_hh_tes_in!M7/SER_hh_fec_in!M7)</f>
        <v>0.5752091940533286</v>
      </c>
      <c r="N7" s="136">
        <f>IF(SER_hh_tes_in!N7=0,"",SER_hh_tes_in!N7/SER_hh_fec_in!N7)</f>
        <v>0.59396753060320129</v>
      </c>
      <c r="O7" s="136">
        <f>IF(SER_hh_tes_in!O7=0,"",SER_hh_tes_in!O7/SER_hh_fec_in!O7)</f>
        <v>0.62021526024777029</v>
      </c>
      <c r="P7" s="136">
        <f>IF(SER_hh_tes_in!P7=0,"",SER_hh_tes_in!P7/SER_hh_fec_in!P7)</f>
        <v>0.65046456485735205</v>
      </c>
      <c r="Q7" s="136">
        <f>IF(SER_hh_tes_in!Q7=0,"",SER_hh_tes_in!Q7/SER_hh_fec_in!Q7)</f>
        <v>0.67461899322544339</v>
      </c>
      <c r="R7" s="136" t="str">
        <f>IF(SER_hh_tes_in!R7=0,"",SER_hh_tes_in!R7/SER_hh_fec_in!R7)</f>
        <v/>
      </c>
      <c r="S7" s="136">
        <f>IF(SER_hh_tes_in!S7=0,"",SER_hh_tes_in!S7/SER_hh_fec_in!S7)</f>
        <v>0.68815268984619848</v>
      </c>
      <c r="T7" s="136">
        <f>IF(SER_hh_tes_in!T7=0,"",SER_hh_tes_in!T7/SER_hh_fec_in!T7)</f>
        <v>0.68959049826110042</v>
      </c>
      <c r="U7" s="136">
        <f>IF(SER_hh_tes_in!U7=0,"",SER_hh_tes_in!U7/SER_hh_fec_in!U7)</f>
        <v>0.69001190541754687</v>
      </c>
      <c r="V7" s="136">
        <f>IF(SER_hh_tes_in!V7=0,"",SER_hh_tes_in!V7/SER_hh_fec_in!V7)</f>
        <v>0.69122209248655642</v>
      </c>
      <c r="W7" s="136">
        <f>IF(SER_hh_tes_in!W7=0,"",SER_hh_tes_in!W7/SER_hh_fec_in!W7)</f>
        <v>0.69289664714318011</v>
      </c>
      <c r="X7" s="136">
        <f>IF(SER_hh_tes_in!X7=0,"",SER_hh_tes_in!X7/SER_hh_fec_in!X7)</f>
        <v>0.694011592741128</v>
      </c>
      <c r="Y7" s="136">
        <f>IF(SER_hh_tes_in!Y7=0,"",SER_hh_tes_in!Y7/SER_hh_fec_in!Y7)</f>
        <v>0.69472612034046854</v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1.2456496346327084</v>
      </c>
      <c r="D8" s="136">
        <f>IF(SER_hh_tes_in!D8=0,"",SER_hh_tes_in!D8/SER_hh_fec_in!D8)</f>
        <v>1.3064308589124634</v>
      </c>
      <c r="E8" s="136">
        <f>IF(SER_hh_tes_in!E8=0,"",SER_hh_tes_in!E8/SER_hh_fec_in!E8)</f>
        <v>1.3680687192472849</v>
      </c>
      <c r="F8" s="136">
        <f>IF(SER_hh_tes_in!F8=0,"",SER_hh_tes_in!F8/SER_hh_fec_in!F8)</f>
        <v>1.4299174410826283</v>
      </c>
      <c r="G8" s="136">
        <f>IF(SER_hh_tes_in!G8=0,"",SER_hh_tes_in!G8/SER_hh_fec_in!G8)</f>
        <v>1.4925826261233048</v>
      </c>
      <c r="H8" s="136">
        <f>IF(SER_hh_tes_in!H8=0,"",SER_hh_tes_in!H8/SER_hh_fec_in!H8)</f>
        <v>1.5560006620742515</v>
      </c>
      <c r="I8" s="136">
        <f>IF(SER_hh_tes_in!I8=0,"",SER_hh_tes_in!I8/SER_hh_fec_in!I8)</f>
        <v>1.6203279135174171</v>
      </c>
      <c r="J8" s="136">
        <f>IF(SER_hh_tes_in!J8=0,"",SER_hh_tes_in!J8/SER_hh_fec_in!J8)</f>
        <v>1.6861784441432712</v>
      </c>
      <c r="K8" s="136">
        <f>IF(SER_hh_tes_in!K8=0,"",SER_hh_tes_in!K8/SER_hh_fec_in!K8)</f>
        <v>1.7540785732978093</v>
      </c>
      <c r="L8" s="136">
        <f>IF(SER_hh_tes_in!L8=0,"",SER_hh_tes_in!L8/SER_hh_fec_in!L8)</f>
        <v>1.8241795360227884</v>
      </c>
      <c r="M8" s="136">
        <f>IF(SER_hh_tes_in!M8=0,"",SER_hh_tes_in!M8/SER_hh_fec_in!M8)</f>
        <v>1.9112335862436778</v>
      </c>
      <c r="N8" s="136">
        <f>IF(SER_hh_tes_in!N8=0,"",SER_hh_tes_in!N8/SER_hh_fec_in!N8)</f>
        <v>2.0203019803071109</v>
      </c>
      <c r="O8" s="136">
        <f>IF(SER_hh_tes_in!O8=0,"",SER_hh_tes_in!O8/SER_hh_fec_in!O8)</f>
        <v>2.1533351986621043</v>
      </c>
      <c r="P8" s="136">
        <f>IF(SER_hh_tes_in!P8=0,"",SER_hh_tes_in!P8/SER_hh_fec_in!P8)</f>
        <v>2.2967796082200533</v>
      </c>
      <c r="Q8" s="136">
        <f>IF(SER_hh_tes_in!Q8=0,"",SER_hh_tes_in!Q8/SER_hh_fec_in!Q8)</f>
        <v>2.4091308182841447</v>
      </c>
      <c r="R8" s="136">
        <f>IF(SER_hh_tes_in!R8=0,"",SER_hh_tes_in!R8/SER_hh_fec_in!R8)</f>
        <v>2.5165650967387907</v>
      </c>
      <c r="S8" s="136">
        <f>IF(SER_hh_tes_in!S8=0,"",SER_hh_tes_in!S8/SER_hh_fec_in!S8)</f>
        <v>2.5866974729917365</v>
      </c>
      <c r="T8" s="136">
        <f>IF(SER_hh_tes_in!T8=0,"",SER_hh_tes_in!T8/SER_hh_fec_in!T8)</f>
        <v>2.6311860464499102</v>
      </c>
      <c r="U8" s="136">
        <f>IF(SER_hh_tes_in!U8=0,"",SER_hh_tes_in!U8/SER_hh_fec_in!U8)</f>
        <v>2.6617841603690007</v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0.55464243095852861</v>
      </c>
      <c r="D9" s="136">
        <f>IF(SER_hh_tes_in!D9=0,"",SER_hh_tes_in!D9/SER_hh_fec_in!D9)</f>
        <v>0.559280733402024</v>
      </c>
      <c r="E9" s="136">
        <f>IF(SER_hh_tes_in!E9=0,"",SER_hh_tes_in!E9/SER_hh_fec_in!E9)</f>
        <v>0.56421084131281052</v>
      </c>
      <c r="F9" s="136">
        <f>IF(SER_hh_tes_in!F9=0,"",SER_hh_tes_in!F9/SER_hh_fec_in!F9)</f>
        <v>0.56912286653373056</v>
      </c>
      <c r="G9" s="136">
        <f>IF(SER_hh_tes_in!G9=0,"",SER_hh_tes_in!G9/SER_hh_fec_in!G9)</f>
        <v>0.574296213887308</v>
      </c>
      <c r="H9" s="136">
        <f>IF(SER_hh_tes_in!H9=0,"",SER_hh_tes_in!H9/SER_hh_fec_in!H9)</f>
        <v>0.57969517551808569</v>
      </c>
      <c r="I9" s="136">
        <f>IF(SER_hh_tes_in!I9=0,"",SER_hh_tes_in!I9/SER_hh_fec_in!I9)</f>
        <v>0.58538700849328962</v>
      </c>
      <c r="J9" s="136">
        <f>IF(SER_hh_tes_in!J9=0,"",SER_hh_tes_in!J9/SER_hh_fec_in!J9)</f>
        <v>0.59165075161034109</v>
      </c>
      <c r="K9" s="136">
        <f>IF(SER_hh_tes_in!K9=0,"",SER_hh_tes_in!K9/SER_hh_fec_in!K9)</f>
        <v>0.59872136014819499</v>
      </c>
      <c r="L9" s="136">
        <f>IF(SER_hh_tes_in!L9=0,"",SER_hh_tes_in!L9/SER_hh_fec_in!L9)</f>
        <v>0.60665749338940655</v>
      </c>
      <c r="M9" s="136">
        <f>IF(SER_hh_tes_in!M9=0,"",SER_hh_tes_in!M9/SER_hh_fec_in!M9)</f>
        <v>0.62133679497374916</v>
      </c>
      <c r="N9" s="136">
        <f>IF(SER_hh_tes_in!N9=0,"",SER_hh_tes_in!N9/SER_hh_fec_in!N9)</f>
        <v>0.64458710594400481</v>
      </c>
      <c r="O9" s="136">
        <f>IF(SER_hh_tes_in!O9=0,"",SER_hh_tes_in!O9/SER_hh_fec_in!O9)</f>
        <v>0.67762413221007955</v>
      </c>
      <c r="P9" s="136">
        <f>IF(SER_hh_tes_in!P9=0,"",SER_hh_tes_in!P9/SER_hh_fec_in!P9)</f>
        <v>0.71652919680055405</v>
      </c>
      <c r="Q9" s="136">
        <f>IF(SER_hh_tes_in!Q9=0,"",SER_hh_tes_in!Q9/SER_hh_fec_in!Q9)</f>
        <v>0.74932084978645663</v>
      </c>
      <c r="R9" s="136">
        <f>IF(SER_hh_tes_in!R9=0,"",SER_hh_tes_in!R9/SER_hh_fec_in!R9)</f>
        <v>0.76594379031413995</v>
      </c>
      <c r="S9" s="136">
        <f>IF(SER_hh_tes_in!S9=0,"",SER_hh_tes_in!S9/SER_hh_fec_in!S9)</f>
        <v>0.77864359587401644</v>
      </c>
      <c r="T9" s="136">
        <f>IF(SER_hh_tes_in!T9=0,"",SER_hh_tes_in!T9/SER_hh_fec_in!T9)</f>
        <v>0.78894095073615367</v>
      </c>
      <c r="U9" s="136">
        <f>IF(SER_hh_tes_in!U9=0,"",SER_hh_tes_in!U9/SER_hh_fec_in!U9)</f>
        <v>0.79788579907834367</v>
      </c>
      <c r="V9" s="136">
        <f>IF(SER_hh_tes_in!V9=0,"",SER_hh_tes_in!V9/SER_hh_fec_in!V9)</f>
        <v>0.80599665559937528</v>
      </c>
      <c r="W9" s="136">
        <f>IF(SER_hh_tes_in!W9=0,"",SER_hh_tes_in!W9/SER_hh_fec_in!W9)</f>
        <v>0.81202941023521147</v>
      </c>
      <c r="X9" s="136">
        <f>IF(SER_hh_tes_in!X9=0,"",SER_hh_tes_in!X9/SER_hh_fec_in!X9)</f>
        <v>0.81582489335552288</v>
      </c>
      <c r="Y9" s="136">
        <f>IF(SER_hh_tes_in!Y9=0,"",SER_hh_tes_in!Y9/SER_hh_fec_in!Y9)</f>
        <v>0.81841573634063147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0.56194780122772303</v>
      </c>
      <c r="D10" s="136">
        <f>IF(SER_hh_tes_in!D10=0,"",SER_hh_tes_in!D10/SER_hh_fec_in!D10)</f>
        <v>0.56223163741309845</v>
      </c>
      <c r="E10" s="136">
        <f>IF(SER_hh_tes_in!E10=0,"",SER_hh_tes_in!E10/SER_hh_fec_in!E10)</f>
        <v>0.56251817568560303</v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>
        <f>IF(SER_hh_tes_in!I10=0,"",SER_hh_tes_in!I10/SER_hh_fec_in!I10)</f>
        <v>0.56368538639405874</v>
      </c>
      <c r="J10" s="136">
        <f>IF(SER_hh_tes_in!J10=0,"",SER_hh_tes_in!J10/SER_hh_fec_in!J10)</f>
        <v>0.56398004369844656</v>
      </c>
      <c r="K10" s="136">
        <f>IF(SER_hh_tes_in!K10=0,"",SER_hh_tes_in!K10/SER_hh_fec_in!K10)</f>
        <v>0.5642738373355709</v>
      </c>
      <c r="L10" s="136">
        <f>IF(SER_hh_tes_in!L10=0,"",SER_hh_tes_in!L10/SER_hh_fec_in!L10)</f>
        <v>0.56456564450515945</v>
      </c>
      <c r="M10" s="136">
        <f>IF(SER_hh_tes_in!M10=0,"",SER_hh_tes_in!M10/SER_hh_fec_in!M10)</f>
        <v>0.56483369339312772</v>
      </c>
      <c r="N10" s="136">
        <f>IF(SER_hh_tes_in!N10=0,"",SER_hh_tes_in!N10/SER_hh_fec_in!N10)</f>
        <v>0.56506607088093541</v>
      </c>
      <c r="O10" s="136">
        <f>IF(SER_hh_tes_in!O10=0,"",SER_hh_tes_in!O10/SER_hh_fec_in!O10)</f>
        <v>0.56525589649139607</v>
      </c>
      <c r="P10" s="136">
        <f>IF(SER_hh_tes_in!P10=0,"",SER_hh_tes_in!P10/SER_hh_fec_in!P10)</f>
        <v>0.56541961483693648</v>
      </c>
      <c r="Q10" s="136">
        <f>IF(SER_hh_tes_in!Q10=0,"",SER_hh_tes_in!Q10/SER_hh_fec_in!Q10)</f>
        <v>0.56561496143266166</v>
      </c>
      <c r="R10" s="136">
        <f>IF(SER_hh_tes_in!R10=0,"",SER_hh_tes_in!R10/SER_hh_fec_in!R10)</f>
        <v>0.56590756536949427</v>
      </c>
      <c r="S10" s="136">
        <f>IF(SER_hh_tes_in!S10=0,"",SER_hh_tes_in!S10/SER_hh_fec_in!S10)</f>
        <v>0.5662368876050915</v>
      </c>
      <c r="T10" s="136">
        <f>IF(SER_hh_tes_in!T10=0,"",SER_hh_tes_in!T10/SER_hh_fec_in!T10)</f>
        <v>0.56656906850670963</v>
      </c>
      <c r="U10" s="136">
        <f>IF(SER_hh_tes_in!U10=0,"",SER_hh_tes_in!U10/SER_hh_fec_in!U10)</f>
        <v>0.56687592026995259</v>
      </c>
      <c r="V10" s="136">
        <f>IF(SER_hh_tes_in!V10=0,"",SER_hh_tes_in!V10/SER_hh_fec_in!V10)</f>
        <v>0.56713331439496251</v>
      </c>
      <c r="W10" s="136">
        <f>IF(SER_hh_tes_in!W10=0,"",SER_hh_tes_in!W10/SER_hh_fec_in!W10)</f>
        <v>0.56734008582383566</v>
      </c>
      <c r="X10" s="136">
        <f>IF(SER_hh_tes_in!X10=0,"",SER_hh_tes_in!X10/SER_hh_fec_in!X10)</f>
        <v>0.57279585319235882</v>
      </c>
      <c r="Y10" s="136">
        <f>IF(SER_hh_tes_in!Y10=0,"",SER_hh_tes_in!Y10/SER_hh_fec_in!Y10)</f>
        <v>0.57793738745570122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>
        <f>IF(SER_hh_tes_in!D11=0,"",SER_hh_tes_in!D11/SER_hh_fec_in!D11)</f>
        <v>0.81799910271711285</v>
      </c>
      <c r="E11" s="136">
        <f>IF(SER_hh_tes_in!E11=0,"",SER_hh_tes_in!E11/SER_hh_fec_in!E11)</f>
        <v>0.82278498813518253</v>
      </c>
      <c r="F11" s="136">
        <f>IF(SER_hh_tes_in!F11=0,"",SER_hh_tes_in!F11/SER_hh_fec_in!F11)</f>
        <v>0.8275709729009969</v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>
        <f>IF(SER_hh_tes_in!K11=0,"",SER_hh_tes_in!K11/SER_hh_fec_in!K11)</f>
        <v>0.85151332804072444</v>
      </c>
      <c r="L11" s="136">
        <f>IF(SER_hh_tes_in!L11=0,"",SER_hh_tes_in!L11/SER_hh_fec_in!L11)</f>
        <v>0.85630639549146492</v>
      </c>
      <c r="M11" s="136">
        <f>IF(SER_hh_tes_in!M11=0,"",SER_hh_tes_in!M11/SER_hh_fec_in!M11)</f>
        <v>0.86115068266026762</v>
      </c>
      <c r="N11" s="136">
        <f>IF(SER_hh_tes_in!N11=0,"",SER_hh_tes_in!N11/SER_hh_fec_in!N11)</f>
        <v>0.86606461954831748</v>
      </c>
      <c r="O11" s="136">
        <f>IF(SER_hh_tes_in!O11=0,"",SER_hh_tes_in!O11/SER_hh_fec_in!O11)</f>
        <v>0.87102583103370013</v>
      </c>
      <c r="P11" s="136">
        <f>IF(SER_hh_tes_in!P11=0,"",SER_hh_tes_in!P11/SER_hh_fec_in!P11)</f>
        <v>0.87593061443427445</v>
      </c>
      <c r="Q11" s="136">
        <f>IF(SER_hh_tes_in!Q11=0,"",SER_hh_tes_in!Q11/SER_hh_fec_in!Q11)</f>
        <v>0.88049047511285561</v>
      </c>
      <c r="R11" s="136">
        <f>IF(SER_hh_tes_in!R11=0,"",SER_hh_tes_in!R11/SER_hh_fec_in!R11)</f>
        <v>0.8844686590729498</v>
      </c>
      <c r="S11" s="136">
        <f>IF(SER_hh_tes_in!S11=0,"",SER_hh_tes_in!S11/SER_hh_fec_in!S11)</f>
        <v>0.88813207943124661</v>
      </c>
      <c r="T11" s="136">
        <f>IF(SER_hh_tes_in!T11=0,"",SER_hh_tes_in!T11/SER_hh_fec_in!T11)</f>
        <v>0.89154498031865503</v>
      </c>
      <c r="U11" s="136">
        <f>IF(SER_hh_tes_in!U11=0,"",SER_hh_tes_in!U11/SER_hh_fec_in!U11)</f>
        <v>0.89477160586609639</v>
      </c>
      <c r="V11" s="136">
        <f>IF(SER_hh_tes_in!V11=0,"",SER_hh_tes_in!V11/SER_hh_fec_in!V11)</f>
        <v>0.89787620020448622</v>
      </c>
      <c r="W11" s="136">
        <f>IF(SER_hh_tes_in!W11=0,"",SER_hh_tes_in!W11/SER_hh_fec_in!W11)</f>
        <v>0.90077892051766384</v>
      </c>
      <c r="X11" s="136">
        <f>IF(SER_hh_tes_in!X11=0,"",SER_hh_tes_in!X11/SER_hh_fec_in!X11)</f>
        <v>0.90348118028076829</v>
      </c>
      <c r="Y11" s="136">
        <f>IF(SER_hh_tes_in!Y11=0,"",SER_hh_tes_in!Y11/SER_hh_fec_in!Y11)</f>
        <v>0.90607185411746571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0.82379509598468281</v>
      </c>
      <c r="D12" s="136">
        <f>IF(SER_hh_tes_in!D12=0,"",SER_hh_tes_in!D12/SER_hh_fec_in!D12)</f>
        <v>0.82566764659837</v>
      </c>
      <c r="E12" s="136">
        <f>IF(SER_hh_tes_in!E12=0,"",SER_hh_tes_in!E12/SER_hh_fec_in!E12)</f>
        <v>0.82759075119330261</v>
      </c>
      <c r="F12" s="136">
        <f>IF(SER_hh_tes_in!F12=0,"",SER_hh_tes_in!F12/SER_hh_fec_in!F12)</f>
        <v>0.82952074951295052</v>
      </c>
      <c r="G12" s="136">
        <f>IF(SER_hh_tes_in!G12=0,"",SER_hh_tes_in!G12/SER_hh_fec_in!G12)</f>
        <v>0.83149730507578878</v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>
        <f>IF(SER_hh_tes_in!L12=0,"",SER_hh_tes_in!L12/SER_hh_fec_in!L12)</f>
        <v>0.84245481258103783</v>
      </c>
      <c r="M12" s="136">
        <f>IF(SER_hh_tes_in!M12=0,"",SER_hh_tes_in!M12/SER_hh_fec_in!M12)</f>
        <v>0.8458076328070343</v>
      </c>
      <c r="N12" s="136">
        <f>IF(SER_hh_tes_in!N12=0,"",SER_hh_tes_in!N12/SER_hh_fec_in!N12)</f>
        <v>0.85034370287687633</v>
      </c>
      <c r="O12" s="136">
        <f>IF(SER_hh_tes_in!O12=0,"",SER_hh_tes_in!O12/SER_hh_fec_in!O12)</f>
        <v>0.85628383880109904</v>
      </c>
      <c r="P12" s="136">
        <f>IF(SER_hh_tes_in!P12=0,"",SER_hh_tes_in!P12/SER_hh_fec_in!P12)</f>
        <v>0.8632079219300558</v>
      </c>
      <c r="Q12" s="136">
        <f>IF(SER_hh_tes_in!Q12=0,"",SER_hh_tes_in!Q12/SER_hh_fec_in!Q12)</f>
        <v>0.86974063549532898</v>
      </c>
      <c r="R12" s="136">
        <f>IF(SER_hh_tes_in!R12=0,"",SER_hh_tes_in!R12/SER_hh_fec_in!R12)</f>
        <v>0.87474643586541589</v>
      </c>
      <c r="S12" s="136">
        <f>IF(SER_hh_tes_in!S12=0,"",SER_hh_tes_in!S12/SER_hh_fec_in!S12)</f>
        <v>0.87961624281434914</v>
      </c>
      <c r="T12" s="136">
        <f>IF(SER_hh_tes_in!T12=0,"",SER_hh_tes_in!T12/SER_hh_fec_in!T12)</f>
        <v>0.88431751838015016</v>
      </c>
      <c r="U12" s="136">
        <f>IF(SER_hh_tes_in!U12=0,"",SER_hh_tes_in!U12/SER_hh_fec_in!U12)</f>
        <v>0.88881772460085551</v>
      </c>
      <c r="V12" s="136">
        <f>IF(SER_hh_tes_in!V12=0,"",SER_hh_tes_in!V12/SER_hh_fec_in!V12)</f>
        <v>0.89308432351449552</v>
      </c>
      <c r="W12" s="136">
        <f>IF(SER_hh_tes_in!W12=0,"",SER_hh_tes_in!W12/SER_hh_fec_in!W12)</f>
        <v>0.89701468348025493</v>
      </c>
      <c r="X12" s="136">
        <f>IF(SER_hh_tes_in!X12=0,"",SER_hh_tes_in!X12/SER_hh_fec_in!X12)</f>
        <v>0.90178927211387105</v>
      </c>
      <c r="Y12" s="136">
        <f>IF(SER_hh_tes_in!Y12=0,"",SER_hh_tes_in!Y12/SER_hh_fec_in!Y12)</f>
        <v>0.90637739147519636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1.7348266129531633</v>
      </c>
      <c r="D13" s="136">
        <f>IF(SER_hh_tes_in!D13=0,"",SER_hh_tes_in!D13/SER_hh_fec_in!D13)</f>
        <v>1.8272707632500755</v>
      </c>
      <c r="E13" s="136">
        <f>IF(SER_hh_tes_in!E13=0,"",SER_hh_tes_in!E13/SER_hh_fec_in!E13)</f>
        <v>1.9212713326339363</v>
      </c>
      <c r="F13" s="136">
        <f>IF(SER_hh_tes_in!F13=0,"",SER_hh_tes_in!F13/SER_hh_fec_in!F13)</f>
        <v>2.0159220859544504</v>
      </c>
      <c r="G13" s="136">
        <f>IF(SER_hh_tes_in!G13=0,"",SER_hh_tes_in!G13/SER_hh_fec_in!G13)</f>
        <v>2.1120487194487496</v>
      </c>
      <c r="H13" s="136">
        <f>IF(SER_hh_tes_in!H13=0,"",SER_hh_tes_in!H13/SER_hh_fec_in!H13)</f>
        <v>2.2095519029995403</v>
      </c>
      <c r="I13" s="136">
        <f>IF(SER_hh_tes_in!I13=0,"",SER_hh_tes_in!I13/SER_hh_fec_in!I13)</f>
        <v>2.3086368941221163</v>
      </c>
      <c r="J13" s="136">
        <f>IF(SER_hh_tes_in!J13=0,"",SER_hh_tes_in!J13/SER_hh_fec_in!J13)</f>
        <v>2.410140558073127</v>
      </c>
      <c r="K13" s="136">
        <f>IF(SER_hh_tes_in!K13=0,"",SER_hh_tes_in!K13/SER_hh_fec_in!K13)</f>
        <v>2.5147770384504362</v>
      </c>
      <c r="L13" s="136">
        <f>IF(SER_hh_tes_in!L13=0,"",SER_hh_tes_in!L13/SER_hh_fec_in!L13)</f>
        <v>2.622742109718708</v>
      </c>
      <c r="M13" s="136">
        <f>IF(SER_hh_tes_in!M13=0,"",SER_hh_tes_in!M13/SER_hh_fec_in!M13)</f>
        <v>2.7547610458978844</v>
      </c>
      <c r="N13" s="136">
        <f>IF(SER_hh_tes_in!N13=0,"",SER_hh_tes_in!N13/SER_hh_fec_in!N13)</f>
        <v>2.9179807362268448</v>
      </c>
      <c r="O13" s="136">
        <f>IF(SER_hh_tes_in!O13=0,"",SER_hh_tes_in!O13/SER_hh_fec_in!O13)</f>
        <v>3.1148565216532957</v>
      </c>
      <c r="P13" s="136">
        <f>IF(SER_hh_tes_in!P13=0,"",SER_hh_tes_in!P13/SER_hh_fec_in!P13)</f>
        <v>3.3255371110426637</v>
      </c>
      <c r="Q13" s="136">
        <f>IF(SER_hh_tes_in!Q13=0,"",SER_hh_tes_in!Q13/SER_hh_fec_in!Q13)</f>
        <v>3.4893766685509711</v>
      </c>
      <c r="R13" s="136">
        <f>IF(SER_hh_tes_in!R13=0,"",SER_hh_tes_in!R13/SER_hh_fec_in!R13)</f>
        <v>3.6536728880696727</v>
      </c>
      <c r="S13" s="136">
        <f>IF(SER_hh_tes_in!S13=0,"",SER_hh_tes_in!S13/SER_hh_fec_in!S13)</f>
        <v>3.7600769133152689</v>
      </c>
      <c r="T13" s="136">
        <f>IF(SER_hh_tes_in!T13=0,"",SER_hh_tes_in!T13/SER_hh_fec_in!T13)</f>
        <v>3.8264068111421383</v>
      </c>
      <c r="U13" s="136">
        <f>IF(SER_hh_tes_in!U13=0,"",SER_hh_tes_in!U13/SER_hh_fec_in!U13)</f>
        <v>3.8710279879288954</v>
      </c>
      <c r="V13" s="136">
        <f>IF(SER_hh_tes_in!V13=0,"",SER_hh_tes_in!V13/SER_hh_fec_in!V13)</f>
        <v>3.9120758793965962</v>
      </c>
      <c r="W13" s="136">
        <f>IF(SER_hh_tes_in!W13=0,"",SER_hh_tes_in!W13/SER_hh_fec_in!W13)</f>
        <v>3.9531475427926805</v>
      </c>
      <c r="X13" s="136" t="str">
        <f>IF(SER_hh_tes_in!X13=0,"",SER_hh_tes_in!X13/SER_hh_fec_in!X13)</f>
        <v/>
      </c>
      <c r="Y13" s="136" t="str">
        <f>IF(SER_hh_tes_in!Y13=0,"",SER_hh_tes_in!Y13/SER_hh_fec_in!Y13)</f>
        <v/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0.7466577568477879</v>
      </c>
      <c r="D14" s="137">
        <f>IF(SER_hh_tes_in!D14=0,"",SER_hh_tes_in!D14/SER_hh_fec_in!D14)</f>
        <v>0.75004526735552501</v>
      </c>
      <c r="E14" s="137">
        <f>IF(SER_hh_tes_in!E14=0,"",SER_hh_tes_in!E14/SER_hh_fec_in!E14)</f>
        <v>0.75342334254462717</v>
      </c>
      <c r="F14" s="137">
        <f>IF(SER_hh_tes_in!F14=0,"",SER_hh_tes_in!F14/SER_hh_fec_in!F14)</f>
        <v>0.75679980219618737</v>
      </c>
      <c r="G14" s="137">
        <f>IF(SER_hh_tes_in!G14=0,"",SER_hh_tes_in!G14/SER_hh_fec_in!G14)</f>
        <v>0.76016757870693796</v>
      </c>
      <c r="H14" s="137">
        <f>IF(SER_hh_tes_in!H14=0,"",SER_hh_tes_in!H14/SER_hh_fec_in!H14)</f>
        <v>0.76352756382385245</v>
      </c>
      <c r="I14" s="137">
        <f>IF(SER_hh_tes_in!I14=0,"",SER_hh_tes_in!I14/SER_hh_fec_in!I14)</f>
        <v>0.76687804506014878</v>
      </c>
      <c r="J14" s="137">
        <f>IF(SER_hh_tes_in!J14=0,"",SER_hh_tes_in!J14/SER_hh_fec_in!J14)</f>
        <v>0.77021194470064269</v>
      </c>
      <c r="K14" s="137">
        <f>IF(SER_hh_tes_in!K14=0,"",SER_hh_tes_in!K14/SER_hh_fec_in!K14)</f>
        <v>0.77352329137940923</v>
      </c>
      <c r="L14" s="137">
        <f>IF(SER_hh_tes_in!L14=0,"",SER_hh_tes_in!L14/SER_hh_fec_in!L14)</f>
        <v>0.77681057458003977</v>
      </c>
      <c r="M14" s="137">
        <f>IF(SER_hh_tes_in!M14=0,"",SER_hh_tes_in!M14/SER_hh_fec_in!M14)</f>
        <v>0.77946900520025519</v>
      </c>
      <c r="N14" s="137">
        <f>IF(SER_hh_tes_in!N14=0,"",SER_hh_tes_in!N14/SER_hh_fec_in!N14)</f>
        <v>0.78128007021586821</v>
      </c>
      <c r="O14" s="137">
        <f>IF(SER_hh_tes_in!O14=0,"",SER_hh_tes_in!O14/SER_hh_fec_in!O14)</f>
        <v>0.7825327402501242</v>
      </c>
      <c r="P14" s="137">
        <f>IF(SER_hh_tes_in!P14=0,"",SER_hh_tes_in!P14/SER_hh_fec_in!P14)</f>
        <v>0.78449453999411378</v>
      </c>
      <c r="Q14" s="137">
        <f>IF(SER_hh_tes_in!Q14=0,"",SER_hh_tes_in!Q14/SER_hh_fec_in!Q14)</f>
        <v>0.79060845998245566</v>
      </c>
      <c r="R14" s="137">
        <f>IF(SER_hh_tes_in!R14=0,"",SER_hh_tes_in!R14/SER_hh_fec_in!R14)</f>
        <v>0.80492793463537127</v>
      </c>
      <c r="S14" s="137">
        <f>IF(SER_hh_tes_in!S14=0,"",SER_hh_tes_in!S14/SER_hh_fec_in!S14)</f>
        <v>0.82421902840646089</v>
      </c>
      <c r="T14" s="137">
        <f>IF(SER_hh_tes_in!T14=0,"",SER_hh_tes_in!T14/SER_hh_fec_in!T14)</f>
        <v>0.84583092470989285</v>
      </c>
      <c r="U14" s="137">
        <f>IF(SER_hh_tes_in!U14=0,"",SER_hh_tes_in!U14/SER_hh_fec_in!U14)</f>
        <v>0.86713713089998978</v>
      </c>
      <c r="V14" s="137">
        <f>IF(SER_hh_tes_in!V14=0,"",SER_hh_tes_in!V14/SER_hh_fec_in!V14)</f>
        <v>0.88550856821281276</v>
      </c>
      <c r="W14" s="137">
        <f>IF(SER_hh_tes_in!W14=0,"",SER_hh_tes_in!W14/SER_hh_fec_in!W14)</f>
        <v>0.90042524961342651</v>
      </c>
      <c r="X14" s="137">
        <f>IF(SER_hh_tes_in!X14=0,"",SER_hh_tes_in!X14/SER_hh_fec_in!X14)</f>
        <v>0.91534522448752009</v>
      </c>
      <c r="Y14" s="137">
        <f>IF(SER_hh_tes_in!Y14=0,"",SER_hh_tes_in!Y14/SER_hh_fec_in!Y14)</f>
        <v>0.92941815884886336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2.29915917623044</v>
      </c>
      <c r="D16" s="135">
        <f>IF(SER_hh_tes_in!D16=0,"",SER_hh_tes_in!D16/SER_hh_fec_in!D16)</f>
        <v>2.3965776453964489</v>
      </c>
      <c r="E16" s="135">
        <f>IF(SER_hh_tes_in!E16=0,"",SER_hh_tes_in!E16/SER_hh_fec_in!E16)</f>
        <v>2.4802386770595328</v>
      </c>
      <c r="F16" s="135">
        <f>IF(SER_hh_tes_in!F16=0,"",SER_hh_tes_in!F16/SER_hh_fec_in!F16)</f>
        <v>2.5944657427384099</v>
      </c>
      <c r="G16" s="135">
        <f>IF(SER_hh_tes_in!G16=0,"",SER_hh_tes_in!G16/SER_hh_fec_in!G16)</f>
        <v>2.6928642645233132</v>
      </c>
      <c r="H16" s="135">
        <f>IF(SER_hh_tes_in!H16=0,"",SER_hh_tes_in!H16/SER_hh_fec_in!H16)</f>
        <v>2.7744392002235001</v>
      </c>
      <c r="I16" s="135">
        <f>IF(SER_hh_tes_in!I16=0,"",SER_hh_tes_in!I16/SER_hh_fec_in!I16)</f>
        <v>2.8875317179469699</v>
      </c>
      <c r="J16" s="135">
        <f>IF(SER_hh_tes_in!J16=0,"",SER_hh_tes_in!J16/SER_hh_fec_in!J16)</f>
        <v>2.9761735553668558</v>
      </c>
      <c r="K16" s="135">
        <f>IF(SER_hh_tes_in!K16=0,"",SER_hh_tes_in!K16/SER_hh_fec_in!K16)</f>
        <v>3.0916847341625342</v>
      </c>
      <c r="L16" s="135">
        <f>IF(SER_hh_tes_in!L16=0,"",SER_hh_tes_in!L16/SER_hh_fec_in!L16)</f>
        <v>3.1722586951040723</v>
      </c>
      <c r="M16" s="135">
        <f>IF(SER_hh_tes_in!M16=0,"",SER_hh_tes_in!M16/SER_hh_fec_in!M16)</f>
        <v>3.2369607685758481</v>
      </c>
      <c r="N16" s="135">
        <f>IF(SER_hh_tes_in!N16=0,"",SER_hh_tes_in!N16/SER_hh_fec_in!N16)</f>
        <v>3.265500767030737</v>
      </c>
      <c r="O16" s="135">
        <f>IF(SER_hh_tes_in!O16=0,"",SER_hh_tes_in!O16/SER_hh_fec_in!O16)</f>
        <v>3.4634938763928544</v>
      </c>
      <c r="P16" s="135">
        <f>IF(SER_hh_tes_in!P16=0,"",SER_hh_tes_in!P16/SER_hh_fec_in!P16)</f>
        <v>3.6589377499457973</v>
      </c>
      <c r="Q16" s="135">
        <f>IF(SER_hh_tes_in!Q16=0,"",SER_hh_tes_in!Q16/SER_hh_fec_in!Q16)</f>
        <v>3.7243799796180923</v>
      </c>
      <c r="R16" s="135">
        <f>IF(SER_hh_tes_in!R16=0,"",SER_hh_tes_in!R16/SER_hh_fec_in!R16)</f>
        <v>3.8877036632593822</v>
      </c>
      <c r="S16" s="135">
        <f>IF(SER_hh_tes_in!S16=0,"",SER_hh_tes_in!S16/SER_hh_fec_in!S16)</f>
        <v>3.8453353022729471</v>
      </c>
      <c r="T16" s="135">
        <f>IF(SER_hh_tes_in!T16=0,"",SER_hh_tes_in!T16/SER_hh_fec_in!T16)</f>
        <v>3.9100437131474597</v>
      </c>
      <c r="U16" s="135">
        <f>IF(SER_hh_tes_in!U16=0,"",SER_hh_tes_in!U16/SER_hh_fec_in!U16)</f>
        <v>3.8929076832690872</v>
      </c>
      <c r="V16" s="135">
        <f>IF(SER_hh_tes_in!V16=0,"",SER_hh_tes_in!V16/SER_hh_fec_in!V16)</f>
        <v>3.9569640717864814</v>
      </c>
      <c r="W16" s="135">
        <f>IF(SER_hh_tes_in!W16=0,"",SER_hh_tes_in!W16/SER_hh_fec_in!W16)</f>
        <v>3.999923666952824</v>
      </c>
      <c r="X16" s="135">
        <f>IF(SER_hh_tes_in!X16=0,"",SER_hh_tes_in!X16/SER_hh_fec_in!X16)</f>
        <v>3.9589080648853887</v>
      </c>
      <c r="Y16" s="135">
        <f>IF(SER_hh_tes_in!Y16=0,"",SER_hh_tes_in!Y16/SER_hh_fec_in!Y16)</f>
        <v>4.0371098909425465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1.1756911487862109</v>
      </c>
      <c r="D17" s="136">
        <f>IF(SER_hh_tes_in!D17=0,"",SER_hh_tes_in!D17/SER_hh_fec_in!D17)</f>
        <v>1.194575757157595</v>
      </c>
      <c r="E17" s="136">
        <f>IF(SER_hh_tes_in!E17=0,"",SER_hh_tes_in!E17/SER_hh_fec_in!E17)</f>
        <v>1.2131616340153861</v>
      </c>
      <c r="F17" s="136">
        <f>IF(SER_hh_tes_in!F17=0,"",SER_hh_tes_in!F17/SER_hh_fec_in!F17)</f>
        <v>1.2313161181115087</v>
      </c>
      <c r="G17" s="136">
        <f>IF(SER_hh_tes_in!G17=0,"",SER_hh_tes_in!G17/SER_hh_fec_in!G17)</f>
        <v>1.2492044551759636</v>
      </c>
      <c r="H17" s="136">
        <f>IF(SER_hh_tes_in!H17=0,"",SER_hh_tes_in!H17/SER_hh_fec_in!H17)</f>
        <v>1.2668307484142904</v>
      </c>
      <c r="I17" s="136">
        <f>IF(SER_hh_tes_in!I17=0,"",SER_hh_tes_in!I17/SER_hh_fec_in!I17)</f>
        <v>1.2842441356625558</v>
      </c>
      <c r="J17" s="136">
        <f>IF(SER_hh_tes_in!J17=0,"",SER_hh_tes_in!J17/SER_hh_fec_in!J17)</f>
        <v>1.3015829526610441</v>
      </c>
      <c r="K17" s="136">
        <f>IF(SER_hh_tes_in!K17=0,"",SER_hh_tes_in!K17/SER_hh_fec_in!K17)</f>
        <v>1.3189576128782698</v>
      </c>
      <c r="L17" s="136">
        <f>IF(SER_hh_tes_in!L17=0,"",SER_hh_tes_in!L17/SER_hh_fec_in!L17)</f>
        <v>1.3363960812090505</v>
      </c>
      <c r="M17" s="136">
        <f>IF(SER_hh_tes_in!M17=0,"",SER_hh_tes_in!M17/SER_hh_fec_in!M17)</f>
        <v>1.3566806934515925</v>
      </c>
      <c r="N17" s="136">
        <f>IF(SER_hh_tes_in!N17=0,"",SER_hh_tes_in!N17/SER_hh_fec_in!N17)</f>
        <v>1.3798140196153053</v>
      </c>
      <c r="O17" s="136">
        <f>IF(SER_hh_tes_in!O17=0,"",SER_hh_tes_in!O17/SER_hh_fec_in!O17)</f>
        <v>1.4053227470280556</v>
      </c>
      <c r="P17" s="136">
        <f>IF(SER_hh_tes_in!P17=0,"",SER_hh_tes_in!P17/SER_hh_fec_in!P17)</f>
        <v>1.4305749232711771</v>
      </c>
      <c r="Q17" s="136">
        <f>IF(SER_hh_tes_in!Q17=0,"",SER_hh_tes_in!Q17/SER_hh_fec_in!Q17)</f>
        <v>1.4496368727568314</v>
      </c>
      <c r="R17" s="136">
        <f>IF(SER_hh_tes_in!R17=0,"",SER_hh_tes_in!R17/SER_hh_fec_in!R17)</f>
        <v>1.4733287224945708</v>
      </c>
      <c r="S17" s="136">
        <f>IF(SER_hh_tes_in!S17=0,"",SER_hh_tes_in!S17/SER_hh_fec_in!S17)</f>
        <v>1.5028129703274062</v>
      </c>
      <c r="T17" s="136">
        <f>IF(SER_hh_tes_in!T17=0,"",SER_hh_tes_in!T17/SER_hh_fec_in!T17)</f>
        <v>1.5342416655291899</v>
      </c>
      <c r="U17" s="136">
        <f>IF(SER_hh_tes_in!U17=0,"",SER_hh_tes_in!U17/SER_hh_fec_in!U17)</f>
        <v>1.5629856738239676</v>
      </c>
      <c r="V17" s="136">
        <f>IF(SER_hh_tes_in!V17=0,"",SER_hh_tes_in!V17/SER_hh_fec_in!V17)</f>
        <v>1.5890076318022601</v>
      </c>
      <c r="W17" s="136">
        <f>IF(SER_hh_tes_in!W17=0,"",SER_hh_tes_in!W17/SER_hh_fec_in!W17)</f>
        <v>1.6090370786713772</v>
      </c>
      <c r="X17" s="136">
        <f>IF(SER_hh_tes_in!X17=0,"",SER_hh_tes_in!X17/SER_hh_fec_in!X17)</f>
        <v>1.616756686589063</v>
      </c>
      <c r="Y17" s="136">
        <f>IF(SER_hh_tes_in!Y17=0,"",SER_hh_tes_in!Y17/SER_hh_fec_in!Y17)</f>
        <v>1.6180116473705062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2.3094057889739643</v>
      </c>
      <c r="D18" s="136">
        <f>IF(SER_hh_tes_in!D18=0,"",SER_hh_tes_in!D18/SER_hh_fec_in!D18)</f>
        <v>2.4071399843154215</v>
      </c>
      <c r="E18" s="136">
        <f>IF(SER_hh_tes_in!E18=0,"",SER_hh_tes_in!E18/SER_hh_fec_in!E18)</f>
        <v>2.5063394031781709</v>
      </c>
      <c r="F18" s="136">
        <f>IF(SER_hh_tes_in!F18=0,"",SER_hh_tes_in!F18/SER_hh_fec_in!F18)</f>
        <v>2.6063355480158732</v>
      </c>
      <c r="G18" s="136">
        <f>IF(SER_hh_tes_in!G18=0,"",SER_hh_tes_in!G18/SER_hh_fec_in!G18)</f>
        <v>2.707707728958558</v>
      </c>
      <c r="H18" s="136">
        <f>IF(SER_hh_tes_in!H18=0,"",SER_hh_tes_in!H18/SER_hh_fec_in!H18)</f>
        <v>2.8103649006909412</v>
      </c>
      <c r="I18" s="136">
        <f>IF(SER_hh_tes_in!I18=0,"",SER_hh_tes_in!I18/SER_hh_fec_in!I18)</f>
        <v>2.9144284976274375</v>
      </c>
      <c r="J18" s="136">
        <f>IF(SER_hh_tes_in!J18=0,"",SER_hh_tes_in!J18/SER_hh_fec_in!J18)</f>
        <v>3.0204427796836537</v>
      </c>
      <c r="K18" s="136">
        <f>IF(SER_hh_tes_in!K18=0,"",SER_hh_tes_in!K18/SER_hh_fec_in!K18)</f>
        <v>3.128838846093041</v>
      </c>
      <c r="L18" s="136">
        <f>IF(SER_hh_tes_in!L18=0,"",SER_hh_tes_in!L18/SER_hh_fec_in!L18)</f>
        <v>3.2396738652537125</v>
      </c>
      <c r="M18" s="136">
        <f>IF(SER_hh_tes_in!M18=0,"",SER_hh_tes_in!M18/SER_hh_fec_in!M18)</f>
        <v>3.3666826275796851</v>
      </c>
      <c r="N18" s="136">
        <f>IF(SER_hh_tes_in!N18=0,"",SER_hh_tes_in!N18/SER_hh_fec_in!N18)</f>
        <v>3.5139423617790855</v>
      </c>
      <c r="O18" s="136">
        <f>IF(SER_hh_tes_in!O18=0,"",SER_hh_tes_in!O18/SER_hh_fec_in!O18)</f>
        <v>3.6811903710510396</v>
      </c>
      <c r="P18" s="136">
        <f>IF(SER_hh_tes_in!P18=0,"",SER_hh_tes_in!P18/SER_hh_fec_in!P18)</f>
        <v>3.8521500786028109</v>
      </c>
      <c r="Q18" s="136">
        <f>IF(SER_hh_tes_in!Q18=0,"",SER_hh_tes_in!Q18/SER_hh_fec_in!Q18)</f>
        <v>3.9833590329607653</v>
      </c>
      <c r="R18" s="136">
        <f>IF(SER_hh_tes_in!R18=0,"",SER_hh_tes_in!R18/SER_hh_fec_in!R18)</f>
        <v>4.1046607509245199</v>
      </c>
      <c r="S18" s="136">
        <f>IF(SER_hh_tes_in!S18=0,"",SER_hh_tes_in!S18/SER_hh_fec_in!S18)</f>
        <v>4.1672243776884139</v>
      </c>
      <c r="T18" s="136">
        <f>IF(SER_hh_tes_in!T18=0,"",SER_hh_tes_in!T18/SER_hh_fec_in!T18)</f>
        <v>4.2074329326755535</v>
      </c>
      <c r="U18" s="136">
        <f>IF(SER_hh_tes_in!U18=0,"",SER_hh_tes_in!U18/SER_hh_fec_in!U18)</f>
        <v>4.2359318701563602</v>
      </c>
      <c r="V18" s="136">
        <f>IF(SER_hh_tes_in!V18=0,"",SER_hh_tes_in!V18/SER_hh_fec_in!V18)</f>
        <v>4.2638642884380866</v>
      </c>
      <c r="W18" s="136">
        <f>IF(SER_hh_tes_in!W18=0,"",SER_hh_tes_in!W18/SER_hh_fec_in!W18)</f>
        <v>4.291673868088365</v>
      </c>
      <c r="X18" s="136">
        <f>IF(SER_hh_tes_in!X18=0,"",SER_hh_tes_in!X18/SER_hh_fec_in!X18)</f>
        <v>4.312977254887417</v>
      </c>
      <c r="Y18" s="136">
        <f>IF(SER_hh_tes_in!Y18=0,"",SER_hh_tes_in!Y18/SER_hh_fec_in!Y18)</f>
        <v>4.3315109730961421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0.64920634316901871</v>
      </c>
      <c r="D19" s="135">
        <f>IF(SER_hh_tes_in!D19=0,"",SER_hh_tes_in!D19/SER_hh_fec_in!D19)</f>
        <v>0.65095754642520076</v>
      </c>
      <c r="E19" s="135">
        <f>IF(SER_hh_tes_in!E19=0,"",SER_hh_tes_in!E19/SER_hh_fec_in!E19)</f>
        <v>0.6553510110265035</v>
      </c>
      <c r="F19" s="135">
        <f>IF(SER_hh_tes_in!F19=0,"",SER_hh_tes_in!F19/SER_hh_fec_in!F19)</f>
        <v>0.66780609524134238</v>
      </c>
      <c r="G19" s="135">
        <f>IF(SER_hh_tes_in!G19=0,"",SER_hh_tes_in!G19/SER_hh_fec_in!G19)</f>
        <v>0.68443759411956728</v>
      </c>
      <c r="H19" s="135">
        <f>IF(SER_hh_tes_in!H19=0,"",SER_hh_tes_in!H19/SER_hh_fec_in!H19)</f>
        <v>0.67227698550638437</v>
      </c>
      <c r="I19" s="135">
        <f>IF(SER_hh_tes_in!I19=0,"",SER_hh_tes_in!I19/SER_hh_fec_in!I19)</f>
        <v>0.67864191227782966</v>
      </c>
      <c r="J19" s="135">
        <f>IF(SER_hh_tes_in!J19=0,"",SER_hh_tes_in!J19/SER_hh_fec_in!J19)</f>
        <v>0.67812256525700199</v>
      </c>
      <c r="K19" s="135">
        <f>IF(SER_hh_tes_in!K19=0,"",SER_hh_tes_in!K19/SER_hh_fec_in!K19)</f>
        <v>0.68022845672763577</v>
      </c>
      <c r="L19" s="135">
        <f>IF(SER_hh_tes_in!L19=0,"",SER_hh_tes_in!L19/SER_hh_fec_in!L19)</f>
        <v>0.70609641967327719</v>
      </c>
      <c r="M19" s="135">
        <f>IF(SER_hh_tes_in!M19=0,"",SER_hh_tes_in!M19/SER_hh_fec_in!M19)</f>
        <v>0.70601966392361459</v>
      </c>
      <c r="N19" s="135">
        <f>IF(SER_hh_tes_in!N19=0,"",SER_hh_tes_in!N19/SER_hh_fec_in!N19)</f>
        <v>0.74477325626150348</v>
      </c>
      <c r="O19" s="135">
        <f>IF(SER_hh_tes_in!O19=0,"",SER_hh_tes_in!O19/SER_hh_fec_in!O19)</f>
        <v>0.74014085547062736</v>
      </c>
      <c r="P19" s="135">
        <f>IF(SER_hh_tes_in!P19=0,"",SER_hh_tes_in!P19/SER_hh_fec_in!P19)</f>
        <v>0.75064410338618714</v>
      </c>
      <c r="Q19" s="135">
        <f>IF(SER_hh_tes_in!Q19=0,"",SER_hh_tes_in!Q19/SER_hh_fec_in!Q19)</f>
        <v>0.81317933707531476</v>
      </c>
      <c r="R19" s="135">
        <f>IF(SER_hh_tes_in!R19=0,"",SER_hh_tes_in!R19/SER_hh_fec_in!R19)</f>
        <v>0.82310744737140917</v>
      </c>
      <c r="S19" s="135">
        <f>IF(SER_hh_tes_in!S19=0,"",SER_hh_tes_in!S19/SER_hh_fec_in!S19)</f>
        <v>0.83635622757600914</v>
      </c>
      <c r="T19" s="135">
        <f>IF(SER_hh_tes_in!T19=0,"",SER_hh_tes_in!T19/SER_hh_fec_in!T19)</f>
        <v>0.85238388400736143</v>
      </c>
      <c r="U19" s="135">
        <f>IF(SER_hh_tes_in!U19=0,"",SER_hh_tes_in!U19/SER_hh_fec_in!U19)</f>
        <v>0.85999180730600921</v>
      </c>
      <c r="V19" s="135">
        <f>IF(SER_hh_tes_in!V19=0,"",SER_hh_tes_in!V19/SER_hh_fec_in!V19)</f>
        <v>0.86824166807197967</v>
      </c>
      <c r="W19" s="135">
        <f>IF(SER_hh_tes_in!W19=0,"",SER_hh_tes_in!W19/SER_hh_fec_in!W19)</f>
        <v>0.88646049706064467</v>
      </c>
      <c r="X19" s="135">
        <f>IF(SER_hh_tes_in!X19=0,"",SER_hh_tes_in!X19/SER_hh_fec_in!X19)</f>
        <v>0.87785246549791351</v>
      </c>
      <c r="Y19" s="135">
        <f>IF(SER_hh_tes_in!Y19=0,"",SER_hh_tes_in!Y19/SER_hh_fec_in!Y19)</f>
        <v>0.89251777804581822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0.58347608922050853</v>
      </c>
      <c r="D21" s="136">
        <f>IF(SER_hh_tes_in!D21=0,"",SER_hh_tes_in!D21/SER_hh_fec_in!D21)</f>
        <v>0.58568968150784473</v>
      </c>
      <c r="E21" s="136">
        <f>IF(SER_hh_tes_in!E21=0,"",SER_hh_tes_in!E21/SER_hh_fec_in!E21)</f>
        <v>0.58821097292062907</v>
      </c>
      <c r="F21" s="136">
        <f>IF(SER_hh_tes_in!F21=0,"",SER_hh_tes_in!F21/SER_hh_fec_in!F21)</f>
        <v>0.59077422330506546</v>
      </c>
      <c r="G21" s="136">
        <f>IF(SER_hh_tes_in!G21=0,"",SER_hh_tes_in!G21/SER_hh_fec_in!G21)</f>
        <v>0.5936208464854712</v>
      </c>
      <c r="H21" s="136">
        <f>IF(SER_hh_tes_in!H21=0,"",SER_hh_tes_in!H21/SER_hh_fec_in!H21)</f>
        <v>0.59672129648311989</v>
      </c>
      <c r="I21" s="136">
        <f>IF(SER_hh_tes_in!I21=0,"",SER_hh_tes_in!I21/SER_hh_fec_in!I21)</f>
        <v>0.60013505767137754</v>
      </c>
      <c r="J21" s="136">
        <f>IF(SER_hh_tes_in!J21=0,"",SER_hh_tes_in!J21/SER_hh_fec_in!J21)</f>
        <v>0.60410581653182971</v>
      </c>
      <c r="K21" s="136">
        <f>IF(SER_hh_tes_in!K21=0,"",SER_hh_tes_in!K21/SER_hh_fec_in!K21)</f>
        <v>0.60884077067099251</v>
      </c>
      <c r="L21" s="136">
        <f>IF(SER_hh_tes_in!L21=0,"",SER_hh_tes_in!L21/SER_hh_fec_in!L21)</f>
        <v>0.61439535394327971</v>
      </c>
      <c r="M21" s="136" t="str">
        <f>IF(SER_hh_tes_in!M21=0,"",SER_hh_tes_in!M21/SER_hh_fec_in!M21)</f>
        <v/>
      </c>
      <c r="N21" s="136">
        <f>IF(SER_hh_tes_in!N21=0,"",SER_hh_tes_in!N21/SER_hh_fec_in!N21)</f>
        <v>0.6443840279916947</v>
      </c>
      <c r="O21" s="136">
        <f>IF(SER_hh_tes_in!O21=0,"",SER_hh_tes_in!O21/SER_hh_fec_in!O21)</f>
        <v>0.67167160016278249</v>
      </c>
      <c r="P21" s="136">
        <f>IF(SER_hh_tes_in!P21=0,"",SER_hh_tes_in!P21/SER_hh_fec_in!P21)</f>
        <v>0.70476072513019761</v>
      </c>
      <c r="Q21" s="136">
        <f>IF(SER_hh_tes_in!Q21=0,"",SER_hh_tes_in!Q21/SER_hh_fec_in!Q21)</f>
        <v>0.73455290201648071</v>
      </c>
      <c r="R21" s="136">
        <f>IF(SER_hh_tes_in!R21=0,"",SER_hh_tes_in!R21/SER_hh_fec_in!R21)</f>
        <v>0.75388140895879374</v>
      </c>
      <c r="S21" s="136">
        <f>IF(SER_hh_tes_in!S21=0,"",SER_hh_tes_in!S21/SER_hh_fec_in!S21)</f>
        <v>0.77187809102684657</v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>
        <f>IF(SER_hh_tes_in!X21=0,"",SER_hh_tes_in!X21/SER_hh_fec_in!X21)</f>
        <v>0.82267367670295144</v>
      </c>
      <c r="Y21" s="136">
        <f>IF(SER_hh_tes_in!Y21=0,"",SER_hh_tes_in!Y21/SER_hh_fec_in!Y21)</f>
        <v>0.82442272005793593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0.55007264065422057</v>
      </c>
      <c r="D22" s="136">
        <f>IF(SER_hh_tes_in!D22=0,"",SER_hh_tes_in!D22/SER_hh_fec_in!D22)</f>
        <v>0.55237001090411075</v>
      </c>
      <c r="E22" s="136">
        <f>IF(SER_hh_tes_in!E22=0,"",SER_hh_tes_in!E22/SER_hh_fec_in!E22)</f>
        <v>0.55498672578705099</v>
      </c>
      <c r="F22" s="136">
        <f>IF(SER_hh_tes_in!F22=0,"",SER_hh_tes_in!F22/SER_hh_fec_in!F22)</f>
        <v>0.55764698766540721</v>
      </c>
      <c r="G22" s="136">
        <f>IF(SER_hh_tes_in!G22=0,"",SER_hh_tes_in!G22/SER_hh_fec_in!G22)</f>
        <v>0.56060134716725663</v>
      </c>
      <c r="H22" s="136">
        <f>IF(SER_hh_tes_in!H22=0,"",SER_hh_tes_in!H22/SER_hh_fec_in!H22)</f>
        <v>0.56381914008541045</v>
      </c>
      <c r="I22" s="136">
        <f>IF(SER_hh_tes_in!I22=0,"",SER_hh_tes_in!I22/SER_hh_fec_in!I22)</f>
        <v>0.56736210210194804</v>
      </c>
      <c r="J22" s="136">
        <f>IF(SER_hh_tes_in!J22=0,"",SER_hh_tes_in!J22/SER_hh_fec_in!J22)</f>
        <v>0.57148314251561372</v>
      </c>
      <c r="K22" s="136">
        <f>IF(SER_hh_tes_in!K22=0,"",SER_hh_tes_in!K22/SER_hh_fec_in!K22)</f>
        <v>0.57639730075339723</v>
      </c>
      <c r="L22" s="136">
        <f>IF(SER_hh_tes_in!L22=0,"",SER_hh_tes_in!L22/SER_hh_fec_in!L22)</f>
        <v>0.58216210867818763</v>
      </c>
      <c r="M22" s="136">
        <f>IF(SER_hh_tes_in!M22=0,"",SER_hh_tes_in!M22/SER_hh_fec_in!M22)</f>
        <v>0.59391403516985708</v>
      </c>
      <c r="N22" s="136">
        <f>IF(SER_hh_tes_in!N22=0,"",SER_hh_tes_in!N22/SER_hh_fec_in!N22)</f>
        <v>0.61328576590568518</v>
      </c>
      <c r="O22" s="136">
        <f>IF(SER_hh_tes_in!O22=0,"",SER_hh_tes_in!O22/SER_hh_fec_in!O22)</f>
        <v>0.64160609248806133</v>
      </c>
      <c r="P22" s="136">
        <f>IF(SER_hh_tes_in!P22=0,"",SER_hh_tes_in!P22/SER_hh_fec_in!P22)</f>
        <v>0.67594754358993447</v>
      </c>
      <c r="Q22" s="136">
        <f>IF(SER_hh_tes_in!Q22=0,"",SER_hh_tes_in!Q22/SER_hh_fec_in!Q22)</f>
        <v>0.7068672668151984</v>
      </c>
      <c r="R22" s="136" t="str">
        <f>IF(SER_hh_tes_in!R22=0,"",SER_hh_tes_in!R22/SER_hh_fec_in!R22)</f>
        <v/>
      </c>
      <c r="S22" s="136">
        <f>IF(SER_hh_tes_in!S22=0,"",SER_hh_tes_in!S22/SER_hh_fec_in!S22)</f>
        <v>0.74560510453468876</v>
      </c>
      <c r="T22" s="136">
        <f>IF(SER_hh_tes_in!T22=0,"",SER_hh_tes_in!T22/SER_hh_fec_in!T22)</f>
        <v>0.762349948166818</v>
      </c>
      <c r="U22" s="136">
        <f>IF(SER_hh_tes_in!U22=0,"",SER_hh_tes_in!U22/SER_hh_fec_in!U22)</f>
        <v>0.77661110240707987</v>
      </c>
      <c r="V22" s="136">
        <f>IF(SER_hh_tes_in!V22=0,"",SER_hh_tes_in!V22/SER_hh_fec_in!V22)</f>
        <v>0.78783783782537253</v>
      </c>
      <c r="W22" s="136">
        <f>IF(SER_hh_tes_in!W22=0,"",SER_hh_tes_in!W22/SER_hh_fec_in!W22)</f>
        <v>0.79473838440462752</v>
      </c>
      <c r="X22" s="136">
        <f>IF(SER_hh_tes_in!X22=0,"",SER_hh_tes_in!X22/SER_hh_fec_in!X22)</f>
        <v>0.79819565796132474</v>
      </c>
      <c r="Y22" s="136">
        <f>IF(SER_hh_tes_in!Y22=0,"",SER_hh_tes_in!Y22/SER_hh_fec_in!Y22)</f>
        <v>0.79994633667177217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0.59579684941769162</v>
      </c>
      <c r="D23" s="136">
        <f>IF(SER_hh_tes_in!D23=0,"",SER_hh_tes_in!D23/SER_hh_fec_in!D23)</f>
        <v>0.60116535717242003</v>
      </c>
      <c r="E23" s="136">
        <f>IF(SER_hh_tes_in!E23=0,"",SER_hh_tes_in!E23/SER_hh_fec_in!E23)</f>
        <v>0.60677702672731593</v>
      </c>
      <c r="F23" s="136">
        <f>IF(SER_hh_tes_in!F23=0,"",SER_hh_tes_in!F23/SER_hh_fec_in!F23)</f>
        <v>0.61243192968027849</v>
      </c>
      <c r="G23" s="136">
        <f>IF(SER_hh_tes_in!G23=0,"",SER_hh_tes_in!G23/SER_hh_fec_in!G23)</f>
        <v>0.6183090319018324</v>
      </c>
      <c r="H23" s="136">
        <f>IF(SER_hh_tes_in!H23=0,"",SER_hh_tes_in!H23/SER_hh_fec_in!H23)</f>
        <v>0.624384572976035</v>
      </c>
      <c r="I23" s="136">
        <f>IF(SER_hh_tes_in!I23=0,"",SER_hh_tes_in!I23/SER_hh_fec_in!I23)</f>
        <v>0.63070074851212343</v>
      </c>
      <c r="J23" s="136">
        <f>IF(SER_hh_tes_in!J23=0,"",SER_hh_tes_in!J23/SER_hh_fec_in!J23)</f>
        <v>0.63743472228960363</v>
      </c>
      <c r="K23" s="136">
        <f>IF(SER_hh_tes_in!K23=0,"",SER_hh_tes_in!K23/SER_hh_fec_in!K23)</f>
        <v>0.6447346354939425</v>
      </c>
      <c r="L23" s="136">
        <f>IF(SER_hh_tes_in!L23=0,"",SER_hh_tes_in!L23/SER_hh_fec_in!L23)</f>
        <v>0.65263568600282418</v>
      </c>
      <c r="M23" s="136">
        <f>IF(SER_hh_tes_in!M23=0,"",SER_hh_tes_in!M23/SER_hh_fec_in!M23)</f>
        <v>0.66482560740996488</v>
      </c>
      <c r="N23" s="136">
        <f>IF(SER_hh_tes_in!N23=0,"",SER_hh_tes_in!N23/SER_hh_fec_in!N23)</f>
        <v>0.68244304173675741</v>
      </c>
      <c r="O23" s="136">
        <f>IF(SER_hh_tes_in!O23=0,"",SER_hh_tes_in!O23/SER_hh_fec_in!O23)</f>
        <v>0.70630068290161452</v>
      </c>
      <c r="P23" s="136">
        <f>IF(SER_hh_tes_in!P23=0,"",SER_hh_tes_in!P23/SER_hh_fec_in!P23)</f>
        <v>0.73404078059716626</v>
      </c>
      <c r="Q23" s="136">
        <f>IF(SER_hh_tes_in!Q23=0,"",SER_hh_tes_in!Q23/SER_hh_fec_in!Q23)</f>
        <v>0.75832791854315851</v>
      </c>
      <c r="R23" s="136">
        <f>IF(SER_hh_tes_in!R23=0,"",SER_hh_tes_in!R23/SER_hh_fec_in!R23)</f>
        <v>0.77317399481550775</v>
      </c>
      <c r="S23" s="136">
        <f>IF(SER_hh_tes_in!S23=0,"",SER_hh_tes_in!S23/SER_hh_fec_in!S23)</f>
        <v>0.78581710719962283</v>
      </c>
      <c r="T23" s="136">
        <f>IF(SER_hh_tes_in!T23=0,"",SER_hh_tes_in!T23/SER_hh_fec_in!T23)</f>
        <v>0.79645570638596275</v>
      </c>
      <c r="U23" s="136">
        <f>IF(SER_hh_tes_in!U23=0,"",SER_hh_tes_in!U23/SER_hh_fec_in!U23)</f>
        <v>0.80527877175640916</v>
      </c>
      <c r="V23" s="136">
        <f>IF(SER_hh_tes_in!V23=0,"",SER_hh_tes_in!V23/SER_hh_fec_in!V23)</f>
        <v>0.81245205068044613</v>
      </c>
      <c r="W23" s="136">
        <f>IF(SER_hh_tes_in!W23=0,"",SER_hh_tes_in!W23/SER_hh_fec_in!W23)</f>
        <v>0.81719936835265661</v>
      </c>
      <c r="X23" s="136">
        <f>IF(SER_hh_tes_in!X23=0,"",SER_hh_tes_in!X23/SER_hh_fec_in!X23)</f>
        <v>0.81985922088390017</v>
      </c>
      <c r="Y23" s="136">
        <f>IF(SER_hh_tes_in!Y23=0,"",SER_hh_tes_in!Y23/SER_hh_fec_in!Y23)</f>
        <v>0.82141876729650354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0.58545353455626548</v>
      </c>
      <c r="D24" s="136">
        <f>IF(SER_hh_tes_in!D24=0,"",SER_hh_tes_in!D24/SER_hh_fec_in!D24)</f>
        <v>0.59761877391963214</v>
      </c>
      <c r="E24" s="136">
        <f>IF(SER_hh_tes_in!E24=0,"",SER_hh_tes_in!E24/SER_hh_fec_in!E24)</f>
        <v>0.60989982493211459</v>
      </c>
      <c r="F24" s="136">
        <f>IF(SER_hh_tes_in!F24=0,"",SER_hh_tes_in!F24/SER_hh_fec_in!F24)</f>
        <v>0.62228467611316773</v>
      </c>
      <c r="G24" s="136">
        <f>IF(SER_hh_tes_in!G24=0,"",SER_hh_tes_in!G24/SER_hh_fec_in!G24)</f>
        <v>0.63476110792381435</v>
      </c>
      <c r="H24" s="136">
        <f>IF(SER_hh_tes_in!H24=0,"",SER_hh_tes_in!H24/SER_hh_fec_in!H24)</f>
        <v>0.64731473004116913</v>
      </c>
      <c r="I24" s="136">
        <f>IF(SER_hh_tes_in!I24=0,"",SER_hh_tes_in!I24/SER_hh_fec_in!I24)</f>
        <v>0.65992656002603833</v>
      </c>
      <c r="J24" s="136">
        <f>IF(SER_hh_tes_in!J24=0,"",SER_hh_tes_in!J24/SER_hh_fec_in!J24)</f>
        <v>0.67255559333023573</v>
      </c>
      <c r="K24" s="136">
        <f>IF(SER_hh_tes_in!K24=0,"",SER_hh_tes_in!K24/SER_hh_fec_in!K24)</f>
        <v>0.68514760979326417</v>
      </c>
      <c r="L24" s="136">
        <f>IF(SER_hh_tes_in!L24=0,"",SER_hh_tes_in!L24/SER_hh_fec_in!L24)</f>
        <v>0.69765448611453384</v>
      </c>
      <c r="M24" s="136" t="str">
        <f>IF(SER_hh_tes_in!M24=0,"",SER_hh_tes_in!M24/SER_hh_fec_in!M24)</f>
        <v/>
      </c>
      <c r="N24" s="136">
        <f>IF(SER_hh_tes_in!N24=0,"",SER_hh_tes_in!N24/SER_hh_fec_in!N24)</f>
        <v>0.71910279664972487</v>
      </c>
      <c r="O24" s="136">
        <f>IF(SER_hh_tes_in!O24=0,"",SER_hh_tes_in!O24/SER_hh_fec_in!O24)</f>
        <v>0.72723873599620703</v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>
        <f>IF(SER_hh_tes_in!R24=0,"",SER_hh_tes_in!R24/SER_hh_fec_in!R24)</f>
        <v>0.7551693110820954</v>
      </c>
      <c r="S24" s="136">
        <f>IF(SER_hh_tes_in!S24=0,"",SER_hh_tes_in!S24/SER_hh_fec_in!S24)</f>
        <v>0.76928408583648233</v>
      </c>
      <c r="T24" s="136">
        <f>IF(SER_hh_tes_in!T24=0,"",SER_hh_tes_in!T24/SER_hh_fec_in!T24)</f>
        <v>0.78352138322257114</v>
      </c>
      <c r="U24" s="136">
        <f>IF(SER_hh_tes_in!U24=0,"",SER_hh_tes_in!U24/SER_hh_fec_in!U24)</f>
        <v>0.79667307191224246</v>
      </c>
      <c r="V24" s="136">
        <f>IF(SER_hh_tes_in!V24=0,"",SER_hh_tes_in!V24/SER_hh_fec_in!V24)</f>
        <v>0.8077050026624657</v>
      </c>
      <c r="W24" s="136">
        <f>IF(SER_hh_tes_in!W24=0,"",SER_hh_tes_in!W24/SER_hh_fec_in!W24)</f>
        <v>0.81656724100751787</v>
      </c>
      <c r="X24" s="136">
        <f>IF(SER_hh_tes_in!X24=0,"",SER_hh_tes_in!X24/SER_hh_fec_in!X24)</f>
        <v>0.82373109560295021</v>
      </c>
      <c r="Y24" s="136">
        <f>IF(SER_hh_tes_in!Y24=0,"",SER_hh_tes_in!Y24/SER_hh_fec_in!Y24)</f>
        <v>0.83048233724725584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0.83411492863626335</v>
      </c>
      <c r="D25" s="136">
        <f>IF(SER_hh_tes_in!D25=0,"",SER_hh_tes_in!D25/SER_hh_fec_in!D25)</f>
        <v>0.83617899757618175</v>
      </c>
      <c r="E25" s="136">
        <f>IF(SER_hh_tes_in!E25=0,"",SER_hh_tes_in!E25/SER_hh_fec_in!E25)</f>
        <v>0.83829879099249893</v>
      </c>
      <c r="F25" s="136">
        <f>IF(SER_hh_tes_in!F25=0,"",SER_hh_tes_in!F25/SER_hh_fec_in!F25)</f>
        <v>0.84042618320105222</v>
      </c>
      <c r="G25" s="136">
        <f>IF(SER_hh_tes_in!G25=0,"",SER_hh_tes_in!G25/SER_hh_fec_in!G25)</f>
        <v>0.84260489437470854</v>
      </c>
      <c r="H25" s="136" t="str">
        <f>IF(SER_hh_tes_in!H25=0,"",SER_hh_tes_in!H25/SER_hh_fec_in!H25)</f>
        <v/>
      </c>
      <c r="I25" s="136" t="str">
        <f>IF(SER_hh_tes_in!I25=0,"",SER_hh_tes_in!I25/SER_hh_fec_in!I25)</f>
        <v/>
      </c>
      <c r="J25" s="136" t="str">
        <f>IF(SER_hh_tes_in!J25=0,"",SER_hh_tes_in!J25/SER_hh_fec_in!J25)</f>
        <v/>
      </c>
      <c r="K25" s="136">
        <f>IF(SER_hh_tes_in!K25=0,"",SER_hh_tes_in!K25/SER_hh_fec_in!K25)</f>
        <v>0.85201397556034264</v>
      </c>
      <c r="L25" s="136">
        <f>IF(SER_hh_tes_in!L25=0,"",SER_hh_tes_in!L25/SER_hh_fec_in!L25)</f>
        <v>0.85468309975681689</v>
      </c>
      <c r="M25" s="136">
        <f>IF(SER_hh_tes_in!M25=0,"",SER_hh_tes_in!M25/SER_hh_fec_in!M25)</f>
        <v>0.85837883542293203</v>
      </c>
      <c r="N25" s="136">
        <f>IF(SER_hh_tes_in!N25=0,"",SER_hh_tes_in!N25/SER_hh_fec_in!N25)</f>
        <v>0.86337883984044572</v>
      </c>
      <c r="O25" s="136">
        <f>IF(SER_hh_tes_in!O25=0,"",SER_hh_tes_in!O25/SER_hh_fec_in!O25)</f>
        <v>0.869926513356164</v>
      </c>
      <c r="P25" s="136">
        <f>IF(SER_hh_tes_in!P25=0,"",SER_hh_tes_in!P25/SER_hh_fec_in!P25)</f>
        <v>0.87755876896486595</v>
      </c>
      <c r="Q25" s="136">
        <f>IF(SER_hh_tes_in!Q25=0,"",SER_hh_tes_in!Q25/SER_hh_fec_in!Q25)</f>
        <v>0.88475962701639432</v>
      </c>
      <c r="R25" s="136">
        <f>IF(SER_hh_tes_in!R25=0,"",SER_hh_tes_in!R25/SER_hh_fec_in!R25)</f>
        <v>0.89027740420639689</v>
      </c>
      <c r="S25" s="136">
        <f>IF(SER_hh_tes_in!S25=0,"",SER_hh_tes_in!S25/SER_hh_fec_in!S25)</f>
        <v>0.89564527901481084</v>
      </c>
      <c r="T25" s="136">
        <f>IF(SER_hh_tes_in!T25=0,"",SER_hh_tes_in!T25/SER_hh_fec_in!T25)</f>
        <v>0.90082738560378006</v>
      </c>
      <c r="U25" s="136">
        <f>IF(SER_hh_tes_in!U25=0,"",SER_hh_tes_in!U25/SER_hh_fec_in!U25)</f>
        <v>0.90578785813546514</v>
      </c>
      <c r="V25" s="136">
        <f>IF(SER_hh_tes_in!V25=0,"",SER_hh_tes_in!V25/SER_hh_fec_in!V25)</f>
        <v>0.91049083077201942</v>
      </c>
      <c r="W25" s="136">
        <f>IF(SER_hh_tes_in!W25=0,"",SER_hh_tes_in!W25/SER_hh_fec_in!W25)</f>
        <v>0.91482317504550692</v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0.69293486763788859</v>
      </c>
      <c r="D26" s="137">
        <f>IF(SER_hh_tes_in!D26=0,"",SER_hh_tes_in!D26/SER_hh_fec_in!D26)</f>
        <v>0.69499246151947314</v>
      </c>
      <c r="E26" s="137">
        <f>IF(SER_hh_tes_in!E26=0,"",SER_hh_tes_in!E26/SER_hh_fec_in!E26)</f>
        <v>0.69724501721807863</v>
      </c>
      <c r="F26" s="137">
        <f>IF(SER_hh_tes_in!F26=0,"",SER_hh_tes_in!F26/SER_hh_fec_in!F26)</f>
        <v>0.69952475107812062</v>
      </c>
      <c r="G26" s="137">
        <f>IF(SER_hh_tes_in!G26=0,"",SER_hh_tes_in!G26/SER_hh_fec_in!G26)</f>
        <v>0.70198555459077094</v>
      </c>
      <c r="H26" s="137">
        <f>IF(SER_hh_tes_in!H26=0,"",SER_hh_tes_in!H26/SER_hh_fec_in!H26)</f>
        <v>0.70461005670930854</v>
      </c>
      <c r="I26" s="137">
        <f>IF(SER_hh_tes_in!I26=0,"",SER_hh_tes_in!I26/SER_hh_fec_in!I26)</f>
        <v>0.70743816886468702</v>
      </c>
      <c r="J26" s="137">
        <f>IF(SER_hh_tes_in!J26=0,"",SER_hh_tes_in!J26/SER_hh_fec_in!J26)</f>
        <v>0.71062992380274825</v>
      </c>
      <c r="K26" s="137">
        <f>IF(SER_hh_tes_in!K26=0,"",SER_hh_tes_in!K26/SER_hh_fec_in!K26)</f>
        <v>0.71432669678361205</v>
      </c>
      <c r="L26" s="137">
        <f>IF(SER_hh_tes_in!L26=0,"",SER_hh_tes_in!L26/SER_hh_fec_in!L26)</f>
        <v>0.71857709520465551</v>
      </c>
      <c r="M26" s="137">
        <f>IF(SER_hh_tes_in!M26=0,"",SER_hh_tes_in!M26/SER_hh_fec_in!M26)</f>
        <v>0.72665761454005395</v>
      </c>
      <c r="N26" s="137">
        <f>IF(SER_hh_tes_in!N26=0,"",SER_hh_tes_in!N26/SER_hh_fec_in!N26)</f>
        <v>0.73998166317625158</v>
      </c>
      <c r="O26" s="137">
        <f>IF(SER_hh_tes_in!O26=0,"",SER_hh_tes_in!O26/SER_hh_fec_in!O26)</f>
        <v>0.76029910533737488</v>
      </c>
      <c r="P26" s="137">
        <f>IF(SER_hh_tes_in!P26=0,"",SER_hh_tes_in!P26/SER_hh_fec_in!P26)</f>
        <v>0.78664668530105786</v>
      </c>
      <c r="Q26" s="137">
        <f>IF(SER_hh_tes_in!Q26=0,"",SER_hh_tes_in!Q26/SER_hh_fec_in!Q26)</f>
        <v>0.81206649426878752</v>
      </c>
      <c r="R26" s="137">
        <f>IF(SER_hh_tes_in!R26=0,"",SER_hh_tes_in!R26/SER_hh_fec_in!R26)</f>
        <v>0.82926907939377914</v>
      </c>
      <c r="S26" s="137">
        <f>IF(SER_hh_tes_in!S26=0,"",SER_hh_tes_in!S26/SER_hh_fec_in!S26)</f>
        <v>0.84593541919354198</v>
      </c>
      <c r="T26" s="137">
        <f>IF(SER_hh_tes_in!T26=0,"",SER_hh_tes_in!T26/SER_hh_fec_in!T26)</f>
        <v>0.86247241928159801</v>
      </c>
      <c r="U26" s="137">
        <f>IF(SER_hh_tes_in!U26=0,"",SER_hh_tes_in!U26/SER_hh_fec_in!U26)</f>
        <v>0.87904632154806739</v>
      </c>
      <c r="V26" s="137">
        <f>IF(SER_hh_tes_in!V26=0,"",SER_hh_tes_in!V26/SER_hh_fec_in!V26)</f>
        <v>0.89532825926524673</v>
      </c>
      <c r="W26" s="137">
        <f>IF(SER_hh_tes_in!W26=0,"",SER_hh_tes_in!W26/SER_hh_fec_in!W26)</f>
        <v>0.91019906991097499</v>
      </c>
      <c r="X26" s="137">
        <f>IF(SER_hh_tes_in!X26=0,"",SER_hh_tes_in!X26/SER_hh_fec_in!X26)</f>
        <v>0.92329720417066186</v>
      </c>
      <c r="Y26" s="137">
        <f>IF(SER_hh_tes_in!Y26=0,"",SER_hh_tes_in!Y26/SER_hh_fec_in!Y26)</f>
        <v>0.93551696732869416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 t="str">
        <f>IF(SER_hh_tes_in!X27=0,"",SER_hh_tes_in!X27/SER_hh_fec_in!X27)</f>
        <v/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0.6881250443908089</v>
      </c>
      <c r="D29" s="135">
        <f>IF(SER_hh_tes_in!D29=0,"",SER_hh_tes_in!D29/SER_hh_fec_in!D29)</f>
        <v>0.5954989315376823</v>
      </c>
      <c r="E29" s="135">
        <f>IF(SER_hh_tes_in!E29=0,"",SER_hh_tes_in!E29/SER_hh_fec_in!E29)</f>
        <v>0.63959928528459109</v>
      </c>
      <c r="F29" s="135">
        <f>IF(SER_hh_tes_in!F29=0,"",SER_hh_tes_in!F29/SER_hh_fec_in!F29)</f>
        <v>0.70248528571964342</v>
      </c>
      <c r="G29" s="135">
        <f>IF(SER_hh_tes_in!G29=0,"",SER_hh_tes_in!G29/SER_hh_fec_in!G29)</f>
        <v>0.76603355264737827</v>
      </c>
      <c r="H29" s="135">
        <f>IF(SER_hh_tes_in!H29=0,"",SER_hh_tes_in!H29/SER_hh_fec_in!H29)</f>
        <v>0.77796473947841382</v>
      </c>
      <c r="I29" s="135">
        <f>IF(SER_hh_tes_in!I29=0,"",SER_hh_tes_in!I29/SER_hh_fec_in!I29)</f>
        <v>0.710628467198828</v>
      </c>
      <c r="J29" s="135">
        <f>IF(SER_hh_tes_in!J29=0,"",SER_hh_tes_in!J29/SER_hh_fec_in!J29)</f>
        <v>0.66464084722122463</v>
      </c>
      <c r="K29" s="135">
        <f>IF(SER_hh_tes_in!K29=0,"",SER_hh_tes_in!K29/SER_hh_fec_in!K29)</f>
        <v>0.64569653638964142</v>
      </c>
      <c r="L29" s="135">
        <f>IF(SER_hh_tes_in!L29=0,"",SER_hh_tes_in!L29/SER_hh_fec_in!L29)</f>
        <v>0.68380338383012629</v>
      </c>
      <c r="M29" s="135">
        <f>IF(SER_hh_tes_in!M29=0,"",SER_hh_tes_in!M29/SER_hh_fec_in!M29)</f>
        <v>0.72734475109686603</v>
      </c>
      <c r="N29" s="135">
        <f>IF(SER_hh_tes_in!N29=0,"",SER_hh_tes_in!N29/SER_hh_fec_in!N29)</f>
        <v>0.74494387403932361</v>
      </c>
      <c r="O29" s="135">
        <f>IF(SER_hh_tes_in!O29=0,"",SER_hh_tes_in!O29/SER_hh_fec_in!O29)</f>
        <v>0.70243593053673081</v>
      </c>
      <c r="P29" s="135">
        <f>IF(SER_hh_tes_in!P29=0,"",SER_hh_tes_in!P29/SER_hh_fec_in!P29)</f>
        <v>0.68696413108639165</v>
      </c>
      <c r="Q29" s="135">
        <f>IF(SER_hh_tes_in!Q29=0,"",SER_hh_tes_in!Q29/SER_hh_fec_in!Q29)</f>
        <v>0.68889069530961522</v>
      </c>
      <c r="R29" s="135">
        <f>IF(SER_hh_tes_in!R29=0,"",SER_hh_tes_in!R29/SER_hh_fec_in!R29)</f>
        <v>0.74822256048304525</v>
      </c>
      <c r="S29" s="135">
        <f>IF(SER_hh_tes_in!S29=0,"",SER_hh_tes_in!S29/SER_hh_fec_in!S29)</f>
        <v>0.74326573337651825</v>
      </c>
      <c r="T29" s="135">
        <f>IF(SER_hh_tes_in!T29=0,"",SER_hh_tes_in!T29/SER_hh_fec_in!T29)</f>
        <v>0.75419000203447062</v>
      </c>
      <c r="U29" s="135">
        <f>IF(SER_hh_tes_in!U29=0,"",SER_hh_tes_in!U29/SER_hh_fec_in!U29)</f>
        <v>0.72844950227915684</v>
      </c>
      <c r="V29" s="135">
        <f>IF(SER_hh_tes_in!V29=0,"",SER_hh_tes_in!V29/SER_hh_fec_in!V29)</f>
        <v>0.74588359510614988</v>
      </c>
      <c r="W29" s="135">
        <f>IF(SER_hh_tes_in!W29=0,"",SER_hh_tes_in!W29/SER_hh_fec_in!W29)</f>
        <v>0.78250283810712562</v>
      </c>
      <c r="X29" s="135">
        <f>IF(SER_hh_tes_in!X29=0,"",SER_hh_tes_in!X29/SER_hh_fec_in!X29)</f>
        <v>0.81311463888098323</v>
      </c>
      <c r="Y29" s="135">
        <f>IF(SER_hh_tes_in!Y29=0,"",SER_hh_tes_in!Y29/SER_hh_fec_in!Y29)</f>
        <v>0.81559728824365141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0.58016823537297846</v>
      </c>
      <c r="D30" s="136">
        <f>IF(SER_hh_tes_in!D30=0,"",SER_hh_tes_in!D30/SER_hh_fec_in!D30)</f>
        <v>0.58064015790401313</v>
      </c>
      <c r="E30" s="136">
        <f>IF(SER_hh_tes_in!E30=0,"",SER_hh_tes_in!E30/SER_hh_fec_in!E30)</f>
        <v>0.58111212294516956</v>
      </c>
      <c r="F30" s="136">
        <f>IF(SER_hh_tes_in!F30=0,"",SER_hh_tes_in!F30/SER_hh_fec_in!F30)</f>
        <v>0.58158409378316056</v>
      </c>
      <c r="G30" s="136">
        <f>IF(SER_hh_tes_in!G30=0,"",SER_hh_tes_in!G30/SER_hh_fec_in!G30)</f>
        <v>0.5820561037704729</v>
      </c>
      <c r="H30" s="136" t="str">
        <f>IF(SER_hh_tes_in!H30=0,"",SER_hh_tes_in!H30/SER_hh_fec_in!H30)</f>
        <v/>
      </c>
      <c r="I30" s="136">
        <f>IF(SER_hh_tes_in!I30=0,"",SER_hh_tes_in!I30/SER_hh_fec_in!I30)</f>
        <v>0.58300023716535621</v>
      </c>
      <c r="J30" s="136">
        <f>IF(SER_hh_tes_in!J30=0,"",SER_hh_tes_in!J30/SER_hh_fec_in!J30)</f>
        <v>0.58347240245744625</v>
      </c>
      <c r="K30" s="136">
        <f>IF(SER_hh_tes_in!K30=0,"",SER_hh_tes_in!K30/SER_hh_fec_in!K30)</f>
        <v>0.58394467332680755</v>
      </c>
      <c r="L30" s="136">
        <f>IF(SER_hh_tes_in!L30=0,"",SER_hh_tes_in!L30/SER_hh_fec_in!L30)</f>
        <v>0.58441705743189476</v>
      </c>
      <c r="M30" s="136" t="str">
        <f>IF(SER_hh_tes_in!M30=0,"",SER_hh_tes_in!M30/SER_hh_fec_in!M30)</f>
        <v/>
      </c>
      <c r="N30" s="136">
        <f>IF(SER_hh_tes_in!N30=0,"",SER_hh_tes_in!N30/SER_hh_fec_in!N30)</f>
        <v>0.58497632988481474</v>
      </c>
      <c r="O30" s="136">
        <f>IF(SER_hh_tes_in!O30=0,"",SER_hh_tes_in!O30/SER_hh_fec_in!O30)</f>
        <v>0.58509617762433663</v>
      </c>
      <c r="P30" s="136">
        <f>IF(SER_hh_tes_in!P30=0,"",SER_hh_tes_in!P30/SER_hh_fec_in!P30)</f>
        <v>0.58543059292916255</v>
      </c>
      <c r="Q30" s="136">
        <f>IF(SER_hh_tes_in!Q30=0,"",SER_hh_tes_in!Q30/SER_hh_fec_in!Q30)</f>
        <v>0.58679174134072321</v>
      </c>
      <c r="R30" s="136">
        <f>IF(SER_hh_tes_in!R30=0,"",SER_hh_tes_in!R30/SER_hh_fec_in!R30)</f>
        <v>0.59036713928182549</v>
      </c>
      <c r="S30" s="136">
        <f>IF(SER_hh_tes_in!S30=0,"",SER_hh_tes_in!S30/SER_hh_fec_in!S30)</f>
        <v>0.59541064663670351</v>
      </c>
      <c r="T30" s="136">
        <f>IF(SER_hh_tes_in!T30=0,"",SER_hh_tes_in!T30/SER_hh_fec_in!T30)</f>
        <v>0.60094436309386678</v>
      </c>
      <c r="U30" s="136">
        <f>IF(SER_hh_tes_in!U30=0,"",SER_hh_tes_in!U30/SER_hh_fec_in!U30)</f>
        <v>0.60599038834184016</v>
      </c>
      <c r="V30" s="136">
        <f>IF(SER_hh_tes_in!V30=0,"",SER_hh_tes_in!V30/SER_hh_fec_in!V30)</f>
        <v>0.60957082206914037</v>
      </c>
      <c r="W30" s="136" t="str">
        <f>IF(SER_hh_tes_in!W30=0,"",SER_hh_tes_in!W30/SER_hh_fec_in!W30)</f>
        <v/>
      </c>
      <c r="X30" s="136" t="str">
        <f>IF(SER_hh_tes_in!X30=0,"",SER_hh_tes_in!X30/SER_hh_fec_in!X30)</f>
        <v/>
      </c>
      <c r="Y30" s="136">
        <f>IF(SER_hh_tes_in!Y30=0,"",SER_hh_tes_in!Y30/SER_hh_fec_in!Y30)</f>
        <v>0.61173185079183656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0.58743206991096986</v>
      </c>
      <c r="D31" s="136">
        <f>IF(SER_hh_tes_in!D31=0,"",SER_hh_tes_in!D31/SER_hh_fec_in!D31)</f>
        <v>0.5879987376033422</v>
      </c>
      <c r="E31" s="136">
        <f>IF(SER_hh_tes_in!E31=0,"",SER_hh_tes_in!E31/SER_hh_fec_in!E31)</f>
        <v>0.58856545634034774</v>
      </c>
      <c r="F31" s="136">
        <f>IF(SER_hh_tes_in!F31=0,"",SER_hh_tes_in!F31/SER_hh_fec_in!F31)</f>
        <v>0.58913218203798501</v>
      </c>
      <c r="G31" s="136" t="str">
        <f>IF(SER_hh_tes_in!G31=0,"",SER_hh_tes_in!G31/SER_hh_fec_in!G31)</f>
        <v/>
      </c>
      <c r="H31" s="136" t="str">
        <f>IF(SER_hh_tes_in!H31=0,"",SER_hh_tes_in!H31/SER_hh_fec_in!H31)</f>
        <v/>
      </c>
      <c r="I31" s="136">
        <f>IF(SER_hh_tes_in!I31=0,"",SER_hh_tes_in!I31/SER_hh_fec_in!I31)</f>
        <v>0.59083263634919903</v>
      </c>
      <c r="J31" s="136">
        <f>IF(SER_hh_tes_in!J31=0,"",SER_hh_tes_in!J31/SER_hh_fec_in!J31)</f>
        <v>0.59139959554036181</v>
      </c>
      <c r="K31" s="136">
        <f>IF(SER_hh_tes_in!K31=0,"",SER_hh_tes_in!K31/SER_hh_fec_in!K31)</f>
        <v>0.59196668150493503</v>
      </c>
      <c r="L31" s="136">
        <f>IF(SER_hh_tes_in!L31=0,"",SER_hh_tes_in!L31/SER_hh_fec_in!L31)</f>
        <v>0.59253390343891699</v>
      </c>
      <c r="M31" s="136">
        <f>IF(SER_hh_tes_in!M31=0,"",SER_hh_tes_in!M31/SER_hh_fec_in!M31)</f>
        <v>0.59296467612429116</v>
      </c>
      <c r="N31" s="136">
        <f>IF(SER_hh_tes_in!N31=0,"",SER_hh_tes_in!N31/SER_hh_fec_in!N31)</f>
        <v>0.59320545779257039</v>
      </c>
      <c r="O31" s="136">
        <f>IF(SER_hh_tes_in!O31=0,"",SER_hh_tes_in!O31/SER_hh_fec_in!O31)</f>
        <v>0.59334936667066951</v>
      </c>
      <c r="P31" s="136">
        <f>IF(SER_hh_tes_in!P31=0,"",SER_hh_tes_in!P31/SER_hh_fec_in!P31)</f>
        <v>0.59375092060509205</v>
      </c>
      <c r="Q31" s="136">
        <f>IF(SER_hh_tes_in!Q31=0,"",SER_hh_tes_in!Q31/SER_hh_fec_in!Q31)</f>
        <v>0.59538533892299716</v>
      </c>
      <c r="R31" s="136">
        <f>IF(SER_hh_tes_in!R31=0,"",SER_hh_tes_in!R31/SER_hh_fec_in!R31)</f>
        <v>0.59967854886182936</v>
      </c>
      <c r="S31" s="136">
        <f>IF(SER_hh_tes_in!S31=0,"",SER_hh_tes_in!S31/SER_hh_fec_in!S31)</f>
        <v>0.60573461206352652</v>
      </c>
      <c r="T31" s="136">
        <f>IF(SER_hh_tes_in!T31=0,"",SER_hh_tes_in!T31/SER_hh_fec_in!T31)</f>
        <v>0.6123793008181575</v>
      </c>
      <c r="U31" s="136">
        <f>IF(SER_hh_tes_in!U31=0,"",SER_hh_tes_in!U31/SER_hh_fec_in!U31)</f>
        <v>0.61843838741580692</v>
      </c>
      <c r="V31" s="136">
        <f>IF(SER_hh_tes_in!V31=0,"",SER_hh_tes_in!V31/SER_hh_fec_in!V31)</f>
        <v>0.62273764414655153</v>
      </c>
      <c r="W31" s="136">
        <f>IF(SER_hh_tes_in!W31=0,"",SER_hh_tes_in!W31/SER_hh_fec_in!W31)</f>
        <v>0.62480389957312055</v>
      </c>
      <c r="X31" s="136">
        <f>IF(SER_hh_tes_in!X31=0,"",SER_hh_tes_in!X31/SER_hh_fec_in!X31)</f>
        <v>0.62521699733033198</v>
      </c>
      <c r="Y31" s="136">
        <f>IF(SER_hh_tes_in!Y31=0,"",SER_hh_tes_in!Y31/SER_hh_fec_in!Y31)</f>
        <v>0.62525830710605312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0.77220211991136978</v>
      </c>
      <c r="D33" s="149">
        <f>IF(SER_hh_tes_in!D33=0,"",SER_hh_tes_in!D33/SER_hh_fec_in!D33)</f>
        <v>0.77328255099099985</v>
      </c>
      <c r="E33" s="149">
        <f>IF(SER_hh_tes_in!E33=0,"",SER_hh_tes_in!E33/SER_hh_fec_in!E33)</f>
        <v>0.77441392464597114</v>
      </c>
      <c r="F33" s="149">
        <f>IF(SER_hh_tes_in!F33=0,"",SER_hh_tes_in!F33/SER_hh_fec_in!F33)</f>
        <v>0.7755522450157617</v>
      </c>
      <c r="G33" s="149">
        <f>IF(SER_hh_tes_in!G33=0,"",SER_hh_tes_in!G33/SER_hh_fec_in!G33)</f>
        <v>0.77673748050104807</v>
      </c>
      <c r="H33" s="149">
        <f>IF(SER_hh_tes_in!H33=0,"",SER_hh_tes_in!H33/SER_hh_fec_in!H33)</f>
        <v>0.77796473947841382</v>
      </c>
      <c r="I33" s="149">
        <f>IF(SER_hh_tes_in!I33=0,"",SER_hh_tes_in!I33/SER_hh_fec_in!I33)</f>
        <v>0.77924387016295316</v>
      </c>
      <c r="J33" s="149">
        <f>IF(SER_hh_tes_in!J33=0,"",SER_hh_tes_in!J33/SER_hh_fec_in!J33)</f>
        <v>0.78061521721580163</v>
      </c>
      <c r="K33" s="149">
        <f>IF(SER_hh_tes_in!K33=0,"",SER_hh_tes_in!K33/SER_hh_fec_in!K33)</f>
        <v>0.78211308421083225</v>
      </c>
      <c r="L33" s="149">
        <f>IF(SER_hh_tes_in!L33=0,"",SER_hh_tes_in!L33/SER_hh_fec_in!L33)</f>
        <v>0.78374664876043099</v>
      </c>
      <c r="M33" s="149">
        <f>IF(SER_hh_tes_in!M33=0,"",SER_hh_tes_in!M33/SER_hh_fec_in!M33)</f>
        <v>0.78608228508508171</v>
      </c>
      <c r="N33" s="149">
        <f>IF(SER_hh_tes_in!N33=0,"",SER_hh_tes_in!N33/SER_hh_fec_in!N33)</f>
        <v>0.78928123454229338</v>
      </c>
      <c r="O33" s="149">
        <f>IF(SER_hh_tes_in!O33=0,"",SER_hh_tes_in!O33/SER_hh_fec_in!O33)</f>
        <v>0.79372585467795631</v>
      </c>
      <c r="P33" s="149">
        <f>IF(SER_hh_tes_in!P33=0,"",SER_hh_tes_in!P33/SER_hh_fec_in!P33)</f>
        <v>0.79960368011108429</v>
      </c>
      <c r="Q33" s="149">
        <f>IF(SER_hh_tes_in!Q33=0,"",SER_hh_tes_in!Q33/SER_hh_fec_in!Q33)</f>
        <v>0.80720964355189695</v>
      </c>
      <c r="R33" s="149">
        <f>IF(SER_hh_tes_in!R33=0,"",SER_hh_tes_in!R33/SER_hh_fec_in!R33)</f>
        <v>0.81755954133311071</v>
      </c>
      <c r="S33" s="149">
        <f>IF(SER_hh_tes_in!S33=0,"",SER_hh_tes_in!S33/SER_hh_fec_in!S33)</f>
        <v>0.83051064208410563</v>
      </c>
      <c r="T33" s="149">
        <f>IF(SER_hh_tes_in!T33=0,"",SER_hh_tes_in!T33/SER_hh_fec_in!T33)</f>
        <v>0.84445321324007283</v>
      </c>
      <c r="U33" s="149">
        <f>IF(SER_hh_tes_in!U33=0,"",SER_hh_tes_in!U33/SER_hh_fec_in!U33)</f>
        <v>0.85777752223624126</v>
      </c>
      <c r="V33" s="149">
        <f>IF(SER_hh_tes_in!V33=0,"",SER_hh_tes_in!V33/SER_hh_fec_in!V33)</f>
        <v>0.86887383650782157</v>
      </c>
      <c r="W33" s="149">
        <f>IF(SER_hh_tes_in!W33=0,"",SER_hh_tes_in!W33/SER_hh_fec_in!W33)</f>
        <v>0.87718286150059122</v>
      </c>
      <c r="X33" s="149">
        <f>IF(SER_hh_tes_in!X33=0,"",SER_hh_tes_in!X33/SER_hh_fec_in!X33)</f>
        <v>0.88487911687061793</v>
      </c>
      <c r="Y33" s="149">
        <f>IF(SER_hh_tes_in!Y33=0,"",SER_hh_tes_in!Y33/SER_hh_fec_in!Y33)</f>
        <v>0.89170412399657872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358.67567926481468</v>
      </c>
      <c r="D3" s="125">
        <f t="shared" si="0"/>
        <v>385.49903398117738</v>
      </c>
      <c r="E3" s="125">
        <f t="shared" si="0"/>
        <v>498.68224346445822</v>
      </c>
      <c r="F3" s="125">
        <f t="shared" si="0"/>
        <v>407.63026099885985</v>
      </c>
      <c r="G3" s="125">
        <f t="shared" si="0"/>
        <v>412.17406486613072</v>
      </c>
      <c r="H3" s="125">
        <f t="shared" si="0"/>
        <v>362.95093913364639</v>
      </c>
      <c r="I3" s="125">
        <f t="shared" si="0"/>
        <v>447.88488653646465</v>
      </c>
      <c r="J3" s="125">
        <f t="shared" si="0"/>
        <v>444.91340596428415</v>
      </c>
      <c r="K3" s="125">
        <f t="shared" si="0"/>
        <v>273.69847857397588</v>
      </c>
      <c r="L3" s="125">
        <f t="shared" si="0"/>
        <v>330.255494298305</v>
      </c>
      <c r="M3" s="125">
        <f t="shared" si="0"/>
        <v>257.44553548200031</v>
      </c>
      <c r="N3" s="125">
        <f t="shared" si="0"/>
        <v>215.41028264808423</v>
      </c>
      <c r="O3" s="125">
        <f t="shared" si="0"/>
        <v>219.89437396210337</v>
      </c>
      <c r="P3" s="125">
        <f t="shared" si="0"/>
        <v>325.29031569760332</v>
      </c>
      <c r="Q3" s="125">
        <f t="shared" si="0"/>
        <v>53.32672340876708</v>
      </c>
      <c r="R3" s="125">
        <f t="shared" ref="R3:W3" si="1">SUM(R4,R16,R19,R29)</f>
        <v>151.18066719927361</v>
      </c>
      <c r="S3" s="125">
        <f t="shared" si="1"/>
        <v>184.17484041743043</v>
      </c>
      <c r="T3" s="125">
        <f t="shared" si="1"/>
        <v>210.50975637229499</v>
      </c>
      <c r="U3" s="125">
        <f t="shared" si="1"/>
        <v>215.17028356803047</v>
      </c>
      <c r="V3" s="125">
        <f t="shared" si="1"/>
        <v>187.07632699361173</v>
      </c>
      <c r="W3" s="125">
        <f t="shared" si="1"/>
        <v>140.87017070494005</v>
      </c>
      <c r="X3" s="125">
        <f t="shared" ref="X3:Y3" si="2">SUM(X4,X16,X19,X29)</f>
        <v>143.54963550496316</v>
      </c>
      <c r="Y3" s="125">
        <f t="shared" si="2"/>
        <v>121.07764849788836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284.89455399480465</v>
      </c>
      <c r="D4" s="130">
        <f t="shared" si="3"/>
        <v>254.22353356351761</v>
      </c>
      <c r="E4" s="130">
        <f t="shared" si="3"/>
        <v>397.38627038575947</v>
      </c>
      <c r="F4" s="130">
        <f t="shared" si="3"/>
        <v>348.04320762398356</v>
      </c>
      <c r="G4" s="130">
        <f t="shared" si="3"/>
        <v>379.91459294794481</v>
      </c>
      <c r="H4" s="130">
        <f t="shared" si="3"/>
        <v>334.51488405810233</v>
      </c>
      <c r="I4" s="130">
        <f t="shared" si="3"/>
        <v>380.31950593901746</v>
      </c>
      <c r="J4" s="130">
        <f t="shared" si="3"/>
        <v>359.64197352993023</v>
      </c>
      <c r="K4" s="130">
        <f t="shared" si="3"/>
        <v>211.59447903022726</v>
      </c>
      <c r="L4" s="130">
        <f t="shared" si="3"/>
        <v>263.96871543403063</v>
      </c>
      <c r="M4" s="130">
        <f t="shared" si="3"/>
        <v>202.87469750979736</v>
      </c>
      <c r="N4" s="130">
        <f t="shared" si="3"/>
        <v>175.85632690050096</v>
      </c>
      <c r="O4" s="130">
        <f t="shared" si="3"/>
        <v>171.38582794999795</v>
      </c>
      <c r="P4" s="130">
        <f t="shared" si="3"/>
        <v>242.62138362538667</v>
      </c>
      <c r="Q4" s="130">
        <f t="shared" si="3"/>
        <v>34.273460396019829</v>
      </c>
      <c r="R4" s="130">
        <f t="shared" ref="R4:W4" si="4">SUM(R5:R15)</f>
        <v>114.11279097882056</v>
      </c>
      <c r="S4" s="130">
        <f t="shared" si="4"/>
        <v>139.71798864445293</v>
      </c>
      <c r="T4" s="130">
        <f t="shared" si="4"/>
        <v>164.84764891993683</v>
      </c>
      <c r="U4" s="130">
        <f t="shared" si="4"/>
        <v>152.76918692006319</v>
      </c>
      <c r="V4" s="130">
        <f t="shared" si="4"/>
        <v>132.04052312463145</v>
      </c>
      <c r="W4" s="130">
        <f t="shared" si="4"/>
        <v>103.10092055400041</v>
      </c>
      <c r="X4" s="130">
        <f t="shared" ref="X4:Y4" si="5">SUM(X5:X15)</f>
        <v>101.19407711694718</v>
      </c>
      <c r="Y4" s="130">
        <f t="shared" si="5"/>
        <v>81.586659641239777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8.7810634020345866</v>
      </c>
      <c r="G5" s="132">
        <v>20.67350426987451</v>
      </c>
      <c r="H5" s="132">
        <v>19.544631629876946</v>
      </c>
      <c r="I5" s="132">
        <v>12.842242910691045</v>
      </c>
      <c r="J5" s="132">
        <v>4.8905311283155219</v>
      </c>
      <c r="K5" s="132">
        <v>0</v>
      </c>
      <c r="L5" s="132">
        <v>0</v>
      </c>
      <c r="M5" s="132">
        <v>0</v>
      </c>
      <c r="N5" s="132">
        <v>0</v>
      </c>
      <c r="O5" s="132">
        <v>0.87855839980537653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1.1191123941859373</v>
      </c>
      <c r="V5" s="132">
        <v>2.1451061552264878</v>
      </c>
      <c r="W5" s="132">
        <v>2.7766291036484607</v>
      </c>
      <c r="X5" s="132">
        <v>1.9154422139786125</v>
      </c>
      <c r="Y5" s="132">
        <v>0.93402032746251384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175.83093264035318</v>
      </c>
      <c r="D7" s="132">
        <v>48.809306342585593</v>
      </c>
      <c r="E7" s="132">
        <v>80.244799002625015</v>
      </c>
      <c r="F7" s="132">
        <v>97.229209735402947</v>
      </c>
      <c r="G7" s="132">
        <v>114.38311264923171</v>
      </c>
      <c r="H7" s="132">
        <v>171.63944178627827</v>
      </c>
      <c r="I7" s="132">
        <v>149.28996646891417</v>
      </c>
      <c r="J7" s="132">
        <v>179.71323672271723</v>
      </c>
      <c r="K7" s="132">
        <v>84.428497200865863</v>
      </c>
      <c r="L7" s="132">
        <v>54.124976931772622</v>
      </c>
      <c r="M7" s="132">
        <v>73.856305527484565</v>
      </c>
      <c r="N7" s="132">
        <v>67.873478947945131</v>
      </c>
      <c r="O7" s="132">
        <v>82.465527280261924</v>
      </c>
      <c r="P7" s="132">
        <v>113.421106157444</v>
      </c>
      <c r="Q7" s="132">
        <v>7.1843401011157999</v>
      </c>
      <c r="R7" s="132">
        <v>0</v>
      </c>
      <c r="S7" s="132">
        <v>19.460433633750526</v>
      </c>
      <c r="T7" s="132">
        <v>32.944315167373603</v>
      </c>
      <c r="U7" s="132">
        <v>47.186759635081749</v>
      </c>
      <c r="V7" s="132">
        <v>62.888668312466052</v>
      </c>
      <c r="W7" s="132">
        <v>30.758278509188731</v>
      </c>
      <c r="X7" s="132">
        <v>56.907889407582701</v>
      </c>
      <c r="Y7" s="132">
        <v>40.629451693196373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7.744522891875022E-2</v>
      </c>
      <c r="D8" s="132">
        <v>0.17385114855382089</v>
      </c>
      <c r="E8" s="132">
        <v>0.31588910505527007</v>
      </c>
      <c r="F8" s="132">
        <v>0.43750336594159422</v>
      </c>
      <c r="G8" s="132">
        <v>0.86503263015275633</v>
      </c>
      <c r="H8" s="132">
        <v>0.82643129860734732</v>
      </c>
      <c r="I8" s="132">
        <v>0.69837519535543879</v>
      </c>
      <c r="J8" s="132">
        <v>0.41688789135536652</v>
      </c>
      <c r="K8" s="132">
        <v>0.32804554600200392</v>
      </c>
      <c r="L8" s="132">
        <v>0.79378125696516044</v>
      </c>
      <c r="M8" s="132">
        <v>2.2375735400146781</v>
      </c>
      <c r="N8" s="132">
        <v>1.2441908862116922</v>
      </c>
      <c r="O8" s="132">
        <v>1.5071004555418661</v>
      </c>
      <c r="P8" s="132">
        <v>3.2099312245646825</v>
      </c>
      <c r="Q8" s="132">
        <v>0.79814031376840444</v>
      </c>
      <c r="R8" s="132">
        <v>1.4192626206099823</v>
      </c>
      <c r="S8" s="132">
        <v>0.85720330573332659</v>
      </c>
      <c r="T8" s="132">
        <v>0.69038147640138958</v>
      </c>
      <c r="U8" s="132">
        <v>0.54322014997195511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81.774810022992639</v>
      </c>
      <c r="D9" s="132">
        <v>169.58010063556046</v>
      </c>
      <c r="E9" s="132">
        <v>297.19202341260535</v>
      </c>
      <c r="F9" s="132">
        <v>241.59543112060442</v>
      </c>
      <c r="G9" s="132">
        <v>243.99294339868584</v>
      </c>
      <c r="H9" s="132">
        <v>142.50437934333971</v>
      </c>
      <c r="I9" s="132">
        <v>207.91110601904617</v>
      </c>
      <c r="J9" s="132">
        <v>160.33368344857823</v>
      </c>
      <c r="K9" s="132">
        <v>120.68932697842686</v>
      </c>
      <c r="L9" s="132">
        <v>207.05483056888031</v>
      </c>
      <c r="M9" s="132">
        <v>125.73312949875249</v>
      </c>
      <c r="N9" s="132">
        <v>102.73780882979702</v>
      </c>
      <c r="O9" s="132">
        <v>79.980290393283482</v>
      </c>
      <c r="P9" s="132">
        <v>118.46125353366088</v>
      </c>
      <c r="Q9" s="132">
        <v>25.460640456834124</v>
      </c>
      <c r="R9" s="132">
        <v>109.7928003132359</v>
      </c>
      <c r="S9" s="132">
        <v>116.70618513027138</v>
      </c>
      <c r="T9" s="132">
        <v>129.36118170336064</v>
      </c>
      <c r="U9" s="132">
        <v>101.95816851735307</v>
      </c>
      <c r="V9" s="132">
        <v>63.359766958846642</v>
      </c>
      <c r="W9" s="132">
        <v>65.270455413331348</v>
      </c>
      <c r="X9" s="132">
        <v>33.980111701230435</v>
      </c>
      <c r="Y9" s="132">
        <v>35.389574350109918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27.211366102540051</v>
      </c>
      <c r="D10" s="132">
        <v>35.66027543681772</v>
      </c>
      <c r="E10" s="132">
        <v>19.633558865473837</v>
      </c>
      <c r="F10" s="132">
        <v>0</v>
      </c>
      <c r="G10" s="132">
        <v>0</v>
      </c>
      <c r="H10" s="132">
        <v>0</v>
      </c>
      <c r="I10" s="132">
        <v>9.5778153450106078</v>
      </c>
      <c r="J10" s="132">
        <v>14.287634338963885</v>
      </c>
      <c r="K10" s="132">
        <v>6.1486093049325419</v>
      </c>
      <c r="L10" s="132">
        <v>1.9951266764125482</v>
      </c>
      <c r="M10" s="132">
        <v>1.0476889435456338</v>
      </c>
      <c r="N10" s="132">
        <v>4.0008482365471023</v>
      </c>
      <c r="O10" s="132">
        <v>6.5543514211053191</v>
      </c>
      <c r="P10" s="132">
        <v>7.5290927097170952</v>
      </c>
      <c r="Q10" s="132">
        <v>0.83033952430149993</v>
      </c>
      <c r="R10" s="132">
        <v>2.9007280449746635</v>
      </c>
      <c r="S10" s="132">
        <v>2.6941665746977126</v>
      </c>
      <c r="T10" s="132">
        <v>1.8517705728012019</v>
      </c>
      <c r="U10" s="132">
        <v>1.9619262234704802</v>
      </c>
      <c r="V10" s="132">
        <v>3.6469816980922714</v>
      </c>
      <c r="W10" s="132">
        <v>4.2955575278318552</v>
      </c>
      <c r="X10" s="132">
        <v>8.3906337941554305</v>
      </c>
      <c r="Y10" s="132">
        <v>4.6336132704709732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0.33566864989086154</v>
      </c>
      <c r="D16" s="130">
        <f t="shared" si="6"/>
        <v>0.29476276489973641</v>
      </c>
      <c r="E16" s="130">
        <f t="shared" si="6"/>
        <v>1.152199131114291</v>
      </c>
      <c r="F16" s="130">
        <f t="shared" si="6"/>
        <v>0.27591702324194084</v>
      </c>
      <c r="G16" s="130">
        <f t="shared" si="6"/>
        <v>0.34059284235898707</v>
      </c>
      <c r="H16" s="130">
        <f t="shared" si="6"/>
        <v>0.91307659469217828</v>
      </c>
      <c r="I16" s="130">
        <f t="shared" si="6"/>
        <v>0.56990530255704064</v>
      </c>
      <c r="J16" s="130">
        <f t="shared" si="6"/>
        <v>0.73253681650950864</v>
      </c>
      <c r="K16" s="130">
        <f t="shared" si="6"/>
        <v>0.34108750374804953</v>
      </c>
      <c r="L16" s="130">
        <f t="shared" si="6"/>
        <v>0.84668150938647679</v>
      </c>
      <c r="M16" s="130">
        <f t="shared" si="6"/>
        <v>1.5924345199133159</v>
      </c>
      <c r="N16" s="130">
        <f t="shared" si="6"/>
        <v>1.9899121253204719</v>
      </c>
      <c r="O16" s="130">
        <f t="shared" si="6"/>
        <v>1.3361851262441491</v>
      </c>
      <c r="P16" s="130">
        <f t="shared" si="6"/>
        <v>1.536680075236861</v>
      </c>
      <c r="Q16" s="130">
        <f t="shared" si="6"/>
        <v>0.58017753857346643</v>
      </c>
      <c r="R16" s="130">
        <f t="shared" ref="R16:W16" si="7">SUM(R17:R18)</f>
        <v>1.3100025301472031</v>
      </c>
      <c r="S16" s="130">
        <f t="shared" si="7"/>
        <v>2.1473644507630509</v>
      </c>
      <c r="T16" s="130">
        <f t="shared" si="7"/>
        <v>2.056978047038843</v>
      </c>
      <c r="U16" s="130">
        <f t="shared" si="7"/>
        <v>2.2888125335191578</v>
      </c>
      <c r="V16" s="130">
        <f t="shared" si="7"/>
        <v>1.8325280559066857</v>
      </c>
      <c r="W16" s="130">
        <f t="shared" si="7"/>
        <v>1.2638334873246857</v>
      </c>
      <c r="X16" s="130">
        <f t="shared" ref="X16:Y16" si="8">SUM(X17:X18)</f>
        <v>2.2171387284159905</v>
      </c>
      <c r="Y16" s="130">
        <f t="shared" si="8"/>
        <v>1.5617561266658331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0.33566864989086154</v>
      </c>
      <c r="D17" s="132">
        <v>0.29476276489973641</v>
      </c>
      <c r="E17" s="132">
        <v>1.152199131114291</v>
      </c>
      <c r="F17" s="132">
        <v>0.27591702324194084</v>
      </c>
      <c r="G17" s="132">
        <v>0.34059284235898707</v>
      </c>
      <c r="H17" s="132">
        <v>0.91307659469217828</v>
      </c>
      <c r="I17" s="132">
        <v>0.56990530255704064</v>
      </c>
      <c r="J17" s="132">
        <v>0.73253681650950864</v>
      </c>
      <c r="K17" s="132">
        <v>0.34108750374804953</v>
      </c>
      <c r="L17" s="132">
        <v>0.84668150938647679</v>
      </c>
      <c r="M17" s="132">
        <v>1.5924345199133159</v>
      </c>
      <c r="N17" s="132">
        <v>1.9899121253204719</v>
      </c>
      <c r="O17" s="132">
        <v>1.3361851262441491</v>
      </c>
      <c r="P17" s="132">
        <v>1.536680075236861</v>
      </c>
      <c r="Q17" s="132">
        <v>0.58017753857346643</v>
      </c>
      <c r="R17" s="132">
        <v>1.3100025301472031</v>
      </c>
      <c r="S17" s="132">
        <v>2.1473644507630509</v>
      </c>
      <c r="T17" s="132">
        <v>2.056978047038843</v>
      </c>
      <c r="U17" s="132">
        <v>2.2888125335191578</v>
      </c>
      <c r="V17" s="132">
        <v>1.8325280559066857</v>
      </c>
      <c r="W17" s="132">
        <v>1.2638334873246857</v>
      </c>
      <c r="X17" s="132">
        <v>2.2171387284159905</v>
      </c>
      <c r="Y17" s="132">
        <v>1.5617561266658331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41.079742012058944</v>
      </c>
      <c r="D19" s="130">
        <f t="shared" si="9"/>
        <v>41.874611554127199</v>
      </c>
      <c r="E19" s="130">
        <f t="shared" si="9"/>
        <v>40.312585952462094</v>
      </c>
      <c r="F19" s="130">
        <f t="shared" si="9"/>
        <v>32.000343030136193</v>
      </c>
      <c r="G19" s="130">
        <f t="shared" si="9"/>
        <v>27.549390443113957</v>
      </c>
      <c r="H19" s="130">
        <f t="shared" si="9"/>
        <v>27.522978480851847</v>
      </c>
      <c r="I19" s="130">
        <f t="shared" si="9"/>
        <v>32.923840371170513</v>
      </c>
      <c r="J19" s="130">
        <f t="shared" si="9"/>
        <v>32.431646122492687</v>
      </c>
      <c r="K19" s="130">
        <f t="shared" si="9"/>
        <v>23.050144682965197</v>
      </c>
      <c r="L19" s="130">
        <f t="shared" si="9"/>
        <v>25.538920426882328</v>
      </c>
      <c r="M19" s="130">
        <f t="shared" si="9"/>
        <v>30.245541971049825</v>
      </c>
      <c r="N19" s="130">
        <f t="shared" si="9"/>
        <v>25.545722965333272</v>
      </c>
      <c r="O19" s="130">
        <f t="shared" si="9"/>
        <v>24.069696092008154</v>
      </c>
      <c r="P19" s="130">
        <f t="shared" si="9"/>
        <v>35.602830025257511</v>
      </c>
      <c r="Q19" s="130">
        <f t="shared" si="9"/>
        <v>6.6970879446673068</v>
      </c>
      <c r="R19" s="130">
        <f t="shared" ref="R19:W19" si="10">SUM(R20:R27)</f>
        <v>14.419168059453677</v>
      </c>
      <c r="S19" s="130">
        <f t="shared" si="10"/>
        <v>15.000387994752941</v>
      </c>
      <c r="T19" s="130">
        <f t="shared" si="10"/>
        <v>13.375465261577181</v>
      </c>
      <c r="U19" s="130">
        <f t="shared" si="10"/>
        <v>18.040028964256571</v>
      </c>
      <c r="V19" s="130">
        <f t="shared" si="10"/>
        <v>20.804141940527987</v>
      </c>
      <c r="W19" s="130">
        <f t="shared" si="10"/>
        <v>12.922933174809181</v>
      </c>
      <c r="X19" s="130">
        <f t="shared" ref="X19:Y19" si="11">SUM(X20:X27)</f>
        <v>23.023098622693471</v>
      </c>
      <c r="Y19" s="130">
        <f t="shared" si="11"/>
        <v>19.602355296112815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3.7725869668875212</v>
      </c>
      <c r="D21" s="132">
        <v>4.8567256189815673</v>
      </c>
      <c r="E21" s="132">
        <v>4.1104635988884919</v>
      </c>
      <c r="F21" s="132">
        <v>3.0704574103991438</v>
      </c>
      <c r="G21" s="132">
        <v>2.5753720260546209</v>
      </c>
      <c r="H21" s="132">
        <v>3.2699489430418796</v>
      </c>
      <c r="I21" s="132">
        <v>3.3856911852945899</v>
      </c>
      <c r="J21" s="132">
        <v>2.6137952942120597</v>
      </c>
      <c r="K21" s="132">
        <v>0.68767235551143613</v>
      </c>
      <c r="L21" s="132">
        <v>0.40051713783185539</v>
      </c>
      <c r="M21" s="132">
        <v>0</v>
      </c>
      <c r="N21" s="132">
        <v>1.9399670767985482</v>
      </c>
      <c r="O21" s="132">
        <v>1.2477696834498482</v>
      </c>
      <c r="P21" s="132">
        <v>1.4362104190837663</v>
      </c>
      <c r="Q21" s="132">
        <v>0.42052527313506144</v>
      </c>
      <c r="R21" s="132">
        <v>1.0414185836117671</v>
      </c>
      <c r="S21" s="132">
        <v>0.95966679301333546</v>
      </c>
      <c r="T21" s="132">
        <v>0</v>
      </c>
      <c r="U21" s="132">
        <v>0</v>
      </c>
      <c r="V21" s="132">
        <v>0</v>
      </c>
      <c r="W21" s="132">
        <v>0</v>
      </c>
      <c r="X21" s="132">
        <v>0.15584137213341145</v>
      </c>
      <c r="Y21" s="132">
        <v>0.77547265934087095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21.97257346193323</v>
      </c>
      <c r="D22" s="132">
        <v>20.477014750095211</v>
      </c>
      <c r="E22" s="132">
        <v>20.459317650963818</v>
      </c>
      <c r="F22" s="132">
        <v>17.686810248194362</v>
      </c>
      <c r="G22" s="132">
        <v>16.279836108242442</v>
      </c>
      <c r="H22" s="132">
        <v>14.320145384653385</v>
      </c>
      <c r="I22" s="132">
        <v>14.102386934106923</v>
      </c>
      <c r="J22" s="132">
        <v>14.701232143795773</v>
      </c>
      <c r="K22" s="132">
        <v>8.7401070985672789</v>
      </c>
      <c r="L22" s="132">
        <v>12.290217332602461</v>
      </c>
      <c r="M22" s="132">
        <v>14.487682472344355</v>
      </c>
      <c r="N22" s="132">
        <v>16.193663967129616</v>
      </c>
      <c r="O22" s="132">
        <v>15.36005633927117</v>
      </c>
      <c r="P22" s="132">
        <v>28.508332529775991</v>
      </c>
      <c r="Q22" s="132">
        <v>3.4552341905721233</v>
      </c>
      <c r="R22" s="132">
        <v>0</v>
      </c>
      <c r="S22" s="132">
        <v>4.5086817910126493</v>
      </c>
      <c r="T22" s="132">
        <v>3.3584152519199377</v>
      </c>
      <c r="U22" s="132">
        <v>6.6588942744774791</v>
      </c>
      <c r="V22" s="132">
        <v>10.410399150338201</v>
      </c>
      <c r="W22" s="132">
        <v>2.5132985339365477</v>
      </c>
      <c r="X22" s="132">
        <v>8.9235014953450662</v>
      </c>
      <c r="Y22" s="132">
        <v>8.2136207786879059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14.668096204883952</v>
      </c>
      <c r="D23" s="132">
        <v>15.637122229367174</v>
      </c>
      <c r="E23" s="132">
        <v>14.804135646833794</v>
      </c>
      <c r="F23" s="132">
        <v>10.258792255949018</v>
      </c>
      <c r="G23" s="132">
        <v>8.2254839385316689</v>
      </c>
      <c r="H23" s="132">
        <v>9.3481816415582895</v>
      </c>
      <c r="I23" s="132">
        <v>14.489590104474592</v>
      </c>
      <c r="J23" s="132">
        <v>14.40965101746154</v>
      </c>
      <c r="K23" s="132">
        <v>13.270684089336809</v>
      </c>
      <c r="L23" s="132">
        <v>12.650967192409345</v>
      </c>
      <c r="M23" s="132">
        <v>15.757859498705471</v>
      </c>
      <c r="N23" s="132">
        <v>7.3786079333770891</v>
      </c>
      <c r="O23" s="132">
        <v>7.3026941479670775</v>
      </c>
      <c r="P23" s="132">
        <v>5.6582870763977517</v>
      </c>
      <c r="Q23" s="132">
        <v>2.8213284809601222</v>
      </c>
      <c r="R23" s="132">
        <v>13.284337175205536</v>
      </c>
      <c r="S23" s="132">
        <v>9.2775388959174396</v>
      </c>
      <c r="T23" s="132">
        <v>9.7181197902854315</v>
      </c>
      <c r="U23" s="132">
        <v>11.025526989964229</v>
      </c>
      <c r="V23" s="132">
        <v>9.8893439551353932</v>
      </c>
      <c r="W23" s="132">
        <v>9.9143550087007917</v>
      </c>
      <c r="X23" s="132">
        <v>13.212458142859937</v>
      </c>
      <c r="Y23" s="132">
        <v>10.190750936962303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0.66648537835423582</v>
      </c>
      <c r="D24" s="132">
        <v>0.9037489556832482</v>
      </c>
      <c r="E24" s="132">
        <v>0.93866905577599125</v>
      </c>
      <c r="F24" s="132">
        <v>0.98428311559366921</v>
      </c>
      <c r="G24" s="132">
        <v>0.46869837028522537</v>
      </c>
      <c r="H24" s="132">
        <v>0.58470251159829301</v>
      </c>
      <c r="I24" s="132">
        <v>0.94617214729440779</v>
      </c>
      <c r="J24" s="132">
        <v>0.70696766702331304</v>
      </c>
      <c r="K24" s="132">
        <v>0.35168113954967101</v>
      </c>
      <c r="L24" s="132">
        <v>0.19721876403866501</v>
      </c>
      <c r="M24" s="132">
        <v>0</v>
      </c>
      <c r="N24" s="132">
        <v>3.3483988028018087E-2</v>
      </c>
      <c r="O24" s="132">
        <v>0.15917592132005978</v>
      </c>
      <c r="P24" s="132">
        <v>0</v>
      </c>
      <c r="Q24" s="132">
        <v>0</v>
      </c>
      <c r="R24" s="132">
        <v>9.3412300636374013E-2</v>
      </c>
      <c r="S24" s="132">
        <v>0.25450051480951835</v>
      </c>
      <c r="T24" s="132">
        <v>0.29893021937181197</v>
      </c>
      <c r="U24" s="132">
        <v>0.3556076998148614</v>
      </c>
      <c r="V24" s="132">
        <v>0.50439883505439331</v>
      </c>
      <c r="W24" s="132">
        <v>0.49527963217184157</v>
      </c>
      <c r="X24" s="132">
        <v>0.73129761235505641</v>
      </c>
      <c r="Y24" s="132">
        <v>0.42251092112173777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32.365714608060244</v>
      </c>
      <c r="D29" s="130">
        <f t="shared" si="12"/>
        <v>89.106126098632842</v>
      </c>
      <c r="E29" s="130">
        <f t="shared" si="12"/>
        <v>59.831187995122406</v>
      </c>
      <c r="F29" s="130">
        <f t="shared" si="12"/>
        <v>27.310793321498146</v>
      </c>
      <c r="G29" s="130">
        <f t="shared" si="12"/>
        <v>4.3694886327129687</v>
      </c>
      <c r="H29" s="130">
        <f t="shared" si="12"/>
        <v>0</v>
      </c>
      <c r="I29" s="130">
        <f t="shared" si="12"/>
        <v>34.0716349237196</v>
      </c>
      <c r="J29" s="130">
        <f t="shared" si="12"/>
        <v>52.107249495351695</v>
      </c>
      <c r="K29" s="130">
        <f t="shared" si="12"/>
        <v>38.712767357035396</v>
      </c>
      <c r="L29" s="130">
        <f t="shared" si="12"/>
        <v>39.90117692800554</v>
      </c>
      <c r="M29" s="130">
        <f t="shared" si="12"/>
        <v>22.732861481239819</v>
      </c>
      <c r="N29" s="130">
        <f t="shared" si="12"/>
        <v>12.018320656929506</v>
      </c>
      <c r="O29" s="130">
        <f t="shared" si="12"/>
        <v>23.102664793853144</v>
      </c>
      <c r="P29" s="130">
        <f t="shared" si="12"/>
        <v>45.529421971722257</v>
      </c>
      <c r="Q29" s="130">
        <f t="shared" si="12"/>
        <v>11.77599752950648</v>
      </c>
      <c r="R29" s="130">
        <f t="shared" ref="R29:W29" si="13">SUM(R30:R33)</f>
        <v>21.338705630852189</v>
      </c>
      <c r="S29" s="130">
        <f t="shared" si="13"/>
        <v>27.309099327461489</v>
      </c>
      <c r="T29" s="130">
        <f t="shared" si="13"/>
        <v>30.229664143742138</v>
      </c>
      <c r="U29" s="130">
        <f t="shared" si="13"/>
        <v>42.072255150191538</v>
      </c>
      <c r="V29" s="130">
        <f t="shared" si="13"/>
        <v>32.399133872545605</v>
      </c>
      <c r="W29" s="130">
        <f t="shared" si="13"/>
        <v>23.582483488805778</v>
      </c>
      <c r="X29" s="130">
        <f t="shared" ref="X29:Y29" si="14">SUM(X30:X33)</f>
        <v>17.115321036906533</v>
      </c>
      <c r="Y29" s="130">
        <f t="shared" si="14"/>
        <v>18.326877433869932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6.5818869292148605</v>
      </c>
      <c r="D30" s="132">
        <v>62.097176342637617</v>
      </c>
      <c r="E30" s="132">
        <v>40.530580966315206</v>
      </c>
      <c r="F30" s="132">
        <v>19.019874178446901</v>
      </c>
      <c r="G30" s="132">
        <v>4.3694886327129687</v>
      </c>
      <c r="H30" s="132">
        <v>0</v>
      </c>
      <c r="I30" s="132">
        <v>10.803289535702248</v>
      </c>
      <c r="J30" s="132">
        <v>21.720946801814694</v>
      </c>
      <c r="K30" s="132">
        <v>8.1806818618237749</v>
      </c>
      <c r="L30" s="132">
        <v>11.274657019909217</v>
      </c>
      <c r="M30" s="132">
        <v>0</v>
      </c>
      <c r="N30" s="132">
        <v>2.383013677494553</v>
      </c>
      <c r="O30" s="132">
        <v>5.6722792317874458</v>
      </c>
      <c r="P30" s="132">
        <v>18.000144516099379</v>
      </c>
      <c r="Q30" s="132">
        <v>4.9499852169658887</v>
      </c>
      <c r="R30" s="132">
        <v>8.0106626863678638</v>
      </c>
      <c r="S30" s="132">
        <v>10.107353435762255</v>
      </c>
      <c r="T30" s="132">
        <v>6.9049994981097127</v>
      </c>
      <c r="U30" s="132">
        <v>7.4826221817245093</v>
      </c>
      <c r="V30" s="132">
        <v>0.83179613826513155</v>
      </c>
      <c r="W30" s="132">
        <v>0</v>
      </c>
      <c r="X30" s="132">
        <v>0</v>
      </c>
      <c r="Y30" s="132">
        <v>5.5621587766067906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25.783827678845388</v>
      </c>
      <c r="D31" s="132">
        <v>27.008949755995218</v>
      </c>
      <c r="E31" s="132">
        <v>19.300607028807203</v>
      </c>
      <c r="F31" s="132">
        <v>8.2909191430512426</v>
      </c>
      <c r="G31" s="132">
        <v>0</v>
      </c>
      <c r="H31" s="132">
        <v>0</v>
      </c>
      <c r="I31" s="132">
        <v>23.268345388017352</v>
      </c>
      <c r="J31" s="132">
        <v>30.386302693537001</v>
      </c>
      <c r="K31" s="132">
        <v>30.532085495211621</v>
      </c>
      <c r="L31" s="132">
        <v>28.62651990809632</v>
      </c>
      <c r="M31" s="132">
        <v>22.732861481239819</v>
      </c>
      <c r="N31" s="132">
        <v>9.6353069794349526</v>
      </c>
      <c r="O31" s="132">
        <v>17.430385562065698</v>
      </c>
      <c r="P31" s="132">
        <v>27.529277455622875</v>
      </c>
      <c r="Q31" s="132">
        <v>6.8260123125405912</v>
      </c>
      <c r="R31" s="132">
        <v>13.328042944484325</v>
      </c>
      <c r="S31" s="132">
        <v>17.201745891699233</v>
      </c>
      <c r="T31" s="132">
        <v>23.324664645632424</v>
      </c>
      <c r="U31" s="132">
        <v>34.589632968467029</v>
      </c>
      <c r="V31" s="132">
        <v>31.567337734280475</v>
      </c>
      <c r="W31" s="132">
        <v>23.582483488805778</v>
      </c>
      <c r="X31" s="132">
        <v>17.115321036906533</v>
      </c>
      <c r="Y31" s="132">
        <v>12.764718657263142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196233.56456473301</v>
      </c>
      <c r="D3" s="125">
        <f>IF(SER_hh_fec_in!D3=0,0,11630*1000*SER_hh_fec_in!D3/SER_hh_num_in!D3)</f>
        <v>190141.01899953882</v>
      </c>
      <c r="E3" s="125">
        <f>IF(SER_hh_fec_in!E3=0,0,11630*1000*SER_hh_fec_in!E3/SER_hh_num_in!E3)</f>
        <v>212335.39555005514</v>
      </c>
      <c r="F3" s="125">
        <f>IF(SER_hh_fec_in!F3=0,0,11630*1000*SER_hh_fec_in!F3/SER_hh_num_in!F3)</f>
        <v>195899.40273249499</v>
      </c>
      <c r="G3" s="125">
        <f>IF(SER_hh_fec_in!G3=0,0,11630*1000*SER_hh_fec_in!G3/SER_hh_num_in!G3)</f>
        <v>193940.5915617781</v>
      </c>
      <c r="H3" s="125">
        <f>IF(SER_hh_fec_in!H3=0,0,11630*1000*SER_hh_fec_in!H3/SER_hh_num_in!H3)</f>
        <v>177117.40684158451</v>
      </c>
      <c r="I3" s="125">
        <f>IF(SER_hh_fec_in!I3=0,0,11630*1000*SER_hh_fec_in!I3/SER_hh_num_in!I3)</f>
        <v>170059.8282990843</v>
      </c>
      <c r="J3" s="125">
        <f>IF(SER_hh_fec_in!J3=0,0,11630*1000*SER_hh_fec_in!J3/SER_hh_num_in!J3)</f>
        <v>167676.16317757021</v>
      </c>
      <c r="K3" s="125">
        <f>IF(SER_hh_fec_in!K3=0,0,11630*1000*SER_hh_fec_in!K3/SER_hh_num_in!K3)</f>
        <v>176206.74326421905</v>
      </c>
      <c r="L3" s="125">
        <f>IF(SER_hh_fec_in!L3=0,0,11630*1000*SER_hh_fec_in!L3/SER_hh_num_in!L3)</f>
        <v>171132.62623640563</v>
      </c>
      <c r="M3" s="125">
        <f>IF(SER_hh_fec_in!M3=0,0,11630*1000*SER_hh_fec_in!M3/SER_hh_num_in!M3)</f>
        <v>133276.66313371033</v>
      </c>
      <c r="N3" s="125">
        <f>IF(SER_hh_fec_in!N3=0,0,11630*1000*SER_hh_fec_in!N3/SER_hh_num_in!N3)</f>
        <v>143061.8166868948</v>
      </c>
      <c r="O3" s="125">
        <f>IF(SER_hh_fec_in!O3=0,0,11630*1000*SER_hh_fec_in!O3/SER_hh_num_in!O3)</f>
        <v>145692.71140426409</v>
      </c>
      <c r="P3" s="125">
        <f>IF(SER_hh_fec_in!P3=0,0,11630*1000*SER_hh_fec_in!P3/SER_hh_num_in!P3)</f>
        <v>129071.53465640133</v>
      </c>
      <c r="Q3" s="125">
        <f>IF(SER_hh_fec_in!Q3=0,0,11630*1000*SER_hh_fec_in!Q3/SER_hh_num_in!Q3)</f>
        <v>120847.97514411219</v>
      </c>
      <c r="R3" s="125">
        <f>IF(SER_hh_fec_in!R3=0,0,11630*1000*SER_hh_fec_in!R3/SER_hh_num_in!R3)</f>
        <v>114776.68284646735</v>
      </c>
      <c r="S3" s="125">
        <f>IF(SER_hh_fec_in!S3=0,0,11630*1000*SER_hh_fec_in!S3/SER_hh_num_in!S3)</f>
        <v>112657.87607853394</v>
      </c>
      <c r="T3" s="125">
        <f>IF(SER_hh_fec_in!T3=0,0,11630*1000*SER_hh_fec_in!T3/SER_hh_num_in!T3)</f>
        <v>107845.13574916926</v>
      </c>
      <c r="U3" s="125">
        <f>IF(SER_hh_fec_in!U3=0,0,11630*1000*SER_hh_fec_in!U3/SER_hh_num_in!U3)</f>
        <v>100761.09636585048</v>
      </c>
      <c r="V3" s="125">
        <f>IF(SER_hh_fec_in!V3=0,0,11630*1000*SER_hh_fec_in!V3/SER_hh_num_in!V3)</f>
        <v>90920.967666282348</v>
      </c>
      <c r="W3" s="125">
        <f>IF(SER_hh_fec_in!W3=0,0,11630*1000*SER_hh_fec_in!W3/SER_hh_num_in!W3)</f>
        <v>83896.860648623071</v>
      </c>
      <c r="X3" s="125">
        <f>IF(SER_hh_fec_in!X3=0,0,11630*1000*SER_hh_fec_in!X3/SER_hh_num_in!X3)</f>
        <v>85337.279872966639</v>
      </c>
      <c r="Y3" s="125">
        <f>IF(SER_hh_fec_in!Y3=0,0,11630*1000*SER_hh_fec_in!Y3/SER_hh_num_in!Y3)</f>
        <v>76236.680490371058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142295.57323686493</v>
      </c>
      <c r="D4" s="130">
        <f>IF(SER_hh_fec_in!D4=0,0,11630*1000*SER_hh_fec_in!D4/SER_hh_num_in!D4)</f>
        <v>132303.80810221267</v>
      </c>
      <c r="E4" s="130">
        <f>IF(SER_hh_fec_in!E4=0,0,11630*1000*SER_hh_fec_in!E4/SER_hh_num_in!E4)</f>
        <v>151462.37024557142</v>
      </c>
      <c r="F4" s="130">
        <f>IF(SER_hh_fec_in!F4=0,0,11630*1000*SER_hh_fec_in!F4/SER_hh_num_in!F4)</f>
        <v>145652.76655762189</v>
      </c>
      <c r="G4" s="130">
        <f>IF(SER_hh_fec_in!G4=0,0,11630*1000*SER_hh_fec_in!G4/SER_hh_num_in!G4)</f>
        <v>142979.74011452059</v>
      </c>
      <c r="H4" s="130">
        <f>IF(SER_hh_fec_in!H4=0,0,11630*1000*SER_hh_fec_in!H4/SER_hh_num_in!H4)</f>
        <v>126027.1456017592</v>
      </c>
      <c r="I4" s="130">
        <f>IF(SER_hh_fec_in!I4=0,0,11630*1000*SER_hh_fec_in!I4/SER_hh_num_in!I4)</f>
        <v>120550.77338336261</v>
      </c>
      <c r="J4" s="130">
        <f>IF(SER_hh_fec_in!J4=0,0,11630*1000*SER_hh_fec_in!J4/SER_hh_num_in!J4)</f>
        <v>116969.90015016975</v>
      </c>
      <c r="K4" s="130">
        <f>IF(SER_hh_fec_in!K4=0,0,11630*1000*SER_hh_fec_in!K4/SER_hh_num_in!K4)</f>
        <v>122756.02833937127</v>
      </c>
      <c r="L4" s="130">
        <f>IF(SER_hh_fec_in!L4=0,0,11630*1000*SER_hh_fec_in!L4/SER_hh_num_in!L4)</f>
        <v>120967.60866427531</v>
      </c>
      <c r="M4" s="130">
        <f>IF(SER_hh_fec_in!M4=0,0,11630*1000*SER_hh_fec_in!M4/SER_hh_num_in!M4)</f>
        <v>85457.019681651276</v>
      </c>
      <c r="N4" s="130">
        <f>IF(SER_hh_fec_in!N4=0,0,11630*1000*SER_hh_fec_in!N4/SER_hh_num_in!N4)</f>
        <v>95450.995241000972</v>
      </c>
      <c r="O4" s="130">
        <f>IF(SER_hh_fec_in!O4=0,0,11630*1000*SER_hh_fec_in!O4/SER_hh_num_in!O4)</f>
        <v>97206.572319452243</v>
      </c>
      <c r="P4" s="130">
        <f>IF(SER_hh_fec_in!P4=0,0,11630*1000*SER_hh_fec_in!P4/SER_hh_num_in!P4)</f>
        <v>80637.321642716328</v>
      </c>
      <c r="Q4" s="130">
        <f>IF(SER_hh_fec_in!Q4=0,0,11630*1000*SER_hh_fec_in!Q4/SER_hh_num_in!Q4)</f>
        <v>72777.108624765271</v>
      </c>
      <c r="R4" s="130">
        <f>IF(SER_hh_fec_in!R4=0,0,11630*1000*SER_hh_fec_in!R4/SER_hh_num_in!R4)</f>
        <v>69615.463280945143</v>
      </c>
      <c r="S4" s="130">
        <f>IF(SER_hh_fec_in!S4=0,0,11630*1000*SER_hh_fec_in!S4/SER_hh_num_in!S4)</f>
        <v>67954.735924626759</v>
      </c>
      <c r="T4" s="130">
        <f>IF(SER_hh_fec_in!T4=0,0,11630*1000*SER_hh_fec_in!T4/SER_hh_num_in!T4)</f>
        <v>63280.535359484369</v>
      </c>
      <c r="U4" s="130">
        <f>IF(SER_hh_fec_in!U4=0,0,11630*1000*SER_hh_fec_in!U4/SER_hh_num_in!U4)</f>
        <v>56767.522550199821</v>
      </c>
      <c r="V4" s="130">
        <f>IF(SER_hh_fec_in!V4=0,0,11630*1000*SER_hh_fec_in!V4/SER_hh_num_in!V4)</f>
        <v>51138.840928002406</v>
      </c>
      <c r="W4" s="130">
        <f>IF(SER_hh_fec_in!W4=0,0,11630*1000*SER_hh_fec_in!W4/SER_hh_num_in!W4)</f>
        <v>44973.29098680344</v>
      </c>
      <c r="X4" s="130">
        <f>IF(SER_hh_fec_in!X4=0,0,11630*1000*SER_hh_fec_in!X4/SER_hh_num_in!X4)</f>
        <v>44130.050889766339</v>
      </c>
      <c r="Y4" s="130">
        <f>IF(SER_hh_fec_in!Y4=0,0,11630*1000*SER_hh_fec_in!Y4/SER_hh_num_in!Y4)</f>
        <v>35749.48602965536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140064.88824521017</v>
      </c>
      <c r="G5" s="132">
        <f>IF(SER_hh_fec_in!G5=0,0,11630*1000*SER_hh_fec_in!G5/SER_hh_num_in!G5)</f>
        <v>139959.43634388709</v>
      </c>
      <c r="H5" s="132">
        <f>IF(SER_hh_fec_in!H5=0,0,11630*1000*SER_hh_fec_in!H5/SER_hh_num_in!H5)</f>
        <v>130883.84460199667</v>
      </c>
      <c r="I5" s="132">
        <f>IF(SER_hh_fec_in!I5=0,0,11630*1000*SER_hh_fec_in!I5/SER_hh_num_in!I5)</f>
        <v>123009.41260097291</v>
      </c>
      <c r="J5" s="132">
        <f>IF(SER_hh_fec_in!J5=0,0,11630*1000*SER_hh_fec_in!J5/SER_hh_num_in!J5)</f>
        <v>114557.24877546342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107677.0923197791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58685.649531077703</v>
      </c>
      <c r="V5" s="132">
        <f>IF(SER_hh_fec_in!V5=0,0,11630*1000*SER_hh_fec_in!V5/SER_hh_num_in!V5)</f>
        <v>48855.333263272041</v>
      </c>
      <c r="W5" s="132">
        <f>IF(SER_hh_fec_in!W5=0,0,11630*1000*SER_hh_fec_in!W5/SER_hh_num_in!W5)</f>
        <v>48130.580350948097</v>
      </c>
      <c r="X5" s="132">
        <f>IF(SER_hh_fec_in!X5=0,0,11630*1000*SER_hh_fec_in!X5/SER_hh_num_in!X5)</f>
        <v>43204.628086374963</v>
      </c>
      <c r="Y5" s="132">
        <f>IF(SER_hh_fec_in!Y5=0,0,11630*1000*SER_hh_fec_in!Y5/SER_hh_num_in!Y5)</f>
        <v>37590.46651611667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186906.5544303889</v>
      </c>
      <c r="D7" s="132">
        <f>IF(SER_hh_fec_in!D7=0,0,11630*1000*SER_hh_fec_in!D7/SER_hh_num_in!D7)</f>
        <v>162496.82217117804</v>
      </c>
      <c r="E7" s="132">
        <f>IF(SER_hh_fec_in!E7=0,0,11630*1000*SER_hh_fec_in!E7/SER_hh_num_in!E7)</f>
        <v>173677.48964377897</v>
      </c>
      <c r="F7" s="132">
        <f>IF(SER_hh_fec_in!F7=0,0,11630*1000*SER_hh_fec_in!F7/SER_hh_num_in!F7)</f>
        <v>175747.93575101712</v>
      </c>
      <c r="G7" s="132">
        <f>IF(SER_hh_fec_in!G7=0,0,11630*1000*SER_hh_fec_in!G7/SER_hh_num_in!G7)</f>
        <v>168589.03208484521</v>
      </c>
      <c r="H7" s="132">
        <f>IF(SER_hh_fec_in!H7=0,0,11630*1000*SER_hh_fec_in!H7/SER_hh_num_in!H7)</f>
        <v>154038.98661513856</v>
      </c>
      <c r="I7" s="132">
        <f>IF(SER_hh_fec_in!I7=0,0,11630*1000*SER_hh_fec_in!I7/SER_hh_num_in!I7)</f>
        <v>130976.80010394081</v>
      </c>
      <c r="J7" s="132">
        <f>IF(SER_hh_fec_in!J7=0,0,11630*1000*SER_hh_fec_in!J7/SER_hh_num_in!J7)</f>
        <v>153142.77619923578</v>
      </c>
      <c r="K7" s="132">
        <f>IF(SER_hh_fec_in!K7=0,0,11630*1000*SER_hh_fec_in!K7/SER_hh_num_in!K7)</f>
        <v>147124.39587824492</v>
      </c>
      <c r="L7" s="132">
        <f>IF(SER_hh_fec_in!L7=0,0,11630*1000*SER_hh_fec_in!L7/SER_hh_num_in!L7)</f>
        <v>139865.18249866588</v>
      </c>
      <c r="M7" s="132">
        <f>IF(SER_hh_fec_in!M7=0,0,11630*1000*SER_hh_fec_in!M7/SER_hh_num_in!M7)</f>
        <v>115461.89658402382</v>
      </c>
      <c r="N7" s="132">
        <f>IF(SER_hh_fec_in!N7=0,0,11630*1000*SER_hh_fec_in!N7/SER_hh_num_in!N7)</f>
        <v>111180.06986621248</v>
      </c>
      <c r="O7" s="132">
        <f>IF(SER_hh_fec_in!O7=0,0,11630*1000*SER_hh_fec_in!O7/SER_hh_num_in!O7)</f>
        <v>106683.83906470514</v>
      </c>
      <c r="P7" s="132">
        <f>IF(SER_hh_fec_in!P7=0,0,11630*1000*SER_hh_fec_in!P7/SER_hh_num_in!P7)</f>
        <v>101736.27179106997</v>
      </c>
      <c r="Q7" s="132">
        <f>IF(SER_hh_fec_in!Q7=0,0,11630*1000*SER_hh_fec_in!Q7/SER_hh_num_in!Q7)</f>
        <v>94245.001716685772</v>
      </c>
      <c r="R7" s="132">
        <f>IF(SER_hh_fec_in!R7=0,0,11630*1000*SER_hh_fec_in!R7/SER_hh_num_in!R7)</f>
        <v>0</v>
      </c>
      <c r="S7" s="132">
        <f>IF(SER_hh_fec_in!S7=0,0,11630*1000*SER_hh_fec_in!S7/SER_hh_num_in!S7)</f>
        <v>81644.329114324559</v>
      </c>
      <c r="T7" s="132">
        <f>IF(SER_hh_fec_in!T7=0,0,11630*1000*SER_hh_fec_in!T7/SER_hh_num_in!T7)</f>
        <v>71378.521624446759</v>
      </c>
      <c r="U7" s="132">
        <f>IF(SER_hh_fec_in!U7=0,0,11630*1000*SER_hh_fec_in!U7/SER_hh_num_in!U7)</f>
        <v>64285.174364565544</v>
      </c>
      <c r="V7" s="132">
        <f>IF(SER_hh_fec_in!V7=0,0,11630*1000*SER_hh_fec_in!V7/SER_hh_num_in!V7)</f>
        <v>62589.745791429646</v>
      </c>
      <c r="W7" s="132">
        <f>IF(SER_hh_fec_in!W7=0,0,11630*1000*SER_hh_fec_in!W7/SER_hh_num_in!W7)</f>
        <v>45793.196897511567</v>
      </c>
      <c r="X7" s="132">
        <f>IF(SER_hh_fec_in!X7=0,0,11630*1000*SER_hh_fec_in!X7/SER_hh_num_in!X7)</f>
        <v>50771.28269069572</v>
      </c>
      <c r="Y7" s="132">
        <f>IF(SER_hh_fec_in!Y7=0,0,11630*1000*SER_hh_fec_in!Y7/SER_hh_num_in!Y7)</f>
        <v>40382.96027713691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66716.508211549313</v>
      </c>
      <c r="D8" s="132">
        <f>IF(SER_hh_fec_in!D8=0,0,11630*1000*SER_hh_fec_in!D8/SER_hh_num_in!D8)</f>
        <v>54066.068966153005</v>
      </c>
      <c r="E8" s="132">
        <f>IF(SER_hh_fec_in!E8=0,0,11630*1000*SER_hh_fec_in!E8/SER_hh_num_in!E8)</f>
        <v>56126.760284585536</v>
      </c>
      <c r="F8" s="132">
        <f>IF(SER_hh_fec_in!F8=0,0,11630*1000*SER_hh_fec_in!F8/SER_hh_num_in!F8)</f>
        <v>49738.673472405004</v>
      </c>
      <c r="G8" s="132">
        <f>IF(SER_hh_fec_in!G8=0,0,11630*1000*SER_hh_fec_in!G8/SER_hh_num_in!G8)</f>
        <v>63765.55608503821</v>
      </c>
      <c r="H8" s="132">
        <f>IF(SER_hh_fec_in!H8=0,0,11630*1000*SER_hh_fec_in!H8/SER_hh_num_in!H8)</f>
        <v>54237.463058001595</v>
      </c>
      <c r="I8" s="132">
        <f>IF(SER_hh_fec_in!I8=0,0,11630*1000*SER_hh_fec_in!I8/SER_hh_num_in!I8)</f>
        <v>51501.605648451878</v>
      </c>
      <c r="J8" s="132">
        <f>IF(SER_hh_fec_in!J8=0,0,11630*1000*SER_hh_fec_in!J8/SER_hh_num_in!J8)</f>
        <v>50405.438889794139</v>
      </c>
      <c r="K8" s="132">
        <f>IF(SER_hh_fec_in!K8=0,0,11630*1000*SER_hh_fec_in!K8/SER_hh_num_in!K8)</f>
        <v>37334.577132079699</v>
      </c>
      <c r="L8" s="132">
        <f>IF(SER_hh_fec_in!L8=0,0,11630*1000*SER_hh_fec_in!L8/SER_hh_num_in!L8)</f>
        <v>29952.122711262389</v>
      </c>
      <c r="M8" s="132">
        <f>IF(SER_hh_fec_in!M8=0,0,11630*1000*SER_hh_fec_in!M8/SER_hh_num_in!M8)</f>
        <v>39096.415935709163</v>
      </c>
      <c r="N8" s="132">
        <f>IF(SER_hh_fec_in!N8=0,0,11630*1000*SER_hh_fec_in!N8/SER_hh_num_in!N8)</f>
        <v>33105.609849379107</v>
      </c>
      <c r="O8" s="132">
        <f>IF(SER_hh_fec_in!O8=0,0,11630*1000*SER_hh_fec_in!O8/SER_hh_num_in!O8)</f>
        <v>33135.156668541218</v>
      </c>
      <c r="P8" s="132">
        <f>IF(SER_hh_fec_in!P8=0,0,11630*1000*SER_hh_fec_in!P8/SER_hh_num_in!P8)</f>
        <v>26554.981773612799</v>
      </c>
      <c r="Q8" s="132">
        <f>IF(SER_hh_fec_in!Q8=0,0,11630*1000*SER_hh_fec_in!Q8/SER_hh_num_in!Q8)</f>
        <v>26065.816509154378</v>
      </c>
      <c r="R8" s="132">
        <f>IF(SER_hh_fec_in!R8=0,0,11630*1000*SER_hh_fec_in!R8/SER_hh_num_in!R8)</f>
        <v>23845.813840706785</v>
      </c>
      <c r="S8" s="132">
        <f>IF(SER_hh_fec_in!S8=0,0,11630*1000*SER_hh_fec_in!S8/SER_hh_num_in!S8)</f>
        <v>21667.131504365952</v>
      </c>
      <c r="T8" s="132">
        <f>IF(SER_hh_fec_in!T8=0,0,11630*1000*SER_hh_fec_in!T8/SER_hh_num_in!T8)</f>
        <v>19956.907686442253</v>
      </c>
      <c r="U8" s="132">
        <f>IF(SER_hh_fec_in!U8=0,0,11630*1000*SER_hh_fec_in!U8/SER_hh_num_in!U8)</f>
        <v>18198.116612803009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169955.01186822285</v>
      </c>
      <c r="D9" s="132">
        <f>IF(SER_hh_fec_in!D9=0,0,11630*1000*SER_hh_fec_in!D9/SER_hh_num_in!D9)</f>
        <v>137874.82847750466</v>
      </c>
      <c r="E9" s="132">
        <f>IF(SER_hh_fec_in!E9=0,0,11630*1000*SER_hh_fec_in!E9/SER_hh_num_in!E9)</f>
        <v>170294.47465046181</v>
      </c>
      <c r="F9" s="132">
        <f>IF(SER_hh_fec_in!F9=0,0,11630*1000*SER_hh_fec_in!F9/SER_hh_num_in!F9)</f>
        <v>165440.94386888493</v>
      </c>
      <c r="G9" s="132">
        <f>IF(SER_hh_fec_in!G9=0,0,11630*1000*SER_hh_fec_in!G9/SER_hh_num_in!G9)</f>
        <v>164657.44694681029</v>
      </c>
      <c r="H9" s="132">
        <f>IF(SER_hh_fec_in!H9=0,0,11630*1000*SER_hh_fec_in!H9/SER_hh_num_in!H9)</f>
        <v>139266.13790359418</v>
      </c>
      <c r="I9" s="132">
        <f>IF(SER_hh_fec_in!I9=0,0,11630*1000*SER_hh_fec_in!I9/SER_hh_num_in!I9)</f>
        <v>136717.09539430807</v>
      </c>
      <c r="J9" s="132">
        <f>IF(SER_hh_fec_in!J9=0,0,11630*1000*SER_hh_fec_in!J9/SER_hh_num_in!J9)</f>
        <v>117217.64178709201</v>
      </c>
      <c r="K9" s="132">
        <f>IF(SER_hh_fec_in!K9=0,0,11630*1000*SER_hh_fec_in!K9/SER_hh_num_in!K9)</f>
        <v>135784.31036590334</v>
      </c>
      <c r="L9" s="132">
        <f>IF(SER_hh_fec_in!L9=0,0,11630*1000*SER_hh_fec_in!L9/SER_hh_num_in!L9)</f>
        <v>146403.26919227</v>
      </c>
      <c r="M9" s="132">
        <f>IF(SER_hh_fec_in!M9=0,0,11630*1000*SER_hh_fec_in!M9/SER_hh_num_in!M9)</f>
        <v>98683.385207611878</v>
      </c>
      <c r="N9" s="132">
        <f>IF(SER_hh_fec_in!N9=0,0,11630*1000*SER_hh_fec_in!N9/SER_hh_num_in!N9)</f>
        <v>109952.50287843552</v>
      </c>
      <c r="O9" s="132">
        <f>IF(SER_hh_fec_in!O9=0,0,11630*1000*SER_hh_fec_in!O9/SER_hh_num_in!O9)</f>
        <v>108153.57888077645</v>
      </c>
      <c r="P9" s="132">
        <f>IF(SER_hh_fec_in!P9=0,0,11630*1000*SER_hh_fec_in!P9/SER_hh_num_in!P9)</f>
        <v>80215.974563492244</v>
      </c>
      <c r="Q9" s="132">
        <f>IF(SER_hh_fec_in!Q9=0,0,11630*1000*SER_hh_fec_in!Q9/SER_hh_num_in!Q9)</f>
        <v>78662.954019341967</v>
      </c>
      <c r="R9" s="132">
        <f>IF(SER_hh_fec_in!R9=0,0,11630*1000*SER_hh_fec_in!R9/SER_hh_num_in!R9)</f>
        <v>73407.205428091358</v>
      </c>
      <c r="S9" s="132">
        <f>IF(SER_hh_fec_in!S9=0,0,11630*1000*SER_hh_fec_in!S9/SER_hh_num_in!S9)</f>
        <v>70086.23682698865</v>
      </c>
      <c r="T9" s="132">
        <f>IF(SER_hh_fec_in!T9=0,0,11630*1000*SER_hh_fec_in!T9/SER_hh_num_in!T9)</f>
        <v>66372.579236867823</v>
      </c>
      <c r="U9" s="132">
        <f>IF(SER_hh_fec_in!U9=0,0,11630*1000*SER_hh_fec_in!U9/SER_hh_num_in!U9)</f>
        <v>59465.722883167968</v>
      </c>
      <c r="V9" s="132">
        <f>IF(SER_hh_fec_in!V9=0,0,11630*1000*SER_hh_fec_in!V9/SER_hh_num_in!V9)</f>
        <v>49759.35796455048</v>
      </c>
      <c r="W9" s="132">
        <f>IF(SER_hh_fec_in!W9=0,0,11630*1000*SER_hh_fec_in!W9/SER_hh_num_in!W9)</f>
        <v>44680.620250127395</v>
      </c>
      <c r="X9" s="132">
        <f>IF(SER_hh_fec_in!X9=0,0,11630*1000*SER_hh_fec_in!X9/SER_hh_num_in!X9)</f>
        <v>38046.377317004444</v>
      </c>
      <c r="Y9" s="132">
        <f>IF(SER_hh_fec_in!Y9=0,0,11630*1000*SER_hh_fec_in!Y9/SER_hh_num_in!Y9)</f>
        <v>35022.219085642595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160898.6962023568</v>
      </c>
      <c r="D10" s="132">
        <f>IF(SER_hh_fec_in!D10=0,0,11630*1000*SER_hh_fec_in!D10/SER_hh_num_in!D10)</f>
        <v>162966.47523813817</v>
      </c>
      <c r="E10" s="132">
        <f>IF(SER_hh_fec_in!E10=0,0,11630*1000*SER_hh_fec_in!E10/SER_hh_num_in!E10)</f>
        <v>180199.73553608192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145044.52373508489</v>
      </c>
      <c r="J10" s="132">
        <f>IF(SER_hh_fec_in!J10=0,0,11630*1000*SER_hh_fec_in!J10/SER_hh_num_in!J10)</f>
        <v>137842.77711761367</v>
      </c>
      <c r="K10" s="132">
        <f>IF(SER_hh_fec_in!K10=0,0,11630*1000*SER_hh_fec_in!K10/SER_hh_num_in!K10)</f>
        <v>172999.27238914845</v>
      </c>
      <c r="L10" s="132">
        <f>IF(SER_hh_fec_in!L10=0,0,11630*1000*SER_hh_fec_in!L10/SER_hh_num_in!L10)</f>
        <v>148331.01225190266</v>
      </c>
      <c r="M10" s="132">
        <f>IF(SER_hh_fec_in!M10=0,0,11630*1000*SER_hh_fec_in!M10/SER_hh_num_in!M10)</f>
        <v>97726.272317870171</v>
      </c>
      <c r="N10" s="132">
        <f>IF(SER_hh_fec_in!N10=0,0,11630*1000*SER_hh_fec_in!N10/SER_hh_num_in!N10)</f>
        <v>114171.86703113602</v>
      </c>
      <c r="O10" s="132">
        <f>IF(SER_hh_fec_in!O10=0,0,11630*1000*SER_hh_fec_in!O10/SER_hh_num_in!O10)</f>
        <v>139637.88111337207</v>
      </c>
      <c r="P10" s="132">
        <f>IF(SER_hh_fec_in!P10=0,0,11630*1000*SER_hh_fec_in!P10/SER_hh_num_in!P10)</f>
        <v>111493.49919005252</v>
      </c>
      <c r="Q10" s="132">
        <f>IF(SER_hh_fec_in!Q10=0,0,11630*1000*SER_hh_fec_in!Q10/SER_hh_num_in!Q10)</f>
        <v>99397.250098504926</v>
      </c>
      <c r="R10" s="132">
        <f>IF(SER_hh_fec_in!R10=0,0,11630*1000*SER_hh_fec_in!R10/SER_hh_num_in!R10)</f>
        <v>103461.40526004032</v>
      </c>
      <c r="S10" s="132">
        <f>IF(SER_hh_fec_in!S10=0,0,11630*1000*SER_hh_fec_in!S10/SER_hh_num_in!S10)</f>
        <v>101116.80750124708</v>
      </c>
      <c r="T10" s="132">
        <f>IF(SER_hh_fec_in!T10=0,0,11630*1000*SER_hh_fec_in!T10/SER_hh_num_in!T10)</f>
        <v>86621.907117512252</v>
      </c>
      <c r="U10" s="132">
        <f>IF(SER_hh_fec_in!U10=0,0,11630*1000*SER_hh_fec_in!U10/SER_hh_num_in!U10)</f>
        <v>79090.166180929184</v>
      </c>
      <c r="V10" s="132">
        <f>IF(SER_hh_fec_in!V10=0,0,11630*1000*SER_hh_fec_in!V10/SER_hh_num_in!V10)</f>
        <v>68816.672980452568</v>
      </c>
      <c r="W10" s="132">
        <f>IF(SER_hh_fec_in!W10=0,0,11630*1000*SER_hh_fec_in!W10/SER_hh_num_in!W10)</f>
        <v>60775.319545969658</v>
      </c>
      <c r="X10" s="132">
        <f>IF(SER_hh_fec_in!X10=0,0,11630*1000*SER_hh_fec_in!X10/SER_hh_num_in!X10)</f>
        <v>61295.304722555149</v>
      </c>
      <c r="Y10" s="132">
        <f>IF(SER_hh_fec_in!Y10=0,0,11630*1000*SER_hh_fec_in!Y10/SER_hh_num_in!Y10)</f>
        <v>50773.018993285528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236488.31587659329</v>
      </c>
      <c r="E11" s="132">
        <f>IF(SER_hh_fec_in!E11=0,0,11630*1000*SER_hh_fec_in!E11/SER_hh_num_in!E11)</f>
        <v>206454.89103733309</v>
      </c>
      <c r="F11" s="132">
        <f>IF(SER_hh_fec_in!F11=0,0,11630*1000*SER_hh_fec_in!F11/SER_hh_num_in!F11)</f>
        <v>201745.37167845154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89338.91416325781</v>
      </c>
      <c r="L11" s="132">
        <f>IF(SER_hh_fec_in!L11=0,0,11630*1000*SER_hh_fec_in!L11/SER_hh_num_in!L11)</f>
        <v>83254.55360820159</v>
      </c>
      <c r="M11" s="132">
        <f>IF(SER_hh_fec_in!M11=0,0,11630*1000*SER_hh_fec_in!M11/SER_hh_num_in!M11)</f>
        <v>87748.205564861506</v>
      </c>
      <c r="N11" s="132">
        <f>IF(SER_hh_fec_in!N11=0,0,11630*1000*SER_hh_fec_in!N11/SER_hh_num_in!N11)</f>
        <v>81943.169567592864</v>
      </c>
      <c r="O11" s="132">
        <f>IF(SER_hh_fec_in!O11=0,0,11630*1000*SER_hh_fec_in!O11/SER_hh_num_in!O11)</f>
        <v>77641.936427719062</v>
      </c>
      <c r="P11" s="132">
        <f>IF(SER_hh_fec_in!P11=0,0,11630*1000*SER_hh_fec_in!P11/SER_hh_num_in!P11)</f>
        <v>70243.816831124379</v>
      </c>
      <c r="Q11" s="132">
        <f>IF(SER_hh_fec_in!Q11=0,0,11630*1000*SER_hh_fec_in!Q11/SER_hh_num_in!Q11)</f>
        <v>67663.472503354729</v>
      </c>
      <c r="R11" s="132">
        <f>IF(SER_hh_fec_in!R11=0,0,11630*1000*SER_hh_fec_in!R11/SER_hh_num_in!R11)</f>
        <v>64693.329498208484</v>
      </c>
      <c r="S11" s="132">
        <f>IF(SER_hh_fec_in!S11=0,0,11630*1000*SER_hh_fec_in!S11/SER_hh_num_in!S11)</f>
        <v>62277.805418264601</v>
      </c>
      <c r="T11" s="132">
        <f>IF(SER_hh_fec_in!T11=0,0,11630*1000*SER_hh_fec_in!T11/SER_hh_num_in!T11)</f>
        <v>58779.614474263653</v>
      </c>
      <c r="U11" s="132">
        <f>IF(SER_hh_fec_in!U11=0,0,11630*1000*SER_hh_fec_in!U11/SER_hh_num_in!U11)</f>
        <v>53432.990936033282</v>
      </c>
      <c r="V11" s="132">
        <f>IF(SER_hh_fec_in!V11=0,0,11630*1000*SER_hh_fec_in!V11/SER_hh_num_in!V11)</f>
        <v>47347.628622817392</v>
      </c>
      <c r="W11" s="132">
        <f>IF(SER_hh_fec_in!W11=0,0,11630*1000*SER_hh_fec_in!W11/SER_hh_num_in!W11)</f>
        <v>36478.630453831938</v>
      </c>
      <c r="X11" s="132">
        <f>IF(SER_hh_fec_in!X11=0,0,11630*1000*SER_hh_fec_in!X11/SER_hh_num_in!X11)</f>
        <v>34783.078739191391</v>
      </c>
      <c r="Y11" s="132">
        <f>IF(SER_hh_fec_in!Y11=0,0,11630*1000*SER_hh_fec_in!Y11/SER_hh_num_in!Y11)</f>
        <v>33263.588163207976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115573.82810499455</v>
      </c>
      <c r="D12" s="132">
        <f>IF(SER_hh_fec_in!D12=0,0,11630*1000*SER_hh_fec_in!D12/SER_hh_num_in!D12)</f>
        <v>114941.01354062592</v>
      </c>
      <c r="E12" s="132">
        <f>IF(SER_hh_fec_in!E12=0,0,11630*1000*SER_hh_fec_in!E12/SER_hh_num_in!E12)</f>
        <v>110495.85899933701</v>
      </c>
      <c r="F12" s="132">
        <f>IF(SER_hh_fec_in!F12=0,0,11630*1000*SER_hh_fec_in!F12/SER_hh_num_in!F12)</f>
        <v>111104.6549003986</v>
      </c>
      <c r="G12" s="132">
        <f>IF(SER_hh_fec_in!G12=0,0,11630*1000*SER_hh_fec_in!G12/SER_hh_num_in!G12)</f>
        <v>118419.71677150659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98646.519848495256</v>
      </c>
      <c r="M12" s="132">
        <f>IF(SER_hh_fec_in!M12=0,0,11630*1000*SER_hh_fec_in!M12/SER_hh_num_in!M12)</f>
        <v>81282.264687194562</v>
      </c>
      <c r="N12" s="132">
        <f>IF(SER_hh_fec_in!N12=0,0,11630*1000*SER_hh_fec_in!N12/SER_hh_num_in!N12)</f>
        <v>79414.973562625586</v>
      </c>
      <c r="O12" s="132">
        <f>IF(SER_hh_fec_in!O12=0,0,11630*1000*SER_hh_fec_in!O12/SER_hh_num_in!O12)</f>
        <v>80318.324356576966</v>
      </c>
      <c r="P12" s="132">
        <f>IF(SER_hh_fec_in!P12=0,0,11630*1000*SER_hh_fec_in!P12/SER_hh_num_in!P12)</f>
        <v>69856.296962494831</v>
      </c>
      <c r="Q12" s="132">
        <f>IF(SER_hh_fec_in!Q12=0,0,11630*1000*SER_hh_fec_in!Q12/SER_hh_num_in!Q12)</f>
        <v>68267.655209251054</v>
      </c>
      <c r="R12" s="132">
        <f>IF(SER_hh_fec_in!R12=0,0,11630*1000*SER_hh_fec_in!R12/SER_hh_num_in!R12)</f>
        <v>67850.696442519009</v>
      </c>
      <c r="S12" s="132">
        <f>IF(SER_hh_fec_in!S12=0,0,11630*1000*SER_hh_fec_in!S12/SER_hh_num_in!S12)</f>
        <v>64591.225745220268</v>
      </c>
      <c r="T12" s="132">
        <f>IF(SER_hh_fec_in!T12=0,0,11630*1000*SER_hh_fec_in!T12/SER_hh_num_in!T12)</f>
        <v>57585.10356076977</v>
      </c>
      <c r="U12" s="132">
        <f>IF(SER_hh_fec_in!U12=0,0,11630*1000*SER_hh_fec_in!U12/SER_hh_num_in!U12)</f>
        <v>51890.564803956542</v>
      </c>
      <c r="V12" s="132">
        <f>IF(SER_hh_fec_in!V12=0,0,11630*1000*SER_hh_fec_in!V12/SER_hh_num_in!V12)</f>
        <v>46245.398518593625</v>
      </c>
      <c r="W12" s="132">
        <f>IF(SER_hh_fec_in!W12=0,0,11630*1000*SER_hh_fec_in!W12/SER_hh_num_in!W12)</f>
        <v>41135.442818028961</v>
      </c>
      <c r="X12" s="132">
        <f>IF(SER_hh_fec_in!X12=0,0,11630*1000*SER_hh_fec_in!X12/SER_hh_num_in!X12)</f>
        <v>36152.747705497059</v>
      </c>
      <c r="Y12" s="132">
        <f>IF(SER_hh_fec_in!Y12=0,0,11630*1000*SER_hh_fec_in!Y12/SER_hh_num_in!Y12)</f>
        <v>32574.570284032819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51517.779548181083</v>
      </c>
      <c r="D13" s="132">
        <f>IF(SER_hh_fec_in!D13=0,0,11630*1000*SER_hh_fec_in!D13/SER_hh_num_in!D13)</f>
        <v>50634.797797236773</v>
      </c>
      <c r="E13" s="132">
        <f>IF(SER_hh_fec_in!E13=0,0,11630*1000*SER_hh_fec_in!E13/SER_hh_num_in!E13)</f>
        <v>48115.450773492565</v>
      </c>
      <c r="F13" s="132">
        <f>IF(SER_hh_fec_in!F13=0,0,11630*1000*SER_hh_fec_in!F13/SER_hh_num_in!F13)</f>
        <v>44524.958305637629</v>
      </c>
      <c r="G13" s="132">
        <f>IF(SER_hh_fec_in!G13=0,0,11630*1000*SER_hh_fec_in!G13/SER_hh_num_in!G13)</f>
        <v>43452.988957006441</v>
      </c>
      <c r="H13" s="132">
        <f>IF(SER_hh_fec_in!H13=0,0,11630*1000*SER_hh_fec_in!H13/SER_hh_num_in!H13)</f>
        <v>38764.078410698632</v>
      </c>
      <c r="I13" s="132">
        <f>IF(SER_hh_fec_in!I13=0,0,11630*1000*SER_hh_fec_in!I13/SER_hh_num_in!I13)</f>
        <v>33761.278797491294</v>
      </c>
      <c r="J13" s="132">
        <f>IF(SER_hh_fec_in!J13=0,0,11630*1000*SER_hh_fec_in!J13/SER_hh_num_in!J13)</f>
        <v>33360.674424602992</v>
      </c>
      <c r="K13" s="132">
        <f>IF(SER_hh_fec_in!K13=0,0,11630*1000*SER_hh_fec_in!K13/SER_hh_num_in!K13)</f>
        <v>29793.697836633517</v>
      </c>
      <c r="L13" s="132">
        <f>IF(SER_hh_fec_in!L13=0,0,11630*1000*SER_hh_fec_in!L13/SER_hh_num_in!L13)</f>
        <v>25460.415471782766</v>
      </c>
      <c r="M13" s="132">
        <f>IF(SER_hh_fec_in!M13=0,0,11630*1000*SER_hh_fec_in!M13/SER_hh_num_in!M13)</f>
        <v>27467.967202639044</v>
      </c>
      <c r="N13" s="132">
        <f>IF(SER_hh_fec_in!N13=0,0,11630*1000*SER_hh_fec_in!N13/SER_hh_num_in!N13)</f>
        <v>25715.101043773917</v>
      </c>
      <c r="O13" s="132">
        <f>IF(SER_hh_fec_in!O13=0,0,11630*1000*SER_hh_fec_in!O13/SER_hh_num_in!O13)</f>
        <v>23876.591701532248</v>
      </c>
      <c r="P13" s="132">
        <f>IF(SER_hh_fec_in!P13=0,0,11630*1000*SER_hh_fec_in!P13/SER_hh_num_in!P13)</f>
        <v>17889.760380324584</v>
      </c>
      <c r="Q13" s="132">
        <f>IF(SER_hh_fec_in!Q13=0,0,11630*1000*SER_hh_fec_in!Q13/SER_hh_num_in!Q13)</f>
        <v>17003.851527224582</v>
      </c>
      <c r="R13" s="132">
        <f>IF(SER_hh_fec_in!R13=0,0,11630*1000*SER_hh_fec_in!R13/SER_hh_num_in!R13)</f>
        <v>16520.295397197035</v>
      </c>
      <c r="S13" s="132">
        <f>IF(SER_hh_fec_in!S13=0,0,11630*1000*SER_hh_fec_in!S13/SER_hh_num_in!S13)</f>
        <v>14612.748892653108</v>
      </c>
      <c r="T13" s="132">
        <f>IF(SER_hh_fec_in!T13=0,0,11630*1000*SER_hh_fec_in!T13/SER_hh_num_in!T13)</f>
        <v>12507.202988288498</v>
      </c>
      <c r="U13" s="132">
        <f>IF(SER_hh_fec_in!U13=0,0,11630*1000*SER_hh_fec_in!U13/SER_hh_num_in!U13)</f>
        <v>11689.377918635326</v>
      </c>
      <c r="V13" s="132">
        <f>IF(SER_hh_fec_in!V13=0,0,11630*1000*SER_hh_fec_in!V13/SER_hh_num_in!V13)</f>
        <v>10460.399908155876</v>
      </c>
      <c r="W13" s="132">
        <f>IF(SER_hh_fec_in!W13=0,0,11630*1000*SER_hh_fec_in!W13/SER_hh_num_in!W13)</f>
        <v>10607.684025314713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0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124434.81665445637</v>
      </c>
      <c r="D14" s="65">
        <f>IF(SER_hh_fec_in!D14=0,0,11630*1000*SER_hh_fec_in!D14/SER_hh_num_in!D14)</f>
        <v>120123.12935634652</v>
      </c>
      <c r="E14" s="65">
        <f>IF(SER_hh_fec_in!E14=0,0,11630*1000*SER_hh_fec_in!E14/SER_hh_num_in!E14)</f>
        <v>122596.83683887369</v>
      </c>
      <c r="F14" s="65">
        <f>IF(SER_hh_fec_in!F14=0,0,11630*1000*SER_hh_fec_in!F14/SER_hh_num_in!F14)</f>
        <v>127491.88665049174</v>
      </c>
      <c r="G14" s="65">
        <f>IF(SER_hh_fec_in!G14=0,0,11630*1000*SER_hh_fec_in!G14/SER_hh_num_in!G14)</f>
        <v>117452.29626950144</v>
      </c>
      <c r="H14" s="65">
        <f>IF(SER_hh_fec_in!H14=0,0,11630*1000*SER_hh_fec_in!H14/SER_hh_num_in!H14)</f>
        <v>111784.53076146843</v>
      </c>
      <c r="I14" s="65">
        <f>IF(SER_hh_fec_in!I14=0,0,11630*1000*SER_hh_fec_in!I14/SER_hh_num_in!I14)</f>
        <v>107035.91026379986</v>
      </c>
      <c r="J14" s="65">
        <f>IF(SER_hh_fec_in!J14=0,0,11630*1000*SER_hh_fec_in!J14/SER_hh_num_in!J14)</f>
        <v>96022.351830536107</v>
      </c>
      <c r="K14" s="65">
        <f>IF(SER_hh_fec_in!K14=0,0,11630*1000*SER_hh_fec_in!K14/SER_hh_num_in!K14)</f>
        <v>103591.70436198234</v>
      </c>
      <c r="L14" s="65">
        <f>IF(SER_hh_fec_in!L14=0,0,11630*1000*SER_hh_fec_in!L14/SER_hh_num_in!L14)</f>
        <v>112875.85022024882</v>
      </c>
      <c r="M14" s="65">
        <f>IF(SER_hh_fec_in!M14=0,0,11630*1000*SER_hh_fec_in!M14/SER_hh_num_in!M14)</f>
        <v>85977.368636048719</v>
      </c>
      <c r="N14" s="65">
        <f>IF(SER_hh_fec_in!N14=0,0,11630*1000*SER_hh_fec_in!N14/SER_hh_num_in!N14)</f>
        <v>91975.176222189402</v>
      </c>
      <c r="O14" s="65">
        <f>IF(SER_hh_fec_in!O14=0,0,11630*1000*SER_hh_fec_in!O14/SER_hh_num_in!O14)</f>
        <v>91223.676432456763</v>
      </c>
      <c r="P14" s="65">
        <f>IF(SER_hh_fec_in!P14=0,0,11630*1000*SER_hh_fec_in!P14/SER_hh_num_in!P14)</f>
        <v>74374.492683837889</v>
      </c>
      <c r="Q14" s="65">
        <f>IF(SER_hh_fec_in!Q14=0,0,11630*1000*SER_hh_fec_in!Q14/SER_hh_num_in!Q14)</f>
        <v>76427.410133487778</v>
      </c>
      <c r="R14" s="65">
        <f>IF(SER_hh_fec_in!R14=0,0,11630*1000*SER_hh_fec_in!R14/SER_hh_num_in!R14)</f>
        <v>72106.277884582276</v>
      </c>
      <c r="S14" s="65">
        <f>IF(SER_hh_fec_in!S14=0,0,11630*1000*SER_hh_fec_in!S14/SER_hh_num_in!S14)</f>
        <v>66987.966092633811</v>
      </c>
      <c r="T14" s="65">
        <f>IF(SER_hh_fec_in!T14=0,0,11630*1000*SER_hh_fec_in!T14/SER_hh_num_in!T14)</f>
        <v>61428.002096491211</v>
      </c>
      <c r="U14" s="65">
        <f>IF(SER_hh_fec_in!U14=0,0,11630*1000*SER_hh_fec_in!U14/SER_hh_num_in!U14)</f>
        <v>53918.391623312906</v>
      </c>
      <c r="V14" s="65">
        <f>IF(SER_hh_fec_in!V14=0,0,11630*1000*SER_hh_fec_in!V14/SER_hh_num_in!V14)</f>
        <v>42648.687702572213</v>
      </c>
      <c r="W14" s="65">
        <f>IF(SER_hh_fec_in!W14=0,0,11630*1000*SER_hh_fec_in!W14/SER_hh_num_in!W14)</f>
        <v>42867.112469781561</v>
      </c>
      <c r="X14" s="65">
        <f>IF(SER_hh_fec_in!X14=0,0,11630*1000*SER_hh_fec_in!X14/SER_hh_num_in!X14)</f>
        <v>40130.432538308654</v>
      </c>
      <c r="Y14" s="65">
        <f>IF(SER_hh_fec_in!Y14=0,0,11630*1000*SER_hh_fec_in!Y14/SER_hh_num_in!Y14)</f>
        <v>29328.494956363731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1263.9571787238124</v>
      </c>
      <c r="D15" s="134">
        <f>IF(SER_hh_fec_in!D15=0,0,11630*1000*SER_hh_fec_in!D15/SER_hh_num_in!D15)</f>
        <v>1166.8468876498268</v>
      </c>
      <c r="E15" s="134">
        <f>IF(SER_hh_fec_in!E15=0,0,11630*1000*SER_hh_fec_in!E15/SER_hh_num_in!E15)</f>
        <v>1578.7137832563019</v>
      </c>
      <c r="F15" s="134">
        <f>IF(SER_hh_fec_in!F15=0,0,11630*1000*SER_hh_fec_in!F15/SER_hh_num_in!F15)</f>
        <v>1522.4976850064836</v>
      </c>
      <c r="G15" s="134">
        <f>IF(SER_hh_fec_in!G15=0,0,11630*1000*SER_hh_fec_in!G15/SER_hh_num_in!G15)</f>
        <v>1573.0422967878869</v>
      </c>
      <c r="H15" s="134">
        <f>IF(SER_hh_fec_in!H15=0,0,11630*1000*SER_hh_fec_in!H15/SER_hh_num_in!H15)</f>
        <v>1427.3675523400282</v>
      </c>
      <c r="I15" s="134">
        <f>IF(SER_hh_fec_in!I15=0,0,11630*1000*SER_hh_fec_in!I15/SER_hh_num_in!I15)</f>
        <v>1308.0341432865046</v>
      </c>
      <c r="J15" s="134">
        <f>IF(SER_hh_fec_in!J15=0,0,11630*1000*SER_hh_fec_in!J15/SER_hh_num_in!J15)</f>
        <v>1254.6052476041668</v>
      </c>
      <c r="K15" s="134">
        <f>IF(SER_hh_fec_in!K15=0,0,11630*1000*SER_hh_fec_in!K15/SER_hh_num_in!K15)</f>
        <v>1368.9450964040527</v>
      </c>
      <c r="L15" s="134">
        <f>IF(SER_hh_fec_in!L15=0,0,11630*1000*SER_hh_fec_in!L15/SER_hh_num_in!L15)</f>
        <v>1352.9758860014078</v>
      </c>
      <c r="M15" s="134">
        <f>IF(SER_hh_fec_in!M15=0,0,11630*1000*SER_hh_fec_in!M15/SER_hh_num_in!M15)</f>
        <v>917.81458368875371</v>
      </c>
      <c r="N15" s="134">
        <f>IF(SER_hh_fec_in!N15=0,0,11630*1000*SER_hh_fec_in!N15/SER_hh_num_in!N15)</f>
        <v>1002.4242196311336</v>
      </c>
      <c r="O15" s="134">
        <f>IF(SER_hh_fec_in!O15=0,0,11630*1000*SER_hh_fec_in!O15/SER_hh_num_in!O15)</f>
        <v>986.30767053434784</v>
      </c>
      <c r="P15" s="134">
        <f>IF(SER_hh_fec_in!P15=0,0,11630*1000*SER_hh_fec_in!P15/SER_hh_num_in!P15)</f>
        <v>827.70586048419591</v>
      </c>
      <c r="Q15" s="134">
        <f>IF(SER_hh_fec_in!Q15=0,0,11630*1000*SER_hh_fec_in!Q15/SER_hh_num_in!Q15)</f>
        <v>722.37899386261677</v>
      </c>
      <c r="R15" s="134">
        <f>IF(SER_hh_fec_in!R15=0,0,11630*1000*SER_hh_fec_in!R15/SER_hh_num_in!R15)</f>
        <v>730.78300481026702</v>
      </c>
      <c r="S15" s="134">
        <f>IF(SER_hh_fec_in!S15=0,0,11630*1000*SER_hh_fec_in!S15/SER_hh_num_in!S15)</f>
        <v>749.18986549925171</v>
      </c>
      <c r="T15" s="134">
        <f>IF(SER_hh_fec_in!T15=0,0,11630*1000*SER_hh_fec_in!T15/SER_hh_num_in!T15)</f>
        <v>740.96230986543878</v>
      </c>
      <c r="U15" s="134">
        <f>IF(SER_hh_fec_in!U15=0,0,11630*1000*SER_hh_fec_in!U15/SER_hh_num_in!U15)</f>
        <v>670.08971011827157</v>
      </c>
      <c r="V15" s="134">
        <f>IF(SER_hh_fec_in!V15=0,0,11630*1000*SER_hh_fec_in!V15/SER_hh_num_in!V15)</f>
        <v>577.22076224637658</v>
      </c>
      <c r="W15" s="134">
        <f>IF(SER_hh_fec_in!W15=0,0,11630*1000*SER_hh_fec_in!W15/SER_hh_num_in!W15)</f>
        <v>488.57393270795762</v>
      </c>
      <c r="X15" s="134">
        <f>IF(SER_hh_fec_in!X15=0,0,11630*1000*SER_hh_fec_in!X15/SER_hh_num_in!X15)</f>
        <v>452.2051946633548</v>
      </c>
      <c r="Y15" s="134">
        <f>IF(SER_hh_fec_in!Y15=0,0,11630*1000*SER_hh_fec_in!Y15/SER_hh_num_in!Y15)</f>
        <v>389.35641256055663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10704.98911689096</v>
      </c>
      <c r="D16" s="130">
        <f>IF(SER_hh_fec_in!D16=0,0,11630*1000*SER_hh_fec_in!D16/SER_hh_num_in!D16)</f>
        <v>9750.0482530490171</v>
      </c>
      <c r="E16" s="130">
        <f>IF(SER_hh_fec_in!E16=0,0,11630*1000*SER_hh_fec_in!E16/SER_hh_num_in!E16)</f>
        <v>16330.48189900762</v>
      </c>
      <c r="F16" s="130">
        <f>IF(SER_hh_fec_in!F16=0,0,11630*1000*SER_hh_fec_in!F16/SER_hh_num_in!F16)</f>
        <v>9110.437468967415</v>
      </c>
      <c r="G16" s="130">
        <f>IF(SER_hh_fec_in!G16=0,0,11630*1000*SER_hh_fec_in!G16/SER_hh_num_in!G16)</f>
        <v>9448.0692878124428</v>
      </c>
      <c r="H16" s="130">
        <f>IF(SER_hh_fec_in!H16=0,0,11630*1000*SER_hh_fec_in!H16/SER_hh_num_in!H16)</f>
        <v>10378.801511993925</v>
      </c>
      <c r="I16" s="130">
        <f>IF(SER_hh_fec_in!I16=0,0,11630*1000*SER_hh_fec_in!I16/SER_hh_num_in!I16)</f>
        <v>7697.8012130459101</v>
      </c>
      <c r="J16" s="130">
        <f>IF(SER_hh_fec_in!J16=0,0,11630*1000*SER_hh_fec_in!J16/SER_hh_num_in!J16)</f>
        <v>7472.4759282715841</v>
      </c>
      <c r="K16" s="130">
        <f>IF(SER_hh_fec_in!K16=0,0,11630*1000*SER_hh_fec_in!K16/SER_hh_num_in!K16)</f>
        <v>7548.1755098820086</v>
      </c>
      <c r="L16" s="130">
        <f>IF(SER_hh_fec_in!L16=0,0,11630*1000*SER_hh_fec_in!L16/SER_hh_num_in!L16)</f>
        <v>7122.3534721089209</v>
      </c>
      <c r="M16" s="130">
        <f>IF(SER_hh_fec_in!M16=0,0,11630*1000*SER_hh_fec_in!M16/SER_hh_num_in!M16)</f>
        <v>6734.0941226479372</v>
      </c>
      <c r="N16" s="130">
        <f>IF(SER_hh_fec_in!N16=0,0,11630*1000*SER_hh_fec_in!N16/SER_hh_num_in!N16)</f>
        <v>6854.5752274383503</v>
      </c>
      <c r="O16" s="130">
        <f>IF(SER_hh_fec_in!O16=0,0,11630*1000*SER_hh_fec_in!O16/SER_hh_num_in!O16)</f>
        <v>6264.6035595921139</v>
      </c>
      <c r="P16" s="130">
        <f>IF(SER_hh_fec_in!P16=0,0,11630*1000*SER_hh_fec_in!P16/SER_hh_num_in!P16)</f>
        <v>5422.3826474092639</v>
      </c>
      <c r="Q16" s="130">
        <f>IF(SER_hh_fec_in!Q16=0,0,11630*1000*SER_hh_fec_in!Q16/SER_hh_num_in!Q16)</f>
        <v>6442.2984616781559</v>
      </c>
      <c r="R16" s="130">
        <f>IF(SER_hh_fec_in!R16=0,0,11630*1000*SER_hh_fec_in!R16/SER_hh_num_in!R16)</f>
        <v>5286.86888092342</v>
      </c>
      <c r="S16" s="130">
        <f>IF(SER_hh_fec_in!S16=0,0,11630*1000*SER_hh_fec_in!S16/SER_hh_num_in!S16)</f>
        <v>5607.0857578626319</v>
      </c>
      <c r="T16" s="130">
        <f>IF(SER_hh_fec_in!T16=0,0,11630*1000*SER_hh_fec_in!T16/SER_hh_num_in!T16)</f>
        <v>5259.124734902136</v>
      </c>
      <c r="U16" s="130">
        <f>IF(SER_hh_fec_in!U16=0,0,11630*1000*SER_hh_fec_in!U16/SER_hh_num_in!U16)</f>
        <v>5130.0642420725853</v>
      </c>
      <c r="V16" s="130">
        <f>IF(SER_hh_fec_in!V16=0,0,11630*1000*SER_hh_fec_in!V16/SER_hh_num_in!V16)</f>
        <v>4821.3178894728262</v>
      </c>
      <c r="W16" s="130">
        <f>IF(SER_hh_fec_in!W16=0,0,11630*1000*SER_hh_fec_in!W16/SER_hh_num_in!W16)</f>
        <v>3595.7777211322204</v>
      </c>
      <c r="X16" s="130">
        <f>IF(SER_hh_fec_in!X16=0,0,11630*1000*SER_hh_fec_in!X16/SER_hh_num_in!X16)</f>
        <v>5327.2415661073992</v>
      </c>
      <c r="Y16" s="130">
        <f>IF(SER_hh_fec_in!Y16=0,0,11630*1000*SER_hh_fec_in!Y16/SER_hh_num_in!Y16)</f>
        <v>4625.8698405368586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20939.184099025151</v>
      </c>
      <c r="D17" s="132">
        <f>IF(SER_hh_fec_in!D17=0,0,11630*1000*SER_hh_fec_in!D17/SER_hh_num_in!D17)</f>
        <v>19568.895666976685</v>
      </c>
      <c r="E17" s="132">
        <f>IF(SER_hh_fec_in!E17=0,0,11630*1000*SER_hh_fec_in!E17/SER_hh_num_in!E17)</f>
        <v>37981.0053967239</v>
      </c>
      <c r="F17" s="132">
        <f>IF(SER_hh_fec_in!F17=0,0,11630*1000*SER_hh_fec_in!F17/SER_hh_num_in!F17)</f>
        <v>19217.55118742312</v>
      </c>
      <c r="G17" s="132">
        <f>IF(SER_hh_fec_in!G17=0,0,11630*1000*SER_hh_fec_in!G17/SER_hh_num_in!G17)</f>
        <v>18126.865630827848</v>
      </c>
      <c r="H17" s="132">
        <f>IF(SER_hh_fec_in!H17=0,0,11630*1000*SER_hh_fec_in!H17/SER_hh_num_in!H17)</f>
        <v>22768.477406643491</v>
      </c>
      <c r="I17" s="132">
        <f>IF(SER_hh_fec_in!I17=0,0,11630*1000*SER_hh_fec_in!I17/SER_hh_num_in!I17)</f>
        <v>17331.188043814862</v>
      </c>
      <c r="J17" s="132">
        <f>IF(SER_hh_fec_in!J17=0,0,11630*1000*SER_hh_fec_in!J17/SER_hh_num_in!J17)</f>
        <v>17110.619787472435</v>
      </c>
      <c r="K17" s="132">
        <f>IF(SER_hh_fec_in!K17=0,0,11630*1000*SER_hh_fec_in!K17/SER_hh_num_in!K17)</f>
        <v>17715.735942677537</v>
      </c>
      <c r="L17" s="132">
        <f>IF(SER_hh_fec_in!L17=0,0,11630*1000*SER_hh_fec_in!L17/SER_hh_num_in!L17)</f>
        <v>16952.23360677149</v>
      </c>
      <c r="M17" s="132">
        <f>IF(SER_hh_fec_in!M17=0,0,11630*1000*SER_hh_fec_in!M17/SER_hh_num_in!M17)</f>
        <v>16150.299214527349</v>
      </c>
      <c r="N17" s="132">
        <f>IF(SER_hh_fec_in!N17=0,0,11630*1000*SER_hh_fec_in!N17/SER_hh_num_in!N17)</f>
        <v>16328.08879039328</v>
      </c>
      <c r="O17" s="132">
        <f>IF(SER_hh_fec_in!O17=0,0,11630*1000*SER_hh_fec_in!O17/SER_hh_num_in!O17)</f>
        <v>15534.875283206151</v>
      </c>
      <c r="P17" s="132">
        <f>IF(SER_hh_fec_in!P17=0,0,11630*1000*SER_hh_fec_in!P17/SER_hh_num_in!P17)</f>
        <v>13021.169318397349</v>
      </c>
      <c r="Q17" s="132">
        <f>IF(SER_hh_fec_in!Q17=0,0,11630*1000*SER_hh_fec_in!Q17/SER_hh_num_in!Q17)</f>
        <v>16604.007056496146</v>
      </c>
      <c r="R17" s="132">
        <f>IF(SER_hh_fec_in!R17=0,0,11630*1000*SER_hh_fec_in!R17/SER_hh_num_in!R17)</f>
        <v>13977.488235775099</v>
      </c>
      <c r="S17" s="132">
        <f>IF(SER_hh_fec_in!S17=0,0,11630*1000*SER_hh_fec_in!S17/SER_hh_num_in!S17)</f>
        <v>14379.872332428038</v>
      </c>
      <c r="T17" s="132">
        <f>IF(SER_hh_fec_in!T17=0,0,11630*1000*SER_hh_fec_in!T17/SER_hh_num_in!T17)</f>
        <v>13431.326392548186</v>
      </c>
      <c r="U17" s="132">
        <f>IF(SER_hh_fec_in!U17=0,0,11630*1000*SER_hh_fec_in!U17/SER_hh_num_in!U17)</f>
        <v>12816.060060196582</v>
      </c>
      <c r="V17" s="132">
        <f>IF(SER_hh_fec_in!V17=0,0,11630*1000*SER_hh_fec_in!V17/SER_hh_num_in!V17)</f>
        <v>11587.904620374175</v>
      </c>
      <c r="W17" s="132">
        <f>IF(SER_hh_fec_in!W17=0,0,11630*1000*SER_hh_fec_in!W17/SER_hh_num_in!W17)</f>
        <v>8235.1694022835272</v>
      </c>
      <c r="X17" s="132">
        <f>IF(SER_hh_fec_in!X17=0,0,11630*1000*SER_hh_fec_in!X17/SER_hh_num_in!X17)</f>
        <v>12333.957967423969</v>
      </c>
      <c r="Y17" s="132">
        <f>IF(SER_hh_fec_in!Y17=0,0,11630*1000*SER_hh_fec_in!Y17/SER_hh_num_in!Y17)</f>
        <v>11577.841355793405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10657.480968648861</v>
      </c>
      <c r="D18" s="132">
        <f>IF(SER_hh_fec_in!D18=0,0,11630*1000*SER_hh_fec_in!D18/SER_hh_num_in!D18)</f>
        <v>9707.2481049295038</v>
      </c>
      <c r="E18" s="132">
        <f>IF(SER_hh_fec_in!E18=0,0,11630*1000*SER_hh_fec_in!E18/SER_hh_num_in!E18)</f>
        <v>16140.950737472205</v>
      </c>
      <c r="F18" s="132">
        <f>IF(SER_hh_fec_in!F18=0,0,11630*1000*SER_hh_fec_in!F18/SER_hh_num_in!F18)</f>
        <v>9068.9053545991264</v>
      </c>
      <c r="G18" s="132">
        <f>IF(SER_hh_fec_in!G18=0,0,11630*1000*SER_hh_fec_in!G18/SER_hh_num_in!G18)</f>
        <v>9401.786705067585</v>
      </c>
      <c r="H18" s="132">
        <f>IF(SER_hh_fec_in!H18=0,0,11630*1000*SER_hh_fec_in!H18/SER_hh_num_in!H18)</f>
        <v>10245.941432850581</v>
      </c>
      <c r="I18" s="132">
        <f>IF(SER_hh_fec_in!I18=0,0,11630*1000*SER_hh_fec_in!I18/SER_hh_num_in!I18)</f>
        <v>7626.6839115089124</v>
      </c>
      <c r="J18" s="132">
        <f>IF(SER_hh_fec_in!J18=0,0,11630*1000*SER_hh_fec_in!J18/SER_hh_num_in!J18)</f>
        <v>7362.8366690741559</v>
      </c>
      <c r="K18" s="132">
        <f>IF(SER_hh_fec_in!K18=0,0,11630*1000*SER_hh_fec_in!K18/SER_hh_num_in!K18)</f>
        <v>7458.4591436543833</v>
      </c>
      <c r="L18" s="132">
        <f>IF(SER_hh_fec_in!L18=0,0,11630*1000*SER_hh_fec_in!L18/SER_hh_num_in!L18)</f>
        <v>6973.8584554911995</v>
      </c>
      <c r="M18" s="132">
        <f>IF(SER_hh_fec_in!M18=0,0,11630*1000*SER_hh_fec_in!M18/SER_hh_num_in!M18)</f>
        <v>6473.6957644146196</v>
      </c>
      <c r="N18" s="132">
        <f>IF(SER_hh_fec_in!N18=0,0,11630*1000*SER_hh_fec_in!N18/SER_hh_num_in!N18)</f>
        <v>6367.8089196833344</v>
      </c>
      <c r="O18" s="132">
        <f>IF(SER_hh_fec_in!O18=0,0,11630*1000*SER_hh_fec_in!O18/SER_hh_num_in!O18)</f>
        <v>5892.6688712438799</v>
      </c>
      <c r="P18" s="132">
        <f>IF(SER_hh_fec_in!P18=0,0,11630*1000*SER_hh_fec_in!P18/SER_hh_num_in!P18)</f>
        <v>5161.2288689931229</v>
      </c>
      <c r="Q18" s="132">
        <f>IF(SER_hh_fec_in!Q18=0,0,11630*1000*SER_hh_fec_in!Q18/SER_hh_num_in!Q18)</f>
        <v>6022.6607508287334</v>
      </c>
      <c r="R18" s="132">
        <f>IF(SER_hh_fec_in!R18=0,0,11630*1000*SER_hh_fec_in!R18/SER_hh_num_in!R18)</f>
        <v>5007.1136781577497</v>
      </c>
      <c r="S18" s="132">
        <f>IF(SER_hh_fec_in!S18=0,0,11630*1000*SER_hh_fec_in!S18/SER_hh_num_in!S18)</f>
        <v>5173.3945365809823</v>
      </c>
      <c r="T18" s="132">
        <f>IF(SER_hh_fec_in!T18=0,0,11630*1000*SER_hh_fec_in!T18/SER_hh_num_in!T18)</f>
        <v>4886.9291768474459</v>
      </c>
      <c r="U18" s="132">
        <f>IF(SER_hh_fec_in!U18=0,0,11630*1000*SER_hh_fec_in!U18/SER_hh_num_in!U18)</f>
        <v>4713.8607510649945</v>
      </c>
      <c r="V18" s="132">
        <f>IF(SER_hh_fec_in!V18=0,0,11630*1000*SER_hh_fec_in!V18/SER_hh_num_in!V18)</f>
        <v>4482.1065198189826</v>
      </c>
      <c r="W18" s="132">
        <f>IF(SER_hh_fec_in!W18=0,0,11630*1000*SER_hh_fec_in!W18/SER_hh_num_in!W18)</f>
        <v>3364.486334855053</v>
      </c>
      <c r="X18" s="132">
        <f>IF(SER_hh_fec_in!X18=0,0,11630*1000*SER_hh_fec_in!X18/SER_hh_num_in!X18)</f>
        <v>4905.9271256139191</v>
      </c>
      <c r="Y18" s="132">
        <f>IF(SER_hh_fec_in!Y18=0,0,11630*1000*SER_hh_fec_in!Y18/SER_hh_num_in!Y18)</f>
        <v>4310.8558878568247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23100.685589139444</v>
      </c>
      <c r="D19" s="130">
        <f>IF(SER_hh_fec_in!D19=0,0,11630*1000*SER_hh_fec_in!D19/SER_hh_num_in!D19)</f>
        <v>23022.346570303616</v>
      </c>
      <c r="E19" s="130">
        <f>IF(SER_hh_fec_in!E19=0,0,11630*1000*SER_hh_fec_in!E19/SER_hh_num_in!E19)</f>
        <v>22334.189409476217</v>
      </c>
      <c r="F19" s="130">
        <f>IF(SER_hh_fec_in!F19=0,0,11630*1000*SER_hh_fec_in!F19/SER_hh_num_in!F19)</f>
        <v>22463.838976712534</v>
      </c>
      <c r="G19" s="130">
        <f>IF(SER_hh_fec_in!G19=0,0,11630*1000*SER_hh_fec_in!G19/SER_hh_num_in!G19)</f>
        <v>21675.270869586737</v>
      </c>
      <c r="H19" s="130">
        <f>IF(SER_hh_fec_in!H19=0,0,11630*1000*SER_hh_fec_in!H19/SER_hh_num_in!H19)</f>
        <v>21386.676311675303</v>
      </c>
      <c r="I19" s="130">
        <f>IF(SER_hh_fec_in!I19=0,0,11630*1000*SER_hh_fec_in!I19/SER_hh_num_in!I19)</f>
        <v>21494.30819156412</v>
      </c>
      <c r="J19" s="130">
        <f>IF(SER_hh_fec_in!J19=0,0,11630*1000*SER_hh_fec_in!J19/SER_hh_num_in!J19)</f>
        <v>21648.86997038261</v>
      </c>
      <c r="K19" s="130">
        <f>IF(SER_hh_fec_in!K19=0,0,11630*1000*SER_hh_fec_in!K19/SER_hh_num_in!K19)</f>
        <v>21798.124480050541</v>
      </c>
      <c r="L19" s="130">
        <f>IF(SER_hh_fec_in!L19=0,0,11630*1000*SER_hh_fec_in!L19/SER_hh_num_in!L19)</f>
        <v>20800.951749346052</v>
      </c>
      <c r="M19" s="130">
        <f>IF(SER_hh_fec_in!M19=0,0,11630*1000*SER_hh_fec_in!M19/SER_hh_num_in!M19)</f>
        <v>20687.221872739781</v>
      </c>
      <c r="N19" s="130">
        <f>IF(SER_hh_fec_in!N19=0,0,11630*1000*SER_hh_fec_in!N19/SER_hh_num_in!N19)</f>
        <v>19781.52051636497</v>
      </c>
      <c r="O19" s="130">
        <f>IF(SER_hh_fec_in!O19=0,0,11630*1000*SER_hh_fec_in!O19/SER_hh_num_in!O19)</f>
        <v>19934.945350105158</v>
      </c>
      <c r="P19" s="130">
        <f>IF(SER_hh_fec_in!P19=0,0,11630*1000*SER_hh_fec_in!P19/SER_hh_num_in!P19)</f>
        <v>20383.26884975077</v>
      </c>
      <c r="Q19" s="130">
        <f>IF(SER_hh_fec_in!Q19=0,0,11630*1000*SER_hh_fec_in!Q19/SER_hh_num_in!Q19)</f>
        <v>18563.990593560342</v>
      </c>
      <c r="R19" s="130">
        <f>IF(SER_hh_fec_in!R19=0,0,11630*1000*SER_hh_fec_in!R19/SER_hh_num_in!R19)</f>
        <v>18281.783591297826</v>
      </c>
      <c r="S19" s="130">
        <f>IF(SER_hh_fec_in!S19=0,0,11630*1000*SER_hh_fec_in!S19/SER_hh_num_in!S19)</f>
        <v>17616.996584915247</v>
      </c>
      <c r="T19" s="130">
        <f>IF(SER_hh_fec_in!T19=0,0,11630*1000*SER_hh_fec_in!T19/SER_hh_num_in!T19)</f>
        <v>17630.553668454271</v>
      </c>
      <c r="U19" s="130">
        <f>IF(SER_hh_fec_in!U19=0,0,11630*1000*SER_hh_fec_in!U19/SER_hh_num_in!U19)</f>
        <v>16809.102370764413</v>
      </c>
      <c r="V19" s="130">
        <f>IF(SER_hh_fec_in!V19=0,0,11630*1000*SER_hh_fec_in!V19/SER_hh_num_in!V19)</f>
        <v>15433.413161086542</v>
      </c>
      <c r="W19" s="130">
        <f>IF(SER_hh_fec_in!W19=0,0,11630*1000*SER_hh_fec_in!W19/SER_hh_num_in!W19)</f>
        <v>15877.030879286747</v>
      </c>
      <c r="X19" s="130">
        <f>IF(SER_hh_fec_in!X19=0,0,11630*1000*SER_hh_fec_in!X19/SER_hh_num_in!X19)</f>
        <v>16339.906415448846</v>
      </c>
      <c r="Y19" s="130">
        <f>IF(SER_hh_fec_in!Y19=0,0,11630*1000*SER_hh_fec_in!Y19/SER_hh_num_in!Y19)</f>
        <v>15948.657669047638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25398.147333650428</v>
      </c>
      <c r="D21" s="132">
        <f>IF(SER_hh_fec_in!D21=0,0,11630*1000*SER_hh_fec_in!D21/SER_hh_num_in!D21)</f>
        <v>25871.512432160584</v>
      </c>
      <c r="E21" s="132">
        <f>IF(SER_hh_fec_in!E21=0,0,11630*1000*SER_hh_fec_in!E21/SER_hh_num_in!E21)</f>
        <v>25887.877000547873</v>
      </c>
      <c r="F21" s="132">
        <f>IF(SER_hh_fec_in!F21=0,0,11630*1000*SER_hh_fec_in!F21/SER_hh_num_in!F21)</f>
        <v>25563.481126592378</v>
      </c>
      <c r="G21" s="132">
        <f>IF(SER_hh_fec_in!G21=0,0,11630*1000*SER_hh_fec_in!G21/SER_hh_num_in!G21)</f>
        <v>23904.090935480806</v>
      </c>
      <c r="H21" s="132">
        <f>IF(SER_hh_fec_in!H21=0,0,11630*1000*SER_hh_fec_in!H21/SER_hh_num_in!H21)</f>
        <v>24552.305679101362</v>
      </c>
      <c r="I21" s="132">
        <f>IF(SER_hh_fec_in!I21=0,0,11630*1000*SER_hh_fec_in!I21/SER_hh_num_in!I21)</f>
        <v>24333.002793870593</v>
      </c>
      <c r="J21" s="132">
        <f>IF(SER_hh_fec_in!J21=0,0,11630*1000*SER_hh_fec_in!J21/SER_hh_num_in!J21)</f>
        <v>24319.308952250307</v>
      </c>
      <c r="K21" s="132">
        <f>IF(SER_hh_fec_in!K21=0,0,11630*1000*SER_hh_fec_in!K21/SER_hh_num_in!K21)</f>
        <v>25421.911374539879</v>
      </c>
      <c r="L21" s="132">
        <f>IF(SER_hh_fec_in!L21=0,0,11630*1000*SER_hh_fec_in!L21/SER_hh_num_in!L21)</f>
        <v>24204.095367007332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24179.488422591705</v>
      </c>
      <c r="O21" s="132">
        <f>IF(SER_hh_fec_in!O21=0,0,11630*1000*SER_hh_fec_in!O21/SER_hh_num_in!O21)</f>
        <v>22736.936283383508</v>
      </c>
      <c r="P21" s="132">
        <f>IF(SER_hh_fec_in!P21=0,0,11630*1000*SER_hh_fec_in!P21/SER_hh_num_in!P21)</f>
        <v>20567.99537456864</v>
      </c>
      <c r="Q21" s="132">
        <f>IF(SER_hh_fec_in!Q21=0,0,11630*1000*SER_hh_fec_in!Q21/SER_hh_num_in!Q21)</f>
        <v>20344.2849697975</v>
      </c>
      <c r="R21" s="132">
        <f>IF(SER_hh_fec_in!R21=0,0,11630*1000*SER_hh_fec_in!R21/SER_hh_num_in!R21)</f>
        <v>20033.665899551397</v>
      </c>
      <c r="S21" s="132">
        <f>IF(SER_hh_fec_in!S21=0,0,11630*1000*SER_hh_fec_in!S21/SER_hh_num_in!S21)</f>
        <v>20458.030341414622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17316.142325321678</v>
      </c>
      <c r="Y21" s="132">
        <f>IF(SER_hh_fec_in!Y21=0,0,11630*1000*SER_hh_fec_in!Y21/SER_hh_num_in!Y21)</f>
        <v>17062.619759742407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27530.585898584883</v>
      </c>
      <c r="D22" s="132">
        <f>IF(SER_hh_fec_in!D22=0,0,11630*1000*SER_hh_fec_in!D22/SER_hh_num_in!D22)</f>
        <v>27021.053428224735</v>
      </c>
      <c r="E22" s="132">
        <f>IF(SER_hh_fec_in!E22=0,0,11630*1000*SER_hh_fec_in!E22/SER_hh_num_in!E22)</f>
        <v>26646.619209481461</v>
      </c>
      <c r="F22" s="132">
        <f>IF(SER_hh_fec_in!F22=0,0,11630*1000*SER_hh_fec_in!F22/SER_hh_num_in!F22)</f>
        <v>26930.841920610637</v>
      </c>
      <c r="G22" s="132">
        <f>IF(SER_hh_fec_in!G22=0,0,11630*1000*SER_hh_fec_in!G22/SER_hh_num_in!G22)</f>
        <v>26350.810265145945</v>
      </c>
      <c r="H22" s="132">
        <f>IF(SER_hh_fec_in!H22=0,0,11630*1000*SER_hh_fec_in!H22/SER_hh_num_in!H22)</f>
        <v>25916.194764351501</v>
      </c>
      <c r="I22" s="132">
        <f>IF(SER_hh_fec_in!I22=0,0,11630*1000*SER_hh_fec_in!I22/SER_hh_num_in!I22)</f>
        <v>24997.529770465688</v>
      </c>
      <c r="J22" s="132">
        <f>IF(SER_hh_fec_in!J22=0,0,11630*1000*SER_hh_fec_in!J22/SER_hh_num_in!J22)</f>
        <v>25715.904272525284</v>
      </c>
      <c r="K22" s="132">
        <f>IF(SER_hh_fec_in!K22=0,0,11630*1000*SER_hh_fec_in!K22/SER_hh_num_in!K22)</f>
        <v>25931.908189474056</v>
      </c>
      <c r="L22" s="132">
        <f>IF(SER_hh_fec_in!L22=0,0,11630*1000*SER_hh_fec_in!L22/SER_hh_num_in!L22)</f>
        <v>24757.127323120105</v>
      </c>
      <c r="M22" s="132">
        <f>IF(SER_hh_fec_in!M22=0,0,11630*1000*SER_hh_fec_in!M22/SER_hh_num_in!M22)</f>
        <v>23281.086008487331</v>
      </c>
      <c r="N22" s="132">
        <f>IF(SER_hh_fec_in!N22=0,0,11630*1000*SER_hh_fec_in!N22/SER_hh_num_in!N22)</f>
        <v>23298.823308540981</v>
      </c>
      <c r="O22" s="132">
        <f>IF(SER_hh_fec_in!O22=0,0,11630*1000*SER_hh_fec_in!O22/SER_hh_num_in!O22)</f>
        <v>21888.518160796069</v>
      </c>
      <c r="P22" s="132">
        <f>IF(SER_hh_fec_in!P22=0,0,11630*1000*SER_hh_fec_in!P22/SER_hh_num_in!P22)</f>
        <v>24080.18365741046</v>
      </c>
      <c r="Q22" s="132">
        <f>IF(SER_hh_fec_in!Q22=0,0,11630*1000*SER_hh_fec_in!Q22/SER_hh_num_in!Q22)</f>
        <v>21560.009026275351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21085.041107693309</v>
      </c>
      <c r="T22" s="132">
        <f>IF(SER_hh_fec_in!T22=0,0,11630*1000*SER_hh_fec_in!T22/SER_hh_num_in!T22)</f>
        <v>18781.303180861676</v>
      </c>
      <c r="U22" s="132">
        <f>IF(SER_hh_fec_in!U22=0,0,11630*1000*SER_hh_fec_in!U22/SER_hh_num_in!U22)</f>
        <v>17568.384817314043</v>
      </c>
      <c r="V22" s="132">
        <f>IF(SER_hh_fec_in!V22=0,0,11630*1000*SER_hh_fec_in!V22/SER_hh_num_in!V22)</f>
        <v>18697.529003684311</v>
      </c>
      <c r="W22" s="132">
        <f>IF(SER_hh_fec_in!W22=0,0,11630*1000*SER_hh_fec_in!W22/SER_hh_num_in!W22)</f>
        <v>15277.564777209947</v>
      </c>
      <c r="X22" s="132">
        <f>IF(SER_hh_fec_in!X22=0,0,11630*1000*SER_hh_fec_in!X22/SER_hh_num_in!X22)</f>
        <v>19448.204652664499</v>
      </c>
      <c r="Y22" s="132">
        <f>IF(SER_hh_fec_in!Y22=0,0,11630*1000*SER_hh_fec_in!Y22/SER_hh_num_in!Y22)</f>
        <v>16967.956775750648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25247.63453544848</v>
      </c>
      <c r="D23" s="132">
        <f>IF(SER_hh_fec_in!D23=0,0,11630*1000*SER_hh_fec_in!D23/SER_hh_num_in!D23)</f>
        <v>24722.100860862287</v>
      </c>
      <c r="E23" s="132">
        <f>IF(SER_hh_fec_in!E23=0,0,11630*1000*SER_hh_fec_in!E23/SER_hh_num_in!E23)</f>
        <v>24856.281057188229</v>
      </c>
      <c r="F23" s="132">
        <f>IF(SER_hh_fec_in!F23=0,0,11630*1000*SER_hh_fec_in!F23/SER_hh_num_in!F23)</f>
        <v>24843.536185568883</v>
      </c>
      <c r="G23" s="132">
        <f>IF(SER_hh_fec_in!G23=0,0,11630*1000*SER_hh_fec_in!G23/SER_hh_num_in!G23)</f>
        <v>23174.130887566858</v>
      </c>
      <c r="H23" s="132">
        <f>IF(SER_hh_fec_in!H23=0,0,11630*1000*SER_hh_fec_in!H23/SER_hh_num_in!H23)</f>
        <v>22876.990960673225</v>
      </c>
      <c r="I23" s="132">
        <f>IF(SER_hh_fec_in!I23=0,0,11630*1000*SER_hh_fec_in!I23/SER_hh_num_in!I23)</f>
        <v>22777.522969299749</v>
      </c>
      <c r="J23" s="132">
        <f>IF(SER_hh_fec_in!J23=0,0,11630*1000*SER_hh_fec_in!J23/SER_hh_num_in!J23)</f>
        <v>22192.90069410767</v>
      </c>
      <c r="K23" s="132">
        <f>IF(SER_hh_fec_in!K23=0,0,11630*1000*SER_hh_fec_in!K23/SER_hh_num_in!K23)</f>
        <v>23368.726475902164</v>
      </c>
      <c r="L23" s="132">
        <f>IF(SER_hh_fec_in!L23=0,0,11630*1000*SER_hh_fec_in!L23/SER_hh_num_in!L23)</f>
        <v>22102.984099361143</v>
      </c>
      <c r="M23" s="132">
        <f>IF(SER_hh_fec_in!M23=0,0,11630*1000*SER_hh_fec_in!M23/SER_hh_num_in!M23)</f>
        <v>23914.372791734688</v>
      </c>
      <c r="N23" s="132">
        <f>IF(SER_hh_fec_in!N23=0,0,11630*1000*SER_hh_fec_in!N23/SER_hh_num_in!N23)</f>
        <v>18010.580881627673</v>
      </c>
      <c r="O23" s="132">
        <f>IF(SER_hh_fec_in!O23=0,0,11630*1000*SER_hh_fec_in!O23/SER_hh_num_in!O23)</f>
        <v>19331.546596497341</v>
      </c>
      <c r="P23" s="132">
        <f>IF(SER_hh_fec_in!P23=0,0,11630*1000*SER_hh_fec_in!P23/SER_hh_num_in!P23)</f>
        <v>20085.530152372285</v>
      </c>
      <c r="Q23" s="132">
        <f>IF(SER_hh_fec_in!Q23=0,0,11630*1000*SER_hh_fec_in!Q23/SER_hh_num_in!Q23)</f>
        <v>18652.41547913005</v>
      </c>
      <c r="R23" s="132">
        <f>IF(SER_hh_fec_in!R23=0,0,11630*1000*SER_hh_fec_in!R23/SER_hh_num_in!R23)</f>
        <v>19921.202723238748</v>
      </c>
      <c r="S23" s="132">
        <f>IF(SER_hh_fec_in!S23=0,0,11630*1000*SER_hh_fec_in!S23/SER_hh_num_in!S23)</f>
        <v>18666.469566555814</v>
      </c>
      <c r="T23" s="132">
        <f>IF(SER_hh_fec_in!T23=0,0,11630*1000*SER_hh_fec_in!T23/SER_hh_num_in!T23)</f>
        <v>18435.589854483605</v>
      </c>
      <c r="U23" s="132">
        <f>IF(SER_hh_fec_in!U23=0,0,11630*1000*SER_hh_fec_in!U23/SER_hh_num_in!U23)</f>
        <v>17706.816625736541</v>
      </c>
      <c r="V23" s="132">
        <f>IF(SER_hh_fec_in!V23=0,0,11630*1000*SER_hh_fec_in!V23/SER_hh_num_in!V23)</f>
        <v>15497.333354015971</v>
      </c>
      <c r="W23" s="132">
        <f>IF(SER_hh_fec_in!W23=0,0,11630*1000*SER_hh_fec_in!W23/SER_hh_num_in!W23)</f>
        <v>18822.289099038921</v>
      </c>
      <c r="X23" s="132">
        <f>IF(SER_hh_fec_in!X23=0,0,11630*1000*SER_hh_fec_in!X23/SER_hh_num_in!X23)</f>
        <v>17618.94893436796</v>
      </c>
      <c r="Y23" s="132">
        <f>IF(SER_hh_fec_in!Y23=0,0,11630*1000*SER_hh_fec_in!Y23/SER_hh_num_in!Y23)</f>
        <v>17367.221933346253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25363.877401013688</v>
      </c>
      <c r="D24" s="132">
        <f>IF(SER_hh_fec_in!D24=0,0,11630*1000*SER_hh_fec_in!D24/SER_hh_num_in!D24)</f>
        <v>24678.32524966657</v>
      </c>
      <c r="E24" s="132">
        <f>IF(SER_hh_fec_in!E24=0,0,11630*1000*SER_hh_fec_in!E24/SER_hh_num_in!E24)</f>
        <v>23985.012116603779</v>
      </c>
      <c r="F24" s="132">
        <f>IF(SER_hh_fec_in!F24=0,0,11630*1000*SER_hh_fec_in!F24/SER_hh_num_in!F24)</f>
        <v>24222.024908842188</v>
      </c>
      <c r="G24" s="132">
        <f>IF(SER_hh_fec_in!G24=0,0,11630*1000*SER_hh_fec_in!G24/SER_hh_num_in!G24)</f>
        <v>22795.684354655612</v>
      </c>
      <c r="H24" s="132">
        <f>IF(SER_hh_fec_in!H24=0,0,11630*1000*SER_hh_fec_in!H24/SER_hh_num_in!H24)</f>
        <v>21428.022642968597</v>
      </c>
      <c r="I24" s="132">
        <f>IF(SER_hh_fec_in!I24=0,0,11630*1000*SER_hh_fec_in!I24/SER_hh_num_in!I24)</f>
        <v>22963.374679893172</v>
      </c>
      <c r="J24" s="132">
        <f>IF(SER_hh_fec_in!J24=0,0,11630*1000*SER_hh_fec_in!J24/SER_hh_num_in!J24)</f>
        <v>21297.571736272428</v>
      </c>
      <c r="K24" s="132">
        <f>IF(SER_hh_fec_in!K24=0,0,11630*1000*SER_hh_fec_in!K24/SER_hh_num_in!K24)</f>
        <v>22396.87651258902</v>
      </c>
      <c r="L24" s="132">
        <f>IF(SER_hh_fec_in!L24=0,0,11630*1000*SER_hh_fec_in!L24/SER_hh_num_in!L24)</f>
        <v>23792.946799762434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17318.763444516524</v>
      </c>
      <c r="O24" s="132">
        <f>IF(SER_hh_fec_in!O24=0,0,11630*1000*SER_hh_fec_in!O24/SER_hh_num_in!O24)</f>
        <v>22998.159991687251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19507.972348580228</v>
      </c>
      <c r="S24" s="132">
        <f>IF(SER_hh_fec_in!S24=0,0,11630*1000*SER_hh_fec_in!S24/SER_hh_num_in!S24)</f>
        <v>19325.78643473834</v>
      </c>
      <c r="T24" s="132">
        <f>IF(SER_hh_fec_in!T24=0,0,11630*1000*SER_hh_fec_in!T24/SER_hh_num_in!T24)</f>
        <v>18066.979995893456</v>
      </c>
      <c r="U24" s="132">
        <f>IF(SER_hh_fec_in!U24=0,0,11630*1000*SER_hh_fec_in!U24/SER_hh_num_in!U24)</f>
        <v>17357.523606797557</v>
      </c>
      <c r="V24" s="132">
        <f>IF(SER_hh_fec_in!V24=0,0,11630*1000*SER_hh_fec_in!V24/SER_hh_num_in!V24)</f>
        <v>16481.935992268627</v>
      </c>
      <c r="W24" s="132">
        <f>IF(SER_hh_fec_in!W24=0,0,11630*1000*SER_hh_fec_in!W24/SER_hh_num_in!W24)</f>
        <v>16860.904771989583</v>
      </c>
      <c r="X24" s="132">
        <f>IF(SER_hh_fec_in!X24=0,0,11630*1000*SER_hh_fec_in!X24/SER_hh_num_in!X24)</f>
        <v>17936.357791311631</v>
      </c>
      <c r="Y24" s="132">
        <f>IF(SER_hh_fec_in!Y24=0,0,11630*1000*SER_hh_fec_in!Y24/SER_hh_num_in!Y24)</f>
        <v>17313.407013257525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18245.786978358054</v>
      </c>
      <c r="D25" s="132">
        <f>IF(SER_hh_fec_in!D25=0,0,11630*1000*SER_hh_fec_in!D25/SER_hh_num_in!D25)</f>
        <v>17687.516310323081</v>
      </c>
      <c r="E25" s="132">
        <f>IF(SER_hh_fec_in!E25=0,0,11630*1000*SER_hh_fec_in!E25/SER_hh_num_in!E25)</f>
        <v>17680.164217317633</v>
      </c>
      <c r="F25" s="132">
        <f>IF(SER_hh_fec_in!F25=0,0,11630*1000*SER_hh_fec_in!F25/SER_hh_num_in!F25)</f>
        <v>17907.279731517534</v>
      </c>
      <c r="G25" s="132">
        <f>IF(SER_hh_fec_in!G25=0,0,11630*1000*SER_hh_fec_in!G25/SER_hh_num_in!G25)</f>
        <v>17953.655142661348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18686.546945175589</v>
      </c>
      <c r="L25" s="132">
        <f>IF(SER_hh_fec_in!L25=0,0,11630*1000*SER_hh_fec_in!L25/SER_hh_num_in!L25)</f>
        <v>16604.778372416717</v>
      </c>
      <c r="M25" s="132">
        <f>IF(SER_hh_fec_in!M25=0,0,11630*1000*SER_hh_fec_in!M25/SER_hh_num_in!M25)</f>
        <v>15427.51169632498</v>
      </c>
      <c r="N25" s="132">
        <f>IF(SER_hh_fec_in!N25=0,0,11630*1000*SER_hh_fec_in!N25/SER_hh_num_in!N25)</f>
        <v>17649.111765774662</v>
      </c>
      <c r="O25" s="132">
        <f>IF(SER_hh_fec_in!O25=0,0,11630*1000*SER_hh_fec_in!O25/SER_hh_num_in!O25)</f>
        <v>17958.054068370744</v>
      </c>
      <c r="P25" s="132">
        <f>IF(SER_hh_fec_in!P25=0,0,11630*1000*SER_hh_fec_in!P25/SER_hh_num_in!P25)</f>
        <v>16120.410362582594</v>
      </c>
      <c r="Q25" s="132">
        <f>IF(SER_hh_fec_in!Q25=0,0,11630*1000*SER_hh_fec_in!Q25/SER_hh_num_in!Q25)</f>
        <v>16395.892198739686</v>
      </c>
      <c r="R25" s="132">
        <f>IF(SER_hh_fec_in!R25=0,0,11630*1000*SER_hh_fec_in!R25/SER_hh_num_in!R25)</f>
        <v>16902.495722324566</v>
      </c>
      <c r="S25" s="132">
        <f>IF(SER_hh_fec_in!S25=0,0,11630*1000*SER_hh_fec_in!S25/SER_hh_num_in!S25)</f>
        <v>15876.149445672832</v>
      </c>
      <c r="T25" s="132">
        <f>IF(SER_hh_fec_in!T25=0,0,11630*1000*SER_hh_fec_in!T25/SER_hh_num_in!T25)</f>
        <v>17310.665291034758</v>
      </c>
      <c r="U25" s="132">
        <f>IF(SER_hh_fec_in!U25=0,0,11630*1000*SER_hh_fec_in!U25/SER_hh_num_in!U25)</f>
        <v>15890.667600084835</v>
      </c>
      <c r="V25" s="132">
        <f>IF(SER_hh_fec_in!V25=0,0,11630*1000*SER_hh_fec_in!V25/SER_hh_num_in!V25)</f>
        <v>15063.771530697562</v>
      </c>
      <c r="W25" s="132">
        <f>IF(SER_hh_fec_in!W25=0,0,11630*1000*SER_hh_fec_in!W25/SER_hh_num_in!W25)</f>
        <v>14409.303842882222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21529.136227303894</v>
      </c>
      <c r="D26" s="65">
        <f>IF(SER_hh_fec_in!D26=0,0,11630*1000*SER_hh_fec_in!D26/SER_hh_num_in!D26)</f>
        <v>21681.520228109126</v>
      </c>
      <c r="E26" s="65">
        <f>IF(SER_hh_fec_in!E26=0,0,11630*1000*SER_hh_fec_in!E26/SER_hh_num_in!E26)</f>
        <v>20615.180178560324</v>
      </c>
      <c r="F26" s="65">
        <f>IF(SER_hh_fec_in!F26=0,0,11630*1000*SER_hh_fec_in!F26/SER_hh_num_in!F26)</f>
        <v>21365.978716733931</v>
      </c>
      <c r="G26" s="65">
        <f>IF(SER_hh_fec_in!G26=0,0,11630*1000*SER_hh_fec_in!G26/SER_hh_num_in!G26)</f>
        <v>19082.321588923052</v>
      </c>
      <c r="H26" s="65">
        <f>IF(SER_hh_fec_in!H26=0,0,11630*1000*SER_hh_fec_in!H26/SER_hh_num_in!H26)</f>
        <v>20315.011276926569</v>
      </c>
      <c r="I26" s="65">
        <f>IF(SER_hh_fec_in!I26=0,0,11630*1000*SER_hh_fec_in!I26/SER_hh_num_in!I26)</f>
        <v>20400.082688089922</v>
      </c>
      <c r="J26" s="65">
        <f>IF(SER_hh_fec_in!J26=0,0,11630*1000*SER_hh_fec_in!J26/SER_hh_num_in!J26)</f>
        <v>20458.629963605563</v>
      </c>
      <c r="K26" s="65">
        <f>IF(SER_hh_fec_in!K26=0,0,11630*1000*SER_hh_fec_in!K26/SER_hh_num_in!K26)</f>
        <v>19823.150194888127</v>
      </c>
      <c r="L26" s="65">
        <f>IF(SER_hh_fec_in!L26=0,0,11630*1000*SER_hh_fec_in!L26/SER_hh_num_in!L26)</f>
        <v>18815.035071508377</v>
      </c>
      <c r="M26" s="65">
        <f>IF(SER_hh_fec_in!M26=0,0,11630*1000*SER_hh_fec_in!M26/SER_hh_num_in!M26)</f>
        <v>19179.219881118079</v>
      </c>
      <c r="N26" s="65">
        <f>IF(SER_hh_fec_in!N26=0,0,11630*1000*SER_hh_fec_in!N26/SER_hh_num_in!N26)</f>
        <v>13228.869740173377</v>
      </c>
      <c r="O26" s="65">
        <f>IF(SER_hh_fec_in!O26=0,0,11630*1000*SER_hh_fec_in!O26/SER_hh_num_in!O26)</f>
        <v>16782.667729122048</v>
      </c>
      <c r="P26" s="65">
        <f>IF(SER_hh_fec_in!P26=0,0,11630*1000*SER_hh_fec_in!P26/SER_hh_num_in!P26)</f>
        <v>19144.000781381306</v>
      </c>
      <c r="Q26" s="65">
        <f>IF(SER_hh_fec_in!Q26=0,0,11630*1000*SER_hh_fec_in!Q26/SER_hh_num_in!Q26)</f>
        <v>14047.481413255433</v>
      </c>
      <c r="R26" s="65">
        <f>IF(SER_hh_fec_in!R26=0,0,11630*1000*SER_hh_fec_in!R26/SER_hh_num_in!R26)</f>
        <v>17144.805117305445</v>
      </c>
      <c r="S26" s="65">
        <f>IF(SER_hh_fec_in!S26=0,0,11630*1000*SER_hh_fec_in!S26/SER_hh_num_in!S26)</f>
        <v>16355.284528977631</v>
      </c>
      <c r="T26" s="65">
        <f>IF(SER_hh_fec_in!T26=0,0,11630*1000*SER_hh_fec_in!T26/SER_hh_num_in!T26)</f>
        <v>16951.448102326311</v>
      </c>
      <c r="U26" s="65">
        <f>IF(SER_hh_fec_in!U26=0,0,11630*1000*SER_hh_fec_in!U26/SER_hh_num_in!U26)</f>
        <v>15620.038907162467</v>
      </c>
      <c r="V26" s="65">
        <f>IF(SER_hh_fec_in!V26=0,0,11630*1000*SER_hh_fec_in!V26/SER_hh_num_in!V26)</f>
        <v>13062.609524949732</v>
      </c>
      <c r="W26" s="65">
        <f>IF(SER_hh_fec_in!W26=0,0,11630*1000*SER_hh_fec_in!W26/SER_hh_num_in!W26)</f>
        <v>15038.754924753257</v>
      </c>
      <c r="X26" s="65">
        <f>IF(SER_hh_fec_in!X26=0,0,11630*1000*SER_hh_fec_in!X26/SER_hh_num_in!X26)</f>
        <v>15256.407566846097</v>
      </c>
      <c r="Y26" s="65">
        <f>IF(SER_hh_fec_in!Y26=0,0,11630*1000*SER_hh_fec_in!Y26/SER_hh_num_in!Y26)</f>
        <v>15190.297686845181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1079.1710235407056</v>
      </c>
      <c r="H27" s="145">
        <f>IF(SER_hh_fec_in!H27=0,0,11630*1000*SER_hh_fec_in!H27/SER_hh_num_in!H19)</f>
        <v>29.855308166728651</v>
      </c>
      <c r="I27" s="145">
        <f>IF(SER_hh_fec_in!I27=0,0,11630*1000*SER_hh_fec_in!I27/SER_hh_num_in!I19)</f>
        <v>171.85511731083258</v>
      </c>
      <c r="J27" s="145">
        <f>IF(SER_hh_fec_in!J27=0,0,11630*1000*SER_hh_fec_in!J27/SER_hh_num_in!J19)</f>
        <v>190.35238281346798</v>
      </c>
      <c r="K27" s="145">
        <f>IF(SER_hh_fec_in!K27=0,0,11630*1000*SER_hh_fec_in!K27/SER_hh_num_in!K19)</f>
        <v>284.28461802240219</v>
      </c>
      <c r="L27" s="145">
        <f>IF(SER_hh_fec_in!L27=0,0,11630*1000*SER_hh_fec_in!L27/SER_hh_num_in!L19)</f>
        <v>854.23347080931285</v>
      </c>
      <c r="M27" s="145">
        <f>IF(SER_hh_fec_in!M27=0,0,11630*1000*SER_hh_fec_in!M27/SER_hh_num_in!M19)</f>
        <v>375.89946564808332</v>
      </c>
      <c r="N27" s="145">
        <f>IF(SER_hh_fec_in!N27=0,0,11630*1000*SER_hh_fec_in!N27/SER_hh_num_in!N19)</f>
        <v>2949.9059674402392</v>
      </c>
      <c r="O27" s="145">
        <f>IF(SER_hh_fec_in!O27=0,0,11630*1000*SER_hh_fec_in!O27/SER_hh_num_in!O19)</f>
        <v>1245.4556111325389</v>
      </c>
      <c r="P27" s="145">
        <f>IF(SER_hh_fec_in!P27=0,0,11630*1000*SER_hh_fec_in!P27/SER_hh_num_in!P19)</f>
        <v>2.5774282650975451E-12</v>
      </c>
      <c r="Q27" s="145">
        <f>IF(SER_hh_fec_in!Q27=0,0,11630*1000*SER_hh_fec_in!Q27/SER_hh_num_in!Q19)</f>
        <v>2405.3023937329717</v>
      </c>
      <c r="R27" s="145">
        <f>IF(SER_hh_fec_in!R27=0,0,11630*1000*SER_hh_fec_in!R27/SER_hh_num_in!R19)</f>
        <v>484.76115810198502</v>
      </c>
      <c r="S27" s="145">
        <f>IF(SER_hh_fec_in!S27=0,0,11630*1000*SER_hh_fec_in!S27/SER_hh_num_in!S19)</f>
        <v>605.45020486849637</v>
      </c>
      <c r="T27" s="145">
        <f>IF(SER_hh_fec_in!T27=0,0,11630*1000*SER_hh_fec_in!T27/SER_hh_num_in!T19)</f>
        <v>340.26657063356316</v>
      </c>
      <c r="U27" s="145">
        <f>IF(SER_hh_fec_in!U27=0,0,11630*1000*SER_hh_fec_in!U27/SER_hh_num_in!U19)</f>
        <v>609.60358388952454</v>
      </c>
      <c r="V27" s="145">
        <f>IF(SER_hh_fec_in!V27=0,0,11630*1000*SER_hh_fec_in!V27/SER_hh_num_in!V19)</f>
        <v>1071.6662977610893</v>
      </c>
      <c r="W27" s="145">
        <f>IF(SER_hh_fec_in!W27=0,0,11630*1000*SER_hh_fec_in!W27/SER_hh_num_in!W19)</f>
        <v>168.13407737489848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85.568549757335816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11813.939875259672</v>
      </c>
      <c r="H28" s="146">
        <f>IF(SER_hh_fec_in!H27=0,0,11630*1000*SER_hh_fec_in!H27/SER_hh_num_in!H27)</f>
        <v>11717.808563552189</v>
      </c>
      <c r="I28" s="146">
        <f>IF(SER_hh_fec_in!I27=0,0,11630*1000*SER_hh_fec_in!I27/SER_hh_num_in!I27)</f>
        <v>11018.981440728574</v>
      </c>
      <c r="J28" s="146">
        <f>IF(SER_hh_fec_in!J27=0,0,11630*1000*SER_hh_fec_in!J27/SER_hh_num_in!J27)</f>
        <v>11496.096998783147</v>
      </c>
      <c r="K28" s="146">
        <f>IF(SER_hh_fec_in!K27=0,0,11630*1000*SER_hh_fec_in!K27/SER_hh_num_in!K27)</f>
        <v>11972.39510255306</v>
      </c>
      <c r="L28" s="146">
        <f>IF(SER_hh_fec_in!L27=0,0,11630*1000*SER_hh_fec_in!L27/SER_hh_num_in!L27)</f>
        <v>8293.430753947061</v>
      </c>
      <c r="M28" s="146">
        <f>IF(SER_hh_fec_in!M27=0,0,11630*1000*SER_hh_fec_in!M27/SER_hh_num_in!M27)</f>
        <v>11921.610564919058</v>
      </c>
      <c r="N28" s="146">
        <f>IF(SER_hh_fec_in!N27=0,0,11630*1000*SER_hh_fec_in!N27/SER_hh_num_in!N27)</f>
        <v>11235.350153233478</v>
      </c>
      <c r="O28" s="146">
        <f>IF(SER_hh_fec_in!O27=0,0,11630*1000*SER_hh_fec_in!O27/SER_hh_num_in!O27)</f>
        <v>11139.105030651685</v>
      </c>
      <c r="P28" s="146">
        <f>IF(SER_hh_fec_in!P27=0,0,11630*1000*SER_hh_fec_in!P27/SER_hh_num_in!P27)</f>
        <v>13539.207067949828</v>
      </c>
      <c r="Q28" s="146">
        <f>IF(SER_hh_fec_in!Q27=0,0,11630*1000*SER_hh_fec_in!Q27/SER_hh_num_in!Q27)</f>
        <v>12118.0083228109</v>
      </c>
      <c r="R28" s="146">
        <f>IF(SER_hh_fec_in!R27=0,0,11630*1000*SER_hh_fec_in!R27/SER_hh_num_in!R27)</f>
        <v>12088.126117837999</v>
      </c>
      <c r="S28" s="146">
        <f>IF(SER_hh_fec_in!S27=0,0,11630*1000*SER_hh_fec_in!S27/SER_hh_num_in!S27)</f>
        <v>11713.843174830528</v>
      </c>
      <c r="T28" s="146">
        <f>IF(SER_hh_fec_in!T27=0,0,11630*1000*SER_hh_fec_in!T27/SER_hh_num_in!T27)</f>
        <v>11890.245442341196</v>
      </c>
      <c r="U28" s="146">
        <f>IF(SER_hh_fec_in!U27=0,0,11630*1000*SER_hh_fec_in!U27/SER_hh_num_in!U27)</f>
        <v>11805.199225163982</v>
      </c>
      <c r="V28" s="146">
        <f>IF(SER_hh_fec_in!V27=0,0,11630*1000*SER_hh_fec_in!V27/SER_hh_num_in!V27)</f>
        <v>10999.393606919492</v>
      </c>
      <c r="W28" s="146">
        <f>IF(SER_hh_fec_in!W27=0,0,11630*1000*SER_hh_fec_in!W27/SER_hh_num_in!W27)</f>
        <v>11556.54112082929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13907.619322432422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20132.316621837643</v>
      </c>
      <c r="D29" s="130">
        <f>IF(SER_hh_fec_in!D29=0,0,11630*1000*SER_hh_fec_in!D29/SER_hh_num_in!D29)</f>
        <v>25064.816073973525</v>
      </c>
      <c r="E29" s="130">
        <f>IF(SER_hh_fec_in!E29=0,0,11630*1000*SER_hh_fec_in!E29/SER_hh_num_in!E29)</f>
        <v>22208.353995999871</v>
      </c>
      <c r="F29" s="130">
        <f>IF(SER_hh_fec_in!F29=0,0,11630*1000*SER_hh_fec_in!F29/SER_hh_num_in!F29)</f>
        <v>18672.359729193151</v>
      </c>
      <c r="G29" s="130">
        <f>IF(SER_hh_fec_in!G29=0,0,11630*1000*SER_hh_fec_in!G29/SER_hh_num_in!G29)</f>
        <v>19837.511289858299</v>
      </c>
      <c r="H29" s="130">
        <f>IF(SER_hh_fec_in!H29=0,0,11630*1000*SER_hh_fec_in!H29/SER_hh_num_in!H29)</f>
        <v>19324.783416156093</v>
      </c>
      <c r="I29" s="130">
        <f>IF(SER_hh_fec_in!I29=0,0,11630*1000*SER_hh_fec_in!I29/SER_hh_num_in!I29)</f>
        <v>20316.945511111684</v>
      </c>
      <c r="J29" s="130">
        <f>IF(SER_hh_fec_in!J29=0,0,11630*1000*SER_hh_fec_in!J29/SER_hh_num_in!J29)</f>
        <v>21584.917128746234</v>
      </c>
      <c r="K29" s="130">
        <f>IF(SER_hh_fec_in!K29=0,0,11630*1000*SER_hh_fec_in!K29/SER_hh_num_in!K29)</f>
        <v>24104.414934915287</v>
      </c>
      <c r="L29" s="130">
        <f>IF(SER_hh_fec_in!L29=0,0,11630*1000*SER_hh_fec_in!L29/SER_hh_num_in!L29)</f>
        <v>22241.712350675371</v>
      </c>
      <c r="M29" s="130">
        <f>IF(SER_hh_fec_in!M29=0,0,11630*1000*SER_hh_fec_in!M29/SER_hh_num_in!M29)</f>
        <v>20398.327456671333</v>
      </c>
      <c r="N29" s="130">
        <f>IF(SER_hh_fec_in!N29=0,0,11630*1000*SER_hh_fec_in!N29/SER_hh_num_in!N29)</f>
        <v>20974.72570209052</v>
      </c>
      <c r="O29" s="130">
        <f>IF(SER_hh_fec_in!O29=0,0,11630*1000*SER_hh_fec_in!O29/SER_hh_num_in!O29)</f>
        <v>22286.590175114557</v>
      </c>
      <c r="P29" s="130">
        <f>IF(SER_hh_fec_in!P29=0,0,11630*1000*SER_hh_fec_in!P29/SER_hh_num_in!P29)</f>
        <v>22628.561516524958</v>
      </c>
      <c r="Q29" s="130">
        <f>IF(SER_hh_fec_in!Q29=0,0,11630*1000*SER_hh_fec_in!Q29/SER_hh_num_in!Q29)</f>
        <v>23064.577464108414</v>
      </c>
      <c r="R29" s="130">
        <f>IF(SER_hh_fec_in!R29=0,0,11630*1000*SER_hh_fec_in!R29/SER_hh_num_in!R29)</f>
        <v>21592.567093300968</v>
      </c>
      <c r="S29" s="130">
        <f>IF(SER_hh_fec_in!S29=0,0,11630*1000*SER_hh_fec_in!S29/SER_hh_num_in!S29)</f>
        <v>21479.057811129289</v>
      </c>
      <c r="T29" s="130">
        <f>IF(SER_hh_fec_in!T29=0,0,11630*1000*SER_hh_fec_in!T29/SER_hh_num_in!T29)</f>
        <v>21674.921986328489</v>
      </c>
      <c r="U29" s="130">
        <f>IF(SER_hh_fec_in!U29=0,0,11630*1000*SER_hh_fec_in!U29/SER_hh_num_in!U29)</f>
        <v>22054.407202813658</v>
      </c>
      <c r="V29" s="130">
        <f>IF(SER_hh_fec_in!V29=0,0,11630*1000*SER_hh_fec_in!V29/SER_hh_num_in!V29)</f>
        <v>19527.395687720582</v>
      </c>
      <c r="W29" s="130">
        <f>IF(SER_hh_fec_in!W29=0,0,11630*1000*SER_hh_fec_in!W29/SER_hh_num_in!W29)</f>
        <v>19450.761061400673</v>
      </c>
      <c r="X29" s="130">
        <f>IF(SER_hh_fec_in!X29=0,0,11630*1000*SER_hh_fec_in!X29/SER_hh_num_in!X29)</f>
        <v>19540.081001644048</v>
      </c>
      <c r="Y29" s="130">
        <f>IF(SER_hh_fec_in!Y29=0,0,11630*1000*SER_hh_fec_in!Y29/SER_hh_num_in!Y29)</f>
        <v>19912.666951131192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11017.250948032464</v>
      </c>
      <c r="D30" s="132">
        <f>IF(SER_hh_fec_in!D30=0,0,11630*1000*SER_hh_fec_in!D30/SER_hh_num_in!D30)</f>
        <v>26897.668574753337</v>
      </c>
      <c r="E30" s="132">
        <f>IF(SER_hh_fec_in!E30=0,0,11630*1000*SER_hh_fec_in!E30/SER_hh_num_in!E30)</f>
        <v>26571.079720441678</v>
      </c>
      <c r="F30" s="132">
        <f>IF(SER_hh_fec_in!F30=0,0,11630*1000*SER_hh_fec_in!F30/SER_hh_num_in!F30)</f>
        <v>29174.800934858526</v>
      </c>
      <c r="G30" s="132">
        <f>IF(SER_hh_fec_in!G30=0,0,11630*1000*SER_hh_fec_in!G30/SER_hh_num_in!G30)</f>
        <v>24054.693651516201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24021.762180577141</v>
      </c>
      <c r="J30" s="132">
        <f>IF(SER_hh_fec_in!J30=0,0,11630*1000*SER_hh_fec_in!J30/SER_hh_num_in!J30)</f>
        <v>26488.257815814672</v>
      </c>
      <c r="K30" s="132">
        <f>IF(SER_hh_fec_in!K30=0,0,11630*1000*SER_hh_fec_in!K30/SER_hh_num_in!K30)</f>
        <v>26146.602842143671</v>
      </c>
      <c r="L30" s="132">
        <f>IF(SER_hh_fec_in!L30=0,0,11630*1000*SER_hh_fec_in!L30/SER_hh_num_in!L30)</f>
        <v>29449.582586908444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28254.38554412323</v>
      </c>
      <c r="O30" s="132">
        <f>IF(SER_hh_fec_in!O30=0,0,11630*1000*SER_hh_fec_in!O30/SER_hh_num_in!O30)</f>
        <v>25360.369821688226</v>
      </c>
      <c r="P30" s="132">
        <f>IF(SER_hh_fec_in!P30=0,0,11630*1000*SER_hh_fec_in!P30/SER_hh_num_in!P30)</f>
        <v>24288.629912671979</v>
      </c>
      <c r="Q30" s="132">
        <f>IF(SER_hh_fec_in!Q30=0,0,11630*1000*SER_hh_fec_in!Q30/SER_hh_num_in!Q30)</f>
        <v>28510.622327655114</v>
      </c>
      <c r="R30" s="132">
        <f>IF(SER_hh_fec_in!R30=0,0,11630*1000*SER_hh_fec_in!R30/SER_hh_num_in!R30)</f>
        <v>26232.489184201604</v>
      </c>
      <c r="S30" s="132">
        <f>IF(SER_hh_fec_in!S30=0,0,11630*1000*SER_hh_fec_in!S30/SER_hh_num_in!S30)</f>
        <v>27898.150698767538</v>
      </c>
      <c r="T30" s="132">
        <f>IF(SER_hh_fec_in!T30=0,0,11630*1000*SER_hh_fec_in!T30/SER_hh_num_in!T30)</f>
        <v>26740.121396518709</v>
      </c>
      <c r="U30" s="132">
        <f>IF(SER_hh_fec_in!U30=0,0,11630*1000*SER_hh_fec_in!U30/SER_hh_num_in!U30)</f>
        <v>28975.301270774482</v>
      </c>
      <c r="V30" s="132">
        <f>IF(SER_hh_fec_in!V30=0,0,11630*1000*SER_hh_fec_in!V30/SER_hh_num_in!V30)</f>
        <v>26440.244749393845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27010.601367516389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23976.186842317813</v>
      </c>
      <c r="D31" s="132">
        <f>IF(SER_hh_fec_in!D31=0,0,11630*1000*SER_hh_fec_in!D31/SER_hh_num_in!D31)</f>
        <v>23885.933197023893</v>
      </c>
      <c r="E31" s="132">
        <f>IF(SER_hh_fec_in!E31=0,0,11630*1000*SER_hh_fec_in!E31/SER_hh_num_in!E31)</f>
        <v>24837.318173157888</v>
      </c>
      <c r="F31" s="132">
        <f>IF(SER_hh_fec_in!F31=0,0,11630*1000*SER_hh_fec_in!F31/SER_hh_num_in!F31)</f>
        <v>26894.910001829699</v>
      </c>
      <c r="G31" s="132">
        <f>IF(SER_hh_fec_in!G31=0,0,11630*1000*SER_hh_fec_in!G31/SER_hh_num_in!G31)</f>
        <v>0</v>
      </c>
      <c r="H31" s="132">
        <f>IF(SER_hh_fec_in!H31=0,0,11630*1000*SER_hh_fec_in!H31/SER_hh_num_in!H31)</f>
        <v>0</v>
      </c>
      <c r="I31" s="132">
        <f>IF(SER_hh_fec_in!I31=0,0,11630*1000*SER_hh_fec_in!I31/SER_hh_num_in!I31)</f>
        <v>23778.989436058579</v>
      </c>
      <c r="J31" s="132">
        <f>IF(SER_hh_fec_in!J31=0,0,11630*1000*SER_hh_fec_in!J31/SER_hh_num_in!J31)</f>
        <v>22181.493364143884</v>
      </c>
      <c r="K31" s="132">
        <f>IF(SER_hh_fec_in!K31=0,0,11630*1000*SER_hh_fec_in!K31/SER_hh_num_in!K31)</f>
        <v>27812.187629133881</v>
      </c>
      <c r="L31" s="132">
        <f>IF(SER_hh_fec_in!L31=0,0,11630*1000*SER_hh_fec_in!L31/SER_hh_num_in!L31)</f>
        <v>25792.205972374279</v>
      </c>
      <c r="M31" s="132">
        <f>IF(SER_hh_fec_in!M31=0,0,11630*1000*SER_hh_fec_in!M31/SER_hh_num_in!M31)</f>
        <v>25759.034809364908</v>
      </c>
      <c r="N31" s="132">
        <f>IF(SER_hh_fec_in!N31=0,0,11630*1000*SER_hh_fec_in!N31/SER_hh_num_in!N31)</f>
        <v>24325.466187814327</v>
      </c>
      <c r="O31" s="132">
        <f>IF(SER_hh_fec_in!O31=0,0,11630*1000*SER_hh_fec_in!O31/SER_hh_num_in!O31)</f>
        <v>25708.139003101118</v>
      </c>
      <c r="P31" s="132">
        <f>IF(SER_hh_fec_in!P31=0,0,11630*1000*SER_hh_fec_in!P31/SER_hh_num_in!P31)</f>
        <v>27012.364073147346</v>
      </c>
      <c r="Q31" s="132">
        <f>IF(SER_hh_fec_in!Q31=0,0,11630*1000*SER_hh_fec_in!Q31/SER_hh_num_in!Q31)</f>
        <v>27578.571666782482</v>
      </c>
      <c r="R31" s="132">
        <f>IF(SER_hh_fec_in!R31=0,0,11630*1000*SER_hh_fec_in!R31/SER_hh_num_in!R31)</f>
        <v>26195.366897411441</v>
      </c>
      <c r="S31" s="132">
        <f>IF(SER_hh_fec_in!S31=0,0,11630*1000*SER_hh_fec_in!S31/SER_hh_num_in!S31)</f>
        <v>26500.114549025351</v>
      </c>
      <c r="T31" s="132">
        <f>IF(SER_hh_fec_in!T31=0,0,11630*1000*SER_hh_fec_in!T31/SER_hh_num_in!T31)</f>
        <v>26741.331968412207</v>
      </c>
      <c r="U31" s="132">
        <f>IF(SER_hh_fec_in!U31=0,0,11630*1000*SER_hh_fec_in!U31/SER_hh_num_in!U31)</f>
        <v>25262.606524793355</v>
      </c>
      <c r="V31" s="132">
        <f>IF(SER_hh_fec_in!V31=0,0,11630*1000*SER_hh_fec_in!V31/SER_hh_num_in!V31)</f>
        <v>22299.510485219667</v>
      </c>
      <c r="W31" s="132">
        <f>IF(SER_hh_fec_in!W31=0,0,11630*1000*SER_hh_fec_in!W31/SER_hh_num_in!W31)</f>
        <v>31299.942182811992</v>
      </c>
      <c r="X31" s="132">
        <f>IF(SER_hh_fec_in!X31=0,0,11630*1000*SER_hh_fec_in!X31/SER_hh_num_in!X31)</f>
        <v>26301.251655970074</v>
      </c>
      <c r="Y31" s="132">
        <f>IF(SER_hh_fec_in!Y31=0,0,11630*1000*SER_hh_fec_in!Y31/SER_hh_num_in!Y31)</f>
        <v>25084.04927301687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20475.379686833345</v>
      </c>
      <c r="D33" s="68">
        <f>IF(SER_hh_fec_in!D33=0,0,11630*1000*SER_hh_fec_in!D33/SER_hh_num_in!D33)</f>
        <v>17689.511220491426</v>
      </c>
      <c r="E33" s="68">
        <f>IF(SER_hh_fec_in!E33=0,0,11630*1000*SER_hh_fec_in!E33/SER_hh_num_in!E33)</f>
        <v>16490.796260105242</v>
      </c>
      <c r="F33" s="68">
        <f>IF(SER_hh_fec_in!F33=0,0,11630*1000*SER_hh_fec_in!F33/SER_hh_num_in!F33)</f>
        <v>15418.289456775183</v>
      </c>
      <c r="G33" s="68">
        <f>IF(SER_hh_fec_in!G33=0,0,11630*1000*SER_hh_fec_in!G33/SER_hh_num_in!G33)</f>
        <v>19637.211291862481</v>
      </c>
      <c r="H33" s="68">
        <f>IF(SER_hh_fec_in!H33=0,0,11630*1000*SER_hh_fec_in!H33/SER_hh_num_in!H33)</f>
        <v>19324.783416156093</v>
      </c>
      <c r="I33" s="68">
        <f>IF(SER_hh_fec_in!I33=0,0,11630*1000*SER_hh_fec_in!I33/SER_hh_num_in!I33)</f>
        <v>18755.606306643891</v>
      </c>
      <c r="J33" s="68">
        <f>IF(SER_hh_fec_in!J33=0,0,11630*1000*SER_hh_fec_in!J33/SER_hh_num_in!J33)</f>
        <v>19036.187454861829</v>
      </c>
      <c r="K33" s="68">
        <f>IF(SER_hh_fec_in!K33=0,0,11630*1000*SER_hh_fec_in!K33/SER_hh_num_in!K33)</f>
        <v>18499.438870712947</v>
      </c>
      <c r="L33" s="68">
        <f>IF(SER_hh_fec_in!L33=0,0,11630*1000*SER_hh_fec_in!L33/SER_hh_num_in!L33)</f>
        <v>18897.571636684224</v>
      </c>
      <c r="M33" s="68">
        <f>IF(SER_hh_fec_in!M33=0,0,11630*1000*SER_hh_fec_in!M33/SER_hh_num_in!M33)</f>
        <v>18697.512107088485</v>
      </c>
      <c r="N33" s="68">
        <f>IF(SER_hh_fec_in!N33=0,0,11630*1000*SER_hh_fec_in!N33/SER_hh_num_in!N33)</f>
        <v>20050.788875125676</v>
      </c>
      <c r="O33" s="68">
        <f>IF(SER_hh_fec_in!O33=0,0,11630*1000*SER_hh_fec_in!O33/SER_hh_num_in!O33)</f>
        <v>20126.086170354753</v>
      </c>
      <c r="P33" s="68">
        <f>IF(SER_hh_fec_in!P33=0,0,11630*1000*SER_hh_fec_in!P33/SER_hh_num_in!P33)</f>
        <v>19680.099552574349</v>
      </c>
      <c r="Q33" s="68">
        <f>IF(SER_hh_fec_in!Q33=0,0,11630*1000*SER_hh_fec_in!Q33/SER_hh_num_in!Q33)</f>
        <v>19015.126604082398</v>
      </c>
      <c r="R33" s="68">
        <f>IF(SER_hh_fec_in!R33=0,0,11630*1000*SER_hh_fec_in!R33/SER_hh_num_in!R33)</f>
        <v>19984.511961992055</v>
      </c>
      <c r="S33" s="68">
        <f>IF(SER_hh_fec_in!S33=0,0,11630*1000*SER_hh_fec_in!S33/SER_hh_num_in!S33)</f>
        <v>19080.115924846141</v>
      </c>
      <c r="T33" s="68">
        <f>IF(SER_hh_fec_in!T33=0,0,11630*1000*SER_hh_fec_in!T33/SER_hh_num_in!T33)</f>
        <v>19376.386174900665</v>
      </c>
      <c r="U33" s="68">
        <f>IF(SER_hh_fec_in!U33=0,0,11630*1000*SER_hh_fec_in!U33/SER_hh_num_in!U33)</f>
        <v>18896.567552850094</v>
      </c>
      <c r="V33" s="68">
        <f>IF(SER_hh_fec_in!V33=0,0,11630*1000*SER_hh_fec_in!V33/SER_hh_num_in!V33)</f>
        <v>17328.396800653507</v>
      </c>
      <c r="W33" s="68">
        <f>IF(SER_hh_fec_in!W33=0,0,11630*1000*SER_hh_fec_in!W33/SER_hh_num_in!W33)</f>
        <v>15848.585359827011</v>
      </c>
      <c r="X33" s="68">
        <f>IF(SER_hh_fec_in!X33=0,0,11630*1000*SER_hh_fec_in!X33/SER_hh_num_in!X33)</f>
        <v>17793.110549967172</v>
      </c>
      <c r="Y33" s="68">
        <f>IF(SER_hh_fec_in!Y33=0,0,11630*1000*SER_hh_fec_in!Y33/SER_hh_num_in!Y33)</f>
        <v>18321.237736005416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148514.00042115978</v>
      </c>
      <c r="D3" s="125">
        <f>IF(SER_hh_tes_in!D3=0,0,11630*1000*SER_hh_tes_in!D3/SER_hh_num_in!D3)</f>
        <v>142554.80595386805</v>
      </c>
      <c r="E3" s="125">
        <f>IF(SER_hh_tes_in!E3=0,0,11630*1000*SER_hh_tes_in!E3/SER_hh_num_in!E3)</f>
        <v>165037.69613622435</v>
      </c>
      <c r="F3" s="125">
        <f>IF(SER_hh_tes_in!F3=0,0,11630*1000*SER_hh_tes_in!F3/SER_hh_num_in!F3)</f>
        <v>147146.40762863291</v>
      </c>
      <c r="G3" s="125">
        <f>IF(SER_hh_tes_in!G3=0,0,11630*1000*SER_hh_tes_in!G3/SER_hh_num_in!G3)</f>
        <v>148698.24109829662</v>
      </c>
      <c r="H3" s="125">
        <f>IF(SER_hh_tes_in!H3=0,0,11630*1000*SER_hh_tes_in!H3/SER_hh_num_in!H3)</f>
        <v>142619.45770767832</v>
      </c>
      <c r="I3" s="125">
        <f>IF(SER_hh_tes_in!I3=0,0,11630*1000*SER_hh_tes_in!I3/SER_hh_num_in!I3)</f>
        <v>131179.40808913633</v>
      </c>
      <c r="J3" s="125">
        <f>IF(SER_hh_tes_in!J3=0,0,11630*1000*SER_hh_tes_in!J3/SER_hh_num_in!J3)</f>
        <v>127281.25239414551</v>
      </c>
      <c r="K3" s="125">
        <f>IF(SER_hh_tes_in!K3=0,0,11630*1000*SER_hh_tes_in!K3/SER_hh_num_in!K3)</f>
        <v>135582.9432840583</v>
      </c>
      <c r="L3" s="125">
        <f>IF(SER_hh_tes_in!L3=0,0,11630*1000*SER_hh_tes_in!L3/SER_hh_num_in!L3)</f>
        <v>138212.19141007744</v>
      </c>
      <c r="M3" s="125">
        <f>IF(SER_hh_tes_in!M3=0,0,11630*1000*SER_hh_tes_in!M3/SER_hh_num_in!M3)</f>
        <v>118177.81898487886</v>
      </c>
      <c r="N3" s="125">
        <f>IF(SER_hh_tes_in!N3=0,0,11630*1000*SER_hh_tes_in!N3/SER_hh_num_in!N3)</f>
        <v>123498.84403022139</v>
      </c>
      <c r="O3" s="125">
        <f>IF(SER_hh_tes_in!O3=0,0,11630*1000*SER_hh_tes_in!O3/SER_hh_num_in!O3)</f>
        <v>123858.7000357409</v>
      </c>
      <c r="P3" s="125">
        <f>IF(SER_hh_tes_in!P3=0,0,11630*1000*SER_hh_tes_in!P3/SER_hh_num_in!P3)</f>
        <v>111846.68100903925</v>
      </c>
      <c r="Q3" s="125">
        <f>IF(SER_hh_tes_in!Q3=0,0,11630*1000*SER_hh_tes_in!Q3/SER_hh_num_in!Q3)</f>
        <v>115251.92889080115</v>
      </c>
      <c r="R3" s="125">
        <f>IF(SER_hh_tes_in!R3=0,0,11630*1000*SER_hh_tes_in!R3/SER_hh_num_in!R3)</f>
        <v>109757.32293002239</v>
      </c>
      <c r="S3" s="125">
        <f>IF(SER_hh_tes_in!S3=0,0,11630*1000*SER_hh_tes_in!S3/SER_hh_num_in!S3)</f>
        <v>107976.35642018152</v>
      </c>
      <c r="T3" s="125">
        <f>IF(SER_hh_tes_in!T3=0,0,11630*1000*SER_hh_tes_in!T3/SER_hh_num_in!T3)</f>
        <v>104098.45131877711</v>
      </c>
      <c r="U3" s="125">
        <f>IF(SER_hh_tes_in!U3=0,0,11630*1000*SER_hh_tes_in!U3/SER_hh_num_in!U3)</f>
        <v>97554.162330456573</v>
      </c>
      <c r="V3" s="125">
        <f>IF(SER_hh_tes_in!V3=0,0,11630*1000*SER_hh_tes_in!V3/SER_hh_num_in!V3)</f>
        <v>87790.081551179144</v>
      </c>
      <c r="W3" s="125">
        <f>IF(SER_hh_tes_in!W3=0,0,11630*1000*SER_hh_tes_in!W3/SER_hh_num_in!W3)</f>
        <v>80183.064266101312</v>
      </c>
      <c r="X3" s="125">
        <f>IF(SER_hh_tes_in!X3=0,0,11630*1000*SER_hh_tes_in!X3/SER_hh_num_in!X3)</f>
        <v>85910.430847400537</v>
      </c>
      <c r="Y3" s="125">
        <f>IF(SER_hh_tes_in!Y3=0,0,11630*1000*SER_hh_tes_in!Y3/SER_hh_num_in!Y3)</f>
        <v>77681.260481407327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95050.86357649861</v>
      </c>
      <c r="D4" s="130">
        <f>IF(SER_hh_tes_in!D4=0,0,11630*1000*SER_hh_tes_in!D4/SER_hh_num_in!D4)</f>
        <v>89275.416841478844</v>
      </c>
      <c r="E4" s="130">
        <f>IF(SER_hh_tes_in!E4=0,0,11630*1000*SER_hh_tes_in!E4/SER_hh_num_in!E4)</f>
        <v>95693.022362138654</v>
      </c>
      <c r="F4" s="130">
        <f>IF(SER_hh_tes_in!F4=0,0,11630*1000*SER_hh_tes_in!F4/SER_hh_num_in!F4)</f>
        <v>95391.143163445668</v>
      </c>
      <c r="G4" s="130">
        <f>IF(SER_hh_tes_in!G4=0,0,11630*1000*SER_hh_tes_in!G4/SER_hh_num_in!G4)</f>
        <v>93224.303449483734</v>
      </c>
      <c r="H4" s="130">
        <f>IF(SER_hh_tes_in!H4=0,0,11630*1000*SER_hh_tes_in!H4/SER_hh_num_in!H4)</f>
        <v>84412.333564822897</v>
      </c>
      <c r="I4" s="130">
        <f>IF(SER_hh_tes_in!I4=0,0,11630*1000*SER_hh_tes_in!I4/SER_hh_num_in!I4)</f>
        <v>79927.024667080113</v>
      </c>
      <c r="J4" s="130">
        <f>IF(SER_hh_tes_in!J4=0,0,11630*1000*SER_hh_tes_in!J4/SER_hh_num_in!J4)</f>
        <v>76015.062296427292</v>
      </c>
      <c r="K4" s="130">
        <f>IF(SER_hh_tes_in!K4=0,0,11630*1000*SER_hh_tes_in!K4/SER_hh_num_in!K4)</f>
        <v>81854.52247958137</v>
      </c>
      <c r="L4" s="130">
        <f>IF(SER_hh_tes_in!L4=0,0,11630*1000*SER_hh_tes_in!L4/SER_hh_num_in!L4)</f>
        <v>85721.807954997275</v>
      </c>
      <c r="M4" s="130">
        <f>IF(SER_hh_tes_in!M4=0,0,11630*1000*SER_hh_tes_in!M4/SER_hh_num_in!M4)</f>
        <v>66937.618657100335</v>
      </c>
      <c r="N4" s="130">
        <f>IF(SER_hh_tes_in!N4=0,0,11630*1000*SER_hh_tes_in!N4/SER_hh_num_in!N4)</f>
        <v>70757.482497147183</v>
      </c>
      <c r="O4" s="130">
        <f>IF(SER_hh_tes_in!O4=0,0,11630*1000*SER_hh_tes_in!O4/SER_hh_num_in!O4)</f>
        <v>71751.714755730325</v>
      </c>
      <c r="P4" s="130">
        <f>IF(SER_hh_tes_in!P4=0,0,11630*1000*SER_hh_tes_in!P4/SER_hh_num_in!P4)</f>
        <v>61160.92977604716</v>
      </c>
      <c r="Q4" s="130">
        <f>IF(SER_hh_tes_in!Q4=0,0,11630*1000*SER_hh_tes_in!Q4/SER_hh_num_in!Q4)</f>
        <v>60273.535106786701</v>
      </c>
      <c r="R4" s="130">
        <f>IF(SER_hh_tes_in!R4=0,0,11630*1000*SER_hh_tes_in!R4/SER_hh_num_in!R4)</f>
        <v>57999.625351303104</v>
      </c>
      <c r="S4" s="130">
        <f>IF(SER_hh_tes_in!S4=0,0,11630*1000*SER_hh_tes_in!S4/SER_hh_num_in!S4)</f>
        <v>55716.499151395692</v>
      </c>
      <c r="T4" s="130">
        <f>IF(SER_hh_tes_in!T4=0,0,11630*1000*SER_hh_tes_in!T4/SER_hh_num_in!T4)</f>
        <v>52160.034442331358</v>
      </c>
      <c r="U4" s="130">
        <f>IF(SER_hh_tes_in!U4=0,0,11630*1000*SER_hh_tes_in!U4/SER_hh_num_in!U4)</f>
        <v>47062.083549851341</v>
      </c>
      <c r="V4" s="130">
        <f>IF(SER_hh_tes_in!V4=0,0,11630*1000*SER_hh_tes_in!V4/SER_hh_num_in!V4)</f>
        <v>40747.203398230573</v>
      </c>
      <c r="W4" s="130">
        <f>IF(SER_hh_tes_in!W4=0,0,11630*1000*SER_hh_tes_in!W4/SER_hh_num_in!W4)</f>
        <v>36505.591439253549</v>
      </c>
      <c r="X4" s="130">
        <f>IF(SER_hh_tes_in!X4=0,0,11630*1000*SER_hh_tes_in!X4/SER_hh_num_in!X4)</f>
        <v>34588.018207581379</v>
      </c>
      <c r="Y4" s="130">
        <f>IF(SER_hh_tes_in!Y4=0,0,11630*1000*SER_hh_tes_in!Y4/SER_hh_num_in!Y4)</f>
        <v>28530.937921329783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90895.927993795936</v>
      </c>
      <c r="G5" s="132">
        <f>IF(SER_hh_tes_in!G5=0,0,11630*1000*SER_hh_tes_in!G5/SER_hh_num_in!G5)</f>
        <v>91809.753671754981</v>
      </c>
      <c r="H5" s="132">
        <f>IF(SER_hh_tes_in!H5=0,0,11630*1000*SER_hh_tes_in!H5/SER_hh_num_in!H5)</f>
        <v>86772.746967061626</v>
      </c>
      <c r="I5" s="132">
        <f>IF(SER_hh_tes_in!I5=0,0,11630*1000*SER_hh_tes_in!I5/SER_hh_num_in!I5)</f>
        <v>82410.833783995564</v>
      </c>
      <c r="J5" s="132">
        <f>IF(SER_hh_tes_in!J5=0,0,11630*1000*SER_hh_tes_in!J5/SER_hh_num_in!J5)</f>
        <v>77543.638686318591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76188.575566166299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44793.800492349073</v>
      </c>
      <c r="V5" s="132">
        <f>IF(SER_hh_tes_in!V5=0,0,11630*1000*SER_hh_tes_in!V5/SER_hh_num_in!V5)</f>
        <v>37769.611736220832</v>
      </c>
      <c r="W5" s="132">
        <f>IF(SER_hh_tes_in!W5=0,0,11630*1000*SER_hh_tes_in!W5/SER_hh_num_in!W5)</f>
        <v>37575.634828779825</v>
      </c>
      <c r="X5" s="132">
        <f>IF(SER_hh_tes_in!X5=0,0,11630*1000*SER_hh_tes_in!X5/SER_hh_num_in!X5)</f>
        <v>33974.934270605583</v>
      </c>
      <c r="Y5" s="132">
        <f>IF(SER_hh_tes_in!Y5=0,0,11630*1000*SER_hh_tes_in!Y5/SER_hh_num_in!Y5)</f>
        <v>29752.280280086747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96848.780842072505</v>
      </c>
      <c r="D7" s="132">
        <f>IF(SER_hh_tes_in!D7=0,0,11630*1000*SER_hh_tes_in!D7/SER_hh_num_in!D7)</f>
        <v>84876.230641022703</v>
      </c>
      <c r="E7" s="132">
        <f>IF(SER_hh_tes_in!E7=0,0,11630*1000*SER_hh_tes_in!E7/SER_hh_num_in!E7)</f>
        <v>91476.888076423915</v>
      </c>
      <c r="F7" s="132">
        <f>IF(SER_hh_tes_in!F7=0,0,11630*1000*SER_hh_tes_in!F7/SER_hh_num_in!F7)</f>
        <v>93332.976239064752</v>
      </c>
      <c r="G7" s="132">
        <f>IF(SER_hh_tes_in!G7=0,0,11630*1000*SER_hh_tes_in!G7/SER_hh_num_in!G7)</f>
        <v>90298.390617190817</v>
      </c>
      <c r="H7" s="132">
        <f>IF(SER_hh_tes_in!H7=0,0,11630*1000*SER_hh_tes_in!H7/SER_hh_num_in!H7)</f>
        <v>83231.662683935807</v>
      </c>
      <c r="I7" s="132">
        <f>IF(SER_hh_tes_in!I7=0,0,11630*1000*SER_hh_tes_in!I7/SER_hh_num_in!I7)</f>
        <v>71416.500475204753</v>
      </c>
      <c r="J7" s="132">
        <f>IF(SER_hh_tes_in!J7=0,0,11630*1000*SER_hh_tes_in!J7/SER_hh_num_in!J7)</f>
        <v>84324.114646371076</v>
      </c>
      <c r="K7" s="132">
        <f>IF(SER_hh_tes_in!K7=0,0,11630*1000*SER_hh_tes_in!K7/SER_hh_num_in!K7)</f>
        <v>81889.139928107208</v>
      </c>
      <c r="L7" s="132">
        <f>IF(SER_hh_tes_in!L7=0,0,11630*1000*SER_hh_tes_in!L7/SER_hh_num_in!L7)</f>
        <v>78775.236822681894</v>
      </c>
      <c r="M7" s="132">
        <f>IF(SER_hh_tes_in!M7=0,0,11630*1000*SER_hh_tes_in!M7/SER_hh_num_in!M7)</f>
        <v>66414.744477965112</v>
      </c>
      <c r="N7" s="132">
        <f>IF(SER_hh_tes_in!N7=0,0,11630*1000*SER_hh_tes_in!N7/SER_hh_num_in!N7)</f>
        <v>66037.351550725609</v>
      </c>
      <c r="O7" s="132">
        <f>IF(SER_hh_tes_in!O7=0,0,11630*1000*SER_hh_tes_in!O7/SER_hh_num_in!O7)</f>
        <v>66166.945009747345</v>
      </c>
      <c r="P7" s="132">
        <f>IF(SER_hh_tes_in!P7=0,0,11630*1000*SER_hh_tes_in!P7/SER_hh_num_in!P7)</f>
        <v>66175.839760787625</v>
      </c>
      <c r="Q7" s="132">
        <f>IF(SER_hh_tes_in!Q7=0,0,11630*1000*SER_hh_tes_in!Q7/SER_hh_num_in!Q7)</f>
        <v>63579.468174640744</v>
      </c>
      <c r="R7" s="132">
        <f>IF(SER_hh_tes_in!R7=0,0,11630*1000*SER_hh_tes_in!R7/SER_hh_num_in!R7)</f>
        <v>0</v>
      </c>
      <c r="S7" s="132">
        <f>IF(SER_hh_tes_in!S7=0,0,11630*1000*SER_hh_tes_in!S7/SER_hh_num_in!S7)</f>
        <v>56183.764690710748</v>
      </c>
      <c r="T7" s="132">
        <f>IF(SER_hh_tes_in!T7=0,0,11630*1000*SER_hh_tes_in!T7/SER_hh_num_in!T7)</f>
        <v>49221.950292142974</v>
      </c>
      <c r="U7" s="132">
        <f>IF(SER_hh_tes_in!U7=0,0,11630*1000*SER_hh_tes_in!U7/SER_hh_num_in!U7)</f>
        <v>44357.535653393112</v>
      </c>
      <c r="V7" s="132">
        <f>IF(SER_hh_tes_in!V7=0,0,11630*1000*SER_hh_tes_in!V7/SER_hh_num_in!V7)</f>
        <v>43263.415054153636</v>
      </c>
      <c r="W7" s="132">
        <f>IF(SER_hh_tes_in!W7=0,0,11630*1000*SER_hh_tes_in!W7/SER_hh_num_in!W7)</f>
        <v>31729.952592253245</v>
      </c>
      <c r="X7" s="132">
        <f>IF(SER_hh_tes_in!X7=0,0,11630*1000*SER_hh_tes_in!X7/SER_hh_num_in!X7)</f>
        <v>35235.858765679804</v>
      </c>
      <c r="Y7" s="132">
        <f>IF(SER_hh_tes_in!Y7=0,0,11630*1000*SER_hh_tes_in!Y7/SER_hh_num_in!Y7)</f>
        <v>28055.09732119858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83105.394077686491</v>
      </c>
      <c r="D8" s="132">
        <f>IF(SER_hh_tes_in!D8=0,0,11630*1000*SER_hh_tes_in!D8/SER_hh_num_in!D8)</f>
        <v>70633.580917471743</v>
      </c>
      <c r="E8" s="132">
        <f>IF(SER_hh_tes_in!E8=0,0,11630*1000*SER_hh_tes_in!E8/SER_hh_num_in!E8)</f>
        <v>76785.26505803231</v>
      </c>
      <c r="F8" s="132">
        <f>IF(SER_hh_tes_in!F8=0,0,11630*1000*SER_hh_tes_in!F8/SER_hh_num_in!F8)</f>
        <v>71122.19669450575</v>
      </c>
      <c r="G8" s="132">
        <f>IF(SER_hh_tes_in!G8=0,0,11630*1000*SER_hh_tes_in!G8/SER_hh_num_in!G8)</f>
        <v>95175.36115761922</v>
      </c>
      <c r="H8" s="132">
        <f>IF(SER_hh_tes_in!H8=0,0,11630*1000*SER_hh_tes_in!H8/SER_hh_num_in!H8)</f>
        <v>84393.528427478232</v>
      </c>
      <c r="I8" s="132">
        <f>IF(SER_hh_tes_in!I8=0,0,11630*1000*SER_hh_tes_in!I8/SER_hh_num_in!I8)</f>
        <v>83449.489223152865</v>
      </c>
      <c r="J8" s="132">
        <f>IF(SER_hh_tes_in!J8=0,0,11630*1000*SER_hh_tes_in!J8/SER_hh_num_in!J8)</f>
        <v>84992.564523551817</v>
      </c>
      <c r="K8" s="132">
        <f>IF(SER_hh_tes_in!K8=0,0,11630*1000*SER_hh_tes_in!K8/SER_hh_num_in!K8)</f>
        <v>65487.781790515372</v>
      </c>
      <c r="L8" s="132">
        <f>IF(SER_hh_tes_in!L8=0,0,11630*1000*SER_hh_tes_in!L8/SER_hh_num_in!L8)</f>
        <v>54638.04931032825</v>
      </c>
      <c r="M8" s="132">
        <f>IF(SER_hh_tes_in!M8=0,0,11630*1000*SER_hh_tes_in!M8/SER_hh_num_in!M8)</f>
        <v>74722.383238079899</v>
      </c>
      <c r="N8" s="132">
        <f>IF(SER_hh_tes_in!N8=0,0,11630*1000*SER_hh_tes_in!N8/SER_hh_num_in!N8)</f>
        <v>66883.329137975205</v>
      </c>
      <c r="O8" s="132">
        <f>IF(SER_hh_tes_in!O8=0,0,11630*1000*SER_hh_tes_in!O8/SER_hh_num_in!O8)</f>
        <v>71351.099167553155</v>
      </c>
      <c r="P8" s="132">
        <f>IF(SER_hh_tes_in!P8=0,0,11630*1000*SER_hh_tes_in!P8/SER_hh_num_in!P8)</f>
        <v>60990.940634289065</v>
      </c>
      <c r="Q8" s="132">
        <f>IF(SER_hh_tes_in!Q8=0,0,11630*1000*SER_hh_tes_in!Q8/SER_hh_num_in!Q8)</f>
        <v>62795.961855943453</v>
      </c>
      <c r="R8" s="132">
        <f>IF(SER_hh_tes_in!R8=0,0,11630*1000*SER_hh_tes_in!R8/SER_hh_num_in!R8)</f>
        <v>60009.542814853463</v>
      </c>
      <c r="S8" s="132">
        <f>IF(SER_hh_tes_in!S8=0,0,11630*1000*SER_hh_tes_in!S8/SER_hh_num_in!S8)</f>
        <v>56046.314309323054</v>
      </c>
      <c r="T8" s="132">
        <f>IF(SER_hh_tes_in!T8=0,0,11630*1000*SER_hh_tes_in!T8/SER_hh_num_in!T8)</f>
        <v>52510.337034855816</v>
      </c>
      <c r="U8" s="132">
        <f>IF(SER_hh_tes_in!U8=0,0,11630*1000*SER_hh_tes_in!U8/SER_hh_num_in!U8)</f>
        <v>48439.45854850702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94264.260936176724</v>
      </c>
      <c r="D9" s="132">
        <f>IF(SER_hh_tes_in!D9=0,0,11630*1000*SER_hh_tes_in!D9/SER_hh_num_in!D9)</f>
        <v>77110.735188577062</v>
      </c>
      <c r="E9" s="132">
        <f>IF(SER_hh_tes_in!E9=0,0,11630*1000*SER_hh_tes_in!E9/SER_hh_num_in!E9)</f>
        <v>96081.988813460121</v>
      </c>
      <c r="F9" s="132">
        <f>IF(SER_hh_tes_in!F9=0,0,11630*1000*SER_hh_tes_in!F9/SER_hh_num_in!F9)</f>
        <v>94156.224216705814</v>
      </c>
      <c r="G9" s="132">
        <f>IF(SER_hh_tes_in!G9=0,0,11630*1000*SER_hh_tes_in!G9/SER_hh_num_in!G9)</f>
        <v>94562.148369903443</v>
      </c>
      <c r="H9" s="132">
        <f>IF(SER_hh_tes_in!H9=0,0,11630*1000*SER_hh_tes_in!H9/SER_hh_num_in!H9)</f>
        <v>80731.90825574995</v>
      </c>
      <c r="I9" s="132">
        <f>IF(SER_hh_tes_in!I9=0,0,11630*1000*SER_hh_tes_in!I9/SER_hh_num_in!I9)</f>
        <v>80032.411482765689</v>
      </c>
      <c r="J9" s="132">
        <f>IF(SER_hh_tes_in!J9=0,0,11630*1000*SER_hh_tes_in!J9/SER_hh_num_in!J9)</f>
        <v>69351.905865324719</v>
      </c>
      <c r="K9" s="132">
        <f>IF(SER_hh_tes_in!K9=0,0,11630*1000*SER_hh_tes_in!K9/SER_hh_num_in!K9)</f>
        <v>81296.966989058303</v>
      </c>
      <c r="L9" s="132">
        <f>IF(SER_hh_tes_in!L9=0,0,11630*1000*SER_hh_tes_in!L9/SER_hh_num_in!L9)</f>
        <v>88816.640312197065</v>
      </c>
      <c r="M9" s="132">
        <f>IF(SER_hh_tes_in!M9=0,0,11630*1000*SER_hh_tes_in!M9/SER_hh_num_in!M9)</f>
        <v>61315.618282057454</v>
      </c>
      <c r="N9" s="132">
        <f>IF(SER_hh_tes_in!N9=0,0,11630*1000*SER_hh_tes_in!N9/SER_hh_num_in!N9)</f>
        <v>70873.965621710609</v>
      </c>
      <c r="O9" s="132">
        <f>IF(SER_hh_tes_in!O9=0,0,11630*1000*SER_hh_tes_in!O9/SER_hh_num_in!O9)</f>
        <v>73287.47503450053</v>
      </c>
      <c r="P9" s="132">
        <f>IF(SER_hh_tes_in!P9=0,0,11630*1000*SER_hh_tes_in!P9/SER_hh_num_in!P9)</f>
        <v>57477.087824552764</v>
      </c>
      <c r="Q9" s="132">
        <f>IF(SER_hh_tes_in!Q9=0,0,11630*1000*SER_hh_tes_in!Q9/SER_hh_num_in!Q9)</f>
        <v>58943.791552486284</v>
      </c>
      <c r="R9" s="132">
        <f>IF(SER_hh_tes_in!R9=0,0,11630*1000*SER_hh_tes_in!R9/SER_hh_num_in!R9)</f>
        <v>56225.793161961003</v>
      </c>
      <c r="S9" s="132">
        <f>IF(SER_hh_tes_in!S9=0,0,11630*1000*SER_hh_tes_in!S9/SER_hh_num_in!S9)</f>
        <v>54572.199464244361</v>
      </c>
      <c r="T9" s="132">
        <f>IF(SER_hh_tes_in!T9=0,0,11630*1000*SER_hh_tes_in!T9/SER_hh_num_in!T9)</f>
        <v>52364.045765945208</v>
      </c>
      <c r="U9" s="132">
        <f>IF(SER_hh_tes_in!U9=0,0,11630*1000*SER_hh_tes_in!U9/SER_hh_num_in!U9)</f>
        <v>47446.855820407814</v>
      </c>
      <c r="V9" s="132">
        <f>IF(SER_hh_tes_in!V9=0,0,11630*1000*SER_hh_tes_in!V9/SER_hh_num_in!V9)</f>
        <v>40105.87610419983</v>
      </c>
      <c r="W9" s="132">
        <f>IF(SER_hh_tes_in!W9=0,0,11630*1000*SER_hh_tes_in!W9/SER_hh_num_in!W9)</f>
        <v>36281.977710654399</v>
      </c>
      <c r="X9" s="132">
        <f>IF(SER_hh_tes_in!X9=0,0,11630*1000*SER_hh_tes_in!X9/SER_hh_num_in!X9)</f>
        <v>31039.181717209132</v>
      </c>
      <c r="Y9" s="132">
        <f>IF(SER_hh_tes_in!Y9=0,0,11630*1000*SER_hh_tes_in!Y9/SER_hh_num_in!Y9)</f>
        <v>28662.735221259103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90416.668551321796</v>
      </c>
      <c r="D10" s="132">
        <f>IF(SER_hh_tes_in!D10=0,0,11630*1000*SER_hh_tes_in!D10/SER_hh_num_in!D10)</f>
        <v>91624.908216579584</v>
      </c>
      <c r="E10" s="132">
        <f>IF(SER_hh_tes_in!E10=0,0,11630*1000*SER_hh_tes_in!E10/SER_hh_num_in!E10)</f>
        <v>101365.62649278494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81759.47840595353</v>
      </c>
      <c r="J10" s="132">
        <f>IF(SER_hh_tes_in!J10=0,0,11630*1000*SER_hh_tes_in!J10/SER_hh_num_in!J10)</f>
        <v>77740.575462306995</v>
      </c>
      <c r="K10" s="132">
        <f>IF(SER_hh_tes_in!K10=0,0,11630*1000*SER_hh_tes_in!K10/SER_hh_num_in!K10)</f>
        <v>97618.963287286475</v>
      </c>
      <c r="L10" s="132">
        <f>IF(SER_hh_tes_in!L10=0,0,11630*1000*SER_hh_tes_in!L10/SER_hh_num_in!L10)</f>
        <v>83742.593532098123</v>
      </c>
      <c r="M10" s="132">
        <f>IF(SER_hh_tes_in!M10=0,0,11630*1000*SER_hh_tes_in!M10/SER_hh_num_in!M10)</f>
        <v>55199.09133484518</v>
      </c>
      <c r="N10" s="132">
        <f>IF(SER_hh_tes_in!N10=0,0,11630*1000*SER_hh_tes_in!N10/SER_hh_num_in!N10)</f>
        <v>64514.648308424636</v>
      </c>
      <c r="O10" s="132">
        <f>IF(SER_hh_tes_in!O10=0,0,11630*1000*SER_hh_tes_in!O10/SER_hh_num_in!O10)</f>
        <v>78931.135672898119</v>
      </c>
      <c r="P10" s="132">
        <f>IF(SER_hh_tes_in!P10=0,0,11630*1000*SER_hh_tes_in!P10/SER_hh_num_in!P10)</f>
        <v>63040.611368861777</v>
      </c>
      <c r="Q10" s="132">
        <f>IF(SER_hh_tes_in!Q10=0,0,11630*1000*SER_hh_tes_in!Q10/SER_hh_num_in!Q10)</f>
        <v>56220.571780978491</v>
      </c>
      <c r="R10" s="132">
        <f>IF(SER_hh_tes_in!R10=0,0,11630*1000*SER_hh_tes_in!R10/SER_hh_num_in!R10)</f>
        <v>58549.591960416015</v>
      </c>
      <c r="S10" s="132">
        <f>IF(SER_hh_tes_in!S10=0,0,11630*1000*SER_hh_tes_in!S10/SER_hh_num_in!S10)</f>
        <v>57256.066364069324</v>
      </c>
      <c r="T10" s="132">
        <f>IF(SER_hh_tes_in!T10=0,0,11630*1000*SER_hh_tes_in!T10/SER_hh_num_in!T10)</f>
        <v>49077.293227843635</v>
      </c>
      <c r="U10" s="132">
        <f>IF(SER_hh_tes_in!U10=0,0,11630*1000*SER_hh_tes_in!U10/SER_hh_num_in!U10)</f>
        <v>44834.310738117718</v>
      </c>
      <c r="V10" s="132">
        <f>IF(SER_hh_tes_in!V10=0,0,11630*1000*SER_hh_tes_in!V10/SER_hh_num_in!V10)</f>
        <v>39028.227833038327</v>
      </c>
      <c r="W10" s="132">
        <f>IF(SER_hh_tes_in!W10=0,0,11630*1000*SER_hh_tes_in!W10/SER_hh_num_in!W10)</f>
        <v>34480.275007181466</v>
      </c>
      <c r="X10" s="132">
        <f>IF(SER_hh_tes_in!X10=0,0,11630*1000*SER_hh_tes_in!X10/SER_hh_num_in!X10)</f>
        <v>35109.696365241594</v>
      </c>
      <c r="Y10" s="132">
        <f>IF(SER_hh_tes_in!Y10=0,0,11630*1000*SER_hh_tes_in!Y10/SER_hh_num_in!Y10)</f>
        <v>29343.625950218138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193447.23019013446</v>
      </c>
      <c r="E11" s="132">
        <f>IF(SER_hh_tes_in!E11=0,0,11630*1000*SER_hh_tes_in!E11/SER_hh_num_in!E11)</f>
        <v>169867.98507260252</v>
      </c>
      <c r="F11" s="132">
        <f>IF(SER_hh_tes_in!F11=0,0,11630*1000*SER_hh_tes_in!F11/SER_hh_num_in!F11)</f>
        <v>166958.61351820937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76073.276122700263</v>
      </c>
      <c r="L11" s="132">
        <f>IF(SER_hh_tes_in!L11=0,0,11630*1000*SER_hh_tes_in!L11/SER_hh_num_in!L11)</f>
        <v>71291.406708490045</v>
      </c>
      <c r="M11" s="132">
        <f>IF(SER_hh_tes_in!M11=0,0,11630*1000*SER_hh_tes_in!M11/SER_hh_num_in!M11)</f>
        <v>75564.427124393987</v>
      </c>
      <c r="N11" s="132">
        <f>IF(SER_hh_tes_in!N11=0,0,11630*1000*SER_hh_tes_in!N11/SER_hh_num_in!N11)</f>
        <v>70968.079976140565</v>
      </c>
      <c r="O11" s="132">
        <f>IF(SER_hh_tes_in!O11=0,0,11630*1000*SER_hh_tes_in!O11/SER_hh_num_in!O11)</f>
        <v>67628.132200019711</v>
      </c>
      <c r="P11" s="132">
        <f>IF(SER_hh_tes_in!P11=0,0,11630*1000*SER_hh_tes_in!P11/SER_hh_num_in!P11)</f>
        <v>61528.709637095395</v>
      </c>
      <c r="Q11" s="132">
        <f>IF(SER_hh_tes_in!Q11=0,0,11630*1000*SER_hh_tes_in!Q11/SER_hh_num_in!Q11)</f>
        <v>59577.043052264453</v>
      </c>
      <c r="R11" s="132">
        <f>IF(SER_hh_tes_in!R11=0,0,11630*1000*SER_hh_tes_in!R11/SER_hh_num_in!R11)</f>
        <v>57219.222392244963</v>
      </c>
      <c r="S11" s="132">
        <f>IF(SER_hh_tes_in!S11=0,0,11630*1000*SER_hh_tes_in!S11/SER_hh_num_in!S11)</f>
        <v>55310.916828537891</v>
      </c>
      <c r="T11" s="132">
        <f>IF(SER_hh_tes_in!T11=0,0,11630*1000*SER_hh_tes_in!T11/SER_hh_num_in!T11)</f>
        <v>52404.670229595511</v>
      </c>
      <c r="U11" s="132">
        <f>IF(SER_hh_tes_in!U11=0,0,11630*1000*SER_hh_tes_in!U11/SER_hh_num_in!U11)</f>
        <v>47810.323106063079</v>
      </c>
      <c r="V11" s="132">
        <f>IF(SER_hh_tes_in!V11=0,0,11630*1000*SER_hh_tes_in!V11/SER_hh_num_in!V11)</f>
        <v>42512.30887654845</v>
      </c>
      <c r="W11" s="132">
        <f>IF(SER_hh_tes_in!W11=0,0,11630*1000*SER_hh_tes_in!W11/SER_hh_num_in!W11)</f>
        <v>32859.181362165509</v>
      </c>
      <c r="X11" s="132">
        <f>IF(SER_hh_tes_in!X11=0,0,11630*1000*SER_hh_tes_in!X11/SER_hh_num_in!X11)</f>
        <v>31425.857033083535</v>
      </c>
      <c r="Y11" s="132">
        <f>IF(SER_hh_tes_in!Y11=0,0,11630*1000*SER_hh_tes_in!Y11/SER_hh_num_in!Y11)</f>
        <v>30139.201001637633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95209.152817071226</v>
      </c>
      <c r="D12" s="132">
        <f>IF(SER_hh_tes_in!D12=0,0,11630*1000*SER_hh_tes_in!D12/SER_hh_num_in!D12)</f>
        <v>94903.07614771997</v>
      </c>
      <c r="E12" s="132">
        <f>IF(SER_hh_tes_in!E12=0,0,11630*1000*SER_hh_tes_in!E12/SER_hh_num_in!E12)</f>
        <v>91445.35095301058</v>
      </c>
      <c r="F12" s="132">
        <f>IF(SER_hh_tes_in!F12=0,0,11630*1000*SER_hh_tes_in!F12/SER_hh_num_in!F12)</f>
        <v>92163.616607356365</v>
      </c>
      <c r="G12" s="132">
        <f>IF(SER_hh_tes_in!G12=0,0,11630*1000*SER_hh_tes_in!G12/SER_hh_num_in!G12)</f>
        <v>98465.675363345916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83105.235390735703</v>
      </c>
      <c r="M12" s="132">
        <f>IF(SER_hh_tes_in!M12=0,0,11630*1000*SER_hh_tes_in!M12/SER_hh_num_in!M12)</f>
        <v>68749.159884270834</v>
      </c>
      <c r="N12" s="132">
        <f>IF(SER_hh_tes_in!N12=0,0,11630*1000*SER_hh_tes_in!N12/SER_hh_num_in!N12)</f>
        <v>67530.022683112271</v>
      </c>
      <c r="O12" s="132">
        <f>IF(SER_hh_tes_in!O12=0,0,11630*1000*SER_hh_tes_in!O12/SER_hh_num_in!O12)</f>
        <v>68775.283106121526</v>
      </c>
      <c r="P12" s="132">
        <f>IF(SER_hh_tes_in!P12=0,0,11630*1000*SER_hh_tes_in!P12/SER_hh_num_in!P12)</f>
        <v>60300.508934724043</v>
      </c>
      <c r="Q12" s="132">
        <f>IF(SER_hh_tes_in!Q12=0,0,11630*1000*SER_hh_tes_in!Q12/SER_hh_num_in!Q12)</f>
        <v>59375.153825470021</v>
      </c>
      <c r="R12" s="132">
        <f>IF(SER_hh_tes_in!R12=0,0,11630*1000*SER_hh_tes_in!R12/SER_hh_num_in!R12)</f>
        <v>59352.154884079762</v>
      </c>
      <c r="S12" s="132">
        <f>IF(SER_hh_tes_in!S12=0,0,11630*1000*SER_hh_tes_in!S12/SER_hh_num_in!S12)</f>
        <v>56815.491308784105</v>
      </c>
      <c r="T12" s="132">
        <f>IF(SER_hh_tes_in!T12=0,0,11630*1000*SER_hh_tes_in!T12/SER_hh_num_in!T12)</f>
        <v>50923.515876523881</v>
      </c>
      <c r="U12" s="132">
        <f>IF(SER_hh_tes_in!U12=0,0,11630*1000*SER_hh_tes_in!U12/SER_hh_num_in!U12)</f>
        <v>46121.253737305895</v>
      </c>
      <c r="V12" s="132">
        <f>IF(SER_hh_tes_in!V12=0,0,11630*1000*SER_hh_tes_in!V12/SER_hh_num_in!V12)</f>
        <v>41301.040451636436</v>
      </c>
      <c r="W12" s="132">
        <f>IF(SER_hh_tes_in!W12=0,0,11630*1000*SER_hh_tes_in!W12/SER_hh_num_in!W12)</f>
        <v>36899.096219234372</v>
      </c>
      <c r="X12" s="132">
        <f>IF(SER_hh_tes_in!X12=0,0,11630*1000*SER_hh_tes_in!X12/SER_hh_num_in!X12)</f>
        <v>32602.160038256614</v>
      </c>
      <c r="Y12" s="132">
        <f>IF(SER_hh_tes_in!Y12=0,0,11630*1000*SER_hh_tes_in!Y12/SER_hh_num_in!Y12)</f>
        <v>29524.854042467116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89374.415000438734</v>
      </c>
      <c r="D13" s="132">
        <f>IF(SER_hh_tes_in!D13=0,0,11630*1000*SER_hh_tes_in!D13/SER_hh_num_in!D13)</f>
        <v>92523.485617970087</v>
      </c>
      <c r="E13" s="132">
        <f>IF(SER_hh_tes_in!E13=0,0,11630*1000*SER_hh_tes_in!E13/SER_hh_num_in!E13)</f>
        <v>92442.836227870619</v>
      </c>
      <c r="F13" s="132">
        <f>IF(SER_hh_tes_in!F13=0,0,11630*1000*SER_hh_tes_in!F13/SER_hh_num_in!F13)</f>
        <v>89758.84682453594</v>
      </c>
      <c r="G13" s="132">
        <f>IF(SER_hh_tes_in!G13=0,0,11630*1000*SER_hh_tes_in!G13/SER_hh_num_in!G13)</f>
        <v>91774.829682866111</v>
      </c>
      <c r="H13" s="132">
        <f>IF(SER_hh_tes_in!H13=0,0,11630*1000*SER_hh_tes_in!H13/SER_hh_num_in!H13)</f>
        <v>85651.243220382574</v>
      </c>
      <c r="I13" s="132">
        <f>IF(SER_hh_tes_in!I13=0,0,11630*1000*SER_hh_tes_in!I13/SER_hh_num_in!I13)</f>
        <v>77942.533824631144</v>
      </c>
      <c r="J13" s="132">
        <f>IF(SER_hh_tes_in!J13=0,0,11630*1000*SER_hh_tes_in!J13/SER_hh_num_in!J13)</f>
        <v>80403.914475408557</v>
      </c>
      <c r="K13" s="132">
        <f>IF(SER_hh_tes_in!K13=0,0,11630*1000*SER_hh_tes_in!K13/SER_hh_num_in!K13)</f>
        <v>74924.507210096417</v>
      </c>
      <c r="L13" s="132">
        <f>IF(SER_hh_tes_in!L13=0,0,11630*1000*SER_hh_tes_in!L13/SER_hh_num_in!L13)</f>
        <v>66776.103788778346</v>
      </c>
      <c r="M13" s="132">
        <f>IF(SER_hh_tes_in!M13=0,0,11630*1000*SER_hh_tes_in!M13/SER_hh_num_in!M13)</f>
        <v>75667.686059830725</v>
      </c>
      <c r="N13" s="132">
        <f>IF(SER_hh_tes_in!N13=0,0,11630*1000*SER_hh_tes_in!N13/SER_hh_num_in!N13)</f>
        <v>75036.169475859118</v>
      </c>
      <c r="O13" s="132">
        <f>IF(SER_hh_tes_in!O13=0,0,11630*1000*SER_hh_tes_in!O13/SER_hh_num_in!O13)</f>
        <v>74372.157376370698</v>
      </c>
      <c r="P13" s="132">
        <f>IF(SER_hh_tes_in!P13=0,0,11630*1000*SER_hh_tes_in!P13/SER_hh_num_in!P13)</f>
        <v>59493.062052430127</v>
      </c>
      <c r="Q13" s="132">
        <f>IF(SER_hh_tes_in!Q13=0,0,11630*1000*SER_hh_tes_in!Q13/SER_hh_num_in!Q13)</f>
        <v>59332.842794602257</v>
      </c>
      <c r="R13" s="132">
        <f>IF(SER_hh_tes_in!R13=0,0,11630*1000*SER_hh_tes_in!R13/SER_hh_num_in!R13)</f>
        <v>60359.755395641005</v>
      </c>
      <c r="S13" s="132">
        <f>IF(SER_hh_tes_in!S13=0,0,11630*1000*SER_hh_tes_in!S13/SER_hh_num_in!S13)</f>
        <v>54945.059751338216</v>
      </c>
      <c r="T13" s="132">
        <f>IF(SER_hh_tes_in!T13=0,0,11630*1000*SER_hh_tes_in!T13/SER_hh_num_in!T13)</f>
        <v>47857.646702724414</v>
      </c>
      <c r="U13" s="132">
        <f>IF(SER_hh_tes_in!U13=0,0,11630*1000*SER_hh_tes_in!U13/SER_hh_num_in!U13)</f>
        <v>45249.909084515362</v>
      </c>
      <c r="V13" s="132">
        <f>IF(SER_hh_tes_in!V13=0,0,11630*1000*SER_hh_tes_in!V13/SER_hh_num_in!V13)</f>
        <v>40921.87816953897</v>
      </c>
      <c r="W13" s="132">
        <f>IF(SER_hh_tes_in!W13=0,0,11630*1000*SER_hh_tes_in!W13/SER_hh_num_in!W13)</f>
        <v>41933.740039394033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0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92910.221076982169</v>
      </c>
      <c r="D14" s="65">
        <f>IF(SER_hh_tes_in!D14=0,0,11630*1000*SER_hh_tes_in!D14/SER_hh_num_in!D14)</f>
        <v>90097.784673663249</v>
      </c>
      <c r="E14" s="65">
        <f>IF(SER_hh_tes_in!E14=0,0,11630*1000*SER_hh_tes_in!E14/SER_hh_num_in!E14)</f>
        <v>92367.318596542493</v>
      </c>
      <c r="F14" s="65">
        <f>IF(SER_hh_tes_in!F14=0,0,11630*1000*SER_hh_tes_in!F14/SER_hh_num_in!F14)</f>
        <v>96485.834598710877</v>
      </c>
      <c r="G14" s="65">
        <f>IF(SER_hh_tes_in!G14=0,0,11630*1000*SER_hh_tes_in!G14/SER_hh_num_in!G14)</f>
        <v>89283.427668756834</v>
      </c>
      <c r="H14" s="65">
        <f>IF(SER_hh_tes_in!H14=0,0,11630*1000*SER_hh_tes_in!H14/SER_hh_num_in!H14)</f>
        <v>85350.570445496487</v>
      </c>
      <c r="I14" s="65">
        <f>IF(SER_hh_tes_in!I14=0,0,11630*1000*SER_hh_tes_in!I14/SER_hh_num_in!I14)</f>
        <v>82083.489614336344</v>
      </c>
      <c r="J14" s="65">
        <f>IF(SER_hh_tes_in!J14=0,0,11630*1000*SER_hh_tes_in!J14/SER_hh_num_in!J14)</f>
        <v>73957.562338126532</v>
      </c>
      <c r="K14" s="65">
        <f>IF(SER_hh_tes_in!K14=0,0,11630*1000*SER_hh_tes_in!K14/SER_hh_num_in!K14)</f>
        <v>80130.596117683279</v>
      </c>
      <c r="L14" s="65">
        <f>IF(SER_hh_tes_in!L14=0,0,11630*1000*SER_hh_tes_in!L14/SER_hh_num_in!L14)</f>
        <v>87683.15406580198</v>
      </c>
      <c r="M14" s="65">
        <f>IF(SER_hh_tes_in!M14=0,0,11630*1000*SER_hh_tes_in!M14/SER_hh_num_in!M14)</f>
        <v>67016.69400047652</v>
      </c>
      <c r="N14" s="65">
        <f>IF(SER_hh_tes_in!N14=0,0,11630*1000*SER_hh_tes_in!N14/SER_hh_num_in!N14)</f>
        <v>71858.372136988983</v>
      </c>
      <c r="O14" s="65">
        <f>IF(SER_hh_tes_in!O14=0,0,11630*1000*SER_hh_tes_in!O14/SER_hh_num_in!O14)</f>
        <v>71385.51349438107</v>
      </c>
      <c r="P14" s="65">
        <f>IF(SER_hh_tes_in!P14=0,0,11630*1000*SER_hh_tes_in!P14/SER_hh_num_in!P14)</f>
        <v>58346.383425302993</v>
      </c>
      <c r="Q14" s="65">
        <f>IF(SER_hh_tes_in!Q14=0,0,11630*1000*SER_hh_tes_in!Q14/SER_hh_num_in!Q14)</f>
        <v>60424.157026084293</v>
      </c>
      <c r="R14" s="65">
        <f>IF(SER_hh_tes_in!R14=0,0,11630*1000*SER_hh_tes_in!R14/SER_hh_num_in!R14)</f>
        <v>58040.357331880958</v>
      </c>
      <c r="S14" s="65">
        <f>IF(SER_hh_tes_in!S14=0,0,11630*1000*SER_hh_tes_in!S14/SER_hh_num_in!S14)</f>
        <v>55212.756327795578</v>
      </c>
      <c r="T14" s="65">
        <f>IF(SER_hh_tes_in!T14=0,0,11630*1000*SER_hh_tes_in!T14/SER_hh_num_in!T14)</f>
        <v>51957.703816356392</v>
      </c>
      <c r="U14" s="65">
        <f>IF(SER_hh_tes_in!U14=0,0,11630*1000*SER_hh_tes_in!U14/SER_hh_num_in!U14)</f>
        <v>46754.639414981597</v>
      </c>
      <c r="V14" s="65">
        <f>IF(SER_hh_tes_in!V14=0,0,11630*1000*SER_hh_tes_in!V14/SER_hh_num_in!V14)</f>
        <v>37765.778383660123</v>
      </c>
      <c r="W14" s="65">
        <f>IF(SER_hh_tes_in!W14=0,0,11630*1000*SER_hh_tes_in!W14/SER_hh_num_in!W14)</f>
        <v>38598.630445809897</v>
      </c>
      <c r="X14" s="65">
        <f>IF(SER_hh_tes_in!X14=0,0,11630*1000*SER_hh_tes_in!X14/SER_hh_num_in!X14)</f>
        <v>36733.199780559407</v>
      </c>
      <c r="Y14" s="65">
        <f>IF(SER_hh_tes_in!Y14=0,0,11630*1000*SER_hh_tes_in!Y14/SER_hh_num_in!Y14)</f>
        <v>27258.435784151756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1263.9571787238124</v>
      </c>
      <c r="D15" s="134">
        <f>IF(SER_hh_tes_in!D15=0,0,11630*1000*SER_hh_tes_in!D15/SER_hh_num_in!D15)</f>
        <v>1166.8468876498268</v>
      </c>
      <c r="E15" s="134">
        <f>IF(SER_hh_tes_in!E15=0,0,11630*1000*SER_hh_tes_in!E15/SER_hh_num_in!E15)</f>
        <v>1578.7137832563019</v>
      </c>
      <c r="F15" s="134">
        <f>IF(SER_hh_tes_in!F15=0,0,11630*1000*SER_hh_tes_in!F15/SER_hh_num_in!F15)</f>
        <v>1522.4976850064836</v>
      </c>
      <c r="G15" s="134">
        <f>IF(SER_hh_tes_in!G15=0,0,11630*1000*SER_hh_tes_in!G15/SER_hh_num_in!G15)</f>
        <v>1573.0422967878869</v>
      </c>
      <c r="H15" s="134">
        <f>IF(SER_hh_tes_in!H15=0,0,11630*1000*SER_hh_tes_in!H15/SER_hh_num_in!H15)</f>
        <v>1427.3675523400282</v>
      </c>
      <c r="I15" s="134">
        <f>IF(SER_hh_tes_in!I15=0,0,11630*1000*SER_hh_tes_in!I15/SER_hh_num_in!I15)</f>
        <v>1308.0341432865046</v>
      </c>
      <c r="J15" s="134">
        <f>IF(SER_hh_tes_in!J15=0,0,11630*1000*SER_hh_tes_in!J15/SER_hh_num_in!J15)</f>
        <v>1254.6052476041668</v>
      </c>
      <c r="K15" s="134">
        <f>IF(SER_hh_tes_in!K15=0,0,11630*1000*SER_hh_tes_in!K15/SER_hh_num_in!K15)</f>
        <v>1368.9450964040527</v>
      </c>
      <c r="L15" s="134">
        <f>IF(SER_hh_tes_in!L15=0,0,11630*1000*SER_hh_tes_in!L15/SER_hh_num_in!L15)</f>
        <v>1352.9758860014078</v>
      </c>
      <c r="M15" s="134">
        <f>IF(SER_hh_tes_in!M15=0,0,11630*1000*SER_hh_tes_in!M15/SER_hh_num_in!M15)</f>
        <v>917.81458368875371</v>
      </c>
      <c r="N15" s="134">
        <f>IF(SER_hh_tes_in!N15=0,0,11630*1000*SER_hh_tes_in!N15/SER_hh_num_in!N15)</f>
        <v>1002.4242196311336</v>
      </c>
      <c r="O15" s="134">
        <f>IF(SER_hh_tes_in!O15=0,0,11630*1000*SER_hh_tes_in!O15/SER_hh_num_in!O15)</f>
        <v>986.30767053434784</v>
      </c>
      <c r="P15" s="134">
        <f>IF(SER_hh_tes_in!P15=0,0,11630*1000*SER_hh_tes_in!P15/SER_hh_num_in!P15)</f>
        <v>827.70586048419591</v>
      </c>
      <c r="Q15" s="134">
        <f>IF(SER_hh_tes_in!Q15=0,0,11630*1000*SER_hh_tes_in!Q15/SER_hh_num_in!Q15)</f>
        <v>722.37899386261677</v>
      </c>
      <c r="R15" s="134">
        <f>IF(SER_hh_tes_in!R15=0,0,11630*1000*SER_hh_tes_in!R15/SER_hh_num_in!R15)</f>
        <v>730.78300481026702</v>
      </c>
      <c r="S15" s="134">
        <f>IF(SER_hh_tes_in!S15=0,0,11630*1000*SER_hh_tes_in!S15/SER_hh_num_in!S15)</f>
        <v>749.18986549925171</v>
      </c>
      <c r="T15" s="134">
        <f>IF(SER_hh_tes_in!T15=0,0,11630*1000*SER_hh_tes_in!T15/SER_hh_num_in!T15)</f>
        <v>740.96230986543878</v>
      </c>
      <c r="U15" s="134">
        <f>IF(SER_hh_tes_in!U15=0,0,11630*1000*SER_hh_tes_in!U15/SER_hh_num_in!U15)</f>
        <v>670.08971011827157</v>
      </c>
      <c r="V15" s="134">
        <f>IF(SER_hh_tes_in!V15=0,0,11630*1000*SER_hh_tes_in!V15/SER_hh_num_in!V15)</f>
        <v>577.22076224637658</v>
      </c>
      <c r="W15" s="134">
        <f>IF(SER_hh_tes_in!W15=0,0,11630*1000*SER_hh_tes_in!W15/SER_hh_num_in!W15)</f>
        <v>488.57393270795762</v>
      </c>
      <c r="X15" s="134">
        <f>IF(SER_hh_tes_in!X15=0,0,11630*1000*SER_hh_tes_in!X15/SER_hh_num_in!X15)</f>
        <v>452.2051946633548</v>
      </c>
      <c r="Y15" s="134">
        <f>IF(SER_hh_tes_in!Y15=0,0,11630*1000*SER_hh_tes_in!Y15/SER_hh_num_in!Y15)</f>
        <v>389.35641256055663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24612.473959546842</v>
      </c>
      <c r="D16" s="130">
        <f>IF(SER_hh_tes_in!D16=0,0,11630*1000*SER_hh_tes_in!D16/SER_hh_num_in!D16)</f>
        <v>23366.747684793972</v>
      </c>
      <c r="E16" s="130">
        <f>IF(SER_hh_tes_in!E16=0,0,11630*1000*SER_hh_tes_in!E16/SER_hh_num_in!E16)</f>
        <v>40503.492820939304</v>
      </c>
      <c r="F16" s="130">
        <f>IF(SER_hh_tes_in!F16=0,0,11630*1000*SER_hh_tes_in!F16/SER_hh_num_in!F16)</f>
        <v>23636.717914596382</v>
      </c>
      <c r="G16" s="130">
        <f>IF(SER_hh_tes_in!G16=0,0,11630*1000*SER_hh_tes_in!G16/SER_hh_num_in!G16)</f>
        <v>25442.368153890358</v>
      </c>
      <c r="H16" s="130">
        <f>IF(SER_hh_tes_in!H16=0,0,11630*1000*SER_hh_tes_in!H16/SER_hh_num_in!H16)</f>
        <v>28795.353766214874</v>
      </c>
      <c r="I16" s="130">
        <f>IF(SER_hh_tes_in!I16=0,0,11630*1000*SER_hh_tes_in!I16/SER_hh_num_in!I16)</f>
        <v>22227.645161120727</v>
      </c>
      <c r="J16" s="130">
        <f>IF(SER_hh_tes_in!J16=0,0,11630*1000*SER_hh_tes_in!J16/SER_hh_num_in!J16)</f>
        <v>22239.385250837287</v>
      </c>
      <c r="K16" s="130">
        <f>IF(SER_hh_tes_in!K16=0,0,11630*1000*SER_hh_tes_in!K16/SER_hh_num_in!K16)</f>
        <v>23336.578994681709</v>
      </c>
      <c r="L16" s="130">
        <f>IF(SER_hh_tes_in!L16=0,0,11630*1000*SER_hh_tes_in!L16/SER_hh_num_in!L16)</f>
        <v>22593.947731502205</v>
      </c>
      <c r="M16" s="130">
        <f>IF(SER_hh_tes_in!M16=0,0,11630*1000*SER_hh_tes_in!M16/SER_hh_num_in!M16)</f>
        <v>21797.998486908564</v>
      </c>
      <c r="N16" s="130">
        <f>IF(SER_hh_tes_in!N16=0,0,11630*1000*SER_hh_tes_in!N16/SER_hh_num_in!N16)</f>
        <v>22383.62066286982</v>
      </c>
      <c r="O16" s="130">
        <f>IF(SER_hh_tes_in!O16=0,0,11630*1000*SER_hh_tes_in!O16/SER_hh_num_in!O16)</f>
        <v>21697.416066676167</v>
      </c>
      <c r="P16" s="130">
        <f>IF(SER_hh_tes_in!P16=0,0,11630*1000*SER_hh_tes_in!P16/SER_hh_num_in!P16)</f>
        <v>19840.160563256788</v>
      </c>
      <c r="Q16" s="130">
        <f>IF(SER_hh_tes_in!Q16=0,0,11630*1000*SER_hh_tes_in!Q16/SER_hh_num_in!Q16)</f>
        <v>23993.567413398556</v>
      </c>
      <c r="R16" s="130">
        <f>IF(SER_hh_tes_in!R16=0,0,11630*1000*SER_hh_tes_in!R16/SER_hh_num_in!R16)</f>
        <v>20553.779515538012</v>
      </c>
      <c r="S16" s="130">
        <f>IF(SER_hh_tes_in!S16=0,0,11630*1000*SER_hh_tes_in!S16/SER_hh_num_in!S16)</f>
        <v>21561.12480758104</v>
      </c>
      <c r="T16" s="130">
        <f>IF(SER_hh_tes_in!T16=0,0,11630*1000*SER_hh_tes_in!T16/SER_hh_num_in!T16)</f>
        <v>20563.407606362402</v>
      </c>
      <c r="U16" s="130">
        <f>IF(SER_hh_tes_in!U16=0,0,11630*1000*SER_hh_tes_in!U16/SER_hh_num_in!U16)</f>
        <v>19970.866503628375</v>
      </c>
      <c r="V16" s="130">
        <f>IF(SER_hh_tes_in!V16=0,0,11630*1000*SER_hh_tes_in!V16/SER_hh_num_in!V16)</f>
        <v>19077.781667305397</v>
      </c>
      <c r="W16" s="130">
        <f>IF(SER_hh_tes_in!W16=0,0,11630*1000*SER_hh_tes_in!W16/SER_hh_num_in!W16)</f>
        <v>14382.83640785846</v>
      </c>
      <c r="X16" s="130">
        <f>IF(SER_hh_tes_in!X16=0,0,11630*1000*SER_hh_tes_in!X16/SER_hh_num_in!X16)</f>
        <v>21090.059599655251</v>
      </c>
      <c r="Y16" s="130">
        <f>IF(SER_hh_tes_in!Y16=0,0,11630*1000*SER_hh_tes_in!Y16/SER_hh_num_in!Y16)</f>
        <v>18675.144887444174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24618.013408028844</v>
      </c>
      <c r="D17" s="132">
        <f>IF(SER_hh_tes_in!D17=0,0,11630*1000*SER_hh_tes_in!D17/SER_hh_num_in!D17)</f>
        <v>23376.528358116655</v>
      </c>
      <c r="E17" s="132">
        <f>IF(SER_hh_tes_in!E17=0,0,11630*1000*SER_hh_tes_in!E17/SER_hh_num_in!E17)</f>
        <v>46077.098568636771</v>
      </c>
      <c r="F17" s="132">
        <f>IF(SER_hh_tes_in!F17=0,0,11630*1000*SER_hh_tes_in!F17/SER_hh_num_in!F17)</f>
        <v>23662.880527707046</v>
      </c>
      <c r="G17" s="132">
        <f>IF(SER_hh_tes_in!G17=0,0,11630*1000*SER_hh_tes_in!G17/SER_hh_num_in!G17)</f>
        <v>22644.1613044062</v>
      </c>
      <c r="H17" s="132">
        <f>IF(SER_hh_tes_in!H17=0,0,11630*1000*SER_hh_tes_in!H17/SER_hh_num_in!H17)</f>
        <v>28843.807273312039</v>
      </c>
      <c r="I17" s="132">
        <f>IF(SER_hh_tes_in!I17=0,0,11630*1000*SER_hh_tes_in!I17/SER_hh_num_in!I17)</f>
        <v>22257.476609334237</v>
      </c>
      <c r="J17" s="132">
        <f>IF(SER_hh_tes_in!J17=0,0,11630*1000*SER_hh_tes_in!J17/SER_hh_num_in!J17)</f>
        <v>22270.89102483886</v>
      </c>
      <c r="K17" s="132">
        <f>IF(SER_hh_tes_in!K17=0,0,11630*1000*SER_hh_tes_in!K17/SER_hh_num_in!K17)</f>
        <v>23366.304789335729</v>
      </c>
      <c r="L17" s="132">
        <f>IF(SER_hh_tes_in!L17=0,0,11630*1000*SER_hh_tes_in!L17/SER_hh_num_in!L17)</f>
        <v>22654.898559829784</v>
      </c>
      <c r="M17" s="132">
        <f>IF(SER_hh_tes_in!M17=0,0,11630*1000*SER_hh_tes_in!M17/SER_hh_num_in!M17)</f>
        <v>21910.799137815673</v>
      </c>
      <c r="N17" s="132">
        <f>IF(SER_hh_tes_in!N17=0,0,11630*1000*SER_hh_tes_in!N17/SER_hh_num_in!N17)</f>
        <v>22529.725826508162</v>
      </c>
      <c r="O17" s="132">
        <f>IF(SER_hh_tes_in!O17=0,0,11630*1000*SER_hh_tes_in!O17/SER_hh_num_in!O17)</f>
        <v>21831.513607733512</v>
      </c>
      <c r="P17" s="132">
        <f>IF(SER_hh_tes_in!P17=0,0,11630*1000*SER_hh_tes_in!P17/SER_hh_num_in!P17)</f>
        <v>18627.758298567293</v>
      </c>
      <c r="Q17" s="132">
        <f>IF(SER_hh_tes_in!Q17=0,0,11630*1000*SER_hh_tes_in!Q17/SER_hh_num_in!Q17)</f>
        <v>24069.780864611439</v>
      </c>
      <c r="R17" s="132">
        <f>IF(SER_hh_tes_in!R17=0,0,11630*1000*SER_hh_tes_in!R17/SER_hh_num_in!R17)</f>
        <v>20593.434886097421</v>
      </c>
      <c r="S17" s="132">
        <f>IF(SER_hh_tes_in!S17=0,0,11630*1000*SER_hh_tes_in!S17/SER_hh_num_in!S17)</f>
        <v>21610.258652825069</v>
      </c>
      <c r="T17" s="132">
        <f>IF(SER_hh_tes_in!T17=0,0,11630*1000*SER_hh_tes_in!T17/SER_hh_num_in!T17)</f>
        <v>20606.900574769294</v>
      </c>
      <c r="U17" s="132">
        <f>IF(SER_hh_tes_in!U17=0,0,11630*1000*SER_hh_tes_in!U17/SER_hh_num_in!U17)</f>
        <v>20031.318268954794</v>
      </c>
      <c r="V17" s="132">
        <f>IF(SER_hh_tes_in!V17=0,0,11630*1000*SER_hh_tes_in!V17/SER_hh_num_in!V17)</f>
        <v>18413.268878371236</v>
      </c>
      <c r="W17" s="132">
        <f>IF(SER_hh_tes_in!W17=0,0,11630*1000*SER_hh_tes_in!W17/SER_hh_num_in!W17)</f>
        <v>13250.692917414197</v>
      </c>
      <c r="X17" s="132">
        <f>IF(SER_hh_tes_in!X17=0,0,11630*1000*SER_hh_tes_in!X17/SER_hh_num_in!X17)</f>
        <v>19941.009015941148</v>
      </c>
      <c r="Y17" s="132">
        <f>IF(SER_hh_tes_in!Y17=0,0,11630*1000*SER_hh_tes_in!Y17/SER_hh_num_in!Y17)</f>
        <v>18733.082165081665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24612.448244877531</v>
      </c>
      <c r="D18" s="132">
        <f>IF(SER_hh_tes_in!D18=0,0,11630*1000*SER_hh_tes_in!D18/SER_hh_num_in!D18)</f>
        <v>23366.705051045916</v>
      </c>
      <c r="E18" s="132">
        <f>IF(SER_hh_tes_in!E18=0,0,11630*1000*SER_hh_tes_in!E18/SER_hh_num_in!E18)</f>
        <v>40454.700838084347</v>
      </c>
      <c r="F18" s="132">
        <f>IF(SER_hh_tes_in!F18=0,0,11630*1000*SER_hh_tes_in!F18/SER_hh_num_in!F18)</f>
        <v>23636.610407283202</v>
      </c>
      <c r="G18" s="132">
        <f>IF(SER_hh_tes_in!G18=0,0,11630*1000*SER_hh_tes_in!G18/SER_hh_num_in!G18)</f>
        <v>25457.290527331315</v>
      </c>
      <c r="H18" s="132">
        <f>IF(SER_hh_tes_in!H18=0,0,11630*1000*SER_hh_tes_in!H18/SER_hh_num_in!H18)</f>
        <v>28794.834177418328</v>
      </c>
      <c r="I18" s="132">
        <f>IF(SER_hh_tes_in!I18=0,0,11630*1000*SER_hh_tes_in!I18/SER_hh_num_in!I18)</f>
        <v>22227.424934098268</v>
      </c>
      <c r="J18" s="132">
        <f>IF(SER_hh_tes_in!J18=0,0,11630*1000*SER_hh_tes_in!J18/SER_hh_num_in!J18)</f>
        <v>22239.026855095079</v>
      </c>
      <c r="K18" s="132">
        <f>IF(SER_hh_tes_in!K18=0,0,11630*1000*SER_hh_tes_in!K18/SER_hh_num_in!K18)</f>
        <v>23336.316700663672</v>
      </c>
      <c r="L18" s="132">
        <f>IF(SER_hh_tes_in!L18=0,0,11630*1000*SER_hh_tes_in!L18/SER_hh_num_in!L18)</f>
        <v>22593.026978233458</v>
      </c>
      <c r="M18" s="132">
        <f>IF(SER_hh_tes_in!M18=0,0,11630*1000*SER_hh_tes_in!M18/SER_hh_num_in!M18)</f>
        <v>21794.87906629089</v>
      </c>
      <c r="N18" s="132">
        <f>IF(SER_hh_tes_in!N18=0,0,11630*1000*SER_hh_tes_in!N18/SER_hh_num_in!N18)</f>
        <v>22376.113514589983</v>
      </c>
      <c r="O18" s="132">
        <f>IF(SER_hh_tes_in!O18=0,0,11630*1000*SER_hh_tes_in!O18/SER_hh_num_in!O18)</f>
        <v>21692.035908615169</v>
      </c>
      <c r="P18" s="132">
        <f>IF(SER_hh_tes_in!P18=0,0,11630*1000*SER_hh_tes_in!P18/SER_hh_num_in!P18)</f>
        <v>19881.828193378955</v>
      </c>
      <c r="Q18" s="132">
        <f>IF(SER_hh_tes_in!Q18=0,0,11630*1000*SER_hh_tes_in!Q18/SER_hh_num_in!Q18)</f>
        <v>23990.420104271896</v>
      </c>
      <c r="R18" s="132">
        <f>IF(SER_hh_tes_in!R18=0,0,11630*1000*SER_hh_tes_in!R18/SER_hh_num_in!R18)</f>
        <v>20552.502990151424</v>
      </c>
      <c r="S18" s="132">
        <f>IF(SER_hh_tes_in!S18=0,0,11630*1000*SER_hh_tes_in!S18/SER_hh_num_in!S18)</f>
        <v>21558.695828240321</v>
      </c>
      <c r="T18" s="132">
        <f>IF(SER_hh_tes_in!T18=0,0,11630*1000*SER_hh_tes_in!T18/SER_hh_num_in!T18)</f>
        <v>20561.426758320977</v>
      </c>
      <c r="U18" s="132">
        <f>IF(SER_hh_tes_in!U18=0,0,11630*1000*SER_hh_tes_in!U18/SER_hh_num_in!U18)</f>
        <v>19967.592986915406</v>
      </c>
      <c r="V18" s="132">
        <f>IF(SER_hh_tes_in!V18=0,0,11630*1000*SER_hh_tes_in!V18/SER_hh_num_in!V18)</f>
        <v>19111.093926831676</v>
      </c>
      <c r="W18" s="132">
        <f>IF(SER_hh_tes_in!W18=0,0,11630*1000*SER_hh_tes_in!W18/SER_hh_num_in!W18)</f>
        <v>14439.278082837827</v>
      </c>
      <c r="X18" s="132">
        <f>IF(SER_hh_tes_in!X18=0,0,11630*1000*SER_hh_tes_in!X18/SER_hh_num_in!X18)</f>
        <v>21159.152106908037</v>
      </c>
      <c r="Y18" s="132">
        <f>IF(SER_hh_tes_in!Y18=0,0,11630*1000*SER_hh_tes_in!Y18/SER_hh_num_in!Y18)</f>
        <v>18672.51958168795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14997.111616022468</v>
      </c>
      <c r="D19" s="130">
        <f>IF(SER_hh_tes_in!D19=0,0,11630*1000*SER_hh_tes_in!D19/SER_hh_num_in!D19)</f>
        <v>14986.570236355477</v>
      </c>
      <c r="E19" s="130">
        <f>IF(SER_hh_tes_in!E19=0,0,11630*1000*SER_hh_tes_in!E19/SER_hh_num_in!E19)</f>
        <v>14636.733609957666</v>
      </c>
      <c r="F19" s="130">
        <f>IF(SER_hh_tes_in!F19=0,0,11630*1000*SER_hh_tes_in!F19/SER_hh_num_in!F19)</f>
        <v>15001.488591168669</v>
      </c>
      <c r="G19" s="130">
        <f>IF(SER_hh_tes_in!G19=0,0,11630*1000*SER_hh_tes_in!G19/SER_hh_num_in!G19)</f>
        <v>14835.370245869888</v>
      </c>
      <c r="H19" s="130">
        <f>IF(SER_hh_tes_in!H19=0,0,11630*1000*SER_hh_tes_in!H19/SER_hh_num_in!H19)</f>
        <v>14377.770280813871</v>
      </c>
      <c r="I19" s="130">
        <f>IF(SER_hh_tes_in!I19=0,0,11630*1000*SER_hh_tes_in!I19/SER_hh_num_in!I19)</f>
        <v>14586.938414212096</v>
      </c>
      <c r="J19" s="130">
        <f>IF(SER_hh_tes_in!J19=0,0,11630*1000*SER_hh_tes_in!J19/SER_hh_num_in!J19)</f>
        <v>14680.587239231132</v>
      </c>
      <c r="K19" s="130">
        <f>IF(SER_hh_tes_in!K19=0,0,11630*1000*SER_hh_tes_in!K19/SER_hh_num_in!K19)</f>
        <v>14827.704574621675</v>
      </c>
      <c r="L19" s="130">
        <f>IF(SER_hh_tes_in!L19=0,0,11630*1000*SER_hh_tes_in!L19/SER_hh_num_in!L19)</f>
        <v>14687.477556009837</v>
      </c>
      <c r="M19" s="130">
        <f>IF(SER_hh_tes_in!M19=0,0,11630*1000*SER_hh_tes_in!M19/SER_hh_num_in!M19)</f>
        <v>14605.585434104991</v>
      </c>
      <c r="N19" s="130">
        <f>IF(SER_hh_tes_in!N19=0,0,11630*1000*SER_hh_tes_in!N19/SER_hh_num_in!N19)</f>
        <v>14732.747448776878</v>
      </c>
      <c r="O19" s="130">
        <f>IF(SER_hh_tes_in!O19=0,0,11630*1000*SER_hh_tes_in!O19/SER_hh_num_in!O19)</f>
        <v>14754.667505187037</v>
      </c>
      <c r="P19" s="130">
        <f>IF(SER_hh_tes_in!P19=0,0,11630*1000*SER_hh_tes_in!P19/SER_hh_num_in!P19)</f>
        <v>15300.580569800764</v>
      </c>
      <c r="Q19" s="130">
        <f>IF(SER_hh_tes_in!Q19=0,0,11630*1000*SER_hh_tes_in!Q19/SER_hh_num_in!Q19)</f>
        <v>15095.853564343779</v>
      </c>
      <c r="R19" s="130">
        <f>IF(SER_hh_tes_in!R19=0,0,11630*1000*SER_hh_tes_in!R19/SER_hh_num_in!R19)</f>
        <v>15047.872225229665</v>
      </c>
      <c r="S19" s="130">
        <f>IF(SER_hh_tes_in!S19=0,0,11630*1000*SER_hh_tes_in!S19/SER_hh_num_in!S19)</f>
        <v>14734.084804979153</v>
      </c>
      <c r="T19" s="130">
        <f>IF(SER_hh_tes_in!T19=0,0,11630*1000*SER_hh_tes_in!T19/SER_hh_num_in!T19)</f>
        <v>15027.999813117287</v>
      </c>
      <c r="U19" s="130">
        <f>IF(SER_hh_tes_in!U19=0,0,11630*1000*SER_hh_tes_in!U19/SER_hh_num_in!U19)</f>
        <v>14455.690327025412</v>
      </c>
      <c r="V19" s="130">
        <f>IF(SER_hh_tes_in!V19=0,0,11630*1000*SER_hh_tes_in!V19/SER_hh_num_in!V19)</f>
        <v>13399.932387025823</v>
      </c>
      <c r="W19" s="130">
        <f>IF(SER_hh_tes_in!W19=0,0,11630*1000*SER_hh_tes_in!W19/SER_hh_num_in!W19)</f>
        <v>14074.360685099735</v>
      </c>
      <c r="X19" s="130">
        <f>IF(SER_hh_tes_in!X19=0,0,11630*1000*SER_hh_tes_in!X19/SER_hh_num_in!X19)</f>
        <v>14344.027132806943</v>
      </c>
      <c r="Y19" s="130">
        <f>IF(SER_hh_tes_in!Y19=0,0,11630*1000*SER_hh_tes_in!Y19/SER_hh_num_in!Y19)</f>
        <v>14234.460505591796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14819.211679684637</v>
      </c>
      <c r="D21" s="132">
        <f>IF(SER_hh_tes_in!D21=0,0,11630*1000*SER_hh_tes_in!D21/SER_hh_num_in!D21)</f>
        <v>15152.677876518377</v>
      </c>
      <c r="E21" s="132">
        <f>IF(SER_hh_tes_in!E21=0,0,11630*1000*SER_hh_tes_in!E21/SER_hh_num_in!E21)</f>
        <v>15227.533317341838</v>
      </c>
      <c r="F21" s="132">
        <f>IF(SER_hh_tes_in!F21=0,0,11630*1000*SER_hh_tes_in!F21/SER_hh_num_in!F21)</f>
        <v>15102.245707536313</v>
      </c>
      <c r="G21" s="132">
        <f>IF(SER_hh_tes_in!G21=0,0,11630*1000*SER_hh_tes_in!G21/SER_hh_num_in!G21)</f>
        <v>14189.966695585794</v>
      </c>
      <c r="H21" s="132">
        <f>IF(SER_hh_tes_in!H21=0,0,11630*1000*SER_hh_tes_in!H21/SER_hh_num_in!H21)</f>
        <v>14650.88367648323</v>
      </c>
      <c r="I21" s="132">
        <f>IF(SER_hh_tes_in!I21=0,0,11630*1000*SER_hh_tes_in!I21/SER_hh_num_in!I21)</f>
        <v>14603.088035017321</v>
      </c>
      <c r="J21" s="132">
        <f>IF(SER_hh_tes_in!J21=0,0,11630*1000*SER_hh_tes_in!J21/SER_hh_num_in!J21)</f>
        <v>14691.435992089007</v>
      </c>
      <c r="K21" s="132">
        <f>IF(SER_hh_tes_in!K21=0,0,11630*1000*SER_hh_tes_in!K21/SER_hh_num_in!K21)</f>
        <v>15477.896113204532</v>
      </c>
      <c r="L21" s="132">
        <f>IF(SER_hh_tes_in!L21=0,0,11630*1000*SER_hh_tes_in!L21/SER_hh_num_in!L21)</f>
        <v>14870.883739889367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15580.876144528189</v>
      </c>
      <c r="O21" s="132">
        <f>IF(SER_hh_tes_in!O21=0,0,11630*1000*SER_hh_tes_in!O21/SER_hh_num_in!O21)</f>
        <v>15271.754376259429</v>
      </c>
      <c r="P21" s="132">
        <f>IF(SER_hh_tes_in!P21=0,0,11630*1000*SER_hh_tes_in!P21/SER_hh_num_in!P21)</f>
        <v>14495.515334655547</v>
      </c>
      <c r="Q21" s="132">
        <f>IF(SER_hh_tes_in!Q21=0,0,11630*1000*SER_hh_tes_in!Q21/SER_hh_num_in!Q21)</f>
        <v>14943.953564015021</v>
      </c>
      <c r="R21" s="132">
        <f>IF(SER_hh_tes_in!R21=0,0,11630*1000*SER_hh_tes_in!R21/SER_hh_num_in!R21)</f>
        <v>15103.008274963546</v>
      </c>
      <c r="S21" s="132">
        <f>IF(SER_hh_tes_in!S21=0,0,11630*1000*SER_hh_tes_in!S21/SER_hh_num_in!S21)</f>
        <v>15791.105406100425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14245.534473083979</v>
      </c>
      <c r="Y21" s="132">
        <f>IF(SER_hh_tes_in!Y21=0,0,11630*1000*SER_hh_tes_in!Y21/SER_hh_num_in!Y21)</f>
        <v>14066.811393641119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15143.822083992432</v>
      </c>
      <c r="D22" s="132">
        <f>IF(SER_hh_tes_in!D22=0,0,11630*1000*SER_hh_tes_in!D22/SER_hh_num_in!D22)</f>
        <v>14925.619576789057</v>
      </c>
      <c r="E22" s="132">
        <f>IF(SER_hh_tes_in!E22=0,0,11630*1000*SER_hh_tes_in!E22/SER_hh_num_in!E22)</f>
        <v>14788.519948364454</v>
      </c>
      <c r="F22" s="132">
        <f>IF(SER_hh_tes_in!F22=0,0,11630*1000*SER_hh_tes_in!F22/SER_hh_num_in!F22)</f>
        <v>15017.902872321791</v>
      </c>
      <c r="G22" s="132">
        <f>IF(SER_hh_tes_in!G22=0,0,11630*1000*SER_hh_tes_in!G22/SER_hh_num_in!G22)</f>
        <v>14772.299733589593</v>
      </c>
      <c r="H22" s="132">
        <f>IF(SER_hh_tes_in!H22=0,0,11630*1000*SER_hh_tes_in!H22/SER_hh_num_in!H22)</f>
        <v>14612.04664632268</v>
      </c>
      <c r="I22" s="132">
        <f>IF(SER_hh_tes_in!I22=0,0,11630*1000*SER_hh_tes_in!I22/SER_hh_num_in!I22)</f>
        <v>14182.65103792744</v>
      </c>
      <c r="J22" s="132">
        <f>IF(SER_hh_tes_in!J22=0,0,11630*1000*SER_hh_tes_in!J22/SER_hh_num_in!J22)</f>
        <v>14696.205786293447</v>
      </c>
      <c r="K22" s="132">
        <f>IF(SER_hh_tes_in!K22=0,0,11630*1000*SER_hh_tes_in!K22/SER_hh_num_in!K22)</f>
        <v>14947.081883797764</v>
      </c>
      <c r="L22" s="132">
        <f>IF(SER_hh_tes_in!L22=0,0,11630*1000*SER_hh_tes_in!L22/SER_hh_num_in!L22)</f>
        <v>14412.661447241977</v>
      </c>
      <c r="M22" s="132">
        <f>IF(SER_hh_tes_in!M22=0,0,11630*1000*SER_hh_tes_in!M22/SER_hh_num_in!M22)</f>
        <v>13826.963734437211</v>
      </c>
      <c r="N22" s="132">
        <f>IF(SER_hh_tes_in!N22=0,0,11630*1000*SER_hh_tes_in!N22/SER_hh_num_in!N22)</f>
        <v>14288.836697479786</v>
      </c>
      <c r="O22" s="132">
        <f>IF(SER_hh_tes_in!O22=0,0,11630*1000*SER_hh_tes_in!O22/SER_hh_num_in!O22)</f>
        <v>14043.806607502333</v>
      </c>
      <c r="P22" s="132">
        <f>IF(SER_hh_tes_in!P22=0,0,11630*1000*SER_hh_tes_in!P22/SER_hh_num_in!P22)</f>
        <v>16276.940992421087</v>
      </c>
      <c r="Q22" s="132">
        <f>IF(SER_hh_tes_in!Q22=0,0,11630*1000*SER_hh_tes_in!Q22/SER_hh_num_in!Q22)</f>
        <v>15240.064652914267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15721.114279219881</v>
      </c>
      <c r="T22" s="132">
        <f>IF(SER_hh_tes_in!T22=0,0,11630*1000*SER_hh_tes_in!T22/SER_hh_num_in!T22)</f>
        <v>14317.925506435195</v>
      </c>
      <c r="U22" s="132">
        <f>IF(SER_hh_tes_in!U22=0,0,11630*1000*SER_hh_tes_in!U22/SER_hh_num_in!U22)</f>
        <v>13643.802700486061</v>
      </c>
      <c r="V22" s="132">
        <f>IF(SER_hh_tes_in!V22=0,0,11630*1000*SER_hh_tes_in!V22/SER_hh_num_in!V22)</f>
        <v>14730.620822939842</v>
      </c>
      <c r="W22" s="132">
        <f>IF(SER_hh_tes_in!W22=0,0,11630*1000*SER_hh_tes_in!W22/SER_hh_num_in!W22)</f>
        <v>12141.667148676876</v>
      </c>
      <c r="X22" s="132">
        <f>IF(SER_hh_tes_in!X22=0,0,11630*1000*SER_hh_tes_in!X22/SER_hh_num_in!X22)</f>
        <v>15523.472508900037</v>
      </c>
      <c r="Y22" s="132">
        <f>IF(SER_hh_tes_in!Y22=0,0,11630*1000*SER_hh_tes_in!Y22/SER_hh_num_in!Y22)</f>
        <v>13573.454863566705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15042.461111469507</v>
      </c>
      <c r="D23" s="132">
        <f>IF(SER_hh_tes_in!D23=0,0,11630*1000*SER_hh_tes_in!D23/SER_hh_num_in!D23)</f>
        <v>14862.070594072869</v>
      </c>
      <c r="E23" s="132">
        <f>IF(SER_hh_tes_in!E23=0,0,11630*1000*SER_hh_tes_in!E23/SER_hh_num_in!E23)</f>
        <v>15082.220315379182</v>
      </c>
      <c r="F23" s="132">
        <f>IF(SER_hh_tes_in!F23=0,0,11630*1000*SER_hh_tes_in!F23/SER_hh_num_in!F23)</f>
        <v>15214.974806209775</v>
      </c>
      <c r="G23" s="132">
        <f>IF(SER_hh_tes_in!G23=0,0,11630*1000*SER_hh_tes_in!G23/SER_hh_num_in!G23)</f>
        <v>14328.774434257817</v>
      </c>
      <c r="H23" s="132">
        <f>IF(SER_hh_tes_in!H23=0,0,11630*1000*SER_hh_tes_in!H23/SER_hh_num_in!H23)</f>
        <v>14284.040231956567</v>
      </c>
      <c r="I23" s="132">
        <f>IF(SER_hh_tes_in!I23=0,0,11630*1000*SER_hh_tes_in!I23/SER_hh_num_in!I23)</f>
        <v>14365.800785989435</v>
      </c>
      <c r="J23" s="132">
        <f>IF(SER_hh_tes_in!J23=0,0,11630*1000*SER_hh_tes_in!J23/SER_hh_num_in!J23)</f>
        <v>14146.525490749273</v>
      </c>
      <c r="K23" s="132">
        <f>IF(SER_hh_tes_in!K23=0,0,11630*1000*SER_hh_tes_in!K23/SER_hh_num_in!K23)</f>
        <v>15066.627346398425</v>
      </c>
      <c r="L23" s="132">
        <f>IF(SER_hh_tes_in!L23=0,0,11630*1000*SER_hh_tes_in!L23/SER_hh_num_in!L23)</f>
        <v>14425.196190396075</v>
      </c>
      <c r="M23" s="132">
        <f>IF(SER_hh_tes_in!M23=0,0,11630*1000*SER_hh_tes_in!M23/SER_hh_num_in!M23)</f>
        <v>15898.887417093349</v>
      </c>
      <c r="N23" s="132">
        <f>IF(SER_hh_tes_in!N23=0,0,11630*1000*SER_hh_tes_in!N23/SER_hh_num_in!N23)</f>
        <v>12291.195600303879</v>
      </c>
      <c r="O23" s="132">
        <f>IF(SER_hh_tes_in!O23=0,0,11630*1000*SER_hh_tes_in!O23/SER_hh_num_in!O23)</f>
        <v>13653.884562650454</v>
      </c>
      <c r="P23" s="132">
        <f>IF(SER_hh_tes_in!P23=0,0,11630*1000*SER_hh_tes_in!P23/SER_hh_num_in!P23)</f>
        <v>14743.598231755272</v>
      </c>
      <c r="Q23" s="132">
        <f>IF(SER_hh_tes_in!Q23=0,0,11630*1000*SER_hh_tes_in!Q23/SER_hh_num_in!Q23)</f>
        <v>14144.647406090879</v>
      </c>
      <c r="R23" s="132">
        <f>IF(SER_hh_tes_in!R23=0,0,11630*1000*SER_hh_tes_in!R23/SER_hh_num_in!R23)</f>
        <v>15402.555891056078</v>
      </c>
      <c r="S23" s="132">
        <f>IF(SER_hh_tes_in!S23=0,0,11630*1000*SER_hh_tes_in!S23/SER_hh_num_in!S23)</f>
        <v>14668.431116420688</v>
      </c>
      <c r="T23" s="132">
        <f>IF(SER_hh_tes_in!T23=0,0,11630*1000*SER_hh_tes_in!T23/SER_hh_num_in!T23)</f>
        <v>14683.130740194627</v>
      </c>
      <c r="U23" s="132">
        <f>IF(SER_hh_tes_in!U23=0,0,11630*1000*SER_hh_tes_in!U23/SER_hh_num_in!U23)</f>
        <v>14258.923544089088</v>
      </c>
      <c r="V23" s="132">
        <f>IF(SER_hh_tes_in!V23=0,0,11630*1000*SER_hh_tes_in!V23/SER_hh_num_in!V23)</f>
        <v>12590.840263548755</v>
      </c>
      <c r="W23" s="132">
        <f>IF(SER_hh_tes_in!W23=0,0,11630*1000*SER_hh_tes_in!W23/SER_hh_num_in!W23)</f>
        <v>15381.562762685699</v>
      </c>
      <c r="X23" s="132">
        <f>IF(SER_hh_tes_in!X23=0,0,11630*1000*SER_hh_tes_in!X23/SER_hh_num_in!X23)</f>
        <v>14445.057746124137</v>
      </c>
      <c r="Y23" s="132">
        <f>IF(SER_hh_tes_in!Y23=0,0,11630*1000*SER_hh_tes_in!Y23/SER_hh_num_in!Y23)</f>
        <v>14265.762031854079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14849.371674475249</v>
      </c>
      <c r="D24" s="132">
        <f>IF(SER_hh_tes_in!D24=0,0,11630*1000*SER_hh_tes_in!D24/SER_hh_num_in!D24)</f>
        <v>14748.230478095635</v>
      </c>
      <c r="E24" s="132">
        <f>IF(SER_hh_tes_in!E24=0,0,11630*1000*SER_hh_tes_in!E24/SER_hh_num_in!E24)</f>
        <v>14628.454690911292</v>
      </c>
      <c r="F24" s="132">
        <f>IF(SER_hh_tes_in!F24=0,0,11630*1000*SER_hh_tes_in!F24/SER_hh_num_in!F24)</f>
        <v>15072.994925203939</v>
      </c>
      <c r="G24" s="132">
        <f>IF(SER_hh_tes_in!G24=0,0,11630*1000*SER_hh_tes_in!G24/SER_hh_num_in!G24)</f>
        <v>14469.813856842757</v>
      </c>
      <c r="H24" s="132">
        <f>IF(SER_hh_tes_in!H24=0,0,11630*1000*SER_hh_tes_in!H24/SER_hh_num_in!H24)</f>
        <v>13870.674692449276</v>
      </c>
      <c r="I24" s="132">
        <f>IF(SER_hh_tes_in!I24=0,0,11630*1000*SER_hh_tes_in!I24/SER_hh_num_in!I24)</f>
        <v>15154.140859090929</v>
      </c>
      <c r="J24" s="132">
        <f>IF(SER_hh_tes_in!J24=0,0,11630*1000*SER_hh_tes_in!J24/SER_hh_num_in!J24)</f>
        <v>14323.80099558196</v>
      </c>
      <c r="K24" s="132">
        <f>IF(SER_hh_tes_in!K24=0,0,11630*1000*SER_hh_tes_in!K24/SER_hh_num_in!K24)</f>
        <v>15345.166409435265</v>
      </c>
      <c r="L24" s="132">
        <f>IF(SER_hh_tes_in!L24=0,0,11630*1000*SER_hh_tes_in!L24/SER_hh_num_in!L24)</f>
        <v>16599.256072738703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12453.971227466853</v>
      </c>
      <c r="O24" s="132">
        <f>IF(SER_hh_tes_in!O24=0,0,11630*1000*SER_hh_tes_in!O24/SER_hh_num_in!O24)</f>
        <v>16725.152802593177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14731.822039085897</v>
      </c>
      <c r="S24" s="132">
        <f>IF(SER_hh_tes_in!S24=0,0,11630*1000*SER_hh_tes_in!S24/SER_hh_num_in!S24)</f>
        <v>14867.019950518777</v>
      </c>
      <c r="T24" s="132">
        <f>IF(SER_hh_tes_in!T24=0,0,11630*1000*SER_hh_tes_in!T24/SER_hh_num_in!T24)</f>
        <v>14155.865157036962</v>
      </c>
      <c r="U24" s="132">
        <f>IF(SER_hh_tes_in!U24=0,0,11630*1000*SER_hh_tes_in!U24/SER_hh_num_in!U24)</f>
        <v>13828.271652616677</v>
      </c>
      <c r="V24" s="132">
        <f>IF(SER_hh_tes_in!V24=0,0,11630*1000*SER_hh_tes_in!V24/SER_hh_num_in!V24)</f>
        <v>13312.54215451792</v>
      </c>
      <c r="W24" s="132">
        <f>IF(SER_hh_tes_in!W24=0,0,11630*1000*SER_hh_tes_in!W24/SER_hh_num_in!W24)</f>
        <v>13768.062490554026</v>
      </c>
      <c r="X24" s="132">
        <f>IF(SER_hh_tes_in!X24=0,0,11630*1000*SER_hh_tes_in!X24/SER_hh_num_in!X24)</f>
        <v>14774.735654563641</v>
      </c>
      <c r="Y24" s="132">
        <f>IF(SER_hh_tes_in!Y24=0,0,11630*1000*SER_hh_tes_in!Y24/SER_hh_num_in!Y24)</f>
        <v>14378.47872208314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15219.083303365589</v>
      </c>
      <c r="D25" s="132">
        <f>IF(SER_hh_tes_in!D25=0,0,11630*1000*SER_hh_tes_in!D25/SER_hh_num_in!D25)</f>
        <v>14789.929657978317</v>
      </c>
      <c r="E25" s="132">
        <f>IF(SER_hh_tes_in!E25=0,0,11630*1000*SER_hh_tes_in!E25/SER_hh_num_in!E25)</f>
        <v>14821.260287926214</v>
      </c>
      <c r="F25" s="132">
        <f>IF(SER_hh_tes_in!F25=0,0,11630*1000*SER_hh_tes_in!F25/SER_hh_num_in!F25)</f>
        <v>15049.746756272845</v>
      </c>
      <c r="G25" s="132">
        <f>IF(SER_hh_tes_in!G25=0,0,11630*1000*SER_hh_tes_in!G25/SER_hh_num_in!G25)</f>
        <v>15127.837695122105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15921.19915225403</v>
      </c>
      <c r="L25" s="132">
        <f>IF(SER_hh_tes_in!L25=0,0,11630*1000*SER_hh_tes_in!L25/SER_hh_num_in!L25)</f>
        <v>14191.823450112073</v>
      </c>
      <c r="M25" s="132">
        <f>IF(SER_hh_tes_in!M25=0,0,11630*1000*SER_hh_tes_in!M25/SER_hh_num_in!M25)</f>
        <v>13242.6495233651</v>
      </c>
      <c r="N25" s="132">
        <f>IF(SER_hh_tes_in!N25=0,0,11630*1000*SER_hh_tes_in!N25/SER_hh_num_in!N25)</f>
        <v>15237.869640548886</v>
      </c>
      <c r="O25" s="132">
        <f>IF(SER_hh_tes_in!O25=0,0,11630*1000*SER_hh_tes_in!O25/SER_hh_num_in!O25)</f>
        <v>15622.187362359235</v>
      </c>
      <c r="P25" s="132">
        <f>IF(SER_hh_tes_in!P25=0,0,11630*1000*SER_hh_tes_in!P25/SER_hh_num_in!P25)</f>
        <v>14146.607472996448</v>
      </c>
      <c r="Q25" s="132">
        <f>IF(SER_hh_tes_in!Q25=0,0,11630*1000*SER_hh_tes_in!Q25/SER_hh_num_in!Q25)</f>
        <v>14506.423466357934</v>
      </c>
      <c r="R25" s="132">
        <f>IF(SER_hh_tes_in!R25=0,0,11630*1000*SER_hh_tes_in!R25/SER_hh_num_in!R25)</f>
        <v>15047.910016280841</v>
      </c>
      <c r="S25" s="132">
        <f>IF(SER_hh_tes_in!S25=0,0,11630*1000*SER_hh_tes_in!S25/SER_hh_num_in!S25)</f>
        <v>14219.398299950479</v>
      </c>
      <c r="T25" s="132">
        <f>IF(SER_hh_tes_in!T25=0,0,11630*1000*SER_hh_tes_in!T25/SER_hh_num_in!T25)</f>
        <v>15593.921357184941</v>
      </c>
      <c r="U25" s="132">
        <f>IF(SER_hh_tes_in!U25=0,0,11630*1000*SER_hh_tes_in!U25/SER_hh_num_in!U25)</f>
        <v>14393.573769823475</v>
      </c>
      <c r="V25" s="132">
        <f>IF(SER_hh_tes_in!V25=0,0,11630*1000*SER_hh_tes_in!V25/SER_hh_num_in!V25)</f>
        <v>13715.425855544718</v>
      </c>
      <c r="W25" s="132">
        <f>IF(SER_hh_tes_in!W25=0,0,11630*1000*SER_hh_tes_in!W25/SER_hh_num_in!W25)</f>
        <v>13181.965091740938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14918.289162024896</v>
      </c>
      <c r="D26" s="65">
        <f>IF(SER_hh_tes_in!D26=0,0,11630*1000*SER_hh_tes_in!D26/SER_hh_num_in!D26)</f>
        <v>15068.49311281781</v>
      </c>
      <c r="E26" s="65">
        <f>IF(SER_hh_tes_in!E26=0,0,11630*1000*SER_hh_tes_in!E26/SER_hh_num_in!E26)</f>
        <v>14373.831658554089</v>
      </c>
      <c r="F26" s="65">
        <f>IF(SER_hh_tes_in!F26=0,0,11630*1000*SER_hh_tes_in!F26/SER_hh_num_in!F26)</f>
        <v>14946.030943363725</v>
      </c>
      <c r="G26" s="65">
        <f>IF(SER_hh_tes_in!G26=0,0,11630*1000*SER_hh_tes_in!G26/SER_hh_num_in!G26)</f>
        <v>13395.514103479591</v>
      </c>
      <c r="H26" s="65">
        <f>IF(SER_hh_tes_in!H26=0,0,11630*1000*SER_hh_tes_in!H26/SER_hh_num_in!H26)</f>
        <v>14314.161247885469</v>
      </c>
      <c r="I26" s="65">
        <f>IF(SER_hh_tes_in!I26=0,0,11630*1000*SER_hh_tes_in!I26/SER_hh_num_in!I26)</f>
        <v>14431.797141550538</v>
      </c>
      <c r="J26" s="65">
        <f>IF(SER_hh_tes_in!J26=0,0,11630*1000*SER_hh_tes_in!J26/SER_hh_num_in!J26)</f>
        <v>14538.514652145643</v>
      </c>
      <c r="K26" s="65">
        <f>IF(SER_hh_tes_in!K26=0,0,11630*1000*SER_hh_tes_in!K26/SER_hh_num_in!K26)</f>
        <v>14160.205398559854</v>
      </c>
      <c r="L26" s="65">
        <f>IF(SER_hh_tes_in!L26=0,0,11630*1000*SER_hh_tes_in!L26/SER_hh_num_in!L26)</f>
        <v>13520.053247858206</v>
      </c>
      <c r="M26" s="65">
        <f>IF(SER_hh_tes_in!M26=0,0,11630*1000*SER_hh_tes_in!M26/SER_hh_num_in!M26)</f>
        <v>13936.726167552439</v>
      </c>
      <c r="N26" s="65">
        <f>IF(SER_hh_tes_in!N26=0,0,11630*1000*SER_hh_tes_in!N26/SER_hh_num_in!N26)</f>
        <v>9789.1210322754832</v>
      </c>
      <c r="O26" s="65">
        <f>IF(SER_hh_tes_in!O26=0,0,11630*1000*SER_hh_tes_in!O26/SER_hh_num_in!O26)</f>
        <v>12759.847259625927</v>
      </c>
      <c r="P26" s="65">
        <f>IF(SER_hh_tes_in!P26=0,0,11630*1000*SER_hh_tes_in!P26/SER_hh_num_in!P26)</f>
        <v>15059.564758074466</v>
      </c>
      <c r="Q26" s="65">
        <f>IF(SER_hh_tes_in!Q26=0,0,11630*1000*SER_hh_tes_in!Q26/SER_hh_num_in!Q26)</f>
        <v>11407.488984568292</v>
      </c>
      <c r="R26" s="65">
        <f>IF(SER_hh_tes_in!R26=0,0,11630*1000*SER_hh_tes_in!R26/SER_hh_num_in!R26)</f>
        <v>14217.656756013639</v>
      </c>
      <c r="S26" s="65">
        <f>IF(SER_hh_tes_in!S26=0,0,11630*1000*SER_hh_tes_in!S26/SER_hh_num_in!S26)</f>
        <v>13835.514474050344</v>
      </c>
      <c r="T26" s="65">
        <f>IF(SER_hh_tes_in!T26=0,0,11630*1000*SER_hh_tes_in!T26/SER_hh_num_in!T26)</f>
        <v>14620.156455139826</v>
      </c>
      <c r="U26" s="65">
        <f>IF(SER_hh_tes_in!U26=0,0,11630*1000*SER_hh_tes_in!U26/SER_hh_num_in!U26)</f>
        <v>13730.737743778862</v>
      </c>
      <c r="V26" s="65">
        <f>IF(SER_hh_tes_in!V26=0,0,11630*1000*SER_hh_tes_in!V26/SER_hh_num_in!V26)</f>
        <v>11695.323447434876</v>
      </c>
      <c r="W26" s="65">
        <f>IF(SER_hh_tes_in!W26=0,0,11630*1000*SER_hh_tes_in!W26/SER_hh_num_in!W26)</f>
        <v>13688.26074512951</v>
      </c>
      <c r="X26" s="65">
        <f>IF(SER_hh_tes_in!X26=0,0,11630*1000*SER_hh_tes_in!X26/SER_hh_num_in!X26)</f>
        <v>14086.198452157132</v>
      </c>
      <c r="Y26" s="65">
        <f>IF(SER_hh_tes_in!Y26=0,0,11630*1000*SER_hh_tes_in!Y26/SER_hh_num_in!Y26)</f>
        <v>14210.78122481748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1079.1710235407056</v>
      </c>
      <c r="H27" s="145">
        <f>IF(SER_hh_tes_in!H27=0,0,11630*1000*SER_hh_tes_in!H27/SER_hh_num_in!H19)</f>
        <v>29.855308166728651</v>
      </c>
      <c r="I27" s="145">
        <f>IF(SER_hh_tes_in!I27=0,0,11630*1000*SER_hh_tes_in!I27/SER_hh_num_in!I19)</f>
        <v>171.85511731083258</v>
      </c>
      <c r="J27" s="145">
        <f>IF(SER_hh_tes_in!J27=0,0,11630*1000*SER_hh_tes_in!J27/SER_hh_num_in!J19)</f>
        <v>190.35238281346798</v>
      </c>
      <c r="K27" s="145">
        <f>IF(SER_hh_tes_in!K27=0,0,11630*1000*SER_hh_tes_in!K27/SER_hh_num_in!K19)</f>
        <v>284.28461802240219</v>
      </c>
      <c r="L27" s="145">
        <f>IF(SER_hh_tes_in!L27=0,0,11630*1000*SER_hh_tes_in!L27/SER_hh_num_in!L19)</f>
        <v>854.23347080931285</v>
      </c>
      <c r="M27" s="145">
        <f>IF(SER_hh_tes_in!M27=0,0,11630*1000*SER_hh_tes_in!M27/SER_hh_num_in!M19)</f>
        <v>375.89946564808332</v>
      </c>
      <c r="N27" s="145">
        <f>IF(SER_hh_tes_in!N27=0,0,11630*1000*SER_hh_tes_in!N27/SER_hh_num_in!N19)</f>
        <v>2949.9059674402392</v>
      </c>
      <c r="O27" s="145">
        <f>IF(SER_hh_tes_in!O27=0,0,11630*1000*SER_hh_tes_in!O27/SER_hh_num_in!O19)</f>
        <v>1245.4556111325389</v>
      </c>
      <c r="P27" s="145">
        <f>IF(SER_hh_tes_in!P27=0,0,11630*1000*SER_hh_tes_in!P27/SER_hh_num_in!P19)</f>
        <v>2.5774282650975451E-12</v>
      </c>
      <c r="Q27" s="145">
        <f>IF(SER_hh_tes_in!Q27=0,0,11630*1000*SER_hh_tes_in!Q27/SER_hh_num_in!Q19)</f>
        <v>2405.3023937329717</v>
      </c>
      <c r="R27" s="145">
        <f>IF(SER_hh_tes_in!R27=0,0,11630*1000*SER_hh_tes_in!R27/SER_hh_num_in!R19)</f>
        <v>484.76115810198502</v>
      </c>
      <c r="S27" s="145">
        <f>IF(SER_hh_tes_in!S27=0,0,11630*1000*SER_hh_tes_in!S27/SER_hh_num_in!S19)</f>
        <v>605.45020486849637</v>
      </c>
      <c r="T27" s="145">
        <f>IF(SER_hh_tes_in!T27=0,0,11630*1000*SER_hh_tes_in!T27/SER_hh_num_in!T19)</f>
        <v>340.26657063356316</v>
      </c>
      <c r="U27" s="145">
        <f>IF(SER_hh_tes_in!U27=0,0,11630*1000*SER_hh_tes_in!U27/SER_hh_num_in!U19)</f>
        <v>609.60358388952454</v>
      </c>
      <c r="V27" s="145">
        <f>IF(SER_hh_tes_in!V27=0,0,11630*1000*SER_hh_tes_in!V27/SER_hh_num_in!V19)</f>
        <v>1071.6662977610893</v>
      </c>
      <c r="W27" s="145">
        <f>IF(SER_hh_tes_in!W27=0,0,11630*1000*SER_hh_tes_in!W27/SER_hh_num_in!W19)</f>
        <v>168.13407737489848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85.568549757335816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11813.939875259672</v>
      </c>
      <c r="H28" s="146">
        <f>IF(SER_hh_tes_in!H27=0,0,11630*1000*SER_hh_tes_in!H27/SER_hh_num_in!H27)</f>
        <v>11717.808563552189</v>
      </c>
      <c r="I28" s="146">
        <f>IF(SER_hh_tes_in!I27=0,0,11630*1000*SER_hh_tes_in!I27/SER_hh_num_in!I27)</f>
        <v>11018.981440728574</v>
      </c>
      <c r="J28" s="146">
        <f>IF(SER_hh_tes_in!J27=0,0,11630*1000*SER_hh_tes_in!J27/SER_hh_num_in!J27)</f>
        <v>11496.096998783147</v>
      </c>
      <c r="K28" s="146">
        <f>IF(SER_hh_tes_in!K27=0,0,11630*1000*SER_hh_tes_in!K27/SER_hh_num_in!K27)</f>
        <v>11972.39510255306</v>
      </c>
      <c r="L28" s="146">
        <f>IF(SER_hh_tes_in!L27=0,0,11630*1000*SER_hh_tes_in!L27/SER_hh_num_in!L27)</f>
        <v>8293.430753947061</v>
      </c>
      <c r="M28" s="146">
        <f>IF(SER_hh_tes_in!M27=0,0,11630*1000*SER_hh_tes_in!M27/SER_hh_num_in!M27)</f>
        <v>11921.610564919058</v>
      </c>
      <c r="N28" s="146">
        <f>IF(SER_hh_tes_in!N27=0,0,11630*1000*SER_hh_tes_in!N27/SER_hh_num_in!N27)</f>
        <v>11235.350153233478</v>
      </c>
      <c r="O28" s="146">
        <f>IF(SER_hh_tes_in!O27=0,0,11630*1000*SER_hh_tes_in!O27/SER_hh_num_in!O27)</f>
        <v>11139.105030651685</v>
      </c>
      <c r="P28" s="146">
        <f>IF(SER_hh_tes_in!P27=0,0,11630*1000*SER_hh_tes_in!P27/SER_hh_num_in!P27)</f>
        <v>13539.207067949828</v>
      </c>
      <c r="Q28" s="146">
        <f>IF(SER_hh_tes_in!Q27=0,0,11630*1000*SER_hh_tes_in!Q27/SER_hh_num_in!Q27)</f>
        <v>12118.0083228109</v>
      </c>
      <c r="R28" s="146">
        <f>IF(SER_hh_tes_in!R27=0,0,11630*1000*SER_hh_tes_in!R27/SER_hh_num_in!R27)</f>
        <v>12088.126117837999</v>
      </c>
      <c r="S28" s="146">
        <f>IF(SER_hh_tes_in!S27=0,0,11630*1000*SER_hh_tes_in!S27/SER_hh_num_in!S27)</f>
        <v>11713.843174830528</v>
      </c>
      <c r="T28" s="146">
        <f>IF(SER_hh_tes_in!T27=0,0,11630*1000*SER_hh_tes_in!T27/SER_hh_num_in!T27)</f>
        <v>11890.245442341196</v>
      </c>
      <c r="U28" s="146">
        <f>IF(SER_hh_tes_in!U27=0,0,11630*1000*SER_hh_tes_in!U27/SER_hh_num_in!U27)</f>
        <v>11805.199225163982</v>
      </c>
      <c r="V28" s="146">
        <f>IF(SER_hh_tes_in!V27=0,0,11630*1000*SER_hh_tes_in!V27/SER_hh_num_in!V27)</f>
        <v>10999.393606919492</v>
      </c>
      <c r="W28" s="146">
        <f>IF(SER_hh_tes_in!W27=0,0,11630*1000*SER_hh_tes_in!W27/SER_hh_num_in!W27)</f>
        <v>11556.54112082929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13907.619322432422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13853.551269091846</v>
      </c>
      <c r="D29" s="130">
        <f>IF(SER_hh_tes_in!D29=0,0,11630*1000*SER_hh_tes_in!D29/SER_hh_num_in!D29)</f>
        <v>14926.07119123976</v>
      </c>
      <c r="E29" s="130">
        <f>IF(SER_hh_tes_in!E29=0,0,11630*1000*SER_hh_tes_in!E29/SER_hh_num_in!E29)</f>
        <v>14204.447343188711</v>
      </c>
      <c r="F29" s="130">
        <f>IF(SER_hh_tes_in!F29=0,0,11630*1000*SER_hh_tes_in!F29/SER_hh_num_in!F29)</f>
        <v>13117.057959422213</v>
      </c>
      <c r="G29" s="130">
        <f>IF(SER_hh_tes_in!G29=0,0,11630*1000*SER_hh_tes_in!G29/SER_hh_num_in!G29)</f>
        <v>15196.19924905263</v>
      </c>
      <c r="H29" s="130">
        <f>IF(SER_hh_tes_in!H29=0,0,11630*1000*SER_hh_tes_in!H29/SER_hh_num_in!H29)</f>
        <v>15034.000095826648</v>
      </c>
      <c r="I29" s="130">
        <f>IF(SER_hh_tes_in!I29=0,0,11630*1000*SER_hh_tes_in!I29/SER_hh_num_in!I29)</f>
        <v>14437.799846723407</v>
      </c>
      <c r="J29" s="130">
        <f>IF(SER_hh_tes_in!J29=0,0,11630*1000*SER_hh_tes_in!J29/SER_hh_num_in!J29)</f>
        <v>14346.21760764982</v>
      </c>
      <c r="K29" s="130">
        <f>IF(SER_hh_tes_in!K29=0,0,11630*1000*SER_hh_tes_in!K29/SER_hh_num_in!K29)</f>
        <v>15564.137235173543</v>
      </c>
      <c r="L29" s="130">
        <f>IF(SER_hh_tes_in!L29=0,0,11630*1000*SER_hh_tes_in!L29/SER_hh_num_in!L29)</f>
        <v>15208.958167568129</v>
      </c>
      <c r="M29" s="130">
        <f>IF(SER_hh_tes_in!M29=0,0,11630*1000*SER_hh_tes_in!M29/SER_hh_num_in!M29)</f>
        <v>14836.616406764979</v>
      </c>
      <c r="N29" s="130">
        <f>IF(SER_hh_tes_in!N29=0,0,11630*1000*SER_hh_tes_in!N29/SER_hh_num_in!N29)</f>
        <v>15624.993421427484</v>
      </c>
      <c r="O29" s="130">
        <f>IF(SER_hh_tes_in!O29=0,0,11630*1000*SER_hh_tes_in!O29/SER_hh_num_in!O29)</f>
        <v>15654.901708147359</v>
      </c>
      <c r="P29" s="130">
        <f>IF(SER_hh_tes_in!P29=0,0,11630*1000*SER_hh_tes_in!P29/SER_hh_num_in!P29)</f>
        <v>15545.010099934529</v>
      </c>
      <c r="Q29" s="130">
        <f>IF(SER_hh_tes_in!Q29=0,0,11630*1000*SER_hh_tes_in!Q29/SER_hh_num_in!Q29)</f>
        <v>15888.972806272126</v>
      </c>
      <c r="R29" s="130">
        <f>IF(SER_hh_tes_in!R29=0,0,11630*1000*SER_hh_tes_in!R29/SER_hh_num_in!R29)</f>
        <v>16156.0458379516</v>
      </c>
      <c r="S29" s="130">
        <f>IF(SER_hh_tes_in!S29=0,0,11630*1000*SER_hh_tes_in!S29/SER_hh_num_in!S29)</f>
        <v>15964.647656225643</v>
      </c>
      <c r="T29" s="130">
        <f>IF(SER_hh_tes_in!T29=0,0,11630*1000*SER_hh_tes_in!T29/SER_hh_num_in!T29)</f>
        <v>16347.009456966072</v>
      </c>
      <c r="U29" s="130">
        <f>IF(SER_hh_tes_in!U29=0,0,11630*1000*SER_hh_tes_in!U29/SER_hh_num_in!U29)</f>
        <v>16065.521949951462</v>
      </c>
      <c r="V29" s="130">
        <f>IF(SER_hh_tes_in!V29=0,0,11630*1000*SER_hh_tes_in!V29/SER_hh_num_in!V29)</f>
        <v>14565.164098617359</v>
      </c>
      <c r="W29" s="130">
        <f>IF(SER_hh_tes_in!W29=0,0,11630*1000*SER_hh_tes_in!W29/SER_hh_num_in!W29)</f>
        <v>15220.275733889595</v>
      </c>
      <c r="X29" s="130">
        <f>IF(SER_hh_tes_in!X29=0,0,11630*1000*SER_hh_tes_in!X29/SER_hh_num_in!X29)</f>
        <v>15888.325907356962</v>
      </c>
      <c r="Y29" s="130">
        <f>IF(SER_hh_tes_in!Y29=0,0,11630*1000*SER_hh_tes_in!Y29/SER_hh_num_in!Y29)</f>
        <v>16240.717167041579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6391.8590411812702</v>
      </c>
      <c r="D30" s="132">
        <f>IF(SER_hh_tes_in!D30=0,0,11630*1000*SER_hh_tes_in!D30/SER_hh_num_in!D30)</f>
        <v>15617.866528494589</v>
      </c>
      <c r="E30" s="132">
        <f>IF(SER_hh_tes_in!E30=0,0,11630*1000*SER_hh_tes_in!E30/SER_hh_num_in!E30)</f>
        <v>15440.776545291204</v>
      </c>
      <c r="F30" s="132">
        <f>IF(SER_hh_tes_in!F30=0,0,11630*1000*SER_hh_tes_in!F30/SER_hh_num_in!F30)</f>
        <v>16967.600163003801</v>
      </c>
      <c r="G30" s="132">
        <f>IF(SER_hh_tes_in!G30=0,0,11630*1000*SER_hh_tes_in!G30/SER_hh_num_in!G30)</f>
        <v>14001.18126419385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14004.693048406258</v>
      </c>
      <c r="J30" s="132">
        <f>IF(SER_hh_tes_in!J30=0,0,11630*1000*SER_hh_tes_in!J30/SER_hh_num_in!J30)</f>
        <v>15455.167424705614</v>
      </c>
      <c r="K30" s="132">
        <f>IF(SER_hh_tes_in!K30=0,0,11630*1000*SER_hh_tes_in!K30/SER_hh_num_in!K30)</f>
        <v>15268.169455261366</v>
      </c>
      <c r="L30" s="132">
        <f>IF(SER_hh_tes_in!L30=0,0,11630*1000*SER_hh_tes_in!L30/SER_hh_num_in!L30)</f>
        <v>17210.838398038602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16528.146758751769</v>
      </c>
      <c r="O30" s="132">
        <f>IF(SER_hh_tes_in!O30=0,0,11630*1000*SER_hh_tes_in!O30/SER_hh_num_in!O30)</f>
        <v>14838.25544580936</v>
      </c>
      <c r="P30" s="132">
        <f>IF(SER_hh_tes_in!P30=0,0,11630*1000*SER_hh_tes_in!P30/SER_hh_num_in!P30)</f>
        <v>14219.307011212552</v>
      </c>
      <c r="Q30" s="132">
        <f>IF(SER_hh_tes_in!Q30=0,0,11630*1000*SER_hh_tes_in!Q30/SER_hh_num_in!Q30)</f>
        <v>16729.79772235245</v>
      </c>
      <c r="R30" s="132">
        <f>IF(SER_hh_tes_in!R30=0,0,11630*1000*SER_hh_tes_in!R30/SER_hh_num_in!R30)</f>
        <v>15486.799595918532</v>
      </c>
      <c r="S30" s="132">
        <f>IF(SER_hh_tes_in!S30=0,0,11630*1000*SER_hh_tes_in!S30/SER_hh_num_in!S30)</f>
        <v>16610.855947521377</v>
      </c>
      <c r="T30" s="132">
        <f>IF(SER_hh_tes_in!T30=0,0,11630*1000*SER_hh_tes_in!T30/SER_hh_num_in!T30)</f>
        <v>16069.325221683617</v>
      </c>
      <c r="U30" s="132">
        <f>IF(SER_hh_tes_in!U30=0,0,11630*1000*SER_hh_tes_in!U30/SER_hh_num_in!U30)</f>
        <v>17558.754069398441</v>
      </c>
      <c r="V30" s="132">
        <f>IF(SER_hh_tes_in!V30=0,0,11630*1000*SER_hh_tes_in!V30/SER_hh_num_in!V30)</f>
        <v>16117.201727597278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16523.24516555131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14084.381065354914</v>
      </c>
      <c r="D31" s="132">
        <f>IF(SER_hh_tes_in!D31=0,0,11630*1000*SER_hh_tes_in!D31/SER_hh_num_in!D31)</f>
        <v>14044.898566327814</v>
      </c>
      <c r="E31" s="132">
        <f>IF(SER_hh_tes_in!E31=0,0,11630*1000*SER_hh_tes_in!E31/SER_hh_num_in!E31)</f>
        <v>14618.387504855084</v>
      </c>
      <c r="F31" s="132">
        <f>IF(SER_hh_tes_in!F31=0,0,11630*1000*SER_hh_tes_in!F31/SER_hh_num_in!F31)</f>
        <v>15844.65701509316</v>
      </c>
      <c r="G31" s="132">
        <f>IF(SER_hh_tes_in!G31=0,0,11630*1000*SER_hh_tes_in!G31/SER_hh_num_in!G31)</f>
        <v>0</v>
      </c>
      <c r="H31" s="132">
        <f>IF(SER_hh_tes_in!H31=0,0,11630*1000*SER_hh_tes_in!H31/SER_hh_num_in!H31)</f>
        <v>0</v>
      </c>
      <c r="I31" s="132">
        <f>IF(SER_hh_tes_in!I31=0,0,11630*1000*SER_hh_tes_in!I31/SER_hh_num_in!I31)</f>
        <v>14049.403018226243</v>
      </c>
      <c r="J31" s="132">
        <f>IF(SER_hh_tes_in!J31=0,0,11630*1000*SER_hh_tes_in!J31/SER_hh_num_in!J31)</f>
        <v>13118.126204035912</v>
      </c>
      <c r="K31" s="132">
        <f>IF(SER_hh_tes_in!K31=0,0,11630*1000*SER_hh_tes_in!K31/SER_hh_num_in!K31)</f>
        <v>16463.88841621099</v>
      </c>
      <c r="L31" s="132">
        <f>IF(SER_hh_tes_in!L31=0,0,11630*1000*SER_hh_tes_in!L31/SER_hh_num_in!L31)</f>
        <v>15282.756483111478</v>
      </c>
      <c r="M31" s="132">
        <f>IF(SER_hh_tes_in!M31=0,0,11630*1000*SER_hh_tes_in!M31/SER_hh_num_in!M31)</f>
        <v>15274.197733009405</v>
      </c>
      <c r="N31" s="132">
        <f>IF(SER_hh_tes_in!N31=0,0,11630*1000*SER_hh_tes_in!N31/SER_hh_num_in!N31)</f>
        <v>14429.999305960089</v>
      </c>
      <c r="O31" s="132">
        <f>IF(SER_hh_tes_in!O31=0,0,11630*1000*SER_hh_tes_in!O31/SER_hh_num_in!O31)</f>
        <v>15253.907995771584</v>
      </c>
      <c r="P31" s="132">
        <f>IF(SER_hh_tes_in!P31=0,0,11630*1000*SER_hh_tes_in!P31/SER_hh_num_in!P31)</f>
        <v>16038.61603615115</v>
      </c>
      <c r="Q31" s="132">
        <f>IF(SER_hh_tes_in!Q31=0,0,11630*1000*SER_hh_tes_in!Q31/SER_hh_num_in!Q31)</f>
        <v>16419.877238839454</v>
      </c>
      <c r="R31" s="132">
        <f>IF(SER_hh_tes_in!R31=0,0,11630*1000*SER_hh_tes_in!R31/SER_hh_num_in!R31)</f>
        <v>15708.799607942892</v>
      </c>
      <c r="S31" s="132">
        <f>IF(SER_hh_tes_in!S31=0,0,11630*1000*SER_hh_tes_in!S31/SER_hh_num_in!S31)</f>
        <v>16052.036605992887</v>
      </c>
      <c r="T31" s="132">
        <f>IF(SER_hh_tes_in!T31=0,0,11630*1000*SER_hh_tes_in!T31/SER_hh_num_in!T31)</f>
        <v>16375.83817376251</v>
      </c>
      <c r="U31" s="132">
        <f>IF(SER_hh_tes_in!U31=0,0,11630*1000*SER_hh_tes_in!U31/SER_hh_num_in!U31)</f>
        <v>15623.365641113243</v>
      </c>
      <c r="V31" s="132">
        <f>IF(SER_hh_tes_in!V31=0,0,11630*1000*SER_hh_tes_in!V31/SER_hh_num_in!V31)</f>
        <v>13886.744625187019</v>
      </c>
      <c r="W31" s="132">
        <f>IF(SER_hh_tes_in!W31=0,0,11630*1000*SER_hh_tes_in!W31/SER_hh_num_in!W31)</f>
        <v>19556.325932234144</v>
      </c>
      <c r="X31" s="132">
        <f>IF(SER_hh_tes_in!X31=0,0,11630*1000*SER_hh_tes_in!X31/SER_hh_num_in!X31)</f>
        <v>16443.989586375032</v>
      </c>
      <c r="Y31" s="132">
        <f>IF(SER_hh_tes_in!Y31=0,0,11630*1000*SER_hh_tes_in!Y31/SER_hh_num_in!Y31)</f>
        <v>15684.01018381135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15811.131600162909</v>
      </c>
      <c r="D33" s="68">
        <f>IF(SER_hh_tes_in!D33=0,0,11630*1000*SER_hh_tes_in!D33/SER_hh_num_in!D33)</f>
        <v>13678.990362365526</v>
      </c>
      <c r="E33" s="68">
        <f>IF(SER_hh_tes_in!E33=0,0,11630*1000*SER_hh_tes_in!E33/SER_hh_num_in!E33)</f>
        <v>12770.702252325205</v>
      </c>
      <c r="F33" s="68">
        <f>IF(SER_hh_tes_in!F33=0,0,11630*1000*SER_hh_tes_in!F33/SER_hh_num_in!F33)</f>
        <v>11957.689002504841</v>
      </c>
      <c r="G33" s="68">
        <f>IF(SER_hh_tes_in!G33=0,0,11630*1000*SER_hh_tes_in!G33/SER_hh_num_in!G33)</f>
        <v>15252.958022907997</v>
      </c>
      <c r="H33" s="68">
        <f>IF(SER_hh_tes_in!H33=0,0,11630*1000*SER_hh_tes_in!H33/SER_hh_num_in!H33)</f>
        <v>15034.000095826648</v>
      </c>
      <c r="I33" s="68">
        <f>IF(SER_hh_tes_in!I33=0,0,11630*1000*SER_hh_tes_in!I33/SER_hh_num_in!I33)</f>
        <v>14615.191245641878</v>
      </c>
      <c r="J33" s="68">
        <f>IF(SER_hh_tes_in!J33=0,0,11630*1000*SER_hh_tes_in!J33/SER_hh_num_in!J33)</f>
        <v>14859.937605037685</v>
      </c>
      <c r="K33" s="68">
        <f>IF(SER_hh_tes_in!K33=0,0,11630*1000*SER_hh_tes_in!K33/SER_hh_num_in!K33)</f>
        <v>14468.653191343057</v>
      </c>
      <c r="L33" s="68">
        <f>IF(SER_hh_tes_in!L33=0,0,11630*1000*SER_hh_tes_in!L33/SER_hh_num_in!L33)</f>
        <v>14810.908439961435</v>
      </c>
      <c r="M33" s="68">
        <f>IF(SER_hh_tes_in!M33=0,0,11630*1000*SER_hh_tes_in!M33/SER_hh_num_in!M33)</f>
        <v>14697.783042546096</v>
      </c>
      <c r="N33" s="68">
        <f>IF(SER_hh_tes_in!N33=0,0,11630*1000*SER_hh_tes_in!N33/SER_hh_num_in!N33)</f>
        <v>15825.711396906074</v>
      </c>
      <c r="O33" s="68">
        <f>IF(SER_hh_tes_in!O33=0,0,11630*1000*SER_hh_tes_in!O33/SER_hh_num_in!O33)</f>
        <v>15974.594946887024</v>
      </c>
      <c r="P33" s="68">
        <f>IF(SER_hh_tes_in!P33=0,0,11630*1000*SER_hh_tes_in!P33/SER_hh_num_in!P33)</f>
        <v>15736.280027190953</v>
      </c>
      <c r="Q33" s="68">
        <f>IF(SER_hh_tes_in!Q33=0,0,11630*1000*SER_hh_tes_in!Q33/SER_hh_num_in!Q33)</f>
        <v>15349.193568175544</v>
      </c>
      <c r="R33" s="68">
        <f>IF(SER_hh_tes_in!R33=0,0,11630*1000*SER_hh_tes_in!R33/SER_hh_num_in!R33)</f>
        <v>16338.52843341229</v>
      </c>
      <c r="S33" s="68">
        <f>IF(SER_hh_tes_in!S33=0,0,11630*1000*SER_hh_tes_in!S33/SER_hh_num_in!S33)</f>
        <v>15846.239327783136</v>
      </c>
      <c r="T33" s="68">
        <f>IF(SER_hh_tes_in!T33=0,0,11630*1000*SER_hh_tes_in!T33/SER_hh_num_in!T33)</f>
        <v>16362.451566375392</v>
      </c>
      <c r="U33" s="68">
        <f>IF(SER_hh_tes_in!U33=0,0,11630*1000*SER_hh_tes_in!U33/SER_hh_num_in!U33)</f>
        <v>16209.050894253503</v>
      </c>
      <c r="V33" s="68">
        <f>IF(SER_hh_tes_in!V33=0,0,11630*1000*SER_hh_tes_in!V33/SER_hh_num_in!V33)</f>
        <v>15056.190608713674</v>
      </c>
      <c r="W33" s="68">
        <f>IF(SER_hh_tes_in!W33=0,0,11630*1000*SER_hh_tes_in!W33/SER_hh_num_in!W33)</f>
        <v>13902.107456669433</v>
      </c>
      <c r="X33" s="68">
        <f>IF(SER_hh_tes_in!X33=0,0,11630*1000*SER_hh_tes_in!X33/SER_hh_num_in!X33)</f>
        <v>15744.751949836227</v>
      </c>
      <c r="Y33" s="68">
        <f>IF(SER_hh_tes_in!Y33=0,0,11630*1000*SER_hh_tes_in!Y33/SER_hh_num_in!Y33)</f>
        <v>16337.123245917772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20594.092116684053</v>
      </c>
      <c r="D3" s="125">
        <f>IF(SER_hh_emi_in!D3=0,0,1000000*SER_hh_emi_in!D3/SER_hh_num_in!D3)</f>
        <v>22065.090154375863</v>
      </c>
      <c r="E3" s="125">
        <f>IF(SER_hh_emi_in!E3=0,0,1000000*SER_hh_emi_in!E3/SER_hh_num_in!E3)</f>
        <v>28453.740521770622</v>
      </c>
      <c r="F3" s="125">
        <f>IF(SER_hh_emi_in!F3=0,0,1000000*SER_hh_emi_in!F3/SER_hh_num_in!F3)</f>
        <v>23186.332175167321</v>
      </c>
      <c r="G3" s="125">
        <f>IF(SER_hh_emi_in!G3=0,0,1000000*SER_hh_emi_in!G3/SER_hh_num_in!G3)</f>
        <v>23371.568461711649</v>
      </c>
      <c r="H3" s="125">
        <f>IF(SER_hh_emi_in!H3=0,0,1000000*SER_hh_emi_in!H3/SER_hh_num_in!H3)</f>
        <v>19248.880559181751</v>
      </c>
      <c r="I3" s="125">
        <f>IF(SER_hh_emi_in!I3=0,0,1000000*SER_hh_emi_in!I3/SER_hh_num_in!I3)</f>
        <v>20013.730175335422</v>
      </c>
      <c r="J3" s="125">
        <f>IF(SER_hh_emi_in!J3=0,0,1000000*SER_hh_emi_in!J3/SER_hh_num_in!J3)</f>
        <v>23431.062892298065</v>
      </c>
      <c r="K3" s="125">
        <f>IF(SER_hh_emi_in!K3=0,0,1000000*SER_hh_emi_in!K3/SER_hh_num_in!K3)</f>
        <v>24960.248153912125</v>
      </c>
      <c r="L3" s="125">
        <f>IF(SER_hh_emi_in!L3=0,0,1000000*SER_hh_emi_in!L3/SER_hh_num_in!L3)</f>
        <v>19760.076738581105</v>
      </c>
      <c r="M3" s="125">
        <f>IF(SER_hh_emi_in!M3=0,0,1000000*SER_hh_emi_in!M3/SER_hh_num_in!M3)</f>
        <v>14116.871447610571</v>
      </c>
      <c r="N3" s="125">
        <f>IF(SER_hh_emi_in!N3=0,0,1000000*SER_hh_emi_in!N3/SER_hh_num_in!N3)</f>
        <v>17323.659963191596</v>
      </c>
      <c r="O3" s="125">
        <f>IF(SER_hh_emi_in!O3=0,0,1000000*SER_hh_emi_in!O3/SER_hh_num_in!O3)</f>
        <v>19762.76512669251</v>
      </c>
      <c r="P3" s="125">
        <f>IF(SER_hh_emi_in!P3=0,0,1000000*SER_hh_emi_in!P3/SER_hh_num_in!P3)</f>
        <v>18273.71730507338</v>
      </c>
      <c r="Q3" s="125">
        <f>IF(SER_hh_emi_in!Q3=0,0,1000000*SER_hh_emi_in!Q3/SER_hh_num_in!Q3)</f>
        <v>12078.571598392791</v>
      </c>
      <c r="R3" s="125">
        <f>IF(SER_hh_emi_in!R3=0,0,1000000*SER_hh_emi_in!R3/SER_hh_num_in!R3)</f>
        <v>10017.322976835136</v>
      </c>
      <c r="S3" s="125">
        <f>IF(SER_hh_emi_in!S3=0,0,1000000*SER_hh_emi_in!S3/SER_hh_num_in!S3)</f>
        <v>11518.532682614639</v>
      </c>
      <c r="T3" s="125">
        <f>IF(SER_hh_emi_in!T3=0,0,1000000*SER_hh_emi_in!T3/SER_hh_num_in!T3)</f>
        <v>11853.758528359753</v>
      </c>
      <c r="U3" s="125">
        <f>IF(SER_hh_emi_in!U3=0,0,1000000*SER_hh_emi_in!U3/SER_hh_num_in!U3)</f>
        <v>12219.15799130439</v>
      </c>
      <c r="V3" s="125">
        <f>IF(SER_hh_emi_in!V3=0,0,1000000*SER_hh_emi_in!V3/SER_hh_num_in!V3)</f>
        <v>11079.65267376798</v>
      </c>
      <c r="W3" s="125">
        <f>IF(SER_hh_emi_in!W3=0,0,1000000*SER_hh_emi_in!W3/SER_hh_num_in!W3)</f>
        <v>8530.8677513987586</v>
      </c>
      <c r="X3" s="125">
        <f>IF(SER_hh_emi_in!X3=0,0,1000000*SER_hh_emi_in!X3/SER_hh_num_in!X3)</f>
        <v>8811.2850432163123</v>
      </c>
      <c r="Y3" s="125">
        <f>IF(SER_hh_emi_in!Y3=0,0,1000000*SER_hh_emi_in!Y3/SER_hh_num_in!Y3)</f>
        <v>7462.4280597256666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16357.799058293107</v>
      </c>
      <c r="D4" s="130">
        <f>IF(SER_hh_emi_in!D4=0,0,1000000*SER_hh_emi_in!D4/SER_hh_num_in!D4)</f>
        <v>14551.178324656723</v>
      </c>
      <c r="E4" s="130">
        <f>IF(SER_hh_emi_in!E4=0,0,1000000*SER_hh_emi_in!E4/SER_hh_num_in!E4)</f>
        <v>22674.009296816796</v>
      </c>
      <c r="F4" s="130">
        <f>IF(SER_hh_emi_in!F4=0,0,1000000*SER_hh_emi_in!F4/SER_hh_num_in!F4)</f>
        <v>19796.973373630328</v>
      </c>
      <c r="G4" s="130">
        <f>IF(SER_hh_emi_in!G4=0,0,1000000*SER_hh_emi_in!G4/SER_hh_num_in!G4)</f>
        <v>21542.354736875706</v>
      </c>
      <c r="H4" s="130">
        <f>IF(SER_hh_emi_in!H4=0,0,1000000*SER_hh_emi_in!H4/SER_hh_num_in!H4)</f>
        <v>17740.791810245049</v>
      </c>
      <c r="I4" s="130">
        <f>IF(SER_hh_emi_in!I4=0,0,1000000*SER_hh_emi_in!I4/SER_hh_num_in!I4)</f>
        <v>16994.57204537906</v>
      </c>
      <c r="J4" s="130">
        <f>IF(SER_hh_emi_in!J4=0,0,1000000*SER_hh_emi_in!J4/SER_hh_num_in!J4)</f>
        <v>18940.300713632485</v>
      </c>
      <c r="K4" s="130">
        <f>IF(SER_hh_emi_in!K4=0,0,1000000*SER_hh_emi_in!K4/SER_hh_num_in!K4)</f>
        <v>19296.602349087396</v>
      </c>
      <c r="L4" s="130">
        <f>IF(SER_hh_emi_in!L4=0,0,1000000*SER_hh_emi_in!L4/SER_hh_num_in!L4)</f>
        <v>15793.960020691457</v>
      </c>
      <c r="M4" s="130">
        <f>IF(SER_hh_emi_in!M4=0,0,1000000*SER_hh_emi_in!M4/SER_hh_num_in!M4)</f>
        <v>11124.512294830327</v>
      </c>
      <c r="N4" s="130">
        <f>IF(SER_hh_emi_in!N4=0,0,1000000*SER_hh_emi_in!N4/SER_hh_num_in!N4)</f>
        <v>14142.663814137268</v>
      </c>
      <c r="O4" s="130">
        <f>IF(SER_hh_emi_in!O4=0,0,1000000*SER_hh_emi_in!O4/SER_hh_num_in!O4)</f>
        <v>15403.112880019693</v>
      </c>
      <c r="P4" s="130">
        <f>IF(SER_hh_emi_in!P4=0,0,1000000*SER_hh_emi_in!P4/SER_hh_num_in!P4)</f>
        <v>13629.654381280867</v>
      </c>
      <c r="Q4" s="130">
        <f>IF(SER_hh_emi_in!Q4=0,0,1000000*SER_hh_emi_in!Q4/SER_hh_num_in!Q4)</f>
        <v>7762.9829634338003</v>
      </c>
      <c r="R4" s="130">
        <f>IF(SER_hh_emi_in!R4=0,0,1000000*SER_hh_emi_in!R4/SER_hh_num_in!R4)</f>
        <v>7561.182948850068</v>
      </c>
      <c r="S4" s="130">
        <f>IF(SER_hh_emi_in!S4=0,0,1000000*SER_hh_emi_in!S4/SER_hh_num_in!S4)</f>
        <v>8738.1436840273345</v>
      </c>
      <c r="T4" s="130">
        <f>IF(SER_hh_emi_in!T4=0,0,1000000*SER_hh_emi_in!T4/SER_hh_num_in!T4)</f>
        <v>9282.535203778938</v>
      </c>
      <c r="U4" s="130">
        <f>IF(SER_hh_emi_in!U4=0,0,1000000*SER_hh_emi_in!U4/SER_hh_num_in!U4)</f>
        <v>8675.504815185901</v>
      </c>
      <c r="V4" s="130">
        <f>IF(SER_hh_emi_in!V4=0,0,1000000*SER_hh_emi_in!V4/SER_hh_num_in!V4)</f>
        <v>7820.1403597874942</v>
      </c>
      <c r="W4" s="130">
        <f>IF(SER_hh_emi_in!W4=0,0,1000000*SER_hh_emi_in!W4/SER_hh_num_in!W4)</f>
        <v>6243.6235712093421</v>
      </c>
      <c r="X4" s="130">
        <f>IF(SER_hh_emi_in!X4=0,0,1000000*SER_hh_emi_in!X4/SER_hh_num_in!X4)</f>
        <v>6211.439374444155</v>
      </c>
      <c r="Y4" s="130">
        <f>IF(SER_hh_emi_in!Y4=0,0,1000000*SER_hh_emi_in!Y4/SER_hh_num_in!Y4)</f>
        <v>5028.4638474515268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49569.627655828161</v>
      </c>
      <c r="G5" s="132">
        <f>IF(SER_hh_emi_in!G5=0,0,1000000*SER_hh_emi_in!G5/SER_hh_num_in!G5)</f>
        <v>50214.467274679744</v>
      </c>
      <c r="H5" s="132">
        <f>IF(SER_hh_emi_in!H5=0,0,1000000*SER_hh_emi_in!H5/SER_hh_num_in!H5)</f>
        <v>46885.79576172708</v>
      </c>
      <c r="I5" s="132">
        <f>IF(SER_hh_emi_in!I5=0,0,1000000*SER_hh_emi_in!I5/SER_hh_num_in!I5)</f>
        <v>43895.368441851351</v>
      </c>
      <c r="J5" s="132">
        <f>IF(SER_hh_emi_in!J5=0,0,1000000*SER_hh_emi_in!J5/SER_hh_num_in!J5)</f>
        <v>40501.278559643928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37350.055618166312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20146.756971985338</v>
      </c>
      <c r="V5" s="132">
        <f>IF(SER_hh_emi_in!V5=0,0,1000000*SER_hh_emi_in!V5/SER_hh_num_in!V5)</f>
        <v>16740.390704167348</v>
      </c>
      <c r="W5" s="132">
        <f>IF(SER_hh_emi_in!W5=0,0,1000000*SER_hh_emi_in!W5/SER_hh_num_in!W5)</f>
        <v>16542.601650123113</v>
      </c>
      <c r="X5" s="132">
        <f>IF(SER_hh_emi_in!X5=0,0,1000000*SER_hh_emi_in!X5/SER_hh_num_in!X5)</f>
        <v>14940.452391475221</v>
      </c>
      <c r="Y5" s="132">
        <f>IF(SER_hh_emi_in!Y5=0,0,1000000*SER_hh_emi_in!Y5/SER_hh_num_in!Y5)</f>
        <v>12874.835994208957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49806.419501397206</v>
      </c>
      <c r="D7" s="132">
        <f>IF(SER_hh_emi_in!D7=0,0,1000000*SER_hh_emi_in!D7/SER_hh_num_in!D7)</f>
        <v>43263.808633984299</v>
      </c>
      <c r="E7" s="132">
        <f>IF(SER_hh_emi_in!E7=0,0,1000000*SER_hh_emi_in!E7/SER_hh_num_in!E7)</f>
        <v>46239.471212153338</v>
      </c>
      <c r="F7" s="132">
        <f>IF(SER_hh_emi_in!F7=0,0,1000000*SER_hh_emi_in!F7/SER_hh_num_in!F7)</f>
        <v>46792.087976410468</v>
      </c>
      <c r="G7" s="132">
        <f>IF(SER_hh_emi_in!G7=0,0,1000000*SER_hh_emi_in!G7/SER_hh_num_in!G7)</f>
        <v>44867.8224289793</v>
      </c>
      <c r="H7" s="132">
        <f>IF(SER_hh_emi_in!H7=0,0,1000000*SER_hh_emi_in!H7/SER_hh_num_in!H7)</f>
        <v>40958.805022505214</v>
      </c>
      <c r="I7" s="132">
        <f>IF(SER_hh_emi_in!I7=0,0,1000000*SER_hh_emi_in!I7/SER_hh_num_in!I7)</f>
        <v>34777.327279199417</v>
      </c>
      <c r="J7" s="132">
        <f>IF(SER_hh_emi_in!J7=0,0,1000000*SER_hh_emi_in!J7/SER_hh_num_in!J7)</f>
        <v>40686.514706792463</v>
      </c>
      <c r="K7" s="132">
        <f>IF(SER_hh_emi_in!K7=0,0,1000000*SER_hh_emi_in!K7/SER_hh_num_in!K7)</f>
        <v>39090.359328847342</v>
      </c>
      <c r="L7" s="132">
        <f>IF(SER_hh_emi_in!L7=0,0,1000000*SER_hh_emi_in!L7/SER_hh_num_in!L7)</f>
        <v>37146.88467920517</v>
      </c>
      <c r="M7" s="132">
        <f>IF(SER_hh_emi_in!M7=0,0,1000000*SER_hh_emi_in!M7/SER_hh_num_in!M7)</f>
        <v>30608.528714991309</v>
      </c>
      <c r="N7" s="132">
        <f>IF(SER_hh_emi_in!N7=0,0,1000000*SER_hh_emi_in!N7/SER_hh_num_in!N7)</f>
        <v>29499.459265540594</v>
      </c>
      <c r="O7" s="132">
        <f>IF(SER_hh_emi_in!O7=0,0,1000000*SER_hh_emi_in!O7/SER_hh_num_in!O7)</f>
        <v>28308.88742355716</v>
      </c>
      <c r="P7" s="132">
        <f>IF(SER_hh_emi_in!P7=0,0,1000000*SER_hh_emi_in!P7/SER_hh_num_in!P7)</f>
        <v>27012.544950110649</v>
      </c>
      <c r="Q7" s="132">
        <f>IF(SER_hh_emi_in!Q7=0,0,1000000*SER_hh_emi_in!Q7/SER_hh_num_in!Q7)</f>
        <v>25027.640040940605</v>
      </c>
      <c r="R7" s="132">
        <f>IF(SER_hh_emi_in!R7=0,0,1000000*SER_hh_emi_in!R7/SER_hh_num_in!R7)</f>
        <v>0</v>
      </c>
      <c r="S7" s="132">
        <f>IF(SER_hh_emi_in!S7=0,0,1000000*SER_hh_emi_in!S7/SER_hh_num_in!S7)</f>
        <v>21468.256480856853</v>
      </c>
      <c r="T7" s="132">
        <f>IF(SER_hh_emi_in!T7=0,0,1000000*SER_hh_emi_in!T7/SER_hh_num_in!T7)</f>
        <v>18702.478761454044</v>
      </c>
      <c r="U7" s="132">
        <f>IF(SER_hh_emi_in!U7=0,0,1000000*SER_hh_emi_in!U7/SER_hh_num_in!U7)</f>
        <v>16772.95618488995</v>
      </c>
      <c r="V7" s="132">
        <f>IF(SER_hh_emi_in!V7=0,0,1000000*SER_hh_emi_in!V7/SER_hh_num_in!V7)</f>
        <v>16472.952507698476</v>
      </c>
      <c r="W7" s="132">
        <f>IF(SER_hh_emi_in!W7=0,0,1000000*SER_hh_emi_in!W7/SER_hh_num_in!W7)</f>
        <v>11938.892647416462</v>
      </c>
      <c r="X7" s="132">
        <f>IF(SER_hh_emi_in!X7=0,0,1000000*SER_hh_emi_in!X7/SER_hh_num_in!X7)</f>
        <v>13188.55953721008</v>
      </c>
      <c r="Y7" s="132">
        <f>IF(SER_hh_emi_in!Y7=0,0,1000000*SER_hh_emi_in!Y7/SER_hh_num_in!Y7)</f>
        <v>10484.14657028207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13289.90919004145</v>
      </c>
      <c r="D8" s="132">
        <f>IF(SER_hh_emi_in!D8=0,0,1000000*SER_hh_emi_in!D8/SER_hh_num_in!D8)</f>
        <v>10740.332230172729</v>
      </c>
      <c r="E8" s="132">
        <f>IF(SER_hh_emi_in!E8=0,0,1000000*SER_hh_emi_in!E8/SER_hh_num_in!E8)</f>
        <v>11194.884580569571</v>
      </c>
      <c r="F8" s="132">
        <f>IF(SER_hh_emi_in!F8=0,0,1000000*SER_hh_emi_in!F8/SER_hh_num_in!F8)</f>
        <v>9925.7730248191874</v>
      </c>
      <c r="G8" s="132">
        <f>IF(SER_hh_emi_in!G8=0,0,1000000*SER_hh_emi_in!G8/SER_hh_num_in!G8)</f>
        <v>12807.31019555817</v>
      </c>
      <c r="H8" s="132">
        <f>IF(SER_hh_emi_in!H8=0,0,1000000*SER_hh_emi_in!H8/SER_hh_num_in!H8)</f>
        <v>10872.462616774259</v>
      </c>
      <c r="I8" s="132">
        <f>IF(SER_hh_emi_in!I8=0,0,1000000*SER_hh_emi_in!I8/SER_hh_num_in!I8)</f>
        <v>10326.540314191207</v>
      </c>
      <c r="J8" s="132">
        <f>IF(SER_hh_emi_in!J8=0,0,1000000*SER_hh_emi_in!J8/SER_hh_num_in!J8)</f>
        <v>10104.094037930987</v>
      </c>
      <c r="K8" s="132">
        <f>IF(SER_hh_emi_in!K8=0,0,1000000*SER_hh_emi_in!K8/SER_hh_num_in!K8)</f>
        <v>7494.7087887576436</v>
      </c>
      <c r="L8" s="132">
        <f>IF(SER_hh_emi_in!L8=0,0,1000000*SER_hh_emi_in!L8/SER_hh_num_in!L8)</f>
        <v>6014.6073007918676</v>
      </c>
      <c r="M8" s="132">
        <f>IF(SER_hh_emi_in!M8=0,0,1000000*SER_hh_emi_in!M8/SER_hh_num_in!M8)</f>
        <v>7855.1729978479507</v>
      </c>
      <c r="N8" s="132">
        <f>IF(SER_hh_emi_in!N8=0,0,1000000*SER_hh_emi_in!N8/SER_hh_num_in!N8)</f>
        <v>6639.3320446916805</v>
      </c>
      <c r="O8" s="132">
        <f>IF(SER_hh_emi_in!O8=0,0,1000000*SER_hh_emi_in!O8/SER_hh_num_in!O8)</f>
        <v>6640.3538311528455</v>
      </c>
      <c r="P8" s="132">
        <f>IF(SER_hh_emi_in!P8=0,0,1000000*SER_hh_emi_in!P8/SER_hh_num_in!P8)</f>
        <v>5298.5640890147342</v>
      </c>
      <c r="Q8" s="132">
        <f>IF(SER_hh_emi_in!Q8=0,0,1000000*SER_hh_emi_in!Q8/SER_hh_num_in!Q8)</f>
        <v>5201.8333265899673</v>
      </c>
      <c r="R8" s="132">
        <f>IF(SER_hh_emi_in!R8=0,0,1000000*SER_hh_emi_in!R8/SER_hh_num_in!R8)</f>
        <v>4748.3527231933776</v>
      </c>
      <c r="S8" s="132">
        <f>IF(SER_hh_emi_in!S8=0,0,1000000*SER_hh_emi_in!S8/SER_hh_num_in!S8)</f>
        <v>4295.6796211681203</v>
      </c>
      <c r="T8" s="132">
        <f>IF(SER_hh_emi_in!T8=0,0,1000000*SER_hh_emi_in!T8/SER_hh_num_in!T8)</f>
        <v>3950.918705470599</v>
      </c>
      <c r="U8" s="132">
        <f>IF(SER_hh_emi_in!U8=0,0,1000000*SER_hh_emi_in!U8/SER_hh_num_in!U8)</f>
        <v>3592.843699192118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33854.989337258165</v>
      </c>
      <c r="D9" s="132">
        <f>IF(SER_hh_emi_in!D9=0,0,1000000*SER_hh_emi_in!D9/SER_hh_num_in!D9)</f>
        <v>27389.109146320945</v>
      </c>
      <c r="E9" s="132">
        <f>IF(SER_hh_emi_in!E9=0,0,1000000*SER_hh_emi_in!E9/SER_hh_num_in!E9)</f>
        <v>33966.453412851355</v>
      </c>
      <c r="F9" s="132">
        <f>IF(SER_hh_emi_in!F9=0,0,1000000*SER_hh_emi_in!F9/SER_hh_num_in!F9)</f>
        <v>33015.139793896116</v>
      </c>
      <c r="G9" s="132">
        <f>IF(SER_hh_emi_in!G9=0,0,1000000*SER_hh_emi_in!G9/SER_hh_num_in!G9)</f>
        <v>33071.443715540176</v>
      </c>
      <c r="H9" s="132">
        <f>IF(SER_hh_emi_in!H9=0,0,1000000*SER_hh_emi_in!H9/SER_hh_num_in!H9)</f>
        <v>27917.34334107969</v>
      </c>
      <c r="I9" s="132">
        <f>IF(SER_hh_emi_in!I9=0,0,1000000*SER_hh_emi_in!I9/SER_hh_num_in!I9)</f>
        <v>27413.021001043016</v>
      </c>
      <c r="J9" s="132">
        <f>IF(SER_hh_emi_in!J9=0,0,1000000*SER_hh_emi_in!J9/SER_hh_num_in!J9)</f>
        <v>23497.029320800022</v>
      </c>
      <c r="K9" s="132">
        <f>IF(SER_hh_emi_in!K9=0,0,1000000*SER_hh_emi_in!K9/SER_hh_num_in!K9)</f>
        <v>27257.945380618887</v>
      </c>
      <c r="L9" s="132">
        <f>IF(SER_hh_emi_in!L9=0,0,1000000*SER_hh_emi_in!L9/SER_hh_num_in!L9)</f>
        <v>29398.856976922132</v>
      </c>
      <c r="M9" s="132">
        <f>IF(SER_hh_emi_in!M9=0,0,1000000*SER_hh_emi_in!M9/SER_hh_num_in!M9)</f>
        <v>19827.266624484771</v>
      </c>
      <c r="N9" s="132">
        <f>IF(SER_hh_emi_in!N9=0,0,1000000*SER_hh_emi_in!N9/SER_hh_num_in!N9)</f>
        <v>22050.981059590489</v>
      </c>
      <c r="O9" s="132">
        <f>IF(SER_hh_emi_in!O9=0,0,1000000*SER_hh_emi_in!O9/SER_hh_num_in!O9)</f>
        <v>21674.200579703291</v>
      </c>
      <c r="P9" s="132">
        <f>IF(SER_hh_emi_in!P9=0,0,1000000*SER_hh_emi_in!P9/SER_hh_num_in!P9)</f>
        <v>16005.640139801688</v>
      </c>
      <c r="Q9" s="132">
        <f>IF(SER_hh_emi_in!Q9=0,0,1000000*SER_hh_emi_in!Q9/SER_hh_num_in!Q9)</f>
        <v>15698.398538258651</v>
      </c>
      <c r="R9" s="132">
        <f>IF(SER_hh_emi_in!R9=0,0,1000000*SER_hh_emi_in!R9/SER_hh_num_in!R9)</f>
        <v>14617.379223244072</v>
      </c>
      <c r="S9" s="132">
        <f>IF(SER_hh_emi_in!S9=0,0,1000000*SER_hh_emi_in!S9/SER_hh_num_in!S9)</f>
        <v>13895.148935676703</v>
      </c>
      <c r="T9" s="132">
        <f>IF(SER_hh_emi_in!T9=0,0,1000000*SER_hh_emi_in!T9/SER_hh_num_in!T9)</f>
        <v>13139.944772877747</v>
      </c>
      <c r="U9" s="132">
        <f>IF(SER_hh_emi_in!U9=0,0,1000000*SER_hh_emi_in!U9/SER_hh_num_in!U9)</f>
        <v>11740.283476828785</v>
      </c>
      <c r="V9" s="132">
        <f>IF(SER_hh_emi_in!V9=0,0,1000000*SER_hh_emi_in!V9/SER_hh_num_in!V9)</f>
        <v>9762.7071824180894</v>
      </c>
      <c r="W9" s="132">
        <f>IF(SER_hh_emi_in!W9=0,0,1000000*SER_hh_emi_in!W9/SER_hh_num_in!W9)</f>
        <v>8744.6230867606664</v>
      </c>
      <c r="X9" s="132">
        <f>IF(SER_hh_emi_in!X9=0,0,1000000*SER_hh_emi_in!X9/SER_hh_num_in!X9)</f>
        <v>7401.3036973959479</v>
      </c>
      <c r="Y9" s="132">
        <f>IF(SER_hh_emi_in!Y9=0,0,1000000*SER_hh_emi_in!Y9/SER_hh_num_in!Y9)</f>
        <v>6716.916750890131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33680.167192225104</v>
      </c>
      <c r="D10" s="132">
        <f>IF(SER_hh_emi_in!D10=0,0,1000000*SER_hh_emi_in!D10/SER_hh_num_in!D10)</f>
        <v>33594.724417547506</v>
      </c>
      <c r="E10" s="132">
        <f>IF(SER_hh_emi_in!E10=0,0,1000000*SER_hh_emi_in!E10/SER_hh_num_in!E10)</f>
        <v>36501.734209928698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16617.818352980212</v>
      </c>
      <c r="J10" s="132">
        <f>IF(SER_hh_emi_in!J10=0,0,1000000*SER_hh_emi_in!J10/SER_hh_num_in!J10)</f>
        <v>16726.113451629975</v>
      </c>
      <c r="K10" s="132">
        <f>IF(SER_hh_emi_in!K10=0,0,1000000*SER_hh_emi_in!K10/SER_hh_num_in!K10)</f>
        <v>22398.660129828368</v>
      </c>
      <c r="L10" s="132">
        <f>IF(SER_hh_emi_in!L10=0,0,1000000*SER_hh_emi_in!L10/SER_hh_num_in!L10)</f>
        <v>19275.532353612085</v>
      </c>
      <c r="M10" s="132">
        <f>IF(SER_hh_emi_in!M10=0,0,1000000*SER_hh_emi_in!M10/SER_hh_num_in!M10)</f>
        <v>10518.456266272544</v>
      </c>
      <c r="N10" s="132">
        <f>IF(SER_hh_emi_in!N10=0,0,1000000*SER_hh_emi_in!N10/SER_hh_num_in!N10)</f>
        <v>10468.564524283634</v>
      </c>
      <c r="O10" s="132">
        <f>IF(SER_hh_emi_in!O10=0,0,1000000*SER_hh_emi_in!O10/SER_hh_num_in!O10)</f>
        <v>11591.151879465209</v>
      </c>
      <c r="P10" s="132">
        <f>IF(SER_hh_emi_in!P10=0,0,1000000*SER_hh_emi_in!P10/SER_hh_num_in!P10)</f>
        <v>8720.0408709452731</v>
      </c>
      <c r="Q10" s="132">
        <f>IF(SER_hh_emi_in!Q10=0,0,1000000*SER_hh_emi_in!Q10/SER_hh_num_in!Q10)</f>
        <v>5980.6411508808133</v>
      </c>
      <c r="R10" s="132">
        <f>IF(SER_hh_emi_in!R10=0,0,1000000*SER_hh_emi_in!R10/SER_hh_num_in!R10)</f>
        <v>6594.3055646370212</v>
      </c>
      <c r="S10" s="132">
        <f>IF(SER_hh_emi_in!S10=0,0,1000000*SER_hh_emi_in!S10/SER_hh_num_in!S10)</f>
        <v>6819.1449937279276</v>
      </c>
      <c r="T10" s="132">
        <f>IF(SER_hh_emi_in!T10=0,0,1000000*SER_hh_emi_in!T10/SER_hh_num_in!T10)</f>
        <v>5124.9702847210319</v>
      </c>
      <c r="U10" s="132">
        <f>IF(SER_hh_emi_in!U10=0,0,1000000*SER_hh_emi_in!U10/SER_hh_num_in!U10)</f>
        <v>4652.0115437569639</v>
      </c>
      <c r="V10" s="132">
        <f>IF(SER_hh_emi_in!V10=0,0,1000000*SER_hh_emi_in!V10/SER_hh_num_in!V10)</f>
        <v>5066.437391187068</v>
      </c>
      <c r="W10" s="132">
        <f>IF(SER_hh_emi_in!W10=0,0,1000000*SER_hh_emi_in!W10/SER_hh_num_in!W10)</f>
        <v>4330.3747935116353</v>
      </c>
      <c r="X10" s="132">
        <f>IF(SER_hh_emi_in!X10=0,0,1000000*SER_hh_emi_in!X10/SER_hh_num_in!X10)</f>
        <v>6325.3112418457058</v>
      </c>
      <c r="Y10" s="132">
        <f>IF(SER_hh_emi_in!Y10=0,0,1000000*SER_hh_emi_in!Y10/SER_hh_num_in!Y10)</f>
        <v>4642.6231942051063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19.273096828602004</v>
      </c>
      <c r="D16" s="130">
        <f>IF(SER_hh_emi_in!D16=0,0,1000000*SER_hh_emi_in!D16/SER_hh_num_in!D16)</f>
        <v>16.871551958242641</v>
      </c>
      <c r="E16" s="130">
        <f>IF(SER_hh_emi_in!E16=0,0,1000000*SER_hh_emi_in!E16/SER_hh_num_in!E16)</f>
        <v>65.742014149882579</v>
      </c>
      <c r="F16" s="130">
        <f>IF(SER_hh_emi_in!F16=0,0,1000000*SER_hh_emi_in!F16/SER_hh_num_in!F16)</f>
        <v>15.694378866756646</v>
      </c>
      <c r="G16" s="130">
        <f>IF(SER_hh_emi_in!G16=0,0,1000000*SER_hh_emi_in!G16/SER_hh_num_in!G16)</f>
        <v>19.312687554340435</v>
      </c>
      <c r="H16" s="130">
        <f>IF(SER_hh_emi_in!H16=0,0,1000000*SER_hh_emi_in!H16/SER_hh_num_in!H16)</f>
        <v>48.424457461294502</v>
      </c>
      <c r="I16" s="130">
        <f>IF(SER_hh_emi_in!I16=0,0,1000000*SER_hh_emi_in!I16/SER_hh_num_in!I16)</f>
        <v>25.466210836165136</v>
      </c>
      <c r="J16" s="130">
        <f>IF(SER_hh_emi_in!J16=0,0,1000000*SER_hh_emi_in!J16/SER_hh_num_in!J16)</f>
        <v>38.578554811935625</v>
      </c>
      <c r="K16" s="130">
        <f>IF(SER_hh_emi_in!K16=0,0,1000000*SER_hh_emi_in!K16/SER_hh_num_in!K16)</f>
        <v>31.105867961369274</v>
      </c>
      <c r="L16" s="130">
        <f>IF(SER_hh_emi_in!L16=0,0,1000000*SER_hh_emi_in!L16/SER_hh_num_in!L16)</f>
        <v>50.659237733990771</v>
      </c>
      <c r="M16" s="130">
        <f>IF(SER_hh_emi_in!M16=0,0,1000000*SER_hh_emi_in!M16/SER_hh_num_in!M16)</f>
        <v>87.320191295084499</v>
      </c>
      <c r="N16" s="130">
        <f>IF(SER_hh_emi_in!N16=0,0,1000000*SER_hh_emi_in!N16/SER_hh_num_in!N16)</f>
        <v>160.03210520828097</v>
      </c>
      <c r="O16" s="130">
        <f>IF(SER_hh_emi_in!O16=0,0,1000000*SER_hh_emi_in!O16/SER_hh_num_in!O16)</f>
        <v>120.08816933303636</v>
      </c>
      <c r="P16" s="130">
        <f>IF(SER_hh_emi_in!P16=0,0,1000000*SER_hh_emi_in!P16/SER_hh_num_in!P16)</f>
        <v>86.325525009855596</v>
      </c>
      <c r="Q16" s="130">
        <f>IF(SER_hh_emi_in!Q16=0,0,1000000*SER_hh_emi_in!Q16/SER_hh_num_in!Q16)</f>
        <v>131.41096042452179</v>
      </c>
      <c r="R16" s="130">
        <f>IF(SER_hh_emi_in!R16=0,0,1000000*SER_hh_emi_in!R16/SER_hh_num_in!R16)</f>
        <v>86.801564565517367</v>
      </c>
      <c r="S16" s="130">
        <f>IF(SER_hh_emi_in!S16=0,0,1000000*SER_hh_emi_in!S16/SER_hh_num_in!S16)</f>
        <v>134.29894958257367</v>
      </c>
      <c r="T16" s="130">
        <f>IF(SER_hh_emi_in!T16=0,0,1000000*SER_hh_emi_in!T16/SER_hh_num_in!T16)</f>
        <v>115.8279857804467</v>
      </c>
      <c r="U16" s="130">
        <f>IF(SER_hh_emi_in!U16=0,0,1000000*SER_hh_emi_in!U16/SER_hh_num_in!U16)</f>
        <v>129.9778087186738</v>
      </c>
      <c r="V16" s="130">
        <f>IF(SER_hh_emi_in!V16=0,0,1000000*SER_hh_emi_in!V16/SER_hh_num_in!V16)</f>
        <v>108.53203449453379</v>
      </c>
      <c r="W16" s="130">
        <f>IF(SER_hh_emi_in!W16=0,0,1000000*SER_hh_emi_in!W16/SER_hh_num_in!W16)</f>
        <v>76.535694435542453</v>
      </c>
      <c r="X16" s="130">
        <f>IF(SER_hh_emi_in!X16=0,0,1000000*SER_hh_emi_in!X16/SER_hh_num_in!X16)</f>
        <v>136.09119415529275</v>
      </c>
      <c r="Y16" s="130">
        <f>IF(SER_hh_emi_in!Y16=0,0,1000000*SER_hh_emi_in!Y16/SER_hh_num_in!Y16)</f>
        <v>96.256351908608835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4171.0794322031234</v>
      </c>
      <c r="D17" s="132">
        <f>IF(SER_hh_emi_in!D17=0,0,1000000*SER_hh_emi_in!D17/SER_hh_num_in!D17)</f>
        <v>3887.4000803071885</v>
      </c>
      <c r="E17" s="132">
        <f>IF(SER_hh_emi_in!E17=0,0,1000000*SER_hh_emi_in!E17/SER_hh_num_in!E17)</f>
        <v>7575.5837236001607</v>
      </c>
      <c r="F17" s="132">
        <f>IF(SER_hh_emi_in!F17=0,0,1000000*SER_hh_emi_in!F17/SER_hh_num_in!F17)</f>
        <v>3835.024898382821</v>
      </c>
      <c r="G17" s="132">
        <f>IF(SER_hh_emi_in!G17=0,0,1000000*SER_hh_emi_in!G17/SER_hh_num_in!G17)</f>
        <v>3640.7804661439636</v>
      </c>
      <c r="H17" s="132">
        <f>IF(SER_hh_emi_in!H17=0,0,1000000*SER_hh_emi_in!H17/SER_hh_num_in!H17)</f>
        <v>4564.1777009347052</v>
      </c>
      <c r="I17" s="132">
        <f>IF(SER_hh_emi_in!I17=0,0,1000000*SER_hh_emi_in!I17/SER_hh_num_in!I17)</f>
        <v>3475.0608213835867</v>
      </c>
      <c r="J17" s="132">
        <f>IF(SER_hh_emi_in!J17=0,0,1000000*SER_hh_emi_in!J17/SER_hh_num_in!J17)</f>
        <v>3429.9336577130698</v>
      </c>
      <c r="K17" s="132">
        <f>IF(SER_hh_emi_in!K17=0,0,1000000*SER_hh_emi_in!K17/SER_hh_num_in!K17)</f>
        <v>3556.3354956231401</v>
      </c>
      <c r="L17" s="132">
        <f>IF(SER_hh_emi_in!L17=0,0,1000000*SER_hh_emi_in!L17/SER_hh_num_in!L17)</f>
        <v>3404.1336234803271</v>
      </c>
      <c r="M17" s="132">
        <f>IF(SER_hh_emi_in!M17=0,0,1000000*SER_hh_emi_in!M17/SER_hh_num_in!M17)</f>
        <v>3244.8855287844444</v>
      </c>
      <c r="N17" s="132">
        <f>IF(SER_hh_emi_in!N17=0,0,1000000*SER_hh_emi_in!N17/SER_hh_num_in!N17)</f>
        <v>3274.599188108969</v>
      </c>
      <c r="O17" s="132">
        <f>IF(SER_hh_emi_in!O17=0,0,1000000*SER_hh_emi_in!O17/SER_hh_num_in!O17)</f>
        <v>3113.2210912784899</v>
      </c>
      <c r="P17" s="132">
        <f>IF(SER_hh_emi_in!P17=0,0,1000000*SER_hh_emi_in!P17/SER_hh_num_in!P17)</f>
        <v>2598.1377330862347</v>
      </c>
      <c r="Q17" s="132">
        <f>IF(SER_hh_emi_in!Q17=0,0,1000000*SER_hh_emi_in!Q17/SER_hh_num_in!Q17)</f>
        <v>3313.5841814540072</v>
      </c>
      <c r="R17" s="132">
        <f>IF(SER_hh_emi_in!R17=0,0,1000000*SER_hh_emi_in!R17/SER_hh_num_in!R17)</f>
        <v>2783.2996085227724</v>
      </c>
      <c r="S17" s="132">
        <f>IF(SER_hh_emi_in!S17=0,0,1000000*SER_hh_emi_in!S17/SER_hh_num_in!S17)</f>
        <v>2850.9230453954374</v>
      </c>
      <c r="T17" s="132">
        <f>IF(SER_hh_emi_in!T17=0,0,1000000*SER_hh_emi_in!T17/SER_hh_num_in!T17)</f>
        <v>2659.0331286469823</v>
      </c>
      <c r="U17" s="132">
        <f>IF(SER_hh_emi_in!U17=0,0,1000000*SER_hh_emi_in!U17/SER_hh_num_in!U17)</f>
        <v>2530.2673686215421</v>
      </c>
      <c r="V17" s="132">
        <f>IF(SER_hh_emi_in!V17=0,0,1000000*SER_hh_emi_in!V17/SER_hh_num_in!V17)</f>
        <v>2273.5285239632353</v>
      </c>
      <c r="W17" s="132">
        <f>IF(SER_hh_emi_in!W17=0,0,1000000*SER_hh_emi_in!W17/SER_hh_num_in!W17)</f>
        <v>1611.7379766765489</v>
      </c>
      <c r="X17" s="132">
        <f>IF(SER_hh_emi_in!X17=0,0,1000000*SER_hh_emi_in!X17/SER_hh_num_in!X17)</f>
        <v>2399.3708506649655</v>
      </c>
      <c r="Y17" s="132">
        <f>IF(SER_hh_emi_in!Y17=0,0,1000000*SER_hh_emi_in!Y17/SER_hh_num_in!Y17)</f>
        <v>2220.5159630720855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2358.6767657623786</v>
      </c>
      <c r="D19" s="130">
        <f>IF(SER_hh_emi_in!D19=0,0,1000000*SER_hh_emi_in!D19/SER_hh_num_in!D19)</f>
        <v>2396.8077677891147</v>
      </c>
      <c r="E19" s="130">
        <f>IF(SER_hh_emi_in!E19=0,0,1000000*SER_hh_emi_in!E19/SER_hh_num_in!E19)</f>
        <v>2300.1497957580336</v>
      </c>
      <c r="F19" s="130">
        <f>IF(SER_hh_emi_in!F19=0,0,1000000*SER_hh_emi_in!F19/SER_hh_num_in!F19)</f>
        <v>1820.2048626073749</v>
      </c>
      <c r="G19" s="130">
        <f>IF(SER_hh_emi_in!G19=0,0,1000000*SER_hh_emi_in!G19/SER_hh_num_in!G19)</f>
        <v>1562.1372611806246</v>
      </c>
      <c r="H19" s="130">
        <f>IF(SER_hh_emi_in!H19=0,0,1000000*SER_hh_emi_in!H19/SER_hh_num_in!H19)</f>
        <v>1459.664291475405</v>
      </c>
      <c r="I19" s="130">
        <f>IF(SER_hh_emi_in!I19=0,0,1000000*SER_hh_emi_in!I19/SER_hh_num_in!I19)</f>
        <v>1471.2013674316629</v>
      </c>
      <c r="J19" s="130">
        <f>IF(SER_hh_emi_in!J19=0,0,1000000*SER_hh_emi_in!J19/SER_hh_num_in!J19)</f>
        <v>1707.9906557319671</v>
      </c>
      <c r="K19" s="130">
        <f>IF(SER_hh_emi_in!K19=0,0,1000000*SER_hh_emi_in!K19/SER_hh_num_in!K19)</f>
        <v>2102.0845065270837</v>
      </c>
      <c r="L19" s="130">
        <f>IF(SER_hh_emi_in!L19=0,0,1000000*SER_hh_emi_in!L19/SER_hh_num_in!L19)</f>
        <v>1528.062473352473</v>
      </c>
      <c r="M19" s="130">
        <f>IF(SER_hh_emi_in!M19=0,0,1000000*SER_hh_emi_in!M19/SER_hh_num_in!M19)</f>
        <v>1658.496143928947</v>
      </c>
      <c r="N19" s="130">
        <f>IF(SER_hh_emi_in!N19=0,0,1000000*SER_hh_emi_in!N19/SER_hh_num_in!N19)</f>
        <v>2054.4303304606615</v>
      </c>
      <c r="O19" s="130">
        <f>IF(SER_hh_emi_in!O19=0,0,1000000*SER_hh_emi_in!O19/SER_hh_num_in!O19)</f>
        <v>2163.2374760947955</v>
      </c>
      <c r="P19" s="130">
        <f>IF(SER_hh_emi_in!P19=0,0,1000000*SER_hh_emi_in!P19/SER_hh_num_in!P19)</f>
        <v>2000.0474030310263</v>
      </c>
      <c r="Q19" s="130">
        <f>IF(SER_hh_emi_in!Q19=0,0,1000000*SER_hh_emi_in!Q19/SER_hh_num_in!Q19)</f>
        <v>1516.8990530383592</v>
      </c>
      <c r="R19" s="130">
        <f>IF(SER_hh_emi_in!R19=0,0,1000000*SER_hh_emi_in!R19/SER_hh_num_in!R19)</f>
        <v>955.42284727730464</v>
      </c>
      <c r="S19" s="130">
        <f>IF(SER_hh_emi_in!S19=0,0,1000000*SER_hh_emi_in!S19/SER_hh_num_in!S19)</f>
        <v>938.14366271664653</v>
      </c>
      <c r="T19" s="130">
        <f>IF(SER_hh_emi_in!T19=0,0,1000000*SER_hh_emi_in!T19/SER_hh_num_in!T19)</f>
        <v>753.16953545278409</v>
      </c>
      <c r="U19" s="130">
        <f>IF(SER_hh_emi_in!U19=0,0,1000000*SER_hh_emi_in!U19/SER_hh_num_in!U19)</f>
        <v>1024.4628599574423</v>
      </c>
      <c r="V19" s="130">
        <f>IF(SER_hh_emi_in!V19=0,0,1000000*SER_hh_emi_in!V19/SER_hh_num_in!V19)</f>
        <v>1232.1316682932877</v>
      </c>
      <c r="W19" s="130">
        <f>IF(SER_hh_emi_in!W19=0,0,1000000*SER_hh_emi_in!W19/SER_hh_num_in!W19)</f>
        <v>782.59175326316824</v>
      </c>
      <c r="X19" s="130">
        <f>IF(SER_hh_emi_in!X19=0,0,1000000*SER_hh_emi_in!X19/SER_hh_num_in!X19)</f>
        <v>1413.1912200892989</v>
      </c>
      <c r="Y19" s="130">
        <f>IF(SER_hh_emi_in!Y19=0,0,1000000*SER_hh_emi_in!Y19/SER_hh_num_in!Y19)</f>
        <v>1208.1599536596179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5769.4431483120325</v>
      </c>
      <c r="D21" s="132">
        <f>IF(SER_hh_emi_in!D21=0,0,1000000*SER_hh_emi_in!D21/SER_hh_num_in!D21)</f>
        <v>5876.972764089599</v>
      </c>
      <c r="E21" s="132">
        <f>IF(SER_hh_emi_in!E21=0,0,1000000*SER_hh_emi_in!E21/SER_hh_num_in!E21)</f>
        <v>5880.6901394444558</v>
      </c>
      <c r="F21" s="132">
        <f>IF(SER_hh_emi_in!F21=0,0,1000000*SER_hh_emi_in!F21/SER_hh_num_in!F21)</f>
        <v>5807.000372716725</v>
      </c>
      <c r="G21" s="132">
        <f>IF(SER_hh_emi_in!G21=0,0,1000000*SER_hh_emi_in!G21/SER_hh_num_in!G21)</f>
        <v>5430.0532969038195</v>
      </c>
      <c r="H21" s="132">
        <f>IF(SER_hh_emi_in!H21=0,0,1000000*SER_hh_emi_in!H21/SER_hh_num_in!H21)</f>
        <v>5577.3017580646656</v>
      </c>
      <c r="I21" s="132">
        <f>IF(SER_hh_emi_in!I21=0,0,1000000*SER_hh_emi_in!I21/SER_hh_num_in!I21)</f>
        <v>5527.4849146556453</v>
      </c>
      <c r="J21" s="132">
        <f>IF(SER_hh_emi_in!J21=0,0,1000000*SER_hh_emi_in!J21/SER_hh_num_in!J21)</f>
        <v>5524.3742215931788</v>
      </c>
      <c r="K21" s="132">
        <f>IF(SER_hh_emi_in!K21=0,0,1000000*SER_hh_emi_in!K21/SER_hh_num_in!K21)</f>
        <v>5774.841387840479</v>
      </c>
      <c r="L21" s="132">
        <f>IF(SER_hh_emi_in!L21=0,0,1000000*SER_hh_emi_in!L21/SER_hh_num_in!L21)</f>
        <v>5498.2023035693865</v>
      </c>
      <c r="M21" s="132">
        <f>IF(SER_hh_emi_in!M21=0,0,1000000*SER_hh_emi_in!M21/SER_hh_num_in!M21)</f>
        <v>0</v>
      </c>
      <c r="N21" s="132">
        <f>IF(SER_hh_emi_in!N21=0,0,1000000*SER_hh_emi_in!N21/SER_hh_num_in!N21)</f>
        <v>5492.6125900759334</v>
      </c>
      <c r="O21" s="132">
        <f>IF(SER_hh_emi_in!O21=0,0,1000000*SER_hh_emi_in!O21/SER_hh_num_in!O21)</f>
        <v>5164.9224461333988</v>
      </c>
      <c r="P21" s="132">
        <f>IF(SER_hh_emi_in!P21=0,0,1000000*SER_hh_emi_in!P21/SER_hh_num_in!P21)</f>
        <v>4672.2258292870138</v>
      </c>
      <c r="Q21" s="132">
        <f>IF(SER_hh_emi_in!Q21=0,0,1000000*SER_hh_emi_in!Q21/SER_hh_num_in!Q21)</f>
        <v>4621.4077737391999</v>
      </c>
      <c r="R21" s="132">
        <f>IF(SER_hh_emi_in!R21=0,0,1000000*SER_hh_emi_in!R21/SER_hh_num_in!R21)</f>
        <v>4550.8475457420946</v>
      </c>
      <c r="S21" s="132">
        <f>IF(SER_hh_emi_in!S21=0,0,1000000*SER_hh_emi_in!S21/SER_hh_num_in!S21)</f>
        <v>4647.2461723557462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3933.5348906200729</v>
      </c>
      <c r="Y21" s="132">
        <f>IF(SER_hh_emi_in!Y21=0,0,1000000*SER_hh_emi_in!Y21/SER_hh_num_in!Y21)</f>
        <v>3875.9447046230853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7336.2858491667057</v>
      </c>
      <c r="D22" s="132">
        <f>IF(SER_hh_emi_in!D22=0,0,1000000*SER_hh_emi_in!D22/SER_hh_num_in!D22)</f>
        <v>7194.1941324605878</v>
      </c>
      <c r="E22" s="132">
        <f>IF(SER_hh_emi_in!E22=0,0,1000000*SER_hh_emi_in!E22/SER_hh_num_in!E22)</f>
        <v>7094.3309024398022</v>
      </c>
      <c r="F22" s="132">
        <f>IF(SER_hh_emi_in!F22=0,0,1000000*SER_hh_emi_in!F22/SER_hh_num_in!F22)</f>
        <v>7170.2140855485013</v>
      </c>
      <c r="G22" s="132">
        <f>IF(SER_hh_emi_in!G22=0,0,1000000*SER_hh_emi_in!G22/SER_hh_num_in!G22)</f>
        <v>7012.9323433168529</v>
      </c>
      <c r="H22" s="132">
        <f>IF(SER_hh_emi_in!H22=0,0,1000000*SER_hh_emi_in!H22/SER_hh_num_in!H22)</f>
        <v>6891.0890132668683</v>
      </c>
      <c r="I22" s="132">
        <f>IF(SER_hh_emi_in!I22=0,0,1000000*SER_hh_emi_in!I22/SER_hh_num_in!I22)</f>
        <v>6637.4142085401199</v>
      </c>
      <c r="J22" s="132">
        <f>IF(SER_hh_emi_in!J22=0,0,1000000*SER_hh_emi_in!J22/SER_hh_num_in!J22)</f>
        <v>6832.1245268621969</v>
      </c>
      <c r="K22" s="132">
        <f>IF(SER_hh_emi_in!K22=0,0,1000000*SER_hh_emi_in!K22/SER_hh_num_in!K22)</f>
        <v>6890.0035453543205</v>
      </c>
      <c r="L22" s="132">
        <f>IF(SER_hh_emi_in!L22=0,0,1000000*SER_hh_emi_in!L22/SER_hh_num_in!L22)</f>
        <v>6575.2615285016664</v>
      </c>
      <c r="M22" s="132">
        <f>IF(SER_hh_emi_in!M22=0,0,1000000*SER_hh_emi_in!M22/SER_hh_num_in!M22)</f>
        <v>6171.7312004172245</v>
      </c>
      <c r="N22" s="132">
        <f>IF(SER_hh_emi_in!N22=0,0,1000000*SER_hh_emi_in!N22/SER_hh_num_in!N22)</f>
        <v>6181.8875447046557</v>
      </c>
      <c r="O22" s="132">
        <f>IF(SER_hh_emi_in!O22=0,0,1000000*SER_hh_emi_in!O22/SER_hh_num_in!O22)</f>
        <v>5808.1861499813758</v>
      </c>
      <c r="P22" s="132">
        <f>IF(SER_hh_emi_in!P22=0,0,1000000*SER_hh_emi_in!P22/SER_hh_num_in!P22)</f>
        <v>6393.6591345567222</v>
      </c>
      <c r="Q22" s="132">
        <f>IF(SER_hh_emi_in!Q22=0,0,1000000*SER_hh_emi_in!Q22/SER_hh_num_in!Q22)</f>
        <v>5725.4616728763476</v>
      </c>
      <c r="R22" s="132">
        <f>IF(SER_hh_emi_in!R22=0,0,1000000*SER_hh_emi_in!R22/SER_hh_num_in!R22)</f>
        <v>0</v>
      </c>
      <c r="S22" s="132">
        <f>IF(SER_hh_emi_in!S22=0,0,1000000*SER_hh_emi_in!S22/SER_hh_num_in!S22)</f>
        <v>5544.2806049091632</v>
      </c>
      <c r="T22" s="132">
        <f>IF(SER_hh_emi_in!T22=0,0,1000000*SER_hh_emi_in!T22/SER_hh_num_in!T22)</f>
        <v>4921.0450967394536</v>
      </c>
      <c r="U22" s="132">
        <f>IF(SER_hh_emi_in!U22=0,0,1000000*SER_hh_emi_in!U22/SER_hh_num_in!U22)</f>
        <v>4583.8523686500348</v>
      </c>
      <c r="V22" s="132">
        <f>IF(SER_hh_emi_in!V22=0,0,1000000*SER_hh_emi_in!V22/SER_hh_num_in!V22)</f>
        <v>4920.9899064837082</v>
      </c>
      <c r="W22" s="132">
        <f>IF(SER_hh_emi_in!W22=0,0,1000000*SER_hh_emi_in!W22/SER_hh_num_in!W22)</f>
        <v>3983.0633837877376</v>
      </c>
      <c r="X22" s="132">
        <f>IF(SER_hh_emi_in!X22=0,0,1000000*SER_hh_emi_in!X22/SER_hh_num_in!X22)</f>
        <v>5051.9465209516266</v>
      </c>
      <c r="Y22" s="132">
        <f>IF(SER_hh_emi_in!Y22=0,0,1000000*SER_hh_emi_in!Y22/SER_hh_num_in!Y22)</f>
        <v>4405.1883421705661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5029.3215162807246</v>
      </c>
      <c r="D23" s="132">
        <f>IF(SER_hh_emi_in!D23=0,0,1000000*SER_hh_emi_in!D23/SER_hh_num_in!D23)</f>
        <v>4911.0945506270491</v>
      </c>
      <c r="E23" s="132">
        <f>IF(SER_hh_emi_in!E23=0,0,1000000*SER_hh_emi_in!E23/SER_hh_num_in!E23)</f>
        <v>4957.7633935490358</v>
      </c>
      <c r="F23" s="132">
        <f>IF(SER_hh_emi_in!F23=0,0,1000000*SER_hh_emi_in!F23/SER_hh_num_in!F23)</f>
        <v>4957.7377942869289</v>
      </c>
      <c r="G23" s="132">
        <f>IF(SER_hh_emi_in!G23=0,0,1000000*SER_hh_emi_in!G23/SER_hh_num_in!G23)</f>
        <v>4654.5235549066983</v>
      </c>
      <c r="H23" s="132">
        <f>IF(SER_hh_emi_in!H23=0,0,1000000*SER_hh_emi_in!H23/SER_hh_num_in!H23)</f>
        <v>4585.9303695346343</v>
      </c>
      <c r="I23" s="132">
        <f>IF(SER_hh_emi_in!I23=0,0,1000000*SER_hh_emi_in!I23/SER_hh_num_in!I23)</f>
        <v>4567.1005056705544</v>
      </c>
      <c r="J23" s="132">
        <f>IF(SER_hh_emi_in!J23=0,0,1000000*SER_hh_emi_in!J23/SER_hh_num_in!J23)</f>
        <v>4448.7095148204471</v>
      </c>
      <c r="K23" s="132">
        <f>IF(SER_hh_emi_in!K23=0,0,1000000*SER_hh_emi_in!K23/SER_hh_num_in!K23)</f>
        <v>4691.141916015622</v>
      </c>
      <c r="L23" s="132">
        <f>IF(SER_hh_emi_in!L23=0,0,1000000*SER_hh_emi_in!L23/SER_hh_num_in!L23)</f>
        <v>4438.4423372877209</v>
      </c>
      <c r="M23" s="132">
        <f>IF(SER_hh_emi_in!M23=0,0,1000000*SER_hh_emi_in!M23/SER_hh_num_in!M23)</f>
        <v>4804.8275249324743</v>
      </c>
      <c r="N23" s="132">
        <f>IF(SER_hh_emi_in!N23=0,0,1000000*SER_hh_emi_in!N23/SER_hh_num_in!N23)</f>
        <v>3612.0230781111741</v>
      </c>
      <c r="O23" s="132">
        <f>IF(SER_hh_emi_in!O23=0,0,1000000*SER_hh_emi_in!O23/SER_hh_num_in!O23)</f>
        <v>3874.0818638118817</v>
      </c>
      <c r="P23" s="132">
        <f>IF(SER_hh_emi_in!P23=0,0,1000000*SER_hh_emi_in!P23/SER_hh_num_in!P23)</f>
        <v>4007.7025727780565</v>
      </c>
      <c r="Q23" s="132">
        <f>IF(SER_hh_emi_in!Q23=0,0,1000000*SER_hh_emi_in!Q23/SER_hh_num_in!Q23)</f>
        <v>3722.3754884741575</v>
      </c>
      <c r="R23" s="132">
        <f>IF(SER_hh_emi_in!R23=0,0,1000000*SER_hh_emi_in!R23/SER_hh_num_in!R23)</f>
        <v>3966.8554754336001</v>
      </c>
      <c r="S23" s="132">
        <f>IF(SER_hh_emi_in!S23=0,0,1000000*SER_hh_emi_in!S23/SER_hh_num_in!S23)</f>
        <v>3700.7747379966445</v>
      </c>
      <c r="T23" s="132">
        <f>IF(SER_hh_emi_in!T23=0,0,1000000*SER_hh_emi_in!T23/SER_hh_num_in!T23)</f>
        <v>3649.7396263422861</v>
      </c>
      <c r="U23" s="132">
        <f>IF(SER_hh_emi_in!U23=0,0,1000000*SER_hh_emi_in!U23/SER_hh_num_in!U23)</f>
        <v>3495.8466252365051</v>
      </c>
      <c r="V23" s="132">
        <f>IF(SER_hh_emi_in!V23=0,0,1000000*SER_hh_emi_in!V23/SER_hh_num_in!V23)</f>
        <v>3040.5522465013573</v>
      </c>
      <c r="W23" s="132">
        <f>IF(SER_hh_emi_in!W23=0,0,1000000*SER_hh_emi_in!W23/SER_hh_num_in!W23)</f>
        <v>3683.7855625039151</v>
      </c>
      <c r="X23" s="132">
        <f>IF(SER_hh_emi_in!X23=0,0,1000000*SER_hh_emi_in!X23/SER_hh_num_in!X23)</f>
        <v>3427.479857165943</v>
      </c>
      <c r="Y23" s="132">
        <f>IF(SER_hh_emi_in!Y23=0,0,1000000*SER_hh_emi_in!Y23/SER_hh_num_in!Y23)</f>
        <v>3330.8621488334666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5309.3011420979319</v>
      </c>
      <c r="D24" s="132">
        <f>IF(SER_hh_emi_in!D24=0,0,1000000*SER_hh_emi_in!D24/SER_hh_num_in!D24)</f>
        <v>5087.3134160732707</v>
      </c>
      <c r="E24" s="132">
        <f>IF(SER_hh_emi_in!E24=0,0,1000000*SER_hh_emi_in!E24/SER_hh_num_in!E24)</f>
        <v>4858.4673817508883</v>
      </c>
      <c r="F24" s="132">
        <f>IF(SER_hh_emi_in!F24=0,0,1000000*SER_hh_emi_in!F24/SER_hh_num_in!F24)</f>
        <v>4822.0562303414945</v>
      </c>
      <c r="G24" s="132">
        <f>IF(SER_hh_emi_in!G24=0,0,1000000*SER_hh_emi_in!G24/SER_hh_num_in!G24)</f>
        <v>1974.70266517189</v>
      </c>
      <c r="H24" s="132">
        <f>IF(SER_hh_emi_in!H24=0,0,1000000*SER_hh_emi_in!H24/SER_hh_num_in!H24)</f>
        <v>2186.4998652360737</v>
      </c>
      <c r="I24" s="132">
        <f>IF(SER_hh_emi_in!I24=0,0,1000000*SER_hh_emi_in!I24/SER_hh_num_in!I24)</f>
        <v>2630.924487013805</v>
      </c>
      <c r="J24" s="132">
        <f>IF(SER_hh_emi_in!J24=0,0,1000000*SER_hh_emi_in!J24/SER_hh_num_in!J24)</f>
        <v>2584.2892065441542</v>
      </c>
      <c r="K24" s="132">
        <f>IF(SER_hh_emi_in!K24=0,0,1000000*SER_hh_emi_in!K24/SER_hh_num_in!K24)</f>
        <v>2899.7811265169476</v>
      </c>
      <c r="L24" s="132">
        <f>IF(SER_hh_emi_in!L24=0,0,1000000*SER_hh_emi_in!L24/SER_hh_num_in!L24)</f>
        <v>3091.8801730263863</v>
      </c>
      <c r="M24" s="132">
        <f>IF(SER_hh_emi_in!M24=0,0,1000000*SER_hh_emi_in!M24/SER_hh_num_in!M24)</f>
        <v>0</v>
      </c>
      <c r="N24" s="132">
        <f>IF(SER_hh_emi_in!N24=0,0,1000000*SER_hh_emi_in!N24/SER_hh_num_in!N24)</f>
        <v>1587.9795725008382</v>
      </c>
      <c r="O24" s="132">
        <f>IF(SER_hh_emi_in!O24=0,0,1000000*SER_hh_emi_in!O24/SER_hh_num_in!O24)</f>
        <v>1909.0461935286366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1243.3769896097931</v>
      </c>
      <c r="S24" s="132">
        <f>IF(SER_hh_emi_in!S24=0,0,1000000*SER_hh_emi_in!S24/SER_hh_num_in!S24)</f>
        <v>1303.2980675806616</v>
      </c>
      <c r="T24" s="132">
        <f>IF(SER_hh_emi_in!T24=0,0,1000000*SER_hh_emi_in!T24/SER_hh_num_in!T24)</f>
        <v>1068.9297741735345</v>
      </c>
      <c r="U24" s="132">
        <f>IF(SER_hh_emi_in!U24=0,0,1000000*SER_hh_emi_in!U24/SER_hh_num_in!U24)</f>
        <v>1020.9537302669959</v>
      </c>
      <c r="V24" s="132">
        <f>IF(SER_hh_emi_in!V24=0,0,1000000*SER_hh_emi_in!V24/SER_hh_num_in!V24)</f>
        <v>1213.4369938823006</v>
      </c>
      <c r="W24" s="132">
        <f>IF(SER_hh_emi_in!W24=0,0,1000000*SER_hh_emi_in!W24/SER_hh_num_in!W24)</f>
        <v>1201.3764397437164</v>
      </c>
      <c r="X24" s="132">
        <f>IF(SER_hh_emi_in!X24=0,0,1000000*SER_hh_emi_in!X24/SER_hh_num_in!X24)</f>
        <v>1850.9255494964914</v>
      </c>
      <c r="Y24" s="132">
        <f>IF(SER_hh_emi_in!Y24=0,0,1000000*SER_hh_emi_in!Y24/SER_hh_num_in!Y24)</f>
        <v>1583.1169105995552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1858.3431957999658</v>
      </c>
      <c r="D29" s="130">
        <f>IF(SER_hh_emi_in!D29=0,0,1000000*SER_hh_emi_in!D29/SER_hh_num_in!D29)</f>
        <v>5100.2325099717827</v>
      </c>
      <c r="E29" s="130">
        <f>IF(SER_hh_emi_in!E29=0,0,1000000*SER_hh_emi_in!E29/SER_hh_num_in!E29)</f>
        <v>3413.8394150459144</v>
      </c>
      <c r="F29" s="130">
        <f>IF(SER_hh_emi_in!F29=0,0,1000000*SER_hh_emi_in!F29/SER_hh_num_in!F29)</f>
        <v>1553.4595600628593</v>
      </c>
      <c r="G29" s="130">
        <f>IF(SER_hh_emi_in!G29=0,0,1000000*SER_hh_emi_in!G29/SER_hh_num_in!G29)</f>
        <v>247.76377610097794</v>
      </c>
      <c r="H29" s="130">
        <f>IF(SER_hh_emi_in!H29=0,0,1000000*SER_hh_emi_in!H29/SER_hh_num_in!H29)</f>
        <v>0</v>
      </c>
      <c r="I29" s="130">
        <f>IF(SER_hh_emi_in!I29=0,0,1000000*SER_hh_emi_in!I29/SER_hh_num_in!I29)</f>
        <v>1522.4905516885358</v>
      </c>
      <c r="J29" s="130">
        <f>IF(SER_hh_emi_in!J29=0,0,1000000*SER_hh_emi_in!J29/SER_hh_num_in!J29)</f>
        <v>2744.1929681216734</v>
      </c>
      <c r="K29" s="130">
        <f>IF(SER_hh_emi_in!K29=0,0,1000000*SER_hh_emi_in!K29/SER_hh_num_in!K29)</f>
        <v>3530.4554303362856</v>
      </c>
      <c r="L29" s="130">
        <f>IF(SER_hh_emi_in!L29=0,0,1000000*SER_hh_emi_in!L29/SER_hh_num_in!L29)</f>
        <v>2387.3950068031859</v>
      </c>
      <c r="M29" s="130">
        <f>IF(SER_hh_emi_in!M29=0,0,1000000*SER_hh_emi_in!M29/SER_hh_num_in!M29)</f>
        <v>1246.5428175562124</v>
      </c>
      <c r="N29" s="130">
        <f>IF(SER_hh_emi_in!N29=0,0,1000000*SER_hh_emi_in!N29/SER_hh_num_in!N29)</f>
        <v>966.53371338538477</v>
      </c>
      <c r="O29" s="130">
        <f>IF(SER_hh_emi_in!O29=0,0,1000000*SER_hh_emi_in!O29/SER_hh_num_in!O29)</f>
        <v>2076.3266012449844</v>
      </c>
      <c r="P29" s="130">
        <f>IF(SER_hh_emi_in!P29=0,0,1000000*SER_hh_emi_in!P29/SER_hh_num_in!P29)</f>
        <v>2557.689995751628</v>
      </c>
      <c r="Q29" s="130">
        <f>IF(SER_hh_emi_in!Q29=0,0,1000000*SER_hh_emi_in!Q29/SER_hh_num_in!Q29)</f>
        <v>2667.2786214961106</v>
      </c>
      <c r="R29" s="130">
        <f>IF(SER_hh_emi_in!R29=0,0,1000000*SER_hh_emi_in!R29/SER_hh_num_in!R29)</f>
        <v>1413.9156161422468</v>
      </c>
      <c r="S29" s="130">
        <f>IF(SER_hh_emi_in!S29=0,0,1000000*SER_hh_emi_in!S29/SER_hh_num_in!S29)</f>
        <v>1707.9463862880827</v>
      </c>
      <c r="T29" s="130">
        <f>IF(SER_hh_emi_in!T29=0,0,1000000*SER_hh_emi_in!T29/SER_hh_num_in!T29)</f>
        <v>1702.225803347586</v>
      </c>
      <c r="U29" s="130">
        <f>IF(SER_hh_emi_in!U29=0,0,1000000*SER_hh_emi_in!U29/SER_hh_num_in!U29)</f>
        <v>2389.2125074423716</v>
      </c>
      <c r="V29" s="130">
        <f>IF(SER_hh_emi_in!V29=0,0,1000000*SER_hh_emi_in!V29/SER_hh_num_in!V29)</f>
        <v>1918.8486111926645</v>
      </c>
      <c r="W29" s="130">
        <f>IF(SER_hh_emi_in!W29=0,0,1000000*SER_hh_emi_in!W29/SER_hh_num_in!W29)</f>
        <v>1428.1167324907058</v>
      </c>
      <c r="X29" s="130">
        <f>IF(SER_hh_emi_in!X29=0,0,1000000*SER_hh_emi_in!X29/SER_hh_num_in!X29)</f>
        <v>1050.5632545275664</v>
      </c>
      <c r="Y29" s="130">
        <f>IF(SER_hh_emi_in!Y29=0,0,1000000*SER_hh_emi_in!Y29/SER_hh_num_in!Y29)</f>
        <v>1129.5479067059125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2502.6787253550551</v>
      </c>
      <c r="D30" s="132">
        <f>IF(SER_hh_emi_in!D30=0,0,1000000*SER_hh_emi_in!D30/SER_hh_num_in!D30)</f>
        <v>6110.0743934409684</v>
      </c>
      <c r="E30" s="132">
        <f>IF(SER_hh_emi_in!E30=0,0,1000000*SER_hh_emi_in!E30/SER_hh_num_in!E30)</f>
        <v>6035.8864692955312</v>
      </c>
      <c r="F30" s="132">
        <f>IF(SER_hh_emi_in!F30=0,0,1000000*SER_hh_emi_in!F30/SER_hh_num_in!F30)</f>
        <v>6627.3477803624628</v>
      </c>
      <c r="G30" s="132">
        <f>IF(SER_hh_emi_in!G30=0,0,1000000*SER_hh_emi_in!G30/SER_hh_num_in!G30)</f>
        <v>5464.2642098784218</v>
      </c>
      <c r="H30" s="132">
        <f>IF(SER_hh_emi_in!H30=0,0,1000000*SER_hh_emi_in!H30/SER_hh_num_in!H30)</f>
        <v>0</v>
      </c>
      <c r="I30" s="132">
        <f>IF(SER_hh_emi_in!I30=0,0,1000000*SER_hh_emi_in!I30/SER_hh_num_in!I30)</f>
        <v>5456.7834969399046</v>
      </c>
      <c r="J30" s="132">
        <f>IF(SER_hh_emi_in!J30=0,0,1000000*SER_hh_emi_in!J30/SER_hh_num_in!J30)</f>
        <v>6017.0726454404612</v>
      </c>
      <c r="K30" s="132">
        <f>IF(SER_hh_emi_in!K30=0,0,1000000*SER_hh_emi_in!K30/SER_hh_num_in!K30)</f>
        <v>5939.4623016213573</v>
      </c>
      <c r="L30" s="132">
        <f>IF(SER_hh_emi_in!L30=0,0,1000000*SER_hh_emi_in!L30/SER_hh_num_in!L30)</f>
        <v>6689.7671804421234</v>
      </c>
      <c r="M30" s="132">
        <f>IF(SER_hh_emi_in!M30=0,0,1000000*SER_hh_emi_in!M30/SER_hh_num_in!M30)</f>
        <v>0</v>
      </c>
      <c r="N30" s="132">
        <f>IF(SER_hh_emi_in!N30=0,0,1000000*SER_hh_emi_in!N30/SER_hh_num_in!N30)</f>
        <v>6418.2662202030342</v>
      </c>
      <c r="O30" s="132">
        <f>IF(SER_hh_emi_in!O30=0,0,1000000*SER_hh_emi_in!O30/SER_hh_num_in!O30)</f>
        <v>5760.8616086946986</v>
      </c>
      <c r="P30" s="132">
        <f>IF(SER_hh_emi_in!P30=0,0,1000000*SER_hh_emi_in!P30/SER_hh_num_in!P30)</f>
        <v>5517.4051709625683</v>
      </c>
      <c r="Q30" s="132">
        <f>IF(SER_hh_emi_in!Q30=0,0,1000000*SER_hh_emi_in!Q30/SER_hh_num_in!Q30)</f>
        <v>6476.4729679501361</v>
      </c>
      <c r="R30" s="132">
        <f>IF(SER_hh_emi_in!R30=0,0,1000000*SER_hh_emi_in!R30/SER_hh_num_in!R30)</f>
        <v>5958.972243083238</v>
      </c>
      <c r="S30" s="132">
        <f>IF(SER_hh_emi_in!S30=0,0,1000000*SER_hh_emi_in!S30/SER_hh_num_in!S30)</f>
        <v>6337.3439127320344</v>
      </c>
      <c r="T30" s="132">
        <f>IF(SER_hh_emi_in!T30=0,0,1000000*SER_hh_emi_in!T30/SER_hh_num_in!T30)</f>
        <v>6074.2859764331915</v>
      </c>
      <c r="U30" s="132">
        <f>IF(SER_hh_emi_in!U30=0,0,1000000*SER_hh_emi_in!U30/SER_hh_num_in!U30)</f>
        <v>6582.0294366691323</v>
      </c>
      <c r="V30" s="132">
        <f>IF(SER_hh_emi_in!V30=0,0,1000000*SER_hh_emi_in!V30/SER_hh_num_in!V30)</f>
        <v>6006.1659972723064</v>
      </c>
      <c r="W30" s="132">
        <f>IF(SER_hh_emi_in!W30=0,0,1000000*SER_hh_emi_in!W30/SER_hh_num_in!W30)</f>
        <v>0</v>
      </c>
      <c r="X30" s="132">
        <f>IF(SER_hh_emi_in!X30=0,0,1000000*SER_hh_emi_in!X30/SER_hh_num_in!X30)</f>
        <v>0</v>
      </c>
      <c r="Y30" s="132">
        <f>IF(SER_hh_emi_in!Y30=0,0,1000000*SER_hh_emi_in!Y30/SER_hh_num_in!Y30)</f>
        <v>6135.7282066450243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4776.0495025833843</v>
      </c>
      <c r="D31" s="132">
        <f>IF(SER_hh_emi_in!D31=0,0,1000000*SER_hh_emi_in!D31/SER_hh_num_in!D31)</f>
        <v>4744.988179635403</v>
      </c>
      <c r="E31" s="132">
        <f>IF(SER_hh_emi_in!E31=0,0,1000000*SER_hh_emi_in!E31/SER_hh_num_in!E31)</f>
        <v>4953.9811104285054</v>
      </c>
      <c r="F31" s="132">
        <f>IF(SER_hh_emi_in!F31=0,0,1000000*SER_hh_emi_in!F31/SER_hh_num_in!F31)</f>
        <v>5367.106791643856</v>
      </c>
      <c r="G31" s="132">
        <f>IF(SER_hh_emi_in!G31=0,0,1000000*SER_hh_emi_in!G31/SER_hh_num_in!G31)</f>
        <v>0</v>
      </c>
      <c r="H31" s="132">
        <f>IF(SER_hh_emi_in!H31=0,0,1000000*SER_hh_emi_in!H31/SER_hh_num_in!H31)</f>
        <v>0</v>
      </c>
      <c r="I31" s="132">
        <f>IF(SER_hh_emi_in!I31=0,0,1000000*SER_hh_emi_in!I31/SER_hh_num_in!I31)</f>
        <v>4767.9036400987825</v>
      </c>
      <c r="J31" s="132">
        <f>IF(SER_hh_emi_in!J31=0,0,1000000*SER_hh_emi_in!J31/SER_hh_num_in!J31)</f>
        <v>4446.4228422467231</v>
      </c>
      <c r="K31" s="132">
        <f>IF(SER_hh_emi_in!K31=0,0,1000000*SER_hh_emi_in!K31/SER_hh_num_in!K31)</f>
        <v>5583.1420380422833</v>
      </c>
      <c r="L31" s="132">
        <f>IF(SER_hh_emi_in!L31=0,0,1000000*SER_hh_emi_in!L31/SER_hh_num_in!L31)</f>
        <v>5179.2653175342066</v>
      </c>
      <c r="M31" s="132">
        <f>IF(SER_hh_emi_in!M31=0,0,1000000*SER_hh_emi_in!M31/SER_hh_num_in!M31)</f>
        <v>5175.4532952044228</v>
      </c>
      <c r="N31" s="132">
        <f>IF(SER_hh_emi_in!N31=0,0,1000000*SER_hh_emi_in!N31/SER_hh_num_in!N31)</f>
        <v>4878.4737057441225</v>
      </c>
      <c r="O31" s="132">
        <f>IF(SER_hh_emi_in!O31=0,0,1000000*SER_hh_emi_in!O31/SER_hh_num_in!O31)</f>
        <v>5151.9641518136195</v>
      </c>
      <c r="P31" s="132">
        <f>IF(SER_hh_emi_in!P31=0,0,1000000*SER_hh_emi_in!P31/SER_hh_num_in!P31)</f>
        <v>5389.8264159078699</v>
      </c>
      <c r="Q31" s="132">
        <f>IF(SER_hh_emi_in!Q31=0,0,1000000*SER_hh_emi_in!Q31/SER_hh_num_in!Q31)</f>
        <v>5503.7268119199616</v>
      </c>
      <c r="R31" s="132">
        <f>IF(SER_hh_emi_in!R31=0,0,1000000*SER_hh_emi_in!R31/SER_hh_num_in!R31)</f>
        <v>5216.2128989717266</v>
      </c>
      <c r="S31" s="132">
        <f>IF(SER_hh_emi_in!S31=0,0,1000000*SER_hh_emi_in!S31/SER_hh_num_in!S31)</f>
        <v>5253.8566078269714</v>
      </c>
      <c r="T31" s="132">
        <f>IF(SER_hh_emi_in!T31=0,0,1000000*SER_hh_emi_in!T31/SER_hh_num_in!T31)</f>
        <v>5294.0480731378066</v>
      </c>
      <c r="U31" s="132">
        <f>IF(SER_hh_emi_in!U31=0,0,1000000*SER_hh_emi_in!U31/SER_hh_num_in!U31)</f>
        <v>4987.5818805291883</v>
      </c>
      <c r="V31" s="132">
        <f>IF(SER_hh_emi_in!V31=0,0,1000000*SER_hh_emi_in!V31/SER_hh_num_in!V31)</f>
        <v>4375.1286207020139</v>
      </c>
      <c r="W31" s="132">
        <f>IF(SER_hh_emi_in!W31=0,0,1000000*SER_hh_emi_in!W31/SER_hh_num_in!W31)</f>
        <v>6125.8370070480705</v>
      </c>
      <c r="X31" s="132">
        <f>IF(SER_hh_emi_in!X31=0,0,1000000*SER_hh_emi_in!X31/SER_hh_num_in!X31)</f>
        <v>5116.4805917137792</v>
      </c>
      <c r="Y31" s="132">
        <f>IF(SER_hh_emi_in!Y31=0,0,1000000*SER_hh_emi_in!Y31/SER_hh_num_in!Y31)</f>
        <v>4810.8736436735981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218.03729396081448</v>
      </c>
      <c r="D3" s="125">
        <f>IF(SER_hh_fech_in!D3=0,0,SER_hh_fech_in!D3/SER_summary!D$27)</f>
        <v>211.2677988883764</v>
      </c>
      <c r="E3" s="125">
        <f>IF(SER_hh_fech_in!E3=0,0,SER_hh_fech_in!E3/SER_summary!E$27)</f>
        <v>235.92821727783905</v>
      </c>
      <c r="F3" s="125">
        <f>IF(SER_hh_fech_in!F3=0,0,SER_hh_fech_in!F3/SER_summary!F$27)</f>
        <v>217.66600303610554</v>
      </c>
      <c r="G3" s="125">
        <f>IF(SER_hh_fech_in!G3=0,0,SER_hh_fech_in!G3/SER_summary!G$27)</f>
        <v>215.4895461797534</v>
      </c>
      <c r="H3" s="125">
        <f>IF(SER_hh_fech_in!H3=0,0,SER_hh_fech_in!H3/SER_summary!H$27)</f>
        <v>196.79711871287168</v>
      </c>
      <c r="I3" s="125">
        <f>IF(SER_hh_fech_in!I3=0,0,SER_hh_fech_in!I3/SER_summary!I$27)</f>
        <v>188.95536477676032</v>
      </c>
      <c r="J3" s="125">
        <f>IF(SER_hh_fech_in!J3=0,0,SER_hh_fech_in!J3/SER_summary!J$27)</f>
        <v>186.306847975078</v>
      </c>
      <c r="K3" s="125">
        <f>IF(SER_hh_fech_in!K3=0,0,SER_hh_fech_in!K3/SER_summary!K$27)</f>
        <v>195.78527029357676</v>
      </c>
      <c r="L3" s="125">
        <f>IF(SER_hh_fech_in!L3=0,0,SER_hh_fech_in!L3/SER_summary!L$27)</f>
        <v>190.14736248489518</v>
      </c>
      <c r="M3" s="125">
        <f>IF(SER_hh_fech_in!M3=0,0,SER_hh_fech_in!M3/SER_summary!M$27)</f>
        <v>148.08518125967814</v>
      </c>
      <c r="N3" s="125">
        <f>IF(SER_hh_fech_in!N3=0,0,SER_hh_fech_in!N3/SER_summary!N$27)</f>
        <v>158.95757409654979</v>
      </c>
      <c r="O3" s="125">
        <f>IF(SER_hh_fech_in!O3=0,0,SER_hh_fech_in!O3/SER_summary!O$27)</f>
        <v>161.88079044918234</v>
      </c>
      <c r="P3" s="125">
        <f>IF(SER_hh_fech_in!P3=0,0,SER_hh_fech_in!P3/SER_summary!P$27)</f>
        <v>143.41281628489034</v>
      </c>
      <c r="Q3" s="125">
        <f>IF(SER_hh_fech_in!Q3=0,0,SER_hh_fech_in!Q3/SER_summary!Q$27)</f>
        <v>134.27552793790244</v>
      </c>
      <c r="R3" s="125">
        <f>IF(SER_hh_fech_in!R3=0,0,SER_hh_fech_in!R3/SER_summary!R$27)</f>
        <v>127.52964760718595</v>
      </c>
      <c r="S3" s="125">
        <f>IF(SER_hh_fech_in!S3=0,0,SER_hh_fech_in!S3/SER_summary!S$27)</f>
        <v>125.1754178650377</v>
      </c>
      <c r="T3" s="125">
        <f>IF(SER_hh_fech_in!T3=0,0,SER_hh_fech_in!T3/SER_summary!T$27)</f>
        <v>119.82792861018807</v>
      </c>
      <c r="U3" s="125">
        <f>IF(SER_hh_fech_in!U3=0,0,SER_hh_fech_in!U3/SER_summary!U$27)</f>
        <v>111.95677373983388</v>
      </c>
      <c r="V3" s="125">
        <f>IF(SER_hh_fech_in!V3=0,0,SER_hh_fech_in!V3/SER_summary!V$27)</f>
        <v>101.02329740698042</v>
      </c>
      <c r="W3" s="125">
        <f>IF(SER_hh_fech_in!W3=0,0,SER_hh_fech_in!W3/SER_summary!W$27)</f>
        <v>93.218734054025632</v>
      </c>
      <c r="X3" s="125">
        <f>IF(SER_hh_fech_in!X3=0,0,SER_hh_fech_in!X3/SER_summary!X$27)</f>
        <v>94.819199858851817</v>
      </c>
      <c r="Y3" s="125">
        <f>IF(SER_hh_fech_in!Y3=0,0,SER_hh_fech_in!Y3/SER_summary!Y$27)</f>
        <v>84.707422767078938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158.1061924854055</v>
      </c>
      <c r="D4" s="130">
        <f>IF(SER_hh_fech_in!D4=0,0,SER_hh_fech_in!D4/SER_summary!D$27)</f>
        <v>147.00423122468072</v>
      </c>
      <c r="E4" s="130">
        <f>IF(SER_hh_fech_in!E4=0,0,SER_hh_fech_in!E4/SER_summary!E$27)</f>
        <v>168.29152249507936</v>
      </c>
      <c r="F4" s="130">
        <f>IF(SER_hh_fech_in!F4=0,0,SER_hh_fech_in!F4/SER_summary!F$27)</f>
        <v>161.83640728624653</v>
      </c>
      <c r="G4" s="130">
        <f>IF(SER_hh_fech_in!G4=0,0,SER_hh_fech_in!G4/SER_summary!G$27)</f>
        <v>158.86637790502286</v>
      </c>
      <c r="H4" s="130">
        <f>IF(SER_hh_fech_in!H4=0,0,SER_hh_fech_in!H4/SER_summary!H$27)</f>
        <v>140.03016177973245</v>
      </c>
      <c r="I4" s="130">
        <f>IF(SER_hh_fech_in!I4=0,0,SER_hh_fech_in!I4/SER_summary!I$27)</f>
        <v>133.94530375929179</v>
      </c>
      <c r="J4" s="130">
        <f>IF(SER_hh_fech_in!J4=0,0,SER_hh_fech_in!J4/SER_summary!J$27)</f>
        <v>129.96655572241085</v>
      </c>
      <c r="K4" s="130">
        <f>IF(SER_hh_fech_in!K4=0,0,SER_hh_fech_in!K4/SER_summary!K$27)</f>
        <v>136.39558704374588</v>
      </c>
      <c r="L4" s="130">
        <f>IF(SER_hh_fech_in!L4=0,0,SER_hh_fech_in!L4/SER_summary!L$27)</f>
        <v>134.40845407141703</v>
      </c>
      <c r="M4" s="130">
        <f>IF(SER_hh_fech_in!M4=0,0,SER_hh_fech_in!M4/SER_summary!M$27)</f>
        <v>94.952244090723639</v>
      </c>
      <c r="N4" s="130">
        <f>IF(SER_hh_fech_in!N4=0,0,SER_hh_fech_in!N4/SER_summary!N$27)</f>
        <v>106.05666137888998</v>
      </c>
      <c r="O4" s="130">
        <f>IF(SER_hh_fech_in!O4=0,0,SER_hh_fech_in!O4/SER_summary!O$27)</f>
        <v>108.00730257716917</v>
      </c>
      <c r="P4" s="130">
        <f>IF(SER_hh_fech_in!P4=0,0,SER_hh_fech_in!P4/SER_summary!P$27)</f>
        <v>89.597024047462568</v>
      </c>
      <c r="Q4" s="130">
        <f>IF(SER_hh_fech_in!Q4=0,0,SER_hh_fech_in!Q4/SER_summary!Q$27)</f>
        <v>80.863454027516966</v>
      </c>
      <c r="R4" s="130">
        <f>IF(SER_hh_fech_in!R4=0,0,SER_hh_fech_in!R4/SER_summary!R$27)</f>
        <v>77.350514756605719</v>
      </c>
      <c r="S4" s="130">
        <f>IF(SER_hh_fech_in!S4=0,0,SER_hh_fech_in!S4/SER_summary!S$27)</f>
        <v>75.505262138474166</v>
      </c>
      <c r="T4" s="130">
        <f>IF(SER_hh_fech_in!T4=0,0,SER_hh_fech_in!T4/SER_summary!T$27)</f>
        <v>70.311705954982628</v>
      </c>
      <c r="U4" s="130">
        <f>IF(SER_hh_fech_in!U4=0,0,SER_hh_fech_in!U4/SER_summary!U$27)</f>
        <v>63.075025055777587</v>
      </c>
      <c r="V4" s="130">
        <f>IF(SER_hh_fech_in!V4=0,0,SER_hh_fech_in!V4/SER_summary!V$27)</f>
        <v>56.820934364447133</v>
      </c>
      <c r="W4" s="130">
        <f>IF(SER_hh_fech_in!W4=0,0,SER_hh_fech_in!W4/SER_summary!W$27)</f>
        <v>49.970323318670488</v>
      </c>
      <c r="X4" s="130">
        <f>IF(SER_hh_fech_in!X4=0,0,SER_hh_fech_in!X4/SER_summary!X$27)</f>
        <v>49.033389877518154</v>
      </c>
      <c r="Y4" s="130">
        <f>IF(SER_hh_fech_in!Y4=0,0,SER_hh_fech_in!Y4/SER_summary!Y$27)</f>
        <v>39.721651144061504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155.62765360578908</v>
      </c>
      <c r="G5" s="132">
        <f>IF(SER_hh_fech_in!G5=0,0,SER_hh_fech_in!G5/SER_summary!G$27)</f>
        <v>155.51048482654119</v>
      </c>
      <c r="H5" s="132">
        <f>IF(SER_hh_fech_in!H5=0,0,SER_hh_fech_in!H5/SER_summary!H$27)</f>
        <v>145.4264940022185</v>
      </c>
      <c r="I5" s="132">
        <f>IF(SER_hh_fech_in!I5=0,0,SER_hh_fech_in!I5/SER_summary!I$27)</f>
        <v>136.67712511219213</v>
      </c>
      <c r="J5" s="132">
        <f>IF(SER_hh_fech_in!J5=0,0,SER_hh_fech_in!J5/SER_summary!J$27)</f>
        <v>127.28583197273713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119.64121368864346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65.206277256753012</v>
      </c>
      <c r="V5" s="132">
        <f>IF(SER_hh_fech_in!V5=0,0,SER_hh_fech_in!V5/SER_summary!V$27)</f>
        <v>54.283703625857839</v>
      </c>
      <c r="W5" s="132">
        <f>IF(SER_hh_fech_in!W5=0,0,SER_hh_fech_in!W5/SER_summary!W$27)</f>
        <v>53.47842261216455</v>
      </c>
      <c r="X5" s="132">
        <f>IF(SER_hh_fech_in!X5=0,0,SER_hh_fech_in!X5/SER_summary!X$27)</f>
        <v>48.005142318194402</v>
      </c>
      <c r="Y5" s="132">
        <f>IF(SER_hh_fech_in!Y5=0,0,SER_hh_fech_in!Y5/SER_summary!Y$27)</f>
        <v>41.767185017907408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207.6739493670988</v>
      </c>
      <c r="D7" s="132">
        <f>IF(SER_hh_fech_in!D7=0,0,SER_hh_fech_in!D7/SER_summary!D$27)</f>
        <v>180.55202463464221</v>
      </c>
      <c r="E7" s="132">
        <f>IF(SER_hh_fech_in!E7=0,0,SER_hh_fech_in!E7/SER_summary!E$27)</f>
        <v>192.97498849308775</v>
      </c>
      <c r="F7" s="132">
        <f>IF(SER_hh_fech_in!F7=0,0,SER_hh_fech_in!F7/SER_summary!F$27)</f>
        <v>195.2754841677968</v>
      </c>
      <c r="G7" s="132">
        <f>IF(SER_hh_fech_in!G7=0,0,SER_hh_fech_in!G7/SER_summary!G$27)</f>
        <v>187.32114676093909</v>
      </c>
      <c r="H7" s="132">
        <f>IF(SER_hh_fech_in!H7=0,0,SER_hh_fech_in!H7/SER_summary!H$27)</f>
        <v>171.15442957237619</v>
      </c>
      <c r="I7" s="132">
        <f>IF(SER_hh_fech_in!I7=0,0,SER_hh_fech_in!I7/SER_summary!I$27)</f>
        <v>145.52977789326758</v>
      </c>
      <c r="J7" s="132">
        <f>IF(SER_hh_fech_in!J7=0,0,SER_hh_fech_in!J7/SER_summary!J$27)</f>
        <v>170.1586402213731</v>
      </c>
      <c r="K7" s="132">
        <f>IF(SER_hh_fech_in!K7=0,0,SER_hh_fech_in!K7/SER_summary!K$27)</f>
        <v>163.47155097582771</v>
      </c>
      <c r="L7" s="132">
        <f>IF(SER_hh_fech_in!L7=0,0,SER_hh_fech_in!L7/SER_summary!L$27)</f>
        <v>155.40575833185099</v>
      </c>
      <c r="M7" s="132">
        <f>IF(SER_hh_fech_in!M7=0,0,SER_hh_fech_in!M7/SER_summary!M$27)</f>
        <v>128.29099620447093</v>
      </c>
      <c r="N7" s="132">
        <f>IF(SER_hh_fech_in!N7=0,0,SER_hh_fech_in!N7/SER_summary!N$27)</f>
        <v>123.53341096245832</v>
      </c>
      <c r="O7" s="132">
        <f>IF(SER_hh_fech_in!O7=0,0,SER_hh_fech_in!O7/SER_summary!O$27)</f>
        <v>118.53759896078351</v>
      </c>
      <c r="P7" s="132">
        <f>IF(SER_hh_fech_in!P7=0,0,SER_hh_fech_in!P7/SER_summary!P$27)</f>
        <v>113.04030199007774</v>
      </c>
      <c r="Q7" s="132">
        <f>IF(SER_hh_fech_in!Q7=0,0,SER_hh_fech_in!Q7/SER_summary!Q$27)</f>
        <v>104.71666857409531</v>
      </c>
      <c r="R7" s="132">
        <f>IF(SER_hh_fech_in!R7=0,0,SER_hh_fech_in!R7/SER_summary!R$27)</f>
        <v>0</v>
      </c>
      <c r="S7" s="132">
        <f>IF(SER_hh_fech_in!S7=0,0,SER_hh_fech_in!S7/SER_summary!S$27)</f>
        <v>90.715921238138392</v>
      </c>
      <c r="T7" s="132">
        <f>IF(SER_hh_fech_in!T7=0,0,SER_hh_fech_in!T7/SER_summary!T$27)</f>
        <v>79.309468471607516</v>
      </c>
      <c r="U7" s="132">
        <f>IF(SER_hh_fech_in!U7=0,0,SER_hh_fech_in!U7/SER_summary!U$27)</f>
        <v>71.427971516183945</v>
      </c>
      <c r="V7" s="132">
        <f>IF(SER_hh_fech_in!V7=0,0,SER_hh_fech_in!V7/SER_summary!V$27)</f>
        <v>69.544161990477406</v>
      </c>
      <c r="W7" s="132">
        <f>IF(SER_hh_fech_in!W7=0,0,SER_hh_fech_in!W7/SER_summary!W$27)</f>
        <v>50.881329886123964</v>
      </c>
      <c r="X7" s="132">
        <f>IF(SER_hh_fech_in!X7=0,0,SER_hh_fech_in!X7/SER_summary!X$27)</f>
        <v>56.412536322995244</v>
      </c>
      <c r="Y7" s="132">
        <f>IF(SER_hh_fech_in!Y7=0,0,SER_hh_fech_in!Y7/SER_summary!Y$27)</f>
        <v>44.869955863485451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74.129453568388129</v>
      </c>
      <c r="D8" s="132">
        <f>IF(SER_hh_fech_in!D8=0,0,SER_hh_fech_in!D8/SER_summary!D$27)</f>
        <v>60.073409962392212</v>
      </c>
      <c r="E8" s="132">
        <f>IF(SER_hh_fech_in!E8=0,0,SER_hh_fech_in!E8/SER_summary!E$27)</f>
        <v>62.363066982872816</v>
      </c>
      <c r="F8" s="132">
        <f>IF(SER_hh_fech_in!F8=0,0,SER_hh_fech_in!F8/SER_summary!F$27)</f>
        <v>55.265192747116672</v>
      </c>
      <c r="G8" s="132">
        <f>IF(SER_hh_fech_in!G8=0,0,SER_hh_fech_in!G8/SER_summary!G$27)</f>
        <v>70.850617872264664</v>
      </c>
      <c r="H8" s="132">
        <f>IF(SER_hh_fech_in!H8=0,0,SER_hh_fech_in!H8/SER_summary!H$27)</f>
        <v>60.263847842223996</v>
      </c>
      <c r="I8" s="132">
        <f>IF(SER_hh_fech_in!I8=0,0,SER_hh_fech_in!I8/SER_summary!I$27)</f>
        <v>57.224006276057644</v>
      </c>
      <c r="J8" s="132">
        <f>IF(SER_hh_fech_in!J8=0,0,SER_hh_fech_in!J8/SER_summary!J$27)</f>
        <v>56.006043210882375</v>
      </c>
      <c r="K8" s="132">
        <f>IF(SER_hh_fech_in!K8=0,0,SER_hh_fech_in!K8/SER_summary!K$27)</f>
        <v>41.482863480088561</v>
      </c>
      <c r="L8" s="132">
        <f>IF(SER_hh_fech_in!L8=0,0,SER_hh_fech_in!L8/SER_summary!L$27)</f>
        <v>33.280136345847104</v>
      </c>
      <c r="M8" s="132">
        <f>IF(SER_hh_fech_in!M8=0,0,SER_hh_fech_in!M8/SER_summary!M$27)</f>
        <v>43.440462150787958</v>
      </c>
      <c r="N8" s="132">
        <f>IF(SER_hh_fech_in!N8=0,0,SER_hh_fech_in!N8/SER_summary!N$27)</f>
        <v>36.784010943754566</v>
      </c>
      <c r="O8" s="132">
        <f>IF(SER_hh_fech_in!O8=0,0,SER_hh_fech_in!O8/SER_summary!O$27)</f>
        <v>36.81684074282358</v>
      </c>
      <c r="P8" s="132">
        <f>IF(SER_hh_fech_in!P8=0,0,SER_hh_fech_in!P8/SER_summary!P$27)</f>
        <v>29.505535304014217</v>
      </c>
      <c r="Q8" s="132">
        <f>IF(SER_hh_fech_in!Q8=0,0,SER_hh_fech_in!Q8/SER_summary!Q$27)</f>
        <v>28.962018343504866</v>
      </c>
      <c r="R8" s="132">
        <f>IF(SER_hh_fech_in!R8=0,0,SER_hh_fech_in!R8/SER_summary!R$27)</f>
        <v>26.495348711896433</v>
      </c>
      <c r="S8" s="132">
        <f>IF(SER_hh_fech_in!S8=0,0,SER_hh_fech_in!S8/SER_summary!S$27)</f>
        <v>24.074590560406612</v>
      </c>
      <c r="T8" s="132">
        <f>IF(SER_hh_fech_in!T8=0,0,SER_hh_fech_in!T8/SER_summary!T$27)</f>
        <v>22.174341873824726</v>
      </c>
      <c r="U8" s="132">
        <f>IF(SER_hh_fech_in!U8=0,0,SER_hh_fech_in!U8/SER_summary!U$27)</f>
        <v>20.220129569781125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188.83890207580319</v>
      </c>
      <c r="D9" s="132">
        <f>IF(SER_hh_fech_in!D9=0,0,SER_hh_fech_in!D9/SER_summary!D$27)</f>
        <v>153.19425386389403</v>
      </c>
      <c r="E9" s="132">
        <f>IF(SER_hh_fech_in!E9=0,0,SER_hh_fech_in!E9/SER_summary!E$27)</f>
        <v>189.21608294495758</v>
      </c>
      <c r="F9" s="132">
        <f>IF(SER_hh_fech_in!F9=0,0,SER_hh_fech_in!F9/SER_summary!F$27)</f>
        <v>183.8232709654277</v>
      </c>
      <c r="G9" s="132">
        <f>IF(SER_hh_fech_in!G9=0,0,SER_hh_fech_in!G9/SER_summary!G$27)</f>
        <v>182.95271882978918</v>
      </c>
      <c r="H9" s="132">
        <f>IF(SER_hh_fech_in!H9=0,0,SER_hh_fech_in!H9/SER_summary!H$27)</f>
        <v>154.74015322621577</v>
      </c>
      <c r="I9" s="132">
        <f>IF(SER_hh_fech_in!I9=0,0,SER_hh_fech_in!I9/SER_summary!I$27)</f>
        <v>151.90788377145341</v>
      </c>
      <c r="J9" s="132">
        <f>IF(SER_hh_fech_in!J9=0,0,SER_hh_fech_in!J9/SER_summary!J$27)</f>
        <v>130.24182420788</v>
      </c>
      <c r="K9" s="132">
        <f>IF(SER_hh_fech_in!K9=0,0,SER_hh_fech_in!K9/SER_summary!K$27)</f>
        <v>150.87145596211485</v>
      </c>
      <c r="L9" s="132">
        <f>IF(SER_hh_fech_in!L9=0,0,SER_hh_fech_in!L9/SER_summary!L$27)</f>
        <v>162.67029910252225</v>
      </c>
      <c r="M9" s="132">
        <f>IF(SER_hh_fech_in!M9=0,0,SER_hh_fech_in!M9/SER_summary!M$27)</f>
        <v>109.64820578623542</v>
      </c>
      <c r="N9" s="132">
        <f>IF(SER_hh_fech_in!N9=0,0,SER_hh_fech_in!N9/SER_summary!N$27)</f>
        <v>122.16944764270615</v>
      </c>
      <c r="O9" s="132">
        <f>IF(SER_hh_fech_in!O9=0,0,SER_hh_fech_in!O9/SER_summary!O$27)</f>
        <v>120.17064320086274</v>
      </c>
      <c r="P9" s="132">
        <f>IF(SER_hh_fech_in!P9=0,0,SER_hh_fech_in!P9/SER_summary!P$27)</f>
        <v>89.12886062610248</v>
      </c>
      <c r="Q9" s="132">
        <f>IF(SER_hh_fech_in!Q9=0,0,SER_hh_fech_in!Q9/SER_summary!Q$27)</f>
        <v>87.403282243713292</v>
      </c>
      <c r="R9" s="132">
        <f>IF(SER_hh_fech_in!R9=0,0,SER_hh_fech_in!R9/SER_summary!R$27)</f>
        <v>81.563561586768188</v>
      </c>
      <c r="S9" s="132">
        <f>IF(SER_hh_fech_in!S9=0,0,SER_hh_fech_in!S9/SER_summary!S$27)</f>
        <v>77.873596474431821</v>
      </c>
      <c r="T9" s="132">
        <f>IF(SER_hh_fech_in!T9=0,0,SER_hh_fech_in!T9/SER_summary!T$27)</f>
        <v>73.747310263186463</v>
      </c>
      <c r="U9" s="132">
        <f>IF(SER_hh_fech_in!U9=0,0,SER_hh_fech_in!U9/SER_summary!U$27)</f>
        <v>66.073025425742188</v>
      </c>
      <c r="V9" s="132">
        <f>IF(SER_hh_fech_in!V9=0,0,SER_hh_fech_in!V9/SER_summary!V$27)</f>
        <v>55.288175516167215</v>
      </c>
      <c r="W9" s="132">
        <f>IF(SER_hh_fech_in!W9=0,0,SER_hh_fech_in!W9/SER_summary!W$27)</f>
        <v>49.64513361125266</v>
      </c>
      <c r="X9" s="132">
        <f>IF(SER_hh_fech_in!X9=0,0,SER_hh_fech_in!X9/SER_summary!X$27)</f>
        <v>42.273752574449382</v>
      </c>
      <c r="Y9" s="132">
        <f>IF(SER_hh_fech_in!Y9=0,0,SER_hh_fech_in!Y9/SER_summary!Y$27)</f>
        <v>38.913576761825098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178.77632911372982</v>
      </c>
      <c r="D10" s="132">
        <f>IF(SER_hh_fech_in!D10=0,0,SER_hh_fech_in!D10/SER_summary!D$27)</f>
        <v>181.07386137570904</v>
      </c>
      <c r="E10" s="132">
        <f>IF(SER_hh_fech_in!E10=0,0,SER_hh_fech_in!E10/SER_summary!E$27)</f>
        <v>200.22192837342436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161.1605819278721</v>
      </c>
      <c r="J10" s="132">
        <f>IF(SER_hh_fech_in!J10=0,0,SER_hh_fech_in!J10/SER_summary!J$27)</f>
        <v>153.15864124179296</v>
      </c>
      <c r="K10" s="132">
        <f>IF(SER_hh_fech_in!K10=0,0,SER_hh_fech_in!K10/SER_summary!K$27)</f>
        <v>192.22141376572051</v>
      </c>
      <c r="L10" s="132">
        <f>IF(SER_hh_fech_in!L10=0,0,SER_hh_fech_in!L10/SER_summary!L$27)</f>
        <v>164.81223583544741</v>
      </c>
      <c r="M10" s="132">
        <f>IF(SER_hh_fech_in!M10=0,0,SER_hh_fech_in!M10/SER_summary!M$27)</f>
        <v>108.58474701985574</v>
      </c>
      <c r="N10" s="132">
        <f>IF(SER_hh_fech_in!N10=0,0,SER_hh_fech_in!N10/SER_summary!N$27)</f>
        <v>126.85763003459559</v>
      </c>
      <c r="O10" s="132">
        <f>IF(SER_hh_fech_in!O10=0,0,SER_hh_fech_in!O10/SER_summary!O$27)</f>
        <v>155.15320123708011</v>
      </c>
      <c r="P10" s="132">
        <f>IF(SER_hh_fech_in!P10=0,0,SER_hh_fech_in!P10/SER_summary!P$27)</f>
        <v>123.88166576672501</v>
      </c>
      <c r="Q10" s="132">
        <f>IF(SER_hh_fech_in!Q10=0,0,SER_hh_fech_in!Q10/SER_summary!Q$27)</f>
        <v>110.44138899833881</v>
      </c>
      <c r="R10" s="132">
        <f>IF(SER_hh_fech_in!R10=0,0,SER_hh_fech_in!R10/SER_summary!R$27)</f>
        <v>114.95711695560037</v>
      </c>
      <c r="S10" s="132">
        <f>IF(SER_hh_fech_in!S10=0,0,SER_hh_fech_in!S10/SER_summary!S$27)</f>
        <v>112.35200833471896</v>
      </c>
      <c r="T10" s="132">
        <f>IF(SER_hh_fech_in!T10=0,0,SER_hh_fech_in!T10/SER_summary!T$27)</f>
        <v>96.246563463902504</v>
      </c>
      <c r="U10" s="132">
        <f>IF(SER_hh_fech_in!U10=0,0,SER_hh_fech_in!U10/SER_summary!U$27)</f>
        <v>87.877962423254658</v>
      </c>
      <c r="V10" s="132">
        <f>IF(SER_hh_fech_in!V10=0,0,SER_hh_fech_in!V10/SER_summary!V$27)</f>
        <v>76.462969978280654</v>
      </c>
      <c r="W10" s="132">
        <f>IF(SER_hh_fech_in!W10=0,0,SER_hh_fech_in!W10/SER_summary!W$27)</f>
        <v>67.528132828855178</v>
      </c>
      <c r="X10" s="132">
        <f>IF(SER_hh_fech_in!X10=0,0,SER_hh_fech_in!X10/SER_summary!X$27)</f>
        <v>68.105894136172381</v>
      </c>
      <c r="Y10" s="132">
        <f>IF(SER_hh_fech_in!Y10=0,0,SER_hh_fech_in!Y10/SER_summary!Y$27)</f>
        <v>56.414465548095023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262.7647954184369</v>
      </c>
      <c r="E11" s="132">
        <f>IF(SER_hh_fech_in!E11=0,0,SER_hh_fech_in!E11/SER_summary!E$27)</f>
        <v>229.39432337481455</v>
      </c>
      <c r="F11" s="132">
        <f>IF(SER_hh_fech_in!F11=0,0,SER_hh_fech_in!F11/SER_summary!F$27)</f>
        <v>224.16152408716837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99.265460181397586</v>
      </c>
      <c r="L11" s="132">
        <f>IF(SER_hh_fech_in!L11=0,0,SER_hh_fech_in!L11/SER_summary!L$27)</f>
        <v>92.505059564668443</v>
      </c>
      <c r="M11" s="132">
        <f>IF(SER_hh_fech_in!M11=0,0,SER_hh_fech_in!M11/SER_summary!M$27)</f>
        <v>97.498006183179456</v>
      </c>
      <c r="N11" s="132">
        <f>IF(SER_hh_fech_in!N11=0,0,SER_hh_fech_in!N11/SER_summary!N$27)</f>
        <v>91.04796618621431</v>
      </c>
      <c r="O11" s="132">
        <f>IF(SER_hh_fech_in!O11=0,0,SER_hh_fech_in!O11/SER_summary!O$27)</f>
        <v>86.268818253021195</v>
      </c>
      <c r="P11" s="132">
        <f>IF(SER_hh_fech_in!P11=0,0,SER_hh_fech_in!P11/SER_summary!P$27)</f>
        <v>78.048685367915965</v>
      </c>
      <c r="Q11" s="132">
        <f>IF(SER_hh_fech_in!Q11=0,0,SER_hh_fech_in!Q11/SER_summary!Q$27)</f>
        <v>75.181636114838582</v>
      </c>
      <c r="R11" s="132">
        <f>IF(SER_hh_fech_in!R11=0,0,SER_hh_fech_in!R11/SER_summary!R$27)</f>
        <v>71.881477220231659</v>
      </c>
      <c r="S11" s="132">
        <f>IF(SER_hh_fech_in!S11=0,0,SER_hh_fech_in!S11/SER_summary!S$27)</f>
        <v>69.197561575849548</v>
      </c>
      <c r="T11" s="132">
        <f>IF(SER_hh_fech_in!T11=0,0,SER_hh_fech_in!T11/SER_summary!T$27)</f>
        <v>65.310682749181836</v>
      </c>
      <c r="U11" s="132">
        <f>IF(SER_hh_fech_in!U11=0,0,SER_hh_fech_in!U11/SER_summary!U$27)</f>
        <v>59.369989928925875</v>
      </c>
      <c r="V11" s="132">
        <f>IF(SER_hh_fech_in!V11=0,0,SER_hh_fech_in!V11/SER_summary!V$27)</f>
        <v>52.608476247574892</v>
      </c>
      <c r="W11" s="132">
        <f>IF(SER_hh_fech_in!W11=0,0,SER_hh_fech_in!W11/SER_summary!W$27)</f>
        <v>40.531811615368824</v>
      </c>
      <c r="X11" s="132">
        <f>IF(SER_hh_fech_in!X11=0,0,SER_hh_fech_in!X11/SER_summary!X$27)</f>
        <v>38.64786526576821</v>
      </c>
      <c r="Y11" s="132">
        <f>IF(SER_hh_fech_in!Y11=0,0,SER_hh_fech_in!Y11/SER_summary!Y$27)</f>
        <v>36.959542403564413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128.41536456110506</v>
      </c>
      <c r="D12" s="132">
        <f>IF(SER_hh_fech_in!D12=0,0,SER_hh_fech_in!D12/SER_summary!D$27)</f>
        <v>127.7122372673621</v>
      </c>
      <c r="E12" s="132">
        <f>IF(SER_hh_fech_in!E12=0,0,SER_hh_fech_in!E12/SER_summary!E$27)</f>
        <v>122.77317666593001</v>
      </c>
      <c r="F12" s="132">
        <f>IF(SER_hh_fech_in!F12=0,0,SER_hh_fech_in!F12/SER_summary!F$27)</f>
        <v>123.44961655599845</v>
      </c>
      <c r="G12" s="132">
        <f>IF(SER_hh_fech_in!G12=0,0,SER_hh_fech_in!G12/SER_summary!G$27)</f>
        <v>131.57746307945175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109.60724427610586</v>
      </c>
      <c r="M12" s="132">
        <f>IF(SER_hh_fech_in!M12=0,0,SER_hh_fech_in!M12/SER_summary!M$27)</f>
        <v>90.313627430216187</v>
      </c>
      <c r="N12" s="132">
        <f>IF(SER_hh_fech_in!N12=0,0,SER_hh_fech_in!N12/SER_summary!N$27)</f>
        <v>88.238859514028434</v>
      </c>
      <c r="O12" s="132">
        <f>IF(SER_hh_fech_in!O12=0,0,SER_hh_fech_in!O12/SER_summary!O$27)</f>
        <v>89.242582618418865</v>
      </c>
      <c r="P12" s="132">
        <f>IF(SER_hh_fech_in!P12=0,0,SER_hh_fech_in!P12/SER_summary!P$27)</f>
        <v>77.618107736105358</v>
      </c>
      <c r="Q12" s="132">
        <f>IF(SER_hh_fech_in!Q12=0,0,SER_hh_fech_in!Q12/SER_summary!Q$27)</f>
        <v>75.852950232501172</v>
      </c>
      <c r="R12" s="132">
        <f>IF(SER_hh_fech_in!R12=0,0,SER_hh_fech_in!R12/SER_summary!R$27)</f>
        <v>75.389662713910013</v>
      </c>
      <c r="S12" s="132">
        <f>IF(SER_hh_fech_in!S12=0,0,SER_hh_fech_in!S12/SER_summary!S$27)</f>
        <v>71.768028605800282</v>
      </c>
      <c r="T12" s="132">
        <f>IF(SER_hh_fech_in!T12=0,0,SER_hh_fech_in!T12/SER_summary!T$27)</f>
        <v>63.983448400855302</v>
      </c>
      <c r="U12" s="132">
        <f>IF(SER_hh_fech_in!U12=0,0,SER_hh_fech_in!U12/SER_summary!U$27)</f>
        <v>57.656183115507275</v>
      </c>
      <c r="V12" s="132">
        <f>IF(SER_hh_fech_in!V12=0,0,SER_hh_fech_in!V12/SER_summary!V$27)</f>
        <v>51.383776131770709</v>
      </c>
      <c r="W12" s="132">
        <f>IF(SER_hh_fech_in!W12=0,0,SER_hh_fech_in!W12/SER_summary!W$27)</f>
        <v>45.706047575587732</v>
      </c>
      <c r="X12" s="132">
        <f>IF(SER_hh_fech_in!X12=0,0,SER_hh_fech_in!X12/SER_summary!X$27)</f>
        <v>40.169719672774512</v>
      </c>
      <c r="Y12" s="132">
        <f>IF(SER_hh_fech_in!Y12=0,0,SER_hh_fech_in!Y12/SER_summary!Y$27)</f>
        <v>36.193966982258686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57.241977275756767</v>
      </c>
      <c r="D13" s="132">
        <f>IF(SER_hh_fech_in!D13=0,0,SER_hh_fech_in!D13/SER_summary!D$27)</f>
        <v>56.260886441374176</v>
      </c>
      <c r="E13" s="132">
        <f>IF(SER_hh_fech_in!E13=0,0,SER_hh_fech_in!E13/SER_summary!E$27)</f>
        <v>53.461611970547295</v>
      </c>
      <c r="F13" s="132">
        <f>IF(SER_hh_fech_in!F13=0,0,SER_hh_fech_in!F13/SER_summary!F$27)</f>
        <v>49.472175895152922</v>
      </c>
      <c r="G13" s="132">
        <f>IF(SER_hh_fech_in!G13=0,0,SER_hh_fech_in!G13/SER_summary!G$27)</f>
        <v>48.281098841118258</v>
      </c>
      <c r="H13" s="132">
        <f>IF(SER_hh_fech_in!H13=0,0,SER_hh_fech_in!H13/SER_summary!H$27)</f>
        <v>43.071198234109595</v>
      </c>
      <c r="I13" s="132">
        <f>IF(SER_hh_fech_in!I13=0,0,SER_hh_fech_in!I13/SER_summary!I$27)</f>
        <v>37.512531997212548</v>
      </c>
      <c r="J13" s="132">
        <f>IF(SER_hh_fech_in!J13=0,0,SER_hh_fech_in!J13/SER_summary!J$27)</f>
        <v>37.067416027336655</v>
      </c>
      <c r="K13" s="132">
        <f>IF(SER_hh_fech_in!K13=0,0,SER_hh_fech_in!K13/SER_summary!K$27)</f>
        <v>33.104108707370578</v>
      </c>
      <c r="L13" s="132">
        <f>IF(SER_hh_fech_in!L13=0,0,SER_hh_fech_in!L13/SER_summary!L$27)</f>
        <v>28.289350524203076</v>
      </c>
      <c r="M13" s="132">
        <f>IF(SER_hh_fech_in!M13=0,0,SER_hh_fech_in!M13/SER_summary!M$27)</f>
        <v>30.519963558487827</v>
      </c>
      <c r="N13" s="132">
        <f>IF(SER_hh_fech_in!N13=0,0,SER_hh_fech_in!N13/SER_summary!N$27)</f>
        <v>28.572334493082135</v>
      </c>
      <c r="O13" s="132">
        <f>IF(SER_hh_fech_in!O13=0,0,SER_hh_fech_in!O13/SER_summary!O$27)</f>
        <v>26.529546335035835</v>
      </c>
      <c r="P13" s="132">
        <f>IF(SER_hh_fech_in!P13=0,0,SER_hh_fech_in!P13/SER_summary!P$27)</f>
        <v>19.87751153369398</v>
      </c>
      <c r="Q13" s="132">
        <f>IF(SER_hh_fech_in!Q13=0,0,SER_hh_fech_in!Q13/SER_summary!Q$27)</f>
        <v>18.89316836358287</v>
      </c>
      <c r="R13" s="132">
        <f>IF(SER_hh_fech_in!R13=0,0,SER_hh_fech_in!R13/SER_summary!R$27)</f>
        <v>18.355883774663376</v>
      </c>
      <c r="S13" s="132">
        <f>IF(SER_hh_fech_in!S13=0,0,SER_hh_fech_in!S13/SER_summary!S$27)</f>
        <v>16.23638765850345</v>
      </c>
      <c r="T13" s="132">
        <f>IF(SER_hh_fech_in!T13=0,0,SER_hh_fech_in!T13/SER_summary!T$27)</f>
        <v>13.896892209209442</v>
      </c>
      <c r="U13" s="132">
        <f>IF(SER_hh_fech_in!U13=0,0,SER_hh_fech_in!U13/SER_summary!U$27)</f>
        <v>12.988197687372585</v>
      </c>
      <c r="V13" s="132">
        <f>IF(SER_hh_fech_in!V13=0,0,SER_hh_fech_in!V13/SER_summary!V$27)</f>
        <v>11.622666564617642</v>
      </c>
      <c r="W13" s="132">
        <f>IF(SER_hh_fech_in!W13=0,0,SER_hh_fech_in!W13/SER_summary!W$27)</f>
        <v>11.786315583683015</v>
      </c>
      <c r="X13" s="132">
        <f>IF(SER_hh_fech_in!X13=0,0,SER_hh_fech_in!X13/SER_summary!X$27)</f>
        <v>0</v>
      </c>
      <c r="Y13" s="132">
        <f>IF(SER_hh_fech_in!Y13=0,0,SER_hh_fech_in!Y13/SER_summary!Y$27)</f>
        <v>0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138.26090739384043</v>
      </c>
      <c r="D14" s="65">
        <f>IF(SER_hh_fech_in!D14=0,0,SER_hh_fech_in!D14/SER_summary!D$27)</f>
        <v>133.47014372927387</v>
      </c>
      <c r="E14" s="65">
        <f>IF(SER_hh_fech_in!E14=0,0,SER_hh_fech_in!E14/SER_summary!E$27)</f>
        <v>136.21870759874855</v>
      </c>
      <c r="F14" s="65">
        <f>IF(SER_hh_fech_in!F14=0,0,SER_hh_fech_in!F14/SER_summary!F$27)</f>
        <v>141.6576518338797</v>
      </c>
      <c r="G14" s="65">
        <f>IF(SER_hh_fech_in!G14=0,0,SER_hh_fech_in!G14/SER_summary!G$27)</f>
        <v>130.50255141055715</v>
      </c>
      <c r="H14" s="65">
        <f>IF(SER_hh_fech_in!H14=0,0,SER_hh_fech_in!H14/SER_summary!H$27)</f>
        <v>124.20503417940937</v>
      </c>
      <c r="I14" s="65">
        <f>IF(SER_hh_fech_in!I14=0,0,SER_hh_fech_in!I14/SER_summary!I$27)</f>
        <v>118.92878918199985</v>
      </c>
      <c r="J14" s="65">
        <f>IF(SER_hh_fech_in!J14=0,0,SER_hh_fech_in!J14/SER_summary!J$27)</f>
        <v>106.69150203392901</v>
      </c>
      <c r="K14" s="65">
        <f>IF(SER_hh_fech_in!K14=0,0,SER_hh_fech_in!K14/SER_summary!K$27)</f>
        <v>115.10189373553595</v>
      </c>
      <c r="L14" s="65">
        <f>IF(SER_hh_fech_in!L14=0,0,SER_hh_fech_in!L14/SER_summary!L$27)</f>
        <v>125.41761135583204</v>
      </c>
      <c r="M14" s="65">
        <f>IF(SER_hh_fech_in!M14=0,0,SER_hh_fech_in!M14/SER_summary!M$27)</f>
        <v>95.530409595609683</v>
      </c>
      <c r="N14" s="65">
        <f>IF(SER_hh_fech_in!N14=0,0,SER_hh_fech_in!N14/SER_summary!N$27)</f>
        <v>102.19464024687713</v>
      </c>
      <c r="O14" s="65">
        <f>IF(SER_hh_fech_in!O14=0,0,SER_hh_fech_in!O14/SER_summary!O$27)</f>
        <v>101.35964048050752</v>
      </c>
      <c r="P14" s="65">
        <f>IF(SER_hh_fech_in!P14=0,0,SER_hh_fech_in!P14/SER_summary!P$27)</f>
        <v>82.638325204264305</v>
      </c>
      <c r="Q14" s="65">
        <f>IF(SER_hh_fech_in!Q14=0,0,SER_hh_fech_in!Q14/SER_summary!Q$27)</f>
        <v>84.919344592764205</v>
      </c>
      <c r="R14" s="65">
        <f>IF(SER_hh_fech_in!R14=0,0,SER_hh_fech_in!R14/SER_summary!R$27)</f>
        <v>80.118086538424762</v>
      </c>
      <c r="S14" s="65">
        <f>IF(SER_hh_fech_in!S14=0,0,SER_hh_fech_in!S14/SER_summary!S$27)</f>
        <v>74.43107343625978</v>
      </c>
      <c r="T14" s="65">
        <f>IF(SER_hh_fech_in!T14=0,0,SER_hh_fech_in!T14/SER_summary!T$27)</f>
        <v>68.253335662768009</v>
      </c>
      <c r="U14" s="65">
        <f>IF(SER_hh_fech_in!U14=0,0,SER_hh_fech_in!U14/SER_summary!U$27)</f>
        <v>59.909324025903238</v>
      </c>
      <c r="V14" s="65">
        <f>IF(SER_hh_fech_in!V14=0,0,SER_hh_fech_in!V14/SER_summary!V$27)</f>
        <v>47.387430780635803</v>
      </c>
      <c r="W14" s="65">
        <f>IF(SER_hh_fech_in!W14=0,0,SER_hh_fech_in!W14/SER_summary!W$27)</f>
        <v>47.630124966423956</v>
      </c>
      <c r="X14" s="65">
        <f>IF(SER_hh_fech_in!X14=0,0,SER_hh_fech_in!X14/SER_summary!X$27)</f>
        <v>44.589369487009613</v>
      </c>
      <c r="Y14" s="65">
        <f>IF(SER_hh_fech_in!Y14=0,0,SER_hh_fech_in!Y14/SER_summary!Y$27)</f>
        <v>32.58721661818192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1.4043968652486807</v>
      </c>
      <c r="D15" s="134">
        <f>IF(SER_hh_fech_in!D15=0,0,SER_hh_fech_in!D15/SER_summary!D$27)</f>
        <v>1.2964965418331407</v>
      </c>
      <c r="E15" s="134">
        <f>IF(SER_hh_fech_in!E15=0,0,SER_hh_fech_in!E15/SER_summary!E$27)</f>
        <v>1.7541264258403355</v>
      </c>
      <c r="F15" s="134">
        <f>IF(SER_hh_fech_in!F15=0,0,SER_hh_fech_in!F15/SER_summary!F$27)</f>
        <v>1.6916640944516486</v>
      </c>
      <c r="G15" s="134">
        <f>IF(SER_hh_fech_in!G15=0,0,SER_hh_fech_in!G15/SER_summary!G$27)</f>
        <v>1.7478247742087629</v>
      </c>
      <c r="H15" s="134">
        <f>IF(SER_hh_fech_in!H15=0,0,SER_hh_fech_in!H15/SER_summary!H$27)</f>
        <v>1.5859639470444757</v>
      </c>
      <c r="I15" s="134">
        <f>IF(SER_hh_fech_in!I15=0,0,SER_hh_fech_in!I15/SER_summary!I$27)</f>
        <v>1.4533712703183383</v>
      </c>
      <c r="J15" s="134">
        <f>IF(SER_hh_fech_in!J15=0,0,SER_hh_fech_in!J15/SER_summary!J$27)</f>
        <v>1.3940058306712966</v>
      </c>
      <c r="K15" s="134">
        <f>IF(SER_hh_fech_in!K15=0,0,SER_hh_fech_in!K15/SER_summary!K$27)</f>
        <v>1.5210501071156144</v>
      </c>
      <c r="L15" s="134">
        <f>IF(SER_hh_fech_in!L15=0,0,SER_hh_fech_in!L15/SER_summary!L$27)</f>
        <v>1.5033065400015644</v>
      </c>
      <c r="M15" s="134">
        <f>IF(SER_hh_fech_in!M15=0,0,SER_hh_fech_in!M15/SER_summary!M$27)</f>
        <v>1.019793981876393</v>
      </c>
      <c r="N15" s="134">
        <f>IF(SER_hh_fech_in!N15=0,0,SER_hh_fech_in!N15/SER_summary!N$27)</f>
        <v>1.1138046884790376</v>
      </c>
      <c r="O15" s="134">
        <f>IF(SER_hh_fech_in!O15=0,0,SER_hh_fech_in!O15/SER_summary!O$27)</f>
        <v>1.095897411704831</v>
      </c>
      <c r="P15" s="134">
        <f>IF(SER_hh_fech_in!P15=0,0,SER_hh_fech_in!P15/SER_summary!P$27)</f>
        <v>0.91967317831577311</v>
      </c>
      <c r="Q15" s="134">
        <f>IF(SER_hh_fech_in!Q15=0,0,SER_hh_fech_in!Q15/SER_summary!Q$27)</f>
        <v>0.8026433265140186</v>
      </c>
      <c r="R15" s="134">
        <f>IF(SER_hh_fech_in!R15=0,0,SER_hh_fech_in!R15/SER_summary!R$27)</f>
        <v>0.81198111645585236</v>
      </c>
      <c r="S15" s="134">
        <f>IF(SER_hh_fech_in!S15=0,0,SER_hh_fech_in!S15/SER_summary!S$27)</f>
        <v>0.83243318388805732</v>
      </c>
      <c r="T15" s="134">
        <f>IF(SER_hh_fech_in!T15=0,0,SER_hh_fech_in!T15/SER_summary!T$27)</f>
        <v>0.82329145540604309</v>
      </c>
      <c r="U15" s="134">
        <f>IF(SER_hh_fech_in!U15=0,0,SER_hh_fech_in!U15/SER_summary!U$27)</f>
        <v>0.74454412235363521</v>
      </c>
      <c r="V15" s="134">
        <f>IF(SER_hh_fech_in!V15=0,0,SER_hh_fech_in!V15/SER_summary!V$27)</f>
        <v>0.64135640249597414</v>
      </c>
      <c r="W15" s="134">
        <f>IF(SER_hh_fech_in!W15=0,0,SER_hh_fech_in!W15/SER_summary!W$27)</f>
        <v>0.54285992523106408</v>
      </c>
      <c r="X15" s="134">
        <f>IF(SER_hh_fech_in!X15=0,0,SER_hh_fech_in!X15/SER_summary!X$27)</f>
        <v>0.50245021629261644</v>
      </c>
      <c r="Y15" s="134">
        <f>IF(SER_hh_fech_in!Y15=0,0,SER_hh_fech_in!Y15/SER_summary!Y$27)</f>
        <v>0.43261823617839623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11.894432352101068</v>
      </c>
      <c r="D16" s="130">
        <f>IF(SER_hh_fech_in!D16=0,0,SER_hh_fech_in!D16/SER_summary!D$27)</f>
        <v>10.833386947832238</v>
      </c>
      <c r="E16" s="130">
        <f>IF(SER_hh_fech_in!E16=0,0,SER_hh_fech_in!E16/SER_summary!E$27)</f>
        <v>18.144979887786246</v>
      </c>
      <c r="F16" s="130">
        <f>IF(SER_hh_fech_in!F16=0,0,SER_hh_fech_in!F16/SER_summary!F$27)</f>
        <v>10.122708298852684</v>
      </c>
      <c r="G16" s="130">
        <f>IF(SER_hh_fech_in!G16=0,0,SER_hh_fech_in!G16/SER_summary!G$27)</f>
        <v>10.497854764236045</v>
      </c>
      <c r="H16" s="130">
        <f>IF(SER_hh_fech_in!H16=0,0,SER_hh_fech_in!H16/SER_summary!H$27)</f>
        <v>11.53200167999325</v>
      </c>
      <c r="I16" s="130">
        <f>IF(SER_hh_fech_in!I16=0,0,SER_hh_fech_in!I16/SER_summary!I$27)</f>
        <v>8.5531124589398999</v>
      </c>
      <c r="J16" s="130">
        <f>IF(SER_hh_fech_in!J16=0,0,SER_hh_fech_in!J16/SER_summary!J$27)</f>
        <v>8.3027510314128712</v>
      </c>
      <c r="K16" s="130">
        <f>IF(SER_hh_fech_in!K16=0,0,SER_hh_fech_in!K16/SER_summary!K$27)</f>
        <v>8.386861677646678</v>
      </c>
      <c r="L16" s="130">
        <f>IF(SER_hh_fech_in!L16=0,0,SER_hh_fech_in!L16/SER_summary!L$27)</f>
        <v>7.9137260801210241</v>
      </c>
      <c r="M16" s="130">
        <f>IF(SER_hh_fech_in!M16=0,0,SER_hh_fech_in!M16/SER_summary!M$27)</f>
        <v>7.4823268029421524</v>
      </c>
      <c r="N16" s="130">
        <f>IF(SER_hh_fech_in!N16=0,0,SER_hh_fech_in!N16/SER_summary!N$27)</f>
        <v>7.6161946971537233</v>
      </c>
      <c r="O16" s="130">
        <f>IF(SER_hh_fech_in!O16=0,0,SER_hh_fech_in!O16/SER_summary!O$27)</f>
        <v>6.9606706217690162</v>
      </c>
      <c r="P16" s="130">
        <f>IF(SER_hh_fech_in!P16=0,0,SER_hh_fech_in!P16/SER_summary!P$27)</f>
        <v>6.0248696082325148</v>
      </c>
      <c r="Q16" s="130">
        <f>IF(SER_hh_fech_in!Q16=0,0,SER_hh_fech_in!Q16/SER_summary!Q$27)</f>
        <v>7.1581094018646176</v>
      </c>
      <c r="R16" s="130">
        <f>IF(SER_hh_fech_in!R16=0,0,SER_hh_fech_in!R16/SER_summary!R$27)</f>
        <v>5.8742987565815783</v>
      </c>
      <c r="S16" s="130">
        <f>IF(SER_hh_fech_in!S16=0,0,SER_hh_fech_in!S16/SER_summary!S$27)</f>
        <v>6.2300952865140351</v>
      </c>
      <c r="T16" s="130">
        <f>IF(SER_hh_fech_in!T16=0,0,SER_hh_fech_in!T16/SER_summary!T$27)</f>
        <v>5.8434719276690403</v>
      </c>
      <c r="U16" s="130">
        <f>IF(SER_hh_fech_in!U16=0,0,SER_hh_fech_in!U16/SER_summary!U$27)</f>
        <v>5.7000713800806508</v>
      </c>
      <c r="V16" s="130">
        <f>IF(SER_hh_fech_in!V16=0,0,SER_hh_fech_in!V16/SER_summary!V$27)</f>
        <v>5.3570198771920303</v>
      </c>
      <c r="W16" s="130">
        <f>IF(SER_hh_fech_in!W16=0,0,SER_hh_fech_in!W16/SER_summary!W$27)</f>
        <v>3.9953085790358003</v>
      </c>
      <c r="X16" s="130">
        <f>IF(SER_hh_fech_in!X16=0,0,SER_hh_fech_in!X16/SER_summary!X$27)</f>
        <v>5.9191572956748884</v>
      </c>
      <c r="Y16" s="130">
        <f>IF(SER_hh_fech_in!Y16=0,0,SER_hh_fech_in!Y16/SER_summary!Y$27)</f>
        <v>5.1398553783742864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23.265760110027948</v>
      </c>
      <c r="D17" s="132">
        <f>IF(SER_hh_fech_in!D17=0,0,SER_hh_fech_in!D17/SER_summary!D$27)</f>
        <v>21.743217407751867</v>
      </c>
      <c r="E17" s="132">
        <f>IF(SER_hh_fech_in!E17=0,0,SER_hh_fech_in!E17/SER_summary!E$27)</f>
        <v>42.201117107470999</v>
      </c>
      <c r="F17" s="132">
        <f>IF(SER_hh_fech_in!F17=0,0,SER_hh_fech_in!F17/SER_summary!F$27)</f>
        <v>21.352834652692355</v>
      </c>
      <c r="G17" s="132">
        <f>IF(SER_hh_fech_in!G17=0,0,SER_hh_fech_in!G17/SER_summary!G$27)</f>
        <v>20.140961812030941</v>
      </c>
      <c r="H17" s="132">
        <f>IF(SER_hh_fech_in!H17=0,0,SER_hh_fech_in!H17/SER_summary!H$27)</f>
        <v>25.298308229603879</v>
      </c>
      <c r="I17" s="132">
        <f>IF(SER_hh_fech_in!I17=0,0,SER_hh_fech_in!I17/SER_summary!I$27)</f>
        <v>19.256875604238736</v>
      </c>
      <c r="J17" s="132">
        <f>IF(SER_hh_fech_in!J17=0,0,SER_hh_fech_in!J17/SER_summary!J$27)</f>
        <v>19.01179976385826</v>
      </c>
      <c r="K17" s="132">
        <f>IF(SER_hh_fech_in!K17=0,0,SER_hh_fech_in!K17/SER_summary!K$27)</f>
        <v>19.684151047419487</v>
      </c>
      <c r="L17" s="132">
        <f>IF(SER_hh_fech_in!L17=0,0,SER_hh_fech_in!L17/SER_summary!L$27)</f>
        <v>18.83581511863499</v>
      </c>
      <c r="M17" s="132">
        <f>IF(SER_hh_fech_in!M17=0,0,SER_hh_fech_in!M17/SER_summary!M$27)</f>
        <v>17.944776905030388</v>
      </c>
      <c r="N17" s="132">
        <f>IF(SER_hh_fech_in!N17=0,0,SER_hh_fech_in!N17/SER_summary!N$27)</f>
        <v>18.142320878214758</v>
      </c>
      <c r="O17" s="132">
        <f>IF(SER_hh_fech_in!O17=0,0,SER_hh_fech_in!O17/SER_summary!O$27)</f>
        <v>17.260972536895725</v>
      </c>
      <c r="P17" s="132">
        <f>IF(SER_hh_fech_in!P17=0,0,SER_hh_fech_in!P17/SER_summary!P$27)</f>
        <v>14.467965909330387</v>
      </c>
      <c r="Q17" s="132">
        <f>IF(SER_hh_fech_in!Q17=0,0,SER_hh_fech_in!Q17/SER_summary!Q$27)</f>
        <v>18.448896729440161</v>
      </c>
      <c r="R17" s="132">
        <f>IF(SER_hh_fech_in!R17=0,0,SER_hh_fech_in!R17/SER_summary!R$27)</f>
        <v>15.530542484194557</v>
      </c>
      <c r="S17" s="132">
        <f>IF(SER_hh_fech_in!S17=0,0,SER_hh_fech_in!S17/SER_summary!S$27)</f>
        <v>15.97763592492004</v>
      </c>
      <c r="T17" s="132">
        <f>IF(SER_hh_fech_in!T17=0,0,SER_hh_fech_in!T17/SER_summary!T$27)</f>
        <v>14.923695991720207</v>
      </c>
      <c r="U17" s="132">
        <f>IF(SER_hh_fech_in!U17=0,0,SER_hh_fech_in!U17/SER_summary!U$27)</f>
        <v>14.240066733551759</v>
      </c>
      <c r="V17" s="132">
        <f>IF(SER_hh_fech_in!V17=0,0,SER_hh_fech_in!V17/SER_summary!V$27)</f>
        <v>12.87544957819353</v>
      </c>
      <c r="W17" s="132">
        <f>IF(SER_hh_fech_in!W17=0,0,SER_hh_fech_in!W17/SER_summary!W$27)</f>
        <v>9.150188224759475</v>
      </c>
      <c r="X17" s="132">
        <f>IF(SER_hh_fech_in!X17=0,0,SER_hh_fech_in!X17/SER_summary!X$27)</f>
        <v>13.704397741582188</v>
      </c>
      <c r="Y17" s="132">
        <f>IF(SER_hh_fech_in!Y17=0,0,SER_hh_fech_in!Y17/SER_summary!Y$27)</f>
        <v>12.864268173103783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11.841645520720958</v>
      </c>
      <c r="D18" s="132">
        <f>IF(SER_hh_fech_in!D18=0,0,SER_hh_fech_in!D18/SER_summary!D$27)</f>
        <v>10.785831227699447</v>
      </c>
      <c r="E18" s="132">
        <f>IF(SER_hh_fech_in!E18=0,0,SER_hh_fech_in!E18/SER_summary!E$27)</f>
        <v>17.934389708302451</v>
      </c>
      <c r="F18" s="132">
        <f>IF(SER_hh_fech_in!F18=0,0,SER_hh_fech_in!F18/SER_summary!F$27)</f>
        <v>10.07656150511014</v>
      </c>
      <c r="G18" s="132">
        <f>IF(SER_hh_fech_in!G18=0,0,SER_hh_fech_in!G18/SER_summary!G$27)</f>
        <v>10.446429672297315</v>
      </c>
      <c r="H18" s="132">
        <f>IF(SER_hh_fech_in!H18=0,0,SER_hh_fech_in!H18/SER_summary!H$27)</f>
        <v>11.384379369833979</v>
      </c>
      <c r="I18" s="132">
        <f>IF(SER_hh_fech_in!I18=0,0,SER_hh_fech_in!I18/SER_summary!I$27)</f>
        <v>8.474093235009903</v>
      </c>
      <c r="J18" s="132">
        <f>IF(SER_hh_fech_in!J18=0,0,SER_hh_fech_in!J18/SER_summary!J$27)</f>
        <v>8.1809296323046183</v>
      </c>
      <c r="K18" s="132">
        <f>IF(SER_hh_fech_in!K18=0,0,SER_hh_fech_in!K18/SER_summary!K$27)</f>
        <v>8.28717682628265</v>
      </c>
      <c r="L18" s="132">
        <f>IF(SER_hh_fech_in!L18=0,0,SER_hh_fech_in!L18/SER_summary!L$27)</f>
        <v>7.748731617212445</v>
      </c>
      <c r="M18" s="132">
        <f>IF(SER_hh_fech_in!M18=0,0,SER_hh_fech_in!M18/SER_summary!M$27)</f>
        <v>7.1929952937940218</v>
      </c>
      <c r="N18" s="132">
        <f>IF(SER_hh_fech_in!N18=0,0,SER_hh_fech_in!N18/SER_summary!N$27)</f>
        <v>7.0753432440925943</v>
      </c>
      <c r="O18" s="132">
        <f>IF(SER_hh_fech_in!O18=0,0,SER_hh_fech_in!O18/SER_summary!O$27)</f>
        <v>6.5474098569376453</v>
      </c>
      <c r="P18" s="132">
        <f>IF(SER_hh_fech_in!P18=0,0,SER_hh_fech_in!P18/SER_summary!P$27)</f>
        <v>5.7346987433256915</v>
      </c>
      <c r="Q18" s="132">
        <f>IF(SER_hh_fech_in!Q18=0,0,SER_hh_fech_in!Q18/SER_summary!Q$27)</f>
        <v>6.6918452786985929</v>
      </c>
      <c r="R18" s="132">
        <f>IF(SER_hh_fech_in!R18=0,0,SER_hh_fech_in!R18/SER_summary!R$27)</f>
        <v>5.5634596423975005</v>
      </c>
      <c r="S18" s="132">
        <f>IF(SER_hh_fech_in!S18=0,0,SER_hh_fech_in!S18/SER_summary!S$27)</f>
        <v>5.7482161517566466</v>
      </c>
      <c r="T18" s="132">
        <f>IF(SER_hh_fech_in!T18=0,0,SER_hh_fech_in!T18/SER_summary!T$27)</f>
        <v>5.4299213076082733</v>
      </c>
      <c r="U18" s="132">
        <f>IF(SER_hh_fech_in!U18=0,0,SER_hh_fech_in!U18/SER_summary!U$27)</f>
        <v>5.2376230567388831</v>
      </c>
      <c r="V18" s="132">
        <f>IF(SER_hh_fech_in!V18=0,0,SER_hh_fech_in!V18/SER_summary!V$27)</f>
        <v>4.9801183553544268</v>
      </c>
      <c r="W18" s="132">
        <f>IF(SER_hh_fech_in!W18=0,0,SER_hh_fech_in!W18/SER_summary!W$27)</f>
        <v>3.7383181498389479</v>
      </c>
      <c r="X18" s="132">
        <f>IF(SER_hh_fech_in!X18=0,0,SER_hh_fech_in!X18/SER_summary!X$27)</f>
        <v>5.4510301395710208</v>
      </c>
      <c r="Y18" s="132">
        <f>IF(SER_hh_fech_in!Y18=0,0,SER_hh_fech_in!Y18/SER_summary!Y$27)</f>
        <v>4.7898398753964715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25.667428432377164</v>
      </c>
      <c r="D19" s="130">
        <f>IF(SER_hh_fech_in!D19=0,0,SER_hh_fech_in!D19/SER_summary!D$27)</f>
        <v>25.580385078115121</v>
      </c>
      <c r="E19" s="130">
        <f>IF(SER_hh_fech_in!E19=0,0,SER_hh_fech_in!E19/SER_summary!E$27)</f>
        <v>24.815766010529131</v>
      </c>
      <c r="F19" s="130">
        <f>IF(SER_hh_fech_in!F19=0,0,SER_hh_fech_in!F19/SER_summary!F$27)</f>
        <v>24.959821085236147</v>
      </c>
      <c r="G19" s="130">
        <f>IF(SER_hh_fech_in!G19=0,0,SER_hh_fech_in!G19/SER_summary!G$27)</f>
        <v>24.083634299540815</v>
      </c>
      <c r="H19" s="130">
        <f>IF(SER_hh_fech_in!H19=0,0,SER_hh_fech_in!H19/SER_summary!H$27)</f>
        <v>23.762973679639224</v>
      </c>
      <c r="I19" s="130">
        <f>IF(SER_hh_fech_in!I19=0,0,SER_hh_fech_in!I19/SER_summary!I$27)</f>
        <v>23.882564657293468</v>
      </c>
      <c r="J19" s="130">
        <f>IF(SER_hh_fech_in!J19=0,0,SER_hh_fech_in!J19/SER_summary!J$27)</f>
        <v>24.05429996709179</v>
      </c>
      <c r="K19" s="130">
        <f>IF(SER_hh_fech_in!K19=0,0,SER_hh_fech_in!K19/SER_summary!K$27)</f>
        <v>24.220138311167272</v>
      </c>
      <c r="L19" s="130">
        <f>IF(SER_hh_fech_in!L19=0,0,SER_hh_fech_in!L19/SER_summary!L$27)</f>
        <v>23.112168610384504</v>
      </c>
      <c r="M19" s="130">
        <f>IF(SER_hh_fech_in!M19=0,0,SER_hh_fech_in!M19/SER_summary!M$27)</f>
        <v>22.98580208082198</v>
      </c>
      <c r="N19" s="130">
        <f>IF(SER_hh_fech_in!N19=0,0,SER_hh_fech_in!N19/SER_summary!N$27)</f>
        <v>21.979467240405526</v>
      </c>
      <c r="O19" s="130">
        <f>IF(SER_hh_fech_in!O19=0,0,SER_hh_fech_in!O19/SER_summary!O$27)</f>
        <v>22.149939277894621</v>
      </c>
      <c r="P19" s="130">
        <f>IF(SER_hh_fech_in!P19=0,0,SER_hh_fech_in!P19/SER_summary!P$27)</f>
        <v>22.648076499723075</v>
      </c>
      <c r="Q19" s="130">
        <f>IF(SER_hh_fech_in!Q19=0,0,SER_hh_fech_in!Q19/SER_summary!Q$27)</f>
        <v>20.626656215067047</v>
      </c>
      <c r="R19" s="130">
        <f>IF(SER_hh_fech_in!R19=0,0,SER_hh_fech_in!R19/SER_summary!R$27)</f>
        <v>20.313092879219809</v>
      </c>
      <c r="S19" s="130">
        <f>IF(SER_hh_fech_in!S19=0,0,SER_hh_fech_in!S19/SER_summary!S$27)</f>
        <v>19.574440649905828</v>
      </c>
      <c r="T19" s="130">
        <f>IF(SER_hh_fech_in!T19=0,0,SER_hh_fech_in!T19/SER_summary!T$27)</f>
        <v>19.589504076060301</v>
      </c>
      <c r="U19" s="130">
        <f>IF(SER_hh_fech_in!U19=0,0,SER_hh_fech_in!U19/SER_summary!U$27)</f>
        <v>18.676780411960461</v>
      </c>
      <c r="V19" s="130">
        <f>IF(SER_hh_fech_in!V19=0,0,SER_hh_fech_in!V19/SER_summary!V$27)</f>
        <v>17.148236845651716</v>
      </c>
      <c r="W19" s="130">
        <f>IF(SER_hh_fech_in!W19=0,0,SER_hh_fech_in!W19/SER_summary!W$27)</f>
        <v>17.641145421429719</v>
      </c>
      <c r="X19" s="130">
        <f>IF(SER_hh_fech_in!X19=0,0,SER_hh_fech_in!X19/SER_summary!X$27)</f>
        <v>18.155451572720938</v>
      </c>
      <c r="Y19" s="130">
        <f>IF(SER_hh_fech_in!Y19=0,0,SER_hh_fech_in!Y19/SER_summary!Y$27)</f>
        <v>17.720730743386262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28.220163704056034</v>
      </c>
      <c r="D21" s="132">
        <f>IF(SER_hh_fech_in!D21=0,0,SER_hh_fech_in!D21/SER_summary!D$27)</f>
        <v>28.746124924622862</v>
      </c>
      <c r="E21" s="132">
        <f>IF(SER_hh_fech_in!E21=0,0,SER_hh_fech_in!E21/SER_summary!E$27)</f>
        <v>28.764307778386524</v>
      </c>
      <c r="F21" s="132">
        <f>IF(SER_hh_fech_in!F21=0,0,SER_hh_fech_in!F21/SER_summary!F$27)</f>
        <v>28.403867918435974</v>
      </c>
      <c r="G21" s="132">
        <f>IF(SER_hh_fech_in!G21=0,0,SER_hh_fech_in!G21/SER_summary!G$27)</f>
        <v>26.560101039423113</v>
      </c>
      <c r="H21" s="132">
        <f>IF(SER_hh_fech_in!H21=0,0,SER_hh_fech_in!H21/SER_summary!H$27)</f>
        <v>27.280339643445959</v>
      </c>
      <c r="I21" s="132">
        <f>IF(SER_hh_fech_in!I21=0,0,SER_hh_fech_in!I21/SER_summary!I$27)</f>
        <v>27.036669770967325</v>
      </c>
      <c r="J21" s="132">
        <f>IF(SER_hh_fech_in!J21=0,0,SER_hh_fech_in!J21/SER_summary!J$27)</f>
        <v>27.021454391389231</v>
      </c>
      <c r="K21" s="132">
        <f>IF(SER_hh_fech_in!K21=0,0,SER_hh_fech_in!K21/SER_summary!K$27)</f>
        <v>28.246568193933204</v>
      </c>
      <c r="L21" s="132">
        <f>IF(SER_hh_fech_in!L21=0,0,SER_hh_fech_in!L21/SER_summary!L$27)</f>
        <v>26.893439296674817</v>
      </c>
      <c r="M21" s="132">
        <f>IF(SER_hh_fech_in!M21=0,0,SER_hh_fech_in!M21/SER_summary!M$27)</f>
        <v>0</v>
      </c>
      <c r="N21" s="132">
        <f>IF(SER_hh_fech_in!N21=0,0,SER_hh_fech_in!N21/SER_summary!N$27)</f>
        <v>26.866098247324121</v>
      </c>
      <c r="O21" s="132">
        <f>IF(SER_hh_fech_in!O21=0,0,SER_hh_fech_in!O21/SER_summary!O$27)</f>
        <v>25.263262537092789</v>
      </c>
      <c r="P21" s="132">
        <f>IF(SER_hh_fech_in!P21=0,0,SER_hh_fech_in!P21/SER_summary!P$27)</f>
        <v>22.853328193965151</v>
      </c>
      <c r="Q21" s="132">
        <f>IF(SER_hh_fech_in!Q21=0,0,SER_hh_fech_in!Q21/SER_summary!Q$27)</f>
        <v>22.604761077552777</v>
      </c>
      <c r="R21" s="132">
        <f>IF(SER_hh_fech_in!R21=0,0,SER_hh_fech_in!R21/SER_summary!R$27)</f>
        <v>22.259628777279332</v>
      </c>
      <c r="S21" s="132">
        <f>IF(SER_hh_fech_in!S21=0,0,SER_hh_fech_in!S21/SER_summary!S$27)</f>
        <v>22.731144823794022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19.240158139246308</v>
      </c>
      <c r="Y21" s="132">
        <f>IF(SER_hh_fech_in!Y21=0,0,SER_hh_fech_in!Y21/SER_summary!Y$27)</f>
        <v>18.958466399713782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30.589539887316541</v>
      </c>
      <c r="D22" s="132">
        <f>IF(SER_hh_fech_in!D22=0,0,SER_hh_fech_in!D22/SER_summary!D$27)</f>
        <v>30.023392698027475</v>
      </c>
      <c r="E22" s="132">
        <f>IF(SER_hh_fech_in!E22=0,0,SER_hh_fech_in!E22/SER_summary!E$27)</f>
        <v>29.607354677201624</v>
      </c>
      <c r="F22" s="132">
        <f>IF(SER_hh_fech_in!F22=0,0,SER_hh_fech_in!F22/SER_summary!F$27)</f>
        <v>29.923157689567375</v>
      </c>
      <c r="G22" s="132">
        <f>IF(SER_hh_fech_in!G22=0,0,SER_hh_fech_in!G22/SER_summary!G$27)</f>
        <v>29.27867807238438</v>
      </c>
      <c r="H22" s="132">
        <f>IF(SER_hh_fech_in!H22=0,0,SER_hh_fech_in!H22/SER_summary!H$27)</f>
        <v>28.795771960390557</v>
      </c>
      <c r="I22" s="132">
        <f>IF(SER_hh_fech_in!I22=0,0,SER_hh_fech_in!I22/SER_summary!I$27)</f>
        <v>27.775033078295209</v>
      </c>
      <c r="J22" s="132">
        <f>IF(SER_hh_fech_in!J22=0,0,SER_hh_fech_in!J22/SER_summary!J$27)</f>
        <v>28.573226969472536</v>
      </c>
      <c r="K22" s="132">
        <f>IF(SER_hh_fech_in!K22=0,0,SER_hh_fech_in!K22/SER_summary!K$27)</f>
        <v>28.813231321637844</v>
      </c>
      <c r="L22" s="132">
        <f>IF(SER_hh_fech_in!L22=0,0,SER_hh_fech_in!L22/SER_summary!L$27)</f>
        <v>27.507919247911232</v>
      </c>
      <c r="M22" s="132">
        <f>IF(SER_hh_fech_in!M22=0,0,SER_hh_fech_in!M22/SER_summary!M$27)</f>
        <v>25.867873342763701</v>
      </c>
      <c r="N22" s="132">
        <f>IF(SER_hh_fech_in!N22=0,0,SER_hh_fech_in!N22/SER_summary!N$27)</f>
        <v>25.887581453934427</v>
      </c>
      <c r="O22" s="132">
        <f>IF(SER_hh_fech_in!O22=0,0,SER_hh_fech_in!O22/SER_summary!O$27)</f>
        <v>24.320575734217858</v>
      </c>
      <c r="P22" s="132">
        <f>IF(SER_hh_fech_in!P22=0,0,SER_hh_fech_in!P22/SER_summary!P$27)</f>
        <v>26.755759619344953</v>
      </c>
      <c r="Q22" s="132">
        <f>IF(SER_hh_fech_in!Q22=0,0,SER_hh_fech_in!Q22/SER_summary!Q$27)</f>
        <v>23.955565584750389</v>
      </c>
      <c r="R22" s="132">
        <f>IF(SER_hh_fech_in!R22=0,0,SER_hh_fech_in!R22/SER_summary!R$27)</f>
        <v>0</v>
      </c>
      <c r="S22" s="132">
        <f>IF(SER_hh_fech_in!S22=0,0,SER_hh_fech_in!S22/SER_summary!S$27)</f>
        <v>23.427823452992563</v>
      </c>
      <c r="T22" s="132">
        <f>IF(SER_hh_fech_in!T22=0,0,SER_hh_fech_in!T22/SER_summary!T$27)</f>
        <v>20.868114645401864</v>
      </c>
      <c r="U22" s="132">
        <f>IF(SER_hh_fech_in!U22=0,0,SER_hh_fech_in!U22/SER_summary!U$27)</f>
        <v>19.520427574793384</v>
      </c>
      <c r="V22" s="132">
        <f>IF(SER_hh_fech_in!V22=0,0,SER_hh_fech_in!V22/SER_summary!V$27)</f>
        <v>20.775032226315908</v>
      </c>
      <c r="W22" s="132">
        <f>IF(SER_hh_fech_in!W22=0,0,SER_hh_fech_in!W22/SER_summary!W$27)</f>
        <v>16.975071974677718</v>
      </c>
      <c r="X22" s="132">
        <f>IF(SER_hh_fech_in!X22=0,0,SER_hh_fech_in!X22/SER_summary!X$27)</f>
        <v>21.609116280738331</v>
      </c>
      <c r="Y22" s="132">
        <f>IF(SER_hh_fech_in!Y22=0,0,SER_hh_fech_in!Y22/SER_summary!Y$27)</f>
        <v>18.853285306389608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28.052927261609426</v>
      </c>
      <c r="D23" s="132">
        <f>IF(SER_hh_fech_in!D23=0,0,SER_hh_fech_in!D23/SER_summary!D$27)</f>
        <v>27.469000956513646</v>
      </c>
      <c r="E23" s="132">
        <f>IF(SER_hh_fech_in!E23=0,0,SER_hh_fech_in!E23/SER_summary!E$27)</f>
        <v>27.618090063542478</v>
      </c>
      <c r="F23" s="132">
        <f>IF(SER_hh_fech_in!F23=0,0,SER_hh_fech_in!F23/SER_summary!F$27)</f>
        <v>27.603929095076538</v>
      </c>
      <c r="G23" s="132">
        <f>IF(SER_hh_fech_in!G23=0,0,SER_hh_fech_in!G23/SER_summary!G$27)</f>
        <v>25.749034319518728</v>
      </c>
      <c r="H23" s="132">
        <f>IF(SER_hh_fech_in!H23=0,0,SER_hh_fech_in!H23/SER_summary!H$27)</f>
        <v>25.418878845192474</v>
      </c>
      <c r="I23" s="132">
        <f>IF(SER_hh_fech_in!I23=0,0,SER_hh_fech_in!I23/SER_summary!I$27)</f>
        <v>25.308358854777499</v>
      </c>
      <c r="J23" s="132">
        <f>IF(SER_hh_fech_in!J23=0,0,SER_hh_fech_in!J23/SER_summary!J$27)</f>
        <v>24.65877854900852</v>
      </c>
      <c r="K23" s="132">
        <f>IF(SER_hh_fech_in!K23=0,0,SER_hh_fech_in!K23/SER_summary!K$27)</f>
        <v>25.965251639891296</v>
      </c>
      <c r="L23" s="132">
        <f>IF(SER_hh_fech_in!L23=0,0,SER_hh_fech_in!L23/SER_summary!L$27)</f>
        <v>24.558871221512383</v>
      </c>
      <c r="M23" s="132">
        <f>IF(SER_hh_fech_in!M23=0,0,SER_hh_fech_in!M23/SER_summary!M$27)</f>
        <v>26.571525324149654</v>
      </c>
      <c r="N23" s="132">
        <f>IF(SER_hh_fech_in!N23=0,0,SER_hh_fech_in!N23/SER_summary!N$27)</f>
        <v>20.01175653514186</v>
      </c>
      <c r="O23" s="132">
        <f>IF(SER_hh_fech_in!O23=0,0,SER_hh_fech_in!O23/SER_summary!O$27)</f>
        <v>21.479496218330382</v>
      </c>
      <c r="P23" s="132">
        <f>IF(SER_hh_fech_in!P23=0,0,SER_hh_fech_in!P23/SER_summary!P$27)</f>
        <v>22.317255724858093</v>
      </c>
      <c r="Q23" s="132">
        <f>IF(SER_hh_fech_in!Q23=0,0,SER_hh_fech_in!Q23/SER_summary!Q$27)</f>
        <v>20.724906087922278</v>
      </c>
      <c r="R23" s="132">
        <f>IF(SER_hh_fech_in!R23=0,0,SER_hh_fech_in!R23/SER_summary!R$27)</f>
        <v>22.134669692487499</v>
      </c>
      <c r="S23" s="132">
        <f>IF(SER_hh_fech_in!S23=0,0,SER_hh_fech_in!S23/SER_summary!S$27)</f>
        <v>20.740521740617567</v>
      </c>
      <c r="T23" s="132">
        <f>IF(SER_hh_fech_in!T23=0,0,SER_hh_fech_in!T23/SER_summary!T$27)</f>
        <v>20.483988727204007</v>
      </c>
      <c r="U23" s="132">
        <f>IF(SER_hh_fech_in!U23=0,0,SER_hh_fech_in!U23/SER_summary!U$27)</f>
        <v>19.674240695262824</v>
      </c>
      <c r="V23" s="132">
        <f>IF(SER_hh_fech_in!V23=0,0,SER_hh_fech_in!V23/SER_summary!V$27)</f>
        <v>17.219259282239971</v>
      </c>
      <c r="W23" s="132">
        <f>IF(SER_hh_fech_in!W23=0,0,SER_hh_fech_in!W23/SER_summary!W$27)</f>
        <v>20.913654554487689</v>
      </c>
      <c r="X23" s="132">
        <f>IF(SER_hh_fech_in!X23=0,0,SER_hh_fech_in!X23/SER_summary!X$27)</f>
        <v>19.576609927075509</v>
      </c>
      <c r="Y23" s="132">
        <f>IF(SER_hh_fech_in!Y23=0,0,SER_hh_fech_in!Y23/SER_summary!Y$27)</f>
        <v>19.296913259273612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28.182086001126322</v>
      </c>
      <c r="D24" s="132">
        <f>IF(SER_hh_fech_in!D24=0,0,SER_hh_fech_in!D24/SER_summary!D$27)</f>
        <v>27.420361388518405</v>
      </c>
      <c r="E24" s="132">
        <f>IF(SER_hh_fech_in!E24=0,0,SER_hh_fech_in!E24/SER_summary!E$27)</f>
        <v>26.650013462893089</v>
      </c>
      <c r="F24" s="132">
        <f>IF(SER_hh_fech_in!F24=0,0,SER_hh_fech_in!F24/SER_summary!F$27)</f>
        <v>26.913361009824655</v>
      </c>
      <c r="G24" s="132">
        <f>IF(SER_hh_fech_in!G24=0,0,SER_hh_fech_in!G24/SER_summary!G$27)</f>
        <v>25.328538171839565</v>
      </c>
      <c r="H24" s="132">
        <f>IF(SER_hh_fech_in!H24=0,0,SER_hh_fech_in!H24/SER_summary!H$27)</f>
        <v>23.808914047742885</v>
      </c>
      <c r="I24" s="132">
        <f>IF(SER_hh_fech_in!I24=0,0,SER_hh_fech_in!I24/SER_summary!I$27)</f>
        <v>25.514860755436857</v>
      </c>
      <c r="J24" s="132">
        <f>IF(SER_hh_fech_in!J24=0,0,SER_hh_fech_in!J24/SER_summary!J$27)</f>
        <v>23.663968595858254</v>
      </c>
      <c r="K24" s="132">
        <f>IF(SER_hh_fech_in!K24=0,0,SER_hh_fech_in!K24/SER_summary!K$27)</f>
        <v>24.885418347321139</v>
      </c>
      <c r="L24" s="132">
        <f>IF(SER_hh_fech_in!L24=0,0,SER_hh_fech_in!L24/SER_summary!L$27)</f>
        <v>26.436607555291598</v>
      </c>
      <c r="M24" s="132">
        <f>IF(SER_hh_fech_in!M24=0,0,SER_hh_fech_in!M24/SER_summary!M$27)</f>
        <v>0</v>
      </c>
      <c r="N24" s="132">
        <f>IF(SER_hh_fech_in!N24=0,0,SER_hh_fech_in!N24/SER_summary!N$27)</f>
        <v>19.243070493907251</v>
      </c>
      <c r="O24" s="132">
        <f>IF(SER_hh_fech_in!O24=0,0,SER_hh_fech_in!O24/SER_summary!O$27)</f>
        <v>25.553511101874726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21.675524831755812</v>
      </c>
      <c r="S24" s="132">
        <f>IF(SER_hh_fech_in!S24=0,0,SER_hh_fech_in!S24/SER_summary!S$27)</f>
        <v>21.473096038598154</v>
      </c>
      <c r="T24" s="132">
        <f>IF(SER_hh_fech_in!T24=0,0,SER_hh_fech_in!T24/SER_summary!T$27)</f>
        <v>20.074422217659396</v>
      </c>
      <c r="U24" s="132">
        <f>IF(SER_hh_fech_in!U24=0,0,SER_hh_fech_in!U24/SER_summary!U$27)</f>
        <v>19.286137340886178</v>
      </c>
      <c r="V24" s="132">
        <f>IF(SER_hh_fech_in!V24=0,0,SER_hh_fech_in!V24/SER_summary!V$27)</f>
        <v>18.313262213631813</v>
      </c>
      <c r="W24" s="132">
        <f>IF(SER_hh_fech_in!W24=0,0,SER_hh_fech_in!W24/SER_summary!W$27)</f>
        <v>18.734338635543981</v>
      </c>
      <c r="X24" s="132">
        <f>IF(SER_hh_fech_in!X24=0,0,SER_hh_fech_in!X24/SER_summary!X$27)</f>
        <v>19.929286434790701</v>
      </c>
      <c r="Y24" s="132">
        <f>IF(SER_hh_fech_in!Y24=0,0,SER_hh_fech_in!Y24/SER_summary!Y$27)</f>
        <v>19.237118903619471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20.273096642620061</v>
      </c>
      <c r="D25" s="132">
        <f>IF(SER_hh_fech_in!D25=0,0,SER_hh_fech_in!D25/SER_summary!D$27)</f>
        <v>19.652795900358974</v>
      </c>
      <c r="E25" s="132">
        <f>IF(SER_hh_fech_in!E25=0,0,SER_hh_fech_in!E25/SER_summary!E$27)</f>
        <v>19.644626908130704</v>
      </c>
      <c r="F25" s="132">
        <f>IF(SER_hh_fech_in!F25=0,0,SER_hh_fech_in!F25/SER_summary!F$27)</f>
        <v>19.896977479463928</v>
      </c>
      <c r="G25" s="132">
        <f>IF(SER_hh_fech_in!G25=0,0,SER_hh_fech_in!G25/SER_summary!G$27)</f>
        <v>19.948505714068162</v>
      </c>
      <c r="H25" s="132">
        <f>IF(SER_hh_fech_in!H25=0,0,SER_hh_fech_in!H25/SER_summary!H$27)</f>
        <v>0</v>
      </c>
      <c r="I25" s="132">
        <f>IF(SER_hh_fech_in!I25=0,0,SER_hh_fech_in!I25/SER_summary!I$27)</f>
        <v>0</v>
      </c>
      <c r="J25" s="132">
        <f>IF(SER_hh_fech_in!J25=0,0,SER_hh_fech_in!J25/SER_summary!J$27)</f>
        <v>0</v>
      </c>
      <c r="K25" s="132">
        <f>IF(SER_hh_fech_in!K25=0,0,SER_hh_fech_in!K25/SER_summary!K$27)</f>
        <v>20.762829939083989</v>
      </c>
      <c r="L25" s="132">
        <f>IF(SER_hh_fech_in!L25=0,0,SER_hh_fech_in!L25/SER_summary!L$27)</f>
        <v>18.449753747129687</v>
      </c>
      <c r="M25" s="132">
        <f>IF(SER_hh_fech_in!M25=0,0,SER_hh_fech_in!M25/SER_summary!M$27)</f>
        <v>17.141679662583311</v>
      </c>
      <c r="N25" s="132">
        <f>IF(SER_hh_fech_in!N25=0,0,SER_hh_fech_in!N25/SER_summary!N$27)</f>
        <v>19.610124184194071</v>
      </c>
      <c r="O25" s="132">
        <f>IF(SER_hh_fech_in!O25=0,0,SER_hh_fech_in!O25/SER_summary!O$27)</f>
        <v>19.95339340930083</v>
      </c>
      <c r="P25" s="132">
        <f>IF(SER_hh_fech_in!P25=0,0,SER_hh_fech_in!P25/SER_summary!P$27)</f>
        <v>17.911567069536211</v>
      </c>
      <c r="Q25" s="132">
        <f>IF(SER_hh_fech_in!Q25=0,0,SER_hh_fech_in!Q25/SER_summary!Q$27)</f>
        <v>18.217657998599652</v>
      </c>
      <c r="R25" s="132">
        <f>IF(SER_hh_fech_in!R25=0,0,SER_hh_fech_in!R25/SER_summary!R$27)</f>
        <v>18.780550802582852</v>
      </c>
      <c r="S25" s="132">
        <f>IF(SER_hh_fech_in!S25=0,0,SER_hh_fech_in!S25/SER_summary!S$27)</f>
        <v>17.640166050747588</v>
      </c>
      <c r="T25" s="132">
        <f>IF(SER_hh_fech_in!T25=0,0,SER_hh_fech_in!T25/SER_summary!T$27)</f>
        <v>19.234072545594177</v>
      </c>
      <c r="U25" s="132">
        <f>IF(SER_hh_fech_in!U25=0,0,SER_hh_fech_in!U25/SER_summary!U$27)</f>
        <v>17.656297333427595</v>
      </c>
      <c r="V25" s="132">
        <f>IF(SER_hh_fech_in!V25=0,0,SER_hh_fech_in!V25/SER_summary!V$27)</f>
        <v>16.737523922997294</v>
      </c>
      <c r="W25" s="132">
        <f>IF(SER_hh_fech_in!W25=0,0,SER_hh_fech_in!W25/SER_summary!W$27)</f>
        <v>16.010337603202469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23.921262474782107</v>
      </c>
      <c r="D26" s="65">
        <f>IF(SER_hh_fech_in!D26=0,0,SER_hh_fech_in!D26/SER_summary!D$27)</f>
        <v>24.090578031232358</v>
      </c>
      <c r="E26" s="65">
        <f>IF(SER_hh_fech_in!E26=0,0,SER_hh_fech_in!E26/SER_summary!E$27)</f>
        <v>22.905755753955916</v>
      </c>
      <c r="F26" s="65">
        <f>IF(SER_hh_fech_in!F26=0,0,SER_hh_fech_in!F26/SER_summary!F$27)</f>
        <v>23.73997635192659</v>
      </c>
      <c r="G26" s="65">
        <f>IF(SER_hh_fech_in!G26=0,0,SER_hh_fech_in!G26/SER_summary!G$27)</f>
        <v>21.202579543247833</v>
      </c>
      <c r="H26" s="65">
        <f>IF(SER_hh_fech_in!H26=0,0,SER_hh_fech_in!H26/SER_summary!H$27)</f>
        <v>22.572234752140631</v>
      </c>
      <c r="I26" s="65">
        <f>IF(SER_hh_fech_in!I26=0,0,SER_hh_fech_in!I26/SER_summary!I$27)</f>
        <v>22.666758542322135</v>
      </c>
      <c r="J26" s="65">
        <f>IF(SER_hh_fech_in!J26=0,0,SER_hh_fech_in!J26/SER_summary!J$27)</f>
        <v>22.731811070672848</v>
      </c>
      <c r="K26" s="65">
        <f>IF(SER_hh_fech_in!K26=0,0,SER_hh_fech_in!K26/SER_summary!K$27)</f>
        <v>22.025722438764589</v>
      </c>
      <c r="L26" s="65">
        <f>IF(SER_hh_fech_in!L26=0,0,SER_hh_fech_in!L26/SER_summary!L$27)</f>
        <v>20.905594523898198</v>
      </c>
      <c r="M26" s="65">
        <f>IF(SER_hh_fech_in!M26=0,0,SER_hh_fech_in!M26/SER_summary!M$27)</f>
        <v>21.310244312353422</v>
      </c>
      <c r="N26" s="65">
        <f>IF(SER_hh_fech_in!N26=0,0,SER_hh_fech_in!N26/SER_summary!N$27)</f>
        <v>14.698744155748198</v>
      </c>
      <c r="O26" s="65">
        <f>IF(SER_hh_fech_in!O26=0,0,SER_hh_fech_in!O26/SER_summary!O$27)</f>
        <v>18.64740858791339</v>
      </c>
      <c r="P26" s="65">
        <f>IF(SER_hh_fech_in!P26=0,0,SER_hh_fech_in!P26/SER_summary!P$27)</f>
        <v>21.271111979312561</v>
      </c>
      <c r="Q26" s="65">
        <f>IF(SER_hh_fech_in!Q26=0,0,SER_hh_fech_in!Q26/SER_summary!Q$27)</f>
        <v>15.608312681394926</v>
      </c>
      <c r="R26" s="65">
        <f>IF(SER_hh_fech_in!R26=0,0,SER_hh_fech_in!R26/SER_summary!R$27)</f>
        <v>19.049783463672718</v>
      </c>
      <c r="S26" s="65">
        <f>IF(SER_hh_fech_in!S26=0,0,SER_hh_fech_in!S26/SER_summary!S$27)</f>
        <v>18.172538365530698</v>
      </c>
      <c r="T26" s="65">
        <f>IF(SER_hh_fech_in!T26=0,0,SER_hh_fech_in!T26/SER_summary!T$27)</f>
        <v>18.834942335918122</v>
      </c>
      <c r="U26" s="65">
        <f>IF(SER_hh_fech_in!U26=0,0,SER_hh_fech_in!U26/SER_summary!U$27)</f>
        <v>17.355598785736078</v>
      </c>
      <c r="V26" s="65">
        <f>IF(SER_hh_fech_in!V26=0,0,SER_hh_fech_in!V26/SER_summary!V$27)</f>
        <v>14.514010583277484</v>
      </c>
      <c r="W26" s="65">
        <f>IF(SER_hh_fech_in!W26=0,0,SER_hh_fech_in!W26/SER_summary!W$27)</f>
        <v>16.709727694170287</v>
      </c>
      <c r="X26" s="65">
        <f>IF(SER_hh_fech_in!X26=0,0,SER_hh_fech_in!X26/SER_summary!X$27)</f>
        <v>16.951563963162329</v>
      </c>
      <c r="Y26" s="65">
        <f>IF(SER_hh_fech_in!Y26=0,0,SER_hh_fech_in!Y26/SER_summary!Y$27)</f>
        <v>16.878108540939088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1.1990789150452283</v>
      </c>
      <c r="H27" s="145">
        <f>IF(SER_hh_fech_in!H27=0,0,SER_hh_fech_in!H27/SER_summary!H$27)</f>
        <v>3.3172564629698503E-2</v>
      </c>
      <c r="I27" s="145">
        <f>IF(SER_hh_fech_in!I27=0,0,SER_hh_fech_in!I27/SER_summary!I$27)</f>
        <v>0.19095013034536953</v>
      </c>
      <c r="J27" s="145">
        <f>IF(SER_hh_fech_in!J27=0,0,SER_hh_fech_in!J27/SER_summary!J$27)</f>
        <v>0.21150264757051998</v>
      </c>
      <c r="K27" s="145">
        <f>IF(SER_hh_fech_in!K27=0,0,SER_hh_fech_in!K27/SER_summary!K$27)</f>
        <v>0.31587179780266911</v>
      </c>
      <c r="L27" s="145">
        <f>IF(SER_hh_fech_in!L27=0,0,SER_hh_fech_in!L27/SER_summary!L$27)</f>
        <v>0.94914830089923663</v>
      </c>
      <c r="M27" s="145">
        <f>IF(SER_hh_fech_in!M27=0,0,SER_hh_fech_in!M27/SER_summary!M$27)</f>
        <v>0.41766607294231478</v>
      </c>
      <c r="N27" s="145">
        <f>IF(SER_hh_fech_in!N27=0,0,SER_hh_fech_in!N27/SER_summary!N$27)</f>
        <v>3.2776732971558218</v>
      </c>
      <c r="O27" s="145">
        <f>IF(SER_hh_fech_in!O27=0,0,SER_hh_fech_in!O27/SER_summary!O$27)</f>
        <v>1.3838395679250435</v>
      </c>
      <c r="P27" s="145">
        <f>IF(SER_hh_fech_in!P27=0,0,SER_hh_fech_in!P27/SER_summary!P$27)</f>
        <v>2.8638091834417165E-15</v>
      </c>
      <c r="Q27" s="145">
        <f>IF(SER_hh_fech_in!Q27=0,0,SER_hh_fech_in!Q27/SER_summary!Q$27)</f>
        <v>2.6725582152588574</v>
      </c>
      <c r="R27" s="145">
        <f>IF(SER_hh_fech_in!R27=0,0,SER_hh_fech_in!R27/SER_summary!R$27)</f>
        <v>0.53862350900220568</v>
      </c>
      <c r="S27" s="145">
        <f>IF(SER_hh_fech_in!S27=0,0,SER_hh_fech_in!S27/SER_summary!S$27)</f>
        <v>0.67272244985388474</v>
      </c>
      <c r="T27" s="145">
        <f>IF(SER_hh_fech_in!T27=0,0,SER_hh_fech_in!T27/SER_summary!T$27)</f>
        <v>0.37807396737062576</v>
      </c>
      <c r="U27" s="145">
        <f>IF(SER_hh_fech_in!U27=0,0,SER_hh_fech_in!U27/SER_summary!U$27)</f>
        <v>0.67733731543280518</v>
      </c>
      <c r="V27" s="145">
        <f>IF(SER_hh_fech_in!V27=0,0,SER_hh_fech_in!V27/SER_summary!V$27)</f>
        <v>1.190740330845655</v>
      </c>
      <c r="W27" s="145">
        <f>IF(SER_hh_fech_in!W27=0,0,SER_hh_fech_in!W27/SER_summary!W$27)</f>
        <v>0.18681564152766497</v>
      </c>
      <c r="X27" s="145">
        <f>IF(SER_hh_fech_in!X27=0,0,SER_hh_fech_in!X27/SER_summary!X$27)</f>
        <v>0</v>
      </c>
      <c r="Y27" s="145">
        <f>IF(SER_hh_fech_in!Y27=0,0,SER_hh_fech_in!Y27/SER_summary!Y$27)</f>
        <v>9.507616639703978E-2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13.126599861399633</v>
      </c>
      <c r="H28" s="146">
        <f>IF(SER_hh_fech_in!H28=0,0,SER_hh_fech_in!H28/SER_summary!H$27)</f>
        <v>13.019787292835765</v>
      </c>
      <c r="I28" s="146">
        <f>IF(SER_hh_fech_in!I28=0,0,SER_hh_fech_in!I28/SER_summary!I$27)</f>
        <v>12.243312711920638</v>
      </c>
      <c r="J28" s="146">
        <f>IF(SER_hh_fech_in!J28=0,0,SER_hh_fech_in!J28/SER_summary!J$27)</f>
        <v>12.773441109759052</v>
      </c>
      <c r="K28" s="146">
        <f>IF(SER_hh_fech_in!K28=0,0,SER_hh_fech_in!K28/SER_summary!K$27)</f>
        <v>13.302661225058959</v>
      </c>
      <c r="L28" s="146">
        <f>IF(SER_hh_fech_in!L28=0,0,SER_hh_fech_in!L28/SER_summary!L$27)</f>
        <v>9.2149230599411798</v>
      </c>
      <c r="M28" s="146">
        <f>IF(SER_hh_fech_in!M28=0,0,SER_hh_fech_in!M28/SER_summary!M$27)</f>
        <v>13.246233961021176</v>
      </c>
      <c r="N28" s="146">
        <f>IF(SER_hh_fech_in!N28=0,0,SER_hh_fech_in!N28/SER_summary!N$27)</f>
        <v>12.483722392481644</v>
      </c>
      <c r="O28" s="146">
        <f>IF(SER_hh_fech_in!O28=0,0,SER_hh_fech_in!O28/SER_summary!O$27)</f>
        <v>12.376783367390763</v>
      </c>
      <c r="P28" s="146">
        <f>IF(SER_hh_fech_in!P28=0,0,SER_hh_fech_in!P28/SER_summary!P$27)</f>
        <v>15.04356340883314</v>
      </c>
      <c r="Q28" s="146">
        <f>IF(SER_hh_fech_in!Q28=0,0,SER_hh_fech_in!Q28/SER_summary!Q$27)</f>
        <v>13.464453692012111</v>
      </c>
      <c r="R28" s="146">
        <f>IF(SER_hh_fech_in!R28=0,0,SER_hh_fech_in!R28/SER_summary!R$27)</f>
        <v>13.431251242042222</v>
      </c>
      <c r="S28" s="146">
        <f>IF(SER_hh_fech_in!S28=0,0,SER_hh_fech_in!S28/SER_summary!S$27)</f>
        <v>13.015381305367253</v>
      </c>
      <c r="T28" s="146">
        <f>IF(SER_hh_fech_in!T28=0,0,SER_hh_fech_in!T28/SER_summary!T$27)</f>
        <v>13.211383824823551</v>
      </c>
      <c r="U28" s="146">
        <f>IF(SER_hh_fech_in!U28=0,0,SER_hh_fech_in!U28/SER_summary!U$27)</f>
        <v>13.116888027959982</v>
      </c>
      <c r="V28" s="146">
        <f>IF(SER_hh_fech_in!V28=0,0,SER_hh_fech_in!V28/SER_summary!V$27)</f>
        <v>12.221548452132771</v>
      </c>
      <c r="W28" s="146">
        <f>IF(SER_hh_fech_in!W28=0,0,SER_hh_fech_in!W28/SER_summary!W$27)</f>
        <v>12.840601245365878</v>
      </c>
      <c r="X28" s="146">
        <f>IF(SER_hh_fech_in!X28=0,0,SER_hh_fech_in!X28/SER_summary!X$27)</f>
        <v>0</v>
      </c>
      <c r="Y28" s="146">
        <f>IF(SER_hh_fech_in!Y28=0,0,SER_hh_fech_in!Y28/SER_summary!Y$27)</f>
        <v>15.452910358258244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22.369240690930717</v>
      </c>
      <c r="D29" s="130">
        <f>IF(SER_hh_fech_in!D29=0,0,SER_hh_fech_in!D29/SER_summary!D$27)</f>
        <v>27.849795637748354</v>
      </c>
      <c r="E29" s="130">
        <f>IF(SER_hh_fech_in!E29=0,0,SER_hh_fech_in!E29/SER_summary!E$27)</f>
        <v>24.675948884444299</v>
      </c>
      <c r="F29" s="130">
        <f>IF(SER_hh_fech_in!F29=0,0,SER_hh_fech_in!F29/SER_summary!F$27)</f>
        <v>20.747066365770166</v>
      </c>
      <c r="G29" s="130">
        <f>IF(SER_hh_fech_in!G29=0,0,SER_hh_fech_in!G29/SER_summary!G$27)</f>
        <v>22.041679210953664</v>
      </c>
      <c r="H29" s="130">
        <f>IF(SER_hh_fech_in!H29=0,0,SER_hh_fech_in!H29/SER_summary!H$27)</f>
        <v>21.471981573506771</v>
      </c>
      <c r="I29" s="130">
        <f>IF(SER_hh_fech_in!I29=0,0,SER_hh_fech_in!I29/SER_summary!I$27)</f>
        <v>22.574383901235205</v>
      </c>
      <c r="J29" s="130">
        <f>IF(SER_hh_fech_in!J29=0,0,SER_hh_fech_in!J29/SER_summary!J$27)</f>
        <v>23.983241254162483</v>
      </c>
      <c r="K29" s="130">
        <f>IF(SER_hh_fech_in!K29=0,0,SER_hh_fech_in!K29/SER_summary!K$27)</f>
        <v>26.782683261016988</v>
      </c>
      <c r="L29" s="130">
        <f>IF(SER_hh_fech_in!L29=0,0,SER_hh_fech_in!L29/SER_summary!L$27)</f>
        <v>24.713013722972637</v>
      </c>
      <c r="M29" s="130">
        <f>IF(SER_hh_fech_in!M29=0,0,SER_hh_fech_in!M29/SER_summary!M$27)</f>
        <v>22.664808285190372</v>
      </c>
      <c r="N29" s="130">
        <f>IF(SER_hh_fech_in!N29=0,0,SER_hh_fech_in!N29/SER_summary!N$27)</f>
        <v>23.305250780100582</v>
      </c>
      <c r="O29" s="130">
        <f>IF(SER_hh_fech_in!O29=0,0,SER_hh_fech_in!O29/SER_summary!O$27)</f>
        <v>24.762877972349511</v>
      </c>
      <c r="P29" s="130">
        <f>IF(SER_hh_fech_in!P29=0,0,SER_hh_fech_in!P29/SER_summary!P$27)</f>
        <v>25.142846129472172</v>
      </c>
      <c r="Q29" s="130">
        <f>IF(SER_hh_fech_in!Q29=0,0,SER_hh_fech_in!Q29/SER_summary!Q$27)</f>
        <v>25.627308293453794</v>
      </c>
      <c r="R29" s="130">
        <f>IF(SER_hh_fech_in!R29=0,0,SER_hh_fech_in!R29/SER_summary!R$27)</f>
        <v>23.991741214778855</v>
      </c>
      <c r="S29" s="130">
        <f>IF(SER_hh_fech_in!S29=0,0,SER_hh_fech_in!S29/SER_summary!S$27)</f>
        <v>23.865619790143651</v>
      </c>
      <c r="T29" s="130">
        <f>IF(SER_hh_fech_in!T29=0,0,SER_hh_fech_in!T29/SER_summary!T$27)</f>
        <v>24.083246651476099</v>
      </c>
      <c r="U29" s="130">
        <f>IF(SER_hh_fech_in!U29=0,0,SER_hh_fech_in!U29/SER_summary!U$27)</f>
        <v>24.504896892015179</v>
      </c>
      <c r="V29" s="130">
        <f>IF(SER_hh_fech_in!V29=0,0,SER_hh_fech_in!V29/SER_summary!V$27)</f>
        <v>21.697106319689542</v>
      </c>
      <c r="W29" s="130">
        <f>IF(SER_hh_fech_in!W29=0,0,SER_hh_fech_in!W29/SER_summary!W$27)</f>
        <v>21.611956734889638</v>
      </c>
      <c r="X29" s="130">
        <f>IF(SER_hh_fech_in!X29=0,0,SER_hh_fech_in!X29/SER_summary!X$27)</f>
        <v>21.711201112937832</v>
      </c>
      <c r="Y29" s="130">
        <f>IF(SER_hh_fech_in!Y29=0,0,SER_hh_fech_in!Y29/SER_summary!Y$27)</f>
        <v>22.125185501256876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12.241389942258294</v>
      </c>
      <c r="D30" s="132">
        <f>IF(SER_hh_fech_in!D30=0,0,SER_hh_fech_in!D30/SER_summary!D$27)</f>
        <v>29.886298416392588</v>
      </c>
      <c r="E30" s="132">
        <f>IF(SER_hh_fech_in!E30=0,0,SER_hh_fech_in!E30/SER_summary!E$27)</f>
        <v>29.523421911601865</v>
      </c>
      <c r="F30" s="132">
        <f>IF(SER_hh_fech_in!F30=0,0,SER_hh_fech_in!F30/SER_summary!F$27)</f>
        <v>32.41644548317614</v>
      </c>
      <c r="G30" s="132">
        <f>IF(SER_hh_fech_in!G30=0,0,SER_hh_fech_in!G30/SER_summary!G$27)</f>
        <v>26.727437390573552</v>
      </c>
      <c r="H30" s="132">
        <f>IF(SER_hh_fech_in!H30=0,0,SER_hh_fech_in!H30/SER_summary!H$27)</f>
        <v>0</v>
      </c>
      <c r="I30" s="132">
        <f>IF(SER_hh_fech_in!I30=0,0,SER_hh_fech_in!I30/SER_summary!I$27)</f>
        <v>26.690846867307936</v>
      </c>
      <c r="J30" s="132">
        <f>IF(SER_hh_fech_in!J30=0,0,SER_hh_fech_in!J30/SER_summary!J$27)</f>
        <v>29.431397573127413</v>
      </c>
      <c r="K30" s="132">
        <f>IF(SER_hh_fech_in!K30=0,0,SER_hh_fech_in!K30/SER_summary!K$27)</f>
        <v>29.051780935715193</v>
      </c>
      <c r="L30" s="132">
        <f>IF(SER_hh_fech_in!L30=0,0,SER_hh_fech_in!L30/SER_summary!L$27)</f>
        <v>32.721758429898273</v>
      </c>
      <c r="M30" s="132">
        <f>IF(SER_hh_fech_in!M30=0,0,SER_hh_fech_in!M30/SER_summary!M$27)</f>
        <v>0</v>
      </c>
      <c r="N30" s="132">
        <f>IF(SER_hh_fech_in!N30=0,0,SER_hh_fech_in!N30/SER_summary!N$27)</f>
        <v>31.393761715692481</v>
      </c>
      <c r="O30" s="132">
        <f>IF(SER_hh_fech_in!O30=0,0,SER_hh_fech_in!O30/SER_summary!O$27)</f>
        <v>28.178188690764699</v>
      </c>
      <c r="P30" s="132">
        <f>IF(SER_hh_fech_in!P30=0,0,SER_hh_fech_in!P30/SER_summary!P$27)</f>
        <v>26.98736656963553</v>
      </c>
      <c r="Q30" s="132">
        <f>IF(SER_hh_fech_in!Q30=0,0,SER_hh_fech_in!Q30/SER_summary!Q$27)</f>
        <v>31.678469252950126</v>
      </c>
      <c r="R30" s="132">
        <f>IF(SER_hh_fech_in!R30=0,0,SER_hh_fech_in!R30/SER_summary!R$27)</f>
        <v>29.147210204668454</v>
      </c>
      <c r="S30" s="132">
        <f>IF(SER_hh_fech_in!S30=0,0,SER_hh_fech_in!S30/SER_summary!S$27)</f>
        <v>30.997945220852817</v>
      </c>
      <c r="T30" s="132">
        <f>IF(SER_hh_fech_in!T30=0,0,SER_hh_fech_in!T30/SER_summary!T$27)</f>
        <v>29.7112459961319</v>
      </c>
      <c r="U30" s="132">
        <f>IF(SER_hh_fech_in!U30=0,0,SER_hh_fech_in!U30/SER_summary!U$27)</f>
        <v>32.194779189749426</v>
      </c>
      <c r="V30" s="132">
        <f>IF(SER_hh_fech_in!V30=0,0,SER_hh_fech_in!V30/SER_summary!V$27)</f>
        <v>29.378049721548724</v>
      </c>
      <c r="W30" s="132">
        <f>IF(SER_hh_fech_in!W30=0,0,SER_hh_fech_in!W30/SER_summary!W$27)</f>
        <v>0</v>
      </c>
      <c r="X30" s="132">
        <f>IF(SER_hh_fech_in!X30=0,0,SER_hh_fech_in!X30/SER_summary!X$27)</f>
        <v>0</v>
      </c>
      <c r="Y30" s="132">
        <f>IF(SER_hh_fech_in!Y30=0,0,SER_hh_fech_in!Y30/SER_summary!Y$27)</f>
        <v>30.011779297240427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26.640207602575352</v>
      </c>
      <c r="D31" s="132">
        <f>IF(SER_hh_fech_in!D31=0,0,SER_hh_fech_in!D31/SER_summary!D$27)</f>
        <v>26.539925774470984</v>
      </c>
      <c r="E31" s="132">
        <f>IF(SER_hh_fech_in!E31=0,0,SER_hh_fech_in!E31/SER_summary!E$27)</f>
        <v>27.597020192397654</v>
      </c>
      <c r="F31" s="132">
        <f>IF(SER_hh_fech_in!F31=0,0,SER_hh_fech_in!F31/SER_summary!F$27)</f>
        <v>29.883233335366334</v>
      </c>
      <c r="G31" s="132">
        <f>IF(SER_hh_fech_in!G31=0,0,SER_hh_fech_in!G31/SER_summary!G$27)</f>
        <v>0</v>
      </c>
      <c r="H31" s="132">
        <f>IF(SER_hh_fech_in!H31=0,0,SER_hh_fech_in!H31/SER_summary!H$27)</f>
        <v>0</v>
      </c>
      <c r="I31" s="132">
        <f>IF(SER_hh_fech_in!I31=0,0,SER_hh_fech_in!I31/SER_summary!I$27)</f>
        <v>26.42109937339842</v>
      </c>
      <c r="J31" s="132">
        <f>IF(SER_hh_fech_in!J31=0,0,SER_hh_fech_in!J31/SER_summary!J$27)</f>
        <v>24.646103737937647</v>
      </c>
      <c r="K31" s="132">
        <f>IF(SER_hh_fech_in!K31=0,0,SER_hh_fech_in!K31/SER_summary!K$27)</f>
        <v>30.902430699037648</v>
      </c>
      <c r="L31" s="132">
        <f>IF(SER_hh_fech_in!L31=0,0,SER_hh_fech_in!L31/SER_summary!L$27)</f>
        <v>28.658006635971425</v>
      </c>
      <c r="M31" s="132">
        <f>IF(SER_hh_fech_in!M31=0,0,SER_hh_fech_in!M31/SER_summary!M$27)</f>
        <v>28.621149788183232</v>
      </c>
      <c r="N31" s="132">
        <f>IF(SER_hh_fech_in!N31=0,0,SER_hh_fech_in!N31/SER_summary!N$27)</f>
        <v>27.028295764238145</v>
      </c>
      <c r="O31" s="132">
        <f>IF(SER_hh_fech_in!O31=0,0,SER_hh_fech_in!O31/SER_summary!O$27)</f>
        <v>28.56459889233458</v>
      </c>
      <c r="P31" s="132">
        <f>IF(SER_hh_fech_in!P31=0,0,SER_hh_fech_in!P31/SER_summary!P$27)</f>
        <v>30.013737859052604</v>
      </c>
      <c r="Q31" s="132">
        <f>IF(SER_hh_fech_in!Q31=0,0,SER_hh_fech_in!Q31/SER_summary!Q$27)</f>
        <v>30.642857407536091</v>
      </c>
      <c r="R31" s="132">
        <f>IF(SER_hh_fech_in!R31=0,0,SER_hh_fech_in!R31/SER_summary!R$27)</f>
        <v>29.105963219346048</v>
      </c>
      <c r="S31" s="132">
        <f>IF(SER_hh_fech_in!S31=0,0,SER_hh_fech_in!S31/SER_summary!S$27)</f>
        <v>29.444571721139276</v>
      </c>
      <c r="T31" s="132">
        <f>IF(SER_hh_fech_in!T31=0,0,SER_hh_fech_in!T31/SER_summary!T$27)</f>
        <v>29.712591076013563</v>
      </c>
      <c r="U31" s="132">
        <f>IF(SER_hh_fech_in!U31=0,0,SER_hh_fech_in!U31/SER_summary!U$27)</f>
        <v>28.069562805325955</v>
      </c>
      <c r="V31" s="132">
        <f>IF(SER_hh_fech_in!V31=0,0,SER_hh_fech_in!V31/SER_summary!V$27)</f>
        <v>24.777233872466304</v>
      </c>
      <c r="W31" s="132">
        <f>IF(SER_hh_fech_in!W31=0,0,SER_hh_fech_in!W31/SER_summary!W$27)</f>
        <v>34.777713536457767</v>
      </c>
      <c r="X31" s="132">
        <f>IF(SER_hh_fech_in!X31=0,0,SER_hh_fech_in!X31/SER_summary!X$27)</f>
        <v>29.223612951077861</v>
      </c>
      <c r="Y31" s="132">
        <f>IF(SER_hh_fech_in!Y31=0,0,SER_hh_fech_in!Y31/SER_summary!Y$27)</f>
        <v>27.871165858907631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22.750421874259274</v>
      </c>
      <c r="D33" s="68">
        <f>IF(SER_hh_fech_in!D33=0,0,SER_hh_fech_in!D33/SER_summary!D$27)</f>
        <v>19.655012467212689</v>
      </c>
      <c r="E33" s="68">
        <f>IF(SER_hh_fech_in!E33=0,0,SER_hh_fech_in!E33/SER_summary!E$27)</f>
        <v>18.32310695567249</v>
      </c>
      <c r="F33" s="68">
        <f>IF(SER_hh_fech_in!F33=0,0,SER_hh_fech_in!F33/SER_summary!F$27)</f>
        <v>17.131432729750202</v>
      </c>
      <c r="G33" s="68">
        <f>IF(SER_hh_fech_in!G33=0,0,SER_hh_fech_in!G33/SER_summary!G$27)</f>
        <v>21.819123657624974</v>
      </c>
      <c r="H33" s="68">
        <f>IF(SER_hh_fech_in!H33=0,0,SER_hh_fech_in!H33/SER_summary!H$27)</f>
        <v>21.471981573506771</v>
      </c>
      <c r="I33" s="68">
        <f>IF(SER_hh_fech_in!I33=0,0,SER_hh_fech_in!I33/SER_summary!I$27)</f>
        <v>20.839562562937658</v>
      </c>
      <c r="J33" s="68">
        <f>IF(SER_hh_fech_in!J33=0,0,SER_hh_fech_in!J33/SER_summary!J$27)</f>
        <v>21.151319394290923</v>
      </c>
      <c r="K33" s="68">
        <f>IF(SER_hh_fech_in!K33=0,0,SER_hh_fech_in!K33/SER_summary!K$27)</f>
        <v>20.554932078569944</v>
      </c>
      <c r="L33" s="68">
        <f>IF(SER_hh_fech_in!L33=0,0,SER_hh_fech_in!L33/SER_summary!L$27)</f>
        <v>20.99730181853803</v>
      </c>
      <c r="M33" s="68">
        <f>IF(SER_hh_fech_in!M33=0,0,SER_hh_fech_in!M33/SER_summary!M$27)</f>
        <v>20.77501345232054</v>
      </c>
      <c r="N33" s="68">
        <f>IF(SER_hh_fech_in!N33=0,0,SER_hh_fech_in!N33/SER_summary!N$27)</f>
        <v>22.278654305695198</v>
      </c>
      <c r="O33" s="68">
        <f>IF(SER_hh_fech_in!O33=0,0,SER_hh_fech_in!O33/SER_summary!O$27)</f>
        <v>22.362317967060839</v>
      </c>
      <c r="P33" s="68">
        <f>IF(SER_hh_fech_in!P33=0,0,SER_hh_fech_in!P33/SER_summary!P$27)</f>
        <v>21.866777280638164</v>
      </c>
      <c r="Q33" s="68">
        <f>IF(SER_hh_fech_in!Q33=0,0,SER_hh_fech_in!Q33/SER_summary!Q$27)</f>
        <v>21.127918448980441</v>
      </c>
      <c r="R33" s="68">
        <f>IF(SER_hh_fech_in!R33=0,0,SER_hh_fech_in!R33/SER_summary!R$27)</f>
        <v>22.205013291102286</v>
      </c>
      <c r="S33" s="68">
        <f>IF(SER_hh_fech_in!S33=0,0,SER_hh_fech_in!S33/SER_summary!S$27)</f>
        <v>21.200128805384598</v>
      </c>
      <c r="T33" s="68">
        <f>IF(SER_hh_fech_in!T33=0,0,SER_hh_fech_in!T33/SER_summary!T$27)</f>
        <v>21.529317972111851</v>
      </c>
      <c r="U33" s="68">
        <f>IF(SER_hh_fech_in!U33=0,0,SER_hh_fech_in!U33/SER_summary!U$27)</f>
        <v>20.99618616983344</v>
      </c>
      <c r="V33" s="68">
        <f>IF(SER_hh_fech_in!V33=0,0,SER_hh_fech_in!V33/SER_summary!V$27)</f>
        <v>19.253774222948344</v>
      </c>
      <c r="W33" s="68">
        <f>IF(SER_hh_fech_in!W33=0,0,SER_hh_fech_in!W33/SER_summary!W$27)</f>
        <v>17.609539288696681</v>
      </c>
      <c r="X33" s="68">
        <f>IF(SER_hh_fech_in!X33=0,0,SER_hh_fech_in!X33/SER_summary!X$27)</f>
        <v>19.770122833296856</v>
      </c>
      <c r="Y33" s="68">
        <f>IF(SER_hh_fech_in!Y33=0,0,SER_hh_fech_in!Y33/SER_summary!Y$27)</f>
        <v>20.356930817783795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165.0155560235109</v>
      </c>
      <c r="D3" s="125">
        <f>IF(SER_hh_tesh_in!D3=0,0,SER_hh_tesh_in!D3/SER_summary!D$27)</f>
        <v>158.39422883763112</v>
      </c>
      <c r="E3" s="125">
        <f>IF(SER_hh_tesh_in!E3=0,0,SER_hh_tesh_in!E3/SER_summary!E$27)</f>
        <v>183.37521792913816</v>
      </c>
      <c r="F3" s="125">
        <f>IF(SER_hh_tesh_in!F3=0,0,SER_hh_tesh_in!F3/SER_summary!F$27)</f>
        <v>163.49600847625879</v>
      </c>
      <c r="G3" s="125">
        <f>IF(SER_hh_tesh_in!G3=0,0,SER_hh_tesh_in!G3/SER_summary!G$27)</f>
        <v>165.22026788699623</v>
      </c>
      <c r="H3" s="125">
        <f>IF(SER_hh_tesh_in!H3=0,0,SER_hh_tesh_in!H3/SER_summary!H$27)</f>
        <v>158.46606411964257</v>
      </c>
      <c r="I3" s="125">
        <f>IF(SER_hh_tesh_in!I3=0,0,SER_hh_tesh_in!I3/SER_summary!I$27)</f>
        <v>145.75489787681815</v>
      </c>
      <c r="J3" s="125">
        <f>IF(SER_hh_tesh_in!J3=0,0,SER_hh_tesh_in!J3/SER_summary!J$27)</f>
        <v>141.42361377127278</v>
      </c>
      <c r="K3" s="125">
        <f>IF(SER_hh_tesh_in!K3=0,0,SER_hh_tesh_in!K3/SER_summary!K$27)</f>
        <v>150.64771476006479</v>
      </c>
      <c r="L3" s="125">
        <f>IF(SER_hh_tesh_in!L3=0,0,SER_hh_tesh_in!L3/SER_summary!L$27)</f>
        <v>153.56910156675275</v>
      </c>
      <c r="M3" s="125">
        <f>IF(SER_hh_tesh_in!M3=0,0,SER_hh_tesh_in!M3/SER_summary!M$27)</f>
        <v>131.30868776097651</v>
      </c>
      <c r="N3" s="125">
        <f>IF(SER_hh_tesh_in!N3=0,0,SER_hh_tesh_in!N3/SER_summary!N$27)</f>
        <v>137.22093781135712</v>
      </c>
      <c r="O3" s="125">
        <f>IF(SER_hh_tesh_in!O3=0,0,SER_hh_tesh_in!O3/SER_summary!O$27)</f>
        <v>137.62077781748991</v>
      </c>
      <c r="P3" s="125">
        <f>IF(SER_hh_tesh_in!P3=0,0,SER_hh_tesh_in!P3/SER_summary!P$27)</f>
        <v>124.27409001004359</v>
      </c>
      <c r="Q3" s="125">
        <f>IF(SER_hh_tesh_in!Q3=0,0,SER_hh_tesh_in!Q3/SER_summary!Q$27)</f>
        <v>128.05769876755684</v>
      </c>
      <c r="R3" s="125">
        <f>IF(SER_hh_tesh_in!R3=0,0,SER_hh_tesh_in!R3/SER_summary!R$27)</f>
        <v>121.95258103335823</v>
      </c>
      <c r="S3" s="125">
        <f>IF(SER_hh_tesh_in!S3=0,0,SER_hh_tesh_in!S3/SER_summary!S$27)</f>
        <v>119.97372935575723</v>
      </c>
      <c r="T3" s="125">
        <f>IF(SER_hh_tesh_in!T3=0,0,SER_hh_tesh_in!T3/SER_summary!T$27)</f>
        <v>115.66494590975235</v>
      </c>
      <c r="U3" s="125">
        <f>IF(SER_hh_tesh_in!U3=0,0,SER_hh_tesh_in!U3/SER_summary!U$27)</f>
        <v>108.39351370050731</v>
      </c>
      <c r="V3" s="125">
        <f>IF(SER_hh_tesh_in!V3=0,0,SER_hh_tesh_in!V3/SER_summary!V$27)</f>
        <v>97.54453505686574</v>
      </c>
      <c r="W3" s="125">
        <f>IF(SER_hh_tesh_in!W3=0,0,SER_hh_tesh_in!W3/SER_summary!W$27)</f>
        <v>89.09229362900146</v>
      </c>
      <c r="X3" s="125">
        <f>IF(SER_hh_tesh_in!X3=0,0,SER_hh_tesh_in!X3/SER_summary!X$27)</f>
        <v>95.45603427488949</v>
      </c>
      <c r="Y3" s="125">
        <f>IF(SER_hh_tesh_in!Y3=0,0,SER_hh_tesh_in!Y3/SER_summary!Y$27)</f>
        <v>86.312511646008133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105.61207064055402</v>
      </c>
      <c r="D4" s="130">
        <f>IF(SER_hh_tesh_in!D4=0,0,SER_hh_tesh_in!D4/SER_summary!D$27)</f>
        <v>99.194907601643138</v>
      </c>
      <c r="E4" s="130">
        <f>IF(SER_hh_tesh_in!E4=0,0,SER_hh_tesh_in!E4/SER_summary!E$27)</f>
        <v>106.32558040237629</v>
      </c>
      <c r="F4" s="130">
        <f>IF(SER_hh_tesh_in!F4=0,0,SER_hh_tesh_in!F4/SER_summary!F$27)</f>
        <v>105.99015907049518</v>
      </c>
      <c r="G4" s="130">
        <f>IF(SER_hh_tesh_in!G4=0,0,SER_hh_tesh_in!G4/SER_summary!G$27)</f>
        <v>103.58255938831525</v>
      </c>
      <c r="H4" s="130">
        <f>IF(SER_hh_tesh_in!H4=0,0,SER_hh_tesh_in!H4/SER_summary!H$27)</f>
        <v>93.791481738692113</v>
      </c>
      <c r="I4" s="130">
        <f>IF(SER_hh_tesh_in!I4=0,0,SER_hh_tesh_in!I4/SER_summary!I$27)</f>
        <v>88.807805185644568</v>
      </c>
      <c r="J4" s="130">
        <f>IF(SER_hh_tesh_in!J4=0,0,SER_hh_tesh_in!J4/SER_summary!J$27)</f>
        <v>84.461180329363657</v>
      </c>
      <c r="K4" s="130">
        <f>IF(SER_hh_tesh_in!K4=0,0,SER_hh_tesh_in!K4/SER_summary!K$27)</f>
        <v>90.949469421757087</v>
      </c>
      <c r="L4" s="130">
        <f>IF(SER_hh_tesh_in!L4=0,0,SER_hh_tesh_in!L4/SER_summary!L$27)</f>
        <v>95.246453283330311</v>
      </c>
      <c r="M4" s="130">
        <f>IF(SER_hh_tesh_in!M4=0,0,SER_hh_tesh_in!M4/SER_summary!M$27)</f>
        <v>74.375131841222597</v>
      </c>
      <c r="N4" s="130">
        <f>IF(SER_hh_tesh_in!N4=0,0,SER_hh_tesh_in!N4/SER_summary!N$27)</f>
        <v>78.619424996830219</v>
      </c>
      <c r="O4" s="130">
        <f>IF(SER_hh_tesh_in!O4=0,0,SER_hh_tesh_in!O4/SER_summary!O$27)</f>
        <v>79.72412750636704</v>
      </c>
      <c r="P4" s="130">
        <f>IF(SER_hh_tesh_in!P4=0,0,SER_hh_tesh_in!P4/SER_summary!P$27)</f>
        <v>67.956588640052388</v>
      </c>
      <c r="Q4" s="130">
        <f>IF(SER_hh_tesh_in!Q4=0,0,SER_hh_tesh_in!Q4/SER_summary!Q$27)</f>
        <v>66.970594563096341</v>
      </c>
      <c r="R4" s="130">
        <f>IF(SER_hh_tesh_in!R4=0,0,SER_hh_tesh_in!R4/SER_summary!R$27)</f>
        <v>64.444028168114571</v>
      </c>
      <c r="S4" s="130">
        <f>IF(SER_hh_tesh_in!S4=0,0,SER_hh_tesh_in!S4/SER_summary!S$27)</f>
        <v>61.907221279328539</v>
      </c>
      <c r="T4" s="130">
        <f>IF(SER_hh_tesh_in!T4=0,0,SER_hh_tesh_in!T4/SER_summary!T$27)</f>
        <v>57.955593824812617</v>
      </c>
      <c r="U4" s="130">
        <f>IF(SER_hh_tesh_in!U4=0,0,SER_hh_tesh_in!U4/SER_summary!U$27)</f>
        <v>52.291203944279275</v>
      </c>
      <c r="V4" s="130">
        <f>IF(SER_hh_tesh_in!V4=0,0,SER_hh_tesh_in!V4/SER_summary!V$27)</f>
        <v>45.274670442478424</v>
      </c>
      <c r="W4" s="130">
        <f>IF(SER_hh_tesh_in!W4=0,0,SER_hh_tesh_in!W4/SER_summary!W$27)</f>
        <v>40.561768265837273</v>
      </c>
      <c r="X4" s="130">
        <f>IF(SER_hh_tesh_in!X4=0,0,SER_hh_tesh_in!X4/SER_summary!X$27)</f>
        <v>38.431131341757087</v>
      </c>
      <c r="Y4" s="130">
        <f>IF(SER_hh_tesh_in!Y4=0,0,SER_hh_tesh_in!Y4/SER_summary!Y$27)</f>
        <v>31.701042134810866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100.99547554866216</v>
      </c>
      <c r="G5" s="132">
        <f>IF(SER_hh_tesh_in!G5=0,0,SER_hh_tesh_in!G5/SER_summary!G$27)</f>
        <v>102.01083741306108</v>
      </c>
      <c r="H5" s="132">
        <f>IF(SER_hh_tesh_in!H5=0,0,SER_hh_tesh_in!H5/SER_summary!H$27)</f>
        <v>96.41416329673514</v>
      </c>
      <c r="I5" s="132">
        <f>IF(SER_hh_tesh_in!I5=0,0,SER_hh_tesh_in!I5/SER_summary!I$27)</f>
        <v>91.567593093328398</v>
      </c>
      <c r="J5" s="132">
        <f>IF(SER_hh_tesh_in!J5=0,0,SER_hh_tesh_in!J5/SER_summary!J$27)</f>
        <v>86.159598540353983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84.653972851295904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49.770889435943424</v>
      </c>
      <c r="V5" s="132">
        <f>IF(SER_hh_tesh_in!V5=0,0,SER_hh_tesh_in!V5/SER_summary!V$27)</f>
        <v>41.966235262467599</v>
      </c>
      <c r="W5" s="132">
        <f>IF(SER_hh_tesh_in!W5=0,0,SER_hh_tesh_in!W5/SER_summary!W$27)</f>
        <v>41.750705365310914</v>
      </c>
      <c r="X5" s="132">
        <f>IF(SER_hh_tesh_in!X5=0,0,SER_hh_tesh_in!X5/SER_summary!X$27)</f>
        <v>37.74992696733954</v>
      </c>
      <c r="Y5" s="132">
        <f>IF(SER_hh_tesh_in!Y5=0,0,SER_hh_tesh_in!Y5/SER_summary!Y$27)</f>
        <v>33.058089200096383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107.60975649119169</v>
      </c>
      <c r="D7" s="132">
        <f>IF(SER_hh_tesh_in!D7=0,0,SER_hh_tesh_in!D7/SER_summary!D$27)</f>
        <v>94.30692293446964</v>
      </c>
      <c r="E7" s="132">
        <f>IF(SER_hh_tesh_in!E7=0,0,SER_hh_tesh_in!E7/SER_summary!E$27)</f>
        <v>101.64098675158213</v>
      </c>
      <c r="F7" s="132">
        <f>IF(SER_hh_tesh_in!F7=0,0,SER_hh_tesh_in!F7/SER_summary!F$27)</f>
        <v>103.70330693229417</v>
      </c>
      <c r="G7" s="132">
        <f>IF(SER_hh_tesh_in!G7=0,0,SER_hh_tesh_in!G7/SER_summary!G$27)</f>
        <v>100.33154513021201</v>
      </c>
      <c r="H7" s="132">
        <f>IF(SER_hh_tesh_in!H7=0,0,SER_hh_tesh_in!H7/SER_summary!H$27)</f>
        <v>92.479625204373122</v>
      </c>
      <c r="I7" s="132">
        <f>IF(SER_hh_tesh_in!I7=0,0,SER_hh_tesh_in!I7/SER_summary!I$27)</f>
        <v>79.351667194671947</v>
      </c>
      <c r="J7" s="132">
        <f>IF(SER_hh_tesh_in!J7=0,0,SER_hh_tesh_in!J7/SER_summary!J$27)</f>
        <v>93.693460718190082</v>
      </c>
      <c r="K7" s="132">
        <f>IF(SER_hh_tesh_in!K7=0,0,SER_hh_tesh_in!K7/SER_summary!K$27)</f>
        <v>90.987933253452468</v>
      </c>
      <c r="L7" s="132">
        <f>IF(SER_hh_tesh_in!L7=0,0,SER_hh_tesh_in!L7/SER_summary!L$27)</f>
        <v>87.528040914091008</v>
      </c>
      <c r="M7" s="132">
        <f>IF(SER_hh_tesh_in!M7=0,0,SER_hh_tesh_in!M7/SER_summary!M$27)</f>
        <v>73.79416053107235</v>
      </c>
      <c r="N7" s="132">
        <f>IF(SER_hh_tesh_in!N7=0,0,SER_hh_tesh_in!N7/SER_summary!N$27)</f>
        <v>73.374835056361803</v>
      </c>
      <c r="O7" s="132">
        <f>IF(SER_hh_tesh_in!O7=0,0,SER_hh_tesh_in!O7/SER_summary!O$27)</f>
        <v>73.518827788608178</v>
      </c>
      <c r="P7" s="132">
        <f>IF(SER_hh_tesh_in!P7=0,0,SER_hh_tesh_in!P7/SER_summary!P$27)</f>
        <v>73.52871084531958</v>
      </c>
      <c r="Q7" s="132">
        <f>IF(SER_hh_tesh_in!Q7=0,0,SER_hh_tesh_in!Q7/SER_summary!Q$27)</f>
        <v>70.64385352737861</v>
      </c>
      <c r="R7" s="132">
        <f>IF(SER_hh_tesh_in!R7=0,0,SER_hh_tesh_in!R7/SER_summary!R$27)</f>
        <v>0</v>
      </c>
      <c r="S7" s="132">
        <f>IF(SER_hh_tesh_in!S7=0,0,SER_hh_tesh_in!S7/SER_summary!S$27)</f>
        <v>62.426405211900821</v>
      </c>
      <c r="T7" s="132">
        <f>IF(SER_hh_tesh_in!T7=0,0,SER_hh_tesh_in!T7/SER_summary!T$27)</f>
        <v>54.691055880158856</v>
      </c>
      <c r="U7" s="132">
        <f>IF(SER_hh_tesh_in!U7=0,0,SER_hh_tesh_in!U7/SER_summary!U$27)</f>
        <v>49.28615072599235</v>
      </c>
      <c r="V7" s="132">
        <f>IF(SER_hh_tesh_in!V7=0,0,SER_hh_tesh_in!V7/SER_summary!V$27)</f>
        <v>48.070461171281828</v>
      </c>
      <c r="W7" s="132">
        <f>IF(SER_hh_tesh_in!W7=0,0,SER_hh_tesh_in!W7/SER_summary!W$27)</f>
        <v>35.255502880281384</v>
      </c>
      <c r="X7" s="132">
        <f>IF(SER_hh_tesh_in!X7=0,0,SER_hh_tesh_in!X7/SER_summary!X$27)</f>
        <v>39.150954184088668</v>
      </c>
      <c r="Y7" s="132">
        <f>IF(SER_hh_tesh_in!Y7=0,0,SER_hh_tesh_in!Y7/SER_summary!Y$27)</f>
        <v>31.172330356887308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92.339326752985002</v>
      </c>
      <c r="D8" s="132">
        <f>IF(SER_hh_tesh_in!D8=0,0,SER_hh_tesh_in!D8/SER_summary!D$27)</f>
        <v>78.481756574968585</v>
      </c>
      <c r="E8" s="132">
        <f>IF(SER_hh_tesh_in!E8=0,0,SER_hh_tesh_in!E8/SER_summary!E$27)</f>
        <v>85.316961175591459</v>
      </c>
      <c r="F8" s="132">
        <f>IF(SER_hh_tesh_in!F8=0,0,SER_hh_tesh_in!F8/SER_summary!F$27)</f>
        <v>79.024662993895276</v>
      </c>
      <c r="G8" s="132">
        <f>IF(SER_hh_tesh_in!G8=0,0,SER_hh_tesh_in!G8/SER_summary!G$27)</f>
        <v>105.75040128624356</v>
      </c>
      <c r="H8" s="132">
        <f>IF(SER_hh_tesh_in!H8=0,0,SER_hh_tesh_in!H8/SER_summary!H$27)</f>
        <v>93.77058714164248</v>
      </c>
      <c r="I8" s="132">
        <f>IF(SER_hh_tesh_in!I8=0,0,SER_hh_tesh_in!I8/SER_summary!I$27)</f>
        <v>92.721654692392079</v>
      </c>
      <c r="J8" s="132">
        <f>IF(SER_hh_tesh_in!J8=0,0,SER_hh_tesh_in!J8/SER_summary!J$27)</f>
        <v>94.436182803946465</v>
      </c>
      <c r="K8" s="132">
        <f>IF(SER_hh_tesh_in!K8=0,0,SER_hh_tesh_in!K8/SER_summary!K$27)</f>
        <v>72.76420198946154</v>
      </c>
      <c r="L8" s="132">
        <f>IF(SER_hh_tesh_in!L8=0,0,SER_hh_tesh_in!L8/SER_summary!L$27)</f>
        <v>60.708943678142511</v>
      </c>
      <c r="M8" s="132">
        <f>IF(SER_hh_tesh_in!M8=0,0,SER_hh_tesh_in!M8/SER_summary!M$27)</f>
        <v>83.02487026453322</v>
      </c>
      <c r="N8" s="132">
        <f>IF(SER_hh_tesh_in!N8=0,0,SER_hh_tesh_in!N8/SER_summary!N$27)</f>
        <v>74.314810153305785</v>
      </c>
      <c r="O8" s="132">
        <f>IF(SER_hh_tesh_in!O8=0,0,SER_hh_tesh_in!O8/SER_summary!O$27)</f>
        <v>79.278999075059076</v>
      </c>
      <c r="P8" s="132">
        <f>IF(SER_hh_tesh_in!P8=0,0,SER_hh_tesh_in!P8/SER_summary!P$27)</f>
        <v>67.767711815876737</v>
      </c>
      <c r="Q8" s="132">
        <f>IF(SER_hh_tesh_in!Q8=0,0,SER_hh_tesh_in!Q8/SER_summary!Q$27)</f>
        <v>69.773290951048281</v>
      </c>
      <c r="R8" s="132">
        <f>IF(SER_hh_tesh_in!R8=0,0,SER_hh_tesh_in!R8/SER_summary!R$27)</f>
        <v>66.677269794281628</v>
      </c>
      <c r="S8" s="132">
        <f>IF(SER_hh_tesh_in!S8=0,0,SER_hh_tesh_in!S8/SER_summary!S$27)</f>
        <v>62.273682565914498</v>
      </c>
      <c r="T8" s="132">
        <f>IF(SER_hh_tesh_in!T8=0,0,SER_hh_tesh_in!T8/SER_summary!T$27)</f>
        <v>58.344818927617574</v>
      </c>
      <c r="U8" s="132">
        <f>IF(SER_hh_tesh_in!U8=0,0,SER_hh_tesh_in!U8/SER_summary!U$27)</f>
        <v>53.821620609452253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104.73806770686303</v>
      </c>
      <c r="D9" s="132">
        <f>IF(SER_hh_tesh_in!D9=0,0,SER_hh_tesh_in!D9/SER_summary!D$27)</f>
        <v>85.678594653974486</v>
      </c>
      <c r="E9" s="132">
        <f>IF(SER_hh_tesh_in!E9=0,0,SER_hh_tesh_in!E9/SER_summary!E$27)</f>
        <v>106.75776534828903</v>
      </c>
      <c r="F9" s="132">
        <f>IF(SER_hh_tesh_in!F9=0,0,SER_hh_tesh_in!F9/SER_summary!F$27)</f>
        <v>104.61802690745091</v>
      </c>
      <c r="G9" s="132">
        <f>IF(SER_hh_tesh_in!G9=0,0,SER_hh_tesh_in!G9/SER_summary!G$27)</f>
        <v>105.06905374433714</v>
      </c>
      <c r="H9" s="132">
        <f>IF(SER_hh_tesh_in!H9=0,0,SER_hh_tesh_in!H9/SER_summary!H$27)</f>
        <v>89.702120284166611</v>
      </c>
      <c r="I9" s="132">
        <f>IF(SER_hh_tesh_in!I9=0,0,SER_hh_tesh_in!I9/SER_summary!I$27)</f>
        <v>88.92490164751743</v>
      </c>
      <c r="J9" s="132">
        <f>IF(SER_hh_tesh_in!J9=0,0,SER_hh_tesh_in!J9/SER_summary!J$27)</f>
        <v>77.057673183694135</v>
      </c>
      <c r="K9" s="132">
        <f>IF(SER_hh_tesh_in!K9=0,0,SER_hh_tesh_in!K9/SER_summary!K$27)</f>
        <v>90.32996332117591</v>
      </c>
      <c r="L9" s="132">
        <f>IF(SER_hh_tesh_in!L9=0,0,SER_hh_tesh_in!L9/SER_summary!L$27)</f>
        <v>98.685155902441196</v>
      </c>
      <c r="M9" s="132">
        <f>IF(SER_hh_tesh_in!M9=0,0,SER_hh_tesh_in!M9/SER_summary!M$27)</f>
        <v>68.128464757841613</v>
      </c>
      <c r="N9" s="132">
        <f>IF(SER_hh_tesh_in!N9=0,0,SER_hh_tesh_in!N9/SER_summary!N$27)</f>
        <v>78.748850690789581</v>
      </c>
      <c r="O9" s="132">
        <f>IF(SER_hh_tesh_in!O9=0,0,SER_hh_tesh_in!O9/SER_summary!O$27)</f>
        <v>81.430527816111706</v>
      </c>
      <c r="P9" s="132">
        <f>IF(SER_hh_tesh_in!P9=0,0,SER_hh_tesh_in!P9/SER_summary!P$27)</f>
        <v>63.863430916169726</v>
      </c>
      <c r="Q9" s="132">
        <f>IF(SER_hh_tesh_in!Q9=0,0,SER_hh_tesh_in!Q9/SER_summary!Q$27)</f>
        <v>65.493101724984754</v>
      </c>
      <c r="R9" s="132">
        <f>IF(SER_hh_tesh_in!R9=0,0,SER_hh_tesh_in!R9/SER_summary!R$27)</f>
        <v>62.473103513290013</v>
      </c>
      <c r="S9" s="132">
        <f>IF(SER_hh_tesh_in!S9=0,0,SER_hh_tesh_in!S9/SER_summary!S$27)</f>
        <v>60.635777182493726</v>
      </c>
      <c r="T9" s="132">
        <f>IF(SER_hh_tesh_in!T9=0,0,SER_hh_tesh_in!T9/SER_summary!T$27)</f>
        <v>58.182273073272455</v>
      </c>
      <c r="U9" s="132">
        <f>IF(SER_hh_tesh_in!U9=0,0,SER_hh_tesh_in!U9/SER_summary!U$27)</f>
        <v>52.718728689342022</v>
      </c>
      <c r="V9" s="132">
        <f>IF(SER_hh_tesh_in!V9=0,0,SER_hh_tesh_in!V9/SER_summary!V$27)</f>
        <v>44.562084560222047</v>
      </c>
      <c r="W9" s="132">
        <f>IF(SER_hh_tesh_in!W9=0,0,SER_hh_tesh_in!W9/SER_summary!W$27)</f>
        <v>40.313308567393776</v>
      </c>
      <c r="X9" s="132">
        <f>IF(SER_hh_tesh_in!X9=0,0,SER_hh_tesh_in!X9/SER_summary!X$27)</f>
        <v>34.487979685787927</v>
      </c>
      <c r="Y9" s="132">
        <f>IF(SER_hh_tesh_in!Y9=0,0,SER_hh_tesh_in!Y9/SER_summary!Y$27)</f>
        <v>31.847483579176778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100.46296505702423</v>
      </c>
      <c r="D10" s="132">
        <f>IF(SER_hh_tesh_in!D10=0,0,SER_hh_tesh_in!D10/SER_summary!D$27)</f>
        <v>101.80545357397729</v>
      </c>
      <c r="E10" s="132">
        <f>IF(SER_hh_tesh_in!E10=0,0,SER_hh_tesh_in!E10/SER_summary!E$27)</f>
        <v>112.62847388087215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90.843864895503927</v>
      </c>
      <c r="J10" s="132">
        <f>IF(SER_hh_tesh_in!J10=0,0,SER_hh_tesh_in!J10/SER_summary!J$27)</f>
        <v>86.378417180341103</v>
      </c>
      <c r="K10" s="132">
        <f>IF(SER_hh_tesh_in!K10=0,0,SER_hh_tesh_in!K10/SER_summary!K$27)</f>
        <v>108.46551476365165</v>
      </c>
      <c r="L10" s="132">
        <f>IF(SER_hh_tesh_in!L10=0,0,SER_hh_tesh_in!L10/SER_summary!L$27)</f>
        <v>93.047326146775703</v>
      </c>
      <c r="M10" s="132">
        <f>IF(SER_hh_tesh_in!M10=0,0,SER_hh_tesh_in!M10/SER_summary!M$27)</f>
        <v>61.33232370538353</v>
      </c>
      <c r="N10" s="132">
        <f>IF(SER_hh_tesh_in!N10=0,0,SER_hh_tesh_in!N10/SER_summary!N$27)</f>
        <v>71.682942564916274</v>
      </c>
      <c r="O10" s="132">
        <f>IF(SER_hh_tesh_in!O10=0,0,SER_hh_tesh_in!O10/SER_summary!O$27)</f>
        <v>87.701261858775695</v>
      </c>
      <c r="P10" s="132">
        <f>IF(SER_hh_tesh_in!P10=0,0,SER_hh_tesh_in!P10/SER_summary!P$27)</f>
        <v>70.045123743179744</v>
      </c>
      <c r="Q10" s="132">
        <f>IF(SER_hh_tesh_in!Q10=0,0,SER_hh_tesh_in!Q10/SER_summary!Q$27)</f>
        <v>62.467301978864988</v>
      </c>
      <c r="R10" s="132">
        <f>IF(SER_hh_tesh_in!R10=0,0,SER_hh_tesh_in!R10/SER_summary!R$27)</f>
        <v>65.05510217824002</v>
      </c>
      <c r="S10" s="132">
        <f>IF(SER_hh_tesh_in!S10=0,0,SER_hh_tesh_in!S10/SER_summary!S$27)</f>
        <v>63.617851515632573</v>
      </c>
      <c r="T10" s="132">
        <f>IF(SER_hh_tesh_in!T10=0,0,SER_hh_tesh_in!T10/SER_summary!T$27)</f>
        <v>54.530325808715148</v>
      </c>
      <c r="U10" s="132">
        <f>IF(SER_hh_tesh_in!U10=0,0,SER_hh_tesh_in!U10/SER_summary!U$27)</f>
        <v>49.815900820130807</v>
      </c>
      <c r="V10" s="132">
        <f>IF(SER_hh_tesh_in!V10=0,0,SER_hh_tesh_in!V10/SER_summary!V$27)</f>
        <v>43.364697592264818</v>
      </c>
      <c r="W10" s="132">
        <f>IF(SER_hh_tesh_in!W10=0,0,SER_hh_tesh_in!W10/SER_summary!W$27)</f>
        <v>38.311416674646075</v>
      </c>
      <c r="X10" s="132">
        <f>IF(SER_hh_tesh_in!X10=0,0,SER_hh_tesh_in!X10/SER_summary!X$27)</f>
        <v>39.010773739157329</v>
      </c>
      <c r="Y10" s="132">
        <f>IF(SER_hh_tesh_in!Y10=0,0,SER_hh_tesh_in!Y10/SER_summary!Y$27)</f>
        <v>32.604028833575704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214.94136687792712</v>
      </c>
      <c r="E11" s="132">
        <f>IF(SER_hh_tesh_in!E11=0,0,SER_hh_tesh_in!E11/SER_summary!E$27)</f>
        <v>188.74220563622501</v>
      </c>
      <c r="F11" s="132">
        <f>IF(SER_hh_tesh_in!F11=0,0,SER_hh_tesh_in!F11/SER_summary!F$27)</f>
        <v>185.50957057578819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84.525862358555855</v>
      </c>
      <c r="L11" s="132">
        <f>IF(SER_hh_tesh_in!L11=0,0,SER_hh_tesh_in!L11/SER_summary!L$27)</f>
        <v>79.212674120544506</v>
      </c>
      <c r="M11" s="132">
        <f>IF(SER_hh_tesh_in!M11=0,0,SER_hh_tesh_in!M11/SER_summary!M$27)</f>
        <v>83.960474582659984</v>
      </c>
      <c r="N11" s="132">
        <f>IF(SER_hh_tesh_in!N11=0,0,SER_hh_tesh_in!N11/SER_summary!N$27)</f>
        <v>78.853422195711744</v>
      </c>
      <c r="O11" s="132">
        <f>IF(SER_hh_tesh_in!O11=0,0,SER_hh_tesh_in!O11/SER_summary!O$27)</f>
        <v>75.142369111133021</v>
      </c>
      <c r="P11" s="132">
        <f>IF(SER_hh_tesh_in!P11=0,0,SER_hh_tesh_in!P11/SER_summary!P$27)</f>
        <v>68.365232930105989</v>
      </c>
      <c r="Q11" s="132">
        <f>IF(SER_hh_tesh_in!Q11=0,0,SER_hh_tesh_in!Q11/SER_summary!Q$27)</f>
        <v>66.196714502516059</v>
      </c>
      <c r="R11" s="132">
        <f>IF(SER_hh_tesh_in!R11=0,0,SER_hh_tesh_in!R11/SER_summary!R$27)</f>
        <v>63.576913769161081</v>
      </c>
      <c r="S11" s="132">
        <f>IF(SER_hh_tesh_in!S11=0,0,SER_hh_tesh_in!S11/SER_summary!S$27)</f>
        <v>61.456574253930981</v>
      </c>
      <c r="T11" s="132">
        <f>IF(SER_hh_tesh_in!T11=0,0,SER_hh_tesh_in!T11/SER_summary!T$27)</f>
        <v>58.227411366217233</v>
      </c>
      <c r="U11" s="132">
        <f>IF(SER_hh_tesh_in!U11=0,0,SER_hh_tesh_in!U11/SER_summary!U$27)</f>
        <v>53.122581228958985</v>
      </c>
      <c r="V11" s="132">
        <f>IF(SER_hh_tesh_in!V11=0,0,SER_hh_tesh_in!V11/SER_summary!V$27)</f>
        <v>47.235898751720512</v>
      </c>
      <c r="W11" s="132">
        <f>IF(SER_hh_tesh_in!W11=0,0,SER_hh_tesh_in!W11/SER_summary!W$27)</f>
        <v>36.510201513517231</v>
      </c>
      <c r="X11" s="132">
        <f>IF(SER_hh_tesh_in!X11=0,0,SER_hh_tesh_in!X11/SER_summary!X$27)</f>
        <v>34.91761892564837</v>
      </c>
      <c r="Y11" s="132">
        <f>IF(SER_hh_tesh_in!Y11=0,0,SER_hh_tesh_in!Y11/SER_summary!Y$27)</f>
        <v>33.488001112930696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105.7879475745236</v>
      </c>
      <c r="D12" s="132">
        <f>IF(SER_hh_tesh_in!D12=0,0,SER_hh_tesh_in!D12/SER_summary!D$27)</f>
        <v>105.4478623863555</v>
      </c>
      <c r="E12" s="132">
        <f>IF(SER_hh_tesh_in!E12=0,0,SER_hh_tesh_in!E12/SER_summary!E$27)</f>
        <v>101.60594550334508</v>
      </c>
      <c r="F12" s="132">
        <f>IF(SER_hh_tesh_in!F12=0,0,SER_hh_tesh_in!F12/SER_summary!F$27)</f>
        <v>102.40401845261819</v>
      </c>
      <c r="G12" s="132">
        <f>IF(SER_hh_tesh_in!G12=0,0,SER_hh_tesh_in!G12/SER_summary!G$27)</f>
        <v>109.40630595927323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92.339150434150795</v>
      </c>
      <c r="M12" s="132">
        <f>IF(SER_hh_tesh_in!M12=0,0,SER_hh_tesh_in!M12/SER_summary!M$27)</f>
        <v>76.387955426967594</v>
      </c>
      <c r="N12" s="132">
        <f>IF(SER_hh_tesh_in!N12=0,0,SER_hh_tesh_in!N12/SER_summary!N$27)</f>
        <v>75.033358536791425</v>
      </c>
      <c r="O12" s="132">
        <f>IF(SER_hh_tesh_in!O12=0,0,SER_hh_tesh_in!O12/SER_summary!O$27)</f>
        <v>76.416981229023932</v>
      </c>
      <c r="P12" s="132">
        <f>IF(SER_hh_tesh_in!P12=0,0,SER_hh_tesh_in!P12/SER_summary!P$27)</f>
        <v>67.000565483026705</v>
      </c>
      <c r="Q12" s="132">
        <f>IF(SER_hh_tesh_in!Q12=0,0,SER_hh_tesh_in!Q12/SER_summary!Q$27)</f>
        <v>65.972393139411139</v>
      </c>
      <c r="R12" s="132">
        <f>IF(SER_hh_tesh_in!R12=0,0,SER_hh_tesh_in!R12/SER_summary!R$27)</f>
        <v>65.946838760088639</v>
      </c>
      <c r="S12" s="132">
        <f>IF(SER_hh_tesh_in!S12=0,0,SER_hh_tesh_in!S12/SER_summary!S$27)</f>
        <v>63.128323676426774</v>
      </c>
      <c r="T12" s="132">
        <f>IF(SER_hh_tesh_in!T12=0,0,SER_hh_tesh_in!T12/SER_summary!T$27)</f>
        <v>56.581684307248757</v>
      </c>
      <c r="U12" s="132">
        <f>IF(SER_hh_tesh_in!U12=0,0,SER_hh_tesh_in!U12/SER_summary!U$27)</f>
        <v>51.245837485895443</v>
      </c>
      <c r="V12" s="132">
        <f>IF(SER_hh_tesh_in!V12=0,0,SER_hh_tesh_in!V12/SER_summary!V$27)</f>
        <v>45.890044946262719</v>
      </c>
      <c r="W12" s="132">
        <f>IF(SER_hh_tesh_in!W12=0,0,SER_hh_tesh_in!W12/SER_summary!W$27)</f>
        <v>40.998995799149306</v>
      </c>
      <c r="X12" s="132">
        <f>IF(SER_hh_tesh_in!X12=0,0,SER_hh_tesh_in!X12/SER_summary!X$27)</f>
        <v>36.224622264729568</v>
      </c>
      <c r="Y12" s="132">
        <f>IF(SER_hh_tesh_in!Y12=0,0,SER_hh_tesh_in!Y12/SER_summary!Y$27)</f>
        <v>32.805393380519014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99.304905556043053</v>
      </c>
      <c r="D13" s="132">
        <f>IF(SER_hh_tesh_in!D13=0,0,SER_hh_tesh_in!D13/SER_summary!D$27)</f>
        <v>102.80387290885562</v>
      </c>
      <c r="E13" s="132">
        <f>IF(SER_hh_tesh_in!E13=0,0,SER_hh_tesh_in!E13/SER_summary!E$27)</f>
        <v>102.7142624754118</v>
      </c>
      <c r="F13" s="132">
        <f>IF(SER_hh_tesh_in!F13=0,0,SER_hh_tesh_in!F13/SER_summary!F$27)</f>
        <v>99.732052027262156</v>
      </c>
      <c r="G13" s="132">
        <f>IF(SER_hh_tesh_in!G13=0,0,SER_hh_tesh_in!G13/SER_summary!G$27)</f>
        <v>101.97203298096234</v>
      </c>
      <c r="H13" s="132">
        <f>IF(SER_hh_tesh_in!H13=0,0,SER_hh_tesh_in!H13/SER_summary!H$27)</f>
        <v>95.168048022647298</v>
      </c>
      <c r="I13" s="132">
        <f>IF(SER_hh_tesh_in!I13=0,0,SER_hh_tesh_in!I13/SER_summary!I$27)</f>
        <v>86.602815360701271</v>
      </c>
      <c r="J13" s="132">
        <f>IF(SER_hh_tesh_in!J13=0,0,SER_hh_tesh_in!J13/SER_summary!J$27)</f>
        <v>89.337682750453951</v>
      </c>
      <c r="K13" s="132">
        <f>IF(SER_hh_tesh_in!K13=0,0,SER_hh_tesh_in!K13/SER_summary!K$27)</f>
        <v>83.249452455662691</v>
      </c>
      <c r="L13" s="132">
        <f>IF(SER_hh_tesh_in!L13=0,0,SER_hh_tesh_in!L13/SER_summary!L$27)</f>
        <v>74.195670876420394</v>
      </c>
      <c r="M13" s="132">
        <f>IF(SER_hh_tesh_in!M13=0,0,SER_hh_tesh_in!M13/SER_summary!M$27)</f>
        <v>84.075206733145251</v>
      </c>
      <c r="N13" s="132">
        <f>IF(SER_hh_tesh_in!N13=0,0,SER_hh_tesh_in!N13/SER_summary!N$27)</f>
        <v>83.373521639843474</v>
      </c>
      <c r="O13" s="132">
        <f>IF(SER_hh_tesh_in!O13=0,0,SER_hh_tesh_in!O13/SER_summary!O$27)</f>
        <v>82.635730418189681</v>
      </c>
      <c r="P13" s="132">
        <f>IF(SER_hh_tesh_in!P13=0,0,SER_hh_tesh_in!P13/SER_summary!P$27)</f>
        <v>66.103402280477908</v>
      </c>
      <c r="Q13" s="132">
        <f>IF(SER_hh_tesh_in!Q13=0,0,SER_hh_tesh_in!Q13/SER_summary!Q$27)</f>
        <v>65.925380882891403</v>
      </c>
      <c r="R13" s="132">
        <f>IF(SER_hh_tesh_in!R13=0,0,SER_hh_tesh_in!R13/SER_summary!R$27)</f>
        <v>67.066394884045565</v>
      </c>
      <c r="S13" s="132">
        <f>IF(SER_hh_tesh_in!S13=0,0,SER_hh_tesh_in!S13/SER_summary!S$27)</f>
        <v>61.05006639037579</v>
      </c>
      <c r="T13" s="132">
        <f>IF(SER_hh_tesh_in!T13=0,0,SER_hh_tesh_in!T13/SER_summary!T$27)</f>
        <v>53.17516300302713</v>
      </c>
      <c r="U13" s="132">
        <f>IF(SER_hh_tesh_in!U13=0,0,SER_hh_tesh_in!U13/SER_summary!U$27)</f>
        <v>50.277676760572632</v>
      </c>
      <c r="V13" s="132">
        <f>IF(SER_hh_tesh_in!V13=0,0,SER_hh_tesh_in!V13/SER_summary!V$27)</f>
        <v>45.468753521709978</v>
      </c>
      <c r="W13" s="132">
        <f>IF(SER_hh_tesh_in!W13=0,0,SER_hh_tesh_in!W13/SER_summary!W$27)</f>
        <v>46.59304448821559</v>
      </c>
      <c r="X13" s="132">
        <f>IF(SER_hh_tesh_in!X13=0,0,SER_hh_tesh_in!X13/SER_summary!X$27)</f>
        <v>0</v>
      </c>
      <c r="Y13" s="132">
        <f>IF(SER_hh_tesh_in!Y13=0,0,SER_hh_tesh_in!Y13/SER_summary!Y$27)</f>
        <v>0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103.23357897442465</v>
      </c>
      <c r="D14" s="65">
        <f>IF(SER_hh_tesh_in!D14=0,0,SER_hh_tesh_in!D14/SER_summary!D$27)</f>
        <v>100.10864963740359</v>
      </c>
      <c r="E14" s="65">
        <f>IF(SER_hh_tesh_in!E14=0,0,SER_hh_tesh_in!E14/SER_summary!E$27)</f>
        <v>102.63035399615832</v>
      </c>
      <c r="F14" s="65">
        <f>IF(SER_hh_tesh_in!F14=0,0,SER_hh_tesh_in!F14/SER_summary!F$27)</f>
        <v>107.20648288745653</v>
      </c>
      <c r="G14" s="65">
        <f>IF(SER_hh_tesh_in!G14=0,0,SER_hh_tesh_in!G14/SER_summary!G$27)</f>
        <v>99.203808520840909</v>
      </c>
      <c r="H14" s="65">
        <f>IF(SER_hh_tesh_in!H14=0,0,SER_hh_tesh_in!H14/SER_summary!H$27)</f>
        <v>94.83396716166277</v>
      </c>
      <c r="I14" s="65">
        <f>IF(SER_hh_tesh_in!I14=0,0,SER_hh_tesh_in!I14/SER_summary!I$27)</f>
        <v>91.203877349262598</v>
      </c>
      <c r="J14" s="65">
        <f>IF(SER_hh_tesh_in!J14=0,0,SER_hh_tesh_in!J14/SER_summary!J$27)</f>
        <v>82.175069264585034</v>
      </c>
      <c r="K14" s="65">
        <f>IF(SER_hh_tesh_in!K14=0,0,SER_hh_tesh_in!K14/SER_summary!K$27)</f>
        <v>89.033995686314768</v>
      </c>
      <c r="L14" s="65">
        <f>IF(SER_hh_tesh_in!L14=0,0,SER_hh_tesh_in!L14/SER_summary!L$27)</f>
        <v>97.425726739779989</v>
      </c>
      <c r="M14" s="65">
        <f>IF(SER_hh_tesh_in!M14=0,0,SER_hh_tesh_in!M14/SER_summary!M$27)</f>
        <v>74.462993333862798</v>
      </c>
      <c r="N14" s="65">
        <f>IF(SER_hh_tesh_in!N14=0,0,SER_hh_tesh_in!N14/SER_summary!N$27)</f>
        <v>79.842635707765552</v>
      </c>
      <c r="O14" s="65">
        <f>IF(SER_hh_tesh_in!O14=0,0,SER_hh_tesh_in!O14/SER_summary!O$27)</f>
        <v>79.317237215978977</v>
      </c>
      <c r="P14" s="65">
        <f>IF(SER_hh_tesh_in!P14=0,0,SER_hh_tesh_in!P14/SER_summary!P$27)</f>
        <v>64.829314917003316</v>
      </c>
      <c r="Q14" s="65">
        <f>IF(SER_hh_tesh_in!Q14=0,0,SER_hh_tesh_in!Q14/SER_summary!Q$27)</f>
        <v>67.137952251204766</v>
      </c>
      <c r="R14" s="65">
        <f>IF(SER_hh_tesh_in!R14=0,0,SER_hh_tesh_in!R14/SER_summary!R$27)</f>
        <v>64.489285924312185</v>
      </c>
      <c r="S14" s="65">
        <f>IF(SER_hh_tesh_in!S14=0,0,SER_hh_tesh_in!S14/SER_summary!S$27)</f>
        <v>61.347507030883968</v>
      </c>
      <c r="T14" s="65">
        <f>IF(SER_hh_tesh_in!T14=0,0,SER_hh_tesh_in!T14/SER_summary!T$27)</f>
        <v>57.73078201817377</v>
      </c>
      <c r="U14" s="65">
        <f>IF(SER_hh_tesh_in!U14=0,0,SER_hh_tesh_in!U14/SER_summary!U$27)</f>
        <v>51.949599349979557</v>
      </c>
      <c r="V14" s="65">
        <f>IF(SER_hh_tesh_in!V14=0,0,SER_hh_tesh_in!V14/SER_summary!V$27)</f>
        <v>41.961975981844589</v>
      </c>
      <c r="W14" s="65">
        <f>IF(SER_hh_tesh_in!W14=0,0,SER_hh_tesh_in!W14/SER_summary!W$27)</f>
        <v>42.887367162010996</v>
      </c>
      <c r="X14" s="65">
        <f>IF(SER_hh_tesh_in!X14=0,0,SER_hh_tesh_in!X14/SER_summary!X$27)</f>
        <v>40.814666422843786</v>
      </c>
      <c r="Y14" s="65">
        <f>IF(SER_hh_tesh_in!Y14=0,0,SER_hh_tesh_in!Y14/SER_summary!Y$27)</f>
        <v>30.287150871279724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1.4043968652486807</v>
      </c>
      <c r="D15" s="134">
        <f>IF(SER_hh_tesh_in!D15=0,0,SER_hh_tesh_in!D15/SER_summary!D$27)</f>
        <v>1.2964965418331407</v>
      </c>
      <c r="E15" s="134">
        <f>IF(SER_hh_tesh_in!E15=0,0,SER_hh_tesh_in!E15/SER_summary!E$27)</f>
        <v>1.7541264258403355</v>
      </c>
      <c r="F15" s="134">
        <f>IF(SER_hh_tesh_in!F15=0,0,SER_hh_tesh_in!F15/SER_summary!F$27)</f>
        <v>1.6916640944516486</v>
      </c>
      <c r="G15" s="134">
        <f>IF(SER_hh_tesh_in!G15=0,0,SER_hh_tesh_in!G15/SER_summary!G$27)</f>
        <v>1.7478247742087629</v>
      </c>
      <c r="H15" s="134">
        <f>IF(SER_hh_tesh_in!H15=0,0,SER_hh_tesh_in!H15/SER_summary!H$27)</f>
        <v>1.5859639470444757</v>
      </c>
      <c r="I15" s="134">
        <f>IF(SER_hh_tesh_in!I15=0,0,SER_hh_tesh_in!I15/SER_summary!I$27)</f>
        <v>1.4533712703183383</v>
      </c>
      <c r="J15" s="134">
        <f>IF(SER_hh_tesh_in!J15=0,0,SER_hh_tesh_in!J15/SER_summary!J$27)</f>
        <v>1.3940058306712966</v>
      </c>
      <c r="K15" s="134">
        <f>IF(SER_hh_tesh_in!K15=0,0,SER_hh_tesh_in!K15/SER_summary!K$27)</f>
        <v>1.5210501071156144</v>
      </c>
      <c r="L15" s="134">
        <f>IF(SER_hh_tesh_in!L15=0,0,SER_hh_tesh_in!L15/SER_summary!L$27)</f>
        <v>1.5033065400015644</v>
      </c>
      <c r="M15" s="134">
        <f>IF(SER_hh_tesh_in!M15=0,0,SER_hh_tesh_in!M15/SER_summary!M$27)</f>
        <v>1.019793981876393</v>
      </c>
      <c r="N15" s="134">
        <f>IF(SER_hh_tesh_in!N15=0,0,SER_hh_tesh_in!N15/SER_summary!N$27)</f>
        <v>1.1138046884790376</v>
      </c>
      <c r="O15" s="134">
        <f>IF(SER_hh_tesh_in!O15=0,0,SER_hh_tesh_in!O15/SER_summary!O$27)</f>
        <v>1.095897411704831</v>
      </c>
      <c r="P15" s="134">
        <f>IF(SER_hh_tesh_in!P15=0,0,SER_hh_tesh_in!P15/SER_summary!P$27)</f>
        <v>0.91967317831577311</v>
      </c>
      <c r="Q15" s="134">
        <f>IF(SER_hh_tesh_in!Q15=0,0,SER_hh_tesh_in!Q15/SER_summary!Q$27)</f>
        <v>0.8026433265140186</v>
      </c>
      <c r="R15" s="134">
        <f>IF(SER_hh_tesh_in!R15=0,0,SER_hh_tesh_in!R15/SER_summary!R$27)</f>
        <v>0.81198111645585236</v>
      </c>
      <c r="S15" s="134">
        <f>IF(SER_hh_tesh_in!S15=0,0,SER_hh_tesh_in!S15/SER_summary!S$27)</f>
        <v>0.83243318388805732</v>
      </c>
      <c r="T15" s="134">
        <f>IF(SER_hh_tesh_in!T15=0,0,SER_hh_tesh_in!T15/SER_summary!T$27)</f>
        <v>0.82329145540604309</v>
      </c>
      <c r="U15" s="134">
        <f>IF(SER_hh_tesh_in!U15=0,0,SER_hh_tesh_in!U15/SER_summary!U$27)</f>
        <v>0.74454412235363521</v>
      </c>
      <c r="V15" s="134">
        <f>IF(SER_hh_tesh_in!V15=0,0,SER_hh_tesh_in!V15/SER_summary!V$27)</f>
        <v>0.64135640249597414</v>
      </c>
      <c r="W15" s="134">
        <f>IF(SER_hh_tesh_in!W15=0,0,SER_hh_tesh_in!W15/SER_summary!W$27)</f>
        <v>0.54285992523106408</v>
      </c>
      <c r="X15" s="134">
        <f>IF(SER_hh_tesh_in!X15=0,0,SER_hh_tesh_in!X15/SER_summary!X$27)</f>
        <v>0.50245021629261644</v>
      </c>
      <c r="Y15" s="134">
        <f>IF(SER_hh_tesh_in!Y15=0,0,SER_hh_tesh_in!Y15/SER_summary!Y$27)</f>
        <v>0.43261823617839623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27.347193288385384</v>
      </c>
      <c r="D16" s="130">
        <f>IF(SER_hh_tesh_in!D16=0,0,SER_hh_tesh_in!D16/SER_summary!D$27)</f>
        <v>25.963052983104408</v>
      </c>
      <c r="E16" s="130">
        <f>IF(SER_hh_tesh_in!E16=0,0,SER_hh_tesh_in!E16/SER_summary!E$27)</f>
        <v>45.003880912154784</v>
      </c>
      <c r="F16" s="130">
        <f>IF(SER_hh_tesh_in!F16=0,0,SER_hh_tesh_in!F16/SER_summary!F$27)</f>
        <v>26.26301990510709</v>
      </c>
      <c r="G16" s="130">
        <f>IF(SER_hh_tesh_in!G16=0,0,SER_hh_tesh_in!G16/SER_summary!G$27)</f>
        <v>28.269297948767061</v>
      </c>
      <c r="H16" s="130">
        <f>IF(SER_hh_tesh_in!H16=0,0,SER_hh_tesh_in!H16/SER_summary!H$27)</f>
        <v>31.994837518016528</v>
      </c>
      <c r="I16" s="130">
        <f>IF(SER_hh_tesh_in!I16=0,0,SER_hh_tesh_in!I16/SER_summary!I$27)</f>
        <v>24.697383512356364</v>
      </c>
      <c r="J16" s="130">
        <f>IF(SER_hh_tesh_in!J16=0,0,SER_hh_tesh_in!J16/SER_summary!J$27)</f>
        <v>24.710428056485874</v>
      </c>
      <c r="K16" s="130">
        <f>IF(SER_hh_tesh_in!K16=0,0,SER_hh_tesh_in!K16/SER_summary!K$27)</f>
        <v>25.929532216313014</v>
      </c>
      <c r="L16" s="130">
        <f>IF(SER_hh_tesh_in!L16=0,0,SER_hh_tesh_in!L16/SER_summary!L$27)</f>
        <v>25.104386368335785</v>
      </c>
      <c r="M16" s="130">
        <f>IF(SER_hh_tesh_in!M16=0,0,SER_hh_tesh_in!M16/SER_summary!M$27)</f>
        <v>24.219998318787294</v>
      </c>
      <c r="N16" s="130">
        <f>IF(SER_hh_tesh_in!N16=0,0,SER_hh_tesh_in!N16/SER_summary!N$27)</f>
        <v>24.870689625410915</v>
      </c>
      <c r="O16" s="130">
        <f>IF(SER_hh_tesh_in!O16=0,0,SER_hh_tesh_in!O16/SER_summary!O$27)</f>
        <v>24.108240074084634</v>
      </c>
      <c r="P16" s="130">
        <f>IF(SER_hh_tesh_in!P16=0,0,SER_hh_tesh_in!P16/SER_summary!P$27)</f>
        <v>22.044622848063096</v>
      </c>
      <c r="Q16" s="130">
        <f>IF(SER_hh_tesh_in!Q16=0,0,SER_hh_tesh_in!Q16/SER_summary!Q$27)</f>
        <v>26.659519348220616</v>
      </c>
      <c r="R16" s="130">
        <f>IF(SER_hh_tesh_in!R16=0,0,SER_hh_tesh_in!R16/SER_summary!R$27)</f>
        <v>22.83753279504224</v>
      </c>
      <c r="S16" s="130">
        <f>IF(SER_hh_tesh_in!S16=0,0,SER_hh_tesh_in!S16/SER_summary!S$27)</f>
        <v>23.956805341756709</v>
      </c>
      <c r="T16" s="130">
        <f>IF(SER_hh_tesh_in!T16=0,0,SER_hh_tesh_in!T16/SER_summary!T$27)</f>
        <v>22.848230673736001</v>
      </c>
      <c r="U16" s="130">
        <f>IF(SER_hh_tesh_in!U16=0,0,SER_hh_tesh_in!U16/SER_summary!U$27)</f>
        <v>22.189851670698197</v>
      </c>
      <c r="V16" s="130">
        <f>IF(SER_hh_tesh_in!V16=0,0,SER_hh_tesh_in!V16/SER_summary!V$27)</f>
        <v>21.197535185894889</v>
      </c>
      <c r="W16" s="130">
        <f>IF(SER_hh_tesh_in!W16=0,0,SER_hh_tesh_in!W16/SER_summary!W$27)</f>
        <v>15.980929342064956</v>
      </c>
      <c r="X16" s="130">
        <f>IF(SER_hh_tesh_in!X16=0,0,SER_hh_tesh_in!X16/SER_summary!X$27)</f>
        <v>23.4333995551725</v>
      </c>
      <c r="Y16" s="130">
        <f>IF(SER_hh_tesh_in!Y16=0,0,SER_hh_tesh_in!Y16/SER_summary!Y$27)</f>
        <v>20.750160986049078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27.353348231143165</v>
      </c>
      <c r="D17" s="132">
        <f>IF(SER_hh_tesh_in!D17=0,0,SER_hh_tesh_in!D17/SER_summary!D$27)</f>
        <v>25.973920397907388</v>
      </c>
      <c r="E17" s="132">
        <f>IF(SER_hh_tesh_in!E17=0,0,SER_hh_tesh_in!E17/SER_summary!E$27)</f>
        <v>51.196776187374191</v>
      </c>
      <c r="F17" s="132">
        <f>IF(SER_hh_tesh_in!F17=0,0,SER_hh_tesh_in!F17/SER_summary!F$27)</f>
        <v>26.29208947523005</v>
      </c>
      <c r="G17" s="132">
        <f>IF(SER_hh_tesh_in!G17=0,0,SER_hh_tesh_in!G17/SER_summary!G$27)</f>
        <v>25.160179227117997</v>
      </c>
      <c r="H17" s="132">
        <f>IF(SER_hh_tesh_in!H17=0,0,SER_hh_tesh_in!H17/SER_summary!H$27)</f>
        <v>32.04867474812449</v>
      </c>
      <c r="I17" s="132">
        <f>IF(SER_hh_tesh_in!I17=0,0,SER_hh_tesh_in!I17/SER_summary!I$27)</f>
        <v>24.730529565926929</v>
      </c>
      <c r="J17" s="132">
        <f>IF(SER_hh_tesh_in!J17=0,0,SER_hh_tesh_in!J17/SER_summary!J$27)</f>
        <v>24.745434472043179</v>
      </c>
      <c r="K17" s="132">
        <f>IF(SER_hh_tesh_in!K17=0,0,SER_hh_tesh_in!K17/SER_summary!K$27)</f>
        <v>25.962560877039703</v>
      </c>
      <c r="L17" s="132">
        <f>IF(SER_hh_tesh_in!L17=0,0,SER_hh_tesh_in!L17/SER_summary!L$27)</f>
        <v>25.172109510921985</v>
      </c>
      <c r="M17" s="132">
        <f>IF(SER_hh_tesh_in!M17=0,0,SER_hh_tesh_in!M17/SER_summary!M$27)</f>
        <v>24.345332375350747</v>
      </c>
      <c r="N17" s="132">
        <f>IF(SER_hh_tesh_in!N17=0,0,SER_hh_tesh_in!N17/SER_summary!N$27)</f>
        <v>25.033028696120184</v>
      </c>
      <c r="O17" s="132">
        <f>IF(SER_hh_tesh_in!O17=0,0,SER_hh_tesh_in!O17/SER_summary!O$27)</f>
        <v>24.257237341926128</v>
      </c>
      <c r="P17" s="132">
        <f>IF(SER_hh_tesh_in!P17=0,0,SER_hh_tesh_in!P17/SER_summary!P$27)</f>
        <v>20.697509220630323</v>
      </c>
      <c r="Q17" s="132">
        <f>IF(SER_hh_tesh_in!Q17=0,0,SER_hh_tesh_in!Q17/SER_summary!Q$27)</f>
        <v>26.744200960679375</v>
      </c>
      <c r="R17" s="132">
        <f>IF(SER_hh_tesh_in!R17=0,0,SER_hh_tesh_in!R17/SER_summary!R$27)</f>
        <v>22.881594317886027</v>
      </c>
      <c r="S17" s="132">
        <f>IF(SER_hh_tesh_in!S17=0,0,SER_hh_tesh_in!S17/SER_summary!S$27)</f>
        <v>24.011398503138963</v>
      </c>
      <c r="T17" s="132">
        <f>IF(SER_hh_tesh_in!T17=0,0,SER_hh_tesh_in!T17/SER_summary!T$27)</f>
        <v>22.896556194188104</v>
      </c>
      <c r="U17" s="132">
        <f>IF(SER_hh_tesh_in!U17=0,0,SER_hh_tesh_in!U17/SER_summary!U$27)</f>
        <v>22.257020298838661</v>
      </c>
      <c r="V17" s="132">
        <f>IF(SER_hh_tesh_in!V17=0,0,SER_hh_tesh_in!V17/SER_summary!V$27)</f>
        <v>20.459187642634713</v>
      </c>
      <c r="W17" s="132">
        <f>IF(SER_hh_tesh_in!W17=0,0,SER_hh_tesh_in!W17/SER_summary!W$27)</f>
        <v>14.722992130460218</v>
      </c>
      <c r="X17" s="132">
        <f>IF(SER_hh_tesh_in!X17=0,0,SER_hh_tesh_in!X17/SER_summary!X$27)</f>
        <v>22.156676684379054</v>
      </c>
      <c r="Y17" s="132">
        <f>IF(SER_hh_tesh_in!Y17=0,0,SER_hh_tesh_in!Y17/SER_summary!Y$27)</f>
        <v>20.814535738979625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27.347164716530592</v>
      </c>
      <c r="D18" s="132">
        <f>IF(SER_hh_tesh_in!D18=0,0,SER_hh_tesh_in!D18/SER_summary!D$27)</f>
        <v>25.963005612273232</v>
      </c>
      <c r="E18" s="132">
        <f>IF(SER_hh_tesh_in!E18=0,0,SER_hh_tesh_in!E18/SER_summary!E$27)</f>
        <v>44.949667597871496</v>
      </c>
      <c r="F18" s="132">
        <f>IF(SER_hh_tesh_in!F18=0,0,SER_hh_tesh_in!F18/SER_summary!F$27)</f>
        <v>26.26290045253689</v>
      </c>
      <c r="G18" s="132">
        <f>IF(SER_hh_tesh_in!G18=0,0,SER_hh_tesh_in!G18/SER_summary!G$27)</f>
        <v>28.285878363701457</v>
      </c>
      <c r="H18" s="132">
        <f>IF(SER_hh_tesh_in!H18=0,0,SER_hh_tesh_in!H18/SER_summary!H$27)</f>
        <v>31.994260197131474</v>
      </c>
      <c r="I18" s="132">
        <f>IF(SER_hh_tesh_in!I18=0,0,SER_hh_tesh_in!I18/SER_summary!I$27)</f>
        <v>24.697138815664744</v>
      </c>
      <c r="J18" s="132">
        <f>IF(SER_hh_tesh_in!J18=0,0,SER_hh_tesh_in!J18/SER_summary!J$27)</f>
        <v>24.710029838994533</v>
      </c>
      <c r="K18" s="132">
        <f>IF(SER_hh_tesh_in!K18=0,0,SER_hh_tesh_in!K18/SER_summary!K$27)</f>
        <v>25.929240778515194</v>
      </c>
      <c r="L18" s="132">
        <f>IF(SER_hh_tesh_in!L18=0,0,SER_hh_tesh_in!L18/SER_summary!L$27)</f>
        <v>25.103363309148289</v>
      </c>
      <c r="M18" s="132">
        <f>IF(SER_hh_tesh_in!M18=0,0,SER_hh_tesh_in!M18/SER_summary!M$27)</f>
        <v>24.216532295878768</v>
      </c>
      <c r="N18" s="132">
        <f>IF(SER_hh_tesh_in!N18=0,0,SER_hh_tesh_in!N18/SER_summary!N$27)</f>
        <v>24.86234834954443</v>
      </c>
      <c r="O18" s="132">
        <f>IF(SER_hh_tesh_in!O18=0,0,SER_hh_tesh_in!O18/SER_summary!O$27)</f>
        <v>24.102262120683523</v>
      </c>
      <c r="P18" s="132">
        <f>IF(SER_hh_tesh_in!P18=0,0,SER_hh_tesh_in!P18/SER_summary!P$27)</f>
        <v>22.090920214865502</v>
      </c>
      <c r="Q18" s="132">
        <f>IF(SER_hh_tesh_in!Q18=0,0,SER_hh_tesh_in!Q18/SER_summary!Q$27)</f>
        <v>26.656022338079886</v>
      </c>
      <c r="R18" s="132">
        <f>IF(SER_hh_tesh_in!R18=0,0,SER_hh_tesh_in!R18/SER_summary!R$27)</f>
        <v>22.836114433501585</v>
      </c>
      <c r="S18" s="132">
        <f>IF(SER_hh_tesh_in!S18=0,0,SER_hh_tesh_in!S18/SER_summary!S$27)</f>
        <v>23.954106475822577</v>
      </c>
      <c r="T18" s="132">
        <f>IF(SER_hh_tesh_in!T18=0,0,SER_hh_tesh_in!T18/SER_summary!T$27)</f>
        <v>22.846029731467752</v>
      </c>
      <c r="U18" s="132">
        <f>IF(SER_hh_tesh_in!U18=0,0,SER_hh_tesh_in!U18/SER_summary!U$27)</f>
        <v>22.186214429906009</v>
      </c>
      <c r="V18" s="132">
        <f>IF(SER_hh_tesh_in!V18=0,0,SER_hh_tesh_in!V18/SER_summary!V$27)</f>
        <v>21.234548807590755</v>
      </c>
      <c r="W18" s="132">
        <f>IF(SER_hh_tesh_in!W18=0,0,SER_hh_tesh_in!W18/SER_summary!W$27)</f>
        <v>16.043642314264254</v>
      </c>
      <c r="X18" s="132">
        <f>IF(SER_hh_tesh_in!X18=0,0,SER_hh_tesh_in!X18/SER_summary!X$27)</f>
        <v>23.510169007675596</v>
      </c>
      <c r="Y18" s="132">
        <f>IF(SER_hh_tesh_in!Y18=0,0,SER_hh_tesh_in!Y18/SER_summary!Y$27)</f>
        <v>20.747243979653273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16.663457351136078</v>
      </c>
      <c r="D19" s="130">
        <f>IF(SER_hh_tesh_in!D19=0,0,SER_hh_tesh_in!D19/SER_summary!D$27)</f>
        <v>16.651744707061638</v>
      </c>
      <c r="E19" s="130">
        <f>IF(SER_hh_tesh_in!E19=0,0,SER_hh_tesh_in!E19/SER_summary!E$27)</f>
        <v>16.263037344397407</v>
      </c>
      <c r="F19" s="130">
        <f>IF(SER_hh_tesh_in!F19=0,0,SER_hh_tesh_in!F19/SER_summary!F$27)</f>
        <v>16.668320656854075</v>
      </c>
      <c r="G19" s="130">
        <f>IF(SER_hh_tesh_in!G19=0,0,SER_hh_tesh_in!G19/SER_summary!G$27)</f>
        <v>16.483744717633208</v>
      </c>
      <c r="H19" s="130">
        <f>IF(SER_hh_tesh_in!H19=0,0,SER_hh_tesh_in!H19/SER_summary!H$27)</f>
        <v>15.975300312015412</v>
      </c>
      <c r="I19" s="130">
        <f>IF(SER_hh_tesh_in!I19=0,0,SER_hh_tesh_in!I19/SER_summary!I$27)</f>
        <v>16.207709349124553</v>
      </c>
      <c r="J19" s="130">
        <f>IF(SER_hh_tesh_in!J19=0,0,SER_hh_tesh_in!J19/SER_summary!J$27)</f>
        <v>16.311763599145703</v>
      </c>
      <c r="K19" s="130">
        <f>IF(SER_hh_tesh_in!K19=0,0,SER_hh_tesh_in!K19/SER_summary!K$27)</f>
        <v>16.475227305135196</v>
      </c>
      <c r="L19" s="130">
        <f>IF(SER_hh_tesh_in!L19=0,0,SER_hh_tesh_in!L19/SER_summary!L$27)</f>
        <v>16.319419506677598</v>
      </c>
      <c r="M19" s="130">
        <f>IF(SER_hh_tesh_in!M19=0,0,SER_hh_tesh_in!M19/SER_summary!M$27)</f>
        <v>16.228428260116658</v>
      </c>
      <c r="N19" s="130">
        <f>IF(SER_hh_tesh_in!N19=0,0,SER_hh_tesh_in!N19/SER_summary!N$27)</f>
        <v>16.369719387529866</v>
      </c>
      <c r="O19" s="130">
        <f>IF(SER_hh_tesh_in!O19=0,0,SER_hh_tesh_in!O19/SER_summary!O$27)</f>
        <v>16.394075005763376</v>
      </c>
      <c r="P19" s="130">
        <f>IF(SER_hh_tesh_in!P19=0,0,SER_hh_tesh_in!P19/SER_summary!P$27)</f>
        <v>17.000645077556403</v>
      </c>
      <c r="Q19" s="130">
        <f>IF(SER_hh_tesh_in!Q19=0,0,SER_hh_tesh_in!Q19/SER_summary!Q$27)</f>
        <v>16.773170627048643</v>
      </c>
      <c r="R19" s="130">
        <f>IF(SER_hh_tesh_in!R19=0,0,SER_hh_tesh_in!R19/SER_summary!R$27)</f>
        <v>16.719858028032963</v>
      </c>
      <c r="S19" s="130">
        <f>IF(SER_hh_tesh_in!S19=0,0,SER_hh_tesh_in!S19/SER_summary!S$27)</f>
        <v>16.371205338865725</v>
      </c>
      <c r="T19" s="130">
        <f>IF(SER_hh_tesh_in!T19=0,0,SER_hh_tesh_in!T19/SER_summary!T$27)</f>
        <v>16.69777757013032</v>
      </c>
      <c r="U19" s="130">
        <f>IF(SER_hh_tesh_in!U19=0,0,SER_hh_tesh_in!U19/SER_summary!U$27)</f>
        <v>16.061878141139349</v>
      </c>
      <c r="V19" s="130">
        <f>IF(SER_hh_tesh_in!V19=0,0,SER_hh_tesh_in!V19/SER_summary!V$27)</f>
        <v>14.88881376336203</v>
      </c>
      <c r="W19" s="130">
        <f>IF(SER_hh_tesh_in!W19=0,0,SER_hh_tesh_in!W19/SER_summary!W$27)</f>
        <v>15.638178538999705</v>
      </c>
      <c r="X19" s="130">
        <f>IF(SER_hh_tesh_in!X19=0,0,SER_hh_tesh_in!X19/SER_summary!X$27)</f>
        <v>15.937807925341048</v>
      </c>
      <c r="Y19" s="130">
        <f>IF(SER_hh_tesh_in!Y19=0,0,SER_hh_tesh_in!Y19/SER_summary!Y$27)</f>
        <v>15.816067228435328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16.465790755205155</v>
      </c>
      <c r="D21" s="132">
        <f>IF(SER_hh_tesh_in!D21=0,0,SER_hh_tesh_in!D21/SER_summary!D$27)</f>
        <v>16.836308751687081</v>
      </c>
      <c r="E21" s="132">
        <f>IF(SER_hh_tesh_in!E21=0,0,SER_hh_tesh_in!E21/SER_summary!E$27)</f>
        <v>16.919481463713154</v>
      </c>
      <c r="F21" s="132">
        <f>IF(SER_hh_tesh_in!F21=0,0,SER_hh_tesh_in!F21/SER_summary!F$27)</f>
        <v>16.78027300837368</v>
      </c>
      <c r="G21" s="132">
        <f>IF(SER_hh_tesh_in!G21=0,0,SER_hh_tesh_in!G21/SER_summary!G$27)</f>
        <v>15.766629661761991</v>
      </c>
      <c r="H21" s="132">
        <f>IF(SER_hh_tesh_in!H21=0,0,SER_hh_tesh_in!H21/SER_summary!H$27)</f>
        <v>16.278759640536922</v>
      </c>
      <c r="I21" s="132">
        <f>IF(SER_hh_tesh_in!I21=0,0,SER_hh_tesh_in!I21/SER_summary!I$27)</f>
        <v>16.225653372241467</v>
      </c>
      <c r="J21" s="132">
        <f>IF(SER_hh_tesh_in!J21=0,0,SER_hh_tesh_in!J21/SER_summary!J$27)</f>
        <v>16.323817768987787</v>
      </c>
      <c r="K21" s="132">
        <f>IF(SER_hh_tesh_in!K21=0,0,SER_hh_tesh_in!K21/SER_summary!K$27)</f>
        <v>17.197662348005036</v>
      </c>
      <c r="L21" s="132">
        <f>IF(SER_hh_tesh_in!L21=0,0,SER_hh_tesh_in!L21/SER_summary!L$27)</f>
        <v>16.52320415543263</v>
      </c>
      <c r="M21" s="132">
        <f>IF(SER_hh_tesh_in!M21=0,0,SER_hh_tesh_in!M21/SER_summary!M$27)</f>
        <v>0</v>
      </c>
      <c r="N21" s="132">
        <f>IF(SER_hh_tesh_in!N21=0,0,SER_hh_tesh_in!N21/SER_summary!N$27)</f>
        <v>17.312084605031323</v>
      </c>
      <c r="O21" s="132">
        <f>IF(SER_hh_tesh_in!O21=0,0,SER_hh_tesh_in!O21/SER_summary!O$27)</f>
        <v>16.968615973621588</v>
      </c>
      <c r="P21" s="132">
        <f>IF(SER_hh_tesh_in!P21=0,0,SER_hh_tesh_in!P21/SER_summary!P$27)</f>
        <v>16.106128149617273</v>
      </c>
      <c r="Q21" s="132">
        <f>IF(SER_hh_tesh_in!Q21=0,0,SER_hh_tesh_in!Q21/SER_summary!Q$27)</f>
        <v>16.604392848905579</v>
      </c>
      <c r="R21" s="132">
        <f>IF(SER_hh_tesh_in!R21=0,0,SER_hh_tesh_in!R21/SER_summary!R$27)</f>
        <v>16.781120305515053</v>
      </c>
      <c r="S21" s="132">
        <f>IF(SER_hh_tesh_in!S21=0,0,SER_hh_tesh_in!S21/SER_summary!S$27)</f>
        <v>17.545672673444916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15.828371636759977</v>
      </c>
      <c r="Y21" s="132">
        <f>IF(SER_hh_tesh_in!Y21=0,0,SER_hh_tesh_in!Y21/SER_summary!Y$27)</f>
        <v>15.62979043737902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16.826468982213814</v>
      </c>
      <c r="D22" s="132">
        <f>IF(SER_hh_tesh_in!D22=0,0,SER_hh_tesh_in!D22/SER_summary!D$27)</f>
        <v>16.584021751987837</v>
      </c>
      <c r="E22" s="132">
        <f>IF(SER_hh_tesh_in!E22=0,0,SER_hh_tesh_in!E22/SER_summary!E$27)</f>
        <v>16.431688831516059</v>
      </c>
      <c r="F22" s="132">
        <f>IF(SER_hh_tesh_in!F22=0,0,SER_hh_tesh_in!F22/SER_summary!F$27)</f>
        <v>16.686558747024211</v>
      </c>
      <c r="G22" s="132">
        <f>IF(SER_hh_tesh_in!G22=0,0,SER_hh_tesh_in!G22/SER_summary!G$27)</f>
        <v>16.4136663706551</v>
      </c>
      <c r="H22" s="132">
        <f>IF(SER_hh_tesh_in!H22=0,0,SER_hh_tesh_in!H22/SER_summary!H$27)</f>
        <v>16.235607384802979</v>
      </c>
      <c r="I22" s="132">
        <f>IF(SER_hh_tesh_in!I22=0,0,SER_hh_tesh_in!I22/SER_summary!I$27)</f>
        <v>15.758501153252711</v>
      </c>
      <c r="J22" s="132">
        <f>IF(SER_hh_tesh_in!J22=0,0,SER_hh_tesh_in!J22/SER_summary!J$27)</f>
        <v>16.329117540326052</v>
      </c>
      <c r="K22" s="132">
        <f>IF(SER_hh_tesh_in!K22=0,0,SER_hh_tesh_in!K22/SER_summary!K$27)</f>
        <v>16.607868759775297</v>
      </c>
      <c r="L22" s="132">
        <f>IF(SER_hh_tesh_in!L22=0,0,SER_hh_tesh_in!L22/SER_summary!L$27)</f>
        <v>16.01406827471331</v>
      </c>
      <c r="M22" s="132">
        <f>IF(SER_hh_tesh_in!M22=0,0,SER_hh_tesh_in!M22/SER_summary!M$27)</f>
        <v>15.363293038263569</v>
      </c>
      <c r="N22" s="132">
        <f>IF(SER_hh_tesh_in!N22=0,0,SER_hh_tesh_in!N22/SER_summary!N$27)</f>
        <v>15.876485219421987</v>
      </c>
      <c r="O22" s="132">
        <f>IF(SER_hh_tesh_in!O22=0,0,SER_hh_tesh_in!O22/SER_summary!O$27)</f>
        <v>15.604229563891483</v>
      </c>
      <c r="P22" s="132">
        <f>IF(SER_hh_tesh_in!P22=0,0,SER_hh_tesh_in!P22/SER_summary!P$27)</f>
        <v>18.085489991578982</v>
      </c>
      <c r="Q22" s="132">
        <f>IF(SER_hh_tesh_in!Q22=0,0,SER_hh_tesh_in!Q22/SER_summary!Q$27)</f>
        <v>16.933405169904741</v>
      </c>
      <c r="R22" s="132">
        <f>IF(SER_hh_tesh_in!R22=0,0,SER_hh_tesh_in!R22/SER_summary!R$27)</f>
        <v>0</v>
      </c>
      <c r="S22" s="132">
        <f>IF(SER_hh_tesh_in!S22=0,0,SER_hh_tesh_in!S22/SER_summary!S$27)</f>
        <v>17.467904754688753</v>
      </c>
      <c r="T22" s="132">
        <f>IF(SER_hh_tesh_in!T22=0,0,SER_hh_tesh_in!T22/SER_summary!T$27)</f>
        <v>15.908806118261328</v>
      </c>
      <c r="U22" s="132">
        <f>IF(SER_hh_tesh_in!U22=0,0,SER_hh_tesh_in!U22/SER_summary!U$27)</f>
        <v>15.159780778317847</v>
      </c>
      <c r="V22" s="132">
        <f>IF(SER_hh_tesh_in!V22=0,0,SER_hh_tesh_in!V22/SER_summary!V$27)</f>
        <v>16.36735646993316</v>
      </c>
      <c r="W22" s="132">
        <f>IF(SER_hh_tesh_in!W22=0,0,SER_hh_tesh_in!W22/SER_summary!W$27)</f>
        <v>13.49074127630764</v>
      </c>
      <c r="X22" s="132">
        <f>IF(SER_hh_tesh_in!X22=0,0,SER_hh_tesh_in!X22/SER_summary!X$27)</f>
        <v>17.248302787666706</v>
      </c>
      <c r="Y22" s="132">
        <f>IF(SER_hh_tesh_in!Y22=0,0,SER_hh_tesh_in!Y22/SER_summary!Y$27)</f>
        <v>15.081616515074115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16.713845679410564</v>
      </c>
      <c r="D23" s="132">
        <f>IF(SER_hh_tesh_in!D23=0,0,SER_hh_tesh_in!D23/SER_summary!D$27)</f>
        <v>16.513411771192072</v>
      </c>
      <c r="E23" s="132">
        <f>IF(SER_hh_tesh_in!E23=0,0,SER_hh_tesh_in!E23/SER_summary!E$27)</f>
        <v>16.758022572643537</v>
      </c>
      <c r="F23" s="132">
        <f>IF(SER_hh_tesh_in!F23=0,0,SER_hh_tesh_in!F23/SER_summary!F$27)</f>
        <v>16.905527562455305</v>
      </c>
      <c r="G23" s="132">
        <f>IF(SER_hh_tesh_in!G23=0,0,SER_hh_tesh_in!G23/SER_summary!G$27)</f>
        <v>15.920860482508683</v>
      </c>
      <c r="H23" s="132">
        <f>IF(SER_hh_tesh_in!H23=0,0,SER_hh_tesh_in!H23/SER_summary!H$27)</f>
        <v>15.871155813285075</v>
      </c>
      <c r="I23" s="132">
        <f>IF(SER_hh_tesh_in!I23=0,0,SER_hh_tesh_in!I23/SER_summary!I$27)</f>
        <v>15.962000873321594</v>
      </c>
      <c r="J23" s="132">
        <f>IF(SER_hh_tesh_in!J23=0,0,SER_hh_tesh_in!J23/SER_summary!J$27)</f>
        <v>15.718361656388081</v>
      </c>
      <c r="K23" s="132">
        <f>IF(SER_hh_tesh_in!K23=0,0,SER_hh_tesh_in!K23/SER_summary!K$27)</f>
        <v>16.740697051553809</v>
      </c>
      <c r="L23" s="132">
        <f>IF(SER_hh_tesh_in!L23=0,0,SER_hh_tesh_in!L23/SER_summary!L$27)</f>
        <v>16.027995767106752</v>
      </c>
      <c r="M23" s="132">
        <f>IF(SER_hh_tesh_in!M23=0,0,SER_hh_tesh_in!M23/SER_summary!M$27)</f>
        <v>17.665430463437055</v>
      </c>
      <c r="N23" s="132">
        <f>IF(SER_hh_tesh_in!N23=0,0,SER_hh_tesh_in!N23/SER_summary!N$27)</f>
        <v>13.656884000337646</v>
      </c>
      <c r="O23" s="132">
        <f>IF(SER_hh_tesh_in!O23=0,0,SER_hh_tesh_in!O23/SER_summary!O$27)</f>
        <v>15.170982847389395</v>
      </c>
      <c r="P23" s="132">
        <f>IF(SER_hh_tesh_in!P23=0,0,SER_hh_tesh_in!P23/SER_summary!P$27)</f>
        <v>16.38177581306141</v>
      </c>
      <c r="Q23" s="132">
        <f>IF(SER_hh_tesh_in!Q23=0,0,SER_hh_tesh_in!Q23/SER_summary!Q$27)</f>
        <v>15.716274895656532</v>
      </c>
      <c r="R23" s="132">
        <f>IF(SER_hh_tesh_in!R23=0,0,SER_hh_tesh_in!R23/SER_summary!R$27)</f>
        <v>17.11395099006231</v>
      </c>
      <c r="S23" s="132">
        <f>IF(SER_hh_tesh_in!S23=0,0,SER_hh_tesh_in!S23/SER_summary!S$27)</f>
        <v>16.298256796022986</v>
      </c>
      <c r="T23" s="132">
        <f>IF(SER_hh_tesh_in!T23=0,0,SER_hh_tesh_in!T23/SER_summary!T$27)</f>
        <v>16.314589711327365</v>
      </c>
      <c r="U23" s="132">
        <f>IF(SER_hh_tesh_in!U23=0,0,SER_hh_tesh_in!U23/SER_summary!U$27)</f>
        <v>15.84324838232121</v>
      </c>
      <c r="V23" s="132">
        <f>IF(SER_hh_tesh_in!V23=0,0,SER_hh_tesh_in!V23/SER_summary!V$27)</f>
        <v>13.989822515054176</v>
      </c>
      <c r="W23" s="132">
        <f>IF(SER_hh_tesh_in!W23=0,0,SER_hh_tesh_in!W23/SER_summary!W$27)</f>
        <v>17.090625291873</v>
      </c>
      <c r="X23" s="132">
        <f>IF(SER_hh_tesh_in!X23=0,0,SER_hh_tesh_in!X23/SER_summary!X$27)</f>
        <v>16.050064162360151</v>
      </c>
      <c r="Y23" s="132">
        <f>IF(SER_hh_tesh_in!Y23=0,0,SER_hh_tesh_in!Y23/SER_summary!Y$27)</f>
        <v>15.850846702060085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16.499301860528057</v>
      </c>
      <c r="D24" s="132">
        <f>IF(SER_hh_tesh_in!D24=0,0,SER_hh_tesh_in!D24/SER_summary!D$27)</f>
        <v>16.386922753439588</v>
      </c>
      <c r="E24" s="132">
        <f>IF(SER_hh_tesh_in!E24=0,0,SER_hh_tesh_in!E24/SER_summary!E$27)</f>
        <v>16.25383854545699</v>
      </c>
      <c r="F24" s="132">
        <f>IF(SER_hh_tesh_in!F24=0,0,SER_hh_tesh_in!F24/SER_summary!F$27)</f>
        <v>16.747772139115487</v>
      </c>
      <c r="G24" s="132">
        <f>IF(SER_hh_tesh_in!G24=0,0,SER_hh_tesh_in!G24/SER_summary!G$27)</f>
        <v>16.077570952047505</v>
      </c>
      <c r="H24" s="132">
        <f>IF(SER_hh_tesh_in!H24=0,0,SER_hh_tesh_in!H24/SER_summary!H$27)</f>
        <v>15.411860769388085</v>
      </c>
      <c r="I24" s="132">
        <f>IF(SER_hh_tesh_in!I24=0,0,SER_hh_tesh_in!I24/SER_summary!I$27)</f>
        <v>16.837934287878809</v>
      </c>
      <c r="J24" s="132">
        <f>IF(SER_hh_tesh_in!J24=0,0,SER_hh_tesh_in!J24/SER_summary!J$27)</f>
        <v>15.915334439535512</v>
      </c>
      <c r="K24" s="132">
        <f>IF(SER_hh_tesh_in!K24=0,0,SER_hh_tesh_in!K24/SER_summary!K$27)</f>
        <v>17.050184899372518</v>
      </c>
      <c r="L24" s="132">
        <f>IF(SER_hh_tesh_in!L24=0,0,SER_hh_tesh_in!L24/SER_summary!L$27)</f>
        <v>18.443617858598561</v>
      </c>
      <c r="M24" s="132">
        <f>IF(SER_hh_tesh_in!M24=0,0,SER_hh_tesh_in!M24/SER_summary!M$27)</f>
        <v>0</v>
      </c>
      <c r="N24" s="132">
        <f>IF(SER_hh_tesh_in!N24=0,0,SER_hh_tesh_in!N24/SER_summary!N$27)</f>
        <v>13.837745808296505</v>
      </c>
      <c r="O24" s="132">
        <f>IF(SER_hh_tesh_in!O24=0,0,SER_hh_tesh_in!O24/SER_summary!O$27)</f>
        <v>18.583503113992421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16.368691154539889</v>
      </c>
      <c r="S24" s="132">
        <f>IF(SER_hh_tesh_in!S24=0,0,SER_hh_tesh_in!S24/SER_summary!S$27)</f>
        <v>16.518911056131973</v>
      </c>
      <c r="T24" s="132">
        <f>IF(SER_hh_tesh_in!T24=0,0,SER_hh_tesh_in!T24/SER_summary!T$27)</f>
        <v>15.728739063374402</v>
      </c>
      <c r="U24" s="132">
        <f>IF(SER_hh_tesh_in!U24=0,0,SER_hh_tesh_in!U24/SER_summary!U$27)</f>
        <v>15.364746280685198</v>
      </c>
      <c r="V24" s="132">
        <f>IF(SER_hh_tesh_in!V24=0,0,SER_hh_tesh_in!V24/SER_summary!V$27)</f>
        <v>14.791713505019915</v>
      </c>
      <c r="W24" s="132">
        <f>IF(SER_hh_tesh_in!W24=0,0,SER_hh_tesh_in!W24/SER_summary!W$27)</f>
        <v>15.297847211726696</v>
      </c>
      <c r="X24" s="132">
        <f>IF(SER_hh_tesh_in!X24=0,0,SER_hh_tesh_in!X24/SER_summary!X$27)</f>
        <v>16.416372949515157</v>
      </c>
      <c r="Y24" s="132">
        <f>IF(SER_hh_tesh_in!Y24=0,0,SER_hh_tesh_in!Y24/SER_summary!Y$27)</f>
        <v>15.976087468981264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16.910092559295101</v>
      </c>
      <c r="D25" s="132">
        <f>IF(SER_hh_tesh_in!D25=0,0,SER_hh_tesh_in!D25/SER_summary!D$27)</f>
        <v>16.43325517553146</v>
      </c>
      <c r="E25" s="132">
        <f>IF(SER_hh_tesh_in!E25=0,0,SER_hh_tesh_in!E25/SER_summary!E$27)</f>
        <v>16.468066986584681</v>
      </c>
      <c r="F25" s="132">
        <f>IF(SER_hh_tesh_in!F25=0,0,SER_hh_tesh_in!F25/SER_summary!F$27)</f>
        <v>16.721940840303162</v>
      </c>
      <c r="G25" s="132">
        <f>IF(SER_hh_tesh_in!G25=0,0,SER_hh_tesh_in!G25/SER_summary!G$27)</f>
        <v>16.80870855013567</v>
      </c>
      <c r="H25" s="132">
        <f>IF(SER_hh_tesh_in!H25=0,0,SER_hh_tesh_in!H25/SER_summary!H$27)</f>
        <v>0</v>
      </c>
      <c r="I25" s="132">
        <f>IF(SER_hh_tesh_in!I25=0,0,SER_hh_tesh_in!I25/SER_summary!I$27)</f>
        <v>0</v>
      </c>
      <c r="J25" s="132">
        <f>IF(SER_hh_tesh_in!J25=0,0,SER_hh_tesh_in!J25/SER_summary!J$27)</f>
        <v>0</v>
      </c>
      <c r="K25" s="132">
        <f>IF(SER_hh_tesh_in!K25=0,0,SER_hh_tesh_in!K25/SER_summary!K$27)</f>
        <v>17.690221280282259</v>
      </c>
      <c r="L25" s="132">
        <f>IF(SER_hh_tesh_in!L25=0,0,SER_hh_tesh_in!L25/SER_summary!L$27)</f>
        <v>15.768692722346749</v>
      </c>
      <c r="M25" s="132">
        <f>IF(SER_hh_tesh_in!M25=0,0,SER_hh_tesh_in!M25/SER_summary!M$27)</f>
        <v>14.714055025961223</v>
      </c>
      <c r="N25" s="132">
        <f>IF(SER_hh_tesh_in!N25=0,0,SER_hh_tesh_in!N25/SER_summary!N$27)</f>
        <v>16.930966267276542</v>
      </c>
      <c r="O25" s="132">
        <f>IF(SER_hh_tesh_in!O25=0,0,SER_hh_tesh_in!O25/SER_summary!O$27)</f>
        <v>17.357985958176929</v>
      </c>
      <c r="P25" s="132">
        <f>IF(SER_hh_tesh_in!P25=0,0,SER_hh_tesh_in!P25/SER_summary!P$27)</f>
        <v>15.718452747773828</v>
      </c>
      <c r="Q25" s="132">
        <f>IF(SER_hh_tesh_in!Q25=0,0,SER_hh_tesh_in!Q25/SER_summary!Q$27)</f>
        <v>16.118248295953261</v>
      </c>
      <c r="R25" s="132">
        <f>IF(SER_hh_tesh_in!R25=0,0,SER_hh_tesh_in!R25/SER_summary!R$27)</f>
        <v>16.719900018089824</v>
      </c>
      <c r="S25" s="132">
        <f>IF(SER_hh_tesh_in!S25=0,0,SER_hh_tesh_in!S25/SER_summary!S$27)</f>
        <v>15.799331444389418</v>
      </c>
      <c r="T25" s="132">
        <f>IF(SER_hh_tesh_in!T25=0,0,SER_hh_tesh_in!T25/SER_summary!T$27)</f>
        <v>17.326579285761046</v>
      </c>
      <c r="U25" s="132">
        <f>IF(SER_hh_tesh_in!U25=0,0,SER_hh_tesh_in!U25/SER_summary!U$27)</f>
        <v>15.992859744248308</v>
      </c>
      <c r="V25" s="132">
        <f>IF(SER_hh_tesh_in!V25=0,0,SER_hh_tesh_in!V25/SER_summary!V$27)</f>
        <v>15.239362061716356</v>
      </c>
      <c r="W25" s="132">
        <f>IF(SER_hh_tesh_in!W25=0,0,SER_hh_tesh_in!W25/SER_summary!W$27)</f>
        <v>14.646627879712154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16.575876846694332</v>
      </c>
      <c r="D26" s="65">
        <f>IF(SER_hh_tesh_in!D26=0,0,SER_hh_tesh_in!D26/SER_summary!D$27)</f>
        <v>16.742770125353118</v>
      </c>
      <c r="E26" s="65">
        <f>IF(SER_hh_tesh_in!E26=0,0,SER_hh_tesh_in!E26/SER_summary!E$27)</f>
        <v>15.970924065060098</v>
      </c>
      <c r="F26" s="65">
        <f>IF(SER_hh_tesh_in!F26=0,0,SER_hh_tesh_in!F26/SER_summary!F$27)</f>
        <v>16.606701048181918</v>
      </c>
      <c r="G26" s="65">
        <f>IF(SER_hh_tesh_in!G26=0,0,SER_hh_tesh_in!G26/SER_summary!G$27)</f>
        <v>14.883904559421765</v>
      </c>
      <c r="H26" s="65">
        <f>IF(SER_hh_tesh_in!H26=0,0,SER_hh_tesh_in!H26/SER_summary!H$27)</f>
        <v>15.904623608761632</v>
      </c>
      <c r="I26" s="65">
        <f>IF(SER_hh_tesh_in!I26=0,0,SER_hh_tesh_in!I26/SER_summary!I$27)</f>
        <v>16.035330157278377</v>
      </c>
      <c r="J26" s="65">
        <f>IF(SER_hh_tesh_in!J26=0,0,SER_hh_tesh_in!J26/SER_summary!J$27)</f>
        <v>16.153905169050713</v>
      </c>
      <c r="K26" s="65">
        <f>IF(SER_hh_tesh_in!K26=0,0,SER_hh_tesh_in!K26/SER_summary!K$27)</f>
        <v>15.733561553955395</v>
      </c>
      <c r="L26" s="65">
        <f>IF(SER_hh_tesh_in!L26=0,0,SER_hh_tesh_in!L26/SER_summary!L$27)</f>
        <v>15.022281386509119</v>
      </c>
      <c r="M26" s="65">
        <f>IF(SER_hh_tesh_in!M26=0,0,SER_hh_tesh_in!M26/SER_summary!M$27)</f>
        <v>15.485251297280488</v>
      </c>
      <c r="N26" s="65">
        <f>IF(SER_hh_tesh_in!N26=0,0,SER_hh_tesh_in!N26/SER_summary!N$27)</f>
        <v>10.87680114697276</v>
      </c>
      <c r="O26" s="65">
        <f>IF(SER_hh_tesh_in!O26=0,0,SER_hh_tesh_in!O26/SER_summary!O$27)</f>
        <v>14.177608066251032</v>
      </c>
      <c r="P26" s="65">
        <f>IF(SER_hh_tesh_in!P26=0,0,SER_hh_tesh_in!P26/SER_summary!P$27)</f>
        <v>16.732849731193848</v>
      </c>
      <c r="Q26" s="65">
        <f>IF(SER_hh_tesh_in!Q26=0,0,SER_hh_tesh_in!Q26/SER_summary!Q$27)</f>
        <v>12.674987760631435</v>
      </c>
      <c r="R26" s="65">
        <f>IF(SER_hh_tesh_in!R26=0,0,SER_hh_tesh_in!R26/SER_summary!R$27)</f>
        <v>15.797396395570711</v>
      </c>
      <c r="S26" s="65">
        <f>IF(SER_hh_tesh_in!S26=0,0,SER_hh_tesh_in!S26/SER_summary!S$27)</f>
        <v>15.372793860055936</v>
      </c>
      <c r="T26" s="65">
        <f>IF(SER_hh_tesh_in!T26=0,0,SER_hh_tesh_in!T26/SER_summary!T$27)</f>
        <v>16.244618283488695</v>
      </c>
      <c r="U26" s="65">
        <f>IF(SER_hh_tesh_in!U26=0,0,SER_hh_tesh_in!U26/SER_summary!U$27)</f>
        <v>15.256375270865403</v>
      </c>
      <c r="V26" s="65">
        <f>IF(SER_hh_tesh_in!V26=0,0,SER_hh_tesh_in!V26/SER_summary!V$27)</f>
        <v>12.994803830483198</v>
      </c>
      <c r="W26" s="65">
        <f>IF(SER_hh_tesh_in!W26=0,0,SER_hh_tesh_in!W26/SER_summary!W$27)</f>
        <v>15.209178605699455</v>
      </c>
      <c r="X26" s="65">
        <f>IF(SER_hh_tesh_in!X26=0,0,SER_hh_tesh_in!X26/SER_summary!X$27)</f>
        <v>15.651331613507924</v>
      </c>
      <c r="Y26" s="65">
        <f>IF(SER_hh_tesh_in!Y26=0,0,SER_hh_tesh_in!Y26/SER_summary!Y$27)</f>
        <v>15.789756916463864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1.1990789150452283</v>
      </c>
      <c r="H27" s="145">
        <f>IF(SER_hh_tesh_in!H27=0,0,SER_hh_tesh_in!H27/SER_summary!H$27)</f>
        <v>3.3172564629698503E-2</v>
      </c>
      <c r="I27" s="145">
        <f>IF(SER_hh_tesh_in!I27=0,0,SER_hh_tesh_in!I27/SER_summary!I$27)</f>
        <v>0.19095013034536953</v>
      </c>
      <c r="J27" s="145">
        <f>IF(SER_hh_tesh_in!J27=0,0,SER_hh_tesh_in!J27/SER_summary!J$27)</f>
        <v>0.21150264757051998</v>
      </c>
      <c r="K27" s="145">
        <f>IF(SER_hh_tesh_in!K27=0,0,SER_hh_tesh_in!K27/SER_summary!K$27)</f>
        <v>0.31587179780266911</v>
      </c>
      <c r="L27" s="145">
        <f>IF(SER_hh_tesh_in!L27=0,0,SER_hh_tesh_in!L27/SER_summary!L$27)</f>
        <v>0.94914830089923663</v>
      </c>
      <c r="M27" s="145">
        <f>IF(SER_hh_tesh_in!M27=0,0,SER_hh_tesh_in!M27/SER_summary!M$27)</f>
        <v>0.41766607294231478</v>
      </c>
      <c r="N27" s="145">
        <f>IF(SER_hh_tesh_in!N27=0,0,SER_hh_tesh_in!N27/SER_summary!N$27)</f>
        <v>3.2776732971558218</v>
      </c>
      <c r="O27" s="145">
        <f>IF(SER_hh_tesh_in!O27=0,0,SER_hh_tesh_in!O27/SER_summary!O$27)</f>
        <v>1.3838395679250435</v>
      </c>
      <c r="P27" s="145">
        <f>IF(SER_hh_tesh_in!P27=0,0,SER_hh_tesh_in!P27/SER_summary!P$27)</f>
        <v>2.8638091834417165E-15</v>
      </c>
      <c r="Q27" s="145">
        <f>IF(SER_hh_tesh_in!Q27=0,0,SER_hh_tesh_in!Q27/SER_summary!Q$27)</f>
        <v>2.6725582152588574</v>
      </c>
      <c r="R27" s="145">
        <f>IF(SER_hh_tesh_in!R27=0,0,SER_hh_tesh_in!R27/SER_summary!R$27)</f>
        <v>0.53862350900220568</v>
      </c>
      <c r="S27" s="145">
        <f>IF(SER_hh_tesh_in!S27=0,0,SER_hh_tesh_in!S27/SER_summary!S$27)</f>
        <v>0.67272244985388474</v>
      </c>
      <c r="T27" s="145">
        <f>IF(SER_hh_tesh_in!T27=0,0,SER_hh_tesh_in!T27/SER_summary!T$27)</f>
        <v>0.37807396737062576</v>
      </c>
      <c r="U27" s="145">
        <f>IF(SER_hh_tesh_in!U27=0,0,SER_hh_tesh_in!U27/SER_summary!U$27)</f>
        <v>0.67733731543280518</v>
      </c>
      <c r="V27" s="145">
        <f>IF(SER_hh_tesh_in!V27=0,0,SER_hh_tesh_in!V27/SER_summary!V$27)</f>
        <v>1.190740330845655</v>
      </c>
      <c r="W27" s="145">
        <f>IF(SER_hh_tesh_in!W27=0,0,SER_hh_tesh_in!W27/SER_summary!W$27)</f>
        <v>0.18681564152766497</v>
      </c>
      <c r="X27" s="145">
        <f>IF(SER_hh_tesh_in!X27=0,0,SER_hh_tesh_in!X27/SER_summary!X$27)</f>
        <v>0</v>
      </c>
      <c r="Y27" s="145">
        <f>IF(SER_hh_tesh_in!Y27=0,0,SER_hh_tesh_in!Y27/SER_summary!Y$27)</f>
        <v>9.507616639703978E-2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13.126599861399633</v>
      </c>
      <c r="H28" s="146">
        <f>IF(SER_hh_tesh_in!H28=0,0,SER_hh_tesh_in!H28/SER_summary!H$27)</f>
        <v>13.019787292835765</v>
      </c>
      <c r="I28" s="146">
        <f>IF(SER_hh_tesh_in!I28=0,0,SER_hh_tesh_in!I28/SER_summary!I$27)</f>
        <v>12.243312711920638</v>
      </c>
      <c r="J28" s="146">
        <f>IF(SER_hh_tesh_in!J28=0,0,SER_hh_tesh_in!J28/SER_summary!J$27)</f>
        <v>12.773441109759052</v>
      </c>
      <c r="K28" s="146">
        <f>IF(SER_hh_tesh_in!K28=0,0,SER_hh_tesh_in!K28/SER_summary!K$27)</f>
        <v>13.302661225058959</v>
      </c>
      <c r="L28" s="146">
        <f>IF(SER_hh_tesh_in!L28=0,0,SER_hh_tesh_in!L28/SER_summary!L$27)</f>
        <v>9.2149230599411798</v>
      </c>
      <c r="M28" s="146">
        <f>IF(SER_hh_tesh_in!M28=0,0,SER_hh_tesh_in!M28/SER_summary!M$27)</f>
        <v>13.246233961021176</v>
      </c>
      <c r="N28" s="146">
        <f>IF(SER_hh_tesh_in!N28=0,0,SER_hh_tesh_in!N28/SER_summary!N$27)</f>
        <v>12.483722392481644</v>
      </c>
      <c r="O28" s="146">
        <f>IF(SER_hh_tesh_in!O28=0,0,SER_hh_tesh_in!O28/SER_summary!O$27)</f>
        <v>12.376783367390763</v>
      </c>
      <c r="P28" s="146">
        <f>IF(SER_hh_tesh_in!P28=0,0,SER_hh_tesh_in!P28/SER_summary!P$27)</f>
        <v>15.04356340883314</v>
      </c>
      <c r="Q28" s="146">
        <f>IF(SER_hh_tesh_in!Q28=0,0,SER_hh_tesh_in!Q28/SER_summary!Q$27)</f>
        <v>13.464453692012111</v>
      </c>
      <c r="R28" s="146">
        <f>IF(SER_hh_tesh_in!R28=0,0,SER_hh_tesh_in!R28/SER_summary!R$27)</f>
        <v>13.431251242042222</v>
      </c>
      <c r="S28" s="146">
        <f>IF(SER_hh_tesh_in!S28=0,0,SER_hh_tesh_in!S28/SER_summary!S$27)</f>
        <v>13.015381305367253</v>
      </c>
      <c r="T28" s="146">
        <f>IF(SER_hh_tesh_in!T28=0,0,SER_hh_tesh_in!T28/SER_summary!T$27)</f>
        <v>13.211383824823551</v>
      </c>
      <c r="U28" s="146">
        <f>IF(SER_hh_tesh_in!U28=0,0,SER_hh_tesh_in!U28/SER_summary!U$27)</f>
        <v>13.116888027959982</v>
      </c>
      <c r="V28" s="146">
        <f>IF(SER_hh_tesh_in!V28=0,0,SER_hh_tesh_in!V28/SER_summary!V$27)</f>
        <v>12.221548452132771</v>
      </c>
      <c r="W28" s="146">
        <f>IF(SER_hh_tesh_in!W28=0,0,SER_hh_tesh_in!W28/SER_summary!W$27)</f>
        <v>12.840601245365878</v>
      </c>
      <c r="X28" s="146">
        <f>IF(SER_hh_tesh_in!X28=0,0,SER_hh_tesh_in!X28/SER_summary!X$27)</f>
        <v>0</v>
      </c>
      <c r="Y28" s="146">
        <f>IF(SER_hh_tesh_in!Y28=0,0,SER_hh_tesh_in!Y28/SER_summary!Y$27)</f>
        <v>15.452910358258244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15.392834743435387</v>
      </c>
      <c r="D29" s="130">
        <f>IF(SER_hh_tesh_in!D29=0,0,SER_hh_tesh_in!D29/SER_summary!D$27)</f>
        <v>16.584523545821952</v>
      </c>
      <c r="E29" s="130">
        <f>IF(SER_hh_tesh_in!E29=0,0,SER_hh_tesh_in!E29/SER_summary!E$27)</f>
        <v>15.782719270209679</v>
      </c>
      <c r="F29" s="130">
        <f>IF(SER_hh_tesh_in!F29=0,0,SER_hh_tesh_in!F29/SER_summary!F$27)</f>
        <v>14.574508843802459</v>
      </c>
      <c r="G29" s="130">
        <f>IF(SER_hh_tesh_in!G29=0,0,SER_hh_tesh_in!G29/SER_summary!G$27)</f>
        <v>16.8846658322807</v>
      </c>
      <c r="H29" s="130">
        <f>IF(SER_hh_tesh_in!H29=0,0,SER_hh_tesh_in!H29/SER_summary!H$27)</f>
        <v>16.704444550918499</v>
      </c>
      <c r="I29" s="130">
        <f>IF(SER_hh_tesh_in!I29=0,0,SER_hh_tesh_in!I29/SER_summary!I$27)</f>
        <v>16.041999829692674</v>
      </c>
      <c r="J29" s="130">
        <f>IF(SER_hh_tesh_in!J29=0,0,SER_hh_tesh_in!J29/SER_summary!J$27)</f>
        <v>15.940241786277578</v>
      </c>
      <c r="K29" s="130">
        <f>IF(SER_hh_tesh_in!K29=0,0,SER_hh_tesh_in!K29/SER_summary!K$27)</f>
        <v>17.293485816859494</v>
      </c>
      <c r="L29" s="130">
        <f>IF(SER_hh_tesh_in!L29=0,0,SER_hh_tesh_in!L29/SER_summary!L$27)</f>
        <v>16.898842408409035</v>
      </c>
      <c r="M29" s="130">
        <f>IF(SER_hh_tesh_in!M29=0,0,SER_hh_tesh_in!M29/SER_summary!M$27)</f>
        <v>16.485129340849976</v>
      </c>
      <c r="N29" s="130">
        <f>IF(SER_hh_tesh_in!N29=0,0,SER_hh_tesh_in!N29/SER_summary!N$27)</f>
        <v>17.361103801586093</v>
      </c>
      <c r="O29" s="130">
        <f>IF(SER_hh_tesh_in!O29=0,0,SER_hh_tesh_in!O29/SER_summary!O$27)</f>
        <v>17.394335231274844</v>
      </c>
      <c r="P29" s="130">
        <f>IF(SER_hh_tesh_in!P29=0,0,SER_hh_tesh_in!P29/SER_summary!P$27)</f>
        <v>17.272233444371697</v>
      </c>
      <c r="Q29" s="130">
        <f>IF(SER_hh_tesh_in!Q29=0,0,SER_hh_tesh_in!Q29/SER_summary!Q$27)</f>
        <v>17.65441422919125</v>
      </c>
      <c r="R29" s="130">
        <f>IF(SER_hh_tesh_in!R29=0,0,SER_hh_tesh_in!R29/SER_summary!R$27)</f>
        <v>17.951162042168448</v>
      </c>
      <c r="S29" s="130">
        <f>IF(SER_hh_tesh_in!S29=0,0,SER_hh_tesh_in!S29/SER_summary!S$27)</f>
        <v>17.738497395806267</v>
      </c>
      <c r="T29" s="130">
        <f>IF(SER_hh_tesh_in!T29=0,0,SER_hh_tesh_in!T29/SER_summary!T$27)</f>
        <v>18.163343841073413</v>
      </c>
      <c r="U29" s="130">
        <f>IF(SER_hh_tesh_in!U29=0,0,SER_hh_tesh_in!U29/SER_summary!U$27)</f>
        <v>17.850579944390518</v>
      </c>
      <c r="V29" s="130">
        <f>IF(SER_hh_tesh_in!V29=0,0,SER_hh_tesh_in!V29/SER_summary!V$27)</f>
        <v>16.183515665130404</v>
      </c>
      <c r="W29" s="130">
        <f>IF(SER_hh_tesh_in!W29=0,0,SER_hh_tesh_in!W29/SER_summary!W$27)</f>
        <v>16.911417482099552</v>
      </c>
      <c r="X29" s="130">
        <f>IF(SER_hh_tesh_in!X29=0,0,SER_hh_tesh_in!X29/SER_summary!X$27)</f>
        <v>17.653695452618848</v>
      </c>
      <c r="Y29" s="130">
        <f>IF(SER_hh_tesh_in!Y29=0,0,SER_hh_tesh_in!Y29/SER_summary!Y$27)</f>
        <v>18.045241296712863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7.102065601312523</v>
      </c>
      <c r="D30" s="132">
        <f>IF(SER_hh_tesh_in!D30=0,0,SER_hh_tesh_in!D30/SER_summary!D$27)</f>
        <v>17.353185031660651</v>
      </c>
      <c r="E30" s="132">
        <f>IF(SER_hh_tesh_in!E30=0,0,SER_hh_tesh_in!E30/SER_summary!E$27)</f>
        <v>17.156418383656895</v>
      </c>
      <c r="F30" s="132">
        <f>IF(SER_hh_tesh_in!F30=0,0,SER_hh_tesh_in!F30/SER_summary!F$27)</f>
        <v>18.852889070004224</v>
      </c>
      <c r="G30" s="132">
        <f>IF(SER_hh_tesh_in!G30=0,0,SER_hh_tesh_in!G30/SER_summary!G$27)</f>
        <v>15.556868071326498</v>
      </c>
      <c r="H30" s="132">
        <f>IF(SER_hh_tesh_in!H30=0,0,SER_hh_tesh_in!H30/SER_summary!H$27)</f>
        <v>0</v>
      </c>
      <c r="I30" s="132">
        <f>IF(SER_hh_tesh_in!I30=0,0,SER_hh_tesh_in!I30/SER_summary!I$27)</f>
        <v>15.560770053784731</v>
      </c>
      <c r="J30" s="132">
        <f>IF(SER_hh_tesh_in!J30=0,0,SER_hh_tesh_in!J30/SER_summary!J$27)</f>
        <v>17.172408249672905</v>
      </c>
      <c r="K30" s="132">
        <f>IF(SER_hh_tesh_in!K30=0,0,SER_hh_tesh_in!K30/SER_summary!K$27)</f>
        <v>16.964632728068185</v>
      </c>
      <c r="L30" s="132">
        <f>IF(SER_hh_tesh_in!L30=0,0,SER_hh_tesh_in!L30/SER_summary!L$27)</f>
        <v>19.12315377559845</v>
      </c>
      <c r="M30" s="132">
        <f>IF(SER_hh_tesh_in!M30=0,0,SER_hh_tesh_in!M30/SER_summary!M$27)</f>
        <v>0</v>
      </c>
      <c r="N30" s="132">
        <f>IF(SER_hh_tesh_in!N30=0,0,SER_hh_tesh_in!N30/SER_summary!N$27)</f>
        <v>18.364607509724191</v>
      </c>
      <c r="O30" s="132">
        <f>IF(SER_hh_tesh_in!O30=0,0,SER_hh_tesh_in!O30/SER_summary!O$27)</f>
        <v>16.486950495343734</v>
      </c>
      <c r="P30" s="132">
        <f>IF(SER_hh_tesh_in!P30=0,0,SER_hh_tesh_in!P30/SER_summary!P$27)</f>
        <v>15.799230012458388</v>
      </c>
      <c r="Q30" s="132">
        <f>IF(SER_hh_tesh_in!Q30=0,0,SER_hh_tesh_in!Q30/SER_summary!Q$27)</f>
        <v>18.588664135947166</v>
      </c>
      <c r="R30" s="132">
        <f>IF(SER_hh_tesh_in!R30=0,0,SER_hh_tesh_in!R30/SER_summary!R$27)</f>
        <v>17.207555106576148</v>
      </c>
      <c r="S30" s="132">
        <f>IF(SER_hh_tesh_in!S30=0,0,SER_hh_tesh_in!S30/SER_summary!S$27)</f>
        <v>18.456506608357085</v>
      </c>
      <c r="T30" s="132">
        <f>IF(SER_hh_tesh_in!T30=0,0,SER_hh_tesh_in!T30/SER_summary!T$27)</f>
        <v>17.854805801870686</v>
      </c>
      <c r="U30" s="132">
        <f>IF(SER_hh_tesh_in!U30=0,0,SER_hh_tesh_in!U30/SER_summary!U$27)</f>
        <v>19.509726743776049</v>
      </c>
      <c r="V30" s="132">
        <f>IF(SER_hh_tesh_in!V30=0,0,SER_hh_tesh_in!V30/SER_summary!V$27)</f>
        <v>17.908001919552536</v>
      </c>
      <c r="W30" s="132">
        <f>IF(SER_hh_tesh_in!W30=0,0,SER_hh_tesh_in!W30/SER_summary!W$27)</f>
        <v>0</v>
      </c>
      <c r="X30" s="132">
        <f>IF(SER_hh_tesh_in!X30=0,0,SER_hh_tesh_in!X30/SER_summary!X$27)</f>
        <v>0</v>
      </c>
      <c r="Y30" s="132">
        <f>IF(SER_hh_tesh_in!Y30=0,0,SER_hh_tesh_in!Y30/SER_summary!Y$27)</f>
        <v>18.35916129505701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15.649312294838795</v>
      </c>
      <c r="D31" s="132">
        <f>IF(SER_hh_tesh_in!D31=0,0,SER_hh_tesh_in!D31/SER_summary!D$27)</f>
        <v>15.605442851475345</v>
      </c>
      <c r="E31" s="132">
        <f>IF(SER_hh_tesh_in!E31=0,0,SER_hh_tesh_in!E31/SER_summary!E$27)</f>
        <v>16.242652783172314</v>
      </c>
      <c r="F31" s="132">
        <f>IF(SER_hh_tesh_in!F31=0,0,SER_hh_tesh_in!F31/SER_summary!F$27)</f>
        <v>17.605174461214624</v>
      </c>
      <c r="G31" s="132">
        <f>IF(SER_hh_tesh_in!G31=0,0,SER_hh_tesh_in!G31/SER_summary!G$27)</f>
        <v>0</v>
      </c>
      <c r="H31" s="132">
        <f>IF(SER_hh_tesh_in!H31=0,0,SER_hh_tesh_in!H31/SER_summary!H$27)</f>
        <v>0</v>
      </c>
      <c r="I31" s="132">
        <f>IF(SER_hh_tesh_in!I31=0,0,SER_hh_tesh_in!I31/SER_summary!I$27)</f>
        <v>15.61044779802916</v>
      </c>
      <c r="J31" s="132">
        <f>IF(SER_hh_tesh_in!J31=0,0,SER_hh_tesh_in!J31/SER_summary!J$27)</f>
        <v>14.575695782262125</v>
      </c>
      <c r="K31" s="132">
        <f>IF(SER_hh_tesh_in!K31=0,0,SER_hh_tesh_in!K31/SER_summary!K$27)</f>
        <v>18.293209351345546</v>
      </c>
      <c r="L31" s="132">
        <f>IF(SER_hh_tesh_in!L31=0,0,SER_hh_tesh_in!L31/SER_summary!L$27)</f>
        <v>16.980840536790534</v>
      </c>
      <c r="M31" s="132">
        <f>IF(SER_hh_tesh_in!M31=0,0,SER_hh_tesh_in!M31/SER_summary!M$27)</f>
        <v>16.971330814454895</v>
      </c>
      <c r="N31" s="132">
        <f>IF(SER_hh_tesh_in!N31=0,0,SER_hh_tesh_in!N31/SER_summary!N$27)</f>
        <v>16.033332562177879</v>
      </c>
      <c r="O31" s="132">
        <f>IF(SER_hh_tesh_in!O31=0,0,SER_hh_tesh_in!O31/SER_summary!O$27)</f>
        <v>16.94878666196843</v>
      </c>
      <c r="P31" s="132">
        <f>IF(SER_hh_tesh_in!P31=0,0,SER_hh_tesh_in!P31/SER_summary!P$27)</f>
        <v>17.820684484612386</v>
      </c>
      <c r="Q31" s="132">
        <f>IF(SER_hh_tesh_in!Q31=0,0,SER_hh_tesh_in!Q31/SER_summary!Q$27)</f>
        <v>18.244308043154948</v>
      </c>
      <c r="R31" s="132">
        <f>IF(SER_hh_tesh_in!R31=0,0,SER_hh_tesh_in!R31/SER_summary!R$27)</f>
        <v>17.454221786603217</v>
      </c>
      <c r="S31" s="132">
        <f>IF(SER_hh_tesh_in!S31=0,0,SER_hh_tesh_in!S31/SER_summary!S$27)</f>
        <v>17.835596228880984</v>
      </c>
      <c r="T31" s="132">
        <f>IF(SER_hh_tesh_in!T31=0,0,SER_hh_tesh_in!T31/SER_summary!T$27)</f>
        <v>18.195375748625011</v>
      </c>
      <c r="U31" s="132">
        <f>IF(SER_hh_tesh_in!U31=0,0,SER_hh_tesh_in!U31/SER_summary!U$27)</f>
        <v>17.359295156792495</v>
      </c>
      <c r="V31" s="132">
        <f>IF(SER_hh_tesh_in!V31=0,0,SER_hh_tesh_in!V31/SER_summary!V$27)</f>
        <v>15.429716250207802</v>
      </c>
      <c r="W31" s="132">
        <f>IF(SER_hh_tesh_in!W31=0,0,SER_hh_tesh_in!W31/SER_summary!W$27)</f>
        <v>21.729251035815714</v>
      </c>
      <c r="X31" s="132">
        <f>IF(SER_hh_tesh_in!X31=0,0,SER_hh_tesh_in!X31/SER_summary!X$27)</f>
        <v>18.271099540416703</v>
      </c>
      <c r="Y31" s="132">
        <f>IF(SER_hh_tesh_in!Y31=0,0,SER_hh_tesh_in!Y31/SER_summary!Y$27)</f>
        <v>17.42667798201261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17.567924000181012</v>
      </c>
      <c r="D33" s="68">
        <f>IF(SER_hh_tesh_in!D33=0,0,SER_hh_tesh_in!D33/SER_summary!D$27)</f>
        <v>15.198878180406137</v>
      </c>
      <c r="E33" s="68">
        <f>IF(SER_hh_tesh_in!E33=0,0,SER_hh_tesh_in!E33/SER_summary!E$27)</f>
        <v>14.189669169250228</v>
      </c>
      <c r="F33" s="68">
        <f>IF(SER_hh_tesh_in!F33=0,0,SER_hh_tesh_in!F33/SER_summary!F$27)</f>
        <v>13.286321113894269</v>
      </c>
      <c r="G33" s="68">
        <f>IF(SER_hh_tesh_in!G33=0,0,SER_hh_tesh_in!G33/SER_summary!G$27)</f>
        <v>16.947731136564439</v>
      </c>
      <c r="H33" s="68">
        <f>IF(SER_hh_tesh_in!H33=0,0,SER_hh_tesh_in!H33/SER_summary!H$27)</f>
        <v>16.704444550918499</v>
      </c>
      <c r="I33" s="68">
        <f>IF(SER_hh_tesh_in!I33=0,0,SER_hh_tesh_in!I33/SER_summary!I$27)</f>
        <v>16.239101384046531</v>
      </c>
      <c r="J33" s="68">
        <f>IF(SER_hh_tesh_in!J33=0,0,SER_hh_tesh_in!J33/SER_summary!J$27)</f>
        <v>16.511041783375205</v>
      </c>
      <c r="K33" s="68">
        <f>IF(SER_hh_tesh_in!K33=0,0,SER_hh_tesh_in!K33/SER_summary!K$27)</f>
        <v>16.076281323714511</v>
      </c>
      <c r="L33" s="68">
        <f>IF(SER_hh_tesh_in!L33=0,0,SER_hh_tesh_in!L33/SER_summary!L$27)</f>
        <v>16.456564933290487</v>
      </c>
      <c r="M33" s="68">
        <f>IF(SER_hh_tesh_in!M33=0,0,SER_hh_tesh_in!M33/SER_summary!M$27)</f>
        <v>16.330870047273439</v>
      </c>
      <c r="N33" s="68">
        <f>IF(SER_hh_tesh_in!N33=0,0,SER_hh_tesh_in!N33/SER_summary!N$27)</f>
        <v>17.584123774340085</v>
      </c>
      <c r="O33" s="68">
        <f>IF(SER_hh_tesh_in!O33=0,0,SER_hh_tesh_in!O33/SER_summary!O$27)</f>
        <v>17.749549940985585</v>
      </c>
      <c r="P33" s="68">
        <f>IF(SER_hh_tesh_in!P33=0,0,SER_hh_tesh_in!P33/SER_summary!P$27)</f>
        <v>17.484755585767722</v>
      </c>
      <c r="Q33" s="68">
        <f>IF(SER_hh_tesh_in!Q33=0,0,SER_hh_tesh_in!Q33/SER_summary!Q$27)</f>
        <v>17.054659520195049</v>
      </c>
      <c r="R33" s="68">
        <f>IF(SER_hh_tesh_in!R33=0,0,SER_hh_tesh_in!R33/SER_summary!R$27)</f>
        <v>18.153920481569212</v>
      </c>
      <c r="S33" s="68">
        <f>IF(SER_hh_tesh_in!S33=0,0,SER_hh_tesh_in!S33/SER_summary!S$27)</f>
        <v>17.606932586425703</v>
      </c>
      <c r="T33" s="68">
        <f>IF(SER_hh_tesh_in!T33=0,0,SER_hh_tesh_in!T33/SER_summary!T$27)</f>
        <v>18.180501740417103</v>
      </c>
      <c r="U33" s="68">
        <f>IF(SER_hh_tesh_in!U33=0,0,SER_hh_tesh_in!U33/SER_summary!U$27)</f>
        <v>18.01005654917056</v>
      </c>
      <c r="V33" s="68">
        <f>IF(SER_hh_tesh_in!V33=0,0,SER_hh_tesh_in!V33/SER_summary!V$27)</f>
        <v>16.72910067634853</v>
      </c>
      <c r="W33" s="68">
        <f>IF(SER_hh_tesh_in!W33=0,0,SER_hh_tesh_in!W33/SER_summary!W$27)</f>
        <v>15.446786062966037</v>
      </c>
      <c r="X33" s="68">
        <f>IF(SER_hh_tesh_in!X33=0,0,SER_hh_tesh_in!X33/SER_summary!X$27)</f>
        <v>17.494168833151363</v>
      </c>
      <c r="Y33" s="68">
        <f>IF(SER_hh_tesh_in!Y33=0,0,SER_hh_tesh_in!Y33/SER_summary!Y$27)</f>
        <v>18.152359162130857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22.882324574093396</v>
      </c>
      <c r="D3" s="125">
        <f>IF(SER_hh_emih_in!D3=0,0,SER_hh_emih_in!D3/SER_summary!D$27)</f>
        <v>24.516766838195398</v>
      </c>
      <c r="E3" s="125">
        <f>IF(SER_hh_emih_in!E3=0,0,SER_hh_emih_in!E3/SER_summary!E$27)</f>
        <v>31.615267246411801</v>
      </c>
      <c r="F3" s="125">
        <f>IF(SER_hh_emih_in!F3=0,0,SER_hh_emih_in!F3/SER_summary!F$27)</f>
        <v>25.762591305741466</v>
      </c>
      <c r="G3" s="125">
        <f>IF(SER_hh_emih_in!G3=0,0,SER_hh_emih_in!G3/SER_summary!G$27)</f>
        <v>25.96840940190183</v>
      </c>
      <c r="H3" s="125">
        <f>IF(SER_hh_emih_in!H3=0,0,SER_hh_emih_in!H3/SER_summary!H$27)</f>
        <v>21.3876450657575</v>
      </c>
      <c r="I3" s="125">
        <f>IF(SER_hh_emih_in!I3=0,0,SER_hh_emih_in!I3/SER_summary!I$27)</f>
        <v>22.237477972594913</v>
      </c>
      <c r="J3" s="125">
        <f>IF(SER_hh_emih_in!J3=0,0,SER_hh_emih_in!J3/SER_summary!J$27)</f>
        <v>26.034514324775628</v>
      </c>
      <c r="K3" s="125">
        <f>IF(SER_hh_emih_in!K3=0,0,SER_hh_emih_in!K3/SER_summary!K$27)</f>
        <v>27.733609059902363</v>
      </c>
      <c r="L3" s="125">
        <f>IF(SER_hh_emih_in!L3=0,0,SER_hh_emih_in!L3/SER_summary!L$27)</f>
        <v>21.955640820645677</v>
      </c>
      <c r="M3" s="125">
        <f>IF(SER_hh_emih_in!M3=0,0,SER_hh_emih_in!M3/SER_summary!M$27)</f>
        <v>15.685412719567301</v>
      </c>
      <c r="N3" s="125">
        <f>IF(SER_hh_emih_in!N3=0,0,SER_hh_emih_in!N3/SER_summary!N$27)</f>
        <v>19.248511070212889</v>
      </c>
      <c r="O3" s="125">
        <f>IF(SER_hh_emih_in!O3=0,0,SER_hh_emih_in!O3/SER_summary!O$27)</f>
        <v>21.958627918547236</v>
      </c>
      <c r="P3" s="125">
        <f>IF(SER_hh_emih_in!P3=0,0,SER_hh_emih_in!P3/SER_summary!P$27)</f>
        <v>20.30413033897042</v>
      </c>
      <c r="Q3" s="125">
        <f>IF(SER_hh_emih_in!Q3=0,0,SER_hh_emih_in!Q3/SER_summary!Q$27)</f>
        <v>13.420635109325323</v>
      </c>
      <c r="R3" s="125">
        <f>IF(SER_hh_emih_in!R3=0,0,SER_hh_emih_in!R3/SER_summary!R$27)</f>
        <v>11.130358863150152</v>
      </c>
      <c r="S3" s="125">
        <f>IF(SER_hh_emih_in!S3=0,0,SER_hh_emih_in!S3/SER_summary!S$27)</f>
        <v>12.798369647349597</v>
      </c>
      <c r="T3" s="125">
        <f>IF(SER_hh_emih_in!T3=0,0,SER_hh_emih_in!T3/SER_summary!T$27)</f>
        <v>13.170842809288613</v>
      </c>
      <c r="U3" s="125">
        <f>IF(SER_hh_emih_in!U3=0,0,SER_hh_emih_in!U3/SER_summary!U$27)</f>
        <v>13.576842212560434</v>
      </c>
      <c r="V3" s="125">
        <f>IF(SER_hh_emih_in!V3=0,0,SER_hh_emih_in!V3/SER_summary!V$27)</f>
        <v>12.310725193075536</v>
      </c>
      <c r="W3" s="125">
        <f>IF(SER_hh_emih_in!W3=0,0,SER_hh_emih_in!W3/SER_summary!W$27)</f>
        <v>9.4787419459986211</v>
      </c>
      <c r="X3" s="125">
        <f>IF(SER_hh_emih_in!X3=0,0,SER_hh_emih_in!X3/SER_summary!X$27)</f>
        <v>9.790316714684792</v>
      </c>
      <c r="Y3" s="125">
        <f>IF(SER_hh_emih_in!Y3=0,0,SER_hh_emih_in!Y3/SER_summary!Y$27)</f>
        <v>8.2915867330285167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18.175332286992344</v>
      </c>
      <c r="D4" s="130">
        <f>IF(SER_hh_emih_in!D4=0,0,SER_hh_emih_in!D4/SER_summary!D$27)</f>
        <v>16.167975916285243</v>
      </c>
      <c r="E4" s="130">
        <f>IF(SER_hh_emih_in!E4=0,0,SER_hh_emih_in!E4/SER_summary!E$27)</f>
        <v>25.193343663129774</v>
      </c>
      <c r="F4" s="130">
        <f>IF(SER_hh_emih_in!F4=0,0,SER_hh_emih_in!F4/SER_summary!F$27)</f>
        <v>21.996637081811475</v>
      </c>
      <c r="G4" s="130">
        <f>IF(SER_hh_emih_in!G4=0,0,SER_hh_emih_in!G4/SER_summary!G$27)</f>
        <v>23.935949707639672</v>
      </c>
      <c r="H4" s="130">
        <f>IF(SER_hh_emih_in!H4=0,0,SER_hh_emih_in!H4/SER_summary!H$27)</f>
        <v>19.711990900272276</v>
      </c>
      <c r="I4" s="130">
        <f>IF(SER_hh_emih_in!I4=0,0,SER_hh_emih_in!I4/SER_summary!I$27)</f>
        <v>18.882857828198954</v>
      </c>
      <c r="J4" s="130">
        <f>IF(SER_hh_emih_in!J4=0,0,SER_hh_emih_in!J4/SER_summary!J$27)</f>
        <v>21.044778570702761</v>
      </c>
      <c r="K4" s="130">
        <f>IF(SER_hh_emih_in!K4=0,0,SER_hh_emih_in!K4/SER_summary!K$27)</f>
        <v>21.440669276763774</v>
      </c>
      <c r="L4" s="130">
        <f>IF(SER_hh_emih_in!L4=0,0,SER_hh_emih_in!L4/SER_summary!L$27)</f>
        <v>17.548844467434954</v>
      </c>
      <c r="M4" s="130">
        <f>IF(SER_hh_emih_in!M4=0,0,SER_hh_emih_in!M4/SER_summary!M$27)</f>
        <v>12.36056921647814</v>
      </c>
      <c r="N4" s="130">
        <f>IF(SER_hh_emih_in!N4=0,0,SER_hh_emih_in!N4/SER_summary!N$27)</f>
        <v>15.714070904596966</v>
      </c>
      <c r="O4" s="130">
        <f>IF(SER_hh_emih_in!O4=0,0,SER_hh_emih_in!O4/SER_summary!O$27)</f>
        <v>17.114569866688552</v>
      </c>
      <c r="P4" s="130">
        <f>IF(SER_hh_emih_in!P4=0,0,SER_hh_emih_in!P4/SER_summary!P$27)</f>
        <v>15.144060423645406</v>
      </c>
      <c r="Q4" s="130">
        <f>IF(SER_hh_emih_in!Q4=0,0,SER_hh_emih_in!Q4/SER_summary!Q$27)</f>
        <v>8.6255366260375563</v>
      </c>
      <c r="R4" s="130">
        <f>IF(SER_hh_emih_in!R4=0,0,SER_hh_emih_in!R4/SER_summary!R$27)</f>
        <v>8.4013143876111869</v>
      </c>
      <c r="S4" s="130">
        <f>IF(SER_hh_emih_in!S4=0,0,SER_hh_emih_in!S4/SER_summary!S$27)</f>
        <v>9.7090485378081475</v>
      </c>
      <c r="T4" s="130">
        <f>IF(SER_hh_emih_in!T4=0,0,SER_hh_emih_in!T4/SER_summary!T$27)</f>
        <v>10.31392800419882</v>
      </c>
      <c r="U4" s="130">
        <f>IF(SER_hh_emih_in!U4=0,0,SER_hh_emih_in!U4/SER_summary!U$27)</f>
        <v>9.6394497946510018</v>
      </c>
      <c r="V4" s="130">
        <f>IF(SER_hh_emih_in!V4=0,0,SER_hh_emih_in!V4/SER_summary!V$27)</f>
        <v>8.689044844208329</v>
      </c>
      <c r="W4" s="130">
        <f>IF(SER_hh_emih_in!W4=0,0,SER_hh_emih_in!W4/SER_summary!W$27)</f>
        <v>6.9373595235659353</v>
      </c>
      <c r="X4" s="130">
        <f>IF(SER_hh_emih_in!X4=0,0,SER_hh_emih_in!X4/SER_summary!X$27)</f>
        <v>6.9015993049379496</v>
      </c>
      <c r="Y4" s="130">
        <f>IF(SER_hh_emih_in!Y4=0,0,SER_hh_emih_in!Y4/SER_summary!Y$27)</f>
        <v>5.587182052723918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55.077364062031286</v>
      </c>
      <c r="G5" s="132">
        <f>IF(SER_hh_emih_in!G5=0,0,SER_hh_emih_in!G5/SER_summary!G$27)</f>
        <v>55.793852527421933</v>
      </c>
      <c r="H5" s="132">
        <f>IF(SER_hh_emih_in!H5=0,0,SER_hh_emih_in!H5/SER_summary!H$27)</f>
        <v>52.095328624141203</v>
      </c>
      <c r="I5" s="132">
        <f>IF(SER_hh_emih_in!I5=0,0,SER_hh_emih_in!I5/SER_summary!I$27)</f>
        <v>48.772631602057054</v>
      </c>
      <c r="J5" s="132">
        <f>IF(SER_hh_emih_in!J5=0,0,SER_hh_emih_in!J5/SER_summary!J$27)</f>
        <v>45.00142062182659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41.500061797962573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22.385285524428156</v>
      </c>
      <c r="V5" s="132">
        <f>IF(SER_hh_emih_in!V5=0,0,SER_hh_emih_in!V5/SER_summary!V$27)</f>
        <v>18.600434115741503</v>
      </c>
      <c r="W5" s="132">
        <f>IF(SER_hh_emih_in!W5=0,0,SER_hh_emih_in!W5/SER_summary!W$27)</f>
        <v>18.380668500136792</v>
      </c>
      <c r="X5" s="132">
        <f>IF(SER_hh_emih_in!X5=0,0,SER_hh_emih_in!X5/SER_summary!X$27)</f>
        <v>16.600502657194689</v>
      </c>
      <c r="Y5" s="132">
        <f>IF(SER_hh_emih_in!Y5=0,0,SER_hh_emih_in!Y5/SER_summary!Y$27)</f>
        <v>14.30537332689884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55.34046611266357</v>
      </c>
      <c r="D7" s="132">
        <f>IF(SER_hh_emih_in!D7=0,0,SER_hh_emih_in!D7/SER_summary!D$27)</f>
        <v>48.070898482204768</v>
      </c>
      <c r="E7" s="132">
        <f>IF(SER_hh_emih_in!E7=0,0,SER_hh_emih_in!E7/SER_summary!E$27)</f>
        <v>51.377190235725934</v>
      </c>
      <c r="F7" s="132">
        <f>IF(SER_hh_emih_in!F7=0,0,SER_hh_emih_in!F7/SER_summary!F$27)</f>
        <v>51.991208862678299</v>
      </c>
      <c r="G7" s="132">
        <f>IF(SER_hh_emih_in!G7=0,0,SER_hh_emih_in!G7/SER_summary!G$27)</f>
        <v>49.853136032199217</v>
      </c>
      <c r="H7" s="132">
        <f>IF(SER_hh_emih_in!H7=0,0,SER_hh_emih_in!H7/SER_summary!H$27)</f>
        <v>45.509783358339128</v>
      </c>
      <c r="I7" s="132">
        <f>IF(SER_hh_emih_in!I7=0,0,SER_hh_emih_in!I7/SER_summary!I$27)</f>
        <v>38.641474754666021</v>
      </c>
      <c r="J7" s="132">
        <f>IF(SER_hh_emih_in!J7=0,0,SER_hh_emih_in!J7/SER_summary!J$27)</f>
        <v>45.207238563102734</v>
      </c>
      <c r="K7" s="132">
        <f>IF(SER_hh_emih_in!K7=0,0,SER_hh_emih_in!K7/SER_summary!K$27)</f>
        <v>43.433732587608162</v>
      </c>
      <c r="L7" s="132">
        <f>IF(SER_hh_emih_in!L7=0,0,SER_hh_emih_in!L7/SER_summary!L$27)</f>
        <v>41.274316310227974</v>
      </c>
      <c r="M7" s="132">
        <f>IF(SER_hh_emih_in!M7=0,0,SER_hh_emih_in!M7/SER_summary!M$27)</f>
        <v>34.009476349990344</v>
      </c>
      <c r="N7" s="132">
        <f>IF(SER_hh_emih_in!N7=0,0,SER_hh_emih_in!N7/SER_summary!N$27)</f>
        <v>32.777176961711774</v>
      </c>
      <c r="O7" s="132">
        <f>IF(SER_hh_emih_in!O7=0,0,SER_hh_emih_in!O7/SER_summary!O$27)</f>
        <v>31.454319359507959</v>
      </c>
      <c r="P7" s="132">
        <f>IF(SER_hh_emih_in!P7=0,0,SER_hh_emih_in!P7/SER_summary!P$27)</f>
        <v>30.013938833456272</v>
      </c>
      <c r="Q7" s="132">
        <f>IF(SER_hh_emih_in!Q7=0,0,SER_hh_emih_in!Q7/SER_summary!Q$27)</f>
        <v>27.808488934378449</v>
      </c>
      <c r="R7" s="132">
        <f>IF(SER_hh_emih_in!R7=0,0,SER_hh_emih_in!R7/SER_summary!R$27)</f>
        <v>0</v>
      </c>
      <c r="S7" s="132">
        <f>IF(SER_hh_emih_in!S7=0,0,SER_hh_emih_in!S7/SER_summary!S$27)</f>
        <v>23.853618312063166</v>
      </c>
      <c r="T7" s="132">
        <f>IF(SER_hh_emih_in!T7=0,0,SER_hh_emih_in!T7/SER_summary!T$27)</f>
        <v>20.78053195717116</v>
      </c>
      <c r="U7" s="132">
        <f>IF(SER_hh_emih_in!U7=0,0,SER_hh_emih_in!U7/SER_summary!U$27)</f>
        <v>18.636617983211057</v>
      </c>
      <c r="V7" s="132">
        <f>IF(SER_hh_emih_in!V7=0,0,SER_hh_emih_in!V7/SER_summary!V$27)</f>
        <v>18.303280564109421</v>
      </c>
      <c r="W7" s="132">
        <f>IF(SER_hh_emih_in!W7=0,0,SER_hh_emih_in!W7/SER_summary!W$27)</f>
        <v>13.265436274907179</v>
      </c>
      <c r="X7" s="132">
        <f>IF(SER_hh_emih_in!X7=0,0,SER_hh_emih_in!X7/SER_summary!X$27)</f>
        <v>14.653955041344533</v>
      </c>
      <c r="Y7" s="132">
        <f>IF(SER_hh_emih_in!Y7=0,0,SER_hh_emih_in!Y7/SER_summary!Y$27)</f>
        <v>11.649051744757854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14.766565766712723</v>
      </c>
      <c r="D8" s="132">
        <f>IF(SER_hh_emih_in!D8=0,0,SER_hh_emih_in!D8/SER_summary!D$27)</f>
        <v>11.933702477969696</v>
      </c>
      <c r="E8" s="132">
        <f>IF(SER_hh_emih_in!E8=0,0,SER_hh_emih_in!E8/SER_summary!E$27)</f>
        <v>12.4387606450773</v>
      </c>
      <c r="F8" s="132">
        <f>IF(SER_hh_emih_in!F8=0,0,SER_hh_emih_in!F8/SER_summary!F$27)</f>
        <v>11.028636694243541</v>
      </c>
      <c r="G8" s="132">
        <f>IF(SER_hh_emih_in!G8=0,0,SER_hh_emih_in!G8/SER_summary!G$27)</f>
        <v>14.230344661731298</v>
      </c>
      <c r="H8" s="132">
        <f>IF(SER_hh_emih_in!H8=0,0,SER_hh_emih_in!H8/SER_summary!H$27)</f>
        <v>12.080514018638066</v>
      </c>
      <c r="I8" s="132">
        <f>IF(SER_hh_emih_in!I8=0,0,SER_hh_emih_in!I8/SER_summary!I$27)</f>
        <v>11.473933682434675</v>
      </c>
      <c r="J8" s="132">
        <f>IF(SER_hh_emih_in!J8=0,0,SER_hh_emih_in!J8/SER_summary!J$27)</f>
        <v>11.226771153256651</v>
      </c>
      <c r="K8" s="132">
        <f>IF(SER_hh_emih_in!K8=0,0,SER_hh_emih_in!K8/SER_summary!K$27)</f>
        <v>8.3274542097307158</v>
      </c>
      <c r="L8" s="132">
        <f>IF(SER_hh_emih_in!L8=0,0,SER_hh_emih_in!L8/SER_summary!L$27)</f>
        <v>6.6828970008798541</v>
      </c>
      <c r="M8" s="132">
        <f>IF(SER_hh_emih_in!M8=0,0,SER_hh_emih_in!M8/SER_summary!M$27)</f>
        <v>8.7279699976088345</v>
      </c>
      <c r="N8" s="132">
        <f>IF(SER_hh_emih_in!N8=0,0,SER_hh_emih_in!N8/SER_summary!N$27)</f>
        <v>7.3770356052129795</v>
      </c>
      <c r="O8" s="132">
        <f>IF(SER_hh_emih_in!O8=0,0,SER_hh_emih_in!O8/SER_summary!O$27)</f>
        <v>7.3781709235031627</v>
      </c>
      <c r="P8" s="132">
        <f>IF(SER_hh_emih_in!P8=0,0,SER_hh_emih_in!P8/SER_summary!P$27)</f>
        <v>5.887293432238593</v>
      </c>
      <c r="Q8" s="132">
        <f>IF(SER_hh_emih_in!Q8=0,0,SER_hh_emih_in!Q8/SER_summary!Q$27)</f>
        <v>5.779814807322186</v>
      </c>
      <c r="R8" s="132">
        <f>IF(SER_hh_emih_in!R8=0,0,SER_hh_emih_in!R8/SER_summary!R$27)</f>
        <v>5.2759474702148648</v>
      </c>
      <c r="S8" s="132">
        <f>IF(SER_hh_emih_in!S8=0,0,SER_hh_emih_in!S8/SER_summary!S$27)</f>
        <v>4.7729773568534668</v>
      </c>
      <c r="T8" s="132">
        <f>IF(SER_hh_emih_in!T8=0,0,SER_hh_emih_in!T8/SER_summary!T$27)</f>
        <v>4.3899096727451097</v>
      </c>
      <c r="U8" s="132">
        <f>IF(SER_hh_emih_in!U8=0,0,SER_hh_emih_in!U8/SER_summary!U$27)</f>
        <v>3.9920485546579094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37.616654819175743</v>
      </c>
      <c r="D9" s="132">
        <f>IF(SER_hh_emih_in!D9=0,0,SER_hh_emih_in!D9/SER_summary!D$27)</f>
        <v>30.432343495912153</v>
      </c>
      <c r="E9" s="132">
        <f>IF(SER_hh_emih_in!E9=0,0,SER_hh_emih_in!E9/SER_summary!E$27)</f>
        <v>37.740503792057062</v>
      </c>
      <c r="F9" s="132">
        <f>IF(SER_hh_emih_in!F9=0,0,SER_hh_emih_in!F9/SER_summary!F$27)</f>
        <v>36.683488659884574</v>
      </c>
      <c r="G9" s="132">
        <f>IF(SER_hh_emih_in!G9=0,0,SER_hh_emih_in!G9/SER_summary!G$27)</f>
        <v>36.74604857282241</v>
      </c>
      <c r="H9" s="132">
        <f>IF(SER_hh_emih_in!H9=0,0,SER_hh_emih_in!H9/SER_summary!H$27)</f>
        <v>31.019270378977431</v>
      </c>
      <c r="I9" s="132">
        <f>IF(SER_hh_emih_in!I9=0,0,SER_hh_emih_in!I9/SER_summary!I$27)</f>
        <v>30.45891222338113</v>
      </c>
      <c r="J9" s="132">
        <f>IF(SER_hh_emih_in!J9=0,0,SER_hh_emih_in!J9/SER_summary!J$27)</f>
        <v>26.107810356444467</v>
      </c>
      <c r="K9" s="132">
        <f>IF(SER_hh_emih_in!K9=0,0,SER_hh_emih_in!K9/SER_summary!K$27)</f>
        <v>30.286605978465435</v>
      </c>
      <c r="L9" s="132">
        <f>IF(SER_hh_emih_in!L9=0,0,SER_hh_emih_in!L9/SER_summary!L$27)</f>
        <v>32.665396641024593</v>
      </c>
      <c r="M9" s="132">
        <f>IF(SER_hh_emih_in!M9=0,0,SER_hh_emih_in!M9/SER_summary!M$27)</f>
        <v>22.030296249427522</v>
      </c>
      <c r="N9" s="132">
        <f>IF(SER_hh_emih_in!N9=0,0,SER_hh_emih_in!N9/SER_summary!N$27)</f>
        <v>24.501090066211656</v>
      </c>
      <c r="O9" s="132">
        <f>IF(SER_hh_emih_in!O9=0,0,SER_hh_emih_in!O9/SER_summary!O$27)</f>
        <v>24.082445088559215</v>
      </c>
      <c r="P9" s="132">
        <f>IF(SER_hh_emih_in!P9=0,0,SER_hh_emih_in!P9/SER_summary!P$27)</f>
        <v>17.784044599779651</v>
      </c>
      <c r="Q9" s="132">
        <f>IF(SER_hh_emih_in!Q9=0,0,SER_hh_emih_in!Q9/SER_summary!Q$27)</f>
        <v>17.442665042509613</v>
      </c>
      <c r="R9" s="132">
        <f>IF(SER_hh_emih_in!R9=0,0,SER_hh_emih_in!R9/SER_summary!R$27)</f>
        <v>16.241532470271192</v>
      </c>
      <c r="S9" s="132">
        <f>IF(SER_hh_emih_in!S9=0,0,SER_hh_emih_in!S9/SER_summary!S$27)</f>
        <v>15.439054372974113</v>
      </c>
      <c r="T9" s="132">
        <f>IF(SER_hh_emih_in!T9=0,0,SER_hh_emih_in!T9/SER_summary!T$27)</f>
        <v>14.59993863653083</v>
      </c>
      <c r="U9" s="132">
        <f>IF(SER_hh_emih_in!U9=0,0,SER_hh_emih_in!U9/SER_summary!U$27)</f>
        <v>13.044759418698652</v>
      </c>
      <c r="V9" s="132">
        <f>IF(SER_hh_emih_in!V9=0,0,SER_hh_emih_in!V9/SER_summary!V$27)</f>
        <v>10.84745242490899</v>
      </c>
      <c r="W9" s="132">
        <f>IF(SER_hh_emih_in!W9=0,0,SER_hh_emih_in!W9/SER_summary!W$27)</f>
        <v>9.716247874178519</v>
      </c>
      <c r="X9" s="132">
        <f>IF(SER_hh_emih_in!X9=0,0,SER_hh_emih_in!X9/SER_summary!X$27)</f>
        <v>8.2236707748843862</v>
      </c>
      <c r="Y9" s="132">
        <f>IF(SER_hh_emih_in!Y9=0,0,SER_hh_emih_in!Y9/SER_summary!Y$27)</f>
        <v>7.4632408343223666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37.422407991361233</v>
      </c>
      <c r="D10" s="132">
        <f>IF(SER_hh_emih_in!D10=0,0,SER_hh_emih_in!D10/SER_summary!D$27)</f>
        <v>37.327471575052776</v>
      </c>
      <c r="E10" s="132">
        <f>IF(SER_hh_emih_in!E10=0,0,SER_hh_emih_in!E10/SER_summary!E$27)</f>
        <v>40.557482455476332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18.464242614422457</v>
      </c>
      <c r="J10" s="132">
        <f>IF(SER_hh_emih_in!J10=0,0,SER_hh_emih_in!J10/SER_summary!J$27)</f>
        <v>18.584570501811083</v>
      </c>
      <c r="K10" s="132">
        <f>IF(SER_hh_emih_in!K10=0,0,SER_hh_emih_in!K10/SER_summary!K$27)</f>
        <v>24.887400144253746</v>
      </c>
      <c r="L10" s="132">
        <f>IF(SER_hh_emih_in!L10=0,0,SER_hh_emih_in!L10/SER_summary!L$27)</f>
        <v>21.417258170680096</v>
      </c>
      <c r="M10" s="132">
        <f>IF(SER_hh_emih_in!M10=0,0,SER_hh_emih_in!M10/SER_summary!M$27)</f>
        <v>11.687173629191715</v>
      </c>
      <c r="N10" s="132">
        <f>IF(SER_hh_emih_in!N10=0,0,SER_hh_emih_in!N10/SER_summary!N$27)</f>
        <v>11.631738360315151</v>
      </c>
      <c r="O10" s="132">
        <f>IF(SER_hh_emih_in!O10=0,0,SER_hh_emih_in!O10/SER_summary!O$27)</f>
        <v>12.879057643850235</v>
      </c>
      <c r="P10" s="132">
        <f>IF(SER_hh_emih_in!P10=0,0,SER_hh_emih_in!P10/SER_summary!P$27)</f>
        <v>9.6889343010503026</v>
      </c>
      <c r="Q10" s="132">
        <f>IF(SER_hh_emih_in!Q10=0,0,SER_hh_emih_in!Q10/SER_summary!Q$27)</f>
        <v>6.6451568343120151</v>
      </c>
      <c r="R10" s="132">
        <f>IF(SER_hh_emih_in!R10=0,0,SER_hh_emih_in!R10/SER_summary!R$27)</f>
        <v>7.3270061829300248</v>
      </c>
      <c r="S10" s="132">
        <f>IF(SER_hh_emih_in!S10=0,0,SER_hh_emih_in!S10/SER_summary!S$27)</f>
        <v>7.5768277708088076</v>
      </c>
      <c r="T10" s="132">
        <f>IF(SER_hh_emih_in!T10=0,0,SER_hh_emih_in!T10/SER_summary!T$27)</f>
        <v>5.6944114274678128</v>
      </c>
      <c r="U10" s="132">
        <f>IF(SER_hh_emih_in!U10=0,0,SER_hh_emih_in!U10/SER_summary!U$27)</f>
        <v>5.1689017152855161</v>
      </c>
      <c r="V10" s="132">
        <f>IF(SER_hh_emih_in!V10=0,0,SER_hh_emih_in!V10/SER_summary!V$27)</f>
        <v>5.6293748790967433</v>
      </c>
      <c r="W10" s="132">
        <f>IF(SER_hh_emih_in!W10=0,0,SER_hh_emih_in!W10/SER_summary!W$27)</f>
        <v>4.8115275483462616</v>
      </c>
      <c r="X10" s="132">
        <f>IF(SER_hh_emih_in!X10=0,0,SER_hh_emih_in!X10/SER_summary!X$27)</f>
        <v>7.0281236020507842</v>
      </c>
      <c r="Y10" s="132">
        <f>IF(SER_hh_emih_in!Y10=0,0,SER_hh_emih_in!Y10/SER_summary!Y$27)</f>
        <v>5.158470215783451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2.1414552031780006E-2</v>
      </c>
      <c r="D16" s="130">
        <f>IF(SER_hh_emih_in!D16=0,0,SER_hh_emih_in!D16/SER_summary!D$27)</f>
        <v>1.874616884249182E-2</v>
      </c>
      <c r="E16" s="130">
        <f>IF(SER_hh_emih_in!E16=0,0,SER_hh_emih_in!E16/SER_summary!E$27)</f>
        <v>7.3046682388758416E-2</v>
      </c>
      <c r="F16" s="130">
        <f>IF(SER_hh_emih_in!F16=0,0,SER_hh_emih_in!F16/SER_summary!F$27)</f>
        <v>1.7438198740840717E-2</v>
      </c>
      <c r="G16" s="130">
        <f>IF(SER_hh_emih_in!G16=0,0,SER_hh_emih_in!G16/SER_summary!G$27)</f>
        <v>2.1458541727044925E-2</v>
      </c>
      <c r="H16" s="130">
        <f>IF(SER_hh_emih_in!H16=0,0,SER_hh_emih_in!H16/SER_summary!H$27)</f>
        <v>5.380495273477167E-2</v>
      </c>
      <c r="I16" s="130">
        <f>IF(SER_hh_emih_in!I16=0,0,SER_hh_emih_in!I16/SER_summary!I$27)</f>
        <v>2.8295789817961263E-2</v>
      </c>
      <c r="J16" s="130">
        <f>IF(SER_hh_emih_in!J16=0,0,SER_hh_emih_in!J16/SER_summary!J$27)</f>
        <v>4.2865060902150698E-2</v>
      </c>
      <c r="K16" s="130">
        <f>IF(SER_hh_emih_in!K16=0,0,SER_hh_emih_in!K16/SER_summary!K$27)</f>
        <v>3.4562075512632531E-2</v>
      </c>
      <c r="L16" s="130">
        <f>IF(SER_hh_emih_in!L16=0,0,SER_hh_emih_in!L16/SER_summary!L$27)</f>
        <v>5.6288041926656422E-2</v>
      </c>
      <c r="M16" s="130">
        <f>IF(SER_hh_emih_in!M16=0,0,SER_hh_emih_in!M16/SER_summary!M$27)</f>
        <v>9.7022434772316105E-2</v>
      </c>
      <c r="N16" s="130">
        <f>IF(SER_hh_emih_in!N16=0,0,SER_hh_emih_in!N16/SER_summary!N$27)</f>
        <v>0.17781345023142331</v>
      </c>
      <c r="O16" s="130">
        <f>IF(SER_hh_emih_in!O16=0,0,SER_hh_emih_in!O16/SER_summary!O$27)</f>
        <v>0.1334312992589293</v>
      </c>
      <c r="P16" s="130">
        <f>IF(SER_hh_emih_in!P16=0,0,SER_hh_emih_in!P16/SER_summary!P$27)</f>
        <v>9.5917250010950653E-2</v>
      </c>
      <c r="Q16" s="130">
        <f>IF(SER_hh_emih_in!Q16=0,0,SER_hh_emih_in!Q16/SER_summary!Q$27)</f>
        <v>0.14601217824946866</v>
      </c>
      <c r="R16" s="130">
        <f>IF(SER_hh_emih_in!R16=0,0,SER_hh_emih_in!R16/SER_summary!R$27)</f>
        <v>9.6446182850574866E-2</v>
      </c>
      <c r="S16" s="130">
        <f>IF(SER_hh_emih_in!S16=0,0,SER_hh_emih_in!S16/SER_summary!S$27)</f>
        <v>0.14922105509174852</v>
      </c>
      <c r="T16" s="130">
        <f>IF(SER_hh_emih_in!T16=0,0,SER_hh_emih_in!T16/SER_summary!T$27)</f>
        <v>0.12869776197827409</v>
      </c>
      <c r="U16" s="130">
        <f>IF(SER_hh_emih_in!U16=0,0,SER_hh_emih_in!U16/SER_summary!U$27)</f>
        <v>0.14441978746519313</v>
      </c>
      <c r="V16" s="130">
        <f>IF(SER_hh_emih_in!V16=0,0,SER_hh_emih_in!V16/SER_summary!V$27)</f>
        <v>0.1205911494383709</v>
      </c>
      <c r="W16" s="130">
        <f>IF(SER_hh_emih_in!W16=0,0,SER_hh_emih_in!W16/SER_summary!W$27)</f>
        <v>8.5039660483936061E-2</v>
      </c>
      <c r="X16" s="130">
        <f>IF(SER_hh_emih_in!X16=0,0,SER_hh_emih_in!X16/SER_summary!X$27)</f>
        <v>0.1512124379503253</v>
      </c>
      <c r="Y16" s="130">
        <f>IF(SER_hh_emih_in!Y16=0,0,SER_hh_emih_in!Y16/SER_summary!Y$27)</f>
        <v>0.10695150212067647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4.634532702447915</v>
      </c>
      <c r="D17" s="132">
        <f>IF(SER_hh_emih_in!D17=0,0,SER_hh_emih_in!D17/SER_summary!D$27)</f>
        <v>4.3193334225635418</v>
      </c>
      <c r="E17" s="132">
        <f>IF(SER_hh_emih_in!E17=0,0,SER_hh_emih_in!E17/SER_summary!E$27)</f>
        <v>8.4173152484446234</v>
      </c>
      <c r="F17" s="132">
        <f>IF(SER_hh_emih_in!F17=0,0,SER_hh_emih_in!F17/SER_summary!F$27)</f>
        <v>4.2611387759809123</v>
      </c>
      <c r="G17" s="132">
        <f>IF(SER_hh_emih_in!G17=0,0,SER_hh_emih_in!G17/SER_summary!G$27)</f>
        <v>4.0453116290488476</v>
      </c>
      <c r="H17" s="132">
        <f>IF(SER_hh_emih_in!H17=0,0,SER_hh_emih_in!H17/SER_summary!H$27)</f>
        <v>5.0713085565941167</v>
      </c>
      <c r="I17" s="132">
        <f>IF(SER_hh_emih_in!I17=0,0,SER_hh_emih_in!I17/SER_summary!I$27)</f>
        <v>3.8611786904262075</v>
      </c>
      <c r="J17" s="132">
        <f>IF(SER_hh_emih_in!J17=0,0,SER_hh_emih_in!J17/SER_summary!J$27)</f>
        <v>3.8110373974589664</v>
      </c>
      <c r="K17" s="132">
        <f>IF(SER_hh_emih_in!K17=0,0,SER_hh_emih_in!K17/SER_summary!K$27)</f>
        <v>3.9514838840257118</v>
      </c>
      <c r="L17" s="132">
        <f>IF(SER_hh_emih_in!L17=0,0,SER_hh_emih_in!L17/SER_summary!L$27)</f>
        <v>3.7823706927559195</v>
      </c>
      <c r="M17" s="132">
        <f>IF(SER_hh_emih_in!M17=0,0,SER_hh_emih_in!M17/SER_summary!M$27)</f>
        <v>3.6054283653160493</v>
      </c>
      <c r="N17" s="132">
        <f>IF(SER_hh_emih_in!N17=0,0,SER_hh_emih_in!N17/SER_summary!N$27)</f>
        <v>3.6384435423432993</v>
      </c>
      <c r="O17" s="132">
        <f>IF(SER_hh_emih_in!O17=0,0,SER_hh_emih_in!O17/SER_summary!O$27)</f>
        <v>3.4591345458649894</v>
      </c>
      <c r="P17" s="132">
        <f>IF(SER_hh_emih_in!P17=0,0,SER_hh_emih_in!P17/SER_summary!P$27)</f>
        <v>2.8868197034291492</v>
      </c>
      <c r="Q17" s="132">
        <f>IF(SER_hh_emih_in!Q17=0,0,SER_hh_emih_in!Q17/SER_summary!Q$27)</f>
        <v>3.6817602016155635</v>
      </c>
      <c r="R17" s="132">
        <f>IF(SER_hh_emih_in!R17=0,0,SER_hh_emih_in!R17/SER_summary!R$27)</f>
        <v>3.0925551205808586</v>
      </c>
      <c r="S17" s="132">
        <f>IF(SER_hh_emih_in!S17=0,0,SER_hh_emih_in!S17/SER_summary!S$27)</f>
        <v>3.1676922726615966</v>
      </c>
      <c r="T17" s="132">
        <f>IF(SER_hh_emih_in!T17=0,0,SER_hh_emih_in!T17/SER_summary!T$27)</f>
        <v>2.9544812540522027</v>
      </c>
      <c r="U17" s="132">
        <f>IF(SER_hh_emih_in!U17=0,0,SER_hh_emih_in!U17/SER_summary!U$27)</f>
        <v>2.8114081873572694</v>
      </c>
      <c r="V17" s="132">
        <f>IF(SER_hh_emih_in!V17=0,0,SER_hh_emih_in!V17/SER_summary!V$27)</f>
        <v>2.5261428044035954</v>
      </c>
      <c r="W17" s="132">
        <f>IF(SER_hh_emih_in!W17=0,0,SER_hh_emih_in!W17/SER_summary!W$27)</f>
        <v>1.7908199740850543</v>
      </c>
      <c r="X17" s="132">
        <f>IF(SER_hh_emih_in!X17=0,0,SER_hh_emih_in!X17/SER_summary!X$27)</f>
        <v>2.6659676118499616</v>
      </c>
      <c r="Y17" s="132">
        <f>IF(SER_hh_emih_in!Y17=0,0,SER_hh_emih_in!Y17/SER_summary!Y$27)</f>
        <v>2.4672399589689835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2.6207519619581987</v>
      </c>
      <c r="D19" s="130">
        <f>IF(SER_hh_emih_in!D19=0,0,SER_hh_emih_in!D19/SER_summary!D$27)</f>
        <v>2.6631197419879045</v>
      </c>
      <c r="E19" s="130">
        <f>IF(SER_hh_emih_in!E19=0,0,SER_hh_emih_in!E19/SER_summary!E$27)</f>
        <v>2.5557219952867039</v>
      </c>
      <c r="F19" s="130">
        <f>IF(SER_hh_emih_in!F19=0,0,SER_hh_emih_in!F19/SER_summary!F$27)</f>
        <v>2.0224498473415276</v>
      </c>
      <c r="G19" s="130">
        <f>IF(SER_hh_emih_in!G19=0,0,SER_hh_emih_in!G19/SER_summary!G$27)</f>
        <v>1.7357080679784715</v>
      </c>
      <c r="H19" s="130">
        <f>IF(SER_hh_emih_in!H19=0,0,SER_hh_emih_in!H19/SER_summary!H$27)</f>
        <v>1.62184921275045</v>
      </c>
      <c r="I19" s="130">
        <f>IF(SER_hh_emih_in!I19=0,0,SER_hh_emih_in!I19/SER_summary!I$27)</f>
        <v>1.634668186035181</v>
      </c>
      <c r="J19" s="130">
        <f>IF(SER_hh_emih_in!J19=0,0,SER_hh_emih_in!J19/SER_summary!J$27)</f>
        <v>1.8977673952577412</v>
      </c>
      <c r="K19" s="130">
        <f>IF(SER_hh_emih_in!K19=0,0,SER_hh_emih_in!K19/SER_summary!K$27)</f>
        <v>2.3356494516967601</v>
      </c>
      <c r="L19" s="130">
        <f>IF(SER_hh_emih_in!L19=0,0,SER_hh_emih_in!L19/SER_summary!L$27)</f>
        <v>1.6978471926138592</v>
      </c>
      <c r="M19" s="130">
        <f>IF(SER_hh_emih_in!M19=0,0,SER_hh_emih_in!M19/SER_summary!M$27)</f>
        <v>1.8427734932543856</v>
      </c>
      <c r="N19" s="130">
        <f>IF(SER_hh_emih_in!N19=0,0,SER_hh_emih_in!N19/SER_summary!N$27)</f>
        <v>2.2827003671785131</v>
      </c>
      <c r="O19" s="130">
        <f>IF(SER_hh_emih_in!O19=0,0,SER_hh_emih_in!O19/SER_summary!O$27)</f>
        <v>2.4035971956608844</v>
      </c>
      <c r="P19" s="130">
        <f>IF(SER_hh_emih_in!P19=0,0,SER_hh_emih_in!P19/SER_summary!P$27)</f>
        <v>2.2222748922566957</v>
      </c>
      <c r="Q19" s="130">
        <f>IF(SER_hh_emih_in!Q19=0,0,SER_hh_emih_in!Q19/SER_summary!Q$27)</f>
        <v>1.6854433922648435</v>
      </c>
      <c r="R19" s="130">
        <f>IF(SER_hh_emih_in!R19=0,0,SER_hh_emih_in!R19/SER_summary!R$27)</f>
        <v>1.0615809414192274</v>
      </c>
      <c r="S19" s="130">
        <f>IF(SER_hh_emih_in!S19=0,0,SER_hh_emih_in!S19/SER_summary!S$27)</f>
        <v>1.0423818474629405</v>
      </c>
      <c r="T19" s="130">
        <f>IF(SER_hh_emih_in!T19=0,0,SER_hh_emih_in!T19/SER_summary!T$27)</f>
        <v>0.83685503939198236</v>
      </c>
      <c r="U19" s="130">
        <f>IF(SER_hh_emih_in!U19=0,0,SER_hh_emih_in!U19/SER_summary!U$27)</f>
        <v>1.1382920666193805</v>
      </c>
      <c r="V19" s="130">
        <f>IF(SER_hh_emih_in!V19=0,0,SER_hh_emih_in!V19/SER_summary!V$27)</f>
        <v>1.3690351869925423</v>
      </c>
      <c r="W19" s="130">
        <f>IF(SER_hh_emih_in!W19=0,0,SER_hh_emih_in!W19/SER_summary!W$27)</f>
        <v>0.86954639251463139</v>
      </c>
      <c r="X19" s="130">
        <f>IF(SER_hh_emih_in!X19=0,0,SER_hh_emih_in!X19/SER_summary!X$27)</f>
        <v>1.5702124667658877</v>
      </c>
      <c r="Y19" s="130">
        <f>IF(SER_hh_emih_in!Y19=0,0,SER_hh_emih_in!Y19/SER_summary!Y$27)</f>
        <v>1.3423999485106863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6.4104923870133703</v>
      </c>
      <c r="D21" s="132">
        <f>IF(SER_hh_emih_in!D21=0,0,SER_hh_emih_in!D21/SER_summary!D$27)</f>
        <v>6.5299697378773303</v>
      </c>
      <c r="E21" s="132">
        <f>IF(SER_hh_emih_in!E21=0,0,SER_hh_emih_in!E21/SER_summary!E$27)</f>
        <v>6.534100154938284</v>
      </c>
      <c r="F21" s="132">
        <f>IF(SER_hh_emih_in!F21=0,0,SER_hh_emih_in!F21/SER_summary!F$27)</f>
        <v>6.4522226363519168</v>
      </c>
      <c r="G21" s="132">
        <f>IF(SER_hh_emih_in!G21=0,0,SER_hh_emih_in!G21/SER_summary!G$27)</f>
        <v>6.0333925521153544</v>
      </c>
      <c r="H21" s="132">
        <f>IF(SER_hh_emih_in!H21=0,0,SER_hh_emih_in!H21/SER_summary!H$27)</f>
        <v>6.1970019534051843</v>
      </c>
      <c r="I21" s="132">
        <f>IF(SER_hh_emih_in!I21=0,0,SER_hh_emih_in!I21/SER_summary!I$27)</f>
        <v>6.1416499051729394</v>
      </c>
      <c r="J21" s="132">
        <f>IF(SER_hh_emih_in!J21=0,0,SER_hh_emih_in!J21/SER_summary!J$27)</f>
        <v>6.1381935795479761</v>
      </c>
      <c r="K21" s="132">
        <f>IF(SER_hh_emih_in!K21=0,0,SER_hh_emih_in!K21/SER_summary!K$27)</f>
        <v>6.416490430933866</v>
      </c>
      <c r="L21" s="132">
        <f>IF(SER_hh_emih_in!L21=0,0,SER_hh_emih_in!L21/SER_summary!L$27)</f>
        <v>6.1091136706326523</v>
      </c>
      <c r="M21" s="132">
        <f>IF(SER_hh_emih_in!M21=0,0,SER_hh_emih_in!M21/SER_summary!M$27)</f>
        <v>0</v>
      </c>
      <c r="N21" s="132">
        <f>IF(SER_hh_emih_in!N21=0,0,SER_hh_emih_in!N21/SER_summary!N$27)</f>
        <v>6.1029028778621495</v>
      </c>
      <c r="O21" s="132">
        <f>IF(SER_hh_emih_in!O21=0,0,SER_hh_emih_in!O21/SER_summary!O$27)</f>
        <v>5.7388027179259993</v>
      </c>
      <c r="P21" s="132">
        <f>IF(SER_hh_emih_in!P21=0,0,SER_hh_emih_in!P21/SER_summary!P$27)</f>
        <v>5.191362032541126</v>
      </c>
      <c r="Q21" s="132">
        <f>IF(SER_hh_emih_in!Q21=0,0,SER_hh_emih_in!Q21/SER_summary!Q$27)</f>
        <v>5.1348975263768892</v>
      </c>
      <c r="R21" s="132">
        <f>IF(SER_hh_emih_in!R21=0,0,SER_hh_emih_in!R21/SER_summary!R$27)</f>
        <v>5.0564972730467721</v>
      </c>
      <c r="S21" s="132">
        <f>IF(SER_hh_emih_in!S21=0,0,SER_hh_emih_in!S21/SER_summary!S$27)</f>
        <v>5.1636068581730505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4.3705943229111925</v>
      </c>
      <c r="Y21" s="132">
        <f>IF(SER_hh_emih_in!Y21=0,0,SER_hh_emih_in!Y21/SER_summary!Y$27)</f>
        <v>4.3066052273589834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8.151428721296341</v>
      </c>
      <c r="D22" s="132">
        <f>IF(SER_hh_emih_in!D22=0,0,SER_hh_emih_in!D22/SER_summary!D$27)</f>
        <v>7.9935490360673178</v>
      </c>
      <c r="E22" s="132">
        <f>IF(SER_hh_emih_in!E22=0,0,SER_hh_emih_in!E22/SER_summary!E$27)</f>
        <v>7.8825898915997801</v>
      </c>
      <c r="F22" s="132">
        <f>IF(SER_hh_emih_in!F22=0,0,SER_hh_emih_in!F22/SER_summary!F$27)</f>
        <v>7.9669045394983344</v>
      </c>
      <c r="G22" s="132">
        <f>IF(SER_hh_emih_in!G22=0,0,SER_hh_emih_in!G22/SER_summary!G$27)</f>
        <v>7.7921470481298352</v>
      </c>
      <c r="H22" s="132">
        <f>IF(SER_hh_emih_in!H22=0,0,SER_hh_emih_in!H22/SER_summary!H$27)</f>
        <v>7.6567655702965203</v>
      </c>
      <c r="I22" s="132">
        <f>IF(SER_hh_emih_in!I22=0,0,SER_hh_emih_in!I22/SER_summary!I$27)</f>
        <v>7.3749046761556887</v>
      </c>
      <c r="J22" s="132">
        <f>IF(SER_hh_emih_in!J22=0,0,SER_hh_emih_in!J22/SER_summary!J$27)</f>
        <v>7.5912494742913301</v>
      </c>
      <c r="K22" s="132">
        <f>IF(SER_hh_emih_in!K22=0,0,SER_hh_emih_in!K22/SER_summary!K$27)</f>
        <v>7.6555594948381351</v>
      </c>
      <c r="L22" s="132">
        <f>IF(SER_hh_emih_in!L22=0,0,SER_hh_emih_in!L22/SER_summary!L$27)</f>
        <v>7.3058461427796306</v>
      </c>
      <c r="M22" s="132">
        <f>IF(SER_hh_emih_in!M22=0,0,SER_hh_emih_in!M22/SER_summary!M$27)</f>
        <v>6.857479111574694</v>
      </c>
      <c r="N22" s="132">
        <f>IF(SER_hh_emih_in!N22=0,0,SER_hh_emih_in!N22/SER_summary!N$27)</f>
        <v>6.8687639385607291</v>
      </c>
      <c r="O22" s="132">
        <f>IF(SER_hh_emih_in!O22=0,0,SER_hh_emih_in!O22/SER_summary!O$27)</f>
        <v>6.4535401666459737</v>
      </c>
      <c r="P22" s="132">
        <f>IF(SER_hh_emih_in!P22=0,0,SER_hh_emih_in!P22/SER_summary!P$27)</f>
        <v>7.1040657050630234</v>
      </c>
      <c r="Q22" s="132">
        <f>IF(SER_hh_emih_in!Q22=0,0,SER_hh_emih_in!Q22/SER_summary!Q$27)</f>
        <v>6.3616240809737192</v>
      </c>
      <c r="R22" s="132">
        <f>IF(SER_hh_emih_in!R22=0,0,SER_hh_emih_in!R22/SER_summary!R$27)</f>
        <v>0</v>
      </c>
      <c r="S22" s="132">
        <f>IF(SER_hh_emih_in!S22=0,0,SER_hh_emih_in!S22/SER_summary!S$27)</f>
        <v>6.1603117832324026</v>
      </c>
      <c r="T22" s="132">
        <f>IF(SER_hh_emih_in!T22=0,0,SER_hh_emih_in!T22/SER_summary!T$27)</f>
        <v>5.4678278852660593</v>
      </c>
      <c r="U22" s="132">
        <f>IF(SER_hh_emih_in!U22=0,0,SER_hh_emih_in!U22/SER_summary!U$27)</f>
        <v>5.0931692985000394</v>
      </c>
      <c r="V22" s="132">
        <f>IF(SER_hh_emih_in!V22=0,0,SER_hh_emih_in!V22/SER_summary!V$27)</f>
        <v>5.4677665627596772</v>
      </c>
      <c r="W22" s="132">
        <f>IF(SER_hh_emih_in!W22=0,0,SER_hh_emih_in!W22/SER_summary!W$27)</f>
        <v>4.425625981986375</v>
      </c>
      <c r="X22" s="132">
        <f>IF(SER_hh_emih_in!X22=0,0,SER_hh_emih_in!X22/SER_summary!X$27)</f>
        <v>5.6132739121684736</v>
      </c>
      <c r="Y22" s="132">
        <f>IF(SER_hh_emih_in!Y22=0,0,SER_hh_emih_in!Y22/SER_summary!Y$27)</f>
        <v>4.8946537135228505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5.5881350180896945</v>
      </c>
      <c r="D23" s="132">
        <f>IF(SER_hh_emih_in!D23=0,0,SER_hh_emih_in!D23/SER_summary!D$27)</f>
        <v>5.4567717229189423</v>
      </c>
      <c r="E23" s="132">
        <f>IF(SER_hh_emih_in!E23=0,0,SER_hh_emih_in!E23/SER_summary!E$27)</f>
        <v>5.5086259928322621</v>
      </c>
      <c r="F23" s="132">
        <f>IF(SER_hh_emih_in!F23=0,0,SER_hh_emih_in!F23/SER_summary!F$27)</f>
        <v>5.5085975492076988</v>
      </c>
      <c r="G23" s="132">
        <f>IF(SER_hh_emih_in!G23=0,0,SER_hh_emih_in!G23/SER_summary!G$27)</f>
        <v>5.1716928387852201</v>
      </c>
      <c r="H23" s="132">
        <f>IF(SER_hh_emih_in!H23=0,0,SER_hh_emih_in!H23/SER_summary!H$27)</f>
        <v>5.0954781883718159</v>
      </c>
      <c r="I23" s="132">
        <f>IF(SER_hh_emih_in!I23=0,0,SER_hh_emih_in!I23/SER_summary!I$27)</f>
        <v>5.0745561174117269</v>
      </c>
      <c r="J23" s="132">
        <f>IF(SER_hh_emih_in!J23=0,0,SER_hh_emih_in!J23/SER_summary!J$27)</f>
        <v>4.9430105720227191</v>
      </c>
      <c r="K23" s="132">
        <f>IF(SER_hh_emih_in!K23=0,0,SER_hh_emih_in!K23/SER_summary!K$27)</f>
        <v>5.2123799066840251</v>
      </c>
      <c r="L23" s="132">
        <f>IF(SER_hh_emih_in!L23=0,0,SER_hh_emih_in!L23/SER_summary!L$27)</f>
        <v>4.9316025969863571</v>
      </c>
      <c r="M23" s="132">
        <f>IF(SER_hh_emih_in!M23=0,0,SER_hh_emih_in!M23/SER_summary!M$27)</f>
        <v>5.3386972499249712</v>
      </c>
      <c r="N23" s="132">
        <f>IF(SER_hh_emih_in!N23=0,0,SER_hh_emih_in!N23/SER_summary!N$27)</f>
        <v>4.0133589756790826</v>
      </c>
      <c r="O23" s="132">
        <f>IF(SER_hh_emih_in!O23=0,0,SER_hh_emih_in!O23/SER_summary!O$27)</f>
        <v>4.3045354042354242</v>
      </c>
      <c r="P23" s="132">
        <f>IF(SER_hh_emih_in!P23=0,0,SER_hh_emih_in!P23/SER_summary!P$27)</f>
        <v>4.4530028586422841</v>
      </c>
      <c r="Q23" s="132">
        <f>IF(SER_hh_emih_in!Q23=0,0,SER_hh_emih_in!Q23/SER_summary!Q$27)</f>
        <v>4.1359727649712861</v>
      </c>
      <c r="R23" s="132">
        <f>IF(SER_hh_emih_in!R23=0,0,SER_hh_emih_in!R23/SER_summary!R$27)</f>
        <v>4.4076171949262228</v>
      </c>
      <c r="S23" s="132">
        <f>IF(SER_hh_emih_in!S23=0,0,SER_hh_emih_in!S23/SER_summary!S$27)</f>
        <v>4.1119719311073819</v>
      </c>
      <c r="T23" s="132">
        <f>IF(SER_hh_emih_in!T23=0,0,SER_hh_emih_in!T23/SER_summary!T$27)</f>
        <v>4.0552662514914291</v>
      </c>
      <c r="U23" s="132">
        <f>IF(SER_hh_emih_in!U23=0,0,SER_hh_emih_in!U23/SER_summary!U$27)</f>
        <v>3.8842740280405619</v>
      </c>
      <c r="V23" s="132">
        <f>IF(SER_hh_emih_in!V23=0,0,SER_hh_emih_in!V23/SER_summary!V$27)</f>
        <v>3.378391385001509</v>
      </c>
      <c r="W23" s="132">
        <f>IF(SER_hh_emih_in!W23=0,0,SER_hh_emih_in!W23/SER_summary!W$27)</f>
        <v>4.0930950694487942</v>
      </c>
      <c r="X23" s="132">
        <f>IF(SER_hh_emih_in!X23=0,0,SER_hh_emih_in!X23/SER_summary!X$27)</f>
        <v>3.8083109524066034</v>
      </c>
      <c r="Y23" s="132">
        <f>IF(SER_hh_emih_in!Y23=0,0,SER_hh_emih_in!Y23/SER_summary!Y$27)</f>
        <v>3.7009579431482957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5.8992234912199253</v>
      </c>
      <c r="D24" s="132">
        <f>IF(SER_hh_emih_in!D24=0,0,SER_hh_emih_in!D24/SER_summary!D$27)</f>
        <v>5.6525704623036326</v>
      </c>
      <c r="E24" s="132">
        <f>IF(SER_hh_emih_in!E24=0,0,SER_hh_emih_in!E24/SER_summary!E$27)</f>
        <v>5.39829709083432</v>
      </c>
      <c r="F24" s="132">
        <f>IF(SER_hh_emih_in!F24=0,0,SER_hh_emih_in!F24/SER_summary!F$27)</f>
        <v>5.3578402559349936</v>
      </c>
      <c r="G24" s="132">
        <f>IF(SER_hh_emih_in!G24=0,0,SER_hh_emih_in!G24/SER_summary!G$27)</f>
        <v>2.1941140724132109</v>
      </c>
      <c r="H24" s="132">
        <f>IF(SER_hh_emih_in!H24=0,0,SER_hh_emih_in!H24/SER_summary!H$27)</f>
        <v>2.4294442947067485</v>
      </c>
      <c r="I24" s="132">
        <f>IF(SER_hh_emih_in!I24=0,0,SER_hh_emih_in!I24/SER_summary!I$27)</f>
        <v>2.9232494300153391</v>
      </c>
      <c r="J24" s="132">
        <f>IF(SER_hh_emih_in!J24=0,0,SER_hh_emih_in!J24/SER_summary!J$27)</f>
        <v>2.871432451715727</v>
      </c>
      <c r="K24" s="132">
        <f>IF(SER_hh_emih_in!K24=0,0,SER_hh_emih_in!K24/SER_summary!K$27)</f>
        <v>3.2219790294632755</v>
      </c>
      <c r="L24" s="132">
        <f>IF(SER_hh_emih_in!L24=0,0,SER_hh_emih_in!L24/SER_summary!L$27)</f>
        <v>3.4354224144737628</v>
      </c>
      <c r="M24" s="132">
        <f>IF(SER_hh_emih_in!M24=0,0,SER_hh_emih_in!M24/SER_summary!M$27)</f>
        <v>0</v>
      </c>
      <c r="N24" s="132">
        <f>IF(SER_hh_emih_in!N24=0,0,SER_hh_emih_in!N24/SER_summary!N$27)</f>
        <v>1.7644217472231538</v>
      </c>
      <c r="O24" s="132">
        <f>IF(SER_hh_emih_in!O24=0,0,SER_hh_emih_in!O24/SER_summary!O$27)</f>
        <v>2.121162437254041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1.3815299884553258</v>
      </c>
      <c r="S24" s="132">
        <f>IF(SER_hh_emih_in!S24=0,0,SER_hh_emih_in!S24/SER_summary!S$27)</f>
        <v>1.4481089639785127</v>
      </c>
      <c r="T24" s="132">
        <f>IF(SER_hh_emih_in!T24=0,0,SER_hh_emih_in!T24/SER_summary!T$27)</f>
        <v>1.1876997490817049</v>
      </c>
      <c r="U24" s="132">
        <f>IF(SER_hh_emih_in!U24=0,0,SER_hh_emih_in!U24/SER_summary!U$27)</f>
        <v>1.1343930336299957</v>
      </c>
      <c r="V24" s="132">
        <f>IF(SER_hh_emih_in!V24=0,0,SER_hh_emih_in!V24/SER_summary!V$27)</f>
        <v>1.3482633265358899</v>
      </c>
      <c r="W24" s="132">
        <f>IF(SER_hh_emih_in!W24=0,0,SER_hh_emih_in!W24/SER_summary!W$27)</f>
        <v>1.3348627108263516</v>
      </c>
      <c r="X24" s="132">
        <f>IF(SER_hh_emih_in!X24=0,0,SER_hh_emih_in!X24/SER_summary!X$27)</f>
        <v>2.0565839438849904</v>
      </c>
      <c r="Y24" s="132">
        <f>IF(SER_hh_emih_in!Y24=0,0,SER_hh_emih_in!Y24/SER_summary!Y$27)</f>
        <v>1.7590187895550611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2.0648257731110733</v>
      </c>
      <c r="D29" s="130">
        <f>IF(SER_hh_emih_in!D29=0,0,SER_hh_emih_in!D29/SER_summary!D$27)</f>
        <v>5.6669250110797575</v>
      </c>
      <c r="E29" s="130">
        <f>IF(SER_hh_emih_in!E29=0,0,SER_hh_emih_in!E29/SER_summary!E$27)</f>
        <v>3.7931549056065714</v>
      </c>
      <c r="F29" s="130">
        <f>IF(SER_hh_emih_in!F29=0,0,SER_hh_emih_in!F29/SER_summary!F$27)</f>
        <v>1.7260661778476214</v>
      </c>
      <c r="G29" s="130">
        <f>IF(SER_hh_emih_in!G29=0,0,SER_hh_emih_in!G29/SER_summary!G$27)</f>
        <v>0.27529308455664214</v>
      </c>
      <c r="H29" s="130">
        <f>IF(SER_hh_emih_in!H29=0,0,SER_hh_emih_in!H29/SER_summary!H$27)</f>
        <v>0</v>
      </c>
      <c r="I29" s="130">
        <f>IF(SER_hh_emih_in!I29=0,0,SER_hh_emih_in!I29/SER_summary!I$27)</f>
        <v>1.6916561685428175</v>
      </c>
      <c r="J29" s="130">
        <f>IF(SER_hh_emih_in!J29=0,0,SER_hh_emih_in!J29/SER_summary!J$27)</f>
        <v>3.0491032979129704</v>
      </c>
      <c r="K29" s="130">
        <f>IF(SER_hh_emih_in!K29=0,0,SER_hh_emih_in!K29/SER_summary!K$27)</f>
        <v>3.9227282559292069</v>
      </c>
      <c r="L29" s="130">
        <f>IF(SER_hh_emih_in!L29=0,0,SER_hh_emih_in!L29/SER_summary!L$27)</f>
        <v>2.6526611186702067</v>
      </c>
      <c r="M29" s="130">
        <f>IF(SER_hh_emih_in!M29=0,0,SER_hh_emih_in!M29/SER_summary!M$27)</f>
        <v>1.3850475750624582</v>
      </c>
      <c r="N29" s="130">
        <f>IF(SER_hh_emih_in!N29=0,0,SER_hh_emih_in!N29/SER_summary!N$27)</f>
        <v>1.0739263482059833</v>
      </c>
      <c r="O29" s="130">
        <f>IF(SER_hh_emih_in!O29=0,0,SER_hh_emih_in!O29/SER_summary!O$27)</f>
        <v>2.3070295569388719</v>
      </c>
      <c r="P29" s="130">
        <f>IF(SER_hh_emih_in!P29=0,0,SER_hh_emih_in!P29/SER_summary!P$27)</f>
        <v>2.8418777730573641</v>
      </c>
      <c r="Q29" s="130">
        <f>IF(SER_hh_emih_in!Q29=0,0,SER_hh_emih_in!Q29/SER_summary!Q$27)</f>
        <v>2.9636429127734565</v>
      </c>
      <c r="R29" s="130">
        <f>IF(SER_hh_emih_in!R29=0,0,SER_hh_emih_in!R29/SER_summary!R$27)</f>
        <v>1.5710173512691632</v>
      </c>
      <c r="S29" s="130">
        <f>IF(SER_hh_emih_in!S29=0,0,SER_hh_emih_in!S29/SER_summary!S$27)</f>
        <v>1.8977182069867584</v>
      </c>
      <c r="T29" s="130">
        <f>IF(SER_hh_emih_in!T29=0,0,SER_hh_emih_in!T29/SER_summary!T$27)</f>
        <v>1.89136200371954</v>
      </c>
      <c r="U29" s="130">
        <f>IF(SER_hh_emih_in!U29=0,0,SER_hh_emih_in!U29/SER_summary!U$27)</f>
        <v>2.6546805638248578</v>
      </c>
      <c r="V29" s="130">
        <f>IF(SER_hh_emih_in!V29=0,0,SER_hh_emih_in!V29/SER_summary!V$27)</f>
        <v>2.1320540124362943</v>
      </c>
      <c r="W29" s="130">
        <f>IF(SER_hh_emih_in!W29=0,0,SER_hh_emih_in!W29/SER_summary!W$27)</f>
        <v>1.5867963694341176</v>
      </c>
      <c r="X29" s="130">
        <f>IF(SER_hh_emih_in!X29=0,0,SER_hh_emih_in!X29/SER_summary!X$27)</f>
        <v>1.1672925050306293</v>
      </c>
      <c r="Y29" s="130">
        <f>IF(SER_hh_emih_in!Y29=0,0,SER_hh_emih_in!Y29/SER_summary!Y$27)</f>
        <v>1.255053229673236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2.780754139283395</v>
      </c>
      <c r="D30" s="132">
        <f>IF(SER_hh_emih_in!D30=0,0,SER_hh_emih_in!D30/SER_summary!D$27)</f>
        <v>6.7889715482677406</v>
      </c>
      <c r="E30" s="132">
        <f>IF(SER_hh_emih_in!E30=0,0,SER_hh_emih_in!E30/SER_summary!E$27)</f>
        <v>6.7065405214394795</v>
      </c>
      <c r="F30" s="132">
        <f>IF(SER_hh_emih_in!F30=0,0,SER_hh_emih_in!F30/SER_summary!F$27)</f>
        <v>7.3637197559582921</v>
      </c>
      <c r="G30" s="132">
        <f>IF(SER_hh_emih_in!G30=0,0,SER_hh_emih_in!G30/SER_summary!G$27)</f>
        <v>6.0714046776426898</v>
      </c>
      <c r="H30" s="132">
        <f>IF(SER_hh_emih_in!H30=0,0,SER_hh_emih_in!H30/SER_summary!H$27)</f>
        <v>0</v>
      </c>
      <c r="I30" s="132">
        <f>IF(SER_hh_emih_in!I30=0,0,SER_hh_emih_in!I30/SER_summary!I$27)</f>
        <v>6.0630927743776715</v>
      </c>
      <c r="J30" s="132">
        <f>IF(SER_hh_emih_in!J30=0,0,SER_hh_emih_in!J30/SER_summary!J$27)</f>
        <v>6.6856362727116236</v>
      </c>
      <c r="K30" s="132">
        <f>IF(SER_hh_emih_in!K30=0,0,SER_hh_emih_in!K30/SER_summary!K$27)</f>
        <v>6.599402557357064</v>
      </c>
      <c r="L30" s="132">
        <f>IF(SER_hh_emih_in!L30=0,0,SER_hh_emih_in!L30/SER_summary!L$27)</f>
        <v>7.4330746449356937</v>
      </c>
      <c r="M30" s="132">
        <f>IF(SER_hh_emih_in!M30=0,0,SER_hh_emih_in!M30/SER_summary!M$27)</f>
        <v>0</v>
      </c>
      <c r="N30" s="132">
        <f>IF(SER_hh_emih_in!N30=0,0,SER_hh_emih_in!N30/SER_summary!N$27)</f>
        <v>7.1314069113367058</v>
      </c>
      <c r="O30" s="132">
        <f>IF(SER_hh_emih_in!O30=0,0,SER_hh_emih_in!O30/SER_summary!O$27)</f>
        <v>6.4009573429941105</v>
      </c>
      <c r="P30" s="132">
        <f>IF(SER_hh_emih_in!P30=0,0,SER_hh_emih_in!P30/SER_summary!P$27)</f>
        <v>6.1304501899584087</v>
      </c>
      <c r="Q30" s="132">
        <f>IF(SER_hh_emih_in!Q30=0,0,SER_hh_emih_in!Q30/SER_summary!Q$27)</f>
        <v>7.1960810755001514</v>
      </c>
      <c r="R30" s="132">
        <f>IF(SER_hh_emih_in!R30=0,0,SER_hh_emih_in!R30/SER_summary!R$27)</f>
        <v>6.6210802700924871</v>
      </c>
      <c r="S30" s="132">
        <f>IF(SER_hh_emih_in!S30=0,0,SER_hh_emih_in!S30/SER_summary!S$27)</f>
        <v>7.0414932363689262</v>
      </c>
      <c r="T30" s="132">
        <f>IF(SER_hh_emih_in!T30=0,0,SER_hh_emih_in!T30/SER_summary!T$27)</f>
        <v>6.749206640481324</v>
      </c>
      <c r="U30" s="132">
        <f>IF(SER_hh_emih_in!U30=0,0,SER_hh_emih_in!U30/SER_summary!U$27)</f>
        <v>7.3133660407434817</v>
      </c>
      <c r="V30" s="132">
        <f>IF(SER_hh_emih_in!V30=0,0,SER_hh_emih_in!V30/SER_summary!V$27)</f>
        <v>6.6735177747470091</v>
      </c>
      <c r="W30" s="132">
        <f>IF(SER_hh_emih_in!W30=0,0,SER_hh_emih_in!W30/SER_summary!W$27)</f>
        <v>0</v>
      </c>
      <c r="X30" s="132">
        <f>IF(SER_hh_emih_in!X30=0,0,SER_hh_emih_in!X30/SER_summary!X$27)</f>
        <v>0</v>
      </c>
      <c r="Y30" s="132">
        <f>IF(SER_hh_emih_in!Y30=0,0,SER_hh_emih_in!Y30/SER_summary!Y$27)</f>
        <v>6.8174757851611369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5.3067216695370947</v>
      </c>
      <c r="D31" s="132">
        <f>IF(SER_hh_emih_in!D31=0,0,SER_hh_emih_in!D31/SER_summary!D$27)</f>
        <v>5.2722090884837796</v>
      </c>
      <c r="E31" s="132">
        <f>IF(SER_hh_emih_in!E31=0,0,SER_hh_emih_in!E31/SER_summary!E$27)</f>
        <v>5.5044234560316729</v>
      </c>
      <c r="F31" s="132">
        <f>IF(SER_hh_emih_in!F31=0,0,SER_hh_emih_in!F31/SER_summary!F$27)</f>
        <v>5.963451990715396</v>
      </c>
      <c r="G31" s="132">
        <f>IF(SER_hh_emih_in!G31=0,0,SER_hh_emih_in!G31/SER_summary!G$27)</f>
        <v>0</v>
      </c>
      <c r="H31" s="132">
        <f>IF(SER_hh_emih_in!H31=0,0,SER_hh_emih_in!H31/SER_summary!H$27)</f>
        <v>0</v>
      </c>
      <c r="I31" s="132">
        <f>IF(SER_hh_emih_in!I31=0,0,SER_hh_emih_in!I31/SER_summary!I$27)</f>
        <v>5.2976707112208699</v>
      </c>
      <c r="J31" s="132">
        <f>IF(SER_hh_emih_in!J31=0,0,SER_hh_emih_in!J31/SER_summary!J$27)</f>
        <v>4.9404698247185816</v>
      </c>
      <c r="K31" s="132">
        <f>IF(SER_hh_emih_in!K31=0,0,SER_hh_emih_in!K31/SER_summary!K$27)</f>
        <v>6.2034911533803152</v>
      </c>
      <c r="L31" s="132">
        <f>IF(SER_hh_emih_in!L31=0,0,SER_hh_emih_in!L31/SER_summary!L$27)</f>
        <v>5.7547392417046748</v>
      </c>
      <c r="M31" s="132">
        <f>IF(SER_hh_emih_in!M31=0,0,SER_hh_emih_in!M31/SER_summary!M$27)</f>
        <v>5.7505036613382474</v>
      </c>
      <c r="N31" s="132">
        <f>IF(SER_hh_emih_in!N31=0,0,SER_hh_emih_in!N31/SER_summary!N$27)</f>
        <v>5.4205263397156926</v>
      </c>
      <c r="O31" s="132">
        <f>IF(SER_hh_emih_in!O31=0,0,SER_hh_emih_in!O31/SER_summary!O$27)</f>
        <v>5.7244046131262447</v>
      </c>
      <c r="P31" s="132">
        <f>IF(SER_hh_emih_in!P31=0,0,SER_hh_emih_in!P31/SER_summary!P$27)</f>
        <v>5.9886960176754105</v>
      </c>
      <c r="Q31" s="132">
        <f>IF(SER_hh_emih_in!Q31=0,0,SER_hh_emih_in!Q31/SER_summary!Q$27)</f>
        <v>6.1152520132444019</v>
      </c>
      <c r="R31" s="132">
        <f>IF(SER_hh_emih_in!R31=0,0,SER_hh_emih_in!R31/SER_summary!R$27)</f>
        <v>5.7957921099685858</v>
      </c>
      <c r="S31" s="132">
        <f>IF(SER_hh_emih_in!S31=0,0,SER_hh_emih_in!S31/SER_summary!S$27)</f>
        <v>5.8376184531410784</v>
      </c>
      <c r="T31" s="132">
        <f>IF(SER_hh_emih_in!T31=0,0,SER_hh_emih_in!T31/SER_summary!T$27)</f>
        <v>5.8822756368197853</v>
      </c>
      <c r="U31" s="132">
        <f>IF(SER_hh_emih_in!U31=0,0,SER_hh_emih_in!U31/SER_summary!U$27)</f>
        <v>5.5417576450324324</v>
      </c>
      <c r="V31" s="132">
        <f>IF(SER_hh_emih_in!V31=0,0,SER_hh_emih_in!V31/SER_summary!V$27)</f>
        <v>4.861254023002239</v>
      </c>
      <c r="W31" s="132">
        <f>IF(SER_hh_emih_in!W31=0,0,SER_hh_emih_in!W31/SER_summary!W$27)</f>
        <v>6.8064855633867447</v>
      </c>
      <c r="X31" s="132">
        <f>IF(SER_hh_emih_in!X31=0,0,SER_hh_emih_in!X31/SER_summary!X$27)</f>
        <v>5.6849784352375323</v>
      </c>
      <c r="Y31" s="132">
        <f>IF(SER_hh_emih_in!Y31=0,0,SER_hh_emih_in!Y31/SER_summary!Y$27)</f>
        <v>5.3454151596373309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4155.5694067034574</v>
      </c>
      <c r="C3" s="179">
        <f t="shared" ref="C3:W3" si="1">SUM(C4:C9)</f>
        <v>4313.3546993423151</v>
      </c>
      <c r="D3" s="179">
        <f t="shared" si="1"/>
        <v>4479.6625343632841</v>
      </c>
      <c r="E3" s="179">
        <f t="shared" si="1"/>
        <v>4657.5207888602154</v>
      </c>
      <c r="F3" s="179">
        <f t="shared" si="1"/>
        <v>4850.2449103247181</v>
      </c>
      <c r="G3" s="179">
        <f t="shared" si="1"/>
        <v>5005.8418238067679</v>
      </c>
      <c r="H3" s="179">
        <f t="shared" si="1"/>
        <v>5145.9689124952911</v>
      </c>
      <c r="I3" s="179">
        <f t="shared" si="1"/>
        <v>5292.4745849067485</v>
      </c>
      <c r="J3" s="179">
        <f t="shared" si="1"/>
        <v>5414.5523783086937</v>
      </c>
      <c r="K3" s="179">
        <f t="shared" si="1"/>
        <v>5502.8134602791533</v>
      </c>
      <c r="L3" s="179">
        <f t="shared" si="1"/>
        <v>5592.1093384882424</v>
      </c>
      <c r="M3" s="179">
        <f t="shared" si="1"/>
        <v>5668.5411154891499</v>
      </c>
      <c r="N3" s="179">
        <f t="shared" si="1"/>
        <v>5734.2221617974174</v>
      </c>
      <c r="O3" s="179">
        <f t="shared" si="1"/>
        <v>5790.1328647633682</v>
      </c>
      <c r="P3" s="179">
        <f t="shared" si="1"/>
        <v>5928.9296429988835</v>
      </c>
      <c r="Q3" s="179">
        <f t="shared" si="1"/>
        <v>6005.6282772789773</v>
      </c>
      <c r="R3" s="179">
        <f t="shared" si="1"/>
        <v>5988.0487759271737</v>
      </c>
      <c r="S3" s="179">
        <f t="shared" si="1"/>
        <v>6030.1894376441678</v>
      </c>
      <c r="T3" s="179">
        <f t="shared" si="1"/>
        <v>5977.2526125487293</v>
      </c>
      <c r="U3" s="179">
        <f t="shared" si="1"/>
        <v>5919.2912822462495</v>
      </c>
      <c r="V3" s="179">
        <f t="shared" si="1"/>
        <v>5642.2823955811436</v>
      </c>
      <c r="W3" s="179">
        <f t="shared" si="1"/>
        <v>5671.613024916971</v>
      </c>
      <c r="X3" s="179">
        <f t="shared" ref="X3:Y3" si="2">SUM(X4:X9)</f>
        <v>5614.2479504822586</v>
      </c>
      <c r="Y3" s="179">
        <f t="shared" si="2"/>
        <v>5536.1815271920304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247.45685303456915</v>
      </c>
      <c r="C4" s="180">
        <f t="shared" ref="C4:R9" si="4">C12*C44/11630</f>
        <v>253.57132164691683</v>
      </c>
      <c r="D4" s="180">
        <f t="shared" si="4"/>
        <v>259.61756288001487</v>
      </c>
      <c r="E4" s="180">
        <f t="shared" si="4"/>
        <v>265.10318384108729</v>
      </c>
      <c r="F4" s="180">
        <f t="shared" si="4"/>
        <v>270.65504904745359</v>
      </c>
      <c r="G4" s="180">
        <f t="shared" si="4"/>
        <v>276.90136546034392</v>
      </c>
      <c r="H4" s="180">
        <f t="shared" si="4"/>
        <v>282.80542778619025</v>
      </c>
      <c r="I4" s="180">
        <f t="shared" si="4"/>
        <v>289.82901115890763</v>
      </c>
      <c r="J4" s="180">
        <f t="shared" si="4"/>
        <v>295.54875084139746</v>
      </c>
      <c r="K4" s="180">
        <f t="shared" si="4"/>
        <v>299.54786526903649</v>
      </c>
      <c r="L4" s="180">
        <f t="shared" si="4"/>
        <v>304.0242336324842</v>
      </c>
      <c r="M4" s="180">
        <f t="shared" si="4"/>
        <v>309.13275930422924</v>
      </c>
      <c r="N4" s="180">
        <f t="shared" si="4"/>
        <v>312.83256896984659</v>
      </c>
      <c r="O4" s="180">
        <f t="shared" si="4"/>
        <v>315.49900284083111</v>
      </c>
      <c r="P4" s="180">
        <f t="shared" si="4"/>
        <v>319.09569622256703</v>
      </c>
      <c r="Q4" s="180">
        <f t="shared" si="4"/>
        <v>318.46955881622063</v>
      </c>
      <c r="R4" s="180">
        <f t="shared" si="4"/>
        <v>318.89048247899836</v>
      </c>
      <c r="S4" s="180">
        <f t="shared" ref="D4:W9" si="5">S12*S44/11630</f>
        <v>319.2639909098952</v>
      </c>
      <c r="T4" s="180">
        <f t="shared" si="5"/>
        <v>319.773081292521</v>
      </c>
      <c r="U4" s="180">
        <f t="shared" si="5"/>
        <v>321.57777325649573</v>
      </c>
      <c r="V4" s="180">
        <f t="shared" si="5"/>
        <v>323.08365530729935</v>
      </c>
      <c r="W4" s="180">
        <f t="shared" si="5"/>
        <v>324.48063236833895</v>
      </c>
      <c r="X4" s="180">
        <f t="shared" ref="X4:Y4" si="6">X12*X44/11630</f>
        <v>324.58393023807685</v>
      </c>
      <c r="Y4" s="180">
        <f t="shared" si="6"/>
        <v>323.89153778893905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572.87292269982902</v>
      </c>
      <c r="C5" s="180">
        <f t="shared" si="4"/>
        <v>579.34942156057161</v>
      </c>
      <c r="D5" s="180">
        <f t="shared" si="5"/>
        <v>587.64152689356411</v>
      </c>
      <c r="E5" s="180">
        <f t="shared" si="5"/>
        <v>596.87580275329344</v>
      </c>
      <c r="F5" s="180">
        <f t="shared" si="5"/>
        <v>604.49182864006457</v>
      </c>
      <c r="G5" s="180">
        <f t="shared" si="5"/>
        <v>613.4422779703151</v>
      </c>
      <c r="H5" s="180">
        <f t="shared" si="5"/>
        <v>622.05904874281271</v>
      </c>
      <c r="I5" s="180">
        <f t="shared" si="5"/>
        <v>625.96231664700849</v>
      </c>
      <c r="J5" s="180">
        <f t="shared" si="5"/>
        <v>633.01128649697716</v>
      </c>
      <c r="K5" s="180">
        <f t="shared" si="5"/>
        <v>644.69038610669338</v>
      </c>
      <c r="L5" s="180">
        <f t="shared" si="5"/>
        <v>655.7508821401168</v>
      </c>
      <c r="M5" s="180">
        <f t="shared" si="5"/>
        <v>664.06910669506578</v>
      </c>
      <c r="N5" s="180">
        <f t="shared" si="5"/>
        <v>671.55134650128059</v>
      </c>
      <c r="O5" s="180">
        <f t="shared" si="5"/>
        <v>680.96106712960852</v>
      </c>
      <c r="P5" s="180">
        <f t="shared" si="5"/>
        <v>693.82052938521076</v>
      </c>
      <c r="Q5" s="180">
        <f t="shared" si="5"/>
        <v>706.31646968081611</v>
      </c>
      <c r="R5" s="180">
        <f t="shared" si="5"/>
        <v>698.46597447376359</v>
      </c>
      <c r="S5" s="180">
        <f t="shared" si="5"/>
        <v>692.94186511799785</v>
      </c>
      <c r="T5" s="180">
        <f t="shared" si="5"/>
        <v>674.92462796908274</v>
      </c>
      <c r="U5" s="180">
        <f t="shared" si="5"/>
        <v>654.9178965785386</v>
      </c>
      <c r="V5" s="180">
        <f t="shared" si="5"/>
        <v>630.6908088427341</v>
      </c>
      <c r="W5" s="180">
        <f t="shared" si="5"/>
        <v>607.07950699506284</v>
      </c>
      <c r="X5" s="180">
        <f t="shared" ref="X5:Y5" si="7">X13*X45/11630</f>
        <v>583.13336030993958</v>
      </c>
      <c r="Y5" s="180">
        <f t="shared" si="7"/>
        <v>563.6009546108927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1493.4357347996131</v>
      </c>
      <c r="C6" s="180">
        <f t="shared" si="4"/>
        <v>1517.8125024512256</v>
      </c>
      <c r="D6" s="180">
        <f t="shared" si="5"/>
        <v>1544.1833371280397</v>
      </c>
      <c r="E6" s="180">
        <f t="shared" si="5"/>
        <v>1565.5355693745362</v>
      </c>
      <c r="F6" s="180">
        <f t="shared" si="5"/>
        <v>1590.8484370115088</v>
      </c>
      <c r="G6" s="180">
        <f t="shared" si="5"/>
        <v>1604.3519562033807</v>
      </c>
      <c r="H6" s="180">
        <f t="shared" si="5"/>
        <v>1616.0659127924546</v>
      </c>
      <c r="I6" s="180">
        <f t="shared" si="5"/>
        <v>1645.4181153265786</v>
      </c>
      <c r="J6" s="180">
        <f t="shared" si="5"/>
        <v>1665.0950569363197</v>
      </c>
      <c r="K6" s="180">
        <f t="shared" si="5"/>
        <v>1672.7307542688206</v>
      </c>
      <c r="L6" s="180">
        <f t="shared" si="5"/>
        <v>1694.6566163172954</v>
      </c>
      <c r="M6" s="180">
        <f t="shared" si="5"/>
        <v>1711.4820492092799</v>
      </c>
      <c r="N6" s="180">
        <f t="shared" si="5"/>
        <v>1716.9143685637468</v>
      </c>
      <c r="O6" s="180">
        <f t="shared" si="5"/>
        <v>1709.3369845342725</v>
      </c>
      <c r="P6" s="180">
        <f t="shared" si="5"/>
        <v>1720.0717912338077</v>
      </c>
      <c r="Q6" s="180">
        <f t="shared" si="5"/>
        <v>1708.4030967585761</v>
      </c>
      <c r="R6" s="180">
        <f t="shared" si="5"/>
        <v>1658.7940344393805</v>
      </c>
      <c r="S6" s="180">
        <f t="shared" si="5"/>
        <v>1625.3341469453098</v>
      </c>
      <c r="T6" s="180">
        <f t="shared" si="5"/>
        <v>1547.6096093111432</v>
      </c>
      <c r="U6" s="180">
        <f t="shared" si="5"/>
        <v>1475.6285028096418</v>
      </c>
      <c r="V6" s="180">
        <f t="shared" si="5"/>
        <v>1288.2494070161351</v>
      </c>
      <c r="W6" s="180">
        <f t="shared" si="5"/>
        <v>1271.2790514430465</v>
      </c>
      <c r="X6" s="180">
        <f t="shared" ref="X6:Y6" si="8">X14*X46/11630</f>
        <v>1215.3859801921419</v>
      </c>
      <c r="Y6" s="180">
        <f t="shared" si="8"/>
        <v>1152.7049580259306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951.6974325763158</v>
      </c>
      <c r="C7" s="180">
        <f t="shared" si="4"/>
        <v>983.87015692628427</v>
      </c>
      <c r="D7" s="180">
        <f t="shared" si="5"/>
        <v>1016.577396149563</v>
      </c>
      <c r="E7" s="180">
        <f t="shared" si="5"/>
        <v>1055.4459350989337</v>
      </c>
      <c r="F7" s="180">
        <f t="shared" si="5"/>
        <v>1091.0772629546393</v>
      </c>
      <c r="G7" s="180">
        <f t="shared" si="5"/>
        <v>1118.0635864773194</v>
      </c>
      <c r="H7" s="180">
        <f t="shared" si="5"/>
        <v>1138.7551730055227</v>
      </c>
      <c r="I7" s="180">
        <f t="shared" si="5"/>
        <v>1153.6421447840521</v>
      </c>
      <c r="J7" s="180">
        <f t="shared" si="5"/>
        <v>1169.2517813358995</v>
      </c>
      <c r="K7" s="180">
        <f t="shared" si="5"/>
        <v>1175.6255480206644</v>
      </c>
      <c r="L7" s="180">
        <f t="shared" si="5"/>
        <v>1177.5443930617771</v>
      </c>
      <c r="M7" s="180">
        <f t="shared" si="5"/>
        <v>1174.4966526089463</v>
      </c>
      <c r="N7" s="180">
        <f t="shared" si="5"/>
        <v>1174.6592589175973</v>
      </c>
      <c r="O7" s="180">
        <f t="shared" si="5"/>
        <v>1179.2701881786459</v>
      </c>
      <c r="P7" s="180">
        <f t="shared" si="5"/>
        <v>1187.047835130026</v>
      </c>
      <c r="Q7" s="180">
        <f t="shared" si="5"/>
        <v>1181.2908610712595</v>
      </c>
      <c r="R7" s="180">
        <f t="shared" si="5"/>
        <v>1175.442981521014</v>
      </c>
      <c r="S7" s="180">
        <f t="shared" si="5"/>
        <v>1168.7340250492471</v>
      </c>
      <c r="T7" s="180">
        <f t="shared" si="5"/>
        <v>1161.9257473568669</v>
      </c>
      <c r="U7" s="180">
        <f t="shared" si="5"/>
        <v>1155.8348886932179</v>
      </c>
      <c r="V7" s="180">
        <f t="shared" si="5"/>
        <v>1148.7177047980435</v>
      </c>
      <c r="W7" s="180">
        <f t="shared" si="5"/>
        <v>1137.8489399325972</v>
      </c>
      <c r="X7" s="180">
        <f t="shared" ref="X7:Y7" si="9">X15*X47/11630</f>
        <v>1125.5074437045403</v>
      </c>
      <c r="Y7" s="180">
        <f t="shared" si="9"/>
        <v>1107.581972789023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399.88664808060423</v>
      </c>
      <c r="C8" s="55">
        <f t="shared" si="4"/>
        <v>431.46288470615445</v>
      </c>
      <c r="D8" s="55">
        <f t="shared" si="5"/>
        <v>458.17992626804698</v>
      </c>
      <c r="E8" s="55">
        <f t="shared" si="5"/>
        <v>487.6720112360012</v>
      </c>
      <c r="F8" s="55">
        <f t="shared" si="5"/>
        <v>516.65579734873927</v>
      </c>
      <c r="G8" s="55">
        <f t="shared" si="5"/>
        <v>543.28699646372274</v>
      </c>
      <c r="H8" s="55">
        <f t="shared" si="5"/>
        <v>568.12552124902709</v>
      </c>
      <c r="I8" s="55">
        <f t="shared" si="5"/>
        <v>594.13129177220787</v>
      </c>
      <c r="J8" s="55">
        <f t="shared" si="5"/>
        <v>616.30993763185859</v>
      </c>
      <c r="K8" s="55">
        <f t="shared" si="5"/>
        <v>632.23898716957183</v>
      </c>
      <c r="L8" s="55">
        <f t="shared" si="5"/>
        <v>651.04217976204131</v>
      </c>
      <c r="M8" s="55">
        <f t="shared" si="5"/>
        <v>664.99286794177897</v>
      </c>
      <c r="N8" s="55">
        <f t="shared" si="5"/>
        <v>673.03121552944685</v>
      </c>
      <c r="O8" s="55">
        <f t="shared" si="5"/>
        <v>677.76375097519849</v>
      </c>
      <c r="P8" s="55">
        <f t="shared" si="5"/>
        <v>681.88168641510049</v>
      </c>
      <c r="Q8" s="55">
        <f t="shared" si="5"/>
        <v>674.03736990628852</v>
      </c>
      <c r="R8" s="55">
        <f t="shared" si="5"/>
        <v>683.92647263109779</v>
      </c>
      <c r="S8" s="55">
        <f t="shared" si="5"/>
        <v>699.93468184038011</v>
      </c>
      <c r="T8" s="55">
        <f t="shared" si="5"/>
        <v>704.62535373845981</v>
      </c>
      <c r="U8" s="55">
        <f t="shared" si="5"/>
        <v>709.25473238335508</v>
      </c>
      <c r="V8" s="55">
        <f t="shared" si="5"/>
        <v>661.93770422309069</v>
      </c>
      <c r="W8" s="55">
        <f t="shared" si="5"/>
        <v>695.9116887714373</v>
      </c>
      <c r="X8" s="55">
        <f t="shared" ref="X8:Y8" si="10">X16*X48/11630</f>
        <v>704.06888526742296</v>
      </c>
      <c r="Y8" s="55">
        <f t="shared" si="10"/>
        <v>707.90338385224379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490.21981551252628</v>
      </c>
      <c r="C9" s="63">
        <f t="shared" si="4"/>
        <v>547.28841205116305</v>
      </c>
      <c r="D9" s="63">
        <f t="shared" si="5"/>
        <v>613.46278504405564</v>
      </c>
      <c r="E9" s="63">
        <f t="shared" si="5"/>
        <v>686.88828655636303</v>
      </c>
      <c r="F9" s="63">
        <f t="shared" si="5"/>
        <v>776.51653532231194</v>
      </c>
      <c r="G9" s="63">
        <f t="shared" si="5"/>
        <v>849.79564123168632</v>
      </c>
      <c r="H9" s="63">
        <f t="shared" si="5"/>
        <v>918.15782891928438</v>
      </c>
      <c r="I9" s="63">
        <f t="shared" si="5"/>
        <v>983.49170521799317</v>
      </c>
      <c r="J9" s="63">
        <f t="shared" si="5"/>
        <v>1035.335565066242</v>
      </c>
      <c r="K9" s="63">
        <f t="shared" si="5"/>
        <v>1077.9799194443669</v>
      </c>
      <c r="L9" s="63">
        <f t="shared" si="5"/>
        <v>1109.091033574527</v>
      </c>
      <c r="M9" s="63">
        <f t="shared" si="5"/>
        <v>1144.3676797298499</v>
      </c>
      <c r="N9" s="63">
        <f t="shared" si="5"/>
        <v>1185.2334033154991</v>
      </c>
      <c r="O9" s="63">
        <f t="shared" si="5"/>
        <v>1227.3018711048119</v>
      </c>
      <c r="P9" s="63">
        <f t="shared" si="5"/>
        <v>1327.0121046121712</v>
      </c>
      <c r="Q9" s="63">
        <f t="shared" si="5"/>
        <v>1417.1109210458164</v>
      </c>
      <c r="R9" s="63">
        <f t="shared" si="5"/>
        <v>1452.5288303829195</v>
      </c>
      <c r="S9" s="63">
        <f t="shared" si="5"/>
        <v>1523.9807277813381</v>
      </c>
      <c r="T9" s="63">
        <f t="shared" si="5"/>
        <v>1568.3941928806551</v>
      </c>
      <c r="U9" s="63">
        <f t="shared" si="5"/>
        <v>1602.0774885250007</v>
      </c>
      <c r="V9" s="63">
        <f t="shared" si="5"/>
        <v>1589.6031153938407</v>
      </c>
      <c r="W9" s="63">
        <f t="shared" si="5"/>
        <v>1635.0132054064886</v>
      </c>
      <c r="X9" s="63">
        <f t="shared" ref="X9:Y9" si="11">X17*X49/11630</f>
        <v>1661.5683507701365</v>
      </c>
      <c r="Y9" s="63">
        <f t="shared" si="11"/>
        <v>1680.4987201250017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18132.796373986821</v>
      </c>
      <c r="C11" s="179">
        <f t="shared" ref="C11:W11" si="13">SUM(C12:C17)</f>
        <v>18846.068754011529</v>
      </c>
      <c r="D11" s="179">
        <f t="shared" si="13"/>
        <v>19555.298523123471</v>
      </c>
      <c r="E11" s="179">
        <f t="shared" si="13"/>
        <v>20343.962886784939</v>
      </c>
      <c r="F11" s="179">
        <f t="shared" si="13"/>
        <v>21222.618463783696</v>
      </c>
      <c r="G11" s="179">
        <f t="shared" si="13"/>
        <v>21925.377183110366</v>
      </c>
      <c r="H11" s="179">
        <f t="shared" si="13"/>
        <v>22562.785244142284</v>
      </c>
      <c r="I11" s="179">
        <f t="shared" si="13"/>
        <v>23280.486753791654</v>
      </c>
      <c r="J11" s="179">
        <f t="shared" si="13"/>
        <v>23847.436502793018</v>
      </c>
      <c r="K11" s="179">
        <f t="shared" si="13"/>
        <v>24239.753867624881</v>
      </c>
      <c r="L11" s="179">
        <f t="shared" si="13"/>
        <v>24633.022244349682</v>
      </c>
      <c r="M11" s="179">
        <f t="shared" si="13"/>
        <v>24920.923663800924</v>
      </c>
      <c r="N11" s="179">
        <f t="shared" si="13"/>
        <v>25146.220780768046</v>
      </c>
      <c r="O11" s="179">
        <f t="shared" si="13"/>
        <v>25342.715844993152</v>
      </c>
      <c r="P11" s="179">
        <f t="shared" si="13"/>
        <v>25838.155441512918</v>
      </c>
      <c r="Q11" s="179">
        <f t="shared" si="13"/>
        <v>26110.29959237661</v>
      </c>
      <c r="R11" s="179">
        <f t="shared" si="13"/>
        <v>25992.763160612441</v>
      </c>
      <c r="S11" s="179">
        <f t="shared" si="13"/>
        <v>25927.16697757064</v>
      </c>
      <c r="T11" s="179">
        <f t="shared" si="13"/>
        <v>25792.094153695245</v>
      </c>
      <c r="U11" s="179">
        <f t="shared" si="13"/>
        <v>25579.275725752901</v>
      </c>
      <c r="V11" s="179">
        <f t="shared" si="13"/>
        <v>25243.405892337294</v>
      </c>
      <c r="W11" s="179">
        <f t="shared" si="13"/>
        <v>24933.77961013421</v>
      </c>
      <c r="X11" s="179">
        <f t="shared" ref="X11:Y11" si="14">SUM(X12:X17)</f>
        <v>24613.080062437075</v>
      </c>
      <c r="Y11" s="179">
        <f t="shared" si="14"/>
        <v>24252.365508208957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328.53004575251583</v>
      </c>
      <c r="C12" s="180">
        <f t="shared" ref="C12:W12" si="15">C20*C52</f>
        <v>336.64777063397747</v>
      </c>
      <c r="D12" s="180">
        <f t="shared" si="15"/>
        <v>344.67491510212011</v>
      </c>
      <c r="E12" s="180">
        <f t="shared" si="15"/>
        <v>351.95776576162626</v>
      </c>
      <c r="F12" s="180">
        <f t="shared" si="15"/>
        <v>359.32856397510102</v>
      </c>
      <c r="G12" s="180">
        <f t="shared" si="15"/>
        <v>367.62133336801372</v>
      </c>
      <c r="H12" s="180">
        <f t="shared" si="15"/>
        <v>375.45971748326406</v>
      </c>
      <c r="I12" s="180">
        <f t="shared" si="15"/>
        <v>384.78440636736252</v>
      </c>
      <c r="J12" s="180">
        <f t="shared" si="15"/>
        <v>392.37807902801973</v>
      </c>
      <c r="K12" s="180">
        <f t="shared" si="15"/>
        <v>397.68740560261347</v>
      </c>
      <c r="L12" s="180">
        <f t="shared" si="15"/>
        <v>403.63034670614041</v>
      </c>
      <c r="M12" s="180">
        <f t="shared" si="15"/>
        <v>410.41255601691626</v>
      </c>
      <c r="N12" s="180">
        <f t="shared" si="15"/>
        <v>415.32451793599506</v>
      </c>
      <c r="O12" s="180">
        <f t="shared" si="15"/>
        <v>418.86454372589805</v>
      </c>
      <c r="P12" s="180">
        <f t="shared" si="15"/>
        <v>423.63960582973232</v>
      </c>
      <c r="Q12" s="180">
        <f t="shared" si="15"/>
        <v>422.80832979824743</v>
      </c>
      <c r="R12" s="180">
        <f t="shared" si="15"/>
        <v>423.36715881629607</v>
      </c>
      <c r="S12" s="180">
        <f t="shared" si="15"/>
        <v>423.86303816005505</v>
      </c>
      <c r="T12" s="180">
        <f t="shared" si="15"/>
        <v>424.5389195698653</v>
      </c>
      <c r="U12" s="180">
        <f t="shared" si="15"/>
        <v>426.93487476861247</v>
      </c>
      <c r="V12" s="180">
        <f t="shared" si="15"/>
        <v>428.93412228583242</v>
      </c>
      <c r="W12" s="180">
        <f t="shared" si="15"/>
        <v>430.78878475385636</v>
      </c>
      <c r="X12" s="180">
        <f t="shared" ref="X12:Y12" si="16">X20*X52</f>
        <v>430.92592564712709</v>
      </c>
      <c r="Y12" s="180">
        <f t="shared" si="16"/>
        <v>430.00668772663943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1652.2491442465123</v>
      </c>
      <c r="C13" s="180">
        <f t="shared" ref="C13:W13" si="17">C21*C53/1000</f>
        <v>1676.8612119964457</v>
      </c>
      <c r="D13" s="180">
        <f t="shared" si="17"/>
        <v>1707.6183752020211</v>
      </c>
      <c r="E13" s="180">
        <f t="shared" si="17"/>
        <v>1741.2307878925903</v>
      </c>
      <c r="F13" s="180">
        <f t="shared" si="17"/>
        <v>1766.3545559196068</v>
      </c>
      <c r="G13" s="180">
        <f t="shared" si="17"/>
        <v>1797.216767695375</v>
      </c>
      <c r="H13" s="180">
        <f t="shared" si="17"/>
        <v>1825.3880562203028</v>
      </c>
      <c r="I13" s="180">
        <f t="shared" si="17"/>
        <v>1843.9854837693815</v>
      </c>
      <c r="J13" s="180">
        <f t="shared" si="17"/>
        <v>1870.7996088105331</v>
      </c>
      <c r="K13" s="180">
        <f t="shared" si="17"/>
        <v>1909.9160040229365</v>
      </c>
      <c r="L13" s="180">
        <f t="shared" si="17"/>
        <v>1947.2940978293339</v>
      </c>
      <c r="M13" s="180">
        <f t="shared" si="17"/>
        <v>1979.4687957847279</v>
      </c>
      <c r="N13" s="180">
        <f t="shared" si="17"/>
        <v>2012.7004783859159</v>
      </c>
      <c r="O13" s="180">
        <f t="shared" si="17"/>
        <v>2053.6423244768598</v>
      </c>
      <c r="P13" s="180">
        <f t="shared" si="17"/>
        <v>2109.7076711190912</v>
      </c>
      <c r="Q13" s="180">
        <f t="shared" si="17"/>
        <v>2164.8897249391871</v>
      </c>
      <c r="R13" s="180">
        <f t="shared" si="17"/>
        <v>2135.7396969238625</v>
      </c>
      <c r="S13" s="180">
        <f t="shared" si="17"/>
        <v>2096.221408089119</v>
      </c>
      <c r="T13" s="180">
        <f t="shared" si="17"/>
        <v>2051.9380020470458</v>
      </c>
      <c r="U13" s="180">
        <f t="shared" si="17"/>
        <v>1995.2734444774187</v>
      </c>
      <c r="V13" s="180">
        <f t="shared" si="17"/>
        <v>1924.8583468473428</v>
      </c>
      <c r="W13" s="180">
        <f t="shared" si="17"/>
        <v>1850.0186623984864</v>
      </c>
      <c r="X13" s="180">
        <f t="shared" ref="X13:Y13" si="18">X21*X53/1000</f>
        <v>1787.1769337460382</v>
      </c>
      <c r="Y13" s="180">
        <f t="shared" si="18"/>
        <v>1737.2192279395567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6989.0254473619916</v>
      </c>
      <c r="C14" s="180">
        <f t="shared" ref="C14:W14" si="19">C22*C54</f>
        <v>7055.6930712893291</v>
      </c>
      <c r="D14" s="180">
        <f t="shared" si="19"/>
        <v>7139.3293054412761</v>
      </c>
      <c r="E14" s="180">
        <f t="shared" si="19"/>
        <v>7204.0351666253264</v>
      </c>
      <c r="F14" s="180">
        <f t="shared" si="19"/>
        <v>7272.0432211056805</v>
      </c>
      <c r="G14" s="180">
        <f t="shared" si="19"/>
        <v>7298.2194488195564</v>
      </c>
      <c r="H14" s="180">
        <f t="shared" si="19"/>
        <v>7310.5108977601176</v>
      </c>
      <c r="I14" s="180">
        <f t="shared" si="19"/>
        <v>7402.5985131134876</v>
      </c>
      <c r="J14" s="180">
        <f t="shared" si="19"/>
        <v>7466.4253034097765</v>
      </c>
      <c r="K14" s="180">
        <f t="shared" si="19"/>
        <v>7486.4885015040882</v>
      </c>
      <c r="L14" s="180">
        <f t="shared" si="19"/>
        <v>7566.5587044351269</v>
      </c>
      <c r="M14" s="180">
        <f t="shared" si="19"/>
        <v>7623.408004971222</v>
      </c>
      <c r="N14" s="180">
        <f t="shared" si="19"/>
        <v>7628.2209295423145</v>
      </c>
      <c r="O14" s="180">
        <f t="shared" si="19"/>
        <v>7574.5102722522743</v>
      </c>
      <c r="P14" s="180">
        <f t="shared" si="19"/>
        <v>7598.1482002333987</v>
      </c>
      <c r="Q14" s="180">
        <f t="shared" si="19"/>
        <v>7521.8497852896098</v>
      </c>
      <c r="R14" s="180">
        <f t="shared" si="19"/>
        <v>7273.2933894189337</v>
      </c>
      <c r="S14" s="180">
        <f t="shared" si="19"/>
        <v>7022.8344215685702</v>
      </c>
      <c r="T14" s="180">
        <f t="shared" si="19"/>
        <v>6738.0904087123145</v>
      </c>
      <c r="U14" s="180">
        <f t="shared" si="19"/>
        <v>6436.036862132155</v>
      </c>
      <c r="V14" s="180">
        <f t="shared" si="19"/>
        <v>6064.5432280870109</v>
      </c>
      <c r="W14" s="180">
        <f t="shared" si="19"/>
        <v>5727.526496393054</v>
      </c>
      <c r="X14" s="180">
        <f t="shared" ref="X14:Y14" si="20">X22*X54</f>
        <v>5425.9849946335316</v>
      </c>
      <c r="Y14" s="180">
        <f t="shared" si="20"/>
        <v>5122.8905036628084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1263.497847130428</v>
      </c>
      <c r="C15" s="180">
        <f t="shared" ref="C15:W15" si="21">C23*C55/1000</f>
        <v>1306.2111786589826</v>
      </c>
      <c r="D15" s="180">
        <f t="shared" si="21"/>
        <v>1349.6341458013037</v>
      </c>
      <c r="E15" s="180">
        <f t="shared" si="21"/>
        <v>1401.237012009201</v>
      </c>
      <c r="F15" s="180">
        <f t="shared" si="21"/>
        <v>1448.5420739911478</v>
      </c>
      <c r="G15" s="180">
        <f t="shared" si="21"/>
        <v>1484.3698071610986</v>
      </c>
      <c r="H15" s="180">
        <f t="shared" si="21"/>
        <v>1511.8404865358712</v>
      </c>
      <c r="I15" s="180">
        <f t="shared" si="21"/>
        <v>1531.6048109404703</v>
      </c>
      <c r="J15" s="180">
        <f t="shared" si="21"/>
        <v>1552.3285635772277</v>
      </c>
      <c r="K15" s="180">
        <f t="shared" si="21"/>
        <v>1560.7905392100829</v>
      </c>
      <c r="L15" s="180">
        <f t="shared" si="21"/>
        <v>1563.3380469530211</v>
      </c>
      <c r="M15" s="180">
        <f t="shared" si="21"/>
        <v>1559.2917887947538</v>
      </c>
      <c r="N15" s="180">
        <f t="shared" si="21"/>
        <v>1559.5076690880887</v>
      </c>
      <c r="O15" s="180">
        <f t="shared" si="21"/>
        <v>1565.6292566800969</v>
      </c>
      <c r="P15" s="180">
        <f t="shared" si="21"/>
        <v>1575.9550596532197</v>
      </c>
      <c r="Q15" s="180">
        <f t="shared" si="21"/>
        <v>1568.3119536825056</v>
      </c>
      <c r="R15" s="180">
        <f t="shared" si="21"/>
        <v>1560.5481592567796</v>
      </c>
      <c r="S15" s="180">
        <f t="shared" si="21"/>
        <v>1551.6411770916375</v>
      </c>
      <c r="T15" s="180">
        <f t="shared" si="21"/>
        <v>1542.6023335342877</v>
      </c>
      <c r="U15" s="180">
        <f t="shared" si="21"/>
        <v>1534.5159538244429</v>
      </c>
      <c r="V15" s="180">
        <f t="shared" si="21"/>
        <v>1525.0669984932929</v>
      </c>
      <c r="W15" s="180">
        <f t="shared" si="21"/>
        <v>1510.637348335172</v>
      </c>
      <c r="X15" s="180">
        <f t="shared" ref="X15:Y15" si="22">X23*X55/1000</f>
        <v>1494.2524623611648</v>
      </c>
      <c r="Y15" s="180">
        <f t="shared" si="22"/>
        <v>1470.4541488055181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5505.3798817214656</v>
      </c>
      <c r="C16" s="55">
        <f t="shared" ref="C16:W16" si="23">C24*C56</f>
        <v>5911.8607558098065</v>
      </c>
      <c r="D16" s="55">
        <f t="shared" si="23"/>
        <v>6250.6816922244998</v>
      </c>
      <c r="E16" s="55">
        <f t="shared" si="23"/>
        <v>6626.4519217151037</v>
      </c>
      <c r="F16" s="55">
        <f t="shared" si="23"/>
        <v>6994.3166988235662</v>
      </c>
      <c r="G16" s="55">
        <f t="shared" si="23"/>
        <v>7329.5132669565628</v>
      </c>
      <c r="H16" s="55">
        <f t="shared" si="23"/>
        <v>7639.9178329688084</v>
      </c>
      <c r="I16" s="55">
        <f t="shared" si="23"/>
        <v>7965.4509612612019</v>
      </c>
      <c r="J16" s="55">
        <f t="shared" si="23"/>
        <v>8239.2168470758843</v>
      </c>
      <c r="K16" s="55">
        <f t="shared" si="23"/>
        <v>8429.347947151984</v>
      </c>
      <c r="L16" s="55">
        <f t="shared" si="23"/>
        <v>8657.809280538655</v>
      </c>
      <c r="M16" s="55">
        <f t="shared" si="23"/>
        <v>8828.9603336892305</v>
      </c>
      <c r="N16" s="55">
        <f t="shared" si="23"/>
        <v>8921.8381279714849</v>
      </c>
      <c r="O16" s="55">
        <f t="shared" si="23"/>
        <v>8971.2707634474609</v>
      </c>
      <c r="P16" s="55">
        <f t="shared" si="23"/>
        <v>9012.9827486840204</v>
      </c>
      <c r="Q16" s="55">
        <f t="shared" si="23"/>
        <v>8897.1831287186869</v>
      </c>
      <c r="R16" s="55">
        <f t="shared" si="23"/>
        <v>8979.2809539844147</v>
      </c>
      <c r="S16" s="55">
        <f t="shared" si="23"/>
        <v>9073.1413749202384</v>
      </c>
      <c r="T16" s="55">
        <f t="shared" si="23"/>
        <v>9161.9919025125491</v>
      </c>
      <c r="U16" s="55">
        <f t="shared" si="23"/>
        <v>9240.6909124583472</v>
      </c>
      <c r="V16" s="55">
        <f t="shared" si="23"/>
        <v>9308.4201677560195</v>
      </c>
      <c r="W16" s="55">
        <f t="shared" si="23"/>
        <v>9365.717668254174</v>
      </c>
      <c r="X16" s="55">
        <f t="shared" ref="X16:Y16" si="24">X24*X56</f>
        <v>9389.3343178005616</v>
      </c>
      <c r="Y16" s="55">
        <f t="shared" si="24"/>
        <v>9397.7417699439993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2394.1140077739078</v>
      </c>
      <c r="C17" s="63">
        <f t="shared" ref="C17:W17" si="25">C25*C57/1000</f>
        <v>2558.7947656229849</v>
      </c>
      <c r="D17" s="63">
        <f t="shared" si="25"/>
        <v>2763.3600893522535</v>
      </c>
      <c r="E17" s="63">
        <f t="shared" si="25"/>
        <v>3019.0502327810909</v>
      </c>
      <c r="F17" s="63">
        <f t="shared" si="25"/>
        <v>3382.0333499685903</v>
      </c>
      <c r="G17" s="63">
        <f t="shared" si="25"/>
        <v>3648.4365591097585</v>
      </c>
      <c r="H17" s="63">
        <f t="shared" si="25"/>
        <v>3899.6682531739216</v>
      </c>
      <c r="I17" s="63">
        <f t="shared" si="25"/>
        <v>4152.0625783397518</v>
      </c>
      <c r="J17" s="63">
        <f t="shared" si="25"/>
        <v>4326.2881008915774</v>
      </c>
      <c r="K17" s="63">
        <f t="shared" si="25"/>
        <v>4455.5234701331729</v>
      </c>
      <c r="L17" s="63">
        <f t="shared" si="25"/>
        <v>4494.3917678874041</v>
      </c>
      <c r="M17" s="63">
        <f t="shared" si="25"/>
        <v>4519.3821845440771</v>
      </c>
      <c r="N17" s="63">
        <f t="shared" si="25"/>
        <v>4608.6290578442513</v>
      </c>
      <c r="O17" s="63">
        <f t="shared" si="25"/>
        <v>4758.7986844105608</v>
      </c>
      <c r="P17" s="63">
        <f t="shared" si="25"/>
        <v>5117.722155993456</v>
      </c>
      <c r="Q17" s="63">
        <f t="shared" si="25"/>
        <v>5535.2566699483768</v>
      </c>
      <c r="R17" s="63">
        <f t="shared" si="25"/>
        <v>5620.5338022121532</v>
      </c>
      <c r="S17" s="63">
        <f t="shared" si="25"/>
        <v>5759.4655577410158</v>
      </c>
      <c r="T17" s="63">
        <f t="shared" si="25"/>
        <v>5872.9325873191865</v>
      </c>
      <c r="U17" s="63">
        <f t="shared" si="25"/>
        <v>5945.823678091926</v>
      </c>
      <c r="V17" s="63">
        <f t="shared" si="25"/>
        <v>5991.5830288677953</v>
      </c>
      <c r="W17" s="63">
        <f t="shared" si="25"/>
        <v>6049.090649999468</v>
      </c>
      <c r="X17" s="63">
        <f t="shared" ref="X17:Y17" si="26">X25*X57/1000</f>
        <v>6085.4054282486522</v>
      </c>
      <c r="Y17" s="63">
        <f t="shared" si="26"/>
        <v>6094.0531701304353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489.60988340118496</v>
      </c>
      <c r="C20" s="181">
        <v>505.64884795383324</v>
      </c>
      <c r="D20" s="181">
        <v>522.05615847565082</v>
      </c>
      <c r="E20" s="181">
        <v>537.71215007667263</v>
      </c>
      <c r="F20" s="181">
        <v>554.07800876875331</v>
      </c>
      <c r="G20" s="181">
        <v>572.62676018099023</v>
      </c>
      <c r="H20" s="181">
        <v>590.97660252443518</v>
      </c>
      <c r="I20" s="181">
        <v>612.56935986392295</v>
      </c>
      <c r="J20" s="181">
        <v>631.73629288896382</v>
      </c>
      <c r="K20" s="181">
        <v>647.50905642362989</v>
      </c>
      <c r="L20" s="181">
        <v>665.31744104546522</v>
      </c>
      <c r="M20" s="181">
        <v>685.69695350152267</v>
      </c>
      <c r="N20" s="181">
        <v>703.69532048513361</v>
      </c>
      <c r="O20" s="181">
        <v>720.30037961545202</v>
      </c>
      <c r="P20" s="181">
        <v>740.82311972973162</v>
      </c>
      <c r="Q20" s="181">
        <v>751.40782121410882</v>
      </c>
      <c r="R20" s="181">
        <v>765.54929964583039</v>
      </c>
      <c r="S20" s="181">
        <v>780.43116260996953</v>
      </c>
      <c r="T20" s="181">
        <v>796.57695829541353</v>
      </c>
      <c r="U20" s="181">
        <v>812.58991995777808</v>
      </c>
      <c r="V20" s="181">
        <v>827.93156263427227</v>
      </c>
      <c r="W20" s="181">
        <v>842.69397254198941</v>
      </c>
      <c r="X20" s="181">
        <v>853.78778155475527</v>
      </c>
      <c r="Y20" s="181">
        <v>863.02624372783703</v>
      </c>
      <c r="DA20" s="190" t="s">
        <v>922</v>
      </c>
    </row>
    <row r="21" spans="1:105" ht="12" customHeight="1" x14ac:dyDescent="0.25">
      <c r="A21" s="131" t="s">
        <v>156</v>
      </c>
      <c r="B21" s="181">
        <v>9053.0013997063379</v>
      </c>
      <c r="C21" s="181">
        <v>9277.1512426816062</v>
      </c>
      <c r="D21" s="181">
        <v>9554.9956228981355</v>
      </c>
      <c r="E21" s="181">
        <v>9871.6900947243867</v>
      </c>
      <c r="F21" s="181">
        <v>10155.125960119083</v>
      </c>
      <c r="G21" s="181">
        <v>10493.333185832762</v>
      </c>
      <c r="H21" s="181">
        <v>10847.354736417325</v>
      </c>
      <c r="I21" s="181">
        <v>11178.110564087396</v>
      </c>
      <c r="J21" s="181">
        <v>11470.455793330402</v>
      </c>
      <c r="K21" s="181">
        <v>11868.475963653458</v>
      </c>
      <c r="L21" s="181">
        <v>12297.510599986173</v>
      </c>
      <c r="M21" s="181">
        <v>12724.029633029993</v>
      </c>
      <c r="N21" s="181">
        <v>13225.030888604089</v>
      </c>
      <c r="O21" s="181">
        <v>13840.344010289078</v>
      </c>
      <c r="P21" s="181">
        <v>14658.921936261055</v>
      </c>
      <c r="Q21" s="181">
        <v>15546.603366182466</v>
      </c>
      <c r="R21" s="181">
        <v>15885.710343365883</v>
      </c>
      <c r="S21" s="181">
        <v>16210.597236173791</v>
      </c>
      <c r="T21" s="181">
        <v>16552.276072125558</v>
      </c>
      <c r="U21" s="181">
        <v>16878.976404305602</v>
      </c>
      <c r="V21" s="181">
        <v>17178.178004550049</v>
      </c>
      <c r="W21" s="181">
        <v>17434.938890583362</v>
      </c>
      <c r="X21" s="181">
        <v>17664.717073501233</v>
      </c>
      <c r="Y21" s="181">
        <v>17809.14310048932</v>
      </c>
      <c r="DA21" s="190" t="s">
        <v>923</v>
      </c>
    </row>
    <row r="22" spans="1:105" ht="12" customHeight="1" x14ac:dyDescent="0.25">
      <c r="A22" s="131" t="s">
        <v>160</v>
      </c>
      <c r="B22" s="181">
        <v>163.68212878231171</v>
      </c>
      <c r="C22" s="181">
        <v>167.06839634307801</v>
      </c>
      <c r="D22" s="181">
        <v>171.89494622314311</v>
      </c>
      <c r="E22" s="181">
        <v>176.97057792189412</v>
      </c>
      <c r="F22" s="181">
        <v>182.85850749727251</v>
      </c>
      <c r="G22" s="181">
        <v>188.46600837570003</v>
      </c>
      <c r="H22" s="181">
        <v>194.56585838518401</v>
      </c>
      <c r="I22" s="181">
        <v>201.69907722814202</v>
      </c>
      <c r="J22" s="181">
        <v>208.65672884017681</v>
      </c>
      <c r="K22" s="181">
        <v>214.99280057641587</v>
      </c>
      <c r="L22" s="181">
        <v>223.70834449766295</v>
      </c>
      <c r="M22" s="181">
        <v>232.75367560942328</v>
      </c>
      <c r="N22" s="181">
        <v>241.61474399550968</v>
      </c>
      <c r="O22" s="181">
        <v>249.81063502509824</v>
      </c>
      <c r="P22" s="181">
        <v>262.7797749614046</v>
      </c>
      <c r="Q22" s="181">
        <v>273.47361966329743</v>
      </c>
      <c r="R22" s="181">
        <v>281.78429739771082</v>
      </c>
      <c r="S22" s="181">
        <v>290.50240637542032</v>
      </c>
      <c r="T22" s="181">
        <v>299.50462252301099</v>
      </c>
      <c r="U22" s="181">
        <v>308.06267321695896</v>
      </c>
      <c r="V22" s="181">
        <v>315.57238787535249</v>
      </c>
      <c r="W22" s="181">
        <v>321.49334532242415</v>
      </c>
      <c r="X22" s="181">
        <v>325.87482219773835</v>
      </c>
      <c r="Y22" s="181">
        <v>329.47636053126757</v>
      </c>
      <c r="DA22" s="190" t="s">
        <v>924</v>
      </c>
    </row>
    <row r="23" spans="1:105" ht="12" customHeight="1" x14ac:dyDescent="0.25">
      <c r="A23" s="131" t="s">
        <v>172</v>
      </c>
      <c r="B23" s="181">
        <v>1924.7997430566402</v>
      </c>
      <c r="C23" s="181">
        <v>2014.5711767094228</v>
      </c>
      <c r="D23" s="181">
        <v>2112.4353352529224</v>
      </c>
      <c r="E23" s="181">
        <v>2229.0667327776896</v>
      </c>
      <c r="F23" s="181">
        <v>2342.0246619440331</v>
      </c>
      <c r="G23" s="181">
        <v>2438.7425716879866</v>
      </c>
      <c r="H23" s="181">
        <v>2525.3795350878499</v>
      </c>
      <c r="I23" s="181">
        <v>2603.2893767021669</v>
      </c>
      <c r="J23" s="181">
        <v>2688.4991393698897</v>
      </c>
      <c r="K23" s="181">
        <v>2759.0666730447006</v>
      </c>
      <c r="L23" s="181">
        <v>2827.0123549004848</v>
      </c>
      <c r="M23" s="181">
        <v>2876.1102077326896</v>
      </c>
      <c r="N23" s="181">
        <v>2933.1224009316684</v>
      </c>
      <c r="O23" s="181">
        <v>3010.7970265865679</v>
      </c>
      <c r="P23" s="181">
        <v>3103.7651074914415</v>
      </c>
      <c r="Q23" s="181">
        <v>3153.5695943032174</v>
      </c>
      <c r="R23" s="181">
        <v>3201.5509395690215</v>
      </c>
      <c r="S23" s="181">
        <v>3246.5772036887929</v>
      </c>
      <c r="T23" s="181">
        <v>3294.5769053740814</v>
      </c>
      <c r="U23" s="181">
        <v>3338.975695254343</v>
      </c>
      <c r="V23" s="181">
        <v>3376.9235130321645</v>
      </c>
      <c r="W23" s="181">
        <v>3404.7997091236566</v>
      </c>
      <c r="X23" s="181">
        <v>3433.7346869612284</v>
      </c>
      <c r="Y23" s="181">
        <v>3450.6055007166119</v>
      </c>
      <c r="DA23" s="190" t="s">
        <v>925</v>
      </c>
    </row>
    <row r="24" spans="1:105" ht="12" customHeight="1" x14ac:dyDescent="0.25">
      <c r="A24" s="60" t="s">
        <v>159</v>
      </c>
      <c r="B24" s="36">
        <v>119.19825388927934</v>
      </c>
      <c r="C24" s="36">
        <v>128.73973887535288</v>
      </c>
      <c r="D24" s="36">
        <v>136.83598245086196</v>
      </c>
      <c r="E24" s="36">
        <v>145.91480365611929</v>
      </c>
      <c r="F24" s="36">
        <v>154.95191757367883</v>
      </c>
      <c r="G24" s="36">
        <v>163.37262188338806</v>
      </c>
      <c r="H24" s="36">
        <v>171.36914557002561</v>
      </c>
      <c r="I24" s="36">
        <v>179.95027769155251</v>
      </c>
      <c r="J24" s="36">
        <v>187.4938738654364</v>
      </c>
      <c r="K24" s="36">
        <v>193.263753740684</v>
      </c>
      <c r="L24" s="36">
        <v>200.31894727032028</v>
      </c>
      <c r="M24" s="36">
        <v>206.44672481772608</v>
      </c>
      <c r="N24" s="36">
        <v>211.158867164588</v>
      </c>
      <c r="O24" s="36">
        <v>215.42809140949385</v>
      </c>
      <c r="P24" s="36">
        <v>220.31331667333444</v>
      </c>
      <c r="Q24" s="36">
        <v>221.74348424268584</v>
      </c>
      <c r="R24" s="36">
        <v>227.38675667290175</v>
      </c>
      <c r="S24" s="36">
        <v>233.27792528807117</v>
      </c>
      <c r="T24" s="36">
        <v>239.56681510762834</v>
      </c>
      <c r="U24" s="36">
        <v>245.83047975683576</v>
      </c>
      <c r="V24" s="36">
        <v>251.89161837914372</v>
      </c>
      <c r="W24" s="36">
        <v>257.73725152015976</v>
      </c>
      <c r="X24" s="36">
        <v>262.90724192784052</v>
      </c>
      <c r="Y24" s="36">
        <v>267.54097532218822</v>
      </c>
      <c r="DA24" s="89" t="s">
        <v>926</v>
      </c>
    </row>
    <row r="25" spans="1:105" ht="12" customHeight="1" x14ac:dyDescent="0.25">
      <c r="A25" s="62" t="s">
        <v>157</v>
      </c>
      <c r="B25" s="38">
        <v>6364.2220297792928</v>
      </c>
      <c r="C25" s="38">
        <v>6981.5207187839069</v>
      </c>
      <c r="D25" s="38">
        <v>7817.5322306175149</v>
      </c>
      <c r="E25" s="38">
        <v>8908.950479537838</v>
      </c>
      <c r="F25" s="38">
        <v>10490.190993929575</v>
      </c>
      <c r="G25" s="38">
        <v>11867.011871411496</v>
      </c>
      <c r="H25" s="38">
        <v>13358.724254385634</v>
      </c>
      <c r="I25" s="38">
        <v>15036.012822218092</v>
      </c>
      <c r="J25" s="38">
        <v>16637.16488115524</v>
      </c>
      <c r="K25" s="38">
        <v>18406.473885259817</v>
      </c>
      <c r="L25" s="38">
        <v>19919.35688054705</v>
      </c>
      <c r="M25" s="38">
        <v>21812.04123646544</v>
      </c>
      <c r="N25" s="38">
        <v>24247.562922135075</v>
      </c>
      <c r="O25" s="38">
        <v>26995.085303934833</v>
      </c>
      <c r="P25" s="38">
        <v>31091.219136329455</v>
      </c>
      <c r="Q25" s="38">
        <v>34859.703421333761</v>
      </c>
      <c r="R25" s="38">
        <v>36303.141255483533</v>
      </c>
      <c r="S25" s="38">
        <v>38076.964030339062</v>
      </c>
      <c r="T25" s="38">
        <v>39640.162620504503</v>
      </c>
      <c r="U25" s="38">
        <v>41090.628225917506</v>
      </c>
      <c r="V25" s="38">
        <v>42450.085061749269</v>
      </c>
      <c r="W25" s="38">
        <v>43790.690361191439</v>
      </c>
      <c r="X25" s="38">
        <v>45068.644415434625</v>
      </c>
      <c r="Y25" s="38">
        <v>46090.82126560749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37.274974199442966</v>
      </c>
      <c r="D28" s="182">
        <v>38.243993321987546</v>
      </c>
      <c r="E28" s="182">
        <v>38.110337951689132</v>
      </c>
      <c r="F28" s="182">
        <v>39.455339573847255</v>
      </c>
      <c r="G28" s="182">
        <v>42.291331982774068</v>
      </c>
      <c r="H28" s="182">
        <v>42.763995915585269</v>
      </c>
      <c r="I28" s="182">
        <v>46.697479754696019</v>
      </c>
      <c r="J28" s="182">
        <v>44.981757433446774</v>
      </c>
      <c r="K28" s="182">
        <v>42.317775593159467</v>
      </c>
      <c r="L28" s="182">
        <v>45.104238122047832</v>
      </c>
      <c r="M28" s="182">
        <v>48.447445394391593</v>
      </c>
      <c r="N28" s="182">
        <v>46.860218085819156</v>
      </c>
      <c r="O28" s="182">
        <v>46.28328484348981</v>
      </c>
      <c r="P28" s="182">
        <v>51.040432079454945</v>
      </c>
      <c r="Q28" s="182">
        <v>41.965604503387453</v>
      </c>
      <c r="R28" s="182">
        <v>46.410008942228956</v>
      </c>
      <c r="S28" s="182">
        <v>48.063128037255865</v>
      </c>
      <c r="T28" s="182">
        <v>50.265612560709542</v>
      </c>
      <c r="U28" s="182">
        <v>53.287935861807568</v>
      </c>
      <c r="V28" s="182">
        <v>53.585635998481735</v>
      </c>
      <c r="W28" s="182">
        <v>52.872747859406331</v>
      </c>
      <c r="X28" s="182">
        <v>50.549148586613114</v>
      </c>
      <c r="Y28" s="182">
        <v>51.529794155855825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1359.7984393495899</v>
      </c>
      <c r="D29" s="182">
        <v>1462.3768358594998</v>
      </c>
      <c r="E29" s="182">
        <v>1552.2149866678719</v>
      </c>
      <c r="F29" s="182">
        <v>1572.1392144016299</v>
      </c>
      <c r="G29" s="182">
        <v>1682.3826576809715</v>
      </c>
      <c r="H29" s="182">
        <v>1756.0568547503899</v>
      </c>
      <c r="I29" s="182">
        <v>1793.1415753774418</v>
      </c>
      <c r="J29" s="182">
        <v>1652.1436685925964</v>
      </c>
      <c r="K29" s="182">
        <v>1860.3970061825567</v>
      </c>
      <c r="L29" s="182">
        <v>1981.2496230005872</v>
      </c>
      <c r="M29" s="182">
        <v>1998.6582474454499</v>
      </c>
      <c r="N29" s="182">
        <v>2183.3839132550675</v>
      </c>
      <c r="O29" s="182">
        <v>2371.3699764353787</v>
      </c>
      <c r="P29" s="182">
        <v>2611.7195013494184</v>
      </c>
      <c r="Q29" s="182">
        <v>2539.8250985140075</v>
      </c>
      <c r="R29" s="182">
        <v>2199.5039833659739</v>
      </c>
      <c r="S29" s="182">
        <v>2306.1365158084955</v>
      </c>
      <c r="T29" s="182">
        <v>2340.3370833972167</v>
      </c>
      <c r="U29" s="182">
        <v>2510.0842454351114</v>
      </c>
      <c r="V29" s="182">
        <v>2670.5715766798257</v>
      </c>
      <c r="W29" s="182">
        <v>2868.4803873827314</v>
      </c>
      <c r="X29" s="182">
        <v>2769.6032814318787</v>
      </c>
      <c r="Y29" s="182">
        <v>2343.9300103540609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28.94786680081171</v>
      </c>
      <c r="D30" s="182">
        <v>31.05219734502802</v>
      </c>
      <c r="E30" s="182">
        <v>31.982578267219878</v>
      </c>
      <c r="F30" s="182">
        <v>33.493874275339351</v>
      </c>
      <c r="G30" s="182">
        <v>33.930602529447384</v>
      </c>
      <c r="H30" s="182">
        <v>35.158739167337643</v>
      </c>
      <c r="I30" s="182">
        <v>36.081085643769711</v>
      </c>
      <c r="J30" s="182">
        <v>38.009848957062815</v>
      </c>
      <c r="K30" s="182">
        <v>38.318650003458941</v>
      </c>
      <c r="L30" s="182">
        <v>42.209418196586427</v>
      </c>
      <c r="M30" s="182">
        <v>42.975933641207718</v>
      </c>
      <c r="N30" s="182">
        <v>44.019807553424044</v>
      </c>
      <c r="O30" s="182">
        <v>44.276976673358263</v>
      </c>
      <c r="P30" s="182">
        <v>50.978988893369177</v>
      </c>
      <c r="Q30" s="182">
        <v>49.01249470535177</v>
      </c>
      <c r="R30" s="182">
        <v>50.520095930999815</v>
      </c>
      <c r="S30" s="182">
        <v>51.694042618917223</v>
      </c>
      <c r="T30" s="182">
        <v>53.022023701014717</v>
      </c>
      <c r="U30" s="182">
        <v>52.835027367306225</v>
      </c>
      <c r="V30" s="182">
        <v>58.48870355176274</v>
      </c>
      <c r="W30" s="182">
        <v>54.933452152423456</v>
      </c>
      <c r="X30" s="182">
        <v>54.901572806313993</v>
      </c>
      <c r="Y30" s="182">
        <v>55.295580952446471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264.70320576343602</v>
      </c>
      <c r="D31" s="182">
        <v>276.48072589816252</v>
      </c>
      <c r="E31" s="182">
        <v>299.01037733286034</v>
      </c>
      <c r="F31" s="182">
        <v>299.17857358056131</v>
      </c>
      <c r="G31" s="182">
        <v>286.86114029901137</v>
      </c>
      <c r="H31" s="182">
        <v>280.78540617667068</v>
      </c>
      <c r="I31" s="182">
        <v>276.14786314485309</v>
      </c>
      <c r="J31" s="182">
        <v>287.62350659622007</v>
      </c>
      <c r="K31" s="182">
        <v>277.24495819117828</v>
      </c>
      <c r="L31" s="182">
        <v>278.97659791753131</v>
      </c>
      <c r="M31" s="182">
        <v>313.80105859564082</v>
      </c>
      <c r="N31" s="182">
        <v>333.49291909714157</v>
      </c>
      <c r="O31" s="182">
        <v>376.68500298775962</v>
      </c>
      <c r="P31" s="182">
        <v>392.14665448543519</v>
      </c>
      <c r="Q31" s="182">
        <v>336.66562711078723</v>
      </c>
      <c r="R31" s="182">
        <v>328.76675144247474</v>
      </c>
      <c r="S31" s="182">
        <v>321.17412726462453</v>
      </c>
      <c r="T31" s="182">
        <v>335.6232082815086</v>
      </c>
      <c r="U31" s="182">
        <v>321.64374807143986</v>
      </c>
      <c r="V31" s="182">
        <v>316.92441569535276</v>
      </c>
      <c r="W31" s="182">
        <v>341.67725468713297</v>
      </c>
      <c r="X31" s="182">
        <v>362.42789693471332</v>
      </c>
      <c r="Y31" s="182">
        <v>393.55581674314317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12.936543834319295</v>
      </c>
      <c r="D32" s="41">
        <v>11.873353407382368</v>
      </c>
      <c r="E32" s="41">
        <v>13.280974781889881</v>
      </c>
      <c r="F32" s="41">
        <v>13.712142038954681</v>
      </c>
      <c r="G32" s="41">
        <v>13.621820246397562</v>
      </c>
      <c r="H32" s="41">
        <v>13.782928877030372</v>
      </c>
      <c r="I32" s="41">
        <v>15.018690029287001</v>
      </c>
      <c r="J32" s="41">
        <v>14.705581975460831</v>
      </c>
      <c r="K32" s="41">
        <v>13.737814510858072</v>
      </c>
      <c r="L32" s="41">
        <v>15.919771611232335</v>
      </c>
      <c r="M32" s="41">
        <v>15.989899685496425</v>
      </c>
      <c r="N32" s="41">
        <v>15.684063646595718</v>
      </c>
      <c r="O32" s="41">
        <v>16.475832044113162</v>
      </c>
      <c r="P32" s="41">
        <v>18.465460656823609</v>
      </c>
      <c r="Q32" s="41">
        <v>16.538606896844556</v>
      </c>
      <c r="R32" s="41">
        <v>18.579816264535225</v>
      </c>
      <c r="S32" s="41">
        <v>17.764522022551773</v>
      </c>
      <c r="T32" s="41">
        <v>19.569864601447051</v>
      </c>
      <c r="U32" s="41">
        <v>19.975806688162095</v>
      </c>
      <c r="V32" s="41">
        <v>19.682958868705526</v>
      </c>
      <c r="W32" s="41">
        <v>19.628562018046409</v>
      </c>
      <c r="X32" s="41">
        <v>20.188680436967758</v>
      </c>
      <c r="Y32" s="41">
        <v>19.339315369808531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1890.1430949604728</v>
      </c>
      <c r="D33" s="42">
        <v>2108.8559177894667</v>
      </c>
      <c r="E33" s="42">
        <v>2364.2626548761818</v>
      </c>
      <c r="F33" s="42">
        <v>2854.0849203475955</v>
      </c>
      <c r="G33" s="42">
        <v>2649.6652834377801</v>
      </c>
      <c r="H33" s="42">
        <v>3381.8554779346105</v>
      </c>
      <c r="I33" s="42">
        <v>3786.1444856219259</v>
      </c>
      <c r="J33" s="42">
        <v>3965.4147138133303</v>
      </c>
      <c r="K33" s="42">
        <v>4623.3939244521716</v>
      </c>
      <c r="L33" s="42">
        <v>4162.548278725013</v>
      </c>
      <c r="M33" s="42">
        <v>5274.5398338529994</v>
      </c>
      <c r="N33" s="42">
        <v>6221.6661712915593</v>
      </c>
      <c r="O33" s="42">
        <v>6712.9370956130879</v>
      </c>
      <c r="P33" s="42">
        <v>8719.5277568467936</v>
      </c>
      <c r="Q33" s="42">
        <v>7931.0325637293208</v>
      </c>
      <c r="R33" s="42">
        <v>6717.9776680027717</v>
      </c>
      <c r="S33" s="42">
        <v>7995.4889461470884</v>
      </c>
      <c r="T33" s="42">
        <v>8276.1356857785286</v>
      </c>
      <c r="U33" s="42">
        <v>10169.993362259796</v>
      </c>
      <c r="V33" s="42">
        <v>9290.4893995610837</v>
      </c>
      <c r="W33" s="42">
        <v>8058.5829674449415</v>
      </c>
      <c r="X33" s="42">
        <v>9273.4430003902744</v>
      </c>
      <c r="Y33" s="42">
        <v>9298.3125359513942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21.236009646794685</v>
      </c>
      <c r="D36" s="182">
        <v>21.83668280016991</v>
      </c>
      <c r="E36" s="182">
        <v>22.454346350667379</v>
      </c>
      <c r="F36" s="182">
        <v>23.089480881766576</v>
      </c>
      <c r="G36" s="182">
        <v>23.742580570537143</v>
      </c>
      <c r="H36" s="182">
        <v>24.414153572140322</v>
      </c>
      <c r="I36" s="182">
        <v>25.104722415208244</v>
      </c>
      <c r="J36" s="182">
        <v>25.814824408405912</v>
      </c>
      <c r="K36" s="182">
        <v>26.545012058493398</v>
      </c>
      <c r="L36" s="182">
        <v>27.295853500212502</v>
      </c>
      <c r="M36" s="182">
        <v>28.067932938334138</v>
      </c>
      <c r="N36" s="182">
        <v>28.86185110220822</v>
      </c>
      <c r="O36" s="182">
        <v>29.6782257131714</v>
      </c>
      <c r="P36" s="182">
        <v>30.517691965175345</v>
      </c>
      <c r="Q36" s="182">
        <v>31.380903019010248</v>
      </c>
      <c r="R36" s="182">
        <v>32.268530510507389</v>
      </c>
      <c r="S36" s="182">
        <v>33.18126507311672</v>
      </c>
      <c r="T36" s="182">
        <v>34.119816875265542</v>
      </c>
      <c r="U36" s="182">
        <v>37.274974199443022</v>
      </c>
      <c r="V36" s="182">
        <v>38.243993321987546</v>
      </c>
      <c r="W36" s="182">
        <v>38.110337951689189</v>
      </c>
      <c r="X36" s="182">
        <v>39.455339573847255</v>
      </c>
      <c r="Y36" s="182">
        <v>42.291331982774068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1135.6485963743216</v>
      </c>
      <c r="D37" s="182">
        <v>1184.5324556429696</v>
      </c>
      <c r="E37" s="182">
        <v>1235.5205148416208</v>
      </c>
      <c r="F37" s="182">
        <v>1288.7033490069334</v>
      </c>
      <c r="G37" s="182">
        <v>1344.1754319672928</v>
      </c>
      <c r="H37" s="182">
        <v>1402.0353041658273</v>
      </c>
      <c r="I37" s="182">
        <v>1462.3857477073707</v>
      </c>
      <c r="J37" s="182">
        <v>1359.7984393495899</v>
      </c>
      <c r="K37" s="182">
        <v>1462.3768358595007</v>
      </c>
      <c r="L37" s="182">
        <v>1552.2149866678719</v>
      </c>
      <c r="M37" s="182">
        <v>1572.1392144016299</v>
      </c>
      <c r="N37" s="182">
        <v>1682.3826576809715</v>
      </c>
      <c r="O37" s="182">
        <v>1756.0568547503899</v>
      </c>
      <c r="P37" s="182">
        <v>1793.1415753774399</v>
      </c>
      <c r="Q37" s="182">
        <v>1652.1436685925983</v>
      </c>
      <c r="R37" s="182">
        <v>1860.3970061825548</v>
      </c>
      <c r="S37" s="182">
        <v>1981.2496230005891</v>
      </c>
      <c r="T37" s="182">
        <v>1998.6582474454517</v>
      </c>
      <c r="U37" s="182">
        <v>2183.3839132550675</v>
      </c>
      <c r="V37" s="182">
        <v>2371.3699764353805</v>
      </c>
      <c r="W37" s="182">
        <v>2611.7195013494202</v>
      </c>
      <c r="X37" s="182">
        <v>2539.8250985140075</v>
      </c>
      <c r="Y37" s="182">
        <v>2199.5039833659721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25.56159924004541</v>
      </c>
      <c r="D38" s="182">
        <v>26.225647464962918</v>
      </c>
      <c r="E38" s="182">
        <v>26.906946568468868</v>
      </c>
      <c r="F38" s="182">
        <v>27.605944699960958</v>
      </c>
      <c r="G38" s="182">
        <v>28.323101651019869</v>
      </c>
      <c r="H38" s="182">
        <v>29.058889157853656</v>
      </c>
      <c r="I38" s="182">
        <v>28.94786680081171</v>
      </c>
      <c r="J38" s="182">
        <v>31.05219734502802</v>
      </c>
      <c r="K38" s="182">
        <v>31.982578267219878</v>
      </c>
      <c r="L38" s="182">
        <v>33.493874275339351</v>
      </c>
      <c r="M38" s="182">
        <v>33.930602529447413</v>
      </c>
      <c r="N38" s="182">
        <v>35.158739167337671</v>
      </c>
      <c r="O38" s="182">
        <v>36.081085643769711</v>
      </c>
      <c r="P38" s="182">
        <v>38.009848957062843</v>
      </c>
      <c r="Q38" s="182">
        <v>38.31865000345897</v>
      </c>
      <c r="R38" s="182">
        <v>42.209418196586398</v>
      </c>
      <c r="S38" s="182">
        <v>42.975933641207746</v>
      </c>
      <c r="T38" s="182">
        <v>44.019807553424016</v>
      </c>
      <c r="U38" s="182">
        <v>44.276976673358263</v>
      </c>
      <c r="V38" s="182">
        <v>50.978988893369205</v>
      </c>
      <c r="W38" s="182">
        <v>49.012494705351799</v>
      </c>
      <c r="X38" s="182">
        <v>50.520095930999787</v>
      </c>
      <c r="Y38" s="182">
        <v>51.694042618917251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174.93177211065336</v>
      </c>
      <c r="D39" s="182">
        <v>178.61656735466295</v>
      </c>
      <c r="E39" s="182">
        <v>182.37897980809294</v>
      </c>
      <c r="F39" s="182">
        <v>186.22064441421753</v>
      </c>
      <c r="G39" s="182">
        <v>190.14323055505793</v>
      </c>
      <c r="H39" s="182">
        <v>194.14844277680731</v>
      </c>
      <c r="I39" s="182">
        <v>198.23802153053612</v>
      </c>
      <c r="J39" s="182">
        <v>202.4137439284973</v>
      </c>
      <c r="K39" s="182">
        <v>206.67742451636741</v>
      </c>
      <c r="L39" s="182">
        <v>211.03091606174712</v>
      </c>
      <c r="M39" s="182">
        <v>264.70320576343602</v>
      </c>
      <c r="N39" s="182">
        <v>276.48072589816275</v>
      </c>
      <c r="O39" s="182">
        <v>299.01037733286012</v>
      </c>
      <c r="P39" s="182">
        <v>299.17857358056153</v>
      </c>
      <c r="Q39" s="182">
        <v>286.86114029901137</v>
      </c>
      <c r="R39" s="182">
        <v>280.78540617667068</v>
      </c>
      <c r="S39" s="182">
        <v>276.14786314485309</v>
      </c>
      <c r="T39" s="182">
        <v>287.62350659622007</v>
      </c>
      <c r="U39" s="182">
        <v>277.24495819117828</v>
      </c>
      <c r="V39" s="182">
        <v>278.97659791753131</v>
      </c>
      <c r="W39" s="182">
        <v>313.80105859564082</v>
      </c>
      <c r="X39" s="182">
        <v>333.49291909714157</v>
      </c>
      <c r="Y39" s="182">
        <v>376.68500298775962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3.3950588482457533</v>
      </c>
      <c r="D40" s="41">
        <v>3.7771098318732754</v>
      </c>
      <c r="E40" s="41">
        <v>4.2021535766325542</v>
      </c>
      <c r="F40" s="41">
        <v>4.6750281213951439</v>
      </c>
      <c r="G40" s="41">
        <v>5.2011159366883248</v>
      </c>
      <c r="H40" s="41">
        <v>5.7864051903928271</v>
      </c>
      <c r="I40" s="41">
        <v>6.4375579077600946</v>
      </c>
      <c r="J40" s="41">
        <v>7.1619858015769466</v>
      </c>
      <c r="K40" s="41">
        <v>7.9679346356104759</v>
      </c>
      <c r="L40" s="41">
        <v>8.8645780815960507</v>
      </c>
      <c r="M40" s="41">
        <v>9.8621221380906263</v>
      </c>
      <c r="N40" s="41">
        <v>10.971921299733793</v>
      </c>
      <c r="O40" s="41">
        <v>12.206607799207319</v>
      </c>
      <c r="P40" s="41">
        <v>13.580235392983013</v>
      </c>
      <c r="Q40" s="41">
        <v>15.108439327493159</v>
      </c>
      <c r="R40" s="41">
        <v>12.936543834319309</v>
      </c>
      <c r="S40" s="41">
        <v>11.873353407382353</v>
      </c>
      <c r="T40" s="41">
        <v>13.280974781889881</v>
      </c>
      <c r="U40" s="41">
        <v>13.712142038954653</v>
      </c>
      <c r="V40" s="41">
        <v>13.62182024639759</v>
      </c>
      <c r="W40" s="41">
        <v>13.782928877030372</v>
      </c>
      <c r="X40" s="41">
        <v>15.018690029287029</v>
      </c>
      <c r="Y40" s="41">
        <v>14.705581975460802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1272.8444059558578</v>
      </c>
      <c r="D41" s="42">
        <v>1272.8444059558587</v>
      </c>
      <c r="E41" s="42">
        <v>1272.8444059558587</v>
      </c>
      <c r="F41" s="42">
        <v>1272.8444059558587</v>
      </c>
      <c r="G41" s="42">
        <v>1272.8444059558587</v>
      </c>
      <c r="H41" s="42">
        <v>1890.1430949604728</v>
      </c>
      <c r="I41" s="42">
        <v>2108.8559177894658</v>
      </c>
      <c r="J41" s="42">
        <v>2364.26265487618</v>
      </c>
      <c r="K41" s="42">
        <v>2854.0849203475955</v>
      </c>
      <c r="L41" s="42">
        <v>2649.6652834377819</v>
      </c>
      <c r="M41" s="42">
        <v>3381.8554779346086</v>
      </c>
      <c r="N41" s="42">
        <v>3786.1444856219241</v>
      </c>
      <c r="O41" s="42">
        <v>3965.4147138133303</v>
      </c>
      <c r="P41" s="42">
        <v>4623.3939244521753</v>
      </c>
      <c r="Q41" s="42">
        <v>4162.5482787250148</v>
      </c>
      <c r="R41" s="42">
        <v>5274.5398338529994</v>
      </c>
      <c r="S41" s="42">
        <v>6221.6661712915593</v>
      </c>
      <c r="T41" s="42">
        <v>6712.9370956130879</v>
      </c>
      <c r="U41" s="42">
        <v>8719.5277568467936</v>
      </c>
      <c r="V41" s="42">
        <v>7931.0325637293208</v>
      </c>
      <c r="W41" s="42">
        <v>6717.9776680027717</v>
      </c>
      <c r="X41" s="42">
        <v>7995.4889461470884</v>
      </c>
      <c r="Y41" s="42">
        <v>8276.1356857785286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8760.0000000000018</v>
      </c>
      <c r="C44" s="184">
        <v>8760</v>
      </c>
      <c r="D44" s="184">
        <v>8760.0000000000018</v>
      </c>
      <c r="E44" s="184">
        <v>8759.9999999999982</v>
      </c>
      <c r="F44" s="184">
        <v>8760</v>
      </c>
      <c r="G44" s="184">
        <v>8759.9999999999982</v>
      </c>
      <c r="H44" s="184">
        <v>8759.9999999999982</v>
      </c>
      <c r="I44" s="184">
        <v>8760</v>
      </c>
      <c r="J44" s="184">
        <v>8759.9999999999982</v>
      </c>
      <c r="K44" s="184">
        <v>8760</v>
      </c>
      <c r="L44" s="184">
        <v>8760.0000000000036</v>
      </c>
      <c r="M44" s="184">
        <v>8760</v>
      </c>
      <c r="N44" s="184">
        <v>8759.9999999999982</v>
      </c>
      <c r="O44" s="184">
        <v>8759.9999999999982</v>
      </c>
      <c r="P44" s="184">
        <v>8759.9999999999982</v>
      </c>
      <c r="Q44" s="184">
        <v>8759.9999999999964</v>
      </c>
      <c r="R44" s="184">
        <v>8759.9999999999945</v>
      </c>
      <c r="S44" s="184">
        <v>8759.9999999999982</v>
      </c>
      <c r="T44" s="184">
        <v>8759.9999999999982</v>
      </c>
      <c r="U44" s="184">
        <v>8760</v>
      </c>
      <c r="V44" s="184">
        <v>8759.9999999999982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4032.3894941627386</v>
      </c>
      <c r="C45" s="184">
        <v>4018.1225044423832</v>
      </c>
      <c r="D45" s="184">
        <v>4002.2238323381926</v>
      </c>
      <c r="E45" s="184">
        <v>3986.6430310609735</v>
      </c>
      <c r="F45" s="184">
        <v>3980.0842608429984</v>
      </c>
      <c r="G45" s="184">
        <v>3969.6567609611916</v>
      </c>
      <c r="H45" s="184">
        <v>3963.292469360711</v>
      </c>
      <c r="I45" s="184">
        <v>3947.9387482614134</v>
      </c>
      <c r="J45" s="184">
        <v>3935.1736162915936</v>
      </c>
      <c r="K45" s="184">
        <v>3925.6957764781382</v>
      </c>
      <c r="L45" s="184">
        <v>3916.4000793669306</v>
      </c>
      <c r="M45" s="184">
        <v>3901.6142751580528</v>
      </c>
      <c r="N45" s="184">
        <v>3880.4294248855313</v>
      </c>
      <c r="O45" s="184">
        <v>3856.3566383132279</v>
      </c>
      <c r="P45" s="184">
        <v>3824.7634339167671</v>
      </c>
      <c r="Q45" s="184">
        <v>3794.4013719306836</v>
      </c>
      <c r="R45" s="184">
        <v>3803.440697773131</v>
      </c>
      <c r="S45" s="184">
        <v>3844.4955576847619</v>
      </c>
      <c r="T45" s="184">
        <v>3825.3462899219048</v>
      </c>
      <c r="U45" s="184">
        <v>3817.3690720387899</v>
      </c>
      <c r="V45" s="184">
        <v>3810.6357898255869</v>
      </c>
      <c r="W45" s="184">
        <v>3816.3586183498796</v>
      </c>
      <c r="X45" s="184">
        <v>3794.7227565148914</v>
      </c>
      <c r="Y45" s="184">
        <v>3773.0868946799037</v>
      </c>
      <c r="DA45" s="193" t="s">
        <v>941</v>
      </c>
    </row>
    <row r="46" spans="1:105" ht="12" customHeight="1" x14ac:dyDescent="0.25">
      <c r="A46" s="131" t="s">
        <v>5</v>
      </c>
      <c r="B46" s="184">
        <v>2485.1329740508104</v>
      </c>
      <c r="C46" s="184">
        <v>2501.8320985839127</v>
      </c>
      <c r="D46" s="184">
        <v>2515.4816989757946</v>
      </c>
      <c r="E46" s="184">
        <v>2527.3583832815834</v>
      </c>
      <c r="F46" s="184">
        <v>2544.2048073568476</v>
      </c>
      <c r="G46" s="184">
        <v>2556.598000579886</v>
      </c>
      <c r="H46" s="184">
        <v>2570.9347579982186</v>
      </c>
      <c r="I46" s="184">
        <v>2585.0669393117655</v>
      </c>
      <c r="J46" s="184">
        <v>2593.6180602149384</v>
      </c>
      <c r="K46" s="184">
        <v>2598.5291593299003</v>
      </c>
      <c r="L46" s="184">
        <v>2604.731849396454</v>
      </c>
      <c r="M46" s="184">
        <v>2610.9761171544515</v>
      </c>
      <c r="N46" s="184">
        <v>2617.6108808105037</v>
      </c>
      <c r="O46" s="184">
        <v>2624.5378797568665</v>
      </c>
      <c r="P46" s="184">
        <v>2632.8039944567931</v>
      </c>
      <c r="Q46" s="184">
        <v>2641.4683332495247</v>
      </c>
      <c r="R46" s="184">
        <v>2652.4125437584225</v>
      </c>
      <c r="S46" s="184">
        <v>2691.5964401666752</v>
      </c>
      <c r="T46" s="184">
        <v>2671.1870373565148</v>
      </c>
      <c r="U46" s="184">
        <v>2666.479365376224</v>
      </c>
      <c r="V46" s="184">
        <v>2470.4812943222528</v>
      </c>
      <c r="W46" s="184">
        <v>2581.3892572288514</v>
      </c>
      <c r="X46" s="184">
        <v>2605.0457131036128</v>
      </c>
      <c r="Y46" s="184">
        <v>2616.8739410409935</v>
      </c>
      <c r="DA46" s="193" t="s">
        <v>942</v>
      </c>
    </row>
    <row r="47" spans="1:105" ht="12" customHeight="1" x14ac:dyDescent="0.25">
      <c r="A47" s="131" t="s">
        <v>171</v>
      </c>
      <c r="B47" s="184">
        <v>8760.0000000000018</v>
      </c>
      <c r="C47" s="184">
        <v>8759.9999999999982</v>
      </c>
      <c r="D47" s="184">
        <v>8759.9999999999982</v>
      </c>
      <c r="E47" s="184">
        <v>8759.9999999999982</v>
      </c>
      <c r="F47" s="184">
        <v>8760</v>
      </c>
      <c r="G47" s="184">
        <v>8760</v>
      </c>
      <c r="H47" s="184">
        <v>8759.9999999999982</v>
      </c>
      <c r="I47" s="184">
        <v>8760.0000000000036</v>
      </c>
      <c r="J47" s="184">
        <v>8759.9999999999982</v>
      </c>
      <c r="K47" s="184">
        <v>8760</v>
      </c>
      <c r="L47" s="184">
        <v>8760.0000000000018</v>
      </c>
      <c r="M47" s="184">
        <v>8760.0000000000018</v>
      </c>
      <c r="N47" s="184">
        <v>8760</v>
      </c>
      <c r="O47" s="184">
        <v>8760.0000000000018</v>
      </c>
      <c r="P47" s="184">
        <v>8759.9999999999982</v>
      </c>
      <c r="Q47" s="184">
        <v>8760</v>
      </c>
      <c r="R47" s="184">
        <v>8760.0000000000018</v>
      </c>
      <c r="S47" s="184">
        <v>8760</v>
      </c>
      <c r="T47" s="184">
        <v>8760</v>
      </c>
      <c r="U47" s="184">
        <v>8760.0000000000018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844.75219096474325</v>
      </c>
      <c r="C48" s="44">
        <v>848.78747257389057</v>
      </c>
      <c r="D48" s="44">
        <v>852.48822526443928</v>
      </c>
      <c r="E48" s="44">
        <v>855.90683486114017</v>
      </c>
      <c r="F48" s="44">
        <v>859.08419391082089</v>
      </c>
      <c r="G48" s="44">
        <v>862.05284563141242</v>
      </c>
      <c r="H48" s="44">
        <v>864.83911955354677</v>
      </c>
      <c r="I48" s="44">
        <v>867.46462402635007</v>
      </c>
      <c r="J48" s="44">
        <v>869.94731510220436</v>
      </c>
      <c r="K48" s="44">
        <v>872.30227852516771</v>
      </c>
      <c r="L48" s="44">
        <v>874.54231264395139</v>
      </c>
      <c r="M48" s="44">
        <v>875.96577194398265</v>
      </c>
      <c r="N48" s="44">
        <v>877.32515702872706</v>
      </c>
      <c r="O48" s="44">
        <v>878.62607557867636</v>
      </c>
      <c r="P48" s="44">
        <v>879.87342638212795</v>
      </c>
      <c r="Q48" s="44">
        <v>881.0715142758969</v>
      </c>
      <c r="R48" s="44">
        <v>885.82425669286761</v>
      </c>
      <c r="S48" s="44">
        <v>897.17993068031319</v>
      </c>
      <c r="T48" s="44">
        <v>894.4335414366584</v>
      </c>
      <c r="U48" s="44">
        <v>892.64240258242705</v>
      </c>
      <c r="V48" s="44">
        <v>827.02922315230876</v>
      </c>
      <c r="W48" s="44">
        <v>864.15726237885667</v>
      </c>
      <c r="X48" s="44">
        <v>872.08750466329457</v>
      </c>
      <c r="Y48" s="44">
        <v>876.05262580551357</v>
      </c>
      <c r="DA48" s="95" t="s">
        <v>944</v>
      </c>
    </row>
    <row r="49" spans="1:105" ht="12" customHeight="1" x14ac:dyDescent="0.25">
      <c r="A49" s="62" t="s">
        <v>3</v>
      </c>
      <c r="B49" s="185">
        <v>2381.3638097008657</v>
      </c>
      <c r="C49" s="185">
        <v>2487.4852480032177</v>
      </c>
      <c r="D49" s="185">
        <v>2581.8467226016678</v>
      </c>
      <c r="E49" s="185">
        <v>2646.0344004583321</v>
      </c>
      <c r="F49" s="185">
        <v>2670.2537708217333</v>
      </c>
      <c r="G49" s="185">
        <v>2708.8653310545865</v>
      </c>
      <c r="H49" s="185">
        <v>2738.2266534186238</v>
      </c>
      <c r="I49" s="185">
        <v>2754.777490916063</v>
      </c>
      <c r="J49" s="185">
        <v>2783.2063748225528</v>
      </c>
      <c r="K49" s="185">
        <v>2813.7897930909717</v>
      </c>
      <c r="L49" s="185">
        <v>2869.9609172110104</v>
      </c>
      <c r="M49" s="185">
        <v>2944.8706862574822</v>
      </c>
      <c r="N49" s="185">
        <v>2990.9685304564373</v>
      </c>
      <c r="O49" s="185">
        <v>2999.395794511724</v>
      </c>
      <c r="P49" s="185">
        <v>3015.6288884431747</v>
      </c>
      <c r="Q49" s="185">
        <v>2977.4590401995847</v>
      </c>
      <c r="R49" s="185">
        <v>3005.5704479002634</v>
      </c>
      <c r="S49" s="185">
        <v>3077.3507865282991</v>
      </c>
      <c r="T49" s="185">
        <v>3105.8460474391741</v>
      </c>
      <c r="U49" s="185">
        <v>3133.6551839231474</v>
      </c>
      <c r="V49" s="185">
        <v>3085.5091455728011</v>
      </c>
      <c r="W49" s="185">
        <v>3143.4813394438279</v>
      </c>
      <c r="X49" s="185">
        <v>3175.4728829987002</v>
      </c>
      <c r="Y49" s="185">
        <v>3207.0937961040881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0.67100370497079864</v>
      </c>
      <c r="C52" s="180">
        <v>0.66577383098223553</v>
      </c>
      <c r="D52" s="180">
        <v>0.66022574297089931</v>
      </c>
      <c r="E52" s="180">
        <v>0.65454679741092037</v>
      </c>
      <c r="F52" s="180">
        <v>0.64851619860095955</v>
      </c>
      <c r="G52" s="180">
        <v>0.64199118681044454</v>
      </c>
      <c r="H52" s="180">
        <v>0.63532078237858813</v>
      </c>
      <c r="I52" s="180">
        <v>0.62814830707960823</v>
      </c>
      <c r="J52" s="180">
        <v>0.62111055426886086</v>
      </c>
      <c r="K52" s="180">
        <v>0.61418045301041824</v>
      </c>
      <c r="L52" s="180">
        <v>0.6066733288577022</v>
      </c>
      <c r="M52" s="180">
        <v>0.59853343947517612</v>
      </c>
      <c r="N52" s="180">
        <v>0.59020503028166615</v>
      </c>
      <c r="O52" s="180">
        <v>0.58151370675317149</v>
      </c>
      <c r="P52" s="180">
        <v>0.57184987151087463</v>
      </c>
      <c r="Q52" s="180">
        <v>0.56268822051264078</v>
      </c>
      <c r="R52" s="180">
        <v>0.5530240299509912</v>
      </c>
      <c r="S52" s="180">
        <v>0.5431139329989646</v>
      </c>
      <c r="T52" s="180">
        <v>0.53295405440590649</v>
      </c>
      <c r="U52" s="180">
        <v>0.52540016099485443</v>
      </c>
      <c r="V52" s="180">
        <v>0.51807920079900172</v>
      </c>
      <c r="W52" s="180">
        <v>0.51120430285549623</v>
      </c>
      <c r="X52" s="180">
        <v>0.50472252585110444</v>
      </c>
      <c r="Y52" s="180">
        <v>0.49825447470661838</v>
      </c>
      <c r="DA52" s="189" t="s">
        <v>946</v>
      </c>
    </row>
    <row r="53" spans="1:105" ht="12" customHeight="1" x14ac:dyDescent="0.25">
      <c r="A53" s="131" t="s">
        <v>100</v>
      </c>
      <c r="B53" s="180">
        <v>182.50843795297635</v>
      </c>
      <c r="C53" s="180">
        <v>180.75173812858318</v>
      </c>
      <c r="D53" s="180">
        <v>178.7147208220365</v>
      </c>
      <c r="E53" s="180">
        <v>176.38628960031232</v>
      </c>
      <c r="F53" s="180">
        <v>173.93723749526922</v>
      </c>
      <c r="G53" s="180">
        <v>171.27224837593357</v>
      </c>
      <c r="H53" s="180">
        <v>168.27955760421585</v>
      </c>
      <c r="I53" s="180">
        <v>164.96396892813596</v>
      </c>
      <c r="J53" s="180">
        <v>163.09723366863295</v>
      </c>
      <c r="K53" s="180">
        <v>160.92344205540351</v>
      </c>
      <c r="L53" s="180">
        <v>158.34864153981889</v>
      </c>
      <c r="M53" s="180">
        <v>155.56933242644089</v>
      </c>
      <c r="N53" s="180">
        <v>152.18871663432142</v>
      </c>
      <c r="O53" s="180">
        <v>148.38087282730527</v>
      </c>
      <c r="P53" s="180">
        <v>143.91970161873985</v>
      </c>
      <c r="Q53" s="180">
        <v>139.25162133153364</v>
      </c>
      <c r="R53" s="180">
        <v>134.44407903457591</v>
      </c>
      <c r="S53" s="180">
        <v>129.31179385614621</v>
      </c>
      <c r="T53" s="180">
        <v>123.96712047973631</v>
      </c>
      <c r="U53" s="180">
        <v>118.2105713453365</v>
      </c>
      <c r="V53" s="180">
        <v>112.05253236620894</v>
      </c>
      <c r="W53" s="180">
        <v>106.10984495034189</v>
      </c>
      <c r="X53" s="180">
        <v>101.1721232958197</v>
      </c>
      <c r="Y53" s="180">
        <v>97.546480374556893</v>
      </c>
      <c r="DA53" s="189" t="s">
        <v>947</v>
      </c>
    </row>
    <row r="54" spans="1:105" ht="12" customHeight="1" x14ac:dyDescent="0.25">
      <c r="A54" s="131" t="s">
        <v>140</v>
      </c>
      <c r="B54" s="180">
        <v>42.698769250838701</v>
      </c>
      <c r="C54" s="180">
        <v>42.232362467886112</v>
      </c>
      <c r="D54" s="180">
        <v>41.533096011871415</v>
      </c>
      <c r="E54" s="180">
        <v>40.707530320688811</v>
      </c>
      <c r="F54" s="180">
        <v>39.768689576634266</v>
      </c>
      <c r="G54" s="180">
        <v>38.724327594771495</v>
      </c>
      <c r="H54" s="180">
        <v>37.573451778407211</v>
      </c>
      <c r="I54" s="180">
        <v>36.701201685421701</v>
      </c>
      <c r="J54" s="180">
        <v>35.783295103455671</v>
      </c>
      <c r="K54" s="180">
        <v>34.822042791349801</v>
      </c>
      <c r="L54" s="180">
        <v>33.823319024714223</v>
      </c>
      <c r="M54" s="180">
        <v>32.753115434206187</v>
      </c>
      <c r="N54" s="180">
        <v>31.571835407875945</v>
      </c>
      <c r="O54" s="180">
        <v>30.32100803671257</v>
      </c>
      <c r="P54" s="180">
        <v>28.914509122132273</v>
      </c>
      <c r="Q54" s="180">
        <v>27.504845968508999</v>
      </c>
      <c r="R54" s="180">
        <v>25.811563868491209</v>
      </c>
      <c r="S54" s="180">
        <v>24.174789149570291</v>
      </c>
      <c r="T54" s="180">
        <v>22.497450463204874</v>
      </c>
      <c r="U54" s="180">
        <v>20.891972386409353</v>
      </c>
      <c r="V54" s="180">
        <v>19.217597803526576</v>
      </c>
      <c r="W54" s="180">
        <v>17.815381188213848</v>
      </c>
      <c r="X54" s="180">
        <v>16.650519233244371</v>
      </c>
      <c r="Y54" s="180">
        <v>15.548582894998447</v>
      </c>
      <c r="DA54" s="189" t="s">
        <v>948</v>
      </c>
    </row>
    <row r="55" spans="1:105" ht="12" customHeight="1" x14ac:dyDescent="0.25">
      <c r="A55" s="131" t="s">
        <v>173</v>
      </c>
      <c r="B55" s="180">
        <v>656.43080621153626</v>
      </c>
      <c r="C55" s="180">
        <v>648.38174682541262</v>
      </c>
      <c r="D55" s="180">
        <v>638.89962607528128</v>
      </c>
      <c r="E55" s="180">
        <v>628.62048560703624</v>
      </c>
      <c r="F55" s="180">
        <v>618.49992339054336</v>
      </c>
      <c r="G55" s="180">
        <v>608.66194915098617</v>
      </c>
      <c r="H55" s="180">
        <v>598.65872259207924</v>
      </c>
      <c r="I55" s="180">
        <v>588.33444512445988</v>
      </c>
      <c r="J55" s="180">
        <v>577.39596819846884</v>
      </c>
      <c r="K55" s="180">
        <v>565.69511511213705</v>
      </c>
      <c r="L55" s="180">
        <v>553.00007594344345</v>
      </c>
      <c r="M55" s="180">
        <v>542.15300394346957</v>
      </c>
      <c r="N55" s="180">
        <v>531.68857480776501</v>
      </c>
      <c r="O55" s="180">
        <v>520.00491659017564</v>
      </c>
      <c r="P55" s="180">
        <v>507.7559045461901</v>
      </c>
      <c r="Q55" s="180">
        <v>497.31325305634329</v>
      </c>
      <c r="R55" s="180">
        <v>487.43505529443604</v>
      </c>
      <c r="S55" s="180">
        <v>477.93139658858183</v>
      </c>
      <c r="T55" s="180">
        <v>468.22471529440094</v>
      </c>
      <c r="U55" s="180">
        <v>459.5768564609312</v>
      </c>
      <c r="V55" s="180">
        <v>451.61431480688879</v>
      </c>
      <c r="W55" s="180">
        <v>443.67877038029559</v>
      </c>
      <c r="X55" s="180">
        <v>435.16829300621998</v>
      </c>
      <c r="Y55" s="180">
        <v>426.14380244282876</v>
      </c>
      <c r="DA55" s="189" t="s">
        <v>949</v>
      </c>
    </row>
    <row r="56" spans="1:105" ht="12" customHeight="1" x14ac:dyDescent="0.25">
      <c r="A56" s="60" t="s">
        <v>99</v>
      </c>
      <c r="B56" s="55">
        <v>46.186749403521404</v>
      </c>
      <c r="C56" s="55">
        <v>45.921024910060829</v>
      </c>
      <c r="D56" s="55">
        <v>45.680102413625967</v>
      </c>
      <c r="E56" s="55">
        <v>45.413157237505608</v>
      </c>
      <c r="F56" s="55">
        <v>45.138626280618986</v>
      </c>
      <c r="G56" s="55">
        <v>44.863779392536252</v>
      </c>
      <c r="H56" s="55">
        <v>44.5816416225694</v>
      </c>
      <c r="I56" s="55">
        <v>44.264732810885391</v>
      </c>
      <c r="J56" s="55">
        <v>43.943925618546537</v>
      </c>
      <c r="K56" s="55">
        <v>43.615772663001529</v>
      </c>
      <c r="L56" s="55">
        <v>43.220121703492076</v>
      </c>
      <c r="M56" s="55">
        <v>42.766289179372592</v>
      </c>
      <c r="N56" s="55">
        <v>42.251780603735426</v>
      </c>
      <c r="O56" s="55">
        <v>41.643922595008888</v>
      </c>
      <c r="P56" s="55">
        <v>40.90984097002115</v>
      </c>
      <c r="Q56" s="55">
        <v>40.123763541936668</v>
      </c>
      <c r="R56" s="55">
        <v>39.489023395066077</v>
      </c>
      <c r="S56" s="55">
        <v>38.894127524993898</v>
      </c>
      <c r="T56" s="55">
        <v>38.243994262712938</v>
      </c>
      <c r="U56" s="55">
        <v>37.589687501724015</v>
      </c>
      <c r="V56" s="55">
        <v>36.954068688959374</v>
      </c>
      <c r="W56" s="55">
        <v>36.338238314462679</v>
      </c>
      <c r="X56" s="55">
        <v>35.713486813640642</v>
      </c>
      <c r="Y56" s="55">
        <v>35.126364320929525</v>
      </c>
      <c r="DA56" s="101" t="s">
        <v>950</v>
      </c>
    </row>
    <row r="57" spans="1:105" ht="12" customHeight="1" x14ac:dyDescent="0.25">
      <c r="A57" s="62" t="s">
        <v>98</v>
      </c>
      <c r="B57" s="63">
        <v>376.18329413578522</v>
      </c>
      <c r="C57" s="63">
        <v>366.50965723535012</v>
      </c>
      <c r="D57" s="63">
        <v>353.48240439988217</v>
      </c>
      <c r="E57" s="63">
        <v>338.87832688208044</v>
      </c>
      <c r="F57" s="63">
        <v>322.39959710225418</v>
      </c>
      <c r="G57" s="63">
        <v>307.44357540410914</v>
      </c>
      <c r="H57" s="63">
        <v>291.91921166376881</v>
      </c>
      <c r="I57" s="63">
        <v>276.14119696708565</v>
      </c>
      <c r="J57" s="63">
        <v>260.03758042885795</v>
      </c>
      <c r="K57" s="63">
        <v>242.06284690416581</v>
      </c>
      <c r="L57" s="63">
        <v>225.62936117061898</v>
      </c>
      <c r="M57" s="63">
        <v>207.1966642438104</v>
      </c>
      <c r="N57" s="63">
        <v>190.06566031578924</v>
      </c>
      <c r="O57" s="63">
        <v>176.28389133917324</v>
      </c>
      <c r="P57" s="63">
        <v>164.60345712251282</v>
      </c>
      <c r="Q57" s="63">
        <v>158.78668280811763</v>
      </c>
      <c r="R57" s="63">
        <v>154.82224424210619</v>
      </c>
      <c r="S57" s="63">
        <v>151.25852873017854</v>
      </c>
      <c r="T57" s="63">
        <v>148.15611740909759</v>
      </c>
      <c r="U57" s="63">
        <v>144.70023785963087</v>
      </c>
      <c r="V57" s="63">
        <v>141.1441937077922</v>
      </c>
      <c r="W57" s="63">
        <v>138.13645320742293</v>
      </c>
      <c r="X57" s="63">
        <v>135.02525996021723</v>
      </c>
      <c r="Y57" s="63">
        <v>132.21836805667328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0.60005852488532974</v>
      </c>
      <c r="D60" s="180">
        <v>0.59302487949891269</v>
      </c>
      <c r="E60" s="180">
        <v>0.58644980482286257</v>
      </c>
      <c r="F60" s="180">
        <v>0.57948875052003612</v>
      </c>
      <c r="G60" s="180">
        <v>0.572791817745956</v>
      </c>
      <c r="H60" s="180">
        <v>0.56637297561464217</v>
      </c>
      <c r="I60" s="180">
        <v>0.56041676712403143</v>
      </c>
      <c r="J60" s="180">
        <v>0.55390266862588089</v>
      </c>
      <c r="K60" s="180">
        <v>0.54636917206193569</v>
      </c>
      <c r="L60" s="180">
        <v>0.53783327116330526</v>
      </c>
      <c r="M60" s="180">
        <v>0.52873574849491178</v>
      </c>
      <c r="N60" s="180">
        <v>0.51810196223399829</v>
      </c>
      <c r="O60" s="180">
        <v>0.50675368612475924</v>
      </c>
      <c r="P60" s="180">
        <v>0.49475573483221474</v>
      </c>
      <c r="Q60" s="180">
        <v>0.48195245603974807</v>
      </c>
      <c r="R60" s="180">
        <v>0.47858496584671462</v>
      </c>
      <c r="S60" s="180">
        <v>0.4735570087280967</v>
      </c>
      <c r="T60" s="180">
        <v>0.46891709352136191</v>
      </c>
      <c r="U60" s="180">
        <v>0.46470408041741779</v>
      </c>
      <c r="V60" s="180">
        <v>0.46055041782555411</v>
      </c>
      <c r="W60" s="180">
        <v>0.45778711531860078</v>
      </c>
      <c r="X60" s="180">
        <v>0.45502381281164744</v>
      </c>
      <c r="Y60" s="180">
        <v>0.45226051030469411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170.52344849624251</v>
      </c>
      <c r="D61" s="180">
        <v>168.86504581730301</v>
      </c>
      <c r="E61" s="180">
        <v>166.92618879385387</v>
      </c>
      <c r="F61" s="180">
        <v>165.58521080979634</v>
      </c>
      <c r="G61" s="180">
        <v>164.16334829531917</v>
      </c>
      <c r="H61" s="180">
        <v>161.7570416782066</v>
      </c>
      <c r="I61" s="180">
        <v>159.21507256768163</v>
      </c>
      <c r="J61" s="180">
        <v>156.5793877957496</v>
      </c>
      <c r="K61" s="180">
        <v>153.76326969530191</v>
      </c>
      <c r="L61" s="180">
        <v>149.64465975294206</v>
      </c>
      <c r="M61" s="180">
        <v>146.34703134879948</v>
      </c>
      <c r="N61" s="180">
        <v>141.71454269752471</v>
      </c>
      <c r="O61" s="180">
        <v>137.05006437782205</v>
      </c>
      <c r="P61" s="180">
        <v>130.7799373223659</v>
      </c>
      <c r="Q61" s="180">
        <v>123.58083168112195</v>
      </c>
      <c r="R61" s="180">
        <v>116.80392512565358</v>
      </c>
      <c r="S61" s="180">
        <v>111.42668056437066</v>
      </c>
      <c r="T61" s="180">
        <v>106.05920698913009</v>
      </c>
      <c r="U61" s="180">
        <v>100.69490523678955</v>
      </c>
      <c r="V61" s="180">
        <v>95.328398057967064</v>
      </c>
      <c r="W61" s="180">
        <v>92.983319465741076</v>
      </c>
      <c r="X61" s="180">
        <v>90.638240873515088</v>
      </c>
      <c r="Y61" s="180">
        <v>88.293162281289113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40.006970445503654</v>
      </c>
      <c r="D62" s="180">
        <v>38.755360541495889</v>
      </c>
      <c r="E62" s="180">
        <v>37.945638835490975</v>
      </c>
      <c r="F62" s="180">
        <v>37.223162269207776</v>
      </c>
      <c r="G62" s="180">
        <v>36.413671360729133</v>
      </c>
      <c r="H62" s="180">
        <v>35.640363717637264</v>
      </c>
      <c r="I62" s="180">
        <v>34.649846161979305</v>
      </c>
      <c r="J62" s="180">
        <v>33.340461190468716</v>
      </c>
      <c r="K62" s="180">
        <v>32.19483363685044</v>
      </c>
      <c r="L62" s="180">
        <v>31.434172201258715</v>
      </c>
      <c r="M62" s="180">
        <v>30.072345161937445</v>
      </c>
      <c r="N62" s="180">
        <v>28.575390176841008</v>
      </c>
      <c r="O62" s="180">
        <v>27.022924768567531</v>
      </c>
      <c r="P62" s="180">
        <v>25.322271979340165</v>
      </c>
      <c r="Q62" s="180">
        <v>23.61365513149234</v>
      </c>
      <c r="R62" s="180">
        <v>21.343224005521531</v>
      </c>
      <c r="S62" s="180">
        <v>20.155671514134294</v>
      </c>
      <c r="T62" s="180">
        <v>18.353489655161294</v>
      </c>
      <c r="U62" s="180">
        <v>16.928918325820518</v>
      </c>
      <c r="V62" s="180">
        <v>15.719448921120819</v>
      </c>
      <c r="W62" s="180">
        <v>14.933476475064777</v>
      </c>
      <c r="X62" s="180">
        <v>14.147504029008735</v>
      </c>
      <c r="Y62" s="180">
        <v>13.361531582952693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595.1719975313016</v>
      </c>
      <c r="D63" s="180">
        <v>581.13412402158099</v>
      </c>
      <c r="E63" s="180">
        <v>572.96354891604562</v>
      </c>
      <c r="F63" s="180">
        <v>566.70512095462198</v>
      </c>
      <c r="G63" s="180">
        <v>560.00477140760779</v>
      </c>
      <c r="H63" s="180">
        <v>551.7227561819692</v>
      </c>
      <c r="I63" s="180">
        <v>542.80292808582192</v>
      </c>
      <c r="J63" s="180">
        <v>534.01188091229028</v>
      </c>
      <c r="K63" s="180">
        <v>519.87024389626686</v>
      </c>
      <c r="L63" s="180">
        <v>505.68650977173803</v>
      </c>
      <c r="M63" s="180">
        <v>489.15602214934239</v>
      </c>
      <c r="N63" s="180">
        <v>482.43382552944036</v>
      </c>
      <c r="O63" s="180">
        <v>471.06636352373164</v>
      </c>
      <c r="P63" s="180">
        <v>458.68511344856302</v>
      </c>
      <c r="Q63" s="180">
        <v>454.45833790989133</v>
      </c>
      <c r="R63" s="180">
        <v>447.58754685535132</v>
      </c>
      <c r="S63" s="180">
        <v>438.97336231683465</v>
      </c>
      <c r="T63" s="180">
        <v>430.70777773341092</v>
      </c>
      <c r="U63" s="180">
        <v>422.96803572192152</v>
      </c>
      <c r="V63" s="180">
        <v>415.32220384145603</v>
      </c>
      <c r="W63" s="180">
        <v>407.01575976462692</v>
      </c>
      <c r="X63" s="180">
        <v>398.70931568779775</v>
      </c>
      <c r="Y63" s="180">
        <v>390.40287161096865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43.542356717265754</v>
      </c>
      <c r="D64" s="55">
        <v>43.229014085428474</v>
      </c>
      <c r="E64" s="55">
        <v>42.907546550476198</v>
      </c>
      <c r="F64" s="55">
        <v>42.574612175637917</v>
      </c>
      <c r="G64" s="55">
        <v>42.242460707236049</v>
      </c>
      <c r="H64" s="55">
        <v>41.911252509678043</v>
      </c>
      <c r="I64" s="55">
        <v>41.472525295758913</v>
      </c>
      <c r="J64" s="55">
        <v>41.11056130063487</v>
      </c>
      <c r="K64" s="55">
        <v>40.628303716980241</v>
      </c>
      <c r="L64" s="55">
        <v>40.068877581084735</v>
      </c>
      <c r="M64" s="55">
        <v>39.190390762606775</v>
      </c>
      <c r="N64" s="55">
        <v>38.2321308647821</v>
      </c>
      <c r="O64" s="55">
        <v>37.219132200618496</v>
      </c>
      <c r="P64" s="55">
        <v>36.226494784244863</v>
      </c>
      <c r="Q64" s="55">
        <v>35.190997933625304</v>
      </c>
      <c r="R64" s="55">
        <v>34.735834972712006</v>
      </c>
      <c r="S64" s="55">
        <v>34.176758702208801</v>
      </c>
      <c r="T64" s="55">
        <v>33.659127679056397</v>
      </c>
      <c r="U64" s="55">
        <v>33.164524952284019</v>
      </c>
      <c r="V64" s="55">
        <v>32.675395305515472</v>
      </c>
      <c r="W64" s="55">
        <v>32.348641352460319</v>
      </c>
      <c r="X64" s="55">
        <v>32.021887399405159</v>
      </c>
      <c r="Y64" s="55">
        <v>31.695133446350006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340.45229756391336</v>
      </c>
      <c r="D65" s="63">
        <v>324.05633761854506</v>
      </c>
      <c r="E65" s="63">
        <v>310.67315785271154</v>
      </c>
      <c r="F65" s="63">
        <v>294.94774760933115</v>
      </c>
      <c r="G65" s="63">
        <v>281.2528870548752</v>
      </c>
      <c r="H65" s="63">
        <v>264.56933458743225</v>
      </c>
      <c r="I65" s="63">
        <v>247.15973043383872</v>
      </c>
      <c r="J65" s="63">
        <v>229.166060329049</v>
      </c>
      <c r="K65" s="63">
        <v>210.02780724528807</v>
      </c>
      <c r="L65" s="63">
        <v>188.36882023872872</v>
      </c>
      <c r="M65" s="63">
        <v>174.37078856087513</v>
      </c>
      <c r="N65" s="63">
        <v>164.75157868157817</v>
      </c>
      <c r="O65" s="63">
        <v>157.7413997806938</v>
      </c>
      <c r="P65" s="63">
        <v>152.52715475588116</v>
      </c>
      <c r="Q65" s="63">
        <v>151.50975774585325</v>
      </c>
      <c r="R65" s="63">
        <v>149.59900911478539</v>
      </c>
      <c r="S65" s="63">
        <v>145.57722324659252</v>
      </c>
      <c r="T65" s="63">
        <v>141.6573106328475</v>
      </c>
      <c r="U65" s="63">
        <v>137.94068495122329</v>
      </c>
      <c r="V65" s="63">
        <v>134.26506608359117</v>
      </c>
      <c r="W65" s="63">
        <v>131.84829489408654</v>
      </c>
      <c r="X65" s="63">
        <v>129.43152370458188</v>
      </c>
      <c r="Y65" s="63">
        <v>127.01475251507723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529.10665844097832</v>
      </c>
      <c r="C68" s="187">
        <f>1000000*C20/SER_summary!C$8</f>
        <v>538.45886337730531</v>
      </c>
      <c r="D68" s="187">
        <f>1000000*D20/SER_summary!D$8</f>
        <v>547.92842758752272</v>
      </c>
      <c r="E68" s="187">
        <f>1000000*E20/SER_summary!E$8</f>
        <v>556.35187705179612</v>
      </c>
      <c r="F68" s="187">
        <f>1000000*F20/SER_summary!F$8</f>
        <v>565.26380725546505</v>
      </c>
      <c r="G68" s="187">
        <f>1000000*G20/SER_summary!G$8</f>
        <v>576.12602419644031</v>
      </c>
      <c r="H68" s="187">
        <f>1000000*H20/SER_summary!H$8</f>
        <v>585.81790231971149</v>
      </c>
      <c r="I68" s="187">
        <f>1000000*I20/SER_summary!I$8</f>
        <v>596.3778810576207</v>
      </c>
      <c r="J68" s="187">
        <f>1000000*J20/SER_summary!J$8</f>
        <v>606.25569439692458</v>
      </c>
      <c r="K68" s="187">
        <f>1000000*K20/SER_summary!K$8</f>
        <v>617.36518018968138</v>
      </c>
      <c r="L68" s="187">
        <f>1000000*L20/SER_summary!L$8</f>
        <v>626.86271913146209</v>
      </c>
      <c r="M68" s="187">
        <f>1000000*M20/SER_summary!M$8</f>
        <v>637.65841174064667</v>
      </c>
      <c r="N68" s="187">
        <f>1000000*N20/SER_summary!N$8</f>
        <v>649.48350637653107</v>
      </c>
      <c r="O68" s="187">
        <f>1000000*O20/SER_summary!O$8</f>
        <v>660.66730198949165</v>
      </c>
      <c r="P68" s="187">
        <f>1000000*P20/SER_summary!P$8</f>
        <v>671.21665554213257</v>
      </c>
      <c r="Q68" s="187">
        <f>1000000*Q20/SER_summary!Q$8</f>
        <v>681.03138720563766</v>
      </c>
      <c r="R68" s="187">
        <f>1000000*R20/SER_summary!R$8</f>
        <v>687.94827607373747</v>
      </c>
      <c r="S68" s="187">
        <f>1000000*S20/SER_summary!S$8</f>
        <v>694.88241804214135</v>
      </c>
      <c r="T68" s="187">
        <f>1000000*T20/SER_summary!T$8</f>
        <v>701.74256618307641</v>
      </c>
      <c r="U68" s="187">
        <f>1000000*U20/SER_summary!U$8</f>
        <v>708.4733779718855</v>
      </c>
      <c r="V68" s="187">
        <f>1000000*V20/SER_summary!V$8</f>
        <v>714.97184113818389</v>
      </c>
      <c r="W68" s="187">
        <f>1000000*W20/SER_summary!W$8</f>
        <v>721.11615462511213</v>
      </c>
      <c r="X68" s="187">
        <f>1000000*X20/SER_summary!X$8</f>
        <v>724.20808418687477</v>
      </c>
      <c r="Y68" s="187">
        <f>1000000*Y20/SER_summary!Y$8</f>
        <v>725.75901689537091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0.14952511537127425</v>
      </c>
      <c r="C69" s="187">
        <f>1000*C21/SER_summary!C$3</f>
        <v>0.15213603568163411</v>
      </c>
      <c r="D69" s="187">
        <f>1000*D21/SER_summary!D$3</f>
        <v>0.15555792561234719</v>
      </c>
      <c r="E69" s="187">
        <f>1000*E21/SER_summary!E$3</f>
        <v>0.15957060734047168</v>
      </c>
      <c r="F69" s="187">
        <f>1000*F21/SER_summary!F$3</f>
        <v>0.16302393038194088</v>
      </c>
      <c r="G69" s="187">
        <f>1000*G21/SER_summary!G$3</f>
        <v>0.16716350846843167</v>
      </c>
      <c r="H69" s="187">
        <f>1000*H21/SER_summary!H$3</f>
        <v>0.17155491624168517</v>
      </c>
      <c r="I69" s="187">
        <f>1000*I21/SER_summary!I$3</f>
        <v>0.17563200798188197</v>
      </c>
      <c r="J69" s="187">
        <f>1000*J21/SER_summary!J$3</f>
        <v>0.17920573072670759</v>
      </c>
      <c r="K69" s="187">
        <f>1000*K21/SER_summary!K$3</f>
        <v>0.18443565316543656</v>
      </c>
      <c r="L69" s="187">
        <f>1000*L21/SER_summary!L$3</f>
        <v>0.19019066158526179</v>
      </c>
      <c r="M69" s="187">
        <f>1000*M21/SER_summary!M$3</f>
        <v>0.19581840696787481</v>
      </c>
      <c r="N69" s="187">
        <f>1000*N21/SER_summary!N$3</f>
        <v>0.20259868457162136</v>
      </c>
      <c r="O69" s="187">
        <f>1000*O21/SER_summary!O$3</f>
        <v>0.21097972816134486</v>
      </c>
      <c r="P69" s="187">
        <f>1000*P21/SER_summary!P$3</f>
        <v>0.22154771887699773</v>
      </c>
      <c r="Q69" s="187">
        <f>1000*Q21/SER_summary!Q$3</f>
        <v>0.23393071676521712</v>
      </c>
      <c r="R69" s="187">
        <f>1000*R21/SER_summary!R$3</f>
        <v>0.23838676332034914</v>
      </c>
      <c r="S69" s="187">
        <f>1000*S21/SER_summary!S$3</f>
        <v>0.24263795661664136</v>
      </c>
      <c r="T69" s="187">
        <f>1000*T21/SER_summary!T$3</f>
        <v>0.24695223875546918</v>
      </c>
      <c r="U69" s="187">
        <f>1000*U21/SER_summary!U$3</f>
        <v>0.25083754287149518</v>
      </c>
      <c r="V69" s="187">
        <f>1000*V21/SER_summary!V$3</f>
        <v>0.25459090696826303</v>
      </c>
      <c r="W69" s="187">
        <f>1000*W21/SER_summary!W$3</f>
        <v>0.25742370472949261</v>
      </c>
      <c r="X69" s="187">
        <f>1000*X21/SER_summary!X$3</f>
        <v>0.25942539685784088</v>
      </c>
      <c r="Y69" s="187">
        <f>1000*Y21/SER_summary!Y$3</f>
        <v>0.26083583527342896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176.88634797339392</v>
      </c>
      <c r="C70" s="187">
        <f>1000000*C22/SER_summary!C$8</f>
        <v>177.90895631463283</v>
      </c>
      <c r="D70" s="187">
        <f>1000000*D22/SER_summary!D$8</f>
        <v>180.41378511710727</v>
      </c>
      <c r="E70" s="187">
        <f>1000000*E22/SER_summary!E$8</f>
        <v>183.10524170924498</v>
      </c>
      <c r="F70" s="187">
        <f>1000000*F22/SER_summary!F$8</f>
        <v>186.55007869135511</v>
      </c>
      <c r="G70" s="187">
        <f>1000000*G22/SER_summary!G$8</f>
        <v>189.61770502542726</v>
      </c>
      <c r="H70" s="187">
        <f>1000000*H22/SER_summary!H$8</f>
        <v>192.86747146225608</v>
      </c>
      <c r="I70" s="187">
        <f>1000000*I22/SER_summary!I$8</f>
        <v>196.36775224166922</v>
      </c>
      <c r="J70" s="187">
        <f>1000000*J22/SER_summary!J$8</f>
        <v>200.24071983438532</v>
      </c>
      <c r="K70" s="187">
        <f>1000000*K22/SER_summary!K$8</f>
        <v>204.98411219210163</v>
      </c>
      <c r="L70" s="187">
        <f>1000000*L22/SER_summary!L$8</f>
        <v>210.77821273382156</v>
      </c>
      <c r="M70" s="187">
        <f>1000000*M22/SER_summary!M$8</f>
        <v>216.44742383352732</v>
      </c>
      <c r="N70" s="187">
        <f>1000000*N22/SER_summary!N$8</f>
        <v>223.00104399484457</v>
      </c>
      <c r="O70" s="187">
        <f>1000000*O22/SER_summary!O$8</f>
        <v>229.12901745022592</v>
      </c>
      <c r="P70" s="187">
        <f>1000000*P22/SER_summary!P$8</f>
        <v>238.08943997057798</v>
      </c>
      <c r="Q70" s="187">
        <f>1000000*Q22/SER_summary!Q$8</f>
        <v>247.8602342234249</v>
      </c>
      <c r="R70" s="187">
        <f>1000000*R22/SER_summary!R$8</f>
        <v>253.22082027778956</v>
      </c>
      <c r="S70" s="187">
        <f>1000000*S22/SER_summary!S$8</f>
        <v>258.65832152847736</v>
      </c>
      <c r="T70" s="187">
        <f>1000000*T22/SER_summary!T$8</f>
        <v>263.84788086607836</v>
      </c>
      <c r="U70" s="187">
        <f>1000000*U22/SER_summary!U$8</f>
        <v>268.59083205512621</v>
      </c>
      <c r="V70" s="187">
        <f>1000000*V22/SER_summary!V$8</f>
        <v>272.5169341940898</v>
      </c>
      <c r="W70" s="187">
        <f>1000000*W22/SER_summary!W$8</f>
        <v>275.11060061001928</v>
      </c>
      <c r="X70" s="187">
        <f>1000000*X22/SER_summary!X$8</f>
        <v>276.41667609578843</v>
      </c>
      <c r="Y70" s="187">
        <f>1000000*Y22/SER_summary!Y$8</f>
        <v>277.07203720313083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3.1791213868196139E-2</v>
      </c>
      <c r="C71" s="187">
        <f>1000*C23/SER_summary!C$3</f>
        <v>3.3036959774136898E-2</v>
      </c>
      <c r="D71" s="187">
        <f>1000*D23/SER_summary!D$3</f>
        <v>3.4391021378877194E-2</v>
      </c>
      <c r="E71" s="187">
        <f>1000*E23/SER_summary!E$3</f>
        <v>3.6031675319899481E-2</v>
      </c>
      <c r="F71" s="187">
        <f>1000*F23/SER_summary!F$3</f>
        <v>3.7597373675222777E-2</v>
      </c>
      <c r="G71" s="187">
        <f>1000*G23/SER_summary!G$3</f>
        <v>3.8850264002394455E-2</v>
      </c>
      <c r="H71" s="187">
        <f>1000*H23/SER_summary!H$3</f>
        <v>3.9939808842607581E-2</v>
      </c>
      <c r="I71" s="187">
        <f>1000*I23/SER_summary!I$3</f>
        <v>4.0903240128707025E-2</v>
      </c>
      <c r="J71" s="187">
        <f>1000*J23/SER_summary!J$3</f>
        <v>4.2003078300432414E-2</v>
      </c>
      <c r="K71" s="187">
        <f>1000*K23/SER_summary!K$3</f>
        <v>4.287578839341917E-2</v>
      </c>
      <c r="L71" s="187">
        <f>1000*L23/SER_summary!L$3</f>
        <v>4.3721966792924463E-2</v>
      </c>
      <c r="M71" s="187">
        <f>1000*M23/SER_summary!M$3</f>
        <v>4.4262339477760565E-2</v>
      </c>
      <c r="N71" s="187">
        <f>1000*N23/SER_summary!N$3</f>
        <v>4.4933485987421758E-2</v>
      </c>
      <c r="O71" s="187">
        <f>1000*O23/SER_summary!O$3</f>
        <v>4.5896051264765633E-2</v>
      </c>
      <c r="P71" s="187">
        <f>1000*P23/SER_summary!P$3</f>
        <v>4.6908775589682816E-2</v>
      </c>
      <c r="Q71" s="187">
        <f>1000*Q23/SER_summary!Q$3</f>
        <v>4.7451959645992831E-2</v>
      </c>
      <c r="R71" s="187">
        <f>1000*R23/SER_summary!R$3</f>
        <v>4.8043641083246165E-2</v>
      </c>
      <c r="S71" s="187">
        <f>1000*S23/SER_summary!S$3</f>
        <v>4.8594314399680323E-2</v>
      </c>
      <c r="T71" s="187">
        <f>1000*T23/SER_summary!T$3</f>
        <v>4.9153550785944342E-2</v>
      </c>
      <c r="U71" s="187">
        <f>1000*U23/SER_summary!U$3</f>
        <v>4.9620334731411572E-2</v>
      </c>
      <c r="V71" s="187">
        <f>1000*V23/SER_summary!V$3</f>
        <v>5.0048033017098252E-2</v>
      </c>
      <c r="W71" s="187">
        <f>1000*W23/SER_summary!W$3</f>
        <v>5.027124904107904E-2</v>
      </c>
      <c r="X71" s="187">
        <f>1000*X23/SER_summary!X$3</f>
        <v>5.0428092347186974E-2</v>
      </c>
      <c r="Y71" s="187">
        <f>1000*Y23/SER_summary!Y$3</f>
        <v>5.0538173729076097E-2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128.81396382204505</v>
      </c>
      <c r="C72" s="187">
        <f>1000000*C24/SER_summary!C$8</f>
        <v>137.0932688699466</v>
      </c>
      <c r="D72" s="187">
        <f>1000000*D24/SER_summary!D$8</f>
        <v>143.61735511485514</v>
      </c>
      <c r="E72" s="187">
        <f>1000000*E24/SER_summary!E$8</f>
        <v>150.9729227657414</v>
      </c>
      <c r="F72" s="187">
        <f>1000000*F24/SER_summary!F$8</f>
        <v>158.08010692189049</v>
      </c>
      <c r="G72" s="187">
        <f>1000000*G24/SER_summary!G$8</f>
        <v>164.3709753949941</v>
      </c>
      <c r="H72" s="187">
        <f>1000000*H24/SER_summary!H$8</f>
        <v>169.87324532192935</v>
      </c>
      <c r="I72" s="187">
        <f>1000000*I24/SER_summary!I$8</f>
        <v>175.19381858938942</v>
      </c>
      <c r="J72" s="187">
        <f>1000000*J24/SER_summary!J$8</f>
        <v>179.9314523717548</v>
      </c>
      <c r="K72" s="187">
        <f>1000000*K24/SER_summary!K$8</f>
        <v>184.26663066499373</v>
      </c>
      <c r="L72" s="187">
        <f>1000000*L24/SER_summary!L$8</f>
        <v>188.74070065276373</v>
      </c>
      <c r="M72" s="187">
        <f>1000000*M24/SER_summary!M$8</f>
        <v>191.98348480928058</v>
      </c>
      <c r="N72" s="187">
        <f>1000000*N24/SER_summary!N$8</f>
        <v>194.89145011509294</v>
      </c>
      <c r="O72" s="187">
        <f>1000000*O24/SER_summary!O$8</f>
        <v>197.59297641942084</v>
      </c>
      <c r="P72" s="187">
        <f>1000000*P24/SER_summary!P$8</f>
        <v>199.61305695051664</v>
      </c>
      <c r="Q72" s="187">
        <f>1000000*Q24/SER_summary!Q$8</f>
        <v>200.97511419777629</v>
      </c>
      <c r="R72" s="187">
        <f>1000000*R24/SER_summary!R$8</f>
        <v>204.33736576794109</v>
      </c>
      <c r="S72" s="187">
        <f>1000000*S24/SER_summary!S$8</f>
        <v>207.70663264895899</v>
      </c>
      <c r="T72" s="187">
        <f>1000000*T24/SER_summary!T$8</f>
        <v>211.04581278082605</v>
      </c>
      <c r="U72" s="187">
        <f>1000000*U24/SER_summary!U$8</f>
        <v>214.33240325061402</v>
      </c>
      <c r="V72" s="187">
        <f>1000000*V24/SER_summary!V$8</f>
        <v>217.52451807344363</v>
      </c>
      <c r="W72" s="187">
        <f>1000000*W24/SER_summary!W$8</f>
        <v>220.55277689861731</v>
      </c>
      <c r="X72" s="187">
        <f>1000000*X24/SER_summary!X$8</f>
        <v>223.00570950862908</v>
      </c>
      <c r="Y72" s="187">
        <f>1000000*Y24/SER_summary!Y$8</f>
        <v>224.98768332970104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0.10511552923012056</v>
      </c>
      <c r="C73" s="52">
        <f>1000*C25/SER_summary!C$3</f>
        <v>0.11448998268976794</v>
      </c>
      <c r="D73" s="52">
        <f>1000*D25/SER_summary!D$3</f>
        <v>0.12727154937551668</v>
      </c>
      <c r="E73" s="52">
        <f>1000*E25/SER_summary!E$3</f>
        <v>0.14400843474065014</v>
      </c>
      <c r="F73" s="52">
        <f>1000*F25/SER_summary!F$3</f>
        <v>0.16840285123037352</v>
      </c>
      <c r="G73" s="52">
        <f>1000*G25/SER_summary!G$3</f>
        <v>0.18904682662130148</v>
      </c>
      <c r="H73" s="52">
        <f>1000*H25/SER_summary!H$3</f>
        <v>0.21127315149590273</v>
      </c>
      <c r="I73" s="52">
        <f>1000*I25/SER_summary!I$3</f>
        <v>0.23624789796692158</v>
      </c>
      <c r="J73" s="52">
        <f>1000*J25/SER_summary!J$3</f>
        <v>0.25992648796761392</v>
      </c>
      <c r="K73" s="52">
        <f>1000*K25/SER_summary!K$3</f>
        <v>0.28603588564335142</v>
      </c>
      <c r="L73" s="52">
        <f>1000*L25/SER_summary!L$3</f>
        <v>0.30806850156066867</v>
      </c>
      <c r="M73" s="52">
        <f>1000*M25/SER_summary!M$3</f>
        <v>0.33567975640002884</v>
      </c>
      <c r="N73" s="52">
        <f>1000*N25/SER_summary!N$3</f>
        <v>0.37145655034539621</v>
      </c>
      <c r="O73" s="52">
        <f>1000*O25/SER_summary!O$3</f>
        <v>0.41150825115925199</v>
      </c>
      <c r="P73" s="52">
        <f>1000*P25/SER_summary!P$3</f>
        <v>0.46989735716646913</v>
      </c>
      <c r="Q73" s="52">
        <f>1000*Q25/SER_summary!Q$3</f>
        <v>0.52453614564542228</v>
      </c>
      <c r="R73" s="52">
        <f>1000*R25/SER_summary!R$3</f>
        <v>0.54477817832491682</v>
      </c>
      <c r="S73" s="52">
        <f>1000*S25/SER_summary!S$3</f>
        <v>0.56993068249640233</v>
      </c>
      <c r="T73" s="52">
        <f>1000*T25/SER_summary!T$3</f>
        <v>0.59141273750561429</v>
      </c>
      <c r="U73" s="52">
        <f>1000*U25/SER_summary!U$3</f>
        <v>0.61064557306958811</v>
      </c>
      <c r="V73" s="52">
        <f>1000*V25/SER_summary!V$3</f>
        <v>0.6291357356925783</v>
      </c>
      <c r="W73" s="52">
        <f>1000*W25/SER_summary!W$3</f>
        <v>0.64656158625989901</v>
      </c>
      <c r="X73" s="52">
        <f>1000*X25/SER_summary!X$3</f>
        <v>0.66188158659263696</v>
      </c>
      <c r="Y73" s="52">
        <f>1000*Y25/SER_summary!Y$3</f>
        <v>0.67505425698571297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247.45685303456915</v>
      </c>
      <c r="C3" s="198">
        <f>'SER_se-appl'!C4</f>
        <v>253.57132164691683</v>
      </c>
      <c r="D3" s="198">
        <f>'SER_se-appl'!D4</f>
        <v>259.61756288001487</v>
      </c>
      <c r="E3" s="198">
        <f>'SER_se-appl'!E4</f>
        <v>265.10318384108729</v>
      </c>
      <c r="F3" s="198">
        <f>'SER_se-appl'!F4</f>
        <v>270.65504904745359</v>
      </c>
      <c r="G3" s="198">
        <f>'SER_se-appl'!G4</f>
        <v>276.90136546034392</v>
      </c>
      <c r="H3" s="198">
        <f>'SER_se-appl'!H4</f>
        <v>282.80542778619025</v>
      </c>
      <c r="I3" s="198">
        <f>'SER_se-appl'!I4</f>
        <v>289.82901115890763</v>
      </c>
      <c r="J3" s="198">
        <f>'SER_se-appl'!J4</f>
        <v>295.54875084139746</v>
      </c>
      <c r="K3" s="198">
        <f>'SER_se-appl'!K4</f>
        <v>299.54786526903649</v>
      </c>
      <c r="L3" s="198">
        <f>'SER_se-appl'!L4</f>
        <v>304.0242336324842</v>
      </c>
      <c r="M3" s="198">
        <f>'SER_se-appl'!M4</f>
        <v>309.13275930422924</v>
      </c>
      <c r="N3" s="198">
        <f>'SER_se-appl'!N4</f>
        <v>312.83256896984659</v>
      </c>
      <c r="O3" s="198">
        <f>'SER_se-appl'!O4</f>
        <v>315.49900284083111</v>
      </c>
      <c r="P3" s="198">
        <f>'SER_se-appl'!P4</f>
        <v>319.09569622256703</v>
      </c>
      <c r="Q3" s="198">
        <f>'SER_se-appl'!Q4</f>
        <v>318.46955881622063</v>
      </c>
      <c r="R3" s="198">
        <f>'SER_se-appl'!R4</f>
        <v>318.89048247899836</v>
      </c>
      <c r="S3" s="198">
        <f>'SER_se-appl'!S4</f>
        <v>319.2639909098952</v>
      </c>
      <c r="T3" s="198">
        <f>'SER_se-appl'!T4</f>
        <v>319.773081292521</v>
      </c>
      <c r="U3" s="198">
        <f>'SER_se-appl'!U4</f>
        <v>321.57777325649573</v>
      </c>
      <c r="V3" s="198">
        <f>'SER_se-appl'!V4</f>
        <v>323.08365530729935</v>
      </c>
      <c r="W3" s="198">
        <f>'SER_se-appl'!W4</f>
        <v>324.48063236833895</v>
      </c>
      <c r="X3" s="198">
        <f>'SER_se-appl'!X4</f>
        <v>324.58393023807685</v>
      </c>
      <c r="Y3" s="198">
        <f>'SER_se-appl'!Y4</f>
        <v>323.89153778893905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328.53004575251583</v>
      </c>
      <c r="C5" s="59">
        <f>'SER_se-appl'!C12</f>
        <v>336.64777063397747</v>
      </c>
      <c r="D5" s="59">
        <f>'SER_se-appl'!D12</f>
        <v>344.67491510212011</v>
      </c>
      <c r="E5" s="59">
        <f>'SER_se-appl'!E12</f>
        <v>351.95776576162626</v>
      </c>
      <c r="F5" s="59">
        <f>'SER_se-appl'!F12</f>
        <v>359.32856397510102</v>
      </c>
      <c r="G5" s="59">
        <f>'SER_se-appl'!G12</f>
        <v>367.62133336801372</v>
      </c>
      <c r="H5" s="59">
        <f>'SER_se-appl'!H12</f>
        <v>375.45971748326406</v>
      </c>
      <c r="I5" s="59">
        <f>'SER_se-appl'!I12</f>
        <v>384.78440636736252</v>
      </c>
      <c r="J5" s="59">
        <f>'SER_se-appl'!J12</f>
        <v>392.37807902801973</v>
      </c>
      <c r="K5" s="59">
        <f>'SER_se-appl'!K12</f>
        <v>397.68740560261347</v>
      </c>
      <c r="L5" s="59">
        <f>'SER_se-appl'!L12</f>
        <v>403.63034670614041</v>
      </c>
      <c r="M5" s="59">
        <f>'SER_se-appl'!M12</f>
        <v>410.41255601691626</v>
      </c>
      <c r="N5" s="59">
        <f>'SER_se-appl'!N12</f>
        <v>415.32451793599506</v>
      </c>
      <c r="O5" s="59">
        <f>'SER_se-appl'!O12</f>
        <v>418.86454372589805</v>
      </c>
      <c r="P5" s="59">
        <f>'SER_se-appl'!P12</f>
        <v>423.63960582973232</v>
      </c>
      <c r="Q5" s="59">
        <f>'SER_se-appl'!Q12</f>
        <v>422.80832979824743</v>
      </c>
      <c r="R5" s="59">
        <f>'SER_se-appl'!R12</f>
        <v>423.36715881629607</v>
      </c>
      <c r="S5" s="59">
        <f>'SER_se-appl'!S12</f>
        <v>423.86303816005505</v>
      </c>
      <c r="T5" s="59">
        <f>'SER_se-appl'!T12</f>
        <v>424.5389195698653</v>
      </c>
      <c r="U5" s="59">
        <f>'SER_se-appl'!U12</f>
        <v>426.93487476861247</v>
      </c>
      <c r="V5" s="59">
        <f>'SER_se-appl'!V12</f>
        <v>428.93412228583242</v>
      </c>
      <c r="W5" s="59">
        <f>'SER_se-appl'!W12</f>
        <v>430.78878475385636</v>
      </c>
      <c r="X5" s="59">
        <f>'SER_se-appl'!X12</f>
        <v>430.92592564712709</v>
      </c>
      <c r="Y5" s="59">
        <f>'SER_se-appl'!Y12</f>
        <v>430.00668772663943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529.10665844097832</v>
      </c>
      <c r="C6" s="201">
        <f>'SER_se-appl'!C68</f>
        <v>538.45886337730531</v>
      </c>
      <c r="D6" s="201">
        <f>'SER_se-appl'!D68</f>
        <v>547.92842758752272</v>
      </c>
      <c r="E6" s="201">
        <f>'SER_se-appl'!E68</f>
        <v>556.35187705179612</v>
      </c>
      <c r="F6" s="201">
        <f>'SER_se-appl'!F68</f>
        <v>565.26380725546505</v>
      </c>
      <c r="G6" s="201">
        <f>'SER_se-appl'!G68</f>
        <v>576.12602419644031</v>
      </c>
      <c r="H6" s="201">
        <f>'SER_se-appl'!H68</f>
        <v>585.81790231971149</v>
      </c>
      <c r="I6" s="201">
        <f>'SER_se-appl'!I68</f>
        <v>596.3778810576207</v>
      </c>
      <c r="J6" s="201">
        <f>'SER_se-appl'!J68</f>
        <v>606.25569439692458</v>
      </c>
      <c r="K6" s="201">
        <f>'SER_se-appl'!K68</f>
        <v>617.36518018968138</v>
      </c>
      <c r="L6" s="201">
        <f>'SER_se-appl'!L68</f>
        <v>626.86271913146209</v>
      </c>
      <c r="M6" s="201">
        <f>'SER_se-appl'!M68</f>
        <v>637.65841174064667</v>
      </c>
      <c r="N6" s="201">
        <f>'SER_se-appl'!N68</f>
        <v>649.48350637653107</v>
      </c>
      <c r="O6" s="201">
        <f>'SER_se-appl'!O68</f>
        <v>660.66730198949165</v>
      </c>
      <c r="P6" s="201">
        <f>'SER_se-appl'!P68</f>
        <v>671.21665554213257</v>
      </c>
      <c r="Q6" s="201">
        <f>'SER_se-appl'!Q68</f>
        <v>681.03138720563766</v>
      </c>
      <c r="R6" s="201">
        <f>'SER_se-appl'!R68</f>
        <v>687.94827607373747</v>
      </c>
      <c r="S6" s="201">
        <f>'SER_se-appl'!S68</f>
        <v>694.88241804214135</v>
      </c>
      <c r="T6" s="201">
        <f>'SER_se-appl'!T68</f>
        <v>701.74256618307641</v>
      </c>
      <c r="U6" s="201">
        <f>'SER_se-appl'!U68</f>
        <v>708.4733779718855</v>
      </c>
      <c r="V6" s="201">
        <f>'SER_se-appl'!V68</f>
        <v>714.97184113818389</v>
      </c>
      <c r="W6" s="201">
        <f>'SER_se-appl'!W68</f>
        <v>721.11615462511213</v>
      </c>
      <c r="X6" s="201">
        <f>'SER_se-appl'!X68</f>
        <v>724.20808418687477</v>
      </c>
      <c r="Y6" s="201">
        <f>'SER_se-appl'!Y68</f>
        <v>725.75901689537091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489.60988340118496</v>
      </c>
      <c r="C8" s="34">
        <f>'SER_se-appl'!C20</f>
        <v>505.64884795383324</v>
      </c>
      <c r="D8" s="34">
        <f>'SER_se-appl'!D20</f>
        <v>522.05615847565082</v>
      </c>
      <c r="E8" s="34">
        <f>'SER_se-appl'!E20</f>
        <v>537.71215007667263</v>
      </c>
      <c r="F8" s="34">
        <f>'SER_se-appl'!F20</f>
        <v>554.07800876875331</v>
      </c>
      <c r="G8" s="34">
        <f>'SER_se-appl'!G20</f>
        <v>572.62676018099023</v>
      </c>
      <c r="H8" s="34">
        <f>'SER_se-appl'!H20</f>
        <v>590.97660252443518</v>
      </c>
      <c r="I8" s="34">
        <f>'SER_se-appl'!I20</f>
        <v>612.56935986392295</v>
      </c>
      <c r="J8" s="34">
        <f>'SER_se-appl'!J20</f>
        <v>631.73629288896382</v>
      </c>
      <c r="K8" s="34">
        <f>'SER_se-appl'!K20</f>
        <v>647.50905642362989</v>
      </c>
      <c r="L8" s="34">
        <f>'SER_se-appl'!L20</f>
        <v>665.31744104546522</v>
      </c>
      <c r="M8" s="34">
        <f>'SER_se-appl'!M20</f>
        <v>685.69695350152267</v>
      </c>
      <c r="N8" s="34">
        <f>'SER_se-appl'!N20</f>
        <v>703.69532048513361</v>
      </c>
      <c r="O8" s="34">
        <f>'SER_se-appl'!O20</f>
        <v>720.30037961545202</v>
      </c>
      <c r="P8" s="34">
        <f>'SER_se-appl'!P20</f>
        <v>740.82311972973162</v>
      </c>
      <c r="Q8" s="34">
        <f>'SER_se-appl'!Q20</f>
        <v>751.40782121410882</v>
      </c>
      <c r="R8" s="34">
        <f>'SER_se-appl'!R20</f>
        <v>765.54929964583039</v>
      </c>
      <c r="S8" s="34">
        <f>'SER_se-appl'!S20</f>
        <v>780.43116260996953</v>
      </c>
      <c r="T8" s="34">
        <f>'SER_se-appl'!T20</f>
        <v>796.57695829541353</v>
      </c>
      <c r="U8" s="34">
        <f>'SER_se-appl'!U20</f>
        <v>812.58991995777808</v>
      </c>
      <c r="V8" s="34">
        <f>'SER_se-appl'!V20</f>
        <v>827.93156263427227</v>
      </c>
      <c r="W8" s="34">
        <f>'SER_se-appl'!W20</f>
        <v>842.69397254198941</v>
      </c>
      <c r="X8" s="34">
        <f>'SER_se-appl'!X20</f>
        <v>853.78778155475527</v>
      </c>
      <c r="Y8" s="34">
        <f>'SER_se-appl'!Y20</f>
        <v>863.02624372783703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37.274974199442966</v>
      </c>
      <c r="D9" s="36">
        <f>'SER_se-appl'!D28</f>
        <v>38.243993321987546</v>
      </c>
      <c r="E9" s="36">
        <f>'SER_se-appl'!E28</f>
        <v>38.110337951689132</v>
      </c>
      <c r="F9" s="36">
        <f>'SER_se-appl'!F28</f>
        <v>39.455339573847255</v>
      </c>
      <c r="G9" s="36">
        <f>'SER_se-appl'!G28</f>
        <v>42.291331982774068</v>
      </c>
      <c r="H9" s="36">
        <f>'SER_se-appl'!H28</f>
        <v>42.763995915585269</v>
      </c>
      <c r="I9" s="36">
        <f>'SER_se-appl'!I28</f>
        <v>46.697479754696019</v>
      </c>
      <c r="J9" s="36">
        <f>'SER_se-appl'!J28</f>
        <v>44.981757433446774</v>
      </c>
      <c r="K9" s="36">
        <f>'SER_se-appl'!K28</f>
        <v>42.317775593159467</v>
      </c>
      <c r="L9" s="36">
        <f>'SER_se-appl'!L28</f>
        <v>45.104238122047832</v>
      </c>
      <c r="M9" s="36">
        <f>'SER_se-appl'!M28</f>
        <v>48.447445394391593</v>
      </c>
      <c r="N9" s="36">
        <f>'SER_se-appl'!N28</f>
        <v>46.860218085819156</v>
      </c>
      <c r="O9" s="36">
        <f>'SER_se-appl'!O28</f>
        <v>46.28328484348981</v>
      </c>
      <c r="P9" s="36">
        <f>'SER_se-appl'!P28</f>
        <v>51.040432079454945</v>
      </c>
      <c r="Q9" s="36">
        <f>'SER_se-appl'!Q28</f>
        <v>41.965604503387453</v>
      </c>
      <c r="R9" s="36">
        <f>'SER_se-appl'!R28</f>
        <v>46.410008942228956</v>
      </c>
      <c r="S9" s="36">
        <f>'SER_se-appl'!S28</f>
        <v>48.063128037255865</v>
      </c>
      <c r="T9" s="36">
        <f>'SER_se-appl'!T28</f>
        <v>50.265612560709542</v>
      </c>
      <c r="U9" s="36">
        <f>'SER_se-appl'!U28</f>
        <v>53.287935861807568</v>
      </c>
      <c r="V9" s="36">
        <f>'SER_se-appl'!V28</f>
        <v>53.585635998481735</v>
      </c>
      <c r="W9" s="36">
        <f>'SER_se-appl'!W28</f>
        <v>52.872747859406331</v>
      </c>
      <c r="X9" s="36">
        <f>'SER_se-appl'!X28</f>
        <v>50.549148586613114</v>
      </c>
      <c r="Y9" s="36">
        <f>'SER_se-appl'!Y28</f>
        <v>51.529794155855825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21.236009646794685</v>
      </c>
      <c r="D10" s="38">
        <f>'SER_se-appl'!D36</f>
        <v>21.83668280016991</v>
      </c>
      <c r="E10" s="38">
        <f>'SER_se-appl'!E36</f>
        <v>22.454346350667379</v>
      </c>
      <c r="F10" s="38">
        <f>'SER_se-appl'!F36</f>
        <v>23.089480881766576</v>
      </c>
      <c r="G10" s="38">
        <f>'SER_se-appl'!G36</f>
        <v>23.742580570537143</v>
      </c>
      <c r="H10" s="38">
        <f>'SER_se-appl'!H36</f>
        <v>24.414153572140322</v>
      </c>
      <c r="I10" s="38">
        <f>'SER_se-appl'!I36</f>
        <v>25.104722415208244</v>
      </c>
      <c r="J10" s="38">
        <f>'SER_se-appl'!J36</f>
        <v>25.814824408405912</v>
      </c>
      <c r="K10" s="38">
        <f>'SER_se-appl'!K36</f>
        <v>26.545012058493398</v>
      </c>
      <c r="L10" s="38">
        <f>'SER_se-appl'!L36</f>
        <v>27.295853500212502</v>
      </c>
      <c r="M10" s="38">
        <f>'SER_se-appl'!M36</f>
        <v>28.067932938334138</v>
      </c>
      <c r="N10" s="38">
        <f>'SER_se-appl'!N36</f>
        <v>28.86185110220822</v>
      </c>
      <c r="O10" s="38">
        <f>'SER_se-appl'!O36</f>
        <v>29.6782257131714</v>
      </c>
      <c r="P10" s="38">
        <f>'SER_se-appl'!P36</f>
        <v>30.517691965175345</v>
      </c>
      <c r="Q10" s="38">
        <f>'SER_se-appl'!Q36</f>
        <v>31.380903019010248</v>
      </c>
      <c r="R10" s="38">
        <f>'SER_se-appl'!R36</f>
        <v>32.268530510507389</v>
      </c>
      <c r="S10" s="38">
        <f>'SER_se-appl'!S36</f>
        <v>33.18126507311672</v>
      </c>
      <c r="T10" s="38">
        <f>'SER_se-appl'!T36</f>
        <v>34.119816875265542</v>
      </c>
      <c r="U10" s="38">
        <f>'SER_se-appl'!U36</f>
        <v>37.274974199443022</v>
      </c>
      <c r="V10" s="38">
        <f>'SER_se-appl'!V36</f>
        <v>38.243993321987546</v>
      </c>
      <c r="W10" s="38">
        <f>'SER_se-appl'!W36</f>
        <v>38.110337951689189</v>
      </c>
      <c r="X10" s="38">
        <f>'SER_se-appl'!X36</f>
        <v>39.455339573847255</v>
      </c>
      <c r="Y10" s="38">
        <f>'SER_se-appl'!Y36</f>
        <v>42.291331982774068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8760.0000000000018</v>
      </c>
      <c r="C12" s="204">
        <f>'SER_se-appl'!C44</f>
        <v>8760</v>
      </c>
      <c r="D12" s="204">
        <f>'SER_se-appl'!D44</f>
        <v>8760.0000000000018</v>
      </c>
      <c r="E12" s="204">
        <f>'SER_se-appl'!E44</f>
        <v>8759.9999999999982</v>
      </c>
      <c r="F12" s="204">
        <f>'SER_se-appl'!F44</f>
        <v>8760</v>
      </c>
      <c r="G12" s="204">
        <f>'SER_se-appl'!G44</f>
        <v>8759.9999999999982</v>
      </c>
      <c r="H12" s="204">
        <f>'SER_se-appl'!H44</f>
        <v>8759.9999999999982</v>
      </c>
      <c r="I12" s="204">
        <f>'SER_se-appl'!I44</f>
        <v>8760</v>
      </c>
      <c r="J12" s="204">
        <f>'SER_se-appl'!J44</f>
        <v>8759.9999999999982</v>
      </c>
      <c r="K12" s="204">
        <f>'SER_se-appl'!K44</f>
        <v>8760</v>
      </c>
      <c r="L12" s="204">
        <f>'SER_se-appl'!L44</f>
        <v>8760.0000000000036</v>
      </c>
      <c r="M12" s="204">
        <f>'SER_se-appl'!M44</f>
        <v>8760</v>
      </c>
      <c r="N12" s="204">
        <f>'SER_se-appl'!N44</f>
        <v>8759.9999999999982</v>
      </c>
      <c r="O12" s="204">
        <f>'SER_se-appl'!O44</f>
        <v>8759.9999999999982</v>
      </c>
      <c r="P12" s="204">
        <f>'SER_se-appl'!P44</f>
        <v>8759.9999999999982</v>
      </c>
      <c r="Q12" s="204">
        <f>'SER_se-appl'!Q44</f>
        <v>8759.9999999999964</v>
      </c>
      <c r="R12" s="204">
        <f>'SER_se-appl'!R44</f>
        <v>8759.9999999999945</v>
      </c>
      <c r="S12" s="204">
        <f>'SER_se-appl'!S44</f>
        <v>8759.9999999999982</v>
      </c>
      <c r="T12" s="204">
        <f>'SER_se-appl'!T44</f>
        <v>8759.9999999999982</v>
      </c>
      <c r="U12" s="204">
        <f>'SER_se-appl'!U44</f>
        <v>8760</v>
      </c>
      <c r="V12" s="204">
        <f>'SER_se-appl'!V44</f>
        <v>8759.9999999999982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0.67100370497079864</v>
      </c>
      <c r="C14" s="59">
        <f>'SER_se-appl'!C52</f>
        <v>0.66577383098223553</v>
      </c>
      <c r="D14" s="59">
        <f>'SER_se-appl'!D52</f>
        <v>0.66022574297089931</v>
      </c>
      <c r="E14" s="59">
        <f>'SER_se-appl'!E52</f>
        <v>0.65454679741092037</v>
      </c>
      <c r="F14" s="59">
        <f>'SER_se-appl'!F52</f>
        <v>0.64851619860095955</v>
      </c>
      <c r="G14" s="59">
        <f>'SER_se-appl'!G52</f>
        <v>0.64199118681044454</v>
      </c>
      <c r="H14" s="59">
        <f>'SER_se-appl'!H52</f>
        <v>0.63532078237858813</v>
      </c>
      <c r="I14" s="59">
        <f>'SER_se-appl'!I52</f>
        <v>0.62814830707960823</v>
      </c>
      <c r="J14" s="59">
        <f>'SER_se-appl'!J52</f>
        <v>0.62111055426886086</v>
      </c>
      <c r="K14" s="59">
        <f>'SER_se-appl'!K52</f>
        <v>0.61418045301041824</v>
      </c>
      <c r="L14" s="59">
        <f>'SER_se-appl'!L52</f>
        <v>0.6066733288577022</v>
      </c>
      <c r="M14" s="59">
        <f>'SER_se-appl'!M52</f>
        <v>0.59853343947517612</v>
      </c>
      <c r="N14" s="59">
        <f>'SER_se-appl'!N52</f>
        <v>0.59020503028166615</v>
      </c>
      <c r="O14" s="59">
        <f>'SER_se-appl'!O52</f>
        <v>0.58151370675317149</v>
      </c>
      <c r="P14" s="59">
        <f>'SER_se-appl'!P52</f>
        <v>0.57184987151087463</v>
      </c>
      <c r="Q14" s="59">
        <f>'SER_se-appl'!Q52</f>
        <v>0.56268822051264078</v>
      </c>
      <c r="R14" s="59">
        <f>'SER_se-appl'!R52</f>
        <v>0.5530240299509912</v>
      </c>
      <c r="S14" s="59">
        <f>'SER_se-appl'!S52</f>
        <v>0.5431139329989646</v>
      </c>
      <c r="T14" s="59">
        <f>'SER_se-appl'!T52</f>
        <v>0.53295405440590649</v>
      </c>
      <c r="U14" s="59">
        <f>'SER_se-appl'!U52</f>
        <v>0.52540016099485443</v>
      </c>
      <c r="V14" s="59">
        <f>'SER_se-appl'!V52</f>
        <v>0.51807920079900172</v>
      </c>
      <c r="W14" s="59">
        <f>'SER_se-appl'!W52</f>
        <v>0.51120430285549623</v>
      </c>
      <c r="X14" s="59">
        <f>'SER_se-appl'!X52</f>
        <v>0.50472252585110444</v>
      </c>
      <c r="Y14" s="59">
        <f>'SER_se-appl'!Y52</f>
        <v>0.49825447470661838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0.60005852488532974</v>
      </c>
      <c r="D15" s="63">
        <f>'SER_se-appl'!D60</f>
        <v>0.59302487949891269</v>
      </c>
      <c r="E15" s="63">
        <f>'SER_se-appl'!E60</f>
        <v>0.58644980482286257</v>
      </c>
      <c r="F15" s="63">
        <f>'SER_se-appl'!F60</f>
        <v>0.57948875052003612</v>
      </c>
      <c r="G15" s="63">
        <f>'SER_se-appl'!G60</f>
        <v>0.572791817745956</v>
      </c>
      <c r="H15" s="63">
        <f>'SER_se-appl'!H60</f>
        <v>0.56637297561464217</v>
      </c>
      <c r="I15" s="63">
        <f>'SER_se-appl'!I60</f>
        <v>0.56041676712403143</v>
      </c>
      <c r="J15" s="63">
        <f>'SER_se-appl'!J60</f>
        <v>0.55390266862588089</v>
      </c>
      <c r="K15" s="63">
        <f>'SER_se-appl'!K60</f>
        <v>0.54636917206193569</v>
      </c>
      <c r="L15" s="63">
        <f>'SER_se-appl'!L60</f>
        <v>0.53783327116330526</v>
      </c>
      <c r="M15" s="63">
        <f>'SER_se-appl'!M60</f>
        <v>0.52873574849491178</v>
      </c>
      <c r="N15" s="63">
        <f>'SER_se-appl'!N60</f>
        <v>0.51810196223399829</v>
      </c>
      <c r="O15" s="63">
        <f>'SER_se-appl'!O60</f>
        <v>0.50675368612475924</v>
      </c>
      <c r="P15" s="63">
        <f>'SER_se-appl'!P60</f>
        <v>0.49475573483221474</v>
      </c>
      <c r="Q15" s="63">
        <f>'SER_se-appl'!Q60</f>
        <v>0.48195245603974807</v>
      </c>
      <c r="R15" s="63">
        <f>'SER_se-appl'!R60</f>
        <v>0.47858496584671462</v>
      </c>
      <c r="S15" s="63">
        <f>'SER_se-appl'!S60</f>
        <v>0.4735570087280967</v>
      </c>
      <c r="T15" s="63">
        <f>'SER_se-appl'!T60</f>
        <v>0.46891709352136191</v>
      </c>
      <c r="U15" s="63">
        <f>'SER_se-appl'!U60</f>
        <v>0.46470408041741779</v>
      </c>
      <c r="V15" s="63">
        <f>'SER_se-appl'!V60</f>
        <v>0.46055041782555411</v>
      </c>
      <c r="W15" s="63">
        <f>'SER_se-appl'!W60</f>
        <v>0.45778711531860078</v>
      </c>
      <c r="X15" s="63">
        <f>'SER_se-appl'!X60</f>
        <v>0.45502381281164744</v>
      </c>
      <c r="Y15" s="63">
        <f>'SER_se-appl'!Y60</f>
        <v>0.45226051030469411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572.87292269982902</v>
      </c>
      <c r="C3" s="198">
        <f>'SER_se-appl'!C5</f>
        <v>579.34942156057161</v>
      </c>
      <c r="D3" s="198">
        <f>'SER_se-appl'!D5</f>
        <v>587.64152689356411</v>
      </c>
      <c r="E3" s="198">
        <f>'SER_se-appl'!E5</f>
        <v>596.87580275329344</v>
      </c>
      <c r="F3" s="198">
        <f>'SER_se-appl'!F5</f>
        <v>604.49182864006457</v>
      </c>
      <c r="G3" s="198">
        <f>'SER_se-appl'!G5</f>
        <v>613.4422779703151</v>
      </c>
      <c r="H3" s="198">
        <f>'SER_se-appl'!H5</f>
        <v>622.05904874281271</v>
      </c>
      <c r="I3" s="198">
        <f>'SER_se-appl'!I5</f>
        <v>625.96231664700849</v>
      </c>
      <c r="J3" s="198">
        <f>'SER_se-appl'!J5</f>
        <v>633.01128649697716</v>
      </c>
      <c r="K3" s="198">
        <f>'SER_se-appl'!K5</f>
        <v>644.69038610669338</v>
      </c>
      <c r="L3" s="198">
        <f>'SER_se-appl'!L5</f>
        <v>655.7508821401168</v>
      </c>
      <c r="M3" s="198">
        <f>'SER_se-appl'!M5</f>
        <v>664.06910669506578</v>
      </c>
      <c r="N3" s="198">
        <f>'SER_se-appl'!N5</f>
        <v>671.55134650128059</v>
      </c>
      <c r="O3" s="198">
        <f>'SER_se-appl'!O5</f>
        <v>680.96106712960852</v>
      </c>
      <c r="P3" s="198">
        <f>'SER_se-appl'!P5</f>
        <v>693.82052938521076</v>
      </c>
      <c r="Q3" s="198">
        <f>'SER_se-appl'!Q5</f>
        <v>706.31646968081611</v>
      </c>
      <c r="R3" s="198">
        <f>'SER_se-appl'!R5</f>
        <v>698.46597447376359</v>
      </c>
      <c r="S3" s="198">
        <f>'SER_se-appl'!S5</f>
        <v>692.94186511799785</v>
      </c>
      <c r="T3" s="198">
        <f>'SER_se-appl'!T5</f>
        <v>674.92462796908274</v>
      </c>
      <c r="U3" s="198">
        <f>'SER_se-appl'!U5</f>
        <v>654.9178965785386</v>
      </c>
      <c r="V3" s="198">
        <f>'SER_se-appl'!V5</f>
        <v>630.6908088427341</v>
      </c>
      <c r="W3" s="198">
        <f>'SER_se-appl'!W5</f>
        <v>607.07950699506284</v>
      </c>
      <c r="X3" s="198">
        <f>'SER_se-appl'!X5</f>
        <v>583.13336030993958</v>
      </c>
      <c r="Y3" s="198">
        <f>'SER_se-appl'!Y5</f>
        <v>563.6009546108927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1652.2491442465123</v>
      </c>
      <c r="C5" s="59">
        <f>'SER_se-appl'!C13</f>
        <v>1676.8612119964457</v>
      </c>
      <c r="D5" s="59">
        <f>'SER_se-appl'!D13</f>
        <v>1707.6183752020211</v>
      </c>
      <c r="E5" s="59">
        <f>'SER_se-appl'!E13</f>
        <v>1741.2307878925903</v>
      </c>
      <c r="F5" s="59">
        <f>'SER_se-appl'!F13</f>
        <v>1766.3545559196068</v>
      </c>
      <c r="G5" s="59">
        <f>'SER_se-appl'!G13</f>
        <v>1797.216767695375</v>
      </c>
      <c r="H5" s="59">
        <f>'SER_se-appl'!H13</f>
        <v>1825.3880562203028</v>
      </c>
      <c r="I5" s="59">
        <f>'SER_se-appl'!I13</f>
        <v>1843.9854837693815</v>
      </c>
      <c r="J5" s="59">
        <f>'SER_se-appl'!J13</f>
        <v>1870.7996088105331</v>
      </c>
      <c r="K5" s="59">
        <f>'SER_se-appl'!K13</f>
        <v>1909.9160040229365</v>
      </c>
      <c r="L5" s="59">
        <f>'SER_se-appl'!L13</f>
        <v>1947.2940978293339</v>
      </c>
      <c r="M5" s="59">
        <f>'SER_se-appl'!M13</f>
        <v>1979.4687957847279</v>
      </c>
      <c r="N5" s="59">
        <f>'SER_se-appl'!N13</f>
        <v>2012.7004783859159</v>
      </c>
      <c r="O5" s="59">
        <f>'SER_se-appl'!O13</f>
        <v>2053.6423244768598</v>
      </c>
      <c r="P5" s="59">
        <f>'SER_se-appl'!P13</f>
        <v>2109.7076711190912</v>
      </c>
      <c r="Q5" s="59">
        <f>'SER_se-appl'!Q13</f>
        <v>2164.8897249391871</v>
      </c>
      <c r="R5" s="59">
        <f>'SER_se-appl'!R13</f>
        <v>2135.7396969238625</v>
      </c>
      <c r="S5" s="59">
        <f>'SER_se-appl'!S13</f>
        <v>2096.221408089119</v>
      </c>
      <c r="T5" s="59">
        <f>'SER_se-appl'!T13</f>
        <v>2051.9380020470458</v>
      </c>
      <c r="U5" s="59">
        <f>'SER_se-appl'!U13</f>
        <v>1995.2734444774187</v>
      </c>
      <c r="V5" s="59">
        <f>'SER_se-appl'!V13</f>
        <v>1924.8583468473428</v>
      </c>
      <c r="W5" s="59">
        <f>'SER_se-appl'!W13</f>
        <v>1850.0186623984864</v>
      </c>
      <c r="X5" s="59">
        <f>'SER_se-appl'!X13</f>
        <v>1787.1769337460382</v>
      </c>
      <c r="Y5" s="59">
        <f>'SER_se-appl'!Y13</f>
        <v>1737.2192279395567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0.14952511537127425</v>
      </c>
      <c r="C6" s="201">
        <f>'SER_se-appl'!C69</f>
        <v>0.15213603568163411</v>
      </c>
      <c r="D6" s="201">
        <f>'SER_se-appl'!D69</f>
        <v>0.15555792561234719</v>
      </c>
      <c r="E6" s="201">
        <f>'SER_se-appl'!E69</f>
        <v>0.15957060734047168</v>
      </c>
      <c r="F6" s="201">
        <f>'SER_se-appl'!F69</f>
        <v>0.16302393038194088</v>
      </c>
      <c r="G6" s="201">
        <f>'SER_se-appl'!G69</f>
        <v>0.16716350846843167</v>
      </c>
      <c r="H6" s="201">
        <f>'SER_se-appl'!H69</f>
        <v>0.17155491624168517</v>
      </c>
      <c r="I6" s="201">
        <f>'SER_se-appl'!I69</f>
        <v>0.17563200798188197</v>
      </c>
      <c r="J6" s="201">
        <f>'SER_se-appl'!J69</f>
        <v>0.17920573072670759</v>
      </c>
      <c r="K6" s="201">
        <f>'SER_se-appl'!K69</f>
        <v>0.18443565316543656</v>
      </c>
      <c r="L6" s="201">
        <f>'SER_se-appl'!L69</f>
        <v>0.19019066158526179</v>
      </c>
      <c r="M6" s="201">
        <f>'SER_se-appl'!M69</f>
        <v>0.19581840696787481</v>
      </c>
      <c r="N6" s="201">
        <f>'SER_se-appl'!N69</f>
        <v>0.20259868457162136</v>
      </c>
      <c r="O6" s="201">
        <f>'SER_se-appl'!O69</f>
        <v>0.21097972816134486</v>
      </c>
      <c r="P6" s="201">
        <f>'SER_se-appl'!P69</f>
        <v>0.22154771887699773</v>
      </c>
      <c r="Q6" s="201">
        <f>'SER_se-appl'!Q69</f>
        <v>0.23393071676521712</v>
      </c>
      <c r="R6" s="201">
        <f>'SER_se-appl'!R69</f>
        <v>0.23838676332034914</v>
      </c>
      <c r="S6" s="201">
        <f>'SER_se-appl'!S69</f>
        <v>0.24263795661664136</v>
      </c>
      <c r="T6" s="201">
        <f>'SER_se-appl'!T69</f>
        <v>0.24695223875546918</v>
      </c>
      <c r="U6" s="201">
        <f>'SER_se-appl'!U69</f>
        <v>0.25083754287149518</v>
      </c>
      <c r="V6" s="201">
        <f>'SER_se-appl'!V69</f>
        <v>0.25459090696826303</v>
      </c>
      <c r="W6" s="201">
        <f>'SER_se-appl'!W69</f>
        <v>0.25742370472949261</v>
      </c>
      <c r="X6" s="201">
        <f>'SER_se-appl'!X69</f>
        <v>0.25942539685784088</v>
      </c>
      <c r="Y6" s="201">
        <f>'SER_se-appl'!Y69</f>
        <v>0.26083583527342896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9053.0013997063379</v>
      </c>
      <c r="C8" s="34">
        <f>'SER_se-appl'!C21</f>
        <v>9277.1512426816062</v>
      </c>
      <c r="D8" s="34">
        <f>'SER_se-appl'!D21</f>
        <v>9554.9956228981355</v>
      </c>
      <c r="E8" s="34">
        <f>'SER_se-appl'!E21</f>
        <v>9871.6900947243867</v>
      </c>
      <c r="F8" s="34">
        <f>'SER_se-appl'!F21</f>
        <v>10155.125960119083</v>
      </c>
      <c r="G8" s="34">
        <f>'SER_se-appl'!G21</f>
        <v>10493.333185832762</v>
      </c>
      <c r="H8" s="34">
        <f>'SER_se-appl'!H21</f>
        <v>10847.354736417325</v>
      </c>
      <c r="I8" s="34">
        <f>'SER_se-appl'!I21</f>
        <v>11178.110564087396</v>
      </c>
      <c r="J8" s="34">
        <f>'SER_se-appl'!J21</f>
        <v>11470.455793330402</v>
      </c>
      <c r="K8" s="34">
        <f>'SER_se-appl'!K21</f>
        <v>11868.475963653458</v>
      </c>
      <c r="L8" s="34">
        <f>'SER_se-appl'!L21</f>
        <v>12297.510599986173</v>
      </c>
      <c r="M8" s="34">
        <f>'SER_se-appl'!M21</f>
        <v>12724.029633029993</v>
      </c>
      <c r="N8" s="34">
        <f>'SER_se-appl'!N21</f>
        <v>13225.030888604089</v>
      </c>
      <c r="O8" s="34">
        <f>'SER_se-appl'!O21</f>
        <v>13840.344010289078</v>
      </c>
      <c r="P8" s="34">
        <f>'SER_se-appl'!P21</f>
        <v>14658.921936261055</v>
      </c>
      <c r="Q8" s="34">
        <f>'SER_se-appl'!Q21</f>
        <v>15546.603366182466</v>
      </c>
      <c r="R8" s="34">
        <f>'SER_se-appl'!R21</f>
        <v>15885.710343365883</v>
      </c>
      <c r="S8" s="34">
        <f>'SER_se-appl'!S21</f>
        <v>16210.597236173791</v>
      </c>
      <c r="T8" s="34">
        <f>'SER_se-appl'!T21</f>
        <v>16552.276072125558</v>
      </c>
      <c r="U8" s="34">
        <f>'SER_se-appl'!U21</f>
        <v>16878.976404305602</v>
      </c>
      <c r="V8" s="34">
        <f>'SER_se-appl'!V21</f>
        <v>17178.178004550049</v>
      </c>
      <c r="W8" s="34">
        <f>'SER_se-appl'!W21</f>
        <v>17434.938890583362</v>
      </c>
      <c r="X8" s="34">
        <f>'SER_se-appl'!X21</f>
        <v>17664.717073501233</v>
      </c>
      <c r="Y8" s="34">
        <f>'SER_se-appl'!Y21</f>
        <v>17809.14310048932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1359.7984393495899</v>
      </c>
      <c r="D9" s="36">
        <f>'SER_se-appl'!D29</f>
        <v>1462.3768358594998</v>
      </c>
      <c r="E9" s="36">
        <f>'SER_se-appl'!E29</f>
        <v>1552.2149866678719</v>
      </c>
      <c r="F9" s="36">
        <f>'SER_se-appl'!F29</f>
        <v>1572.1392144016299</v>
      </c>
      <c r="G9" s="36">
        <f>'SER_se-appl'!G29</f>
        <v>1682.3826576809715</v>
      </c>
      <c r="H9" s="36">
        <f>'SER_se-appl'!H29</f>
        <v>1756.0568547503899</v>
      </c>
      <c r="I9" s="36">
        <f>'SER_se-appl'!I29</f>
        <v>1793.1415753774418</v>
      </c>
      <c r="J9" s="36">
        <f>'SER_se-appl'!J29</f>
        <v>1652.1436685925964</v>
      </c>
      <c r="K9" s="36">
        <f>'SER_se-appl'!K29</f>
        <v>1860.3970061825567</v>
      </c>
      <c r="L9" s="36">
        <f>'SER_se-appl'!L29</f>
        <v>1981.2496230005872</v>
      </c>
      <c r="M9" s="36">
        <f>'SER_se-appl'!M29</f>
        <v>1998.6582474454499</v>
      </c>
      <c r="N9" s="36">
        <f>'SER_se-appl'!N29</f>
        <v>2183.3839132550675</v>
      </c>
      <c r="O9" s="36">
        <f>'SER_se-appl'!O29</f>
        <v>2371.3699764353787</v>
      </c>
      <c r="P9" s="36">
        <f>'SER_se-appl'!P29</f>
        <v>2611.7195013494184</v>
      </c>
      <c r="Q9" s="36">
        <f>'SER_se-appl'!Q29</f>
        <v>2539.8250985140075</v>
      </c>
      <c r="R9" s="36">
        <f>'SER_se-appl'!R29</f>
        <v>2199.5039833659739</v>
      </c>
      <c r="S9" s="36">
        <f>'SER_se-appl'!S29</f>
        <v>2306.1365158084955</v>
      </c>
      <c r="T9" s="36">
        <f>'SER_se-appl'!T29</f>
        <v>2340.3370833972167</v>
      </c>
      <c r="U9" s="36">
        <f>'SER_se-appl'!U29</f>
        <v>2510.0842454351114</v>
      </c>
      <c r="V9" s="36">
        <f>'SER_se-appl'!V29</f>
        <v>2670.5715766798257</v>
      </c>
      <c r="W9" s="36">
        <f>'SER_se-appl'!W29</f>
        <v>2868.4803873827314</v>
      </c>
      <c r="X9" s="36">
        <f>'SER_se-appl'!X29</f>
        <v>2769.6032814318787</v>
      </c>
      <c r="Y9" s="36">
        <f>'SER_se-appl'!Y29</f>
        <v>2343.9300103540609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1135.6485963743216</v>
      </c>
      <c r="D10" s="38">
        <f>'SER_se-appl'!D37</f>
        <v>1184.5324556429696</v>
      </c>
      <c r="E10" s="38">
        <f>'SER_se-appl'!E37</f>
        <v>1235.5205148416208</v>
      </c>
      <c r="F10" s="38">
        <f>'SER_se-appl'!F37</f>
        <v>1288.7033490069334</v>
      </c>
      <c r="G10" s="38">
        <f>'SER_se-appl'!G37</f>
        <v>1344.1754319672928</v>
      </c>
      <c r="H10" s="38">
        <f>'SER_se-appl'!H37</f>
        <v>1402.0353041658273</v>
      </c>
      <c r="I10" s="38">
        <f>'SER_se-appl'!I37</f>
        <v>1462.3857477073707</v>
      </c>
      <c r="J10" s="38">
        <f>'SER_se-appl'!J37</f>
        <v>1359.7984393495899</v>
      </c>
      <c r="K10" s="38">
        <f>'SER_se-appl'!K37</f>
        <v>1462.3768358595007</v>
      </c>
      <c r="L10" s="38">
        <f>'SER_se-appl'!L37</f>
        <v>1552.2149866678719</v>
      </c>
      <c r="M10" s="38">
        <f>'SER_se-appl'!M37</f>
        <v>1572.1392144016299</v>
      </c>
      <c r="N10" s="38">
        <f>'SER_se-appl'!N37</f>
        <v>1682.3826576809715</v>
      </c>
      <c r="O10" s="38">
        <f>'SER_se-appl'!O37</f>
        <v>1756.0568547503899</v>
      </c>
      <c r="P10" s="38">
        <f>'SER_se-appl'!P37</f>
        <v>1793.1415753774399</v>
      </c>
      <c r="Q10" s="38">
        <f>'SER_se-appl'!Q37</f>
        <v>1652.1436685925983</v>
      </c>
      <c r="R10" s="38">
        <f>'SER_se-appl'!R37</f>
        <v>1860.3970061825548</v>
      </c>
      <c r="S10" s="38">
        <f>'SER_se-appl'!S37</f>
        <v>1981.2496230005891</v>
      </c>
      <c r="T10" s="38">
        <f>'SER_se-appl'!T37</f>
        <v>1998.6582474454517</v>
      </c>
      <c r="U10" s="38">
        <f>'SER_se-appl'!U37</f>
        <v>2183.3839132550675</v>
      </c>
      <c r="V10" s="38">
        <f>'SER_se-appl'!V37</f>
        <v>2371.3699764353805</v>
      </c>
      <c r="W10" s="38">
        <f>'SER_se-appl'!W37</f>
        <v>2611.7195013494202</v>
      </c>
      <c r="X10" s="38">
        <f>'SER_se-appl'!X37</f>
        <v>2539.8250985140075</v>
      </c>
      <c r="Y10" s="38">
        <f>'SER_se-appl'!Y37</f>
        <v>2199.5039833659721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4032.3894941627386</v>
      </c>
      <c r="C12" s="204">
        <f>'SER_se-appl'!C45</f>
        <v>4018.1225044423832</v>
      </c>
      <c r="D12" s="204">
        <f>'SER_se-appl'!D45</f>
        <v>4002.2238323381926</v>
      </c>
      <c r="E12" s="204">
        <f>'SER_se-appl'!E45</f>
        <v>3986.6430310609735</v>
      </c>
      <c r="F12" s="204">
        <f>'SER_se-appl'!F45</f>
        <v>3980.0842608429984</v>
      </c>
      <c r="G12" s="204">
        <f>'SER_se-appl'!G45</f>
        <v>3969.6567609611916</v>
      </c>
      <c r="H12" s="204">
        <f>'SER_se-appl'!H45</f>
        <v>3963.292469360711</v>
      </c>
      <c r="I12" s="204">
        <f>'SER_se-appl'!I45</f>
        <v>3947.9387482614134</v>
      </c>
      <c r="J12" s="204">
        <f>'SER_se-appl'!J45</f>
        <v>3935.1736162915936</v>
      </c>
      <c r="K12" s="204">
        <f>'SER_se-appl'!K45</f>
        <v>3925.6957764781382</v>
      </c>
      <c r="L12" s="204">
        <f>'SER_se-appl'!L45</f>
        <v>3916.4000793669306</v>
      </c>
      <c r="M12" s="204">
        <f>'SER_se-appl'!M45</f>
        <v>3901.6142751580528</v>
      </c>
      <c r="N12" s="204">
        <f>'SER_se-appl'!N45</f>
        <v>3880.4294248855313</v>
      </c>
      <c r="O12" s="204">
        <f>'SER_se-appl'!O45</f>
        <v>3856.3566383132279</v>
      </c>
      <c r="P12" s="204">
        <f>'SER_se-appl'!P45</f>
        <v>3824.7634339167671</v>
      </c>
      <c r="Q12" s="204">
        <f>'SER_se-appl'!Q45</f>
        <v>3794.4013719306836</v>
      </c>
      <c r="R12" s="204">
        <f>'SER_se-appl'!R45</f>
        <v>3803.440697773131</v>
      </c>
      <c r="S12" s="204">
        <f>'SER_se-appl'!S45</f>
        <v>3844.4955576847619</v>
      </c>
      <c r="T12" s="204">
        <f>'SER_se-appl'!T45</f>
        <v>3825.3462899219048</v>
      </c>
      <c r="U12" s="204">
        <f>'SER_se-appl'!U45</f>
        <v>3817.3690720387899</v>
      </c>
      <c r="V12" s="204">
        <f>'SER_se-appl'!V45</f>
        <v>3810.6357898255869</v>
      </c>
      <c r="W12" s="204">
        <f>'SER_se-appl'!W45</f>
        <v>3816.3586183498796</v>
      </c>
      <c r="X12" s="204">
        <f>'SER_se-appl'!X45</f>
        <v>3794.7227565148914</v>
      </c>
      <c r="Y12" s="204">
        <f>'SER_se-appl'!Y45</f>
        <v>3773.0868946799037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182.50843795297635</v>
      </c>
      <c r="C14" s="59">
        <f>'SER_se-appl'!C53</f>
        <v>180.75173812858318</v>
      </c>
      <c r="D14" s="59">
        <f>'SER_se-appl'!D53</f>
        <v>178.7147208220365</v>
      </c>
      <c r="E14" s="59">
        <f>'SER_se-appl'!E53</f>
        <v>176.38628960031232</v>
      </c>
      <c r="F14" s="59">
        <f>'SER_se-appl'!F53</f>
        <v>173.93723749526922</v>
      </c>
      <c r="G14" s="59">
        <f>'SER_se-appl'!G53</f>
        <v>171.27224837593357</v>
      </c>
      <c r="H14" s="59">
        <f>'SER_se-appl'!H53</f>
        <v>168.27955760421585</v>
      </c>
      <c r="I14" s="59">
        <f>'SER_se-appl'!I53</f>
        <v>164.96396892813596</v>
      </c>
      <c r="J14" s="59">
        <f>'SER_se-appl'!J53</f>
        <v>163.09723366863295</v>
      </c>
      <c r="K14" s="59">
        <f>'SER_se-appl'!K53</f>
        <v>160.92344205540351</v>
      </c>
      <c r="L14" s="59">
        <f>'SER_se-appl'!L53</f>
        <v>158.34864153981889</v>
      </c>
      <c r="M14" s="59">
        <f>'SER_se-appl'!M53</f>
        <v>155.56933242644089</v>
      </c>
      <c r="N14" s="59">
        <f>'SER_se-appl'!N53</f>
        <v>152.18871663432142</v>
      </c>
      <c r="O14" s="59">
        <f>'SER_se-appl'!O53</f>
        <v>148.38087282730527</v>
      </c>
      <c r="P14" s="59">
        <f>'SER_se-appl'!P53</f>
        <v>143.91970161873985</v>
      </c>
      <c r="Q14" s="59">
        <f>'SER_se-appl'!Q53</f>
        <v>139.25162133153364</v>
      </c>
      <c r="R14" s="59">
        <f>'SER_se-appl'!R53</f>
        <v>134.44407903457591</v>
      </c>
      <c r="S14" s="59">
        <f>'SER_se-appl'!S53</f>
        <v>129.31179385614621</v>
      </c>
      <c r="T14" s="59">
        <f>'SER_se-appl'!T53</f>
        <v>123.96712047973631</v>
      </c>
      <c r="U14" s="59">
        <f>'SER_se-appl'!U53</f>
        <v>118.2105713453365</v>
      </c>
      <c r="V14" s="59">
        <f>'SER_se-appl'!V53</f>
        <v>112.05253236620894</v>
      </c>
      <c r="W14" s="59">
        <f>'SER_se-appl'!W53</f>
        <v>106.10984495034189</v>
      </c>
      <c r="X14" s="59">
        <f>'SER_se-appl'!X53</f>
        <v>101.1721232958197</v>
      </c>
      <c r="Y14" s="59">
        <f>'SER_se-appl'!Y53</f>
        <v>97.546480374556893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170.52344849624251</v>
      </c>
      <c r="D15" s="63">
        <f>'SER_se-appl'!D61</f>
        <v>168.86504581730301</v>
      </c>
      <c r="E15" s="63">
        <f>'SER_se-appl'!E61</f>
        <v>166.92618879385387</v>
      </c>
      <c r="F15" s="63">
        <f>'SER_se-appl'!F61</f>
        <v>165.58521080979634</v>
      </c>
      <c r="G15" s="63">
        <f>'SER_se-appl'!G61</f>
        <v>164.16334829531917</v>
      </c>
      <c r="H15" s="63">
        <f>'SER_se-appl'!H61</f>
        <v>161.7570416782066</v>
      </c>
      <c r="I15" s="63">
        <f>'SER_se-appl'!I61</f>
        <v>159.21507256768163</v>
      </c>
      <c r="J15" s="63">
        <f>'SER_se-appl'!J61</f>
        <v>156.5793877957496</v>
      </c>
      <c r="K15" s="63">
        <f>'SER_se-appl'!K61</f>
        <v>153.76326969530191</v>
      </c>
      <c r="L15" s="63">
        <f>'SER_se-appl'!L61</f>
        <v>149.64465975294206</v>
      </c>
      <c r="M15" s="63">
        <f>'SER_se-appl'!M61</f>
        <v>146.34703134879948</v>
      </c>
      <c r="N15" s="63">
        <f>'SER_se-appl'!N61</f>
        <v>141.71454269752471</v>
      </c>
      <c r="O15" s="63">
        <f>'SER_se-appl'!O61</f>
        <v>137.05006437782205</v>
      </c>
      <c r="P15" s="63">
        <f>'SER_se-appl'!P61</f>
        <v>130.7799373223659</v>
      </c>
      <c r="Q15" s="63">
        <f>'SER_se-appl'!Q61</f>
        <v>123.58083168112195</v>
      </c>
      <c r="R15" s="63">
        <f>'SER_se-appl'!R61</f>
        <v>116.80392512565358</v>
      </c>
      <c r="S15" s="63">
        <f>'SER_se-appl'!S61</f>
        <v>111.42668056437066</v>
      </c>
      <c r="T15" s="63">
        <f>'SER_se-appl'!T61</f>
        <v>106.05920698913009</v>
      </c>
      <c r="U15" s="63">
        <f>'SER_se-appl'!U61</f>
        <v>100.69490523678955</v>
      </c>
      <c r="V15" s="63">
        <f>'SER_se-appl'!V61</f>
        <v>95.328398057967064</v>
      </c>
      <c r="W15" s="63">
        <f>'SER_se-appl'!W61</f>
        <v>92.983319465741076</v>
      </c>
      <c r="X15" s="63">
        <f>'SER_se-appl'!X61</f>
        <v>90.638240873515088</v>
      </c>
      <c r="Y15" s="63">
        <f>'SER_se-appl'!Y61</f>
        <v>88.293162281289113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1493.4357347996131</v>
      </c>
      <c r="C3" s="198">
        <f>'SER_se-appl'!C6</f>
        <v>1517.8125024512256</v>
      </c>
      <c r="D3" s="198">
        <f>'SER_se-appl'!D6</f>
        <v>1544.1833371280397</v>
      </c>
      <c r="E3" s="198">
        <f>'SER_se-appl'!E6</f>
        <v>1565.5355693745362</v>
      </c>
      <c r="F3" s="198">
        <f>'SER_se-appl'!F6</f>
        <v>1590.8484370115088</v>
      </c>
      <c r="G3" s="198">
        <f>'SER_se-appl'!G6</f>
        <v>1604.3519562033807</v>
      </c>
      <c r="H3" s="198">
        <f>'SER_se-appl'!H6</f>
        <v>1616.0659127924546</v>
      </c>
      <c r="I3" s="198">
        <f>'SER_se-appl'!I6</f>
        <v>1645.4181153265786</v>
      </c>
      <c r="J3" s="198">
        <f>'SER_se-appl'!J6</f>
        <v>1665.0950569363197</v>
      </c>
      <c r="K3" s="198">
        <f>'SER_se-appl'!K6</f>
        <v>1672.7307542688206</v>
      </c>
      <c r="L3" s="198">
        <f>'SER_se-appl'!L6</f>
        <v>1694.6566163172954</v>
      </c>
      <c r="M3" s="198">
        <f>'SER_se-appl'!M6</f>
        <v>1711.4820492092799</v>
      </c>
      <c r="N3" s="198">
        <f>'SER_se-appl'!N6</f>
        <v>1716.9143685637468</v>
      </c>
      <c r="O3" s="198">
        <f>'SER_se-appl'!O6</f>
        <v>1709.3369845342725</v>
      </c>
      <c r="P3" s="198">
        <f>'SER_se-appl'!P6</f>
        <v>1720.0717912338077</v>
      </c>
      <c r="Q3" s="198">
        <f>'SER_se-appl'!Q6</f>
        <v>1708.4030967585761</v>
      </c>
      <c r="R3" s="198">
        <f>'SER_se-appl'!R6</f>
        <v>1658.7940344393805</v>
      </c>
      <c r="S3" s="198">
        <f>'SER_se-appl'!S6</f>
        <v>1625.3341469453098</v>
      </c>
      <c r="T3" s="198">
        <f>'SER_se-appl'!T6</f>
        <v>1547.6096093111432</v>
      </c>
      <c r="U3" s="198">
        <f>'SER_se-appl'!U6</f>
        <v>1475.6285028096418</v>
      </c>
      <c r="V3" s="198">
        <f>'SER_se-appl'!V6</f>
        <v>1288.2494070161351</v>
      </c>
      <c r="W3" s="198">
        <f>'SER_se-appl'!W6</f>
        <v>1271.2790514430465</v>
      </c>
      <c r="X3" s="198">
        <f>'SER_se-appl'!X6</f>
        <v>1215.3859801921419</v>
      </c>
      <c r="Y3" s="198">
        <f>'SER_se-appl'!Y6</f>
        <v>1152.7049580259306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6989.0254473619916</v>
      </c>
      <c r="C5" s="59">
        <f>'SER_se-appl'!C14</f>
        <v>7055.6930712893291</v>
      </c>
      <c r="D5" s="59">
        <f>'SER_se-appl'!D14</f>
        <v>7139.3293054412761</v>
      </c>
      <c r="E5" s="59">
        <f>'SER_se-appl'!E14</f>
        <v>7204.0351666253264</v>
      </c>
      <c r="F5" s="59">
        <f>'SER_se-appl'!F14</f>
        <v>7272.0432211056805</v>
      </c>
      <c r="G5" s="59">
        <f>'SER_se-appl'!G14</f>
        <v>7298.2194488195564</v>
      </c>
      <c r="H5" s="59">
        <f>'SER_se-appl'!H14</f>
        <v>7310.5108977601176</v>
      </c>
      <c r="I5" s="59">
        <f>'SER_se-appl'!I14</f>
        <v>7402.5985131134876</v>
      </c>
      <c r="J5" s="59">
        <f>'SER_se-appl'!J14</f>
        <v>7466.4253034097765</v>
      </c>
      <c r="K5" s="59">
        <f>'SER_se-appl'!K14</f>
        <v>7486.4885015040882</v>
      </c>
      <c r="L5" s="59">
        <f>'SER_se-appl'!L14</f>
        <v>7566.5587044351269</v>
      </c>
      <c r="M5" s="59">
        <f>'SER_se-appl'!M14</f>
        <v>7623.408004971222</v>
      </c>
      <c r="N5" s="59">
        <f>'SER_se-appl'!N14</f>
        <v>7628.2209295423145</v>
      </c>
      <c r="O5" s="59">
        <f>'SER_se-appl'!O14</f>
        <v>7574.5102722522743</v>
      </c>
      <c r="P5" s="59">
        <f>'SER_se-appl'!P14</f>
        <v>7598.1482002333987</v>
      </c>
      <c r="Q5" s="59">
        <f>'SER_se-appl'!Q14</f>
        <v>7521.8497852896098</v>
      </c>
      <c r="R5" s="59">
        <f>'SER_se-appl'!R14</f>
        <v>7273.2933894189337</v>
      </c>
      <c r="S5" s="59">
        <f>'SER_se-appl'!S14</f>
        <v>7022.8344215685702</v>
      </c>
      <c r="T5" s="59">
        <f>'SER_se-appl'!T14</f>
        <v>6738.0904087123145</v>
      </c>
      <c r="U5" s="59">
        <f>'SER_se-appl'!U14</f>
        <v>6436.036862132155</v>
      </c>
      <c r="V5" s="59">
        <f>'SER_se-appl'!V14</f>
        <v>6064.5432280870109</v>
      </c>
      <c r="W5" s="59">
        <f>'SER_se-appl'!W14</f>
        <v>5727.526496393054</v>
      </c>
      <c r="X5" s="59">
        <f>'SER_se-appl'!X14</f>
        <v>5425.9849946335316</v>
      </c>
      <c r="Y5" s="59">
        <f>'SER_se-appl'!Y14</f>
        <v>5122.8905036628084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176.88634797339392</v>
      </c>
      <c r="C6" s="201">
        <f>'SER_se-appl'!C70</f>
        <v>177.90895631463283</v>
      </c>
      <c r="D6" s="201">
        <f>'SER_se-appl'!D70</f>
        <v>180.41378511710727</v>
      </c>
      <c r="E6" s="201">
        <f>'SER_se-appl'!E70</f>
        <v>183.10524170924498</v>
      </c>
      <c r="F6" s="201">
        <f>'SER_se-appl'!F70</f>
        <v>186.55007869135511</v>
      </c>
      <c r="G6" s="201">
        <f>'SER_se-appl'!G70</f>
        <v>189.61770502542726</v>
      </c>
      <c r="H6" s="201">
        <f>'SER_se-appl'!H70</f>
        <v>192.86747146225608</v>
      </c>
      <c r="I6" s="201">
        <f>'SER_se-appl'!I70</f>
        <v>196.36775224166922</v>
      </c>
      <c r="J6" s="201">
        <f>'SER_se-appl'!J70</f>
        <v>200.24071983438532</v>
      </c>
      <c r="K6" s="201">
        <f>'SER_se-appl'!K70</f>
        <v>204.98411219210163</v>
      </c>
      <c r="L6" s="201">
        <f>'SER_se-appl'!L70</f>
        <v>210.77821273382156</v>
      </c>
      <c r="M6" s="201">
        <f>'SER_se-appl'!M70</f>
        <v>216.44742383352732</v>
      </c>
      <c r="N6" s="201">
        <f>'SER_se-appl'!N70</f>
        <v>223.00104399484457</v>
      </c>
      <c r="O6" s="201">
        <f>'SER_se-appl'!O70</f>
        <v>229.12901745022592</v>
      </c>
      <c r="P6" s="201">
        <f>'SER_se-appl'!P70</f>
        <v>238.08943997057798</v>
      </c>
      <c r="Q6" s="201">
        <f>'SER_se-appl'!Q70</f>
        <v>247.8602342234249</v>
      </c>
      <c r="R6" s="201">
        <f>'SER_se-appl'!R70</f>
        <v>253.22082027778956</v>
      </c>
      <c r="S6" s="201">
        <f>'SER_se-appl'!S70</f>
        <v>258.65832152847736</v>
      </c>
      <c r="T6" s="201">
        <f>'SER_se-appl'!T70</f>
        <v>263.84788086607836</v>
      </c>
      <c r="U6" s="201">
        <f>'SER_se-appl'!U70</f>
        <v>268.59083205512621</v>
      </c>
      <c r="V6" s="201">
        <f>'SER_se-appl'!V70</f>
        <v>272.5169341940898</v>
      </c>
      <c r="W6" s="201">
        <f>'SER_se-appl'!W70</f>
        <v>275.11060061001928</v>
      </c>
      <c r="X6" s="201">
        <f>'SER_se-appl'!X70</f>
        <v>276.41667609578843</v>
      </c>
      <c r="Y6" s="201">
        <f>'SER_se-appl'!Y70</f>
        <v>277.07203720313083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163.68212878231171</v>
      </c>
      <c r="C8" s="34">
        <f>'SER_se-appl'!C22</f>
        <v>167.06839634307801</v>
      </c>
      <c r="D8" s="34">
        <f>'SER_se-appl'!D22</f>
        <v>171.89494622314311</v>
      </c>
      <c r="E8" s="34">
        <f>'SER_se-appl'!E22</f>
        <v>176.97057792189412</v>
      </c>
      <c r="F8" s="34">
        <f>'SER_se-appl'!F22</f>
        <v>182.85850749727251</v>
      </c>
      <c r="G8" s="34">
        <f>'SER_se-appl'!G22</f>
        <v>188.46600837570003</v>
      </c>
      <c r="H8" s="34">
        <f>'SER_se-appl'!H22</f>
        <v>194.56585838518401</v>
      </c>
      <c r="I8" s="34">
        <f>'SER_se-appl'!I22</f>
        <v>201.69907722814202</v>
      </c>
      <c r="J8" s="34">
        <f>'SER_se-appl'!J22</f>
        <v>208.65672884017681</v>
      </c>
      <c r="K8" s="34">
        <f>'SER_se-appl'!K22</f>
        <v>214.99280057641587</v>
      </c>
      <c r="L8" s="34">
        <f>'SER_se-appl'!L22</f>
        <v>223.70834449766295</v>
      </c>
      <c r="M8" s="34">
        <f>'SER_se-appl'!M22</f>
        <v>232.75367560942328</v>
      </c>
      <c r="N8" s="34">
        <f>'SER_se-appl'!N22</f>
        <v>241.61474399550968</v>
      </c>
      <c r="O8" s="34">
        <f>'SER_se-appl'!O22</f>
        <v>249.81063502509824</v>
      </c>
      <c r="P8" s="34">
        <f>'SER_se-appl'!P22</f>
        <v>262.7797749614046</v>
      </c>
      <c r="Q8" s="34">
        <f>'SER_se-appl'!Q22</f>
        <v>273.47361966329743</v>
      </c>
      <c r="R8" s="34">
        <f>'SER_se-appl'!R22</f>
        <v>281.78429739771082</v>
      </c>
      <c r="S8" s="34">
        <f>'SER_se-appl'!S22</f>
        <v>290.50240637542032</v>
      </c>
      <c r="T8" s="34">
        <f>'SER_se-appl'!T22</f>
        <v>299.50462252301099</v>
      </c>
      <c r="U8" s="34">
        <f>'SER_se-appl'!U22</f>
        <v>308.06267321695896</v>
      </c>
      <c r="V8" s="34">
        <f>'SER_se-appl'!V22</f>
        <v>315.57238787535249</v>
      </c>
      <c r="W8" s="34">
        <f>'SER_se-appl'!W22</f>
        <v>321.49334532242415</v>
      </c>
      <c r="X8" s="34">
        <f>'SER_se-appl'!X22</f>
        <v>325.87482219773835</v>
      </c>
      <c r="Y8" s="34">
        <f>'SER_se-appl'!Y22</f>
        <v>329.47636053126757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28.94786680081171</v>
      </c>
      <c r="D9" s="36">
        <f>'SER_se-appl'!D30</f>
        <v>31.05219734502802</v>
      </c>
      <c r="E9" s="36">
        <f>'SER_se-appl'!E30</f>
        <v>31.982578267219878</v>
      </c>
      <c r="F9" s="36">
        <f>'SER_se-appl'!F30</f>
        <v>33.493874275339351</v>
      </c>
      <c r="G9" s="36">
        <f>'SER_se-appl'!G30</f>
        <v>33.930602529447384</v>
      </c>
      <c r="H9" s="36">
        <f>'SER_se-appl'!H30</f>
        <v>35.158739167337643</v>
      </c>
      <c r="I9" s="36">
        <f>'SER_se-appl'!I30</f>
        <v>36.081085643769711</v>
      </c>
      <c r="J9" s="36">
        <f>'SER_se-appl'!J30</f>
        <v>38.009848957062815</v>
      </c>
      <c r="K9" s="36">
        <f>'SER_se-appl'!K30</f>
        <v>38.318650003458941</v>
      </c>
      <c r="L9" s="36">
        <f>'SER_se-appl'!L30</f>
        <v>42.209418196586427</v>
      </c>
      <c r="M9" s="36">
        <f>'SER_se-appl'!M30</f>
        <v>42.975933641207718</v>
      </c>
      <c r="N9" s="36">
        <f>'SER_se-appl'!N30</f>
        <v>44.019807553424044</v>
      </c>
      <c r="O9" s="36">
        <f>'SER_se-appl'!O30</f>
        <v>44.276976673358263</v>
      </c>
      <c r="P9" s="36">
        <f>'SER_se-appl'!P30</f>
        <v>50.978988893369177</v>
      </c>
      <c r="Q9" s="36">
        <f>'SER_se-appl'!Q30</f>
        <v>49.01249470535177</v>
      </c>
      <c r="R9" s="36">
        <f>'SER_se-appl'!R30</f>
        <v>50.520095930999815</v>
      </c>
      <c r="S9" s="36">
        <f>'SER_se-appl'!S30</f>
        <v>51.694042618917223</v>
      </c>
      <c r="T9" s="36">
        <f>'SER_se-appl'!T30</f>
        <v>53.022023701014717</v>
      </c>
      <c r="U9" s="36">
        <f>'SER_se-appl'!U30</f>
        <v>52.835027367306225</v>
      </c>
      <c r="V9" s="36">
        <f>'SER_se-appl'!V30</f>
        <v>58.48870355176274</v>
      </c>
      <c r="W9" s="36">
        <f>'SER_se-appl'!W30</f>
        <v>54.933452152423456</v>
      </c>
      <c r="X9" s="36">
        <f>'SER_se-appl'!X30</f>
        <v>54.901572806313993</v>
      </c>
      <c r="Y9" s="36">
        <f>'SER_se-appl'!Y30</f>
        <v>55.295580952446471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25.56159924004541</v>
      </c>
      <c r="D10" s="38">
        <f>'SER_se-appl'!D38</f>
        <v>26.225647464962918</v>
      </c>
      <c r="E10" s="38">
        <f>'SER_se-appl'!E38</f>
        <v>26.906946568468868</v>
      </c>
      <c r="F10" s="38">
        <f>'SER_se-appl'!F38</f>
        <v>27.605944699960958</v>
      </c>
      <c r="G10" s="38">
        <f>'SER_se-appl'!G38</f>
        <v>28.323101651019869</v>
      </c>
      <c r="H10" s="38">
        <f>'SER_se-appl'!H38</f>
        <v>29.058889157853656</v>
      </c>
      <c r="I10" s="38">
        <f>'SER_se-appl'!I38</f>
        <v>28.94786680081171</v>
      </c>
      <c r="J10" s="38">
        <f>'SER_se-appl'!J38</f>
        <v>31.05219734502802</v>
      </c>
      <c r="K10" s="38">
        <f>'SER_se-appl'!K38</f>
        <v>31.982578267219878</v>
      </c>
      <c r="L10" s="38">
        <f>'SER_se-appl'!L38</f>
        <v>33.493874275339351</v>
      </c>
      <c r="M10" s="38">
        <f>'SER_se-appl'!M38</f>
        <v>33.930602529447413</v>
      </c>
      <c r="N10" s="38">
        <f>'SER_se-appl'!N38</f>
        <v>35.158739167337671</v>
      </c>
      <c r="O10" s="38">
        <f>'SER_se-appl'!O38</f>
        <v>36.081085643769711</v>
      </c>
      <c r="P10" s="38">
        <f>'SER_se-appl'!P38</f>
        <v>38.009848957062843</v>
      </c>
      <c r="Q10" s="38">
        <f>'SER_se-appl'!Q38</f>
        <v>38.31865000345897</v>
      </c>
      <c r="R10" s="38">
        <f>'SER_se-appl'!R38</f>
        <v>42.209418196586398</v>
      </c>
      <c r="S10" s="38">
        <f>'SER_se-appl'!S38</f>
        <v>42.975933641207746</v>
      </c>
      <c r="T10" s="38">
        <f>'SER_se-appl'!T38</f>
        <v>44.019807553424016</v>
      </c>
      <c r="U10" s="38">
        <f>'SER_se-appl'!U38</f>
        <v>44.276976673358263</v>
      </c>
      <c r="V10" s="38">
        <f>'SER_se-appl'!V38</f>
        <v>50.978988893369205</v>
      </c>
      <c r="W10" s="38">
        <f>'SER_se-appl'!W38</f>
        <v>49.012494705351799</v>
      </c>
      <c r="X10" s="38">
        <f>'SER_se-appl'!X38</f>
        <v>50.520095930999787</v>
      </c>
      <c r="Y10" s="38">
        <f>'SER_se-appl'!Y38</f>
        <v>51.694042618917251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2485.1329740508104</v>
      </c>
      <c r="C12" s="204">
        <f>'SER_se-appl'!C46</f>
        <v>2501.8320985839127</v>
      </c>
      <c r="D12" s="204">
        <f>'SER_se-appl'!D46</f>
        <v>2515.4816989757946</v>
      </c>
      <c r="E12" s="204">
        <f>'SER_se-appl'!E46</f>
        <v>2527.3583832815834</v>
      </c>
      <c r="F12" s="204">
        <f>'SER_se-appl'!F46</f>
        <v>2544.2048073568476</v>
      </c>
      <c r="G12" s="204">
        <f>'SER_se-appl'!G46</f>
        <v>2556.598000579886</v>
      </c>
      <c r="H12" s="204">
        <f>'SER_se-appl'!H46</f>
        <v>2570.9347579982186</v>
      </c>
      <c r="I12" s="204">
        <f>'SER_se-appl'!I46</f>
        <v>2585.0669393117655</v>
      </c>
      <c r="J12" s="204">
        <f>'SER_se-appl'!J46</f>
        <v>2593.6180602149384</v>
      </c>
      <c r="K12" s="204">
        <f>'SER_se-appl'!K46</f>
        <v>2598.5291593299003</v>
      </c>
      <c r="L12" s="204">
        <f>'SER_se-appl'!L46</f>
        <v>2604.731849396454</v>
      </c>
      <c r="M12" s="204">
        <f>'SER_se-appl'!M46</f>
        <v>2610.9761171544515</v>
      </c>
      <c r="N12" s="204">
        <f>'SER_se-appl'!N46</f>
        <v>2617.6108808105037</v>
      </c>
      <c r="O12" s="204">
        <f>'SER_se-appl'!O46</f>
        <v>2624.5378797568665</v>
      </c>
      <c r="P12" s="204">
        <f>'SER_se-appl'!P46</f>
        <v>2632.8039944567931</v>
      </c>
      <c r="Q12" s="204">
        <f>'SER_se-appl'!Q46</f>
        <v>2641.4683332495247</v>
      </c>
      <c r="R12" s="204">
        <f>'SER_se-appl'!R46</f>
        <v>2652.4125437584225</v>
      </c>
      <c r="S12" s="204">
        <f>'SER_se-appl'!S46</f>
        <v>2691.5964401666752</v>
      </c>
      <c r="T12" s="204">
        <f>'SER_se-appl'!T46</f>
        <v>2671.1870373565148</v>
      </c>
      <c r="U12" s="204">
        <f>'SER_se-appl'!U46</f>
        <v>2666.479365376224</v>
      </c>
      <c r="V12" s="204">
        <f>'SER_se-appl'!V46</f>
        <v>2470.4812943222528</v>
      </c>
      <c r="W12" s="204">
        <f>'SER_se-appl'!W46</f>
        <v>2581.3892572288514</v>
      </c>
      <c r="X12" s="204">
        <f>'SER_se-appl'!X46</f>
        <v>2605.0457131036128</v>
      </c>
      <c r="Y12" s="204">
        <f>'SER_se-appl'!Y46</f>
        <v>2616.8739410409935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42.698769250838701</v>
      </c>
      <c r="C14" s="59">
        <f>'SER_se-appl'!C54</f>
        <v>42.232362467886112</v>
      </c>
      <c r="D14" s="59">
        <f>'SER_se-appl'!D54</f>
        <v>41.533096011871415</v>
      </c>
      <c r="E14" s="59">
        <f>'SER_se-appl'!E54</f>
        <v>40.707530320688811</v>
      </c>
      <c r="F14" s="59">
        <f>'SER_se-appl'!F54</f>
        <v>39.768689576634266</v>
      </c>
      <c r="G14" s="59">
        <f>'SER_se-appl'!G54</f>
        <v>38.724327594771495</v>
      </c>
      <c r="H14" s="59">
        <f>'SER_se-appl'!H54</f>
        <v>37.573451778407211</v>
      </c>
      <c r="I14" s="59">
        <f>'SER_se-appl'!I54</f>
        <v>36.701201685421701</v>
      </c>
      <c r="J14" s="59">
        <f>'SER_se-appl'!J54</f>
        <v>35.783295103455671</v>
      </c>
      <c r="K14" s="59">
        <f>'SER_se-appl'!K54</f>
        <v>34.822042791349801</v>
      </c>
      <c r="L14" s="59">
        <f>'SER_se-appl'!L54</f>
        <v>33.823319024714223</v>
      </c>
      <c r="M14" s="59">
        <f>'SER_se-appl'!M54</f>
        <v>32.753115434206187</v>
      </c>
      <c r="N14" s="59">
        <f>'SER_se-appl'!N54</f>
        <v>31.571835407875945</v>
      </c>
      <c r="O14" s="59">
        <f>'SER_se-appl'!O54</f>
        <v>30.32100803671257</v>
      </c>
      <c r="P14" s="59">
        <f>'SER_se-appl'!P54</f>
        <v>28.914509122132273</v>
      </c>
      <c r="Q14" s="59">
        <f>'SER_se-appl'!Q54</f>
        <v>27.504845968508999</v>
      </c>
      <c r="R14" s="59">
        <f>'SER_se-appl'!R54</f>
        <v>25.811563868491209</v>
      </c>
      <c r="S14" s="59">
        <f>'SER_se-appl'!S54</f>
        <v>24.174789149570291</v>
      </c>
      <c r="T14" s="59">
        <f>'SER_se-appl'!T54</f>
        <v>22.497450463204874</v>
      </c>
      <c r="U14" s="59">
        <f>'SER_se-appl'!U54</f>
        <v>20.891972386409353</v>
      </c>
      <c r="V14" s="59">
        <f>'SER_se-appl'!V54</f>
        <v>19.217597803526576</v>
      </c>
      <c r="W14" s="59">
        <f>'SER_se-appl'!W54</f>
        <v>17.815381188213848</v>
      </c>
      <c r="X14" s="59">
        <f>'SER_se-appl'!X54</f>
        <v>16.650519233244371</v>
      </c>
      <c r="Y14" s="59">
        <f>'SER_se-appl'!Y54</f>
        <v>15.548582894998447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40.006970445503654</v>
      </c>
      <c r="D15" s="63">
        <f>'SER_se-appl'!D62</f>
        <v>38.755360541495889</v>
      </c>
      <c r="E15" s="63">
        <f>'SER_se-appl'!E62</f>
        <v>37.945638835490975</v>
      </c>
      <c r="F15" s="63">
        <f>'SER_se-appl'!F62</f>
        <v>37.223162269207776</v>
      </c>
      <c r="G15" s="63">
        <f>'SER_se-appl'!G62</f>
        <v>36.413671360729133</v>
      </c>
      <c r="H15" s="63">
        <f>'SER_se-appl'!H62</f>
        <v>35.640363717637264</v>
      </c>
      <c r="I15" s="63">
        <f>'SER_se-appl'!I62</f>
        <v>34.649846161979305</v>
      </c>
      <c r="J15" s="63">
        <f>'SER_se-appl'!J62</f>
        <v>33.340461190468716</v>
      </c>
      <c r="K15" s="63">
        <f>'SER_se-appl'!K62</f>
        <v>32.19483363685044</v>
      </c>
      <c r="L15" s="63">
        <f>'SER_se-appl'!L62</f>
        <v>31.434172201258715</v>
      </c>
      <c r="M15" s="63">
        <f>'SER_se-appl'!M62</f>
        <v>30.072345161937445</v>
      </c>
      <c r="N15" s="63">
        <f>'SER_se-appl'!N62</f>
        <v>28.575390176841008</v>
      </c>
      <c r="O15" s="63">
        <f>'SER_se-appl'!O62</f>
        <v>27.022924768567531</v>
      </c>
      <c r="P15" s="63">
        <f>'SER_se-appl'!P62</f>
        <v>25.322271979340165</v>
      </c>
      <c r="Q15" s="63">
        <f>'SER_se-appl'!Q62</f>
        <v>23.61365513149234</v>
      </c>
      <c r="R15" s="63">
        <f>'SER_se-appl'!R62</f>
        <v>21.343224005521531</v>
      </c>
      <c r="S15" s="63">
        <f>'SER_se-appl'!S62</f>
        <v>20.155671514134294</v>
      </c>
      <c r="T15" s="63">
        <f>'SER_se-appl'!T62</f>
        <v>18.353489655161294</v>
      </c>
      <c r="U15" s="63">
        <f>'SER_se-appl'!U62</f>
        <v>16.928918325820518</v>
      </c>
      <c r="V15" s="63">
        <f>'SER_se-appl'!V62</f>
        <v>15.719448921120819</v>
      </c>
      <c r="W15" s="63">
        <f>'SER_se-appl'!W62</f>
        <v>14.933476475064777</v>
      </c>
      <c r="X15" s="63">
        <f>'SER_se-appl'!X62</f>
        <v>14.147504029008735</v>
      </c>
      <c r="Y15" s="63">
        <f>'SER_se-appl'!Y62</f>
        <v>13.361531582952693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951.6974325763158</v>
      </c>
      <c r="C3" s="198">
        <f>'SER_se-appl'!C7</f>
        <v>983.87015692628427</v>
      </c>
      <c r="D3" s="198">
        <f>'SER_se-appl'!D7</f>
        <v>1016.577396149563</v>
      </c>
      <c r="E3" s="198">
        <f>'SER_se-appl'!E7</f>
        <v>1055.4459350989337</v>
      </c>
      <c r="F3" s="198">
        <f>'SER_se-appl'!F7</f>
        <v>1091.0772629546393</v>
      </c>
      <c r="G3" s="198">
        <f>'SER_se-appl'!G7</f>
        <v>1118.0635864773194</v>
      </c>
      <c r="H3" s="198">
        <f>'SER_se-appl'!H7</f>
        <v>1138.7551730055227</v>
      </c>
      <c r="I3" s="198">
        <f>'SER_se-appl'!I7</f>
        <v>1153.6421447840521</v>
      </c>
      <c r="J3" s="198">
        <f>'SER_se-appl'!J7</f>
        <v>1169.2517813358995</v>
      </c>
      <c r="K3" s="198">
        <f>'SER_se-appl'!K7</f>
        <v>1175.6255480206644</v>
      </c>
      <c r="L3" s="198">
        <f>'SER_se-appl'!L7</f>
        <v>1177.5443930617771</v>
      </c>
      <c r="M3" s="198">
        <f>'SER_se-appl'!M7</f>
        <v>1174.4966526089463</v>
      </c>
      <c r="N3" s="198">
        <f>'SER_se-appl'!N7</f>
        <v>1174.6592589175973</v>
      </c>
      <c r="O3" s="198">
        <f>'SER_se-appl'!O7</f>
        <v>1179.2701881786459</v>
      </c>
      <c r="P3" s="198">
        <f>'SER_se-appl'!P7</f>
        <v>1187.047835130026</v>
      </c>
      <c r="Q3" s="198">
        <f>'SER_se-appl'!Q7</f>
        <v>1181.2908610712595</v>
      </c>
      <c r="R3" s="198">
        <f>'SER_se-appl'!R7</f>
        <v>1175.442981521014</v>
      </c>
      <c r="S3" s="198">
        <f>'SER_se-appl'!S7</f>
        <v>1168.7340250492471</v>
      </c>
      <c r="T3" s="198">
        <f>'SER_se-appl'!T7</f>
        <v>1161.9257473568669</v>
      </c>
      <c r="U3" s="198">
        <f>'SER_se-appl'!U7</f>
        <v>1155.8348886932179</v>
      </c>
      <c r="V3" s="198">
        <f>'SER_se-appl'!V7</f>
        <v>1148.7177047980435</v>
      </c>
      <c r="W3" s="198">
        <f>'SER_se-appl'!W7</f>
        <v>1137.8489399325972</v>
      </c>
      <c r="X3" s="198">
        <f>'SER_se-appl'!X7</f>
        <v>1125.5074437045403</v>
      </c>
      <c r="Y3" s="198">
        <f>'SER_se-appl'!Y7</f>
        <v>1107.581972789023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1263.497847130428</v>
      </c>
      <c r="C5" s="59">
        <f>'SER_se-appl'!C15</f>
        <v>1306.2111786589826</v>
      </c>
      <c r="D5" s="59">
        <f>'SER_se-appl'!D15</f>
        <v>1349.6341458013037</v>
      </c>
      <c r="E5" s="59">
        <f>'SER_se-appl'!E15</f>
        <v>1401.237012009201</v>
      </c>
      <c r="F5" s="59">
        <f>'SER_se-appl'!F15</f>
        <v>1448.5420739911478</v>
      </c>
      <c r="G5" s="59">
        <f>'SER_se-appl'!G15</f>
        <v>1484.3698071610986</v>
      </c>
      <c r="H5" s="59">
        <f>'SER_se-appl'!H15</f>
        <v>1511.8404865358712</v>
      </c>
      <c r="I5" s="59">
        <f>'SER_se-appl'!I15</f>
        <v>1531.6048109404703</v>
      </c>
      <c r="J5" s="59">
        <f>'SER_se-appl'!J15</f>
        <v>1552.3285635772277</v>
      </c>
      <c r="K5" s="59">
        <f>'SER_se-appl'!K15</f>
        <v>1560.7905392100829</v>
      </c>
      <c r="L5" s="59">
        <f>'SER_se-appl'!L15</f>
        <v>1563.3380469530211</v>
      </c>
      <c r="M5" s="59">
        <f>'SER_se-appl'!M15</f>
        <v>1559.2917887947538</v>
      </c>
      <c r="N5" s="59">
        <f>'SER_se-appl'!N15</f>
        <v>1559.5076690880887</v>
      </c>
      <c r="O5" s="59">
        <f>'SER_se-appl'!O15</f>
        <v>1565.6292566800969</v>
      </c>
      <c r="P5" s="59">
        <f>'SER_se-appl'!P15</f>
        <v>1575.9550596532197</v>
      </c>
      <c r="Q5" s="59">
        <f>'SER_se-appl'!Q15</f>
        <v>1568.3119536825056</v>
      </c>
      <c r="R5" s="59">
        <f>'SER_se-appl'!R15</f>
        <v>1560.5481592567796</v>
      </c>
      <c r="S5" s="59">
        <f>'SER_se-appl'!S15</f>
        <v>1551.6411770916375</v>
      </c>
      <c r="T5" s="59">
        <f>'SER_se-appl'!T15</f>
        <v>1542.6023335342877</v>
      </c>
      <c r="U5" s="59">
        <f>'SER_se-appl'!U15</f>
        <v>1534.5159538244429</v>
      </c>
      <c r="V5" s="59">
        <f>'SER_se-appl'!V15</f>
        <v>1525.0669984932929</v>
      </c>
      <c r="W5" s="59">
        <f>'SER_se-appl'!W15</f>
        <v>1510.637348335172</v>
      </c>
      <c r="X5" s="59">
        <f>'SER_se-appl'!X15</f>
        <v>1494.2524623611648</v>
      </c>
      <c r="Y5" s="59">
        <f>'SER_se-appl'!Y15</f>
        <v>1470.4541488055181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3.1791213868196139E-2</v>
      </c>
      <c r="C6" s="201">
        <f>'SER_se-appl'!C71</f>
        <v>3.3036959774136898E-2</v>
      </c>
      <c r="D6" s="201">
        <f>'SER_se-appl'!D71</f>
        <v>3.4391021378877194E-2</v>
      </c>
      <c r="E6" s="201">
        <f>'SER_se-appl'!E71</f>
        <v>3.6031675319899481E-2</v>
      </c>
      <c r="F6" s="201">
        <f>'SER_se-appl'!F71</f>
        <v>3.7597373675222777E-2</v>
      </c>
      <c r="G6" s="201">
        <f>'SER_se-appl'!G71</f>
        <v>3.8850264002394455E-2</v>
      </c>
      <c r="H6" s="201">
        <f>'SER_se-appl'!H71</f>
        <v>3.9939808842607581E-2</v>
      </c>
      <c r="I6" s="201">
        <f>'SER_se-appl'!I71</f>
        <v>4.0903240128707025E-2</v>
      </c>
      <c r="J6" s="201">
        <f>'SER_se-appl'!J71</f>
        <v>4.2003078300432414E-2</v>
      </c>
      <c r="K6" s="201">
        <f>'SER_se-appl'!K71</f>
        <v>4.287578839341917E-2</v>
      </c>
      <c r="L6" s="201">
        <f>'SER_se-appl'!L71</f>
        <v>4.3721966792924463E-2</v>
      </c>
      <c r="M6" s="201">
        <f>'SER_se-appl'!M71</f>
        <v>4.4262339477760565E-2</v>
      </c>
      <c r="N6" s="201">
        <f>'SER_se-appl'!N71</f>
        <v>4.4933485987421758E-2</v>
      </c>
      <c r="O6" s="201">
        <f>'SER_se-appl'!O71</f>
        <v>4.5896051264765633E-2</v>
      </c>
      <c r="P6" s="201">
        <f>'SER_se-appl'!P71</f>
        <v>4.6908775589682816E-2</v>
      </c>
      <c r="Q6" s="201">
        <f>'SER_se-appl'!Q71</f>
        <v>4.7451959645992831E-2</v>
      </c>
      <c r="R6" s="201">
        <f>'SER_se-appl'!R71</f>
        <v>4.8043641083246165E-2</v>
      </c>
      <c r="S6" s="201">
        <f>'SER_se-appl'!S71</f>
        <v>4.8594314399680323E-2</v>
      </c>
      <c r="T6" s="201">
        <f>'SER_se-appl'!T71</f>
        <v>4.9153550785944342E-2</v>
      </c>
      <c r="U6" s="201">
        <f>'SER_se-appl'!U71</f>
        <v>4.9620334731411572E-2</v>
      </c>
      <c r="V6" s="201">
        <f>'SER_se-appl'!V71</f>
        <v>5.0048033017098252E-2</v>
      </c>
      <c r="W6" s="201">
        <f>'SER_se-appl'!W71</f>
        <v>5.027124904107904E-2</v>
      </c>
      <c r="X6" s="201">
        <f>'SER_se-appl'!X71</f>
        <v>5.0428092347186974E-2</v>
      </c>
      <c r="Y6" s="201">
        <f>'SER_se-appl'!Y71</f>
        <v>5.0538173729076097E-2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1924.7997430566402</v>
      </c>
      <c r="C8" s="34">
        <f>'SER_se-appl'!C23</f>
        <v>2014.5711767094228</v>
      </c>
      <c r="D8" s="34">
        <f>'SER_se-appl'!D23</f>
        <v>2112.4353352529224</v>
      </c>
      <c r="E8" s="34">
        <f>'SER_se-appl'!E23</f>
        <v>2229.0667327776896</v>
      </c>
      <c r="F8" s="34">
        <f>'SER_se-appl'!F23</f>
        <v>2342.0246619440331</v>
      </c>
      <c r="G8" s="34">
        <f>'SER_se-appl'!G23</f>
        <v>2438.7425716879866</v>
      </c>
      <c r="H8" s="34">
        <f>'SER_se-appl'!H23</f>
        <v>2525.3795350878499</v>
      </c>
      <c r="I8" s="34">
        <f>'SER_se-appl'!I23</f>
        <v>2603.2893767021669</v>
      </c>
      <c r="J8" s="34">
        <f>'SER_se-appl'!J23</f>
        <v>2688.4991393698897</v>
      </c>
      <c r="K8" s="34">
        <f>'SER_se-appl'!K23</f>
        <v>2759.0666730447006</v>
      </c>
      <c r="L8" s="34">
        <f>'SER_se-appl'!L23</f>
        <v>2827.0123549004848</v>
      </c>
      <c r="M8" s="34">
        <f>'SER_se-appl'!M23</f>
        <v>2876.1102077326896</v>
      </c>
      <c r="N8" s="34">
        <f>'SER_se-appl'!N23</f>
        <v>2933.1224009316684</v>
      </c>
      <c r="O8" s="34">
        <f>'SER_se-appl'!O23</f>
        <v>3010.7970265865679</v>
      </c>
      <c r="P8" s="34">
        <f>'SER_se-appl'!P23</f>
        <v>3103.7651074914415</v>
      </c>
      <c r="Q8" s="34">
        <f>'SER_se-appl'!Q23</f>
        <v>3153.5695943032174</v>
      </c>
      <c r="R8" s="34">
        <f>'SER_se-appl'!R23</f>
        <v>3201.5509395690215</v>
      </c>
      <c r="S8" s="34">
        <f>'SER_se-appl'!S23</f>
        <v>3246.5772036887929</v>
      </c>
      <c r="T8" s="34">
        <f>'SER_se-appl'!T23</f>
        <v>3294.5769053740814</v>
      </c>
      <c r="U8" s="34">
        <f>'SER_se-appl'!U23</f>
        <v>3338.975695254343</v>
      </c>
      <c r="V8" s="34">
        <f>'SER_se-appl'!V23</f>
        <v>3376.9235130321645</v>
      </c>
      <c r="W8" s="34">
        <f>'SER_se-appl'!W23</f>
        <v>3404.7997091236566</v>
      </c>
      <c r="X8" s="34">
        <f>'SER_se-appl'!X23</f>
        <v>3433.7346869612284</v>
      </c>
      <c r="Y8" s="34">
        <f>'SER_se-appl'!Y23</f>
        <v>3450.6055007166119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264.70320576343602</v>
      </c>
      <c r="D9" s="36">
        <f>'SER_se-appl'!D31</f>
        <v>276.48072589816252</v>
      </c>
      <c r="E9" s="36">
        <f>'SER_se-appl'!E31</f>
        <v>299.01037733286034</v>
      </c>
      <c r="F9" s="36">
        <f>'SER_se-appl'!F31</f>
        <v>299.17857358056131</v>
      </c>
      <c r="G9" s="36">
        <f>'SER_se-appl'!G31</f>
        <v>286.86114029901137</v>
      </c>
      <c r="H9" s="36">
        <f>'SER_se-appl'!H31</f>
        <v>280.78540617667068</v>
      </c>
      <c r="I9" s="36">
        <f>'SER_se-appl'!I31</f>
        <v>276.14786314485309</v>
      </c>
      <c r="J9" s="36">
        <f>'SER_se-appl'!J31</f>
        <v>287.62350659622007</v>
      </c>
      <c r="K9" s="36">
        <f>'SER_se-appl'!K31</f>
        <v>277.24495819117828</v>
      </c>
      <c r="L9" s="36">
        <f>'SER_se-appl'!L31</f>
        <v>278.97659791753131</v>
      </c>
      <c r="M9" s="36">
        <f>'SER_se-appl'!M31</f>
        <v>313.80105859564082</v>
      </c>
      <c r="N9" s="36">
        <f>'SER_se-appl'!N31</f>
        <v>333.49291909714157</v>
      </c>
      <c r="O9" s="36">
        <f>'SER_se-appl'!O31</f>
        <v>376.68500298775962</v>
      </c>
      <c r="P9" s="36">
        <f>'SER_se-appl'!P31</f>
        <v>392.14665448543519</v>
      </c>
      <c r="Q9" s="36">
        <f>'SER_se-appl'!Q31</f>
        <v>336.66562711078723</v>
      </c>
      <c r="R9" s="36">
        <f>'SER_se-appl'!R31</f>
        <v>328.76675144247474</v>
      </c>
      <c r="S9" s="36">
        <f>'SER_se-appl'!S31</f>
        <v>321.17412726462453</v>
      </c>
      <c r="T9" s="36">
        <f>'SER_se-appl'!T31</f>
        <v>335.6232082815086</v>
      </c>
      <c r="U9" s="36">
        <f>'SER_se-appl'!U31</f>
        <v>321.64374807143986</v>
      </c>
      <c r="V9" s="36">
        <f>'SER_se-appl'!V31</f>
        <v>316.92441569535276</v>
      </c>
      <c r="W9" s="36">
        <f>'SER_se-appl'!W31</f>
        <v>341.67725468713297</v>
      </c>
      <c r="X9" s="36">
        <f>'SER_se-appl'!X31</f>
        <v>362.42789693471332</v>
      </c>
      <c r="Y9" s="36">
        <f>'SER_se-appl'!Y31</f>
        <v>393.55581674314317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174.93177211065336</v>
      </c>
      <c r="D10" s="38">
        <f>'SER_se-appl'!D39</f>
        <v>178.61656735466295</v>
      </c>
      <c r="E10" s="38">
        <f>'SER_se-appl'!E39</f>
        <v>182.37897980809294</v>
      </c>
      <c r="F10" s="38">
        <f>'SER_se-appl'!F39</f>
        <v>186.22064441421753</v>
      </c>
      <c r="G10" s="38">
        <f>'SER_se-appl'!G39</f>
        <v>190.14323055505793</v>
      </c>
      <c r="H10" s="38">
        <f>'SER_se-appl'!H39</f>
        <v>194.14844277680731</v>
      </c>
      <c r="I10" s="38">
        <f>'SER_se-appl'!I39</f>
        <v>198.23802153053612</v>
      </c>
      <c r="J10" s="38">
        <f>'SER_se-appl'!J39</f>
        <v>202.4137439284973</v>
      </c>
      <c r="K10" s="38">
        <f>'SER_se-appl'!K39</f>
        <v>206.67742451636741</v>
      </c>
      <c r="L10" s="38">
        <f>'SER_se-appl'!L39</f>
        <v>211.03091606174712</v>
      </c>
      <c r="M10" s="38">
        <f>'SER_se-appl'!M39</f>
        <v>264.70320576343602</v>
      </c>
      <c r="N10" s="38">
        <f>'SER_se-appl'!N39</f>
        <v>276.48072589816275</v>
      </c>
      <c r="O10" s="38">
        <f>'SER_se-appl'!O39</f>
        <v>299.01037733286012</v>
      </c>
      <c r="P10" s="38">
        <f>'SER_se-appl'!P39</f>
        <v>299.17857358056153</v>
      </c>
      <c r="Q10" s="38">
        <f>'SER_se-appl'!Q39</f>
        <v>286.86114029901137</v>
      </c>
      <c r="R10" s="38">
        <f>'SER_se-appl'!R39</f>
        <v>280.78540617667068</v>
      </c>
      <c r="S10" s="38">
        <f>'SER_se-appl'!S39</f>
        <v>276.14786314485309</v>
      </c>
      <c r="T10" s="38">
        <f>'SER_se-appl'!T39</f>
        <v>287.62350659622007</v>
      </c>
      <c r="U10" s="38">
        <f>'SER_se-appl'!U39</f>
        <v>277.24495819117828</v>
      </c>
      <c r="V10" s="38">
        <f>'SER_se-appl'!V39</f>
        <v>278.97659791753131</v>
      </c>
      <c r="W10" s="38">
        <f>'SER_se-appl'!W39</f>
        <v>313.80105859564082</v>
      </c>
      <c r="X10" s="38">
        <f>'SER_se-appl'!X39</f>
        <v>333.49291909714157</v>
      </c>
      <c r="Y10" s="38">
        <f>'SER_se-appl'!Y39</f>
        <v>376.68500298775962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8760.0000000000018</v>
      </c>
      <c r="C12" s="204">
        <f>'SER_se-appl'!C47</f>
        <v>8759.9999999999982</v>
      </c>
      <c r="D12" s="204">
        <f>'SER_se-appl'!D47</f>
        <v>8759.9999999999982</v>
      </c>
      <c r="E12" s="204">
        <f>'SER_se-appl'!E47</f>
        <v>8759.9999999999982</v>
      </c>
      <c r="F12" s="204">
        <f>'SER_se-appl'!F47</f>
        <v>8760</v>
      </c>
      <c r="G12" s="204">
        <f>'SER_se-appl'!G47</f>
        <v>8760</v>
      </c>
      <c r="H12" s="204">
        <f>'SER_se-appl'!H47</f>
        <v>8759.9999999999982</v>
      </c>
      <c r="I12" s="204">
        <f>'SER_se-appl'!I47</f>
        <v>8760.0000000000036</v>
      </c>
      <c r="J12" s="204">
        <f>'SER_se-appl'!J47</f>
        <v>8759.9999999999982</v>
      </c>
      <c r="K12" s="204">
        <f>'SER_se-appl'!K47</f>
        <v>8760</v>
      </c>
      <c r="L12" s="204">
        <f>'SER_se-appl'!L47</f>
        <v>8760.0000000000018</v>
      </c>
      <c r="M12" s="204">
        <f>'SER_se-appl'!M47</f>
        <v>8760.0000000000018</v>
      </c>
      <c r="N12" s="204">
        <f>'SER_se-appl'!N47</f>
        <v>8760</v>
      </c>
      <c r="O12" s="204">
        <f>'SER_se-appl'!O47</f>
        <v>8760.0000000000018</v>
      </c>
      <c r="P12" s="204">
        <f>'SER_se-appl'!P47</f>
        <v>8759.9999999999982</v>
      </c>
      <c r="Q12" s="204">
        <f>'SER_se-appl'!Q47</f>
        <v>8760</v>
      </c>
      <c r="R12" s="204">
        <f>'SER_se-appl'!R47</f>
        <v>8760.0000000000018</v>
      </c>
      <c r="S12" s="204">
        <f>'SER_se-appl'!S47</f>
        <v>8760</v>
      </c>
      <c r="T12" s="204">
        <f>'SER_se-appl'!T47</f>
        <v>8760</v>
      </c>
      <c r="U12" s="204">
        <f>'SER_se-appl'!U47</f>
        <v>8760.0000000000018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656.43080621153626</v>
      </c>
      <c r="C14" s="59">
        <f>'SER_se-appl'!C55</f>
        <v>648.38174682541262</v>
      </c>
      <c r="D14" s="59">
        <f>'SER_se-appl'!D55</f>
        <v>638.89962607528128</v>
      </c>
      <c r="E14" s="59">
        <f>'SER_se-appl'!E55</f>
        <v>628.62048560703624</v>
      </c>
      <c r="F14" s="59">
        <f>'SER_se-appl'!F55</f>
        <v>618.49992339054336</v>
      </c>
      <c r="G14" s="59">
        <f>'SER_se-appl'!G55</f>
        <v>608.66194915098617</v>
      </c>
      <c r="H14" s="59">
        <f>'SER_se-appl'!H55</f>
        <v>598.65872259207924</v>
      </c>
      <c r="I14" s="59">
        <f>'SER_se-appl'!I55</f>
        <v>588.33444512445988</v>
      </c>
      <c r="J14" s="59">
        <f>'SER_se-appl'!J55</f>
        <v>577.39596819846884</v>
      </c>
      <c r="K14" s="59">
        <f>'SER_se-appl'!K55</f>
        <v>565.69511511213705</v>
      </c>
      <c r="L14" s="59">
        <f>'SER_se-appl'!L55</f>
        <v>553.00007594344345</v>
      </c>
      <c r="M14" s="59">
        <f>'SER_se-appl'!M55</f>
        <v>542.15300394346957</v>
      </c>
      <c r="N14" s="59">
        <f>'SER_se-appl'!N55</f>
        <v>531.68857480776501</v>
      </c>
      <c r="O14" s="59">
        <f>'SER_se-appl'!O55</f>
        <v>520.00491659017564</v>
      </c>
      <c r="P14" s="59">
        <f>'SER_se-appl'!P55</f>
        <v>507.7559045461901</v>
      </c>
      <c r="Q14" s="59">
        <f>'SER_se-appl'!Q55</f>
        <v>497.31325305634329</v>
      </c>
      <c r="R14" s="59">
        <f>'SER_se-appl'!R55</f>
        <v>487.43505529443604</v>
      </c>
      <c r="S14" s="59">
        <f>'SER_se-appl'!S55</f>
        <v>477.93139658858183</v>
      </c>
      <c r="T14" s="59">
        <f>'SER_se-appl'!T55</f>
        <v>468.22471529440094</v>
      </c>
      <c r="U14" s="59">
        <f>'SER_se-appl'!U55</f>
        <v>459.5768564609312</v>
      </c>
      <c r="V14" s="59">
        <f>'SER_se-appl'!V55</f>
        <v>451.61431480688879</v>
      </c>
      <c r="W14" s="59">
        <f>'SER_se-appl'!W55</f>
        <v>443.67877038029559</v>
      </c>
      <c r="X14" s="59">
        <f>'SER_se-appl'!X55</f>
        <v>435.16829300621998</v>
      </c>
      <c r="Y14" s="59">
        <f>'SER_se-appl'!Y55</f>
        <v>426.14380244282876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595.1719975313016</v>
      </c>
      <c r="D15" s="63">
        <f>'SER_se-appl'!D63</f>
        <v>581.13412402158099</v>
      </c>
      <c r="E15" s="63">
        <f>'SER_se-appl'!E63</f>
        <v>572.96354891604562</v>
      </c>
      <c r="F15" s="63">
        <f>'SER_se-appl'!F63</f>
        <v>566.70512095462198</v>
      </c>
      <c r="G15" s="63">
        <f>'SER_se-appl'!G63</f>
        <v>560.00477140760779</v>
      </c>
      <c r="H15" s="63">
        <f>'SER_se-appl'!H63</f>
        <v>551.7227561819692</v>
      </c>
      <c r="I15" s="63">
        <f>'SER_se-appl'!I63</f>
        <v>542.80292808582192</v>
      </c>
      <c r="J15" s="63">
        <f>'SER_se-appl'!J63</f>
        <v>534.01188091229028</v>
      </c>
      <c r="K15" s="63">
        <f>'SER_se-appl'!K63</f>
        <v>519.87024389626686</v>
      </c>
      <c r="L15" s="63">
        <f>'SER_se-appl'!L63</f>
        <v>505.68650977173803</v>
      </c>
      <c r="M15" s="63">
        <f>'SER_se-appl'!M63</f>
        <v>489.15602214934239</v>
      </c>
      <c r="N15" s="63">
        <f>'SER_se-appl'!N63</f>
        <v>482.43382552944036</v>
      </c>
      <c r="O15" s="63">
        <f>'SER_se-appl'!O63</f>
        <v>471.06636352373164</v>
      </c>
      <c r="P15" s="63">
        <f>'SER_se-appl'!P63</f>
        <v>458.68511344856302</v>
      </c>
      <c r="Q15" s="63">
        <f>'SER_se-appl'!Q63</f>
        <v>454.45833790989133</v>
      </c>
      <c r="R15" s="63">
        <f>'SER_se-appl'!R63</f>
        <v>447.58754685535132</v>
      </c>
      <c r="S15" s="63">
        <f>'SER_se-appl'!S63</f>
        <v>438.97336231683465</v>
      </c>
      <c r="T15" s="63">
        <f>'SER_se-appl'!T63</f>
        <v>430.70777773341092</v>
      </c>
      <c r="U15" s="63">
        <f>'SER_se-appl'!U63</f>
        <v>422.96803572192152</v>
      </c>
      <c r="V15" s="63">
        <f>'SER_se-appl'!V63</f>
        <v>415.32220384145603</v>
      </c>
      <c r="W15" s="63">
        <f>'SER_se-appl'!W63</f>
        <v>407.01575976462692</v>
      </c>
      <c r="X15" s="63">
        <f>'SER_se-appl'!X63</f>
        <v>398.70931568779775</v>
      </c>
      <c r="Y15" s="63">
        <f>'SER_se-appl'!Y63</f>
        <v>390.40287161096865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399.88664808060423</v>
      </c>
      <c r="C3" s="198">
        <f>'SER_se-appl'!C8</f>
        <v>431.46288470615445</v>
      </c>
      <c r="D3" s="198">
        <f>'SER_se-appl'!D8</f>
        <v>458.17992626804698</v>
      </c>
      <c r="E3" s="198">
        <f>'SER_se-appl'!E8</f>
        <v>487.6720112360012</v>
      </c>
      <c r="F3" s="198">
        <f>'SER_se-appl'!F8</f>
        <v>516.65579734873927</v>
      </c>
      <c r="G3" s="198">
        <f>'SER_se-appl'!G8</f>
        <v>543.28699646372274</v>
      </c>
      <c r="H3" s="198">
        <f>'SER_se-appl'!H8</f>
        <v>568.12552124902709</v>
      </c>
      <c r="I3" s="198">
        <f>'SER_se-appl'!I8</f>
        <v>594.13129177220787</v>
      </c>
      <c r="J3" s="198">
        <f>'SER_se-appl'!J8</f>
        <v>616.30993763185859</v>
      </c>
      <c r="K3" s="198">
        <f>'SER_se-appl'!K8</f>
        <v>632.23898716957183</v>
      </c>
      <c r="L3" s="198">
        <f>'SER_se-appl'!L8</f>
        <v>651.04217976204131</v>
      </c>
      <c r="M3" s="198">
        <f>'SER_se-appl'!M8</f>
        <v>664.99286794177897</v>
      </c>
      <c r="N3" s="198">
        <f>'SER_se-appl'!N8</f>
        <v>673.03121552944685</v>
      </c>
      <c r="O3" s="198">
        <f>'SER_se-appl'!O8</f>
        <v>677.76375097519849</v>
      </c>
      <c r="P3" s="198">
        <f>'SER_se-appl'!P8</f>
        <v>681.88168641510049</v>
      </c>
      <c r="Q3" s="198">
        <f>'SER_se-appl'!Q8</f>
        <v>674.03736990628852</v>
      </c>
      <c r="R3" s="198">
        <f>'SER_se-appl'!R8</f>
        <v>683.92647263109779</v>
      </c>
      <c r="S3" s="198">
        <f>'SER_se-appl'!S8</f>
        <v>699.93468184038011</v>
      </c>
      <c r="T3" s="198">
        <f>'SER_se-appl'!T8</f>
        <v>704.62535373845981</v>
      </c>
      <c r="U3" s="198">
        <f>'SER_se-appl'!U8</f>
        <v>709.25473238335508</v>
      </c>
      <c r="V3" s="198">
        <f>'SER_se-appl'!V8</f>
        <v>661.93770422309069</v>
      </c>
      <c r="W3" s="198">
        <f>'SER_se-appl'!W8</f>
        <v>695.9116887714373</v>
      </c>
      <c r="X3" s="198">
        <f>'SER_se-appl'!X8</f>
        <v>704.06888526742296</v>
      </c>
      <c r="Y3" s="198">
        <f>'SER_se-appl'!Y8</f>
        <v>707.90338385224379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5505.3798817214656</v>
      </c>
      <c r="C5" s="59">
        <f>'SER_se-appl'!C16</f>
        <v>5911.8607558098065</v>
      </c>
      <c r="D5" s="59">
        <f>'SER_se-appl'!D16</f>
        <v>6250.6816922244998</v>
      </c>
      <c r="E5" s="59">
        <f>'SER_se-appl'!E16</f>
        <v>6626.4519217151037</v>
      </c>
      <c r="F5" s="59">
        <f>'SER_se-appl'!F16</f>
        <v>6994.3166988235662</v>
      </c>
      <c r="G5" s="59">
        <f>'SER_se-appl'!G16</f>
        <v>7329.5132669565628</v>
      </c>
      <c r="H5" s="59">
        <f>'SER_se-appl'!H16</f>
        <v>7639.9178329688084</v>
      </c>
      <c r="I5" s="59">
        <f>'SER_se-appl'!I16</f>
        <v>7965.4509612612019</v>
      </c>
      <c r="J5" s="59">
        <f>'SER_se-appl'!J16</f>
        <v>8239.2168470758843</v>
      </c>
      <c r="K5" s="59">
        <f>'SER_se-appl'!K16</f>
        <v>8429.347947151984</v>
      </c>
      <c r="L5" s="59">
        <f>'SER_se-appl'!L16</f>
        <v>8657.809280538655</v>
      </c>
      <c r="M5" s="59">
        <f>'SER_se-appl'!M16</f>
        <v>8828.9603336892305</v>
      </c>
      <c r="N5" s="59">
        <f>'SER_se-appl'!N16</f>
        <v>8921.8381279714849</v>
      </c>
      <c r="O5" s="59">
        <f>'SER_se-appl'!O16</f>
        <v>8971.2707634474609</v>
      </c>
      <c r="P5" s="59">
        <f>'SER_se-appl'!P16</f>
        <v>9012.9827486840204</v>
      </c>
      <c r="Q5" s="59">
        <f>'SER_se-appl'!Q16</f>
        <v>8897.1831287186869</v>
      </c>
      <c r="R5" s="59">
        <f>'SER_se-appl'!R16</f>
        <v>8979.2809539844147</v>
      </c>
      <c r="S5" s="59">
        <f>'SER_se-appl'!S16</f>
        <v>9073.1413749202384</v>
      </c>
      <c r="T5" s="59">
        <f>'SER_se-appl'!T16</f>
        <v>9161.9919025125491</v>
      </c>
      <c r="U5" s="59">
        <f>'SER_se-appl'!U16</f>
        <v>9240.6909124583472</v>
      </c>
      <c r="V5" s="59">
        <f>'SER_se-appl'!V16</f>
        <v>9308.4201677560195</v>
      </c>
      <c r="W5" s="59">
        <f>'SER_se-appl'!W16</f>
        <v>9365.717668254174</v>
      </c>
      <c r="X5" s="59">
        <f>'SER_se-appl'!X16</f>
        <v>9389.3343178005616</v>
      </c>
      <c r="Y5" s="59">
        <f>'SER_se-appl'!Y16</f>
        <v>9397.7417699439993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128.81396382204505</v>
      </c>
      <c r="C6" s="201">
        <f>'SER_se-appl'!C72</f>
        <v>137.0932688699466</v>
      </c>
      <c r="D6" s="201">
        <f>'SER_se-appl'!D72</f>
        <v>143.61735511485514</v>
      </c>
      <c r="E6" s="201">
        <f>'SER_se-appl'!E72</f>
        <v>150.9729227657414</v>
      </c>
      <c r="F6" s="201">
        <f>'SER_se-appl'!F72</f>
        <v>158.08010692189049</v>
      </c>
      <c r="G6" s="201">
        <f>'SER_se-appl'!G72</f>
        <v>164.3709753949941</v>
      </c>
      <c r="H6" s="201">
        <f>'SER_se-appl'!H72</f>
        <v>169.87324532192935</v>
      </c>
      <c r="I6" s="201">
        <f>'SER_se-appl'!I72</f>
        <v>175.19381858938942</v>
      </c>
      <c r="J6" s="201">
        <f>'SER_se-appl'!J72</f>
        <v>179.9314523717548</v>
      </c>
      <c r="K6" s="201">
        <f>'SER_se-appl'!K72</f>
        <v>184.26663066499373</v>
      </c>
      <c r="L6" s="201">
        <f>'SER_se-appl'!L72</f>
        <v>188.74070065276373</v>
      </c>
      <c r="M6" s="201">
        <f>'SER_se-appl'!M72</f>
        <v>191.98348480928058</v>
      </c>
      <c r="N6" s="201">
        <f>'SER_se-appl'!N72</f>
        <v>194.89145011509294</v>
      </c>
      <c r="O6" s="201">
        <f>'SER_se-appl'!O72</f>
        <v>197.59297641942084</v>
      </c>
      <c r="P6" s="201">
        <f>'SER_se-appl'!P72</f>
        <v>199.61305695051664</v>
      </c>
      <c r="Q6" s="201">
        <f>'SER_se-appl'!Q72</f>
        <v>200.97511419777629</v>
      </c>
      <c r="R6" s="201">
        <f>'SER_se-appl'!R72</f>
        <v>204.33736576794109</v>
      </c>
      <c r="S6" s="201">
        <f>'SER_se-appl'!S72</f>
        <v>207.70663264895899</v>
      </c>
      <c r="T6" s="201">
        <f>'SER_se-appl'!T72</f>
        <v>211.04581278082605</v>
      </c>
      <c r="U6" s="201">
        <f>'SER_se-appl'!U72</f>
        <v>214.33240325061402</v>
      </c>
      <c r="V6" s="201">
        <f>'SER_se-appl'!V72</f>
        <v>217.52451807344363</v>
      </c>
      <c r="W6" s="201">
        <f>'SER_se-appl'!W72</f>
        <v>220.55277689861731</v>
      </c>
      <c r="X6" s="201">
        <f>'SER_se-appl'!X72</f>
        <v>223.00570950862908</v>
      </c>
      <c r="Y6" s="201">
        <f>'SER_se-appl'!Y72</f>
        <v>224.98768332970104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119.19825388927934</v>
      </c>
      <c r="C8" s="34">
        <f>'SER_se-appl'!C24</f>
        <v>128.73973887535288</v>
      </c>
      <c r="D8" s="34">
        <f>'SER_se-appl'!D24</f>
        <v>136.83598245086196</v>
      </c>
      <c r="E8" s="34">
        <f>'SER_se-appl'!E24</f>
        <v>145.91480365611929</v>
      </c>
      <c r="F8" s="34">
        <f>'SER_se-appl'!F24</f>
        <v>154.95191757367883</v>
      </c>
      <c r="G8" s="34">
        <f>'SER_se-appl'!G24</f>
        <v>163.37262188338806</v>
      </c>
      <c r="H8" s="34">
        <f>'SER_se-appl'!H24</f>
        <v>171.36914557002561</v>
      </c>
      <c r="I8" s="34">
        <f>'SER_se-appl'!I24</f>
        <v>179.95027769155251</v>
      </c>
      <c r="J8" s="34">
        <f>'SER_se-appl'!J24</f>
        <v>187.4938738654364</v>
      </c>
      <c r="K8" s="34">
        <f>'SER_se-appl'!K24</f>
        <v>193.263753740684</v>
      </c>
      <c r="L8" s="34">
        <f>'SER_se-appl'!L24</f>
        <v>200.31894727032028</v>
      </c>
      <c r="M8" s="34">
        <f>'SER_se-appl'!M24</f>
        <v>206.44672481772608</v>
      </c>
      <c r="N8" s="34">
        <f>'SER_se-appl'!N24</f>
        <v>211.158867164588</v>
      </c>
      <c r="O8" s="34">
        <f>'SER_se-appl'!O24</f>
        <v>215.42809140949385</v>
      </c>
      <c r="P8" s="34">
        <f>'SER_se-appl'!P24</f>
        <v>220.31331667333444</v>
      </c>
      <c r="Q8" s="34">
        <f>'SER_se-appl'!Q24</f>
        <v>221.74348424268584</v>
      </c>
      <c r="R8" s="34">
        <f>'SER_se-appl'!R24</f>
        <v>227.38675667290175</v>
      </c>
      <c r="S8" s="34">
        <f>'SER_se-appl'!S24</f>
        <v>233.27792528807117</v>
      </c>
      <c r="T8" s="34">
        <f>'SER_se-appl'!T24</f>
        <v>239.56681510762834</v>
      </c>
      <c r="U8" s="34">
        <f>'SER_se-appl'!U24</f>
        <v>245.83047975683576</v>
      </c>
      <c r="V8" s="34">
        <f>'SER_se-appl'!V24</f>
        <v>251.89161837914372</v>
      </c>
      <c r="W8" s="34">
        <f>'SER_se-appl'!W24</f>
        <v>257.73725152015976</v>
      </c>
      <c r="X8" s="34">
        <f>'SER_se-appl'!X24</f>
        <v>262.90724192784052</v>
      </c>
      <c r="Y8" s="34">
        <f>'SER_se-appl'!Y24</f>
        <v>267.54097532218822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12.936543834319295</v>
      </c>
      <c r="D9" s="36">
        <f>'SER_se-appl'!D32</f>
        <v>11.873353407382368</v>
      </c>
      <c r="E9" s="36">
        <f>'SER_se-appl'!E32</f>
        <v>13.280974781889881</v>
      </c>
      <c r="F9" s="36">
        <f>'SER_se-appl'!F32</f>
        <v>13.712142038954681</v>
      </c>
      <c r="G9" s="36">
        <f>'SER_se-appl'!G32</f>
        <v>13.621820246397562</v>
      </c>
      <c r="H9" s="36">
        <f>'SER_se-appl'!H32</f>
        <v>13.782928877030372</v>
      </c>
      <c r="I9" s="36">
        <f>'SER_se-appl'!I32</f>
        <v>15.018690029287001</v>
      </c>
      <c r="J9" s="36">
        <f>'SER_se-appl'!J32</f>
        <v>14.705581975460831</v>
      </c>
      <c r="K9" s="36">
        <f>'SER_se-appl'!K32</f>
        <v>13.737814510858072</v>
      </c>
      <c r="L9" s="36">
        <f>'SER_se-appl'!L32</f>
        <v>15.919771611232335</v>
      </c>
      <c r="M9" s="36">
        <f>'SER_se-appl'!M32</f>
        <v>15.989899685496425</v>
      </c>
      <c r="N9" s="36">
        <f>'SER_se-appl'!N32</f>
        <v>15.684063646595718</v>
      </c>
      <c r="O9" s="36">
        <f>'SER_se-appl'!O32</f>
        <v>16.475832044113162</v>
      </c>
      <c r="P9" s="36">
        <f>'SER_se-appl'!P32</f>
        <v>18.465460656823609</v>
      </c>
      <c r="Q9" s="36">
        <f>'SER_se-appl'!Q32</f>
        <v>16.538606896844556</v>
      </c>
      <c r="R9" s="36">
        <f>'SER_se-appl'!R32</f>
        <v>18.579816264535225</v>
      </c>
      <c r="S9" s="36">
        <f>'SER_se-appl'!S32</f>
        <v>17.764522022551773</v>
      </c>
      <c r="T9" s="36">
        <f>'SER_se-appl'!T32</f>
        <v>19.569864601447051</v>
      </c>
      <c r="U9" s="36">
        <f>'SER_se-appl'!U32</f>
        <v>19.975806688162095</v>
      </c>
      <c r="V9" s="36">
        <f>'SER_se-appl'!V32</f>
        <v>19.682958868705526</v>
      </c>
      <c r="W9" s="36">
        <f>'SER_se-appl'!W32</f>
        <v>19.628562018046409</v>
      </c>
      <c r="X9" s="36">
        <f>'SER_se-appl'!X32</f>
        <v>20.188680436967758</v>
      </c>
      <c r="Y9" s="36">
        <f>'SER_se-appl'!Y32</f>
        <v>19.339315369808531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3.3950588482457533</v>
      </c>
      <c r="D10" s="38">
        <f>'SER_se-appl'!D40</f>
        <v>3.7771098318732754</v>
      </c>
      <c r="E10" s="38">
        <f>'SER_se-appl'!E40</f>
        <v>4.2021535766325542</v>
      </c>
      <c r="F10" s="38">
        <f>'SER_se-appl'!F40</f>
        <v>4.6750281213951439</v>
      </c>
      <c r="G10" s="38">
        <f>'SER_se-appl'!G40</f>
        <v>5.2011159366883248</v>
      </c>
      <c r="H10" s="38">
        <f>'SER_se-appl'!H40</f>
        <v>5.7864051903928271</v>
      </c>
      <c r="I10" s="38">
        <f>'SER_se-appl'!I40</f>
        <v>6.4375579077600946</v>
      </c>
      <c r="J10" s="38">
        <f>'SER_se-appl'!J40</f>
        <v>7.1619858015769466</v>
      </c>
      <c r="K10" s="38">
        <f>'SER_se-appl'!K40</f>
        <v>7.9679346356104759</v>
      </c>
      <c r="L10" s="38">
        <f>'SER_se-appl'!L40</f>
        <v>8.8645780815960507</v>
      </c>
      <c r="M10" s="38">
        <f>'SER_se-appl'!M40</f>
        <v>9.8621221380906263</v>
      </c>
      <c r="N10" s="38">
        <f>'SER_se-appl'!N40</f>
        <v>10.971921299733793</v>
      </c>
      <c r="O10" s="38">
        <f>'SER_se-appl'!O40</f>
        <v>12.206607799207319</v>
      </c>
      <c r="P10" s="38">
        <f>'SER_se-appl'!P40</f>
        <v>13.580235392983013</v>
      </c>
      <c r="Q10" s="38">
        <f>'SER_se-appl'!Q40</f>
        <v>15.108439327493159</v>
      </c>
      <c r="R10" s="38">
        <f>'SER_se-appl'!R40</f>
        <v>12.936543834319309</v>
      </c>
      <c r="S10" s="38">
        <f>'SER_se-appl'!S40</f>
        <v>11.873353407382353</v>
      </c>
      <c r="T10" s="38">
        <f>'SER_se-appl'!T40</f>
        <v>13.280974781889881</v>
      </c>
      <c r="U10" s="38">
        <f>'SER_se-appl'!U40</f>
        <v>13.712142038954653</v>
      </c>
      <c r="V10" s="38">
        <f>'SER_se-appl'!V40</f>
        <v>13.62182024639759</v>
      </c>
      <c r="W10" s="38">
        <f>'SER_se-appl'!W40</f>
        <v>13.782928877030372</v>
      </c>
      <c r="X10" s="38">
        <f>'SER_se-appl'!X40</f>
        <v>15.018690029287029</v>
      </c>
      <c r="Y10" s="38">
        <f>'SER_se-appl'!Y40</f>
        <v>14.705581975460802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844.75219096474325</v>
      </c>
      <c r="C12" s="204">
        <f>'SER_se-appl'!C48</f>
        <v>848.78747257389057</v>
      </c>
      <c r="D12" s="204">
        <f>'SER_se-appl'!D48</f>
        <v>852.48822526443928</v>
      </c>
      <c r="E12" s="204">
        <f>'SER_se-appl'!E48</f>
        <v>855.90683486114017</v>
      </c>
      <c r="F12" s="204">
        <f>'SER_se-appl'!F48</f>
        <v>859.08419391082089</v>
      </c>
      <c r="G12" s="204">
        <f>'SER_se-appl'!G48</f>
        <v>862.05284563141242</v>
      </c>
      <c r="H12" s="204">
        <f>'SER_se-appl'!H48</f>
        <v>864.83911955354677</v>
      </c>
      <c r="I12" s="204">
        <f>'SER_se-appl'!I48</f>
        <v>867.46462402635007</v>
      </c>
      <c r="J12" s="204">
        <f>'SER_se-appl'!J48</f>
        <v>869.94731510220436</v>
      </c>
      <c r="K12" s="204">
        <f>'SER_se-appl'!K48</f>
        <v>872.30227852516771</v>
      </c>
      <c r="L12" s="204">
        <f>'SER_se-appl'!L48</f>
        <v>874.54231264395139</v>
      </c>
      <c r="M12" s="204">
        <f>'SER_se-appl'!M48</f>
        <v>875.96577194398265</v>
      </c>
      <c r="N12" s="204">
        <f>'SER_se-appl'!N48</f>
        <v>877.32515702872706</v>
      </c>
      <c r="O12" s="204">
        <f>'SER_se-appl'!O48</f>
        <v>878.62607557867636</v>
      </c>
      <c r="P12" s="204">
        <f>'SER_se-appl'!P48</f>
        <v>879.87342638212795</v>
      </c>
      <c r="Q12" s="204">
        <f>'SER_se-appl'!Q48</f>
        <v>881.0715142758969</v>
      </c>
      <c r="R12" s="204">
        <f>'SER_se-appl'!R48</f>
        <v>885.82425669286761</v>
      </c>
      <c r="S12" s="204">
        <f>'SER_se-appl'!S48</f>
        <v>897.17993068031319</v>
      </c>
      <c r="T12" s="204">
        <f>'SER_se-appl'!T48</f>
        <v>894.4335414366584</v>
      </c>
      <c r="U12" s="204">
        <f>'SER_se-appl'!U48</f>
        <v>892.64240258242705</v>
      </c>
      <c r="V12" s="204">
        <f>'SER_se-appl'!V48</f>
        <v>827.02922315230876</v>
      </c>
      <c r="W12" s="204">
        <f>'SER_se-appl'!W48</f>
        <v>864.15726237885667</v>
      </c>
      <c r="X12" s="204">
        <f>'SER_se-appl'!X48</f>
        <v>872.08750466329457</v>
      </c>
      <c r="Y12" s="204">
        <f>'SER_se-appl'!Y48</f>
        <v>876.05262580551357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46.186749403521404</v>
      </c>
      <c r="C14" s="59">
        <f>'SER_se-appl'!C56</f>
        <v>45.921024910060829</v>
      </c>
      <c r="D14" s="59">
        <f>'SER_se-appl'!D56</f>
        <v>45.680102413625967</v>
      </c>
      <c r="E14" s="59">
        <f>'SER_se-appl'!E56</f>
        <v>45.413157237505608</v>
      </c>
      <c r="F14" s="59">
        <f>'SER_se-appl'!F56</f>
        <v>45.138626280618986</v>
      </c>
      <c r="G14" s="59">
        <f>'SER_se-appl'!G56</f>
        <v>44.863779392536252</v>
      </c>
      <c r="H14" s="59">
        <f>'SER_se-appl'!H56</f>
        <v>44.5816416225694</v>
      </c>
      <c r="I14" s="59">
        <f>'SER_se-appl'!I56</f>
        <v>44.264732810885391</v>
      </c>
      <c r="J14" s="59">
        <f>'SER_se-appl'!J56</f>
        <v>43.943925618546537</v>
      </c>
      <c r="K14" s="59">
        <f>'SER_se-appl'!K56</f>
        <v>43.615772663001529</v>
      </c>
      <c r="L14" s="59">
        <f>'SER_se-appl'!L56</f>
        <v>43.220121703492076</v>
      </c>
      <c r="M14" s="59">
        <f>'SER_se-appl'!M56</f>
        <v>42.766289179372592</v>
      </c>
      <c r="N14" s="59">
        <f>'SER_se-appl'!N56</f>
        <v>42.251780603735426</v>
      </c>
      <c r="O14" s="59">
        <f>'SER_se-appl'!O56</f>
        <v>41.643922595008888</v>
      </c>
      <c r="P14" s="59">
        <f>'SER_se-appl'!P56</f>
        <v>40.90984097002115</v>
      </c>
      <c r="Q14" s="59">
        <f>'SER_se-appl'!Q56</f>
        <v>40.123763541936668</v>
      </c>
      <c r="R14" s="59">
        <f>'SER_se-appl'!R56</f>
        <v>39.489023395066077</v>
      </c>
      <c r="S14" s="59">
        <f>'SER_se-appl'!S56</f>
        <v>38.894127524993898</v>
      </c>
      <c r="T14" s="59">
        <f>'SER_se-appl'!T56</f>
        <v>38.243994262712938</v>
      </c>
      <c r="U14" s="59">
        <f>'SER_se-appl'!U56</f>
        <v>37.589687501724015</v>
      </c>
      <c r="V14" s="59">
        <f>'SER_se-appl'!V56</f>
        <v>36.954068688959374</v>
      </c>
      <c r="W14" s="59">
        <f>'SER_se-appl'!W56</f>
        <v>36.338238314462679</v>
      </c>
      <c r="X14" s="59">
        <f>'SER_se-appl'!X56</f>
        <v>35.713486813640642</v>
      </c>
      <c r="Y14" s="59">
        <f>'SER_se-appl'!Y56</f>
        <v>35.126364320929525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43.542356717265754</v>
      </c>
      <c r="D15" s="63">
        <f>'SER_se-appl'!D64</f>
        <v>43.229014085428474</v>
      </c>
      <c r="E15" s="63">
        <f>'SER_se-appl'!E64</f>
        <v>42.907546550476198</v>
      </c>
      <c r="F15" s="63">
        <f>'SER_se-appl'!F64</f>
        <v>42.574612175637917</v>
      </c>
      <c r="G15" s="63">
        <f>'SER_se-appl'!G64</f>
        <v>42.242460707236049</v>
      </c>
      <c r="H15" s="63">
        <f>'SER_se-appl'!H64</f>
        <v>41.911252509678043</v>
      </c>
      <c r="I15" s="63">
        <f>'SER_se-appl'!I64</f>
        <v>41.472525295758913</v>
      </c>
      <c r="J15" s="63">
        <f>'SER_se-appl'!J64</f>
        <v>41.11056130063487</v>
      </c>
      <c r="K15" s="63">
        <f>'SER_se-appl'!K64</f>
        <v>40.628303716980241</v>
      </c>
      <c r="L15" s="63">
        <f>'SER_se-appl'!L64</f>
        <v>40.068877581084735</v>
      </c>
      <c r="M15" s="63">
        <f>'SER_se-appl'!M64</f>
        <v>39.190390762606775</v>
      </c>
      <c r="N15" s="63">
        <f>'SER_se-appl'!N64</f>
        <v>38.2321308647821</v>
      </c>
      <c r="O15" s="63">
        <f>'SER_se-appl'!O64</f>
        <v>37.219132200618496</v>
      </c>
      <c r="P15" s="63">
        <f>'SER_se-appl'!P64</f>
        <v>36.226494784244863</v>
      </c>
      <c r="Q15" s="63">
        <f>'SER_se-appl'!Q64</f>
        <v>35.190997933625304</v>
      </c>
      <c r="R15" s="63">
        <f>'SER_se-appl'!R64</f>
        <v>34.735834972712006</v>
      </c>
      <c r="S15" s="63">
        <f>'SER_se-appl'!S64</f>
        <v>34.176758702208801</v>
      </c>
      <c r="T15" s="63">
        <f>'SER_se-appl'!T64</f>
        <v>33.659127679056397</v>
      </c>
      <c r="U15" s="63">
        <f>'SER_se-appl'!U64</f>
        <v>33.164524952284019</v>
      </c>
      <c r="V15" s="63">
        <f>'SER_se-appl'!V64</f>
        <v>32.675395305515472</v>
      </c>
      <c r="W15" s="63">
        <f>'SER_se-appl'!W64</f>
        <v>32.348641352460319</v>
      </c>
      <c r="X15" s="63">
        <f>'SER_se-appl'!X64</f>
        <v>32.021887399405159</v>
      </c>
      <c r="Y15" s="63">
        <f>'SER_se-appl'!Y64</f>
        <v>31.695133446350006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490.21981551252628</v>
      </c>
      <c r="C3" s="198">
        <f>'SER_se-appl'!C9</f>
        <v>547.28841205116305</v>
      </c>
      <c r="D3" s="198">
        <f>'SER_se-appl'!D9</f>
        <v>613.46278504405564</v>
      </c>
      <c r="E3" s="198">
        <f>'SER_se-appl'!E9</f>
        <v>686.88828655636303</v>
      </c>
      <c r="F3" s="198">
        <f>'SER_se-appl'!F9</f>
        <v>776.51653532231194</v>
      </c>
      <c r="G3" s="198">
        <f>'SER_se-appl'!G9</f>
        <v>849.79564123168632</v>
      </c>
      <c r="H3" s="198">
        <f>'SER_se-appl'!H9</f>
        <v>918.15782891928438</v>
      </c>
      <c r="I3" s="198">
        <f>'SER_se-appl'!I9</f>
        <v>983.49170521799317</v>
      </c>
      <c r="J3" s="198">
        <f>'SER_se-appl'!J9</f>
        <v>1035.335565066242</v>
      </c>
      <c r="K3" s="198">
        <f>'SER_se-appl'!K9</f>
        <v>1077.9799194443669</v>
      </c>
      <c r="L3" s="198">
        <f>'SER_se-appl'!L9</f>
        <v>1109.091033574527</v>
      </c>
      <c r="M3" s="198">
        <f>'SER_se-appl'!M9</f>
        <v>1144.3676797298499</v>
      </c>
      <c r="N3" s="198">
        <f>'SER_se-appl'!N9</f>
        <v>1185.2334033154991</v>
      </c>
      <c r="O3" s="198">
        <f>'SER_se-appl'!O9</f>
        <v>1227.3018711048119</v>
      </c>
      <c r="P3" s="198">
        <f>'SER_se-appl'!P9</f>
        <v>1327.0121046121712</v>
      </c>
      <c r="Q3" s="198">
        <f>'SER_se-appl'!Q9</f>
        <v>1417.1109210458164</v>
      </c>
      <c r="R3" s="198">
        <f>'SER_se-appl'!R9</f>
        <v>1452.5288303829195</v>
      </c>
      <c r="S3" s="198">
        <f>'SER_se-appl'!S9</f>
        <v>1523.9807277813381</v>
      </c>
      <c r="T3" s="198">
        <f>'SER_se-appl'!T9</f>
        <v>1568.3941928806551</v>
      </c>
      <c r="U3" s="198">
        <f>'SER_se-appl'!U9</f>
        <v>1602.0774885250007</v>
      </c>
      <c r="V3" s="198">
        <f>'SER_se-appl'!V9</f>
        <v>1589.6031153938407</v>
      </c>
      <c r="W3" s="198">
        <f>'SER_se-appl'!W9</f>
        <v>1635.0132054064886</v>
      </c>
      <c r="X3" s="198">
        <f>'SER_se-appl'!X9</f>
        <v>1661.5683507701365</v>
      </c>
      <c r="Y3" s="198">
        <f>'SER_se-appl'!Y9</f>
        <v>1680.4987201250017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2394.1140077739078</v>
      </c>
      <c r="C5" s="59">
        <f>'SER_se-appl'!C17</f>
        <v>2558.7947656229849</v>
      </c>
      <c r="D5" s="59">
        <f>'SER_se-appl'!D17</f>
        <v>2763.3600893522535</v>
      </c>
      <c r="E5" s="59">
        <f>'SER_se-appl'!E17</f>
        <v>3019.0502327810909</v>
      </c>
      <c r="F5" s="59">
        <f>'SER_se-appl'!F17</f>
        <v>3382.0333499685903</v>
      </c>
      <c r="G5" s="59">
        <f>'SER_se-appl'!G17</f>
        <v>3648.4365591097585</v>
      </c>
      <c r="H5" s="59">
        <f>'SER_se-appl'!H17</f>
        <v>3899.6682531739216</v>
      </c>
      <c r="I5" s="59">
        <f>'SER_se-appl'!I17</f>
        <v>4152.0625783397518</v>
      </c>
      <c r="J5" s="59">
        <f>'SER_se-appl'!J17</f>
        <v>4326.2881008915774</v>
      </c>
      <c r="K5" s="59">
        <f>'SER_se-appl'!K17</f>
        <v>4455.5234701331729</v>
      </c>
      <c r="L5" s="59">
        <f>'SER_se-appl'!L17</f>
        <v>4494.3917678874041</v>
      </c>
      <c r="M5" s="59">
        <f>'SER_se-appl'!M17</f>
        <v>4519.3821845440771</v>
      </c>
      <c r="N5" s="59">
        <f>'SER_se-appl'!N17</f>
        <v>4608.6290578442513</v>
      </c>
      <c r="O5" s="59">
        <f>'SER_se-appl'!O17</f>
        <v>4758.7986844105608</v>
      </c>
      <c r="P5" s="59">
        <f>'SER_se-appl'!P17</f>
        <v>5117.722155993456</v>
      </c>
      <c r="Q5" s="59">
        <f>'SER_se-appl'!Q17</f>
        <v>5535.2566699483768</v>
      </c>
      <c r="R5" s="59">
        <f>'SER_se-appl'!R17</f>
        <v>5620.5338022121532</v>
      </c>
      <c r="S5" s="59">
        <f>'SER_se-appl'!S17</f>
        <v>5759.4655577410158</v>
      </c>
      <c r="T5" s="59">
        <f>'SER_se-appl'!T17</f>
        <v>5872.9325873191865</v>
      </c>
      <c r="U5" s="59">
        <f>'SER_se-appl'!U17</f>
        <v>5945.823678091926</v>
      </c>
      <c r="V5" s="59">
        <f>'SER_se-appl'!V17</f>
        <v>5991.5830288677953</v>
      </c>
      <c r="W5" s="59">
        <f>'SER_se-appl'!W17</f>
        <v>6049.090649999468</v>
      </c>
      <c r="X5" s="59">
        <f>'SER_se-appl'!X17</f>
        <v>6085.4054282486522</v>
      </c>
      <c r="Y5" s="59">
        <f>'SER_se-appl'!Y17</f>
        <v>6094.0531701304353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0.10511552923012056</v>
      </c>
      <c r="C6" s="201">
        <f>'SER_se-appl'!C73</f>
        <v>0.11448998268976794</v>
      </c>
      <c r="D6" s="201">
        <f>'SER_se-appl'!D73</f>
        <v>0.12727154937551668</v>
      </c>
      <c r="E6" s="201">
        <f>'SER_se-appl'!E73</f>
        <v>0.14400843474065014</v>
      </c>
      <c r="F6" s="201">
        <f>'SER_se-appl'!F73</f>
        <v>0.16840285123037352</v>
      </c>
      <c r="G6" s="201">
        <f>'SER_se-appl'!G73</f>
        <v>0.18904682662130148</v>
      </c>
      <c r="H6" s="201">
        <f>'SER_se-appl'!H73</f>
        <v>0.21127315149590273</v>
      </c>
      <c r="I6" s="201">
        <f>'SER_se-appl'!I73</f>
        <v>0.23624789796692158</v>
      </c>
      <c r="J6" s="201">
        <f>'SER_se-appl'!J73</f>
        <v>0.25992648796761392</v>
      </c>
      <c r="K6" s="201">
        <f>'SER_se-appl'!K73</f>
        <v>0.28603588564335142</v>
      </c>
      <c r="L6" s="201">
        <f>'SER_se-appl'!L73</f>
        <v>0.30806850156066867</v>
      </c>
      <c r="M6" s="201">
        <f>'SER_se-appl'!M73</f>
        <v>0.33567975640002884</v>
      </c>
      <c r="N6" s="201">
        <f>'SER_se-appl'!N73</f>
        <v>0.37145655034539621</v>
      </c>
      <c r="O6" s="201">
        <f>'SER_se-appl'!O73</f>
        <v>0.41150825115925199</v>
      </c>
      <c r="P6" s="201">
        <f>'SER_se-appl'!P73</f>
        <v>0.46989735716646913</v>
      </c>
      <c r="Q6" s="201">
        <f>'SER_se-appl'!Q73</f>
        <v>0.52453614564542228</v>
      </c>
      <c r="R6" s="201">
        <f>'SER_se-appl'!R73</f>
        <v>0.54477817832491682</v>
      </c>
      <c r="S6" s="201">
        <f>'SER_se-appl'!S73</f>
        <v>0.56993068249640233</v>
      </c>
      <c r="T6" s="201">
        <f>'SER_se-appl'!T73</f>
        <v>0.59141273750561429</v>
      </c>
      <c r="U6" s="201">
        <f>'SER_se-appl'!U73</f>
        <v>0.61064557306958811</v>
      </c>
      <c r="V6" s="201">
        <f>'SER_se-appl'!V73</f>
        <v>0.6291357356925783</v>
      </c>
      <c r="W6" s="201">
        <f>'SER_se-appl'!W73</f>
        <v>0.64656158625989901</v>
      </c>
      <c r="X6" s="201">
        <f>'SER_se-appl'!X73</f>
        <v>0.66188158659263696</v>
      </c>
      <c r="Y6" s="201">
        <f>'SER_se-appl'!Y73</f>
        <v>0.67505425698571297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6364.2220297792928</v>
      </c>
      <c r="C8" s="34">
        <f>'SER_se-appl'!C25</f>
        <v>6981.5207187839069</v>
      </c>
      <c r="D8" s="34">
        <f>'SER_se-appl'!D25</f>
        <v>7817.5322306175149</v>
      </c>
      <c r="E8" s="34">
        <f>'SER_se-appl'!E25</f>
        <v>8908.950479537838</v>
      </c>
      <c r="F8" s="34">
        <f>'SER_se-appl'!F25</f>
        <v>10490.190993929575</v>
      </c>
      <c r="G8" s="34">
        <f>'SER_se-appl'!G25</f>
        <v>11867.011871411496</v>
      </c>
      <c r="H8" s="34">
        <f>'SER_se-appl'!H25</f>
        <v>13358.724254385634</v>
      </c>
      <c r="I8" s="34">
        <f>'SER_se-appl'!I25</f>
        <v>15036.012822218092</v>
      </c>
      <c r="J8" s="34">
        <f>'SER_se-appl'!J25</f>
        <v>16637.16488115524</v>
      </c>
      <c r="K8" s="34">
        <f>'SER_se-appl'!K25</f>
        <v>18406.473885259817</v>
      </c>
      <c r="L8" s="34">
        <f>'SER_se-appl'!L25</f>
        <v>19919.35688054705</v>
      </c>
      <c r="M8" s="34">
        <f>'SER_se-appl'!M25</f>
        <v>21812.04123646544</v>
      </c>
      <c r="N8" s="34">
        <f>'SER_se-appl'!N25</f>
        <v>24247.562922135075</v>
      </c>
      <c r="O8" s="34">
        <f>'SER_se-appl'!O25</f>
        <v>26995.085303934833</v>
      </c>
      <c r="P8" s="34">
        <f>'SER_se-appl'!P25</f>
        <v>31091.219136329455</v>
      </c>
      <c r="Q8" s="34">
        <f>'SER_se-appl'!Q25</f>
        <v>34859.703421333761</v>
      </c>
      <c r="R8" s="34">
        <f>'SER_se-appl'!R25</f>
        <v>36303.141255483533</v>
      </c>
      <c r="S8" s="34">
        <f>'SER_se-appl'!S25</f>
        <v>38076.964030339062</v>
      </c>
      <c r="T8" s="34">
        <f>'SER_se-appl'!T25</f>
        <v>39640.162620504503</v>
      </c>
      <c r="U8" s="34">
        <f>'SER_se-appl'!U25</f>
        <v>41090.628225917506</v>
      </c>
      <c r="V8" s="34">
        <f>'SER_se-appl'!V25</f>
        <v>42450.085061749269</v>
      </c>
      <c r="W8" s="34">
        <f>'SER_se-appl'!W25</f>
        <v>43790.690361191439</v>
      </c>
      <c r="X8" s="34">
        <f>'SER_se-appl'!X25</f>
        <v>45068.644415434625</v>
      </c>
      <c r="Y8" s="34">
        <f>'SER_se-appl'!Y25</f>
        <v>46090.82126560749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1890.1430949604728</v>
      </c>
      <c r="D9" s="36">
        <f>'SER_se-appl'!D33</f>
        <v>2108.8559177894667</v>
      </c>
      <c r="E9" s="36">
        <f>'SER_se-appl'!E33</f>
        <v>2364.2626548761818</v>
      </c>
      <c r="F9" s="36">
        <f>'SER_se-appl'!F33</f>
        <v>2854.0849203475955</v>
      </c>
      <c r="G9" s="36">
        <f>'SER_se-appl'!G33</f>
        <v>2649.6652834377801</v>
      </c>
      <c r="H9" s="36">
        <f>'SER_se-appl'!H33</f>
        <v>3381.8554779346105</v>
      </c>
      <c r="I9" s="36">
        <f>'SER_se-appl'!I33</f>
        <v>3786.1444856219259</v>
      </c>
      <c r="J9" s="36">
        <f>'SER_se-appl'!J33</f>
        <v>3965.4147138133303</v>
      </c>
      <c r="K9" s="36">
        <f>'SER_se-appl'!K33</f>
        <v>4623.3939244521716</v>
      </c>
      <c r="L9" s="36">
        <f>'SER_se-appl'!L33</f>
        <v>4162.548278725013</v>
      </c>
      <c r="M9" s="36">
        <f>'SER_se-appl'!M33</f>
        <v>5274.5398338529994</v>
      </c>
      <c r="N9" s="36">
        <f>'SER_se-appl'!N33</f>
        <v>6221.6661712915593</v>
      </c>
      <c r="O9" s="36">
        <f>'SER_se-appl'!O33</f>
        <v>6712.9370956130879</v>
      </c>
      <c r="P9" s="36">
        <f>'SER_se-appl'!P33</f>
        <v>8719.5277568467936</v>
      </c>
      <c r="Q9" s="36">
        <f>'SER_se-appl'!Q33</f>
        <v>7931.0325637293208</v>
      </c>
      <c r="R9" s="36">
        <f>'SER_se-appl'!R33</f>
        <v>6717.9776680027717</v>
      </c>
      <c r="S9" s="36">
        <f>'SER_se-appl'!S33</f>
        <v>7995.4889461470884</v>
      </c>
      <c r="T9" s="36">
        <f>'SER_se-appl'!T33</f>
        <v>8276.1356857785286</v>
      </c>
      <c r="U9" s="36">
        <f>'SER_se-appl'!U33</f>
        <v>10169.993362259796</v>
      </c>
      <c r="V9" s="36">
        <f>'SER_se-appl'!V33</f>
        <v>9290.4893995610837</v>
      </c>
      <c r="W9" s="36">
        <f>'SER_se-appl'!W33</f>
        <v>8058.5829674449415</v>
      </c>
      <c r="X9" s="36">
        <f>'SER_se-appl'!X33</f>
        <v>9273.4430003902744</v>
      </c>
      <c r="Y9" s="36">
        <f>'SER_se-appl'!Y33</f>
        <v>9298.3125359513942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1272.8444059558578</v>
      </c>
      <c r="D10" s="38">
        <f>'SER_se-appl'!D41</f>
        <v>1272.8444059558587</v>
      </c>
      <c r="E10" s="38">
        <f>'SER_se-appl'!E41</f>
        <v>1272.8444059558587</v>
      </c>
      <c r="F10" s="38">
        <f>'SER_se-appl'!F41</f>
        <v>1272.8444059558587</v>
      </c>
      <c r="G10" s="38">
        <f>'SER_se-appl'!G41</f>
        <v>1272.8444059558587</v>
      </c>
      <c r="H10" s="38">
        <f>'SER_se-appl'!H41</f>
        <v>1890.1430949604728</v>
      </c>
      <c r="I10" s="38">
        <f>'SER_se-appl'!I41</f>
        <v>2108.8559177894658</v>
      </c>
      <c r="J10" s="38">
        <f>'SER_se-appl'!J41</f>
        <v>2364.26265487618</v>
      </c>
      <c r="K10" s="38">
        <f>'SER_se-appl'!K41</f>
        <v>2854.0849203475955</v>
      </c>
      <c r="L10" s="38">
        <f>'SER_se-appl'!L41</f>
        <v>2649.6652834377819</v>
      </c>
      <c r="M10" s="38">
        <f>'SER_se-appl'!M41</f>
        <v>3381.8554779346086</v>
      </c>
      <c r="N10" s="38">
        <f>'SER_se-appl'!N41</f>
        <v>3786.1444856219241</v>
      </c>
      <c r="O10" s="38">
        <f>'SER_se-appl'!O41</f>
        <v>3965.4147138133303</v>
      </c>
      <c r="P10" s="38">
        <f>'SER_se-appl'!P41</f>
        <v>4623.3939244521753</v>
      </c>
      <c r="Q10" s="38">
        <f>'SER_se-appl'!Q41</f>
        <v>4162.5482787250148</v>
      </c>
      <c r="R10" s="38">
        <f>'SER_se-appl'!R41</f>
        <v>5274.5398338529994</v>
      </c>
      <c r="S10" s="38">
        <f>'SER_se-appl'!S41</f>
        <v>6221.6661712915593</v>
      </c>
      <c r="T10" s="38">
        <f>'SER_se-appl'!T41</f>
        <v>6712.9370956130879</v>
      </c>
      <c r="U10" s="38">
        <f>'SER_se-appl'!U41</f>
        <v>8719.5277568467936</v>
      </c>
      <c r="V10" s="38">
        <f>'SER_se-appl'!V41</f>
        <v>7931.0325637293208</v>
      </c>
      <c r="W10" s="38">
        <f>'SER_se-appl'!W41</f>
        <v>6717.9776680027717</v>
      </c>
      <c r="X10" s="38">
        <f>'SER_se-appl'!X41</f>
        <v>7995.4889461470884</v>
      </c>
      <c r="Y10" s="38">
        <f>'SER_se-appl'!Y41</f>
        <v>8276.1356857785286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2381.3638097008657</v>
      </c>
      <c r="C12" s="204">
        <f>'SER_se-appl'!C49</f>
        <v>2487.4852480032177</v>
      </c>
      <c r="D12" s="204">
        <f>'SER_se-appl'!D49</f>
        <v>2581.8467226016678</v>
      </c>
      <c r="E12" s="204">
        <f>'SER_se-appl'!E49</f>
        <v>2646.0344004583321</v>
      </c>
      <c r="F12" s="204">
        <f>'SER_se-appl'!F49</f>
        <v>2670.2537708217333</v>
      </c>
      <c r="G12" s="204">
        <f>'SER_se-appl'!G49</f>
        <v>2708.8653310545865</v>
      </c>
      <c r="H12" s="204">
        <f>'SER_se-appl'!H49</f>
        <v>2738.2266534186238</v>
      </c>
      <c r="I12" s="204">
        <f>'SER_se-appl'!I49</f>
        <v>2754.777490916063</v>
      </c>
      <c r="J12" s="204">
        <f>'SER_se-appl'!J49</f>
        <v>2783.2063748225528</v>
      </c>
      <c r="K12" s="204">
        <f>'SER_se-appl'!K49</f>
        <v>2813.7897930909717</v>
      </c>
      <c r="L12" s="204">
        <f>'SER_se-appl'!L49</f>
        <v>2869.9609172110104</v>
      </c>
      <c r="M12" s="204">
        <f>'SER_se-appl'!M49</f>
        <v>2944.8706862574822</v>
      </c>
      <c r="N12" s="204">
        <f>'SER_se-appl'!N49</f>
        <v>2990.9685304564373</v>
      </c>
      <c r="O12" s="204">
        <f>'SER_se-appl'!O49</f>
        <v>2999.395794511724</v>
      </c>
      <c r="P12" s="204">
        <f>'SER_se-appl'!P49</f>
        <v>3015.6288884431747</v>
      </c>
      <c r="Q12" s="204">
        <f>'SER_se-appl'!Q49</f>
        <v>2977.4590401995847</v>
      </c>
      <c r="R12" s="204">
        <f>'SER_se-appl'!R49</f>
        <v>3005.5704479002634</v>
      </c>
      <c r="S12" s="204">
        <f>'SER_se-appl'!S49</f>
        <v>3077.3507865282991</v>
      </c>
      <c r="T12" s="204">
        <f>'SER_se-appl'!T49</f>
        <v>3105.8460474391741</v>
      </c>
      <c r="U12" s="204">
        <f>'SER_se-appl'!U49</f>
        <v>3133.6551839231474</v>
      </c>
      <c r="V12" s="204">
        <f>'SER_se-appl'!V49</f>
        <v>3085.5091455728011</v>
      </c>
      <c r="W12" s="204">
        <f>'SER_se-appl'!W49</f>
        <v>3143.4813394438279</v>
      </c>
      <c r="X12" s="204">
        <f>'SER_se-appl'!X49</f>
        <v>3175.4728829987002</v>
      </c>
      <c r="Y12" s="204">
        <f>'SER_se-appl'!Y49</f>
        <v>3207.0937961040881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376.18329413578522</v>
      </c>
      <c r="C14" s="59">
        <f>'SER_se-appl'!C57</f>
        <v>366.50965723535012</v>
      </c>
      <c r="D14" s="59">
        <f>'SER_se-appl'!D57</f>
        <v>353.48240439988217</v>
      </c>
      <c r="E14" s="59">
        <f>'SER_se-appl'!E57</f>
        <v>338.87832688208044</v>
      </c>
      <c r="F14" s="59">
        <f>'SER_se-appl'!F57</f>
        <v>322.39959710225418</v>
      </c>
      <c r="G14" s="59">
        <f>'SER_se-appl'!G57</f>
        <v>307.44357540410914</v>
      </c>
      <c r="H14" s="59">
        <f>'SER_se-appl'!H57</f>
        <v>291.91921166376881</v>
      </c>
      <c r="I14" s="59">
        <f>'SER_se-appl'!I57</f>
        <v>276.14119696708565</v>
      </c>
      <c r="J14" s="59">
        <f>'SER_se-appl'!J57</f>
        <v>260.03758042885795</v>
      </c>
      <c r="K14" s="59">
        <f>'SER_se-appl'!K57</f>
        <v>242.06284690416581</v>
      </c>
      <c r="L14" s="59">
        <f>'SER_se-appl'!L57</f>
        <v>225.62936117061898</v>
      </c>
      <c r="M14" s="59">
        <f>'SER_se-appl'!M57</f>
        <v>207.1966642438104</v>
      </c>
      <c r="N14" s="59">
        <f>'SER_se-appl'!N57</f>
        <v>190.06566031578924</v>
      </c>
      <c r="O14" s="59">
        <f>'SER_se-appl'!O57</f>
        <v>176.28389133917324</v>
      </c>
      <c r="P14" s="59">
        <f>'SER_se-appl'!P57</f>
        <v>164.60345712251282</v>
      </c>
      <c r="Q14" s="59">
        <f>'SER_se-appl'!Q57</f>
        <v>158.78668280811763</v>
      </c>
      <c r="R14" s="59">
        <f>'SER_se-appl'!R57</f>
        <v>154.82224424210619</v>
      </c>
      <c r="S14" s="59">
        <f>'SER_se-appl'!S57</f>
        <v>151.25852873017854</v>
      </c>
      <c r="T14" s="59">
        <f>'SER_se-appl'!T57</f>
        <v>148.15611740909759</v>
      </c>
      <c r="U14" s="59">
        <f>'SER_se-appl'!U57</f>
        <v>144.70023785963087</v>
      </c>
      <c r="V14" s="59">
        <f>'SER_se-appl'!V57</f>
        <v>141.1441937077922</v>
      </c>
      <c r="W14" s="59">
        <f>'SER_se-appl'!W57</f>
        <v>138.13645320742293</v>
      </c>
      <c r="X14" s="59">
        <f>'SER_se-appl'!X57</f>
        <v>135.02525996021723</v>
      </c>
      <c r="Y14" s="59">
        <f>'SER_se-appl'!Y57</f>
        <v>132.21836805667328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340.45229756391336</v>
      </c>
      <c r="D15" s="63">
        <f>'SER_se-appl'!D65</f>
        <v>324.05633761854506</v>
      </c>
      <c r="E15" s="63">
        <f>'SER_se-appl'!E65</f>
        <v>310.67315785271154</v>
      </c>
      <c r="F15" s="63">
        <f>'SER_se-appl'!F65</f>
        <v>294.94774760933115</v>
      </c>
      <c r="G15" s="63">
        <f>'SER_se-appl'!G65</f>
        <v>281.2528870548752</v>
      </c>
      <c r="H15" s="63">
        <f>'SER_se-appl'!H65</f>
        <v>264.56933458743225</v>
      </c>
      <c r="I15" s="63">
        <f>'SER_se-appl'!I65</f>
        <v>247.15973043383872</v>
      </c>
      <c r="J15" s="63">
        <f>'SER_se-appl'!J65</f>
        <v>229.166060329049</v>
      </c>
      <c r="K15" s="63">
        <f>'SER_se-appl'!K65</f>
        <v>210.02780724528807</v>
      </c>
      <c r="L15" s="63">
        <f>'SER_se-appl'!L65</f>
        <v>188.36882023872872</v>
      </c>
      <c r="M15" s="63">
        <f>'SER_se-appl'!M65</f>
        <v>174.37078856087513</v>
      </c>
      <c r="N15" s="63">
        <f>'SER_se-appl'!N65</f>
        <v>164.75157868157817</v>
      </c>
      <c r="O15" s="63">
        <f>'SER_se-appl'!O65</f>
        <v>157.7413997806938</v>
      </c>
      <c r="P15" s="63">
        <f>'SER_se-appl'!P65</f>
        <v>152.52715475588116</v>
      </c>
      <c r="Q15" s="63">
        <f>'SER_se-appl'!Q65</f>
        <v>151.50975774585325</v>
      </c>
      <c r="R15" s="63">
        <f>'SER_se-appl'!R65</f>
        <v>149.59900911478539</v>
      </c>
      <c r="S15" s="63">
        <f>'SER_se-appl'!S65</f>
        <v>145.57722324659252</v>
      </c>
      <c r="T15" s="63">
        <f>'SER_se-appl'!T65</f>
        <v>141.6573106328475</v>
      </c>
      <c r="U15" s="63">
        <f>'SER_se-appl'!U65</f>
        <v>137.94068495122329</v>
      </c>
      <c r="V15" s="63">
        <f>'SER_se-appl'!V65</f>
        <v>134.26506608359117</v>
      </c>
      <c r="W15" s="63">
        <f>'SER_se-appl'!W65</f>
        <v>131.84829489408654</v>
      </c>
      <c r="X15" s="63">
        <f>'SER_se-appl'!X65</f>
        <v>129.43152370458188</v>
      </c>
      <c r="Y15" s="63">
        <f>'SER_se-appl'!Y65</f>
        <v>127.01475251507723</v>
      </c>
      <c r="DA15" s="105" t="s">
        <v>957</v>
      </c>
    </row>
    <row r="17" spans="1:105" ht="12" customHeight="1" x14ac:dyDescent="0.25">
      <c r="A17" s="197" t="s">
        <v>184</v>
      </c>
      <c r="B17" s="198">
        <v>198.62424763542563</v>
      </c>
      <c r="C17" s="198">
        <v>240.13415485765535</v>
      </c>
      <c r="D17" s="198">
        <v>281.88317883603071</v>
      </c>
      <c r="E17" s="198">
        <v>322.60669645987235</v>
      </c>
      <c r="F17" s="198">
        <v>361.53769630883278</v>
      </c>
      <c r="G17" s="198">
        <v>397.24849527085115</v>
      </c>
      <c r="H17" s="198">
        <v>427.64959889636566</v>
      </c>
      <c r="I17" s="198">
        <v>454.6189488012281</v>
      </c>
      <c r="J17" s="198">
        <v>479.76410194120439</v>
      </c>
      <c r="K17" s="198">
        <v>504.16142756641244</v>
      </c>
      <c r="L17" s="198">
        <v>529.66466036113525</v>
      </c>
      <c r="M17" s="198">
        <v>565.50300945829713</v>
      </c>
      <c r="N17" s="198">
        <v>596.18228718830642</v>
      </c>
      <c r="O17" s="198">
        <v>612.6913155631986</v>
      </c>
      <c r="P17" s="198">
        <v>659.94840928632789</v>
      </c>
      <c r="Q17" s="198">
        <v>675.56319862424766</v>
      </c>
      <c r="R17" s="198">
        <v>691.93465176268262</v>
      </c>
      <c r="S17" s="198">
        <v>738.64144453998335</v>
      </c>
      <c r="T17" s="198">
        <v>769.93981083405015</v>
      </c>
      <c r="U17" s="198">
        <v>793.08234502111998</v>
      </c>
      <c r="V17" s="198">
        <v>815.83202856991306</v>
      </c>
      <c r="W17" s="198">
        <v>838.4209655380821</v>
      </c>
      <c r="X17" s="198">
        <v>860.93099842790048</v>
      </c>
      <c r="Y17" s="198">
        <v>883.39496050500986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41975.530604446081</v>
      </c>
      <c r="C3" s="219">
        <v>43024.983858791391</v>
      </c>
      <c r="D3" s="219">
        <v>41319.834137069243</v>
      </c>
      <c r="E3" s="219">
        <v>38204.661996247392</v>
      </c>
      <c r="F3" s="219">
        <v>38861.146580293207</v>
      </c>
      <c r="G3" s="219">
        <v>36410.420693803877</v>
      </c>
      <c r="H3" s="219">
        <v>33839.173951928453</v>
      </c>
      <c r="I3" s="219">
        <v>36819.465944825082</v>
      </c>
      <c r="J3" s="219">
        <v>34607.547241840453</v>
      </c>
      <c r="K3" s="219">
        <v>29163.021421195899</v>
      </c>
      <c r="L3" s="219">
        <v>36258.581324934174</v>
      </c>
      <c r="M3" s="219">
        <v>38556.001573361849</v>
      </c>
      <c r="N3" s="219">
        <v>38124.943218522218</v>
      </c>
      <c r="O3" s="219">
        <v>34313.059151072572</v>
      </c>
      <c r="P3" s="219">
        <v>37325.069349845187</v>
      </c>
      <c r="Q3" s="219">
        <v>38792.889594000007</v>
      </c>
      <c r="R3" s="219">
        <v>34819.038286356721</v>
      </c>
      <c r="S3" s="219">
        <v>38208.560401713134</v>
      </c>
      <c r="T3" s="219">
        <v>41512.493237602263</v>
      </c>
      <c r="U3" s="219">
        <v>38972.396947691363</v>
      </c>
      <c r="V3" s="219">
        <v>37346.217963632247</v>
      </c>
      <c r="W3" s="219">
        <v>40088.206186450938</v>
      </c>
      <c r="X3" s="219">
        <v>47969.548349904508</v>
      </c>
      <c r="Y3" s="219">
        <v>41967.3</v>
      </c>
      <c r="DA3" s="210" t="s">
        <v>974</v>
      </c>
    </row>
    <row r="5" spans="1:105" x14ac:dyDescent="0.25">
      <c r="A5" s="218" t="s">
        <v>120</v>
      </c>
      <c r="B5" s="219">
        <v>38550.008627838783</v>
      </c>
      <c r="C5" s="219">
        <v>40921.477361935373</v>
      </c>
      <c r="D5" s="219">
        <v>40334.829723825198</v>
      </c>
      <c r="E5" s="219">
        <v>37917.83937053071</v>
      </c>
      <c r="F5" s="219">
        <v>42775.694170661307</v>
      </c>
      <c r="G5" s="219">
        <v>36961.56850967848</v>
      </c>
      <c r="H5" s="219">
        <v>37270.933855062387</v>
      </c>
      <c r="I5" s="219">
        <v>39833.355572272492</v>
      </c>
      <c r="J5" s="219">
        <v>38444.138913676426</v>
      </c>
      <c r="K5" s="219">
        <v>34761.360352799471</v>
      </c>
      <c r="L5" s="219">
        <v>36580.062237814913</v>
      </c>
      <c r="M5" s="219">
        <v>41296.03086737408</v>
      </c>
      <c r="N5" s="219">
        <v>39446.763755320302</v>
      </c>
      <c r="O5" s="219">
        <v>41253.086072165999</v>
      </c>
      <c r="P5" s="219">
        <v>41682.727729426231</v>
      </c>
      <c r="Q5" s="219">
        <v>40989.28790484248</v>
      </c>
      <c r="R5" s="219">
        <v>38575.01419040664</v>
      </c>
      <c r="S5" s="219">
        <v>41673.621681771459</v>
      </c>
      <c r="T5" s="219">
        <v>40484.857479978578</v>
      </c>
      <c r="U5" s="219">
        <v>39865.8909173914</v>
      </c>
      <c r="V5" s="219">
        <v>39873.542463897364</v>
      </c>
      <c r="W5" s="219">
        <v>41806.096162751477</v>
      </c>
      <c r="X5" s="219">
        <v>47632.881534068161</v>
      </c>
      <c r="Y5" s="219">
        <v>46422.798502852012</v>
      </c>
      <c r="DA5" s="210" t="s">
        <v>975</v>
      </c>
    </row>
    <row r="6" spans="1:105" x14ac:dyDescent="0.25">
      <c r="A6" s="220" t="s">
        <v>119</v>
      </c>
      <c r="B6" s="221">
        <v>48187.510784798469</v>
      </c>
      <c r="C6" s="221">
        <v>45778.135245558537</v>
      </c>
      <c r="D6" s="221">
        <v>43368.759706318619</v>
      </c>
      <c r="E6" s="221">
        <v>43368.759706318619</v>
      </c>
      <c r="F6" s="221">
        <v>45778.135245558537</v>
      </c>
      <c r="G6" s="221">
        <v>43368.759706318619</v>
      </c>
      <c r="H6" s="221">
        <v>43368.759706318619</v>
      </c>
      <c r="I6" s="221">
        <v>43368.759706318619</v>
      </c>
      <c r="J6" s="221">
        <v>40959.384167078693</v>
      </c>
      <c r="K6" s="221">
        <v>40959.384167078693</v>
      </c>
      <c r="L6" s="221">
        <v>38550.008627838768</v>
      </c>
      <c r="M6" s="221">
        <v>45778.135245558537</v>
      </c>
      <c r="N6" s="221">
        <v>45778.135245558537</v>
      </c>
      <c r="O6" s="221">
        <v>45778.135245558537</v>
      </c>
      <c r="P6" s="221">
        <v>45778.135245558537</v>
      </c>
      <c r="Q6" s="221">
        <v>43368.759706318611</v>
      </c>
      <c r="R6" s="221">
        <v>40959.384167078693</v>
      </c>
      <c r="S6" s="221">
        <v>45778.135245558529</v>
      </c>
      <c r="T6" s="221">
        <v>45778.135245558529</v>
      </c>
      <c r="U6" s="221">
        <v>43368.759706318597</v>
      </c>
      <c r="V6" s="221">
        <v>43368.759706318597</v>
      </c>
      <c r="W6" s="221">
        <v>45778.135245558529</v>
      </c>
      <c r="X6" s="221">
        <v>50596.88632403838</v>
      </c>
      <c r="Y6" s="221">
        <v>50596.88632403838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4818.7510784798469</v>
      </c>
      <c r="G7" s="225">
        <v>0</v>
      </c>
      <c r="H7" s="225">
        <v>0</v>
      </c>
      <c r="I7" s="225">
        <v>2409.375539239923</v>
      </c>
      <c r="J7" s="225">
        <v>0</v>
      </c>
      <c r="K7" s="225">
        <v>0</v>
      </c>
      <c r="L7" s="225">
        <v>0</v>
      </c>
      <c r="M7" s="225">
        <v>9637.5021569596938</v>
      </c>
      <c r="N7" s="225">
        <v>0</v>
      </c>
      <c r="O7" s="225">
        <v>2409.375539239923</v>
      </c>
      <c r="P7" s="225">
        <v>0</v>
      </c>
      <c r="Q7" s="225">
        <v>0</v>
      </c>
      <c r="R7" s="225">
        <v>0</v>
      </c>
      <c r="S7" s="225">
        <v>7228.1266177197704</v>
      </c>
      <c r="T7" s="225">
        <v>0</v>
      </c>
      <c r="U7" s="225">
        <v>0</v>
      </c>
      <c r="V7" s="225">
        <v>2409.375539239923</v>
      </c>
      <c r="W7" s="225">
        <v>2409.3755392399326</v>
      </c>
      <c r="X7" s="225">
        <v>7228.1266177197704</v>
      </c>
      <c r="Y7" s="225">
        <v>2409.375539239923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2409.3755392399326</v>
      </c>
      <c r="D8" s="227">
        <f t="shared" ref="D8" si="1">IF(C6=0,0,C6+D7-D6)</f>
        <v>2409.375539239918</v>
      </c>
      <c r="E8" s="227">
        <f t="shared" ref="E8" si="2">IF(D6=0,0,D6+E7-E6)</f>
        <v>0</v>
      </c>
      <c r="F8" s="227">
        <f t="shared" ref="F8" si="3">IF(E6=0,0,E6+F7-F6)</f>
        <v>2409.3755392399253</v>
      </c>
      <c r="G8" s="227">
        <f t="shared" ref="G8" si="4">IF(F6=0,0,F6+G7-G6)</f>
        <v>2409.375539239918</v>
      </c>
      <c r="H8" s="227">
        <f t="shared" ref="H8" si="5">IF(G6=0,0,G6+H7-H6)</f>
        <v>0</v>
      </c>
      <c r="I8" s="227">
        <f t="shared" ref="I8" si="6">IF(H6=0,0,H6+I7-I6)</f>
        <v>2409.3755392399253</v>
      </c>
      <c r="J8" s="227">
        <f t="shared" ref="J8" si="7">IF(I6=0,0,I6+J7-J6)</f>
        <v>2409.3755392399253</v>
      </c>
      <c r="K8" s="227">
        <f t="shared" ref="K8" si="8">IF(J6=0,0,J6+K7-K6)</f>
        <v>0</v>
      </c>
      <c r="L8" s="227">
        <f t="shared" ref="L8" si="9">IF(K6=0,0,K6+L7-L6)</f>
        <v>2409.3755392399253</v>
      </c>
      <c r="M8" s="227">
        <f t="shared" ref="M8" si="10">IF(L6=0,0,L6+M7-M6)</f>
        <v>2409.3755392399253</v>
      </c>
      <c r="N8" s="227">
        <f t="shared" ref="N8" si="11">IF(M6=0,0,M6+N7-N6)</f>
        <v>0</v>
      </c>
      <c r="O8" s="227">
        <f t="shared" ref="O8" si="12">IF(N6=0,0,N6+O7-O6)</f>
        <v>2409.3755392399253</v>
      </c>
      <c r="P8" s="227">
        <f t="shared" ref="P8" si="13">IF(O6=0,0,O6+P7-P6)</f>
        <v>0</v>
      </c>
      <c r="Q8" s="227">
        <f t="shared" ref="Q8" si="14">IF(P6=0,0,P6+Q7-Q6)</f>
        <v>2409.3755392399253</v>
      </c>
      <c r="R8" s="227">
        <f t="shared" ref="R8" si="15">IF(Q6=0,0,Q6+R7-R6)</f>
        <v>2409.375539239918</v>
      </c>
      <c r="S8" s="227">
        <f t="shared" ref="S8" si="16">IF(R6=0,0,R6+S7-S6)</f>
        <v>2409.3755392399326</v>
      </c>
      <c r="T8" s="227">
        <f t="shared" ref="T8" si="17">IF(S6=0,0,S6+T7-T6)</f>
        <v>0</v>
      </c>
      <c r="U8" s="227">
        <f t="shared" ref="U8" si="18">IF(T6=0,0,T6+U7-U6)</f>
        <v>2409.3755392399326</v>
      </c>
      <c r="V8" s="227">
        <f t="shared" ref="V8" si="19">IF(U6=0,0,U6+V7-V6)</f>
        <v>2409.3755392399253</v>
      </c>
      <c r="W8" s="227">
        <f t="shared" ref="W8" si="20">IF(V6=0,0,V6+W7-W6)</f>
        <v>0</v>
      </c>
      <c r="X8" s="227">
        <f t="shared" ref="X8" si="21">IF(W6=0,0,W6+X7-X6)</f>
        <v>2409.375539239918</v>
      </c>
      <c r="Y8" s="227">
        <f t="shared" ref="Y8" si="22">IF(X6=0,0,X6+Y7-Y6)</f>
        <v>2409.3755392399253</v>
      </c>
      <c r="DA8" s="213" t="s">
        <v>978</v>
      </c>
    </row>
    <row r="9" spans="1:105" x14ac:dyDescent="0.25">
      <c r="A9" s="222" t="s">
        <v>116</v>
      </c>
      <c r="B9" s="223">
        <f>B6-B5</f>
        <v>9637.5021569596865</v>
      </c>
      <c r="C9" s="223">
        <f t="shared" ref="C9:W9" si="23">C6-C5</f>
        <v>4856.6578836231638</v>
      </c>
      <c r="D9" s="223">
        <f t="shared" si="23"/>
        <v>3033.9299824934205</v>
      </c>
      <c r="E9" s="223">
        <f t="shared" si="23"/>
        <v>5450.9203357879087</v>
      </c>
      <c r="F9" s="223">
        <f t="shared" si="23"/>
        <v>3002.4410748972296</v>
      </c>
      <c r="G9" s="223">
        <f t="shared" si="23"/>
        <v>6407.1911966401385</v>
      </c>
      <c r="H9" s="223">
        <f t="shared" si="23"/>
        <v>6097.8258512562315</v>
      </c>
      <c r="I9" s="223">
        <f t="shared" si="23"/>
        <v>3535.4041340461263</v>
      </c>
      <c r="J9" s="223">
        <f t="shared" si="23"/>
        <v>2515.2452534022668</v>
      </c>
      <c r="K9" s="223">
        <f t="shared" si="23"/>
        <v>6198.0238142792223</v>
      </c>
      <c r="L9" s="223">
        <f t="shared" si="23"/>
        <v>1969.9463900238552</v>
      </c>
      <c r="M9" s="223">
        <f t="shared" si="23"/>
        <v>4482.1043781844564</v>
      </c>
      <c r="N9" s="223">
        <f t="shared" si="23"/>
        <v>6331.3714902382344</v>
      </c>
      <c r="O9" s="223">
        <f t="shared" si="23"/>
        <v>4525.0491733925373</v>
      </c>
      <c r="P9" s="223">
        <f t="shared" si="23"/>
        <v>4095.4075161323053</v>
      </c>
      <c r="Q9" s="223">
        <f t="shared" si="23"/>
        <v>2379.4718014761311</v>
      </c>
      <c r="R9" s="223">
        <f t="shared" si="23"/>
        <v>2384.3699766720529</v>
      </c>
      <c r="S9" s="223">
        <f t="shared" si="23"/>
        <v>4104.5135637870699</v>
      </c>
      <c r="T9" s="223">
        <f t="shared" si="23"/>
        <v>5293.2777655799509</v>
      </c>
      <c r="U9" s="223">
        <f t="shared" si="23"/>
        <v>3502.8687889271969</v>
      </c>
      <c r="V9" s="223">
        <f t="shared" si="23"/>
        <v>3495.2172424212331</v>
      </c>
      <c r="W9" s="223">
        <f t="shared" si="23"/>
        <v>3972.0390828070522</v>
      </c>
      <c r="X9" s="223">
        <f t="shared" ref="X9:Y9" si="24">X6-X5</f>
        <v>2964.0047899702186</v>
      </c>
      <c r="Y9" s="223">
        <f t="shared" si="24"/>
        <v>4174.0878211863674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4335.7854686156488</v>
      </c>
      <c r="C12" s="229">
        <f t="shared" ref="C12:W12" si="25">SUM(C13,C14,C18,C19,C26,C27)</f>
        <v>4493.9730868443676</v>
      </c>
      <c r="D12" s="229">
        <f t="shared" si="25"/>
        <v>4590.4693035253649</v>
      </c>
      <c r="E12" s="229">
        <f t="shared" si="25"/>
        <v>4532.6177987962174</v>
      </c>
      <c r="F12" s="229">
        <f t="shared" si="25"/>
        <v>5017.8524505588994</v>
      </c>
      <c r="G12" s="229">
        <f t="shared" si="25"/>
        <v>4963.7181427343085</v>
      </c>
      <c r="H12" s="229">
        <f t="shared" si="25"/>
        <v>4847.3543422184002</v>
      </c>
      <c r="I12" s="229">
        <f t="shared" si="25"/>
        <v>4692.9546001719682</v>
      </c>
      <c r="J12" s="229">
        <f t="shared" si="25"/>
        <v>4747.7047291487543</v>
      </c>
      <c r="K12" s="229">
        <f t="shared" si="25"/>
        <v>4791.283576956148</v>
      </c>
      <c r="L12" s="229">
        <f t="shared" si="25"/>
        <v>4699.6663800515898</v>
      </c>
      <c r="M12" s="229">
        <f t="shared" si="25"/>
        <v>4791.2196904557177</v>
      </c>
      <c r="N12" s="229">
        <f t="shared" si="25"/>
        <v>4667.0321582115221</v>
      </c>
      <c r="O12" s="229">
        <f t="shared" si="25"/>
        <v>4863.5254514187436</v>
      </c>
      <c r="P12" s="229">
        <f t="shared" si="25"/>
        <v>4760.6949269131555</v>
      </c>
      <c r="Q12" s="229">
        <f t="shared" si="25"/>
        <v>4782.5189165950123</v>
      </c>
      <c r="R12" s="229">
        <f t="shared" si="25"/>
        <v>4567.763800515906</v>
      </c>
      <c r="S12" s="229">
        <f t="shared" si="25"/>
        <v>4553.2540842648323</v>
      </c>
      <c r="T12" s="229">
        <f t="shared" si="25"/>
        <v>4657.3587274290612</v>
      </c>
      <c r="U12" s="229">
        <f t="shared" si="25"/>
        <v>4557.0914015477201</v>
      </c>
      <c r="V12" s="229">
        <f t="shared" si="25"/>
        <v>4825.6070507308677</v>
      </c>
      <c r="W12" s="229">
        <f t="shared" si="25"/>
        <v>4833.3253654342216</v>
      </c>
      <c r="X12" s="229">
        <f t="shared" ref="X12:Y12" si="26">SUM(X13,X14,X18,X19,X26,X27)</f>
        <v>4712.1548581255374</v>
      </c>
      <c r="Y12" s="229">
        <f t="shared" si="26"/>
        <v>4706.292949269131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2.1572656921754083</v>
      </c>
      <c r="N13" s="59">
        <v>2.1572656921754083</v>
      </c>
      <c r="O13" s="59">
        <v>2.1572656921754083</v>
      </c>
      <c r="P13" s="59">
        <v>2.1572656921754083</v>
      </c>
      <c r="Q13" s="59">
        <v>2.1572656921754083</v>
      </c>
      <c r="R13" s="59">
        <v>2.00627687016337</v>
      </c>
      <c r="S13" s="59">
        <v>2.0608770421324158</v>
      </c>
      <c r="T13" s="59">
        <v>1.568529664660361</v>
      </c>
      <c r="U13" s="59">
        <v>1.4430782459157352</v>
      </c>
      <c r="V13" s="59">
        <v>1.3254514187446258</v>
      </c>
      <c r="W13" s="59">
        <v>1.4190025795356833</v>
      </c>
      <c r="X13" s="59">
        <v>1.6561478933791915</v>
      </c>
      <c r="Y13" s="59">
        <v>1.1952708512467756</v>
      </c>
      <c r="DA13" s="9" t="s">
        <v>981</v>
      </c>
    </row>
    <row r="14" spans="1:105" x14ac:dyDescent="0.25">
      <c r="A14" s="60" t="s">
        <v>28</v>
      </c>
      <c r="B14" s="55">
        <f>SUM(B15:B17)</f>
        <v>3760.4996560619088</v>
      </c>
      <c r="C14" s="55">
        <f t="shared" ref="C14:W14" si="27">SUM(C15:C17)</f>
        <v>3856.6208942390367</v>
      </c>
      <c r="D14" s="55">
        <f t="shared" si="27"/>
        <v>3963.2631986242468</v>
      </c>
      <c r="E14" s="55">
        <f t="shared" si="27"/>
        <v>3892.8085984522781</v>
      </c>
      <c r="F14" s="55">
        <f t="shared" si="27"/>
        <v>4039.8976784178853</v>
      </c>
      <c r="G14" s="55">
        <f t="shared" si="27"/>
        <v>3933.4429062768704</v>
      </c>
      <c r="H14" s="55">
        <f t="shared" si="27"/>
        <v>3824.9472914875319</v>
      </c>
      <c r="I14" s="55">
        <f t="shared" si="27"/>
        <v>3736.6110920034389</v>
      </c>
      <c r="J14" s="55">
        <f t="shared" si="27"/>
        <v>3822.7728288908006</v>
      </c>
      <c r="K14" s="55">
        <f t="shared" si="27"/>
        <v>3813.8005159071372</v>
      </c>
      <c r="L14" s="55">
        <f t="shared" si="27"/>
        <v>3695.9028374892514</v>
      </c>
      <c r="M14" s="55">
        <f t="shared" si="27"/>
        <v>3770.3997420464311</v>
      </c>
      <c r="N14" s="55">
        <f t="shared" si="27"/>
        <v>3573.1638865004302</v>
      </c>
      <c r="O14" s="55">
        <f t="shared" si="27"/>
        <v>3770.0217540842641</v>
      </c>
      <c r="P14" s="55">
        <f t="shared" si="27"/>
        <v>3692.5087704213247</v>
      </c>
      <c r="Q14" s="55">
        <f t="shared" si="27"/>
        <v>3670.7531384350809</v>
      </c>
      <c r="R14" s="55">
        <f t="shared" si="27"/>
        <v>3362.3825451418738</v>
      </c>
      <c r="S14" s="55">
        <f t="shared" si="27"/>
        <v>3288.1667239896819</v>
      </c>
      <c r="T14" s="55">
        <f t="shared" si="27"/>
        <v>3335.8768701633694</v>
      </c>
      <c r="U14" s="55">
        <f t="shared" si="27"/>
        <v>3236.5530524505584</v>
      </c>
      <c r="V14" s="55">
        <f t="shared" si="27"/>
        <v>3527.0803955288034</v>
      </c>
      <c r="W14" s="55">
        <f t="shared" si="27"/>
        <v>3550.9773860705068</v>
      </c>
      <c r="X14" s="55">
        <f t="shared" ref="X14:Y14" si="28">SUM(X15:X17)</f>
        <v>3450.7154772141012</v>
      </c>
      <c r="Y14" s="55">
        <f t="shared" si="28"/>
        <v>3481.6377472055028</v>
      </c>
      <c r="DA14" s="10"/>
    </row>
    <row r="15" spans="1:105" x14ac:dyDescent="0.25">
      <c r="A15" s="61" t="s">
        <v>52</v>
      </c>
      <c r="B15" s="55">
        <v>467.71281169389499</v>
      </c>
      <c r="C15" s="55">
        <v>462.06414445399821</v>
      </c>
      <c r="D15" s="55">
        <v>328.7546861564918</v>
      </c>
      <c r="E15" s="55">
        <v>272.47540842648323</v>
      </c>
      <c r="F15" s="55">
        <v>325.40705073086838</v>
      </c>
      <c r="G15" s="55">
        <v>352.23490971625108</v>
      </c>
      <c r="H15" s="55">
        <v>339.44505588993979</v>
      </c>
      <c r="I15" s="55">
        <v>322.5405846947549</v>
      </c>
      <c r="J15" s="55">
        <v>326.25193465176272</v>
      </c>
      <c r="K15" s="55">
        <v>315.29690455717969</v>
      </c>
      <c r="L15" s="55">
        <v>335.16345657781602</v>
      </c>
      <c r="M15" s="55">
        <v>323.26457437661219</v>
      </c>
      <c r="N15" s="55">
        <v>340.10309544282018</v>
      </c>
      <c r="O15" s="55">
        <v>376.66208082545143</v>
      </c>
      <c r="P15" s="55">
        <v>306.76663800515911</v>
      </c>
      <c r="Q15" s="55">
        <v>312.12493551160787</v>
      </c>
      <c r="R15" s="55">
        <v>289.50404127257087</v>
      </c>
      <c r="S15" s="55">
        <v>271.08555460017192</v>
      </c>
      <c r="T15" s="55">
        <v>283.76448839208939</v>
      </c>
      <c r="U15" s="55">
        <v>310.86809974204641</v>
      </c>
      <c r="V15" s="55">
        <v>317.42287188306102</v>
      </c>
      <c r="W15" s="55">
        <v>379.05279449699049</v>
      </c>
      <c r="X15" s="55">
        <v>319.48073946689601</v>
      </c>
      <c r="Y15" s="55">
        <v>319.42141014617368</v>
      </c>
      <c r="DA15" s="10" t="s">
        <v>982</v>
      </c>
    </row>
    <row r="16" spans="1:105" x14ac:dyDescent="0.25">
      <c r="A16" s="61" t="s">
        <v>165</v>
      </c>
      <c r="B16" s="55">
        <v>3159.1668959587278</v>
      </c>
      <c r="C16" s="55">
        <v>3270.0870163370591</v>
      </c>
      <c r="D16" s="55">
        <v>3521.7110920034384</v>
      </c>
      <c r="E16" s="55">
        <v>3531.7681857265688</v>
      </c>
      <c r="F16" s="55">
        <v>3619.6197764402414</v>
      </c>
      <c r="G16" s="55">
        <v>3501.7191745485816</v>
      </c>
      <c r="H16" s="55">
        <v>3399.4209802235596</v>
      </c>
      <c r="I16" s="55">
        <v>3341.2694754944109</v>
      </c>
      <c r="J16" s="55">
        <v>3419.8027515047297</v>
      </c>
      <c r="K16" s="55">
        <v>3426.8490111779884</v>
      </c>
      <c r="L16" s="55">
        <v>3292.0465176268267</v>
      </c>
      <c r="M16" s="55">
        <v>3346.7548581255369</v>
      </c>
      <c r="N16" s="55">
        <v>3132.45554600172</v>
      </c>
      <c r="O16" s="55">
        <v>3291.1216680997413</v>
      </c>
      <c r="P16" s="55">
        <v>3285.4713671539125</v>
      </c>
      <c r="Q16" s="55">
        <v>3286.658813413585</v>
      </c>
      <c r="R16" s="55">
        <v>3002.6429922613925</v>
      </c>
      <c r="S16" s="55">
        <v>2947.235683576956</v>
      </c>
      <c r="T16" s="55">
        <v>2980.8856405846936</v>
      </c>
      <c r="U16" s="55">
        <v>2860.8869303525362</v>
      </c>
      <c r="V16" s="55">
        <v>3158.0102321582103</v>
      </c>
      <c r="W16" s="55">
        <v>3113.5960447119514</v>
      </c>
      <c r="X16" s="55">
        <v>3071.5466036113494</v>
      </c>
      <c r="Y16" s="55">
        <v>3102.1470335339636</v>
      </c>
      <c r="DA16" s="10" t="s">
        <v>983</v>
      </c>
    </row>
    <row r="17" spans="1:105" x14ac:dyDescent="0.25">
      <c r="A17" s="61" t="s">
        <v>113</v>
      </c>
      <c r="B17" s="55">
        <v>133.61994840928634</v>
      </c>
      <c r="C17" s="55">
        <v>124.46973344797935</v>
      </c>
      <c r="D17" s="55">
        <v>112.7974204643164</v>
      </c>
      <c r="E17" s="55">
        <v>88.565004299226118</v>
      </c>
      <c r="F17" s="55">
        <v>94.870851246775558</v>
      </c>
      <c r="G17" s="55">
        <v>79.488822012037815</v>
      </c>
      <c r="H17" s="55">
        <v>86.081255374032665</v>
      </c>
      <c r="I17" s="55">
        <v>72.801031814273415</v>
      </c>
      <c r="J17" s="55">
        <v>76.718142734307804</v>
      </c>
      <c r="K17" s="55">
        <v>71.654600171969037</v>
      </c>
      <c r="L17" s="55">
        <v>68.692863284608777</v>
      </c>
      <c r="M17" s="55">
        <v>100.38030954428201</v>
      </c>
      <c r="N17" s="55">
        <v>100.60524505588992</v>
      </c>
      <c r="O17" s="55">
        <v>102.23800515907135</v>
      </c>
      <c r="P17" s="55">
        <v>100.27076526225278</v>
      </c>
      <c r="Q17" s="55">
        <v>71.969389509888217</v>
      </c>
      <c r="R17" s="55">
        <v>70.235511607910581</v>
      </c>
      <c r="S17" s="55">
        <v>69.845485812553733</v>
      </c>
      <c r="T17" s="55">
        <v>71.226741186586423</v>
      </c>
      <c r="U17" s="55">
        <v>64.798022355975917</v>
      </c>
      <c r="V17" s="55">
        <v>51.647291487532243</v>
      </c>
      <c r="W17" s="55">
        <v>58.328546861564909</v>
      </c>
      <c r="X17" s="55">
        <v>59.688134135855549</v>
      </c>
      <c r="Y17" s="55">
        <v>60.069303525365434</v>
      </c>
      <c r="DA17" s="10" t="s">
        <v>984</v>
      </c>
    </row>
    <row r="18" spans="1:105" x14ac:dyDescent="0.25">
      <c r="A18" s="60" t="s">
        <v>149</v>
      </c>
      <c r="B18" s="55">
        <v>295.8695614789338</v>
      </c>
      <c r="C18" s="55">
        <v>340.86319862424762</v>
      </c>
      <c r="D18" s="55">
        <v>320.14101461736891</v>
      </c>
      <c r="E18" s="55">
        <v>299.48245915735168</v>
      </c>
      <c r="F18" s="55">
        <v>326.63637145313839</v>
      </c>
      <c r="G18" s="55">
        <v>293.26844368013758</v>
      </c>
      <c r="H18" s="55">
        <v>265.60472914875322</v>
      </c>
      <c r="I18" s="55">
        <v>242.8821152192605</v>
      </c>
      <c r="J18" s="55">
        <v>230.28675838349099</v>
      </c>
      <c r="K18" s="55">
        <v>202.12588134135856</v>
      </c>
      <c r="L18" s="55">
        <v>205.67781599312119</v>
      </c>
      <c r="M18" s="55">
        <v>156.35760963026661</v>
      </c>
      <c r="N18" s="55">
        <v>191.96572346658647</v>
      </c>
      <c r="O18" s="55">
        <v>161.29332087633873</v>
      </c>
      <c r="P18" s="55">
        <v>176.23876444993996</v>
      </c>
      <c r="Q18" s="55">
        <v>157.44791918848389</v>
      </c>
      <c r="R18" s="55">
        <v>165.08144813921118</v>
      </c>
      <c r="S18" s="55">
        <v>165.03178105699698</v>
      </c>
      <c r="T18" s="55">
        <v>195.5700162185644</v>
      </c>
      <c r="U18" s="55">
        <v>199.55722723725435</v>
      </c>
      <c r="V18" s="55">
        <v>191.18373550839155</v>
      </c>
      <c r="W18" s="55">
        <v>198.958317980667</v>
      </c>
      <c r="X18" s="55">
        <v>162.89876931083865</v>
      </c>
      <c r="Y18" s="55">
        <v>148.4060638226014</v>
      </c>
      <c r="DA18" s="10" t="s">
        <v>985</v>
      </c>
    </row>
    <row r="19" spans="1:105" x14ac:dyDescent="0.25">
      <c r="A19" s="60" t="s">
        <v>51</v>
      </c>
      <c r="B19" s="55">
        <f>SUM(B20:B25)</f>
        <v>45.022441960447118</v>
      </c>
      <c r="C19" s="55">
        <f t="shared" ref="C19:W19" si="29">SUM(C20:C25)</f>
        <v>48.939552880481514</v>
      </c>
      <c r="D19" s="55">
        <f t="shared" si="29"/>
        <v>48.939552880481514</v>
      </c>
      <c r="E19" s="55">
        <f t="shared" si="29"/>
        <v>49.011177987962164</v>
      </c>
      <c r="F19" s="55">
        <f t="shared" si="29"/>
        <v>49.08280309544282</v>
      </c>
      <c r="G19" s="55">
        <f t="shared" si="29"/>
        <v>97.711865864144443</v>
      </c>
      <c r="H19" s="55">
        <f t="shared" si="29"/>
        <v>103.49191745485813</v>
      </c>
      <c r="I19" s="55">
        <f t="shared" si="29"/>
        <v>109.67807394668958</v>
      </c>
      <c r="J19" s="55">
        <f t="shared" si="29"/>
        <v>116.48521066208082</v>
      </c>
      <c r="K19" s="55">
        <f t="shared" si="29"/>
        <v>123.76646603611343</v>
      </c>
      <c r="L19" s="55">
        <f t="shared" si="29"/>
        <v>132.65150472914871</v>
      </c>
      <c r="M19" s="55">
        <f t="shared" si="29"/>
        <v>149.3145313843508</v>
      </c>
      <c r="N19" s="55">
        <f t="shared" si="29"/>
        <v>160.13720000718811</v>
      </c>
      <c r="O19" s="55">
        <f t="shared" si="29"/>
        <v>165.40375564988642</v>
      </c>
      <c r="P19" s="55">
        <f t="shared" si="29"/>
        <v>170.33079702899383</v>
      </c>
      <c r="Q19" s="55">
        <f t="shared" si="29"/>
        <v>179.76841787084535</v>
      </c>
      <c r="R19" s="55">
        <f t="shared" si="29"/>
        <v>261.73557679630039</v>
      </c>
      <c r="S19" s="55">
        <f t="shared" si="29"/>
        <v>322.30226881402626</v>
      </c>
      <c r="T19" s="55">
        <f t="shared" si="29"/>
        <v>367.13909814085082</v>
      </c>
      <c r="U19" s="55">
        <f t="shared" si="29"/>
        <v>369.28851652886772</v>
      </c>
      <c r="V19" s="55">
        <f t="shared" si="29"/>
        <v>394.98995322763597</v>
      </c>
      <c r="W19" s="55">
        <f t="shared" si="29"/>
        <v>401.22869835639233</v>
      </c>
      <c r="X19" s="55">
        <f t="shared" ref="X19:Y19" si="30">SUM(X20:X25)</f>
        <v>398.42461847935908</v>
      </c>
      <c r="Y19" s="55">
        <f t="shared" si="30"/>
        <v>439.1638415944235</v>
      </c>
      <c r="DA19" s="10"/>
    </row>
    <row r="20" spans="1:105" x14ac:dyDescent="0.25">
      <c r="A20" s="61" t="s">
        <v>164</v>
      </c>
      <c r="B20" s="55">
        <v>39.982803095442819</v>
      </c>
      <c r="C20" s="55">
        <v>39.982803095442819</v>
      </c>
      <c r="D20" s="55">
        <v>39.982803095442819</v>
      </c>
      <c r="E20" s="55">
        <v>39.982803095442819</v>
      </c>
      <c r="F20" s="55">
        <v>39.982803095442819</v>
      </c>
      <c r="G20" s="55">
        <v>89.901633705932923</v>
      </c>
      <c r="H20" s="55">
        <v>95.681685296646606</v>
      </c>
      <c r="I20" s="55">
        <v>101.8200343938091</v>
      </c>
      <c r="J20" s="55">
        <v>108.3883061049011</v>
      </c>
      <c r="K20" s="55">
        <v>115.3386930352536</v>
      </c>
      <c r="L20" s="55">
        <v>122.76680997420461</v>
      </c>
      <c r="M20" s="55">
        <v>130.64866723989681</v>
      </c>
      <c r="N20" s="55">
        <v>131.5717110920034</v>
      </c>
      <c r="O20" s="55">
        <v>133.05021496130689</v>
      </c>
      <c r="P20" s="55">
        <v>134.92089423903701</v>
      </c>
      <c r="Q20" s="55">
        <v>137.1895098882201</v>
      </c>
      <c r="R20" s="55">
        <v>138.2906276870163</v>
      </c>
      <c r="S20" s="55">
        <v>149.60653482373175</v>
      </c>
      <c r="T20" s="55">
        <v>147.47136715391227</v>
      </c>
      <c r="U20" s="55">
        <v>151.00584694754937</v>
      </c>
      <c r="V20" s="55">
        <v>150.99200343938088</v>
      </c>
      <c r="W20" s="55">
        <v>158.2788478073947</v>
      </c>
      <c r="X20" s="55">
        <v>158.48323301805678</v>
      </c>
      <c r="Y20" s="55">
        <v>160.08194325021489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7.1625107480653469E-2</v>
      </c>
      <c r="H21" s="55">
        <v>7.1625107480653469E-2</v>
      </c>
      <c r="I21" s="55">
        <v>7.1625107480653469E-2</v>
      </c>
      <c r="J21" s="55">
        <v>0.2149613069647463</v>
      </c>
      <c r="K21" s="55">
        <v>0.45382631126397238</v>
      </c>
      <c r="L21" s="55">
        <v>1.8152192605331039</v>
      </c>
      <c r="M21" s="55">
        <v>2.0810834049871021</v>
      </c>
      <c r="N21" s="55">
        <v>4.1129523717625647</v>
      </c>
      <c r="O21" s="55">
        <v>7.5089147212536576</v>
      </c>
      <c r="P21" s="55">
        <v>10.392533916354068</v>
      </c>
      <c r="Q21" s="55">
        <v>17.518632832152353</v>
      </c>
      <c r="R21" s="55">
        <v>18.450366134219568</v>
      </c>
      <c r="S21" s="55">
        <v>25.413446801988375</v>
      </c>
      <c r="T21" s="55">
        <v>31.919321700610109</v>
      </c>
      <c r="U21" s="55">
        <v>38.027381533167016</v>
      </c>
      <c r="V21" s="55">
        <v>43.207838008375418</v>
      </c>
      <c r="W21" s="55">
        <v>58.818896120794712</v>
      </c>
      <c r="X21" s="55">
        <v>64.150585805240425</v>
      </c>
      <c r="Y21" s="55">
        <v>88.766937037243864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5.2450558899398104E-3</v>
      </c>
      <c r="R22" s="55">
        <v>79.93344797936372</v>
      </c>
      <c r="S22" s="55">
        <v>122.16938950988826</v>
      </c>
      <c r="T22" s="55">
        <v>162.62304385210658</v>
      </c>
      <c r="U22" s="55">
        <v>155.12820292347374</v>
      </c>
      <c r="V22" s="55">
        <v>175.65494411006023</v>
      </c>
      <c r="W22" s="55">
        <v>159.00257953568357</v>
      </c>
      <c r="X22" s="55">
        <v>150.67360275150472</v>
      </c>
      <c r="Y22" s="55">
        <v>165.20670679277725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0.3821152192605331</v>
      </c>
      <c r="H23" s="55">
        <v>0.3821152192605331</v>
      </c>
      <c r="I23" s="55">
        <v>0.42992261392949271</v>
      </c>
      <c r="J23" s="55">
        <v>0.52545141874462586</v>
      </c>
      <c r="K23" s="55">
        <v>0.62098022355975924</v>
      </c>
      <c r="L23" s="55">
        <v>0.7165090283748925</v>
      </c>
      <c r="M23" s="55">
        <v>1.150558899398108</v>
      </c>
      <c r="N23" s="55">
        <v>1.0183147033533959</v>
      </c>
      <c r="O23" s="55">
        <v>1.410404127257094</v>
      </c>
      <c r="P23" s="55">
        <v>1.5831470335339639</v>
      </c>
      <c r="Q23" s="55">
        <v>1.620808254514188</v>
      </c>
      <c r="R23" s="55">
        <v>1.626913155631986</v>
      </c>
      <c r="S23" s="55">
        <v>1.6786758383490969</v>
      </c>
      <c r="T23" s="55">
        <v>1.6911435941530519</v>
      </c>
      <c r="U23" s="55">
        <v>1.6928632846087699</v>
      </c>
      <c r="V23" s="55">
        <v>1.700945829750645</v>
      </c>
      <c r="W23" s="55">
        <v>1.694153052450559</v>
      </c>
      <c r="X23" s="55">
        <v>1.6829750644883921</v>
      </c>
      <c r="Y23" s="55">
        <v>1.6740326741186591</v>
      </c>
      <c r="DA23" s="10" t="s">
        <v>989</v>
      </c>
    </row>
    <row r="24" spans="1:105" x14ac:dyDescent="0.25">
      <c r="A24" s="61" t="s">
        <v>25</v>
      </c>
      <c r="B24" s="55">
        <v>5.0396388650042976</v>
      </c>
      <c r="C24" s="55">
        <v>8.9567497850386921</v>
      </c>
      <c r="D24" s="55">
        <v>8.9567497850386921</v>
      </c>
      <c r="E24" s="55">
        <v>9.0283748925193468</v>
      </c>
      <c r="F24" s="55">
        <v>9.1</v>
      </c>
      <c r="G24" s="55">
        <v>7.3564918314703345</v>
      </c>
      <c r="H24" s="55">
        <v>7.3564918314703345</v>
      </c>
      <c r="I24" s="55">
        <v>7.3564918314703345</v>
      </c>
      <c r="J24" s="55">
        <v>7.3564918314703345</v>
      </c>
      <c r="K24" s="55">
        <v>7.3529664660361131</v>
      </c>
      <c r="L24" s="55">
        <v>7.3529664660361131</v>
      </c>
      <c r="M24" s="55">
        <v>15.434221840068787</v>
      </c>
      <c r="N24" s="55">
        <v>23.434221840068783</v>
      </c>
      <c r="O24" s="55">
        <v>23.434221840068783</v>
      </c>
      <c r="P24" s="55">
        <v>23.434221840068783</v>
      </c>
      <c r="Q24" s="55">
        <v>23.434221840068783</v>
      </c>
      <c r="R24" s="55">
        <v>23.434221840068783</v>
      </c>
      <c r="S24" s="55">
        <v>23.434221840068783</v>
      </c>
      <c r="T24" s="55">
        <v>23.434221840068783</v>
      </c>
      <c r="U24" s="55">
        <v>23.434221840068783</v>
      </c>
      <c r="V24" s="55">
        <v>23.434221840068783</v>
      </c>
      <c r="W24" s="55">
        <v>23.434221840068783</v>
      </c>
      <c r="X24" s="55">
        <v>23.434221840068783</v>
      </c>
      <c r="Y24" s="55">
        <v>23.434221840068783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10.527858985382631</v>
      </c>
      <c r="Q26" s="55">
        <v>6.6688736027515043</v>
      </c>
      <c r="R26" s="55">
        <v>10.075752364574379</v>
      </c>
      <c r="S26" s="55">
        <v>7.9509888220120368</v>
      </c>
      <c r="T26" s="55">
        <v>14.129664660361129</v>
      </c>
      <c r="U26" s="55">
        <v>21.150816852966461</v>
      </c>
      <c r="V26" s="55">
        <v>16.31685296646603</v>
      </c>
      <c r="W26" s="55">
        <v>22.964402407566642</v>
      </c>
      <c r="X26" s="55">
        <v>20.075064488392091</v>
      </c>
      <c r="Y26" s="55">
        <v>21.319518486672401</v>
      </c>
      <c r="DA26" s="10" t="s">
        <v>992</v>
      </c>
    </row>
    <row r="27" spans="1:105" x14ac:dyDescent="0.25">
      <c r="A27" s="62" t="s">
        <v>24</v>
      </c>
      <c r="B27" s="63">
        <v>234.39380911435941</v>
      </c>
      <c r="C27" s="63">
        <v>247.54944110060191</v>
      </c>
      <c r="D27" s="63">
        <v>258.1255374032674</v>
      </c>
      <c r="E27" s="63">
        <v>291.31556319862426</v>
      </c>
      <c r="F27" s="63">
        <v>602.23559759243324</v>
      </c>
      <c r="G27" s="63">
        <v>639.29492691315556</v>
      </c>
      <c r="H27" s="63">
        <v>653.31040412725713</v>
      </c>
      <c r="I27" s="63">
        <v>603.78331900257956</v>
      </c>
      <c r="J27" s="63">
        <v>578.15993121238171</v>
      </c>
      <c r="K27" s="63">
        <v>651.59071367153899</v>
      </c>
      <c r="L27" s="63">
        <v>665.43422184006874</v>
      </c>
      <c r="M27" s="63">
        <v>712.99054170249349</v>
      </c>
      <c r="N27" s="63">
        <v>739.60808254514188</v>
      </c>
      <c r="O27" s="63">
        <v>764.64935511607905</v>
      </c>
      <c r="P27" s="63">
        <v>708.93147033533955</v>
      </c>
      <c r="Q27" s="63">
        <v>765.72330180567496</v>
      </c>
      <c r="R27" s="63">
        <v>766.48220120378312</v>
      </c>
      <c r="S27" s="63">
        <v>767.74144453998269</v>
      </c>
      <c r="T27" s="63">
        <v>743.07454858125527</v>
      </c>
      <c r="U27" s="63">
        <v>729.09871023215817</v>
      </c>
      <c r="V27" s="63">
        <v>694.71066208082539</v>
      </c>
      <c r="W27" s="63">
        <v>657.77755803955279</v>
      </c>
      <c r="X27" s="63">
        <v>678.38478073946681</v>
      </c>
      <c r="Y27" s="63">
        <v>614.57050730868445</v>
      </c>
      <c r="DA27" s="11" t="s">
        <v>993</v>
      </c>
    </row>
    <row r="29" spans="1:105" x14ac:dyDescent="0.25">
      <c r="A29" s="218" t="s">
        <v>84</v>
      </c>
      <c r="B29" s="219">
        <v>12151.81418868</v>
      </c>
      <c r="C29" s="219">
        <v>12558.834750959999</v>
      </c>
      <c r="D29" s="219">
        <v>12901.153202999998</v>
      </c>
      <c r="E29" s="219">
        <v>12657.702153239999</v>
      </c>
      <c r="F29" s="219">
        <v>13155.76310328</v>
      </c>
      <c r="G29" s="219">
        <v>12732.96623004</v>
      </c>
      <c r="H29" s="219">
        <v>12338.54858088</v>
      </c>
      <c r="I29" s="219">
        <v>12016.716010200002</v>
      </c>
      <c r="J29" s="219">
        <v>12252.917450880002</v>
      </c>
      <c r="K29" s="219">
        <v>12164.383152720002</v>
      </c>
      <c r="L29" s="219">
        <v>11797.75563048</v>
      </c>
      <c r="M29" s="219">
        <v>11930.12759412002</v>
      </c>
      <c r="N29" s="219">
        <v>11394.055368776579</v>
      </c>
      <c r="O29" s="219">
        <v>11916.230463549095</v>
      </c>
      <c r="P29" s="219">
        <v>11742.470042018467</v>
      </c>
      <c r="Q29" s="219">
        <v>11624.986792220752</v>
      </c>
      <c r="R29" s="219">
        <v>10695.74207208587</v>
      </c>
      <c r="S29" s="219">
        <v>10496.996047373552</v>
      </c>
      <c r="T29" s="219">
        <v>10697.566147754264</v>
      </c>
      <c r="U29" s="219">
        <v>10384.040573383045</v>
      </c>
      <c r="V29" s="219">
        <v>11251.025146204909</v>
      </c>
      <c r="W29" s="219">
        <v>11318.426008501705</v>
      </c>
      <c r="X29" s="219">
        <v>10945.338566381479</v>
      </c>
      <c r="Y29" s="219">
        <v>11005.143720114998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103.29316642769011</v>
      </c>
      <c r="C31" s="59">
        <f t="shared" si="31"/>
        <v>104.45031430095712</v>
      </c>
      <c r="D31" s="59">
        <f t="shared" si="31"/>
        <v>111.09602444911847</v>
      </c>
      <c r="E31" s="59">
        <f t="shared" si="31"/>
        <v>118.64043710794846</v>
      </c>
      <c r="F31" s="59">
        <f t="shared" si="31"/>
        <v>129.12260424923983</v>
      </c>
      <c r="G31" s="59">
        <f t="shared" si="31"/>
        <v>136.32685500881911</v>
      </c>
      <c r="H31" s="59">
        <f t="shared" si="31"/>
        <v>143.24682833879152</v>
      </c>
      <c r="I31" s="59">
        <f t="shared" si="31"/>
        <v>127.4585190128635</v>
      </c>
      <c r="J31" s="59">
        <f t="shared" si="31"/>
        <v>137.18697531412423</v>
      </c>
      <c r="K31" s="59">
        <f t="shared" si="31"/>
        <v>164.29311310911729</v>
      </c>
      <c r="L31" s="59">
        <f t="shared" si="31"/>
        <v>129.61528577015062</v>
      </c>
      <c r="M31" s="59">
        <f t="shared" si="31"/>
        <v>124.26650832398418</v>
      </c>
      <c r="N31" s="59">
        <f t="shared" si="31"/>
        <v>122.41414056570032</v>
      </c>
      <c r="O31" s="59">
        <f t="shared" si="31"/>
        <v>141.73977988980084</v>
      </c>
      <c r="P31" s="59">
        <f t="shared" si="31"/>
        <v>127.54684746306843</v>
      </c>
      <c r="Q31" s="59">
        <f t="shared" si="31"/>
        <v>123.28338947286649</v>
      </c>
      <c r="R31" s="59">
        <f t="shared" si="31"/>
        <v>131.18581170881191</v>
      </c>
      <c r="S31" s="59">
        <f t="shared" si="31"/>
        <v>119.16842813215963</v>
      </c>
      <c r="T31" s="59">
        <f t="shared" si="31"/>
        <v>112.19173709398881</v>
      </c>
      <c r="U31" s="59">
        <f t="shared" si="31"/>
        <v>116.93125797892891</v>
      </c>
      <c r="V31" s="59">
        <f t="shared" si="31"/>
        <v>129.21273729591695</v>
      </c>
      <c r="W31" s="59">
        <f t="shared" si="31"/>
        <v>120.56726467017113</v>
      </c>
      <c r="X31" s="59">
        <f t="shared" si="31"/>
        <v>98.232212314229926</v>
      </c>
      <c r="Y31" s="59">
        <f t="shared" si="31"/>
        <v>112.14190451301681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112.47171201628665</v>
      </c>
      <c r="C32" s="55">
        <f t="shared" si="32"/>
        <v>109.81942433546163</v>
      </c>
      <c r="D32" s="55">
        <f t="shared" si="32"/>
        <v>113.80906613357639</v>
      </c>
      <c r="E32" s="55">
        <f t="shared" si="32"/>
        <v>119.53787119840254</v>
      </c>
      <c r="F32" s="55">
        <f t="shared" si="32"/>
        <v>117.30616060932353</v>
      </c>
      <c r="G32" s="55">
        <f t="shared" si="32"/>
        <v>134.29403412451359</v>
      </c>
      <c r="H32" s="55">
        <f t="shared" si="32"/>
        <v>130.05722800154632</v>
      </c>
      <c r="I32" s="55">
        <f t="shared" si="32"/>
        <v>117.81469406104155</v>
      </c>
      <c r="J32" s="55">
        <f t="shared" si="32"/>
        <v>123.49619118298855</v>
      </c>
      <c r="K32" s="55">
        <f t="shared" si="32"/>
        <v>137.83360398812144</v>
      </c>
      <c r="L32" s="55">
        <f t="shared" si="32"/>
        <v>128.47617233393535</v>
      </c>
      <c r="M32" s="55">
        <f t="shared" si="32"/>
        <v>116.02131221383361</v>
      </c>
      <c r="N32" s="55">
        <f t="shared" si="32"/>
        <v>118.31216844961244</v>
      </c>
      <c r="O32" s="55">
        <f t="shared" si="32"/>
        <v>117.89482713876838</v>
      </c>
      <c r="P32" s="55">
        <f t="shared" si="32"/>
        <v>114.21265320772919</v>
      </c>
      <c r="Q32" s="55">
        <f t="shared" si="32"/>
        <v>116.67728719019793</v>
      </c>
      <c r="R32" s="55">
        <f t="shared" si="32"/>
        <v>118.41249825520167</v>
      </c>
      <c r="S32" s="55">
        <f t="shared" si="32"/>
        <v>109.25986032686187</v>
      </c>
      <c r="T32" s="55">
        <f t="shared" si="32"/>
        <v>115.03952384499108</v>
      </c>
      <c r="U32" s="55">
        <f t="shared" si="32"/>
        <v>114.31053707016741</v>
      </c>
      <c r="V32" s="55">
        <f t="shared" si="32"/>
        <v>121.02278233994657</v>
      </c>
      <c r="W32" s="55">
        <f t="shared" si="32"/>
        <v>115.61293230102245</v>
      </c>
      <c r="X32" s="55">
        <f t="shared" si="32"/>
        <v>98.926512660278448</v>
      </c>
      <c r="Y32" s="55">
        <f t="shared" si="32"/>
        <v>101.378915124645</v>
      </c>
      <c r="DA32" s="216"/>
    </row>
    <row r="33" spans="1:105" x14ac:dyDescent="0.25">
      <c r="A33" s="35" t="s">
        <v>111</v>
      </c>
      <c r="B33" s="55">
        <f>IF(AGR_ued!B$5=0,"",AGR_ued!B$5/B$5*1000)</f>
        <v>41.916184515449174</v>
      </c>
      <c r="C33" s="55">
        <f>IF(AGR_ued!C$5=0,"",AGR_ued!C$5/C$5*1000)</f>
        <v>41.020135155749387</v>
      </c>
      <c r="D33" s="55">
        <f>IF(AGR_ued!D$5=0,"",AGR_ued!D$5/D$5*1000)</f>
        <v>42.59015246778192</v>
      </c>
      <c r="E33" s="55">
        <f>IF(AGR_ued!E$5=0,"",AGR_ued!E$5/E$5*1000)</f>
        <v>44.902198017572516</v>
      </c>
      <c r="F33" s="55">
        <f>IF(AGR_ued!F$5=0,"",AGR_ued!F$5/F$5*1000)</f>
        <v>45.110607726434083</v>
      </c>
      <c r="G33" s="55">
        <f>IF(AGR_ued!G$5=0,"",AGR_ued!G$5/G$5*1000)</f>
        <v>51.740693762642124</v>
      </c>
      <c r="H33" s="55">
        <f>IF(AGR_ued!H$5=0,"",AGR_ued!H$5/H$5*1000)</f>
        <v>50.209765369351778</v>
      </c>
      <c r="I33" s="55">
        <f>IF(AGR_ued!I$5=0,"",AGR_ued!I$5/I$5*1000)</f>
        <v>45.328751863776667</v>
      </c>
      <c r="J33" s="55">
        <f>IF(AGR_ued!J$5=0,"",AGR_ued!J$5/J$5*1000)</f>
        <v>47.323388833060001</v>
      </c>
      <c r="K33" s="55">
        <f>IF(AGR_ued!K$5=0,"",AGR_ued!K$5/K$5*1000)</f>
        <v>53.156168977719261</v>
      </c>
      <c r="L33" s="55">
        <f>IF(AGR_ued!L$5=0,"",AGR_ued!L$5/L$5*1000)</f>
        <v>49.672733342642651</v>
      </c>
      <c r="M33" s="55">
        <f>IF(AGR_ued!M$5=0,"",AGR_ued!M$5/M$5*1000)</f>
        <v>44.931700179776605</v>
      </c>
      <c r="N33" s="55">
        <f>IF(AGR_ued!N$5=0,"",AGR_ued!N$5/N$5*1000)</f>
        <v>46.087931126135402</v>
      </c>
      <c r="O33" s="55">
        <f>IF(AGR_ued!O$5=0,"",AGR_ued!O$5/O$5*1000)</f>
        <v>45.853702171738966</v>
      </c>
      <c r="P33" s="55">
        <f>IF(AGR_ued!P$5=0,"",AGR_ued!P$5/P$5*1000)</f>
        <v>44.311647700820345</v>
      </c>
      <c r="Q33" s="55">
        <f>IF(AGR_ued!Q$5=0,"",AGR_ued!Q$5/Q$5*1000)</f>
        <v>45.541312911528429</v>
      </c>
      <c r="R33" s="55">
        <f>IF(AGR_ued!R$5=0,"",AGR_ued!R$5/R$5*1000)</f>
        <v>46.442670804033206</v>
      </c>
      <c r="S33" s="55">
        <f>IF(AGR_ued!S$5=0,"",AGR_ued!S$5/S$5*1000)</f>
        <v>42.860375270345244</v>
      </c>
      <c r="T33" s="55">
        <f>IF(AGR_ued!T$5=0,"",AGR_ued!T$5/T$5*1000)</f>
        <v>44.97222722158665</v>
      </c>
      <c r="U33" s="55">
        <f>IF(AGR_ued!U$5=0,"",AGR_ued!U$5/U$5*1000)</f>
        <v>44.729698435379767</v>
      </c>
      <c r="V33" s="55">
        <f>IF(AGR_ued!V$5=0,"",AGR_ued!V$5/V$5*1000)</f>
        <v>46.94522637926746</v>
      </c>
      <c r="W33" s="55">
        <f>IF(AGR_ued!W$5=0,"",AGR_ued!W$5/W$5*1000)</f>
        <v>44.672847217692492</v>
      </c>
      <c r="X33" s="55">
        <f>IF(AGR_ued!X$5=0,"",AGR_ued!X$5/X$5*1000)</f>
        <v>38.359267520088409</v>
      </c>
      <c r="Y33" s="55">
        <f>IF(AGR_ued!Y$5=0,"",AGR_ued!Y$5/Y$5*1000)</f>
        <v>39.054865655036998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2.8026788402332765</v>
      </c>
      <c r="C34" s="217">
        <f t="shared" si="33"/>
        <v>2.7945950071941161</v>
      </c>
      <c r="D34" s="217">
        <f t="shared" si="33"/>
        <v>2.810421407914053</v>
      </c>
      <c r="E34" s="217">
        <f t="shared" si="33"/>
        <v>2.7925809576535792</v>
      </c>
      <c r="F34" s="217">
        <f t="shared" si="33"/>
        <v>2.621791539887683</v>
      </c>
      <c r="G34" s="217">
        <f t="shared" si="33"/>
        <v>2.5652073433456337</v>
      </c>
      <c r="H34" s="217">
        <f t="shared" si="33"/>
        <v>2.5454191523438827</v>
      </c>
      <c r="I34" s="217">
        <f t="shared" si="33"/>
        <v>2.5605864607681612</v>
      </c>
      <c r="J34" s="217">
        <f t="shared" si="33"/>
        <v>2.5808086538433286</v>
      </c>
      <c r="K34" s="217">
        <f t="shared" si="33"/>
        <v>2.5388568548154913</v>
      </c>
      <c r="L34" s="217">
        <f t="shared" si="33"/>
        <v>2.5103389637522509</v>
      </c>
      <c r="M34" s="217">
        <f t="shared" si="33"/>
        <v>2.4899980307488851</v>
      </c>
      <c r="N34" s="217">
        <f t="shared" si="33"/>
        <v>2.4413920844168673</v>
      </c>
      <c r="O34" s="217">
        <f t="shared" si="33"/>
        <v>2.4501219501324907</v>
      </c>
      <c r="P34" s="217">
        <f t="shared" si="33"/>
        <v>2.4665453725328939</v>
      </c>
      <c r="Q34" s="217">
        <f t="shared" si="33"/>
        <v>2.4307246860818146</v>
      </c>
      <c r="R34" s="217">
        <f t="shared" si="33"/>
        <v>2.3415707420943788</v>
      </c>
      <c r="S34" s="217">
        <f t="shared" si="33"/>
        <v>2.3053833265420316</v>
      </c>
      <c r="T34" s="217">
        <f t="shared" si="33"/>
        <v>2.2969169380816616</v>
      </c>
      <c r="U34" s="217">
        <f t="shared" si="33"/>
        <v>2.2786553216501919</v>
      </c>
      <c r="V34" s="217">
        <f t="shared" si="33"/>
        <v>2.3315253455004945</v>
      </c>
      <c r="W34" s="217">
        <f t="shared" si="33"/>
        <v>2.3417471725462597</v>
      </c>
      <c r="X34" s="217">
        <f t="shared" si="33"/>
        <v>2.3227883836431169</v>
      </c>
      <c r="Y34" s="217">
        <f t="shared" si="33"/>
        <v>2.3383890120618296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4335.7854686156479</v>
      </c>
      <c r="C5" s="80">
        <f t="shared" ref="C5:W5" si="1">SUM(C6:C9,C16:C17,C25:C27)</f>
        <v>4493.9730868443667</v>
      </c>
      <c r="D5" s="80">
        <f t="shared" si="1"/>
        <v>4590.4693035253622</v>
      </c>
      <c r="E5" s="80">
        <f t="shared" si="1"/>
        <v>4532.6177987962164</v>
      </c>
      <c r="F5" s="80">
        <f t="shared" si="1"/>
        <v>5017.8524505588994</v>
      </c>
      <c r="G5" s="80">
        <f t="shared" si="1"/>
        <v>4963.7181427343075</v>
      </c>
      <c r="H5" s="80">
        <f t="shared" si="1"/>
        <v>4847.3543422184002</v>
      </c>
      <c r="I5" s="80">
        <f t="shared" si="1"/>
        <v>4692.9546001719664</v>
      </c>
      <c r="J5" s="80">
        <f t="shared" si="1"/>
        <v>4747.7047291487515</v>
      </c>
      <c r="K5" s="80">
        <f t="shared" si="1"/>
        <v>4791.2835769561489</v>
      </c>
      <c r="L5" s="80">
        <f t="shared" si="1"/>
        <v>4699.6663800515871</v>
      </c>
      <c r="M5" s="80">
        <f t="shared" si="1"/>
        <v>4791.2196904557168</v>
      </c>
      <c r="N5" s="80">
        <f t="shared" si="1"/>
        <v>4667.0321582115221</v>
      </c>
      <c r="O5" s="80">
        <f t="shared" si="1"/>
        <v>4863.5254514187418</v>
      </c>
      <c r="P5" s="80">
        <f t="shared" si="1"/>
        <v>4760.6949269131546</v>
      </c>
      <c r="Q5" s="80">
        <f t="shared" si="1"/>
        <v>4782.5189165950114</v>
      </c>
      <c r="R5" s="80">
        <f t="shared" si="1"/>
        <v>4567.763800515906</v>
      </c>
      <c r="S5" s="80">
        <f t="shared" si="1"/>
        <v>4553.2540842648323</v>
      </c>
      <c r="T5" s="80">
        <f t="shared" si="1"/>
        <v>4657.3587274290621</v>
      </c>
      <c r="U5" s="80">
        <f t="shared" si="1"/>
        <v>4557.0914015477201</v>
      </c>
      <c r="V5" s="80">
        <f t="shared" si="1"/>
        <v>4825.6070507308659</v>
      </c>
      <c r="W5" s="80">
        <f t="shared" si="1"/>
        <v>4833.3253654342207</v>
      </c>
      <c r="X5" s="80">
        <f t="shared" ref="X5:Y5" si="2">SUM(X6:X9,X16:X17,X25:X27)</f>
        <v>4712.1548581255374</v>
      </c>
      <c r="Y5" s="80">
        <f t="shared" si="2"/>
        <v>4706.2929492691292</v>
      </c>
      <c r="DA5" s="103"/>
    </row>
    <row r="6" spans="1:105" x14ac:dyDescent="0.25">
      <c r="A6" s="238" t="s">
        <v>125</v>
      </c>
      <c r="B6" s="239">
        <v>45.542368486981452</v>
      </c>
      <c r="C6" s="239">
        <v>48.06673932638946</v>
      </c>
      <c r="D6" s="239">
        <v>50.13441502456606</v>
      </c>
      <c r="E6" s="239">
        <v>56.130280586445089</v>
      </c>
      <c r="F6" s="239">
        <v>106.69130348727489</v>
      </c>
      <c r="G6" s="239">
        <v>111.215966756128</v>
      </c>
      <c r="H6" s="239">
        <v>112.33514719794439</v>
      </c>
      <c r="I6" s="239">
        <v>105.0331911109436</v>
      </c>
      <c r="J6" s="239">
        <v>101.81481340291541</v>
      </c>
      <c r="K6" s="239">
        <v>111.8092341593221</v>
      </c>
      <c r="L6" s="239">
        <v>112.8245439635934</v>
      </c>
      <c r="M6" s="239">
        <v>119.0892791695108</v>
      </c>
      <c r="N6" s="239">
        <v>121.07322484497899</v>
      </c>
      <c r="O6" s="239">
        <v>125.35907126710249</v>
      </c>
      <c r="P6" s="239">
        <v>118.5206161240168</v>
      </c>
      <c r="Q6" s="239">
        <v>125.3761705395308</v>
      </c>
      <c r="R6" s="239">
        <v>123.6835529464559</v>
      </c>
      <c r="S6" s="239">
        <v>123.72154910230149</v>
      </c>
      <c r="T6" s="239">
        <v>121.9268920530151</v>
      </c>
      <c r="U6" s="239">
        <v>119.380936413987</v>
      </c>
      <c r="V6" s="239">
        <v>117.4613728182235</v>
      </c>
      <c r="W6" s="239">
        <v>112.5914858774558</v>
      </c>
      <c r="X6" s="239">
        <v>114.5721693347997</v>
      </c>
      <c r="Y6" s="239">
        <v>106.4536117070591</v>
      </c>
      <c r="DA6" s="267" t="s">
        <v>995</v>
      </c>
    </row>
    <row r="7" spans="1:105" x14ac:dyDescent="0.25">
      <c r="A7" s="240" t="s">
        <v>124</v>
      </c>
      <c r="B7" s="241">
        <v>29.60253951653792</v>
      </c>
      <c r="C7" s="241">
        <v>31.243380562153131</v>
      </c>
      <c r="D7" s="241">
        <v>32.587369765967942</v>
      </c>
      <c r="E7" s="241">
        <v>36.48468238118928</v>
      </c>
      <c r="F7" s="241">
        <v>69.349347266728628</v>
      </c>
      <c r="G7" s="241">
        <v>72.290378391483188</v>
      </c>
      <c r="H7" s="241">
        <v>73.017845678663846</v>
      </c>
      <c r="I7" s="241">
        <v>68.271574222113372</v>
      </c>
      <c r="J7" s="241">
        <v>66.179628711894964</v>
      </c>
      <c r="K7" s="241">
        <v>72.676002203559378</v>
      </c>
      <c r="L7" s="241">
        <v>73.335953576335626</v>
      </c>
      <c r="M7" s="241">
        <v>77.408031460182045</v>
      </c>
      <c r="N7" s="241">
        <v>78.697596149236361</v>
      </c>
      <c r="O7" s="241">
        <v>81.483396323616645</v>
      </c>
      <c r="P7" s="241">
        <v>77.038400480610889</v>
      </c>
      <c r="Q7" s="241">
        <v>81.494510850695008</v>
      </c>
      <c r="R7" s="241">
        <v>80.394309415196332</v>
      </c>
      <c r="S7" s="241">
        <v>80.419006916495917</v>
      </c>
      <c r="T7" s="241">
        <v>79.252479834459763</v>
      </c>
      <c r="U7" s="241">
        <v>77.597608669091528</v>
      </c>
      <c r="V7" s="241">
        <v>76.349892331845311</v>
      </c>
      <c r="W7" s="241">
        <v>73.184465820346247</v>
      </c>
      <c r="X7" s="241">
        <v>74.471910067619802</v>
      </c>
      <c r="Y7" s="241">
        <v>69.194847609588436</v>
      </c>
      <c r="DA7" s="268" t="s">
        <v>996</v>
      </c>
    </row>
    <row r="8" spans="1:105" x14ac:dyDescent="0.25">
      <c r="A8" s="240" t="s">
        <v>123</v>
      </c>
      <c r="B8" s="241">
        <v>40.988131638283278</v>
      </c>
      <c r="C8" s="241">
        <v>43.260065393750502</v>
      </c>
      <c r="D8" s="241">
        <v>45.120973522109452</v>
      </c>
      <c r="E8" s="241">
        <v>50.517252527800558</v>
      </c>
      <c r="F8" s="241">
        <v>96.02217313854733</v>
      </c>
      <c r="G8" s="241">
        <v>100.0943700805152</v>
      </c>
      <c r="H8" s="241">
        <v>101.1016324781499</v>
      </c>
      <c r="I8" s="241">
        <v>94.529871999849291</v>
      </c>
      <c r="J8" s="241">
        <v>91.633332062623808</v>
      </c>
      <c r="K8" s="241">
        <v>100.6283107433899</v>
      </c>
      <c r="L8" s="241">
        <v>101.542089567234</v>
      </c>
      <c r="M8" s="241">
        <v>107.1803512525598</v>
      </c>
      <c r="N8" s="241">
        <v>108.96590236048119</v>
      </c>
      <c r="O8" s="241">
        <v>112.82316414039229</v>
      </c>
      <c r="P8" s="241">
        <v>106.6685545116151</v>
      </c>
      <c r="Q8" s="241">
        <v>112.83855348557771</v>
      </c>
      <c r="R8" s="241">
        <v>111.31519765181039</v>
      </c>
      <c r="S8" s="241">
        <v>111.3493941920713</v>
      </c>
      <c r="T8" s="241">
        <v>109.7342028477136</v>
      </c>
      <c r="U8" s="241">
        <v>107.44284277258831</v>
      </c>
      <c r="V8" s="241">
        <v>105.7152355364012</v>
      </c>
      <c r="W8" s="241">
        <v>101.3323372897102</v>
      </c>
      <c r="X8" s="241">
        <v>103.1149524013197</v>
      </c>
      <c r="Y8" s="241">
        <v>95.808250536353242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882.48828944710897</v>
      </c>
      <c r="C9" s="243">
        <f t="shared" ref="C9:W9" si="4">SUM(C10:C15)</f>
        <v>918.40180730236932</v>
      </c>
      <c r="D9" s="243">
        <f t="shared" si="4"/>
        <v>949.30034626415727</v>
      </c>
      <c r="E9" s="243">
        <f t="shared" si="4"/>
        <v>933.4730370862693</v>
      </c>
      <c r="F9" s="243">
        <f t="shared" si="4"/>
        <v>979.98789010848157</v>
      </c>
      <c r="G9" s="243">
        <f t="shared" si="4"/>
        <v>958.59208706840798</v>
      </c>
      <c r="H9" s="243">
        <f t="shared" si="4"/>
        <v>931.91843129889583</v>
      </c>
      <c r="I9" s="243">
        <f t="shared" si="4"/>
        <v>904.87738586484591</v>
      </c>
      <c r="J9" s="243">
        <f t="shared" si="4"/>
        <v>917.65049501879218</v>
      </c>
      <c r="K9" s="243">
        <f t="shared" si="4"/>
        <v>919.62775212051599</v>
      </c>
      <c r="L9" s="243">
        <f t="shared" si="4"/>
        <v>897.81879532360858</v>
      </c>
      <c r="M9" s="243">
        <f t="shared" si="4"/>
        <v>910.30391891758768</v>
      </c>
      <c r="N9" s="243">
        <f t="shared" si="4"/>
        <v>884.29845225958627</v>
      </c>
      <c r="O9" s="243">
        <f t="shared" si="4"/>
        <v>919.20647760223528</v>
      </c>
      <c r="P9" s="243">
        <f t="shared" si="4"/>
        <v>909.77518874023247</v>
      </c>
      <c r="Q9" s="243">
        <f t="shared" si="4"/>
        <v>912.1201529428547</v>
      </c>
      <c r="R9" s="243">
        <f t="shared" si="4"/>
        <v>872.3914762266736</v>
      </c>
      <c r="S9" s="243">
        <f t="shared" si="4"/>
        <v>869.60446476267566</v>
      </c>
      <c r="T9" s="243">
        <f t="shared" si="4"/>
        <v>893.17572692517115</v>
      </c>
      <c r="U9" s="243">
        <f t="shared" si="4"/>
        <v>874.25427502576838</v>
      </c>
      <c r="V9" s="243">
        <f t="shared" si="4"/>
        <v>929.11205143184714</v>
      </c>
      <c r="W9" s="243">
        <f t="shared" si="4"/>
        <v>930.24308624481148</v>
      </c>
      <c r="X9" s="243">
        <f t="shared" ref="X9:Y9" si="5">SUM(X10:X15)</f>
        <v>906.23118299601322</v>
      </c>
      <c r="Y9" s="243">
        <f t="shared" si="5"/>
        <v>910.32828890711812</v>
      </c>
      <c r="DA9" s="269"/>
    </row>
    <row r="10" spans="1:105" x14ac:dyDescent="0.25">
      <c r="A10" s="253" t="s">
        <v>166</v>
      </c>
      <c r="B10" s="254">
        <v>748.42596809590634</v>
      </c>
      <c r="C10" s="254">
        <v>764.78169210602664</v>
      </c>
      <c r="D10" s="254">
        <v>810.03126018628518</v>
      </c>
      <c r="E10" s="254">
        <v>802.11386722692839</v>
      </c>
      <c r="F10" s="254">
        <v>783.67389196473744</v>
      </c>
      <c r="G10" s="254">
        <v>759.84365062438462</v>
      </c>
      <c r="H10" s="254">
        <v>735.58522368706417</v>
      </c>
      <c r="I10" s="254">
        <v>729.91729542364305</v>
      </c>
      <c r="J10" s="254">
        <v>756.22062508935244</v>
      </c>
      <c r="K10" s="254">
        <v>746.82471089865396</v>
      </c>
      <c r="L10" s="254">
        <v>713.98860694263283</v>
      </c>
      <c r="M10" s="254">
        <v>725.87166550897371</v>
      </c>
      <c r="N10" s="254">
        <v>665.86097021162618</v>
      </c>
      <c r="O10" s="254">
        <v>706.99200297774973</v>
      </c>
      <c r="P10" s="254">
        <v>702.61239135036942</v>
      </c>
      <c r="Q10" s="254">
        <v>691.99511086277028</v>
      </c>
      <c r="R10" s="254">
        <v>637.26950233153389</v>
      </c>
      <c r="S10" s="254">
        <v>633.10593876302585</v>
      </c>
      <c r="T10" s="254">
        <v>651.79836572205579</v>
      </c>
      <c r="U10" s="254">
        <v>622.71873960453843</v>
      </c>
      <c r="V10" s="254">
        <v>707.48556254366235</v>
      </c>
      <c r="W10" s="254">
        <v>702.96188233674434</v>
      </c>
      <c r="X10" s="254">
        <v>684.85432119543964</v>
      </c>
      <c r="Y10" s="254">
        <v>705.80722676252549</v>
      </c>
      <c r="DA10" s="270" t="s">
        <v>998</v>
      </c>
    </row>
    <row r="11" spans="1:105" x14ac:dyDescent="0.25">
      <c r="A11" s="253" t="s">
        <v>169</v>
      </c>
      <c r="B11" s="255">
        <v>125.24698359019099</v>
      </c>
      <c r="C11" s="255">
        <v>142.65585003246261</v>
      </c>
      <c r="D11" s="255">
        <v>128.2281197546119</v>
      </c>
      <c r="E11" s="255">
        <v>117.16294629329801</v>
      </c>
      <c r="F11" s="255">
        <v>124.07813506936201</v>
      </c>
      <c r="G11" s="255">
        <v>112.5637967540234</v>
      </c>
      <c r="H11" s="255">
        <v>101.73520179872629</v>
      </c>
      <c r="I11" s="255">
        <v>93.350926968223973</v>
      </c>
      <c r="J11" s="255">
        <v>89.290733524084018</v>
      </c>
      <c r="K11" s="255">
        <v>77.219002360534674</v>
      </c>
      <c r="L11" s="255">
        <v>79.429640331191763</v>
      </c>
      <c r="M11" s="255">
        <v>60.549960023599148</v>
      </c>
      <c r="N11" s="255">
        <v>74.859910421087164</v>
      </c>
      <c r="O11" s="255">
        <v>64.820129079424078</v>
      </c>
      <c r="P11" s="255">
        <v>70.814126280394262</v>
      </c>
      <c r="Q11" s="255">
        <v>65.267483005341902</v>
      </c>
      <c r="R11" s="255">
        <v>67.732906252566892</v>
      </c>
      <c r="S11" s="255">
        <v>70.161987462396851</v>
      </c>
      <c r="T11" s="255">
        <v>84.477389494181395</v>
      </c>
      <c r="U11" s="255">
        <v>88.799232417231948</v>
      </c>
      <c r="V11" s="255">
        <v>88.423656476778206</v>
      </c>
      <c r="W11" s="255">
        <v>99.770907250213071</v>
      </c>
      <c r="X11" s="255">
        <v>86.237853157666294</v>
      </c>
      <c r="Y11" s="255">
        <v>91.239997625951546</v>
      </c>
      <c r="DA11" s="271" t="s">
        <v>999</v>
      </c>
    </row>
    <row r="12" spans="1:105" x14ac:dyDescent="0.25">
      <c r="A12" s="253" t="s">
        <v>152</v>
      </c>
      <c r="B12" s="255">
        <v>2.1333710810620978</v>
      </c>
      <c r="C12" s="255">
        <v>3.748520694723886</v>
      </c>
      <c r="D12" s="255">
        <v>3.5875040423068771</v>
      </c>
      <c r="E12" s="255">
        <v>3.5320632988799789</v>
      </c>
      <c r="F12" s="255">
        <v>3.456782917676958</v>
      </c>
      <c r="G12" s="255">
        <v>2.9695465567249171</v>
      </c>
      <c r="H12" s="255">
        <v>2.963337675086593</v>
      </c>
      <c r="I12" s="255">
        <v>2.991800024396821</v>
      </c>
      <c r="J12" s="255">
        <v>3.0532722070447869</v>
      </c>
      <c r="K12" s="255">
        <v>3.03949598595795</v>
      </c>
      <c r="L12" s="255">
        <v>3.0890460270094482</v>
      </c>
      <c r="M12" s="255">
        <v>6.3381475290977969</v>
      </c>
      <c r="N12" s="255">
        <v>9.3356133061509219</v>
      </c>
      <c r="O12" s="255">
        <v>9.5403467639562702</v>
      </c>
      <c r="P12" s="255">
        <v>9.4924224078508654</v>
      </c>
      <c r="Q12" s="255">
        <v>9.3462363635287993</v>
      </c>
      <c r="R12" s="255">
        <v>9.2488788059262319</v>
      </c>
      <c r="S12" s="255">
        <v>9.2518506862364447</v>
      </c>
      <c r="T12" s="255">
        <v>9.3302187319412742</v>
      </c>
      <c r="U12" s="255">
        <v>9.3914579883829585</v>
      </c>
      <c r="V12" s="255">
        <v>9.4821814546304388</v>
      </c>
      <c r="W12" s="255">
        <v>9.7257655975882233</v>
      </c>
      <c r="X12" s="255">
        <v>9.5400100884673105</v>
      </c>
      <c r="Y12" s="255">
        <v>9.6590972579548264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10.527858985382339</v>
      </c>
      <c r="Q14" s="254">
        <v>6.6688736027515008</v>
      </c>
      <c r="R14" s="254">
        <v>10.0757523645745</v>
      </c>
      <c r="S14" s="254">
        <v>7.9509888220121292</v>
      </c>
      <c r="T14" s="254">
        <v>14.12966466036111</v>
      </c>
      <c r="U14" s="254">
        <v>21.150816852966479</v>
      </c>
      <c r="V14" s="254">
        <v>16.3168529664656</v>
      </c>
      <c r="W14" s="254">
        <v>22.964402407566102</v>
      </c>
      <c r="X14" s="254">
        <v>20.075064488391622</v>
      </c>
      <c r="Y14" s="254">
        <v>21.319518486671409</v>
      </c>
      <c r="DA14" s="270" t="s">
        <v>1002</v>
      </c>
    </row>
    <row r="15" spans="1:105" x14ac:dyDescent="0.25">
      <c r="A15" s="253" t="s">
        <v>24</v>
      </c>
      <c r="B15" s="255">
        <v>6.6819666799495083</v>
      </c>
      <c r="C15" s="255">
        <v>7.2157444691562356</v>
      </c>
      <c r="D15" s="255">
        <v>7.4534622809532527</v>
      </c>
      <c r="E15" s="255">
        <v>10.66416026716297</v>
      </c>
      <c r="F15" s="255">
        <v>68.779080156705135</v>
      </c>
      <c r="G15" s="255">
        <v>83.215093133275033</v>
      </c>
      <c r="H15" s="255">
        <v>91.634668138018824</v>
      </c>
      <c r="I15" s="255">
        <v>78.617363448581955</v>
      </c>
      <c r="J15" s="255">
        <v>69.085864198311043</v>
      </c>
      <c r="K15" s="255">
        <v>92.544542875369388</v>
      </c>
      <c r="L15" s="255">
        <v>101.3115020227745</v>
      </c>
      <c r="M15" s="255">
        <v>117.54414585591699</v>
      </c>
      <c r="N15" s="255">
        <v>134.24195832072201</v>
      </c>
      <c r="O15" s="255">
        <v>137.85399878110519</v>
      </c>
      <c r="P15" s="255">
        <v>116.32838971623561</v>
      </c>
      <c r="Q15" s="255">
        <v>138.84244910846229</v>
      </c>
      <c r="R15" s="255">
        <v>148.06443647207209</v>
      </c>
      <c r="S15" s="255">
        <v>149.13369902900439</v>
      </c>
      <c r="T15" s="255">
        <v>133.44008831663169</v>
      </c>
      <c r="U15" s="255">
        <v>132.19402816264861</v>
      </c>
      <c r="V15" s="255">
        <v>107.40379799031049</v>
      </c>
      <c r="W15" s="255">
        <v>94.820128652699779</v>
      </c>
      <c r="X15" s="255">
        <v>105.5239340660484</v>
      </c>
      <c r="Y15" s="255">
        <v>82.30244877401482</v>
      </c>
      <c r="DA15" s="271" t="s">
        <v>1003</v>
      </c>
    </row>
    <row r="16" spans="1:105" x14ac:dyDescent="0.25">
      <c r="A16" s="256" t="s">
        <v>168</v>
      </c>
      <c r="B16" s="257">
        <v>1166.932684564568</v>
      </c>
      <c r="C16" s="257">
        <v>1210.1669505445991</v>
      </c>
      <c r="D16" s="257">
        <v>1257.672524396165</v>
      </c>
      <c r="E16" s="257">
        <v>1242.6784843536759</v>
      </c>
      <c r="F16" s="257">
        <v>1305.6939765218419</v>
      </c>
      <c r="G16" s="257">
        <v>1276.3192445690211</v>
      </c>
      <c r="H16" s="257">
        <v>1240.1685113745809</v>
      </c>
      <c r="I16" s="257">
        <v>1209.233278135428</v>
      </c>
      <c r="J16" s="257">
        <v>1231.0770481225561</v>
      </c>
      <c r="K16" s="257">
        <v>1231.0415183439161</v>
      </c>
      <c r="L16" s="257">
        <v>1196.907454138799</v>
      </c>
      <c r="M16" s="257">
        <v>1214.0963575444091</v>
      </c>
      <c r="N16" s="257">
        <v>1164.5958901228551</v>
      </c>
      <c r="O16" s="257">
        <v>1216.2802749453499</v>
      </c>
      <c r="P16" s="257">
        <v>1202.633690379306</v>
      </c>
      <c r="Q16" s="257">
        <v>1200.8390202740211</v>
      </c>
      <c r="R16" s="257">
        <v>1137.269487576591</v>
      </c>
      <c r="S16" s="257">
        <v>1133.175494321476</v>
      </c>
      <c r="T16" s="257">
        <v>1164.5093357835051</v>
      </c>
      <c r="U16" s="257">
        <v>1132.328853952328</v>
      </c>
      <c r="V16" s="257">
        <v>1223.2245066945659</v>
      </c>
      <c r="W16" s="257">
        <v>1221.618102732223</v>
      </c>
      <c r="X16" s="257">
        <v>1190.3764487539499</v>
      </c>
      <c r="Y16" s="257">
        <v>1201.7274699342311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1834.4168119336532</v>
      </c>
      <c r="C17" s="257">
        <f t="shared" ref="C17:W17" si="7">SUM(C18:C24)</f>
        <v>1892.5269676194839</v>
      </c>
      <c r="D17" s="257">
        <f t="shared" si="7"/>
        <v>1891.1521010822673</v>
      </c>
      <c r="E17" s="257">
        <f t="shared" si="7"/>
        <v>1837.0238475144768</v>
      </c>
      <c r="F17" s="257">
        <f t="shared" si="7"/>
        <v>1947.8140876087234</v>
      </c>
      <c r="G17" s="257">
        <f t="shared" si="7"/>
        <v>1927.4715979784389</v>
      </c>
      <c r="H17" s="257">
        <f t="shared" si="7"/>
        <v>1875.2829488709899</v>
      </c>
      <c r="I17" s="257">
        <f t="shared" si="7"/>
        <v>1821.3137288053997</v>
      </c>
      <c r="J17" s="257">
        <f t="shared" si="7"/>
        <v>1853.3414047382489</v>
      </c>
      <c r="K17" s="257">
        <f t="shared" si="7"/>
        <v>1845.0132487835892</v>
      </c>
      <c r="L17" s="257">
        <f t="shared" si="7"/>
        <v>1810.8216687606207</v>
      </c>
      <c r="M17" s="257">
        <f t="shared" si="7"/>
        <v>1838.0742850985878</v>
      </c>
      <c r="N17" s="257">
        <f t="shared" si="7"/>
        <v>1788.9848858949524</v>
      </c>
      <c r="O17" s="257">
        <f t="shared" si="7"/>
        <v>1867.5249515593086</v>
      </c>
      <c r="P17" s="257">
        <f t="shared" si="7"/>
        <v>1824.5868811484474</v>
      </c>
      <c r="Q17" s="257">
        <f t="shared" si="7"/>
        <v>1811.9276654724144</v>
      </c>
      <c r="R17" s="257">
        <f t="shared" si="7"/>
        <v>1721.1492622511221</v>
      </c>
      <c r="S17" s="257">
        <f t="shared" si="7"/>
        <v>1714.1172648621184</v>
      </c>
      <c r="T17" s="257">
        <f t="shared" si="7"/>
        <v>1766.2690308837036</v>
      </c>
      <c r="U17" s="257">
        <f t="shared" si="7"/>
        <v>1736.0171646952344</v>
      </c>
      <c r="V17" s="257">
        <f t="shared" si="7"/>
        <v>1850.9108455350674</v>
      </c>
      <c r="W17" s="257">
        <f t="shared" si="7"/>
        <v>1883.7626480003325</v>
      </c>
      <c r="X17" s="257">
        <f t="shared" ref="X17:Y17" si="8">SUM(X18:X24)</f>
        <v>1813.9456248032857</v>
      </c>
      <c r="Y17" s="257">
        <f t="shared" si="8"/>
        <v>1831.0471836781128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2.1572656921747582</v>
      </c>
      <c r="N18" s="55">
        <v>2.1572656921750721</v>
      </c>
      <c r="O18" s="55">
        <v>2.157265692175041</v>
      </c>
      <c r="P18" s="55">
        <v>2.1572656921747528</v>
      </c>
      <c r="Q18" s="55">
        <v>2.157265692175105</v>
      </c>
      <c r="R18" s="55">
        <v>2.0062768701629792</v>
      </c>
      <c r="S18" s="55">
        <v>2.060877042132041</v>
      </c>
      <c r="T18" s="55">
        <v>1.568529664660131</v>
      </c>
      <c r="U18" s="55">
        <v>1.4430782459155289</v>
      </c>
      <c r="V18" s="55">
        <v>1.325451418744386</v>
      </c>
      <c r="W18" s="55">
        <v>1.419002579535505</v>
      </c>
      <c r="X18" s="55">
        <v>1.656147893378896</v>
      </c>
      <c r="Y18" s="55">
        <v>1.1952708512465551</v>
      </c>
      <c r="DA18" s="101" t="s">
        <v>1005</v>
      </c>
    </row>
    <row r="19" spans="1:105" x14ac:dyDescent="0.25">
      <c r="A19" s="61" t="s">
        <v>27</v>
      </c>
      <c r="B19" s="55">
        <v>467.71281169383627</v>
      </c>
      <c r="C19" s="55">
        <v>462.06414445394131</v>
      </c>
      <c r="D19" s="55">
        <v>328.7546861564511</v>
      </c>
      <c r="E19" s="55">
        <v>272.47540842643201</v>
      </c>
      <c r="F19" s="55">
        <v>325.40705073081318</v>
      </c>
      <c r="G19" s="55">
        <v>352.23490971617753</v>
      </c>
      <c r="H19" s="55">
        <v>339.44505588989261</v>
      </c>
      <c r="I19" s="55">
        <v>322.54058469468708</v>
      </c>
      <c r="J19" s="55">
        <v>326.251934651716</v>
      </c>
      <c r="K19" s="55">
        <v>315.29690455713899</v>
      </c>
      <c r="L19" s="55">
        <v>335.16345657774701</v>
      </c>
      <c r="M19" s="55">
        <v>323.26457437651482</v>
      </c>
      <c r="N19" s="55">
        <v>340.10309544276708</v>
      </c>
      <c r="O19" s="55">
        <v>376.66208082538742</v>
      </c>
      <c r="P19" s="55">
        <v>306.76663800506577</v>
      </c>
      <c r="Q19" s="55">
        <v>312.12493551156388</v>
      </c>
      <c r="R19" s="55">
        <v>289.50404127251448</v>
      </c>
      <c r="S19" s="55">
        <v>271.08555460012269</v>
      </c>
      <c r="T19" s="55">
        <v>283.76448839204772</v>
      </c>
      <c r="U19" s="55">
        <v>310.8680997420019</v>
      </c>
      <c r="V19" s="55">
        <v>317.42287188300372</v>
      </c>
      <c r="W19" s="55">
        <v>379.05279449694308</v>
      </c>
      <c r="X19" s="55">
        <v>319.48073946683888</v>
      </c>
      <c r="Y19" s="55">
        <v>319.42141014611468</v>
      </c>
      <c r="DA19" s="101" t="s">
        <v>1006</v>
      </c>
    </row>
    <row r="20" spans="1:105" x14ac:dyDescent="0.25">
      <c r="A20" s="61" t="s">
        <v>166</v>
      </c>
      <c r="B20" s="55">
        <v>1019.57240306246</v>
      </c>
      <c r="C20" s="55">
        <v>1062.5947089400811</v>
      </c>
      <c r="D20" s="55">
        <v>1212.3350507606251</v>
      </c>
      <c r="E20" s="55">
        <v>1248.1848072357609</v>
      </c>
      <c r="F20" s="55">
        <v>1279.351929069659</v>
      </c>
      <c r="G20" s="55">
        <v>1220.300900016771</v>
      </c>
      <c r="H20" s="55">
        <v>1185.358530477318</v>
      </c>
      <c r="I20" s="55">
        <v>1169.754650123185</v>
      </c>
      <c r="J20" s="55">
        <v>1195.943364037834</v>
      </c>
      <c r="K20" s="55">
        <v>1212.427895023545</v>
      </c>
      <c r="L20" s="55">
        <v>1151.1547145342661</v>
      </c>
      <c r="M20" s="55">
        <v>1173.4881020237999</v>
      </c>
      <c r="N20" s="55">
        <v>1078.211879957641</v>
      </c>
      <c r="O20" s="55">
        <v>1134.1309991998901</v>
      </c>
      <c r="P20" s="55">
        <v>1149.1291993983789</v>
      </c>
      <c r="Q20" s="55">
        <v>1163.0787021242661</v>
      </c>
      <c r="R20" s="55">
        <v>1089.5016406029449</v>
      </c>
      <c r="S20" s="55">
        <v>1085.3745251948719</v>
      </c>
      <c r="T20" s="55">
        <v>1103.430809359279</v>
      </c>
      <c r="U20" s="55">
        <v>1043.381113914362</v>
      </c>
      <c r="V20" s="55">
        <v>1167.902324051297</v>
      </c>
      <c r="W20" s="55">
        <v>1113.2745401087659</v>
      </c>
      <c r="X20" s="55">
        <v>1118.248681514722</v>
      </c>
      <c r="Y20" s="55">
        <v>1128.89709541512</v>
      </c>
      <c r="DA20" s="101" t="s">
        <v>1007</v>
      </c>
    </row>
    <row r="21" spans="1:105" x14ac:dyDescent="0.25">
      <c r="A21" s="61" t="s">
        <v>129</v>
      </c>
      <c r="B21" s="55">
        <v>133.6199484092696</v>
      </c>
      <c r="C21" s="55">
        <v>124.469733447964</v>
      </c>
      <c r="D21" s="55">
        <v>112.7974204643025</v>
      </c>
      <c r="E21" s="55">
        <v>88.565004299209434</v>
      </c>
      <c r="F21" s="55">
        <v>94.870851246759457</v>
      </c>
      <c r="G21" s="55">
        <v>79.488822012021203</v>
      </c>
      <c r="H21" s="55">
        <v>86.081255374020671</v>
      </c>
      <c r="I21" s="55">
        <v>72.80103181425811</v>
      </c>
      <c r="J21" s="55">
        <v>76.718142734296819</v>
      </c>
      <c r="K21" s="55">
        <v>71.654600171959814</v>
      </c>
      <c r="L21" s="55">
        <v>68.692863284594623</v>
      </c>
      <c r="M21" s="55">
        <v>100.3803095442518</v>
      </c>
      <c r="N21" s="55">
        <v>100.60524505587421</v>
      </c>
      <c r="O21" s="55">
        <v>102.238005159054</v>
      </c>
      <c r="P21" s="55">
        <v>100.2707652622223</v>
      </c>
      <c r="Q21" s="55">
        <v>71.969389509878084</v>
      </c>
      <c r="R21" s="55">
        <v>70.235511607896882</v>
      </c>
      <c r="S21" s="55">
        <v>69.845485812541042</v>
      </c>
      <c r="T21" s="55">
        <v>71.226741186575978</v>
      </c>
      <c r="U21" s="55">
        <v>64.798022355966665</v>
      </c>
      <c r="V21" s="55">
        <v>51.647291487522921</v>
      </c>
      <c r="W21" s="55">
        <v>58.328546861557612</v>
      </c>
      <c r="X21" s="55">
        <v>59.688134135844876</v>
      </c>
      <c r="Y21" s="55">
        <v>60.069303525354357</v>
      </c>
      <c r="DA21" s="101" t="s">
        <v>1008</v>
      </c>
    </row>
    <row r="22" spans="1:105" x14ac:dyDescent="0.25">
      <c r="A22" s="61" t="s">
        <v>169</v>
      </c>
      <c r="B22" s="55">
        <v>170.62257788870809</v>
      </c>
      <c r="C22" s="55">
        <v>198.20734859174581</v>
      </c>
      <c r="D22" s="55">
        <v>191.91289486271981</v>
      </c>
      <c r="E22" s="55">
        <v>182.31951286400141</v>
      </c>
      <c r="F22" s="55">
        <v>202.55823638373391</v>
      </c>
      <c r="G22" s="55">
        <v>180.77627203355021</v>
      </c>
      <c r="H22" s="55">
        <v>163.94115245748151</v>
      </c>
      <c r="I22" s="55">
        <v>149.60281335848009</v>
      </c>
      <c r="J22" s="55">
        <v>141.210986166347</v>
      </c>
      <c r="K22" s="55">
        <v>125.3607052920695</v>
      </c>
      <c r="L22" s="55">
        <v>128.06339492243339</v>
      </c>
      <c r="M22" s="55">
        <v>97.888733011623387</v>
      </c>
      <c r="N22" s="55">
        <v>121.21876541724311</v>
      </c>
      <c r="O22" s="55">
        <v>103.9821065181506</v>
      </c>
      <c r="P22" s="55">
        <v>115.81717208586259</v>
      </c>
      <c r="Q22" s="55">
        <v>109.69906901527889</v>
      </c>
      <c r="R22" s="55">
        <v>115.79890802084211</v>
      </c>
      <c r="S22" s="55">
        <v>120.28324039656751</v>
      </c>
      <c r="T22" s="55">
        <v>143.01194842497199</v>
      </c>
      <c r="U22" s="55">
        <v>148.7853763531682</v>
      </c>
      <c r="V22" s="55">
        <v>145.9679170399601</v>
      </c>
      <c r="W22" s="55">
        <v>158.0063068512265</v>
      </c>
      <c r="X22" s="55">
        <v>140.81150195838569</v>
      </c>
      <c r="Y22" s="55">
        <v>145.93300323386251</v>
      </c>
      <c r="DA22" s="101" t="s">
        <v>1009</v>
      </c>
    </row>
    <row r="23" spans="1:105" x14ac:dyDescent="0.25">
      <c r="A23" s="61" t="s">
        <v>164</v>
      </c>
      <c r="B23" s="55">
        <v>39.982803095437802</v>
      </c>
      <c r="C23" s="55">
        <v>39.982803095437887</v>
      </c>
      <c r="D23" s="55">
        <v>39.982803095437873</v>
      </c>
      <c r="E23" s="55">
        <v>39.982803095435287</v>
      </c>
      <c r="F23" s="55">
        <v>39.98280309543604</v>
      </c>
      <c r="G23" s="55">
        <v>89.901633705914122</v>
      </c>
      <c r="H23" s="55">
        <v>95.681685296633262</v>
      </c>
      <c r="I23" s="55">
        <v>101.82003439378769</v>
      </c>
      <c r="J23" s="55">
        <v>108.3883061048856</v>
      </c>
      <c r="K23" s="55">
        <v>115.33869303523871</v>
      </c>
      <c r="L23" s="55">
        <v>122.7668099741793</v>
      </c>
      <c r="M23" s="55">
        <v>130.64866723985739</v>
      </c>
      <c r="N23" s="55">
        <v>131.57171109198291</v>
      </c>
      <c r="O23" s="55">
        <v>133.0502149612843</v>
      </c>
      <c r="P23" s="55">
        <v>134.920894238996</v>
      </c>
      <c r="Q23" s="55">
        <v>137.1895098882008</v>
      </c>
      <c r="R23" s="55">
        <v>138.2906276869893</v>
      </c>
      <c r="S23" s="55">
        <v>149.60653482370461</v>
      </c>
      <c r="T23" s="55">
        <v>147.47136715389061</v>
      </c>
      <c r="U23" s="55">
        <v>151.0058469475278</v>
      </c>
      <c r="V23" s="55">
        <v>150.9920034393536</v>
      </c>
      <c r="W23" s="55">
        <v>158.27884780737489</v>
      </c>
      <c r="X23" s="55">
        <v>158.4832330180285</v>
      </c>
      <c r="Y23" s="55">
        <v>160.0819432501853</v>
      </c>
      <c r="DA23" s="101" t="s">
        <v>1010</v>
      </c>
    </row>
    <row r="24" spans="1:105" x14ac:dyDescent="0.25">
      <c r="A24" s="61" t="s">
        <v>152</v>
      </c>
      <c r="B24" s="55">
        <v>2.9062677839416069</v>
      </c>
      <c r="C24" s="55">
        <v>5.2082290903137736</v>
      </c>
      <c r="D24" s="55">
        <v>5.3692457427307749</v>
      </c>
      <c r="E24" s="55">
        <v>5.4963115936377926</v>
      </c>
      <c r="F24" s="55">
        <v>5.6432170823218568</v>
      </c>
      <c r="G24" s="55">
        <v>4.7690604940047763</v>
      </c>
      <c r="H24" s="55">
        <v>4.7752693756435098</v>
      </c>
      <c r="I24" s="55">
        <v>4.7946144210018158</v>
      </c>
      <c r="J24" s="55">
        <v>4.8286710431693276</v>
      </c>
      <c r="K24" s="55">
        <v>4.9344507036372018</v>
      </c>
      <c r="L24" s="55">
        <v>4.9804294674004268</v>
      </c>
      <c r="M24" s="55">
        <v>10.24663321036584</v>
      </c>
      <c r="N24" s="55">
        <v>15.11692323726891</v>
      </c>
      <c r="O24" s="55">
        <v>15.304279203367001</v>
      </c>
      <c r="P24" s="55">
        <v>15.524946465746909</v>
      </c>
      <c r="Q24" s="55">
        <v>15.70879373105196</v>
      </c>
      <c r="R24" s="55">
        <v>15.81225618977156</v>
      </c>
      <c r="S24" s="55">
        <v>15.861046992178659</v>
      </c>
      <c r="T24" s="55">
        <v>15.795146702278229</v>
      </c>
      <c r="U24" s="55">
        <v>15.73562713629236</v>
      </c>
      <c r="V24" s="55">
        <v>15.652986215185919</v>
      </c>
      <c r="W24" s="55">
        <v>15.402609294928959</v>
      </c>
      <c r="X24" s="55">
        <v>15.57718681608686</v>
      </c>
      <c r="Y24" s="55">
        <v>15.449157256229309</v>
      </c>
      <c r="DA24" s="101" t="s">
        <v>1011</v>
      </c>
    </row>
    <row r="25" spans="1:105" x14ac:dyDescent="0.25">
      <c r="A25" s="256" t="s">
        <v>167</v>
      </c>
      <c r="B25" s="257">
        <v>224.2358402354115</v>
      </c>
      <c r="C25" s="257">
        <v>232.54366474596651</v>
      </c>
      <c r="D25" s="257">
        <v>241.67225665994329</v>
      </c>
      <c r="E25" s="257">
        <v>238.79102690956941</v>
      </c>
      <c r="F25" s="257">
        <v>250.89997888347821</v>
      </c>
      <c r="G25" s="257">
        <v>245.2553793377995</v>
      </c>
      <c r="H25" s="257">
        <v>238.3087146842114</v>
      </c>
      <c r="I25" s="257">
        <v>232.3642518115752</v>
      </c>
      <c r="J25" s="257">
        <v>236.56171425457831</v>
      </c>
      <c r="K25" s="257">
        <v>236.55488691151709</v>
      </c>
      <c r="L25" s="257">
        <v>229.99574201059261</v>
      </c>
      <c r="M25" s="257">
        <v>233.2987330475782</v>
      </c>
      <c r="N25" s="257">
        <v>223.78680570923339</v>
      </c>
      <c r="O25" s="257">
        <v>233.71839097633639</v>
      </c>
      <c r="P25" s="257">
        <v>231.0960860250853</v>
      </c>
      <c r="Q25" s="257">
        <v>230.75122520806741</v>
      </c>
      <c r="R25" s="257">
        <v>218.53580972923891</v>
      </c>
      <c r="S25" s="257">
        <v>217.74911480705379</v>
      </c>
      <c r="T25" s="257">
        <v>223.7701735716073</v>
      </c>
      <c r="U25" s="257">
        <v>217.586425804454</v>
      </c>
      <c r="V25" s="257">
        <v>235.05278297826749</v>
      </c>
      <c r="W25" s="257">
        <v>234.74409906957419</v>
      </c>
      <c r="X25" s="257">
        <v>228.74075489828971</v>
      </c>
      <c r="Y25" s="257">
        <v>230.92194821437201</v>
      </c>
      <c r="DA25" s="272" t="s">
        <v>1012</v>
      </c>
    </row>
    <row r="26" spans="1:105" x14ac:dyDescent="0.25">
      <c r="A26" s="256" t="s">
        <v>170</v>
      </c>
      <c r="B26" s="257">
        <v>45.542368486981452</v>
      </c>
      <c r="C26" s="257">
        <v>48.06673932638946</v>
      </c>
      <c r="D26" s="257">
        <v>50.13441502456606</v>
      </c>
      <c r="E26" s="257">
        <v>56.130280586445089</v>
      </c>
      <c r="F26" s="257">
        <v>106.69130348727489</v>
      </c>
      <c r="G26" s="257">
        <v>111.215966756128</v>
      </c>
      <c r="H26" s="257">
        <v>112.33514719794439</v>
      </c>
      <c r="I26" s="257">
        <v>105.0331911109436</v>
      </c>
      <c r="J26" s="257">
        <v>101.81481340291541</v>
      </c>
      <c r="K26" s="257">
        <v>111.8092341593221</v>
      </c>
      <c r="L26" s="257">
        <v>112.8245439635934</v>
      </c>
      <c r="M26" s="257">
        <v>119.0892791695108</v>
      </c>
      <c r="N26" s="257">
        <v>121.07322484497899</v>
      </c>
      <c r="O26" s="257">
        <v>125.35907126710249</v>
      </c>
      <c r="P26" s="257">
        <v>118.5206161240168</v>
      </c>
      <c r="Q26" s="257">
        <v>125.3761705395308</v>
      </c>
      <c r="R26" s="257">
        <v>123.6835529464559</v>
      </c>
      <c r="S26" s="257">
        <v>123.72154910230149</v>
      </c>
      <c r="T26" s="257">
        <v>121.9268920530151</v>
      </c>
      <c r="U26" s="257">
        <v>119.380936413987</v>
      </c>
      <c r="V26" s="257">
        <v>117.4613728182235</v>
      </c>
      <c r="W26" s="257">
        <v>112.5914858774558</v>
      </c>
      <c r="X26" s="257">
        <v>114.5721693347997</v>
      </c>
      <c r="Y26" s="257">
        <v>106.4536117070591</v>
      </c>
      <c r="DA26" s="272" t="s">
        <v>1013</v>
      </c>
    </row>
    <row r="27" spans="1:105" x14ac:dyDescent="0.25">
      <c r="A27" s="128" t="s">
        <v>33</v>
      </c>
      <c r="B27" s="258">
        <v>66.036434306123084</v>
      </c>
      <c r="C27" s="258">
        <v>69.6967720232647</v>
      </c>
      <c r="D27" s="258">
        <v>72.694901785620786</v>
      </c>
      <c r="E27" s="258">
        <v>81.388906850345364</v>
      </c>
      <c r="F27" s="258">
        <v>154.7023900565485</v>
      </c>
      <c r="G27" s="258">
        <v>161.26315179638561</v>
      </c>
      <c r="H27" s="258">
        <v>162.88596343701931</v>
      </c>
      <c r="I27" s="258">
        <v>152.29812711086831</v>
      </c>
      <c r="J27" s="258">
        <v>147.6314794342272</v>
      </c>
      <c r="K27" s="258">
        <v>162.1233895310171</v>
      </c>
      <c r="L27" s="258">
        <v>163.59558874721029</v>
      </c>
      <c r="M27" s="258">
        <v>172.67945479579069</v>
      </c>
      <c r="N27" s="258">
        <v>175.5561760252196</v>
      </c>
      <c r="O27" s="258">
        <v>181.7706533372988</v>
      </c>
      <c r="P27" s="258">
        <v>171.8548933798244</v>
      </c>
      <c r="Q27" s="258">
        <v>181.79544728231971</v>
      </c>
      <c r="R27" s="258">
        <v>179.3411517723612</v>
      </c>
      <c r="S27" s="258">
        <v>179.39624619833711</v>
      </c>
      <c r="T27" s="258">
        <v>176.7939934768718</v>
      </c>
      <c r="U27" s="258">
        <v>173.1023578002812</v>
      </c>
      <c r="V27" s="258">
        <v>170.31899058642409</v>
      </c>
      <c r="W27" s="258">
        <v>163.2576545223109</v>
      </c>
      <c r="X27" s="258">
        <v>166.12964553545959</v>
      </c>
      <c r="Y27" s="258">
        <v>154.35773697523581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0.99999999999999989</v>
      </c>
      <c r="D31" s="235">
        <f t="shared" si="9"/>
        <v>1.0000000000000002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1</v>
      </c>
      <c r="K31" s="235">
        <f t="shared" si="9"/>
        <v>1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1.0000000000000002</v>
      </c>
      <c r="Q31" s="235">
        <f t="shared" si="9"/>
        <v>0.99999999999999989</v>
      </c>
      <c r="R31" s="235">
        <f t="shared" ref="R31:W31" si="10">SUM(R32:R40)</f>
        <v>0.99999999999999967</v>
      </c>
      <c r="S31" s="235">
        <f t="shared" si="10"/>
        <v>0.99999999999999978</v>
      </c>
      <c r="T31" s="235">
        <f t="shared" si="10"/>
        <v>1</v>
      </c>
      <c r="U31" s="235">
        <f t="shared" si="10"/>
        <v>0.99999999999999989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0.99999999999999989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1.0503833461465623E-2</v>
      </c>
      <c r="C32" s="244">
        <f t="shared" si="12"/>
        <v>1.0695822693531427E-2</v>
      </c>
      <c r="D32" s="244">
        <f t="shared" si="12"/>
        <v>1.092141384892044E-2</v>
      </c>
      <c r="E32" s="244">
        <f t="shared" si="12"/>
        <v>1.2383634155377563E-2</v>
      </c>
      <c r="F32" s="244">
        <f t="shared" si="12"/>
        <v>2.126234370948699E-2</v>
      </c>
      <c r="G32" s="244">
        <f t="shared" si="12"/>
        <v>2.2405777999083509E-2</v>
      </c>
      <c r="H32" s="244">
        <f t="shared" si="12"/>
        <v>2.3174527642749965E-2</v>
      </c>
      <c r="I32" s="244">
        <f t="shared" si="12"/>
        <v>2.2381037120430446E-2</v>
      </c>
      <c r="J32" s="244">
        <f t="shared" si="12"/>
        <v>2.1445060131439656E-2</v>
      </c>
      <c r="K32" s="244">
        <f t="shared" si="12"/>
        <v>2.3335966732813029E-2</v>
      </c>
      <c r="L32" s="244">
        <f t="shared" si="12"/>
        <v>2.4006926202781855E-2</v>
      </c>
      <c r="M32" s="244">
        <f t="shared" si="12"/>
        <v>2.4855733375520425E-2</v>
      </c>
      <c r="N32" s="244">
        <f t="shared" si="12"/>
        <v>2.5942230681216497E-2</v>
      </c>
      <c r="O32" s="244">
        <f t="shared" si="12"/>
        <v>2.5775350107509754E-2</v>
      </c>
      <c r="P32" s="244">
        <f t="shared" si="12"/>
        <v>2.4895654509176003E-2</v>
      </c>
      <c r="Q32" s="244">
        <f t="shared" si="12"/>
        <v>2.6215509593591806E-2</v>
      </c>
      <c r="R32" s="244">
        <f t="shared" si="12"/>
        <v>2.7077484377035096E-2</v>
      </c>
      <c r="S32" s="244">
        <f t="shared" si="12"/>
        <v>2.7172116208023466E-2</v>
      </c>
      <c r="T32" s="244">
        <f t="shared" si="12"/>
        <v>2.6179407511587736E-2</v>
      </c>
      <c r="U32" s="244">
        <f t="shared" si="12"/>
        <v>2.6196739519738794E-2</v>
      </c>
      <c r="V32" s="244">
        <f t="shared" si="12"/>
        <v>2.4341263510138749E-2</v>
      </c>
      <c r="W32" s="244">
        <f t="shared" si="12"/>
        <v>2.3294828583786165E-2</v>
      </c>
      <c r="X32" s="244">
        <f t="shared" si="12"/>
        <v>2.4314177437788135E-2</v>
      </c>
      <c r="Y32" s="244">
        <f t="shared" si="12"/>
        <v>2.2619418904552248E-2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6.8274917499526501E-3</v>
      </c>
      <c r="C33" s="245">
        <f t="shared" si="13"/>
        <v>6.9522847507954245E-3</v>
      </c>
      <c r="D33" s="245">
        <f t="shared" si="13"/>
        <v>7.0989190017982868E-3</v>
      </c>
      <c r="E33" s="245">
        <f t="shared" si="13"/>
        <v>8.0493622009954087E-3</v>
      </c>
      <c r="F33" s="245">
        <f t="shared" si="13"/>
        <v>1.3820523411166533E-2</v>
      </c>
      <c r="G33" s="245">
        <f t="shared" si="13"/>
        <v>1.4563755699404277E-2</v>
      </c>
      <c r="H33" s="245">
        <f t="shared" si="13"/>
        <v>1.5063442967787475E-2</v>
      </c>
      <c r="I33" s="245">
        <f t="shared" si="13"/>
        <v>1.4547674128279797E-2</v>
      </c>
      <c r="J33" s="245">
        <f t="shared" si="13"/>
        <v>1.3939289085435767E-2</v>
      </c>
      <c r="K33" s="245">
        <f t="shared" si="13"/>
        <v>1.5168378376328472E-2</v>
      </c>
      <c r="L33" s="245">
        <f t="shared" si="13"/>
        <v>1.5604502031808189E-2</v>
      </c>
      <c r="M33" s="245">
        <f t="shared" si="13"/>
        <v>1.6156226694088283E-2</v>
      </c>
      <c r="N33" s="245">
        <f t="shared" si="13"/>
        <v>1.6862449942790726E-2</v>
      </c>
      <c r="O33" s="245">
        <f t="shared" si="13"/>
        <v>1.6753977569881347E-2</v>
      </c>
      <c r="P33" s="245">
        <f t="shared" si="13"/>
        <v>1.6182175430964396E-2</v>
      </c>
      <c r="Q33" s="245">
        <f t="shared" si="13"/>
        <v>1.704008123583467E-2</v>
      </c>
      <c r="R33" s="245">
        <f t="shared" si="13"/>
        <v>1.7600364845072811E-2</v>
      </c>
      <c r="S33" s="245">
        <f t="shared" si="13"/>
        <v>1.7661875535215241E-2</v>
      </c>
      <c r="T33" s="245">
        <f t="shared" si="13"/>
        <v>1.7016614882532019E-2</v>
      </c>
      <c r="U33" s="245">
        <f t="shared" si="13"/>
        <v>1.7027880687830212E-2</v>
      </c>
      <c r="V33" s="245">
        <f t="shared" si="13"/>
        <v>1.5821821281590195E-2</v>
      </c>
      <c r="W33" s="245">
        <f t="shared" si="13"/>
        <v>1.5141638579461002E-2</v>
      </c>
      <c r="X33" s="245">
        <f t="shared" si="13"/>
        <v>1.5804215334562288E-2</v>
      </c>
      <c r="Y33" s="245">
        <f t="shared" si="13"/>
        <v>1.4702622287958966E-2</v>
      </c>
      <c r="DA33" s="276"/>
    </row>
    <row r="34" spans="1:105" x14ac:dyDescent="0.25">
      <c r="A34" s="240" t="s">
        <v>123</v>
      </c>
      <c r="B34" s="245">
        <f t="shared" ref="B34:Y34" si="14">IF(B$8=0,0,B$8/B$5)</f>
        <v>9.453450115319055E-3</v>
      </c>
      <c r="C34" s="245">
        <f t="shared" si="14"/>
        <v>9.6262404241782822E-3</v>
      </c>
      <c r="D34" s="245">
        <f t="shared" si="14"/>
        <v>9.8292724640283956E-3</v>
      </c>
      <c r="E34" s="245">
        <f t="shared" si="14"/>
        <v>1.1145270739839801E-2</v>
      </c>
      <c r="F34" s="245">
        <f t="shared" si="14"/>
        <v>1.9136109338538276E-2</v>
      </c>
      <c r="G34" s="245">
        <f t="shared" si="14"/>
        <v>2.0165200199175157E-2</v>
      </c>
      <c r="H34" s="245">
        <f t="shared" si="14"/>
        <v>2.0857074878474956E-2</v>
      </c>
      <c r="I34" s="245">
        <f t="shared" si="14"/>
        <v>2.0142933408387412E-2</v>
      </c>
      <c r="J34" s="245">
        <f t="shared" si="14"/>
        <v>1.930055411829568E-2</v>
      </c>
      <c r="K34" s="245">
        <f t="shared" si="14"/>
        <v>2.100237005953173E-2</v>
      </c>
      <c r="L34" s="245">
        <f t="shared" si="14"/>
        <v>2.1606233582503659E-2</v>
      </c>
      <c r="M34" s="245">
        <f t="shared" si="14"/>
        <v>2.2370160037968399E-2</v>
      </c>
      <c r="N34" s="245">
        <f t="shared" si="14"/>
        <v>2.334800761309487E-2</v>
      </c>
      <c r="O34" s="245">
        <f t="shared" si="14"/>
        <v>2.3197815096758789E-2</v>
      </c>
      <c r="P34" s="245">
        <f t="shared" si="14"/>
        <v>2.2406089058258399E-2</v>
      </c>
      <c r="Q34" s="245">
        <f t="shared" si="14"/>
        <v>2.3593958634232619E-2</v>
      </c>
      <c r="R34" s="245">
        <f t="shared" si="14"/>
        <v>2.4369735939331606E-2</v>
      </c>
      <c r="S34" s="245">
        <f t="shared" si="14"/>
        <v>2.4454904587221112E-2</v>
      </c>
      <c r="T34" s="245">
        <f t="shared" si="14"/>
        <v>2.3561466760428966E-2</v>
      </c>
      <c r="U34" s="245">
        <f t="shared" si="14"/>
        <v>2.3577065567764913E-2</v>
      </c>
      <c r="V34" s="245">
        <f t="shared" si="14"/>
        <v>2.1907137159124884E-2</v>
      </c>
      <c r="W34" s="245">
        <f t="shared" si="14"/>
        <v>2.0965345725407543E-2</v>
      </c>
      <c r="X34" s="245">
        <f t="shared" si="14"/>
        <v>2.1882759694009317E-2</v>
      </c>
      <c r="Y34" s="245">
        <f t="shared" si="14"/>
        <v>2.0357477014097035E-2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0.20353596732009768</v>
      </c>
      <c r="C35" s="246">
        <f t="shared" si="15"/>
        <v>0.20436299674132316</v>
      </c>
      <c r="D35" s="246">
        <f t="shared" si="15"/>
        <v>0.20679810352617303</v>
      </c>
      <c r="E35" s="246">
        <f t="shared" si="15"/>
        <v>0.20594567610226994</v>
      </c>
      <c r="F35" s="246">
        <f t="shared" si="15"/>
        <v>0.19530026037320575</v>
      </c>
      <c r="G35" s="246">
        <f t="shared" si="15"/>
        <v>0.19311976617196866</v>
      </c>
      <c r="H35" s="246">
        <f t="shared" si="15"/>
        <v>0.19225300349559379</v>
      </c>
      <c r="I35" s="246">
        <f t="shared" si="15"/>
        <v>0.19281613886307103</v>
      </c>
      <c r="J35" s="246">
        <f t="shared" si="15"/>
        <v>0.19328297511528778</v>
      </c>
      <c r="K35" s="246">
        <f t="shared" si="15"/>
        <v>0.19193765874002924</v>
      </c>
      <c r="L35" s="246">
        <f t="shared" si="15"/>
        <v>0.19103883610430947</v>
      </c>
      <c r="M35" s="246">
        <f t="shared" si="15"/>
        <v>0.18999419307174456</v>
      </c>
      <c r="N35" s="246">
        <f t="shared" si="15"/>
        <v>0.18947768566447223</v>
      </c>
      <c r="O35" s="246">
        <f t="shared" si="15"/>
        <v>0.18900003439564464</v>
      </c>
      <c r="P35" s="246">
        <f t="shared" si="15"/>
        <v>0.19110134186441827</v>
      </c>
      <c r="Q35" s="246">
        <f t="shared" si="15"/>
        <v>0.19071961216459815</v>
      </c>
      <c r="R35" s="246">
        <f t="shared" si="15"/>
        <v>0.19098874511158859</v>
      </c>
      <c r="S35" s="246">
        <f t="shared" si="15"/>
        <v>0.19098527090062048</v>
      </c>
      <c r="T35" s="246">
        <f t="shared" si="15"/>
        <v>0.19177730967230405</v>
      </c>
      <c r="U35" s="246">
        <f t="shared" si="15"/>
        <v>0.19184479704068397</v>
      </c>
      <c r="V35" s="246">
        <f t="shared" si="15"/>
        <v>0.19253785931266984</v>
      </c>
      <c r="W35" s="246">
        <f t="shared" si="15"/>
        <v>0.19246440409277918</v>
      </c>
      <c r="X35" s="246">
        <f t="shared" si="15"/>
        <v>0.19231778459770435</v>
      </c>
      <c r="Y35" s="246">
        <f t="shared" si="15"/>
        <v>0.19342788447720596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0.26913985782076816</v>
      </c>
      <c r="C36" s="259">
        <f t="shared" si="16"/>
        <v>0.26928664839743599</v>
      </c>
      <c r="D36" s="259">
        <f t="shared" si="16"/>
        <v>0.27397471614292357</v>
      </c>
      <c r="E36" s="259">
        <f t="shared" si="16"/>
        <v>0.27416352746170425</v>
      </c>
      <c r="F36" s="259">
        <f t="shared" si="16"/>
        <v>0.26020971907542056</v>
      </c>
      <c r="G36" s="259">
        <f t="shared" si="16"/>
        <v>0.25712967736438586</v>
      </c>
      <c r="H36" s="259">
        <f t="shared" si="16"/>
        <v>0.25584440992341723</v>
      </c>
      <c r="I36" s="259">
        <f t="shared" si="16"/>
        <v>0.25766992889535251</v>
      </c>
      <c r="J36" s="259">
        <f t="shared" si="16"/>
        <v>0.25929941273818102</v>
      </c>
      <c r="K36" s="259">
        <f t="shared" si="16"/>
        <v>0.25693355414500085</v>
      </c>
      <c r="L36" s="259">
        <f t="shared" si="16"/>
        <v>0.25467923834322487</v>
      </c>
      <c r="M36" s="259">
        <f t="shared" si="16"/>
        <v>0.2534002688215139</v>
      </c>
      <c r="N36" s="259">
        <f t="shared" si="16"/>
        <v>0.24953671854902024</v>
      </c>
      <c r="O36" s="259">
        <f t="shared" si="16"/>
        <v>0.25008202117880313</v>
      </c>
      <c r="P36" s="259">
        <f t="shared" si="16"/>
        <v>0.25261725627083953</v>
      </c>
      <c r="Q36" s="259">
        <f t="shared" si="16"/>
        <v>0.25108923586422049</v>
      </c>
      <c r="R36" s="259">
        <f t="shared" si="16"/>
        <v>0.24897729769830526</v>
      </c>
      <c r="S36" s="259">
        <f t="shared" si="16"/>
        <v>0.24887157038688262</v>
      </c>
      <c r="T36" s="259">
        <f t="shared" si="16"/>
        <v>0.25003642706868173</v>
      </c>
      <c r="U36" s="259">
        <f t="shared" si="16"/>
        <v>0.24847622182161111</v>
      </c>
      <c r="V36" s="259">
        <f t="shared" si="16"/>
        <v>0.25348614046585111</v>
      </c>
      <c r="W36" s="259">
        <f t="shared" si="16"/>
        <v>0.25274898964358755</v>
      </c>
      <c r="X36" s="259">
        <f t="shared" si="16"/>
        <v>0.2526182785995012</v>
      </c>
      <c r="Y36" s="259">
        <f t="shared" si="16"/>
        <v>0.25534480808740456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0.42308754093392803</v>
      </c>
      <c r="C37" s="259">
        <f t="shared" si="17"/>
        <v>0.42112556774308629</v>
      </c>
      <c r="D37" s="259">
        <f t="shared" si="17"/>
        <v>0.41197358614944035</v>
      </c>
      <c r="E37" s="259">
        <f t="shared" si="17"/>
        <v>0.40528981905387168</v>
      </c>
      <c r="F37" s="259">
        <f t="shared" si="17"/>
        <v>0.38817683596730146</v>
      </c>
      <c r="G37" s="259">
        <f t="shared" si="17"/>
        <v>0.38831205611458719</v>
      </c>
      <c r="H37" s="259">
        <f t="shared" si="17"/>
        <v>0.38686731286344611</v>
      </c>
      <c r="I37" s="259">
        <f t="shared" si="17"/>
        <v>0.38809532245180051</v>
      </c>
      <c r="J37" s="259">
        <f t="shared" si="17"/>
        <v>0.39036576840163922</v>
      </c>
      <c r="K37" s="259">
        <f t="shared" si="17"/>
        <v>0.38507702980830588</v>
      </c>
      <c r="L37" s="259">
        <f t="shared" si="17"/>
        <v>0.38530855646411732</v>
      </c>
      <c r="M37" s="259">
        <f t="shared" si="17"/>
        <v>0.38363389780687751</v>
      </c>
      <c r="N37" s="259">
        <f t="shared" si="17"/>
        <v>0.38332388234078907</v>
      </c>
      <c r="O37" s="259">
        <f t="shared" si="17"/>
        <v>0.3839858494036526</v>
      </c>
      <c r="P37" s="259">
        <f t="shared" si="17"/>
        <v>0.3832606182836239</v>
      </c>
      <c r="Q37" s="259">
        <f t="shared" si="17"/>
        <v>0.37886471482321799</v>
      </c>
      <c r="R37" s="259">
        <f t="shared" si="17"/>
        <v>0.37680347264381903</v>
      </c>
      <c r="S37" s="259">
        <f t="shared" si="17"/>
        <v>0.37645983139526012</v>
      </c>
      <c r="T37" s="259">
        <f t="shared" si="17"/>
        <v>0.37924264250495321</v>
      </c>
      <c r="U37" s="259">
        <f t="shared" si="17"/>
        <v>0.38094850678343489</v>
      </c>
      <c r="V37" s="259">
        <f t="shared" si="17"/>
        <v>0.38356020829643317</v>
      </c>
      <c r="W37" s="259">
        <f t="shared" si="17"/>
        <v>0.38974463864406061</v>
      </c>
      <c r="X37" s="259">
        <f t="shared" si="17"/>
        <v>0.38495034212964313</v>
      </c>
      <c r="Y37" s="259">
        <f t="shared" si="17"/>
        <v>0.38906358006516956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5.171746661787828E-2</v>
      </c>
      <c r="C38" s="259">
        <f t="shared" si="18"/>
        <v>5.1745673650497287E-2</v>
      </c>
      <c r="D38" s="259">
        <f t="shared" si="18"/>
        <v>5.2646524936861075E-2</v>
      </c>
      <c r="E38" s="259">
        <f t="shared" si="18"/>
        <v>5.2682806605266412E-2</v>
      </c>
      <c r="F38" s="259">
        <f t="shared" si="18"/>
        <v>5.0001466036637333E-2</v>
      </c>
      <c r="G38" s="259">
        <f t="shared" si="18"/>
        <v>4.9409610353640755E-2</v>
      </c>
      <c r="H38" s="259">
        <f t="shared" si="18"/>
        <v>4.9162635503792983E-2</v>
      </c>
      <c r="I38" s="259">
        <f t="shared" si="18"/>
        <v>4.951342418762384E-2</v>
      </c>
      <c r="J38" s="259">
        <f t="shared" si="18"/>
        <v>4.9826543087693888E-2</v>
      </c>
      <c r="K38" s="259">
        <f t="shared" si="18"/>
        <v>4.9371923642598896E-2</v>
      </c>
      <c r="L38" s="259">
        <f t="shared" si="18"/>
        <v>4.8938738074439235E-2</v>
      </c>
      <c r="M38" s="259">
        <f t="shared" si="18"/>
        <v>4.869297342226192E-2</v>
      </c>
      <c r="N38" s="259">
        <f t="shared" si="18"/>
        <v>4.7950560039635964E-2</v>
      </c>
      <c r="O38" s="259">
        <f t="shared" si="18"/>
        <v>4.8055344484351011E-2</v>
      </c>
      <c r="P38" s="259">
        <f t="shared" si="18"/>
        <v>4.8542511035238406E-2</v>
      </c>
      <c r="Q38" s="259">
        <f t="shared" si="18"/>
        <v>4.8248889180004396E-2</v>
      </c>
      <c r="R38" s="259">
        <f t="shared" si="18"/>
        <v>4.7843062661111414E-2</v>
      </c>
      <c r="S38" s="259">
        <f t="shared" si="18"/>
        <v>4.7822746277119195E-2</v>
      </c>
      <c r="T38" s="259">
        <f t="shared" si="18"/>
        <v>4.8046583196122428E-2</v>
      </c>
      <c r="U38" s="259">
        <f t="shared" si="18"/>
        <v>4.7746776755576009E-2</v>
      </c>
      <c r="V38" s="259">
        <f t="shared" si="18"/>
        <v>4.870947437435201E-2</v>
      </c>
      <c r="W38" s="259">
        <f t="shared" si="18"/>
        <v>4.8567824700641693E-2</v>
      </c>
      <c r="X38" s="259">
        <f t="shared" si="18"/>
        <v>4.8542707484210565E-2</v>
      </c>
      <c r="Y38" s="259">
        <f t="shared" si="18"/>
        <v>4.9066632847458713E-2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1.0503833461465623E-2</v>
      </c>
      <c r="C39" s="259">
        <f t="shared" si="19"/>
        <v>1.0695822693531427E-2</v>
      </c>
      <c r="D39" s="259">
        <f t="shared" si="19"/>
        <v>1.092141384892044E-2</v>
      </c>
      <c r="E39" s="259">
        <f t="shared" si="19"/>
        <v>1.2383634155377563E-2</v>
      </c>
      <c r="F39" s="259">
        <f t="shared" si="19"/>
        <v>2.126234370948699E-2</v>
      </c>
      <c r="G39" s="259">
        <f t="shared" si="19"/>
        <v>2.2405777999083509E-2</v>
      </c>
      <c r="H39" s="259">
        <f t="shared" si="19"/>
        <v>2.3174527642749965E-2</v>
      </c>
      <c r="I39" s="259">
        <f t="shared" si="19"/>
        <v>2.2381037120430446E-2</v>
      </c>
      <c r="J39" s="259">
        <f t="shared" si="19"/>
        <v>2.1445060131439656E-2</v>
      </c>
      <c r="K39" s="259">
        <f t="shared" si="19"/>
        <v>2.3335966732813029E-2</v>
      </c>
      <c r="L39" s="259">
        <f t="shared" si="19"/>
        <v>2.4006926202781855E-2</v>
      </c>
      <c r="M39" s="259">
        <f t="shared" si="19"/>
        <v>2.4855733375520425E-2</v>
      </c>
      <c r="N39" s="259">
        <f t="shared" si="19"/>
        <v>2.5942230681216497E-2</v>
      </c>
      <c r="O39" s="259">
        <f t="shared" si="19"/>
        <v>2.5775350107509754E-2</v>
      </c>
      <c r="P39" s="259">
        <f t="shared" si="19"/>
        <v>2.4895654509176003E-2</v>
      </c>
      <c r="Q39" s="259">
        <f t="shared" si="19"/>
        <v>2.6215509593591806E-2</v>
      </c>
      <c r="R39" s="259">
        <f t="shared" si="19"/>
        <v>2.7077484377035096E-2</v>
      </c>
      <c r="S39" s="259">
        <f t="shared" si="19"/>
        <v>2.7172116208023466E-2</v>
      </c>
      <c r="T39" s="259">
        <f t="shared" si="19"/>
        <v>2.6179407511587736E-2</v>
      </c>
      <c r="U39" s="259">
        <f t="shared" si="19"/>
        <v>2.6196739519738794E-2</v>
      </c>
      <c r="V39" s="259">
        <f t="shared" si="19"/>
        <v>2.4341263510138749E-2</v>
      </c>
      <c r="W39" s="259">
        <f t="shared" si="19"/>
        <v>2.3294828583786165E-2</v>
      </c>
      <c r="X39" s="259">
        <f t="shared" si="19"/>
        <v>2.4314177437788135E-2</v>
      </c>
      <c r="Y39" s="259">
        <f t="shared" si="19"/>
        <v>2.2619418904552248E-2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1.5230558519125149E-2</v>
      </c>
      <c r="C40" s="261">
        <f t="shared" si="20"/>
        <v>1.5508942905620568E-2</v>
      </c>
      <c r="D40" s="261">
        <f t="shared" si="20"/>
        <v>1.5836050080934638E-2</v>
      </c>
      <c r="E40" s="261">
        <f t="shared" si="20"/>
        <v>1.7956269525297462E-2</v>
      </c>
      <c r="F40" s="261">
        <f t="shared" si="20"/>
        <v>3.0830398378756115E-2</v>
      </c>
      <c r="G40" s="261">
        <f t="shared" si="20"/>
        <v>3.248837809867109E-2</v>
      </c>
      <c r="H40" s="261">
        <f t="shared" si="20"/>
        <v>3.3603065081987439E-2</v>
      </c>
      <c r="I40" s="261">
        <f t="shared" si="20"/>
        <v>3.2452503824624168E-2</v>
      </c>
      <c r="J40" s="261">
        <f t="shared" si="20"/>
        <v>3.1095337190587474E-2</v>
      </c>
      <c r="K40" s="261">
        <f t="shared" si="20"/>
        <v>3.3837151762578899E-2</v>
      </c>
      <c r="L40" s="261">
        <f t="shared" si="20"/>
        <v>3.481004299403366E-2</v>
      </c>
      <c r="M40" s="261">
        <f t="shared" si="20"/>
        <v>3.6040813394504621E-2</v>
      </c>
      <c r="N40" s="261">
        <f t="shared" si="20"/>
        <v>3.7616234487763932E-2</v>
      </c>
      <c r="O40" s="261">
        <f t="shared" si="20"/>
        <v>3.7374257655889184E-2</v>
      </c>
      <c r="P40" s="261">
        <f t="shared" si="20"/>
        <v>3.6098699038305211E-2</v>
      </c>
      <c r="Q40" s="261">
        <f t="shared" si="20"/>
        <v>3.8012488910708124E-2</v>
      </c>
      <c r="R40" s="261">
        <f t="shared" si="20"/>
        <v>3.9262352346700918E-2</v>
      </c>
      <c r="S40" s="261">
        <f t="shared" si="20"/>
        <v>3.9399568501634015E-2</v>
      </c>
      <c r="T40" s="261">
        <f t="shared" si="20"/>
        <v>3.7960140891802205E-2</v>
      </c>
      <c r="U40" s="261">
        <f t="shared" si="20"/>
        <v>3.7985272303621261E-2</v>
      </c>
      <c r="V40" s="261">
        <f t="shared" si="20"/>
        <v>3.5294832089701189E-2</v>
      </c>
      <c r="W40" s="261">
        <f t="shared" si="20"/>
        <v>3.3777501446489937E-2</v>
      </c>
      <c r="X40" s="261">
        <f t="shared" si="20"/>
        <v>3.52555572847928E-2</v>
      </c>
      <c r="Y40" s="261">
        <f t="shared" si="20"/>
        <v>3.2798157411600783E-2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112.47171201628665</v>
      </c>
      <c r="C44" s="236">
        <f t="shared" si="21"/>
        <v>109.8194243354616</v>
      </c>
      <c r="D44" s="236">
        <f t="shared" si="21"/>
        <v>113.80906613357635</v>
      </c>
      <c r="E44" s="236">
        <f t="shared" si="21"/>
        <v>119.53787119840254</v>
      </c>
      <c r="F44" s="236">
        <f t="shared" si="21"/>
        <v>117.30616060932353</v>
      </c>
      <c r="G44" s="236">
        <f t="shared" si="21"/>
        <v>134.29403412451356</v>
      </c>
      <c r="H44" s="236">
        <f t="shared" si="21"/>
        <v>130.05722800154629</v>
      </c>
      <c r="I44" s="236">
        <f t="shared" si="21"/>
        <v>117.81469406104152</v>
      </c>
      <c r="J44" s="236">
        <f t="shared" si="21"/>
        <v>123.49619118298851</v>
      </c>
      <c r="K44" s="236">
        <f t="shared" si="21"/>
        <v>137.83360398812147</v>
      </c>
      <c r="L44" s="236">
        <f t="shared" si="21"/>
        <v>128.4761723339353</v>
      </c>
      <c r="M44" s="236">
        <f t="shared" si="21"/>
        <v>116.02131221383358</v>
      </c>
      <c r="N44" s="236">
        <f t="shared" si="21"/>
        <v>118.31216844961244</v>
      </c>
      <c r="O44" s="236">
        <f t="shared" si="21"/>
        <v>117.89482713876836</v>
      </c>
      <c r="P44" s="236">
        <f t="shared" si="21"/>
        <v>114.21265320772919</v>
      </c>
      <c r="Q44" s="236">
        <f t="shared" si="21"/>
        <v>116.6772871901979</v>
      </c>
      <c r="R44" s="236">
        <f t="shared" si="21"/>
        <v>118.41249825520165</v>
      </c>
      <c r="S44" s="236">
        <f t="shared" si="21"/>
        <v>109.25986032686185</v>
      </c>
      <c r="T44" s="236">
        <f t="shared" si="21"/>
        <v>115.03952384499111</v>
      </c>
      <c r="U44" s="236">
        <f t="shared" si="21"/>
        <v>114.3105370701674</v>
      </c>
      <c r="V44" s="236">
        <f t="shared" si="21"/>
        <v>121.02278233994652</v>
      </c>
      <c r="W44" s="236">
        <f t="shared" si="21"/>
        <v>115.61293230102243</v>
      </c>
      <c r="X44" s="236">
        <f t="shared" si="21"/>
        <v>98.926512660278433</v>
      </c>
      <c r="Y44" s="236">
        <f t="shared" si="21"/>
        <v>101.37891512464498</v>
      </c>
      <c r="DA44" s="280"/>
    </row>
    <row r="45" spans="1:105" x14ac:dyDescent="0.25">
      <c r="A45" s="238" t="s">
        <v>125</v>
      </c>
      <c r="B45" s="247">
        <f>IF(B$6=0,0,B$6/AGR!B$5*1000)</f>
        <v>1.1813841321449967</v>
      </c>
      <c r="C45" s="247">
        <f>IF(C$6=0,0,C$6/AGR!C$5*1000)</f>
        <v>1.1746090909977878</v>
      </c>
      <c r="D45" s="247">
        <f>IF(D$6=0,0,D$6/AGR!D$5*1000)</f>
        <v>1.2429559110039428</v>
      </c>
      <c r="E45" s="247">
        <f>IF(E$6=0,0,E$6/AGR!E$5*1000)</f>
        <v>1.4803132646336614</v>
      </c>
      <c r="F45" s="247">
        <f>IF(F$6=0,0,F$6/AGR!F$5*1000)</f>
        <v>2.4942039061157204</v>
      </c>
      <c r="G45" s="247">
        <f>IF(G$6=0,0,G$6/AGR!G$5*1000)</f>
        <v>3.0089623151951956</v>
      </c>
      <c r="H45" s="247">
        <f>IF(H$6=0,0,H$6/AGR!H$5*1000)</f>
        <v>3.01401482546127</v>
      </c>
      <c r="I45" s="247">
        <f>IF(I$6=0,0,I$6/AGR!I$5*1000)</f>
        <v>2.6368150411123263</v>
      </c>
      <c r="J45" s="247">
        <f>IF(J$6=0,0,J$6/AGR!J$5*1000)</f>
        <v>2.6483832459229562</v>
      </c>
      <c r="K45" s="247">
        <f>IF(K$6=0,0,K$6/AGR!K$5*1000)</f>
        <v>3.2164803973305278</v>
      </c>
      <c r="L45" s="247">
        <f>IF(L$6=0,0,L$6/AGR!L$5*1000)</f>
        <v>3.084317988036668</v>
      </c>
      <c r="M45" s="247">
        <f>IF(M$6=0,0,M$6/AGR!M$5*1000)</f>
        <v>2.8837948022650588</v>
      </c>
      <c r="N45" s="247">
        <f>IF(N$6=0,0,N$6/AGR!N$5*1000)</f>
        <v>3.0692815663147903</v>
      </c>
      <c r="O45" s="247">
        <f>IF(O$6=0,0,O$6/AGR!O$5*1000)</f>
        <v>3.038780445366096</v>
      </c>
      <c r="P45" s="247">
        <f>IF(P$6=0,0,P$6/AGR!P$5*1000)</f>
        <v>2.8433987548359578</v>
      </c>
      <c r="Q45" s="247">
        <f>IF(Q$6=0,0,Q$6/AGR!Q$5*1000)</f>
        <v>3.0587545416888995</v>
      </c>
      <c r="R45" s="247">
        <f>IF(R$6=0,0,R$6/AGR!R$5*1000)</f>
        <v>3.2063125715509186</v>
      </c>
      <c r="S45" s="247">
        <f>IF(S$6=0,0,S$6/AGR!S$5*1000)</f>
        <v>2.9688216216739036</v>
      </c>
      <c r="T45" s="247">
        <f>IF(T$6=0,0,T$6/AGR!T$5*1000)</f>
        <v>3.011666574677037</v>
      </c>
      <c r="U45" s="247">
        <f>IF(U$6=0,0,U$6/AGR!U$5*1000)</f>
        <v>2.9945633639886209</v>
      </c>
      <c r="V45" s="247">
        <f>IF(V$6=0,0,V$6/AGR!V$5*1000)</f>
        <v>2.945847435666805</v>
      </c>
      <c r="W45" s="247">
        <f>IF(W$6=0,0,W$6/AGR!W$5*1000)</f>
        <v>2.6931834400211923</v>
      </c>
      <c r="X45" s="247">
        <f>IF(X$6=0,0,X$6/AGR!X$5*1000)</f>
        <v>2.4053167821236046</v>
      </c>
      <c r="Y45" s="247">
        <f>IF(Y$6=0,0,Y$6/AGR!Y$5*1000)</f>
        <v>2.2931321492933923</v>
      </c>
      <c r="DA45" s="281"/>
    </row>
    <row r="46" spans="1:105" x14ac:dyDescent="0.25">
      <c r="A46" s="240" t="s">
        <v>124</v>
      </c>
      <c r="B46" s="248">
        <f>IF(B$7=0,0,B$7/AGR!B$5*1000)</f>
        <v>0.76789968589424717</v>
      </c>
      <c r="C46" s="248">
        <f>IF(C$7=0,0,C$7/AGR!C$5*1000)</f>
        <v>0.76349590914856169</v>
      </c>
      <c r="D46" s="248">
        <f>IF(D$7=0,0,D$7/AGR!D$5*1000)</f>
        <v>0.80792134215256284</v>
      </c>
      <c r="E46" s="248">
        <f>IF(E$7=0,0,E$7/AGR!E$5*1000)</f>
        <v>0.96220362201187914</v>
      </c>
      <c r="F46" s="248">
        <f>IF(F$7=0,0,F$7/AGR!F$5*1000)</f>
        <v>1.6212325389752171</v>
      </c>
      <c r="G46" s="248">
        <f>IF(G$7=0,0,G$7/AGR!G$5*1000)</f>
        <v>1.9558255048768769</v>
      </c>
      <c r="H46" s="248">
        <f>IF(H$7=0,0,H$7/AGR!H$5*1000)</f>
        <v>1.9591096365498251</v>
      </c>
      <c r="I46" s="248">
        <f>IF(I$7=0,0,I$7/AGR!I$5*1000)</f>
        <v>1.7139297767230128</v>
      </c>
      <c r="J46" s="248">
        <f>IF(J$7=0,0,J$7/AGR!J$5*1000)</f>
        <v>1.7214491098499203</v>
      </c>
      <c r="K46" s="248">
        <f>IF(K$7=0,0,K$7/AGR!K$5*1000)</f>
        <v>2.0907122582648432</v>
      </c>
      <c r="L46" s="248">
        <f>IF(L$7=0,0,L$7/AGR!L$5*1000)</f>
        <v>2.0048066922238319</v>
      </c>
      <c r="M46" s="248">
        <f>IF(M$7=0,0,M$7/AGR!M$5*1000)</f>
        <v>1.8744666214722887</v>
      </c>
      <c r="N46" s="248">
        <f>IF(N$7=0,0,N$7/AGR!N$5*1000)</f>
        <v>1.9950330181046139</v>
      </c>
      <c r="O46" s="248">
        <f>IF(O$7=0,0,O$7/AGR!O$5*1000)</f>
        <v>1.9752072894879633</v>
      </c>
      <c r="P46" s="248">
        <f>IF(P$7=0,0,P$7/AGR!P$5*1000)</f>
        <v>1.848209190643372</v>
      </c>
      <c r="Q46" s="248">
        <f>IF(Q$7=0,0,Q$7/AGR!Q$5*1000)</f>
        <v>1.988190452097784</v>
      </c>
      <c r="R46" s="248">
        <f>IF(R$7=0,0,R$7/AGR!R$5*1000)</f>
        <v>2.0841031715080973</v>
      </c>
      <c r="S46" s="248">
        <f>IF(S$7=0,0,S$7/AGR!S$5*1000)</f>
        <v>1.9297340540880361</v>
      </c>
      <c r="T46" s="248">
        <f>IF(T$7=0,0,T$7/AGR!T$5*1000)</f>
        <v>1.9575832735400727</v>
      </c>
      <c r="U46" s="248">
        <f>IF(U$7=0,0,U$7/AGR!U$5*1000)</f>
        <v>1.9464661865926032</v>
      </c>
      <c r="V46" s="248">
        <f>IF(V$7=0,0,V$7/AGR!V$5*1000)</f>
        <v>1.9148008331834241</v>
      </c>
      <c r="W46" s="248">
        <f>IF(W$7=0,0,W$7/AGR!W$5*1000)</f>
        <v>1.7505692360137748</v>
      </c>
      <c r="X46" s="248">
        <f>IF(X$7=0,0,X$7/AGR!X$5*1000)</f>
        <v>1.563455908380343</v>
      </c>
      <c r="Y46" s="248">
        <f>IF(Y$7=0,0,Y$7/AGR!Y$5*1000)</f>
        <v>1.4905358970407052</v>
      </c>
      <c r="DA46" s="282"/>
    </row>
    <row r="47" spans="1:105" x14ac:dyDescent="0.25">
      <c r="A47" s="240" t="s">
        <v>123</v>
      </c>
      <c r="B47" s="248">
        <f>IF(B$8=0,0,B$8/AGR!B$5*1000)</f>
        <v>1.0632457189304962</v>
      </c>
      <c r="C47" s="248">
        <f>IF(C$8=0,0,C$8/AGR!C$5*1000)</f>
        <v>1.0571481818980089</v>
      </c>
      <c r="D47" s="248">
        <f>IF(D$8=0,0,D$8/AGR!D$5*1000)</f>
        <v>1.1186603199035485</v>
      </c>
      <c r="E47" s="248">
        <f>IF(E$8=0,0,E$8/AGR!E$5*1000)</f>
        <v>1.3322819381702946</v>
      </c>
      <c r="F47" s="248">
        <f>IF(F$8=0,0,F$8/AGR!F$5*1000)</f>
        <v>2.2447835155041469</v>
      </c>
      <c r="G47" s="248">
        <f>IF(G$8=0,0,G$8/AGR!G$5*1000)</f>
        <v>2.7080660836756767</v>
      </c>
      <c r="H47" s="248">
        <f>IF(H$8=0,0,H$8/AGR!H$5*1000)</f>
        <v>2.7126133429151413</v>
      </c>
      <c r="I47" s="248">
        <f>IF(I$8=0,0,I$8/AGR!I$5*1000)</f>
        <v>2.3731335370010949</v>
      </c>
      <c r="J47" s="248">
        <f>IF(J$8=0,0,J$8/AGR!J$5*1000)</f>
        <v>2.383544921330659</v>
      </c>
      <c r="K47" s="248">
        <f>IF(K$8=0,0,K$8/AGR!K$5*1000)</f>
        <v>2.8948323575974753</v>
      </c>
      <c r="L47" s="248">
        <f>IF(L$8=0,0,L$8/AGR!L$5*1000)</f>
        <v>2.7758861892329998</v>
      </c>
      <c r="M47" s="248">
        <f>IF(M$8=0,0,M$8/AGR!M$5*1000)</f>
        <v>2.595415322038555</v>
      </c>
      <c r="N47" s="248">
        <f>IF(N$8=0,0,N$8/AGR!N$5*1000)</f>
        <v>2.7623534096833136</v>
      </c>
      <c r="O47" s="248">
        <f>IF(O$8=0,0,O$8/AGR!O$5*1000)</f>
        <v>2.7349024008294878</v>
      </c>
      <c r="P47" s="248">
        <f>IF(P$8=0,0,P$8/AGR!P$5*1000)</f>
        <v>2.5590588793523619</v>
      </c>
      <c r="Q47" s="248">
        <f>IF(Q$8=0,0,Q$8/AGR!Q$5*1000)</f>
        <v>2.7528790875200086</v>
      </c>
      <c r="R47" s="248">
        <f>IF(R$8=0,0,R$8/AGR!R$5*1000)</f>
        <v>2.8856813143958289</v>
      </c>
      <c r="S47" s="248">
        <f>IF(S$8=0,0,S$8/AGR!S$5*1000)</f>
        <v>2.671939459506512</v>
      </c>
      <c r="T47" s="248">
        <f>IF(T$8=0,0,T$8/AGR!T$5*1000)</f>
        <v>2.7104999172093334</v>
      </c>
      <c r="U47" s="248">
        <f>IF(U$8=0,0,U$8/AGR!U$5*1000)</f>
        <v>2.6951070275897591</v>
      </c>
      <c r="V47" s="248">
        <f>IF(V$8=0,0,V$8/AGR!V$5*1000)</f>
        <v>2.6512626921001257</v>
      </c>
      <c r="W47" s="248">
        <f>IF(W$8=0,0,W$8/AGR!W$5*1000)</f>
        <v>2.4238650960190729</v>
      </c>
      <c r="X47" s="248">
        <f>IF(X$8=0,0,X$8/AGR!X$5*1000)</f>
        <v>2.1647851039112433</v>
      </c>
      <c r="Y47" s="248">
        <f>IF(Y$8=0,0,Y$8/AGR!Y$5*1000)</f>
        <v>2.0638189343640536</v>
      </c>
      <c r="DA47" s="282"/>
    </row>
    <row r="48" spans="1:105" x14ac:dyDescent="0.25">
      <c r="A48" s="242" t="s">
        <v>122</v>
      </c>
      <c r="B48" s="249">
        <f>IF(B$9=0,0,B$9/AGR!B$5*1000)</f>
        <v>22.892038701382351</v>
      </c>
      <c r="C48" s="249">
        <f>IF(C$9=0,0,C$9/AGR!C$5*1000)</f>
        <v>22.443026657601926</v>
      </c>
      <c r="D48" s="249">
        <f>IF(D$9=0,0,D$9/AGR!D$5*1000)</f>
        <v>23.535499040508391</v>
      </c>
      <c r="E48" s="249">
        <f>IF(E$9=0,0,E$9/AGR!E$5*1000)</f>
        <v>24.61830770378107</v>
      </c>
      <c r="F48" s="249">
        <f>IF(F$9=0,0,F$9/AGR!F$5*1000)</f>
        <v>22.909923710381978</v>
      </c>
      <c r="G48" s="249">
        <f>IF(G$9=0,0,G$9/AGR!G$5*1000)</f>
        <v>25.934832468416435</v>
      </c>
      <c r="H48" s="249">
        <f>IF(H$9=0,0,H$9/AGR!H$5*1000)</f>
        <v>25.003892709608522</v>
      </c>
      <c r="I48" s="249">
        <f>IF(I$9=0,0,I$9/AGR!I$5*1000)</f>
        <v>22.716574410184009</v>
      </c>
      <c r="J48" s="249">
        <f>IF(J$9=0,0,J$9/AGR!J$5*1000)</f>
        <v>23.869711247254386</v>
      </c>
      <c r="K48" s="249">
        <f>IF(K$9=0,0,K$9/AGR!K$5*1000)</f>
        <v>26.455459245180393</v>
      </c>
      <c r="L48" s="249">
        <f>IF(L$9=0,0,L$9/AGR!L$5*1000)</f>
        <v>24.543938429811686</v>
      </c>
      <c r="M48" s="249">
        <f>IF(M$9=0,0,M$9/AGR!M$5*1000)</f>
        <v>22.043375593192252</v>
      </c>
      <c r="N48" s="249">
        <f>IF(N$9=0,0,N$9/AGR!N$5*1000)</f>
        <v>22.417515863777755</v>
      </c>
      <c r="O48" s="249">
        <f>IF(O$9=0,0,O$9/AGR!O$5*1000)</f>
        <v>22.282126384295793</v>
      </c>
      <c r="P48" s="249">
        <f>IF(P$9=0,0,P$9/AGR!P$5*1000)</f>
        <v>21.826191285892499</v>
      </c>
      <c r="Q48" s="249">
        <f>IF(Q$9=0,0,Q$9/AGR!Q$5*1000)</f>
        <v>22.25264696133198</v>
      </c>
      <c r="R48" s="249">
        <f>IF(R$9=0,0,R$9/AGR!R$5*1000)</f>
        <v>22.615454447289142</v>
      </c>
      <c r="S48" s="249">
        <f>IF(S$9=0,0,S$9/AGR!S$5*1000)</f>
        <v>20.86702402308967</v>
      </c>
      <c r="T48" s="249">
        <f>IF(T$9=0,0,T$9/AGR!T$5*1000)</f>
        <v>22.061970388975265</v>
      </c>
      <c r="U48" s="249">
        <f>IF(U$9=0,0,U$9/AGR!U$5*1000)</f>
        <v>21.929881783837846</v>
      </c>
      <c r="V48" s="249">
        <f>IF(V$9=0,0,V$9/AGR!V$5*1000)</f>
        <v>23.30146743979649</v>
      </c>
      <c r="W48" s="249">
        <f>IF(W$9=0,0,W$9/AGR!W$5*1000)</f>
        <v>22.251374120735107</v>
      </c>
      <c r="X48" s="249">
        <f>IF(X$9=0,0,X$9/AGR!X$5*1000)</f>
        <v>19.025327752801502</v>
      </c>
      <c r="Y48" s="249">
        <f>IF(Y$9=0,0,Y$9/AGR!Y$5*1000)</f>
        <v>19.609509083154293</v>
      </c>
      <c r="DA48" s="283"/>
    </row>
    <row r="49" spans="1:105" x14ac:dyDescent="0.25">
      <c r="A49" s="127" t="s">
        <v>168</v>
      </c>
      <c r="B49" s="262">
        <f>IF(B$16=0,0,B$16/AGR!B$5*1000)</f>
        <v>30.270620580921761</v>
      </c>
      <c r="C49" s="262">
        <f>IF(C$16=0,0,C$16/AGR!C$5*1000)</f>
        <v>29.572904708232276</v>
      </c>
      <c r="D49" s="262">
        <f>IF(D$16=0,0,D$16/AGR!D$5*1000)</f>
        <v>31.180806588437786</v>
      </c>
      <c r="E49" s="262">
        <f>IF(E$16=0,0,E$16/AGR!E$5*1000)</f>
        <v>32.772924433016897</v>
      </c>
      <c r="F49" s="262">
        <f>IF(F$16=0,0,F$16/AGR!F$5*1000)</f>
        <v>30.52420309796824</v>
      </c>
      <c r="G49" s="262">
        <f>IF(G$16=0,0,G$16/AGR!G$5*1000)</f>
        <v>34.530981666397992</v>
      </c>
      <c r="H49" s="262">
        <f>IF(H$16=0,0,H$16/AGR!H$5*1000)</f>
        <v>33.274414754330955</v>
      </c>
      <c r="I49" s="262">
        <f>IF(I$16=0,0,I$16/AGR!I$5*1000)</f>
        <v>30.357303841536272</v>
      </c>
      <c r="J49" s="262">
        <f>IF(J$16=0,0,J$16/AGR!J$5*1000)</f>
        <v>32.02248984915105</v>
      </c>
      <c r="K49" s="262">
        <f>IF(K$16=0,0,K$16/AGR!K$5*1000)</f>
        <v>35.414077753282619</v>
      </c>
      <c r="L49" s="262">
        <f>IF(L$16=0,0,L$16/AGR!L$5*1000)</f>
        <v>32.72021371525954</v>
      </c>
      <c r="M49" s="262">
        <f>IF(M$16=0,0,M$16/AGR!M$5*1000)</f>
        <v>29.399831704010218</v>
      </c>
      <c r="N49" s="262">
        <f>IF(N$16=0,0,N$16/AGR!N$5*1000)</f>
        <v>29.523230279335209</v>
      </c>
      <c r="O49" s="262">
        <f>IF(O$16=0,0,O$16/AGR!O$5*1000)</f>
        <v>29.483376657388799</v>
      </c>
      <c r="P49" s="262">
        <f>IF(P$16=0,0,P$16/AGR!P$5*1000)</f>
        <v>28.852087084749442</v>
      </c>
      <c r="Q49" s="262">
        <f>IF(Q$16=0,0,Q$16/AGR!Q$5*1000)</f>
        <v>29.296410883296993</v>
      </c>
      <c r="R49" s="262">
        <f>IF(R$16=0,0,R$16/AGR!R$5*1000)</f>
        <v>29.482023829285399</v>
      </c>
      <c r="S49" s="262">
        <f>IF(S$16=0,0,S$16/AGR!S$5*1000)</f>
        <v>27.19167301979757</v>
      </c>
      <c r="T49" s="262">
        <f>IF(T$16=0,0,T$16/AGR!T$5*1000)</f>
        <v>28.764071513883994</v>
      </c>
      <c r="U49" s="262">
        <f>IF(U$16=0,0,U$16/AGR!U$5*1000)</f>
        <v>28.40345036559442</v>
      </c>
      <c r="V49" s="262">
        <f>IF(V$16=0,0,V$16/AGR!V$5*1000)</f>
        <v>30.677598003791815</v>
      </c>
      <c r="W49" s="262">
        <f>IF(W$16=0,0,W$16/AGR!W$5*1000)</f>
        <v>29.221051828815913</v>
      </c>
      <c r="X49" s="262">
        <f>IF(X$16=0,0,X$16/AGR!X$5*1000)</f>
        <v>24.990645336091298</v>
      </c>
      <c r="Y49" s="262">
        <f>IF(Y$16=0,0,Y$16/AGR!Y$5*1000)</f>
        <v>25.886579626611745</v>
      </c>
      <c r="DA49" s="284"/>
    </row>
    <row r="50" spans="1:105" x14ac:dyDescent="0.25">
      <c r="A50" s="127" t="s">
        <v>121</v>
      </c>
      <c r="B50" s="262">
        <f>IF(B$17=0,0,B$17/AGR!B$5*1000)</f>
        <v>47.585380061599622</v>
      </c>
      <c r="C50" s="262">
        <f>IF(C$17=0,0,C$17/AGR!C$5*1000)</f>
        <v>46.247767422490178</v>
      </c>
      <c r="D50" s="262">
        <f>IF(D$17=0,0,D$17/AGR!D$5*1000)</f>
        <v>46.886329111368269</v>
      </c>
      <c r="E50" s="262">
        <f>IF(E$17=0,0,E$17/AGR!E$5*1000)</f>
        <v>48.44748218808558</v>
      </c>
      <c r="F50" s="262">
        <f>IF(F$17=0,0,F$17/AGR!F$5*1000)</f>
        <v>45.535534264799296</v>
      </c>
      <c r="G50" s="262">
        <f>IF(G$17=0,0,G$17/AGR!G$5*1000)</f>
        <v>52.147992514812401</v>
      </c>
      <c r="H50" s="262">
        <f>IF(H$17=0,0,H$17/AGR!H$5*1000)</f>
        <v>50.314890315426759</v>
      </c>
      <c r="I50" s="262">
        <f>IF(I$17=0,0,I$17/AGR!I$5*1000)</f>
        <v>45.723331681180127</v>
      </c>
      <c r="J50" s="262">
        <f>IF(J$17=0,0,J$17/AGR!J$5*1000)</f>
        <v>48.208685565823046</v>
      </c>
      <c r="K50" s="262">
        <f>IF(K$17=0,0,K$17/AGR!K$5*1000)</f>
        <v>53.076554831520077</v>
      </c>
      <c r="L50" s="262">
        <f>IF(L$17=0,0,L$17/AGR!L$5*1000)</f>
        <v>49.502968502023769</v>
      </c>
      <c r="M50" s="262">
        <f>IF(M$17=0,0,M$17/AGR!M$5*1000)</f>
        <v>44.509708233261662</v>
      </c>
      <c r="N50" s="262">
        <f>IF(N$17=0,0,N$17/AGR!N$5*1000)</f>
        <v>45.351879738262859</v>
      </c>
      <c r="O50" s="262">
        <f>IF(O$17=0,0,O$17/AGR!O$5*1000)</f>
        <v>45.269945339176758</v>
      </c>
      <c r="P50" s="262">
        <f>IF(P$17=0,0,P$17/AGR!P$5*1000)</f>
        <v>43.773212084207401</v>
      </c>
      <c r="Q50" s="262">
        <f>IF(Q$17=0,0,Q$17/AGR!Q$5*1000)</f>
        <v>44.204907137661039</v>
      </c>
      <c r="R50" s="262">
        <f>IF(R$17=0,0,R$17/AGR!R$5*1000)</f>
        <v>44.618240546990151</v>
      </c>
      <c r="S50" s="262">
        <f>IF(S$17=0,0,S$17/AGR!S$5*1000)</f>
        <v>41.131948596920097</v>
      </c>
      <c r="T50" s="262">
        <f>IF(T$17=0,0,T$17/AGR!T$5*1000)</f>
        <v>43.627893015486002</v>
      </c>
      <c r="U50" s="262">
        <f>IF(U$17=0,0,U$17/AGR!U$5*1000)</f>
        <v>43.546428406492751</v>
      </c>
      <c r="V50" s="262">
        <f>IF(V$17=0,0,V$17/AGR!V$5*1000)</f>
        <v>46.419523602923782</v>
      </c>
      <c r="W50" s="262">
        <f>IF(W$17=0,0,W$17/AGR!W$5*1000)</f>
        <v>45.059520522242231</v>
      </c>
      <c r="X50" s="262">
        <f>IF(X$17=0,0,X$17/AGR!X$5*1000)</f>
        <v>38.081794894266665</v>
      </c>
      <c r="Y50" s="262">
        <f>IF(Y$17=0,0,Y$17/AGR!Y$5*1000)</f>
        <v>39.44284366151733</v>
      </c>
      <c r="DA50" s="284"/>
    </row>
    <row r="51" spans="1:105" x14ac:dyDescent="0.25">
      <c r="A51" s="127" t="s">
        <v>167</v>
      </c>
      <c r="B51" s="262">
        <f>IF(B$25=0,0,B$25/AGR!B$5*1000)</f>
        <v>5.8167520116579228</v>
      </c>
      <c r="C51" s="262">
        <f>IF(C$25=0,0,C$25/AGR!C$5*1000)</f>
        <v>5.682680092148277</v>
      </c>
      <c r="D51" s="262">
        <f>IF(D$25=0,0,D$25/AGR!D$5*1000)</f>
        <v>5.9916518382421975</v>
      </c>
      <c r="E51" s="262">
        <f>IF(E$25=0,0,E$25/AGR!E$5*1000)</f>
        <v>6.2975905503506864</v>
      </c>
      <c r="F51" s="262">
        <f>IF(F$25=0,0,F$25/AGR!F$5*1000)</f>
        <v>5.8654800055954137</v>
      </c>
      <c r="G51" s="262">
        <f>IF(G$25=0,0,G$25/AGR!G$5*1000)</f>
        <v>6.6354158989107503</v>
      </c>
      <c r="H51" s="262">
        <f>IF(H$25=0,0,H$25/AGR!H$5*1000)</f>
        <v>6.3939560948737189</v>
      </c>
      <c r="I51" s="262">
        <f>IF(I$25=0,0,I$25/AGR!I$5*1000)</f>
        <v>5.8334089225794745</v>
      </c>
      <c r="J51" s="262">
        <f>IF(J$25=0,0,J$25/AGR!J$5*1000)</f>
        <v>6.1533882911452578</v>
      </c>
      <c r="K51" s="262">
        <f>IF(K$25=0,0,K$25/AGR!K$5*1000)</f>
        <v>6.8051101714857483</v>
      </c>
      <c r="L51" s="262">
        <f>IF(L$25=0,0,L$25/AGR!L$5*1000)</f>
        <v>6.2874617466569749</v>
      </c>
      <c r="M51" s="262">
        <f>IF(M$25=0,0,M$25/AGR!M$5*1000)</f>
        <v>5.6494226720441505</v>
      </c>
      <c r="N51" s="262">
        <f>IF(N$25=0,0,N$25/AGR!N$5*1000)</f>
        <v>5.6731347366626643</v>
      </c>
      <c r="O51" s="262">
        <f>IF(O$25=0,0,O$25/AGR!O$5*1000)</f>
        <v>5.6654765310765267</v>
      </c>
      <c r="P51" s="262">
        <f>IF(P$25=0,0,P$25/AGR!P$5*1000)</f>
        <v>5.5441689787000499</v>
      </c>
      <c r="Q51" s="262">
        <f>IF(Q$25=0,0,Q$25/AGR!Q$5*1000)</f>
        <v>5.6295494994634057</v>
      </c>
      <c r="R51" s="262">
        <f>IF(R$25=0,0,R$25/AGR!R$5*1000)</f>
        <v>5.6652165738823594</v>
      </c>
      <c r="S51" s="262">
        <f>IF(S$25=0,0,S$25/AGR!S$5*1000)</f>
        <v>5.2251065786849971</v>
      </c>
      <c r="T51" s="262">
        <f>IF(T$25=0,0,T$25/AGR!T$5*1000)</f>
        <v>5.5272560532606745</v>
      </c>
      <c r="U51" s="262">
        <f>IF(U$25=0,0,U$25/AGR!U$5*1000)</f>
        <v>5.4579596942992792</v>
      </c>
      <c r="V51" s="262">
        <f>IF(V$25=0,0,V$25/AGR!V$5*1000)</f>
        <v>5.8949561151004062</v>
      </c>
      <c r="W51" s="262">
        <f>IF(W$25=0,0,W$25/AGR!W$5*1000)</f>
        <v>5.6150686291232139</v>
      </c>
      <c r="X51" s="262">
        <f>IF(X$25=0,0,X$25/AGR!X$5*1000)</f>
        <v>4.8021607665009505</v>
      </c>
      <c r="Y51" s="262">
        <f>IF(Y$25=0,0,Y$25/AGR!Y$5*1000)</f>
        <v>4.9743220068946332</v>
      </c>
      <c r="DA51" s="284"/>
    </row>
    <row r="52" spans="1:105" x14ac:dyDescent="0.25">
      <c r="A52" s="127" t="s">
        <v>170</v>
      </c>
      <c r="B52" s="262">
        <f>IF(B$26=0,0,B$26/AGR!B$5*1000)</f>
        <v>1.1813841321449967</v>
      </c>
      <c r="C52" s="262">
        <f>IF(C$26=0,0,C$26/AGR!C$5*1000)</f>
        <v>1.1746090909977878</v>
      </c>
      <c r="D52" s="262">
        <f>IF(D$26=0,0,D$26/AGR!D$5*1000)</f>
        <v>1.2429559110039428</v>
      </c>
      <c r="E52" s="262">
        <f>IF(E$26=0,0,E$26/AGR!E$5*1000)</f>
        <v>1.4803132646336614</v>
      </c>
      <c r="F52" s="262">
        <f>IF(F$26=0,0,F$26/AGR!F$5*1000)</f>
        <v>2.4942039061157204</v>
      </c>
      <c r="G52" s="262">
        <f>IF(G$26=0,0,G$26/AGR!G$5*1000)</f>
        <v>3.0089623151951956</v>
      </c>
      <c r="H52" s="262">
        <f>IF(H$26=0,0,H$26/AGR!H$5*1000)</f>
        <v>3.01401482546127</v>
      </c>
      <c r="I52" s="262">
        <f>IF(I$26=0,0,I$26/AGR!I$5*1000)</f>
        <v>2.6368150411123263</v>
      </c>
      <c r="J52" s="262">
        <f>IF(J$26=0,0,J$26/AGR!J$5*1000)</f>
        <v>2.6483832459229562</v>
      </c>
      <c r="K52" s="262">
        <f>IF(K$26=0,0,K$26/AGR!K$5*1000)</f>
        <v>3.2164803973305278</v>
      </c>
      <c r="L52" s="262">
        <f>IF(L$26=0,0,L$26/AGR!L$5*1000)</f>
        <v>3.084317988036668</v>
      </c>
      <c r="M52" s="262">
        <f>IF(M$26=0,0,M$26/AGR!M$5*1000)</f>
        <v>2.8837948022650588</v>
      </c>
      <c r="N52" s="262">
        <f>IF(N$26=0,0,N$26/AGR!N$5*1000)</f>
        <v>3.0692815663147903</v>
      </c>
      <c r="O52" s="262">
        <f>IF(O$26=0,0,O$26/AGR!O$5*1000)</f>
        <v>3.038780445366096</v>
      </c>
      <c r="P52" s="262">
        <f>IF(P$26=0,0,P$26/AGR!P$5*1000)</f>
        <v>2.8433987548359578</v>
      </c>
      <c r="Q52" s="262">
        <f>IF(Q$26=0,0,Q$26/AGR!Q$5*1000)</f>
        <v>3.0587545416888995</v>
      </c>
      <c r="R52" s="262">
        <f>IF(R$26=0,0,R$26/AGR!R$5*1000)</f>
        <v>3.2063125715509186</v>
      </c>
      <c r="S52" s="262">
        <f>IF(S$26=0,0,S$26/AGR!S$5*1000)</f>
        <v>2.9688216216739036</v>
      </c>
      <c r="T52" s="262">
        <f>IF(T$26=0,0,T$26/AGR!T$5*1000)</f>
        <v>3.011666574677037</v>
      </c>
      <c r="U52" s="262">
        <f>IF(U$26=0,0,U$26/AGR!U$5*1000)</f>
        <v>2.9945633639886209</v>
      </c>
      <c r="V52" s="262">
        <f>IF(V$26=0,0,V$26/AGR!V$5*1000)</f>
        <v>2.945847435666805</v>
      </c>
      <c r="W52" s="262">
        <f>IF(W$26=0,0,W$26/AGR!W$5*1000)</f>
        <v>2.6931834400211923</v>
      </c>
      <c r="X52" s="262">
        <f>IF(X$26=0,0,X$26/AGR!X$5*1000)</f>
        <v>2.4053167821236046</v>
      </c>
      <c r="Y52" s="262">
        <f>IF(Y$26=0,0,Y$26/AGR!Y$5*1000)</f>
        <v>2.2931321492933923</v>
      </c>
      <c r="DA52" s="284"/>
    </row>
    <row r="53" spans="1:105" x14ac:dyDescent="0.25">
      <c r="A53" s="260" t="s">
        <v>33</v>
      </c>
      <c r="B53" s="263">
        <f>IF(B$27=0,0,B$27/AGR!B$5*1000)</f>
        <v>1.7130069916102446</v>
      </c>
      <c r="C53" s="263">
        <f>IF(C$27=0,0,C$27/AGR!C$5*1000)</f>
        <v>1.703183181946792</v>
      </c>
      <c r="D53" s="263">
        <f>IF(D$27=0,0,D$27/AGR!D$5*1000)</f>
        <v>1.8022860709557169</v>
      </c>
      <c r="E53" s="263">
        <f>IF(E$27=0,0,E$27/AGR!E$5*1000)</f>
        <v>2.1464542337188086</v>
      </c>
      <c r="F53" s="263">
        <f>IF(F$27=0,0,F$27/AGR!F$5*1000)</f>
        <v>3.6165956638677925</v>
      </c>
      <c r="G53" s="263">
        <f>IF(G$27=0,0,G$27/AGR!G$5*1000)</f>
        <v>4.362995357033034</v>
      </c>
      <c r="H53" s="263">
        <f>IF(H$27=0,0,H$27/AGR!H$5*1000)</f>
        <v>4.3703214969188391</v>
      </c>
      <c r="I53" s="263">
        <f>IF(I$27=0,0,I$27/AGR!I$5*1000)</f>
        <v>3.8233818096128753</v>
      </c>
      <c r="J53" s="263">
        <f>IF(J$27=0,0,J$27/AGR!J$5*1000)</f>
        <v>3.8401557065882832</v>
      </c>
      <c r="K53" s="263">
        <f>IF(K$27=0,0,K$27/AGR!K$5*1000)</f>
        <v>4.6638965761292663</v>
      </c>
      <c r="L53" s="263">
        <f>IF(L$27=0,0,L$27/AGR!L$5*1000)</f>
        <v>4.4722610826531657</v>
      </c>
      <c r="M53" s="263">
        <f>IF(M$27=0,0,M$27/AGR!M$5*1000)</f>
        <v>4.1815024632843363</v>
      </c>
      <c r="N53" s="263">
        <f>IF(N$27=0,0,N$27/AGR!N$5*1000)</f>
        <v>4.4504582711564469</v>
      </c>
      <c r="O53" s="263">
        <f>IF(O$27=0,0,O$27/AGR!O$5*1000)</f>
        <v>4.4062316457808439</v>
      </c>
      <c r="P53" s="263">
        <f>IF(P$27=0,0,P$27/AGR!P$5*1000)</f>
        <v>4.1229281945121397</v>
      </c>
      <c r="Q53" s="263">
        <f>IF(Q$27=0,0,Q$27/AGR!Q$5*1000)</f>
        <v>4.4351940854489049</v>
      </c>
      <c r="R53" s="263">
        <f>IF(R$27=0,0,R$27/AGR!R$5*1000)</f>
        <v>4.649153228748836</v>
      </c>
      <c r="S53" s="263">
        <f>IF(S$27=0,0,S$27/AGR!S$5*1000)</f>
        <v>4.3047913514271583</v>
      </c>
      <c r="T53" s="263">
        <f>IF(T$27=0,0,T$27/AGR!T$5*1000)</f>
        <v>4.3669165332817013</v>
      </c>
      <c r="U53" s="263">
        <f>IF(U$27=0,0,U$27/AGR!U$5*1000)</f>
        <v>4.3421168777835009</v>
      </c>
      <c r="V53" s="263">
        <f>IF(V$27=0,0,V$27/AGR!V$5*1000)</f>
        <v>4.2714787817168682</v>
      </c>
      <c r="W53" s="263">
        <f>IF(W$27=0,0,W$27/AGR!W$5*1000)</f>
        <v>3.9051159880307291</v>
      </c>
      <c r="X53" s="263">
        <f>IF(X$27=0,0,X$27/AGR!X$5*1000)</f>
        <v>3.4877093340792271</v>
      </c>
      <c r="Y53" s="263">
        <f>IF(Y$27=0,0,Y$27/AGR!Y$5*1000)</f>
        <v>3.3250416164754211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1615.8692747166479</v>
      </c>
      <c r="C5" s="80">
        <f t="shared" ref="C5:W5" si="1">SUM(C6:C9,C16:C17,C25:C27)</f>
        <v>1678.6045321595277</v>
      </c>
      <c r="D5" s="80">
        <f t="shared" si="1"/>
        <v>1717.8665476997371</v>
      </c>
      <c r="E5" s="80">
        <f t="shared" si="1"/>
        <v>1702.5943318140771</v>
      </c>
      <c r="F5" s="80">
        <f t="shared" si="1"/>
        <v>1929.6375599586154</v>
      </c>
      <c r="G5" s="80">
        <f t="shared" si="1"/>
        <v>1912.4171972461911</v>
      </c>
      <c r="H5" s="80">
        <f t="shared" si="1"/>
        <v>1871.3648439593123</v>
      </c>
      <c r="I5" s="80">
        <f t="shared" si="1"/>
        <v>1805.5962906371255</v>
      </c>
      <c r="J5" s="80">
        <f t="shared" si="1"/>
        <v>1819.3069341640826</v>
      </c>
      <c r="K5" s="80">
        <f t="shared" si="1"/>
        <v>1847.7807448087997</v>
      </c>
      <c r="L5" s="80">
        <f t="shared" si="1"/>
        <v>1817.0316771962523</v>
      </c>
      <c r="M5" s="80">
        <f t="shared" si="1"/>
        <v>1855.5008775476522</v>
      </c>
      <c r="N5" s="80">
        <f t="shared" si="1"/>
        <v>1818.0197311041363</v>
      </c>
      <c r="O5" s="80">
        <f t="shared" si="1"/>
        <v>1891.6067224182125</v>
      </c>
      <c r="P5" s="80">
        <f t="shared" si="1"/>
        <v>1847.0303463555501</v>
      </c>
      <c r="Q5" s="80">
        <f t="shared" si="1"/>
        <v>1866.7059864951589</v>
      </c>
      <c r="R5" s="80">
        <f t="shared" si="1"/>
        <v>1791.5266853059652</v>
      </c>
      <c r="S5" s="80">
        <f t="shared" si="1"/>
        <v>1786.1470641551209</v>
      </c>
      <c r="T5" s="80">
        <f t="shared" si="1"/>
        <v>1820.6942096231485</v>
      </c>
      <c r="U5" s="80">
        <f t="shared" si="1"/>
        <v>1783.1892785926625</v>
      </c>
      <c r="V5" s="80">
        <f t="shared" si="1"/>
        <v>1871.8724775109956</v>
      </c>
      <c r="W5" s="80">
        <f t="shared" si="1"/>
        <v>1867.5973466467572</v>
      </c>
      <c r="X5" s="80">
        <f t="shared" ref="X5:Y5" si="2">SUM(X6:X9,X16:X17,X25:X27)</f>
        <v>1827.1624455179995</v>
      </c>
      <c r="Y5" s="80">
        <f t="shared" si="2"/>
        <v>1813.0361588597382</v>
      </c>
      <c r="DA5" s="103"/>
    </row>
    <row r="6" spans="1:105" x14ac:dyDescent="0.25">
      <c r="A6" s="238" t="s">
        <v>125</v>
      </c>
      <c r="B6" s="239">
        <v>21.493641015176419</v>
      </c>
      <c r="C6" s="239">
        <v>22.685013410025078</v>
      </c>
      <c r="D6" s="239">
        <v>23.660849333119771</v>
      </c>
      <c r="E6" s="239">
        <v>26.490587580025529</v>
      </c>
      <c r="F6" s="239">
        <v>50.352773752911993</v>
      </c>
      <c r="G6" s="239">
        <v>52.488180655235993</v>
      </c>
      <c r="H6" s="239">
        <v>53.016375903897369</v>
      </c>
      <c r="I6" s="239">
        <v>49.570230521989068</v>
      </c>
      <c r="J6" s="239">
        <v>48.051322801425968</v>
      </c>
      <c r="K6" s="239">
        <v>52.768172166742602</v>
      </c>
      <c r="L6" s="239">
        <v>53.247345850000492</v>
      </c>
      <c r="M6" s="239">
        <v>56.203976654338618</v>
      </c>
      <c r="N6" s="239">
        <v>57.140296339914812</v>
      </c>
      <c r="O6" s="239">
        <v>59.162994049842517</v>
      </c>
      <c r="P6" s="239">
        <v>55.935597126340639</v>
      </c>
      <c r="Q6" s="239">
        <v>59.171064021506353</v>
      </c>
      <c r="R6" s="239">
        <v>58.372236113995932</v>
      </c>
      <c r="S6" s="239">
        <v>58.390168333176277</v>
      </c>
      <c r="T6" s="239">
        <v>57.543183083084521</v>
      </c>
      <c r="U6" s="239">
        <v>56.341623779872712</v>
      </c>
      <c r="V6" s="239">
        <v>55.435689104012887</v>
      </c>
      <c r="W6" s="239">
        <v>53.137354494575987</v>
      </c>
      <c r="X6" s="239">
        <v>54.072134582023978</v>
      </c>
      <c r="Y6" s="239">
        <v>50.240595533685728</v>
      </c>
      <c r="DA6" s="267" t="s">
        <v>1016</v>
      </c>
    </row>
    <row r="7" spans="1:105" x14ac:dyDescent="0.25">
      <c r="A7" s="240" t="s">
        <v>124</v>
      </c>
      <c r="B7" s="241">
        <v>13.853901359452561</v>
      </c>
      <c r="C7" s="241">
        <v>14.621810139028531</v>
      </c>
      <c r="D7" s="241">
        <v>15.25079313041741</v>
      </c>
      <c r="E7" s="241">
        <v>17.07472396270505</v>
      </c>
      <c r="F7" s="241">
        <v>32.455290392871078</v>
      </c>
      <c r="G7" s="241">
        <v>33.831684302409371</v>
      </c>
      <c r="H7" s="241">
        <v>34.172136851529316</v>
      </c>
      <c r="I7" s="241">
        <v>31.950895780387398</v>
      </c>
      <c r="J7" s="241">
        <v>30.971871439191119</v>
      </c>
      <c r="K7" s="241">
        <v>34.0121551113876</v>
      </c>
      <c r="L7" s="241">
        <v>34.321010411297578</v>
      </c>
      <c r="M7" s="241">
        <v>36.226730874884822</v>
      </c>
      <c r="N7" s="241">
        <v>36.830243353562913</v>
      </c>
      <c r="O7" s="241">
        <v>38.13398963524422</v>
      </c>
      <c r="P7" s="241">
        <v>36.053744664444473</v>
      </c>
      <c r="Q7" s="241">
        <v>38.139191201201569</v>
      </c>
      <c r="R7" s="241">
        <v>37.624300167801827</v>
      </c>
      <c r="S7" s="241">
        <v>37.635858525713601</v>
      </c>
      <c r="T7" s="241">
        <v>37.089927284962108</v>
      </c>
      <c r="U7" s="241">
        <v>36.315452450639</v>
      </c>
      <c r="V7" s="241">
        <v>35.731524877427603</v>
      </c>
      <c r="W7" s="241">
        <v>34.250114587394727</v>
      </c>
      <c r="X7" s="241">
        <v>34.852634705560881</v>
      </c>
      <c r="Y7" s="241">
        <v>32.382985008095083</v>
      </c>
      <c r="DA7" s="268" t="s">
        <v>1017</v>
      </c>
    </row>
    <row r="8" spans="1:105" x14ac:dyDescent="0.25">
      <c r="A8" s="240" t="s">
        <v>123</v>
      </c>
      <c r="B8" s="241">
        <v>27.5309193264771</v>
      </c>
      <c r="C8" s="241">
        <v>29.056932404820181</v>
      </c>
      <c r="D8" s="241">
        <v>30.306867678961449</v>
      </c>
      <c r="E8" s="241">
        <v>33.931441818615163</v>
      </c>
      <c r="F8" s="241">
        <v>64.496199181746476</v>
      </c>
      <c r="G8" s="241">
        <v>67.231413523307978</v>
      </c>
      <c r="H8" s="241">
        <v>67.907971802533766</v>
      </c>
      <c r="I8" s="241">
        <v>63.493849949952462</v>
      </c>
      <c r="J8" s="241">
        <v>61.548301222788901</v>
      </c>
      <c r="K8" s="241">
        <v>67.59005093192313</v>
      </c>
      <c r="L8" s="241">
        <v>68.203818139062619</v>
      </c>
      <c r="M8" s="241">
        <v>71.990927270313861</v>
      </c>
      <c r="N8" s="241">
        <v>73.190246720619598</v>
      </c>
      <c r="O8" s="241">
        <v>75.781093354493777</v>
      </c>
      <c r="P8" s="241">
        <v>71.647163497160051</v>
      </c>
      <c r="Q8" s="241">
        <v>75.791430074023381</v>
      </c>
      <c r="R8" s="241">
        <v>74.768222016259742</v>
      </c>
      <c r="S8" s="241">
        <v>74.791191157655987</v>
      </c>
      <c r="T8" s="241">
        <v>73.706298999341485</v>
      </c>
      <c r="U8" s="241">
        <v>72.167237645364992</v>
      </c>
      <c r="V8" s="241">
        <v>71.006837950471777</v>
      </c>
      <c r="W8" s="241">
        <v>68.062931672657811</v>
      </c>
      <c r="X8" s="241">
        <v>69.260279072168018</v>
      </c>
      <c r="Y8" s="241">
        <v>64.35251159054107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543.99087770991082</v>
      </c>
      <c r="C9" s="243">
        <f t="shared" ref="C9:W9" si="4">SUM(C10:C15)</f>
        <v>567.25427142732383</v>
      </c>
      <c r="D9" s="243">
        <f t="shared" si="4"/>
        <v>585.01819512903944</v>
      </c>
      <c r="E9" s="243">
        <f t="shared" si="4"/>
        <v>575.44557993998239</v>
      </c>
      <c r="F9" s="243">
        <f t="shared" si="4"/>
        <v>617.46796875582504</v>
      </c>
      <c r="G9" s="243">
        <f t="shared" si="4"/>
        <v>607.02288448374065</v>
      </c>
      <c r="H9" s="243">
        <f t="shared" si="4"/>
        <v>592.1178422507171</v>
      </c>
      <c r="I9" s="243">
        <f t="shared" si="4"/>
        <v>572.20013865476403</v>
      </c>
      <c r="J9" s="243">
        <f t="shared" si="4"/>
        <v>577.4633448001922</v>
      </c>
      <c r="K9" s="243">
        <f t="shared" si="4"/>
        <v>583.28361406611828</v>
      </c>
      <c r="L9" s="243">
        <f t="shared" si="4"/>
        <v>572.27364073073522</v>
      </c>
      <c r="M9" s="243">
        <f t="shared" si="4"/>
        <v>582.86160575546342</v>
      </c>
      <c r="N9" s="243">
        <f t="shared" si="4"/>
        <v>572.43017080520497</v>
      </c>
      <c r="O9" s="243">
        <f t="shared" si="4"/>
        <v>593.75000618821844</v>
      </c>
      <c r="P9" s="243">
        <f t="shared" si="4"/>
        <v>584.34524196550274</v>
      </c>
      <c r="Q9" s="243">
        <f t="shared" si="4"/>
        <v>590.25358898225761</v>
      </c>
      <c r="R9" s="243">
        <f t="shared" si="4"/>
        <v>568.79015536415761</v>
      </c>
      <c r="S9" s="243">
        <f t="shared" si="4"/>
        <v>567.33332824726449</v>
      </c>
      <c r="T9" s="243">
        <f t="shared" si="4"/>
        <v>579.44413184251653</v>
      </c>
      <c r="U9" s="243">
        <f t="shared" si="4"/>
        <v>568.59993585892266</v>
      </c>
      <c r="V9" s="243">
        <f t="shared" si="4"/>
        <v>595.6308392509012</v>
      </c>
      <c r="W9" s="243">
        <f t="shared" si="4"/>
        <v>594.75724629868341</v>
      </c>
      <c r="X9" s="243">
        <f t="shared" ref="X9:Y9" si="5">SUM(X10:X15)</f>
        <v>581.53805439919199</v>
      </c>
      <c r="Y9" s="243">
        <f t="shared" si="5"/>
        <v>579.10142725999822</v>
      </c>
      <c r="DA9" s="269"/>
    </row>
    <row r="10" spans="1:105" x14ac:dyDescent="0.25">
      <c r="A10" s="253" t="s">
        <v>166</v>
      </c>
      <c r="B10" s="254">
        <v>452.71439130803128</v>
      </c>
      <c r="C10" s="254">
        <v>462.607783514186</v>
      </c>
      <c r="D10" s="254">
        <v>489.97873474203078</v>
      </c>
      <c r="E10" s="254">
        <v>485.18959341458498</v>
      </c>
      <c r="F10" s="254">
        <v>474.0354612326185</v>
      </c>
      <c r="G10" s="254">
        <v>459.62081815099458</v>
      </c>
      <c r="H10" s="254">
        <v>444.94717045146422</v>
      </c>
      <c r="I10" s="254">
        <v>441.51870484079012</v>
      </c>
      <c r="J10" s="254">
        <v>457.42929103982499</v>
      </c>
      <c r="K10" s="254">
        <v>451.74580896551061</v>
      </c>
      <c r="L10" s="254">
        <v>431.88362158952089</v>
      </c>
      <c r="M10" s="254">
        <v>439.0715491268632</v>
      </c>
      <c r="N10" s="254">
        <v>402.77175923230811</v>
      </c>
      <c r="O10" s="254">
        <v>427.6514550958276</v>
      </c>
      <c r="P10" s="254">
        <v>425.00227762661268</v>
      </c>
      <c r="Q10" s="254">
        <v>418.58000491269468</v>
      </c>
      <c r="R10" s="254">
        <v>385.47710414321529</v>
      </c>
      <c r="S10" s="254">
        <v>382.95861169781699</v>
      </c>
      <c r="T10" s="254">
        <v>394.26544905189269</v>
      </c>
      <c r="U10" s="254">
        <v>376.67551257394041</v>
      </c>
      <c r="V10" s="254">
        <v>427.950003687113</v>
      </c>
      <c r="W10" s="254">
        <v>425.2136807658797</v>
      </c>
      <c r="X10" s="254">
        <v>414.26062212066142</v>
      </c>
      <c r="Y10" s="254">
        <v>426.93479738220498</v>
      </c>
      <c r="DA10" s="270" t="s">
        <v>1019</v>
      </c>
    </row>
    <row r="11" spans="1:105" x14ac:dyDescent="0.25">
      <c r="A11" s="253" t="s">
        <v>169</v>
      </c>
      <c r="B11" s="255">
        <v>84.050031628919285</v>
      </c>
      <c r="C11" s="255">
        <v>95.73267446113482</v>
      </c>
      <c r="D11" s="255">
        <v>86.050595488641022</v>
      </c>
      <c r="E11" s="255">
        <v>78.625041972350573</v>
      </c>
      <c r="F11" s="255">
        <v>83.265647427966911</v>
      </c>
      <c r="G11" s="255">
        <v>75.538670922433866</v>
      </c>
      <c r="H11" s="255">
        <v>68.271879161065172</v>
      </c>
      <c r="I11" s="255">
        <v>62.645407812301613</v>
      </c>
      <c r="J11" s="255">
        <v>59.920716345750222</v>
      </c>
      <c r="K11" s="255">
        <v>51.819687825718098</v>
      </c>
      <c r="L11" s="255">
        <v>53.303190150706378</v>
      </c>
      <c r="M11" s="255">
        <v>40.633521935867861</v>
      </c>
      <c r="N11" s="255">
        <v>50.236561857791607</v>
      </c>
      <c r="O11" s="255">
        <v>43.499122638694111</v>
      </c>
      <c r="P11" s="255">
        <v>47.521540104440191</v>
      </c>
      <c r="Q11" s="255">
        <v>43.79933036062809</v>
      </c>
      <c r="R11" s="255">
        <v>45.453812536310288</v>
      </c>
      <c r="S11" s="255">
        <v>47.083906504748278</v>
      </c>
      <c r="T11" s="255">
        <v>56.690604878332273</v>
      </c>
      <c r="U11" s="255">
        <v>59.590882585348183</v>
      </c>
      <c r="V11" s="255">
        <v>59.338843224644009</v>
      </c>
      <c r="W11" s="255">
        <v>66.953691575236732</v>
      </c>
      <c r="X11" s="255">
        <v>57.872006796015313</v>
      </c>
      <c r="Y11" s="255">
        <v>61.228817385142563</v>
      </c>
      <c r="DA11" s="271" t="s">
        <v>1020</v>
      </c>
    </row>
    <row r="12" spans="1:105" x14ac:dyDescent="0.25">
      <c r="A12" s="253" t="s">
        <v>152</v>
      </c>
      <c r="B12" s="255">
        <v>1.6392169865661459</v>
      </c>
      <c r="C12" s="255">
        <v>2.8802484723975068</v>
      </c>
      <c r="D12" s="255">
        <v>2.7565282091460821</v>
      </c>
      <c r="E12" s="255">
        <v>2.7139292402278481</v>
      </c>
      <c r="F12" s="255">
        <v>2.656086101395323</v>
      </c>
      <c r="G12" s="255">
        <v>2.281708607280406</v>
      </c>
      <c r="H12" s="255">
        <v>2.2769378928278359</v>
      </c>
      <c r="I12" s="255">
        <v>2.2988074901431221</v>
      </c>
      <c r="J12" s="255">
        <v>2.3460408321961488</v>
      </c>
      <c r="K12" s="255">
        <v>2.3354556059236562</v>
      </c>
      <c r="L12" s="255">
        <v>2.373528339588082</v>
      </c>
      <c r="M12" s="255">
        <v>4.8700384032049859</v>
      </c>
      <c r="N12" s="255">
        <v>7.1731992841287093</v>
      </c>
      <c r="O12" s="255">
        <v>7.3305102014520429</v>
      </c>
      <c r="P12" s="255">
        <v>7.2936865943001594</v>
      </c>
      <c r="Q12" s="255">
        <v>7.1813617159989356</v>
      </c>
      <c r="R12" s="255">
        <v>7.106555151117</v>
      </c>
      <c r="S12" s="255">
        <v>7.1088386529089691</v>
      </c>
      <c r="T12" s="255">
        <v>7.1690542585594379</v>
      </c>
      <c r="U12" s="255">
        <v>7.2161086272508488</v>
      </c>
      <c r="V12" s="255">
        <v>7.2858177595594151</v>
      </c>
      <c r="W12" s="255">
        <v>7.4729803532305414</v>
      </c>
      <c r="X12" s="255">
        <v>7.3302515103197949</v>
      </c>
      <c r="Y12" s="255">
        <v>7.421754443325165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7.2578161059336921</v>
      </c>
      <c r="Q14" s="254">
        <v>4.5974645281334086</v>
      </c>
      <c r="R14" s="254">
        <v>6.9461376612798986</v>
      </c>
      <c r="S14" s="254">
        <v>5.481343814599227</v>
      </c>
      <c r="T14" s="254">
        <v>9.7408701888769293</v>
      </c>
      <c r="U14" s="254">
        <v>14.581192569377761</v>
      </c>
      <c r="V14" s="254">
        <v>11.248699134609961</v>
      </c>
      <c r="W14" s="254">
        <v>15.831462967750101</v>
      </c>
      <c r="X14" s="254">
        <v>13.839578073168379</v>
      </c>
      <c r="Y14" s="254">
        <v>14.697494035411919</v>
      </c>
      <c r="DA14" s="270" t="s">
        <v>1023</v>
      </c>
    </row>
    <row r="15" spans="1:105" x14ac:dyDescent="0.25">
      <c r="A15" s="253" t="s">
        <v>24</v>
      </c>
      <c r="B15" s="255">
        <v>5.5872377863941356</v>
      </c>
      <c r="C15" s="255">
        <v>6.0335649796055053</v>
      </c>
      <c r="D15" s="255">
        <v>6.2323366892215821</v>
      </c>
      <c r="E15" s="255">
        <v>8.9170153128189753</v>
      </c>
      <c r="F15" s="255">
        <v>57.510773993844261</v>
      </c>
      <c r="G15" s="255">
        <v>69.581686803031886</v>
      </c>
      <c r="H15" s="255">
        <v>76.62185474535984</v>
      </c>
      <c r="I15" s="255">
        <v>65.737218511529235</v>
      </c>
      <c r="J15" s="255">
        <v>57.767296582420869</v>
      </c>
      <c r="K15" s="255">
        <v>77.382661668965895</v>
      </c>
      <c r="L15" s="255">
        <v>84.713300650919891</v>
      </c>
      <c r="M15" s="255">
        <v>98.286496289527392</v>
      </c>
      <c r="N15" s="255">
        <v>112.2486504309765</v>
      </c>
      <c r="O15" s="255">
        <v>115.2689182522446</v>
      </c>
      <c r="P15" s="255">
        <v>97.269921534216039</v>
      </c>
      <c r="Q15" s="255">
        <v>116.0954274648025</v>
      </c>
      <c r="R15" s="255">
        <v>123.80654587223511</v>
      </c>
      <c r="S15" s="255">
        <v>124.7006275771911</v>
      </c>
      <c r="T15" s="255">
        <v>111.57815346485521</v>
      </c>
      <c r="U15" s="255">
        <v>110.5362395030055</v>
      </c>
      <c r="V15" s="255">
        <v>89.807475444974813</v>
      </c>
      <c r="W15" s="255">
        <v>79.285430636586284</v>
      </c>
      <c r="X15" s="255">
        <v>88.235595899027174</v>
      </c>
      <c r="Y15" s="255">
        <v>68.818564013913658</v>
      </c>
      <c r="DA15" s="271" t="s">
        <v>1024</v>
      </c>
    </row>
    <row r="16" spans="1:105" x14ac:dyDescent="0.25">
      <c r="A16" s="256" t="s">
        <v>168</v>
      </c>
      <c r="B16" s="257">
        <v>394.09252754548697</v>
      </c>
      <c r="C16" s="257">
        <v>408.69345644397089</v>
      </c>
      <c r="D16" s="257">
        <v>424.73687687370062</v>
      </c>
      <c r="E16" s="257">
        <v>419.67314079309898</v>
      </c>
      <c r="F16" s="257">
        <v>440.95451795526333</v>
      </c>
      <c r="G16" s="257">
        <v>431.03418363402699</v>
      </c>
      <c r="H16" s="257">
        <v>418.82548127641371</v>
      </c>
      <c r="I16" s="257">
        <v>408.37813978132488</v>
      </c>
      <c r="J16" s="257">
        <v>415.75514330450699</v>
      </c>
      <c r="K16" s="257">
        <v>415.74314430880452</v>
      </c>
      <c r="L16" s="257">
        <v>404.21550452638292</v>
      </c>
      <c r="M16" s="257">
        <v>410.02048237853688</v>
      </c>
      <c r="N16" s="257">
        <v>393.30335329398969</v>
      </c>
      <c r="O16" s="257">
        <v>410.75802751706271</v>
      </c>
      <c r="P16" s="257">
        <v>406.14934950578368</v>
      </c>
      <c r="Q16" s="257">
        <v>405.54325963679878</v>
      </c>
      <c r="R16" s="257">
        <v>384.07477379610611</v>
      </c>
      <c r="S16" s="257">
        <v>382.69216435255942</v>
      </c>
      <c r="T16" s="257">
        <v>393.27412245761337</v>
      </c>
      <c r="U16" s="257">
        <v>382.4062398537319</v>
      </c>
      <c r="V16" s="257">
        <v>413.10320978687912</v>
      </c>
      <c r="W16" s="257">
        <v>412.56070051779068</v>
      </c>
      <c r="X16" s="257">
        <v>402.00987565543511</v>
      </c>
      <c r="Y16" s="257">
        <v>405.84330382685391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508.10054866702774</v>
      </c>
      <c r="C17" s="257">
        <f t="shared" ref="C17:W17" si="7">SUM(C18:C24)</f>
        <v>524.54028076883867</v>
      </c>
      <c r="D17" s="257">
        <f t="shared" si="7"/>
        <v>522.53973213920085</v>
      </c>
      <c r="E17" s="257">
        <f t="shared" si="7"/>
        <v>507.22410625405701</v>
      </c>
      <c r="F17" s="257">
        <f t="shared" si="7"/>
        <v>538.56802799628099</v>
      </c>
      <c r="G17" s="257">
        <f t="shared" si="7"/>
        <v>531.45568062882467</v>
      </c>
      <c r="H17" s="257">
        <f t="shared" si="7"/>
        <v>516.29203123651962</v>
      </c>
      <c r="I17" s="257">
        <f t="shared" si="7"/>
        <v>501.00078313328873</v>
      </c>
      <c r="J17" s="257">
        <f t="shared" si="7"/>
        <v>509.32413523727109</v>
      </c>
      <c r="K17" s="257">
        <f t="shared" si="7"/>
        <v>506.38644864064025</v>
      </c>
      <c r="L17" s="257">
        <f t="shared" si="7"/>
        <v>497.12445073854843</v>
      </c>
      <c r="M17" s="257">
        <f t="shared" si="7"/>
        <v>502.37016641508512</v>
      </c>
      <c r="N17" s="257">
        <f t="shared" si="7"/>
        <v>489.20352186397258</v>
      </c>
      <c r="O17" s="257">
        <f t="shared" si="7"/>
        <v>510.68819319614659</v>
      </c>
      <c r="P17" s="257">
        <f t="shared" si="7"/>
        <v>498.26470670048434</v>
      </c>
      <c r="Q17" s="257">
        <f t="shared" si="7"/>
        <v>495.1562782779344</v>
      </c>
      <c r="R17" s="257">
        <f t="shared" si="7"/>
        <v>470.13298025255165</v>
      </c>
      <c r="S17" s="257">
        <f t="shared" si="7"/>
        <v>467.68142874822354</v>
      </c>
      <c r="T17" s="257">
        <f t="shared" si="7"/>
        <v>482.71018054367829</v>
      </c>
      <c r="U17" s="257">
        <f t="shared" si="7"/>
        <v>474.90169404533032</v>
      </c>
      <c r="V17" s="257">
        <f t="shared" si="7"/>
        <v>506.64570041872463</v>
      </c>
      <c r="W17" s="257">
        <f t="shared" si="7"/>
        <v>516.33587400590307</v>
      </c>
      <c r="X17" s="257">
        <f t="shared" ref="X17:Y17" si="8">SUM(X18:X24)</f>
        <v>496.01585029587545</v>
      </c>
      <c r="Y17" s="257">
        <f t="shared" si="8"/>
        <v>500.77616697184231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0.53257579926053533</v>
      </c>
      <c r="N18" s="55">
        <v>0.53257579926061283</v>
      </c>
      <c r="O18" s="55">
        <v>0.53257579926060539</v>
      </c>
      <c r="P18" s="55">
        <v>0.53257579926053411</v>
      </c>
      <c r="Q18" s="55">
        <v>0.53257579926062093</v>
      </c>
      <c r="R18" s="55">
        <v>0.49530037562865759</v>
      </c>
      <c r="S18" s="55">
        <v>0.508779814128823</v>
      </c>
      <c r="T18" s="55">
        <v>0.38723136554315402</v>
      </c>
      <c r="U18" s="55">
        <v>0.35626049818609679</v>
      </c>
      <c r="V18" s="55">
        <v>0.32722132988967839</v>
      </c>
      <c r="W18" s="55">
        <v>0.3503168087687098</v>
      </c>
      <c r="X18" s="55">
        <v>0.40886214953001038</v>
      </c>
      <c r="Y18" s="55">
        <v>0.29508295211134628</v>
      </c>
      <c r="DA18" s="101" t="s">
        <v>1026</v>
      </c>
    </row>
    <row r="19" spans="1:105" x14ac:dyDescent="0.25">
      <c r="A19" s="61" t="s">
        <v>27</v>
      </c>
      <c r="B19" s="55">
        <v>134.01668185904569</v>
      </c>
      <c r="C19" s="55">
        <v>132.3981338494774</v>
      </c>
      <c r="D19" s="55">
        <v>94.20013966420953</v>
      </c>
      <c r="E19" s="55">
        <v>78.074085662212113</v>
      </c>
      <c r="F19" s="55">
        <v>93.240920714886713</v>
      </c>
      <c r="G19" s="55">
        <v>100.9280752095009</v>
      </c>
      <c r="H19" s="55">
        <v>97.263318272325193</v>
      </c>
      <c r="I19" s="55">
        <v>92.419574244962035</v>
      </c>
      <c r="J19" s="55">
        <v>93.483010597405411</v>
      </c>
      <c r="K19" s="55">
        <v>90.343997198084111</v>
      </c>
      <c r="L19" s="55">
        <v>96.03648479990936</v>
      </c>
      <c r="M19" s="55">
        <v>92.627023543832735</v>
      </c>
      <c r="N19" s="55">
        <v>97.451870467611201</v>
      </c>
      <c r="O19" s="55">
        <v>107.9273455681721</v>
      </c>
      <c r="P19" s="55">
        <v>87.899766486203617</v>
      </c>
      <c r="Q19" s="55">
        <v>89.435113037079248</v>
      </c>
      <c r="R19" s="55">
        <v>82.953406505195161</v>
      </c>
      <c r="S19" s="55">
        <v>77.675842138806146</v>
      </c>
      <c r="T19" s="55">
        <v>81.308816463692935</v>
      </c>
      <c r="U19" s="55">
        <v>89.074984010746874</v>
      </c>
      <c r="V19" s="55">
        <v>90.953163933802358</v>
      </c>
      <c r="W19" s="55">
        <v>108.6123717327893</v>
      </c>
      <c r="X19" s="55">
        <v>91.542817623835134</v>
      </c>
      <c r="Y19" s="55">
        <v>91.525817621907436</v>
      </c>
      <c r="DA19" s="101" t="s">
        <v>1027</v>
      </c>
    </row>
    <row r="20" spans="1:105" x14ac:dyDescent="0.25">
      <c r="A20" s="61" t="s">
        <v>166</v>
      </c>
      <c r="B20" s="55">
        <v>279.26633517922812</v>
      </c>
      <c r="C20" s="55">
        <v>291.05037489755978</v>
      </c>
      <c r="D20" s="55">
        <v>332.06505552553909</v>
      </c>
      <c r="E20" s="55">
        <v>341.88449559453983</v>
      </c>
      <c r="F20" s="55">
        <v>350.42133698657187</v>
      </c>
      <c r="G20" s="55">
        <v>334.24694424837247</v>
      </c>
      <c r="H20" s="55">
        <v>324.67604231492379</v>
      </c>
      <c r="I20" s="55">
        <v>320.40205601636882</v>
      </c>
      <c r="J20" s="55">
        <v>327.57528484840992</v>
      </c>
      <c r="K20" s="55">
        <v>332.09048606580291</v>
      </c>
      <c r="L20" s="55">
        <v>315.30743416226102</v>
      </c>
      <c r="M20" s="55">
        <v>321.42466846323453</v>
      </c>
      <c r="N20" s="55">
        <v>295.32800157992301</v>
      </c>
      <c r="O20" s="55">
        <v>310.64454746751932</v>
      </c>
      <c r="P20" s="55">
        <v>314.75263473148959</v>
      </c>
      <c r="Q20" s="55">
        <v>318.57347814793542</v>
      </c>
      <c r="R20" s="55">
        <v>298.42032741278649</v>
      </c>
      <c r="S20" s="55">
        <v>297.28988842541071</v>
      </c>
      <c r="T20" s="55">
        <v>302.23560124619968</v>
      </c>
      <c r="U20" s="55">
        <v>285.78766844107508</v>
      </c>
      <c r="V20" s="55">
        <v>319.89469399666388</v>
      </c>
      <c r="W20" s="55">
        <v>304.93185175537712</v>
      </c>
      <c r="X20" s="55">
        <v>306.29429569455402</v>
      </c>
      <c r="Y20" s="55">
        <v>309.21095322324322</v>
      </c>
      <c r="DA20" s="101" t="s">
        <v>1028</v>
      </c>
    </row>
    <row r="21" spans="1:105" x14ac:dyDescent="0.25">
      <c r="A21" s="61" t="s">
        <v>129</v>
      </c>
      <c r="B21" s="55">
        <v>34.117392338640528</v>
      </c>
      <c r="C21" s="55">
        <v>31.781053509489301</v>
      </c>
      <c r="D21" s="55">
        <v>28.80074341130517</v>
      </c>
      <c r="E21" s="55">
        <v>22.613442342415219</v>
      </c>
      <c r="F21" s="55">
        <v>24.223524196945089</v>
      </c>
      <c r="G21" s="55">
        <v>20.296006392802632</v>
      </c>
      <c r="H21" s="55">
        <v>21.979262808893839</v>
      </c>
      <c r="I21" s="55">
        <v>18.58840236532069</v>
      </c>
      <c r="J21" s="55">
        <v>19.588564479465489</v>
      </c>
      <c r="K21" s="55">
        <v>18.295682164517132</v>
      </c>
      <c r="L21" s="55">
        <v>17.539457210137101</v>
      </c>
      <c r="M21" s="55">
        <v>25.630262880402661</v>
      </c>
      <c r="N21" s="55">
        <v>25.687696019632821</v>
      </c>
      <c r="O21" s="55">
        <v>26.10459123399437</v>
      </c>
      <c r="P21" s="55">
        <v>25.602292765962801</v>
      </c>
      <c r="Q21" s="55">
        <v>18.37605782304442</v>
      </c>
      <c r="R21" s="55">
        <v>17.933344041506341</v>
      </c>
      <c r="S21" s="55">
        <v>17.83375813954515</v>
      </c>
      <c r="T21" s="55">
        <v>18.1864362544286</v>
      </c>
      <c r="U21" s="55">
        <v>16.54498132805109</v>
      </c>
      <c r="V21" s="55">
        <v>13.187184457749041</v>
      </c>
      <c r="W21" s="55">
        <v>14.89311993837357</v>
      </c>
      <c r="X21" s="55">
        <v>15.240265503146629</v>
      </c>
      <c r="Y21" s="55">
        <v>15.33759008502374</v>
      </c>
      <c r="DA21" s="101" t="s">
        <v>1029</v>
      </c>
    </row>
    <row r="22" spans="1:105" x14ac:dyDescent="0.25">
      <c r="A22" s="61" t="s">
        <v>169</v>
      </c>
      <c r="B22" s="55">
        <v>50.606512514858601</v>
      </c>
      <c r="C22" s="55">
        <v>58.78813221066072</v>
      </c>
      <c r="D22" s="55">
        <v>56.921202550156323</v>
      </c>
      <c r="E22" s="55">
        <v>54.07581355073193</v>
      </c>
      <c r="F22" s="55">
        <v>60.078601855537421</v>
      </c>
      <c r="G22" s="55">
        <v>53.618089623652303</v>
      </c>
      <c r="H22" s="55">
        <v>48.624807374270418</v>
      </c>
      <c r="I22" s="55">
        <v>44.372068105911708</v>
      </c>
      <c r="J22" s="55">
        <v>41.883059247434502</v>
      </c>
      <c r="K22" s="55">
        <v>37.181879325329753</v>
      </c>
      <c r="L22" s="55">
        <v>37.983494787335033</v>
      </c>
      <c r="M22" s="55">
        <v>29.033715546412559</v>
      </c>
      <c r="N22" s="55">
        <v>35.953383456231343</v>
      </c>
      <c r="O22" s="55">
        <v>30.841004982731569</v>
      </c>
      <c r="P22" s="55">
        <v>34.351275435668057</v>
      </c>
      <c r="Q22" s="55">
        <v>32.536651231533469</v>
      </c>
      <c r="R22" s="55">
        <v>34.345858329406568</v>
      </c>
      <c r="S22" s="55">
        <v>35.675907525128807</v>
      </c>
      <c r="T22" s="55">
        <v>42.417223132470497</v>
      </c>
      <c r="U22" s="55">
        <v>44.129616980443387</v>
      </c>
      <c r="V22" s="55">
        <v>43.293960927426923</v>
      </c>
      <c r="W22" s="55">
        <v>46.8645371792989</v>
      </c>
      <c r="X22" s="55">
        <v>41.764572568708587</v>
      </c>
      <c r="Y22" s="55">
        <v>43.283605522022299</v>
      </c>
      <c r="DA22" s="101" t="s">
        <v>1030</v>
      </c>
    </row>
    <row r="23" spans="1:105" x14ac:dyDescent="0.25">
      <c r="A23" s="61" t="s">
        <v>164</v>
      </c>
      <c r="B23" s="55">
        <v>9.552057614761047</v>
      </c>
      <c r="C23" s="55">
        <v>9.5520576147610718</v>
      </c>
      <c r="D23" s="55">
        <v>9.5520576147610665</v>
      </c>
      <c r="E23" s="55">
        <v>9.5520576147604501</v>
      </c>
      <c r="F23" s="55">
        <v>9.5520576147606278</v>
      </c>
      <c r="G23" s="55">
        <v>21.47787344399627</v>
      </c>
      <c r="H23" s="55">
        <v>22.85875176008263</v>
      </c>
      <c r="I23" s="55">
        <v>24.325228837629648</v>
      </c>
      <c r="J23" s="55">
        <v>25.89441621211294</v>
      </c>
      <c r="K23" s="55">
        <v>27.554892498508941</v>
      </c>
      <c r="L23" s="55">
        <v>29.329500466854199</v>
      </c>
      <c r="M23" s="55">
        <v>31.212508882581581</v>
      </c>
      <c r="N23" s="55">
        <v>31.43302789010108</v>
      </c>
      <c r="O23" s="55">
        <v>31.7862486012529</v>
      </c>
      <c r="P23" s="55">
        <v>32.233161645263088</v>
      </c>
      <c r="Q23" s="55">
        <v>32.77514334012394</v>
      </c>
      <c r="R23" s="55">
        <v>33.038204952626707</v>
      </c>
      <c r="S23" s="55">
        <v>35.741622136138872</v>
      </c>
      <c r="T23" s="55">
        <v>35.231521717452488</v>
      </c>
      <c r="U23" s="55">
        <v>36.075923610597478</v>
      </c>
      <c r="V23" s="55">
        <v>36.07261633903488</v>
      </c>
      <c r="W23" s="55">
        <v>37.813473703812257</v>
      </c>
      <c r="X23" s="55">
        <v>37.862302178972143</v>
      </c>
      <c r="Y23" s="55">
        <v>38.244240689146601</v>
      </c>
      <c r="DA23" s="101" t="s">
        <v>1031</v>
      </c>
    </row>
    <row r="24" spans="1:105" x14ac:dyDescent="0.25">
      <c r="A24" s="61" t="s">
        <v>152</v>
      </c>
      <c r="B24" s="55">
        <v>0.54156916049378689</v>
      </c>
      <c r="C24" s="55">
        <v>0.97052868689034133</v>
      </c>
      <c r="D24" s="55">
        <v>1.000533373229578</v>
      </c>
      <c r="E24" s="55">
        <v>1.0242114893974601</v>
      </c>
      <c r="F24" s="55">
        <v>1.0515866275792061</v>
      </c>
      <c r="G24" s="55">
        <v>0.88869171050004836</v>
      </c>
      <c r="H24" s="55">
        <v>0.88984870602374844</v>
      </c>
      <c r="I24" s="55">
        <v>0.89345356309586677</v>
      </c>
      <c r="J24" s="55">
        <v>0.89979985244278282</v>
      </c>
      <c r="K24" s="55">
        <v>0.91951138839739788</v>
      </c>
      <c r="L24" s="55">
        <v>0.92807931205170768</v>
      </c>
      <c r="M24" s="55">
        <v>1.909411299360527</v>
      </c>
      <c r="N24" s="55">
        <v>2.8169666512124931</v>
      </c>
      <c r="O24" s="55">
        <v>2.8518795432157331</v>
      </c>
      <c r="P24" s="55">
        <v>2.892999836636688</v>
      </c>
      <c r="Q24" s="55">
        <v>2.927258898957263</v>
      </c>
      <c r="R24" s="55">
        <v>2.946538635401716</v>
      </c>
      <c r="S24" s="55">
        <v>2.9556305690650309</v>
      </c>
      <c r="T24" s="55">
        <v>2.9433503638909349</v>
      </c>
      <c r="U24" s="55">
        <v>2.9322591762302421</v>
      </c>
      <c r="V24" s="55">
        <v>2.9168594341578342</v>
      </c>
      <c r="W24" s="55">
        <v>2.8702028874831571</v>
      </c>
      <c r="X24" s="55">
        <v>2.9027345771288862</v>
      </c>
      <c r="Y24" s="55">
        <v>2.8788768783877181</v>
      </c>
      <c r="DA24" s="101" t="s">
        <v>1032</v>
      </c>
    </row>
    <row r="25" spans="1:105" x14ac:dyDescent="0.25">
      <c r="A25" s="256" t="s">
        <v>167</v>
      </c>
      <c r="B25" s="257">
        <v>53.009714398687557</v>
      </c>
      <c r="C25" s="257">
        <v>54.973697516268572</v>
      </c>
      <c r="D25" s="257">
        <v>57.13171137218945</v>
      </c>
      <c r="E25" s="257">
        <v>56.450584010818602</v>
      </c>
      <c r="F25" s="257">
        <v>59.313159793220038</v>
      </c>
      <c r="G25" s="257">
        <v>57.978767354003992</v>
      </c>
      <c r="H25" s="257">
        <v>56.336564622613828</v>
      </c>
      <c r="I25" s="257">
        <v>54.931284009125683</v>
      </c>
      <c r="J25" s="257">
        <v>55.923570902555461</v>
      </c>
      <c r="K25" s="257">
        <v>55.921956907641018</v>
      </c>
      <c r="L25" s="257">
        <v>54.371364470978833</v>
      </c>
      <c r="M25" s="257">
        <v>55.152196880946022</v>
      </c>
      <c r="N25" s="257">
        <v>52.90356191225694</v>
      </c>
      <c r="O25" s="257">
        <v>55.251404692352367</v>
      </c>
      <c r="P25" s="257">
        <v>54.631487571226018</v>
      </c>
      <c r="Q25" s="257">
        <v>54.549961917707712</v>
      </c>
      <c r="R25" s="257">
        <v>51.662217990982192</v>
      </c>
      <c r="S25" s="257">
        <v>51.476242042176899</v>
      </c>
      <c r="T25" s="257">
        <v>52.899630048088937</v>
      </c>
      <c r="U25" s="257">
        <v>51.437782099490803</v>
      </c>
      <c r="V25" s="257">
        <v>55.566857114427258</v>
      </c>
      <c r="W25" s="257">
        <v>55.493883740402268</v>
      </c>
      <c r="X25" s="257">
        <v>54.074683492918567</v>
      </c>
      <c r="Y25" s="257">
        <v>54.590321111831138</v>
      </c>
      <c r="DA25" s="272" t="s">
        <v>1033</v>
      </c>
    </row>
    <row r="26" spans="1:105" x14ac:dyDescent="0.25">
      <c r="A26" s="256" t="s">
        <v>170</v>
      </c>
      <c r="B26" s="257">
        <v>21.3136943991578</v>
      </c>
      <c r="C26" s="257">
        <v>22.495092521582361</v>
      </c>
      <c r="D26" s="257">
        <v>23.462758662180629</v>
      </c>
      <c r="E26" s="257">
        <v>26.268806096469319</v>
      </c>
      <c r="F26" s="257">
        <v>49.931215989032438</v>
      </c>
      <c r="G26" s="257">
        <v>52.048745080629793</v>
      </c>
      <c r="H26" s="257">
        <v>52.572518233122032</v>
      </c>
      <c r="I26" s="257">
        <v>49.155224277519068</v>
      </c>
      <c r="J26" s="257">
        <v>47.649032983370958</v>
      </c>
      <c r="K26" s="257">
        <v>52.326392479057837</v>
      </c>
      <c r="L26" s="257">
        <v>52.801554478919392</v>
      </c>
      <c r="M26" s="257">
        <v>55.733432115207421</v>
      </c>
      <c r="N26" s="257">
        <v>56.66191285163525</v>
      </c>
      <c r="O26" s="257">
        <v>58.667676361914189</v>
      </c>
      <c r="P26" s="257">
        <v>55.467299483760733</v>
      </c>
      <c r="Q26" s="257">
        <v>58.675678771079347</v>
      </c>
      <c r="R26" s="257">
        <v>57.883538719695139</v>
      </c>
      <c r="S26" s="257">
        <v>57.901320808790167</v>
      </c>
      <c r="T26" s="257">
        <v>57.061426592249411</v>
      </c>
      <c r="U26" s="257">
        <v>55.869926847136973</v>
      </c>
      <c r="V26" s="257">
        <v>54.971576734503977</v>
      </c>
      <c r="W26" s="257">
        <v>52.692483980607278</v>
      </c>
      <c r="X26" s="257">
        <v>53.6194380085552</v>
      </c>
      <c r="Y26" s="257">
        <v>49.819976935530903</v>
      </c>
      <c r="DA26" s="272" t="s">
        <v>1034</v>
      </c>
    </row>
    <row r="27" spans="1:105" x14ac:dyDescent="0.25">
      <c r="A27" s="128" t="s">
        <v>33</v>
      </c>
      <c r="B27" s="258">
        <v>32.48345029527075</v>
      </c>
      <c r="C27" s="258">
        <v>34.283977527669329</v>
      </c>
      <c r="D27" s="258">
        <v>35.758763380927242</v>
      </c>
      <c r="E27" s="258">
        <v>40.035361358305117</v>
      </c>
      <c r="F27" s="258">
        <v>76.098406141464309</v>
      </c>
      <c r="G27" s="258">
        <v>79.325657584011566</v>
      </c>
      <c r="H27" s="258">
        <v>80.123921781965464</v>
      </c>
      <c r="I27" s="258">
        <v>74.915744528774525</v>
      </c>
      <c r="J27" s="258">
        <v>72.620211472780056</v>
      </c>
      <c r="K27" s="258">
        <v>79.748810196484285</v>
      </c>
      <c r="L27" s="258">
        <v>80.47298785032703</v>
      </c>
      <c r="M27" s="258">
        <v>84.941359202875958</v>
      </c>
      <c r="N27" s="258">
        <v>86.356423962979733</v>
      </c>
      <c r="O27" s="258">
        <v>89.413337422937587</v>
      </c>
      <c r="P27" s="258">
        <v>84.535755840847386</v>
      </c>
      <c r="Q27" s="258">
        <v>89.42553361264973</v>
      </c>
      <c r="R27" s="258">
        <v>88.218260884415045</v>
      </c>
      <c r="S27" s="258">
        <v>88.245361939560439</v>
      </c>
      <c r="T27" s="258">
        <v>86.965308771613834</v>
      </c>
      <c r="U27" s="258">
        <v>85.149386012173451</v>
      </c>
      <c r="V27" s="258">
        <v>83.780242273647445</v>
      </c>
      <c r="W27" s="258">
        <v>80.306757348742039</v>
      </c>
      <c r="X27" s="258">
        <v>81.719495306270275</v>
      </c>
      <c r="Y27" s="258">
        <v>75.92887062135982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0.99999999999999989</v>
      </c>
      <c r="D31" s="235">
        <f t="shared" si="9"/>
        <v>0.99999999999999989</v>
      </c>
      <c r="E31" s="235">
        <f t="shared" si="9"/>
        <v>0.99999999999999989</v>
      </c>
      <c r="F31" s="235">
        <f t="shared" si="9"/>
        <v>1.0000000000000002</v>
      </c>
      <c r="G31" s="235">
        <f t="shared" si="9"/>
        <v>0.99999999999999989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1</v>
      </c>
      <c r="K31" s="235">
        <f t="shared" si="9"/>
        <v>1</v>
      </c>
      <c r="L31" s="235">
        <f t="shared" si="9"/>
        <v>1.0000000000000002</v>
      </c>
      <c r="M31" s="235">
        <f t="shared" si="9"/>
        <v>1</v>
      </c>
      <c r="N31" s="235">
        <f t="shared" si="9"/>
        <v>1.0000000000000002</v>
      </c>
      <c r="O31" s="235">
        <f t="shared" si="9"/>
        <v>0.99999999999999989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1.0000000000000002</v>
      </c>
      <c r="V31" s="235">
        <f t="shared" si="10"/>
        <v>1.0000000000000002</v>
      </c>
      <c r="W31" s="235">
        <f t="shared" si="10"/>
        <v>1.0000000000000002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1.3301596454295756E-2</v>
      </c>
      <c r="C32" s="244">
        <f t="shared" si="12"/>
        <v>1.3514209556458642E-2</v>
      </c>
      <c r="D32" s="244">
        <f t="shared" si="12"/>
        <v>1.3773391981351633E-2</v>
      </c>
      <c r="E32" s="244">
        <f t="shared" si="12"/>
        <v>1.5558954405657152E-2</v>
      </c>
      <c r="F32" s="244">
        <f t="shared" si="12"/>
        <v>2.6094420422657975E-2</v>
      </c>
      <c r="G32" s="244">
        <f t="shared" si="12"/>
        <v>2.7445988631987311E-2</v>
      </c>
      <c r="H32" s="244">
        <f t="shared" si="12"/>
        <v>2.8330325898251227E-2</v>
      </c>
      <c r="I32" s="244">
        <f t="shared" si="12"/>
        <v>2.7453662138670898E-2</v>
      </c>
      <c r="J32" s="244">
        <f t="shared" si="12"/>
        <v>2.6411883503046241E-2</v>
      </c>
      <c r="K32" s="244">
        <f t="shared" si="12"/>
        <v>2.855759392178471E-2</v>
      </c>
      <c r="L32" s="244">
        <f t="shared" si="12"/>
        <v>2.9304577635191884E-2</v>
      </c>
      <c r="M32" s="244">
        <f t="shared" si="12"/>
        <v>3.0290460831590316E-2</v>
      </c>
      <c r="N32" s="244">
        <f t="shared" si="12"/>
        <v>3.1429964902092593E-2</v>
      </c>
      <c r="O32" s="244">
        <f t="shared" si="12"/>
        <v>3.1276582678987891E-2</v>
      </c>
      <c r="P32" s="244">
        <f t="shared" si="12"/>
        <v>3.028407044676305E-2</v>
      </c>
      <c r="Q32" s="244">
        <f t="shared" si="12"/>
        <v>3.1698116601963235E-2</v>
      </c>
      <c r="R32" s="244">
        <f t="shared" si="12"/>
        <v>3.2582398349275413E-2</v>
      </c>
      <c r="S32" s="244">
        <f t="shared" si="12"/>
        <v>3.2690571512819892E-2</v>
      </c>
      <c r="T32" s="244">
        <f t="shared" si="12"/>
        <v>3.1605078315152628E-2</v>
      </c>
      <c r="U32" s="244">
        <f t="shared" si="12"/>
        <v>3.1595986167177348E-2</v>
      </c>
      <c r="V32" s="244">
        <f t="shared" si="12"/>
        <v>2.9615099196140221E-2</v>
      </c>
      <c r="W32" s="244">
        <f t="shared" si="12"/>
        <v>2.8452254223847184E-2</v>
      </c>
      <c r="X32" s="244">
        <f t="shared" si="12"/>
        <v>2.9593501505387258E-2</v>
      </c>
      <c r="Y32" s="244">
        <f t="shared" si="12"/>
        <v>2.7710752092933017E-2</v>
      </c>
      <c r="DA32" s="275"/>
    </row>
    <row r="33" spans="1:105" x14ac:dyDescent="0.25">
      <c r="A33" s="240" t="s">
        <v>124</v>
      </c>
      <c r="B33" s="245">
        <f t="shared" ref="B33:Y33" si="13">IF(B$7=0,0,B$7/B$5)</f>
        <v>8.573652322142163E-3</v>
      </c>
      <c r="C33" s="245">
        <f t="shared" si="13"/>
        <v>8.7106938286515556E-3</v>
      </c>
      <c r="D33" s="245">
        <f t="shared" si="13"/>
        <v>8.8777519713848403E-3</v>
      </c>
      <c r="E33" s="245">
        <f t="shared" si="13"/>
        <v>1.002865077350064E-2</v>
      </c>
      <c r="F33" s="245">
        <f t="shared" si="13"/>
        <v>1.681937119505859E-2</v>
      </c>
      <c r="G33" s="245">
        <f t="shared" si="13"/>
        <v>1.7690535491484666E-2</v>
      </c>
      <c r="H33" s="245">
        <f t="shared" si="13"/>
        <v>1.8260542278452835E-2</v>
      </c>
      <c r="I33" s="245">
        <f t="shared" si="13"/>
        <v>1.7695481512710217E-2</v>
      </c>
      <c r="J33" s="245">
        <f t="shared" si="13"/>
        <v>1.7023994608926049E-2</v>
      </c>
      <c r="K33" s="245">
        <f t="shared" si="13"/>
        <v>1.840702973388059E-2</v>
      </c>
      <c r="L33" s="245">
        <f t="shared" si="13"/>
        <v>1.8888504169754586E-2</v>
      </c>
      <c r="M33" s="245">
        <f t="shared" si="13"/>
        <v>1.9523963212975878E-2</v>
      </c>
      <c r="N33" s="245">
        <f t="shared" si="13"/>
        <v>2.0258439841681384E-2</v>
      </c>
      <c r="O33" s="245">
        <f t="shared" si="13"/>
        <v>2.0159576080642217E-2</v>
      </c>
      <c r="P33" s="245">
        <f t="shared" si="13"/>
        <v>1.9519844238392491E-2</v>
      </c>
      <c r="Q33" s="245">
        <f t="shared" si="13"/>
        <v>2.0431279203646825E-2</v>
      </c>
      <c r="R33" s="245">
        <f t="shared" si="13"/>
        <v>2.1001250205422518E-2</v>
      </c>
      <c r="S33" s="245">
        <f t="shared" si="13"/>
        <v>2.1070974098941861E-2</v>
      </c>
      <c r="T33" s="245">
        <f t="shared" si="13"/>
        <v>2.0371310618183966E-2</v>
      </c>
      <c r="U33" s="245">
        <f t="shared" si="13"/>
        <v>2.0365450200160503E-2</v>
      </c>
      <c r="V33" s="245">
        <f t="shared" si="13"/>
        <v>1.9088653370735672E-2</v>
      </c>
      <c r="W33" s="245">
        <f t="shared" si="13"/>
        <v>1.8339132173693803E-2</v>
      </c>
      <c r="X33" s="245">
        <f t="shared" si="13"/>
        <v>1.9074732403270352E-2</v>
      </c>
      <c r="Y33" s="245">
        <f t="shared" si="13"/>
        <v>1.7861190936457393E-2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1.7037838244250796E-2</v>
      </c>
      <c r="C34" s="245">
        <f t="shared" si="14"/>
        <v>1.7310171543167698E-2</v>
      </c>
      <c r="D34" s="245">
        <f t="shared" si="14"/>
        <v>1.7642154869097978E-2</v>
      </c>
      <c r="E34" s="245">
        <f t="shared" si="14"/>
        <v>1.9929258064933147E-2</v>
      </c>
      <c r="F34" s="245">
        <f t="shared" si="14"/>
        <v>3.3423996568106663E-2</v>
      </c>
      <c r="G34" s="245">
        <f t="shared" si="14"/>
        <v>3.5155202337710981E-2</v>
      </c>
      <c r="H34" s="245">
        <f t="shared" si="14"/>
        <v>3.6287938197480767E-2</v>
      </c>
      <c r="I34" s="245">
        <f t="shared" si="14"/>
        <v>3.5165031230512733E-2</v>
      </c>
      <c r="J34" s="245">
        <f t="shared" si="14"/>
        <v>3.3830630811654945E-2</v>
      </c>
      <c r="K34" s="245">
        <f t="shared" si="14"/>
        <v>3.6579042790554163E-2</v>
      </c>
      <c r="L34" s="245">
        <f t="shared" si="14"/>
        <v>3.7535844308616381E-2</v>
      </c>
      <c r="M34" s="245">
        <f t="shared" si="14"/>
        <v>3.8798649001697938E-2</v>
      </c>
      <c r="N34" s="245">
        <f t="shared" si="14"/>
        <v>4.0258224632231596E-2</v>
      </c>
      <c r="O34" s="245">
        <f t="shared" si="14"/>
        <v>4.0061759379674822E-2</v>
      </c>
      <c r="P34" s="245">
        <f t="shared" si="14"/>
        <v>3.8790463642641257E-2</v>
      </c>
      <c r="Q34" s="245">
        <f t="shared" si="14"/>
        <v>4.0601696583362802E-2</v>
      </c>
      <c r="R34" s="245">
        <f t="shared" si="14"/>
        <v>4.1734361329644656E-2</v>
      </c>
      <c r="S34" s="245">
        <f t="shared" si="14"/>
        <v>4.1872918898217121E-2</v>
      </c>
      <c r="T34" s="245">
        <f t="shared" si="14"/>
        <v>4.0482525077397476E-2</v>
      </c>
      <c r="U34" s="245">
        <f t="shared" si="14"/>
        <v>4.0470879065805723E-2</v>
      </c>
      <c r="V34" s="245">
        <f t="shared" si="14"/>
        <v>3.7933587252102045E-2</v>
      </c>
      <c r="W34" s="245">
        <f t="shared" si="14"/>
        <v>3.6444114570447307E-2</v>
      </c>
      <c r="X34" s="245">
        <f t="shared" si="14"/>
        <v>3.7905923056848277E-2</v>
      </c>
      <c r="Y34" s="245">
        <f t="shared" si="14"/>
        <v>3.5494334338601337E-2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0.3366552518954869</v>
      </c>
      <c r="C35" s="246">
        <f t="shared" si="15"/>
        <v>0.33793205043808039</v>
      </c>
      <c r="D35" s="246">
        <f t="shared" si="15"/>
        <v>0.34054926787671153</v>
      </c>
      <c r="E35" s="246">
        <f t="shared" si="15"/>
        <v>0.33798161381569836</v>
      </c>
      <c r="F35" s="246">
        <f t="shared" si="15"/>
        <v>0.31999168215251145</v>
      </c>
      <c r="G35" s="246">
        <f t="shared" si="15"/>
        <v>0.31741132915863274</v>
      </c>
      <c r="H35" s="246">
        <f t="shared" si="15"/>
        <v>0.31640962165237252</v>
      </c>
      <c r="I35" s="246">
        <f t="shared" si="15"/>
        <v>0.31690369636994359</v>
      </c>
      <c r="J35" s="246">
        <f t="shared" si="15"/>
        <v>0.31740842293085603</v>
      </c>
      <c r="K35" s="246">
        <f t="shared" si="15"/>
        <v>0.31566711348454601</v>
      </c>
      <c r="L35" s="246">
        <f t="shared" si="15"/>
        <v>0.31494973252958075</v>
      </c>
      <c r="M35" s="246">
        <f t="shared" si="15"/>
        <v>0.31412628946088689</v>
      </c>
      <c r="N35" s="246">
        <f t="shared" si="15"/>
        <v>0.31486466346410413</v>
      </c>
      <c r="O35" s="246">
        <f t="shared" si="15"/>
        <v>0.31388660187735745</v>
      </c>
      <c r="P35" s="246">
        <f t="shared" si="15"/>
        <v>0.31637013605028086</v>
      </c>
      <c r="Q35" s="246">
        <f t="shared" si="15"/>
        <v>0.31620061930078797</v>
      </c>
      <c r="R35" s="246">
        <f t="shared" si="15"/>
        <v>0.31748907790732517</v>
      </c>
      <c r="S35" s="246">
        <f t="shared" si="15"/>
        <v>0.31762968438190903</v>
      </c>
      <c r="T35" s="246">
        <f t="shared" si="15"/>
        <v>0.31825450357336571</v>
      </c>
      <c r="U35" s="246">
        <f t="shared" si="15"/>
        <v>0.31886684306877167</v>
      </c>
      <c r="V35" s="246">
        <f t="shared" si="15"/>
        <v>0.31820054325650632</v>
      </c>
      <c r="W35" s="246">
        <f t="shared" si="15"/>
        <v>0.31846117545977515</v>
      </c>
      <c r="X35" s="246">
        <f t="shared" si="15"/>
        <v>0.31827386548234704</v>
      </c>
      <c r="Y35" s="246">
        <f t="shared" si="15"/>
        <v>0.31940975056129545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0.24388886756609282</v>
      </c>
      <c r="C36" s="259">
        <f t="shared" si="16"/>
        <v>0.24347215119107657</v>
      </c>
      <c r="D36" s="259">
        <f t="shared" si="16"/>
        <v>0.24724672439918752</v>
      </c>
      <c r="E36" s="259">
        <f t="shared" si="16"/>
        <v>0.24649038996032976</v>
      </c>
      <c r="F36" s="259">
        <f t="shared" si="16"/>
        <v>0.22851675729442186</v>
      </c>
      <c r="G36" s="259">
        <f t="shared" si="16"/>
        <v>0.22538710918030858</v>
      </c>
      <c r="H36" s="259">
        <f t="shared" si="16"/>
        <v>0.22380749677347253</v>
      </c>
      <c r="I36" s="259">
        <f t="shared" si="16"/>
        <v>0.22617355933824163</v>
      </c>
      <c r="J36" s="259">
        <f t="shared" si="16"/>
        <v>0.22852391506743425</v>
      </c>
      <c r="K36" s="259">
        <f t="shared" si="16"/>
        <v>0.22499592848166833</v>
      </c>
      <c r="L36" s="259">
        <f t="shared" si="16"/>
        <v>0.22245925021522053</v>
      </c>
      <c r="M36" s="259">
        <f t="shared" si="16"/>
        <v>0.22097563377089102</v>
      </c>
      <c r="N36" s="259">
        <f t="shared" si="16"/>
        <v>0.21633613022182388</v>
      </c>
      <c r="O36" s="259">
        <f t="shared" si="16"/>
        <v>0.21714768860196978</v>
      </c>
      <c r="P36" s="259">
        <f t="shared" si="16"/>
        <v>0.21989316543021251</v>
      </c>
      <c r="Q36" s="259">
        <f t="shared" si="16"/>
        <v>0.21725074145084203</v>
      </c>
      <c r="R36" s="259">
        <f t="shared" si="16"/>
        <v>0.21438406524796591</v>
      </c>
      <c r="S36" s="259">
        <f t="shared" si="16"/>
        <v>0.21425568590208979</v>
      </c>
      <c r="T36" s="259">
        <f t="shared" si="16"/>
        <v>0.21600229208122443</v>
      </c>
      <c r="U36" s="259">
        <f t="shared" si="16"/>
        <v>0.21445072850344662</v>
      </c>
      <c r="V36" s="259">
        <f t="shared" si="16"/>
        <v>0.22068982516168892</v>
      </c>
      <c r="W36" s="259">
        <f t="shared" si="16"/>
        <v>0.22090452273266353</v>
      </c>
      <c r="X36" s="259">
        <f t="shared" si="16"/>
        <v>0.22001868341895869</v>
      </c>
      <c r="Y36" s="259">
        <f t="shared" si="16"/>
        <v>0.22384733026069292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0.31444409310655785</v>
      </c>
      <c r="C37" s="259">
        <f t="shared" si="17"/>
        <v>0.31248591953580435</v>
      </c>
      <c r="D37" s="259">
        <f t="shared" si="17"/>
        <v>0.30417946774671967</v>
      </c>
      <c r="E37" s="259">
        <f t="shared" si="17"/>
        <v>0.29791248377622681</v>
      </c>
      <c r="F37" s="259">
        <f t="shared" si="17"/>
        <v>0.27910320527126947</v>
      </c>
      <c r="G37" s="259">
        <f t="shared" si="17"/>
        <v>0.27789735492553658</v>
      </c>
      <c r="H37" s="259">
        <f t="shared" si="17"/>
        <v>0.27589063292659832</v>
      </c>
      <c r="I37" s="259">
        <f t="shared" si="17"/>
        <v>0.27747109679567672</v>
      </c>
      <c r="J37" s="259">
        <f t="shared" si="17"/>
        <v>0.27995503434459801</v>
      </c>
      <c r="K37" s="259">
        <f t="shared" si="17"/>
        <v>0.27405115572466848</v>
      </c>
      <c r="L37" s="259">
        <f t="shared" si="17"/>
        <v>0.27359151575476659</v>
      </c>
      <c r="M37" s="259">
        <f t="shared" si="17"/>
        <v>0.27074639117339006</v>
      </c>
      <c r="N37" s="259">
        <f t="shared" si="17"/>
        <v>0.26908592546840238</v>
      </c>
      <c r="O37" s="259">
        <f t="shared" si="17"/>
        <v>0.26997588195462086</v>
      </c>
      <c r="P37" s="259">
        <f t="shared" si="17"/>
        <v>0.26976530606745602</v>
      </c>
      <c r="Q37" s="259">
        <f t="shared" si="17"/>
        <v>0.26525670451596772</v>
      </c>
      <c r="R37" s="259">
        <f t="shared" si="17"/>
        <v>0.26242030560223567</v>
      </c>
      <c r="S37" s="259">
        <f t="shared" si="17"/>
        <v>0.26183814207339368</v>
      </c>
      <c r="T37" s="259">
        <f t="shared" si="17"/>
        <v>0.26512424656065159</v>
      </c>
      <c r="U37" s="259">
        <f t="shared" si="17"/>
        <v>0.2663215283686175</v>
      </c>
      <c r="V37" s="259">
        <f t="shared" si="17"/>
        <v>0.27066250853391721</v>
      </c>
      <c r="W37" s="259">
        <f t="shared" si="17"/>
        <v>0.27647066158718653</v>
      </c>
      <c r="X37" s="259">
        <f t="shared" si="17"/>
        <v>0.27146784431378529</v>
      </c>
      <c r="Y37" s="259">
        <f t="shared" si="17"/>
        <v>0.27620859326202984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3.2805694883939869E-2</v>
      </c>
      <c r="C38" s="259">
        <f t="shared" si="18"/>
        <v>3.2749642016958465E-2</v>
      </c>
      <c r="D38" s="259">
        <f t="shared" si="18"/>
        <v>3.3257363005694547E-2</v>
      </c>
      <c r="E38" s="259">
        <f t="shared" si="18"/>
        <v>3.3155627829837622E-2</v>
      </c>
      <c r="F38" s="259">
        <f t="shared" si="18"/>
        <v>3.0737979516988732E-2</v>
      </c>
      <c r="G38" s="259">
        <f t="shared" si="18"/>
        <v>3.0317007940260755E-2</v>
      </c>
      <c r="H38" s="259">
        <f t="shared" si="18"/>
        <v>3.0104532958640271E-2</v>
      </c>
      <c r="I38" s="259">
        <f t="shared" si="18"/>
        <v>3.042279400659521E-2</v>
      </c>
      <c r="J38" s="259">
        <f t="shared" si="18"/>
        <v>3.0738942315003421E-2</v>
      </c>
      <c r="K38" s="259">
        <f t="shared" si="18"/>
        <v>3.026438989839543E-2</v>
      </c>
      <c r="L38" s="259">
        <f t="shared" si="18"/>
        <v>2.9923179190181139E-2</v>
      </c>
      <c r="M38" s="259">
        <f t="shared" si="18"/>
        <v>2.9723616705500385E-2</v>
      </c>
      <c r="N38" s="259">
        <f t="shared" si="18"/>
        <v>2.9099553215589727E-2</v>
      </c>
      <c r="O38" s="259">
        <f t="shared" si="18"/>
        <v>2.9208716609824416E-2</v>
      </c>
      <c r="P38" s="259">
        <f t="shared" si="18"/>
        <v>2.9578012986641828E-2</v>
      </c>
      <c r="Q38" s="259">
        <f t="shared" si="18"/>
        <v>2.9222578334431877E-2</v>
      </c>
      <c r="R38" s="259">
        <f t="shared" si="18"/>
        <v>2.8836979328699802E-2</v>
      </c>
      <c r="S38" s="259">
        <f t="shared" si="18"/>
        <v>2.8819710915867987E-2</v>
      </c>
      <c r="T38" s="259">
        <f t="shared" si="18"/>
        <v>2.9054648369007681E-2</v>
      </c>
      <c r="U38" s="259">
        <f t="shared" si="18"/>
        <v>2.8845946258765524E-2</v>
      </c>
      <c r="V38" s="259">
        <f t="shared" si="18"/>
        <v>2.9685172351224365E-2</v>
      </c>
      <c r="W38" s="259">
        <f t="shared" si="18"/>
        <v>2.9714051500469681E-2</v>
      </c>
      <c r="X38" s="259">
        <f t="shared" si="18"/>
        <v>2.9594896515940827E-2</v>
      </c>
      <c r="Y38" s="259">
        <f t="shared" si="18"/>
        <v>3.0109890994211772E-2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1.3190234341757184E-2</v>
      </c>
      <c r="C39" s="259">
        <f t="shared" si="19"/>
        <v>1.3401067428694706E-2</v>
      </c>
      <c r="D39" s="259">
        <f t="shared" si="19"/>
        <v>1.3658079955976676E-2</v>
      </c>
      <c r="E39" s="259">
        <f t="shared" si="19"/>
        <v>1.54286934976933E-2</v>
      </c>
      <c r="F39" s="259">
        <f t="shared" si="19"/>
        <v>2.5875955684705527E-2</v>
      </c>
      <c r="G39" s="259">
        <f t="shared" si="19"/>
        <v>2.7216208448437942E-2</v>
      </c>
      <c r="H39" s="259">
        <f t="shared" si="19"/>
        <v>2.8093141966850522E-2</v>
      </c>
      <c r="I39" s="259">
        <f t="shared" si="19"/>
        <v>2.7223817711861869E-2</v>
      </c>
      <c r="J39" s="259">
        <f t="shared" si="19"/>
        <v>2.6190760936809308E-2</v>
      </c>
      <c r="K39" s="259">
        <f t="shared" si="19"/>
        <v>2.8318507282893212E-2</v>
      </c>
      <c r="L39" s="259">
        <f t="shared" si="19"/>
        <v>2.9059237184237845E-2</v>
      </c>
      <c r="M39" s="259">
        <f t="shared" si="19"/>
        <v>3.0036866481501355E-2</v>
      </c>
      <c r="N39" s="259">
        <f t="shared" si="19"/>
        <v>3.1166830525663668E-2</v>
      </c>
      <c r="O39" s="259">
        <f t="shared" si="19"/>
        <v>3.1014732431757262E-2</v>
      </c>
      <c r="P39" s="259">
        <f t="shared" si="19"/>
        <v>3.0030529597526914E-2</v>
      </c>
      <c r="Q39" s="259">
        <f t="shared" si="19"/>
        <v>3.1432737236379737E-2</v>
      </c>
      <c r="R39" s="259">
        <f t="shared" si="19"/>
        <v>3.2309615700650038E-2</v>
      </c>
      <c r="S39" s="259">
        <f t="shared" si="19"/>
        <v>3.2416883229141331E-2</v>
      </c>
      <c r="T39" s="259">
        <f t="shared" si="19"/>
        <v>3.1340477874129184E-2</v>
      </c>
      <c r="U39" s="259">
        <f t="shared" si="19"/>
        <v>3.1331461846400802E-2</v>
      </c>
      <c r="V39" s="259">
        <f t="shared" si="19"/>
        <v>2.936715903190102E-2</v>
      </c>
      <c r="W39" s="259">
        <f t="shared" si="19"/>
        <v>2.8214049497990473E-2</v>
      </c>
      <c r="X39" s="259">
        <f t="shared" si="19"/>
        <v>2.9345742158877461E-2</v>
      </c>
      <c r="Y39" s="259">
        <f t="shared" si="19"/>
        <v>2.7478755286857531E-2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2.010277118547657E-2</v>
      </c>
      <c r="C40" s="261">
        <f t="shared" si="20"/>
        <v>2.0424094461107482E-2</v>
      </c>
      <c r="D40" s="261">
        <f t="shared" si="20"/>
        <v>2.081579819387545E-2</v>
      </c>
      <c r="E40" s="261">
        <f t="shared" si="20"/>
        <v>2.3514327876123207E-2</v>
      </c>
      <c r="F40" s="261">
        <f t="shared" si="20"/>
        <v>3.9436631894279865E-2</v>
      </c>
      <c r="G40" s="261">
        <f t="shared" si="20"/>
        <v>4.1479263885640397E-2</v>
      </c>
      <c r="H40" s="261">
        <f t="shared" si="20"/>
        <v>4.2815767347880958E-2</v>
      </c>
      <c r="I40" s="261">
        <f t="shared" si="20"/>
        <v>4.149086089578731E-2</v>
      </c>
      <c r="J40" s="261">
        <f t="shared" si="20"/>
        <v>3.9916415481671803E-2</v>
      </c>
      <c r="K40" s="261">
        <f t="shared" si="20"/>
        <v>4.3159238681609029E-2</v>
      </c>
      <c r="L40" s="261">
        <f t="shared" si="20"/>
        <v>4.4288159012450382E-2</v>
      </c>
      <c r="M40" s="261">
        <f t="shared" si="20"/>
        <v>4.577812936156616E-2</v>
      </c>
      <c r="N40" s="261">
        <f t="shared" si="20"/>
        <v>4.7500267728410712E-2</v>
      </c>
      <c r="O40" s="261">
        <f t="shared" si="20"/>
        <v>4.7268460385165266E-2</v>
      </c>
      <c r="P40" s="261">
        <f t="shared" si="20"/>
        <v>4.576847154008503E-2</v>
      </c>
      <c r="Q40" s="261">
        <f t="shared" si="20"/>
        <v>4.7905526772617786E-2</v>
      </c>
      <c r="R40" s="261">
        <f t="shared" si="20"/>
        <v>4.9241946328780879E-2</v>
      </c>
      <c r="S40" s="261">
        <f t="shared" si="20"/>
        <v>4.9405428987619252E-2</v>
      </c>
      <c r="T40" s="261">
        <f t="shared" si="20"/>
        <v>4.7764917530887359E-2</v>
      </c>
      <c r="U40" s="261">
        <f t="shared" si="20"/>
        <v>4.7751176520854519E-2</v>
      </c>
      <c r="V40" s="261">
        <f t="shared" si="20"/>
        <v>4.4757451845784356E-2</v>
      </c>
      <c r="W40" s="261">
        <f t="shared" si="20"/>
        <v>4.3000038253926419E-2</v>
      </c>
      <c r="X40" s="261">
        <f t="shared" si="20"/>
        <v>4.472481114458482E-2</v>
      </c>
      <c r="Y40" s="261">
        <f t="shared" si="20"/>
        <v>4.1879402266920759E-2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0.3726820172291806</v>
      </c>
      <c r="C44" s="237">
        <f>IF(C$5=0,0,C$5/AGR_fec!C$5)</f>
        <v>0.37352349462738571</v>
      </c>
      <c r="D44" s="237">
        <f>IF(D$5=0,0,D$5/AGR_fec!D$5)</f>
        <v>0.37422460191171736</v>
      </c>
      <c r="E44" s="237">
        <f>IF(E$5=0,0,E$5/AGR_fec!E$5)</f>
        <v>0.37563156820022553</v>
      </c>
      <c r="F44" s="237">
        <f>IF(F$5=0,0,F$5/AGR_fec!F$5)</f>
        <v>0.3845544640802836</v>
      </c>
      <c r="G44" s="237">
        <f>IF(G$5=0,0,G$5/AGR_fec!G$5)</f>
        <v>0.38527916820690372</v>
      </c>
      <c r="H44" s="237">
        <f>IF(H$5=0,0,H$5/AGR_fec!H$5)</f>
        <v>0.38605901525715136</v>
      </c>
      <c r="I44" s="237">
        <f>IF(I$5=0,0,I$5/AGR_fec!I$5)</f>
        <v>0.38474616621498153</v>
      </c>
      <c r="J44" s="237">
        <f>IF(J$5=0,0,J$5/AGR_fec!J$5)</f>
        <v>0.38319715271978982</v>
      </c>
      <c r="K44" s="237">
        <f>IF(K$5=0,0,K$5/AGR_fec!K$5)</f>
        <v>0.38565464037565378</v>
      </c>
      <c r="L44" s="237">
        <f>IF(L$5=0,0,L$5/AGR_fec!L$5)</f>
        <v>0.38662992864959644</v>
      </c>
      <c r="M44" s="237">
        <f>IF(M$5=0,0,M$5/AGR_fec!M$5)</f>
        <v>0.38727109116784547</v>
      </c>
      <c r="N44" s="237">
        <f>IF(N$5=0,0,N$5/AGR_fec!N$5)</f>
        <v>0.38954514763850034</v>
      </c>
      <c r="O44" s="237">
        <f>IF(O$5=0,0,O$5/AGR_fec!O$5)</f>
        <v>0.38893735445887528</v>
      </c>
      <c r="P44" s="237">
        <f>IF(P$5=0,0,P$5/AGR_fec!P$5)</f>
        <v>0.38797494372385016</v>
      </c>
      <c r="Q44" s="237">
        <f>IF(Q$5=0,0,Q$5/AGR_fec!Q$5)</f>
        <v>0.39031857877609594</v>
      </c>
      <c r="R44" s="237">
        <f>IF(R$5=0,0,R$5/AGR_fec!R$5)</f>
        <v>0.3922108855767939</v>
      </c>
      <c r="S44" s="237">
        <f>IF(S$5=0,0,S$5/AGR_fec!S$5)</f>
        <v>0.39227924273492676</v>
      </c>
      <c r="T44" s="237">
        <f>IF(T$5=0,0,T$5/AGR_fec!T$5)</f>
        <v>0.39092848890946419</v>
      </c>
      <c r="U44" s="237">
        <f>IF(U$5=0,0,U$5/AGR_fec!U$5)</f>
        <v>0.39129987122642301</v>
      </c>
      <c r="V44" s="237">
        <f>IF(V$5=0,0,V$5/AGR_fec!V$5)</f>
        <v>0.38790404146717455</v>
      </c>
      <c r="W44" s="237">
        <f>IF(W$5=0,0,W$5/AGR_fec!W$5)</f>
        <v>0.38640008802282944</v>
      </c>
      <c r="X44" s="237">
        <f>IF(X$5=0,0,X$5/AGR_fec!X$5)</f>
        <v>0.38775517794524095</v>
      </c>
      <c r="Y44" s="237">
        <f>IF(Y$5=0,0,Y$5/AGR_fec!Y$5)</f>
        <v>0.38523657120436933</v>
      </c>
      <c r="DA44" s="286"/>
    </row>
    <row r="45" spans="1:105" x14ac:dyDescent="0.25">
      <c r="A45" s="238" t="s">
        <v>125</v>
      </c>
      <c r="B45" s="250">
        <f>IF(B$6=0,0,B$6/AGR_fec!B$6)</f>
        <v>0.47194824795553836</v>
      </c>
      <c r="C45" s="250">
        <f>IF(C$6=0,0,C$6/AGR_fec!C$6)</f>
        <v>0.47194824795553836</v>
      </c>
      <c r="D45" s="250">
        <f>IF(D$6=0,0,D$6/AGR_fec!D$6)</f>
        <v>0.47194824795553836</v>
      </c>
      <c r="E45" s="250">
        <f>IF(E$6=0,0,E$6/AGR_fec!E$6)</f>
        <v>0.47194824795553841</v>
      </c>
      <c r="F45" s="250">
        <f>IF(F$6=0,0,F$6/AGR_fec!F$6)</f>
        <v>0.47194824795553825</v>
      </c>
      <c r="G45" s="250">
        <f>IF(G$6=0,0,G$6/AGR_fec!G$6)</f>
        <v>0.47194824795553825</v>
      </c>
      <c r="H45" s="250">
        <f>IF(H$6=0,0,H$6/AGR_fec!H$6)</f>
        <v>0.47194824795553841</v>
      </c>
      <c r="I45" s="250">
        <f>IF(I$6=0,0,I$6/AGR_fec!I$6)</f>
        <v>0.47194824795553841</v>
      </c>
      <c r="J45" s="250">
        <f>IF(J$6=0,0,J$6/AGR_fec!J$6)</f>
        <v>0.47194824795553814</v>
      </c>
      <c r="K45" s="250">
        <f>IF(K$6=0,0,K$6/AGR_fec!K$6)</f>
        <v>0.47194824795553841</v>
      </c>
      <c r="L45" s="250">
        <f>IF(L$6=0,0,L$6/AGR_fec!L$6)</f>
        <v>0.47194824795553814</v>
      </c>
      <c r="M45" s="250">
        <f>IF(M$6=0,0,M$6/AGR_fec!M$6)</f>
        <v>0.47194824795553841</v>
      </c>
      <c r="N45" s="250">
        <f>IF(N$6=0,0,N$6/AGR_fec!N$6)</f>
        <v>0.47194824795553852</v>
      </c>
      <c r="O45" s="250">
        <f>IF(O$6=0,0,O$6/AGR_fec!O$6)</f>
        <v>0.47194824795553858</v>
      </c>
      <c r="P45" s="250">
        <f>IF(P$6=0,0,P$6/AGR_fec!P$6)</f>
        <v>0.47194824795553819</v>
      </c>
      <c r="Q45" s="250">
        <f>IF(Q$6=0,0,Q$6/AGR_fec!Q$6)</f>
        <v>0.47194824795553841</v>
      </c>
      <c r="R45" s="250">
        <f>IF(R$6=0,0,R$6/AGR_fec!R$6)</f>
        <v>0.47194824795553841</v>
      </c>
      <c r="S45" s="250">
        <f>IF(S$6=0,0,S$6/AGR_fec!S$6)</f>
        <v>0.47194824795553819</v>
      </c>
      <c r="T45" s="250">
        <f>IF(T$6=0,0,T$6/AGR_fec!T$6)</f>
        <v>0.4719482479555383</v>
      </c>
      <c r="U45" s="250">
        <f>IF(U$6=0,0,U$6/AGR_fec!U$6)</f>
        <v>0.47194824795553852</v>
      </c>
      <c r="V45" s="250">
        <f>IF(V$6=0,0,V$6/AGR_fec!V$6)</f>
        <v>0.47194824795553847</v>
      </c>
      <c r="W45" s="250">
        <f>IF(W$6=0,0,W$6/AGR_fec!W$6)</f>
        <v>0.47194824795553819</v>
      </c>
      <c r="X45" s="250">
        <f>IF(X$6=0,0,X$6/AGR_fec!X$6)</f>
        <v>0.47194824795553836</v>
      </c>
      <c r="Y45" s="250">
        <f>IF(Y$6=0,0,Y$6/AGR_fec!Y$6)</f>
        <v>0.47194824795553836</v>
      </c>
      <c r="DA45" s="287"/>
    </row>
    <row r="46" spans="1:105" x14ac:dyDescent="0.25">
      <c r="A46" s="240" t="s">
        <v>124</v>
      </c>
      <c r="B46" s="251">
        <f>IF(B$7=0,0,B$7/AGR_fec!B$7)</f>
        <v>0.46799705652661533</v>
      </c>
      <c r="C46" s="251">
        <f>IF(C$7=0,0,C$7/AGR_fec!C$7)</f>
        <v>0.46799705652661522</v>
      </c>
      <c r="D46" s="251">
        <f>IF(D$7=0,0,D$7/AGR_fec!D$7)</f>
        <v>0.46799705652661522</v>
      </c>
      <c r="E46" s="251">
        <f>IF(E$7=0,0,E$7/AGR_fec!E$7)</f>
        <v>0.46799705652661544</v>
      </c>
      <c r="F46" s="251">
        <f>IF(F$7=0,0,F$7/AGR_fec!F$7)</f>
        <v>0.46799705652661538</v>
      </c>
      <c r="G46" s="251">
        <f>IF(G$7=0,0,G$7/AGR_fec!G$7)</f>
        <v>0.46799705652661538</v>
      </c>
      <c r="H46" s="251">
        <f>IF(H$7=0,0,H$7/AGR_fec!H$7)</f>
        <v>0.46799705652661527</v>
      </c>
      <c r="I46" s="251">
        <f>IF(I$7=0,0,I$7/AGR_fec!I$7)</f>
        <v>0.46799705652661522</v>
      </c>
      <c r="J46" s="251">
        <f>IF(J$7=0,0,J$7/AGR_fec!J$7)</f>
        <v>0.46799705652661527</v>
      </c>
      <c r="K46" s="251">
        <f>IF(K$7=0,0,K$7/AGR_fec!K$7)</f>
        <v>0.46799705652661533</v>
      </c>
      <c r="L46" s="251">
        <f>IF(L$7=0,0,L$7/AGR_fec!L$7)</f>
        <v>0.46799705652661527</v>
      </c>
      <c r="M46" s="251">
        <f>IF(M$7=0,0,M$7/AGR_fec!M$7)</f>
        <v>0.46799705652661516</v>
      </c>
      <c r="N46" s="251">
        <f>IF(N$7=0,0,N$7/AGR_fec!N$7)</f>
        <v>0.46799705652661533</v>
      </c>
      <c r="O46" s="251">
        <f>IF(O$7=0,0,O$7/AGR_fec!O$7)</f>
        <v>0.46799705652661533</v>
      </c>
      <c r="P46" s="251">
        <f>IF(P$7=0,0,P$7/AGR_fec!P$7)</f>
        <v>0.46799705652661516</v>
      </c>
      <c r="Q46" s="251">
        <f>IF(Q$7=0,0,Q$7/AGR_fec!Q$7)</f>
        <v>0.46799705652661522</v>
      </c>
      <c r="R46" s="251">
        <f>IF(R$7=0,0,R$7/AGR_fec!R$7)</f>
        <v>0.46799705652661516</v>
      </c>
      <c r="S46" s="251">
        <f>IF(S$7=0,0,S$7/AGR_fec!S$7)</f>
        <v>0.46799705652661522</v>
      </c>
      <c r="T46" s="251">
        <f>IF(T$7=0,0,T$7/AGR_fec!T$7)</f>
        <v>0.46799705652661533</v>
      </c>
      <c r="U46" s="251">
        <f>IF(U$7=0,0,U$7/AGR_fec!U$7)</f>
        <v>0.46799705652661527</v>
      </c>
      <c r="V46" s="251">
        <f>IF(V$7=0,0,V$7/AGR_fec!V$7)</f>
        <v>0.46799705652661533</v>
      </c>
      <c r="W46" s="251">
        <f>IF(W$7=0,0,W$7/AGR_fec!W$7)</f>
        <v>0.46799705652661527</v>
      </c>
      <c r="X46" s="251">
        <f>IF(X$7=0,0,X$7/AGR_fec!X$7)</f>
        <v>0.46799705652661538</v>
      </c>
      <c r="Y46" s="251">
        <f>IF(Y$7=0,0,Y$7/AGR_fec!Y$7)</f>
        <v>0.46799705652661522</v>
      </c>
      <c r="DA46" s="288"/>
    </row>
    <row r="47" spans="1:105" x14ac:dyDescent="0.25">
      <c r="A47" s="240" t="s">
        <v>123</v>
      </c>
      <c r="B47" s="251">
        <f>IF(B$8=0,0,B$8/AGR_fec!B$8)</f>
        <v>0.67168027002145614</v>
      </c>
      <c r="C47" s="251">
        <f>IF(C$8=0,0,C$8/AGR_fec!C$8)</f>
        <v>0.67168027002145603</v>
      </c>
      <c r="D47" s="251">
        <f>IF(D$8=0,0,D$8/AGR_fec!D$8)</f>
        <v>0.67168027002145614</v>
      </c>
      <c r="E47" s="251">
        <f>IF(E$8=0,0,E$8/AGR_fec!E$8)</f>
        <v>0.67168027002145603</v>
      </c>
      <c r="F47" s="251">
        <f>IF(F$8=0,0,F$8/AGR_fec!F$8)</f>
        <v>0.67168027002145603</v>
      </c>
      <c r="G47" s="251">
        <f>IF(G$8=0,0,G$8/AGR_fec!G$8)</f>
        <v>0.67168027002145581</v>
      </c>
      <c r="H47" s="251">
        <f>IF(H$8=0,0,H$8/AGR_fec!H$8)</f>
        <v>0.67168027002145636</v>
      </c>
      <c r="I47" s="251">
        <f>IF(I$8=0,0,I$8/AGR_fec!I$8)</f>
        <v>0.67168027002145614</v>
      </c>
      <c r="J47" s="251">
        <f>IF(J$8=0,0,J$8/AGR_fec!J$8)</f>
        <v>0.67168027002145603</v>
      </c>
      <c r="K47" s="251">
        <f>IF(K$8=0,0,K$8/AGR_fec!K$8)</f>
        <v>0.67168027002145614</v>
      </c>
      <c r="L47" s="251">
        <f>IF(L$8=0,0,L$8/AGR_fec!L$8)</f>
        <v>0.67168027002145614</v>
      </c>
      <c r="M47" s="251">
        <f>IF(M$8=0,0,M$8/AGR_fec!M$8)</f>
        <v>0.67168027002145592</v>
      </c>
      <c r="N47" s="251">
        <f>IF(N$8=0,0,N$8/AGR_fec!N$8)</f>
        <v>0.67168027002145581</v>
      </c>
      <c r="O47" s="251">
        <f>IF(O$8=0,0,O$8/AGR_fec!O$8)</f>
        <v>0.67168027002145625</v>
      </c>
      <c r="P47" s="251">
        <f>IF(P$8=0,0,P$8/AGR_fec!P$8)</f>
        <v>0.67168027002145625</v>
      </c>
      <c r="Q47" s="251">
        <f>IF(Q$8=0,0,Q$8/AGR_fec!Q$8)</f>
        <v>0.67168027002145636</v>
      </c>
      <c r="R47" s="251">
        <f>IF(R$8=0,0,R$8/AGR_fec!R$8)</f>
        <v>0.67168027002145592</v>
      </c>
      <c r="S47" s="251">
        <f>IF(S$8=0,0,S$8/AGR_fec!S$8)</f>
        <v>0.67168027002145592</v>
      </c>
      <c r="T47" s="251">
        <f>IF(T$8=0,0,T$8/AGR_fec!T$8)</f>
        <v>0.67168027002145592</v>
      </c>
      <c r="U47" s="251">
        <f>IF(U$8=0,0,U$8/AGR_fec!U$8)</f>
        <v>0.67168027002145636</v>
      </c>
      <c r="V47" s="251">
        <f>IF(V$8=0,0,V$8/AGR_fec!V$8)</f>
        <v>0.67168027002145603</v>
      </c>
      <c r="W47" s="251">
        <f>IF(W$8=0,0,W$8/AGR_fec!W$8)</f>
        <v>0.67168027002145614</v>
      </c>
      <c r="X47" s="251">
        <f>IF(X$8=0,0,X$8/AGR_fec!X$8)</f>
        <v>0.67168027002145625</v>
      </c>
      <c r="Y47" s="251">
        <f>IF(Y$8=0,0,Y$8/AGR_fec!Y$8)</f>
        <v>0.67168027002145614</v>
      </c>
      <c r="DA47" s="288"/>
    </row>
    <row r="48" spans="1:105" x14ac:dyDescent="0.25">
      <c r="A48" s="242" t="s">
        <v>122</v>
      </c>
      <c r="B48" s="252">
        <f>IF(B$9=0,0,B$9/AGR_fec!B$9)</f>
        <v>0.61642843787845458</v>
      </c>
      <c r="C48" s="252">
        <f>IF(C$9=0,0,C$9/AGR_fec!C$9)</f>
        <v>0.61765369679914439</v>
      </c>
      <c r="D48" s="252">
        <f>IF(D$9=0,0,D$9/AGR_fec!D$9)</f>
        <v>0.61626248998148925</v>
      </c>
      <c r="E48" s="252">
        <f>IF(E$9=0,0,E$9/AGR_fec!E$9)</f>
        <v>0.61645656283353489</v>
      </c>
      <c r="F48" s="252">
        <f>IF(F$9=0,0,F$9/AGR_fec!F$9)</f>
        <v>0.63007714175679586</v>
      </c>
      <c r="G48" s="252">
        <f>IF(G$9=0,0,G$9/AGR_fec!G$9)</f>
        <v>0.63324420540561144</v>
      </c>
      <c r="H48" s="252">
        <f>IF(H$9=0,0,H$9/AGR_fec!H$9)</f>
        <v>0.63537518130790793</v>
      </c>
      <c r="I48" s="252">
        <f>IF(I$9=0,0,I$9/AGR_fec!I$9)</f>
        <v>0.63235102080474459</v>
      </c>
      <c r="J48" s="252">
        <f>IF(J$9=0,0,J$9/AGR_fec!J$9)</f>
        <v>0.62928462190647716</v>
      </c>
      <c r="K48" s="252">
        <f>IF(K$9=0,0,K$9/AGR_fec!K$9)</f>
        <v>0.63426056110329276</v>
      </c>
      <c r="L48" s="252">
        <f>IF(L$9=0,0,L$9/AGR_fec!L$9)</f>
        <v>0.63740438907214647</v>
      </c>
      <c r="M48" s="252">
        <f>IF(M$9=0,0,M$9/AGR_fec!M$9)</f>
        <v>0.64029341590501432</v>
      </c>
      <c r="N48" s="252">
        <f>IF(N$9=0,0,N$9/AGR_fec!N$9)</f>
        <v>0.64732689437883106</v>
      </c>
      <c r="O48" s="252">
        <f>IF(O$9=0,0,O$9/AGR_fec!O$9)</f>
        <v>0.64593757839590593</v>
      </c>
      <c r="P48" s="252">
        <f>IF(P$9=0,0,P$9/AGR_fec!P$9)</f>
        <v>0.64229630484278954</v>
      </c>
      <c r="Q48" s="252">
        <f>IF(Q$9=0,0,Q$9/AGR_fec!Q$9)</f>
        <v>0.6471226264191946</v>
      </c>
      <c r="R48" s="252">
        <f>IF(R$9=0,0,R$9/AGR_fec!R$9)</f>
        <v>0.65198958364922033</v>
      </c>
      <c r="S48" s="252">
        <f>IF(S$9=0,0,S$9/AGR_fec!S$9)</f>
        <v>0.65240388157631624</v>
      </c>
      <c r="T48" s="252">
        <f>IF(T$9=0,0,T$9/AGR_fec!T$9)</f>
        <v>0.64874594592634005</v>
      </c>
      <c r="U48" s="252">
        <f>IF(U$9=0,0,U$9/AGR_fec!U$9)</f>
        <v>0.65038279148496403</v>
      </c>
      <c r="V48" s="252">
        <f>IF(V$9=0,0,V$9/AGR_fec!V$9)</f>
        <v>0.64107535612413946</v>
      </c>
      <c r="W48" s="252">
        <f>IF(W$9=0,0,W$9/AGR_fec!W$9)</f>
        <v>0.63935680371416548</v>
      </c>
      <c r="X48" s="252">
        <f>IF(X$9=0,0,X$9/AGR_fec!X$9)</f>
        <v>0.64171048768882444</v>
      </c>
      <c r="Y48" s="252">
        <f>IF(Y$9=0,0,Y$9/AGR_fec!Y$9)</f>
        <v>0.63614570075069332</v>
      </c>
      <c r="DA48" s="289"/>
    </row>
    <row r="49" spans="1:105" x14ac:dyDescent="0.25">
      <c r="A49" s="127" t="s">
        <v>168</v>
      </c>
      <c r="B49" s="264">
        <f>IF(B$16=0,0,B$16/AGR_fec!B$16)</f>
        <v>0.33771659047543051</v>
      </c>
      <c r="C49" s="264">
        <f>IF(C$16=0,0,C$16/AGR_fec!C$16)</f>
        <v>0.33771659047543046</v>
      </c>
      <c r="D49" s="264">
        <f>IF(D$16=0,0,D$16/AGR_fec!D$16)</f>
        <v>0.33771659047543057</v>
      </c>
      <c r="E49" s="264">
        <f>IF(E$16=0,0,E$16/AGR_fec!E$16)</f>
        <v>0.33771659047543046</v>
      </c>
      <c r="F49" s="264">
        <f>IF(F$16=0,0,F$16/AGR_fec!F$16)</f>
        <v>0.33771659047543057</v>
      </c>
      <c r="G49" s="264">
        <f>IF(G$16=0,0,G$16/AGR_fec!G$16)</f>
        <v>0.33771659047543057</v>
      </c>
      <c r="H49" s="264">
        <f>IF(H$16=0,0,H$16/AGR_fec!H$16)</f>
        <v>0.33771659047543057</v>
      </c>
      <c r="I49" s="264">
        <f>IF(I$16=0,0,I$16/AGR_fec!I$16)</f>
        <v>0.33771659047543068</v>
      </c>
      <c r="J49" s="264">
        <f>IF(J$16=0,0,J$16/AGR_fec!J$16)</f>
        <v>0.3377165904754304</v>
      </c>
      <c r="K49" s="264">
        <f>IF(K$16=0,0,K$16/AGR_fec!K$16)</f>
        <v>0.33771659047543051</v>
      </c>
      <c r="L49" s="264">
        <f>IF(L$16=0,0,L$16/AGR_fec!L$16)</f>
        <v>0.33771659047543051</v>
      </c>
      <c r="M49" s="264">
        <f>IF(M$16=0,0,M$16/AGR_fec!M$16)</f>
        <v>0.33771659047543034</v>
      </c>
      <c r="N49" s="264">
        <f>IF(N$16=0,0,N$16/AGR_fec!N$16)</f>
        <v>0.33771659047543051</v>
      </c>
      <c r="O49" s="264">
        <f>IF(O$16=0,0,O$16/AGR_fec!O$16)</f>
        <v>0.33771659047543046</v>
      </c>
      <c r="P49" s="264">
        <f>IF(P$16=0,0,P$16/AGR_fec!P$16)</f>
        <v>0.3377165904754304</v>
      </c>
      <c r="Q49" s="264">
        <f>IF(Q$16=0,0,Q$16/AGR_fec!Q$16)</f>
        <v>0.33771659047543051</v>
      </c>
      <c r="R49" s="264">
        <f>IF(R$16=0,0,R$16/AGR_fec!R$16)</f>
        <v>0.33771659047543034</v>
      </c>
      <c r="S49" s="264">
        <f>IF(S$16=0,0,S$16/AGR_fec!S$16)</f>
        <v>0.33771659047543051</v>
      </c>
      <c r="T49" s="264">
        <f>IF(T$16=0,0,T$16/AGR_fec!T$16)</f>
        <v>0.33771659047543034</v>
      </c>
      <c r="U49" s="264">
        <f>IF(U$16=0,0,U$16/AGR_fec!U$16)</f>
        <v>0.33771659047543051</v>
      </c>
      <c r="V49" s="264">
        <f>IF(V$16=0,0,V$16/AGR_fec!V$16)</f>
        <v>0.33771659047543046</v>
      </c>
      <c r="W49" s="264">
        <f>IF(W$16=0,0,W$16/AGR_fec!W$16)</f>
        <v>0.33771659047543062</v>
      </c>
      <c r="X49" s="264">
        <f>IF(X$16=0,0,X$16/AGR_fec!X$16)</f>
        <v>0.33771659047543062</v>
      </c>
      <c r="Y49" s="264">
        <f>IF(Y$16=0,0,Y$16/AGR_fec!Y$16)</f>
        <v>0.33771659047543046</v>
      </c>
      <c r="DA49" s="290"/>
    </row>
    <row r="50" spans="1:105" x14ac:dyDescent="0.25">
      <c r="A50" s="127" t="s">
        <v>121</v>
      </c>
      <c r="B50" s="264">
        <f>IF(B$17=0,0,B$17/AGR_fec!B$17)</f>
        <v>0.27698206065362019</v>
      </c>
      <c r="C50" s="264">
        <f>IF(C$17=0,0,C$17/AGR_fec!C$17)</f>
        <v>0.27716396634951623</v>
      </c>
      <c r="D50" s="264">
        <f>IF(D$17=0,0,D$17/AGR_fec!D$17)</f>
        <v>0.27630761790136399</v>
      </c>
      <c r="E50" s="264">
        <f>IF(E$17=0,0,E$17/AGR_fec!E$17)</f>
        <v>0.27611187897225148</v>
      </c>
      <c r="F50" s="264">
        <f>IF(F$17=0,0,F$17/AGR_fec!F$17)</f>
        <v>0.27649868199560351</v>
      </c>
      <c r="G50" s="264">
        <f>IF(G$17=0,0,G$17/AGR_fec!G$17)</f>
        <v>0.27572685438593408</v>
      </c>
      <c r="H50" s="264">
        <f>IF(H$17=0,0,H$17/AGR_fec!H$17)</f>
        <v>0.27531420340986523</v>
      </c>
      <c r="I50" s="264">
        <f>IF(I$17=0,0,I$17/AGR_fec!I$17)</f>
        <v>0.27507659729875056</v>
      </c>
      <c r="J50" s="264">
        <f>IF(J$17=0,0,J$17/AGR_fec!J$17)</f>
        <v>0.27481398404801943</v>
      </c>
      <c r="K50" s="264">
        <f>IF(K$17=0,0,K$17/AGR_fec!K$17)</f>
        <v>0.27446222891597072</v>
      </c>
      <c r="L50" s="264">
        <f>IF(L$17=0,0,L$17/AGR_fec!L$17)</f>
        <v>0.27452976696418424</v>
      </c>
      <c r="M50" s="264">
        <f>IF(M$17=0,0,M$17/AGR_fec!M$17)</f>
        <v>0.27331330974370266</v>
      </c>
      <c r="N50" s="264">
        <f>IF(N$17=0,0,N$17/AGR_fec!N$17)</f>
        <v>0.27345313295883161</v>
      </c>
      <c r="O50" s="264">
        <f>IF(O$17=0,0,O$17/AGR_fec!O$17)</f>
        <v>0.2734572262446841</v>
      </c>
      <c r="P50" s="264">
        <f>IF(P$17=0,0,P$17/AGR_fec!P$17)</f>
        <v>0.27308357406738681</v>
      </c>
      <c r="Q50" s="264">
        <f>IF(Q$17=0,0,Q$17/AGR_fec!Q$17)</f>
        <v>0.27327596333644749</v>
      </c>
      <c r="R50" s="264">
        <f>IF(R$17=0,0,R$17/AGR_fec!R$17)</f>
        <v>0.2731506154426469</v>
      </c>
      <c r="S50" s="264">
        <f>IF(S$17=0,0,S$17/AGR_fec!S$17)</f>
        <v>0.27284097671453261</v>
      </c>
      <c r="T50" s="264">
        <f>IF(T$17=0,0,T$17/AGR_fec!T$17)</f>
        <v>0.27329368975131024</v>
      </c>
      <c r="U50" s="264">
        <f>IF(U$17=0,0,U$17/AGR_fec!U$17)</f>
        <v>0.27355817886092237</v>
      </c>
      <c r="V50" s="264">
        <f>IF(V$17=0,0,V$17/AGR_fec!V$17)</f>
        <v>0.27372777118946634</v>
      </c>
      <c r="W50" s="264">
        <f>IF(W$17=0,0,W$17/AGR_fec!W$17)</f>
        <v>0.27409815910407198</v>
      </c>
      <c r="X50" s="264">
        <f>IF(X$17=0,0,X$17/AGR_fec!X$17)</f>
        <v>0.27344582081927959</v>
      </c>
      <c r="Y50" s="264">
        <f>IF(Y$17=0,0,Y$17/AGR_fec!Y$17)</f>
        <v>0.27349167811498393</v>
      </c>
      <c r="DA50" s="290"/>
    </row>
    <row r="51" spans="1:105" x14ac:dyDescent="0.25">
      <c r="A51" s="127" t="s">
        <v>167</v>
      </c>
      <c r="B51" s="264">
        <f>IF(B$25=0,0,B$25/AGR_fec!B$25)</f>
        <v>0.2364016133328013</v>
      </c>
      <c r="C51" s="264">
        <f>IF(C$25=0,0,C$25/AGR_fec!C$25)</f>
        <v>0.23640161333280138</v>
      </c>
      <c r="D51" s="264">
        <f>IF(D$25=0,0,D$25/AGR_fec!D$25)</f>
        <v>0.23640161333280141</v>
      </c>
      <c r="E51" s="264">
        <f>IF(E$25=0,0,E$25/AGR_fec!E$25)</f>
        <v>0.23640161333280141</v>
      </c>
      <c r="F51" s="264">
        <f>IF(F$25=0,0,F$25/AGR_fec!F$25)</f>
        <v>0.23640161333280135</v>
      </c>
      <c r="G51" s="264">
        <f>IF(G$25=0,0,G$25/AGR_fec!G$25)</f>
        <v>0.23640161333280135</v>
      </c>
      <c r="H51" s="264">
        <f>IF(H$25=0,0,H$25/AGR_fec!H$25)</f>
        <v>0.23640161333280138</v>
      </c>
      <c r="I51" s="264">
        <f>IF(I$25=0,0,I$25/AGR_fec!I$25)</f>
        <v>0.23640161333280132</v>
      </c>
      <c r="J51" s="264">
        <f>IF(J$25=0,0,J$25/AGR_fec!J$25)</f>
        <v>0.23640161333280135</v>
      </c>
      <c r="K51" s="264">
        <f>IF(K$25=0,0,K$25/AGR_fec!K$25)</f>
        <v>0.23640161333280138</v>
      </c>
      <c r="L51" s="264">
        <f>IF(L$25=0,0,L$25/AGR_fec!L$25)</f>
        <v>0.23640161333280127</v>
      </c>
      <c r="M51" s="264">
        <f>IF(M$25=0,0,M$25/AGR_fec!M$25)</f>
        <v>0.23640161333280132</v>
      </c>
      <c r="N51" s="264">
        <f>IF(N$25=0,0,N$25/AGR_fec!N$25)</f>
        <v>0.23640161333280138</v>
      </c>
      <c r="O51" s="264">
        <f>IF(O$25=0,0,O$25/AGR_fec!O$25)</f>
        <v>0.23640161333280135</v>
      </c>
      <c r="P51" s="264">
        <f>IF(P$25=0,0,P$25/AGR_fec!P$25)</f>
        <v>0.23640161333280138</v>
      </c>
      <c r="Q51" s="264">
        <f>IF(Q$25=0,0,Q$25/AGR_fec!Q$25)</f>
        <v>0.23640161333280132</v>
      </c>
      <c r="R51" s="264">
        <f>IF(R$25=0,0,R$25/AGR_fec!R$25)</f>
        <v>0.23640161333280138</v>
      </c>
      <c r="S51" s="264">
        <f>IF(S$25=0,0,S$25/AGR_fec!S$25)</f>
        <v>0.23640161333280135</v>
      </c>
      <c r="T51" s="264">
        <f>IF(T$25=0,0,T$25/AGR_fec!T$25)</f>
        <v>0.23640161333280127</v>
      </c>
      <c r="U51" s="264">
        <f>IF(U$25=0,0,U$25/AGR_fec!U$25)</f>
        <v>0.23640161333280135</v>
      </c>
      <c r="V51" s="264">
        <f>IF(V$25=0,0,V$25/AGR_fec!V$25)</f>
        <v>0.23640161333280132</v>
      </c>
      <c r="W51" s="264">
        <f>IF(W$25=0,0,W$25/AGR_fec!W$25)</f>
        <v>0.23640161333280124</v>
      </c>
      <c r="X51" s="264">
        <f>IF(X$25=0,0,X$25/AGR_fec!X$25)</f>
        <v>0.23640161333280132</v>
      </c>
      <c r="Y51" s="264">
        <f>IF(Y$25=0,0,Y$25/AGR_fec!Y$25)</f>
        <v>0.2364016133328013</v>
      </c>
      <c r="DA51" s="290"/>
    </row>
    <row r="52" spans="1:105" x14ac:dyDescent="0.25">
      <c r="A52" s="127" t="s">
        <v>170</v>
      </c>
      <c r="B52" s="264">
        <f>IF(B$26=0,0,B$26/AGR_fec!B$26)</f>
        <v>0.46799705652661527</v>
      </c>
      <c r="C52" s="264">
        <f>IF(C$26=0,0,C$26/AGR_fec!C$26)</f>
        <v>0.46799705652661511</v>
      </c>
      <c r="D52" s="264">
        <f>IF(D$26=0,0,D$26/AGR_fec!D$26)</f>
        <v>0.46799705652661522</v>
      </c>
      <c r="E52" s="264">
        <f>IF(E$26=0,0,E$26/AGR_fec!E$26)</f>
        <v>0.46799705652661527</v>
      </c>
      <c r="F52" s="264">
        <f>IF(F$26=0,0,F$26/AGR_fec!F$26)</f>
        <v>0.46799705652661511</v>
      </c>
      <c r="G52" s="264">
        <f>IF(G$26=0,0,G$26/AGR_fec!G$26)</f>
        <v>0.46799705652661522</v>
      </c>
      <c r="H52" s="264">
        <f>IF(H$26=0,0,H$26/AGR_fec!H$26)</f>
        <v>0.46799705652661527</v>
      </c>
      <c r="I52" s="264">
        <f>IF(I$26=0,0,I$26/AGR_fec!I$26)</f>
        <v>0.46799705652661533</v>
      </c>
      <c r="J52" s="264">
        <f>IF(J$26=0,0,J$26/AGR_fec!J$26)</f>
        <v>0.467997056526615</v>
      </c>
      <c r="K52" s="264">
        <f>IF(K$26=0,0,K$26/AGR_fec!K$26)</f>
        <v>0.46799705652661533</v>
      </c>
      <c r="L52" s="264">
        <f>IF(L$26=0,0,L$26/AGR_fec!L$26)</f>
        <v>0.46799705652661511</v>
      </c>
      <c r="M52" s="264">
        <f>IF(M$26=0,0,M$26/AGR_fec!M$26)</f>
        <v>0.46799705652661533</v>
      </c>
      <c r="N52" s="264">
        <f>IF(N$26=0,0,N$26/AGR_fec!N$26)</f>
        <v>0.46799705652661538</v>
      </c>
      <c r="O52" s="264">
        <f>IF(O$26=0,0,O$26/AGR_fec!O$26)</f>
        <v>0.46799705652661555</v>
      </c>
      <c r="P52" s="264">
        <f>IF(P$26=0,0,P$26/AGR_fec!P$26)</f>
        <v>0.46799705652661505</v>
      </c>
      <c r="Q52" s="264">
        <f>IF(Q$26=0,0,Q$26/AGR_fec!Q$26)</f>
        <v>0.46799705652661522</v>
      </c>
      <c r="R52" s="264">
        <f>IF(R$26=0,0,R$26/AGR_fec!R$26)</f>
        <v>0.46799705652661527</v>
      </c>
      <c r="S52" s="264">
        <f>IF(S$26=0,0,S$26/AGR_fec!S$26)</f>
        <v>0.467997056526615</v>
      </c>
      <c r="T52" s="264">
        <f>IF(T$26=0,0,T$26/AGR_fec!T$26)</f>
        <v>0.46799705652661516</v>
      </c>
      <c r="U52" s="264">
        <f>IF(U$26=0,0,U$26/AGR_fec!U$26)</f>
        <v>0.46799705652661555</v>
      </c>
      <c r="V52" s="264">
        <f>IF(V$26=0,0,V$26/AGR_fec!V$26)</f>
        <v>0.46799705652661533</v>
      </c>
      <c r="W52" s="264">
        <f>IF(W$26=0,0,W$26/AGR_fec!W$26)</f>
        <v>0.46799705652661522</v>
      </c>
      <c r="X52" s="264">
        <f>IF(X$26=0,0,X$26/AGR_fec!X$26)</f>
        <v>0.46799705652661533</v>
      </c>
      <c r="Y52" s="264">
        <f>IF(Y$26=0,0,Y$26/AGR_fec!Y$26)</f>
        <v>0.46799705652661538</v>
      </c>
      <c r="DA52" s="290"/>
    </row>
    <row r="53" spans="1:105" x14ac:dyDescent="0.25">
      <c r="A53" s="260" t="s">
        <v>33</v>
      </c>
      <c r="B53" s="265">
        <f>IF(B$27=0,0,B$27/AGR_fec!B$27)</f>
        <v>0.49190194226248213</v>
      </c>
      <c r="C53" s="265">
        <f>IF(C$27=0,0,C$27/AGR_fec!C$27)</f>
        <v>0.49190194226248207</v>
      </c>
      <c r="D53" s="265">
        <f>IF(D$27=0,0,D$27/AGR_fec!D$27)</f>
        <v>0.49190194226248207</v>
      </c>
      <c r="E53" s="265">
        <f>IF(E$27=0,0,E$27/AGR_fec!E$27)</f>
        <v>0.49190194226248207</v>
      </c>
      <c r="F53" s="265">
        <f>IF(F$27=0,0,F$27/AGR_fec!F$27)</f>
        <v>0.49190194226248213</v>
      </c>
      <c r="G53" s="265">
        <f>IF(G$27=0,0,G$27/AGR_fec!G$27)</f>
        <v>0.49190194226248213</v>
      </c>
      <c r="H53" s="265">
        <f>IF(H$27=0,0,H$27/AGR_fec!H$27)</f>
        <v>0.49190194226248224</v>
      </c>
      <c r="I53" s="265">
        <f>IF(I$27=0,0,I$27/AGR_fec!I$27)</f>
        <v>0.49190194226248224</v>
      </c>
      <c r="J53" s="265">
        <f>IF(J$27=0,0,J$27/AGR_fec!J$27)</f>
        <v>0.49190194226248218</v>
      </c>
      <c r="K53" s="265">
        <f>IF(K$27=0,0,K$27/AGR_fec!K$27)</f>
        <v>0.49190194226248224</v>
      </c>
      <c r="L53" s="265">
        <f>IF(L$27=0,0,L$27/AGR_fec!L$27)</f>
        <v>0.49190194226248229</v>
      </c>
      <c r="M53" s="265">
        <f>IF(M$27=0,0,M$27/AGR_fec!M$27)</f>
        <v>0.49190194226248229</v>
      </c>
      <c r="N53" s="265">
        <f>IF(N$27=0,0,N$27/AGR_fec!N$27)</f>
        <v>0.49190194226248218</v>
      </c>
      <c r="O53" s="265">
        <f>IF(O$27=0,0,O$27/AGR_fec!O$27)</f>
        <v>0.49190194226248202</v>
      </c>
      <c r="P53" s="265">
        <f>IF(P$27=0,0,P$27/AGR_fec!P$27)</f>
        <v>0.49190194226248202</v>
      </c>
      <c r="Q53" s="265">
        <f>IF(Q$27=0,0,Q$27/AGR_fec!Q$27)</f>
        <v>0.49190194226248202</v>
      </c>
      <c r="R53" s="265">
        <f>IF(R$27=0,0,R$27/AGR_fec!R$27)</f>
        <v>0.49190194226248202</v>
      </c>
      <c r="S53" s="265">
        <f>IF(S$27=0,0,S$27/AGR_fec!S$27)</f>
        <v>0.49190194226248207</v>
      </c>
      <c r="T53" s="265">
        <f>IF(T$27=0,0,T$27/AGR_fec!T$27)</f>
        <v>0.49190194226248213</v>
      </c>
      <c r="U53" s="265">
        <f>IF(U$27=0,0,U$27/AGR_fec!U$27)</f>
        <v>0.49190194226248218</v>
      </c>
      <c r="V53" s="265">
        <f>IF(V$27=0,0,V$27/AGR_fec!V$27)</f>
        <v>0.49190194226248229</v>
      </c>
      <c r="W53" s="265">
        <f>IF(W$27=0,0,W$27/AGR_fec!W$27)</f>
        <v>0.49190194226248218</v>
      </c>
      <c r="X53" s="265">
        <f>IF(X$27=0,0,X$27/AGR_fec!X$27)</f>
        <v>0.49190194226248218</v>
      </c>
      <c r="Y53" s="265">
        <f>IF(Y$27=0,0,Y$27/AGR_fec!Y$27)</f>
        <v>0.49190194226248196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12151.814188678529</v>
      </c>
      <c r="C5" s="80">
        <f t="shared" ref="C5:W5" si="0">SUM(C6:C9,C16:C17,C25:C27)</f>
        <v>12558.834750958513</v>
      </c>
      <c r="D5" s="80">
        <f t="shared" si="0"/>
        <v>12901.153202998459</v>
      </c>
      <c r="E5" s="80">
        <f t="shared" si="0"/>
        <v>12657.70215323772</v>
      </c>
      <c r="F5" s="80">
        <f t="shared" si="0"/>
        <v>13155.763103278076</v>
      </c>
      <c r="G5" s="80">
        <f t="shared" si="0"/>
        <v>12732.966230037769</v>
      </c>
      <c r="H5" s="80">
        <f t="shared" si="0"/>
        <v>12338.548580878582</v>
      </c>
      <c r="I5" s="80">
        <f t="shared" si="0"/>
        <v>12016.716010197892</v>
      </c>
      <c r="J5" s="80">
        <f t="shared" si="0"/>
        <v>12252.917450878516</v>
      </c>
      <c r="K5" s="80">
        <f t="shared" si="0"/>
        <v>12164.383152718716</v>
      </c>
      <c r="L5" s="80">
        <f t="shared" si="0"/>
        <v>11797.755630478043</v>
      </c>
      <c r="M5" s="80">
        <f t="shared" si="0"/>
        <v>11930.127594117184</v>
      </c>
      <c r="N5" s="80">
        <f t="shared" si="0"/>
        <v>11394.055368775216</v>
      </c>
      <c r="O5" s="80">
        <f t="shared" si="0"/>
        <v>11916.230463547541</v>
      </c>
      <c r="P5" s="80">
        <f t="shared" si="0"/>
        <v>11742.470042015639</v>
      </c>
      <c r="Q5" s="80">
        <f t="shared" si="0"/>
        <v>11624.986792219481</v>
      </c>
      <c r="R5" s="80">
        <f t="shared" si="0"/>
        <v>10695.742072084275</v>
      </c>
      <c r="S5" s="80">
        <f t="shared" si="0"/>
        <v>10496.996047372095</v>
      </c>
      <c r="T5" s="80">
        <f t="shared" si="0"/>
        <v>10697.566147753041</v>
      </c>
      <c r="U5" s="80">
        <f t="shared" si="0"/>
        <v>10384.040573381892</v>
      </c>
      <c r="V5" s="80">
        <f t="shared" si="0"/>
        <v>11251.02514620327</v>
      </c>
      <c r="W5" s="80">
        <f t="shared" si="0"/>
        <v>11318.426008500557</v>
      </c>
      <c r="X5" s="80">
        <f t="shared" ref="X5:Y5" si="1">SUM(X6:X9,X16:X17,X25:X27)</f>
        <v>10945.338566379909</v>
      </c>
      <c r="Y5" s="80">
        <f t="shared" si="1"/>
        <v>11005.143720113316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2616.1102576012654</v>
      </c>
      <c r="C9" s="243">
        <f t="shared" ref="C9:W9" si="2">SUM(C10:C15)</f>
        <v>2707.7424182313771</v>
      </c>
      <c r="D9" s="243">
        <f t="shared" si="2"/>
        <v>2814.2377510830329</v>
      </c>
      <c r="E9" s="243">
        <f t="shared" si="2"/>
        <v>2763.6848604319048</v>
      </c>
      <c r="F9" s="243">
        <f t="shared" si="2"/>
        <v>2722.7186939451854</v>
      </c>
      <c r="G9" s="243">
        <f t="shared" si="2"/>
        <v>2621.6779310791571</v>
      </c>
      <c r="H9" s="243">
        <f t="shared" si="2"/>
        <v>2520.9841187454458</v>
      </c>
      <c r="I9" s="243">
        <f t="shared" si="2"/>
        <v>2483.706671001175</v>
      </c>
      <c r="J9" s="243">
        <f t="shared" si="2"/>
        <v>2555.6431088925651</v>
      </c>
      <c r="K9" s="243">
        <f t="shared" si="2"/>
        <v>2497.9282994723844</v>
      </c>
      <c r="L9" s="243">
        <f t="shared" si="2"/>
        <v>2400.0234790057243</v>
      </c>
      <c r="M9" s="243">
        <f t="shared" si="2"/>
        <v>2392.3092884009156</v>
      </c>
      <c r="N9" s="243">
        <f t="shared" si="2"/>
        <v>2237.9219330542801</v>
      </c>
      <c r="O9" s="243">
        <f t="shared" si="2"/>
        <v>2338.8618866846396</v>
      </c>
      <c r="P9" s="243">
        <f t="shared" si="2"/>
        <v>2336.8638038741528</v>
      </c>
      <c r="Q9" s="243">
        <f t="shared" si="2"/>
        <v>2284.8058915106831</v>
      </c>
      <c r="R9" s="243">
        <f t="shared" si="2"/>
        <v>2068.9072295141887</v>
      </c>
      <c r="S9" s="243">
        <f t="shared" si="2"/>
        <v>2028.7870267096037</v>
      </c>
      <c r="T9" s="243">
        <f t="shared" si="2"/>
        <v>2088.1190785821086</v>
      </c>
      <c r="U9" s="243">
        <f t="shared" si="2"/>
        <v>2007.7532596357603</v>
      </c>
      <c r="V9" s="243">
        <f t="shared" si="2"/>
        <v>2248.6671877386066</v>
      </c>
      <c r="W9" s="243">
        <f t="shared" si="2"/>
        <v>2255.7917647199492</v>
      </c>
      <c r="X9" s="243">
        <f t="shared" ref="X9:Y9" si="3">SUM(X10:X15)</f>
        <v>2170.6770850749685</v>
      </c>
      <c r="Y9" s="243">
        <f t="shared" si="3"/>
        <v>2213.0879408581095</v>
      </c>
      <c r="DA9" s="269"/>
    </row>
    <row r="10" spans="1:105" x14ac:dyDescent="0.25">
      <c r="A10" s="253" t="s">
        <v>166</v>
      </c>
      <c r="B10" s="254">
        <v>2321.9307938289398</v>
      </c>
      <c r="C10" s="254">
        <v>2372.6730994855488</v>
      </c>
      <c r="D10" s="254">
        <v>2513.056210189623</v>
      </c>
      <c r="E10" s="254">
        <v>2488.493141425527</v>
      </c>
      <c r="F10" s="254">
        <v>2431.28461550057</v>
      </c>
      <c r="G10" s="254">
        <v>2357.353226757722</v>
      </c>
      <c r="H10" s="254">
        <v>2282.0934269689528</v>
      </c>
      <c r="I10" s="254">
        <v>2264.5091397674651</v>
      </c>
      <c r="J10" s="254">
        <v>2346.113084224959</v>
      </c>
      <c r="K10" s="254">
        <v>2316.963023396549</v>
      </c>
      <c r="L10" s="254">
        <v>2215.0916771646348</v>
      </c>
      <c r="M10" s="254">
        <v>2251.9579014623519</v>
      </c>
      <c r="N10" s="254">
        <v>2065.7795921707889</v>
      </c>
      <c r="O10" s="254">
        <v>2193.3852814878269</v>
      </c>
      <c r="P10" s="254">
        <v>2179.797892038343</v>
      </c>
      <c r="Q10" s="254">
        <v>2146.8552153627902</v>
      </c>
      <c r="R10" s="254">
        <v>1925.80984384049</v>
      </c>
      <c r="S10" s="254">
        <v>1885.981685423837</v>
      </c>
      <c r="T10" s="254">
        <v>1917.5395983751209</v>
      </c>
      <c r="U10" s="254">
        <v>1832.5656258534741</v>
      </c>
      <c r="V10" s="254">
        <v>2079.2636424749339</v>
      </c>
      <c r="W10" s="254">
        <v>2074.9217503541581</v>
      </c>
      <c r="X10" s="254">
        <v>2025.3520140941771</v>
      </c>
      <c r="Y10" s="254">
        <v>2078.9916578429838</v>
      </c>
      <c r="DA10" s="270" t="s">
        <v>1040</v>
      </c>
    </row>
    <row r="11" spans="1:105" x14ac:dyDescent="0.25">
      <c r="A11" s="253" t="s">
        <v>169</v>
      </c>
      <c r="B11" s="255">
        <v>294.17946377232579</v>
      </c>
      <c r="C11" s="255">
        <v>335.06931874582801</v>
      </c>
      <c r="D11" s="255">
        <v>301.18154089340982</v>
      </c>
      <c r="E11" s="255">
        <v>275.19171900637758</v>
      </c>
      <c r="F11" s="255">
        <v>291.43407844461518</v>
      </c>
      <c r="G11" s="255">
        <v>264.32470432143498</v>
      </c>
      <c r="H11" s="255">
        <v>238.89069177649299</v>
      </c>
      <c r="I11" s="255">
        <v>219.19753123370981</v>
      </c>
      <c r="J11" s="255">
        <v>209.53002466760611</v>
      </c>
      <c r="K11" s="255">
        <v>180.96527607583531</v>
      </c>
      <c r="L11" s="255">
        <v>184.93180184108951</v>
      </c>
      <c r="M11" s="255">
        <v>140.35138693856379</v>
      </c>
      <c r="N11" s="255">
        <v>172.1423408834911</v>
      </c>
      <c r="O11" s="255">
        <v>145.47660519681281</v>
      </c>
      <c r="P11" s="255">
        <v>157.06591183580969</v>
      </c>
      <c r="Q11" s="255">
        <v>137.95067614789301</v>
      </c>
      <c r="R11" s="255">
        <v>143.0973856736986</v>
      </c>
      <c r="S11" s="255">
        <v>142.80534128576659</v>
      </c>
      <c r="T11" s="255">
        <v>170.57948020698751</v>
      </c>
      <c r="U11" s="255">
        <v>175.1876337822861</v>
      </c>
      <c r="V11" s="255">
        <v>169.4035452636727</v>
      </c>
      <c r="W11" s="255">
        <v>180.87001436579109</v>
      </c>
      <c r="X11" s="255">
        <v>145.32507098079151</v>
      </c>
      <c r="Y11" s="255">
        <v>134.09628301512549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3620.3138989275858</v>
      </c>
      <c r="C16" s="257">
        <v>3754.444698508235</v>
      </c>
      <c r="D16" s="257">
        <v>3901.8268839301222</v>
      </c>
      <c r="E16" s="257">
        <v>3855.3090922143501</v>
      </c>
      <c r="F16" s="257">
        <v>4050.80953980812</v>
      </c>
      <c r="G16" s="257">
        <v>3959.676819152729</v>
      </c>
      <c r="H16" s="257">
        <v>3847.522104856514</v>
      </c>
      <c r="I16" s="257">
        <v>3751.5480556729831</v>
      </c>
      <c r="J16" s="257">
        <v>3819.3165783439222</v>
      </c>
      <c r="K16" s="257">
        <v>3819.2063500907102</v>
      </c>
      <c r="L16" s="257">
        <v>3713.3081875803482</v>
      </c>
      <c r="M16" s="257">
        <v>3766.6353646572952</v>
      </c>
      <c r="N16" s="257">
        <v>3613.0641839198811</v>
      </c>
      <c r="O16" s="257">
        <v>3773.4107910596222</v>
      </c>
      <c r="P16" s="257">
        <v>3731.0733705461371</v>
      </c>
      <c r="Q16" s="257">
        <v>3725.4996068862029</v>
      </c>
      <c r="R16" s="257">
        <v>3436.795211855303</v>
      </c>
      <c r="S16" s="257">
        <v>3375.6565810091861</v>
      </c>
      <c r="T16" s="257">
        <v>3425.8950029257799</v>
      </c>
      <c r="U16" s="257">
        <v>3332.2699365573608</v>
      </c>
      <c r="V16" s="257">
        <v>3594.993845824778</v>
      </c>
      <c r="W16" s="257">
        <v>3605.831319842785</v>
      </c>
      <c r="X16" s="257">
        <v>3520.3564661835139</v>
      </c>
      <c r="Y16" s="257">
        <v>3539.7503599585862</v>
      </c>
      <c r="DA16" s="272" t="s">
        <v>1046</v>
      </c>
    </row>
    <row r="17" spans="1:105" x14ac:dyDescent="0.25">
      <c r="A17" s="256" t="s">
        <v>121</v>
      </c>
      <c r="B17" s="257">
        <f>SUM(B18:B24)</f>
        <v>5219.7165457695392</v>
      </c>
      <c r="C17" s="257">
        <f t="shared" ref="C17:W17" si="4">SUM(C18:C24)</f>
        <v>5375.1997968901178</v>
      </c>
      <c r="D17" s="257">
        <f t="shared" si="4"/>
        <v>5435.3200154850701</v>
      </c>
      <c r="E17" s="257">
        <f t="shared" si="4"/>
        <v>5297.878429435912</v>
      </c>
      <c r="F17" s="257">
        <f t="shared" si="4"/>
        <v>5603.838058117065</v>
      </c>
      <c r="G17" s="257">
        <f t="shared" si="4"/>
        <v>5390.726580147164</v>
      </c>
      <c r="H17" s="257">
        <f t="shared" si="4"/>
        <v>5230.7089206364872</v>
      </c>
      <c r="I17" s="257">
        <f t="shared" si="4"/>
        <v>5060.5700602555689</v>
      </c>
      <c r="J17" s="257">
        <f t="shared" si="4"/>
        <v>5144.044253978398</v>
      </c>
      <c r="K17" s="257">
        <f t="shared" si="4"/>
        <v>5113.3561747694575</v>
      </c>
      <c r="L17" s="257">
        <f t="shared" si="4"/>
        <v>4970.8808499583565</v>
      </c>
      <c r="M17" s="257">
        <f t="shared" si="4"/>
        <v>5047.3925656359843</v>
      </c>
      <c r="N17" s="257">
        <f t="shared" si="4"/>
        <v>4848.7888585767814</v>
      </c>
      <c r="O17" s="257">
        <f t="shared" si="4"/>
        <v>5078.8654557325417</v>
      </c>
      <c r="P17" s="257">
        <f t="shared" si="4"/>
        <v>4957.5760257047068</v>
      </c>
      <c r="Q17" s="257">
        <f t="shared" si="4"/>
        <v>4898.7954970694236</v>
      </c>
      <c r="R17" s="257">
        <f t="shared" si="4"/>
        <v>4529.630789449895</v>
      </c>
      <c r="S17" s="257">
        <f t="shared" si="4"/>
        <v>4443.8918958180475</v>
      </c>
      <c r="T17" s="257">
        <f t="shared" si="4"/>
        <v>4525.237790965416</v>
      </c>
      <c r="U17" s="257">
        <f t="shared" si="4"/>
        <v>4403.6939386573031</v>
      </c>
      <c r="V17" s="257">
        <f t="shared" si="4"/>
        <v>4716.5560854738169</v>
      </c>
      <c r="W17" s="257">
        <f t="shared" si="4"/>
        <v>4763.9123858226658</v>
      </c>
      <c r="X17" s="257">
        <f t="shared" ref="X17:Y17" si="5">SUM(X18:X24)</f>
        <v>4577.8391824608407</v>
      </c>
      <c r="Y17" s="257">
        <f t="shared" si="5"/>
        <v>4572.1128883237725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8.9411148000186405</v>
      </c>
      <c r="N18" s="55">
        <v>8.9411148000199407</v>
      </c>
      <c r="O18" s="55">
        <v>8.9411148000198146</v>
      </c>
      <c r="P18" s="55">
        <v>8.9411148000186174</v>
      </c>
      <c r="Q18" s="55">
        <v>8.9411148000200757</v>
      </c>
      <c r="R18" s="55">
        <v>8.3430914400197054</v>
      </c>
      <c r="S18" s="55">
        <v>8.614477440022732</v>
      </c>
      <c r="T18" s="55">
        <v>6.4140897600098974</v>
      </c>
      <c r="U18" s="55">
        <v>5.8695818400074407</v>
      </c>
      <c r="V18" s="55">
        <v>5.3636090400051524</v>
      </c>
      <c r="W18" s="55">
        <v>5.7952504800086801</v>
      </c>
      <c r="X18" s="55">
        <v>6.8654440800152212</v>
      </c>
      <c r="Y18" s="55">
        <v>4.8297434400042496</v>
      </c>
      <c r="DA18" s="101" t="s">
        <v>1047</v>
      </c>
    </row>
    <row r="19" spans="1:105" x14ac:dyDescent="0.25">
      <c r="A19" s="61" t="s">
        <v>27</v>
      </c>
      <c r="B19" s="55">
        <v>1235.6368199998451</v>
      </c>
      <c r="C19" s="55">
        <v>1220.7137709598501</v>
      </c>
      <c r="D19" s="55">
        <v>868.5274057198925</v>
      </c>
      <c r="E19" s="55">
        <v>719.84482523986469</v>
      </c>
      <c r="F19" s="55">
        <v>859.68338543985431</v>
      </c>
      <c r="G19" s="55">
        <v>930.55912271980583</v>
      </c>
      <c r="H19" s="55">
        <v>896.76998135987526</v>
      </c>
      <c r="I19" s="55">
        <v>852.11055251982089</v>
      </c>
      <c r="J19" s="55">
        <v>861.91545959987684</v>
      </c>
      <c r="K19" s="55">
        <v>832.97368547989265</v>
      </c>
      <c r="L19" s="55">
        <v>885.45854915981772</v>
      </c>
      <c r="M19" s="55">
        <v>854.02323971974272</v>
      </c>
      <c r="N19" s="55">
        <v>898.50843683985977</v>
      </c>
      <c r="O19" s="55">
        <v>995.09255279983097</v>
      </c>
      <c r="P19" s="55">
        <v>810.43782335975379</v>
      </c>
      <c r="Q19" s="55">
        <v>824.59375307988375</v>
      </c>
      <c r="R19" s="55">
        <v>764.83227311985092</v>
      </c>
      <c r="S19" s="55">
        <v>716.17301099986992</v>
      </c>
      <c r="T19" s="55">
        <v>749.66911595988995</v>
      </c>
      <c r="U19" s="55">
        <v>821.27335535988243</v>
      </c>
      <c r="V19" s="55">
        <v>838.59021647984866</v>
      </c>
      <c r="W19" s="55">
        <v>1001.408509439875</v>
      </c>
      <c r="X19" s="55">
        <v>844.0268367598494</v>
      </c>
      <c r="Y19" s="55">
        <v>843.87009635984441</v>
      </c>
      <c r="DA19" s="101" t="s">
        <v>1048</v>
      </c>
    </row>
    <row r="20" spans="1:105" x14ac:dyDescent="0.25">
      <c r="A20" s="61" t="s">
        <v>166</v>
      </c>
      <c r="B20" s="55">
        <v>3163.1405912221539</v>
      </c>
      <c r="C20" s="55">
        <v>3296.6138017962371</v>
      </c>
      <c r="D20" s="55">
        <v>3761.1710533787191</v>
      </c>
      <c r="E20" s="55">
        <v>3872.3920118425999</v>
      </c>
      <c r="F20" s="55">
        <v>3969.0854765619761</v>
      </c>
      <c r="G20" s="55">
        <v>3785.88445386895</v>
      </c>
      <c r="H20" s="55">
        <v>3677.478589693204</v>
      </c>
      <c r="I20" s="55">
        <v>3629.068817929593</v>
      </c>
      <c r="J20" s="55">
        <v>3710.3171763262199</v>
      </c>
      <c r="K20" s="55">
        <v>3761.4590951654718</v>
      </c>
      <c r="L20" s="55">
        <v>3571.3640280797408</v>
      </c>
      <c r="M20" s="55">
        <v>3640.6515492949552</v>
      </c>
      <c r="N20" s="55">
        <v>3345.064806763929</v>
      </c>
      <c r="O20" s="55">
        <v>3518.5493335805231</v>
      </c>
      <c r="P20" s="55">
        <v>3565.080031842479</v>
      </c>
      <c r="Q20" s="55">
        <v>3608.3514729167459</v>
      </c>
      <c r="R20" s="55">
        <v>3292.4421719179632</v>
      </c>
      <c r="S20" s="55">
        <v>3233.260582490479</v>
      </c>
      <c r="T20" s="55">
        <v>3246.206775418324</v>
      </c>
      <c r="U20" s="55">
        <v>3070.5103964567329</v>
      </c>
      <c r="V20" s="55">
        <v>3432.4047993728132</v>
      </c>
      <c r="W20" s="55">
        <v>3286.0352964069371</v>
      </c>
      <c r="X20" s="55">
        <v>3307.0496151803832</v>
      </c>
      <c r="Y20" s="55">
        <v>3325.2247284241339</v>
      </c>
      <c r="DA20" s="101" t="s">
        <v>1049</v>
      </c>
    </row>
    <row r="21" spans="1:105" x14ac:dyDescent="0.25">
      <c r="A21" s="61" t="s">
        <v>129</v>
      </c>
      <c r="B21" s="55">
        <v>420.1817108399473</v>
      </c>
      <c r="C21" s="55">
        <v>392.32383443995172</v>
      </c>
      <c r="D21" s="55">
        <v>354.85754687995609</v>
      </c>
      <c r="E21" s="55">
        <v>277.41046859994782</v>
      </c>
      <c r="F21" s="55">
        <v>299.30146379994909</v>
      </c>
      <c r="G21" s="55">
        <v>249.7803123599478</v>
      </c>
      <c r="H21" s="55">
        <v>271.50003467996208</v>
      </c>
      <c r="I21" s="55">
        <v>228.10797179995211</v>
      </c>
      <c r="J21" s="55">
        <v>240.44530211996559</v>
      </c>
      <c r="K21" s="55">
        <v>225.13645115997099</v>
      </c>
      <c r="L21" s="55">
        <v>215.89508987995549</v>
      </c>
      <c r="M21" s="55">
        <v>316.87610831990452</v>
      </c>
      <c r="N21" s="55">
        <v>317.52874799995061</v>
      </c>
      <c r="O21" s="55">
        <v>322.91414639994508</v>
      </c>
      <c r="P21" s="55">
        <v>316.23427403990382</v>
      </c>
      <c r="Q21" s="55">
        <v>225.0469785599683</v>
      </c>
      <c r="R21" s="55">
        <v>219.36819167995719</v>
      </c>
      <c r="S21" s="55">
        <v>218.23655039996041</v>
      </c>
      <c r="T21" s="55">
        <v>222.24268763996739</v>
      </c>
      <c r="U21" s="55">
        <v>201.4974197999712</v>
      </c>
      <c r="V21" s="55">
        <v>159.2717893199713</v>
      </c>
      <c r="W21" s="55">
        <v>178.65815183997759</v>
      </c>
      <c r="X21" s="55">
        <v>182.60326727996741</v>
      </c>
      <c r="Y21" s="55">
        <v>183.7092121199662</v>
      </c>
      <c r="DA21" s="101" t="s">
        <v>1050</v>
      </c>
    </row>
    <row r="22" spans="1:105" x14ac:dyDescent="0.25">
      <c r="A22" s="61" t="s">
        <v>169</v>
      </c>
      <c r="B22" s="55">
        <v>400.75742370759258</v>
      </c>
      <c r="C22" s="55">
        <v>465.54838969408002</v>
      </c>
      <c r="D22" s="55">
        <v>450.76400950650299</v>
      </c>
      <c r="E22" s="55">
        <v>428.23112375349967</v>
      </c>
      <c r="F22" s="55">
        <v>475.76773231528489</v>
      </c>
      <c r="G22" s="55">
        <v>424.50269119846041</v>
      </c>
      <c r="H22" s="55">
        <v>384.96031490344569</v>
      </c>
      <c r="I22" s="55">
        <v>351.2827180062032</v>
      </c>
      <c r="J22" s="55">
        <v>331.36631593233619</v>
      </c>
      <c r="K22" s="55">
        <v>293.78694296412181</v>
      </c>
      <c r="L22" s="55">
        <v>298.16318283884277</v>
      </c>
      <c r="M22" s="55">
        <v>226.9005535013641</v>
      </c>
      <c r="N22" s="55">
        <v>278.74575217302203</v>
      </c>
      <c r="O22" s="55">
        <v>233.36830815222339</v>
      </c>
      <c r="P22" s="55">
        <v>256.88278166255179</v>
      </c>
      <c r="Q22" s="55">
        <v>231.86217771280559</v>
      </c>
      <c r="R22" s="55">
        <v>244.6450612921044</v>
      </c>
      <c r="S22" s="55">
        <v>244.82044789560359</v>
      </c>
      <c r="T22" s="55">
        <v>288.77435692304971</v>
      </c>
      <c r="U22" s="55">
        <v>293.53134385495349</v>
      </c>
      <c r="V22" s="55">
        <v>279.64781854295779</v>
      </c>
      <c r="W22" s="55">
        <v>286.44224832390603</v>
      </c>
      <c r="X22" s="55">
        <v>237.2907113028603</v>
      </c>
      <c r="Y22" s="55">
        <v>214.479107979823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22.786826592111581</v>
      </c>
      <c r="T23" s="55">
        <v>11.930765264174489</v>
      </c>
      <c r="U23" s="55">
        <v>11.01184134575565</v>
      </c>
      <c r="V23" s="55">
        <v>1.277852718220617</v>
      </c>
      <c r="W23" s="55">
        <v>5.5729293319608528</v>
      </c>
      <c r="X23" s="55">
        <v>3.3078577650222092E-3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695.67348638013686</v>
      </c>
      <c r="C25" s="257">
        <v>721.44783732878386</v>
      </c>
      <c r="D25" s="257">
        <v>749.76855250023345</v>
      </c>
      <c r="E25" s="257">
        <v>740.82977115555411</v>
      </c>
      <c r="F25" s="257">
        <v>778.39681140770585</v>
      </c>
      <c r="G25" s="257">
        <v>760.88489965872066</v>
      </c>
      <c r="H25" s="257">
        <v>739.33343664013364</v>
      </c>
      <c r="I25" s="257">
        <v>720.89122326816505</v>
      </c>
      <c r="J25" s="257">
        <v>733.91350966363177</v>
      </c>
      <c r="K25" s="257">
        <v>733.89232838616465</v>
      </c>
      <c r="L25" s="257">
        <v>713.54311393361229</v>
      </c>
      <c r="M25" s="257">
        <v>723.79037542298784</v>
      </c>
      <c r="N25" s="257">
        <v>694.28039322427321</v>
      </c>
      <c r="O25" s="257">
        <v>725.09233007073647</v>
      </c>
      <c r="P25" s="257">
        <v>716.95684189064195</v>
      </c>
      <c r="Q25" s="257">
        <v>715.88579675317089</v>
      </c>
      <c r="R25" s="257">
        <v>660.40884126488857</v>
      </c>
      <c r="S25" s="257">
        <v>648.66054383525807</v>
      </c>
      <c r="T25" s="257">
        <v>658.31427527973528</v>
      </c>
      <c r="U25" s="257">
        <v>640.32343853146767</v>
      </c>
      <c r="V25" s="257">
        <v>690.80802716606718</v>
      </c>
      <c r="W25" s="257">
        <v>692.89053811515737</v>
      </c>
      <c r="X25" s="257">
        <v>676.46583266058633</v>
      </c>
      <c r="Y25" s="257">
        <v>680.19253097284763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1.0000000000000002</v>
      </c>
      <c r="K31" s="235">
        <f t="shared" si="6"/>
        <v>1</v>
      </c>
      <c r="L31" s="235">
        <f t="shared" si="6"/>
        <v>0.99999999999999989</v>
      </c>
      <c r="M31" s="235">
        <f t="shared" si="6"/>
        <v>0.99999999999999989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0.99999999999999989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0.99999999999999989</v>
      </c>
      <c r="U31" s="235">
        <f t="shared" si="7"/>
        <v>1</v>
      </c>
      <c r="V31" s="235">
        <f t="shared" si="7"/>
        <v>0.99999999999999989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0.21528557110744953</v>
      </c>
      <c r="C35" s="246">
        <f t="shared" si="12"/>
        <v>0.21560459006952992</v>
      </c>
      <c r="D35" s="246">
        <f t="shared" si="12"/>
        <v>0.21813846458539488</v>
      </c>
      <c r="E35" s="246">
        <f t="shared" si="12"/>
        <v>0.21834017161835179</v>
      </c>
      <c r="F35" s="246">
        <f t="shared" si="12"/>
        <v>0.20696014914305916</v>
      </c>
      <c r="G35" s="246">
        <f t="shared" si="12"/>
        <v>0.20589687302354376</v>
      </c>
      <c r="H35" s="246">
        <f t="shared" si="12"/>
        <v>0.20431772037209389</v>
      </c>
      <c r="I35" s="246">
        <f t="shared" si="12"/>
        <v>0.2066876398587931</v>
      </c>
      <c r="J35" s="246">
        <f t="shared" si="12"/>
        <v>0.20857425336766056</v>
      </c>
      <c r="K35" s="246">
        <f t="shared" si="12"/>
        <v>0.20534771620656345</v>
      </c>
      <c r="L35" s="246">
        <f t="shared" si="12"/>
        <v>0.20343051290243377</v>
      </c>
      <c r="M35" s="246">
        <f t="shared" si="12"/>
        <v>0.20052671436477992</v>
      </c>
      <c r="N35" s="246">
        <f t="shared" si="12"/>
        <v>0.19641136194468412</v>
      </c>
      <c r="O35" s="246">
        <f t="shared" si="12"/>
        <v>0.19627531490259084</v>
      </c>
      <c r="P35" s="246">
        <f t="shared" si="12"/>
        <v>0.19900956063865941</v>
      </c>
      <c r="Q35" s="246">
        <f t="shared" si="12"/>
        <v>0.19654266558306002</v>
      </c>
      <c r="R35" s="246">
        <f t="shared" si="12"/>
        <v>0.19343278994301905</v>
      </c>
      <c r="S35" s="246">
        <f t="shared" si="12"/>
        <v>0.19327310571080067</v>
      </c>
      <c r="T35" s="246">
        <f t="shared" si="12"/>
        <v>0.19519571552457335</v>
      </c>
      <c r="U35" s="246">
        <f t="shared" si="12"/>
        <v>0.19334990512097661</v>
      </c>
      <c r="V35" s="246">
        <f t="shared" si="12"/>
        <v>0.1998633154328549</v>
      </c>
      <c r="W35" s="246">
        <f t="shared" si="12"/>
        <v>0.19930260294371019</v>
      </c>
      <c r="X35" s="246">
        <f t="shared" si="12"/>
        <v>0.1983197753007383</v>
      </c>
      <c r="Y35" s="246">
        <f t="shared" si="12"/>
        <v>0.20109577822354166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0.29792373737087924</v>
      </c>
      <c r="C36" s="259">
        <f t="shared" si="13"/>
        <v>0.29894849107889482</v>
      </c>
      <c r="D36" s="259">
        <f t="shared" si="13"/>
        <v>0.30244016349044422</v>
      </c>
      <c r="E36" s="259">
        <f t="shared" si="13"/>
        <v>0.30458206754598016</v>
      </c>
      <c r="F36" s="259">
        <f t="shared" si="13"/>
        <v>0.30791140795160438</v>
      </c>
      <c r="G36" s="259">
        <f t="shared" si="13"/>
        <v>0.31097834924054324</v>
      </c>
      <c r="H36" s="259">
        <f t="shared" si="13"/>
        <v>0.31182939222034062</v>
      </c>
      <c r="I36" s="259">
        <f t="shared" si="13"/>
        <v>0.31219411796777602</v>
      </c>
      <c r="J36" s="259">
        <f t="shared" si="13"/>
        <v>0.31170670933313788</v>
      </c>
      <c r="K36" s="259">
        <f t="shared" si="13"/>
        <v>0.31396629834346551</v>
      </c>
      <c r="L36" s="259">
        <f t="shared" si="13"/>
        <v>0.31474699967402914</v>
      </c>
      <c r="M36" s="259">
        <f t="shared" si="13"/>
        <v>0.31572465046515052</v>
      </c>
      <c r="N36" s="259">
        <f t="shared" si="13"/>
        <v>0.31710080976271937</v>
      </c>
      <c r="O36" s="259">
        <f t="shared" si="13"/>
        <v>0.3166614478129397</v>
      </c>
      <c r="P36" s="259">
        <f t="shared" si="13"/>
        <v>0.31774178321903424</v>
      </c>
      <c r="Q36" s="259">
        <f t="shared" si="13"/>
        <v>0.32047344857025151</v>
      </c>
      <c r="R36" s="259">
        <f t="shared" si="13"/>
        <v>0.32132368083419727</v>
      </c>
      <c r="S36" s="259">
        <f t="shared" si="13"/>
        <v>0.32158310489735548</v>
      </c>
      <c r="T36" s="259">
        <f t="shared" si="13"/>
        <v>0.32024994803564438</v>
      </c>
      <c r="U36" s="259">
        <f t="shared" si="13"/>
        <v>0.32090301583558833</v>
      </c>
      <c r="V36" s="259">
        <f t="shared" si="13"/>
        <v>0.31952589200619924</v>
      </c>
      <c r="W36" s="259">
        <f t="shared" si="13"/>
        <v>0.31858063277832732</v>
      </c>
      <c r="X36" s="259">
        <f t="shared" si="13"/>
        <v>0.32163065992282469</v>
      </c>
      <c r="Y36" s="259">
        <f t="shared" si="13"/>
        <v>0.32164508251620894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0.4295421625712964</v>
      </c>
      <c r="C37" s="259">
        <f t="shared" si="14"/>
        <v>0.42800147493618967</v>
      </c>
      <c r="D37" s="259">
        <f t="shared" si="14"/>
        <v>0.42130497405625755</v>
      </c>
      <c r="E37" s="259">
        <f t="shared" si="14"/>
        <v>0.41854977825345374</v>
      </c>
      <c r="F37" s="259">
        <f t="shared" si="14"/>
        <v>0.42596069981837342</v>
      </c>
      <c r="G37" s="259">
        <f t="shared" si="14"/>
        <v>0.42336769632123444</v>
      </c>
      <c r="H37" s="259">
        <f t="shared" si="14"/>
        <v>0.4239322709919604</v>
      </c>
      <c r="I37" s="259">
        <f t="shared" si="14"/>
        <v>0.421127540665932</v>
      </c>
      <c r="J37" s="259">
        <f t="shared" si="14"/>
        <v>0.41982199542277809</v>
      </c>
      <c r="K37" s="259">
        <f t="shared" si="14"/>
        <v>0.42035474471441919</v>
      </c>
      <c r="L37" s="259">
        <f t="shared" si="14"/>
        <v>0.42134122842116689</v>
      </c>
      <c r="M37" s="259">
        <f t="shared" si="14"/>
        <v>0.42307951242071234</v>
      </c>
      <c r="N37" s="259">
        <f t="shared" si="14"/>
        <v>0.42555426506567812</v>
      </c>
      <c r="O37" s="259">
        <f t="shared" si="14"/>
        <v>0.4262141011177229</v>
      </c>
      <c r="P37" s="259">
        <f t="shared" si="14"/>
        <v>0.4221919245240604</v>
      </c>
      <c r="Q37" s="259">
        <f t="shared" si="14"/>
        <v>0.4214022419662577</v>
      </c>
      <c r="R37" s="259">
        <f t="shared" si="14"/>
        <v>0.42349850612723383</v>
      </c>
      <c r="S37" s="259">
        <f t="shared" si="14"/>
        <v>0.42334891580058931</v>
      </c>
      <c r="T37" s="259">
        <f t="shared" si="14"/>
        <v>0.42301564004966818</v>
      </c>
      <c r="U37" s="259">
        <f t="shared" si="14"/>
        <v>0.42408289023307433</v>
      </c>
      <c r="V37" s="259">
        <f t="shared" si="14"/>
        <v>0.41921122957097368</v>
      </c>
      <c r="W37" s="259">
        <f t="shared" si="14"/>
        <v>0.42089884072615674</v>
      </c>
      <c r="X37" s="259">
        <f t="shared" si="14"/>
        <v>0.41824555309072797</v>
      </c>
      <c r="Y37" s="259">
        <f t="shared" si="14"/>
        <v>0.41545235615302761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5.7248528950374702E-2</v>
      </c>
      <c r="C38" s="259">
        <f t="shared" si="15"/>
        <v>5.7445443915385676E-2</v>
      </c>
      <c r="D38" s="259">
        <f t="shared" si="15"/>
        <v>5.8116397867903298E-2</v>
      </c>
      <c r="E38" s="259">
        <f t="shared" si="15"/>
        <v>5.8527982582214332E-2</v>
      </c>
      <c r="F38" s="259">
        <f t="shared" si="15"/>
        <v>5.9167743086963119E-2</v>
      </c>
      <c r="G38" s="259">
        <f t="shared" si="15"/>
        <v>5.9757081414678635E-2</v>
      </c>
      <c r="H38" s="259">
        <f t="shared" si="15"/>
        <v>5.992061641560506E-2</v>
      </c>
      <c r="I38" s="259">
        <f t="shared" si="15"/>
        <v>5.9990701507498918E-2</v>
      </c>
      <c r="J38" s="259">
        <f t="shared" si="15"/>
        <v>5.9897041876423585E-2</v>
      </c>
      <c r="K38" s="259">
        <f t="shared" si="15"/>
        <v>6.0331240735551898E-2</v>
      </c>
      <c r="L38" s="259">
        <f t="shared" si="15"/>
        <v>6.0481259002370072E-2</v>
      </c>
      <c r="M38" s="259">
        <f t="shared" si="15"/>
        <v>6.066912274935711E-2</v>
      </c>
      <c r="N38" s="259">
        <f t="shared" si="15"/>
        <v>6.0933563226918355E-2</v>
      </c>
      <c r="O38" s="259">
        <f t="shared" si="15"/>
        <v>6.0849136166746448E-2</v>
      </c>
      <c r="P38" s="259">
        <f t="shared" si="15"/>
        <v>6.1056731618245937E-2</v>
      </c>
      <c r="Q38" s="259">
        <f t="shared" si="15"/>
        <v>6.1581643880430734E-2</v>
      </c>
      <c r="R38" s="259">
        <f t="shared" si="15"/>
        <v>6.1745023095549925E-2</v>
      </c>
      <c r="S38" s="259">
        <f t="shared" si="15"/>
        <v>6.1794873591254629E-2</v>
      </c>
      <c r="T38" s="259">
        <f t="shared" si="15"/>
        <v>6.1538696390113952E-2</v>
      </c>
      <c r="U38" s="259">
        <f t="shared" si="15"/>
        <v>6.1664188810360752E-2</v>
      </c>
      <c r="V38" s="259">
        <f t="shared" si="15"/>
        <v>6.1399562989972047E-2</v>
      </c>
      <c r="W38" s="259">
        <f t="shared" si="15"/>
        <v>6.1217923551805782E-2</v>
      </c>
      <c r="X38" s="259">
        <f t="shared" si="15"/>
        <v>6.1804011685709093E-2</v>
      </c>
      <c r="Y38" s="259">
        <f t="shared" si="15"/>
        <v>6.1806783107221791E-2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2.8026788402329377</v>
      </c>
      <c r="C44" s="237">
        <f>IF(C$5=0,0,C$5/AGR_fec!C$5)</f>
        <v>2.7945950071937857</v>
      </c>
      <c r="D44" s="237">
        <f>IF(D$5=0,0,D$5/AGR_fec!D$5)</f>
        <v>2.8104214079137195</v>
      </c>
      <c r="E44" s="237">
        <f>IF(E$5=0,0,E$5/AGR_fec!E$5)</f>
        <v>2.7925809576530769</v>
      </c>
      <c r="F44" s="237">
        <f>IF(F$5=0,0,F$5/AGR_fec!F$5)</f>
        <v>2.6217915398872993</v>
      </c>
      <c r="G44" s="237">
        <f>IF(G$5=0,0,G$5/AGR_fec!G$5)</f>
        <v>2.5652073433451852</v>
      </c>
      <c r="H44" s="237">
        <f>IF(H$5=0,0,H$5/AGR_fec!H$5)</f>
        <v>2.5454191523435901</v>
      </c>
      <c r="I44" s="237">
        <f>IF(I$5=0,0,I$5/AGR_fec!I$5)</f>
        <v>2.5605864607677127</v>
      </c>
      <c r="J44" s="237">
        <f>IF(J$5=0,0,J$5/AGR_fec!J$5)</f>
        <v>2.5808086538430173</v>
      </c>
      <c r="K44" s="237">
        <f>IF(K$5=0,0,K$5/AGR_fec!K$5)</f>
        <v>2.5388568548152222</v>
      </c>
      <c r="L44" s="237">
        <f>IF(L$5=0,0,L$5/AGR_fec!L$5)</f>
        <v>2.5103389637518361</v>
      </c>
      <c r="M44" s="237">
        <f>IF(M$5=0,0,M$5/AGR_fec!M$5)</f>
        <v>2.4899980307482936</v>
      </c>
      <c r="N44" s="237">
        <f>IF(N$5=0,0,N$5/AGR_fec!N$5)</f>
        <v>2.4413920844165755</v>
      </c>
      <c r="O44" s="237">
        <f>IF(O$5=0,0,O$5/AGR_fec!O$5)</f>
        <v>2.4501219501321723</v>
      </c>
      <c r="P44" s="237">
        <f>IF(P$5=0,0,P$5/AGR_fec!P$5)</f>
        <v>2.4665453725323001</v>
      </c>
      <c r="Q44" s="237">
        <f>IF(Q$5=0,0,Q$5/AGR_fec!Q$5)</f>
        <v>2.4307246860815495</v>
      </c>
      <c r="R44" s="237">
        <f>IF(R$5=0,0,R$5/AGR_fec!R$5)</f>
        <v>2.3415707420940297</v>
      </c>
      <c r="S44" s="237">
        <f>IF(S$5=0,0,S$5/AGR_fec!S$5)</f>
        <v>2.3053833265417119</v>
      </c>
      <c r="T44" s="237">
        <f>IF(T$5=0,0,T$5/AGR_fec!T$5)</f>
        <v>2.2969169380813987</v>
      </c>
      <c r="U44" s="237">
        <f>IF(U$5=0,0,U$5/AGR_fec!U$5)</f>
        <v>2.2786553216499392</v>
      </c>
      <c r="V44" s="237">
        <f>IF(V$5=0,0,V$5/AGR_fec!V$5)</f>
        <v>2.3315253455001557</v>
      </c>
      <c r="W44" s="237">
        <f>IF(W$5=0,0,W$5/AGR_fec!W$5)</f>
        <v>2.3417471725460226</v>
      </c>
      <c r="X44" s="237">
        <f>IF(X$5=0,0,X$5/AGR_fec!X$5)</f>
        <v>2.3227883836427838</v>
      </c>
      <c r="Y44" s="237">
        <f>IF(Y$5=0,0,Y$5/AGR_fec!Y$5)</f>
        <v>2.338389012061473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2.9644702245740784</v>
      </c>
      <c r="C48" s="252">
        <f>IF(C$9=0,0,C$9/AGR_fec!C$9)</f>
        <v>2.9483200018789768</v>
      </c>
      <c r="D48" s="252">
        <f>IF(D$9=0,0,D$9/AGR_fec!D$9)</f>
        <v>2.9645388439581675</v>
      </c>
      <c r="E48" s="252">
        <f>IF(E$9=0,0,E$9/AGR_fec!E$9)</f>
        <v>2.960647764458666</v>
      </c>
      <c r="F48" s="252">
        <f>IF(F$9=0,0,F$9/AGR_fec!F$9)</f>
        <v>2.7783187133504161</v>
      </c>
      <c r="G48" s="252">
        <f>IF(G$9=0,0,G$9/AGR_fec!G$9)</f>
        <v>2.7349254875416746</v>
      </c>
      <c r="H48" s="252">
        <f>IF(H$9=0,0,H$9/AGR_fec!H$9)</f>
        <v>2.7051553377174127</v>
      </c>
      <c r="I48" s="252">
        <f>IF(I$9=0,0,I$9/AGR_fec!I$9)</f>
        <v>2.7447991405237149</v>
      </c>
      <c r="J48" s="252">
        <f>IF(J$9=0,0,J$9/AGR_fec!J$9)</f>
        <v>2.784985267010867</v>
      </c>
      <c r="K48" s="252">
        <f>IF(K$9=0,0,K$9/AGR_fec!K$9)</f>
        <v>2.7162384929255965</v>
      </c>
      <c r="L48" s="252">
        <f>IF(L$9=0,0,L$9/AGR_fec!L$9)</f>
        <v>2.6731713476110324</v>
      </c>
      <c r="M48" s="252">
        <f>IF(M$9=0,0,M$9/AGR_fec!M$9)</f>
        <v>2.6280336035964029</v>
      </c>
      <c r="N48" s="252">
        <f>IF(N$9=0,0,N$9/AGR_fec!N$9)</f>
        <v>2.5307314824942573</v>
      </c>
      <c r="O48" s="252">
        <f>IF(O$9=0,0,O$9/AGR_fec!O$9)</f>
        <v>2.5444358190181577</v>
      </c>
      <c r="P48" s="252">
        <f>IF(P$9=0,0,P$9/AGR_fec!P$9)</f>
        <v>2.5686167668630455</v>
      </c>
      <c r="Q48" s="252">
        <f>IF(Q$9=0,0,Q$9/AGR_fec!Q$9)</f>
        <v>2.5049396004890472</v>
      </c>
      <c r="R48" s="252">
        <f>IF(R$9=0,0,R$9/AGR_fec!R$9)</f>
        <v>2.3715353552773872</v>
      </c>
      <c r="S48" s="252">
        <f>IF(S$9=0,0,S$9/AGR_fec!S$9)</f>
        <v>2.3329997819908632</v>
      </c>
      <c r="T48" s="252">
        <f>IF(T$9=0,0,T$9/AGR_fec!T$9)</f>
        <v>2.3378591867589433</v>
      </c>
      <c r="U48" s="252">
        <f>IF(U$9=0,0,U$9/AGR_fec!U$9)</f>
        <v>2.2965323899349332</v>
      </c>
      <c r="V48" s="252">
        <f>IF(V$9=0,0,V$9/AGR_fec!V$9)</f>
        <v>2.4202325050818181</v>
      </c>
      <c r="W48" s="252">
        <f>IF(W$9=0,0,W$9/AGR_fec!W$9)</f>
        <v>2.4249487022000764</v>
      </c>
      <c r="X48" s="252">
        <f>IF(X$9=0,0,X$9/AGR_fec!X$9)</f>
        <v>2.3952796215847254</v>
      </c>
      <c r="Y48" s="252">
        <f>IF(Y$9=0,0,Y$9/AGR_fec!Y$9)</f>
        <v>2.4310877381554308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3.1024188000000006</v>
      </c>
      <c r="D49" s="264">
        <f>IF(D$16=0,0,D$16/AGR_fec!D$16)</f>
        <v>3.102418800000001</v>
      </c>
      <c r="E49" s="264">
        <f>IF(E$16=0,0,E$16/AGR_fec!E$16)</f>
        <v>3.1024188000000001</v>
      </c>
      <c r="F49" s="264">
        <f>IF(F$16=0,0,F$16/AGR_fec!F$16)</f>
        <v>3.1024187999999993</v>
      </c>
      <c r="G49" s="264">
        <f>IF(G$16=0,0,G$16/AGR_fec!G$16)</f>
        <v>3.1024188000000001</v>
      </c>
      <c r="H49" s="264">
        <f>IF(H$16=0,0,H$16/AGR_fec!H$16)</f>
        <v>3.1024188000000001</v>
      </c>
      <c r="I49" s="264">
        <f>IF(I$16=0,0,I$16/AGR_fec!I$16)</f>
        <v>3.1024188000000019</v>
      </c>
      <c r="J49" s="264">
        <f>IF(J$16=0,0,J$16/AGR_fec!J$16)</f>
        <v>3.1024187999999997</v>
      </c>
      <c r="K49" s="264">
        <f>IF(K$16=0,0,K$16/AGR_fec!K$16)</f>
        <v>3.1024188000000001</v>
      </c>
      <c r="L49" s="264">
        <f>IF(L$16=0,0,L$16/AGR_fec!L$16)</f>
        <v>3.1024188000000001</v>
      </c>
      <c r="M49" s="264">
        <f>IF(M$16=0,0,M$16/AGR_fec!M$16)</f>
        <v>3.1024187999999988</v>
      </c>
      <c r="N49" s="264">
        <f>IF(N$16=0,0,N$16/AGR_fec!N$16)</f>
        <v>3.102418800000001</v>
      </c>
      <c r="O49" s="264">
        <f>IF(O$16=0,0,O$16/AGR_fec!O$16)</f>
        <v>3.1024187999999997</v>
      </c>
      <c r="P49" s="264">
        <f>IF(P$16=0,0,P$16/AGR_fec!P$16)</f>
        <v>3.1024187999999993</v>
      </c>
      <c r="Q49" s="264">
        <f>IF(Q$16=0,0,Q$16/AGR_fec!Q$16)</f>
        <v>3.1024138489737583</v>
      </c>
      <c r="R49" s="264">
        <f>IF(R$16=0,0,R$16/AGR_fec!R$16)</f>
        <v>3.0219708252076423</v>
      </c>
      <c r="S49" s="264">
        <f>IF(S$16=0,0,S$16/AGR_fec!S$16)</f>
        <v>2.97893538814168</v>
      </c>
      <c r="T49" s="264">
        <f>IF(T$16=0,0,T$16/AGR_fec!T$16)</f>
        <v>2.9419214579510173</v>
      </c>
      <c r="U49" s="264">
        <f>IF(U$16=0,0,U$16/AGR_fec!U$16)</f>
        <v>2.9428464398184913</v>
      </c>
      <c r="V49" s="264">
        <f>IF(V$16=0,0,V$16/AGR_fec!V$16)</f>
        <v>2.9389485136618778</v>
      </c>
      <c r="W49" s="264">
        <f>IF(W$16=0,0,W$16/AGR_fec!W$16)</f>
        <v>2.9516845827498175</v>
      </c>
      <c r="X49" s="264">
        <f>IF(X$16=0,0,X$16/AGR_fec!X$16)</f>
        <v>2.9573472071532638</v>
      </c>
      <c r="Y49" s="264">
        <f>IF(Y$16=0,0,Y$16/AGR_fec!Y$16)</f>
        <v>2.9455516733359786</v>
      </c>
      <c r="DA49" s="290"/>
    </row>
    <row r="50" spans="1:105" x14ac:dyDescent="0.25">
      <c r="A50" s="127" t="s">
        <v>121</v>
      </c>
      <c r="B50" s="264">
        <f>IF(B$17=0,0,B$17/AGR_fec!B$17)</f>
        <v>2.8454364961185958</v>
      </c>
      <c r="C50" s="264">
        <f>IF(C$17=0,0,C$17/AGR_fec!C$17)</f>
        <v>2.8402236210410865</v>
      </c>
      <c r="D50" s="264">
        <f>IF(D$17=0,0,D$17/AGR_fec!D$17)</f>
        <v>2.8740787228983584</v>
      </c>
      <c r="E50" s="264">
        <f>IF(E$17=0,0,E$17/AGR_fec!E$17)</f>
        <v>2.8839464640614372</v>
      </c>
      <c r="F50" s="264">
        <f>IF(F$17=0,0,F$17/AGR_fec!F$17)</f>
        <v>2.8769881549613081</v>
      </c>
      <c r="G50" s="264">
        <f>IF(G$17=0,0,G$17/AGR_fec!G$17)</f>
        <v>2.7967865185671421</v>
      </c>
      <c r="H50" s="264">
        <f>IF(H$17=0,0,H$17/AGR_fec!H$17)</f>
        <v>2.7892905034867534</v>
      </c>
      <c r="I50" s="264">
        <f>IF(I$17=0,0,I$17/AGR_fec!I$17)</f>
        <v>2.7785273784625772</v>
      </c>
      <c r="J50" s="264">
        <f>IF(J$17=0,0,J$17/AGR_fec!J$17)</f>
        <v>2.7755513586580136</v>
      </c>
      <c r="K50" s="264">
        <f>IF(K$17=0,0,K$17/AGR_fec!K$17)</f>
        <v>2.7714468598752204</v>
      </c>
      <c r="L50" s="264">
        <f>IF(L$17=0,0,L$17/AGR_fec!L$17)</f>
        <v>2.7450968451026836</v>
      </c>
      <c r="M50" s="264">
        <f>IF(M$17=0,0,M$17/AGR_fec!M$17)</f>
        <v>2.7460220767765433</v>
      </c>
      <c r="N50" s="264">
        <f>IF(N$17=0,0,N$17/AGR_fec!N$17)</f>
        <v>2.7103576429328751</v>
      </c>
      <c r="O50" s="264">
        <f>IF(O$17=0,0,O$17/AGR_fec!O$17)</f>
        <v>2.7195703337146271</v>
      </c>
      <c r="P50" s="264">
        <f>IF(P$17=0,0,P$17/AGR_fec!P$17)</f>
        <v>2.7170950733703982</v>
      </c>
      <c r="Q50" s="264">
        <f>IF(Q$17=0,0,Q$17/AGR_fec!Q$17)</f>
        <v>2.7036374522115296</v>
      </c>
      <c r="R50" s="264">
        <f>IF(R$17=0,0,R$17/AGR_fec!R$17)</f>
        <v>2.631747802933436</v>
      </c>
      <c r="S50" s="264">
        <f>IF(S$17=0,0,S$17/AGR_fec!S$17)</f>
        <v>2.5925250196785741</v>
      </c>
      <c r="T50" s="264">
        <f>IF(T$17=0,0,T$17/AGR_fec!T$17)</f>
        <v>2.562032007491712</v>
      </c>
      <c r="U50" s="264">
        <f>IF(U$17=0,0,U$17/AGR_fec!U$17)</f>
        <v>2.5366649755622612</v>
      </c>
      <c r="V50" s="264">
        <f>IF(V$17=0,0,V$17/AGR_fec!V$17)</f>
        <v>2.5482351550597455</v>
      </c>
      <c r="W50" s="264">
        <f>IF(W$17=0,0,W$17/AGR_fec!W$17)</f>
        <v>2.5289345188363797</v>
      </c>
      <c r="X50" s="264">
        <f>IF(X$17=0,0,X$17/AGR_fec!X$17)</f>
        <v>2.5236915152609862</v>
      </c>
      <c r="Y50" s="264">
        <f>IF(Y$17=0,0,Y$17/AGR_fec!Y$17)</f>
        <v>2.4969934849737454</v>
      </c>
      <c r="DA50" s="290"/>
    </row>
    <row r="51" spans="1:105" x14ac:dyDescent="0.25">
      <c r="A51" s="127" t="s">
        <v>167</v>
      </c>
      <c r="B51" s="264">
        <f>IF(B$25=0,0,B$25/AGR_fec!B$25)</f>
        <v>3.1024187999999993</v>
      </c>
      <c r="C51" s="264">
        <f>IF(C$25=0,0,C$25/AGR_fec!C$25)</f>
        <v>3.1024188000000006</v>
      </c>
      <c r="D51" s="264">
        <f>IF(D$25=0,0,D$25/AGR_fec!D$25)</f>
        <v>3.1024188000000006</v>
      </c>
      <c r="E51" s="264">
        <f>IF(E$25=0,0,E$25/AGR_fec!E$25)</f>
        <v>3.1024188000000001</v>
      </c>
      <c r="F51" s="264">
        <f>IF(F$25=0,0,F$25/AGR_fec!F$25)</f>
        <v>3.1024188000000001</v>
      </c>
      <c r="G51" s="264">
        <f>IF(G$25=0,0,G$25/AGR_fec!G$25)</f>
        <v>3.1024187999999997</v>
      </c>
      <c r="H51" s="264">
        <f>IF(H$25=0,0,H$25/AGR_fec!H$25)</f>
        <v>3.1024188000000006</v>
      </c>
      <c r="I51" s="264">
        <f>IF(I$25=0,0,I$25/AGR_fec!I$25)</f>
        <v>3.1024188000000006</v>
      </c>
      <c r="J51" s="264">
        <f>IF(J$25=0,0,J$25/AGR_fec!J$25)</f>
        <v>3.1024188000000001</v>
      </c>
      <c r="K51" s="264">
        <f>IF(K$25=0,0,K$25/AGR_fec!K$25)</f>
        <v>3.1024188000000006</v>
      </c>
      <c r="L51" s="264">
        <f>IF(L$25=0,0,L$25/AGR_fec!L$25)</f>
        <v>3.1024188000000001</v>
      </c>
      <c r="M51" s="264">
        <f>IF(M$25=0,0,M$25/AGR_fec!M$25)</f>
        <v>3.1024187999999997</v>
      </c>
      <c r="N51" s="264">
        <f>IF(N$25=0,0,N$25/AGR_fec!N$25)</f>
        <v>3.102418800000001</v>
      </c>
      <c r="O51" s="264">
        <f>IF(O$25=0,0,O$25/AGR_fec!O$25)</f>
        <v>3.1024188000000001</v>
      </c>
      <c r="P51" s="264">
        <f>IF(P$25=0,0,P$25/AGR_fec!P$25)</f>
        <v>3.1024188000000001</v>
      </c>
      <c r="Q51" s="264">
        <f>IF(Q$25=0,0,Q$25/AGR_fec!Q$25)</f>
        <v>3.1024138489737583</v>
      </c>
      <c r="R51" s="264">
        <f>IF(R$25=0,0,R$25/AGR_fec!R$25)</f>
        <v>3.0219708252076432</v>
      </c>
      <c r="S51" s="264">
        <f>IF(S$25=0,0,S$25/AGR_fec!S$25)</f>
        <v>2.9789353881416805</v>
      </c>
      <c r="T51" s="264">
        <f>IF(T$25=0,0,T$25/AGR_fec!T$25)</f>
        <v>2.9419214579510178</v>
      </c>
      <c r="U51" s="264">
        <f>IF(U$25=0,0,U$25/AGR_fec!U$25)</f>
        <v>2.9428464398184908</v>
      </c>
      <c r="V51" s="264">
        <f>IF(V$25=0,0,V$25/AGR_fec!V$25)</f>
        <v>2.9389485136618778</v>
      </c>
      <c r="W51" s="264">
        <f>IF(W$25=0,0,W$25/AGR_fec!W$25)</f>
        <v>2.9516845827498153</v>
      </c>
      <c r="X51" s="264">
        <f>IF(X$25=0,0,X$25/AGR_fec!X$25)</f>
        <v>2.9573472071532638</v>
      </c>
      <c r="Y51" s="264">
        <f>IF(Y$25=0,0,Y$25/AGR_fec!Y$25)</f>
        <v>2.9455516733359786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2025-11-06T10:24:25Z</dcterms:created>
  <dcterms:modified xsi:type="dcterms:W3CDTF">2025-11-06T10:24:25Z</dcterms:modified>
</cp:coreProperties>
</file>